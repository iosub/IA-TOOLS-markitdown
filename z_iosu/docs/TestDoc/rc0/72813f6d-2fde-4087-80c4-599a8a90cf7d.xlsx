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codeName="ThisWorkbook"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\\SERVIDOR\icu\ADMON\2025\PROVEEDORES 2025\"/>
    </mc:Choice>
  </mc:AlternateContent>
  <xr:revisionPtr revIDLastSave="0" documentId="13_ncr:1_{BA1F44FC-92EF-4291-9ED4-614B3BE7D1F8}" xr6:coauthVersionLast="47" xr6:coauthVersionMax="47" xr10:uidLastSave="{00000000-0000-0000-0000-000000000000}"/>
  <bookViews>
    <workbookView xWindow="-120" yWindow="-120" windowWidth="29040" windowHeight="15840" tabRatio="787" activeTab="1" xr2:uid="{00000000-000D-0000-FFFF-FFFF00000000}"/>
  </bookViews>
  <sheets>
    <sheet name="ENERO" sheetId="21" r:id="rId1"/>
    <sheet name="FEBRERO" sheetId="23" r:id="rId2"/>
    <sheet name="MARZO" sheetId="24" r:id="rId3"/>
    <sheet name="ABRIL" sheetId="25" r:id="rId4"/>
    <sheet name="MAYO" sheetId="19" r:id="rId5"/>
    <sheet name="JUNIO" sheetId="18" r:id="rId6"/>
    <sheet name="JULIO" sheetId="22" r:id="rId7"/>
    <sheet name="AGOSTO" sheetId="26" r:id="rId8"/>
    <sheet name="SEPTIEMBRE" sheetId="27" r:id="rId9"/>
    <sheet name="OCTUBRE" sheetId="28" r:id="rId10"/>
    <sheet name="NOVIEMBRE" sheetId="29" r:id="rId11"/>
    <sheet name="DICIEMBRE" sheetId="30" r:id="rId12"/>
  </sheets>
  <definedNames>
    <definedName name="_xlnm._FilterDatabase" localSheetId="3" hidden="1">ABRIL!$A$1:$AM$166</definedName>
    <definedName name="_xlnm._FilterDatabase" localSheetId="0" hidden="1">ENERO!$A$1:$AL$113</definedName>
    <definedName name="_xlnm._FilterDatabase" localSheetId="1" hidden="1">FEBRERO!$A$1:$AI$65</definedName>
    <definedName name="_xlnm._FilterDatabase" localSheetId="5" hidden="1">JUNIO!$A$1:$AL$116</definedName>
    <definedName name="_xlnm._FilterDatabase" localSheetId="2" hidden="1">MARZO!$A$1:$AM$184</definedName>
    <definedName name="_xlnm._FilterDatabase" localSheetId="4" hidden="1">MAYO!$A$1:$AL$150</definedName>
    <definedName name="_xlnm.Print_Area" localSheetId="0">ENERO!$A$1:$AK$113</definedName>
    <definedName name="_xlnm.Print_Titles" localSheetId="3">ABRIL!$1:$1</definedName>
    <definedName name="_xlnm.Print_Titles" localSheetId="0">ENERO!$1:$1</definedName>
    <definedName name="_xlnm.Print_Titles" localSheetId="1">FEBRERO!$1:$1</definedName>
    <definedName name="_xlnm.Print_Titles" localSheetId="2">MARZO!$1:$1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B16" i="24" l="1"/>
  <c r="X16" i="24"/>
  <c r="N16" i="24"/>
  <c r="I16" i="24"/>
  <c r="F16" i="24"/>
  <c r="AB15" i="24"/>
  <c r="X15" i="24"/>
  <c r="N15" i="24"/>
  <c r="I15" i="24"/>
  <c r="F15" i="24"/>
  <c r="X7" i="24"/>
  <c r="N7" i="24"/>
  <c r="I7" i="24"/>
  <c r="AB7" i="24" s="1"/>
  <c r="F7" i="24"/>
  <c r="AA80" i="23" l="1"/>
  <c r="X80" i="23"/>
  <c r="N80" i="23"/>
  <c r="K80" i="23"/>
  <c r="I80" i="23"/>
  <c r="F80" i="23"/>
  <c r="AA81" i="23"/>
  <c r="X81" i="23"/>
  <c r="N81" i="23"/>
  <c r="K81" i="23"/>
  <c r="I81" i="23"/>
  <c r="F81" i="23"/>
  <c r="X79" i="23"/>
  <c r="N79" i="23"/>
  <c r="K79" i="23"/>
  <c r="I79" i="23"/>
  <c r="F79" i="23"/>
  <c r="AA156" i="23"/>
  <c r="X156" i="23"/>
  <c r="N156" i="23"/>
  <c r="K156" i="23"/>
  <c r="I156" i="23"/>
  <c r="F156" i="23"/>
  <c r="AA158" i="23"/>
  <c r="X158" i="23"/>
  <c r="N158" i="23"/>
  <c r="K158" i="23"/>
  <c r="I158" i="23"/>
  <c r="F158" i="23"/>
  <c r="AA155" i="23"/>
  <c r="X155" i="23"/>
  <c r="N155" i="23"/>
  <c r="K155" i="23"/>
  <c r="I155" i="23"/>
  <c r="F155" i="23"/>
  <c r="AA157" i="23"/>
  <c r="X157" i="23"/>
  <c r="N157" i="23"/>
  <c r="K157" i="23"/>
  <c r="I157" i="23"/>
  <c r="F157" i="23"/>
  <c r="X97" i="23"/>
  <c r="N97" i="23"/>
  <c r="K97" i="23"/>
  <c r="I97" i="23"/>
  <c r="F97" i="23"/>
  <c r="AA150" i="23"/>
  <c r="X150" i="23"/>
  <c r="N150" i="23"/>
  <c r="K150" i="23"/>
  <c r="I150" i="23"/>
  <c r="F150" i="23"/>
  <c r="AA149" i="23"/>
  <c r="X149" i="23"/>
  <c r="N149" i="23"/>
  <c r="K149" i="23"/>
  <c r="I149" i="23"/>
  <c r="F149" i="23"/>
  <c r="AA142" i="23"/>
  <c r="X142" i="23"/>
  <c r="N142" i="23"/>
  <c r="K142" i="23"/>
  <c r="I142" i="23"/>
  <c r="F142" i="23"/>
  <c r="AA102" i="23"/>
  <c r="X102" i="23"/>
  <c r="N102" i="23"/>
  <c r="K102" i="23"/>
  <c r="I102" i="23"/>
  <c r="F102" i="23"/>
  <c r="X101" i="23"/>
  <c r="N101" i="23"/>
  <c r="K101" i="23"/>
  <c r="I101" i="23"/>
  <c r="F101" i="23"/>
  <c r="AA82" i="23"/>
  <c r="X82" i="23"/>
  <c r="N82" i="23"/>
  <c r="K82" i="23"/>
  <c r="I82" i="23"/>
  <c r="F82" i="23"/>
  <c r="AA134" i="23"/>
  <c r="X134" i="23"/>
  <c r="N134" i="23"/>
  <c r="K134" i="23"/>
  <c r="I134" i="23"/>
  <c r="F134" i="23"/>
  <c r="AA38" i="23"/>
  <c r="X38" i="23"/>
  <c r="N38" i="23"/>
  <c r="K38" i="23"/>
  <c r="I38" i="23"/>
  <c r="F38" i="23"/>
  <c r="AA151" i="23"/>
  <c r="X151" i="23"/>
  <c r="N151" i="23"/>
  <c r="K151" i="23"/>
  <c r="I151" i="23"/>
  <c r="F151" i="23"/>
  <c r="X39" i="23"/>
  <c r="N39" i="23"/>
  <c r="K39" i="23"/>
  <c r="I39" i="23"/>
  <c r="F39" i="23"/>
  <c r="AA152" i="23"/>
  <c r="X152" i="23"/>
  <c r="N152" i="23"/>
  <c r="K152" i="23"/>
  <c r="I152" i="23"/>
  <c r="F152" i="23"/>
  <c r="AA163" i="23"/>
  <c r="X163" i="23"/>
  <c r="N163" i="23"/>
  <c r="K163" i="23"/>
  <c r="I163" i="23"/>
  <c r="F163" i="23"/>
  <c r="AA162" i="23"/>
  <c r="X162" i="23"/>
  <c r="N162" i="23"/>
  <c r="K162" i="23"/>
  <c r="I162" i="23"/>
  <c r="F162" i="23"/>
  <c r="AA161" i="23"/>
  <c r="X161" i="23"/>
  <c r="N161" i="23"/>
  <c r="K161" i="23"/>
  <c r="I161" i="23"/>
  <c r="F161" i="23"/>
  <c r="X148" i="23"/>
  <c r="N148" i="23"/>
  <c r="K148" i="23"/>
  <c r="I148" i="23"/>
  <c r="F148" i="23"/>
  <c r="AA165" i="23"/>
  <c r="X165" i="23"/>
  <c r="N165" i="23"/>
  <c r="K165" i="23"/>
  <c r="I165" i="23"/>
  <c r="F165" i="23"/>
  <c r="AA167" i="23"/>
  <c r="X167" i="23"/>
  <c r="N167" i="23"/>
  <c r="K167" i="23"/>
  <c r="I167" i="23"/>
  <c r="F167" i="23"/>
  <c r="AA145" i="23"/>
  <c r="X145" i="23"/>
  <c r="N145" i="23"/>
  <c r="K145" i="23"/>
  <c r="I145" i="23"/>
  <c r="F145" i="23"/>
  <c r="AA168" i="23"/>
  <c r="X168" i="23"/>
  <c r="N168" i="23"/>
  <c r="K168" i="23"/>
  <c r="I168" i="23"/>
  <c r="F168" i="23"/>
  <c r="X159" i="23"/>
  <c r="N159" i="23"/>
  <c r="K159" i="23"/>
  <c r="I159" i="23"/>
  <c r="F159" i="23"/>
  <c r="AA74" i="23"/>
  <c r="X74" i="23"/>
  <c r="N74" i="23"/>
  <c r="K74" i="23"/>
  <c r="I74" i="23"/>
  <c r="F74" i="23"/>
  <c r="AA144" i="23"/>
  <c r="X144" i="23"/>
  <c r="N144" i="23"/>
  <c r="K144" i="23"/>
  <c r="I144" i="23"/>
  <c r="F144" i="23"/>
  <c r="AA160" i="23"/>
  <c r="X160" i="23"/>
  <c r="N160" i="23"/>
  <c r="K160" i="23"/>
  <c r="I160" i="23"/>
  <c r="F160" i="23"/>
  <c r="X169" i="23"/>
  <c r="N169" i="23"/>
  <c r="K169" i="23"/>
  <c r="I169" i="23"/>
  <c r="F169" i="23"/>
  <c r="AA138" i="23"/>
  <c r="X138" i="23"/>
  <c r="N138" i="23"/>
  <c r="K138" i="23"/>
  <c r="I138" i="23"/>
  <c r="F138" i="23"/>
  <c r="AA140" i="23"/>
  <c r="X140" i="23"/>
  <c r="N140" i="23"/>
  <c r="K140" i="23"/>
  <c r="I140" i="23"/>
  <c r="F140" i="23"/>
  <c r="AA132" i="23"/>
  <c r="X132" i="23"/>
  <c r="N132" i="23"/>
  <c r="K132" i="23"/>
  <c r="I132" i="23"/>
  <c r="F132" i="23"/>
  <c r="AA131" i="23"/>
  <c r="X131" i="23"/>
  <c r="N131" i="23"/>
  <c r="K131" i="23"/>
  <c r="I131" i="23"/>
  <c r="F131" i="23"/>
  <c r="X128" i="23"/>
  <c r="N128" i="23"/>
  <c r="K128" i="23"/>
  <c r="I128" i="23"/>
  <c r="F128" i="23"/>
  <c r="AA130" i="23"/>
  <c r="X130" i="23"/>
  <c r="N130" i="23"/>
  <c r="K130" i="23"/>
  <c r="I130" i="23"/>
  <c r="F130" i="23"/>
  <c r="AA129" i="23"/>
  <c r="X129" i="23"/>
  <c r="N129" i="23"/>
  <c r="K129" i="23"/>
  <c r="I129" i="23"/>
  <c r="F129" i="23"/>
  <c r="X133" i="23"/>
  <c r="N133" i="23"/>
  <c r="K133" i="23"/>
  <c r="I133" i="23"/>
  <c r="F133" i="23"/>
  <c r="AA126" i="23"/>
  <c r="X126" i="23"/>
  <c r="N126" i="23"/>
  <c r="K126" i="23"/>
  <c r="I126" i="23"/>
  <c r="F126" i="23"/>
  <c r="AA125" i="23"/>
  <c r="X125" i="23"/>
  <c r="N125" i="23"/>
  <c r="K125" i="23"/>
  <c r="I125" i="23"/>
  <c r="F125" i="23"/>
  <c r="AA112" i="23"/>
  <c r="X112" i="23"/>
  <c r="N112" i="23"/>
  <c r="K112" i="23"/>
  <c r="I112" i="23"/>
  <c r="F112" i="23"/>
  <c r="AA92" i="23"/>
  <c r="X92" i="23"/>
  <c r="N92" i="23"/>
  <c r="K92" i="23"/>
  <c r="I92" i="23"/>
  <c r="F92" i="23"/>
  <c r="AA78" i="23"/>
  <c r="X78" i="23"/>
  <c r="N78" i="23"/>
  <c r="K78" i="23"/>
  <c r="I78" i="23"/>
  <c r="F78" i="23"/>
  <c r="AA18" i="23"/>
  <c r="X18" i="23"/>
  <c r="N18" i="23"/>
  <c r="K18" i="23"/>
  <c r="I18" i="23"/>
  <c r="S17" i="23"/>
  <c r="AB155" i="23" l="1"/>
  <c r="AB156" i="23"/>
  <c r="AB158" i="23"/>
  <c r="AB97" i="23"/>
  <c r="AB82" i="23"/>
  <c r="AB80" i="23"/>
  <c r="AB81" i="23"/>
  <c r="AB79" i="23"/>
  <c r="AB157" i="23"/>
  <c r="AB150" i="23"/>
  <c r="AB134" i="23"/>
  <c r="AB142" i="23"/>
  <c r="AB102" i="23"/>
  <c r="AB149" i="23"/>
  <c r="AB101" i="23"/>
  <c r="AB152" i="23"/>
  <c r="AB151" i="23"/>
  <c r="AB38" i="23"/>
  <c r="AB39" i="23"/>
  <c r="AB161" i="23"/>
  <c r="AB163" i="23"/>
  <c r="AB165" i="23"/>
  <c r="AB160" i="23"/>
  <c r="AB74" i="23"/>
  <c r="AB167" i="23"/>
  <c r="AB148" i="23"/>
  <c r="AB162" i="23"/>
  <c r="AB159" i="23"/>
  <c r="AB168" i="23"/>
  <c r="AB145" i="23"/>
  <c r="AB169" i="23"/>
  <c r="AB144" i="23"/>
  <c r="AB128" i="23"/>
  <c r="AB129" i="23"/>
  <c r="AB138" i="23"/>
  <c r="AB140" i="23"/>
  <c r="AB130" i="23"/>
  <c r="AB131" i="23"/>
  <c r="AB132" i="23"/>
  <c r="AB125" i="23"/>
  <c r="AB133" i="23"/>
  <c r="AB126" i="23"/>
  <c r="AB112" i="23"/>
  <c r="AB18" i="23"/>
  <c r="AB92" i="23"/>
  <c r="AB78" i="23"/>
  <c r="AA170" i="23"/>
  <c r="X170" i="23"/>
  <c r="N170" i="23"/>
  <c r="K170" i="23"/>
  <c r="I170" i="23"/>
  <c r="F170" i="23"/>
  <c r="AA143" i="23"/>
  <c r="X143" i="23"/>
  <c r="N143" i="23"/>
  <c r="K143" i="23"/>
  <c r="I143" i="23"/>
  <c r="F143" i="23"/>
  <c r="AA25" i="23"/>
  <c r="X25" i="23"/>
  <c r="N25" i="23"/>
  <c r="K25" i="23"/>
  <c r="I25" i="23"/>
  <c r="F25" i="23"/>
  <c r="X119" i="23"/>
  <c r="N119" i="23"/>
  <c r="K119" i="23"/>
  <c r="I119" i="23"/>
  <c r="F119" i="23"/>
  <c r="AA154" i="23"/>
  <c r="X154" i="23"/>
  <c r="N154" i="23"/>
  <c r="K154" i="23"/>
  <c r="I154" i="23"/>
  <c r="F154" i="23"/>
  <c r="AA166" i="23"/>
  <c r="X166" i="23"/>
  <c r="N166" i="23"/>
  <c r="K166" i="23"/>
  <c r="I166" i="23"/>
  <c r="F166" i="23"/>
  <c r="AA16" i="23"/>
  <c r="X16" i="23"/>
  <c r="N16" i="23"/>
  <c r="K16" i="23"/>
  <c r="I16" i="23"/>
  <c r="F16" i="23"/>
  <c r="AA26" i="23"/>
  <c r="X26" i="23"/>
  <c r="N26" i="23"/>
  <c r="K26" i="23"/>
  <c r="I26" i="23"/>
  <c r="F26" i="23"/>
  <c r="AA15" i="23"/>
  <c r="X15" i="23"/>
  <c r="N15" i="23"/>
  <c r="K15" i="23"/>
  <c r="I15" i="23"/>
  <c r="F15" i="23"/>
  <c r="X10" i="23"/>
  <c r="N10" i="23"/>
  <c r="K10" i="23"/>
  <c r="I10" i="23"/>
  <c r="F10" i="23"/>
  <c r="AA11" i="23"/>
  <c r="X11" i="23"/>
  <c r="N11" i="23"/>
  <c r="K11" i="23"/>
  <c r="I11" i="23"/>
  <c r="F11" i="23"/>
  <c r="AA61" i="23"/>
  <c r="X61" i="23"/>
  <c r="N61" i="23"/>
  <c r="K61" i="23"/>
  <c r="I61" i="23"/>
  <c r="F61" i="23"/>
  <c r="AA12" i="23"/>
  <c r="X12" i="23"/>
  <c r="N12" i="23"/>
  <c r="K12" i="23"/>
  <c r="I12" i="23"/>
  <c r="F12" i="23"/>
  <c r="X85" i="23"/>
  <c r="N85" i="23"/>
  <c r="K85" i="23"/>
  <c r="I85" i="23"/>
  <c r="F85" i="23"/>
  <c r="AA56" i="23"/>
  <c r="X56" i="23"/>
  <c r="N56" i="23"/>
  <c r="K56" i="23"/>
  <c r="I56" i="23"/>
  <c r="F56" i="23"/>
  <c r="AA35" i="23"/>
  <c r="X35" i="23"/>
  <c r="N35" i="23"/>
  <c r="K35" i="23"/>
  <c r="I35" i="23"/>
  <c r="F35" i="23"/>
  <c r="AA14" i="23"/>
  <c r="X14" i="23"/>
  <c r="N14" i="23"/>
  <c r="K14" i="23"/>
  <c r="I14" i="23"/>
  <c r="F14" i="23"/>
  <c r="AA13" i="23"/>
  <c r="X13" i="23"/>
  <c r="N13" i="23"/>
  <c r="K13" i="23"/>
  <c r="I13" i="23"/>
  <c r="F13" i="23"/>
  <c r="AA69" i="23"/>
  <c r="X69" i="23"/>
  <c r="N69" i="23"/>
  <c r="K69" i="23"/>
  <c r="I69" i="23"/>
  <c r="F69" i="23"/>
  <c r="X24" i="23"/>
  <c r="N24" i="23"/>
  <c r="K24" i="23"/>
  <c r="I24" i="23"/>
  <c r="F24" i="23"/>
  <c r="X45" i="23"/>
  <c r="N45" i="23"/>
  <c r="I45" i="23"/>
  <c r="F45" i="23"/>
  <c r="X141" i="23"/>
  <c r="N141" i="23"/>
  <c r="I141" i="23"/>
  <c r="F141" i="23"/>
  <c r="X52" i="23"/>
  <c r="N52" i="23"/>
  <c r="I52" i="23"/>
  <c r="F52" i="23"/>
  <c r="X46" i="23"/>
  <c r="N46" i="23"/>
  <c r="I46" i="23"/>
  <c r="F46" i="23"/>
  <c r="X57" i="23"/>
  <c r="N57" i="23"/>
  <c r="I57" i="23"/>
  <c r="F57" i="23"/>
  <c r="AB25" i="23" l="1"/>
  <c r="AB61" i="23"/>
  <c r="AB10" i="23"/>
  <c r="AB11" i="23"/>
  <c r="AB26" i="23"/>
  <c r="AB45" i="23"/>
  <c r="AB69" i="23"/>
  <c r="AB14" i="23"/>
  <c r="AB56" i="23"/>
  <c r="AB12" i="23"/>
  <c r="AB166" i="23"/>
  <c r="AB119" i="23"/>
  <c r="AB143" i="23"/>
  <c r="AB170" i="23"/>
  <c r="AB85" i="23"/>
  <c r="AB16" i="23"/>
  <c r="AB57" i="23"/>
  <c r="AB46" i="23"/>
  <c r="AB52" i="23"/>
  <c r="AB141" i="23"/>
  <c r="AB24" i="23"/>
  <c r="AB13" i="23"/>
  <c r="AB35" i="23"/>
  <c r="AB15" i="23"/>
  <c r="AB154" i="23"/>
  <c r="F35" i="21"/>
  <c r="AA35" i="21"/>
  <c r="X35" i="21"/>
  <c r="N35" i="21"/>
  <c r="K35" i="21"/>
  <c r="I35" i="21"/>
  <c r="AB35" i="21" l="1"/>
  <c r="AA102" i="21" l="1"/>
  <c r="X102" i="21"/>
  <c r="N102" i="21"/>
  <c r="K102" i="21"/>
  <c r="I102" i="21"/>
  <c r="F102" i="21"/>
  <c r="AA94" i="21"/>
  <c r="X94" i="21"/>
  <c r="N94" i="21"/>
  <c r="K94" i="21"/>
  <c r="I94" i="21"/>
  <c r="F94" i="21"/>
  <c r="AA54" i="21"/>
  <c r="X54" i="21"/>
  <c r="N54" i="21"/>
  <c r="K54" i="21"/>
  <c r="I54" i="21"/>
  <c r="F54" i="21"/>
  <c r="AA87" i="21"/>
  <c r="X87" i="21"/>
  <c r="N87" i="21"/>
  <c r="K87" i="21"/>
  <c r="I87" i="21"/>
  <c r="F87" i="21"/>
  <c r="AA34" i="21"/>
  <c r="X34" i="21"/>
  <c r="N34" i="21"/>
  <c r="K34" i="21"/>
  <c r="I34" i="21"/>
  <c r="F34" i="21"/>
  <c r="AA20" i="21"/>
  <c r="X20" i="21"/>
  <c r="N20" i="21"/>
  <c r="K20" i="21"/>
  <c r="I20" i="21"/>
  <c r="F20" i="21"/>
  <c r="AA83" i="21"/>
  <c r="X83" i="21"/>
  <c r="N83" i="21"/>
  <c r="K83" i="21"/>
  <c r="I83" i="21"/>
  <c r="F83" i="21"/>
  <c r="AA42" i="21"/>
  <c r="X42" i="21"/>
  <c r="N42" i="21"/>
  <c r="K42" i="21"/>
  <c r="I42" i="21"/>
  <c r="F42" i="21"/>
  <c r="AA99" i="21"/>
  <c r="X99" i="21"/>
  <c r="N99" i="21"/>
  <c r="K99" i="21"/>
  <c r="I99" i="21"/>
  <c r="F99" i="21"/>
  <c r="AA95" i="21"/>
  <c r="X95" i="21"/>
  <c r="N95" i="21"/>
  <c r="K95" i="21"/>
  <c r="I95" i="21"/>
  <c r="F95" i="21"/>
  <c r="AA105" i="21"/>
  <c r="X105" i="21"/>
  <c r="N105" i="21"/>
  <c r="K105" i="21"/>
  <c r="I105" i="21"/>
  <c r="F105" i="21"/>
  <c r="AB87" i="21" l="1"/>
  <c r="AB105" i="21"/>
  <c r="AB99" i="21"/>
  <c r="AB20" i="21"/>
  <c r="AB94" i="21"/>
  <c r="AB95" i="21"/>
  <c r="AB42" i="21"/>
  <c r="AB83" i="21"/>
  <c r="AB34" i="21"/>
  <c r="AB54" i="21"/>
  <c r="AB102" i="21"/>
  <c r="AA81" i="21" l="1"/>
  <c r="X81" i="21"/>
  <c r="N81" i="21"/>
  <c r="K81" i="21"/>
  <c r="I81" i="21"/>
  <c r="F81" i="21"/>
  <c r="AA93" i="21"/>
  <c r="X93" i="21"/>
  <c r="N93" i="21"/>
  <c r="K93" i="21"/>
  <c r="I93" i="21"/>
  <c r="F93" i="21"/>
  <c r="AA96" i="21"/>
  <c r="X96" i="21"/>
  <c r="N96" i="21"/>
  <c r="K96" i="21"/>
  <c r="I96" i="21"/>
  <c r="F96" i="21"/>
  <c r="AA91" i="21"/>
  <c r="X91" i="21"/>
  <c r="N91" i="21"/>
  <c r="K91" i="21"/>
  <c r="I91" i="21"/>
  <c r="F91" i="21"/>
  <c r="AA76" i="21"/>
  <c r="X76" i="21"/>
  <c r="N76" i="21"/>
  <c r="K76" i="21"/>
  <c r="I76" i="21"/>
  <c r="F76" i="21"/>
  <c r="AA79" i="21"/>
  <c r="X79" i="21"/>
  <c r="N79" i="21"/>
  <c r="K79" i="21"/>
  <c r="I79" i="21"/>
  <c r="F79" i="21"/>
  <c r="AA90" i="21"/>
  <c r="X90" i="21"/>
  <c r="N90" i="21"/>
  <c r="K90" i="21"/>
  <c r="I90" i="21"/>
  <c r="F90" i="21"/>
  <c r="AA97" i="21"/>
  <c r="X97" i="21"/>
  <c r="N97" i="21"/>
  <c r="K97" i="21"/>
  <c r="I97" i="21"/>
  <c r="F97" i="21"/>
  <c r="AA88" i="21"/>
  <c r="X88" i="21"/>
  <c r="N88" i="21"/>
  <c r="K88" i="21"/>
  <c r="AB88" i="21" s="1"/>
  <c r="I88" i="21"/>
  <c r="F88" i="21"/>
  <c r="AA89" i="21"/>
  <c r="X89" i="21"/>
  <c r="N89" i="21"/>
  <c r="K89" i="21"/>
  <c r="I89" i="21"/>
  <c r="F89" i="21"/>
  <c r="AA82" i="21"/>
  <c r="X82" i="21"/>
  <c r="N82" i="21"/>
  <c r="K82" i="21"/>
  <c r="I82" i="21"/>
  <c r="F82" i="21"/>
  <c r="AA106" i="21"/>
  <c r="X106" i="21"/>
  <c r="N106" i="21"/>
  <c r="K106" i="21"/>
  <c r="I106" i="21"/>
  <c r="F106" i="21"/>
  <c r="AA104" i="21"/>
  <c r="X104" i="21"/>
  <c r="N104" i="21"/>
  <c r="K104" i="21"/>
  <c r="I104" i="21"/>
  <c r="F104" i="21"/>
  <c r="AB76" i="21" l="1"/>
  <c r="AB89" i="21"/>
  <c r="AB97" i="21"/>
  <c r="AB79" i="21"/>
  <c r="AB91" i="21"/>
  <c r="AB93" i="21"/>
  <c r="AB82" i="21"/>
  <c r="AB96" i="21"/>
  <c r="AB81" i="21"/>
  <c r="AB90" i="21"/>
  <c r="AB104" i="21"/>
  <c r="AB106" i="21"/>
  <c r="F21" i="21" l="1"/>
  <c r="I21" i="21"/>
  <c r="N21" i="21"/>
  <c r="S21" i="21"/>
  <c r="X21" i="21"/>
  <c r="AA21" i="21"/>
  <c r="F15" i="21"/>
  <c r="I15" i="21"/>
  <c r="N15" i="21"/>
  <c r="S15" i="21"/>
  <c r="X15" i="21"/>
  <c r="AA15" i="21"/>
  <c r="F16" i="21"/>
  <c r="I16" i="21"/>
  <c r="N16" i="21"/>
  <c r="S16" i="21"/>
  <c r="X16" i="21"/>
  <c r="AA16" i="21"/>
  <c r="AB15" i="21" l="1"/>
  <c r="AB21" i="21"/>
  <c r="AB16" i="21"/>
  <c r="S2" i="30" l="1"/>
  <c r="S3" i="30"/>
  <c r="S4" i="30"/>
  <c r="S5" i="30"/>
  <c r="S6" i="30"/>
  <c r="S7" i="30"/>
  <c r="S8" i="30"/>
  <c r="S9" i="30"/>
  <c r="S10" i="30"/>
  <c r="S11" i="30"/>
  <c r="S12" i="30"/>
  <c r="S13" i="30"/>
  <c r="S14" i="30"/>
  <c r="S15" i="30"/>
  <c r="S16" i="30"/>
  <c r="S17" i="30"/>
  <c r="S18" i="30"/>
  <c r="S19" i="30"/>
  <c r="S20" i="30"/>
  <c r="S21" i="30"/>
  <c r="S22" i="30"/>
  <c r="S23" i="30"/>
  <c r="S24" i="30"/>
  <c r="S25" i="30"/>
  <c r="S26" i="30"/>
  <c r="S27" i="30"/>
  <c r="S28" i="30"/>
  <c r="S29" i="30"/>
  <c r="S30" i="30"/>
  <c r="S31" i="30"/>
  <c r="S32" i="30"/>
  <c r="S33" i="30"/>
  <c r="S34" i="30"/>
  <c r="S35" i="30"/>
  <c r="S36" i="30"/>
  <c r="S37" i="30"/>
  <c r="S38" i="30"/>
  <c r="S39" i="30"/>
  <c r="S40" i="30"/>
  <c r="S41" i="30"/>
  <c r="S42" i="30"/>
  <c r="S43" i="30"/>
  <c r="S44" i="30"/>
  <c r="S45" i="30"/>
  <c r="S46" i="30"/>
  <c r="S47" i="30"/>
  <c r="S48" i="30"/>
  <c r="S49" i="30"/>
  <c r="S50" i="30"/>
  <c r="S51" i="30"/>
  <c r="S52" i="30"/>
  <c r="S53" i="30"/>
  <c r="S54" i="30"/>
  <c r="S55" i="30"/>
  <c r="S56" i="30"/>
  <c r="S57" i="30"/>
  <c r="S58" i="30"/>
  <c r="S59" i="30"/>
  <c r="S60" i="30"/>
  <c r="S61" i="30"/>
  <c r="S62" i="30"/>
  <c r="S63" i="30"/>
  <c r="S64" i="30"/>
  <c r="S65" i="30"/>
  <c r="S66" i="30"/>
  <c r="S67" i="30"/>
  <c r="S68" i="30"/>
  <c r="S69" i="30"/>
  <c r="S70" i="30"/>
  <c r="S71" i="30"/>
  <c r="S72" i="30"/>
  <c r="S73" i="30"/>
  <c r="S74" i="30"/>
  <c r="S75" i="30"/>
  <c r="S76" i="30"/>
  <c r="S77" i="30"/>
  <c r="S78" i="30"/>
  <c r="S79" i="30"/>
  <c r="S80" i="30"/>
  <c r="S81" i="30"/>
  <c r="S82" i="30"/>
  <c r="S83" i="30"/>
  <c r="S84" i="30"/>
  <c r="S85" i="30"/>
  <c r="S86" i="30"/>
  <c r="S87" i="30"/>
  <c r="S88" i="30"/>
  <c r="S89" i="30"/>
  <c r="S90" i="30"/>
  <c r="S91" i="30"/>
  <c r="S92" i="30"/>
  <c r="S93" i="30"/>
  <c r="S94" i="30"/>
  <c r="S95" i="30"/>
  <c r="S96" i="30"/>
  <c r="S97" i="30"/>
  <c r="S98" i="30"/>
  <c r="S99" i="30"/>
  <c r="S100" i="30"/>
  <c r="S101" i="30"/>
  <c r="S102" i="30"/>
  <c r="S103" i="30"/>
  <c r="S104" i="30"/>
  <c r="S105" i="30"/>
  <c r="S106" i="30"/>
  <c r="AA106" i="30"/>
  <c r="X106" i="30"/>
  <c r="N106" i="30"/>
  <c r="I106" i="30"/>
  <c r="AB106" i="30" s="1"/>
  <c r="F106" i="30"/>
  <c r="AA105" i="30"/>
  <c r="X105" i="30"/>
  <c r="N105" i="30"/>
  <c r="I105" i="30"/>
  <c r="F105" i="30"/>
  <c r="AA104" i="30"/>
  <c r="X104" i="30"/>
  <c r="N104" i="30"/>
  <c r="I104" i="30"/>
  <c r="F104" i="30"/>
  <c r="AA103" i="30"/>
  <c r="X103" i="30"/>
  <c r="N103" i="30"/>
  <c r="I103" i="30"/>
  <c r="F103" i="30"/>
  <c r="AA102" i="30"/>
  <c r="X102" i="30"/>
  <c r="N102" i="30"/>
  <c r="I102" i="30"/>
  <c r="AB102" i="30" s="1"/>
  <c r="F102" i="30"/>
  <c r="AA101" i="30"/>
  <c r="X101" i="30"/>
  <c r="N101" i="30"/>
  <c r="I101" i="30"/>
  <c r="F101" i="30"/>
  <c r="AA100" i="30"/>
  <c r="X100" i="30"/>
  <c r="N100" i="30"/>
  <c r="I100" i="30"/>
  <c r="F100" i="30"/>
  <c r="AA99" i="30"/>
  <c r="X99" i="30"/>
  <c r="N99" i="30"/>
  <c r="I99" i="30"/>
  <c r="F99" i="30"/>
  <c r="AA98" i="30"/>
  <c r="X98" i="30"/>
  <c r="N98" i="30"/>
  <c r="I98" i="30"/>
  <c r="AB98" i="30" s="1"/>
  <c r="F98" i="30"/>
  <c r="AA97" i="30"/>
  <c r="X97" i="30"/>
  <c r="N97" i="30"/>
  <c r="I97" i="30"/>
  <c r="F97" i="30"/>
  <c r="AA96" i="30"/>
  <c r="X96" i="30"/>
  <c r="N96" i="30"/>
  <c r="I96" i="30"/>
  <c r="F96" i="30"/>
  <c r="AA95" i="30"/>
  <c r="X95" i="30"/>
  <c r="N95" i="30"/>
  <c r="I95" i="30"/>
  <c r="F95" i="30"/>
  <c r="AA94" i="30"/>
  <c r="X94" i="30"/>
  <c r="N94" i="30"/>
  <c r="I94" i="30"/>
  <c r="AB94" i="30" s="1"/>
  <c r="F94" i="30"/>
  <c r="AA93" i="30"/>
  <c r="X93" i="30"/>
  <c r="N93" i="30"/>
  <c r="I93" i="30"/>
  <c r="F93" i="30"/>
  <c r="AA92" i="30"/>
  <c r="X92" i="30"/>
  <c r="N92" i="30"/>
  <c r="I92" i="30"/>
  <c r="F92" i="30"/>
  <c r="AA91" i="30"/>
  <c r="X91" i="30"/>
  <c r="N91" i="30"/>
  <c r="I91" i="30"/>
  <c r="F91" i="30"/>
  <c r="AA90" i="30"/>
  <c r="X90" i="30"/>
  <c r="N90" i="30"/>
  <c r="I90" i="30"/>
  <c r="AB90" i="30" s="1"/>
  <c r="F90" i="30"/>
  <c r="AA89" i="30"/>
  <c r="X89" i="30"/>
  <c r="N89" i="30"/>
  <c r="I89" i="30"/>
  <c r="F89" i="30"/>
  <c r="AA88" i="30"/>
  <c r="X88" i="30"/>
  <c r="N88" i="30"/>
  <c r="I88" i="30"/>
  <c r="F88" i="30"/>
  <c r="AA87" i="30"/>
  <c r="X87" i="30"/>
  <c r="N87" i="30"/>
  <c r="I87" i="30"/>
  <c r="F87" i="30"/>
  <c r="AA86" i="30"/>
  <c r="X86" i="30"/>
  <c r="N86" i="30"/>
  <c r="I86" i="30"/>
  <c r="AB86" i="30" s="1"/>
  <c r="F86" i="30"/>
  <c r="AA85" i="30"/>
  <c r="X85" i="30"/>
  <c r="N85" i="30"/>
  <c r="I85" i="30"/>
  <c r="F85" i="30"/>
  <c r="AA84" i="30"/>
  <c r="X84" i="30"/>
  <c r="N84" i="30"/>
  <c r="I84" i="30"/>
  <c r="F84" i="30"/>
  <c r="AA83" i="30"/>
  <c r="X83" i="30"/>
  <c r="N83" i="30"/>
  <c r="I83" i="30"/>
  <c r="F83" i="30"/>
  <c r="AA82" i="30"/>
  <c r="X82" i="30"/>
  <c r="N82" i="30"/>
  <c r="I82" i="30"/>
  <c r="AB82" i="30" s="1"/>
  <c r="F82" i="30"/>
  <c r="AA81" i="30"/>
  <c r="X81" i="30"/>
  <c r="N81" i="30"/>
  <c r="I81" i="30"/>
  <c r="F81" i="30"/>
  <c r="AA80" i="30"/>
  <c r="X80" i="30"/>
  <c r="N80" i="30"/>
  <c r="I80" i="30"/>
  <c r="F80" i="30"/>
  <c r="AA79" i="30"/>
  <c r="X79" i="30"/>
  <c r="N79" i="30"/>
  <c r="I79" i="30"/>
  <c r="F79" i="30"/>
  <c r="AA78" i="30"/>
  <c r="X78" i="30"/>
  <c r="N78" i="30"/>
  <c r="I78" i="30"/>
  <c r="AB78" i="30" s="1"/>
  <c r="F78" i="30"/>
  <c r="AA77" i="30"/>
  <c r="X77" i="30"/>
  <c r="N77" i="30"/>
  <c r="I77" i="30"/>
  <c r="F77" i="30"/>
  <c r="AA76" i="30"/>
  <c r="X76" i="30"/>
  <c r="N76" i="30"/>
  <c r="I76" i="30"/>
  <c r="F76" i="30"/>
  <c r="AA75" i="30"/>
  <c r="X75" i="30"/>
  <c r="N75" i="30"/>
  <c r="I75" i="30"/>
  <c r="F75" i="30"/>
  <c r="AA74" i="30"/>
  <c r="X74" i="30"/>
  <c r="N74" i="30"/>
  <c r="I74" i="30"/>
  <c r="AB74" i="30" s="1"/>
  <c r="F74" i="30"/>
  <c r="AA73" i="30"/>
  <c r="X73" i="30"/>
  <c r="N73" i="30"/>
  <c r="I73" i="30"/>
  <c r="F73" i="30"/>
  <c r="AA72" i="30"/>
  <c r="X72" i="30"/>
  <c r="N72" i="30"/>
  <c r="I72" i="30"/>
  <c r="F72" i="30"/>
  <c r="AA71" i="30"/>
  <c r="X71" i="30"/>
  <c r="N71" i="30"/>
  <c r="I71" i="30"/>
  <c r="F71" i="30"/>
  <c r="AA70" i="30"/>
  <c r="X70" i="30"/>
  <c r="N70" i="30"/>
  <c r="I70" i="30"/>
  <c r="AB70" i="30" s="1"/>
  <c r="F70" i="30"/>
  <c r="AA69" i="30"/>
  <c r="X69" i="30"/>
  <c r="N69" i="30"/>
  <c r="I69" i="30"/>
  <c r="F69" i="30"/>
  <c r="AA68" i="30"/>
  <c r="X68" i="30"/>
  <c r="N68" i="30"/>
  <c r="I68" i="30"/>
  <c r="F68" i="30"/>
  <c r="AA67" i="30"/>
  <c r="X67" i="30"/>
  <c r="N67" i="30"/>
  <c r="I67" i="30"/>
  <c r="F67" i="30"/>
  <c r="AA66" i="30"/>
  <c r="X66" i="30"/>
  <c r="N66" i="30"/>
  <c r="I66" i="30"/>
  <c r="AB66" i="30" s="1"/>
  <c r="F66" i="30"/>
  <c r="AA65" i="30"/>
  <c r="X65" i="30"/>
  <c r="N65" i="30"/>
  <c r="I65" i="30"/>
  <c r="F65" i="30"/>
  <c r="AA64" i="30"/>
  <c r="X64" i="30"/>
  <c r="N64" i="30"/>
  <c r="I64" i="30"/>
  <c r="F64" i="30"/>
  <c r="AA63" i="30"/>
  <c r="X63" i="30"/>
  <c r="N63" i="30"/>
  <c r="I63" i="30"/>
  <c r="F63" i="30"/>
  <c r="AA62" i="30"/>
  <c r="X62" i="30"/>
  <c r="N62" i="30"/>
  <c r="I62" i="30"/>
  <c r="AB62" i="30" s="1"/>
  <c r="F62" i="30"/>
  <c r="AA61" i="30"/>
  <c r="X61" i="30"/>
  <c r="N61" i="30"/>
  <c r="I61" i="30"/>
  <c r="F61" i="30"/>
  <c r="AA60" i="30"/>
  <c r="X60" i="30"/>
  <c r="N60" i="30"/>
  <c r="I60" i="30"/>
  <c r="F60" i="30"/>
  <c r="AA59" i="30"/>
  <c r="X59" i="30"/>
  <c r="N59" i="30"/>
  <c r="I59" i="30"/>
  <c r="F59" i="30"/>
  <c r="AA58" i="30"/>
  <c r="X58" i="30"/>
  <c r="N58" i="30"/>
  <c r="I58" i="30"/>
  <c r="AB58" i="30" s="1"/>
  <c r="F58" i="30"/>
  <c r="AA57" i="30"/>
  <c r="X57" i="30"/>
  <c r="N57" i="30"/>
  <c r="I57" i="30"/>
  <c r="F57" i="30"/>
  <c r="AA56" i="30"/>
  <c r="X56" i="30"/>
  <c r="N56" i="30"/>
  <c r="I56" i="30"/>
  <c r="F56" i="30"/>
  <c r="AA55" i="30"/>
  <c r="X55" i="30"/>
  <c r="N55" i="30"/>
  <c r="I55" i="30"/>
  <c r="F55" i="30"/>
  <c r="AA54" i="30"/>
  <c r="X54" i="30"/>
  <c r="N54" i="30"/>
  <c r="I54" i="30"/>
  <c r="AB54" i="30" s="1"/>
  <c r="F54" i="30"/>
  <c r="AA53" i="30"/>
  <c r="X53" i="30"/>
  <c r="N53" i="30"/>
  <c r="I53" i="30"/>
  <c r="F53" i="30"/>
  <c r="AA52" i="30"/>
  <c r="X52" i="30"/>
  <c r="N52" i="30"/>
  <c r="I52" i="30"/>
  <c r="F52" i="30"/>
  <c r="AA51" i="30"/>
  <c r="X51" i="30"/>
  <c r="N51" i="30"/>
  <c r="I51" i="30"/>
  <c r="F51" i="30"/>
  <c r="AA50" i="30"/>
  <c r="X50" i="30"/>
  <c r="N50" i="30"/>
  <c r="I50" i="30"/>
  <c r="AB50" i="30" s="1"/>
  <c r="F50" i="30"/>
  <c r="AA49" i="30"/>
  <c r="X49" i="30"/>
  <c r="N49" i="30"/>
  <c r="I49" i="30"/>
  <c r="F49" i="30"/>
  <c r="AA48" i="30"/>
  <c r="X48" i="30"/>
  <c r="N48" i="30"/>
  <c r="I48" i="30"/>
  <c r="F48" i="30"/>
  <c r="AA47" i="30"/>
  <c r="X47" i="30"/>
  <c r="N47" i="30"/>
  <c r="I47" i="30"/>
  <c r="F47" i="30"/>
  <c r="AA46" i="30"/>
  <c r="X46" i="30"/>
  <c r="N46" i="30"/>
  <c r="I46" i="30"/>
  <c r="AB46" i="30" s="1"/>
  <c r="F46" i="30"/>
  <c r="AA45" i="30"/>
  <c r="X45" i="30"/>
  <c r="N45" i="30"/>
  <c r="I45" i="30"/>
  <c r="F45" i="30"/>
  <c r="AA44" i="30"/>
  <c r="X44" i="30"/>
  <c r="N44" i="30"/>
  <c r="I44" i="30"/>
  <c r="F44" i="30"/>
  <c r="AA43" i="30"/>
  <c r="X43" i="30"/>
  <c r="N43" i="30"/>
  <c r="I43" i="30"/>
  <c r="F43" i="30"/>
  <c r="AA42" i="30"/>
  <c r="X42" i="30"/>
  <c r="N42" i="30"/>
  <c r="I42" i="30"/>
  <c r="AB42" i="30" s="1"/>
  <c r="F42" i="30"/>
  <c r="AA41" i="30"/>
  <c r="X41" i="30"/>
  <c r="N41" i="30"/>
  <c r="I41" i="30"/>
  <c r="F41" i="30"/>
  <c r="AA40" i="30"/>
  <c r="X40" i="30"/>
  <c r="N40" i="30"/>
  <c r="I40" i="30"/>
  <c r="F40" i="30"/>
  <c r="AA39" i="30"/>
  <c r="X39" i="30"/>
  <c r="N39" i="30"/>
  <c r="I39" i="30"/>
  <c r="F39" i="30"/>
  <c r="AA38" i="30"/>
  <c r="X38" i="30"/>
  <c r="N38" i="30"/>
  <c r="I38" i="30"/>
  <c r="AB38" i="30" s="1"/>
  <c r="F38" i="30"/>
  <c r="AA37" i="30"/>
  <c r="X37" i="30"/>
  <c r="N37" i="30"/>
  <c r="I37" i="30"/>
  <c r="F37" i="30"/>
  <c r="AA36" i="30"/>
  <c r="X36" i="30"/>
  <c r="N36" i="30"/>
  <c r="I36" i="30"/>
  <c r="F36" i="30"/>
  <c r="AA35" i="30"/>
  <c r="X35" i="30"/>
  <c r="N35" i="30"/>
  <c r="I35" i="30"/>
  <c r="F35" i="30"/>
  <c r="AA34" i="30"/>
  <c r="X34" i="30"/>
  <c r="N34" i="30"/>
  <c r="I34" i="30"/>
  <c r="AB34" i="30" s="1"/>
  <c r="F34" i="30"/>
  <c r="AA33" i="30"/>
  <c r="X33" i="30"/>
  <c r="N33" i="30"/>
  <c r="I33" i="30"/>
  <c r="F33" i="30"/>
  <c r="AA32" i="30"/>
  <c r="X32" i="30"/>
  <c r="N32" i="30"/>
  <c r="I32" i="30"/>
  <c r="F32" i="30"/>
  <c r="AA31" i="30"/>
  <c r="X31" i="30"/>
  <c r="N31" i="30"/>
  <c r="I31" i="30"/>
  <c r="F31" i="30"/>
  <c r="AA30" i="30"/>
  <c r="X30" i="30"/>
  <c r="N30" i="30"/>
  <c r="I30" i="30"/>
  <c r="AB30" i="30" s="1"/>
  <c r="F30" i="30"/>
  <c r="AA29" i="30"/>
  <c r="X29" i="30"/>
  <c r="N29" i="30"/>
  <c r="I29" i="30"/>
  <c r="F29" i="30"/>
  <c r="AA28" i="30"/>
  <c r="X28" i="30"/>
  <c r="N28" i="30"/>
  <c r="I28" i="30"/>
  <c r="F28" i="30"/>
  <c r="AA27" i="30"/>
  <c r="X27" i="30"/>
  <c r="N27" i="30"/>
  <c r="I27" i="30"/>
  <c r="F27" i="30"/>
  <c r="AA26" i="30"/>
  <c r="X26" i="30"/>
  <c r="N26" i="30"/>
  <c r="I26" i="30"/>
  <c r="AB26" i="30" s="1"/>
  <c r="F26" i="30"/>
  <c r="AA25" i="30"/>
  <c r="X25" i="30"/>
  <c r="N25" i="30"/>
  <c r="I25" i="30"/>
  <c r="F25" i="30"/>
  <c r="AA24" i="30"/>
  <c r="X24" i="30"/>
  <c r="N24" i="30"/>
  <c r="I24" i="30"/>
  <c r="F24" i="30"/>
  <c r="AA23" i="30"/>
  <c r="X23" i="30"/>
  <c r="N23" i="30"/>
  <c r="I23" i="30"/>
  <c r="F23" i="30"/>
  <c r="AA22" i="30"/>
  <c r="X22" i="30"/>
  <c r="N22" i="30"/>
  <c r="I22" i="30"/>
  <c r="AB22" i="30" s="1"/>
  <c r="F22" i="30"/>
  <c r="AA21" i="30"/>
  <c r="X21" i="30"/>
  <c r="N21" i="30"/>
  <c r="I21" i="30"/>
  <c r="F21" i="30"/>
  <c r="AA20" i="30"/>
  <c r="X20" i="30"/>
  <c r="N20" i="30"/>
  <c r="I20" i="30"/>
  <c r="F20" i="30"/>
  <c r="AA19" i="30"/>
  <c r="X19" i="30"/>
  <c r="N19" i="30"/>
  <c r="I19" i="30"/>
  <c r="F19" i="30"/>
  <c r="AA18" i="30"/>
  <c r="X18" i="30"/>
  <c r="N18" i="30"/>
  <c r="I18" i="30"/>
  <c r="AB18" i="30" s="1"/>
  <c r="F18" i="30"/>
  <c r="AA17" i="30"/>
  <c r="X17" i="30"/>
  <c r="N17" i="30"/>
  <c r="I17" i="30"/>
  <c r="F17" i="30"/>
  <c r="AA16" i="30"/>
  <c r="X16" i="30"/>
  <c r="N16" i="30"/>
  <c r="I16" i="30"/>
  <c r="F16" i="30"/>
  <c r="AA15" i="30"/>
  <c r="X15" i="30"/>
  <c r="N15" i="30"/>
  <c r="I15" i="30"/>
  <c r="F15" i="30"/>
  <c r="AA14" i="30"/>
  <c r="X14" i="30"/>
  <c r="N14" i="30"/>
  <c r="I14" i="30"/>
  <c r="AB14" i="30" s="1"/>
  <c r="F14" i="30"/>
  <c r="AA13" i="30"/>
  <c r="X13" i="30"/>
  <c r="N13" i="30"/>
  <c r="I13" i="30"/>
  <c r="F13" i="30"/>
  <c r="AA12" i="30"/>
  <c r="X12" i="30"/>
  <c r="N12" i="30"/>
  <c r="I12" i="30"/>
  <c r="F12" i="30"/>
  <c r="AA11" i="30"/>
  <c r="X11" i="30"/>
  <c r="N11" i="30"/>
  <c r="I11" i="30"/>
  <c r="F11" i="30"/>
  <c r="AA10" i="30"/>
  <c r="X10" i="30"/>
  <c r="N10" i="30"/>
  <c r="I10" i="30"/>
  <c r="AB10" i="30" s="1"/>
  <c r="F10" i="30"/>
  <c r="AA9" i="30"/>
  <c r="X9" i="30"/>
  <c r="N9" i="30"/>
  <c r="I9" i="30"/>
  <c r="F9" i="30"/>
  <c r="AA8" i="30"/>
  <c r="X8" i="30"/>
  <c r="N8" i="30"/>
  <c r="I8" i="30"/>
  <c r="F8" i="30"/>
  <c r="AA7" i="30"/>
  <c r="X7" i="30"/>
  <c r="N7" i="30"/>
  <c r="I7" i="30"/>
  <c r="F7" i="30"/>
  <c r="AA6" i="30"/>
  <c r="X6" i="30"/>
  <c r="N6" i="30"/>
  <c r="I6" i="30"/>
  <c r="AB6" i="30" s="1"/>
  <c r="F6" i="30"/>
  <c r="AA5" i="30"/>
  <c r="X5" i="30"/>
  <c r="N5" i="30"/>
  <c r="I5" i="30"/>
  <c r="F5" i="30"/>
  <c r="AA4" i="30"/>
  <c r="X4" i="30"/>
  <c r="N4" i="30"/>
  <c r="I4" i="30"/>
  <c r="F4" i="30"/>
  <c r="AA3" i="30"/>
  <c r="X3" i="30"/>
  <c r="N3" i="30"/>
  <c r="I3" i="30"/>
  <c r="F3" i="30"/>
  <c r="AA2" i="30"/>
  <c r="X2" i="30"/>
  <c r="N2" i="30"/>
  <c r="I2" i="30"/>
  <c r="AB2" i="30" s="1"/>
  <c r="F2" i="30"/>
  <c r="AA109" i="29"/>
  <c r="X109" i="29"/>
  <c r="N109" i="29"/>
  <c r="I109" i="29"/>
  <c r="AB109" i="29" s="1"/>
  <c r="F109" i="29"/>
  <c r="AA108" i="29"/>
  <c r="X108" i="29"/>
  <c r="N108" i="29"/>
  <c r="I108" i="29"/>
  <c r="AB108" i="29" s="1"/>
  <c r="F108" i="29"/>
  <c r="AA107" i="29"/>
  <c r="X107" i="29"/>
  <c r="N107" i="29"/>
  <c r="I107" i="29"/>
  <c r="AB107" i="29" s="1"/>
  <c r="F107" i="29"/>
  <c r="AA106" i="29"/>
  <c r="X106" i="29"/>
  <c r="N106" i="29"/>
  <c r="I106" i="29"/>
  <c r="AB106" i="29" s="1"/>
  <c r="F106" i="29"/>
  <c r="AA105" i="29"/>
  <c r="X105" i="29"/>
  <c r="N105" i="29"/>
  <c r="I105" i="29"/>
  <c r="AB105" i="29" s="1"/>
  <c r="F105" i="29"/>
  <c r="AA104" i="29"/>
  <c r="X104" i="29"/>
  <c r="N104" i="29"/>
  <c r="I104" i="29"/>
  <c r="AB104" i="29" s="1"/>
  <c r="F104" i="29"/>
  <c r="AA103" i="29"/>
  <c r="X103" i="29"/>
  <c r="N103" i="29"/>
  <c r="I103" i="29"/>
  <c r="AB103" i="29" s="1"/>
  <c r="F103" i="29"/>
  <c r="AA102" i="29"/>
  <c r="X102" i="29"/>
  <c r="N102" i="29"/>
  <c r="I102" i="29"/>
  <c r="AB102" i="29" s="1"/>
  <c r="F102" i="29"/>
  <c r="AA101" i="29"/>
  <c r="X101" i="29"/>
  <c r="N101" i="29"/>
  <c r="I101" i="29"/>
  <c r="AB101" i="29" s="1"/>
  <c r="F101" i="29"/>
  <c r="AA100" i="29"/>
  <c r="X100" i="29"/>
  <c r="N100" i="29"/>
  <c r="I100" i="29"/>
  <c r="AB100" i="29" s="1"/>
  <c r="F100" i="29"/>
  <c r="AA99" i="29"/>
  <c r="X99" i="29"/>
  <c r="N99" i="29"/>
  <c r="I99" i="29"/>
  <c r="AB99" i="29" s="1"/>
  <c r="F99" i="29"/>
  <c r="AA98" i="29"/>
  <c r="X98" i="29"/>
  <c r="N98" i="29"/>
  <c r="I98" i="29"/>
  <c r="AB98" i="29" s="1"/>
  <c r="F98" i="29"/>
  <c r="AA97" i="29"/>
  <c r="X97" i="29"/>
  <c r="N97" i="29"/>
  <c r="I97" i="29"/>
  <c r="AB97" i="29" s="1"/>
  <c r="F97" i="29"/>
  <c r="AA96" i="29"/>
  <c r="X96" i="29"/>
  <c r="N96" i="29"/>
  <c r="I96" i="29"/>
  <c r="AB96" i="29" s="1"/>
  <c r="F96" i="29"/>
  <c r="AA95" i="29"/>
  <c r="X95" i="29"/>
  <c r="N95" i="29"/>
  <c r="I95" i="29"/>
  <c r="AB95" i="29" s="1"/>
  <c r="F95" i="29"/>
  <c r="AA94" i="29"/>
  <c r="X94" i="29"/>
  <c r="N94" i="29"/>
  <c r="I94" i="29"/>
  <c r="AB94" i="29" s="1"/>
  <c r="F94" i="29"/>
  <c r="AA93" i="29"/>
  <c r="X93" i="29"/>
  <c r="N93" i="29"/>
  <c r="I93" i="29"/>
  <c r="AB93" i="29" s="1"/>
  <c r="F93" i="29"/>
  <c r="AA92" i="29"/>
  <c r="X92" i="29"/>
  <c r="N92" i="29"/>
  <c r="I92" i="29"/>
  <c r="AB92" i="29" s="1"/>
  <c r="F92" i="29"/>
  <c r="AA91" i="29"/>
  <c r="X91" i="29"/>
  <c r="N91" i="29"/>
  <c r="I91" i="29"/>
  <c r="AB91" i="29" s="1"/>
  <c r="F91" i="29"/>
  <c r="AA90" i="29"/>
  <c r="X90" i="29"/>
  <c r="N90" i="29"/>
  <c r="I90" i="29"/>
  <c r="AB90" i="29" s="1"/>
  <c r="F90" i="29"/>
  <c r="AA89" i="29"/>
  <c r="X89" i="29"/>
  <c r="N89" i="29"/>
  <c r="I89" i="29"/>
  <c r="AB89" i="29" s="1"/>
  <c r="F89" i="29"/>
  <c r="AA88" i="29"/>
  <c r="X88" i="29"/>
  <c r="N88" i="29"/>
  <c r="I88" i="29"/>
  <c r="AB88" i="29" s="1"/>
  <c r="F88" i="29"/>
  <c r="AA87" i="29"/>
  <c r="X87" i="29"/>
  <c r="N87" i="29"/>
  <c r="I87" i="29"/>
  <c r="AB87" i="29" s="1"/>
  <c r="F87" i="29"/>
  <c r="AA86" i="29"/>
  <c r="X86" i="29"/>
  <c r="N86" i="29"/>
  <c r="I86" i="29"/>
  <c r="AB86" i="29" s="1"/>
  <c r="F86" i="29"/>
  <c r="AA85" i="29"/>
  <c r="X85" i="29"/>
  <c r="N85" i="29"/>
  <c r="I85" i="29"/>
  <c r="AB85" i="29" s="1"/>
  <c r="F85" i="29"/>
  <c r="AA84" i="29"/>
  <c r="X84" i="29"/>
  <c r="N84" i="29"/>
  <c r="I84" i="29"/>
  <c r="AB84" i="29" s="1"/>
  <c r="F84" i="29"/>
  <c r="AA83" i="29"/>
  <c r="X83" i="29"/>
  <c r="N83" i="29"/>
  <c r="I83" i="29"/>
  <c r="AB83" i="29" s="1"/>
  <c r="F83" i="29"/>
  <c r="AA82" i="29"/>
  <c r="X82" i="29"/>
  <c r="N82" i="29"/>
  <c r="I82" i="29"/>
  <c r="AB82" i="29" s="1"/>
  <c r="F82" i="29"/>
  <c r="AA81" i="29"/>
  <c r="X81" i="29"/>
  <c r="N81" i="29"/>
  <c r="I81" i="29"/>
  <c r="AB81" i="29" s="1"/>
  <c r="F81" i="29"/>
  <c r="AA80" i="29"/>
  <c r="X80" i="29"/>
  <c r="N80" i="29"/>
  <c r="I80" i="29"/>
  <c r="AB80" i="29" s="1"/>
  <c r="F80" i="29"/>
  <c r="AA79" i="29"/>
  <c r="X79" i="29"/>
  <c r="N79" i="29"/>
  <c r="I79" i="29"/>
  <c r="AB79" i="29" s="1"/>
  <c r="F79" i="29"/>
  <c r="AA78" i="29"/>
  <c r="X78" i="29"/>
  <c r="N78" i="29"/>
  <c r="I78" i="29"/>
  <c r="AB78" i="29" s="1"/>
  <c r="F78" i="29"/>
  <c r="AA77" i="29"/>
  <c r="X77" i="29"/>
  <c r="N77" i="29"/>
  <c r="I77" i="29"/>
  <c r="AB77" i="29" s="1"/>
  <c r="F77" i="29"/>
  <c r="AA76" i="29"/>
  <c r="X76" i="29"/>
  <c r="N76" i="29"/>
  <c r="I76" i="29"/>
  <c r="AB76" i="29" s="1"/>
  <c r="F76" i="29"/>
  <c r="AA75" i="29"/>
  <c r="X75" i="29"/>
  <c r="N75" i="29"/>
  <c r="I75" i="29"/>
  <c r="AB75" i="29" s="1"/>
  <c r="F75" i="29"/>
  <c r="AA74" i="29"/>
  <c r="X74" i="29"/>
  <c r="N74" i="29"/>
  <c r="I74" i="29"/>
  <c r="AB74" i="29" s="1"/>
  <c r="F74" i="29"/>
  <c r="AA73" i="29"/>
  <c r="X73" i="29"/>
  <c r="N73" i="29"/>
  <c r="I73" i="29"/>
  <c r="AB73" i="29" s="1"/>
  <c r="F73" i="29"/>
  <c r="AA72" i="29"/>
  <c r="X72" i="29"/>
  <c r="N72" i="29"/>
  <c r="I72" i="29"/>
  <c r="AB72" i="29" s="1"/>
  <c r="F72" i="29"/>
  <c r="AA71" i="29"/>
  <c r="X71" i="29"/>
  <c r="N71" i="29"/>
  <c r="I71" i="29"/>
  <c r="AB71" i="29" s="1"/>
  <c r="F71" i="29"/>
  <c r="AA70" i="29"/>
  <c r="X70" i="29"/>
  <c r="N70" i="29"/>
  <c r="I70" i="29"/>
  <c r="AB70" i="29" s="1"/>
  <c r="F70" i="29"/>
  <c r="AA69" i="29"/>
  <c r="X69" i="29"/>
  <c r="N69" i="29"/>
  <c r="I69" i="29"/>
  <c r="AB69" i="29" s="1"/>
  <c r="F69" i="29"/>
  <c r="AA68" i="29"/>
  <c r="X68" i="29"/>
  <c r="N68" i="29"/>
  <c r="I68" i="29"/>
  <c r="AB68" i="29" s="1"/>
  <c r="F68" i="29"/>
  <c r="AA67" i="29"/>
  <c r="X67" i="29"/>
  <c r="N67" i="29"/>
  <c r="I67" i="29"/>
  <c r="AB67" i="29" s="1"/>
  <c r="F67" i="29"/>
  <c r="AA66" i="29"/>
  <c r="X66" i="29"/>
  <c r="N66" i="29"/>
  <c r="I66" i="29"/>
  <c r="AB66" i="29" s="1"/>
  <c r="F66" i="29"/>
  <c r="AA65" i="29"/>
  <c r="X65" i="29"/>
  <c r="N65" i="29"/>
  <c r="I65" i="29"/>
  <c r="AB65" i="29" s="1"/>
  <c r="F65" i="29"/>
  <c r="AA64" i="29"/>
  <c r="X64" i="29"/>
  <c r="N64" i="29"/>
  <c r="I64" i="29"/>
  <c r="AB64" i="29" s="1"/>
  <c r="F64" i="29"/>
  <c r="AA63" i="29"/>
  <c r="X63" i="29"/>
  <c r="N63" i="29"/>
  <c r="I63" i="29"/>
  <c r="AB63" i="29" s="1"/>
  <c r="F63" i="29"/>
  <c r="AA62" i="29"/>
  <c r="X62" i="29"/>
  <c r="N62" i="29"/>
  <c r="I62" i="29"/>
  <c r="AB62" i="29" s="1"/>
  <c r="F62" i="29"/>
  <c r="AA61" i="29"/>
  <c r="X61" i="29"/>
  <c r="N61" i="29"/>
  <c r="I61" i="29"/>
  <c r="AB61" i="29" s="1"/>
  <c r="F61" i="29"/>
  <c r="AA60" i="29"/>
  <c r="X60" i="29"/>
  <c r="N60" i="29"/>
  <c r="I60" i="29"/>
  <c r="AB60" i="29" s="1"/>
  <c r="F60" i="29"/>
  <c r="AA59" i="29"/>
  <c r="X59" i="29"/>
  <c r="N59" i="29"/>
  <c r="I59" i="29"/>
  <c r="AB59" i="29" s="1"/>
  <c r="F59" i="29"/>
  <c r="AA58" i="29"/>
  <c r="X58" i="29"/>
  <c r="N58" i="29"/>
  <c r="I58" i="29"/>
  <c r="AB58" i="29" s="1"/>
  <c r="F58" i="29"/>
  <c r="AA57" i="29"/>
  <c r="X57" i="29"/>
  <c r="N57" i="29"/>
  <c r="I57" i="29"/>
  <c r="AB57" i="29" s="1"/>
  <c r="F57" i="29"/>
  <c r="AA56" i="29"/>
  <c r="X56" i="29"/>
  <c r="N56" i="29"/>
  <c r="I56" i="29"/>
  <c r="AB56" i="29" s="1"/>
  <c r="F56" i="29"/>
  <c r="AA55" i="29"/>
  <c r="X55" i="29"/>
  <c r="N55" i="29"/>
  <c r="I55" i="29"/>
  <c r="AB55" i="29" s="1"/>
  <c r="F55" i="29"/>
  <c r="AA54" i="29"/>
  <c r="X54" i="29"/>
  <c r="N54" i="29"/>
  <c r="I54" i="29"/>
  <c r="AB54" i="29" s="1"/>
  <c r="F54" i="29"/>
  <c r="AA53" i="29"/>
  <c r="X53" i="29"/>
  <c r="N53" i="29"/>
  <c r="I53" i="29"/>
  <c r="AB53" i="29" s="1"/>
  <c r="F53" i="29"/>
  <c r="AA52" i="29"/>
  <c r="X52" i="29"/>
  <c r="N52" i="29"/>
  <c r="I52" i="29"/>
  <c r="AB52" i="29" s="1"/>
  <c r="F52" i="29"/>
  <c r="AA51" i="29"/>
  <c r="X51" i="29"/>
  <c r="N51" i="29"/>
  <c r="I51" i="29"/>
  <c r="AB51" i="29" s="1"/>
  <c r="F51" i="29"/>
  <c r="AA50" i="29"/>
  <c r="X50" i="29"/>
  <c r="N50" i="29"/>
  <c r="I50" i="29"/>
  <c r="AB50" i="29" s="1"/>
  <c r="F50" i="29"/>
  <c r="AA49" i="29"/>
  <c r="X49" i="29"/>
  <c r="N49" i="29"/>
  <c r="I49" i="29"/>
  <c r="AB49" i="29" s="1"/>
  <c r="F49" i="29"/>
  <c r="AA48" i="29"/>
  <c r="X48" i="29"/>
  <c r="N48" i="29"/>
  <c r="I48" i="29"/>
  <c r="AB48" i="29" s="1"/>
  <c r="F48" i="29"/>
  <c r="AA47" i="29"/>
  <c r="X47" i="29"/>
  <c r="N47" i="29"/>
  <c r="I47" i="29"/>
  <c r="AB47" i="29" s="1"/>
  <c r="F47" i="29"/>
  <c r="AA46" i="29"/>
  <c r="X46" i="29"/>
  <c r="N46" i="29"/>
  <c r="I46" i="29"/>
  <c r="AB46" i="29" s="1"/>
  <c r="F46" i="29"/>
  <c r="AA45" i="29"/>
  <c r="X45" i="29"/>
  <c r="N45" i="29"/>
  <c r="I45" i="29"/>
  <c r="AB45" i="29" s="1"/>
  <c r="F45" i="29"/>
  <c r="AA44" i="29"/>
  <c r="X44" i="29"/>
  <c r="N44" i="29"/>
  <c r="I44" i="29"/>
  <c r="AB44" i="29" s="1"/>
  <c r="F44" i="29"/>
  <c r="AA43" i="29"/>
  <c r="X43" i="29"/>
  <c r="N43" i="29"/>
  <c r="I43" i="29"/>
  <c r="AB43" i="29" s="1"/>
  <c r="F43" i="29"/>
  <c r="AA42" i="29"/>
  <c r="X42" i="29"/>
  <c r="N42" i="29"/>
  <c r="I42" i="29"/>
  <c r="AB42" i="29" s="1"/>
  <c r="F42" i="29"/>
  <c r="AA41" i="29"/>
  <c r="X41" i="29"/>
  <c r="N41" i="29"/>
  <c r="I41" i="29"/>
  <c r="AB41" i="29" s="1"/>
  <c r="F41" i="29"/>
  <c r="AA40" i="29"/>
  <c r="X40" i="29"/>
  <c r="N40" i="29"/>
  <c r="I40" i="29"/>
  <c r="AB40" i="29" s="1"/>
  <c r="F40" i="29"/>
  <c r="AA39" i="29"/>
  <c r="X39" i="29"/>
  <c r="N39" i="29"/>
  <c r="I39" i="29"/>
  <c r="AB39" i="29" s="1"/>
  <c r="F39" i="29"/>
  <c r="AA38" i="29"/>
  <c r="X38" i="29"/>
  <c r="N38" i="29"/>
  <c r="I38" i="29"/>
  <c r="AB38" i="29" s="1"/>
  <c r="F38" i="29"/>
  <c r="AA37" i="29"/>
  <c r="X37" i="29"/>
  <c r="N37" i="29"/>
  <c r="I37" i="29"/>
  <c r="AB37" i="29" s="1"/>
  <c r="F37" i="29"/>
  <c r="AA36" i="29"/>
  <c r="X36" i="29"/>
  <c r="N36" i="29"/>
  <c r="I36" i="29"/>
  <c r="AB36" i="29" s="1"/>
  <c r="F36" i="29"/>
  <c r="AA35" i="29"/>
  <c r="X35" i="29"/>
  <c r="N35" i="29"/>
  <c r="I35" i="29"/>
  <c r="AB35" i="29" s="1"/>
  <c r="F35" i="29"/>
  <c r="AA34" i="29"/>
  <c r="X34" i="29"/>
  <c r="N34" i="29"/>
  <c r="I34" i="29"/>
  <c r="AB34" i="29" s="1"/>
  <c r="F34" i="29"/>
  <c r="AA33" i="29"/>
  <c r="X33" i="29"/>
  <c r="N33" i="29"/>
  <c r="I33" i="29"/>
  <c r="AB33" i="29" s="1"/>
  <c r="F33" i="29"/>
  <c r="AA32" i="29"/>
  <c r="X32" i="29"/>
  <c r="N32" i="29"/>
  <c r="I32" i="29"/>
  <c r="AB32" i="29" s="1"/>
  <c r="F32" i="29"/>
  <c r="AA31" i="29"/>
  <c r="X31" i="29"/>
  <c r="N31" i="29"/>
  <c r="I31" i="29"/>
  <c r="AB31" i="29" s="1"/>
  <c r="F31" i="29"/>
  <c r="AA30" i="29"/>
  <c r="X30" i="29"/>
  <c r="N30" i="29"/>
  <c r="I30" i="29"/>
  <c r="AB30" i="29" s="1"/>
  <c r="F30" i="29"/>
  <c r="AA29" i="29"/>
  <c r="X29" i="29"/>
  <c r="N29" i="29"/>
  <c r="I29" i="29"/>
  <c r="AB29" i="29" s="1"/>
  <c r="F29" i="29"/>
  <c r="AA28" i="29"/>
  <c r="X28" i="29"/>
  <c r="N28" i="29"/>
  <c r="I28" i="29"/>
  <c r="AB28" i="29" s="1"/>
  <c r="F28" i="29"/>
  <c r="AA27" i="29"/>
  <c r="X27" i="29"/>
  <c r="N27" i="29"/>
  <c r="I27" i="29"/>
  <c r="AB27" i="29" s="1"/>
  <c r="F27" i="29"/>
  <c r="AA26" i="29"/>
  <c r="X26" i="29"/>
  <c r="N26" i="29"/>
  <c r="I26" i="29"/>
  <c r="AB26" i="29" s="1"/>
  <c r="F26" i="29"/>
  <c r="AA25" i="29"/>
  <c r="X25" i="29"/>
  <c r="N25" i="29"/>
  <c r="I25" i="29"/>
  <c r="AB25" i="29" s="1"/>
  <c r="F25" i="29"/>
  <c r="AA24" i="29"/>
  <c r="X24" i="29"/>
  <c r="N24" i="29"/>
  <c r="I24" i="29"/>
  <c r="AB24" i="29" s="1"/>
  <c r="F24" i="29"/>
  <c r="AA23" i="29"/>
  <c r="X23" i="29"/>
  <c r="N23" i="29"/>
  <c r="I23" i="29"/>
  <c r="AB23" i="29" s="1"/>
  <c r="F23" i="29"/>
  <c r="AA22" i="29"/>
  <c r="X22" i="29"/>
  <c r="N22" i="29"/>
  <c r="I22" i="29"/>
  <c r="AB22" i="29" s="1"/>
  <c r="F22" i="29"/>
  <c r="AA21" i="29"/>
  <c r="X21" i="29"/>
  <c r="N21" i="29"/>
  <c r="I21" i="29"/>
  <c r="AB21" i="29" s="1"/>
  <c r="F21" i="29"/>
  <c r="AA20" i="29"/>
  <c r="X20" i="29"/>
  <c r="N20" i="29"/>
  <c r="I20" i="29"/>
  <c r="AB20" i="29" s="1"/>
  <c r="F20" i="29"/>
  <c r="AA19" i="29"/>
  <c r="X19" i="29"/>
  <c r="N19" i="29"/>
  <c r="I19" i="29"/>
  <c r="AB19" i="29" s="1"/>
  <c r="F19" i="29"/>
  <c r="AA18" i="29"/>
  <c r="X18" i="29"/>
  <c r="N18" i="29"/>
  <c r="I18" i="29"/>
  <c r="AB18" i="29" s="1"/>
  <c r="F18" i="29"/>
  <c r="AA17" i="29"/>
  <c r="X17" i="29"/>
  <c r="N17" i="29"/>
  <c r="I17" i="29"/>
  <c r="AB17" i="29" s="1"/>
  <c r="F17" i="29"/>
  <c r="AA16" i="29"/>
  <c r="X16" i="29"/>
  <c r="N16" i="29"/>
  <c r="I16" i="29"/>
  <c r="AB16" i="29" s="1"/>
  <c r="F16" i="29"/>
  <c r="AA15" i="29"/>
  <c r="X15" i="29"/>
  <c r="N15" i="29"/>
  <c r="I15" i="29"/>
  <c r="AB15" i="29" s="1"/>
  <c r="F15" i="29"/>
  <c r="AA14" i="29"/>
  <c r="X14" i="29"/>
  <c r="N14" i="29"/>
  <c r="I14" i="29"/>
  <c r="AB14" i="29" s="1"/>
  <c r="F14" i="29"/>
  <c r="AA13" i="29"/>
  <c r="X13" i="29"/>
  <c r="N13" i="29"/>
  <c r="I13" i="29"/>
  <c r="AB13" i="29" s="1"/>
  <c r="F13" i="29"/>
  <c r="AA12" i="29"/>
  <c r="X12" i="29"/>
  <c r="N12" i="29"/>
  <c r="I12" i="29"/>
  <c r="AB12" i="29" s="1"/>
  <c r="F12" i="29"/>
  <c r="AA11" i="29"/>
  <c r="X11" i="29"/>
  <c r="N11" i="29"/>
  <c r="I11" i="29"/>
  <c r="AB11" i="29" s="1"/>
  <c r="F11" i="29"/>
  <c r="AA10" i="29"/>
  <c r="X10" i="29"/>
  <c r="N10" i="29"/>
  <c r="I10" i="29"/>
  <c r="AB10" i="29" s="1"/>
  <c r="F10" i="29"/>
  <c r="AA9" i="29"/>
  <c r="X9" i="29"/>
  <c r="N9" i="29"/>
  <c r="I9" i="29"/>
  <c r="AB9" i="29" s="1"/>
  <c r="F9" i="29"/>
  <c r="AA8" i="29"/>
  <c r="X8" i="29"/>
  <c r="N8" i="29"/>
  <c r="I8" i="29"/>
  <c r="AB8" i="29" s="1"/>
  <c r="F8" i="29"/>
  <c r="AA7" i="29"/>
  <c r="X7" i="29"/>
  <c r="N7" i="29"/>
  <c r="I7" i="29"/>
  <c r="AB7" i="29" s="1"/>
  <c r="F7" i="29"/>
  <c r="AA6" i="29"/>
  <c r="X6" i="29"/>
  <c r="N6" i="29"/>
  <c r="I6" i="29"/>
  <c r="AB6" i="29" s="1"/>
  <c r="F6" i="29"/>
  <c r="AA5" i="29"/>
  <c r="X5" i="29"/>
  <c r="N5" i="29"/>
  <c r="I5" i="29"/>
  <c r="AB5" i="29" s="1"/>
  <c r="F5" i="29"/>
  <c r="AA4" i="29"/>
  <c r="X4" i="29"/>
  <c r="N4" i="29"/>
  <c r="I4" i="29"/>
  <c r="AB4" i="29" s="1"/>
  <c r="F4" i="29"/>
  <c r="AA3" i="29"/>
  <c r="X3" i="29"/>
  <c r="N3" i="29"/>
  <c r="I3" i="29"/>
  <c r="AB3" i="29" s="1"/>
  <c r="F3" i="29"/>
  <c r="AA2" i="29"/>
  <c r="X2" i="29"/>
  <c r="N2" i="29"/>
  <c r="I2" i="29"/>
  <c r="AB2" i="29" s="1"/>
  <c r="F2" i="29"/>
  <c r="AA145" i="27"/>
  <c r="X145" i="27"/>
  <c r="N145" i="27"/>
  <c r="I145" i="27"/>
  <c r="AB145" i="27" s="1"/>
  <c r="F145" i="27"/>
  <c r="AA152" i="27"/>
  <c r="X152" i="27"/>
  <c r="N152" i="27"/>
  <c r="I152" i="27"/>
  <c r="F152" i="27"/>
  <c r="AA151" i="27"/>
  <c r="X151" i="27"/>
  <c r="N151" i="27"/>
  <c r="I151" i="27"/>
  <c r="F151" i="27"/>
  <c r="AA147" i="27"/>
  <c r="X147" i="27"/>
  <c r="N147" i="27"/>
  <c r="I147" i="27"/>
  <c r="F147" i="27"/>
  <c r="AA150" i="27"/>
  <c r="X150" i="27"/>
  <c r="N150" i="27"/>
  <c r="I150" i="27"/>
  <c r="F150" i="27"/>
  <c r="AA146" i="27"/>
  <c r="X146" i="27"/>
  <c r="N146" i="27"/>
  <c r="I146" i="27"/>
  <c r="F146" i="27"/>
  <c r="AA148" i="27"/>
  <c r="X148" i="27"/>
  <c r="N148" i="27"/>
  <c r="I148" i="27"/>
  <c r="F148" i="27"/>
  <c r="AA149" i="27"/>
  <c r="X149" i="27"/>
  <c r="N149" i="27"/>
  <c r="I149" i="27"/>
  <c r="F149" i="27"/>
  <c r="AA121" i="27"/>
  <c r="X121" i="27"/>
  <c r="N121" i="27"/>
  <c r="I121" i="27"/>
  <c r="F121" i="27"/>
  <c r="AA141" i="27"/>
  <c r="X141" i="27"/>
  <c r="N141" i="27"/>
  <c r="I141" i="27"/>
  <c r="F141" i="27"/>
  <c r="AA5" i="27"/>
  <c r="X5" i="27"/>
  <c r="N5" i="27"/>
  <c r="I5" i="27"/>
  <c r="F5" i="27"/>
  <c r="AA3" i="27"/>
  <c r="X3" i="27"/>
  <c r="N3" i="27"/>
  <c r="I3" i="27"/>
  <c r="F3" i="27"/>
  <c r="AA2" i="27"/>
  <c r="X2" i="27"/>
  <c r="N2" i="27"/>
  <c r="I2" i="27"/>
  <c r="F2" i="27"/>
  <c r="AA8" i="27"/>
  <c r="X8" i="27"/>
  <c r="N8" i="27"/>
  <c r="I8" i="27"/>
  <c r="F8" i="27"/>
  <c r="AA7" i="27"/>
  <c r="X7" i="27"/>
  <c r="N7" i="27"/>
  <c r="I7" i="27"/>
  <c r="F7" i="27"/>
  <c r="X10" i="27"/>
  <c r="AA6" i="27"/>
  <c r="X6" i="27"/>
  <c r="N6" i="27"/>
  <c r="I6" i="27"/>
  <c r="F6" i="27"/>
  <c r="AA104" i="27"/>
  <c r="X104" i="27"/>
  <c r="N104" i="27"/>
  <c r="I104" i="27"/>
  <c r="F104" i="27"/>
  <c r="AA79" i="27"/>
  <c r="X79" i="27"/>
  <c r="N79" i="27"/>
  <c r="I79" i="27"/>
  <c r="F79" i="27"/>
  <c r="AA54" i="27"/>
  <c r="X54" i="27"/>
  <c r="N54" i="27"/>
  <c r="I54" i="27"/>
  <c r="F54" i="27"/>
  <c r="AA111" i="27"/>
  <c r="X111" i="27"/>
  <c r="N111" i="27"/>
  <c r="I111" i="27"/>
  <c r="F111" i="27"/>
  <c r="AA110" i="27"/>
  <c r="X110" i="27"/>
  <c r="N110" i="27"/>
  <c r="I110" i="27"/>
  <c r="F110" i="27"/>
  <c r="AA105" i="27"/>
  <c r="X105" i="27"/>
  <c r="N105" i="27"/>
  <c r="I105" i="27"/>
  <c r="F105" i="27"/>
  <c r="AA80" i="27"/>
  <c r="X80" i="27"/>
  <c r="N80" i="27"/>
  <c r="I80" i="27"/>
  <c r="F80" i="27"/>
  <c r="AA64" i="27"/>
  <c r="X64" i="27"/>
  <c r="N64" i="27"/>
  <c r="I64" i="27"/>
  <c r="F64" i="27"/>
  <c r="AA10" i="27"/>
  <c r="N10" i="27"/>
  <c r="I10" i="27"/>
  <c r="F10" i="27"/>
  <c r="AA9" i="27"/>
  <c r="X9" i="27"/>
  <c r="N9" i="27"/>
  <c r="I9" i="27"/>
  <c r="F9" i="27"/>
  <c r="AA4" i="27"/>
  <c r="X4" i="27"/>
  <c r="N4" i="27"/>
  <c r="I4" i="27"/>
  <c r="F4" i="27"/>
  <c r="AA131" i="27"/>
  <c r="X131" i="27"/>
  <c r="N131" i="27"/>
  <c r="I131" i="27"/>
  <c r="F131" i="27"/>
  <c r="AA118" i="27"/>
  <c r="X118" i="27"/>
  <c r="N118" i="27"/>
  <c r="I118" i="27"/>
  <c r="F118" i="27"/>
  <c r="AA137" i="27"/>
  <c r="X137" i="27"/>
  <c r="N137" i="27"/>
  <c r="I137" i="27"/>
  <c r="F137" i="27"/>
  <c r="AA123" i="27"/>
  <c r="X123" i="27"/>
  <c r="N123" i="27"/>
  <c r="I123" i="27"/>
  <c r="F123" i="27"/>
  <c r="AA125" i="27"/>
  <c r="X125" i="27"/>
  <c r="N125" i="27"/>
  <c r="I125" i="27"/>
  <c r="F125" i="27"/>
  <c r="AA130" i="27"/>
  <c r="X130" i="27"/>
  <c r="N130" i="27"/>
  <c r="I130" i="27"/>
  <c r="F130" i="27"/>
  <c r="AA101" i="27"/>
  <c r="X101" i="27"/>
  <c r="N101" i="27"/>
  <c r="I101" i="27"/>
  <c r="F101" i="27"/>
  <c r="AA144" i="27"/>
  <c r="X144" i="27"/>
  <c r="N144" i="27"/>
  <c r="I144" i="27"/>
  <c r="F144" i="27"/>
  <c r="AA132" i="27"/>
  <c r="X132" i="27"/>
  <c r="N132" i="27"/>
  <c r="I132" i="27"/>
  <c r="F132" i="27"/>
  <c r="AA94" i="27"/>
  <c r="X94" i="27"/>
  <c r="N94" i="27"/>
  <c r="I94" i="27"/>
  <c r="F94" i="27"/>
  <c r="AA140" i="27"/>
  <c r="X140" i="27"/>
  <c r="N140" i="27"/>
  <c r="I140" i="27"/>
  <c r="F140" i="27"/>
  <c r="AA139" i="27"/>
  <c r="X139" i="27"/>
  <c r="N139" i="27"/>
  <c r="I139" i="27"/>
  <c r="F139" i="27"/>
  <c r="AA138" i="27"/>
  <c r="X138" i="27"/>
  <c r="N138" i="27"/>
  <c r="I138" i="27"/>
  <c r="F138" i="27"/>
  <c r="AA78" i="27"/>
  <c r="X78" i="27"/>
  <c r="N78" i="27"/>
  <c r="I78" i="27"/>
  <c r="F78" i="27"/>
  <c r="AA122" i="27"/>
  <c r="X122" i="27"/>
  <c r="N122" i="27"/>
  <c r="I122" i="27"/>
  <c r="F122" i="27"/>
  <c r="AA136" i="27"/>
  <c r="X136" i="27"/>
  <c r="N136" i="27"/>
  <c r="I136" i="27"/>
  <c r="F136" i="27"/>
  <c r="AA66" i="27"/>
  <c r="X66" i="27"/>
  <c r="N66" i="27"/>
  <c r="I66" i="27"/>
  <c r="F66" i="27"/>
  <c r="AA109" i="28"/>
  <c r="X109" i="28"/>
  <c r="N109" i="28"/>
  <c r="I109" i="28"/>
  <c r="F109" i="28"/>
  <c r="AA108" i="28"/>
  <c r="X108" i="28"/>
  <c r="N108" i="28"/>
  <c r="I108" i="28"/>
  <c r="F108" i="28"/>
  <c r="AA107" i="28"/>
  <c r="X107" i="28"/>
  <c r="N107" i="28"/>
  <c r="I107" i="28"/>
  <c r="F107" i="28"/>
  <c r="AA106" i="28"/>
  <c r="X106" i="28"/>
  <c r="N106" i="28"/>
  <c r="I106" i="28"/>
  <c r="F106" i="28"/>
  <c r="AA105" i="28"/>
  <c r="X105" i="28"/>
  <c r="N105" i="28"/>
  <c r="I105" i="28"/>
  <c r="F105" i="28"/>
  <c r="AA104" i="28"/>
  <c r="X104" i="28"/>
  <c r="N104" i="28"/>
  <c r="I104" i="28"/>
  <c r="F104" i="28"/>
  <c r="AA103" i="28"/>
  <c r="X103" i="28"/>
  <c r="N103" i="28"/>
  <c r="I103" i="28"/>
  <c r="F103" i="28"/>
  <c r="AA102" i="28"/>
  <c r="X102" i="28"/>
  <c r="N102" i="28"/>
  <c r="I102" i="28"/>
  <c r="F102" i="28"/>
  <c r="AA101" i="28"/>
  <c r="X101" i="28"/>
  <c r="N101" i="28"/>
  <c r="I101" i="28"/>
  <c r="F101" i="28"/>
  <c r="AA100" i="28"/>
  <c r="X100" i="28"/>
  <c r="N100" i="28"/>
  <c r="I100" i="28"/>
  <c r="F100" i="28"/>
  <c r="AA99" i="28"/>
  <c r="X99" i="28"/>
  <c r="N99" i="28"/>
  <c r="I99" i="28"/>
  <c r="F99" i="28"/>
  <c r="AA98" i="28"/>
  <c r="X98" i="28"/>
  <c r="N98" i="28"/>
  <c r="I98" i="28"/>
  <c r="F98" i="28"/>
  <c r="AA97" i="28"/>
  <c r="X97" i="28"/>
  <c r="N97" i="28"/>
  <c r="I97" i="28"/>
  <c r="F97" i="28"/>
  <c r="AA96" i="28"/>
  <c r="X96" i="28"/>
  <c r="N96" i="28"/>
  <c r="I96" i="28"/>
  <c r="F96" i="28"/>
  <c r="AA95" i="28"/>
  <c r="X95" i="28"/>
  <c r="N95" i="28"/>
  <c r="I95" i="28"/>
  <c r="F95" i="28"/>
  <c r="AA94" i="28"/>
  <c r="X94" i="28"/>
  <c r="N94" i="28"/>
  <c r="I94" i="28"/>
  <c r="F94" i="28"/>
  <c r="AA93" i="28"/>
  <c r="X93" i="28"/>
  <c r="N93" i="28"/>
  <c r="I93" i="28"/>
  <c r="F93" i="28"/>
  <c r="AA92" i="28"/>
  <c r="X92" i="28"/>
  <c r="N92" i="28"/>
  <c r="I92" i="28"/>
  <c r="F92" i="28"/>
  <c r="AA91" i="28"/>
  <c r="X91" i="28"/>
  <c r="N91" i="28"/>
  <c r="I91" i="28"/>
  <c r="F91" i="28"/>
  <c r="AA90" i="28"/>
  <c r="X90" i="28"/>
  <c r="N90" i="28"/>
  <c r="I90" i="28"/>
  <c r="F90" i="28"/>
  <c r="AA89" i="28"/>
  <c r="X89" i="28"/>
  <c r="N89" i="28"/>
  <c r="I89" i="28"/>
  <c r="F89" i="28"/>
  <c r="AA88" i="28"/>
  <c r="X88" i="28"/>
  <c r="N88" i="28"/>
  <c r="I88" i="28"/>
  <c r="F88" i="28"/>
  <c r="AA87" i="28"/>
  <c r="X87" i="28"/>
  <c r="N87" i="28"/>
  <c r="I87" i="28"/>
  <c r="F87" i="28"/>
  <c r="AA86" i="28"/>
  <c r="X86" i="28"/>
  <c r="N86" i="28"/>
  <c r="I86" i="28"/>
  <c r="F86" i="28"/>
  <c r="AA85" i="28"/>
  <c r="X85" i="28"/>
  <c r="N85" i="28"/>
  <c r="I85" i="28"/>
  <c r="F85" i="28"/>
  <c r="AA84" i="28"/>
  <c r="X84" i="28"/>
  <c r="N84" i="28"/>
  <c r="I84" i="28"/>
  <c r="F84" i="28"/>
  <c r="AA83" i="28"/>
  <c r="X83" i="28"/>
  <c r="N83" i="28"/>
  <c r="I83" i="28"/>
  <c r="F83" i="28"/>
  <c r="AA82" i="28"/>
  <c r="X82" i="28"/>
  <c r="N82" i="28"/>
  <c r="I82" i="28"/>
  <c r="F82" i="28"/>
  <c r="AA81" i="28"/>
  <c r="X81" i="28"/>
  <c r="N81" i="28"/>
  <c r="I81" i="28"/>
  <c r="F81" i="28"/>
  <c r="AA80" i="28"/>
  <c r="X80" i="28"/>
  <c r="N80" i="28"/>
  <c r="I80" i="28"/>
  <c r="F80" i="28"/>
  <c r="AA79" i="28"/>
  <c r="X79" i="28"/>
  <c r="N79" i="28"/>
  <c r="I79" i="28"/>
  <c r="F79" i="28"/>
  <c r="AA78" i="28"/>
  <c r="X78" i="28"/>
  <c r="N78" i="28"/>
  <c r="I78" i="28"/>
  <c r="F78" i="28"/>
  <c r="AA77" i="28"/>
  <c r="X77" i="28"/>
  <c r="N77" i="28"/>
  <c r="I77" i="28"/>
  <c r="F77" i="28"/>
  <c r="AA76" i="28"/>
  <c r="X76" i="28"/>
  <c r="N76" i="28"/>
  <c r="I76" i="28"/>
  <c r="F76" i="28"/>
  <c r="AA75" i="28"/>
  <c r="X75" i="28"/>
  <c r="N75" i="28"/>
  <c r="I75" i="28"/>
  <c r="F75" i="28"/>
  <c r="AA74" i="28"/>
  <c r="X74" i="28"/>
  <c r="N74" i="28"/>
  <c r="I74" i="28"/>
  <c r="F74" i="28"/>
  <c r="AA73" i="28"/>
  <c r="X73" i="28"/>
  <c r="N73" i="28"/>
  <c r="I73" i="28"/>
  <c r="F73" i="28"/>
  <c r="AA72" i="28"/>
  <c r="X72" i="28"/>
  <c r="N72" i="28"/>
  <c r="I72" i="28"/>
  <c r="F72" i="28"/>
  <c r="AA71" i="28"/>
  <c r="X71" i="28"/>
  <c r="N71" i="28"/>
  <c r="I71" i="28"/>
  <c r="F71" i="28"/>
  <c r="AA70" i="28"/>
  <c r="X70" i="28"/>
  <c r="N70" i="28"/>
  <c r="I70" i="28"/>
  <c r="F70" i="28"/>
  <c r="AA69" i="28"/>
  <c r="X69" i="28"/>
  <c r="N69" i="28"/>
  <c r="I69" i="28"/>
  <c r="F69" i="28"/>
  <c r="AA68" i="28"/>
  <c r="X68" i="28"/>
  <c r="N68" i="28"/>
  <c r="I68" i="28"/>
  <c r="F68" i="28"/>
  <c r="AA67" i="28"/>
  <c r="X67" i="28"/>
  <c r="N67" i="28"/>
  <c r="I67" i="28"/>
  <c r="F67" i="28"/>
  <c r="AA66" i="28"/>
  <c r="X66" i="28"/>
  <c r="N66" i="28"/>
  <c r="I66" i="28"/>
  <c r="F66" i="28"/>
  <c r="AA65" i="28"/>
  <c r="X65" i="28"/>
  <c r="N65" i="28"/>
  <c r="I65" i="28"/>
  <c r="F65" i="28"/>
  <c r="AA64" i="28"/>
  <c r="X64" i="28"/>
  <c r="N64" i="28"/>
  <c r="I64" i="28"/>
  <c r="F64" i="28"/>
  <c r="AA63" i="28"/>
  <c r="X63" i="28"/>
  <c r="N63" i="28"/>
  <c r="I63" i="28"/>
  <c r="F63" i="28"/>
  <c r="AA62" i="28"/>
  <c r="X62" i="28"/>
  <c r="N62" i="28"/>
  <c r="I62" i="28"/>
  <c r="F62" i="28"/>
  <c r="AA61" i="28"/>
  <c r="X61" i="28"/>
  <c r="N61" i="28"/>
  <c r="I61" i="28"/>
  <c r="F61" i="28"/>
  <c r="AA60" i="28"/>
  <c r="X60" i="28"/>
  <c r="N60" i="28"/>
  <c r="I60" i="28"/>
  <c r="F60" i="28"/>
  <c r="AA59" i="28"/>
  <c r="X59" i="28"/>
  <c r="N59" i="28"/>
  <c r="I59" i="28"/>
  <c r="F59" i="28"/>
  <c r="AA58" i="28"/>
  <c r="X58" i="28"/>
  <c r="N58" i="28"/>
  <c r="I58" i="28"/>
  <c r="F58" i="28"/>
  <c r="AA57" i="28"/>
  <c r="X57" i="28"/>
  <c r="N57" i="28"/>
  <c r="I57" i="28"/>
  <c r="F57" i="28"/>
  <c r="AA56" i="28"/>
  <c r="X56" i="28"/>
  <c r="N56" i="28"/>
  <c r="I56" i="28"/>
  <c r="F56" i="28"/>
  <c r="AA55" i="28"/>
  <c r="X55" i="28"/>
  <c r="N55" i="28"/>
  <c r="I55" i="28"/>
  <c r="F55" i="28"/>
  <c r="AA54" i="28"/>
  <c r="X54" i="28"/>
  <c r="N54" i="28"/>
  <c r="I54" i="28"/>
  <c r="F54" i="28"/>
  <c r="AA53" i="28"/>
  <c r="X53" i="28"/>
  <c r="N53" i="28"/>
  <c r="I53" i="28"/>
  <c r="F53" i="28"/>
  <c r="AA52" i="28"/>
  <c r="X52" i="28"/>
  <c r="N52" i="28"/>
  <c r="I52" i="28"/>
  <c r="F52" i="28"/>
  <c r="AA51" i="28"/>
  <c r="X51" i="28"/>
  <c r="N51" i="28"/>
  <c r="I51" i="28"/>
  <c r="F51" i="28"/>
  <c r="AA50" i="28"/>
  <c r="X50" i="28"/>
  <c r="N50" i="28"/>
  <c r="I50" i="28"/>
  <c r="F50" i="28"/>
  <c r="AA49" i="28"/>
  <c r="X49" i="28"/>
  <c r="N49" i="28"/>
  <c r="I49" i="28"/>
  <c r="F49" i="28"/>
  <c r="AA48" i="28"/>
  <c r="X48" i="28"/>
  <c r="N48" i="28"/>
  <c r="I48" i="28"/>
  <c r="F48" i="28"/>
  <c r="AA47" i="28"/>
  <c r="X47" i="28"/>
  <c r="N47" i="28"/>
  <c r="I47" i="28"/>
  <c r="F47" i="28"/>
  <c r="AA46" i="28"/>
  <c r="X46" i="28"/>
  <c r="N46" i="28"/>
  <c r="I46" i="28"/>
  <c r="F46" i="28"/>
  <c r="AA45" i="28"/>
  <c r="X45" i="28"/>
  <c r="N45" i="28"/>
  <c r="I45" i="28"/>
  <c r="F45" i="28"/>
  <c r="AA44" i="28"/>
  <c r="X44" i="28"/>
  <c r="N44" i="28"/>
  <c r="I44" i="28"/>
  <c r="F44" i="28"/>
  <c r="AA43" i="28"/>
  <c r="X43" i="28"/>
  <c r="N43" i="28"/>
  <c r="I43" i="28"/>
  <c r="F43" i="28"/>
  <c r="AA42" i="28"/>
  <c r="X42" i="28"/>
  <c r="N42" i="28"/>
  <c r="I42" i="28"/>
  <c r="F42" i="28"/>
  <c r="AA41" i="28"/>
  <c r="X41" i="28"/>
  <c r="N41" i="28"/>
  <c r="I41" i="28"/>
  <c r="F41" i="28"/>
  <c r="AA40" i="28"/>
  <c r="X40" i="28"/>
  <c r="N40" i="28"/>
  <c r="I40" i="28"/>
  <c r="F40" i="28"/>
  <c r="AA39" i="28"/>
  <c r="X39" i="28"/>
  <c r="N39" i="28"/>
  <c r="I39" i="28"/>
  <c r="F39" i="28"/>
  <c r="AA38" i="28"/>
  <c r="X38" i="28"/>
  <c r="N38" i="28"/>
  <c r="I38" i="28"/>
  <c r="F38" i="28"/>
  <c r="AA37" i="28"/>
  <c r="X37" i="28"/>
  <c r="N37" i="28"/>
  <c r="I37" i="28"/>
  <c r="F37" i="28"/>
  <c r="AA36" i="28"/>
  <c r="X36" i="28"/>
  <c r="N36" i="28"/>
  <c r="I36" i="28"/>
  <c r="F36" i="28"/>
  <c r="AA35" i="28"/>
  <c r="X35" i="28"/>
  <c r="N35" i="28"/>
  <c r="I35" i="28"/>
  <c r="F35" i="28"/>
  <c r="AA34" i="28"/>
  <c r="X34" i="28"/>
  <c r="N34" i="28"/>
  <c r="I34" i="28"/>
  <c r="F34" i="28"/>
  <c r="AA33" i="28"/>
  <c r="X33" i="28"/>
  <c r="N33" i="28"/>
  <c r="I33" i="28"/>
  <c r="F33" i="28"/>
  <c r="AA32" i="28"/>
  <c r="X32" i="28"/>
  <c r="N32" i="28"/>
  <c r="I32" i="28"/>
  <c r="F32" i="28"/>
  <c r="AA31" i="28"/>
  <c r="X31" i="28"/>
  <c r="N31" i="28"/>
  <c r="I31" i="28"/>
  <c r="F31" i="28"/>
  <c r="AA30" i="28"/>
  <c r="X30" i="28"/>
  <c r="N30" i="28"/>
  <c r="I30" i="28"/>
  <c r="F30" i="28"/>
  <c r="AA29" i="28"/>
  <c r="X29" i="28"/>
  <c r="N29" i="28"/>
  <c r="I29" i="28"/>
  <c r="F29" i="28"/>
  <c r="AA28" i="28"/>
  <c r="X28" i="28"/>
  <c r="N28" i="28"/>
  <c r="I28" i="28"/>
  <c r="F28" i="28"/>
  <c r="AA27" i="28"/>
  <c r="X27" i="28"/>
  <c r="N27" i="28"/>
  <c r="I27" i="28"/>
  <c r="F27" i="28"/>
  <c r="AA26" i="28"/>
  <c r="X26" i="28"/>
  <c r="N26" i="28"/>
  <c r="I26" i="28"/>
  <c r="F26" i="28"/>
  <c r="AA25" i="28"/>
  <c r="X25" i="28"/>
  <c r="N25" i="28"/>
  <c r="I25" i="28"/>
  <c r="F25" i="28"/>
  <c r="AA24" i="28"/>
  <c r="X24" i="28"/>
  <c r="N24" i="28"/>
  <c r="I24" i="28"/>
  <c r="F24" i="28"/>
  <c r="AA23" i="28"/>
  <c r="X23" i="28"/>
  <c r="N23" i="28"/>
  <c r="I23" i="28"/>
  <c r="F23" i="28"/>
  <c r="AA22" i="28"/>
  <c r="X22" i="28"/>
  <c r="N22" i="28"/>
  <c r="I22" i="28"/>
  <c r="F22" i="28"/>
  <c r="AA21" i="28"/>
  <c r="X21" i="28"/>
  <c r="N21" i="28"/>
  <c r="I21" i="28"/>
  <c r="F21" i="28"/>
  <c r="AA20" i="28"/>
  <c r="X20" i="28"/>
  <c r="N20" i="28"/>
  <c r="I20" i="28"/>
  <c r="F20" i="28"/>
  <c r="AA19" i="28"/>
  <c r="X19" i="28"/>
  <c r="N19" i="28"/>
  <c r="I19" i="28"/>
  <c r="F19" i="28"/>
  <c r="AA18" i="28"/>
  <c r="X18" i="28"/>
  <c r="N18" i="28"/>
  <c r="I18" i="28"/>
  <c r="F18" i="28"/>
  <c r="AA17" i="28"/>
  <c r="X17" i="28"/>
  <c r="N17" i="28"/>
  <c r="I17" i="28"/>
  <c r="F17" i="28"/>
  <c r="AA16" i="28"/>
  <c r="X16" i="28"/>
  <c r="N16" i="28"/>
  <c r="I16" i="28"/>
  <c r="F16" i="28"/>
  <c r="AA15" i="28"/>
  <c r="X15" i="28"/>
  <c r="N15" i="28"/>
  <c r="I15" i="28"/>
  <c r="F15" i="28"/>
  <c r="AA14" i="28"/>
  <c r="X14" i="28"/>
  <c r="N14" i="28"/>
  <c r="I14" i="28"/>
  <c r="F14" i="28"/>
  <c r="AA13" i="28"/>
  <c r="X13" i="28"/>
  <c r="N13" i="28"/>
  <c r="I13" i="28"/>
  <c r="F13" i="28"/>
  <c r="AA12" i="28"/>
  <c r="X12" i="28"/>
  <c r="N12" i="28"/>
  <c r="I12" i="28"/>
  <c r="F12" i="28"/>
  <c r="AA11" i="28"/>
  <c r="X11" i="28"/>
  <c r="N11" i="28"/>
  <c r="I11" i="28"/>
  <c r="F11" i="28"/>
  <c r="AA10" i="28"/>
  <c r="X10" i="28"/>
  <c r="N10" i="28"/>
  <c r="I10" i="28"/>
  <c r="F10" i="28"/>
  <c r="AA9" i="28"/>
  <c r="X9" i="28"/>
  <c r="N9" i="28"/>
  <c r="I9" i="28"/>
  <c r="F9" i="28"/>
  <c r="AA8" i="28"/>
  <c r="X8" i="28"/>
  <c r="N8" i="28"/>
  <c r="I8" i="28"/>
  <c r="F8" i="28"/>
  <c r="AA7" i="28"/>
  <c r="X7" i="28"/>
  <c r="N7" i="28"/>
  <c r="I7" i="28"/>
  <c r="F7" i="28"/>
  <c r="AA6" i="28"/>
  <c r="X6" i="28"/>
  <c r="N6" i="28"/>
  <c r="I6" i="28"/>
  <c r="F6" i="28"/>
  <c r="AA5" i="28"/>
  <c r="X5" i="28"/>
  <c r="N5" i="28"/>
  <c r="I5" i="28"/>
  <c r="F5" i="28"/>
  <c r="AA4" i="28"/>
  <c r="X4" i="28"/>
  <c r="N4" i="28"/>
  <c r="I4" i="28"/>
  <c r="F4" i="28"/>
  <c r="AA3" i="28"/>
  <c r="X3" i="28"/>
  <c r="N3" i="28"/>
  <c r="I3" i="28"/>
  <c r="F3" i="28"/>
  <c r="AA2" i="28"/>
  <c r="X2" i="28"/>
  <c r="N2" i="28"/>
  <c r="I2" i="28"/>
  <c r="F2" i="28"/>
  <c r="AA103" i="27"/>
  <c r="X103" i="27"/>
  <c r="N103" i="27"/>
  <c r="I103" i="27"/>
  <c r="F103" i="27"/>
  <c r="AA127" i="27"/>
  <c r="X127" i="27"/>
  <c r="N127" i="27"/>
  <c r="I127" i="27"/>
  <c r="F127" i="27"/>
  <c r="AA142" i="27"/>
  <c r="X142" i="27"/>
  <c r="N142" i="27"/>
  <c r="I142" i="27"/>
  <c r="F142" i="27"/>
  <c r="AA129" i="27"/>
  <c r="X129" i="27"/>
  <c r="N129" i="27"/>
  <c r="I129" i="27"/>
  <c r="F129" i="27"/>
  <c r="AA126" i="27"/>
  <c r="X126" i="27"/>
  <c r="N126" i="27"/>
  <c r="I126" i="27"/>
  <c r="F126" i="27"/>
  <c r="AA135" i="27"/>
  <c r="X135" i="27"/>
  <c r="N135" i="27"/>
  <c r="I135" i="27"/>
  <c r="F135" i="27"/>
  <c r="AA124" i="27"/>
  <c r="X124" i="27"/>
  <c r="N124" i="27"/>
  <c r="I124" i="27"/>
  <c r="F124" i="27"/>
  <c r="AA119" i="27"/>
  <c r="X119" i="27"/>
  <c r="N119" i="27"/>
  <c r="I119" i="27"/>
  <c r="F119" i="27"/>
  <c r="AA128" i="27"/>
  <c r="X128" i="27"/>
  <c r="N128" i="27"/>
  <c r="I128" i="27"/>
  <c r="F128" i="27"/>
  <c r="AA109" i="27"/>
  <c r="X109" i="27"/>
  <c r="N109" i="27"/>
  <c r="I109" i="27"/>
  <c r="F109" i="27"/>
  <c r="AA133" i="27"/>
  <c r="X133" i="27"/>
  <c r="N133" i="27"/>
  <c r="I133" i="27"/>
  <c r="F133" i="27"/>
  <c r="AA134" i="27"/>
  <c r="X134" i="27"/>
  <c r="N134" i="27"/>
  <c r="I134" i="27"/>
  <c r="F134" i="27"/>
  <c r="AA120" i="27"/>
  <c r="X120" i="27"/>
  <c r="N120" i="27"/>
  <c r="I120" i="27"/>
  <c r="F120" i="27"/>
  <c r="AA116" i="27"/>
  <c r="X116" i="27"/>
  <c r="N116" i="27"/>
  <c r="I116" i="27"/>
  <c r="F116" i="27"/>
  <c r="AA117" i="27"/>
  <c r="X117" i="27"/>
  <c r="N117" i="27"/>
  <c r="I117" i="27"/>
  <c r="F117" i="27"/>
  <c r="AA106" i="27"/>
  <c r="X106" i="27"/>
  <c r="N106" i="27"/>
  <c r="I106" i="27"/>
  <c r="F106" i="27"/>
  <c r="AA115" i="27"/>
  <c r="X115" i="27"/>
  <c r="N115" i="27"/>
  <c r="I115" i="27"/>
  <c r="F115" i="27"/>
  <c r="AA112" i="27"/>
  <c r="X112" i="27"/>
  <c r="N112" i="27"/>
  <c r="I112" i="27"/>
  <c r="F112" i="27"/>
  <c r="AA114" i="27"/>
  <c r="X114" i="27"/>
  <c r="N114" i="27"/>
  <c r="I114" i="27"/>
  <c r="F114" i="27"/>
  <c r="AA108" i="27"/>
  <c r="X108" i="27"/>
  <c r="N108" i="27"/>
  <c r="I108" i="27"/>
  <c r="F108" i="27"/>
  <c r="AA113" i="27"/>
  <c r="X113" i="27"/>
  <c r="N113" i="27"/>
  <c r="I113" i="27"/>
  <c r="F113" i="27"/>
  <c r="AA102" i="27"/>
  <c r="X102" i="27"/>
  <c r="N102" i="27"/>
  <c r="I102" i="27"/>
  <c r="F102" i="27"/>
  <c r="AA107" i="27"/>
  <c r="X107" i="27"/>
  <c r="N107" i="27"/>
  <c r="I107" i="27"/>
  <c r="F107" i="27"/>
  <c r="AA97" i="27"/>
  <c r="X97" i="27"/>
  <c r="N97" i="27"/>
  <c r="I97" i="27"/>
  <c r="F97" i="27"/>
  <c r="AA89" i="27"/>
  <c r="X89" i="27"/>
  <c r="N89" i="27"/>
  <c r="I89" i="27"/>
  <c r="F89" i="27"/>
  <c r="AA68" i="27"/>
  <c r="X68" i="27"/>
  <c r="N68" i="27"/>
  <c r="I68" i="27"/>
  <c r="F68" i="27"/>
  <c r="AA99" i="27"/>
  <c r="X99" i="27"/>
  <c r="N99" i="27"/>
  <c r="I99" i="27"/>
  <c r="F99" i="27"/>
  <c r="AA143" i="27"/>
  <c r="X143" i="27"/>
  <c r="N143" i="27"/>
  <c r="I143" i="27"/>
  <c r="F143" i="27"/>
  <c r="AA93" i="27"/>
  <c r="X93" i="27"/>
  <c r="N93" i="27"/>
  <c r="I93" i="27"/>
  <c r="F93" i="27"/>
  <c r="AA95" i="27"/>
  <c r="X95" i="27"/>
  <c r="N95" i="27"/>
  <c r="I95" i="27"/>
  <c r="F95" i="27"/>
  <c r="F77" i="27"/>
  <c r="I90" i="27"/>
  <c r="G113" i="26"/>
  <c r="AA73" i="26"/>
  <c r="X73" i="26"/>
  <c r="N73" i="26"/>
  <c r="I73" i="26"/>
  <c r="F73" i="26"/>
  <c r="AA76" i="26"/>
  <c r="X76" i="26"/>
  <c r="N76" i="26"/>
  <c r="I76" i="26"/>
  <c r="F76" i="26"/>
  <c r="AA68" i="26"/>
  <c r="X68" i="26"/>
  <c r="N68" i="26"/>
  <c r="I68" i="26"/>
  <c r="F68" i="26"/>
  <c r="AA104" i="26"/>
  <c r="X104" i="26"/>
  <c r="N104" i="26"/>
  <c r="I104" i="26"/>
  <c r="F104" i="26"/>
  <c r="AA92" i="26"/>
  <c r="X92" i="26"/>
  <c r="N92" i="26"/>
  <c r="I92" i="26"/>
  <c r="F92" i="26"/>
  <c r="AA94" i="26"/>
  <c r="X94" i="26"/>
  <c r="N94" i="26"/>
  <c r="I94" i="26"/>
  <c r="F94" i="26"/>
  <c r="AA11" i="26"/>
  <c r="X11" i="26"/>
  <c r="N11" i="26"/>
  <c r="I11" i="26"/>
  <c r="F11" i="26"/>
  <c r="AA105" i="26"/>
  <c r="X105" i="26"/>
  <c r="N105" i="26"/>
  <c r="I105" i="26"/>
  <c r="F105" i="26"/>
  <c r="AA90" i="26"/>
  <c r="X90" i="26"/>
  <c r="N90" i="26"/>
  <c r="I90" i="26"/>
  <c r="F90" i="26"/>
  <c r="AA62" i="26"/>
  <c r="X62" i="26"/>
  <c r="N62" i="26"/>
  <c r="I62" i="26"/>
  <c r="F62" i="26"/>
  <c r="AA106" i="26"/>
  <c r="X106" i="26"/>
  <c r="N106" i="26"/>
  <c r="I106" i="26"/>
  <c r="F106" i="26"/>
  <c r="AA107" i="26"/>
  <c r="X107" i="26"/>
  <c r="N107" i="26"/>
  <c r="I107" i="26"/>
  <c r="F107" i="26"/>
  <c r="AA74" i="26"/>
  <c r="X74" i="26"/>
  <c r="N74" i="26"/>
  <c r="I74" i="26"/>
  <c r="F74" i="26"/>
  <c r="AA80" i="26"/>
  <c r="X80" i="26"/>
  <c r="N80" i="26"/>
  <c r="I80" i="26"/>
  <c r="F80" i="26"/>
  <c r="AA102" i="26"/>
  <c r="X102" i="26"/>
  <c r="N102" i="26"/>
  <c r="I102" i="26"/>
  <c r="F102" i="26"/>
  <c r="AA101" i="26"/>
  <c r="X101" i="26"/>
  <c r="N101" i="26"/>
  <c r="I101" i="26"/>
  <c r="F101" i="26"/>
  <c r="AA103" i="26"/>
  <c r="X103" i="26"/>
  <c r="N103" i="26"/>
  <c r="I103" i="26"/>
  <c r="F103" i="26"/>
  <c r="AA86" i="26"/>
  <c r="X86" i="26"/>
  <c r="N86" i="26"/>
  <c r="I86" i="26"/>
  <c r="F86" i="26"/>
  <c r="AA40" i="26"/>
  <c r="X40" i="26"/>
  <c r="N40" i="26"/>
  <c r="I40" i="26"/>
  <c r="F40" i="26"/>
  <c r="AA108" i="26"/>
  <c r="X108" i="26"/>
  <c r="N108" i="26"/>
  <c r="I108" i="26"/>
  <c r="F108" i="26"/>
  <c r="AA111" i="26"/>
  <c r="X111" i="26"/>
  <c r="N111" i="26"/>
  <c r="I111" i="26"/>
  <c r="F111" i="26"/>
  <c r="AA89" i="26"/>
  <c r="X89" i="26"/>
  <c r="N89" i="26"/>
  <c r="I89" i="26"/>
  <c r="F89" i="26"/>
  <c r="AA93" i="26"/>
  <c r="X93" i="26"/>
  <c r="N93" i="26"/>
  <c r="I93" i="26"/>
  <c r="F93" i="26"/>
  <c r="AA110" i="26"/>
  <c r="X110" i="26"/>
  <c r="N110" i="26"/>
  <c r="I110" i="26"/>
  <c r="F110" i="26"/>
  <c r="AA79" i="26"/>
  <c r="X79" i="26"/>
  <c r="N79" i="26"/>
  <c r="I79" i="26"/>
  <c r="F79" i="26"/>
  <c r="AA100" i="26"/>
  <c r="X100" i="26"/>
  <c r="N100" i="26"/>
  <c r="I100" i="26"/>
  <c r="F100" i="26"/>
  <c r="AA95" i="26"/>
  <c r="X95" i="26"/>
  <c r="N95" i="26"/>
  <c r="I95" i="26"/>
  <c r="F95" i="26"/>
  <c r="AA97" i="26"/>
  <c r="X97" i="26"/>
  <c r="N97" i="26"/>
  <c r="I97" i="26"/>
  <c r="F97" i="26"/>
  <c r="AA99" i="26"/>
  <c r="X99" i="26"/>
  <c r="N99" i="26"/>
  <c r="I99" i="26"/>
  <c r="F99" i="26"/>
  <c r="AA96" i="26"/>
  <c r="X96" i="26"/>
  <c r="N96" i="26"/>
  <c r="I96" i="26"/>
  <c r="F96" i="26"/>
  <c r="AA98" i="26"/>
  <c r="X98" i="26"/>
  <c r="N98" i="26"/>
  <c r="I98" i="26"/>
  <c r="F98" i="26"/>
  <c r="AA37" i="26"/>
  <c r="X37" i="26"/>
  <c r="N37" i="26"/>
  <c r="I37" i="26"/>
  <c r="F37" i="26"/>
  <c r="X78" i="26"/>
  <c r="F22" i="27"/>
  <c r="I22" i="27"/>
  <c r="N22" i="27"/>
  <c r="X22" i="27"/>
  <c r="AA22" i="27"/>
  <c r="F25" i="27"/>
  <c r="I25" i="27"/>
  <c r="N25" i="27"/>
  <c r="X25" i="27"/>
  <c r="AA25" i="27"/>
  <c r="F24" i="27"/>
  <c r="I24" i="27"/>
  <c r="N24" i="27"/>
  <c r="X24" i="27"/>
  <c r="AA24" i="27"/>
  <c r="F31" i="27"/>
  <c r="I31" i="27"/>
  <c r="N31" i="27"/>
  <c r="X31" i="27"/>
  <c r="AA31" i="27"/>
  <c r="F23" i="27"/>
  <c r="I23" i="27"/>
  <c r="N23" i="27"/>
  <c r="X23" i="27"/>
  <c r="AA23" i="27"/>
  <c r="F14" i="27"/>
  <c r="I14" i="27"/>
  <c r="N14" i="27"/>
  <c r="X14" i="27"/>
  <c r="AA14" i="27"/>
  <c r="F26" i="27"/>
  <c r="I26" i="27"/>
  <c r="N26" i="27"/>
  <c r="X26" i="27"/>
  <c r="AA26" i="27"/>
  <c r="F33" i="27"/>
  <c r="I33" i="27"/>
  <c r="N33" i="27"/>
  <c r="X33" i="27"/>
  <c r="AA33" i="27"/>
  <c r="F37" i="27"/>
  <c r="I37" i="27"/>
  <c r="N37" i="27"/>
  <c r="X37" i="27"/>
  <c r="AA37" i="27"/>
  <c r="F34" i="27"/>
  <c r="I34" i="27"/>
  <c r="N34" i="27"/>
  <c r="X34" i="27"/>
  <c r="AA34" i="27"/>
  <c r="F13" i="27"/>
  <c r="I13" i="27"/>
  <c r="N13" i="27"/>
  <c r="X13" i="27"/>
  <c r="AA13" i="27"/>
  <c r="F38" i="27"/>
  <c r="I38" i="27"/>
  <c r="N38" i="27"/>
  <c r="X38" i="27"/>
  <c r="AA38" i="27"/>
  <c r="F39" i="27"/>
  <c r="I39" i="27"/>
  <c r="N39" i="27"/>
  <c r="X39" i="27"/>
  <c r="AA39" i="27"/>
  <c r="F35" i="27"/>
  <c r="I35" i="27"/>
  <c r="N35" i="27"/>
  <c r="X35" i="27"/>
  <c r="AA35" i="27"/>
  <c r="F44" i="27"/>
  <c r="I44" i="27"/>
  <c r="N44" i="27"/>
  <c r="X44" i="27"/>
  <c r="AA44" i="27"/>
  <c r="F43" i="27"/>
  <c r="I43" i="27"/>
  <c r="N43" i="27"/>
  <c r="X43" i="27"/>
  <c r="AA43" i="27"/>
  <c r="F21" i="27"/>
  <c r="I21" i="27"/>
  <c r="N21" i="27"/>
  <c r="X21" i="27"/>
  <c r="AA21" i="27"/>
  <c r="F41" i="27"/>
  <c r="I41" i="27"/>
  <c r="N41" i="27"/>
  <c r="X41" i="27"/>
  <c r="AA41" i="27"/>
  <c r="F18" i="27"/>
  <c r="I18" i="27"/>
  <c r="N18" i="27"/>
  <c r="X18" i="27"/>
  <c r="AA18" i="27"/>
  <c r="F32" i="27"/>
  <c r="I32" i="27"/>
  <c r="N32" i="27"/>
  <c r="X32" i="27"/>
  <c r="AA32" i="27"/>
  <c r="F27" i="27"/>
  <c r="I27" i="27"/>
  <c r="N27" i="27"/>
  <c r="X27" i="27"/>
  <c r="AA27" i="27"/>
  <c r="F28" i="27"/>
  <c r="I28" i="27"/>
  <c r="N28" i="27"/>
  <c r="X28" i="27"/>
  <c r="AA28" i="27"/>
  <c r="F29" i="27"/>
  <c r="I29" i="27"/>
  <c r="N29" i="27"/>
  <c r="X29" i="27"/>
  <c r="AA29" i="27"/>
  <c r="F12" i="27"/>
  <c r="I12" i="27"/>
  <c r="N12" i="27"/>
  <c r="X12" i="27"/>
  <c r="AA12" i="27"/>
  <c r="F15" i="27"/>
  <c r="I15" i="27"/>
  <c r="N15" i="27"/>
  <c r="X15" i="27"/>
  <c r="AA15" i="27"/>
  <c r="F19" i="27"/>
  <c r="I19" i="27"/>
  <c r="N19" i="27"/>
  <c r="X19" i="27"/>
  <c r="AA19" i="27"/>
  <c r="F20" i="27"/>
  <c r="I20" i="27"/>
  <c r="N20" i="27"/>
  <c r="X20" i="27"/>
  <c r="AA20" i="27"/>
  <c r="F36" i="27"/>
  <c r="I36" i="27"/>
  <c r="N36" i="27"/>
  <c r="X36" i="27"/>
  <c r="AA36" i="27"/>
  <c r="F40" i="27"/>
  <c r="I40" i="27"/>
  <c r="N40" i="27"/>
  <c r="X40" i="27"/>
  <c r="AA40" i="27"/>
  <c r="F58" i="27"/>
  <c r="I58" i="27"/>
  <c r="N58" i="27"/>
  <c r="X58" i="27"/>
  <c r="AA58" i="27"/>
  <c r="F60" i="27"/>
  <c r="I60" i="27"/>
  <c r="N60" i="27"/>
  <c r="X60" i="27"/>
  <c r="AA60" i="27"/>
  <c r="F59" i="27"/>
  <c r="I59" i="27"/>
  <c r="N59" i="27"/>
  <c r="X59" i="27"/>
  <c r="AA59" i="27"/>
  <c r="F48" i="27"/>
  <c r="I48" i="27"/>
  <c r="N48" i="27"/>
  <c r="X48" i="27"/>
  <c r="AA48" i="27"/>
  <c r="F47" i="27"/>
  <c r="I47" i="27"/>
  <c r="N47" i="27"/>
  <c r="X47" i="27"/>
  <c r="AA47" i="27"/>
  <c r="F51" i="27"/>
  <c r="I51" i="27"/>
  <c r="N51" i="27"/>
  <c r="X51" i="27"/>
  <c r="AA51" i="27"/>
  <c r="F50" i="27"/>
  <c r="I50" i="27"/>
  <c r="N50" i="27"/>
  <c r="X50" i="27"/>
  <c r="AA50" i="27"/>
  <c r="F49" i="27"/>
  <c r="I49" i="27"/>
  <c r="N49" i="27"/>
  <c r="X49" i="27"/>
  <c r="AA49" i="27"/>
  <c r="F53" i="27"/>
  <c r="I53" i="27"/>
  <c r="N53" i="27"/>
  <c r="X53" i="27"/>
  <c r="AA53" i="27"/>
  <c r="F16" i="27"/>
  <c r="I16" i="27"/>
  <c r="N16" i="27"/>
  <c r="X16" i="27"/>
  <c r="AA16" i="27"/>
  <c r="F46" i="27"/>
  <c r="I46" i="27"/>
  <c r="N46" i="27"/>
  <c r="X46" i="27"/>
  <c r="AA46" i="27"/>
  <c r="F55" i="27"/>
  <c r="I55" i="27"/>
  <c r="N55" i="27"/>
  <c r="X55" i="27"/>
  <c r="AA55" i="27"/>
  <c r="F72" i="27"/>
  <c r="I72" i="27"/>
  <c r="N72" i="27"/>
  <c r="X72" i="27"/>
  <c r="AA72" i="27"/>
  <c r="F65" i="27"/>
  <c r="I65" i="27"/>
  <c r="N65" i="27"/>
  <c r="X65" i="27"/>
  <c r="AA65" i="27"/>
  <c r="F67" i="27"/>
  <c r="I67" i="27"/>
  <c r="N67" i="27"/>
  <c r="X67" i="27"/>
  <c r="AA67" i="27"/>
  <c r="F70" i="27"/>
  <c r="I70" i="27"/>
  <c r="N70" i="27"/>
  <c r="X70" i="27"/>
  <c r="AA70" i="27"/>
  <c r="F74" i="27"/>
  <c r="I74" i="27"/>
  <c r="N74" i="27"/>
  <c r="X74" i="27"/>
  <c r="AA74" i="27"/>
  <c r="F61" i="27"/>
  <c r="I61" i="27"/>
  <c r="N61" i="27"/>
  <c r="X61" i="27"/>
  <c r="AA61" i="27"/>
  <c r="F57" i="27"/>
  <c r="I57" i="27"/>
  <c r="N57" i="27"/>
  <c r="X57" i="27"/>
  <c r="AA57" i="27"/>
  <c r="F56" i="27"/>
  <c r="I56" i="27"/>
  <c r="N56" i="27"/>
  <c r="X56" i="27"/>
  <c r="AA56" i="27"/>
  <c r="F45" i="27"/>
  <c r="I45" i="27"/>
  <c r="N45" i="27"/>
  <c r="X45" i="27"/>
  <c r="AA45" i="27"/>
  <c r="F17" i="27"/>
  <c r="I17" i="27"/>
  <c r="N17" i="27"/>
  <c r="X17" i="27"/>
  <c r="AA17" i="27"/>
  <c r="F81" i="27"/>
  <c r="I81" i="27"/>
  <c r="N81" i="27"/>
  <c r="X81" i="27"/>
  <c r="AA81" i="27"/>
  <c r="F63" i="27"/>
  <c r="I63" i="27"/>
  <c r="N63" i="27"/>
  <c r="X63" i="27"/>
  <c r="AA63" i="27"/>
  <c r="F71" i="27"/>
  <c r="I71" i="27"/>
  <c r="N71" i="27"/>
  <c r="X71" i="27"/>
  <c r="AA71" i="27"/>
  <c r="F76" i="27"/>
  <c r="I76" i="27"/>
  <c r="N76" i="27"/>
  <c r="X76" i="27"/>
  <c r="AA76" i="27"/>
  <c r="F11" i="27"/>
  <c r="I11" i="27"/>
  <c r="N11" i="27"/>
  <c r="X11" i="27"/>
  <c r="AA11" i="27"/>
  <c r="F75" i="27"/>
  <c r="I75" i="27"/>
  <c r="N75" i="27"/>
  <c r="X75" i="27"/>
  <c r="AA75" i="27"/>
  <c r="F52" i="27"/>
  <c r="I52" i="27"/>
  <c r="N52" i="27"/>
  <c r="X52" i="27"/>
  <c r="AA52" i="27"/>
  <c r="F90" i="27"/>
  <c r="N90" i="27"/>
  <c r="X90" i="27"/>
  <c r="AA90" i="27"/>
  <c r="F91" i="27"/>
  <c r="I91" i="27"/>
  <c r="N91" i="27"/>
  <c r="X91" i="27"/>
  <c r="AA91" i="27"/>
  <c r="I77" i="27"/>
  <c r="N77" i="27"/>
  <c r="X77" i="27"/>
  <c r="AA77" i="27"/>
  <c r="F86" i="27"/>
  <c r="I86" i="27"/>
  <c r="N86" i="27"/>
  <c r="X86" i="27"/>
  <c r="AA86" i="27"/>
  <c r="F87" i="27"/>
  <c r="I87" i="27"/>
  <c r="N87" i="27"/>
  <c r="X87" i="27"/>
  <c r="AA87" i="27"/>
  <c r="F88" i="27"/>
  <c r="I88" i="27"/>
  <c r="N88" i="27"/>
  <c r="X88" i="27"/>
  <c r="AA88" i="27"/>
  <c r="F69" i="27"/>
  <c r="I69" i="27"/>
  <c r="N69" i="27"/>
  <c r="X69" i="27"/>
  <c r="AA69" i="27"/>
  <c r="F73" i="27"/>
  <c r="I73" i="27"/>
  <c r="N73" i="27"/>
  <c r="X73" i="27"/>
  <c r="AA73" i="27"/>
  <c r="F85" i="27"/>
  <c r="I85" i="27"/>
  <c r="N85" i="27"/>
  <c r="X85" i="27"/>
  <c r="AA85" i="27"/>
  <c r="F82" i="27"/>
  <c r="I82" i="27"/>
  <c r="N82" i="27"/>
  <c r="X82" i="27"/>
  <c r="AA82" i="27"/>
  <c r="F83" i="27"/>
  <c r="I83" i="27"/>
  <c r="N83" i="27"/>
  <c r="X83" i="27"/>
  <c r="AA83" i="27"/>
  <c r="F84" i="27"/>
  <c r="I84" i="27"/>
  <c r="N84" i="27"/>
  <c r="X84" i="27"/>
  <c r="AA84" i="27"/>
  <c r="F100" i="27"/>
  <c r="I100" i="27"/>
  <c r="N100" i="27"/>
  <c r="X100" i="27"/>
  <c r="AA100" i="27"/>
  <c r="F62" i="27"/>
  <c r="I62" i="27"/>
  <c r="N62" i="27"/>
  <c r="X62" i="27"/>
  <c r="AA62" i="27"/>
  <c r="F42" i="27"/>
  <c r="I42" i="27"/>
  <c r="N42" i="27"/>
  <c r="X42" i="27"/>
  <c r="AA42" i="27"/>
  <c r="F30" i="27"/>
  <c r="I30" i="27"/>
  <c r="N30" i="27"/>
  <c r="X30" i="27"/>
  <c r="AA30" i="27"/>
  <c r="F92" i="27"/>
  <c r="I92" i="27"/>
  <c r="N92" i="27"/>
  <c r="X92" i="27"/>
  <c r="AA92" i="27"/>
  <c r="F98" i="27"/>
  <c r="I98" i="27"/>
  <c r="N98" i="27"/>
  <c r="X98" i="27"/>
  <c r="AA98" i="27"/>
  <c r="F96" i="27"/>
  <c r="I96" i="27"/>
  <c r="N96" i="27"/>
  <c r="X96" i="27"/>
  <c r="AA96" i="27"/>
  <c r="AA84" i="26"/>
  <c r="X84" i="26"/>
  <c r="N84" i="26"/>
  <c r="I84" i="26"/>
  <c r="F84" i="26"/>
  <c r="AA63" i="26"/>
  <c r="X63" i="26"/>
  <c r="N63" i="26"/>
  <c r="I63" i="26"/>
  <c r="F63" i="26"/>
  <c r="AA87" i="26"/>
  <c r="X87" i="26"/>
  <c r="N87" i="26"/>
  <c r="I87" i="26"/>
  <c r="F87" i="26"/>
  <c r="AA45" i="26"/>
  <c r="X45" i="26"/>
  <c r="N45" i="26"/>
  <c r="I45" i="26"/>
  <c r="F45" i="26"/>
  <c r="AA81" i="26"/>
  <c r="X81" i="26"/>
  <c r="N81" i="26"/>
  <c r="I81" i="26"/>
  <c r="F81" i="26"/>
  <c r="AA54" i="26"/>
  <c r="X54" i="26"/>
  <c r="N54" i="26"/>
  <c r="I54" i="26"/>
  <c r="F54" i="26"/>
  <c r="AA53" i="26"/>
  <c r="X53" i="26"/>
  <c r="N53" i="26"/>
  <c r="I53" i="26"/>
  <c r="F53" i="26"/>
  <c r="AA57" i="26"/>
  <c r="X57" i="26"/>
  <c r="N57" i="26"/>
  <c r="I57" i="26"/>
  <c r="F57" i="26"/>
  <c r="AA58" i="26"/>
  <c r="X58" i="26"/>
  <c r="N58" i="26"/>
  <c r="I58" i="26"/>
  <c r="F58" i="26"/>
  <c r="AA61" i="26"/>
  <c r="X61" i="26"/>
  <c r="N61" i="26"/>
  <c r="I61" i="26"/>
  <c r="F61" i="26"/>
  <c r="AA64" i="26"/>
  <c r="X64" i="26"/>
  <c r="N64" i="26"/>
  <c r="I64" i="26"/>
  <c r="F64" i="26"/>
  <c r="AA70" i="26"/>
  <c r="X70" i="26"/>
  <c r="N70" i="26"/>
  <c r="I70" i="26"/>
  <c r="F70" i="26"/>
  <c r="AA66" i="26"/>
  <c r="X66" i="26"/>
  <c r="N66" i="26"/>
  <c r="I66" i="26"/>
  <c r="F66" i="26"/>
  <c r="AA65" i="26"/>
  <c r="X65" i="26"/>
  <c r="N65" i="26"/>
  <c r="I65" i="26"/>
  <c r="F65" i="26"/>
  <c r="AA60" i="26"/>
  <c r="X60" i="26"/>
  <c r="N60" i="26"/>
  <c r="I60" i="26"/>
  <c r="F60" i="26"/>
  <c r="AA20" i="26"/>
  <c r="X20" i="26"/>
  <c r="N20" i="26"/>
  <c r="I20" i="26"/>
  <c r="F20" i="26"/>
  <c r="AA91" i="26"/>
  <c r="X91" i="26"/>
  <c r="N91" i="26"/>
  <c r="I91" i="26"/>
  <c r="F91" i="26"/>
  <c r="AA88" i="26"/>
  <c r="X88" i="26"/>
  <c r="N88" i="26"/>
  <c r="I88" i="26"/>
  <c r="F88" i="26"/>
  <c r="AA47" i="26"/>
  <c r="X47" i="26"/>
  <c r="N47" i="26"/>
  <c r="I47" i="26"/>
  <c r="F47" i="26"/>
  <c r="AA71" i="26"/>
  <c r="X71" i="26"/>
  <c r="N71" i="26"/>
  <c r="I71" i="26"/>
  <c r="F71" i="26"/>
  <c r="AA75" i="26"/>
  <c r="X75" i="26"/>
  <c r="N75" i="26"/>
  <c r="I75" i="26"/>
  <c r="F75" i="26"/>
  <c r="AA85" i="26"/>
  <c r="X85" i="26"/>
  <c r="N85" i="26"/>
  <c r="I85" i="26"/>
  <c r="F85" i="26"/>
  <c r="AA78" i="26"/>
  <c r="N78" i="26"/>
  <c r="I78" i="26"/>
  <c r="F78" i="26"/>
  <c r="AA16" i="26"/>
  <c r="X16" i="26"/>
  <c r="N16" i="26"/>
  <c r="I16" i="26"/>
  <c r="F16" i="26"/>
  <c r="AA77" i="26"/>
  <c r="X77" i="26"/>
  <c r="N77" i="26"/>
  <c r="I77" i="26"/>
  <c r="F77" i="26"/>
  <c r="AA83" i="26"/>
  <c r="X83" i="26"/>
  <c r="N83" i="26"/>
  <c r="I83" i="26"/>
  <c r="F83" i="26"/>
  <c r="AA82" i="26"/>
  <c r="X82" i="26"/>
  <c r="N82" i="26"/>
  <c r="I82" i="26"/>
  <c r="F82" i="26"/>
  <c r="AA69" i="26"/>
  <c r="X69" i="26"/>
  <c r="N69" i="26"/>
  <c r="I69" i="26"/>
  <c r="F69" i="26"/>
  <c r="AA56" i="26"/>
  <c r="X56" i="26"/>
  <c r="N56" i="26"/>
  <c r="I56" i="26"/>
  <c r="F56" i="26"/>
  <c r="AA55" i="26"/>
  <c r="X55" i="26"/>
  <c r="N55" i="26"/>
  <c r="I55" i="26"/>
  <c r="F55" i="26"/>
  <c r="AA72" i="26"/>
  <c r="X72" i="26"/>
  <c r="N72" i="26"/>
  <c r="I72" i="26"/>
  <c r="F72" i="26"/>
  <c r="AA67" i="26"/>
  <c r="X67" i="26"/>
  <c r="N67" i="26"/>
  <c r="I67" i="26"/>
  <c r="F67" i="26"/>
  <c r="AA12" i="26"/>
  <c r="X12" i="26"/>
  <c r="N12" i="26"/>
  <c r="I12" i="26"/>
  <c r="F12" i="26"/>
  <c r="AA6" i="26"/>
  <c r="X6" i="26"/>
  <c r="N6" i="26"/>
  <c r="I6" i="26"/>
  <c r="F6" i="26"/>
  <c r="AA43" i="26"/>
  <c r="X43" i="26"/>
  <c r="N43" i="26"/>
  <c r="I43" i="26"/>
  <c r="F43" i="26"/>
  <c r="AA30" i="26"/>
  <c r="X30" i="26"/>
  <c r="N30" i="26"/>
  <c r="I30" i="26"/>
  <c r="F30" i="26"/>
  <c r="AA59" i="26"/>
  <c r="X59" i="26"/>
  <c r="N59" i="26"/>
  <c r="I59" i="26"/>
  <c r="F59" i="26"/>
  <c r="AA50" i="26"/>
  <c r="X50" i="26"/>
  <c r="N50" i="26"/>
  <c r="I50" i="26"/>
  <c r="F50" i="26"/>
  <c r="AA32" i="26"/>
  <c r="X32" i="26"/>
  <c r="N32" i="26"/>
  <c r="I32" i="26"/>
  <c r="F32" i="26"/>
  <c r="AA18" i="26"/>
  <c r="X18" i="26"/>
  <c r="N18" i="26"/>
  <c r="I18" i="26"/>
  <c r="F18" i="26"/>
  <c r="AA15" i="26"/>
  <c r="X15" i="26"/>
  <c r="N15" i="26"/>
  <c r="I15" i="26"/>
  <c r="F15" i="26"/>
  <c r="AA52" i="26"/>
  <c r="X52" i="26"/>
  <c r="N52" i="26"/>
  <c r="I52" i="26"/>
  <c r="F52" i="26"/>
  <c r="AA109" i="26"/>
  <c r="X109" i="26"/>
  <c r="N109" i="26"/>
  <c r="I109" i="26"/>
  <c r="F109" i="26"/>
  <c r="AA49" i="26"/>
  <c r="X49" i="26"/>
  <c r="N49" i="26"/>
  <c r="I49" i="26"/>
  <c r="F49" i="26"/>
  <c r="AA48" i="26"/>
  <c r="X48" i="26"/>
  <c r="N48" i="26"/>
  <c r="I48" i="26"/>
  <c r="F48" i="26"/>
  <c r="AA46" i="26"/>
  <c r="X46" i="26"/>
  <c r="N46" i="26"/>
  <c r="I46" i="26"/>
  <c r="F46" i="26"/>
  <c r="AA35" i="26"/>
  <c r="X35" i="26"/>
  <c r="N35" i="26"/>
  <c r="I35" i="26"/>
  <c r="F35" i="26"/>
  <c r="AA34" i="26"/>
  <c r="X34" i="26"/>
  <c r="N34" i="26"/>
  <c r="I34" i="26"/>
  <c r="F34" i="26"/>
  <c r="AA39" i="26"/>
  <c r="X39" i="26"/>
  <c r="N39" i="26"/>
  <c r="I39" i="26"/>
  <c r="F39" i="26"/>
  <c r="AA24" i="26"/>
  <c r="X24" i="26"/>
  <c r="N24" i="26"/>
  <c r="I24" i="26"/>
  <c r="F24" i="26"/>
  <c r="AA23" i="26"/>
  <c r="X23" i="26"/>
  <c r="N23" i="26"/>
  <c r="I23" i="26"/>
  <c r="F23" i="26"/>
  <c r="AA22" i="26"/>
  <c r="X22" i="26"/>
  <c r="N22" i="26"/>
  <c r="I22" i="26"/>
  <c r="F22" i="26"/>
  <c r="AA4" i="26"/>
  <c r="X4" i="26"/>
  <c r="N4" i="26"/>
  <c r="I4" i="26"/>
  <c r="F4" i="26"/>
  <c r="AA51" i="26"/>
  <c r="X51" i="26"/>
  <c r="N51" i="26"/>
  <c r="I51" i="26"/>
  <c r="F51" i="26"/>
  <c r="AA9" i="26"/>
  <c r="X9" i="26"/>
  <c r="N9" i="26"/>
  <c r="I9" i="26"/>
  <c r="F9" i="26"/>
  <c r="AA14" i="26"/>
  <c r="X14" i="26"/>
  <c r="N14" i="26"/>
  <c r="I14" i="26"/>
  <c r="F14" i="26"/>
  <c r="AA2" i="26"/>
  <c r="X2" i="26"/>
  <c r="N2" i="26"/>
  <c r="I2" i="26"/>
  <c r="F2" i="26"/>
  <c r="AA5" i="26"/>
  <c r="X5" i="26"/>
  <c r="N5" i="26"/>
  <c r="I5" i="26"/>
  <c r="F5" i="26"/>
  <c r="AA8" i="26"/>
  <c r="X8" i="26"/>
  <c r="N8" i="26"/>
  <c r="I8" i="26"/>
  <c r="F8" i="26"/>
  <c r="AA10" i="26"/>
  <c r="X10" i="26"/>
  <c r="N10" i="26"/>
  <c r="I10" i="26"/>
  <c r="F10" i="26"/>
  <c r="AA7" i="26"/>
  <c r="X7" i="26"/>
  <c r="N7" i="26"/>
  <c r="I7" i="26"/>
  <c r="F7" i="26"/>
  <c r="AA13" i="26"/>
  <c r="X13" i="26"/>
  <c r="N13" i="26"/>
  <c r="I13" i="26"/>
  <c r="F13" i="26"/>
  <c r="AA3" i="26"/>
  <c r="X3" i="26"/>
  <c r="N3" i="26"/>
  <c r="I3" i="26"/>
  <c r="F3" i="26"/>
  <c r="AA44" i="26"/>
  <c r="X44" i="26"/>
  <c r="N44" i="26"/>
  <c r="I44" i="26"/>
  <c r="F44" i="26"/>
  <c r="AA33" i="26"/>
  <c r="X33" i="26"/>
  <c r="N33" i="26"/>
  <c r="I33" i="26"/>
  <c r="F33" i="26"/>
  <c r="AA42" i="26"/>
  <c r="X42" i="26"/>
  <c r="N42" i="26"/>
  <c r="I42" i="26"/>
  <c r="F42" i="26"/>
  <c r="AA41" i="26"/>
  <c r="X41" i="26"/>
  <c r="N41" i="26"/>
  <c r="I41" i="26"/>
  <c r="F41" i="26"/>
  <c r="AA36" i="26"/>
  <c r="X36" i="26"/>
  <c r="N36" i="26"/>
  <c r="I36" i="26"/>
  <c r="F36" i="26"/>
  <c r="AA29" i="26"/>
  <c r="X29" i="26"/>
  <c r="N29" i="26"/>
  <c r="I29" i="26"/>
  <c r="F29" i="26"/>
  <c r="AA38" i="26"/>
  <c r="X38" i="26"/>
  <c r="N38" i="26"/>
  <c r="I38" i="26"/>
  <c r="F38" i="26"/>
  <c r="AA31" i="26"/>
  <c r="X31" i="26"/>
  <c r="N31" i="26"/>
  <c r="I31" i="26"/>
  <c r="F31" i="26"/>
  <c r="AA27" i="26"/>
  <c r="X27" i="26"/>
  <c r="N27" i="26"/>
  <c r="I27" i="26"/>
  <c r="F27" i="26"/>
  <c r="AA28" i="26"/>
  <c r="X28" i="26"/>
  <c r="N28" i="26"/>
  <c r="I28" i="26"/>
  <c r="F28" i="26"/>
  <c r="AA21" i="26"/>
  <c r="X21" i="26"/>
  <c r="N21" i="26"/>
  <c r="I21" i="26"/>
  <c r="F21" i="26"/>
  <c r="AA19" i="26"/>
  <c r="X19" i="26"/>
  <c r="N19" i="26"/>
  <c r="I19" i="26"/>
  <c r="F19" i="26"/>
  <c r="AA25" i="26"/>
  <c r="X25" i="26"/>
  <c r="N25" i="26"/>
  <c r="I25" i="26"/>
  <c r="F25" i="26"/>
  <c r="AA26" i="26"/>
  <c r="X26" i="26"/>
  <c r="N26" i="26"/>
  <c r="I26" i="26"/>
  <c r="F26" i="26"/>
  <c r="AA17" i="26"/>
  <c r="X17" i="26"/>
  <c r="N17" i="26"/>
  <c r="I17" i="26"/>
  <c r="F17" i="26"/>
  <c r="AA114" i="22"/>
  <c r="X114" i="22"/>
  <c r="N114" i="22"/>
  <c r="I114" i="22"/>
  <c r="F114" i="22"/>
  <c r="AA115" i="22"/>
  <c r="X115" i="22"/>
  <c r="N115" i="22"/>
  <c r="I115" i="22"/>
  <c r="F115" i="22"/>
  <c r="AA131" i="22"/>
  <c r="X131" i="22"/>
  <c r="N131" i="22"/>
  <c r="I131" i="22"/>
  <c r="AB131" i="22" s="1"/>
  <c r="F131" i="22"/>
  <c r="AA136" i="22"/>
  <c r="X136" i="22"/>
  <c r="N136" i="22"/>
  <c r="I136" i="22"/>
  <c r="F136" i="22"/>
  <c r="AA150" i="22"/>
  <c r="X150" i="22"/>
  <c r="N150" i="22"/>
  <c r="I150" i="22"/>
  <c r="F150" i="22"/>
  <c r="AA144" i="22"/>
  <c r="X144" i="22"/>
  <c r="N144" i="22"/>
  <c r="I144" i="22"/>
  <c r="F144" i="22"/>
  <c r="AA143" i="22"/>
  <c r="X143" i="22"/>
  <c r="N143" i="22"/>
  <c r="I143" i="22"/>
  <c r="AB143" i="22" s="1"/>
  <c r="F143" i="22"/>
  <c r="AA128" i="22"/>
  <c r="X128" i="22"/>
  <c r="N128" i="22"/>
  <c r="AB128" i="22" s="1"/>
  <c r="I128" i="22"/>
  <c r="F128" i="22"/>
  <c r="AA140" i="22"/>
  <c r="X140" i="22"/>
  <c r="N140" i="22"/>
  <c r="I140" i="22"/>
  <c r="F140" i="22"/>
  <c r="AA141" i="22"/>
  <c r="X141" i="22"/>
  <c r="N141" i="22"/>
  <c r="I141" i="22"/>
  <c r="F141" i="22"/>
  <c r="AA132" i="22"/>
  <c r="X132" i="22"/>
  <c r="N132" i="22"/>
  <c r="I132" i="22"/>
  <c r="F132" i="22"/>
  <c r="AA145" i="22"/>
  <c r="X145" i="22"/>
  <c r="N145" i="22"/>
  <c r="I145" i="22"/>
  <c r="F145" i="22"/>
  <c r="AA147" i="22"/>
  <c r="X147" i="22"/>
  <c r="N147" i="22"/>
  <c r="I147" i="22"/>
  <c r="F147" i="22"/>
  <c r="AA146" i="22"/>
  <c r="AB146" i="22" s="1"/>
  <c r="X146" i="22"/>
  <c r="N146" i="22"/>
  <c r="I146" i="22"/>
  <c r="F146" i="22"/>
  <c r="AA134" i="22"/>
  <c r="X134" i="22"/>
  <c r="N134" i="22"/>
  <c r="I134" i="22"/>
  <c r="F134" i="22"/>
  <c r="AA15" i="22"/>
  <c r="X15" i="22"/>
  <c r="N15" i="22"/>
  <c r="I15" i="22"/>
  <c r="F15" i="22"/>
  <c r="AA13" i="22"/>
  <c r="X13" i="22"/>
  <c r="N13" i="22"/>
  <c r="I13" i="22"/>
  <c r="F13" i="22"/>
  <c r="AA10" i="22"/>
  <c r="X10" i="22"/>
  <c r="N10" i="22"/>
  <c r="I10" i="22"/>
  <c r="F10" i="22"/>
  <c r="AA22" i="22"/>
  <c r="X22" i="22"/>
  <c r="N22" i="22"/>
  <c r="I22" i="22"/>
  <c r="F22" i="22"/>
  <c r="AA21" i="22"/>
  <c r="X21" i="22"/>
  <c r="N21" i="22"/>
  <c r="AB21" i="22" s="1"/>
  <c r="I21" i="22"/>
  <c r="F21" i="22"/>
  <c r="AA19" i="22"/>
  <c r="X19" i="22"/>
  <c r="AB19" i="22" s="1"/>
  <c r="N19" i="22"/>
  <c r="I19" i="22"/>
  <c r="F19" i="22"/>
  <c r="AA14" i="22"/>
  <c r="X14" i="22"/>
  <c r="N14" i="22"/>
  <c r="I14" i="22"/>
  <c r="F14" i="22"/>
  <c r="AA24" i="22"/>
  <c r="X24" i="22"/>
  <c r="N24" i="22"/>
  <c r="I24" i="22"/>
  <c r="AB24" i="22" s="1"/>
  <c r="F24" i="22"/>
  <c r="AA17" i="22"/>
  <c r="X17" i="22"/>
  <c r="N17" i="22"/>
  <c r="AB17" i="22" s="1"/>
  <c r="I17" i="22"/>
  <c r="F17" i="22"/>
  <c r="AA16" i="22"/>
  <c r="X16" i="22"/>
  <c r="N16" i="22"/>
  <c r="I16" i="22"/>
  <c r="F16" i="22"/>
  <c r="AA3" i="22"/>
  <c r="X3" i="22"/>
  <c r="N3" i="22"/>
  <c r="I3" i="22"/>
  <c r="F3" i="22"/>
  <c r="AA6" i="22"/>
  <c r="X6" i="22"/>
  <c r="N6" i="22"/>
  <c r="I6" i="22"/>
  <c r="F6" i="22"/>
  <c r="AA5" i="22"/>
  <c r="X5" i="22"/>
  <c r="N5" i="22"/>
  <c r="I5" i="22"/>
  <c r="F5" i="22"/>
  <c r="AA11" i="22"/>
  <c r="X11" i="22"/>
  <c r="N11" i="22"/>
  <c r="I11" i="22"/>
  <c r="F11" i="22"/>
  <c r="AA7" i="22"/>
  <c r="X7" i="22"/>
  <c r="N7" i="22"/>
  <c r="I7" i="22"/>
  <c r="AB7" i="22" s="1"/>
  <c r="F7" i="22"/>
  <c r="AA23" i="22"/>
  <c r="X23" i="22"/>
  <c r="N23" i="22"/>
  <c r="I23" i="22"/>
  <c r="F23" i="22"/>
  <c r="AA20" i="22"/>
  <c r="X20" i="22"/>
  <c r="N20" i="22"/>
  <c r="I20" i="22"/>
  <c r="F20" i="22"/>
  <c r="AA96" i="22"/>
  <c r="X96" i="22"/>
  <c r="N96" i="22"/>
  <c r="I96" i="22"/>
  <c r="F96" i="22"/>
  <c r="AA9" i="22"/>
  <c r="X9" i="22"/>
  <c r="N9" i="22"/>
  <c r="I9" i="22"/>
  <c r="F9" i="22"/>
  <c r="AA12" i="22"/>
  <c r="X12" i="22"/>
  <c r="N12" i="22"/>
  <c r="I12" i="22"/>
  <c r="AB12" i="22" s="1"/>
  <c r="F12" i="22"/>
  <c r="AA2" i="22"/>
  <c r="X2" i="22"/>
  <c r="N2" i="22"/>
  <c r="I2" i="22"/>
  <c r="F2" i="22"/>
  <c r="AA4" i="22"/>
  <c r="X4" i="22"/>
  <c r="N4" i="22"/>
  <c r="I4" i="22"/>
  <c r="F4" i="22"/>
  <c r="AA8" i="22"/>
  <c r="X8" i="22"/>
  <c r="N8" i="22"/>
  <c r="I8" i="22"/>
  <c r="F8" i="22"/>
  <c r="AA130" i="22"/>
  <c r="X130" i="22"/>
  <c r="N130" i="22"/>
  <c r="I130" i="22"/>
  <c r="F130" i="22"/>
  <c r="AA133" i="22"/>
  <c r="X133" i="22"/>
  <c r="N133" i="22"/>
  <c r="AB133" i="22" s="1"/>
  <c r="I133" i="22"/>
  <c r="F133" i="22"/>
  <c r="AA152" i="22"/>
  <c r="X152" i="22"/>
  <c r="N152" i="22"/>
  <c r="I152" i="22"/>
  <c r="F152" i="22"/>
  <c r="AA73" i="22"/>
  <c r="X73" i="22"/>
  <c r="N73" i="22"/>
  <c r="I73" i="22"/>
  <c r="F73" i="22"/>
  <c r="AA135" i="22"/>
  <c r="X135" i="22"/>
  <c r="N135" i="22"/>
  <c r="I135" i="22"/>
  <c r="F135" i="22"/>
  <c r="AA153" i="22"/>
  <c r="X153" i="22"/>
  <c r="N153" i="22"/>
  <c r="I153" i="22"/>
  <c r="F153" i="22"/>
  <c r="AA149" i="22"/>
  <c r="X149" i="22"/>
  <c r="N149" i="22"/>
  <c r="I149" i="22"/>
  <c r="F149" i="22"/>
  <c r="AA142" i="22"/>
  <c r="X142" i="22"/>
  <c r="N142" i="22"/>
  <c r="I142" i="22"/>
  <c r="AB142" i="22" s="1"/>
  <c r="F142" i="22"/>
  <c r="AA125" i="22"/>
  <c r="X125" i="22"/>
  <c r="N125" i="22"/>
  <c r="I125" i="22"/>
  <c r="AB125" i="22" s="1"/>
  <c r="F125" i="22"/>
  <c r="AA111" i="22"/>
  <c r="X111" i="22"/>
  <c r="N111" i="22"/>
  <c r="I111" i="22"/>
  <c r="F111" i="22"/>
  <c r="AA106" i="22"/>
  <c r="X106" i="22"/>
  <c r="N106" i="22"/>
  <c r="I106" i="22"/>
  <c r="F106" i="22"/>
  <c r="AA129" i="22"/>
  <c r="AB129" i="22" s="1"/>
  <c r="X129" i="22"/>
  <c r="N129" i="22"/>
  <c r="I129" i="22"/>
  <c r="F129" i="22"/>
  <c r="AA151" i="22"/>
  <c r="X151" i="22"/>
  <c r="N151" i="22"/>
  <c r="I151" i="22"/>
  <c r="F151" i="22"/>
  <c r="AA28" i="22"/>
  <c r="X28" i="22"/>
  <c r="N28" i="22"/>
  <c r="I28" i="22"/>
  <c r="F28" i="22"/>
  <c r="AA98" i="22"/>
  <c r="X98" i="22"/>
  <c r="N98" i="22"/>
  <c r="I98" i="22"/>
  <c r="F98" i="22"/>
  <c r="AA127" i="22"/>
  <c r="X127" i="22"/>
  <c r="N127" i="22"/>
  <c r="I127" i="22"/>
  <c r="AB127" i="22" s="1"/>
  <c r="F127" i="22"/>
  <c r="AA59" i="22"/>
  <c r="X59" i="22"/>
  <c r="N59" i="22"/>
  <c r="I59" i="22"/>
  <c r="F59" i="22"/>
  <c r="AA79" i="22"/>
  <c r="X79" i="22"/>
  <c r="N79" i="22"/>
  <c r="I79" i="22"/>
  <c r="F79" i="22"/>
  <c r="AA97" i="22"/>
  <c r="X97" i="22"/>
  <c r="N97" i="22"/>
  <c r="I97" i="22"/>
  <c r="F97" i="22"/>
  <c r="AA110" i="22"/>
  <c r="X110" i="22"/>
  <c r="N110" i="22"/>
  <c r="I110" i="22"/>
  <c r="F110" i="22"/>
  <c r="AA148" i="22"/>
  <c r="X148" i="22"/>
  <c r="N148" i="22"/>
  <c r="I148" i="22"/>
  <c r="AB148" i="22" s="1"/>
  <c r="F148" i="22"/>
  <c r="AA139" i="22"/>
  <c r="X139" i="22"/>
  <c r="N139" i="22"/>
  <c r="AB139" i="22" s="1"/>
  <c r="I139" i="22"/>
  <c r="F139" i="22"/>
  <c r="AA119" i="22"/>
  <c r="X119" i="22"/>
  <c r="N119" i="22"/>
  <c r="I119" i="22"/>
  <c r="F119" i="22"/>
  <c r="AA83" i="22"/>
  <c r="X83" i="22"/>
  <c r="N83" i="22"/>
  <c r="I83" i="22"/>
  <c r="F83" i="22"/>
  <c r="AA38" i="22"/>
  <c r="X38" i="22"/>
  <c r="N38" i="22"/>
  <c r="I38" i="22"/>
  <c r="F38" i="22"/>
  <c r="AA124" i="22"/>
  <c r="X124" i="22"/>
  <c r="N124" i="22"/>
  <c r="I124" i="22"/>
  <c r="F124" i="22"/>
  <c r="AA117" i="22"/>
  <c r="X117" i="22"/>
  <c r="N117" i="22"/>
  <c r="I117" i="22"/>
  <c r="F117" i="22"/>
  <c r="AA122" i="22"/>
  <c r="AB122" i="22" s="1"/>
  <c r="X122" i="22"/>
  <c r="N122" i="22"/>
  <c r="I122" i="22"/>
  <c r="F122" i="22"/>
  <c r="AA116" i="22"/>
  <c r="X116" i="22"/>
  <c r="N116" i="22"/>
  <c r="I116" i="22"/>
  <c r="F116" i="22"/>
  <c r="AA103" i="22"/>
  <c r="X103" i="22"/>
  <c r="N103" i="22"/>
  <c r="AB103" i="22" s="1"/>
  <c r="I103" i="22"/>
  <c r="F103" i="22"/>
  <c r="AA121" i="22"/>
  <c r="X121" i="22"/>
  <c r="AB121" i="22" s="1"/>
  <c r="N121" i="22"/>
  <c r="I121" i="22"/>
  <c r="F121" i="22"/>
  <c r="AA120" i="22"/>
  <c r="X120" i="22"/>
  <c r="N120" i="22"/>
  <c r="I120" i="22"/>
  <c r="AB120" i="22" s="1"/>
  <c r="F120" i="22"/>
  <c r="AA107" i="22"/>
  <c r="X107" i="22"/>
  <c r="N107" i="22"/>
  <c r="I107" i="22"/>
  <c r="F107" i="22"/>
  <c r="AA85" i="22"/>
  <c r="X85" i="22"/>
  <c r="N85" i="22"/>
  <c r="AB85" i="22" s="1"/>
  <c r="I85" i="22"/>
  <c r="F85" i="22"/>
  <c r="AA123" i="22"/>
  <c r="X123" i="22"/>
  <c r="N123" i="22"/>
  <c r="I123" i="22"/>
  <c r="F123" i="22"/>
  <c r="AA126" i="22"/>
  <c r="X126" i="22"/>
  <c r="N126" i="22"/>
  <c r="I126" i="22"/>
  <c r="F126" i="22"/>
  <c r="AA100" i="22"/>
  <c r="X100" i="22"/>
  <c r="N100" i="22"/>
  <c r="I100" i="22"/>
  <c r="AB100" i="22" s="1"/>
  <c r="F100" i="22"/>
  <c r="AA137" i="22"/>
  <c r="X137" i="22"/>
  <c r="N137" i="22"/>
  <c r="I137" i="22"/>
  <c r="F137" i="22"/>
  <c r="AA138" i="22"/>
  <c r="X138" i="22"/>
  <c r="N138" i="22"/>
  <c r="I138" i="22"/>
  <c r="F138" i="22"/>
  <c r="AA118" i="22"/>
  <c r="X118" i="22"/>
  <c r="N118" i="22"/>
  <c r="I118" i="22"/>
  <c r="F118" i="22"/>
  <c r="AA112" i="22"/>
  <c r="X112" i="22"/>
  <c r="N112" i="22"/>
  <c r="I112" i="22"/>
  <c r="AB112" i="22" s="1"/>
  <c r="F112" i="22"/>
  <c r="AA44" i="22"/>
  <c r="X44" i="22"/>
  <c r="N44" i="22"/>
  <c r="I44" i="22"/>
  <c r="F44" i="22"/>
  <c r="AA66" i="22"/>
  <c r="X66" i="22"/>
  <c r="N66" i="22"/>
  <c r="I66" i="22"/>
  <c r="F66" i="22"/>
  <c r="AA61" i="22"/>
  <c r="X61" i="22"/>
  <c r="N61" i="22"/>
  <c r="I61" i="22"/>
  <c r="AB61" i="22" s="1"/>
  <c r="F61" i="22"/>
  <c r="AA87" i="22"/>
  <c r="X87" i="22"/>
  <c r="N87" i="22"/>
  <c r="I87" i="22"/>
  <c r="F87" i="22"/>
  <c r="AA89" i="22"/>
  <c r="X89" i="22"/>
  <c r="N89" i="22"/>
  <c r="I89" i="22"/>
  <c r="F89" i="22"/>
  <c r="AA72" i="22"/>
  <c r="X72" i="22"/>
  <c r="N72" i="22"/>
  <c r="I72" i="22"/>
  <c r="F72" i="22"/>
  <c r="AA113" i="22"/>
  <c r="AB113" i="22" s="1"/>
  <c r="X113" i="22"/>
  <c r="N113" i="22"/>
  <c r="I113" i="22"/>
  <c r="F113" i="22"/>
  <c r="AA108" i="22"/>
  <c r="X108" i="22"/>
  <c r="N108" i="22"/>
  <c r="I108" i="22"/>
  <c r="F108" i="22"/>
  <c r="AA37" i="22"/>
  <c r="X37" i="22"/>
  <c r="N37" i="22"/>
  <c r="I37" i="22"/>
  <c r="F37" i="22"/>
  <c r="AA105" i="22"/>
  <c r="X105" i="22"/>
  <c r="N105" i="22"/>
  <c r="I105" i="22"/>
  <c r="F105" i="22"/>
  <c r="AA99" i="22"/>
  <c r="X99" i="22"/>
  <c r="N99" i="22"/>
  <c r="I99" i="22"/>
  <c r="AB99" i="22" s="1"/>
  <c r="F99" i="22"/>
  <c r="AA109" i="22"/>
  <c r="X109" i="22"/>
  <c r="N109" i="22"/>
  <c r="I109" i="22"/>
  <c r="AB109" i="22" s="1"/>
  <c r="F109" i="22"/>
  <c r="AA90" i="22"/>
  <c r="X90" i="22"/>
  <c r="N90" i="22"/>
  <c r="I90" i="22"/>
  <c r="F90" i="22"/>
  <c r="AA52" i="22"/>
  <c r="X52" i="22"/>
  <c r="N52" i="22"/>
  <c r="I52" i="22"/>
  <c r="F52" i="22"/>
  <c r="AA80" i="22"/>
  <c r="X80" i="22"/>
  <c r="N80" i="22"/>
  <c r="I80" i="22"/>
  <c r="F80" i="22"/>
  <c r="AA81" i="22"/>
  <c r="X81" i="22"/>
  <c r="N81" i="22"/>
  <c r="I81" i="22"/>
  <c r="F81" i="22"/>
  <c r="F47" i="22"/>
  <c r="I47" i="22"/>
  <c r="N47" i="22"/>
  <c r="I2" i="18"/>
  <c r="N2" i="18"/>
  <c r="X2" i="18"/>
  <c r="AA2" i="18"/>
  <c r="I3" i="18"/>
  <c r="N3" i="18"/>
  <c r="X3" i="18"/>
  <c r="AA3" i="18"/>
  <c r="I4" i="18"/>
  <c r="N4" i="18"/>
  <c r="X4" i="18"/>
  <c r="AA4" i="18"/>
  <c r="I5" i="18"/>
  <c r="N5" i="18"/>
  <c r="X5" i="18"/>
  <c r="AA5" i="18"/>
  <c r="I6" i="18"/>
  <c r="N6" i="18"/>
  <c r="X6" i="18"/>
  <c r="AA6" i="18"/>
  <c r="I7" i="18"/>
  <c r="N7" i="18"/>
  <c r="X7" i="18"/>
  <c r="AA7" i="18"/>
  <c r="I8" i="18"/>
  <c r="N8" i="18"/>
  <c r="X8" i="18"/>
  <c r="AA8" i="18"/>
  <c r="I9" i="18"/>
  <c r="N9" i="18"/>
  <c r="X9" i="18"/>
  <c r="AA9" i="18"/>
  <c r="I10" i="18"/>
  <c r="K10" i="18"/>
  <c r="N10" i="18"/>
  <c r="P10" i="18"/>
  <c r="S10" i="18"/>
  <c r="U10" i="18"/>
  <c r="X10" i="18"/>
  <c r="AA10" i="18"/>
  <c r="I11" i="18"/>
  <c r="N11" i="18"/>
  <c r="AB11" i="18" s="1"/>
  <c r="X11" i="18"/>
  <c r="AA11" i="18"/>
  <c r="I12" i="18"/>
  <c r="N12" i="18"/>
  <c r="X12" i="18"/>
  <c r="AA12" i="18"/>
  <c r="I13" i="18"/>
  <c r="N13" i="18"/>
  <c r="X13" i="18"/>
  <c r="AA13" i="18"/>
  <c r="I14" i="18"/>
  <c r="N14" i="18"/>
  <c r="X14" i="18"/>
  <c r="AA14" i="18"/>
  <c r="I15" i="18"/>
  <c r="N15" i="18"/>
  <c r="AB15" i="18" s="1"/>
  <c r="X15" i="18"/>
  <c r="AA15" i="18"/>
  <c r="I16" i="18"/>
  <c r="N16" i="18"/>
  <c r="X16" i="18"/>
  <c r="AA16" i="18"/>
  <c r="I17" i="18"/>
  <c r="N17" i="18"/>
  <c r="X17" i="18"/>
  <c r="AA17" i="18"/>
  <c r="I18" i="18"/>
  <c r="N18" i="18"/>
  <c r="X18" i="18"/>
  <c r="AA18" i="18"/>
  <c r="I19" i="18"/>
  <c r="N19" i="18"/>
  <c r="X19" i="18"/>
  <c r="AA19" i="18"/>
  <c r="I20" i="18"/>
  <c r="N20" i="18"/>
  <c r="X20" i="18"/>
  <c r="AA20" i="18"/>
  <c r="I21" i="18"/>
  <c r="N21" i="18"/>
  <c r="X21" i="18"/>
  <c r="AA21" i="18"/>
  <c r="I22" i="18"/>
  <c r="N22" i="18"/>
  <c r="X22" i="18"/>
  <c r="AA22" i="18"/>
  <c r="I23" i="18"/>
  <c r="N23" i="18"/>
  <c r="X23" i="18"/>
  <c r="AA23" i="18"/>
  <c r="I24" i="18"/>
  <c r="N24" i="18"/>
  <c r="X24" i="18"/>
  <c r="AA24" i="18"/>
  <c r="I25" i="18"/>
  <c r="N25" i="18"/>
  <c r="X25" i="18"/>
  <c r="AA25" i="18"/>
  <c r="I26" i="18"/>
  <c r="N26" i="18"/>
  <c r="X26" i="18"/>
  <c r="AA26" i="18"/>
  <c r="I27" i="18"/>
  <c r="N27" i="18"/>
  <c r="X27" i="18"/>
  <c r="AA27" i="18"/>
  <c r="I28" i="18"/>
  <c r="N28" i="18"/>
  <c r="X28" i="18"/>
  <c r="AA28" i="18"/>
  <c r="I29" i="18"/>
  <c r="N29" i="18"/>
  <c r="X29" i="18"/>
  <c r="AA29" i="18"/>
  <c r="I30" i="18"/>
  <c r="N30" i="18"/>
  <c r="X30" i="18"/>
  <c r="AA30" i="18"/>
  <c r="I31" i="18"/>
  <c r="N31" i="18"/>
  <c r="X31" i="18"/>
  <c r="AA31" i="18"/>
  <c r="AB31" i="18"/>
  <c r="I32" i="18"/>
  <c r="N32" i="18"/>
  <c r="X32" i="18"/>
  <c r="AA32" i="18"/>
  <c r="I33" i="18"/>
  <c r="N33" i="18"/>
  <c r="X33" i="18"/>
  <c r="AA33" i="18"/>
  <c r="I34" i="18"/>
  <c r="N34" i="18"/>
  <c r="X34" i="18"/>
  <c r="AA34" i="18"/>
  <c r="I35" i="18"/>
  <c r="N35" i="18"/>
  <c r="X35" i="18"/>
  <c r="AA35" i="18"/>
  <c r="I36" i="18"/>
  <c r="N36" i="18"/>
  <c r="X36" i="18"/>
  <c r="AA36" i="18"/>
  <c r="I37" i="18"/>
  <c r="N37" i="18"/>
  <c r="X37" i="18"/>
  <c r="AA37" i="18"/>
  <c r="I38" i="18"/>
  <c r="N38" i="18"/>
  <c r="X38" i="18"/>
  <c r="AA38" i="18"/>
  <c r="I39" i="18"/>
  <c r="N39" i="18"/>
  <c r="X39" i="18"/>
  <c r="AA39" i="18"/>
  <c r="I40" i="18"/>
  <c r="N40" i="18"/>
  <c r="X40" i="18"/>
  <c r="AA40" i="18"/>
  <c r="I41" i="18"/>
  <c r="N41" i="18"/>
  <c r="X41" i="18"/>
  <c r="AA41" i="18"/>
  <c r="I42" i="18"/>
  <c r="N42" i="18"/>
  <c r="X42" i="18"/>
  <c r="AA42" i="18"/>
  <c r="I43" i="18"/>
  <c r="N43" i="18"/>
  <c r="X43" i="18"/>
  <c r="AA43" i="18"/>
  <c r="I44" i="18"/>
  <c r="N44" i="18"/>
  <c r="X44" i="18"/>
  <c r="AA44" i="18"/>
  <c r="I45" i="18"/>
  <c r="N45" i="18"/>
  <c r="X45" i="18"/>
  <c r="AA45" i="18"/>
  <c r="I46" i="18"/>
  <c r="N46" i="18"/>
  <c r="X46" i="18"/>
  <c r="AA46" i="18"/>
  <c r="I47" i="18"/>
  <c r="N47" i="18"/>
  <c r="X47" i="18"/>
  <c r="AA47" i="18"/>
  <c r="I48" i="18"/>
  <c r="N48" i="18"/>
  <c r="X48" i="18"/>
  <c r="AA48" i="18"/>
  <c r="I49" i="18"/>
  <c r="N49" i="18"/>
  <c r="X49" i="18"/>
  <c r="AA49" i="18"/>
  <c r="I50" i="18"/>
  <c r="N50" i="18"/>
  <c r="X50" i="18"/>
  <c r="AA50" i="18"/>
  <c r="I51" i="18"/>
  <c r="N51" i="18"/>
  <c r="X51" i="18"/>
  <c r="AA51" i="18"/>
  <c r="I52" i="18"/>
  <c r="N52" i="18"/>
  <c r="X52" i="18"/>
  <c r="AA52" i="18"/>
  <c r="I53" i="18"/>
  <c r="N53" i="18"/>
  <c r="X53" i="18"/>
  <c r="AA53" i="18"/>
  <c r="I54" i="18"/>
  <c r="N54" i="18"/>
  <c r="X54" i="18"/>
  <c r="AA54" i="18"/>
  <c r="I55" i="18"/>
  <c r="N55" i="18"/>
  <c r="X55" i="18"/>
  <c r="AA55" i="18"/>
  <c r="I56" i="18"/>
  <c r="N56" i="18"/>
  <c r="X56" i="18"/>
  <c r="AA56" i="18"/>
  <c r="I57" i="18"/>
  <c r="N57" i="18"/>
  <c r="X57" i="18"/>
  <c r="AA57" i="18"/>
  <c r="I58" i="18"/>
  <c r="N58" i="18"/>
  <c r="X58" i="18"/>
  <c r="AA58" i="18"/>
  <c r="I59" i="18"/>
  <c r="N59" i="18"/>
  <c r="X59" i="18"/>
  <c r="AA59" i="18"/>
  <c r="I60" i="18"/>
  <c r="N60" i="18"/>
  <c r="X60" i="18"/>
  <c r="AA60" i="18"/>
  <c r="I61" i="18"/>
  <c r="N61" i="18"/>
  <c r="X61" i="18"/>
  <c r="AA61" i="18"/>
  <c r="I62" i="18"/>
  <c r="N62" i="18"/>
  <c r="X62" i="18"/>
  <c r="AA62" i="18"/>
  <c r="I63" i="18"/>
  <c r="N63" i="18"/>
  <c r="X63" i="18"/>
  <c r="AA63" i="18"/>
  <c r="AB63" i="18"/>
  <c r="I64" i="18"/>
  <c r="N64" i="18"/>
  <c r="X64" i="18"/>
  <c r="AA64" i="18"/>
  <c r="AB64" i="18" s="1"/>
  <c r="I65" i="18"/>
  <c r="N65" i="18"/>
  <c r="X65" i="18"/>
  <c r="AA65" i="18"/>
  <c r="I66" i="18"/>
  <c r="N66" i="18"/>
  <c r="X66" i="18"/>
  <c r="AA66" i="18"/>
  <c r="I67" i="18"/>
  <c r="N67" i="18"/>
  <c r="X67" i="18"/>
  <c r="AA67" i="18"/>
  <c r="I68" i="18"/>
  <c r="N68" i="18"/>
  <c r="X68" i="18"/>
  <c r="AA68" i="18"/>
  <c r="I69" i="18"/>
  <c r="N69" i="18"/>
  <c r="X69" i="18"/>
  <c r="AA69" i="18"/>
  <c r="I70" i="18"/>
  <c r="N70" i="18"/>
  <c r="X70" i="18"/>
  <c r="AA70" i="18"/>
  <c r="I71" i="18"/>
  <c r="N71" i="18"/>
  <c r="X71" i="18"/>
  <c r="AA71" i="18"/>
  <c r="I72" i="18"/>
  <c r="N72" i="18"/>
  <c r="X72" i="18"/>
  <c r="AA72" i="18"/>
  <c r="I73" i="18"/>
  <c r="N73" i="18"/>
  <c r="X73" i="18"/>
  <c r="AA73" i="18"/>
  <c r="I74" i="18"/>
  <c r="N74" i="18"/>
  <c r="X74" i="18"/>
  <c r="AA74" i="18"/>
  <c r="I75" i="18"/>
  <c r="N75" i="18"/>
  <c r="X75" i="18"/>
  <c r="AA75" i="18"/>
  <c r="I76" i="18"/>
  <c r="N76" i="18"/>
  <c r="X76" i="18"/>
  <c r="AA76" i="18"/>
  <c r="I77" i="18"/>
  <c r="N77" i="18"/>
  <c r="X77" i="18"/>
  <c r="AA77" i="18"/>
  <c r="I78" i="18"/>
  <c r="N78" i="18"/>
  <c r="X78" i="18"/>
  <c r="AA78" i="18"/>
  <c r="I79" i="18"/>
  <c r="N79" i="18"/>
  <c r="X79" i="18"/>
  <c r="AA79" i="18"/>
  <c r="I80" i="18"/>
  <c r="N80" i="18"/>
  <c r="X80" i="18"/>
  <c r="AA80" i="18"/>
  <c r="I81" i="18"/>
  <c r="N81" i="18"/>
  <c r="X81" i="18"/>
  <c r="AA81" i="18"/>
  <c r="I82" i="18"/>
  <c r="N82" i="18"/>
  <c r="X82" i="18"/>
  <c r="AA82" i="18"/>
  <c r="I83" i="18"/>
  <c r="N83" i="18"/>
  <c r="X83" i="18"/>
  <c r="AA83" i="18"/>
  <c r="I84" i="18"/>
  <c r="N84" i="18"/>
  <c r="X84" i="18"/>
  <c r="AA84" i="18"/>
  <c r="I85" i="18"/>
  <c r="N85" i="18"/>
  <c r="X85" i="18"/>
  <c r="AA85" i="18"/>
  <c r="I86" i="18"/>
  <c r="N86" i="18"/>
  <c r="X86" i="18"/>
  <c r="AA86" i="18"/>
  <c r="I87" i="18"/>
  <c r="N87" i="18"/>
  <c r="X87" i="18"/>
  <c r="AA87" i="18"/>
  <c r="I88" i="18"/>
  <c r="N88" i="18"/>
  <c r="X88" i="18"/>
  <c r="AA88" i="18"/>
  <c r="I89" i="18"/>
  <c r="N89" i="18"/>
  <c r="X89" i="18"/>
  <c r="AA89" i="18"/>
  <c r="I90" i="18"/>
  <c r="N90" i="18"/>
  <c r="X90" i="18"/>
  <c r="AA90" i="18"/>
  <c r="I91" i="18"/>
  <c r="N91" i="18"/>
  <c r="X91" i="18"/>
  <c r="AA91" i="18"/>
  <c r="I92" i="18"/>
  <c r="N92" i="18"/>
  <c r="X92" i="18"/>
  <c r="AA92" i="18"/>
  <c r="I93" i="18"/>
  <c r="N93" i="18"/>
  <c r="X93" i="18"/>
  <c r="AA93" i="18"/>
  <c r="I94" i="18"/>
  <c r="N94" i="18"/>
  <c r="X94" i="18"/>
  <c r="AA94" i="18"/>
  <c r="I95" i="18"/>
  <c r="N95" i="18"/>
  <c r="X95" i="18"/>
  <c r="AA95" i="18"/>
  <c r="I96" i="18"/>
  <c r="N96" i="18"/>
  <c r="X96" i="18"/>
  <c r="AA96" i="18"/>
  <c r="I97" i="18"/>
  <c r="N97" i="18"/>
  <c r="X97" i="18"/>
  <c r="AA97" i="18"/>
  <c r="I98" i="18"/>
  <c r="N98" i="18"/>
  <c r="X98" i="18"/>
  <c r="AA98" i="18"/>
  <c r="I99" i="18"/>
  <c r="N99" i="18"/>
  <c r="X99" i="18"/>
  <c r="AA99" i="18"/>
  <c r="I100" i="18"/>
  <c r="N100" i="18"/>
  <c r="X100" i="18"/>
  <c r="AA100" i="18"/>
  <c r="I101" i="18"/>
  <c r="N101" i="18"/>
  <c r="X101" i="18"/>
  <c r="AA101" i="18"/>
  <c r="I102" i="18"/>
  <c r="N102" i="18"/>
  <c r="X102" i="18"/>
  <c r="AA102" i="18"/>
  <c r="I103" i="18"/>
  <c r="N103" i="18"/>
  <c r="X103" i="18"/>
  <c r="AA103" i="18"/>
  <c r="I104" i="18"/>
  <c r="N104" i="18"/>
  <c r="X104" i="18"/>
  <c r="AA104" i="18"/>
  <c r="I105" i="18"/>
  <c r="N105" i="18"/>
  <c r="X105" i="18"/>
  <c r="AA105" i="18"/>
  <c r="I106" i="18"/>
  <c r="N106" i="18"/>
  <c r="X106" i="18"/>
  <c r="AA106" i="18"/>
  <c r="I107" i="18"/>
  <c r="N107" i="18"/>
  <c r="X107" i="18"/>
  <c r="AA107" i="18"/>
  <c r="I108" i="18"/>
  <c r="N108" i="18"/>
  <c r="X108" i="18"/>
  <c r="AA108" i="18"/>
  <c r="I109" i="18"/>
  <c r="N109" i="18"/>
  <c r="X109" i="18"/>
  <c r="AA109" i="18"/>
  <c r="I110" i="18"/>
  <c r="N110" i="18"/>
  <c r="X110" i="18"/>
  <c r="AA110" i="18"/>
  <c r="I111" i="18"/>
  <c r="N111" i="18"/>
  <c r="X111" i="18"/>
  <c r="AA111" i="18"/>
  <c r="I112" i="18"/>
  <c r="N112" i="18"/>
  <c r="X112" i="18"/>
  <c r="AA112" i="18"/>
  <c r="I113" i="18"/>
  <c r="N113" i="18"/>
  <c r="X113" i="18"/>
  <c r="AA113" i="18"/>
  <c r="I114" i="18"/>
  <c r="N114" i="18"/>
  <c r="X114" i="18"/>
  <c r="AA114" i="18"/>
  <c r="I115" i="18"/>
  <c r="N115" i="18"/>
  <c r="X115" i="18"/>
  <c r="AA115" i="18"/>
  <c r="I116" i="18"/>
  <c r="N116" i="18"/>
  <c r="X116" i="18"/>
  <c r="AA116" i="18"/>
  <c r="I117" i="18"/>
  <c r="N117" i="18"/>
  <c r="X117" i="18"/>
  <c r="AA117" i="18"/>
  <c r="I118" i="18"/>
  <c r="N118" i="18"/>
  <c r="X118" i="18"/>
  <c r="AA118" i="18"/>
  <c r="I119" i="18"/>
  <c r="N119" i="18"/>
  <c r="X119" i="18"/>
  <c r="AA119" i="18"/>
  <c r="I120" i="18"/>
  <c r="N120" i="18"/>
  <c r="X120" i="18"/>
  <c r="AA120" i="18"/>
  <c r="I121" i="18"/>
  <c r="N121" i="18"/>
  <c r="X121" i="18"/>
  <c r="AA121" i="18"/>
  <c r="I122" i="18"/>
  <c r="N122" i="18"/>
  <c r="X122" i="18"/>
  <c r="AA122" i="18"/>
  <c r="I123" i="18"/>
  <c r="N123" i="18"/>
  <c r="X123" i="18"/>
  <c r="AA123" i="18"/>
  <c r="I124" i="18"/>
  <c r="N124" i="18"/>
  <c r="X124" i="18"/>
  <c r="AA124" i="18"/>
  <c r="I125" i="18"/>
  <c r="N125" i="18"/>
  <c r="X125" i="18"/>
  <c r="AA125" i="18"/>
  <c r="I126" i="18"/>
  <c r="N126" i="18"/>
  <c r="X126" i="18"/>
  <c r="AA126" i="18"/>
  <c r="I127" i="18"/>
  <c r="N127" i="18"/>
  <c r="X127" i="18"/>
  <c r="AA127" i="18"/>
  <c r="I128" i="18"/>
  <c r="N128" i="18"/>
  <c r="X128" i="18"/>
  <c r="AA128" i="18"/>
  <c r="I129" i="18"/>
  <c r="N129" i="18"/>
  <c r="X129" i="18"/>
  <c r="AA129" i="18"/>
  <c r="I130" i="18"/>
  <c r="N130" i="18"/>
  <c r="X130" i="18"/>
  <c r="AA130" i="18"/>
  <c r="I131" i="18"/>
  <c r="N131" i="18"/>
  <c r="X131" i="18"/>
  <c r="AA131" i="18"/>
  <c r="I132" i="18"/>
  <c r="N132" i="18"/>
  <c r="X132" i="18"/>
  <c r="AA132" i="18"/>
  <c r="I133" i="18"/>
  <c r="N133" i="18"/>
  <c r="X133" i="18"/>
  <c r="AA133" i="18"/>
  <c r="I134" i="18"/>
  <c r="N134" i="18"/>
  <c r="X134" i="18"/>
  <c r="AA134" i="18"/>
  <c r="I135" i="18"/>
  <c r="N135" i="18"/>
  <c r="X135" i="18"/>
  <c r="AA135" i="18"/>
  <c r="I136" i="18"/>
  <c r="N136" i="18"/>
  <c r="X136" i="18"/>
  <c r="AA136" i="18"/>
  <c r="I137" i="18"/>
  <c r="N137" i="18"/>
  <c r="X137" i="18"/>
  <c r="AA137" i="18"/>
  <c r="I138" i="18"/>
  <c r="N138" i="18"/>
  <c r="X138" i="18"/>
  <c r="AA138" i="18"/>
  <c r="I139" i="18"/>
  <c r="N139" i="18"/>
  <c r="X139" i="18"/>
  <c r="AA139" i="18"/>
  <c r="I140" i="18"/>
  <c r="N140" i="18"/>
  <c r="X140" i="18"/>
  <c r="AA140" i="18"/>
  <c r="I141" i="18"/>
  <c r="N141" i="18"/>
  <c r="X141" i="18"/>
  <c r="AA141" i="18"/>
  <c r="I142" i="18"/>
  <c r="N142" i="18"/>
  <c r="X142" i="18"/>
  <c r="AA142" i="18"/>
  <c r="I143" i="18"/>
  <c r="AB143" i="18" s="1"/>
  <c r="N143" i="18"/>
  <c r="X143" i="18"/>
  <c r="AA143" i="18"/>
  <c r="G145" i="18"/>
  <c r="I2" i="19"/>
  <c r="N2" i="19"/>
  <c r="X2" i="19"/>
  <c r="AA2" i="19"/>
  <c r="I3" i="19"/>
  <c r="N3" i="19"/>
  <c r="X3" i="19"/>
  <c r="AA3" i="19"/>
  <c r="I4" i="19"/>
  <c r="N4" i="19"/>
  <c r="X4" i="19"/>
  <c r="AA4" i="19"/>
  <c r="I5" i="19"/>
  <c r="N5" i="19"/>
  <c r="X5" i="19"/>
  <c r="AA5" i="19"/>
  <c r="I6" i="19"/>
  <c r="N6" i="19"/>
  <c r="X6" i="19"/>
  <c r="AA6" i="19"/>
  <c r="I7" i="19"/>
  <c r="N7" i="19"/>
  <c r="X7" i="19"/>
  <c r="AA7" i="19"/>
  <c r="I8" i="19"/>
  <c r="N8" i="19"/>
  <c r="X8" i="19"/>
  <c r="AA8" i="19"/>
  <c r="I9" i="19"/>
  <c r="N9" i="19"/>
  <c r="X9" i="19"/>
  <c r="AA9" i="19"/>
  <c r="I10" i="19"/>
  <c r="N10" i="19"/>
  <c r="X10" i="19"/>
  <c r="AA10" i="19"/>
  <c r="I11" i="19"/>
  <c r="N11" i="19"/>
  <c r="X11" i="19"/>
  <c r="AA11" i="19"/>
  <c r="I12" i="19"/>
  <c r="N12" i="19"/>
  <c r="X12" i="19"/>
  <c r="AA12" i="19"/>
  <c r="I13" i="19"/>
  <c r="N13" i="19"/>
  <c r="X13" i="19"/>
  <c r="AA13" i="19"/>
  <c r="I14" i="19"/>
  <c r="N14" i="19"/>
  <c r="X14" i="19"/>
  <c r="AA14" i="19"/>
  <c r="I15" i="19"/>
  <c r="N15" i="19"/>
  <c r="X15" i="19"/>
  <c r="AA15" i="19"/>
  <c r="I16" i="19"/>
  <c r="N16" i="19"/>
  <c r="X16" i="19"/>
  <c r="AA16" i="19"/>
  <c r="I17" i="19"/>
  <c r="N17" i="19"/>
  <c r="X17" i="19"/>
  <c r="AA17" i="19"/>
  <c r="I18" i="19"/>
  <c r="N18" i="19"/>
  <c r="X18" i="19"/>
  <c r="AA18" i="19"/>
  <c r="I19" i="19"/>
  <c r="N19" i="19"/>
  <c r="X19" i="19"/>
  <c r="AA19" i="19"/>
  <c r="I20" i="19"/>
  <c r="N20" i="19"/>
  <c r="X20" i="19"/>
  <c r="AA20" i="19"/>
  <c r="I21" i="19"/>
  <c r="N21" i="19"/>
  <c r="X21" i="19"/>
  <c r="AA21" i="19"/>
  <c r="I22" i="19"/>
  <c r="N22" i="19"/>
  <c r="X22" i="19"/>
  <c r="AA22" i="19"/>
  <c r="I23" i="19"/>
  <c r="N23" i="19"/>
  <c r="X23" i="19"/>
  <c r="AA23" i="19"/>
  <c r="AB23" i="19"/>
  <c r="I24" i="19"/>
  <c r="N24" i="19"/>
  <c r="X24" i="19"/>
  <c r="AA24" i="19"/>
  <c r="I25" i="19"/>
  <c r="N25" i="19"/>
  <c r="X25" i="19"/>
  <c r="AA25" i="19"/>
  <c r="I26" i="19"/>
  <c r="N26" i="19"/>
  <c r="X26" i="19"/>
  <c r="AA26" i="19"/>
  <c r="I27" i="19"/>
  <c r="N27" i="19"/>
  <c r="X27" i="19"/>
  <c r="AA27" i="19"/>
  <c r="AB27" i="19" s="1"/>
  <c r="I28" i="19"/>
  <c r="N28" i="19"/>
  <c r="X28" i="19"/>
  <c r="AA28" i="19"/>
  <c r="I29" i="19"/>
  <c r="N29" i="19"/>
  <c r="X29" i="19"/>
  <c r="AA29" i="19"/>
  <c r="I30" i="19"/>
  <c r="N30" i="19"/>
  <c r="X30" i="19"/>
  <c r="AA30" i="19"/>
  <c r="I31" i="19"/>
  <c r="N31" i="19"/>
  <c r="X31" i="19"/>
  <c r="AA31" i="19"/>
  <c r="I32" i="19"/>
  <c r="N32" i="19"/>
  <c r="X32" i="19"/>
  <c r="AA32" i="19"/>
  <c r="I33" i="19"/>
  <c r="N33" i="19"/>
  <c r="X33" i="19"/>
  <c r="AA33" i="19"/>
  <c r="I34" i="19"/>
  <c r="N34" i="19"/>
  <c r="X34" i="19"/>
  <c r="AA34" i="19"/>
  <c r="I35" i="19"/>
  <c r="N35" i="19"/>
  <c r="X35" i="19"/>
  <c r="AA35" i="19"/>
  <c r="I36" i="19"/>
  <c r="N36" i="19"/>
  <c r="X36" i="19"/>
  <c r="AA36" i="19"/>
  <c r="I37" i="19"/>
  <c r="N37" i="19"/>
  <c r="X37" i="19"/>
  <c r="AA37" i="19"/>
  <c r="I38" i="19"/>
  <c r="N38" i="19"/>
  <c r="X38" i="19"/>
  <c r="AA38" i="19"/>
  <c r="I39" i="19"/>
  <c r="N39" i="19"/>
  <c r="X39" i="19"/>
  <c r="AA39" i="19"/>
  <c r="I40" i="19"/>
  <c r="N40" i="19"/>
  <c r="X40" i="19"/>
  <c r="AA40" i="19"/>
  <c r="I41" i="19"/>
  <c r="N41" i="19"/>
  <c r="X41" i="19"/>
  <c r="AA41" i="19"/>
  <c r="I42" i="19"/>
  <c r="N42" i="19"/>
  <c r="X42" i="19"/>
  <c r="AA42" i="19"/>
  <c r="I43" i="19"/>
  <c r="N43" i="19"/>
  <c r="X43" i="19"/>
  <c r="AA43" i="19"/>
  <c r="I44" i="19"/>
  <c r="N44" i="19"/>
  <c r="X44" i="19"/>
  <c r="AA44" i="19"/>
  <c r="I45" i="19"/>
  <c r="N45" i="19"/>
  <c r="X45" i="19"/>
  <c r="AA45" i="19"/>
  <c r="I46" i="19"/>
  <c r="N46" i="19"/>
  <c r="X46" i="19"/>
  <c r="AA46" i="19"/>
  <c r="I47" i="19"/>
  <c r="N47" i="19"/>
  <c r="X47" i="19"/>
  <c r="AA47" i="19"/>
  <c r="I48" i="19"/>
  <c r="N48" i="19"/>
  <c r="X48" i="19"/>
  <c r="AA48" i="19"/>
  <c r="I49" i="19"/>
  <c r="N49" i="19"/>
  <c r="X49" i="19"/>
  <c r="AA49" i="19"/>
  <c r="I50" i="19"/>
  <c r="N50" i="19"/>
  <c r="X50" i="19"/>
  <c r="AA50" i="19"/>
  <c r="I51" i="19"/>
  <c r="N51" i="19"/>
  <c r="X51" i="19"/>
  <c r="AA51" i="19"/>
  <c r="I52" i="19"/>
  <c r="N52" i="19"/>
  <c r="X52" i="19"/>
  <c r="AA52" i="19"/>
  <c r="I53" i="19"/>
  <c r="N53" i="19"/>
  <c r="X53" i="19"/>
  <c r="AA53" i="19"/>
  <c r="I54" i="19"/>
  <c r="N54" i="19"/>
  <c r="X54" i="19"/>
  <c r="AA54" i="19"/>
  <c r="I55" i="19"/>
  <c r="N55" i="19"/>
  <c r="X55" i="19"/>
  <c r="AA55" i="19"/>
  <c r="I56" i="19"/>
  <c r="N56" i="19"/>
  <c r="X56" i="19"/>
  <c r="AA56" i="19"/>
  <c r="I57" i="19"/>
  <c r="N57" i="19"/>
  <c r="X57" i="19"/>
  <c r="AA57" i="19"/>
  <c r="I58" i="19"/>
  <c r="N58" i="19"/>
  <c r="X58" i="19"/>
  <c r="AA58" i="19"/>
  <c r="I59" i="19"/>
  <c r="N59" i="19"/>
  <c r="X59" i="19"/>
  <c r="AA59" i="19"/>
  <c r="I60" i="19"/>
  <c r="N60" i="19"/>
  <c r="X60" i="19"/>
  <c r="AA60" i="19"/>
  <c r="I61" i="19"/>
  <c r="N61" i="19"/>
  <c r="X61" i="19"/>
  <c r="AA61" i="19"/>
  <c r="I62" i="19"/>
  <c r="N62" i="19"/>
  <c r="X62" i="19"/>
  <c r="AA62" i="19"/>
  <c r="I63" i="19"/>
  <c r="N63" i="19"/>
  <c r="X63" i="19"/>
  <c r="AA63" i="19"/>
  <c r="I64" i="19"/>
  <c r="N64" i="19"/>
  <c r="X64" i="19"/>
  <c r="AA64" i="19"/>
  <c r="I65" i="19"/>
  <c r="N65" i="19"/>
  <c r="X65" i="19"/>
  <c r="AA65" i="19"/>
  <c r="I66" i="19"/>
  <c r="N66" i="19"/>
  <c r="X66" i="19"/>
  <c r="AA66" i="19"/>
  <c r="I67" i="19"/>
  <c r="N67" i="19"/>
  <c r="X67" i="19"/>
  <c r="AA67" i="19"/>
  <c r="I68" i="19"/>
  <c r="N68" i="19"/>
  <c r="X68" i="19"/>
  <c r="AA68" i="19"/>
  <c r="I69" i="19"/>
  <c r="N69" i="19"/>
  <c r="X69" i="19"/>
  <c r="AA69" i="19"/>
  <c r="I70" i="19"/>
  <c r="N70" i="19"/>
  <c r="X70" i="19"/>
  <c r="AA70" i="19"/>
  <c r="I71" i="19"/>
  <c r="N71" i="19"/>
  <c r="X71" i="19"/>
  <c r="AA71" i="19"/>
  <c r="I72" i="19"/>
  <c r="N72" i="19"/>
  <c r="X72" i="19"/>
  <c r="AA72" i="19"/>
  <c r="I73" i="19"/>
  <c r="N73" i="19"/>
  <c r="X73" i="19"/>
  <c r="AA73" i="19"/>
  <c r="I74" i="19"/>
  <c r="N74" i="19"/>
  <c r="X74" i="19"/>
  <c r="AA74" i="19"/>
  <c r="I75" i="19"/>
  <c r="N75" i="19"/>
  <c r="X75" i="19"/>
  <c r="AA75" i="19"/>
  <c r="I76" i="19"/>
  <c r="N76" i="19"/>
  <c r="X76" i="19"/>
  <c r="AA76" i="19"/>
  <c r="I77" i="19"/>
  <c r="N77" i="19"/>
  <c r="X77" i="19"/>
  <c r="AA77" i="19"/>
  <c r="I78" i="19"/>
  <c r="N78" i="19"/>
  <c r="AB78" i="19" s="1"/>
  <c r="X78" i="19"/>
  <c r="AA78" i="19"/>
  <c r="I79" i="19"/>
  <c r="N79" i="19"/>
  <c r="X79" i="19"/>
  <c r="AA79" i="19"/>
  <c r="I80" i="19"/>
  <c r="N80" i="19"/>
  <c r="X80" i="19"/>
  <c r="AA80" i="19"/>
  <c r="I81" i="19"/>
  <c r="N81" i="19"/>
  <c r="X81" i="19"/>
  <c r="AA81" i="19"/>
  <c r="I82" i="19"/>
  <c r="N82" i="19"/>
  <c r="AB82" i="19" s="1"/>
  <c r="X82" i="19"/>
  <c r="AA82" i="19"/>
  <c r="I83" i="19"/>
  <c r="N83" i="19"/>
  <c r="AB83" i="19" s="1"/>
  <c r="X83" i="19"/>
  <c r="AA83" i="19"/>
  <c r="I84" i="19"/>
  <c r="N84" i="19"/>
  <c r="X84" i="19"/>
  <c r="AA84" i="19"/>
  <c r="I85" i="19"/>
  <c r="N85" i="19"/>
  <c r="X85" i="19"/>
  <c r="AA85" i="19"/>
  <c r="I86" i="19"/>
  <c r="N86" i="19"/>
  <c r="X86" i="19"/>
  <c r="AA86" i="19"/>
  <c r="I87" i="19"/>
  <c r="N87" i="19"/>
  <c r="AB87" i="19" s="1"/>
  <c r="X87" i="19"/>
  <c r="AA87" i="19"/>
  <c r="I88" i="19"/>
  <c r="N88" i="19"/>
  <c r="X88" i="19"/>
  <c r="AA88" i="19"/>
  <c r="I89" i="19"/>
  <c r="N89" i="19"/>
  <c r="X89" i="19"/>
  <c r="AA89" i="19"/>
  <c r="I90" i="19"/>
  <c r="N90" i="19"/>
  <c r="X90" i="19"/>
  <c r="AA90" i="19"/>
  <c r="I91" i="19"/>
  <c r="N91" i="19"/>
  <c r="X91" i="19"/>
  <c r="AA91" i="19"/>
  <c r="I92" i="19"/>
  <c r="N92" i="19"/>
  <c r="X92" i="19"/>
  <c r="AA92" i="19"/>
  <c r="I93" i="19"/>
  <c r="N93" i="19"/>
  <c r="X93" i="19"/>
  <c r="AA93" i="19"/>
  <c r="I94" i="19"/>
  <c r="N94" i="19"/>
  <c r="X94" i="19"/>
  <c r="AA94" i="19"/>
  <c r="I95" i="19"/>
  <c r="N95" i="19"/>
  <c r="X95" i="19"/>
  <c r="AA95" i="19"/>
  <c r="I96" i="19"/>
  <c r="N96" i="19"/>
  <c r="X96" i="19"/>
  <c r="AA96" i="19"/>
  <c r="I97" i="19"/>
  <c r="N97" i="19"/>
  <c r="X97" i="19"/>
  <c r="AA97" i="19"/>
  <c r="I98" i="19"/>
  <c r="N98" i="19"/>
  <c r="X98" i="19"/>
  <c r="AA98" i="19"/>
  <c r="I99" i="19"/>
  <c r="N99" i="19"/>
  <c r="X99" i="19"/>
  <c r="AA99" i="19"/>
  <c r="I100" i="19"/>
  <c r="N100" i="19"/>
  <c r="X100" i="19"/>
  <c r="AA100" i="19"/>
  <c r="I101" i="19"/>
  <c r="N101" i="19"/>
  <c r="X101" i="19"/>
  <c r="AA101" i="19"/>
  <c r="I102" i="19"/>
  <c r="N102" i="19"/>
  <c r="AB102" i="19" s="1"/>
  <c r="X102" i="19"/>
  <c r="AA102" i="19"/>
  <c r="I103" i="19"/>
  <c r="N103" i="19"/>
  <c r="AB103" i="19" s="1"/>
  <c r="X103" i="19"/>
  <c r="AA103" i="19"/>
  <c r="I104" i="19"/>
  <c r="N104" i="19"/>
  <c r="X104" i="19"/>
  <c r="AA104" i="19"/>
  <c r="I105" i="19"/>
  <c r="N105" i="19"/>
  <c r="X105" i="19"/>
  <c r="AA105" i="19"/>
  <c r="I106" i="19"/>
  <c r="N106" i="19"/>
  <c r="X106" i="19"/>
  <c r="AA106" i="19"/>
  <c r="I107" i="19"/>
  <c r="N107" i="19"/>
  <c r="X107" i="19"/>
  <c r="AA107" i="19"/>
  <c r="I108" i="19"/>
  <c r="N108" i="19"/>
  <c r="X108" i="19"/>
  <c r="AA108" i="19"/>
  <c r="I109" i="19"/>
  <c r="N109" i="19"/>
  <c r="X109" i="19"/>
  <c r="AA109" i="19"/>
  <c r="I110" i="19"/>
  <c r="N110" i="19"/>
  <c r="X110" i="19"/>
  <c r="AA110" i="19"/>
  <c r="I111" i="19"/>
  <c r="N111" i="19"/>
  <c r="X111" i="19"/>
  <c r="AA111" i="19"/>
  <c r="I112" i="19"/>
  <c r="N112" i="19"/>
  <c r="X112" i="19"/>
  <c r="AA112" i="19"/>
  <c r="I113" i="19"/>
  <c r="N113" i="19"/>
  <c r="X113" i="19"/>
  <c r="AA113" i="19"/>
  <c r="I114" i="19"/>
  <c r="N114" i="19"/>
  <c r="X114" i="19"/>
  <c r="AA114" i="19"/>
  <c r="I115" i="19"/>
  <c r="N115" i="19"/>
  <c r="X115" i="19"/>
  <c r="AA115" i="19"/>
  <c r="I116" i="19"/>
  <c r="N116" i="19"/>
  <c r="X116" i="19"/>
  <c r="AA116" i="19"/>
  <c r="I117" i="19"/>
  <c r="N117" i="19"/>
  <c r="P117" i="19"/>
  <c r="S117" i="19"/>
  <c r="U117" i="19"/>
  <c r="X117" i="19"/>
  <c r="AA117" i="19"/>
  <c r="I118" i="19"/>
  <c r="N118" i="19"/>
  <c r="P118" i="19"/>
  <c r="S118" i="19"/>
  <c r="U118" i="19"/>
  <c r="X118" i="19"/>
  <c r="AA118" i="19"/>
  <c r="I119" i="19"/>
  <c r="N119" i="19"/>
  <c r="X119" i="19"/>
  <c r="AA119" i="19"/>
  <c r="I120" i="19"/>
  <c r="N120" i="19"/>
  <c r="X120" i="19"/>
  <c r="AA120" i="19"/>
  <c r="I121" i="19"/>
  <c r="N121" i="19"/>
  <c r="X121" i="19"/>
  <c r="AA121" i="19"/>
  <c r="I122" i="19"/>
  <c r="N122" i="19"/>
  <c r="X122" i="19"/>
  <c r="AA122" i="19"/>
  <c r="I123" i="19"/>
  <c r="N123" i="19"/>
  <c r="X123" i="19"/>
  <c r="AA123" i="19"/>
  <c r="I124" i="19"/>
  <c r="N124" i="19"/>
  <c r="X124" i="19"/>
  <c r="AA124" i="19"/>
  <c r="I125" i="19"/>
  <c r="N125" i="19"/>
  <c r="X125" i="19"/>
  <c r="AA125" i="19"/>
  <c r="I126" i="19"/>
  <c r="N126" i="19"/>
  <c r="X126" i="19"/>
  <c r="AA126" i="19"/>
  <c r="I127" i="19"/>
  <c r="N127" i="19"/>
  <c r="X127" i="19"/>
  <c r="AB127" i="19" s="1"/>
  <c r="AA127" i="19"/>
  <c r="I128" i="19"/>
  <c r="N128" i="19"/>
  <c r="P128" i="19"/>
  <c r="S128" i="19"/>
  <c r="U128" i="19"/>
  <c r="X128" i="19"/>
  <c r="AA128" i="19"/>
  <c r="I129" i="19"/>
  <c r="N129" i="19"/>
  <c r="X129" i="19"/>
  <c r="AA129" i="19"/>
  <c r="I130" i="19"/>
  <c r="N130" i="19"/>
  <c r="X130" i="19"/>
  <c r="AA130" i="19"/>
  <c r="I131" i="19"/>
  <c r="N131" i="19"/>
  <c r="P131" i="19"/>
  <c r="S131" i="19"/>
  <c r="U131" i="19"/>
  <c r="X131" i="19"/>
  <c r="AA131" i="19"/>
  <c r="I132" i="19"/>
  <c r="N132" i="19"/>
  <c r="X132" i="19"/>
  <c r="AA132" i="19"/>
  <c r="I133" i="19"/>
  <c r="N133" i="19"/>
  <c r="P133" i="19"/>
  <c r="S133" i="19"/>
  <c r="U133" i="19"/>
  <c r="X133" i="19"/>
  <c r="AA133" i="19"/>
  <c r="I134" i="19"/>
  <c r="N134" i="19"/>
  <c r="X134" i="19"/>
  <c r="AA134" i="19"/>
  <c r="I135" i="19"/>
  <c r="N135" i="19"/>
  <c r="X135" i="19"/>
  <c r="AA135" i="19"/>
  <c r="I136" i="19"/>
  <c r="N136" i="19"/>
  <c r="X136" i="19"/>
  <c r="AA136" i="19"/>
  <c r="I137" i="19"/>
  <c r="N137" i="19"/>
  <c r="X137" i="19"/>
  <c r="AA137" i="19"/>
  <c r="I138" i="19"/>
  <c r="N138" i="19"/>
  <c r="X138" i="19"/>
  <c r="AA138" i="19"/>
  <c r="I139" i="19"/>
  <c r="N139" i="19"/>
  <c r="X139" i="19"/>
  <c r="AA139" i="19"/>
  <c r="I140" i="19"/>
  <c r="N140" i="19"/>
  <c r="X140" i="19"/>
  <c r="AA140" i="19"/>
  <c r="I141" i="19"/>
  <c r="N141" i="19"/>
  <c r="X141" i="19"/>
  <c r="AA141" i="19"/>
  <c r="I142" i="19"/>
  <c r="N142" i="19"/>
  <c r="X142" i="19"/>
  <c r="AA142" i="19"/>
  <c r="I143" i="19"/>
  <c r="N143" i="19"/>
  <c r="X143" i="19"/>
  <c r="AA143" i="19"/>
  <c r="I144" i="19"/>
  <c r="N144" i="19"/>
  <c r="X144" i="19"/>
  <c r="AA144" i="19"/>
  <c r="I145" i="19"/>
  <c r="N145" i="19"/>
  <c r="X145" i="19"/>
  <c r="AA145" i="19"/>
  <c r="I146" i="19"/>
  <c r="N146" i="19"/>
  <c r="X146" i="19"/>
  <c r="AA146" i="19"/>
  <c r="I147" i="19"/>
  <c r="N147" i="19"/>
  <c r="AB147" i="19" s="1"/>
  <c r="X147" i="19"/>
  <c r="AA147" i="19"/>
  <c r="I148" i="19"/>
  <c r="N148" i="19"/>
  <c r="AB148" i="19" s="1"/>
  <c r="X148" i="19"/>
  <c r="AA148" i="19"/>
  <c r="I149" i="19"/>
  <c r="N149" i="19"/>
  <c r="X149" i="19"/>
  <c r="AA149" i="19"/>
  <c r="I150" i="19"/>
  <c r="N150" i="19"/>
  <c r="X150" i="19"/>
  <c r="AA150" i="19"/>
  <c r="I151" i="19"/>
  <c r="N151" i="19"/>
  <c r="X151" i="19"/>
  <c r="AA151" i="19"/>
  <c r="I152" i="19"/>
  <c r="N152" i="19"/>
  <c r="AB152" i="19" s="1"/>
  <c r="X152" i="19"/>
  <c r="AA152" i="19"/>
  <c r="I153" i="19"/>
  <c r="N153" i="19"/>
  <c r="X153" i="19"/>
  <c r="AA153" i="19"/>
  <c r="I154" i="19"/>
  <c r="N154" i="19"/>
  <c r="X154" i="19"/>
  <c r="AA154" i="19"/>
  <c r="I155" i="19"/>
  <c r="N155" i="19"/>
  <c r="X155" i="19"/>
  <c r="AA155" i="19"/>
  <c r="G157" i="19"/>
  <c r="G166" i="25"/>
  <c r="X152" i="25"/>
  <c r="N152" i="25"/>
  <c r="K152" i="25"/>
  <c r="I152" i="25"/>
  <c r="F152" i="25"/>
  <c r="X12" i="25"/>
  <c r="N12" i="25"/>
  <c r="K12" i="25"/>
  <c r="I12" i="25"/>
  <c r="F12" i="25"/>
  <c r="X133" i="25"/>
  <c r="N133" i="25"/>
  <c r="K133" i="25"/>
  <c r="I133" i="25"/>
  <c r="F133" i="25"/>
  <c r="X110" i="25"/>
  <c r="N110" i="25"/>
  <c r="K110" i="25"/>
  <c r="I110" i="25"/>
  <c r="F110" i="25"/>
  <c r="X57" i="25"/>
  <c r="AB57" i="25" s="1"/>
  <c r="N57" i="25"/>
  <c r="K57" i="25"/>
  <c r="I57" i="25"/>
  <c r="F57" i="25"/>
  <c r="X28" i="25"/>
  <c r="N28" i="25"/>
  <c r="K28" i="25"/>
  <c r="I28" i="25"/>
  <c r="F28" i="25"/>
  <c r="X22" i="25"/>
  <c r="N22" i="25"/>
  <c r="K22" i="25"/>
  <c r="AB22" i="25" s="1"/>
  <c r="I22" i="25"/>
  <c r="F22" i="25"/>
  <c r="X150" i="25"/>
  <c r="N150" i="25"/>
  <c r="K150" i="25"/>
  <c r="I150" i="25"/>
  <c r="F150" i="25"/>
  <c r="X52" i="25"/>
  <c r="N52" i="25"/>
  <c r="K52" i="25"/>
  <c r="I52" i="25"/>
  <c r="F52" i="25"/>
  <c r="X42" i="25"/>
  <c r="N42" i="25"/>
  <c r="K42" i="25"/>
  <c r="I42" i="25"/>
  <c r="AB42" i="25" s="1"/>
  <c r="F42" i="25"/>
  <c r="X148" i="25"/>
  <c r="N148" i="25"/>
  <c r="K148" i="25"/>
  <c r="I148" i="25"/>
  <c r="F148" i="25"/>
  <c r="X146" i="25"/>
  <c r="N146" i="25"/>
  <c r="K146" i="25"/>
  <c r="I146" i="25"/>
  <c r="F146" i="25"/>
  <c r="X145" i="25"/>
  <c r="N145" i="25"/>
  <c r="K145" i="25"/>
  <c r="I145" i="25"/>
  <c r="F145" i="25"/>
  <c r="X144" i="25"/>
  <c r="N144" i="25"/>
  <c r="K144" i="25"/>
  <c r="I144" i="25"/>
  <c r="F144" i="25"/>
  <c r="X143" i="25"/>
  <c r="N143" i="25"/>
  <c r="K143" i="25"/>
  <c r="I143" i="25"/>
  <c r="F143" i="25"/>
  <c r="X142" i="25"/>
  <c r="N142" i="25"/>
  <c r="K142" i="25"/>
  <c r="I142" i="25"/>
  <c r="F142" i="25"/>
  <c r="X141" i="25"/>
  <c r="N141" i="25"/>
  <c r="K141" i="25"/>
  <c r="I141" i="25"/>
  <c r="F141" i="25"/>
  <c r="X165" i="25"/>
  <c r="N165" i="25"/>
  <c r="K165" i="25"/>
  <c r="I165" i="25"/>
  <c r="F165" i="25"/>
  <c r="X147" i="25"/>
  <c r="N147" i="25"/>
  <c r="K147" i="25"/>
  <c r="I147" i="25"/>
  <c r="F147" i="25"/>
  <c r="X164" i="25"/>
  <c r="N164" i="25"/>
  <c r="K164" i="25"/>
  <c r="I164" i="25"/>
  <c r="F164" i="25"/>
  <c r="X140" i="25"/>
  <c r="N140" i="25"/>
  <c r="K140" i="25"/>
  <c r="I140" i="25"/>
  <c r="F140" i="25"/>
  <c r="X117" i="25"/>
  <c r="N117" i="25"/>
  <c r="K117" i="25"/>
  <c r="I117" i="25"/>
  <c r="F117" i="25"/>
  <c r="X137" i="25"/>
  <c r="N137" i="25"/>
  <c r="K137" i="25"/>
  <c r="I137" i="25"/>
  <c r="F137" i="25"/>
  <c r="X163" i="25"/>
  <c r="N163" i="25"/>
  <c r="K163" i="25"/>
  <c r="I163" i="25"/>
  <c r="F163" i="25"/>
  <c r="X130" i="25"/>
  <c r="N130" i="25"/>
  <c r="K130" i="25"/>
  <c r="I130" i="25"/>
  <c r="F130" i="25"/>
  <c r="X125" i="25"/>
  <c r="N125" i="25"/>
  <c r="K125" i="25"/>
  <c r="I125" i="25"/>
  <c r="AB125" i="25" s="1"/>
  <c r="F125" i="25"/>
  <c r="X104" i="25"/>
  <c r="N104" i="25"/>
  <c r="K104" i="25"/>
  <c r="I104" i="25"/>
  <c r="F104" i="25"/>
  <c r="X108" i="25"/>
  <c r="N108" i="25"/>
  <c r="K108" i="25"/>
  <c r="I108" i="25"/>
  <c r="F108" i="25"/>
  <c r="X136" i="25"/>
  <c r="N136" i="25"/>
  <c r="K136" i="25"/>
  <c r="I136" i="25"/>
  <c r="F136" i="25"/>
  <c r="X162" i="25"/>
  <c r="N162" i="25"/>
  <c r="K162" i="25"/>
  <c r="I162" i="25"/>
  <c r="F162" i="25"/>
  <c r="X138" i="25"/>
  <c r="N138" i="25"/>
  <c r="K138" i="25"/>
  <c r="I138" i="25"/>
  <c r="F138" i="25"/>
  <c r="X114" i="25"/>
  <c r="N114" i="25"/>
  <c r="K114" i="25"/>
  <c r="I114" i="25"/>
  <c r="F114" i="25"/>
  <c r="X128" i="25"/>
  <c r="N128" i="25"/>
  <c r="K128" i="25"/>
  <c r="I128" i="25"/>
  <c r="F128" i="25"/>
  <c r="X139" i="25"/>
  <c r="N139" i="25"/>
  <c r="K139" i="25"/>
  <c r="I139" i="25"/>
  <c r="F139" i="25"/>
  <c r="X127" i="25"/>
  <c r="N127" i="25"/>
  <c r="K127" i="25"/>
  <c r="I127" i="25"/>
  <c r="F127" i="25"/>
  <c r="X121" i="25"/>
  <c r="N121" i="25"/>
  <c r="K121" i="25"/>
  <c r="I121" i="25"/>
  <c r="F121" i="25"/>
  <c r="X120" i="25"/>
  <c r="AB120" i="25" s="1"/>
  <c r="N120" i="25"/>
  <c r="K120" i="25"/>
  <c r="I120" i="25"/>
  <c r="F120" i="25"/>
  <c r="X161" i="25"/>
  <c r="N161" i="25"/>
  <c r="K161" i="25"/>
  <c r="I161" i="25"/>
  <c r="F161" i="25"/>
  <c r="X160" i="25"/>
  <c r="N160" i="25"/>
  <c r="K160" i="25"/>
  <c r="AB160" i="25" s="1"/>
  <c r="I160" i="25"/>
  <c r="F160" i="25"/>
  <c r="X159" i="25"/>
  <c r="N159" i="25"/>
  <c r="K159" i="25"/>
  <c r="I159" i="25"/>
  <c r="F159" i="25"/>
  <c r="X158" i="25"/>
  <c r="N158" i="25"/>
  <c r="K158" i="25"/>
  <c r="I158" i="25"/>
  <c r="F158" i="25"/>
  <c r="X157" i="25"/>
  <c r="N157" i="25"/>
  <c r="K157" i="25"/>
  <c r="I157" i="25"/>
  <c r="F157" i="25"/>
  <c r="X156" i="25"/>
  <c r="N156" i="25"/>
  <c r="K156" i="25"/>
  <c r="I156" i="25"/>
  <c r="F156" i="25"/>
  <c r="X155" i="25"/>
  <c r="N155" i="25"/>
  <c r="K155" i="25"/>
  <c r="I155" i="25"/>
  <c r="F155" i="25"/>
  <c r="X154" i="25"/>
  <c r="N154" i="25"/>
  <c r="K154" i="25"/>
  <c r="I154" i="25"/>
  <c r="F154" i="25"/>
  <c r="X17" i="25"/>
  <c r="N17" i="25"/>
  <c r="K17" i="25"/>
  <c r="I17" i="25"/>
  <c r="F17" i="25"/>
  <c r="X16" i="25"/>
  <c r="N16" i="25"/>
  <c r="K16" i="25"/>
  <c r="I16" i="25"/>
  <c r="F16" i="25"/>
  <c r="AA132" i="25"/>
  <c r="X132" i="25"/>
  <c r="N132" i="25"/>
  <c r="K132" i="25"/>
  <c r="I132" i="25"/>
  <c r="F132" i="25"/>
  <c r="AA18" i="25"/>
  <c r="X18" i="25"/>
  <c r="N18" i="25"/>
  <c r="K18" i="25"/>
  <c r="I18" i="25"/>
  <c r="F18" i="25"/>
  <c r="AA153" i="25"/>
  <c r="X153" i="25"/>
  <c r="N153" i="25"/>
  <c r="K153" i="25"/>
  <c r="I153" i="25"/>
  <c r="F153" i="25"/>
  <c r="AA131" i="25"/>
  <c r="X131" i="25"/>
  <c r="N131" i="25"/>
  <c r="K131" i="25"/>
  <c r="I131" i="25"/>
  <c r="F131" i="25"/>
  <c r="AA149" i="25"/>
  <c r="X149" i="25"/>
  <c r="N149" i="25"/>
  <c r="K149" i="25"/>
  <c r="I149" i="25"/>
  <c r="F149" i="25"/>
  <c r="AA124" i="25"/>
  <c r="X124" i="25"/>
  <c r="N124" i="25"/>
  <c r="K124" i="25"/>
  <c r="I124" i="25"/>
  <c r="F124" i="25"/>
  <c r="AA122" i="25"/>
  <c r="X122" i="25"/>
  <c r="N122" i="25"/>
  <c r="K122" i="25"/>
  <c r="I122" i="25"/>
  <c r="F122" i="25"/>
  <c r="AA123" i="25"/>
  <c r="X123" i="25"/>
  <c r="N123" i="25"/>
  <c r="K123" i="25"/>
  <c r="I123" i="25"/>
  <c r="F123" i="25"/>
  <c r="AA126" i="25"/>
  <c r="X126" i="25"/>
  <c r="N126" i="25"/>
  <c r="K126" i="25"/>
  <c r="I126" i="25"/>
  <c r="F126" i="25"/>
  <c r="AA109" i="25"/>
  <c r="X109" i="25"/>
  <c r="N109" i="25"/>
  <c r="K109" i="25"/>
  <c r="I109" i="25"/>
  <c r="F109" i="25"/>
  <c r="AA84" i="25"/>
  <c r="X84" i="25"/>
  <c r="N84" i="25"/>
  <c r="K84" i="25"/>
  <c r="I84" i="25"/>
  <c r="F84" i="25"/>
  <c r="AA135" i="25"/>
  <c r="X135" i="25"/>
  <c r="N135" i="25"/>
  <c r="K135" i="25"/>
  <c r="I135" i="25"/>
  <c r="F135" i="25"/>
  <c r="AA134" i="25"/>
  <c r="X134" i="25"/>
  <c r="N134" i="25"/>
  <c r="K134" i="25"/>
  <c r="I134" i="25"/>
  <c r="F134" i="25"/>
  <c r="AA151" i="25"/>
  <c r="X151" i="25"/>
  <c r="N151" i="25"/>
  <c r="K151" i="25"/>
  <c r="I151" i="25"/>
  <c r="F151" i="25"/>
  <c r="AA106" i="25"/>
  <c r="X106" i="25"/>
  <c r="N106" i="25"/>
  <c r="K106" i="25"/>
  <c r="I106" i="25"/>
  <c r="F106" i="25"/>
  <c r="AA129" i="25"/>
  <c r="X129" i="25"/>
  <c r="N129" i="25"/>
  <c r="K129" i="25"/>
  <c r="I129" i="25"/>
  <c r="F129" i="25"/>
  <c r="AA113" i="25"/>
  <c r="X113" i="25"/>
  <c r="N113" i="25"/>
  <c r="K113" i="25"/>
  <c r="I113" i="25"/>
  <c r="F113" i="25"/>
  <c r="AA115" i="25"/>
  <c r="X115" i="25"/>
  <c r="N115" i="25"/>
  <c r="K115" i="25"/>
  <c r="I115" i="25"/>
  <c r="F115" i="25"/>
  <c r="AA116" i="25"/>
  <c r="X116" i="25"/>
  <c r="N116" i="25"/>
  <c r="K116" i="25"/>
  <c r="I116" i="25"/>
  <c r="F116" i="25"/>
  <c r="AA4" i="25"/>
  <c r="X4" i="25"/>
  <c r="N4" i="25"/>
  <c r="K4" i="25"/>
  <c r="I4" i="25"/>
  <c r="F4" i="25"/>
  <c r="AA88" i="25"/>
  <c r="X88" i="25"/>
  <c r="N88" i="25"/>
  <c r="K88" i="25"/>
  <c r="I88" i="25"/>
  <c r="F88" i="25"/>
  <c r="AA82" i="25"/>
  <c r="X82" i="25"/>
  <c r="N82" i="25"/>
  <c r="K82" i="25"/>
  <c r="I82" i="25"/>
  <c r="F82" i="25"/>
  <c r="AA43" i="25"/>
  <c r="X43" i="25"/>
  <c r="N43" i="25"/>
  <c r="K43" i="25"/>
  <c r="I43" i="25"/>
  <c r="F43" i="25"/>
  <c r="AA10" i="25"/>
  <c r="X10" i="25"/>
  <c r="N10" i="25"/>
  <c r="K10" i="25"/>
  <c r="I10" i="25"/>
  <c r="F10" i="25"/>
  <c r="AA9" i="25"/>
  <c r="X9" i="25"/>
  <c r="N9" i="25"/>
  <c r="K9" i="25"/>
  <c r="I9" i="25"/>
  <c r="F9" i="25"/>
  <c r="AA8" i="25"/>
  <c r="X8" i="25"/>
  <c r="N8" i="25"/>
  <c r="K8" i="25"/>
  <c r="I8" i="25"/>
  <c r="F8" i="25"/>
  <c r="AA7" i="25"/>
  <c r="X7" i="25"/>
  <c r="N7" i="25"/>
  <c r="K7" i="25"/>
  <c r="I7" i="25"/>
  <c r="F7" i="25"/>
  <c r="AA6" i="25"/>
  <c r="X6" i="25"/>
  <c r="N6" i="25"/>
  <c r="K6" i="25"/>
  <c r="I6" i="25"/>
  <c r="F6" i="25"/>
  <c r="AA5" i="25"/>
  <c r="X5" i="25"/>
  <c r="N5" i="25"/>
  <c r="K5" i="25"/>
  <c r="I5" i="25"/>
  <c r="F5" i="25"/>
  <c r="AA3" i="25"/>
  <c r="X3" i="25"/>
  <c r="N3" i="25"/>
  <c r="K3" i="25"/>
  <c r="I3" i="25"/>
  <c r="F3" i="25"/>
  <c r="AA33" i="25"/>
  <c r="X33" i="25"/>
  <c r="N33" i="25"/>
  <c r="K33" i="25"/>
  <c r="I33" i="25"/>
  <c r="F33" i="25"/>
  <c r="AA15" i="25"/>
  <c r="X15" i="25"/>
  <c r="N15" i="25"/>
  <c r="K15" i="25"/>
  <c r="I15" i="25"/>
  <c r="F15" i="25"/>
  <c r="AA78" i="25"/>
  <c r="X78" i="25"/>
  <c r="N78" i="25"/>
  <c r="K78" i="25"/>
  <c r="I78" i="25"/>
  <c r="F78" i="25"/>
  <c r="AA112" i="25"/>
  <c r="X112" i="25"/>
  <c r="N112" i="25"/>
  <c r="K112" i="25"/>
  <c r="I112" i="25"/>
  <c r="F112" i="25"/>
  <c r="AA118" i="25"/>
  <c r="X118" i="25"/>
  <c r="N118" i="25"/>
  <c r="K118" i="25"/>
  <c r="I118" i="25"/>
  <c r="F118" i="25"/>
  <c r="AA119" i="25"/>
  <c r="X119" i="25"/>
  <c r="N119" i="25"/>
  <c r="K119" i="25"/>
  <c r="I119" i="25"/>
  <c r="F119" i="25"/>
  <c r="AA14" i="25"/>
  <c r="X14" i="25"/>
  <c r="N14" i="25"/>
  <c r="K14" i="25"/>
  <c r="I14" i="25"/>
  <c r="F14" i="25"/>
  <c r="AA50" i="25"/>
  <c r="X50" i="25"/>
  <c r="N50" i="25"/>
  <c r="K50" i="25"/>
  <c r="I50" i="25"/>
  <c r="F50" i="25"/>
  <c r="AA64" i="25"/>
  <c r="X64" i="25"/>
  <c r="N64" i="25"/>
  <c r="K64" i="25"/>
  <c r="I64" i="25"/>
  <c r="F64" i="25"/>
  <c r="AA66" i="25"/>
  <c r="X66" i="25"/>
  <c r="N66" i="25"/>
  <c r="K66" i="25"/>
  <c r="I66" i="25"/>
  <c r="F66" i="25"/>
  <c r="AA70" i="25"/>
  <c r="X70" i="25"/>
  <c r="N70" i="25"/>
  <c r="K70" i="25"/>
  <c r="I70" i="25"/>
  <c r="F70" i="25"/>
  <c r="AA85" i="25"/>
  <c r="X85" i="25"/>
  <c r="N85" i="25"/>
  <c r="K85" i="25"/>
  <c r="I85" i="25"/>
  <c r="F85" i="25"/>
  <c r="AA87" i="25"/>
  <c r="X87" i="25"/>
  <c r="N87" i="25"/>
  <c r="K87" i="25"/>
  <c r="I87" i="25"/>
  <c r="F87" i="25"/>
  <c r="AA94" i="25"/>
  <c r="X94" i="25"/>
  <c r="N94" i="25"/>
  <c r="K94" i="25"/>
  <c r="I94" i="25"/>
  <c r="F94" i="25"/>
  <c r="AA80" i="25"/>
  <c r="X80" i="25"/>
  <c r="N80" i="25"/>
  <c r="K80" i="25"/>
  <c r="I80" i="25"/>
  <c r="F80" i="25"/>
  <c r="AA62" i="25"/>
  <c r="X62" i="25"/>
  <c r="N62" i="25"/>
  <c r="K62" i="25"/>
  <c r="I62" i="25"/>
  <c r="F62" i="25"/>
  <c r="AA51" i="25"/>
  <c r="X51" i="25"/>
  <c r="N51" i="25"/>
  <c r="K51" i="25"/>
  <c r="I51" i="25"/>
  <c r="F51" i="25"/>
  <c r="AA40" i="25"/>
  <c r="X40" i="25"/>
  <c r="N40" i="25"/>
  <c r="K40" i="25"/>
  <c r="I40" i="25"/>
  <c r="F40" i="25"/>
  <c r="AA39" i="25"/>
  <c r="X39" i="25"/>
  <c r="N39" i="25"/>
  <c r="K39" i="25"/>
  <c r="I39" i="25"/>
  <c r="F39" i="25"/>
  <c r="AA81" i="25"/>
  <c r="X81" i="25"/>
  <c r="N81" i="25"/>
  <c r="K81" i="25"/>
  <c r="I81" i="25"/>
  <c r="F81" i="25"/>
  <c r="AA67" i="25"/>
  <c r="X67" i="25"/>
  <c r="N67" i="25"/>
  <c r="K67" i="25"/>
  <c r="I67" i="25"/>
  <c r="F67" i="25"/>
  <c r="AA65" i="25"/>
  <c r="X65" i="25"/>
  <c r="N65" i="25"/>
  <c r="K65" i="25"/>
  <c r="I65" i="25"/>
  <c r="F65" i="25"/>
  <c r="AA63" i="25"/>
  <c r="X63" i="25"/>
  <c r="N63" i="25"/>
  <c r="K63" i="25"/>
  <c r="I63" i="25"/>
  <c r="F63" i="25"/>
  <c r="AA75" i="25"/>
  <c r="X75" i="25"/>
  <c r="N75" i="25"/>
  <c r="K75" i="25"/>
  <c r="I75" i="25"/>
  <c r="F75" i="25"/>
  <c r="AA99" i="25"/>
  <c r="X99" i="25"/>
  <c r="N99" i="25"/>
  <c r="K99" i="25"/>
  <c r="I99" i="25"/>
  <c r="F99" i="25"/>
  <c r="AA100" i="25"/>
  <c r="X100" i="25"/>
  <c r="N100" i="25"/>
  <c r="K100" i="25"/>
  <c r="I100" i="25"/>
  <c r="F100" i="25"/>
  <c r="AA98" i="25"/>
  <c r="X98" i="25"/>
  <c r="N98" i="25"/>
  <c r="K98" i="25"/>
  <c r="I98" i="25"/>
  <c r="F98" i="25"/>
  <c r="AA97" i="25"/>
  <c r="X97" i="25"/>
  <c r="N97" i="25"/>
  <c r="K97" i="25"/>
  <c r="I97" i="25"/>
  <c r="F97" i="25"/>
  <c r="AA96" i="25"/>
  <c r="X96" i="25"/>
  <c r="N96" i="25"/>
  <c r="K96" i="25"/>
  <c r="I96" i="25"/>
  <c r="F96" i="25"/>
  <c r="AA95" i="25"/>
  <c r="X95" i="25"/>
  <c r="N95" i="25"/>
  <c r="K95" i="25"/>
  <c r="I95" i="25"/>
  <c r="F95" i="25"/>
  <c r="AA76" i="25"/>
  <c r="X76" i="25"/>
  <c r="N76" i="25"/>
  <c r="K76" i="25"/>
  <c r="I76" i="25"/>
  <c r="F76" i="25"/>
  <c r="AA111" i="25"/>
  <c r="X111" i="25"/>
  <c r="N111" i="25"/>
  <c r="K111" i="25"/>
  <c r="I111" i="25"/>
  <c r="F111" i="25"/>
  <c r="AA107" i="25"/>
  <c r="X107" i="25"/>
  <c r="N107" i="25"/>
  <c r="K107" i="25"/>
  <c r="I107" i="25"/>
  <c r="F107" i="25"/>
  <c r="AA61" i="25"/>
  <c r="X61" i="25"/>
  <c r="N61" i="25"/>
  <c r="K61" i="25"/>
  <c r="I61" i="25"/>
  <c r="F61" i="25"/>
  <c r="AA60" i="25"/>
  <c r="X60" i="25"/>
  <c r="N60" i="25"/>
  <c r="K60" i="25"/>
  <c r="I60" i="25"/>
  <c r="F60" i="25"/>
  <c r="AA59" i="25"/>
  <c r="X59" i="25"/>
  <c r="N59" i="25"/>
  <c r="K59" i="25"/>
  <c r="I59" i="25"/>
  <c r="F59" i="25"/>
  <c r="AA93" i="25"/>
  <c r="X93" i="25"/>
  <c r="N93" i="25"/>
  <c r="K93" i="25"/>
  <c r="I93" i="25"/>
  <c r="F93" i="25"/>
  <c r="AA92" i="25"/>
  <c r="X92" i="25"/>
  <c r="N92" i="25"/>
  <c r="K92" i="25"/>
  <c r="I92" i="25"/>
  <c r="F92" i="25"/>
  <c r="AA91" i="25"/>
  <c r="X91" i="25"/>
  <c r="N91" i="25"/>
  <c r="K91" i="25"/>
  <c r="I91" i="25"/>
  <c r="F91" i="25"/>
  <c r="AA90" i="25"/>
  <c r="X90" i="25"/>
  <c r="N90" i="25"/>
  <c r="K90" i="25"/>
  <c r="I90" i="25"/>
  <c r="F90" i="25"/>
  <c r="AA101" i="25"/>
  <c r="X101" i="25"/>
  <c r="N101" i="25"/>
  <c r="K101" i="25"/>
  <c r="I101" i="25"/>
  <c r="F101" i="25"/>
  <c r="AA89" i="25"/>
  <c r="X89" i="25"/>
  <c r="N89" i="25"/>
  <c r="K89" i="25"/>
  <c r="I89" i="25"/>
  <c r="F89" i="25"/>
  <c r="AA105" i="25"/>
  <c r="X105" i="25"/>
  <c r="N105" i="25"/>
  <c r="K105" i="25"/>
  <c r="I105" i="25"/>
  <c r="F105" i="25"/>
  <c r="AA103" i="25"/>
  <c r="X103" i="25"/>
  <c r="N103" i="25"/>
  <c r="K103" i="25"/>
  <c r="I103" i="25"/>
  <c r="F103" i="25"/>
  <c r="AA102" i="25"/>
  <c r="X102" i="25"/>
  <c r="N102" i="25"/>
  <c r="K102" i="25"/>
  <c r="I102" i="25"/>
  <c r="F102" i="25"/>
  <c r="AA25" i="25"/>
  <c r="X25" i="25"/>
  <c r="N25" i="25"/>
  <c r="K25" i="25"/>
  <c r="I25" i="25"/>
  <c r="F25" i="25"/>
  <c r="AA86" i="25"/>
  <c r="X86" i="25"/>
  <c r="N86" i="25"/>
  <c r="K86" i="25"/>
  <c r="I86" i="25"/>
  <c r="F86" i="25"/>
  <c r="AA58" i="25"/>
  <c r="X58" i="25"/>
  <c r="N58" i="25"/>
  <c r="K58" i="25"/>
  <c r="I58" i="25"/>
  <c r="F58" i="25"/>
  <c r="AA53" i="25"/>
  <c r="X53" i="25"/>
  <c r="N53" i="25"/>
  <c r="K53" i="25"/>
  <c r="I53" i="25"/>
  <c r="F53" i="25"/>
  <c r="AA71" i="25"/>
  <c r="X71" i="25"/>
  <c r="N71" i="25"/>
  <c r="K71" i="25"/>
  <c r="I71" i="25"/>
  <c r="F71" i="25"/>
  <c r="AA77" i="25"/>
  <c r="X77" i="25"/>
  <c r="N77" i="25"/>
  <c r="K77" i="25"/>
  <c r="I77" i="25"/>
  <c r="F77" i="25"/>
  <c r="AA73" i="25"/>
  <c r="X73" i="25"/>
  <c r="N73" i="25"/>
  <c r="K73" i="25"/>
  <c r="I73" i="25"/>
  <c r="F73" i="25"/>
  <c r="AA83" i="25"/>
  <c r="X83" i="25"/>
  <c r="N83" i="25"/>
  <c r="K83" i="25"/>
  <c r="I83" i="25"/>
  <c r="F83" i="25"/>
  <c r="AA79" i="25"/>
  <c r="X79" i="25"/>
  <c r="N79" i="25"/>
  <c r="K79" i="25"/>
  <c r="I79" i="25"/>
  <c r="F79" i="25"/>
  <c r="AA74" i="25"/>
  <c r="X74" i="25"/>
  <c r="N74" i="25"/>
  <c r="K74" i="25"/>
  <c r="I74" i="25"/>
  <c r="F74" i="25"/>
  <c r="AA46" i="25"/>
  <c r="X46" i="25"/>
  <c r="N46" i="25"/>
  <c r="K46" i="25"/>
  <c r="I46" i="25"/>
  <c r="F46" i="25"/>
  <c r="AA72" i="25"/>
  <c r="X72" i="25"/>
  <c r="N72" i="25"/>
  <c r="K72" i="25"/>
  <c r="I72" i="25"/>
  <c r="F72" i="25"/>
  <c r="AA26" i="25"/>
  <c r="X26" i="25"/>
  <c r="N26" i="25"/>
  <c r="K26" i="25"/>
  <c r="I26" i="25"/>
  <c r="F26" i="25"/>
  <c r="AA54" i="25"/>
  <c r="X54" i="25"/>
  <c r="N54" i="25"/>
  <c r="K54" i="25"/>
  <c r="I54" i="25"/>
  <c r="F54" i="25"/>
  <c r="AA48" i="25"/>
  <c r="X48" i="25"/>
  <c r="N48" i="25"/>
  <c r="K48" i="25"/>
  <c r="I48" i="25"/>
  <c r="F48" i="25"/>
  <c r="AA20" i="25"/>
  <c r="X20" i="25"/>
  <c r="N20" i="25"/>
  <c r="K20" i="25"/>
  <c r="I20" i="25"/>
  <c r="F20" i="25"/>
  <c r="AA21" i="25"/>
  <c r="X21" i="25"/>
  <c r="N21" i="25"/>
  <c r="K21" i="25"/>
  <c r="I21" i="25"/>
  <c r="F21" i="25"/>
  <c r="AA27" i="25"/>
  <c r="X27" i="25"/>
  <c r="N27" i="25"/>
  <c r="K27" i="25"/>
  <c r="I27" i="25"/>
  <c r="F27" i="25"/>
  <c r="AA19" i="25"/>
  <c r="X19" i="25"/>
  <c r="N19" i="25"/>
  <c r="K19" i="25"/>
  <c r="I19" i="25"/>
  <c r="F19" i="25"/>
  <c r="AA13" i="25"/>
  <c r="X13" i="25"/>
  <c r="N13" i="25"/>
  <c r="K13" i="25"/>
  <c r="I13" i="25"/>
  <c r="F13" i="25"/>
  <c r="AA23" i="25"/>
  <c r="X23" i="25"/>
  <c r="N23" i="25"/>
  <c r="K23" i="25"/>
  <c r="I23" i="25"/>
  <c r="F23" i="25"/>
  <c r="AA24" i="25"/>
  <c r="X24" i="25"/>
  <c r="N24" i="25"/>
  <c r="K24" i="25"/>
  <c r="I24" i="25"/>
  <c r="F24" i="25"/>
  <c r="AA11" i="25"/>
  <c r="X11" i="25"/>
  <c r="N11" i="25"/>
  <c r="K11" i="25"/>
  <c r="I11" i="25"/>
  <c r="F11" i="25"/>
  <c r="AA30" i="25"/>
  <c r="X30" i="25"/>
  <c r="N30" i="25"/>
  <c r="K30" i="25"/>
  <c r="I30" i="25"/>
  <c r="F30" i="25"/>
  <c r="AA37" i="25"/>
  <c r="X37" i="25"/>
  <c r="N37" i="25"/>
  <c r="K37" i="25"/>
  <c r="I37" i="25"/>
  <c r="F37" i="25"/>
  <c r="AA34" i="25"/>
  <c r="X34" i="25"/>
  <c r="N34" i="25"/>
  <c r="K34" i="25"/>
  <c r="I34" i="25"/>
  <c r="F34" i="25"/>
  <c r="AA47" i="25"/>
  <c r="X47" i="25"/>
  <c r="N47" i="25"/>
  <c r="K47" i="25"/>
  <c r="I47" i="25"/>
  <c r="F47" i="25"/>
  <c r="AA49" i="25"/>
  <c r="X49" i="25"/>
  <c r="N49" i="25"/>
  <c r="K49" i="25"/>
  <c r="I49" i="25"/>
  <c r="F49" i="25"/>
  <c r="AA55" i="25"/>
  <c r="X55" i="25"/>
  <c r="N55" i="25"/>
  <c r="K55" i="25"/>
  <c r="I55" i="25"/>
  <c r="F55" i="25"/>
  <c r="AA31" i="25"/>
  <c r="X31" i="25"/>
  <c r="N31" i="25"/>
  <c r="K31" i="25"/>
  <c r="I31" i="25"/>
  <c r="F31" i="25"/>
  <c r="AA68" i="25"/>
  <c r="X68" i="25"/>
  <c r="N68" i="25"/>
  <c r="K68" i="25"/>
  <c r="I68" i="25"/>
  <c r="F68" i="25"/>
  <c r="AA69" i="25"/>
  <c r="X69" i="25"/>
  <c r="N69" i="25"/>
  <c r="K69" i="25"/>
  <c r="I69" i="25"/>
  <c r="F69" i="25"/>
  <c r="AA45" i="25"/>
  <c r="X45" i="25"/>
  <c r="N45" i="25"/>
  <c r="K45" i="25"/>
  <c r="I45" i="25"/>
  <c r="F45" i="25"/>
  <c r="AA38" i="25"/>
  <c r="X38" i="25"/>
  <c r="N38" i="25"/>
  <c r="K38" i="25"/>
  <c r="I38" i="25"/>
  <c r="F38" i="25"/>
  <c r="AA44" i="25"/>
  <c r="X44" i="25"/>
  <c r="N44" i="25"/>
  <c r="K44" i="25"/>
  <c r="I44" i="25"/>
  <c r="F44" i="25"/>
  <c r="AA35" i="25"/>
  <c r="X35" i="25"/>
  <c r="N35" i="25"/>
  <c r="K35" i="25"/>
  <c r="I35" i="25"/>
  <c r="F35" i="25"/>
  <c r="AA32" i="25"/>
  <c r="X32" i="25"/>
  <c r="N32" i="25"/>
  <c r="K32" i="25"/>
  <c r="I32" i="25"/>
  <c r="F32" i="25"/>
  <c r="AA36" i="25"/>
  <c r="X36" i="25"/>
  <c r="N36" i="25"/>
  <c r="K36" i="25"/>
  <c r="I36" i="25"/>
  <c r="F36" i="25"/>
  <c r="AA56" i="25"/>
  <c r="X56" i="25"/>
  <c r="N56" i="25"/>
  <c r="K56" i="25"/>
  <c r="I56" i="25"/>
  <c r="F56" i="25"/>
  <c r="AA29" i="25"/>
  <c r="X29" i="25"/>
  <c r="N29" i="25"/>
  <c r="K29" i="25"/>
  <c r="I29" i="25"/>
  <c r="F29" i="25"/>
  <c r="AA41" i="25"/>
  <c r="X41" i="25"/>
  <c r="N41" i="25"/>
  <c r="K41" i="25"/>
  <c r="I41" i="25"/>
  <c r="F41" i="25"/>
  <c r="AA2" i="25"/>
  <c r="X2" i="25"/>
  <c r="U2" i="25"/>
  <c r="S2" i="25"/>
  <c r="P2" i="25"/>
  <c r="N2" i="25"/>
  <c r="K2" i="25"/>
  <c r="H2" i="25"/>
  <c r="I2" i="25" s="1"/>
  <c r="F2" i="25"/>
  <c r="AB22" i="22"/>
  <c r="AB28" i="22"/>
  <c r="AB2" i="22"/>
  <c r="AB89" i="22"/>
  <c r="AB38" i="22"/>
  <c r="AB81" i="22"/>
  <c r="K183" i="24"/>
  <c r="F183" i="24"/>
  <c r="G184" i="24"/>
  <c r="X170" i="24"/>
  <c r="N170" i="24"/>
  <c r="K170" i="24"/>
  <c r="I170" i="24"/>
  <c r="F170" i="24"/>
  <c r="X119" i="24"/>
  <c r="N119" i="24"/>
  <c r="K119" i="24"/>
  <c r="I119" i="24"/>
  <c r="F119" i="24"/>
  <c r="X144" i="24"/>
  <c r="N144" i="24"/>
  <c r="K144" i="24"/>
  <c r="I144" i="24"/>
  <c r="F144" i="24"/>
  <c r="X150" i="24"/>
  <c r="N150" i="24"/>
  <c r="K150" i="24"/>
  <c r="I150" i="24"/>
  <c r="F150" i="24"/>
  <c r="X132" i="24"/>
  <c r="N132" i="24"/>
  <c r="K132" i="24"/>
  <c r="I132" i="24"/>
  <c r="F132" i="24"/>
  <c r="X155" i="24"/>
  <c r="N155" i="24"/>
  <c r="K155" i="24"/>
  <c r="I155" i="24"/>
  <c r="F155" i="24"/>
  <c r="X173" i="24"/>
  <c r="N173" i="24"/>
  <c r="K173" i="24"/>
  <c r="I173" i="24"/>
  <c r="F173" i="24"/>
  <c r="X139" i="24"/>
  <c r="N139" i="24"/>
  <c r="K139" i="24"/>
  <c r="I139" i="24"/>
  <c r="F139" i="24"/>
  <c r="X164" i="24"/>
  <c r="N164" i="24"/>
  <c r="K164" i="24"/>
  <c r="I164" i="24"/>
  <c r="F164" i="24"/>
  <c r="X171" i="24"/>
  <c r="N171" i="24"/>
  <c r="K171" i="24"/>
  <c r="I171" i="24"/>
  <c r="F171" i="24"/>
  <c r="X163" i="24"/>
  <c r="N163" i="24"/>
  <c r="K163" i="24"/>
  <c r="I163" i="24"/>
  <c r="F163" i="24"/>
  <c r="X6" i="24"/>
  <c r="N6" i="24"/>
  <c r="K6" i="24"/>
  <c r="I6" i="24"/>
  <c r="F6" i="24"/>
  <c r="X165" i="24"/>
  <c r="N165" i="24"/>
  <c r="K165" i="24"/>
  <c r="I165" i="24"/>
  <c r="F165" i="24"/>
  <c r="X160" i="24"/>
  <c r="N160" i="24"/>
  <c r="K160" i="24"/>
  <c r="I160" i="24"/>
  <c r="F160" i="24"/>
  <c r="X94" i="24"/>
  <c r="N94" i="24"/>
  <c r="K94" i="24"/>
  <c r="I94" i="24"/>
  <c r="F94" i="24"/>
  <c r="X137" i="24"/>
  <c r="N137" i="24"/>
  <c r="K137" i="24"/>
  <c r="I137" i="24"/>
  <c r="F137" i="24"/>
  <c r="X143" i="24"/>
  <c r="N143" i="24"/>
  <c r="K143" i="24"/>
  <c r="I143" i="24"/>
  <c r="F143" i="24"/>
  <c r="X105" i="24"/>
  <c r="N105" i="24"/>
  <c r="K105" i="24"/>
  <c r="I105" i="24"/>
  <c r="F105" i="24"/>
  <c r="X148" i="24"/>
  <c r="N148" i="24"/>
  <c r="K148" i="24"/>
  <c r="I148" i="24"/>
  <c r="F148" i="24"/>
  <c r="X154" i="24"/>
  <c r="N154" i="24"/>
  <c r="K154" i="24"/>
  <c r="I154" i="24"/>
  <c r="F154" i="24"/>
  <c r="X153" i="24"/>
  <c r="N153" i="24"/>
  <c r="K153" i="24"/>
  <c r="I153" i="24"/>
  <c r="F153" i="24"/>
  <c r="X19" i="24"/>
  <c r="N19" i="24"/>
  <c r="K19" i="24"/>
  <c r="I19" i="24"/>
  <c r="F19" i="24"/>
  <c r="X110" i="24"/>
  <c r="N110" i="24"/>
  <c r="K110" i="24"/>
  <c r="I110" i="24"/>
  <c r="F110" i="24"/>
  <c r="X135" i="24"/>
  <c r="N135" i="24"/>
  <c r="K135" i="24"/>
  <c r="I135" i="24"/>
  <c r="F135" i="24"/>
  <c r="X17" i="24"/>
  <c r="N17" i="24"/>
  <c r="K17" i="24"/>
  <c r="I17" i="24"/>
  <c r="F17" i="24"/>
  <c r="X169" i="24"/>
  <c r="N169" i="24"/>
  <c r="K169" i="24"/>
  <c r="I169" i="24"/>
  <c r="F169" i="24"/>
  <c r="X168" i="24"/>
  <c r="N168" i="24"/>
  <c r="K168" i="24"/>
  <c r="I168" i="24"/>
  <c r="F168" i="24"/>
  <c r="X167" i="24"/>
  <c r="N167" i="24"/>
  <c r="K167" i="24"/>
  <c r="I167" i="24"/>
  <c r="F167" i="24"/>
  <c r="X166" i="24"/>
  <c r="N166" i="24"/>
  <c r="K166" i="24"/>
  <c r="I166" i="24"/>
  <c r="F166" i="24"/>
  <c r="X147" i="24"/>
  <c r="N147" i="24"/>
  <c r="K147" i="24"/>
  <c r="I147" i="24"/>
  <c r="F147" i="24"/>
  <c r="X146" i="24"/>
  <c r="N146" i="24"/>
  <c r="K146" i="24"/>
  <c r="I146" i="24"/>
  <c r="F146" i="24"/>
  <c r="X142" i="24"/>
  <c r="N142" i="24"/>
  <c r="K142" i="24"/>
  <c r="I142" i="24"/>
  <c r="F142" i="24"/>
  <c r="X141" i="24"/>
  <c r="N141" i="24"/>
  <c r="K141" i="24"/>
  <c r="I141" i="24"/>
  <c r="F141" i="24"/>
  <c r="X140" i="24"/>
  <c r="N140" i="24"/>
  <c r="K140" i="24"/>
  <c r="I140" i="24"/>
  <c r="F140" i="24"/>
  <c r="X136" i="24"/>
  <c r="N136" i="24"/>
  <c r="K136" i="24"/>
  <c r="I136" i="24"/>
  <c r="F136" i="24"/>
  <c r="X162" i="24"/>
  <c r="N162" i="24"/>
  <c r="K162" i="24"/>
  <c r="I162" i="24"/>
  <c r="F162" i="24"/>
  <c r="X157" i="24"/>
  <c r="N157" i="24"/>
  <c r="K157" i="24"/>
  <c r="I157" i="24"/>
  <c r="F157" i="24"/>
  <c r="X180" i="24"/>
  <c r="N180" i="24"/>
  <c r="K180" i="24"/>
  <c r="I180" i="24"/>
  <c r="F180" i="24"/>
  <c r="X172" i="24"/>
  <c r="N172" i="24"/>
  <c r="K172" i="24"/>
  <c r="I172" i="24"/>
  <c r="F172" i="24"/>
  <c r="X127" i="24"/>
  <c r="N127" i="24"/>
  <c r="K127" i="24"/>
  <c r="I127" i="24"/>
  <c r="F127" i="24"/>
  <c r="X181" i="24"/>
  <c r="N181" i="24"/>
  <c r="K181" i="24"/>
  <c r="I181" i="24"/>
  <c r="F181" i="24"/>
  <c r="X158" i="24"/>
  <c r="N158" i="24"/>
  <c r="K158" i="24"/>
  <c r="I158" i="24"/>
  <c r="F158" i="24"/>
  <c r="X179" i="24"/>
  <c r="N179" i="24"/>
  <c r="K179" i="24"/>
  <c r="I179" i="24"/>
  <c r="F179" i="24"/>
  <c r="X156" i="24"/>
  <c r="N156" i="24"/>
  <c r="K156" i="24"/>
  <c r="I156" i="24"/>
  <c r="F156" i="24"/>
  <c r="X174" i="24"/>
  <c r="N174" i="24"/>
  <c r="K174" i="24"/>
  <c r="I174" i="24"/>
  <c r="F174" i="24"/>
  <c r="X176" i="24"/>
  <c r="N176" i="24"/>
  <c r="K176" i="24"/>
  <c r="I176" i="24"/>
  <c r="F176" i="24"/>
  <c r="X175" i="24"/>
  <c r="N175" i="24"/>
  <c r="K175" i="24"/>
  <c r="I175" i="24"/>
  <c r="F175" i="24"/>
  <c r="X178" i="24"/>
  <c r="N178" i="24"/>
  <c r="K178" i="24"/>
  <c r="I178" i="24"/>
  <c r="F178" i="24"/>
  <c r="X151" i="24"/>
  <c r="N151" i="24"/>
  <c r="K151" i="24"/>
  <c r="I151" i="24"/>
  <c r="F151" i="24"/>
  <c r="X177" i="24"/>
  <c r="N177" i="24"/>
  <c r="K177" i="24"/>
  <c r="I177" i="24"/>
  <c r="F177" i="24"/>
  <c r="X161" i="24"/>
  <c r="N161" i="24"/>
  <c r="K161" i="24"/>
  <c r="I161" i="24"/>
  <c r="F161" i="24"/>
  <c r="X159" i="24"/>
  <c r="N159" i="24"/>
  <c r="K159" i="24"/>
  <c r="I159" i="24"/>
  <c r="F159" i="24"/>
  <c r="X182" i="24"/>
  <c r="N182" i="24"/>
  <c r="K182" i="24"/>
  <c r="I182" i="24"/>
  <c r="F182" i="24"/>
  <c r="X152" i="24"/>
  <c r="N152" i="24"/>
  <c r="K152" i="24"/>
  <c r="I152" i="24"/>
  <c r="F152" i="24"/>
  <c r="X145" i="24"/>
  <c r="N145" i="24"/>
  <c r="K145" i="24"/>
  <c r="I145" i="24"/>
  <c r="F145" i="24"/>
  <c r="X138" i="24"/>
  <c r="N138" i="24"/>
  <c r="K138" i="24"/>
  <c r="I138" i="24"/>
  <c r="F138" i="24"/>
  <c r="X149" i="24"/>
  <c r="N149" i="24"/>
  <c r="K149" i="24"/>
  <c r="I149" i="24"/>
  <c r="F149" i="24"/>
  <c r="X134" i="24"/>
  <c r="N134" i="24"/>
  <c r="K134" i="24"/>
  <c r="I134" i="24"/>
  <c r="F134" i="24"/>
  <c r="X113" i="24"/>
  <c r="N113" i="24"/>
  <c r="K113" i="24"/>
  <c r="I113" i="24"/>
  <c r="F113" i="24"/>
  <c r="X125" i="24"/>
  <c r="N125" i="24"/>
  <c r="K125" i="24"/>
  <c r="I125" i="24"/>
  <c r="F125" i="24"/>
  <c r="X82" i="24"/>
  <c r="N82" i="24"/>
  <c r="K82" i="24"/>
  <c r="I82" i="24"/>
  <c r="F82" i="24"/>
  <c r="AA133" i="24"/>
  <c r="X133" i="24"/>
  <c r="N133" i="24"/>
  <c r="K133" i="24"/>
  <c r="I133" i="24"/>
  <c r="F133" i="24"/>
  <c r="AA130" i="24"/>
  <c r="X130" i="24"/>
  <c r="N130" i="24"/>
  <c r="K130" i="24"/>
  <c r="I130" i="24"/>
  <c r="F130" i="24"/>
  <c r="AA131" i="24"/>
  <c r="X131" i="24"/>
  <c r="N131" i="24"/>
  <c r="K131" i="24"/>
  <c r="I131" i="24"/>
  <c r="F131" i="24"/>
  <c r="AA51" i="24"/>
  <c r="X51" i="24"/>
  <c r="N51" i="24"/>
  <c r="K51" i="24"/>
  <c r="I51" i="24"/>
  <c r="F51" i="24"/>
  <c r="AA120" i="24"/>
  <c r="X120" i="24"/>
  <c r="N120" i="24"/>
  <c r="K120" i="24"/>
  <c r="I120" i="24"/>
  <c r="F120" i="24"/>
  <c r="AA122" i="24"/>
  <c r="X122" i="24"/>
  <c r="N122" i="24"/>
  <c r="K122" i="24"/>
  <c r="I122" i="24"/>
  <c r="F122" i="24"/>
  <c r="AA121" i="24"/>
  <c r="X121" i="24"/>
  <c r="N121" i="24"/>
  <c r="K121" i="24"/>
  <c r="I121" i="24"/>
  <c r="F121" i="24"/>
  <c r="AA107" i="24"/>
  <c r="X107" i="24"/>
  <c r="N107" i="24"/>
  <c r="K107" i="24"/>
  <c r="I107" i="24"/>
  <c r="F107" i="24"/>
  <c r="AA78" i="24"/>
  <c r="X78" i="24"/>
  <c r="N78" i="24"/>
  <c r="K78" i="24"/>
  <c r="I78" i="24"/>
  <c r="F78" i="24"/>
  <c r="AA109" i="24"/>
  <c r="X109" i="24"/>
  <c r="N109" i="24"/>
  <c r="K109" i="24"/>
  <c r="I109" i="24"/>
  <c r="F109" i="24"/>
  <c r="AA129" i="24"/>
  <c r="X129" i="24"/>
  <c r="N129" i="24"/>
  <c r="K129" i="24"/>
  <c r="I129" i="24"/>
  <c r="F129" i="24"/>
  <c r="AA128" i="24"/>
  <c r="X128" i="24"/>
  <c r="N128" i="24"/>
  <c r="K128" i="24"/>
  <c r="I128" i="24"/>
  <c r="F128" i="24"/>
  <c r="AA89" i="24"/>
  <c r="X89" i="24"/>
  <c r="N89" i="24"/>
  <c r="K89" i="24"/>
  <c r="I89" i="24"/>
  <c r="F89" i="24"/>
  <c r="AA88" i="24"/>
  <c r="X88" i="24"/>
  <c r="N88" i="24"/>
  <c r="K88" i="24"/>
  <c r="I88" i="24"/>
  <c r="F88" i="24"/>
  <c r="AA126" i="24"/>
  <c r="X126" i="24"/>
  <c r="N126" i="24"/>
  <c r="K126" i="24"/>
  <c r="I126" i="24"/>
  <c r="F126" i="24"/>
  <c r="AA112" i="24"/>
  <c r="X112" i="24"/>
  <c r="N112" i="24"/>
  <c r="K112" i="24"/>
  <c r="I112" i="24"/>
  <c r="F112" i="24"/>
  <c r="AA111" i="24"/>
  <c r="X111" i="24"/>
  <c r="N111" i="24"/>
  <c r="K111" i="24"/>
  <c r="I111" i="24"/>
  <c r="F111" i="24"/>
  <c r="AA76" i="24"/>
  <c r="X76" i="24"/>
  <c r="N76" i="24"/>
  <c r="K76" i="24"/>
  <c r="I76" i="24"/>
  <c r="F76" i="24"/>
  <c r="AA123" i="24"/>
  <c r="X123" i="24"/>
  <c r="N123" i="24"/>
  <c r="K123" i="24"/>
  <c r="I123" i="24"/>
  <c r="F123" i="24"/>
  <c r="AA2" i="24"/>
  <c r="X2" i="24"/>
  <c r="N2" i="24"/>
  <c r="K2" i="24"/>
  <c r="I2" i="24"/>
  <c r="F2" i="24"/>
  <c r="AA124" i="24"/>
  <c r="X124" i="24"/>
  <c r="N124" i="24"/>
  <c r="K124" i="24"/>
  <c r="I124" i="24"/>
  <c r="F124" i="24"/>
  <c r="AA90" i="24"/>
  <c r="X90" i="24"/>
  <c r="N90" i="24"/>
  <c r="K90" i="24"/>
  <c r="I90" i="24"/>
  <c r="F90" i="24"/>
  <c r="AA106" i="24"/>
  <c r="X106" i="24"/>
  <c r="N106" i="24"/>
  <c r="K106" i="24"/>
  <c r="I106" i="24"/>
  <c r="F106" i="24"/>
  <c r="AA103" i="24"/>
  <c r="X103" i="24"/>
  <c r="N103" i="24"/>
  <c r="K103" i="24"/>
  <c r="I103" i="24"/>
  <c r="F103" i="24"/>
  <c r="AA104" i="24"/>
  <c r="X104" i="24"/>
  <c r="N104" i="24"/>
  <c r="K104" i="24"/>
  <c r="I104" i="24"/>
  <c r="F104" i="24"/>
  <c r="AA102" i="24"/>
  <c r="X102" i="24"/>
  <c r="N102" i="24"/>
  <c r="K102" i="24"/>
  <c r="I102" i="24"/>
  <c r="F102" i="24"/>
  <c r="AA101" i="24"/>
  <c r="X101" i="24"/>
  <c r="N101" i="24"/>
  <c r="K101" i="24"/>
  <c r="I101" i="24"/>
  <c r="F101" i="24"/>
  <c r="AA108" i="24"/>
  <c r="X108" i="24"/>
  <c r="N108" i="24"/>
  <c r="K108" i="24"/>
  <c r="I108" i="24"/>
  <c r="F108" i="24"/>
  <c r="AA96" i="24"/>
  <c r="X96" i="24"/>
  <c r="N96" i="24"/>
  <c r="K96" i="24"/>
  <c r="I96" i="24"/>
  <c r="F96" i="24"/>
  <c r="AA114" i="24"/>
  <c r="X114" i="24"/>
  <c r="N114" i="24"/>
  <c r="K114" i="24"/>
  <c r="I114" i="24"/>
  <c r="F114" i="24"/>
  <c r="AA118" i="24"/>
  <c r="X118" i="24"/>
  <c r="N118" i="24"/>
  <c r="K118" i="24"/>
  <c r="I118" i="24"/>
  <c r="F118" i="24"/>
  <c r="AA117" i="24"/>
  <c r="X117" i="24"/>
  <c r="N117" i="24"/>
  <c r="K117" i="24"/>
  <c r="I117" i="24"/>
  <c r="F117" i="24"/>
  <c r="AA115" i="24"/>
  <c r="X115" i="24"/>
  <c r="N115" i="24"/>
  <c r="K115" i="24"/>
  <c r="I115" i="24"/>
  <c r="F115" i="24"/>
  <c r="AA116" i="24"/>
  <c r="X116" i="24"/>
  <c r="N116" i="24"/>
  <c r="K116" i="24"/>
  <c r="I116" i="24"/>
  <c r="F116" i="24"/>
  <c r="AA98" i="24"/>
  <c r="X98" i="24"/>
  <c r="N98" i="24"/>
  <c r="K98" i="24"/>
  <c r="I98" i="24"/>
  <c r="F98" i="24"/>
  <c r="AA97" i="24"/>
  <c r="X97" i="24"/>
  <c r="N97" i="24"/>
  <c r="K97" i="24"/>
  <c r="I97" i="24"/>
  <c r="F97" i="24"/>
  <c r="AA45" i="24"/>
  <c r="X45" i="24"/>
  <c r="N45" i="24"/>
  <c r="K45" i="24"/>
  <c r="I45" i="24"/>
  <c r="F45" i="24"/>
  <c r="AA92" i="24"/>
  <c r="X92" i="24"/>
  <c r="N92" i="24"/>
  <c r="K92" i="24"/>
  <c r="I92" i="24"/>
  <c r="F92" i="24"/>
  <c r="AA83" i="24"/>
  <c r="X83" i="24"/>
  <c r="N83" i="24"/>
  <c r="K83" i="24"/>
  <c r="I83" i="24"/>
  <c r="F83" i="24"/>
  <c r="AA43" i="24"/>
  <c r="X43" i="24"/>
  <c r="N43" i="24"/>
  <c r="K43" i="24"/>
  <c r="I43" i="24"/>
  <c r="F43" i="24"/>
  <c r="AA54" i="24"/>
  <c r="X54" i="24"/>
  <c r="N54" i="24"/>
  <c r="K54" i="24"/>
  <c r="I54" i="24"/>
  <c r="F54" i="24"/>
  <c r="AA93" i="24"/>
  <c r="X93" i="24"/>
  <c r="N93" i="24"/>
  <c r="K93" i="24"/>
  <c r="I93" i="24"/>
  <c r="F93" i="24"/>
  <c r="AA36" i="24"/>
  <c r="X36" i="24"/>
  <c r="N36" i="24"/>
  <c r="K36" i="24"/>
  <c r="I36" i="24"/>
  <c r="F36" i="24"/>
  <c r="AA35" i="24"/>
  <c r="X35" i="24"/>
  <c r="N35" i="24"/>
  <c r="K35" i="24"/>
  <c r="I35" i="24"/>
  <c r="F35" i="24"/>
  <c r="AA99" i="24"/>
  <c r="X99" i="24"/>
  <c r="N99" i="24"/>
  <c r="K99" i="24"/>
  <c r="I99" i="24"/>
  <c r="F99" i="24"/>
  <c r="AA75" i="24"/>
  <c r="X75" i="24"/>
  <c r="N75" i="24"/>
  <c r="K75" i="24"/>
  <c r="I75" i="24"/>
  <c r="F75" i="24"/>
  <c r="AA79" i="24"/>
  <c r="X79" i="24"/>
  <c r="N79" i="24"/>
  <c r="K79" i="24"/>
  <c r="I79" i="24"/>
  <c r="F79" i="24"/>
  <c r="AA77" i="24"/>
  <c r="X77" i="24"/>
  <c r="N77" i="24"/>
  <c r="K77" i="24"/>
  <c r="I77" i="24"/>
  <c r="F77" i="24"/>
  <c r="AA100" i="24"/>
  <c r="X100" i="24"/>
  <c r="N100" i="24"/>
  <c r="K100" i="24"/>
  <c r="I100" i="24"/>
  <c r="F100" i="24"/>
  <c r="AA91" i="24"/>
  <c r="X91" i="24"/>
  <c r="N91" i="24"/>
  <c r="K91" i="24"/>
  <c r="I91" i="24"/>
  <c r="F91" i="24"/>
  <c r="AA74" i="24"/>
  <c r="X74" i="24"/>
  <c r="N74" i="24"/>
  <c r="K74" i="24"/>
  <c r="I74" i="24"/>
  <c r="F74" i="24"/>
  <c r="AA80" i="24"/>
  <c r="X80" i="24"/>
  <c r="N80" i="24"/>
  <c r="K80" i="24"/>
  <c r="I80" i="24"/>
  <c r="F80" i="24"/>
  <c r="AA73" i="24"/>
  <c r="X73" i="24"/>
  <c r="N73" i="24"/>
  <c r="K73" i="24"/>
  <c r="I73" i="24"/>
  <c r="F73" i="24"/>
  <c r="AA84" i="24"/>
  <c r="X84" i="24"/>
  <c r="N84" i="24"/>
  <c r="K84" i="24"/>
  <c r="I84" i="24"/>
  <c r="F84" i="24"/>
  <c r="AA85" i="24"/>
  <c r="X85" i="24"/>
  <c r="N85" i="24"/>
  <c r="K85" i="24"/>
  <c r="I85" i="24"/>
  <c r="F85" i="24"/>
  <c r="AA86" i="24"/>
  <c r="X86" i="24"/>
  <c r="N86" i="24"/>
  <c r="K86" i="24"/>
  <c r="I86" i="24"/>
  <c r="F86" i="24"/>
  <c r="AA50" i="24"/>
  <c r="X50" i="24"/>
  <c r="N50" i="24"/>
  <c r="K50" i="24"/>
  <c r="I50" i="24"/>
  <c r="F50" i="24"/>
  <c r="AA62" i="24"/>
  <c r="X62" i="24"/>
  <c r="N62" i="24"/>
  <c r="K62" i="24"/>
  <c r="I62" i="24"/>
  <c r="F62" i="24"/>
  <c r="AA87" i="24"/>
  <c r="X87" i="24"/>
  <c r="N87" i="24"/>
  <c r="K87" i="24"/>
  <c r="I87" i="24"/>
  <c r="F87" i="24"/>
  <c r="AA65" i="24"/>
  <c r="X65" i="24"/>
  <c r="N65" i="24"/>
  <c r="K65" i="24"/>
  <c r="I65" i="24"/>
  <c r="F65" i="24"/>
  <c r="AA57" i="24"/>
  <c r="X57" i="24"/>
  <c r="N57" i="24"/>
  <c r="K57" i="24"/>
  <c r="I57" i="24"/>
  <c r="F57" i="24"/>
  <c r="AA95" i="24"/>
  <c r="X95" i="24"/>
  <c r="N95" i="24"/>
  <c r="K95" i="24"/>
  <c r="I95" i="24"/>
  <c r="F95" i="24"/>
  <c r="AA81" i="24"/>
  <c r="X81" i="24"/>
  <c r="N81" i="24"/>
  <c r="K81" i="24"/>
  <c r="I81" i="24"/>
  <c r="F81" i="24"/>
  <c r="AA66" i="24"/>
  <c r="X66" i="24"/>
  <c r="N66" i="24"/>
  <c r="K66" i="24"/>
  <c r="I66" i="24"/>
  <c r="F66" i="24"/>
  <c r="AA23" i="24"/>
  <c r="X23" i="24"/>
  <c r="N23" i="24"/>
  <c r="K23" i="24"/>
  <c r="I23" i="24"/>
  <c r="F23" i="24"/>
  <c r="AA22" i="24"/>
  <c r="X22" i="24"/>
  <c r="N22" i="24"/>
  <c r="K22" i="24"/>
  <c r="I22" i="24"/>
  <c r="F22" i="24"/>
  <c r="AA18" i="24"/>
  <c r="X18" i="24"/>
  <c r="N18" i="24"/>
  <c r="K18" i="24"/>
  <c r="I18" i="24"/>
  <c r="F18" i="24"/>
  <c r="AA10" i="24"/>
  <c r="X10" i="24"/>
  <c r="N10" i="24"/>
  <c r="K10" i="24"/>
  <c r="I10" i="24"/>
  <c r="F10" i="24"/>
  <c r="AA52" i="24"/>
  <c r="X52" i="24"/>
  <c r="N52" i="24"/>
  <c r="K52" i="24"/>
  <c r="I52" i="24"/>
  <c r="F52" i="24"/>
  <c r="AA64" i="24"/>
  <c r="X64" i="24"/>
  <c r="N64" i="24"/>
  <c r="K64" i="24"/>
  <c r="I64" i="24"/>
  <c r="F64" i="24"/>
  <c r="AA67" i="24"/>
  <c r="X67" i="24"/>
  <c r="N67" i="24"/>
  <c r="K67" i="24"/>
  <c r="I67" i="24"/>
  <c r="F67" i="24"/>
  <c r="AA68" i="24"/>
  <c r="X68" i="24"/>
  <c r="N68" i="24"/>
  <c r="K68" i="24"/>
  <c r="I68" i="24"/>
  <c r="F68" i="24"/>
  <c r="AA69" i="24"/>
  <c r="X69" i="24"/>
  <c r="N69" i="24"/>
  <c r="K69" i="24"/>
  <c r="I69" i="24"/>
  <c r="F69" i="24"/>
  <c r="AA70" i="24"/>
  <c r="X70" i="24"/>
  <c r="N70" i="24"/>
  <c r="K70" i="24"/>
  <c r="I70" i="24"/>
  <c r="F70" i="24"/>
  <c r="AA71" i="24"/>
  <c r="X71" i="24"/>
  <c r="N71" i="24"/>
  <c r="K71" i="24"/>
  <c r="I71" i="24"/>
  <c r="F71" i="24"/>
  <c r="AA72" i="24"/>
  <c r="X72" i="24"/>
  <c r="N72" i="24"/>
  <c r="K72" i="24"/>
  <c r="I72" i="24"/>
  <c r="F72" i="24"/>
  <c r="AA14" i="24"/>
  <c r="X14" i="24"/>
  <c r="N14" i="24"/>
  <c r="K14" i="24"/>
  <c r="I14" i="24"/>
  <c r="F14" i="24"/>
  <c r="AA13" i="24"/>
  <c r="X13" i="24"/>
  <c r="N13" i="24"/>
  <c r="K13" i="24"/>
  <c r="I13" i="24"/>
  <c r="F13" i="24"/>
  <c r="AA12" i="24"/>
  <c r="X12" i="24"/>
  <c r="N12" i="24"/>
  <c r="K12" i="24"/>
  <c r="I12" i="24"/>
  <c r="F12" i="24"/>
  <c r="AA11" i="24"/>
  <c r="X11" i="24"/>
  <c r="N11" i="24"/>
  <c r="K11" i="24"/>
  <c r="I11" i="24"/>
  <c r="F11" i="24"/>
  <c r="AA42" i="24"/>
  <c r="X42" i="24"/>
  <c r="N42" i="24"/>
  <c r="K42" i="24"/>
  <c r="I42" i="24"/>
  <c r="F42" i="24"/>
  <c r="AA56" i="24"/>
  <c r="X56" i="24"/>
  <c r="N56" i="24"/>
  <c r="K56" i="24"/>
  <c r="I56" i="24"/>
  <c r="F56" i="24"/>
  <c r="AA61" i="24"/>
  <c r="X61" i="24"/>
  <c r="N61" i="24"/>
  <c r="K61" i="24"/>
  <c r="I61" i="24"/>
  <c r="F61" i="24"/>
  <c r="AA63" i="24"/>
  <c r="X63" i="24"/>
  <c r="N63" i="24"/>
  <c r="K63" i="24"/>
  <c r="I63" i="24"/>
  <c r="F63" i="24"/>
  <c r="AA58" i="24"/>
  <c r="X58" i="24"/>
  <c r="N58" i="24"/>
  <c r="K58" i="24"/>
  <c r="I58" i="24"/>
  <c r="F58" i="24"/>
  <c r="AA59" i="24"/>
  <c r="X59" i="24"/>
  <c r="N59" i="24"/>
  <c r="K59" i="24"/>
  <c r="I59" i="24"/>
  <c r="F59" i="24"/>
  <c r="AA24" i="24"/>
  <c r="X24" i="24"/>
  <c r="N24" i="24"/>
  <c r="K24" i="24"/>
  <c r="I24" i="24"/>
  <c r="F24" i="24"/>
  <c r="AA29" i="24"/>
  <c r="X29" i="24"/>
  <c r="N29" i="24"/>
  <c r="K29" i="24"/>
  <c r="I29" i="24"/>
  <c r="F29" i="24"/>
  <c r="AA60" i="24"/>
  <c r="X60" i="24"/>
  <c r="N60" i="24"/>
  <c r="K60" i="24"/>
  <c r="I60" i="24"/>
  <c r="F60" i="24"/>
  <c r="AA46" i="24"/>
  <c r="X46" i="24"/>
  <c r="N46" i="24"/>
  <c r="K46" i="24"/>
  <c r="I46" i="24"/>
  <c r="F46" i="24"/>
  <c r="AA37" i="24"/>
  <c r="X37" i="24"/>
  <c r="N37" i="24"/>
  <c r="K37" i="24"/>
  <c r="I37" i="24"/>
  <c r="F37" i="24"/>
  <c r="AA30" i="24"/>
  <c r="X30" i="24"/>
  <c r="N30" i="24"/>
  <c r="K30" i="24"/>
  <c r="I30" i="24"/>
  <c r="F30" i="24"/>
  <c r="AA21" i="24"/>
  <c r="X21" i="24"/>
  <c r="N21" i="24"/>
  <c r="K21" i="24"/>
  <c r="I21" i="24"/>
  <c r="F21" i="24"/>
  <c r="AA49" i="24"/>
  <c r="X49" i="24"/>
  <c r="N49" i="24"/>
  <c r="K49" i="24"/>
  <c r="I49" i="24"/>
  <c r="F49" i="24"/>
  <c r="AA48" i="24"/>
  <c r="X48" i="24"/>
  <c r="N48" i="24"/>
  <c r="K48" i="24"/>
  <c r="I48" i="24"/>
  <c r="F48" i="24"/>
  <c r="AA47" i="24"/>
  <c r="X47" i="24"/>
  <c r="N47" i="24"/>
  <c r="K47" i="24"/>
  <c r="I47" i="24"/>
  <c r="F47" i="24"/>
  <c r="AA55" i="24"/>
  <c r="X55" i="24"/>
  <c r="N55" i="24"/>
  <c r="K55" i="24"/>
  <c r="I55" i="24"/>
  <c r="F55" i="24"/>
  <c r="AA53" i="24"/>
  <c r="X53" i="24"/>
  <c r="N53" i="24"/>
  <c r="K53" i="24"/>
  <c r="I53" i="24"/>
  <c r="F53" i="24"/>
  <c r="AA27" i="24"/>
  <c r="X27" i="24"/>
  <c r="N27" i="24"/>
  <c r="K27" i="24"/>
  <c r="I27" i="24"/>
  <c r="F27" i="24"/>
  <c r="AA44" i="24"/>
  <c r="X44" i="24"/>
  <c r="N44" i="24"/>
  <c r="K44" i="24"/>
  <c r="I44" i="24"/>
  <c r="F44" i="24"/>
  <c r="AA41" i="24"/>
  <c r="X41" i="24"/>
  <c r="N41" i="24"/>
  <c r="K41" i="24"/>
  <c r="I41" i="24"/>
  <c r="F41" i="24"/>
  <c r="AA40" i="24"/>
  <c r="X40" i="24"/>
  <c r="N40" i="24"/>
  <c r="K40" i="24"/>
  <c r="I40" i="24"/>
  <c r="F40" i="24"/>
  <c r="AA32" i="24"/>
  <c r="X32" i="24"/>
  <c r="N32" i="24"/>
  <c r="K32" i="24"/>
  <c r="I32" i="24"/>
  <c r="F32" i="24"/>
  <c r="AA26" i="24"/>
  <c r="X26" i="24"/>
  <c r="N26" i="24"/>
  <c r="K26" i="24"/>
  <c r="I26" i="24"/>
  <c r="F26" i="24"/>
  <c r="AA25" i="24"/>
  <c r="X25" i="24"/>
  <c r="N25" i="24"/>
  <c r="K25" i="24"/>
  <c r="I25" i="24"/>
  <c r="F25" i="24"/>
  <c r="AA20" i="24"/>
  <c r="X20" i="24"/>
  <c r="N20" i="24"/>
  <c r="K20" i="24"/>
  <c r="I20" i="24"/>
  <c r="F20" i="24"/>
  <c r="AA28" i="24"/>
  <c r="X28" i="24"/>
  <c r="N28" i="24"/>
  <c r="K28" i="24"/>
  <c r="I28" i="24"/>
  <c r="F28" i="24"/>
  <c r="AA8" i="24"/>
  <c r="X8" i="24"/>
  <c r="N8" i="24"/>
  <c r="K8" i="24"/>
  <c r="I8" i="24"/>
  <c r="F8" i="24"/>
  <c r="AA9" i="24"/>
  <c r="X9" i="24"/>
  <c r="N9" i="24"/>
  <c r="K9" i="24"/>
  <c r="I9" i="24"/>
  <c r="F9" i="24"/>
  <c r="AA5" i="24"/>
  <c r="X5" i="24"/>
  <c r="N5" i="24"/>
  <c r="K5" i="24"/>
  <c r="I5" i="24"/>
  <c r="F5" i="24"/>
  <c r="AA3" i="24"/>
  <c r="X3" i="24"/>
  <c r="N3" i="24"/>
  <c r="K3" i="24"/>
  <c r="I3" i="24"/>
  <c r="F3" i="24"/>
  <c r="AA4" i="24"/>
  <c r="X4" i="24"/>
  <c r="N4" i="24"/>
  <c r="K4" i="24"/>
  <c r="I4" i="24"/>
  <c r="F4" i="24"/>
  <c r="AA31" i="24"/>
  <c r="X31" i="24"/>
  <c r="N31" i="24"/>
  <c r="K31" i="24"/>
  <c r="I31" i="24"/>
  <c r="F31" i="24"/>
  <c r="AA33" i="24"/>
  <c r="X33" i="24"/>
  <c r="N33" i="24"/>
  <c r="K33" i="24"/>
  <c r="I33" i="24"/>
  <c r="F33" i="24"/>
  <c r="AA34" i="24"/>
  <c r="X34" i="24"/>
  <c r="N34" i="24"/>
  <c r="K34" i="24"/>
  <c r="I34" i="24"/>
  <c r="F34" i="24"/>
  <c r="AA38" i="24"/>
  <c r="X38" i="24"/>
  <c r="N38" i="24"/>
  <c r="K38" i="24"/>
  <c r="I38" i="24"/>
  <c r="F38" i="24"/>
  <c r="AA39" i="24"/>
  <c r="X39" i="24"/>
  <c r="U39" i="24"/>
  <c r="S39" i="24"/>
  <c r="P39" i="24"/>
  <c r="N39" i="24"/>
  <c r="K39" i="24"/>
  <c r="I39" i="24"/>
  <c r="F39" i="24"/>
  <c r="X175" i="23"/>
  <c r="N175" i="23"/>
  <c r="K175" i="23"/>
  <c r="I175" i="23"/>
  <c r="F175" i="23"/>
  <c r="X174" i="23"/>
  <c r="N174" i="23"/>
  <c r="K174" i="23"/>
  <c r="I174" i="23"/>
  <c r="F174" i="23"/>
  <c r="X171" i="23"/>
  <c r="N171" i="23"/>
  <c r="K171" i="23"/>
  <c r="I171" i="23"/>
  <c r="F171" i="23"/>
  <c r="X173" i="23"/>
  <c r="N173" i="23"/>
  <c r="K173" i="23"/>
  <c r="I173" i="23"/>
  <c r="F173" i="23"/>
  <c r="X17" i="23"/>
  <c r="N17" i="23"/>
  <c r="K17" i="23"/>
  <c r="I17" i="23"/>
  <c r="F17" i="23"/>
  <c r="X172" i="23"/>
  <c r="N172" i="23"/>
  <c r="K172" i="23"/>
  <c r="I172" i="23"/>
  <c r="F172" i="23"/>
  <c r="X178" i="23"/>
  <c r="N178" i="23"/>
  <c r="K178" i="23"/>
  <c r="I178" i="23"/>
  <c r="F178" i="23"/>
  <c r="X54" i="23"/>
  <c r="N54" i="23"/>
  <c r="K54" i="23"/>
  <c r="I54" i="23"/>
  <c r="F54" i="23"/>
  <c r="AA48" i="23"/>
  <c r="X48" i="23"/>
  <c r="N48" i="23"/>
  <c r="K48" i="23"/>
  <c r="I48" i="23"/>
  <c r="F48" i="23"/>
  <c r="AA87" i="23"/>
  <c r="X87" i="23"/>
  <c r="N87" i="23"/>
  <c r="K87" i="23"/>
  <c r="I87" i="23"/>
  <c r="F87" i="23"/>
  <c r="AA43" i="23"/>
  <c r="X43" i="23"/>
  <c r="N43" i="23"/>
  <c r="K43" i="23"/>
  <c r="I43" i="23"/>
  <c r="F43" i="23"/>
  <c r="AA176" i="23"/>
  <c r="X176" i="23"/>
  <c r="N176" i="23"/>
  <c r="K176" i="23"/>
  <c r="I176" i="23"/>
  <c r="F176" i="23"/>
  <c r="AA177" i="23"/>
  <c r="X177" i="23"/>
  <c r="N177" i="23"/>
  <c r="K177" i="23"/>
  <c r="I177" i="23"/>
  <c r="F177" i="23"/>
  <c r="AA40" i="23"/>
  <c r="X40" i="23"/>
  <c r="N40" i="23"/>
  <c r="K40" i="23"/>
  <c r="I40" i="23"/>
  <c r="F40" i="23"/>
  <c r="AA75" i="23"/>
  <c r="X75" i="23"/>
  <c r="N75" i="23"/>
  <c r="K75" i="23"/>
  <c r="I75" i="23"/>
  <c r="F75" i="23"/>
  <c r="AA62" i="23"/>
  <c r="X62" i="23"/>
  <c r="N62" i="23"/>
  <c r="K62" i="23"/>
  <c r="I62" i="23"/>
  <c r="F62" i="23"/>
  <c r="AA59" i="23"/>
  <c r="X59" i="23"/>
  <c r="N59" i="23"/>
  <c r="K59" i="23"/>
  <c r="I59" i="23"/>
  <c r="F59" i="23"/>
  <c r="AA68" i="23"/>
  <c r="X68" i="23"/>
  <c r="N68" i="23"/>
  <c r="K68" i="23"/>
  <c r="I68" i="23"/>
  <c r="F68" i="23"/>
  <c r="AA20" i="23"/>
  <c r="X20" i="23"/>
  <c r="N20" i="23"/>
  <c r="K20" i="23"/>
  <c r="I20" i="23"/>
  <c r="F20" i="23"/>
  <c r="AA29" i="23"/>
  <c r="X29" i="23"/>
  <c r="N29" i="23"/>
  <c r="K29" i="23"/>
  <c r="I29" i="23"/>
  <c r="F29" i="23"/>
  <c r="AA32" i="23"/>
  <c r="X32" i="23"/>
  <c r="N32" i="23"/>
  <c r="K32" i="23"/>
  <c r="I32" i="23"/>
  <c r="F32" i="23"/>
  <c r="AA33" i="23"/>
  <c r="X33" i="23"/>
  <c r="N33" i="23"/>
  <c r="K33" i="23"/>
  <c r="I33" i="23"/>
  <c r="F33" i="23"/>
  <c r="AA34" i="23"/>
  <c r="X34" i="23"/>
  <c r="N34" i="23"/>
  <c r="K34" i="23"/>
  <c r="I34" i="23"/>
  <c r="F34" i="23"/>
  <c r="AA73" i="23"/>
  <c r="X73" i="23"/>
  <c r="N73" i="23"/>
  <c r="K73" i="23"/>
  <c r="I73" i="23"/>
  <c r="F73" i="23"/>
  <c r="AA60" i="23"/>
  <c r="X60" i="23"/>
  <c r="N60" i="23"/>
  <c r="K60" i="23"/>
  <c r="I60" i="23"/>
  <c r="F60" i="23"/>
  <c r="AA19" i="23"/>
  <c r="X19" i="23"/>
  <c r="N19" i="23"/>
  <c r="K19" i="23"/>
  <c r="I19" i="23"/>
  <c r="F19" i="23"/>
  <c r="AA49" i="23"/>
  <c r="X49" i="23"/>
  <c r="N49" i="23"/>
  <c r="K49" i="23"/>
  <c r="I49" i="23"/>
  <c r="F49" i="23"/>
  <c r="AA50" i="23"/>
  <c r="X50" i="23"/>
  <c r="N50" i="23"/>
  <c r="K50" i="23"/>
  <c r="I50" i="23"/>
  <c r="F50" i="23"/>
  <c r="AA51" i="23"/>
  <c r="X51" i="23"/>
  <c r="N51" i="23"/>
  <c r="K51" i="23"/>
  <c r="I51" i="23"/>
  <c r="F51" i="23"/>
  <c r="AA86" i="23"/>
  <c r="X86" i="23"/>
  <c r="N86" i="23"/>
  <c r="K86" i="23"/>
  <c r="I86" i="23"/>
  <c r="F86" i="23"/>
  <c r="AA7" i="23"/>
  <c r="X7" i="23"/>
  <c r="N7" i="23"/>
  <c r="K7" i="23"/>
  <c r="I7" i="23"/>
  <c r="F7" i="23"/>
  <c r="AA127" i="23"/>
  <c r="X127" i="23"/>
  <c r="N127" i="23"/>
  <c r="K127" i="23"/>
  <c r="I127" i="23"/>
  <c r="F127" i="23"/>
  <c r="AA118" i="23"/>
  <c r="X118" i="23"/>
  <c r="N118" i="23"/>
  <c r="K118" i="23"/>
  <c r="I118" i="23"/>
  <c r="F118" i="23"/>
  <c r="AA8" i="23"/>
  <c r="X8" i="23"/>
  <c r="N8" i="23"/>
  <c r="K8" i="23"/>
  <c r="I8" i="23"/>
  <c r="F8" i="23"/>
  <c r="AA147" i="23"/>
  <c r="X147" i="23"/>
  <c r="N147" i="23"/>
  <c r="K147" i="23"/>
  <c r="I147" i="23"/>
  <c r="F147" i="23"/>
  <c r="AA23" i="23"/>
  <c r="X23" i="23"/>
  <c r="N23" i="23"/>
  <c r="K23" i="23"/>
  <c r="I23" i="23"/>
  <c r="F23" i="23"/>
  <c r="AA5" i="23"/>
  <c r="X5" i="23"/>
  <c r="N5" i="23"/>
  <c r="K5" i="23"/>
  <c r="I5" i="23"/>
  <c r="F5" i="23"/>
  <c r="AA28" i="23"/>
  <c r="X28" i="23"/>
  <c r="N28" i="23"/>
  <c r="K28" i="23"/>
  <c r="I28" i="23"/>
  <c r="F28" i="23"/>
  <c r="AA63" i="23"/>
  <c r="X63" i="23"/>
  <c r="N63" i="23"/>
  <c r="K63" i="23"/>
  <c r="I63" i="23"/>
  <c r="F63" i="23"/>
  <c r="AA22" i="23"/>
  <c r="X22" i="23"/>
  <c r="N22" i="23"/>
  <c r="K22" i="23"/>
  <c r="I22" i="23"/>
  <c r="F22" i="23"/>
  <c r="AA21" i="23"/>
  <c r="X21" i="23"/>
  <c r="N21" i="23"/>
  <c r="K21" i="23"/>
  <c r="I21" i="23"/>
  <c r="F21" i="23"/>
  <c r="AA3" i="23"/>
  <c r="X3" i="23"/>
  <c r="N3" i="23"/>
  <c r="K3" i="23"/>
  <c r="I3" i="23"/>
  <c r="F3" i="23"/>
  <c r="AA164" i="23"/>
  <c r="X164" i="23"/>
  <c r="N164" i="23"/>
  <c r="K164" i="23"/>
  <c r="I164" i="23"/>
  <c r="F164" i="23"/>
  <c r="AA53" i="23"/>
  <c r="X53" i="23"/>
  <c r="N53" i="23"/>
  <c r="K53" i="23"/>
  <c r="I53" i="23"/>
  <c r="F53" i="23"/>
  <c r="AA31" i="23"/>
  <c r="X31" i="23"/>
  <c r="N31" i="23"/>
  <c r="K31" i="23"/>
  <c r="I31" i="23"/>
  <c r="F31" i="23"/>
  <c r="AA4" i="23"/>
  <c r="X4" i="23"/>
  <c r="N4" i="23"/>
  <c r="K4" i="23"/>
  <c r="I4" i="23"/>
  <c r="F4" i="23"/>
  <c r="AA136" i="23"/>
  <c r="X136" i="23"/>
  <c r="N136" i="23"/>
  <c r="K136" i="23"/>
  <c r="I136" i="23"/>
  <c r="F136" i="23"/>
  <c r="AA115" i="23"/>
  <c r="X115" i="23"/>
  <c r="N115" i="23"/>
  <c r="K115" i="23"/>
  <c r="I115" i="23"/>
  <c r="F115" i="23"/>
  <c r="AA30" i="23"/>
  <c r="X30" i="23"/>
  <c r="N30" i="23"/>
  <c r="K30" i="23"/>
  <c r="I30" i="23"/>
  <c r="F30" i="23"/>
  <c r="AA9" i="23"/>
  <c r="X9" i="23"/>
  <c r="N9" i="23"/>
  <c r="K9" i="23"/>
  <c r="I9" i="23"/>
  <c r="F9" i="23"/>
  <c r="AA70" i="23"/>
  <c r="X70" i="23"/>
  <c r="N70" i="23"/>
  <c r="K70" i="23"/>
  <c r="I70" i="23"/>
  <c r="F70" i="23"/>
  <c r="AA72" i="23"/>
  <c r="X72" i="23"/>
  <c r="N72" i="23"/>
  <c r="K72" i="23"/>
  <c r="I72" i="23"/>
  <c r="F72" i="23"/>
  <c r="AA76" i="23"/>
  <c r="X76" i="23"/>
  <c r="N76" i="23"/>
  <c r="K76" i="23"/>
  <c r="I76" i="23"/>
  <c r="F76" i="23"/>
  <c r="AA124" i="23"/>
  <c r="X124" i="23"/>
  <c r="N124" i="23"/>
  <c r="K124" i="23"/>
  <c r="I124" i="23"/>
  <c r="F124" i="23"/>
  <c r="AA139" i="23"/>
  <c r="X139" i="23"/>
  <c r="N139" i="23"/>
  <c r="K139" i="23"/>
  <c r="I139" i="23"/>
  <c r="F139" i="23"/>
  <c r="AA42" i="23"/>
  <c r="X42" i="23"/>
  <c r="N42" i="23"/>
  <c r="K42" i="23"/>
  <c r="I42" i="23"/>
  <c r="F42" i="23"/>
  <c r="AA113" i="23"/>
  <c r="X113" i="23"/>
  <c r="N113" i="23"/>
  <c r="K113" i="23"/>
  <c r="I113" i="23"/>
  <c r="F113" i="23"/>
  <c r="AA111" i="23"/>
  <c r="X111" i="23"/>
  <c r="N111" i="23"/>
  <c r="K111" i="23"/>
  <c r="I111" i="23"/>
  <c r="F111" i="23"/>
  <c r="AA84" i="23"/>
  <c r="X84" i="23"/>
  <c r="N84" i="23"/>
  <c r="K84" i="23"/>
  <c r="I84" i="23"/>
  <c r="F84" i="23"/>
  <c r="AA121" i="23"/>
  <c r="X121" i="23"/>
  <c r="N121" i="23"/>
  <c r="K121" i="23"/>
  <c r="I121" i="23"/>
  <c r="F121" i="23"/>
  <c r="AA120" i="23"/>
  <c r="X120" i="23"/>
  <c r="N120" i="23"/>
  <c r="K120" i="23"/>
  <c r="I120" i="23"/>
  <c r="F120" i="23"/>
  <c r="AA91" i="23"/>
  <c r="X91" i="23"/>
  <c r="N91" i="23"/>
  <c r="K91" i="23"/>
  <c r="I91" i="23"/>
  <c r="F91" i="23"/>
  <c r="AA153" i="23"/>
  <c r="X153" i="23"/>
  <c r="N153" i="23"/>
  <c r="K153" i="23"/>
  <c r="I153" i="23"/>
  <c r="F153" i="23"/>
  <c r="AA98" i="23"/>
  <c r="X98" i="23"/>
  <c r="N98" i="23"/>
  <c r="K98" i="23"/>
  <c r="I98" i="23"/>
  <c r="F98" i="23"/>
  <c r="AA67" i="23"/>
  <c r="X67" i="23"/>
  <c r="N67" i="23"/>
  <c r="K67" i="23"/>
  <c r="I67" i="23"/>
  <c r="F67" i="23"/>
  <c r="AA103" i="23"/>
  <c r="X103" i="23"/>
  <c r="N103" i="23"/>
  <c r="K103" i="23"/>
  <c r="I103" i="23"/>
  <c r="F103" i="23"/>
  <c r="AA122" i="23"/>
  <c r="X122" i="23"/>
  <c r="N122" i="23"/>
  <c r="K122" i="23"/>
  <c r="I122" i="23"/>
  <c r="F122" i="23"/>
  <c r="AA114" i="23"/>
  <c r="X114" i="23"/>
  <c r="N114" i="23"/>
  <c r="K114" i="23"/>
  <c r="I114" i="23"/>
  <c r="F114" i="23"/>
  <c r="AA2" i="23"/>
  <c r="X2" i="23"/>
  <c r="N2" i="23"/>
  <c r="K2" i="23"/>
  <c r="I2" i="23"/>
  <c r="F2" i="23"/>
  <c r="AA47" i="23"/>
  <c r="X47" i="23"/>
  <c r="N47" i="23"/>
  <c r="K47" i="23"/>
  <c r="I47" i="23"/>
  <c r="F47" i="23"/>
  <c r="AA137" i="23"/>
  <c r="X137" i="23"/>
  <c r="N137" i="23"/>
  <c r="K137" i="23"/>
  <c r="I137" i="23"/>
  <c r="F137" i="23"/>
  <c r="AA44" i="23"/>
  <c r="X44" i="23"/>
  <c r="N44" i="23"/>
  <c r="K44" i="23"/>
  <c r="I44" i="23"/>
  <c r="F44" i="23"/>
  <c r="AA107" i="23"/>
  <c r="X107" i="23"/>
  <c r="N107" i="23"/>
  <c r="K107" i="23"/>
  <c r="I107" i="23"/>
  <c r="F107" i="23"/>
  <c r="AA105" i="23"/>
  <c r="X105" i="23"/>
  <c r="N105" i="23"/>
  <c r="K105" i="23"/>
  <c r="I105" i="23"/>
  <c r="F105" i="23"/>
  <c r="AA146" i="23"/>
  <c r="X146" i="23"/>
  <c r="N146" i="23"/>
  <c r="K146" i="23"/>
  <c r="I146" i="23"/>
  <c r="F146" i="23"/>
  <c r="AA99" i="23"/>
  <c r="X99" i="23"/>
  <c r="N99" i="23"/>
  <c r="K99" i="23"/>
  <c r="I99" i="23"/>
  <c r="F99" i="23"/>
  <c r="AA109" i="23"/>
  <c r="X109" i="23"/>
  <c r="N109" i="23"/>
  <c r="K109" i="23"/>
  <c r="I109" i="23"/>
  <c r="F109" i="23"/>
  <c r="AA77" i="23"/>
  <c r="X77" i="23"/>
  <c r="N77" i="23"/>
  <c r="K77" i="23"/>
  <c r="I77" i="23"/>
  <c r="F77" i="23"/>
  <c r="AA90" i="23"/>
  <c r="X90" i="23"/>
  <c r="N90" i="23"/>
  <c r="K90" i="23"/>
  <c r="I90" i="23"/>
  <c r="F90" i="23"/>
  <c r="AA104" i="23"/>
  <c r="X104" i="23"/>
  <c r="N104" i="23"/>
  <c r="K104" i="23"/>
  <c r="I104" i="23"/>
  <c r="F104" i="23"/>
  <c r="AA106" i="23"/>
  <c r="X106" i="23"/>
  <c r="N106" i="23"/>
  <c r="K106" i="23"/>
  <c r="I106" i="23"/>
  <c r="F106" i="23"/>
  <c r="AA27" i="23"/>
  <c r="X27" i="23"/>
  <c r="N27" i="23"/>
  <c r="K27" i="23"/>
  <c r="I27" i="23"/>
  <c r="F27" i="23"/>
  <c r="AA123" i="23"/>
  <c r="X123" i="23"/>
  <c r="N123" i="23"/>
  <c r="K123" i="23"/>
  <c r="I123" i="23"/>
  <c r="F123" i="23"/>
  <c r="AA65" i="23"/>
  <c r="X65" i="23"/>
  <c r="N65" i="23"/>
  <c r="K65" i="23"/>
  <c r="I65" i="23"/>
  <c r="F65" i="23"/>
  <c r="AA88" i="23"/>
  <c r="X88" i="23"/>
  <c r="N88" i="23"/>
  <c r="K88" i="23"/>
  <c r="I88" i="23"/>
  <c r="F88" i="23"/>
  <c r="AA41" i="23"/>
  <c r="X41" i="23"/>
  <c r="N41" i="23"/>
  <c r="K41" i="23"/>
  <c r="I41" i="23"/>
  <c r="F41" i="23"/>
  <c r="AA58" i="23"/>
  <c r="X58" i="23"/>
  <c r="N58" i="23"/>
  <c r="K58" i="23"/>
  <c r="I58" i="23"/>
  <c r="F58" i="23"/>
  <c r="AA135" i="23"/>
  <c r="X135" i="23"/>
  <c r="N135" i="23"/>
  <c r="K135" i="23"/>
  <c r="I135" i="23"/>
  <c r="F135" i="23"/>
  <c r="AA117" i="23"/>
  <c r="X117" i="23"/>
  <c r="N117" i="23"/>
  <c r="K117" i="23"/>
  <c r="I117" i="23"/>
  <c r="F117" i="23"/>
  <c r="AA110" i="23"/>
  <c r="X110" i="23"/>
  <c r="N110" i="23"/>
  <c r="K110" i="23"/>
  <c r="I110" i="23"/>
  <c r="F110" i="23"/>
  <c r="AA89" i="23"/>
  <c r="X89" i="23"/>
  <c r="N89" i="23"/>
  <c r="K89" i="23"/>
  <c r="I89" i="23"/>
  <c r="F89" i="23"/>
  <c r="AA83" i="23"/>
  <c r="X83" i="23"/>
  <c r="N83" i="23"/>
  <c r="K83" i="23"/>
  <c r="I83" i="23"/>
  <c r="F83" i="23"/>
  <c r="AA95" i="23"/>
  <c r="X95" i="23"/>
  <c r="N95" i="23"/>
  <c r="K95" i="23"/>
  <c r="I95" i="23"/>
  <c r="F95" i="23"/>
  <c r="AA96" i="23"/>
  <c r="X96" i="23"/>
  <c r="N96" i="23"/>
  <c r="K96" i="23"/>
  <c r="I96" i="23"/>
  <c r="F96" i="23"/>
  <c r="AA64" i="23"/>
  <c r="X64" i="23"/>
  <c r="N64" i="23"/>
  <c r="K64" i="23"/>
  <c r="I64" i="23"/>
  <c r="F64" i="23"/>
  <c r="AA71" i="23"/>
  <c r="X71" i="23"/>
  <c r="N71" i="23"/>
  <c r="K71" i="23"/>
  <c r="I71" i="23"/>
  <c r="F71" i="23"/>
  <c r="AA36" i="23"/>
  <c r="X36" i="23"/>
  <c r="N36" i="23"/>
  <c r="K36" i="23"/>
  <c r="I36" i="23"/>
  <c r="F36" i="23"/>
  <c r="AA55" i="23"/>
  <c r="X55" i="23"/>
  <c r="N55" i="23"/>
  <c r="K55" i="23"/>
  <c r="I55" i="23"/>
  <c r="F55" i="23"/>
  <c r="AA108" i="23"/>
  <c r="X108" i="23"/>
  <c r="N108" i="23"/>
  <c r="K108" i="23"/>
  <c r="I108" i="23"/>
  <c r="F108" i="23"/>
  <c r="AA6" i="23"/>
  <c r="X6" i="23"/>
  <c r="N6" i="23"/>
  <c r="K6" i="23"/>
  <c r="I6" i="23"/>
  <c r="F6" i="23"/>
  <c r="AA66" i="23"/>
  <c r="X66" i="23"/>
  <c r="N66" i="23"/>
  <c r="K66" i="23"/>
  <c r="I66" i="23"/>
  <c r="F66" i="23"/>
  <c r="AA116" i="23"/>
  <c r="X116" i="23"/>
  <c r="N116" i="23"/>
  <c r="K116" i="23"/>
  <c r="I116" i="23"/>
  <c r="F116" i="23"/>
  <c r="AA94" i="23"/>
  <c r="X94" i="23"/>
  <c r="N94" i="23"/>
  <c r="K94" i="23"/>
  <c r="I94" i="23"/>
  <c r="F94" i="23"/>
  <c r="AA93" i="23"/>
  <c r="X93" i="23"/>
  <c r="N93" i="23"/>
  <c r="K93" i="23"/>
  <c r="I93" i="23"/>
  <c r="F93" i="23"/>
  <c r="AA100" i="23"/>
  <c r="X100" i="23"/>
  <c r="N100" i="23"/>
  <c r="K100" i="23"/>
  <c r="I100" i="23"/>
  <c r="F100" i="23"/>
  <c r="AA37" i="23"/>
  <c r="X37" i="23"/>
  <c r="U37" i="23"/>
  <c r="S37" i="23"/>
  <c r="P37" i="23"/>
  <c r="N37" i="23"/>
  <c r="K37" i="23"/>
  <c r="I37" i="23"/>
  <c r="F37" i="23"/>
  <c r="F128" i="18"/>
  <c r="F119" i="18"/>
  <c r="F130" i="18"/>
  <c r="F63" i="18"/>
  <c r="F74" i="18"/>
  <c r="F126" i="18"/>
  <c r="F127" i="18"/>
  <c r="F72" i="18"/>
  <c r="F132" i="18"/>
  <c r="F124" i="18"/>
  <c r="F129" i="18"/>
  <c r="F123" i="18"/>
  <c r="F125" i="18"/>
  <c r="F100" i="18"/>
  <c r="F131" i="18"/>
  <c r="F139" i="18"/>
  <c r="F115" i="18"/>
  <c r="F133" i="18"/>
  <c r="AA104" i="22"/>
  <c r="X104" i="22"/>
  <c r="N104" i="22"/>
  <c r="I104" i="22"/>
  <c r="F104" i="22"/>
  <c r="AA86" i="22"/>
  <c r="X86" i="22"/>
  <c r="N86" i="22"/>
  <c r="I86" i="22"/>
  <c r="F86" i="22"/>
  <c r="AA101" i="22"/>
  <c r="X101" i="22"/>
  <c r="N101" i="22"/>
  <c r="I101" i="22"/>
  <c r="F101" i="22"/>
  <c r="AA102" i="22"/>
  <c r="X102" i="22"/>
  <c r="N102" i="22"/>
  <c r="I102" i="22"/>
  <c r="F102" i="22"/>
  <c r="AA49" i="22"/>
  <c r="X49" i="22"/>
  <c r="N49" i="22"/>
  <c r="I49" i="22"/>
  <c r="F49" i="22"/>
  <c r="AA91" i="22"/>
  <c r="X91" i="22"/>
  <c r="N91" i="22"/>
  <c r="I91" i="22"/>
  <c r="F91" i="22"/>
  <c r="AA95" i="22"/>
  <c r="X95" i="22"/>
  <c r="N95" i="22"/>
  <c r="I95" i="22"/>
  <c r="F95" i="22"/>
  <c r="AA94" i="22"/>
  <c r="X94" i="22"/>
  <c r="N94" i="22"/>
  <c r="I94" i="22"/>
  <c r="F94" i="22"/>
  <c r="AA93" i="22"/>
  <c r="X93" i="22"/>
  <c r="N93" i="22"/>
  <c r="I93" i="22"/>
  <c r="F93" i="22"/>
  <c r="AA92" i="22"/>
  <c r="X92" i="22"/>
  <c r="N92" i="22"/>
  <c r="I92" i="22"/>
  <c r="F92" i="22"/>
  <c r="AA82" i="22"/>
  <c r="X82" i="22"/>
  <c r="N82" i="22"/>
  <c r="I82" i="22"/>
  <c r="F82" i="22"/>
  <c r="AA67" i="22"/>
  <c r="X67" i="22"/>
  <c r="N67" i="22"/>
  <c r="I67" i="22"/>
  <c r="F67" i="22"/>
  <c r="AA88" i="22"/>
  <c r="X88" i="22"/>
  <c r="N88" i="22"/>
  <c r="I88" i="22"/>
  <c r="F88" i="22"/>
  <c r="AA69" i="22"/>
  <c r="X69" i="22"/>
  <c r="N69" i="22"/>
  <c r="I69" i="22"/>
  <c r="F69" i="22"/>
  <c r="AA84" i="22"/>
  <c r="X84" i="22"/>
  <c r="N84" i="22"/>
  <c r="I84" i="22"/>
  <c r="F84" i="22"/>
  <c r="AA46" i="22"/>
  <c r="X46" i="22"/>
  <c r="N46" i="22"/>
  <c r="I46" i="22"/>
  <c r="F46" i="22"/>
  <c r="AA53" i="22"/>
  <c r="X53" i="22"/>
  <c r="N53" i="22"/>
  <c r="I53" i="22"/>
  <c r="F53" i="22"/>
  <c r="AA78" i="22"/>
  <c r="X78" i="22"/>
  <c r="N78" i="22"/>
  <c r="I78" i="22"/>
  <c r="F78" i="22"/>
  <c r="AA51" i="22"/>
  <c r="X51" i="22"/>
  <c r="N51" i="22"/>
  <c r="I51" i="22"/>
  <c r="F51" i="22"/>
  <c r="AA31" i="22"/>
  <c r="X31" i="22"/>
  <c r="N31" i="22"/>
  <c r="I31" i="22"/>
  <c r="F31" i="22"/>
  <c r="AA75" i="22"/>
  <c r="X75" i="22"/>
  <c r="N75" i="22"/>
  <c r="I75" i="22"/>
  <c r="F75" i="22"/>
  <c r="AA71" i="22"/>
  <c r="X71" i="22"/>
  <c r="N71" i="22"/>
  <c r="I71" i="22"/>
  <c r="F71" i="22"/>
  <c r="AA55" i="22"/>
  <c r="X55" i="22"/>
  <c r="N55" i="22"/>
  <c r="I55" i="22"/>
  <c r="F55" i="22"/>
  <c r="AA60" i="22"/>
  <c r="X60" i="22"/>
  <c r="N60" i="22"/>
  <c r="I60" i="22"/>
  <c r="F60" i="22"/>
  <c r="AA74" i="22"/>
  <c r="X74" i="22"/>
  <c r="N74" i="22"/>
  <c r="I74" i="22"/>
  <c r="F74" i="22"/>
  <c r="AA68" i="22"/>
  <c r="X68" i="22"/>
  <c r="N68" i="22"/>
  <c r="I68" i="22"/>
  <c r="F68" i="22"/>
  <c r="AA77" i="22"/>
  <c r="X77" i="22"/>
  <c r="N77" i="22"/>
  <c r="I77" i="22"/>
  <c r="F77" i="22"/>
  <c r="AA70" i="22"/>
  <c r="X70" i="22"/>
  <c r="N70" i="22"/>
  <c r="I70" i="22"/>
  <c r="F70" i="22"/>
  <c r="AA58" i="22"/>
  <c r="X58" i="22"/>
  <c r="N58" i="22"/>
  <c r="I58" i="22"/>
  <c r="F58" i="22"/>
  <c r="AA76" i="22"/>
  <c r="X76" i="22"/>
  <c r="N76" i="22"/>
  <c r="I76" i="22"/>
  <c r="F76" i="22"/>
  <c r="AA33" i="22"/>
  <c r="X33" i="22"/>
  <c r="N33" i="22"/>
  <c r="I33" i="22"/>
  <c r="F33" i="22"/>
  <c r="AA57" i="22"/>
  <c r="X57" i="22"/>
  <c r="N57" i="22"/>
  <c r="I57" i="22"/>
  <c r="F57" i="22"/>
  <c r="AA64" i="22"/>
  <c r="X64" i="22"/>
  <c r="N64" i="22"/>
  <c r="I64" i="22"/>
  <c r="F64" i="22"/>
  <c r="AA65" i="22"/>
  <c r="X65" i="22"/>
  <c r="N65" i="22"/>
  <c r="I65" i="22"/>
  <c r="F65" i="22"/>
  <c r="AA36" i="22"/>
  <c r="X36" i="22"/>
  <c r="N36" i="22"/>
  <c r="I36" i="22"/>
  <c r="F36" i="22"/>
  <c r="AA62" i="22"/>
  <c r="X62" i="22"/>
  <c r="N62" i="22"/>
  <c r="I62" i="22"/>
  <c r="F62" i="22"/>
  <c r="AA54" i="22"/>
  <c r="X54" i="22"/>
  <c r="N54" i="22"/>
  <c r="I54" i="22"/>
  <c r="F54" i="22"/>
  <c r="AA48" i="22"/>
  <c r="X48" i="22"/>
  <c r="N48" i="22"/>
  <c r="I48" i="22"/>
  <c r="F48" i="22"/>
  <c r="F32" i="22"/>
  <c r="I32" i="22"/>
  <c r="N32" i="22"/>
  <c r="X32" i="22"/>
  <c r="AA32" i="22"/>
  <c r="AA41" i="22"/>
  <c r="X41" i="22"/>
  <c r="N41" i="22"/>
  <c r="I41" i="22"/>
  <c r="F41" i="22"/>
  <c r="AA63" i="22"/>
  <c r="X63" i="22"/>
  <c r="N63" i="22"/>
  <c r="I63" i="22"/>
  <c r="F63" i="22"/>
  <c r="AA47" i="22"/>
  <c r="X47" i="22"/>
  <c r="AA25" i="22"/>
  <c r="X25" i="22"/>
  <c r="N25" i="22"/>
  <c r="I25" i="22"/>
  <c r="F25" i="22"/>
  <c r="AA18" i="22"/>
  <c r="X18" i="22"/>
  <c r="N18" i="22"/>
  <c r="I18" i="22"/>
  <c r="F18" i="22"/>
  <c r="AA56" i="22"/>
  <c r="X56" i="22"/>
  <c r="N56" i="22"/>
  <c r="I56" i="22"/>
  <c r="F56" i="22"/>
  <c r="AA42" i="22"/>
  <c r="X42" i="22"/>
  <c r="N42" i="22"/>
  <c r="I42" i="22"/>
  <c r="F42" i="22"/>
  <c r="AA27" i="22"/>
  <c r="X27" i="22"/>
  <c r="N27" i="22"/>
  <c r="I27" i="22"/>
  <c r="F27" i="22"/>
  <c r="AA39" i="22"/>
  <c r="X39" i="22"/>
  <c r="N39" i="22"/>
  <c r="I39" i="22"/>
  <c r="F39" i="22"/>
  <c r="AA40" i="22"/>
  <c r="X40" i="22"/>
  <c r="N40" i="22"/>
  <c r="I40" i="22"/>
  <c r="F40" i="22"/>
  <c r="AA50" i="22"/>
  <c r="X50" i="22"/>
  <c r="N50" i="22"/>
  <c r="I50" i="22"/>
  <c r="F50" i="22"/>
  <c r="AA45" i="22"/>
  <c r="X45" i="22"/>
  <c r="N45" i="22"/>
  <c r="I45" i="22"/>
  <c r="F45" i="22"/>
  <c r="AA35" i="22"/>
  <c r="X35" i="22"/>
  <c r="N35" i="22"/>
  <c r="I35" i="22"/>
  <c r="F35" i="22"/>
  <c r="AA43" i="22"/>
  <c r="X43" i="22"/>
  <c r="N43" i="22"/>
  <c r="I43" i="22"/>
  <c r="F43" i="22"/>
  <c r="AA34" i="22"/>
  <c r="X34" i="22"/>
  <c r="N34" i="22"/>
  <c r="I34" i="22"/>
  <c r="F34" i="22"/>
  <c r="AA29" i="22"/>
  <c r="X29" i="22"/>
  <c r="N29" i="22"/>
  <c r="I29" i="22"/>
  <c r="F29" i="22"/>
  <c r="AA30" i="22"/>
  <c r="X30" i="22"/>
  <c r="N30" i="22"/>
  <c r="I30" i="22"/>
  <c r="F30" i="22"/>
  <c r="AA26" i="22"/>
  <c r="X26" i="22"/>
  <c r="N26" i="22"/>
  <c r="I26" i="22"/>
  <c r="F26" i="22"/>
  <c r="F134" i="18"/>
  <c r="F135" i="18"/>
  <c r="F136" i="18"/>
  <c r="F137" i="18"/>
  <c r="F122" i="18"/>
  <c r="F141" i="18"/>
  <c r="F142" i="18"/>
  <c r="F138" i="18"/>
  <c r="F140" i="18"/>
  <c r="F2" i="19"/>
  <c r="F7" i="19"/>
  <c r="F4" i="19"/>
  <c r="F3" i="19"/>
  <c r="F25" i="19"/>
  <c r="X86" i="21"/>
  <c r="N86" i="21"/>
  <c r="I86" i="21"/>
  <c r="F86" i="21"/>
  <c r="X50" i="21"/>
  <c r="N50" i="21"/>
  <c r="I50" i="21"/>
  <c r="F50" i="21"/>
  <c r="X98" i="21"/>
  <c r="I98" i="21"/>
  <c r="N98" i="21"/>
  <c r="F98" i="21"/>
  <c r="X101" i="21"/>
  <c r="N101" i="21"/>
  <c r="I101" i="21"/>
  <c r="F101" i="21"/>
  <c r="X85" i="21"/>
  <c r="N85" i="21"/>
  <c r="I85" i="21"/>
  <c r="F85" i="21"/>
  <c r="X64" i="21"/>
  <c r="N64" i="21"/>
  <c r="I64" i="21"/>
  <c r="F64" i="21"/>
  <c r="X80" i="21"/>
  <c r="N80" i="21"/>
  <c r="I80" i="21"/>
  <c r="F80" i="21"/>
  <c r="X37" i="21"/>
  <c r="N37" i="21"/>
  <c r="I37" i="21"/>
  <c r="F37" i="21"/>
  <c r="X84" i="21"/>
  <c r="N84" i="21"/>
  <c r="I84" i="21"/>
  <c r="F84" i="21"/>
  <c r="X92" i="21"/>
  <c r="N92" i="21"/>
  <c r="I92" i="21"/>
  <c r="F92" i="21"/>
  <c r="I103" i="21"/>
  <c r="N103" i="21"/>
  <c r="X103" i="21"/>
  <c r="F103" i="21"/>
  <c r="X69" i="21"/>
  <c r="N69" i="21"/>
  <c r="I69" i="21"/>
  <c r="F69" i="21"/>
  <c r="X100" i="21"/>
  <c r="N100" i="21"/>
  <c r="I100" i="21"/>
  <c r="F100" i="21"/>
  <c r="X70" i="21"/>
  <c r="N70" i="21"/>
  <c r="I70" i="21"/>
  <c r="F70" i="21"/>
  <c r="X27" i="21"/>
  <c r="N27" i="21"/>
  <c r="I27" i="21"/>
  <c r="F27" i="21"/>
  <c r="X57" i="21"/>
  <c r="I57" i="21"/>
  <c r="N57" i="21"/>
  <c r="F57" i="21"/>
  <c r="X33" i="21"/>
  <c r="N33" i="21"/>
  <c r="I33" i="21"/>
  <c r="F33" i="21"/>
  <c r="X59" i="21"/>
  <c r="N59" i="21"/>
  <c r="I59" i="21"/>
  <c r="F59" i="21"/>
  <c r="X67" i="21"/>
  <c r="N67" i="21"/>
  <c r="I67" i="21"/>
  <c r="F67" i="21"/>
  <c r="I53" i="21"/>
  <c r="N53" i="21"/>
  <c r="X53" i="21"/>
  <c r="F53" i="21"/>
  <c r="X58" i="21"/>
  <c r="N58" i="21"/>
  <c r="I58" i="21"/>
  <c r="F58" i="21"/>
  <c r="X28" i="21"/>
  <c r="N28" i="21"/>
  <c r="I28" i="21"/>
  <c r="F28" i="21"/>
  <c r="X68" i="21"/>
  <c r="N68" i="21"/>
  <c r="I68" i="21"/>
  <c r="F68" i="21"/>
  <c r="X73" i="21"/>
  <c r="N73" i="21"/>
  <c r="I73" i="21"/>
  <c r="F73" i="21"/>
  <c r="X71" i="21"/>
  <c r="N71" i="21"/>
  <c r="I71" i="21"/>
  <c r="F71" i="21"/>
  <c r="X72" i="21"/>
  <c r="N72" i="21"/>
  <c r="I72" i="21"/>
  <c r="F72" i="21"/>
  <c r="X36" i="21"/>
  <c r="N36" i="21"/>
  <c r="I36" i="21"/>
  <c r="F36" i="21"/>
  <c r="X10" i="21"/>
  <c r="N10" i="21"/>
  <c r="I10" i="21"/>
  <c r="F10" i="21"/>
  <c r="X65" i="21"/>
  <c r="N65" i="21"/>
  <c r="I65" i="21"/>
  <c r="F65" i="21"/>
  <c r="X13" i="21"/>
  <c r="N13" i="21"/>
  <c r="I13" i="21"/>
  <c r="F13" i="21"/>
  <c r="X2" i="21"/>
  <c r="N2" i="21"/>
  <c r="I2" i="21"/>
  <c r="AB2" i="21" s="1"/>
  <c r="F2" i="21"/>
  <c r="X66" i="21"/>
  <c r="I66" i="21"/>
  <c r="N66" i="21"/>
  <c r="F66" i="21"/>
  <c r="X22" i="21"/>
  <c r="N22" i="21"/>
  <c r="I22" i="21"/>
  <c r="F22" i="21"/>
  <c r="X25" i="21"/>
  <c r="N25" i="21"/>
  <c r="I25" i="21"/>
  <c r="F25" i="21"/>
  <c r="X78" i="21"/>
  <c r="N78" i="21"/>
  <c r="I78" i="21"/>
  <c r="F78" i="21"/>
  <c r="X52" i="21"/>
  <c r="N52" i="21"/>
  <c r="I52" i="21"/>
  <c r="AB52" i="21" s="1"/>
  <c r="F52" i="21"/>
  <c r="X74" i="21"/>
  <c r="N74" i="21"/>
  <c r="I74" i="21"/>
  <c r="F74" i="21"/>
  <c r="X49" i="21"/>
  <c r="N49" i="21"/>
  <c r="I49" i="21"/>
  <c r="F49" i="21"/>
  <c r="X77" i="21"/>
  <c r="N77" i="21"/>
  <c r="I77" i="21"/>
  <c r="F77" i="21"/>
  <c r="X51" i="21"/>
  <c r="N51" i="21"/>
  <c r="I51" i="21"/>
  <c r="F51" i="21"/>
  <c r="X18" i="21"/>
  <c r="N18" i="21"/>
  <c r="I18" i="21"/>
  <c r="F18" i="21"/>
  <c r="X41" i="21"/>
  <c r="N41" i="21"/>
  <c r="I41" i="21"/>
  <c r="F41" i="21"/>
  <c r="X56" i="21"/>
  <c r="N56" i="21"/>
  <c r="I56" i="21"/>
  <c r="F56" i="21"/>
  <c r="X5" i="21"/>
  <c r="N5" i="21"/>
  <c r="I5" i="21"/>
  <c r="F5" i="21"/>
  <c r="X46" i="21"/>
  <c r="N46" i="21"/>
  <c r="I46" i="21"/>
  <c r="F46" i="21"/>
  <c r="X55" i="21"/>
  <c r="I55" i="21"/>
  <c r="N55" i="21"/>
  <c r="F55" i="21"/>
  <c r="X38" i="21"/>
  <c r="N38" i="21"/>
  <c r="I38" i="21"/>
  <c r="F38" i="21"/>
  <c r="X44" i="21"/>
  <c r="N44" i="21"/>
  <c r="I44" i="21"/>
  <c r="AB44" i="21" s="1"/>
  <c r="F44" i="21"/>
  <c r="X12" i="21"/>
  <c r="N12" i="21"/>
  <c r="I12" i="21"/>
  <c r="F12" i="21"/>
  <c r="I62" i="21"/>
  <c r="N62" i="21"/>
  <c r="X62" i="21"/>
  <c r="F62" i="21"/>
  <c r="X4" i="21"/>
  <c r="N4" i="21"/>
  <c r="I4" i="21"/>
  <c r="F4" i="21"/>
  <c r="X63" i="21"/>
  <c r="N63" i="21"/>
  <c r="I63" i="21"/>
  <c r="F63" i="21"/>
  <c r="X39" i="21"/>
  <c r="N39" i="21"/>
  <c r="I39" i="21"/>
  <c r="F39" i="21"/>
  <c r="X17" i="21"/>
  <c r="N17" i="21"/>
  <c r="I17" i="21"/>
  <c r="AB17" i="21" s="1"/>
  <c r="F17" i="21"/>
  <c r="X26" i="21"/>
  <c r="N26" i="21"/>
  <c r="I26" i="21"/>
  <c r="F26" i="21"/>
  <c r="X43" i="21"/>
  <c r="N43" i="21"/>
  <c r="I43" i="21"/>
  <c r="F43" i="21"/>
  <c r="X29" i="21"/>
  <c r="N29" i="21"/>
  <c r="I29" i="21"/>
  <c r="F29" i="21"/>
  <c r="X48" i="21"/>
  <c r="N48" i="21"/>
  <c r="I48" i="21"/>
  <c r="F48" i="21"/>
  <c r="X47" i="21"/>
  <c r="N47" i="21"/>
  <c r="I47" i="21"/>
  <c r="F47" i="21"/>
  <c r="X40" i="21"/>
  <c r="N40" i="21"/>
  <c r="I40" i="21"/>
  <c r="F40" i="21"/>
  <c r="X14" i="21"/>
  <c r="N14" i="21"/>
  <c r="I14" i="21"/>
  <c r="F14" i="21"/>
  <c r="X45" i="21"/>
  <c r="I45" i="21"/>
  <c r="N45" i="21"/>
  <c r="F45" i="21"/>
  <c r="X8" i="21"/>
  <c r="N8" i="21"/>
  <c r="I8" i="21"/>
  <c r="F8" i="21"/>
  <c r="X6" i="21"/>
  <c r="N6" i="21"/>
  <c r="I6" i="21"/>
  <c r="F6" i="21"/>
  <c r="X61" i="21"/>
  <c r="N61" i="21"/>
  <c r="I61" i="21"/>
  <c r="F61" i="21"/>
  <c r="I60" i="21"/>
  <c r="N60" i="21"/>
  <c r="X60" i="21"/>
  <c r="F60" i="21"/>
  <c r="X23" i="21"/>
  <c r="N23" i="21"/>
  <c r="I23" i="21"/>
  <c r="F23" i="21"/>
  <c r="X19" i="21"/>
  <c r="N19" i="21"/>
  <c r="I19" i="21"/>
  <c r="F19" i="21"/>
  <c r="X3" i="21"/>
  <c r="N3" i="21"/>
  <c r="I3" i="21"/>
  <c r="F3" i="21"/>
  <c r="X11" i="21"/>
  <c r="N11" i="21"/>
  <c r="I11" i="21"/>
  <c r="F11" i="21"/>
  <c r="X32" i="21"/>
  <c r="N32" i="21"/>
  <c r="I32" i="21"/>
  <c r="F32" i="21"/>
  <c r="X9" i="21"/>
  <c r="N9" i="21"/>
  <c r="I9" i="21"/>
  <c r="F9" i="21"/>
  <c r="X7" i="21"/>
  <c r="N7" i="21"/>
  <c r="I7" i="21"/>
  <c r="F7" i="21"/>
  <c r="X75" i="21"/>
  <c r="N75" i="21"/>
  <c r="I75" i="21"/>
  <c r="F75" i="21"/>
  <c r="X30" i="21"/>
  <c r="N30" i="21"/>
  <c r="I30" i="21"/>
  <c r="F30" i="21"/>
  <c r="X24" i="21"/>
  <c r="I24" i="21"/>
  <c r="N24" i="21"/>
  <c r="F24" i="21"/>
  <c r="AA31" i="21"/>
  <c r="X31" i="21"/>
  <c r="U31" i="21"/>
  <c r="S31" i="21"/>
  <c r="P31" i="21"/>
  <c r="N31" i="21"/>
  <c r="K31" i="21"/>
  <c r="I31" i="21"/>
  <c r="F31" i="21"/>
  <c r="F155" i="19"/>
  <c r="F154" i="19"/>
  <c r="F153" i="19"/>
  <c r="F152" i="19"/>
  <c r="F151" i="19"/>
  <c r="F150" i="19"/>
  <c r="F149" i="19"/>
  <c r="F148" i="19"/>
  <c r="F147" i="19"/>
  <c r="F146" i="19"/>
  <c r="F145" i="19"/>
  <c r="F144" i="19"/>
  <c r="F143" i="19"/>
  <c r="F142" i="19"/>
  <c r="F141" i="19"/>
  <c r="F140" i="19"/>
  <c r="F139" i="19"/>
  <c r="F138" i="19"/>
  <c r="F137" i="19"/>
  <c r="F136" i="19"/>
  <c r="F135" i="19"/>
  <c r="F134" i="19"/>
  <c r="F133" i="19"/>
  <c r="F132" i="19"/>
  <c r="F131" i="19"/>
  <c r="F130" i="19"/>
  <c r="F129" i="19"/>
  <c r="F128" i="19"/>
  <c r="F127" i="19"/>
  <c r="F126" i="19"/>
  <c r="F125" i="19"/>
  <c r="F124" i="19"/>
  <c r="F123" i="19"/>
  <c r="F122" i="19"/>
  <c r="F121" i="19"/>
  <c r="F120" i="19"/>
  <c r="F119" i="19"/>
  <c r="F118" i="19"/>
  <c r="F117" i="19"/>
  <c r="F116" i="19"/>
  <c r="F115" i="19"/>
  <c r="F114" i="19"/>
  <c r="F113" i="19"/>
  <c r="F112" i="19"/>
  <c r="F111" i="19"/>
  <c r="F110" i="19"/>
  <c r="F109" i="19"/>
  <c r="F108" i="19"/>
  <c r="F107" i="19"/>
  <c r="F106" i="19"/>
  <c r="F105" i="19"/>
  <c r="F104" i="19"/>
  <c r="F102" i="19"/>
  <c r="F101" i="19"/>
  <c r="F100" i="19"/>
  <c r="F99" i="19"/>
  <c r="F98" i="19"/>
  <c r="F97" i="19"/>
  <c r="F96" i="19"/>
  <c r="F103" i="19"/>
  <c r="F95" i="19"/>
  <c r="F94" i="19"/>
  <c r="F93" i="19"/>
  <c r="F92" i="19"/>
  <c r="F91" i="19"/>
  <c r="F90" i="19"/>
  <c r="F89" i="19"/>
  <c r="F88" i="19"/>
  <c r="F87" i="19"/>
  <c r="F86" i="19"/>
  <c r="F85" i="19"/>
  <c r="F84" i="19"/>
  <c r="F83" i="19"/>
  <c r="F82" i="19"/>
  <c r="F81" i="19"/>
  <c r="F80" i="19"/>
  <c r="F79" i="19"/>
  <c r="F78" i="19"/>
  <c r="F77" i="19"/>
  <c r="F76" i="19"/>
  <c r="F75" i="19"/>
  <c r="F74" i="19"/>
  <c r="F73" i="19"/>
  <c r="F72" i="19"/>
  <c r="F71" i="19"/>
  <c r="F70" i="19"/>
  <c r="F69" i="19"/>
  <c r="F68" i="19"/>
  <c r="F67" i="19"/>
  <c r="F66" i="19"/>
  <c r="F65" i="19"/>
  <c r="F64" i="19"/>
  <c r="F63" i="19"/>
  <c r="F62" i="19"/>
  <c r="F61" i="19"/>
  <c r="F60" i="19"/>
  <c r="F59" i="19"/>
  <c r="F58" i="19"/>
  <c r="F57" i="19"/>
  <c r="F56" i="19"/>
  <c r="F55" i="19"/>
  <c r="F54" i="19"/>
  <c r="F53" i="19"/>
  <c r="F52" i="19"/>
  <c r="F51" i="19"/>
  <c r="F50" i="19"/>
  <c r="F49" i="19"/>
  <c r="F48" i="19"/>
  <c r="F47" i="19"/>
  <c r="F46" i="19"/>
  <c r="F45" i="19"/>
  <c r="F44" i="19"/>
  <c r="F43" i="19"/>
  <c r="F42" i="19"/>
  <c r="F41" i="19"/>
  <c r="F40" i="19"/>
  <c r="F39" i="19"/>
  <c r="F38" i="19"/>
  <c r="F37" i="19"/>
  <c r="F36" i="19"/>
  <c r="F35" i="19"/>
  <c r="F34" i="19"/>
  <c r="F33" i="19"/>
  <c r="F32" i="19"/>
  <c r="F31" i="19"/>
  <c r="F30" i="19"/>
  <c r="F29" i="19"/>
  <c r="F28" i="19"/>
  <c r="F27" i="19"/>
  <c r="F26" i="19"/>
  <c r="F24" i="19"/>
  <c r="F23" i="19"/>
  <c r="F22" i="19"/>
  <c r="F21" i="19"/>
  <c r="F20" i="19"/>
  <c r="F19" i="19"/>
  <c r="F18" i="19"/>
  <c r="F17" i="19"/>
  <c r="F16" i="19"/>
  <c r="F15" i="19"/>
  <c r="F14" i="19"/>
  <c r="F13" i="19"/>
  <c r="F12" i="19"/>
  <c r="F11" i="19"/>
  <c r="F10" i="19"/>
  <c r="F9" i="19"/>
  <c r="F8" i="19"/>
  <c r="F6" i="19"/>
  <c r="F5" i="19"/>
  <c r="F109" i="18"/>
  <c r="F108" i="18"/>
  <c r="F104" i="18"/>
  <c r="F105" i="18"/>
  <c r="F114" i="18"/>
  <c r="F113" i="18"/>
  <c r="F121" i="18"/>
  <c r="F112" i="18"/>
  <c r="F116" i="18"/>
  <c r="F96" i="18"/>
  <c r="F103" i="18"/>
  <c r="F106" i="18"/>
  <c r="F118" i="18"/>
  <c r="F92" i="18"/>
  <c r="F117" i="18"/>
  <c r="F101" i="18"/>
  <c r="F84" i="18"/>
  <c r="F73" i="18"/>
  <c r="F58" i="18"/>
  <c r="F107" i="18"/>
  <c r="F91" i="18"/>
  <c r="F110" i="18"/>
  <c r="F99" i="18"/>
  <c r="F143" i="18"/>
  <c r="F98" i="18"/>
  <c r="F97" i="18"/>
  <c r="F30" i="18"/>
  <c r="F32" i="18"/>
  <c r="F89" i="18"/>
  <c r="F111" i="18"/>
  <c r="F90" i="18"/>
  <c r="F86" i="18"/>
  <c r="F95" i="18"/>
  <c r="F94" i="18"/>
  <c r="F93" i="18"/>
  <c r="F76" i="18"/>
  <c r="F88" i="18"/>
  <c r="F102" i="18"/>
  <c r="F120" i="18"/>
  <c r="F77" i="18"/>
  <c r="F65" i="18"/>
  <c r="F70" i="18"/>
  <c r="F64" i="18"/>
  <c r="F87" i="18"/>
  <c r="F68" i="18"/>
  <c r="F85" i="18"/>
  <c r="F57" i="18"/>
  <c r="F67" i="18"/>
  <c r="F83" i="18"/>
  <c r="F71" i="18"/>
  <c r="F75" i="18"/>
  <c r="F26" i="18"/>
  <c r="F59" i="18"/>
  <c r="F7" i="18"/>
  <c r="F16" i="18"/>
  <c r="F17" i="18"/>
  <c r="F5" i="18"/>
  <c r="F4" i="18"/>
  <c r="F3" i="18"/>
  <c r="F19" i="18"/>
  <c r="F18" i="18"/>
  <c r="F21" i="18"/>
  <c r="F6" i="18"/>
  <c r="F24" i="18"/>
  <c r="F9" i="18"/>
  <c r="F8" i="18"/>
  <c r="F11" i="18"/>
  <c r="F13" i="18"/>
  <c r="F12" i="18"/>
  <c r="F2" i="18"/>
  <c r="F20" i="18"/>
  <c r="F81" i="18"/>
  <c r="F82" i="18"/>
  <c r="F23" i="18"/>
  <c r="F31" i="18"/>
  <c r="F61" i="18"/>
  <c r="F80" i="18"/>
  <c r="F78" i="18"/>
  <c r="F79" i="18"/>
  <c r="F69" i="18"/>
  <c r="F66" i="18"/>
  <c r="F62" i="18"/>
  <c r="F60" i="18"/>
  <c r="F56" i="18"/>
  <c r="F55" i="18"/>
  <c r="F54" i="18"/>
  <c r="F53" i="18"/>
  <c r="F52" i="18"/>
  <c r="F51" i="18"/>
  <c r="F50" i="18"/>
  <c r="F49" i="18"/>
  <c r="F48" i="18"/>
  <c r="F47" i="18"/>
  <c r="F46" i="18"/>
  <c r="F45" i="18"/>
  <c r="F44" i="18"/>
  <c r="F43" i="18"/>
  <c r="F42" i="18"/>
  <c r="F41" i="18"/>
  <c r="F40" i="18"/>
  <c r="F39" i="18"/>
  <c r="F38" i="18"/>
  <c r="F37" i="18"/>
  <c r="F36" i="18"/>
  <c r="F35" i="18"/>
  <c r="F34" i="18"/>
  <c r="F33" i="18"/>
  <c r="F29" i="18"/>
  <c r="F28" i="18"/>
  <c r="F27" i="18"/>
  <c r="F25" i="18"/>
  <c r="F22" i="18"/>
  <c r="F15" i="18"/>
  <c r="F14" i="18"/>
  <c r="F10" i="18"/>
  <c r="AB62" i="23" l="1"/>
  <c r="AB34" i="23"/>
  <c r="AB132" i="24"/>
  <c r="AB119" i="24"/>
  <c r="AB98" i="23"/>
  <c r="AB124" i="23"/>
  <c r="AB30" i="23"/>
  <c r="AB53" i="23"/>
  <c r="AB50" i="23"/>
  <c r="AB49" i="23"/>
  <c r="AB19" i="23"/>
  <c r="AB60" i="23"/>
  <c r="AB73" i="23"/>
  <c r="AB29" i="23"/>
  <c r="AB65" i="21"/>
  <c r="AB10" i="21"/>
  <c r="AB73" i="21"/>
  <c r="AB101" i="21"/>
  <c r="AB33" i="23"/>
  <c r="AB53" i="21"/>
  <c r="AB5" i="21"/>
  <c r="AB13" i="21"/>
  <c r="AB58" i="21"/>
  <c r="AB4" i="30"/>
  <c r="AB8" i="30"/>
  <c r="AB12" i="30"/>
  <c r="AB16" i="30"/>
  <c r="AB20" i="30"/>
  <c r="AB24" i="30"/>
  <c r="AB28" i="30"/>
  <c r="AB32" i="30"/>
  <c r="AB36" i="30"/>
  <c r="AB40" i="30"/>
  <c r="AB44" i="30"/>
  <c r="AB48" i="30"/>
  <c r="AB52" i="30"/>
  <c r="AB56" i="30"/>
  <c r="AB60" i="30"/>
  <c r="AB64" i="30"/>
  <c r="AB68" i="30"/>
  <c r="AB72" i="30"/>
  <c r="AB76" i="30"/>
  <c r="AB80" i="30"/>
  <c r="AB84" i="30"/>
  <c r="AB88" i="30"/>
  <c r="AB92" i="30"/>
  <c r="AB96" i="30"/>
  <c r="AB100" i="30"/>
  <c r="AB104" i="30"/>
  <c r="AB5" i="30"/>
  <c r="AB9" i="30"/>
  <c r="AB13" i="30"/>
  <c r="AB17" i="30"/>
  <c r="AB21" i="30"/>
  <c r="AB25" i="30"/>
  <c r="AB29" i="30"/>
  <c r="AB33" i="30"/>
  <c r="AB37" i="30"/>
  <c r="AB41" i="30"/>
  <c r="AB45" i="30"/>
  <c r="AB49" i="30"/>
  <c r="AB53" i="30"/>
  <c r="AB57" i="30"/>
  <c r="AB61" i="30"/>
  <c r="AB65" i="30"/>
  <c r="AB69" i="30"/>
  <c r="AB73" i="30"/>
  <c r="AB77" i="30"/>
  <c r="AB81" i="30"/>
  <c r="AB85" i="30"/>
  <c r="AB89" i="30"/>
  <c r="AB93" i="30"/>
  <c r="AB97" i="30"/>
  <c r="AB101" i="30"/>
  <c r="AB105" i="30"/>
  <c r="AB3" i="30"/>
  <c r="AB7" i="30"/>
  <c r="AB11" i="30"/>
  <c r="AB15" i="30"/>
  <c r="AB19" i="30"/>
  <c r="AB23" i="30"/>
  <c r="AB27" i="30"/>
  <c r="AB31" i="30"/>
  <c r="AB35" i="30"/>
  <c r="AB39" i="30"/>
  <c r="AB43" i="30"/>
  <c r="AB47" i="30"/>
  <c r="AB51" i="30"/>
  <c r="AB55" i="30"/>
  <c r="AB59" i="30"/>
  <c r="AB63" i="30"/>
  <c r="AB67" i="30"/>
  <c r="AB71" i="30"/>
  <c r="AB75" i="30"/>
  <c r="AB79" i="30"/>
  <c r="AB83" i="30"/>
  <c r="AB87" i="30"/>
  <c r="AB91" i="30"/>
  <c r="AB95" i="30"/>
  <c r="AB99" i="30"/>
  <c r="AB103" i="30"/>
  <c r="AB53" i="22"/>
  <c r="AB105" i="22"/>
  <c r="AB72" i="22"/>
  <c r="AB119" i="22"/>
  <c r="AB106" i="22"/>
  <c r="AB149" i="22"/>
  <c r="AB140" i="22"/>
  <c r="AB114" i="22"/>
  <c r="AB151" i="22"/>
  <c r="I156" i="22"/>
  <c r="AB34" i="22"/>
  <c r="AB95" i="18"/>
  <c r="AB32" i="18"/>
  <c r="AB123" i="18"/>
  <c r="AB119" i="18"/>
  <c r="AB118" i="18"/>
  <c r="AB114" i="18"/>
  <c r="AB130" i="19"/>
  <c r="AB91" i="19"/>
  <c r="AB59" i="19"/>
  <c r="AB53" i="19"/>
  <c r="AB34" i="25"/>
  <c r="AB38" i="25"/>
  <c r="AB45" i="25"/>
  <c r="AB49" i="25"/>
  <c r="AB37" i="25"/>
  <c r="AB112" i="25"/>
  <c r="AB109" i="25"/>
  <c r="AB153" i="24"/>
  <c r="AB48" i="24"/>
  <c r="AB85" i="24"/>
  <c r="AB97" i="24"/>
  <c r="AB116" i="24"/>
  <c r="AB89" i="24"/>
  <c r="AB117" i="24"/>
  <c r="AB178" i="24"/>
  <c r="AB137" i="24"/>
  <c r="AB83" i="24"/>
  <c r="AB8" i="24"/>
  <c r="AB30" i="24"/>
  <c r="AB17" i="24"/>
  <c r="AB171" i="24"/>
  <c r="AB164" i="24"/>
  <c r="AB118" i="24"/>
  <c r="AB101" i="24"/>
  <c r="AB96" i="24"/>
  <c r="AB98" i="24"/>
  <c r="AB181" i="24"/>
  <c r="AB167" i="24"/>
  <c r="AB154" i="24"/>
  <c r="AB45" i="24"/>
  <c r="AB115" i="24"/>
  <c r="AB72" i="24"/>
  <c r="AB70" i="24"/>
  <c r="AB62" i="24"/>
  <c r="AB88" i="23"/>
  <c r="AB135" i="23"/>
  <c r="AB12" i="21"/>
  <c r="AB67" i="21"/>
  <c r="AB27" i="21"/>
  <c r="AB70" i="21"/>
  <c r="AB69" i="21"/>
  <c r="AB6" i="21"/>
  <c r="AB8" i="21"/>
  <c r="AB24" i="21"/>
  <c r="AB30" i="21"/>
  <c r="AB32" i="21"/>
  <c r="AB51" i="21"/>
  <c r="AB98" i="21"/>
  <c r="AB47" i="22"/>
  <c r="AB100" i="23"/>
  <c r="AB108" i="23"/>
  <c r="AB21" i="23"/>
  <c r="AB63" i="23"/>
  <c r="AB28" i="23"/>
  <c r="AB24" i="24"/>
  <c r="AB63" i="24"/>
  <c r="AB56" i="24"/>
  <c r="AB141" i="24"/>
  <c r="AB147" i="24"/>
  <c r="AB166" i="24"/>
  <c r="AB79" i="18"/>
  <c r="AB75" i="18"/>
  <c r="AB74" i="18"/>
  <c r="AB39" i="21"/>
  <c r="AB62" i="21"/>
  <c r="AB55" i="21"/>
  <c r="AB46" i="21"/>
  <c r="AB56" i="21"/>
  <c r="AB59" i="21"/>
  <c r="AB33" i="21"/>
  <c r="AB100" i="21"/>
  <c r="AB37" i="21"/>
  <c r="AB80" i="21"/>
  <c r="AB64" i="21"/>
  <c r="AB39" i="22"/>
  <c r="AB56" i="22"/>
  <c r="AB25" i="22"/>
  <c r="AB32" i="22"/>
  <c r="AB48" i="22"/>
  <c r="AB64" i="22"/>
  <c r="AB33" i="22"/>
  <c r="AB60" i="22"/>
  <c r="AB69" i="22"/>
  <c r="AB94" i="22"/>
  <c r="AB25" i="24"/>
  <c r="AB55" i="24"/>
  <c r="AB46" i="24"/>
  <c r="AB29" i="24"/>
  <c r="AB35" i="24"/>
  <c r="AB129" i="24"/>
  <c r="AB120" i="24"/>
  <c r="AB125" i="24"/>
  <c r="AB149" i="24"/>
  <c r="AB138" i="24"/>
  <c r="AB159" i="24"/>
  <c r="AB161" i="24"/>
  <c r="AB151" i="24"/>
  <c r="AB175" i="24"/>
  <c r="AB176" i="24"/>
  <c r="AB174" i="24"/>
  <c r="AB172" i="24"/>
  <c r="AB180" i="24"/>
  <c r="AB162" i="24"/>
  <c r="AB77" i="25"/>
  <c r="AB25" i="25"/>
  <c r="AB89" i="25"/>
  <c r="AB101" i="25"/>
  <c r="AB90" i="25"/>
  <c r="AB99" i="25"/>
  <c r="AB67" i="25"/>
  <c r="AB121" i="25"/>
  <c r="AB121" i="19"/>
  <c r="AB115" i="19"/>
  <c r="AB112" i="19"/>
  <c r="AB108" i="19"/>
  <c r="AB96" i="19"/>
  <c r="AB92" i="19"/>
  <c r="AB43" i="19"/>
  <c r="AB39" i="19"/>
  <c r="AB38" i="19"/>
  <c r="AB35" i="19"/>
  <c r="AB34" i="19"/>
  <c r="AB17" i="19"/>
  <c r="AB103" i="18"/>
  <c r="AB100" i="18"/>
  <c r="AB96" i="18"/>
  <c r="AB47" i="18"/>
  <c r="AB43" i="18"/>
  <c r="AB42" i="18"/>
  <c r="AB19" i="21"/>
  <c r="AB48" i="21"/>
  <c r="AB26" i="21"/>
  <c r="AB92" i="21"/>
  <c r="AB84" i="21"/>
  <c r="AB104" i="23"/>
  <c r="AB47" i="23"/>
  <c r="AB114" i="23"/>
  <c r="AB103" i="23"/>
  <c r="AB67" i="23"/>
  <c r="AB153" i="23"/>
  <c r="AB120" i="23"/>
  <c r="AB70" i="23"/>
  <c r="AB75" i="23"/>
  <c r="AB176" i="23"/>
  <c r="AB43" i="23"/>
  <c r="AB178" i="23"/>
  <c r="AB171" i="23"/>
  <c r="AB10" i="24"/>
  <c r="AB81" i="24"/>
  <c r="AB57" i="24"/>
  <c r="AB87" i="24"/>
  <c r="AB50" i="24"/>
  <c r="AB86" i="24"/>
  <c r="AB84" i="24"/>
  <c r="AB91" i="24"/>
  <c r="AB103" i="24"/>
  <c r="AB124" i="24"/>
  <c r="AB123" i="24"/>
  <c r="AB136" i="24"/>
  <c r="AB148" i="24"/>
  <c r="AB143" i="24"/>
  <c r="AB94" i="24"/>
  <c r="AB165" i="24"/>
  <c r="AB6" i="24"/>
  <c r="AB163" i="24"/>
  <c r="AB139" i="24"/>
  <c r="AB173" i="24"/>
  <c r="AB155" i="24"/>
  <c r="AB150" i="24"/>
  <c r="AB144" i="24"/>
  <c r="AB115" i="25"/>
  <c r="AB134" i="25"/>
  <c r="AB135" i="25"/>
  <c r="AB123" i="25"/>
  <c r="AB149" i="25"/>
  <c r="AB136" i="19"/>
  <c r="AB67" i="19"/>
  <c r="AB64" i="19"/>
  <c r="AB60" i="19"/>
  <c r="AB11" i="19"/>
  <c r="AB7" i="19"/>
  <c r="AB6" i="19"/>
  <c r="AB123" i="22"/>
  <c r="AB9" i="22"/>
  <c r="AB16" i="22"/>
  <c r="AB10" i="22"/>
  <c r="I113" i="26"/>
  <c r="AB39" i="25"/>
  <c r="AB14" i="25"/>
  <c r="AB119" i="25"/>
  <c r="AB118" i="25"/>
  <c r="AB78" i="25"/>
  <c r="AB15" i="25"/>
  <c r="AB33" i="25"/>
  <c r="AB9" i="25"/>
  <c r="AB110" i="25"/>
  <c r="AB153" i="19"/>
  <c r="AB107" i="19"/>
  <c r="AB73" i="19"/>
  <c r="AB69" i="19"/>
  <c r="AB48" i="19"/>
  <c r="AB124" i="18"/>
  <c r="AB91" i="18"/>
  <c r="AB90" i="18"/>
  <c r="AB87" i="18"/>
  <c r="AB69" i="18"/>
  <c r="AB48" i="18"/>
  <c r="AB27" i="18"/>
  <c r="AB26" i="18"/>
  <c r="AB23" i="18"/>
  <c r="AB22" i="18"/>
  <c r="AB19" i="18"/>
  <c r="AB80" i="22"/>
  <c r="AB52" i="22"/>
  <c r="AB90" i="22"/>
  <c r="AB37" i="22"/>
  <c r="AB108" i="22"/>
  <c r="AB87" i="22"/>
  <c r="AB66" i="22"/>
  <c r="AB44" i="22"/>
  <c r="AB118" i="22"/>
  <c r="AB138" i="22"/>
  <c r="AB137" i="22"/>
  <c r="AB126" i="22"/>
  <c r="AB107" i="22"/>
  <c r="AB116" i="22"/>
  <c r="AB117" i="22"/>
  <c r="AB124" i="22"/>
  <c r="AB83" i="22"/>
  <c r="AB110" i="22"/>
  <c r="AB97" i="22"/>
  <c r="AB79" i="22"/>
  <c r="AB59" i="22"/>
  <c r="AB98" i="22"/>
  <c r="AB111" i="22"/>
  <c r="AB153" i="22"/>
  <c r="AB135" i="22"/>
  <c r="AB73" i="22"/>
  <c r="AB152" i="22"/>
  <c r="AB130" i="22"/>
  <c r="AB8" i="22"/>
  <c r="AB4" i="22"/>
  <c r="AB96" i="22"/>
  <c r="AB20" i="22"/>
  <c r="AB23" i="22"/>
  <c r="AB11" i="22"/>
  <c r="AB5" i="22"/>
  <c r="AB6" i="22"/>
  <c r="AB3" i="22"/>
  <c r="AB14" i="22"/>
  <c r="AB13" i="22"/>
  <c r="AB15" i="22"/>
  <c r="AB134" i="22"/>
  <c r="AB147" i="22"/>
  <c r="AB145" i="22"/>
  <c r="AB132" i="22"/>
  <c r="AB141" i="22"/>
  <c r="AB144" i="22"/>
  <c r="AB150" i="22"/>
  <c r="AB136" i="22"/>
  <c r="AB115" i="22"/>
  <c r="AB27" i="25"/>
  <c r="AB21" i="25"/>
  <c r="AB48" i="25"/>
  <c r="AB83" i="25"/>
  <c r="AB159" i="25"/>
  <c r="AB161" i="25"/>
  <c r="AB127" i="25"/>
  <c r="AB139" i="25"/>
  <c r="AB128" i="25"/>
  <c r="AB164" i="25"/>
  <c r="AB147" i="25"/>
  <c r="AB165" i="25"/>
  <c r="AB141" i="25"/>
  <c r="AB142" i="19"/>
  <c r="AB138" i="19"/>
  <c r="AB125" i="19"/>
  <c r="AB122" i="19"/>
  <c r="AB88" i="19"/>
  <c r="AB31" i="19"/>
  <c r="AB29" i="19"/>
  <c r="AB139" i="18"/>
  <c r="AB138" i="18"/>
  <c r="AB135" i="18"/>
  <c r="AB134" i="18"/>
  <c r="AB130" i="18"/>
  <c r="AB109" i="18"/>
  <c r="AB105" i="18"/>
  <c r="AB84" i="18"/>
  <c r="AB80" i="18"/>
  <c r="AB59" i="18"/>
  <c r="AB58" i="18"/>
  <c r="AB55" i="18"/>
  <c r="AB54" i="18"/>
  <c r="AB51" i="18"/>
  <c r="AB37" i="18"/>
  <c r="AB16" i="18"/>
  <c r="AB2" i="28"/>
  <c r="AB6" i="28"/>
  <c r="AB10" i="28"/>
  <c r="AB14" i="28"/>
  <c r="AB18" i="28"/>
  <c r="AB22" i="28"/>
  <c r="AB26" i="28"/>
  <c r="AB30" i="28"/>
  <c r="AB34" i="28"/>
  <c r="AB38" i="28"/>
  <c r="AB42" i="28"/>
  <c r="AB46" i="28"/>
  <c r="AB50" i="28"/>
  <c r="AB54" i="28"/>
  <c r="AB58" i="28"/>
  <c r="AB62" i="28"/>
  <c r="AB66" i="28"/>
  <c r="AB70" i="28"/>
  <c r="AB74" i="28"/>
  <c r="AB78" i="28"/>
  <c r="AB82" i="28"/>
  <c r="AB86" i="28"/>
  <c r="AB90" i="28"/>
  <c r="AB94" i="28"/>
  <c r="AB98" i="28"/>
  <c r="AB102" i="28"/>
  <c r="AB106" i="28"/>
  <c r="AB121" i="27"/>
  <c r="AB150" i="27"/>
  <c r="AB149" i="27"/>
  <c r="AB147" i="27"/>
  <c r="AB148" i="27"/>
  <c r="AB151" i="27"/>
  <c r="AB146" i="27"/>
  <c r="AB152" i="27"/>
  <c r="AB3" i="27"/>
  <c r="AB5" i="27"/>
  <c r="AB141" i="27"/>
  <c r="AB7" i="27"/>
  <c r="AB8" i="27"/>
  <c r="AB2" i="27"/>
  <c r="AB54" i="27"/>
  <c r="AB64" i="27"/>
  <c r="AB79" i="27"/>
  <c r="AB131" i="27"/>
  <c r="AB80" i="27"/>
  <c r="AB110" i="27"/>
  <c r="AB104" i="27"/>
  <c r="AB4" i="27"/>
  <c r="AB105" i="27"/>
  <c r="AB111" i="27"/>
  <c r="AB6" i="27"/>
  <c r="AB10" i="27"/>
  <c r="AB9" i="27"/>
  <c r="AB137" i="27"/>
  <c r="AB118" i="27"/>
  <c r="AB144" i="27"/>
  <c r="AB123" i="27"/>
  <c r="AB125" i="27"/>
  <c r="AB101" i="27"/>
  <c r="AB94" i="27"/>
  <c r="AB130" i="27"/>
  <c r="AB132" i="27"/>
  <c r="AB139" i="27"/>
  <c r="AB140" i="27"/>
  <c r="AB66" i="27"/>
  <c r="AB138" i="27"/>
  <c r="AB31" i="21"/>
  <c r="AB38" i="21"/>
  <c r="AB18" i="21"/>
  <c r="AB78" i="21"/>
  <c r="AB25" i="21"/>
  <c r="AB22" i="21"/>
  <c r="AB103" i="21"/>
  <c r="AB85" i="21"/>
  <c r="AB104" i="22"/>
  <c r="AB122" i="23"/>
  <c r="AB86" i="23"/>
  <c r="AB40" i="23"/>
  <c r="AB177" i="23"/>
  <c r="AB3" i="24"/>
  <c r="AB79" i="24"/>
  <c r="AB100" i="25"/>
  <c r="AB75" i="25"/>
  <c r="AB117" i="19"/>
  <c r="AB9" i="21"/>
  <c r="AB3" i="21"/>
  <c r="AB29" i="21"/>
  <c r="AB49" i="21"/>
  <c r="AB74" i="21"/>
  <c r="AB36" i="21"/>
  <c r="AB68" i="21"/>
  <c r="AB71" i="23"/>
  <c r="AB96" i="23"/>
  <c r="AB41" i="23"/>
  <c r="AB65" i="23"/>
  <c r="AB123" i="23"/>
  <c r="AB27" i="23"/>
  <c r="AB106" i="23"/>
  <c r="AB90" i="23"/>
  <c r="AB109" i="23"/>
  <c r="AB146" i="23"/>
  <c r="AB121" i="23"/>
  <c r="AB84" i="23"/>
  <c r="AB111" i="23"/>
  <c r="AB113" i="23"/>
  <c r="AB139" i="23"/>
  <c r="AB31" i="23"/>
  <c r="AB164" i="23"/>
  <c r="AB3" i="23"/>
  <c r="AB23" i="23"/>
  <c r="AB53" i="24"/>
  <c r="AB21" i="24"/>
  <c r="AB37" i="24"/>
  <c r="AB60" i="24"/>
  <c r="AB59" i="24"/>
  <c r="AB65" i="24"/>
  <c r="AB99" i="24"/>
  <c r="AB93" i="24"/>
  <c r="AB114" i="24"/>
  <c r="AB108" i="24"/>
  <c r="AB102" i="24"/>
  <c r="AB104" i="24"/>
  <c r="AB106" i="24"/>
  <c r="AB142" i="24"/>
  <c r="AB169" i="24"/>
  <c r="AB135" i="24"/>
  <c r="AB19" i="24"/>
  <c r="AB105" i="24"/>
  <c r="AB170" i="24"/>
  <c r="AB43" i="25"/>
  <c r="AB14" i="21"/>
  <c r="AB40" i="21"/>
  <c r="AB47" i="21"/>
  <c r="AB93" i="23"/>
  <c r="AB116" i="23"/>
  <c r="AB66" i="23"/>
  <c r="AB54" i="23"/>
  <c r="AB174" i="23"/>
  <c r="AB175" i="23"/>
  <c r="AB38" i="24"/>
  <c r="AB12" i="24"/>
  <c r="AB67" i="24"/>
  <c r="AB52" i="24"/>
  <c r="AB18" i="24"/>
  <c r="AB22" i="24"/>
  <c r="AB23" i="24"/>
  <c r="AB66" i="24"/>
  <c r="AB95" i="24"/>
  <c r="AB80" i="24"/>
  <c r="AB112" i="24"/>
  <c r="AB107" i="24"/>
  <c r="AB122" i="24"/>
  <c r="AB51" i="24"/>
  <c r="AB131" i="24"/>
  <c r="AB130" i="24"/>
  <c r="AB133" i="24"/>
  <c r="AB82" i="24"/>
  <c r="AB145" i="24"/>
  <c r="AB152" i="24"/>
  <c r="AB182" i="24"/>
  <c r="AB177" i="24"/>
  <c r="AB179" i="24"/>
  <c r="AB158" i="24"/>
  <c r="AB131" i="19"/>
  <c r="AB102" i="25"/>
  <c r="AB95" i="25"/>
  <c r="AB97" i="25"/>
  <c r="AB66" i="25"/>
  <c r="AB64" i="25"/>
  <c r="AB50" i="25"/>
  <c r="AB8" i="25"/>
  <c r="AB88" i="25"/>
  <c r="AB4" i="25"/>
  <c r="AB116" i="25"/>
  <c r="AB129" i="25"/>
  <c r="AB106" i="25"/>
  <c r="AB144" i="19"/>
  <c r="AB143" i="19"/>
  <c r="AB140" i="19"/>
  <c r="AB75" i="19"/>
  <c r="AB74" i="19"/>
  <c r="AB71" i="19"/>
  <c r="AB3" i="19"/>
  <c r="AB2" i="19"/>
  <c r="AB140" i="18"/>
  <c r="AB13" i="25"/>
  <c r="AB103" i="25"/>
  <c r="AB96" i="25"/>
  <c r="AB80" i="25"/>
  <c r="AB82" i="25"/>
  <c r="AB113" i="25"/>
  <c r="AB7" i="21"/>
  <c r="AB23" i="21"/>
  <c r="AB60" i="21"/>
  <c r="AB61" i="21"/>
  <c r="AB63" i="21"/>
  <c r="AB4" i="21"/>
  <c r="AB77" i="21"/>
  <c r="AB72" i="21"/>
  <c r="AB71" i="21"/>
  <c r="AB57" i="21"/>
  <c r="AB37" i="23"/>
  <c r="AB83" i="23"/>
  <c r="AB89" i="23"/>
  <c r="AB110" i="23"/>
  <c r="AB117" i="23"/>
  <c r="AB58" i="23"/>
  <c r="AB44" i="23"/>
  <c r="AB2" i="23"/>
  <c r="AB91" i="23"/>
  <c r="AB72" i="23"/>
  <c r="AB9" i="23"/>
  <c r="AB115" i="23"/>
  <c r="AB4" i="23"/>
  <c r="AB118" i="23"/>
  <c r="AB127" i="23"/>
  <c r="AB7" i="23"/>
  <c r="AB51" i="23"/>
  <c r="AB68" i="23"/>
  <c r="AB87" i="23"/>
  <c r="AB17" i="23"/>
  <c r="AB173" i="23"/>
  <c r="AB31" i="24"/>
  <c r="AB32" i="24"/>
  <c r="AB40" i="24"/>
  <c r="AB44" i="24"/>
  <c r="AB42" i="24"/>
  <c r="AB11" i="24"/>
  <c r="AB13" i="24"/>
  <c r="AB100" i="24"/>
  <c r="AB77" i="24"/>
  <c r="AB75" i="24"/>
  <c r="AB76" i="24"/>
  <c r="AB111" i="24"/>
  <c r="AB126" i="24"/>
  <c r="AB127" i="24"/>
  <c r="AB157" i="24"/>
  <c r="AB140" i="24"/>
  <c r="AB160" i="24"/>
  <c r="AB56" i="25"/>
  <c r="AB68" i="25"/>
  <c r="AB30" i="25"/>
  <c r="AB54" i="25"/>
  <c r="AB74" i="25"/>
  <c r="AB79" i="25"/>
  <c r="AB73" i="25"/>
  <c r="AB71" i="25"/>
  <c r="AB53" i="25"/>
  <c r="AB58" i="25"/>
  <c r="AB153" i="25"/>
  <c r="AB138" i="25"/>
  <c r="AB162" i="25"/>
  <c r="AB136" i="25"/>
  <c r="AB143" i="25"/>
  <c r="AB144" i="25"/>
  <c r="AB145" i="25"/>
  <c r="AB154" i="19"/>
  <c r="AB149" i="19"/>
  <c r="AB101" i="19"/>
  <c r="AB97" i="19"/>
  <c r="AB93" i="19"/>
  <c r="AB33" i="19"/>
  <c r="AB33" i="18"/>
  <c r="AB28" i="18"/>
  <c r="AB50" i="21"/>
  <c r="AB86" i="21"/>
  <c r="AB26" i="22"/>
  <c r="AB30" i="22"/>
  <c r="AB29" i="22"/>
  <c r="AB43" i="22"/>
  <c r="AB35" i="22"/>
  <c r="AB45" i="22"/>
  <c r="AB50" i="22"/>
  <c r="AB40" i="22"/>
  <c r="AB27" i="22"/>
  <c r="AB42" i="22"/>
  <c r="AB18" i="22"/>
  <c r="AB63" i="22"/>
  <c r="AB41" i="22"/>
  <c r="AB54" i="22"/>
  <c r="AB62" i="22"/>
  <c r="AB36" i="22"/>
  <c r="AB65" i="22"/>
  <c r="AB57" i="22"/>
  <c r="AB58" i="22"/>
  <c r="AB70" i="22"/>
  <c r="AB77" i="22"/>
  <c r="AB74" i="22"/>
  <c r="AB55" i="22"/>
  <c r="AB71" i="22"/>
  <c r="AB75" i="22"/>
  <c r="AB31" i="22"/>
  <c r="AB51" i="22"/>
  <c r="AB78" i="22"/>
  <c r="AB46" i="22"/>
  <c r="AB84" i="22"/>
  <c r="AB88" i="22"/>
  <c r="AB67" i="22"/>
  <c r="AB82" i="22"/>
  <c r="AB92" i="22"/>
  <c r="AB93" i="22"/>
  <c r="AB95" i="22"/>
  <c r="AB91" i="22"/>
  <c r="AB49" i="22"/>
  <c r="AB102" i="22"/>
  <c r="AB101" i="22"/>
  <c r="AB86" i="22"/>
  <c r="AB6" i="23"/>
  <c r="AB55" i="23"/>
  <c r="AB36" i="23"/>
  <c r="AB64" i="23"/>
  <c r="AB95" i="23"/>
  <c r="AB99" i="23"/>
  <c r="AB105" i="23"/>
  <c r="AB107" i="23"/>
  <c r="AB42" i="23"/>
  <c r="AB76" i="23"/>
  <c r="AB5" i="23"/>
  <c r="AB147" i="23"/>
  <c r="AB8" i="23"/>
  <c r="AB20" i="23"/>
  <c r="AB48" i="23"/>
  <c r="AB172" i="23"/>
  <c r="AB39" i="24"/>
  <c r="AB33" i="24"/>
  <c r="AB9" i="24"/>
  <c r="AB28" i="24"/>
  <c r="AB20" i="24"/>
  <c r="AB26" i="24"/>
  <c r="AB69" i="24"/>
  <c r="AB68" i="24"/>
  <c r="AB64" i="24"/>
  <c r="AB54" i="24"/>
  <c r="AB43" i="24"/>
  <c r="AB92" i="24"/>
  <c r="AB109" i="24"/>
  <c r="AB78" i="24"/>
  <c r="AB121" i="24"/>
  <c r="AB113" i="24"/>
  <c r="AB134" i="24"/>
  <c r="AB110" i="24"/>
  <c r="AB41" i="25"/>
  <c r="AB44" i="25"/>
  <c r="AB60" i="25"/>
  <c r="AB63" i="25"/>
  <c r="AB65" i="25"/>
  <c r="AB81" i="25"/>
  <c r="AB40" i="25"/>
  <c r="AB51" i="25"/>
  <c r="AB62" i="25"/>
  <c r="AB5" i="25"/>
  <c r="AB6" i="25"/>
  <c r="AB7" i="25"/>
  <c r="AB126" i="25"/>
  <c r="AB137" i="19"/>
  <c r="AB132" i="19"/>
  <c r="AB126" i="19"/>
  <c r="AB120" i="19"/>
  <c r="AB116" i="19"/>
  <c r="AB111" i="19"/>
  <c r="AB106" i="19"/>
  <c r="AB99" i="19"/>
  <c r="AB104" i="18"/>
  <c r="AB99" i="18"/>
  <c r="AB94" i="18"/>
  <c r="AB65" i="18"/>
  <c r="AB60" i="18"/>
  <c r="AB156" i="25"/>
  <c r="AB157" i="25"/>
  <c r="AB158" i="25"/>
  <c r="AB114" i="25"/>
  <c r="AB108" i="25"/>
  <c r="AB163" i="25"/>
  <c r="AB137" i="25"/>
  <c r="AB117" i="25"/>
  <c r="AB140" i="25"/>
  <c r="AB142" i="25"/>
  <c r="AB146" i="25"/>
  <c r="AB150" i="25"/>
  <c r="AB28" i="25"/>
  <c r="AB133" i="25"/>
  <c r="AB12" i="25"/>
  <c r="AB152" i="25"/>
  <c r="AB150" i="19"/>
  <c r="AB145" i="19"/>
  <c r="AB139" i="19"/>
  <c r="AB134" i="19"/>
  <c r="AB123" i="19"/>
  <c r="AB113" i="19"/>
  <c r="AB109" i="19"/>
  <c r="AB104" i="19"/>
  <c r="AB98" i="19"/>
  <c r="AB94" i="19"/>
  <c r="AB89" i="19"/>
  <c r="AB84" i="19"/>
  <c r="AB79" i="19"/>
  <c r="AB51" i="19"/>
  <c r="AB49" i="19"/>
  <c r="AB45" i="19"/>
  <c r="AB15" i="19"/>
  <c r="AB13" i="19"/>
  <c r="AB111" i="18"/>
  <c r="AB110" i="18"/>
  <c r="AB107" i="18"/>
  <c r="AB71" i="18"/>
  <c r="AB70" i="18"/>
  <c r="AB67" i="18"/>
  <c r="AB39" i="18"/>
  <c r="AB38" i="18"/>
  <c r="AB35" i="18"/>
  <c r="AB7" i="18"/>
  <c r="AB6" i="18"/>
  <c r="AB5" i="18"/>
  <c r="AB2" i="18"/>
  <c r="AB29" i="25"/>
  <c r="AB36" i="25"/>
  <c r="AB32" i="25"/>
  <c r="AB35" i="25"/>
  <c r="AB47" i="25"/>
  <c r="AB11" i="25"/>
  <c r="AB20" i="25"/>
  <c r="AB26" i="25"/>
  <c r="AB72" i="25"/>
  <c r="AB46" i="25"/>
  <c r="AB86" i="25"/>
  <c r="AB105" i="25"/>
  <c r="AB91" i="25"/>
  <c r="AB92" i="25"/>
  <c r="AB93" i="25"/>
  <c r="AB59" i="25"/>
  <c r="AB61" i="25"/>
  <c r="AB107" i="25"/>
  <c r="AB111" i="25"/>
  <c r="AB94" i="25"/>
  <c r="AB87" i="25"/>
  <c r="AB85" i="25"/>
  <c r="AB3" i="25"/>
  <c r="AB10" i="25"/>
  <c r="AB84" i="25"/>
  <c r="AB122" i="25"/>
  <c r="AB124" i="25"/>
  <c r="AB131" i="25"/>
  <c r="AB18" i="25"/>
  <c r="AB132" i="25"/>
  <c r="AB16" i="25"/>
  <c r="AB17" i="25"/>
  <c r="AB154" i="25"/>
  <c r="AB104" i="25"/>
  <c r="AB130" i="25"/>
  <c r="AB148" i="25"/>
  <c r="AB52" i="25"/>
  <c r="AB151" i="19"/>
  <c r="AB146" i="19"/>
  <c r="AB141" i="19"/>
  <c r="AB135" i="19"/>
  <c r="AB129" i="19"/>
  <c r="AB124" i="19"/>
  <c r="AB119" i="19"/>
  <c r="AB114" i="19"/>
  <c r="AB110" i="19"/>
  <c r="AB105" i="19"/>
  <c r="AB100" i="19"/>
  <c r="AB95" i="19"/>
  <c r="AB68" i="19"/>
  <c r="AB63" i="19"/>
  <c r="AB58" i="19"/>
  <c r="AB55" i="19"/>
  <c r="AB54" i="19"/>
  <c r="AB22" i="19"/>
  <c r="AB19" i="19"/>
  <c r="AB18" i="19"/>
  <c r="AB133" i="18"/>
  <c r="AB129" i="18"/>
  <c r="AB127" i="18"/>
  <c r="AB125" i="18"/>
  <c r="AB120" i="18"/>
  <c r="AB115" i="18"/>
  <c r="AB89" i="18"/>
  <c r="AB85" i="18"/>
  <c r="AB81" i="18"/>
  <c r="AB76" i="18"/>
  <c r="AB53" i="18"/>
  <c r="AB49" i="18"/>
  <c r="AB44" i="18"/>
  <c r="AB21" i="18"/>
  <c r="AB17" i="18"/>
  <c r="AB12" i="18"/>
  <c r="AB3" i="28"/>
  <c r="AB7" i="28"/>
  <c r="AB11" i="28"/>
  <c r="AB15" i="28"/>
  <c r="AB19" i="28"/>
  <c r="AB23" i="28"/>
  <c r="AB27" i="28"/>
  <c r="AB31" i="28"/>
  <c r="AB35" i="28"/>
  <c r="AB39" i="28"/>
  <c r="AB43" i="28"/>
  <c r="AB47" i="28"/>
  <c r="AB59" i="28"/>
  <c r="AB63" i="28"/>
  <c r="AB67" i="28"/>
  <c r="AB71" i="28"/>
  <c r="AB75" i="28"/>
  <c r="AB79" i="28"/>
  <c r="AB83" i="28"/>
  <c r="AB87" i="28"/>
  <c r="AB95" i="28"/>
  <c r="AB99" i="28"/>
  <c r="AB103" i="28"/>
  <c r="AB107" i="28"/>
  <c r="AB136" i="27"/>
  <c r="AB90" i="19"/>
  <c r="AB85" i="19"/>
  <c r="AB80" i="19"/>
  <c r="AB76" i="19"/>
  <c r="AB70" i="19"/>
  <c r="AB65" i="19"/>
  <c r="AB61" i="19"/>
  <c r="AB56" i="19"/>
  <c r="AB50" i="19"/>
  <c r="AB46" i="19"/>
  <c r="AB44" i="19"/>
  <c r="AB41" i="19"/>
  <c r="AB36" i="19"/>
  <c r="AB30" i="19"/>
  <c r="AB28" i="19"/>
  <c r="AB25" i="19"/>
  <c r="AB14" i="19"/>
  <c r="AB12" i="19"/>
  <c r="AB9" i="19"/>
  <c r="AB141" i="18"/>
  <c r="AB136" i="18"/>
  <c r="AB131" i="18"/>
  <c r="AB126" i="18"/>
  <c r="AB121" i="18"/>
  <c r="AB116" i="18"/>
  <c r="AB112" i="18"/>
  <c r="AB106" i="18"/>
  <c r="AB101" i="18"/>
  <c r="AB97" i="18"/>
  <c r="AB92" i="18"/>
  <c r="AB86" i="18"/>
  <c r="AB82" i="18"/>
  <c r="AB77" i="18"/>
  <c r="AB72" i="18"/>
  <c r="AB66" i="18"/>
  <c r="AB61" i="18"/>
  <c r="AB56" i="18"/>
  <c r="AB50" i="18"/>
  <c r="AB45" i="18"/>
  <c r="AB40" i="18"/>
  <c r="AB34" i="18"/>
  <c r="AB29" i="18"/>
  <c r="AB24" i="18"/>
  <c r="AB18" i="18"/>
  <c r="AB13" i="18"/>
  <c r="AB8" i="18"/>
  <c r="AB3" i="18"/>
  <c r="AB4" i="28"/>
  <c r="AB8" i="28"/>
  <c r="AB12" i="28"/>
  <c r="AB16" i="28"/>
  <c r="AB20" i="28"/>
  <c r="AB24" i="28"/>
  <c r="AB28" i="28"/>
  <c r="AB32" i="28"/>
  <c r="AB36" i="28"/>
  <c r="AB40" i="28"/>
  <c r="AB44" i="28"/>
  <c r="AB60" i="28"/>
  <c r="AB64" i="28"/>
  <c r="AB68" i="28"/>
  <c r="AB72" i="28"/>
  <c r="AB80" i="28"/>
  <c r="AB84" i="28"/>
  <c r="AB88" i="28"/>
  <c r="AB92" i="28"/>
  <c r="AB96" i="28"/>
  <c r="AB100" i="28"/>
  <c r="AB104" i="28"/>
  <c r="AB108" i="28"/>
  <c r="AB122" i="27"/>
  <c r="AB86" i="19"/>
  <c r="AB81" i="19"/>
  <c r="AB77" i="19"/>
  <c r="AB72" i="19"/>
  <c r="AB66" i="19"/>
  <c r="AB62" i="19"/>
  <c r="AB57" i="19"/>
  <c r="AB52" i="19"/>
  <c r="AB47" i="19"/>
  <c r="AB42" i="19"/>
  <c r="AB40" i="19"/>
  <c r="AB37" i="19"/>
  <c r="AB26" i="19"/>
  <c r="AB24" i="19"/>
  <c r="AB21" i="19"/>
  <c r="AB10" i="19"/>
  <c r="AB8" i="19"/>
  <c r="AB5" i="19"/>
  <c r="AB142" i="18"/>
  <c r="AB137" i="18"/>
  <c r="AB132" i="18"/>
  <c r="AB128" i="18"/>
  <c r="AB122" i="18"/>
  <c r="AB117" i="18"/>
  <c r="AB113" i="18"/>
  <c r="AB108" i="18"/>
  <c r="AB102" i="18"/>
  <c r="AB98" i="18"/>
  <c r="AB93" i="18"/>
  <c r="AB88" i="18"/>
  <c r="AB83" i="18"/>
  <c r="AB78" i="18"/>
  <c r="AB73" i="18"/>
  <c r="AB68" i="18"/>
  <c r="AB62" i="18"/>
  <c r="AB57" i="18"/>
  <c r="AB52" i="18"/>
  <c r="AB46" i="18"/>
  <c r="AB41" i="18"/>
  <c r="AB36" i="18"/>
  <c r="AB30" i="18"/>
  <c r="AB25" i="18"/>
  <c r="AB20" i="18"/>
  <c r="AB14" i="18"/>
  <c r="AB4" i="18"/>
  <c r="AB5" i="28"/>
  <c r="AB9" i="28"/>
  <c r="AB13" i="28"/>
  <c r="AB17" i="28"/>
  <c r="AB21" i="28"/>
  <c r="AB25" i="28"/>
  <c r="AB29" i="28"/>
  <c r="AB33" i="28"/>
  <c r="AB37" i="28"/>
  <c r="AB41" i="28"/>
  <c r="AB45" i="28"/>
  <c r="AB49" i="28"/>
  <c r="AB53" i="28"/>
  <c r="AB57" i="28"/>
  <c r="AB61" i="28"/>
  <c r="AB65" i="28"/>
  <c r="AB69" i="28"/>
  <c r="AB73" i="28"/>
  <c r="AB77" i="28"/>
  <c r="AB81" i="28"/>
  <c r="AB85" i="28"/>
  <c r="AB89" i="28"/>
  <c r="AB93" i="28"/>
  <c r="AB97" i="28"/>
  <c r="AB101" i="28"/>
  <c r="AB105" i="28"/>
  <c r="AB109" i="28"/>
  <c r="AB78" i="27"/>
  <c r="AB126" i="27"/>
  <c r="AB103" i="27"/>
  <c r="AB51" i="28"/>
  <c r="AB55" i="28"/>
  <c r="AB48" i="28"/>
  <c r="AB52" i="28"/>
  <c r="AB56" i="28"/>
  <c r="AB76" i="28"/>
  <c r="AB91" i="28"/>
  <c r="AB129" i="27"/>
  <c r="AB124" i="27"/>
  <c r="AB142" i="27"/>
  <c r="AB135" i="27"/>
  <c r="AB127" i="27"/>
  <c r="AB128" i="27"/>
  <c r="AB107" i="27"/>
  <c r="AB114" i="27"/>
  <c r="AB117" i="27"/>
  <c r="AB133" i="27"/>
  <c r="AB119" i="27"/>
  <c r="AB102" i="27"/>
  <c r="AB112" i="27"/>
  <c r="AB116" i="27"/>
  <c r="AB109" i="27"/>
  <c r="AB115" i="27"/>
  <c r="AB120" i="27"/>
  <c r="AB35" i="27"/>
  <c r="AB143" i="27"/>
  <c r="AB97" i="27"/>
  <c r="AB108" i="27"/>
  <c r="AB106" i="27"/>
  <c r="AB134" i="27"/>
  <c r="AB113" i="27"/>
  <c r="AB69" i="27"/>
  <c r="AB36" i="27"/>
  <c r="AB14" i="27"/>
  <c r="AB99" i="27"/>
  <c r="AB95" i="27"/>
  <c r="AB68" i="27"/>
  <c r="AB100" i="27"/>
  <c r="AB93" i="27"/>
  <c r="AB89" i="27"/>
  <c r="AB96" i="27"/>
  <c r="AB42" i="27"/>
  <c r="AB28" i="27"/>
  <c r="AB34" i="27"/>
  <c r="AB25" i="27"/>
  <c r="AB92" i="27"/>
  <c r="AB47" i="27"/>
  <c r="AB31" i="27"/>
  <c r="AB81" i="27"/>
  <c r="AB19" i="27"/>
  <c r="AB38" i="27"/>
  <c r="AB33" i="27"/>
  <c r="AB84" i="27"/>
  <c r="AB85" i="27"/>
  <c r="AB52" i="27"/>
  <c r="AB71" i="27"/>
  <c r="AB61" i="27"/>
  <c r="AB74" i="27"/>
  <c r="AB62" i="27"/>
  <c r="AB73" i="27"/>
  <c r="AB91" i="27"/>
  <c r="AB63" i="27"/>
  <c r="AB67" i="27"/>
  <c r="AB43" i="27"/>
  <c r="AB30" i="27"/>
  <c r="AB83" i="27"/>
  <c r="AB82" i="27"/>
  <c r="AB87" i="27"/>
  <c r="AB90" i="27"/>
  <c r="AB98" i="27"/>
  <c r="AB86" i="27"/>
  <c r="AB57" i="27"/>
  <c r="AB72" i="27"/>
  <c r="AB20" i="27"/>
  <c r="AB73" i="26"/>
  <c r="AB46" i="27"/>
  <c r="AB16" i="27"/>
  <c r="AB53" i="27"/>
  <c r="AB50" i="27"/>
  <c r="AB51" i="27"/>
  <c r="AB59" i="27"/>
  <c r="AB60" i="27"/>
  <c r="AB58" i="27"/>
  <c r="AB68" i="26"/>
  <c r="AB76" i="26"/>
  <c r="AB104" i="26"/>
  <c r="AB29" i="27"/>
  <c r="AB32" i="27"/>
  <c r="AB18" i="27"/>
  <c r="AB41" i="27"/>
  <c r="AB44" i="27"/>
  <c r="AB13" i="27"/>
  <c r="AB26" i="27"/>
  <c r="AB24" i="27"/>
  <c r="AB106" i="26"/>
  <c r="AB11" i="26"/>
  <c r="AB62" i="26"/>
  <c r="AB94" i="26"/>
  <c r="AB90" i="26"/>
  <c r="AB92" i="26"/>
  <c r="AB103" i="26"/>
  <c r="AB74" i="26"/>
  <c r="AB105" i="26"/>
  <c r="AB97" i="26"/>
  <c r="AB108" i="26"/>
  <c r="AB101" i="26"/>
  <c r="AB40" i="26"/>
  <c r="AB102" i="26"/>
  <c r="AB107" i="26"/>
  <c r="AB110" i="26"/>
  <c r="AB86" i="26"/>
  <c r="AB80" i="26"/>
  <c r="AB95" i="26"/>
  <c r="AB93" i="26"/>
  <c r="AB60" i="26"/>
  <c r="AB64" i="26"/>
  <c r="AB53" i="26"/>
  <c r="AB87" i="26"/>
  <c r="AB78" i="26"/>
  <c r="AB100" i="26"/>
  <c r="AB89" i="26"/>
  <c r="AB99" i="26"/>
  <c r="AB79" i="26"/>
  <c r="AB111" i="26"/>
  <c r="AB37" i="26"/>
  <c r="AB98" i="26"/>
  <c r="AB96" i="26"/>
  <c r="AB65" i="26"/>
  <c r="AB61" i="26"/>
  <c r="AB54" i="26"/>
  <c r="AB63" i="26"/>
  <c r="AB75" i="26"/>
  <c r="AB91" i="26"/>
  <c r="AB66" i="26"/>
  <c r="AB58" i="26"/>
  <c r="AB84" i="26"/>
  <c r="AB7" i="26"/>
  <c r="AB39" i="26"/>
  <c r="AB48" i="26"/>
  <c r="AB15" i="26"/>
  <c r="AB59" i="26"/>
  <c r="AB12" i="26"/>
  <c r="AB77" i="26"/>
  <c r="AB20" i="26"/>
  <c r="AB70" i="26"/>
  <c r="AB57" i="26"/>
  <c r="AB45" i="26"/>
  <c r="AB12" i="27"/>
  <c r="AB11" i="27"/>
  <c r="AB45" i="27"/>
  <c r="AB88" i="27"/>
  <c r="AB75" i="27"/>
  <c r="AB17" i="27"/>
  <c r="AB70" i="27"/>
  <c r="AB55" i="27"/>
  <c r="AB48" i="27"/>
  <c r="AB15" i="27"/>
  <c r="AB21" i="27"/>
  <c r="AB37" i="27"/>
  <c r="AB22" i="27"/>
  <c r="AB77" i="27"/>
  <c r="AB76" i="27"/>
  <c r="AB56" i="27"/>
  <c r="AB65" i="27"/>
  <c r="AB49" i="27"/>
  <c r="AB40" i="27"/>
  <c r="AB27" i="27"/>
  <c r="AB39" i="27"/>
  <c r="AB23" i="27"/>
  <c r="AB81" i="26"/>
  <c r="AB16" i="26"/>
  <c r="AB71" i="26"/>
  <c r="AB47" i="26"/>
  <c r="AB85" i="26"/>
  <c r="AB88" i="26"/>
  <c r="AB69" i="26"/>
  <c r="AB82" i="26"/>
  <c r="AB83" i="26"/>
  <c r="AB26" i="26"/>
  <c r="AB19" i="26"/>
  <c r="AB36" i="26"/>
  <c r="AB13" i="26"/>
  <c r="AB8" i="26"/>
  <c r="AB22" i="26"/>
  <c r="AB35" i="26"/>
  <c r="AB109" i="26"/>
  <c r="AB32" i="26"/>
  <c r="AB43" i="26"/>
  <c r="AB72" i="26"/>
  <c r="AB56" i="26"/>
  <c r="AB23" i="26"/>
  <c r="AB24" i="26"/>
  <c r="AB52" i="26"/>
  <c r="AB6" i="26"/>
  <c r="AB17" i="26"/>
  <c r="AB25" i="26"/>
  <c r="AB21" i="26"/>
  <c r="AB28" i="26"/>
  <c r="AB27" i="26"/>
  <c r="AB31" i="26"/>
  <c r="AB38" i="26"/>
  <c r="AB29" i="26"/>
  <c r="AB41" i="26"/>
  <c r="AB42" i="26"/>
  <c r="AB33" i="26"/>
  <c r="AB44" i="26"/>
  <c r="AB3" i="26"/>
  <c r="AB10" i="26"/>
  <c r="AB5" i="26"/>
  <c r="AB2" i="26"/>
  <c r="AB14" i="26"/>
  <c r="AB9" i="26"/>
  <c r="AB51" i="26"/>
  <c r="AB4" i="26"/>
  <c r="AB49" i="26"/>
  <c r="AB30" i="26"/>
  <c r="AB75" i="21"/>
  <c r="AB45" i="21"/>
  <c r="AB76" i="22"/>
  <c r="AB68" i="22"/>
  <c r="AB94" i="23"/>
  <c r="AB77" i="23"/>
  <c r="AB22" i="23"/>
  <c r="AB32" i="23"/>
  <c r="I166" i="25"/>
  <c r="AB133" i="19"/>
  <c r="AB41" i="21"/>
  <c r="AB28" i="21"/>
  <c r="AB11" i="21"/>
  <c r="AB43" i="21"/>
  <c r="AB66" i="21"/>
  <c r="AB137" i="23"/>
  <c r="AB136" i="23"/>
  <c r="AB59" i="23"/>
  <c r="AB58" i="24"/>
  <c r="AB61" i="24"/>
  <c r="AB73" i="24"/>
  <c r="AB74" i="24"/>
  <c r="AB90" i="24"/>
  <c r="AB2" i="24"/>
  <c r="AB156" i="24"/>
  <c r="AB2" i="25"/>
  <c r="AB31" i="25"/>
  <c r="AB55" i="25"/>
  <c r="AB19" i="25"/>
  <c r="AB98" i="25"/>
  <c r="AB151" i="25"/>
  <c r="AB34" i="24"/>
  <c r="AB4" i="24"/>
  <c r="AB5" i="24"/>
  <c r="AB41" i="24"/>
  <c r="AB27" i="24"/>
  <c r="AB47" i="24"/>
  <c r="AB49" i="24"/>
  <c r="AB14" i="24"/>
  <c r="AB71" i="24"/>
  <c r="AB36" i="24"/>
  <c r="AB88" i="24"/>
  <c r="AB128" i="24"/>
  <c r="AB146" i="24"/>
  <c r="AB168" i="24"/>
  <c r="AB69" i="25"/>
  <c r="AB24" i="25"/>
  <c r="AB23" i="25"/>
  <c r="AB76" i="25"/>
  <c r="AB70" i="25"/>
  <c r="AB155" i="25"/>
  <c r="AB155" i="19"/>
  <c r="AB128" i="19"/>
  <c r="AB118" i="19"/>
  <c r="AB20" i="19"/>
  <c r="AB4" i="19"/>
  <c r="AB10" i="18"/>
  <c r="AB9" i="18"/>
  <c r="AB32" i="19"/>
  <c r="AB16" i="19"/>
  <c r="AB46" i="26"/>
  <c r="AB50" i="26"/>
  <c r="AB55" i="26"/>
  <c r="AB34" i="26"/>
  <c r="AB18" i="26"/>
  <c r="AB67" i="26"/>
  <c r="AB157" i="19" l="1"/>
  <c r="AB113" i="26"/>
  <c r="AB145" i="18"/>
  <c r="AB166" i="2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Pere Torrell</author>
  </authors>
  <commentList>
    <comment ref="A1" authorId="0" shapeId="0" xr:uid="{00000000-0006-0000-0000-000001000000}">
      <text>
        <r>
          <rPr>
            <b/>
            <sz val="10"/>
            <color indexed="81"/>
            <rFont val="Tahoma"/>
            <family val="2"/>
          </rPr>
          <t xml:space="preserve">FECHA REGISTRO DE LA FACTURA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1" authorId="0" shapeId="0" xr:uid="{00000000-0006-0000-0000-000002000000}">
      <text>
        <r>
          <rPr>
            <b/>
            <sz val="10"/>
            <color indexed="81"/>
            <rFont val="Tahoma"/>
            <family val="2"/>
          </rPr>
          <t>Nº DE FACTURA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1" authorId="0" shapeId="0" xr:uid="{00000000-0006-0000-0000-000003000000}">
      <text>
        <r>
          <rPr>
            <b/>
            <sz val="10"/>
            <color indexed="81"/>
            <rFont val="Tahoma"/>
            <family val="2"/>
          </rPr>
          <t>CUENTA CONTABLE
DEL CLIENTE</t>
        </r>
      </text>
    </comment>
    <comment ref="F1" authorId="0" shapeId="0" xr:uid="{00000000-0006-0000-0000-000004000000}">
      <text>
        <r>
          <rPr>
            <b/>
            <sz val="10"/>
            <color indexed="81"/>
            <rFont val="Tahoma"/>
            <family val="2"/>
          </rPr>
          <t>DESCRIPCION DEL ASIENTO</t>
        </r>
        <r>
          <rPr>
            <sz val="10"/>
            <color indexed="81"/>
            <rFont val="Tahoma"/>
            <family val="2"/>
          </rPr>
          <t xml:space="preserve">
</t>
        </r>
      </text>
    </comment>
    <comment ref="G1" authorId="0" shapeId="0" xr:uid="{00000000-0006-0000-0000-000005000000}">
      <text>
        <r>
          <rPr>
            <b/>
            <sz val="10"/>
            <color indexed="81"/>
            <rFont val="Tahoma"/>
            <family val="2"/>
          </rPr>
          <t>BASE IMPONIBLE DE LA FACTURA.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I1" authorId="0" shapeId="0" xr:uid="{00000000-0006-0000-0000-000006000000}">
      <text>
        <r>
          <rPr>
            <b/>
            <sz val="10"/>
            <color indexed="81"/>
            <rFont val="Tahoma"/>
            <family val="2"/>
          </rPr>
          <t xml:space="preserve">IMPORTE DEL IVA </t>
        </r>
      </text>
    </comment>
    <comment ref="K1" authorId="0" shapeId="0" xr:uid="{00000000-0006-0000-0000-000007000000}">
      <text>
        <r>
          <rPr>
            <b/>
            <sz val="10"/>
            <color indexed="81"/>
            <rFont val="Tahoma"/>
            <family val="2"/>
          </rPr>
          <t xml:space="preserve">IMPORTE DEL RECARGO DE EQUIVALENCIA </t>
        </r>
      </text>
    </comment>
    <comment ref="AB1" authorId="0" shapeId="0" xr:uid="{00000000-0006-0000-0000-000008000000}">
      <text>
        <r>
          <rPr>
            <b/>
            <sz val="9"/>
            <color indexed="81"/>
            <rFont val="Tahoma"/>
            <family val="2"/>
          </rPr>
          <t xml:space="preserve">IMPORTE TOTAL FACTURA. </t>
        </r>
      </text>
    </comment>
    <comment ref="AC1" authorId="0" shapeId="0" xr:uid="{00000000-0006-0000-0000-000009000000}">
      <text>
        <r>
          <rPr>
            <b/>
            <sz val="9"/>
            <color indexed="81"/>
            <rFont val="Tahoma"/>
            <family val="2"/>
          </rPr>
          <t>CUENTA CONTRAPARTIDA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Pere Torrell</author>
  </authors>
  <commentList>
    <comment ref="A1" authorId="0" shapeId="0" xr:uid="{00000000-0006-0000-0100-000001000000}">
      <text>
        <r>
          <rPr>
            <b/>
            <sz val="10"/>
            <color indexed="81"/>
            <rFont val="Tahoma"/>
            <family val="2"/>
          </rPr>
          <t xml:space="preserve">FECHA REGISTRO DE LA FACTURA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1" authorId="0" shapeId="0" xr:uid="{00000000-0006-0000-0100-000002000000}">
      <text>
        <r>
          <rPr>
            <b/>
            <sz val="10"/>
            <color indexed="81"/>
            <rFont val="Tahoma"/>
            <family val="2"/>
          </rPr>
          <t>Nº DE FACTURA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1" authorId="0" shapeId="0" xr:uid="{00000000-0006-0000-0100-000003000000}">
      <text>
        <r>
          <rPr>
            <b/>
            <sz val="10"/>
            <color indexed="81"/>
            <rFont val="Tahoma"/>
            <family val="2"/>
          </rPr>
          <t>CUENTA CONTABLE
DEL CLIENTE</t>
        </r>
      </text>
    </comment>
    <comment ref="F1" authorId="0" shapeId="0" xr:uid="{00000000-0006-0000-0100-000004000000}">
      <text>
        <r>
          <rPr>
            <b/>
            <sz val="10"/>
            <color indexed="81"/>
            <rFont val="Tahoma"/>
            <family val="2"/>
          </rPr>
          <t>DESCRIPCION DEL ASIENTO</t>
        </r>
        <r>
          <rPr>
            <sz val="10"/>
            <color indexed="81"/>
            <rFont val="Tahoma"/>
            <family val="2"/>
          </rPr>
          <t xml:space="preserve">
</t>
        </r>
      </text>
    </comment>
    <comment ref="G1" authorId="0" shapeId="0" xr:uid="{00000000-0006-0000-0100-000005000000}">
      <text>
        <r>
          <rPr>
            <b/>
            <sz val="10"/>
            <color indexed="81"/>
            <rFont val="Tahoma"/>
            <family val="2"/>
          </rPr>
          <t>BASE IMPONIBLE DE LA FACTURA.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I1" authorId="0" shapeId="0" xr:uid="{00000000-0006-0000-0100-000006000000}">
      <text>
        <r>
          <rPr>
            <b/>
            <sz val="10"/>
            <color indexed="81"/>
            <rFont val="Tahoma"/>
            <family val="2"/>
          </rPr>
          <t xml:space="preserve">IMPORTE DEL IVA </t>
        </r>
      </text>
    </comment>
    <comment ref="K1" authorId="0" shapeId="0" xr:uid="{00000000-0006-0000-0100-000007000000}">
      <text>
        <r>
          <rPr>
            <b/>
            <sz val="10"/>
            <color indexed="81"/>
            <rFont val="Tahoma"/>
            <family val="2"/>
          </rPr>
          <t xml:space="preserve">IMPORTE DEL RECARGO DE EQUIVALENCIA </t>
        </r>
      </text>
    </comment>
    <comment ref="AB1" authorId="0" shapeId="0" xr:uid="{00000000-0006-0000-0100-000008000000}">
      <text>
        <r>
          <rPr>
            <b/>
            <sz val="9"/>
            <color indexed="81"/>
            <rFont val="Tahoma"/>
            <family val="2"/>
          </rPr>
          <t xml:space="preserve">IMPORTE TOTAL FACTURA. </t>
        </r>
      </text>
    </comment>
    <comment ref="AC1" authorId="0" shapeId="0" xr:uid="{00000000-0006-0000-0100-000009000000}">
      <text>
        <r>
          <rPr>
            <b/>
            <sz val="9"/>
            <color indexed="81"/>
            <rFont val="Tahoma"/>
            <family val="2"/>
          </rPr>
          <t>CUENTA CONTRAPARTIDA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Pere Torrell</author>
  </authors>
  <commentList>
    <comment ref="A1" authorId="0" shapeId="0" xr:uid="{00000000-0006-0000-0200-000001000000}">
      <text>
        <r>
          <rPr>
            <b/>
            <sz val="10"/>
            <color indexed="81"/>
            <rFont val="Tahoma"/>
            <family val="2"/>
          </rPr>
          <t xml:space="preserve">FECHA REGISTRO DE LA FACTURA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1" authorId="0" shapeId="0" xr:uid="{00000000-0006-0000-0200-000002000000}">
      <text>
        <r>
          <rPr>
            <b/>
            <sz val="10"/>
            <color indexed="81"/>
            <rFont val="Tahoma"/>
            <family val="2"/>
          </rPr>
          <t>Nº DE FACTURA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1" authorId="0" shapeId="0" xr:uid="{00000000-0006-0000-0200-000003000000}">
      <text>
        <r>
          <rPr>
            <b/>
            <sz val="10"/>
            <color indexed="81"/>
            <rFont val="Tahoma"/>
            <family val="2"/>
          </rPr>
          <t>CUENTA CONTABLE
DEL CLIENTE</t>
        </r>
      </text>
    </comment>
    <comment ref="F1" authorId="0" shapeId="0" xr:uid="{00000000-0006-0000-0200-000004000000}">
      <text>
        <r>
          <rPr>
            <b/>
            <sz val="10"/>
            <color indexed="81"/>
            <rFont val="Tahoma"/>
            <family val="2"/>
          </rPr>
          <t>DESCRIPCION DEL ASIENTO</t>
        </r>
        <r>
          <rPr>
            <sz val="10"/>
            <color indexed="81"/>
            <rFont val="Tahoma"/>
            <family val="2"/>
          </rPr>
          <t xml:space="preserve">
</t>
        </r>
      </text>
    </comment>
    <comment ref="G1" authorId="0" shapeId="0" xr:uid="{00000000-0006-0000-0200-000005000000}">
      <text>
        <r>
          <rPr>
            <b/>
            <sz val="10"/>
            <color indexed="81"/>
            <rFont val="Tahoma"/>
            <family val="2"/>
          </rPr>
          <t>BASE IMPONIBLE DE LA FACTURA.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I1" authorId="0" shapeId="0" xr:uid="{00000000-0006-0000-0200-000006000000}">
      <text>
        <r>
          <rPr>
            <b/>
            <sz val="10"/>
            <color indexed="81"/>
            <rFont val="Tahoma"/>
            <family val="2"/>
          </rPr>
          <t xml:space="preserve">IMPORTE DEL IVA </t>
        </r>
      </text>
    </comment>
    <comment ref="K1" authorId="0" shapeId="0" xr:uid="{00000000-0006-0000-0200-000007000000}">
      <text>
        <r>
          <rPr>
            <b/>
            <sz val="10"/>
            <color indexed="81"/>
            <rFont val="Tahoma"/>
            <family val="2"/>
          </rPr>
          <t xml:space="preserve">IMPORTE DEL RECARGO DE EQUIVALENCIA </t>
        </r>
      </text>
    </comment>
    <comment ref="AB1" authorId="0" shapeId="0" xr:uid="{00000000-0006-0000-0200-000008000000}">
      <text>
        <r>
          <rPr>
            <b/>
            <sz val="9"/>
            <color indexed="81"/>
            <rFont val="Tahoma"/>
            <family val="2"/>
          </rPr>
          <t xml:space="preserve">IMPORTE TOTAL FACTURA. </t>
        </r>
      </text>
    </comment>
    <comment ref="AC1" authorId="0" shapeId="0" xr:uid="{00000000-0006-0000-0200-000009000000}">
      <text>
        <r>
          <rPr>
            <b/>
            <sz val="9"/>
            <color indexed="81"/>
            <rFont val="Tahoma"/>
            <family val="2"/>
          </rPr>
          <t>CUENTA CONTRAPARTIDA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Pere Torrell</author>
    <author>Ubeda</author>
  </authors>
  <commentList>
    <comment ref="A1" authorId="0" shapeId="0" xr:uid="{00000000-0006-0000-0300-000001000000}">
      <text>
        <r>
          <rPr>
            <b/>
            <sz val="10"/>
            <color indexed="81"/>
            <rFont val="Tahoma"/>
            <family val="2"/>
          </rPr>
          <t xml:space="preserve">FECHA REGISTRO DE LA FACTURA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1" authorId="0" shapeId="0" xr:uid="{00000000-0006-0000-0300-000002000000}">
      <text>
        <r>
          <rPr>
            <b/>
            <sz val="10"/>
            <color indexed="81"/>
            <rFont val="Tahoma"/>
            <family val="2"/>
          </rPr>
          <t>Nº DE FACTURA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1" authorId="0" shapeId="0" xr:uid="{00000000-0006-0000-0300-000003000000}">
      <text>
        <r>
          <rPr>
            <b/>
            <sz val="10"/>
            <color indexed="81"/>
            <rFont val="Tahoma"/>
            <family val="2"/>
          </rPr>
          <t>CUENTA CONTABLE
DEL CLIENTE</t>
        </r>
      </text>
    </comment>
    <comment ref="F1" authorId="0" shapeId="0" xr:uid="{00000000-0006-0000-0300-000004000000}">
      <text>
        <r>
          <rPr>
            <b/>
            <sz val="10"/>
            <color indexed="81"/>
            <rFont val="Tahoma"/>
            <family val="2"/>
          </rPr>
          <t>DESCRIPCION DEL ASIENTO</t>
        </r>
        <r>
          <rPr>
            <sz val="10"/>
            <color indexed="81"/>
            <rFont val="Tahoma"/>
            <family val="2"/>
          </rPr>
          <t xml:space="preserve">
</t>
        </r>
      </text>
    </comment>
    <comment ref="G1" authorId="0" shapeId="0" xr:uid="{00000000-0006-0000-0300-000005000000}">
      <text>
        <r>
          <rPr>
            <b/>
            <sz val="10"/>
            <color indexed="81"/>
            <rFont val="Tahoma"/>
            <family val="2"/>
          </rPr>
          <t>BASE IMPONIBLE DE LA FACTURA.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I1" authorId="0" shapeId="0" xr:uid="{00000000-0006-0000-0300-000006000000}">
      <text>
        <r>
          <rPr>
            <b/>
            <sz val="10"/>
            <color indexed="81"/>
            <rFont val="Tahoma"/>
            <family val="2"/>
          </rPr>
          <t xml:space="preserve">IMPORTE DEL IVA </t>
        </r>
      </text>
    </comment>
    <comment ref="K1" authorId="0" shapeId="0" xr:uid="{00000000-0006-0000-0300-000007000000}">
      <text>
        <r>
          <rPr>
            <b/>
            <sz val="10"/>
            <color indexed="81"/>
            <rFont val="Tahoma"/>
            <family val="2"/>
          </rPr>
          <t xml:space="preserve">IMPORTE DEL RECARGO DE EQUIVALENCIA </t>
        </r>
      </text>
    </comment>
    <comment ref="AB1" authorId="0" shapeId="0" xr:uid="{00000000-0006-0000-0300-000008000000}">
      <text>
        <r>
          <rPr>
            <b/>
            <sz val="9"/>
            <color indexed="81"/>
            <rFont val="Tahoma"/>
            <family val="2"/>
          </rPr>
          <t xml:space="preserve">IMPORTE TOTAL FACTURA. </t>
        </r>
      </text>
    </comment>
    <comment ref="AC1" authorId="0" shapeId="0" xr:uid="{00000000-0006-0000-0300-000009000000}">
      <text>
        <r>
          <rPr>
            <b/>
            <sz val="9"/>
            <color indexed="81"/>
            <rFont val="Tahoma"/>
            <family val="2"/>
          </rPr>
          <t>CUENTA CONTRAPARTIDA</t>
        </r>
      </text>
    </comment>
    <comment ref="A2" authorId="1" shapeId="0" xr:uid="{00000000-0006-0000-0300-00000A000000}">
      <text>
        <r>
          <rPr>
            <b/>
            <sz val="9"/>
            <color indexed="81"/>
            <rFont val="Tahoma"/>
            <family val="2"/>
          </rPr>
          <t>Ubeda:</t>
        </r>
        <r>
          <rPr>
            <sz val="9"/>
            <color indexed="81"/>
            <rFont val="Tahoma"/>
            <family val="2"/>
          </rPr>
          <t xml:space="preserve">
FECHA FRA: 31/03/2021</t>
        </r>
      </text>
    </comment>
    <comment ref="A12" authorId="1" shapeId="0" xr:uid="{00000000-0006-0000-0300-00000B000000}">
      <text>
        <r>
          <rPr>
            <b/>
            <sz val="9"/>
            <color indexed="81"/>
            <rFont val="Tahoma"/>
            <family val="2"/>
          </rPr>
          <t>Ubeda:</t>
        </r>
        <r>
          <rPr>
            <sz val="9"/>
            <color indexed="81"/>
            <rFont val="Tahoma"/>
            <family val="2"/>
          </rPr>
          <t xml:space="preserve">
FECHA FRA: 22/02/2021</t>
        </r>
      </text>
    </comment>
    <comment ref="A14" authorId="1" shapeId="0" xr:uid="{00000000-0006-0000-0300-00000C000000}">
      <text>
        <r>
          <rPr>
            <b/>
            <sz val="9"/>
            <color indexed="81"/>
            <rFont val="Tahoma"/>
            <family val="2"/>
          </rPr>
          <t>Ubeda:</t>
        </r>
        <r>
          <rPr>
            <sz val="9"/>
            <color indexed="81"/>
            <rFont val="Tahoma"/>
            <family val="2"/>
          </rPr>
          <t xml:space="preserve">
FECHA FRA: 31/03/2021</t>
        </r>
      </text>
    </comment>
    <comment ref="A15" authorId="1" shapeId="0" xr:uid="{00000000-0006-0000-0300-00000D000000}">
      <text>
        <r>
          <rPr>
            <b/>
            <sz val="9"/>
            <color indexed="81"/>
            <rFont val="Tahoma"/>
            <family val="2"/>
          </rPr>
          <t>Ubeda:</t>
        </r>
        <r>
          <rPr>
            <sz val="9"/>
            <color indexed="81"/>
            <rFont val="Tahoma"/>
            <family val="2"/>
          </rPr>
          <t xml:space="preserve">
FECHA FRA: 31/03/2021</t>
        </r>
      </text>
    </comment>
    <comment ref="A18" authorId="1" shapeId="0" xr:uid="{00000000-0006-0000-0300-00000E000000}">
      <text>
        <r>
          <rPr>
            <b/>
            <sz val="9"/>
            <color indexed="81"/>
            <rFont val="Tahoma"/>
            <family val="2"/>
          </rPr>
          <t>Ubeda:</t>
        </r>
        <r>
          <rPr>
            <sz val="9"/>
            <color indexed="81"/>
            <rFont val="Tahoma"/>
            <family val="2"/>
          </rPr>
          <t xml:space="preserve">
FECHA FRA: 04/03/21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Pere Torrell</author>
  </authors>
  <commentList>
    <comment ref="A1" authorId="0" shapeId="0" xr:uid="{00000000-0006-0000-0400-000001000000}">
      <text>
        <r>
          <rPr>
            <b/>
            <sz val="10"/>
            <color indexed="81"/>
            <rFont val="Tahoma"/>
            <family val="2"/>
          </rPr>
          <t xml:space="preserve">FECHA REGISTRO DE LA FACTURA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1" authorId="0" shapeId="0" xr:uid="{00000000-0006-0000-0400-000002000000}">
      <text>
        <r>
          <rPr>
            <b/>
            <sz val="10"/>
            <color indexed="81"/>
            <rFont val="Tahoma"/>
            <family val="2"/>
          </rPr>
          <t>Nº DE FACTURA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1" authorId="0" shapeId="0" xr:uid="{00000000-0006-0000-0400-000003000000}">
      <text>
        <r>
          <rPr>
            <b/>
            <sz val="10"/>
            <color indexed="81"/>
            <rFont val="Tahoma"/>
            <family val="2"/>
          </rPr>
          <t>CUENTA CONTABLE
DEL CLIENTE</t>
        </r>
      </text>
    </comment>
    <comment ref="F1" authorId="0" shapeId="0" xr:uid="{00000000-0006-0000-0400-000004000000}">
      <text>
        <r>
          <rPr>
            <b/>
            <sz val="10"/>
            <color indexed="81"/>
            <rFont val="Tahoma"/>
            <family val="2"/>
          </rPr>
          <t>DESCRIPCION DEL ASIENTO</t>
        </r>
        <r>
          <rPr>
            <sz val="10"/>
            <color indexed="81"/>
            <rFont val="Tahoma"/>
            <family val="2"/>
          </rPr>
          <t xml:space="preserve">
</t>
        </r>
      </text>
    </comment>
    <comment ref="G1" authorId="0" shapeId="0" xr:uid="{00000000-0006-0000-0400-000005000000}">
      <text>
        <r>
          <rPr>
            <b/>
            <sz val="10"/>
            <color indexed="81"/>
            <rFont val="Tahoma"/>
            <family val="2"/>
          </rPr>
          <t>BASE IMPONIBLE DE LA FACTURA.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I1" authorId="0" shapeId="0" xr:uid="{00000000-0006-0000-0400-000006000000}">
      <text>
        <r>
          <rPr>
            <b/>
            <sz val="10"/>
            <color indexed="81"/>
            <rFont val="Tahoma"/>
            <family val="2"/>
          </rPr>
          <t xml:space="preserve">IMPORTE DEL IVA </t>
        </r>
      </text>
    </comment>
    <comment ref="K1" authorId="0" shapeId="0" xr:uid="{00000000-0006-0000-0400-000007000000}">
      <text>
        <r>
          <rPr>
            <b/>
            <sz val="10"/>
            <color indexed="81"/>
            <rFont val="Tahoma"/>
            <family val="2"/>
          </rPr>
          <t xml:space="preserve">IMPORTE DEL RECARGO DE EQUIVALENCIA </t>
        </r>
      </text>
    </comment>
    <comment ref="AB1" authorId="0" shapeId="0" xr:uid="{00000000-0006-0000-0400-000008000000}">
      <text>
        <r>
          <rPr>
            <b/>
            <sz val="9"/>
            <color indexed="81"/>
            <rFont val="Tahoma"/>
            <family val="2"/>
          </rPr>
          <t xml:space="preserve">IMPORTE TOTAL FACTURA. </t>
        </r>
      </text>
    </comment>
    <comment ref="AC1" authorId="0" shapeId="0" xr:uid="{00000000-0006-0000-0400-000009000000}">
      <text>
        <r>
          <rPr>
            <b/>
            <sz val="9"/>
            <color indexed="81"/>
            <rFont val="Tahoma"/>
            <family val="2"/>
          </rPr>
          <t>CUENTA CONTRAPARTIDA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Pere Torrell</author>
  </authors>
  <commentList>
    <comment ref="A1" authorId="0" shapeId="0" xr:uid="{00000000-0006-0000-0500-000001000000}">
      <text>
        <r>
          <rPr>
            <b/>
            <sz val="10"/>
            <color indexed="81"/>
            <rFont val="Tahoma"/>
            <family val="2"/>
          </rPr>
          <t xml:space="preserve">FECHA REGISTRO DE LA FACTURA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1" authorId="0" shapeId="0" xr:uid="{00000000-0006-0000-0500-000002000000}">
      <text>
        <r>
          <rPr>
            <b/>
            <sz val="10"/>
            <color indexed="81"/>
            <rFont val="Tahoma"/>
            <family val="2"/>
          </rPr>
          <t>Nº DE FACTURA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1" authorId="0" shapeId="0" xr:uid="{00000000-0006-0000-0500-000003000000}">
      <text>
        <r>
          <rPr>
            <b/>
            <sz val="10"/>
            <color indexed="81"/>
            <rFont val="Tahoma"/>
            <family val="2"/>
          </rPr>
          <t>CUENTA CONTABLE
DEL CLIENTE</t>
        </r>
      </text>
    </comment>
    <comment ref="F1" authorId="0" shapeId="0" xr:uid="{00000000-0006-0000-0500-000004000000}">
      <text>
        <r>
          <rPr>
            <b/>
            <sz val="10"/>
            <color indexed="81"/>
            <rFont val="Tahoma"/>
            <family val="2"/>
          </rPr>
          <t>DESCRIPCION DEL ASIENTO</t>
        </r>
        <r>
          <rPr>
            <sz val="10"/>
            <color indexed="81"/>
            <rFont val="Tahoma"/>
            <family val="2"/>
          </rPr>
          <t xml:space="preserve">
</t>
        </r>
      </text>
    </comment>
    <comment ref="G1" authorId="0" shapeId="0" xr:uid="{00000000-0006-0000-0500-000005000000}">
      <text>
        <r>
          <rPr>
            <b/>
            <sz val="10"/>
            <color indexed="81"/>
            <rFont val="Tahoma"/>
            <family val="2"/>
          </rPr>
          <t>BASE IMPONIBLE DE LA FACTURA.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I1" authorId="0" shapeId="0" xr:uid="{00000000-0006-0000-0500-000006000000}">
      <text>
        <r>
          <rPr>
            <b/>
            <sz val="10"/>
            <color indexed="81"/>
            <rFont val="Tahoma"/>
            <family val="2"/>
          </rPr>
          <t xml:space="preserve">IMPORTE DEL IVA </t>
        </r>
      </text>
    </comment>
    <comment ref="K1" authorId="0" shapeId="0" xr:uid="{00000000-0006-0000-0500-000007000000}">
      <text>
        <r>
          <rPr>
            <b/>
            <sz val="10"/>
            <color indexed="81"/>
            <rFont val="Tahoma"/>
            <family val="2"/>
          </rPr>
          <t xml:space="preserve">IMPORTE DEL RECARGO DE EQUIVALENCIA </t>
        </r>
      </text>
    </comment>
    <comment ref="AB1" authorId="0" shapeId="0" xr:uid="{00000000-0006-0000-0500-000008000000}">
      <text>
        <r>
          <rPr>
            <b/>
            <sz val="9"/>
            <color indexed="81"/>
            <rFont val="Tahoma"/>
            <family val="2"/>
          </rPr>
          <t xml:space="preserve">IMPORTE TOTAL FACTURA. </t>
        </r>
      </text>
    </comment>
    <comment ref="AC1" authorId="0" shapeId="0" xr:uid="{00000000-0006-0000-0500-000009000000}">
      <text>
        <r>
          <rPr>
            <b/>
            <sz val="9"/>
            <color indexed="81"/>
            <rFont val="Tahoma"/>
            <family val="2"/>
          </rPr>
          <t>CUENTA CONTRAPARTIDA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Pere Torrell</author>
  </authors>
  <commentList>
    <comment ref="A1" authorId="0" shapeId="0" xr:uid="{00000000-0006-0000-0600-000001000000}">
      <text>
        <r>
          <rPr>
            <b/>
            <sz val="10"/>
            <color indexed="81"/>
            <rFont val="Tahoma"/>
            <family val="2"/>
          </rPr>
          <t xml:space="preserve">FECHA REGISTRO DE LA FACTURA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1" authorId="0" shapeId="0" xr:uid="{00000000-0006-0000-0600-000002000000}">
      <text>
        <r>
          <rPr>
            <b/>
            <sz val="10"/>
            <color indexed="81"/>
            <rFont val="Tahoma"/>
            <family val="2"/>
          </rPr>
          <t>Nº DE FACTURA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1" authorId="0" shapeId="0" xr:uid="{00000000-0006-0000-0600-000003000000}">
      <text>
        <r>
          <rPr>
            <b/>
            <sz val="10"/>
            <color indexed="81"/>
            <rFont val="Tahoma"/>
            <family val="2"/>
          </rPr>
          <t>CUENTA CONTABLE
DEL CLIENTE</t>
        </r>
      </text>
    </comment>
    <comment ref="F1" authorId="0" shapeId="0" xr:uid="{00000000-0006-0000-0600-000004000000}">
      <text>
        <r>
          <rPr>
            <b/>
            <sz val="10"/>
            <color indexed="81"/>
            <rFont val="Tahoma"/>
            <family val="2"/>
          </rPr>
          <t>DESCRIPCION DEL ASIENTO</t>
        </r>
        <r>
          <rPr>
            <sz val="10"/>
            <color indexed="81"/>
            <rFont val="Tahoma"/>
            <family val="2"/>
          </rPr>
          <t xml:space="preserve">
</t>
        </r>
      </text>
    </comment>
    <comment ref="G1" authorId="0" shapeId="0" xr:uid="{00000000-0006-0000-0600-000005000000}">
      <text>
        <r>
          <rPr>
            <b/>
            <sz val="10"/>
            <color indexed="81"/>
            <rFont val="Tahoma"/>
            <family val="2"/>
          </rPr>
          <t>BASE IMPONIBLE DE LA FACTURA.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I1" authorId="0" shapeId="0" xr:uid="{00000000-0006-0000-0600-000006000000}">
      <text>
        <r>
          <rPr>
            <b/>
            <sz val="10"/>
            <color indexed="81"/>
            <rFont val="Tahoma"/>
            <family val="2"/>
          </rPr>
          <t xml:space="preserve">IMPORTE DEL IVA </t>
        </r>
      </text>
    </comment>
    <comment ref="K1" authorId="0" shapeId="0" xr:uid="{00000000-0006-0000-0600-000007000000}">
      <text>
        <r>
          <rPr>
            <b/>
            <sz val="10"/>
            <color indexed="81"/>
            <rFont val="Tahoma"/>
            <family val="2"/>
          </rPr>
          <t xml:space="preserve">IMPORTE DEL RECARGO DE EQUIVALENCIA </t>
        </r>
      </text>
    </comment>
    <comment ref="AB1" authorId="0" shapeId="0" xr:uid="{00000000-0006-0000-0600-000008000000}">
      <text>
        <r>
          <rPr>
            <b/>
            <sz val="9"/>
            <color indexed="81"/>
            <rFont val="Tahoma"/>
            <family val="2"/>
          </rPr>
          <t xml:space="preserve">IMPORTE TOTAL FACTURA. </t>
        </r>
      </text>
    </comment>
    <comment ref="AC1" authorId="0" shapeId="0" xr:uid="{00000000-0006-0000-0600-000009000000}">
      <text>
        <r>
          <rPr>
            <b/>
            <sz val="9"/>
            <color indexed="81"/>
            <rFont val="Tahoma"/>
            <family val="2"/>
          </rPr>
          <t>CUENTA CONTRAPARTIDA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Pere Torrell</author>
  </authors>
  <commentList>
    <comment ref="A1" authorId="0" shapeId="0" xr:uid="{00000000-0006-0000-0700-000001000000}">
      <text>
        <r>
          <rPr>
            <b/>
            <sz val="10"/>
            <color indexed="81"/>
            <rFont val="Tahoma"/>
            <family val="2"/>
          </rPr>
          <t xml:space="preserve">FECHA REGISTRO DE LA FACTURA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1" authorId="0" shapeId="0" xr:uid="{00000000-0006-0000-0700-000002000000}">
      <text>
        <r>
          <rPr>
            <b/>
            <sz val="10"/>
            <color indexed="81"/>
            <rFont val="Tahoma"/>
            <family val="2"/>
          </rPr>
          <t>Nº DE FACTURA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1" authorId="0" shapeId="0" xr:uid="{00000000-0006-0000-0700-000003000000}">
      <text>
        <r>
          <rPr>
            <b/>
            <sz val="10"/>
            <color indexed="81"/>
            <rFont val="Tahoma"/>
            <family val="2"/>
          </rPr>
          <t>CUENTA CONTABLE
DEL CLIENTE</t>
        </r>
      </text>
    </comment>
    <comment ref="F1" authorId="0" shapeId="0" xr:uid="{00000000-0006-0000-0700-000004000000}">
      <text>
        <r>
          <rPr>
            <b/>
            <sz val="10"/>
            <color indexed="81"/>
            <rFont val="Tahoma"/>
            <family val="2"/>
          </rPr>
          <t>DESCRIPCION DEL ASIENTO</t>
        </r>
        <r>
          <rPr>
            <sz val="10"/>
            <color indexed="81"/>
            <rFont val="Tahoma"/>
            <family val="2"/>
          </rPr>
          <t xml:space="preserve">
</t>
        </r>
      </text>
    </comment>
    <comment ref="G1" authorId="0" shapeId="0" xr:uid="{00000000-0006-0000-0700-000005000000}">
      <text>
        <r>
          <rPr>
            <b/>
            <sz val="10"/>
            <color indexed="81"/>
            <rFont val="Tahoma"/>
            <family val="2"/>
          </rPr>
          <t>BASE IMPONIBLE DE LA FACTURA.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I1" authorId="0" shapeId="0" xr:uid="{00000000-0006-0000-0700-000006000000}">
      <text>
        <r>
          <rPr>
            <b/>
            <sz val="10"/>
            <color indexed="81"/>
            <rFont val="Tahoma"/>
            <family val="2"/>
          </rPr>
          <t xml:space="preserve">IMPORTE DEL IVA </t>
        </r>
      </text>
    </comment>
    <comment ref="K1" authorId="0" shapeId="0" xr:uid="{00000000-0006-0000-0700-000007000000}">
      <text>
        <r>
          <rPr>
            <b/>
            <sz val="10"/>
            <color indexed="81"/>
            <rFont val="Tahoma"/>
            <family val="2"/>
          </rPr>
          <t xml:space="preserve">IMPORTE DEL RECARGO DE EQUIVALENCIA </t>
        </r>
      </text>
    </comment>
    <comment ref="AB1" authorId="0" shapeId="0" xr:uid="{00000000-0006-0000-0700-000008000000}">
      <text>
        <r>
          <rPr>
            <b/>
            <sz val="9"/>
            <color indexed="81"/>
            <rFont val="Tahoma"/>
            <family val="2"/>
          </rPr>
          <t xml:space="preserve">IMPORTE TOTAL FACTURA. </t>
        </r>
      </text>
    </comment>
    <comment ref="AC1" authorId="0" shapeId="0" xr:uid="{00000000-0006-0000-0700-000009000000}">
      <text>
        <r>
          <rPr>
            <b/>
            <sz val="9"/>
            <color indexed="81"/>
            <rFont val="Tahoma"/>
            <family val="2"/>
          </rPr>
          <t>CUENTA CONTRAPARTIDA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Pere Torrell</author>
  </authors>
  <commentList>
    <comment ref="A1" authorId="0" shapeId="0" xr:uid="{A1DAC021-B5A7-4A45-96DD-CED8ECAF9698}">
      <text>
        <r>
          <rPr>
            <b/>
            <sz val="10"/>
            <color indexed="81"/>
            <rFont val="Tahoma"/>
            <family val="2"/>
          </rPr>
          <t xml:space="preserve">FECHA REGISTRO DE LA FACTURA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1" authorId="0" shapeId="0" xr:uid="{7EB0312E-4E5E-4F83-A40B-96C4A9818827}">
      <text>
        <r>
          <rPr>
            <b/>
            <sz val="10"/>
            <color indexed="81"/>
            <rFont val="Tahoma"/>
            <family val="2"/>
          </rPr>
          <t>Nº DE FACTURA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1" authorId="0" shapeId="0" xr:uid="{4A264AA1-5C0C-4DAA-87D9-B95FAE0B135E}">
      <text>
        <r>
          <rPr>
            <b/>
            <sz val="10"/>
            <color indexed="81"/>
            <rFont val="Tahoma"/>
            <family val="2"/>
          </rPr>
          <t>CUENTA CONTABLE
DEL CLIENTE</t>
        </r>
      </text>
    </comment>
    <comment ref="F1" authorId="0" shapeId="0" xr:uid="{FAA2B6CC-8453-45FB-8951-75DDCDAFB23E}">
      <text>
        <r>
          <rPr>
            <b/>
            <sz val="10"/>
            <color indexed="81"/>
            <rFont val="Tahoma"/>
            <family val="2"/>
          </rPr>
          <t>DESCRIPCION DEL ASIENTO</t>
        </r>
        <r>
          <rPr>
            <sz val="10"/>
            <color indexed="81"/>
            <rFont val="Tahoma"/>
            <family val="2"/>
          </rPr>
          <t xml:space="preserve">
</t>
        </r>
      </text>
    </comment>
    <comment ref="G1" authorId="0" shapeId="0" xr:uid="{BDF1AE07-5011-45B9-BB0F-1B07ED34CDBD}">
      <text>
        <r>
          <rPr>
            <b/>
            <sz val="10"/>
            <color indexed="81"/>
            <rFont val="Tahoma"/>
            <family val="2"/>
          </rPr>
          <t>BASE IMPONIBLE DE LA FACTURA.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I1" authorId="0" shapeId="0" xr:uid="{14FA7FF8-1920-42C6-91B0-C14199450148}">
      <text>
        <r>
          <rPr>
            <b/>
            <sz val="10"/>
            <color indexed="81"/>
            <rFont val="Tahoma"/>
            <family val="2"/>
          </rPr>
          <t xml:space="preserve">IMPORTE DEL IVA </t>
        </r>
      </text>
    </comment>
    <comment ref="K1" authorId="0" shapeId="0" xr:uid="{B90A2256-DCB4-4D20-BC8E-A837E35E4A2A}">
      <text>
        <r>
          <rPr>
            <b/>
            <sz val="10"/>
            <color indexed="81"/>
            <rFont val="Tahoma"/>
            <family val="2"/>
          </rPr>
          <t xml:space="preserve">IMPORTE DEL RECARGO DE EQUIVALENCIA </t>
        </r>
      </text>
    </comment>
    <comment ref="AB1" authorId="0" shapeId="0" xr:uid="{16D4EC37-E7C1-40BD-A61C-36379E56A6E7}">
      <text>
        <r>
          <rPr>
            <b/>
            <sz val="9"/>
            <color indexed="81"/>
            <rFont val="Tahoma"/>
            <family val="2"/>
          </rPr>
          <t xml:space="preserve">IMPORTE TOTAL FACTURA. </t>
        </r>
      </text>
    </comment>
    <comment ref="AC1" authorId="0" shapeId="0" xr:uid="{09ABF88C-D5C1-4099-8D97-26523CB827A6}">
      <text>
        <r>
          <rPr>
            <b/>
            <sz val="9"/>
            <color indexed="81"/>
            <rFont val="Tahoma"/>
            <family val="2"/>
          </rPr>
          <t>CUENTA CONTRAPARTIDA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Pere Torrell</author>
  </authors>
  <commentList>
    <comment ref="A1" authorId="0" shapeId="0" xr:uid="{C7ADE117-BB34-4D41-B54B-657A93E3580B}">
      <text>
        <r>
          <rPr>
            <b/>
            <sz val="10"/>
            <color indexed="81"/>
            <rFont val="Tahoma"/>
            <family val="2"/>
          </rPr>
          <t xml:space="preserve">FECHA REGISTRO DE LA FACTURA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1" authorId="0" shapeId="0" xr:uid="{12803E93-A63F-4423-A13D-CE6040566143}">
      <text>
        <r>
          <rPr>
            <b/>
            <sz val="10"/>
            <color indexed="81"/>
            <rFont val="Tahoma"/>
            <family val="2"/>
          </rPr>
          <t>Nº DE FACTURA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1" authorId="0" shapeId="0" xr:uid="{04970CE3-B8B1-47E0-AB3E-3B2F39EEA96F}">
      <text>
        <r>
          <rPr>
            <b/>
            <sz val="10"/>
            <color indexed="81"/>
            <rFont val="Tahoma"/>
            <family val="2"/>
          </rPr>
          <t>CUENTA CONTABLE
DEL CLIENTE</t>
        </r>
      </text>
    </comment>
    <comment ref="F1" authorId="0" shapeId="0" xr:uid="{232A69EC-CBFF-46FA-952B-09DCDC228382}">
      <text>
        <r>
          <rPr>
            <b/>
            <sz val="10"/>
            <color indexed="81"/>
            <rFont val="Tahoma"/>
            <family val="2"/>
          </rPr>
          <t>DESCRIPCION DEL ASIENTO</t>
        </r>
        <r>
          <rPr>
            <sz val="10"/>
            <color indexed="81"/>
            <rFont val="Tahoma"/>
            <family val="2"/>
          </rPr>
          <t xml:space="preserve">
</t>
        </r>
      </text>
    </comment>
    <comment ref="G1" authorId="0" shapeId="0" xr:uid="{AF0A97BB-F0E6-4918-BD86-E9CB89EEFA6A}">
      <text>
        <r>
          <rPr>
            <b/>
            <sz val="10"/>
            <color indexed="81"/>
            <rFont val="Tahoma"/>
            <family val="2"/>
          </rPr>
          <t>BASE IMPONIBLE DE LA FACTURA.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I1" authorId="0" shapeId="0" xr:uid="{0B75A350-B8D2-48A7-B7E7-FC4DFBE7E769}">
      <text>
        <r>
          <rPr>
            <b/>
            <sz val="10"/>
            <color indexed="81"/>
            <rFont val="Tahoma"/>
            <family val="2"/>
          </rPr>
          <t xml:space="preserve">IMPORTE DEL IVA </t>
        </r>
      </text>
    </comment>
    <comment ref="K1" authorId="0" shapeId="0" xr:uid="{A8488742-28BE-4FE7-B37F-ED9D13E83640}">
      <text>
        <r>
          <rPr>
            <b/>
            <sz val="10"/>
            <color indexed="81"/>
            <rFont val="Tahoma"/>
            <family val="2"/>
          </rPr>
          <t xml:space="preserve">IMPORTE DEL RECARGO DE EQUIVALENCIA </t>
        </r>
      </text>
    </comment>
    <comment ref="AB1" authorId="0" shapeId="0" xr:uid="{DB07561F-1231-4537-98C7-59D8D92F4D74}">
      <text>
        <r>
          <rPr>
            <b/>
            <sz val="9"/>
            <color indexed="81"/>
            <rFont val="Tahoma"/>
            <family val="2"/>
          </rPr>
          <t xml:space="preserve">IMPORTE TOTAL FACTURA. </t>
        </r>
      </text>
    </comment>
    <comment ref="AC1" authorId="0" shapeId="0" xr:uid="{AD81CF15-2149-4737-A606-4740D060B56A}">
      <text>
        <r>
          <rPr>
            <b/>
            <sz val="9"/>
            <color indexed="81"/>
            <rFont val="Tahoma"/>
            <family val="2"/>
          </rPr>
          <t>CUENTA CONTRAPARTIDA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Pere Torrell</author>
  </authors>
  <commentList>
    <comment ref="A1" authorId="0" shapeId="0" xr:uid="{BFA628C3-6800-4B72-95EE-16F991F395CD}">
      <text>
        <r>
          <rPr>
            <b/>
            <sz val="10"/>
            <color indexed="81"/>
            <rFont val="Tahoma"/>
            <family val="2"/>
          </rPr>
          <t xml:space="preserve">FECHA REGISTRO DE LA FACTURA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1" authorId="0" shapeId="0" xr:uid="{427B694A-2C58-471F-8AE7-A4E48E4B6867}">
      <text>
        <r>
          <rPr>
            <b/>
            <sz val="10"/>
            <color indexed="81"/>
            <rFont val="Tahoma"/>
            <family val="2"/>
          </rPr>
          <t>Nº DE FACTURA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1" authorId="0" shapeId="0" xr:uid="{804CEDE5-1DD1-4886-A2DF-701EB5B6ACA7}">
      <text>
        <r>
          <rPr>
            <b/>
            <sz val="10"/>
            <color indexed="81"/>
            <rFont val="Tahoma"/>
            <family val="2"/>
          </rPr>
          <t>CUENTA CONTABLE
DEL CLIENTE</t>
        </r>
      </text>
    </comment>
    <comment ref="F1" authorId="0" shapeId="0" xr:uid="{E8B9254F-66EE-458A-9DA3-8744282F1854}">
      <text>
        <r>
          <rPr>
            <b/>
            <sz val="10"/>
            <color indexed="81"/>
            <rFont val="Tahoma"/>
            <family val="2"/>
          </rPr>
          <t>DESCRIPCION DEL ASIENTO</t>
        </r>
        <r>
          <rPr>
            <sz val="10"/>
            <color indexed="81"/>
            <rFont val="Tahoma"/>
            <family val="2"/>
          </rPr>
          <t xml:space="preserve">
</t>
        </r>
      </text>
    </comment>
    <comment ref="G1" authorId="0" shapeId="0" xr:uid="{70EDE35A-8A66-4ED6-B02E-4DF037A1ABE5}">
      <text>
        <r>
          <rPr>
            <b/>
            <sz val="10"/>
            <color indexed="81"/>
            <rFont val="Tahoma"/>
            <family val="2"/>
          </rPr>
          <t>BASE IMPONIBLE DE LA FACTURA.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I1" authorId="0" shapeId="0" xr:uid="{147503BF-B076-4125-91FF-33C10B8608FD}">
      <text>
        <r>
          <rPr>
            <b/>
            <sz val="10"/>
            <color indexed="81"/>
            <rFont val="Tahoma"/>
            <family val="2"/>
          </rPr>
          <t xml:space="preserve">IMPORTE DEL IVA </t>
        </r>
      </text>
    </comment>
    <comment ref="K1" authorId="0" shapeId="0" xr:uid="{ACDBC97E-8B7C-443B-885E-E32BD81B0CA4}">
      <text>
        <r>
          <rPr>
            <b/>
            <sz val="10"/>
            <color indexed="81"/>
            <rFont val="Tahoma"/>
            <family val="2"/>
          </rPr>
          <t xml:space="preserve">IMPORTE DEL RECARGO DE EQUIVALENCIA </t>
        </r>
      </text>
    </comment>
    <comment ref="AB1" authorId="0" shapeId="0" xr:uid="{AF43F004-D6C8-422D-81EE-8348661A1AB9}">
      <text>
        <r>
          <rPr>
            <b/>
            <sz val="9"/>
            <color indexed="81"/>
            <rFont val="Tahoma"/>
            <family val="2"/>
          </rPr>
          <t xml:space="preserve">IMPORTE TOTAL FACTURA. </t>
        </r>
      </text>
    </comment>
    <comment ref="AC1" authorId="0" shapeId="0" xr:uid="{CDAB38D4-3E61-41C6-97AB-2B4E7178A31C}">
      <text>
        <r>
          <rPr>
            <b/>
            <sz val="9"/>
            <color indexed="81"/>
            <rFont val="Tahoma"/>
            <family val="2"/>
          </rPr>
          <t>CUENTA CONTRAPARTIDA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Pere Torrell</author>
  </authors>
  <commentList>
    <comment ref="A1" authorId="0" shapeId="0" xr:uid="{0E61E154-6D3F-4792-AF54-7053C812BDA9}">
      <text>
        <r>
          <rPr>
            <b/>
            <sz val="10"/>
            <color indexed="81"/>
            <rFont val="Tahoma"/>
            <family val="2"/>
          </rPr>
          <t xml:space="preserve">FECHA REGISTRO DE LA FACTURA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1" authorId="0" shapeId="0" xr:uid="{DC9AB671-36CD-452F-BB9B-F9F699E59582}">
      <text>
        <r>
          <rPr>
            <b/>
            <sz val="10"/>
            <color indexed="81"/>
            <rFont val="Tahoma"/>
            <family val="2"/>
          </rPr>
          <t>Nº DE FACTURA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1" authorId="0" shapeId="0" xr:uid="{C41A1007-8565-4C05-8BE4-F019B05BB1B4}">
      <text>
        <r>
          <rPr>
            <b/>
            <sz val="10"/>
            <color indexed="81"/>
            <rFont val="Tahoma"/>
            <family val="2"/>
          </rPr>
          <t>CUENTA CONTABLE
DEL CLIENTE</t>
        </r>
      </text>
    </comment>
    <comment ref="F1" authorId="0" shapeId="0" xr:uid="{6D8BD021-4C66-4070-89E7-F1F2711DCDFE}">
      <text>
        <r>
          <rPr>
            <b/>
            <sz val="10"/>
            <color indexed="81"/>
            <rFont val="Tahoma"/>
            <family val="2"/>
          </rPr>
          <t>DESCRIPCION DEL ASIENTO</t>
        </r>
        <r>
          <rPr>
            <sz val="10"/>
            <color indexed="81"/>
            <rFont val="Tahoma"/>
            <family val="2"/>
          </rPr>
          <t xml:space="preserve">
</t>
        </r>
      </text>
    </comment>
    <comment ref="G1" authorId="0" shapeId="0" xr:uid="{972F95AC-4FB3-4BF3-998F-1EE8C6A82D5A}">
      <text>
        <r>
          <rPr>
            <b/>
            <sz val="10"/>
            <color indexed="81"/>
            <rFont val="Tahoma"/>
            <family val="2"/>
          </rPr>
          <t>BASE IMPONIBLE DE LA FACTURA.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I1" authorId="0" shapeId="0" xr:uid="{FF1D2E81-8B26-4EC2-87F3-37588C400EC0}">
      <text>
        <r>
          <rPr>
            <b/>
            <sz val="10"/>
            <color indexed="81"/>
            <rFont val="Tahoma"/>
            <family val="2"/>
          </rPr>
          <t xml:space="preserve">IMPORTE DEL IVA </t>
        </r>
      </text>
    </comment>
    <comment ref="K1" authorId="0" shapeId="0" xr:uid="{2D9C4B07-EF5B-4BA6-9B05-CD22F695EB7C}">
      <text>
        <r>
          <rPr>
            <b/>
            <sz val="10"/>
            <color indexed="81"/>
            <rFont val="Tahoma"/>
            <family val="2"/>
          </rPr>
          <t xml:space="preserve">IMPORTE DEL RECARGO DE EQUIVALENCIA </t>
        </r>
      </text>
    </comment>
    <comment ref="AB1" authorId="0" shapeId="0" xr:uid="{3FF80EF2-4BFF-4824-8D50-15C58607C3BA}">
      <text>
        <r>
          <rPr>
            <b/>
            <sz val="9"/>
            <color indexed="81"/>
            <rFont val="Tahoma"/>
            <family val="2"/>
          </rPr>
          <t xml:space="preserve">IMPORTE TOTAL FACTURA. </t>
        </r>
      </text>
    </comment>
    <comment ref="AC1" authorId="0" shapeId="0" xr:uid="{3A78CD2E-7C40-441A-A15F-6A3FAA55A6BF}">
      <text>
        <r>
          <rPr>
            <b/>
            <sz val="9"/>
            <color indexed="81"/>
            <rFont val="Tahoma"/>
            <family val="2"/>
          </rPr>
          <t>CUENTA CONTRAPARTIDA</t>
        </r>
      </text>
    </comment>
  </commentList>
</comments>
</file>

<file path=xl/sharedStrings.xml><?xml version="1.0" encoding="utf-8"?>
<sst xmlns="http://schemas.openxmlformats.org/spreadsheetml/2006/main" count="1488" uniqueCount="574">
  <si>
    <t>%IVA</t>
  </si>
  <si>
    <t>IMPORTE IVA</t>
  </si>
  <si>
    <t>BASE RETENCION</t>
  </si>
  <si>
    <t>NOMBRE</t>
  </si>
  <si>
    <t>PAIS</t>
  </si>
  <si>
    <t>FECHA</t>
  </si>
  <si>
    <t>CUENTA</t>
  </si>
  <si>
    <t>BASE</t>
  </si>
  <si>
    <t>NIF</t>
  </si>
  <si>
    <t>REG.</t>
  </si>
  <si>
    <t>DESCRIPCIÓN</t>
  </si>
  <si>
    <t>CONTRAPARTIDA</t>
  </si>
  <si>
    <t>PROVINCIA</t>
  </si>
  <si>
    <t>PAGO AUTOMATICO</t>
  </si>
  <si>
    <t>OPERACION ARRENDAMIENTO</t>
  </si>
  <si>
    <t>%IVA 2</t>
  </si>
  <si>
    <t>IMPORTE IVA 2</t>
  </si>
  <si>
    <t>%IVA 3</t>
  </si>
  <si>
    <t>IMPORTE IVA 3</t>
  </si>
  <si>
    <t>BASE 2</t>
  </si>
  <si>
    <t>BASE 3</t>
  </si>
  <si>
    <t>CONTRAPARTIDA 2</t>
  </si>
  <si>
    <t>CONTRAPARTIDA 3</t>
  </si>
  <si>
    <t>%REQ. EQUIV.</t>
  </si>
  <si>
    <t>IMPORTE REC. EQUIV.</t>
  </si>
  <si>
    <t>%REQ. EQUIV. 2</t>
  </si>
  <si>
    <t>IMPORTE REC. EQUIV. 2</t>
  </si>
  <si>
    <t>IMPORTE REC. EQUIV. 3</t>
  </si>
  <si>
    <t>%REQ. EQUIV. 3</t>
  </si>
  <si>
    <t>BASE RETENCION 2</t>
  </si>
  <si>
    <t>%RET</t>
  </si>
  <si>
    <t>%RET 2</t>
  </si>
  <si>
    <t>IMPORTE RET</t>
  </si>
  <si>
    <t>IMPORTE RET 2</t>
  </si>
  <si>
    <t>TOTAL FACTURA</t>
  </si>
  <si>
    <t>FORMA DE PAGO</t>
  </si>
  <si>
    <t>FECHA DE PAGO</t>
  </si>
  <si>
    <t>NOTAS</t>
  </si>
  <si>
    <t>TOTAL BASE:</t>
  </si>
  <si>
    <t>TOTAL FACTURA:</t>
  </si>
  <si>
    <t xml:space="preserve">                           </t>
  </si>
  <si>
    <t>250500118</t>
  </si>
  <si>
    <t>B09212275</t>
  </si>
  <si>
    <t>Acinesgon S.L.U.</t>
  </si>
  <si>
    <t>22</t>
  </si>
  <si>
    <t>B82293622</t>
  </si>
  <si>
    <t>Comercial de Chapa Cortada S.L.</t>
  </si>
  <si>
    <t>23</t>
  </si>
  <si>
    <t>61</t>
  </si>
  <si>
    <t>33</t>
  </si>
  <si>
    <t>B81004699</t>
  </si>
  <si>
    <t>Tubos Vega S.L.</t>
  </si>
  <si>
    <t>20250031</t>
  </si>
  <si>
    <t>A86000692</t>
  </si>
  <si>
    <t>Láser Levante S.A.</t>
  </si>
  <si>
    <t>750046</t>
  </si>
  <si>
    <t>B91185892</t>
  </si>
  <si>
    <t>Jannone Tubos S.L.</t>
  </si>
  <si>
    <t>750047</t>
  </si>
  <si>
    <t>750048</t>
  </si>
  <si>
    <t>CX/24/01062375</t>
  </si>
  <si>
    <t>A79707345</t>
  </si>
  <si>
    <t>Solred S.A.</t>
  </si>
  <si>
    <t>tarjeta 8516</t>
  </si>
  <si>
    <t>atrasada</t>
  </si>
  <si>
    <t>25-000.127</t>
  </si>
  <si>
    <t>B87419537</t>
  </si>
  <si>
    <t>Morlo e Hijos S.L.</t>
  </si>
  <si>
    <t>domiciliado</t>
  </si>
  <si>
    <t>2501C00790382</t>
  </si>
  <si>
    <t>A26106013</t>
  </si>
  <si>
    <t>Securitas Direct España</t>
  </si>
  <si>
    <t>001/25</t>
  </si>
  <si>
    <t>05244336Z</t>
  </si>
  <si>
    <t>José Luís Cortés Bañares</t>
  </si>
  <si>
    <t>transferencia</t>
  </si>
  <si>
    <t>1488717746</t>
  </si>
  <si>
    <t>A79380465</t>
  </si>
  <si>
    <t>Mercedes-Benz España S.A.U.</t>
  </si>
  <si>
    <t>73741/2025</t>
  </si>
  <si>
    <t>B85127629</t>
  </si>
  <si>
    <t>Grenke Rent S.L.</t>
  </si>
  <si>
    <t>*iva 0 - seguro alquiler</t>
  </si>
  <si>
    <t>37157/2025</t>
  </si>
  <si>
    <t>02/025</t>
  </si>
  <si>
    <t>C82649906</t>
  </si>
  <si>
    <t>José Luis Úbeda Sanz &amp; Cía S.R.C.</t>
  </si>
  <si>
    <t>alquiler nave</t>
  </si>
  <si>
    <t>2500117</t>
  </si>
  <si>
    <t>B78296753</t>
  </si>
  <si>
    <t>Recuperaciones Perez S.L.</t>
  </si>
  <si>
    <t>Aceros y Equipos S.L.</t>
  </si>
  <si>
    <t>2025 5</t>
  </si>
  <si>
    <t>25F00002</t>
  </si>
  <si>
    <t>B81373391</t>
  </si>
  <si>
    <t>Viedma Laso S.L.</t>
  </si>
  <si>
    <t>E10009412172-0125</t>
  </si>
  <si>
    <t>A82009812</t>
  </si>
  <si>
    <t>Orange Espagne S.A.U.</t>
  </si>
  <si>
    <t>620064</t>
  </si>
  <si>
    <t>B85539500</t>
  </si>
  <si>
    <t>Tubos y Accesorios de Conducción S.L.</t>
  </si>
  <si>
    <t>2500000096</t>
  </si>
  <si>
    <t>B82884727</t>
  </si>
  <si>
    <t>Cor Química S.L.</t>
  </si>
  <si>
    <t>FVR-250094</t>
  </si>
  <si>
    <t>A78595253</t>
  </si>
  <si>
    <t>Aceros URS S.A.</t>
  </si>
  <si>
    <t>7</t>
  </si>
  <si>
    <t>B20956132</t>
  </si>
  <si>
    <t>Garfios BIAK S.L.L.</t>
  </si>
  <si>
    <t>1M/2500171</t>
  </si>
  <si>
    <t>B11609856</t>
  </si>
  <si>
    <t>tarjeta 9073</t>
  </si>
  <si>
    <t>Rodamientos y Servicios S.L.U. - ROYSE</t>
  </si>
  <si>
    <t>B09035387</t>
  </si>
  <si>
    <t>2240097</t>
  </si>
  <si>
    <t>B78382702</t>
  </si>
  <si>
    <t>Arenaga S.L.</t>
  </si>
  <si>
    <t>750148</t>
  </si>
  <si>
    <t>750149</t>
  </si>
  <si>
    <t>750150</t>
  </si>
  <si>
    <t>584347</t>
  </si>
  <si>
    <t>A306118830</t>
  </si>
  <si>
    <t>Rejillas Electrosoldadas S.A.U.</t>
  </si>
  <si>
    <t>79</t>
  </si>
  <si>
    <t>83</t>
  </si>
  <si>
    <t>250016</t>
  </si>
  <si>
    <t>B28595759</t>
  </si>
  <si>
    <t>Comercial Andora Semanca S.L.</t>
  </si>
  <si>
    <t>35275</t>
  </si>
  <si>
    <t>B83080267</t>
  </si>
  <si>
    <t>Frío y Hotelería Técnica S.L. - FRIHOSTEC</t>
  </si>
  <si>
    <t>reforma baños</t>
  </si>
  <si>
    <t>YE2501EL00008933</t>
  </si>
  <si>
    <t>B66027731</t>
  </si>
  <si>
    <t>The Yellow Energy - NEXUS</t>
  </si>
  <si>
    <t>25-000.377</t>
  </si>
  <si>
    <t>*IVA 0</t>
  </si>
  <si>
    <t>24.087</t>
  </si>
  <si>
    <t>B36330975</t>
  </si>
  <si>
    <t>Vitivinicola San Miguel S.L.</t>
  </si>
  <si>
    <t>pagado 22/01/25</t>
  </si>
  <si>
    <t>8250004707</t>
  </si>
  <si>
    <t>Q2826004J</t>
  </si>
  <si>
    <t xml:space="preserve">FNMT-RCM </t>
  </si>
  <si>
    <t>TARJETA 8516</t>
  </si>
  <si>
    <t>F0900/0073606</t>
  </si>
  <si>
    <t>A28600278</t>
  </si>
  <si>
    <t>Ahorramas S.A.</t>
  </si>
  <si>
    <t>V-25-01-0530</t>
  </si>
  <si>
    <t>B93275394</t>
  </si>
  <si>
    <t>Plenoil S.L.</t>
  </si>
  <si>
    <t>pagado 12/10/25</t>
  </si>
  <si>
    <t>2501-096</t>
  </si>
  <si>
    <t>B56198328</t>
  </si>
  <si>
    <t>GMR S.L.</t>
  </si>
  <si>
    <t>20250058</t>
  </si>
  <si>
    <t>20250076</t>
  </si>
  <si>
    <t>21250116010451601</t>
  </si>
  <si>
    <t>A95758389</t>
  </si>
  <si>
    <t>Iberdrola Clientes S.A..</t>
  </si>
  <si>
    <t>20250088</t>
  </si>
  <si>
    <t>20250054</t>
  </si>
  <si>
    <t>139</t>
  </si>
  <si>
    <t>314.241</t>
  </si>
  <si>
    <t>B78839537</t>
  </si>
  <si>
    <t>Hierros y Tubos Lorca S.L.</t>
  </si>
  <si>
    <t>12500018</t>
  </si>
  <si>
    <t>B84772995</t>
  </si>
  <si>
    <t xml:space="preserve">Adimec Desarrollos Técnicos S.L. </t>
  </si>
  <si>
    <t>12500022</t>
  </si>
  <si>
    <t>12500020</t>
  </si>
  <si>
    <t>12500023</t>
  </si>
  <si>
    <t>25-001207</t>
  </si>
  <si>
    <t>A33610304</t>
  </si>
  <si>
    <t>Almacenes Delca S.A.</t>
  </si>
  <si>
    <t>2500654</t>
  </si>
  <si>
    <t>A58342775</t>
  </si>
  <si>
    <t>Comercial de Soldadura S.A.</t>
  </si>
  <si>
    <t>B009/2025</t>
  </si>
  <si>
    <t>B82056276</t>
  </si>
  <si>
    <t>Olaen Maquinaria S.L.</t>
  </si>
  <si>
    <t>PL25000012</t>
  </si>
  <si>
    <t>B72719578</t>
  </si>
  <si>
    <t>Plataforma Global del Sur S.L.U.</t>
  </si>
  <si>
    <t>25011</t>
  </si>
  <si>
    <t>B45081282</t>
  </si>
  <si>
    <t>Fercuse S.L.</t>
  </si>
  <si>
    <t>90769384</t>
  </si>
  <si>
    <t>A58391590</t>
  </si>
  <si>
    <t>Thyssenkrupp Materials Ibérica S.A.</t>
  </si>
  <si>
    <t>12500030</t>
  </si>
  <si>
    <t>128</t>
  </si>
  <si>
    <t>250037</t>
  </si>
  <si>
    <t>D25/66</t>
  </si>
  <si>
    <t>B74138157</t>
  </si>
  <si>
    <t>2025/250018</t>
  </si>
  <si>
    <t>B84322353</t>
  </si>
  <si>
    <t>PBTrans Group</t>
  </si>
  <si>
    <t>2024002</t>
  </si>
  <si>
    <t>47544442S</t>
  </si>
  <si>
    <t>Enrique Camacho Molano</t>
  </si>
  <si>
    <t>pagado 30/01/2025</t>
  </si>
  <si>
    <t>213</t>
  </si>
  <si>
    <t>20250026</t>
  </si>
  <si>
    <t>B81056814</t>
  </si>
  <si>
    <t>Cortes Levante S.L.</t>
  </si>
  <si>
    <t>20250033</t>
  </si>
  <si>
    <t>20250041</t>
  </si>
  <si>
    <t>5361</t>
  </si>
  <si>
    <t>B55445860</t>
  </si>
  <si>
    <t>Nakal Soluciones S.L.</t>
  </si>
  <si>
    <t>A7-000.011</t>
  </si>
  <si>
    <t>abono fac 25-000.377</t>
  </si>
  <si>
    <t>transerencia</t>
  </si>
  <si>
    <t>2025/026</t>
  </si>
  <si>
    <t>B86456035</t>
  </si>
  <si>
    <t>Mantenimientos Snooper S.L.</t>
  </si>
  <si>
    <t>2025005</t>
  </si>
  <si>
    <t>B85917359</t>
  </si>
  <si>
    <t>Ayllón Calderería S.L.</t>
  </si>
  <si>
    <t>004/25</t>
  </si>
  <si>
    <t>B84950971</t>
  </si>
  <si>
    <t>Sinerg Metal S.L.</t>
  </si>
  <si>
    <t>2500283</t>
  </si>
  <si>
    <t>*iva 10</t>
  </si>
  <si>
    <t>5250102</t>
  </si>
  <si>
    <t>B01267277</t>
  </si>
  <si>
    <t>Proveedora de Tubos Occidental S.L.</t>
  </si>
  <si>
    <t>168/25</t>
  </si>
  <si>
    <t>B83635805</t>
  </si>
  <si>
    <t>Orbe Laser S.L.</t>
  </si>
  <si>
    <t>653.375</t>
  </si>
  <si>
    <t>A80694821</t>
  </si>
  <si>
    <t>Sercables S.A.</t>
  </si>
  <si>
    <t>314914</t>
  </si>
  <si>
    <t>20250173</t>
  </si>
  <si>
    <t>25/01255</t>
  </si>
  <si>
    <t>A39012638</t>
  </si>
  <si>
    <t>Suministros Siderúrgicos Montañeses S.A.</t>
  </si>
  <si>
    <t>248</t>
  </si>
  <si>
    <t>307</t>
  </si>
  <si>
    <t>12500047</t>
  </si>
  <si>
    <t>B017/2025</t>
  </si>
  <si>
    <t>FV-25-00358</t>
  </si>
  <si>
    <t>B47571849</t>
  </si>
  <si>
    <t>Cortes Metalúrgicos Oviedo S.L.</t>
  </si>
  <si>
    <t>20250162</t>
  </si>
  <si>
    <t>20250151</t>
  </si>
  <si>
    <t>176</t>
  </si>
  <si>
    <t>A79026274</t>
  </si>
  <si>
    <t>Hierros Colmenar S.A.</t>
  </si>
  <si>
    <t>1101/25</t>
  </si>
  <si>
    <t>B31631062</t>
  </si>
  <si>
    <t>Laserebro S.L.</t>
  </si>
  <si>
    <t>25022</t>
  </si>
  <si>
    <t>A82912064</t>
  </si>
  <si>
    <t>Induolmasa S.A.</t>
  </si>
  <si>
    <t>2500057</t>
  </si>
  <si>
    <t>184</t>
  </si>
  <si>
    <t>750330</t>
  </si>
  <si>
    <t>2935</t>
  </si>
  <si>
    <t>14585083R</t>
  </si>
  <si>
    <t>Porfirio Sandonis Moreda</t>
  </si>
  <si>
    <t>25029</t>
  </si>
  <si>
    <t>B88060033</t>
  </si>
  <si>
    <t>Isomas Sistemas S.L.</t>
  </si>
  <si>
    <t>102</t>
  </si>
  <si>
    <t>B86794799</t>
  </si>
  <si>
    <t>Distribuidora de Galvanizado Madrileña S.L.</t>
  </si>
  <si>
    <t>22009</t>
  </si>
  <si>
    <t>B85162840</t>
  </si>
  <si>
    <t>Val Soluciones de Aplicaciones S.L.</t>
  </si>
  <si>
    <t>22028</t>
  </si>
  <si>
    <t>250015</t>
  </si>
  <si>
    <t>E84937366</t>
  </si>
  <si>
    <t>Sean Suministros Industriales C.B.</t>
  </si>
  <si>
    <t>51</t>
  </si>
  <si>
    <t>213639</t>
  </si>
  <si>
    <t>A59670828</t>
  </si>
  <si>
    <t>Jacquet Iberica S.A.</t>
  </si>
  <si>
    <t>471973701</t>
  </si>
  <si>
    <t>A08015646</t>
  </si>
  <si>
    <t>S.E. de Carburos Metalicos S.A.</t>
  </si>
  <si>
    <t>*iva 0</t>
  </si>
  <si>
    <t>22034</t>
  </si>
  <si>
    <t>Mallas Chapas y Complementos S.L.</t>
  </si>
  <si>
    <t>E10009503039-0225</t>
  </si>
  <si>
    <t>25/0433</t>
  </si>
  <si>
    <t>B50093939</t>
  </si>
  <si>
    <t>Manufacturas Fernández Pellicer S.L.</t>
  </si>
  <si>
    <t>22146</t>
  </si>
  <si>
    <t>pagada 07/02</t>
  </si>
  <si>
    <t>22170</t>
  </si>
  <si>
    <t>22172</t>
  </si>
  <si>
    <t>9077057</t>
  </si>
  <si>
    <t>thyssenkrupp Materials Iberica S.A.</t>
  </si>
  <si>
    <t>9077058</t>
  </si>
  <si>
    <t>750400</t>
  </si>
  <si>
    <t>20250254</t>
  </si>
  <si>
    <t>20250191</t>
  </si>
  <si>
    <t>20250018</t>
  </si>
  <si>
    <t>20250138</t>
  </si>
  <si>
    <t>20250212</t>
  </si>
  <si>
    <t>20250142</t>
  </si>
  <si>
    <t>25/00040</t>
  </si>
  <si>
    <t>B45882974</t>
  </si>
  <si>
    <t>Compresores Madrid S.L.U.</t>
  </si>
  <si>
    <t>20250069</t>
  </si>
  <si>
    <t>2502C00806687</t>
  </si>
  <si>
    <t>A5 645</t>
  </si>
  <si>
    <t>B83677435</t>
  </si>
  <si>
    <t>Gasoleos de Calefaccion y Locomoción S.L.</t>
  </si>
  <si>
    <t>tarjeta 9973</t>
  </si>
  <si>
    <t>1488833623</t>
  </si>
  <si>
    <t>25016549</t>
  </si>
  <si>
    <t>A86106838</t>
  </si>
  <si>
    <t>SG Equipment Finance Iberia, EFC, S.A.U.</t>
  </si>
  <si>
    <t>25007817</t>
  </si>
  <si>
    <t>2500129</t>
  </si>
  <si>
    <t>B86102936</t>
  </si>
  <si>
    <t>Técnicas de Embalajes de Madera S.L.U.</t>
  </si>
  <si>
    <t>110875/2025</t>
  </si>
  <si>
    <t>2</t>
  </si>
  <si>
    <t>B85587798</t>
  </si>
  <si>
    <t xml:space="preserve">Hostel Mireco S.L. - LA VELETA </t>
  </si>
  <si>
    <t>*IVA 10 - PAGO ENERO VELETA</t>
  </si>
  <si>
    <t>2500330</t>
  </si>
  <si>
    <t>A48578934</t>
  </si>
  <si>
    <t>Montero FyE S.A.</t>
  </si>
  <si>
    <t>238</t>
  </si>
  <si>
    <t>354</t>
  </si>
  <si>
    <t>25F00005</t>
  </si>
  <si>
    <t>FV-NV-25-001980</t>
  </si>
  <si>
    <t>250500945</t>
  </si>
  <si>
    <t>536891</t>
  </si>
  <si>
    <t>A01049725</t>
  </si>
  <si>
    <t>Zorelor S.A.</t>
  </si>
  <si>
    <t>331/25</t>
  </si>
  <si>
    <t>250087</t>
  </si>
  <si>
    <t>1773/25</t>
  </si>
  <si>
    <t>620437</t>
  </si>
  <si>
    <t>Tubos y Accesorios de Condución S.L.</t>
  </si>
  <si>
    <t>111337/2025</t>
  </si>
  <si>
    <t>B11411139</t>
  </si>
  <si>
    <t>Suministros Industriales Rame S.L.</t>
  </si>
  <si>
    <t>624745</t>
  </si>
  <si>
    <t>A78623394</t>
  </si>
  <si>
    <t>Cotain S.A.</t>
  </si>
  <si>
    <t>198/2025</t>
  </si>
  <si>
    <t>A81732760</t>
  </si>
  <si>
    <t>Iberbac S.A.L.</t>
  </si>
  <si>
    <t>143</t>
  </si>
  <si>
    <t>2501544</t>
  </si>
  <si>
    <t>Comercial de Soldadura S.A. - CODESOL</t>
  </si>
  <si>
    <t>*3 vto MAQUINA NUEVA</t>
  </si>
  <si>
    <t>8815</t>
  </si>
  <si>
    <t>02273910S</t>
  </si>
  <si>
    <t>Jose Manuel González Garrote - Extintores</t>
  </si>
  <si>
    <t>71889</t>
  </si>
  <si>
    <t>B83102822</t>
  </si>
  <si>
    <t>Hidraúlica Caboblanco e Hijos</t>
  </si>
  <si>
    <t>170</t>
  </si>
  <si>
    <t>Y1002949W</t>
  </si>
  <si>
    <t>Bogdan Gheorghe Ciurea</t>
  </si>
  <si>
    <t>294</t>
  </si>
  <si>
    <t>25/000028</t>
  </si>
  <si>
    <t>A28967552</t>
  </si>
  <si>
    <t>Engre S.A.</t>
  </si>
  <si>
    <t>FV-ANV-25-00132</t>
  </si>
  <si>
    <t>abono parcial fac 25-001980</t>
  </si>
  <si>
    <t>B86410339</t>
  </si>
  <si>
    <t>Fabory Spain S.L.U.</t>
  </si>
  <si>
    <t>925001691</t>
  </si>
  <si>
    <t>B-022/2025</t>
  </si>
  <si>
    <t>A-V2025-00000778291</t>
  </si>
  <si>
    <t>A46103834</t>
  </si>
  <si>
    <t>Mercadona S.A.</t>
  </si>
  <si>
    <t>512</t>
  </si>
  <si>
    <t>125003646</t>
  </si>
  <si>
    <t>A63207492</t>
  </si>
  <si>
    <t>LGAI Technological Center S.A. - APPLUS</t>
  </si>
  <si>
    <t>315.821</t>
  </si>
  <si>
    <t>Hierros y Tubos LORCA S.L.</t>
  </si>
  <si>
    <t>PL25000031</t>
  </si>
  <si>
    <t>2025/5</t>
  </si>
  <si>
    <t>02235583Y</t>
  </si>
  <si>
    <t>Miguel Ángel Santos Simón - FASALO</t>
  </si>
  <si>
    <t>1458</t>
  </si>
  <si>
    <t>1474</t>
  </si>
  <si>
    <t>REP-2500105</t>
  </si>
  <si>
    <t>B82960113</t>
  </si>
  <si>
    <t>Maquinaria Maidecar S.L.</t>
  </si>
  <si>
    <t>Minuta 01/24</t>
  </si>
  <si>
    <t>70047839M</t>
  </si>
  <si>
    <t>Jessica Garcia Ruiz</t>
  </si>
  <si>
    <t>pagado 16/02/2024</t>
  </si>
  <si>
    <t>25-003912</t>
  </si>
  <si>
    <t>2025 40</t>
  </si>
  <si>
    <t>B83803254</t>
  </si>
  <si>
    <t>Rodmientos y Complementos de Importación S.L.</t>
  </si>
  <si>
    <t>541</t>
  </si>
  <si>
    <t>20250265</t>
  </si>
  <si>
    <t>12500097</t>
  </si>
  <si>
    <t>Adimec Desarrollos Técnicos S.L.</t>
  </si>
  <si>
    <t>20250327</t>
  </si>
  <si>
    <t>365</t>
  </si>
  <si>
    <t>20250112</t>
  </si>
  <si>
    <t>437/28592025F</t>
  </si>
  <si>
    <t>A78343977</t>
  </si>
  <si>
    <t>General de Servicios ITV S.A.</t>
  </si>
  <si>
    <t>1980/25</t>
  </si>
  <si>
    <t>F75076935</t>
  </si>
  <si>
    <t>Caja Laboral Popular Coop de Crédito</t>
  </si>
  <si>
    <t>CONFIRMING TOAL 48363.38</t>
  </si>
  <si>
    <t>25/00026546</t>
  </si>
  <si>
    <t>011/25</t>
  </si>
  <si>
    <t>Jose Luis Cortes Bañares</t>
  </si>
  <si>
    <t>B-035/2025</t>
  </si>
  <si>
    <t>20250417</t>
  </si>
  <si>
    <t>316412</t>
  </si>
  <si>
    <t>20250392</t>
  </si>
  <si>
    <t>20250404</t>
  </si>
  <si>
    <t>20250408</t>
  </si>
  <si>
    <t>20250423</t>
  </si>
  <si>
    <t>20250424</t>
  </si>
  <si>
    <t>5474</t>
  </si>
  <si>
    <t>12/25</t>
  </si>
  <si>
    <t>52954324K</t>
  </si>
  <si>
    <t>David Santos Ramirez - Talleres santos</t>
  </si>
  <si>
    <t>2025016997</t>
  </si>
  <si>
    <t>B98844574</t>
  </si>
  <si>
    <t>ASPY Prevención S.L.U.</t>
  </si>
  <si>
    <t>664</t>
  </si>
  <si>
    <t>25FP000380</t>
  </si>
  <si>
    <t>A78805801</t>
  </si>
  <si>
    <t>Agopierdra S.A.</t>
  </si>
  <si>
    <t>5477-2025-00462157</t>
  </si>
  <si>
    <t>B86309460</t>
  </si>
  <si>
    <t>Costco wholesale Spain S.L.U.</t>
  </si>
  <si>
    <t>tarjeta 6048</t>
  </si>
  <si>
    <t>2215</t>
  </si>
  <si>
    <t>B88173323</t>
  </si>
  <si>
    <t>Meson Toledano</t>
  </si>
  <si>
    <t>tarjeta 5490</t>
  </si>
  <si>
    <t>5477-2025-00597238</t>
  </si>
  <si>
    <t>tarjet 6048</t>
  </si>
  <si>
    <t>182D2400016504</t>
  </si>
  <si>
    <t>B88641162</t>
  </si>
  <si>
    <t>Plenoil Canarias S.L.U.</t>
  </si>
  <si>
    <t>5477-2024-00705410</t>
  </si>
  <si>
    <t>5477-2024-00386672</t>
  </si>
  <si>
    <t>5477-2024-00436987</t>
  </si>
  <si>
    <t>5477-2025-00019447</t>
  </si>
  <si>
    <t>5477-2025-00011446</t>
  </si>
  <si>
    <t>5477-2025-00004622</t>
  </si>
  <si>
    <t>5477-2025-00592137</t>
  </si>
  <si>
    <t>5477-2025-00457312</t>
  </si>
  <si>
    <t>5477-2025-00587283</t>
  </si>
  <si>
    <t>5477-2025-00587300</t>
  </si>
  <si>
    <t>5477-2025-00592463</t>
  </si>
  <si>
    <t>2184</t>
  </si>
  <si>
    <t>1082/0003661</t>
  </si>
  <si>
    <t>2204</t>
  </si>
  <si>
    <t>454645</t>
  </si>
  <si>
    <t>B86509460</t>
  </si>
  <si>
    <t>5477-2025-00739427</t>
  </si>
  <si>
    <t>202D2500003235</t>
  </si>
  <si>
    <t>tarjeta 8034 - tomas</t>
  </si>
  <si>
    <t>202D2400037430</t>
  </si>
  <si>
    <t>tarjeta 9923 - tomas</t>
  </si>
  <si>
    <t>202D2400037995</t>
  </si>
  <si>
    <t>202D2500002448</t>
  </si>
  <si>
    <t>202D2500002971</t>
  </si>
  <si>
    <t>202D2500003683</t>
  </si>
  <si>
    <t>2117</t>
  </si>
  <si>
    <t>31941025/00000256</t>
  </si>
  <si>
    <t>B45810538</t>
  </si>
  <si>
    <t>Villeriche Oil S.L.</t>
  </si>
  <si>
    <t>5477-2024-00439294</t>
  </si>
  <si>
    <t>5477-2024-00436278</t>
  </si>
  <si>
    <t>5477-2024-00445197</t>
  </si>
  <si>
    <t>5477-2025-00453051</t>
  </si>
  <si>
    <t>5477-2024-00734333</t>
  </si>
  <si>
    <t>20250005</t>
  </si>
  <si>
    <t>FA/2500156</t>
  </si>
  <si>
    <t>46923520R</t>
  </si>
  <si>
    <t>Juan F. Delgado Garcia - TODO CAMION</t>
  </si>
  <si>
    <t>925001692</t>
  </si>
  <si>
    <t>25-003085</t>
  </si>
  <si>
    <t>111604/2025</t>
  </si>
  <si>
    <t>20250432</t>
  </si>
  <si>
    <t>20252451</t>
  </si>
  <si>
    <t>B82493529</t>
  </si>
  <si>
    <t>Clean Home S.L. - Proseylimp</t>
  </si>
  <si>
    <t>12500111</t>
  </si>
  <si>
    <t>632</t>
  </si>
  <si>
    <t>633</t>
  </si>
  <si>
    <t>136</t>
  </si>
  <si>
    <t>B86738648</t>
  </si>
  <si>
    <t>Fergoa Industrial XXI S.L.</t>
  </si>
  <si>
    <t>71984</t>
  </si>
  <si>
    <t>5250245</t>
  </si>
  <si>
    <t>250121</t>
  </si>
  <si>
    <t>2493</t>
  </si>
  <si>
    <t>B82064569</t>
  </si>
  <si>
    <t>Lacados Grema S.L.</t>
  </si>
  <si>
    <t>pagado 27/2/2025</t>
  </si>
  <si>
    <t>AGG-FV25/923</t>
  </si>
  <si>
    <t>B80322076</t>
  </si>
  <si>
    <t>Aceros Griñón S.L.</t>
  </si>
  <si>
    <t>12500117</t>
  </si>
  <si>
    <t>472084466</t>
  </si>
  <si>
    <t>FV-25-00767</t>
  </si>
  <si>
    <t>663</t>
  </si>
  <si>
    <t>FV-NV-25-004254</t>
  </si>
  <si>
    <t>9021033439</t>
  </si>
  <si>
    <t>A08457335</t>
  </si>
  <si>
    <t>Hastinik S.A.</t>
  </si>
  <si>
    <t>B-039/2025</t>
  </si>
  <si>
    <t>489/25</t>
  </si>
  <si>
    <t>2951</t>
  </si>
  <si>
    <t>2025/61</t>
  </si>
  <si>
    <t>25/02669</t>
  </si>
  <si>
    <t>25-02494</t>
  </si>
  <si>
    <t>B28326734</t>
  </si>
  <si>
    <t>Teminsa TMI S.L.</t>
  </si>
  <si>
    <t>434</t>
  </si>
  <si>
    <t>925682627</t>
  </si>
  <si>
    <t>Iberdrola Clientes S.A.U.</t>
  </si>
  <si>
    <t>25025380</t>
  </si>
  <si>
    <t>250034</t>
  </si>
  <si>
    <t>2502377</t>
  </si>
  <si>
    <t>250151</t>
  </si>
  <si>
    <t>2024017</t>
  </si>
  <si>
    <t>pagado 10/03/2025</t>
  </si>
  <si>
    <t>20250471</t>
  </si>
  <si>
    <t>20250463</t>
  </si>
  <si>
    <t>20250472</t>
  </si>
  <si>
    <t>20250470</t>
  </si>
  <si>
    <t>22292</t>
  </si>
  <si>
    <t>22299</t>
  </si>
  <si>
    <t>22294</t>
  </si>
  <si>
    <t>22307</t>
  </si>
  <si>
    <t>22368</t>
  </si>
  <si>
    <t>22370</t>
  </si>
  <si>
    <t>06/025</t>
  </si>
  <si>
    <t>04/025</t>
  </si>
  <si>
    <t>161805/2025</t>
  </si>
  <si>
    <t>20250492</t>
  </si>
  <si>
    <t>20250488</t>
  </si>
  <si>
    <t>20250493</t>
  </si>
  <si>
    <t>20250494</t>
  </si>
  <si>
    <t>20250495</t>
  </si>
  <si>
    <t>2500774</t>
  </si>
  <si>
    <t>25/00071</t>
  </si>
  <si>
    <t>*3 vtos MAQUINA NUEVA</t>
  </si>
  <si>
    <t>730929</t>
  </si>
  <si>
    <t>2503C00801713</t>
  </si>
  <si>
    <t>25038</t>
  </si>
  <si>
    <t>250770</t>
  </si>
  <si>
    <t>B79283982</t>
  </si>
  <si>
    <t>Contamar Asesores de Empresa S.L.</t>
  </si>
  <si>
    <t>250351</t>
  </si>
  <si>
    <t>250574</t>
  </si>
  <si>
    <t>250159</t>
  </si>
  <si>
    <t>90770750</t>
  </si>
  <si>
    <t>20250287</t>
  </si>
  <si>
    <t>20250422</t>
  </si>
  <si>
    <t>24</t>
  </si>
  <si>
    <t>10</t>
  </si>
  <si>
    <t>*IVA 10 - PAGO FEBRERO VELETA</t>
  </si>
  <si>
    <t>TARJETA 5490 -  6048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</si>
</sst>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_€_-;\-* #,##0.00\ _€_-;_-* &quot;-&quot;??\ _€_-;_-@_-"/>
  </numFmts>
  <fonts count="17">
    <font>
      <sz val="11"/>
      <color theme="1"/>
      <name val="Calibri"/>
      <family val="2"/>
      <scheme val="minor"/>
    </font>
    <font>
      <sz val="9"/>
      <color indexed="81"/>
      <name val="Tahoma"/>
      <family val="2"/>
    </font>
    <font>
      <sz val="10"/>
      <color indexed="81"/>
      <name val="Tahoma"/>
      <family val="2"/>
    </font>
    <font>
      <b/>
      <sz val="10"/>
      <color indexed="81"/>
      <name val="Tahoma"/>
      <family val="2"/>
    </font>
    <font>
      <b/>
      <sz val="9"/>
      <color indexed="81"/>
      <name val="Tahoma"/>
      <family val="2"/>
    </font>
    <font>
      <sz val="10"/>
      <color indexed="8"/>
      <name val="Arial"/>
      <family val="2"/>
    </font>
    <font>
      <sz val="10"/>
      <name val="Arial"/>
      <family val="2"/>
    </font>
    <font>
      <sz val="10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11"/>
      <color theme="1"/>
      <name val="Calibri (Cuerpo)"/>
    </font>
    <font>
      <sz val="8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BFBFBF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22">
    <xf numFmtId="0" fontId="0" fillId="0" borderId="0"/>
    <xf numFmtId="0" fontId="6" fillId="0" borderId="0"/>
    <xf numFmtId="0" fontId="5" fillId="0" borderId="0"/>
    <xf numFmtId="9" fontId="11" fillId="0" borderId="0" applyFon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</cellStyleXfs>
  <cellXfs count="66">
    <xf numFmtId="0" fontId="0" fillId="0" borderId="0" xfId="0"/>
    <xf numFmtId="0" fontId="7" fillId="0" borderId="0" xfId="0" applyFont="1" applyAlignment="1">
      <alignment horizontal="center" vertical="center" wrapText="1"/>
    </xf>
    <xf numFmtId="0" fontId="5" fillId="0" borderId="0" xfId="2" applyAlignment="1">
      <alignment wrapText="1"/>
    </xf>
    <xf numFmtId="49" fontId="0" fillId="0" borderId="0" xfId="0" applyNumberFormat="1" applyAlignment="1">
      <alignment horizontal="center"/>
    </xf>
    <xf numFmtId="49" fontId="0" fillId="0" borderId="0" xfId="0" applyNumberFormat="1"/>
    <xf numFmtId="49" fontId="0" fillId="0" borderId="0" xfId="0" applyNumberFormat="1" applyAlignment="1" applyProtection="1">
      <alignment horizontal="center"/>
      <protection locked="0"/>
    </xf>
    <xf numFmtId="0" fontId="5" fillId="4" borderId="0" xfId="2" applyFill="1" applyAlignment="1">
      <alignment wrapText="1"/>
    </xf>
    <xf numFmtId="49" fontId="0" fillId="4" borderId="0" xfId="0" applyNumberFormat="1" applyFill="1" applyAlignment="1">
      <alignment horizontal="center"/>
    </xf>
    <xf numFmtId="49" fontId="5" fillId="0" borderId="0" xfId="2" applyNumberFormat="1" applyAlignment="1">
      <alignment wrapText="1"/>
    </xf>
    <xf numFmtId="2" fontId="0" fillId="0" borderId="0" xfId="0" applyNumberFormat="1"/>
    <xf numFmtId="0" fontId="0" fillId="0" borderId="0" xfId="0" applyProtection="1">
      <protection locked="0"/>
    </xf>
    <xf numFmtId="4" fontId="5" fillId="0" borderId="0" xfId="2" applyNumberFormat="1" applyAlignment="1">
      <alignment horizontal="right" wrapText="1"/>
    </xf>
    <xf numFmtId="2" fontId="8" fillId="0" borderId="0" xfId="0" applyNumberFormat="1" applyFont="1"/>
    <xf numFmtId="0" fontId="8" fillId="0" borderId="0" xfId="0" applyFont="1"/>
    <xf numFmtId="49" fontId="0" fillId="4" borderId="1" xfId="0" applyNumberFormat="1" applyFill="1" applyBorder="1"/>
    <xf numFmtId="2" fontId="0" fillId="5" borderId="1" xfId="0" applyNumberFormat="1" applyFill="1" applyBorder="1"/>
    <xf numFmtId="2" fontId="0" fillId="4" borderId="1" xfId="0" applyNumberFormat="1" applyFill="1" applyBorder="1"/>
    <xf numFmtId="0" fontId="0" fillId="4" borderId="1" xfId="0" applyFill="1" applyBorder="1" applyProtection="1">
      <protection locked="0"/>
    </xf>
    <xf numFmtId="164" fontId="0" fillId="5" borderId="1" xfId="0" applyNumberFormat="1" applyFill="1" applyBorder="1"/>
    <xf numFmtId="0" fontId="0" fillId="4" borderId="1" xfId="0" applyFill="1" applyBorder="1"/>
    <xf numFmtId="164" fontId="8" fillId="5" borderId="1" xfId="0" applyNumberFormat="1" applyFont="1" applyFill="1" applyBorder="1"/>
    <xf numFmtId="0" fontId="9" fillId="2" borderId="1" xfId="0" applyFont="1" applyFill="1" applyBorder="1" applyAlignment="1">
      <alignment horizontal="center" vertical="center" wrapText="1"/>
    </xf>
    <xf numFmtId="49" fontId="9" fillId="2" borderId="1" xfId="0" applyNumberFormat="1" applyFont="1" applyFill="1" applyBorder="1" applyAlignment="1">
      <alignment horizontal="center" vertical="center" wrapText="1"/>
    </xf>
    <xf numFmtId="49" fontId="9" fillId="3" borderId="1" xfId="0" applyNumberFormat="1" applyFont="1" applyFill="1" applyBorder="1" applyAlignment="1">
      <alignment horizontal="center" vertical="center" wrapText="1"/>
    </xf>
    <xf numFmtId="0" fontId="9" fillId="3" borderId="1" xfId="0" applyFont="1" applyFill="1" applyBorder="1" applyAlignment="1">
      <alignment horizontal="center" vertical="center" wrapText="1"/>
    </xf>
    <xf numFmtId="14" fontId="0" fillId="4" borderId="1" xfId="0" applyNumberFormat="1" applyFill="1" applyBorder="1" applyAlignment="1">
      <alignment horizontal="center" vertical="center"/>
    </xf>
    <xf numFmtId="49" fontId="0" fillId="4" borderId="1" xfId="0" applyNumberFormat="1" applyFill="1" applyBorder="1" applyAlignment="1" applyProtection="1">
      <alignment horizontal="center" vertical="center"/>
      <protection locked="0"/>
    </xf>
    <xf numFmtId="14" fontId="0" fillId="0" borderId="0" xfId="0" applyNumberFormat="1" applyAlignment="1">
      <alignment horizontal="center" vertical="center"/>
    </xf>
    <xf numFmtId="49" fontId="0" fillId="0" borderId="0" xfId="0" applyNumberFormat="1" applyAlignment="1" applyProtection="1">
      <alignment horizontal="center" vertical="center"/>
      <protection locked="0"/>
    </xf>
    <xf numFmtId="0" fontId="0" fillId="0" borderId="0" xfId="0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9" fontId="0" fillId="4" borderId="1" xfId="0" applyNumberFormat="1" applyFill="1" applyBorder="1" applyAlignment="1">
      <alignment horizontal="center"/>
    </xf>
    <xf numFmtId="0" fontId="9" fillId="6" borderId="2" xfId="0" applyFont="1" applyFill="1" applyBorder="1" applyAlignment="1">
      <alignment horizontal="center" vertical="center" wrapText="1"/>
    </xf>
    <xf numFmtId="0" fontId="0" fillId="6" borderId="2" xfId="0" applyFill="1" applyBorder="1"/>
    <xf numFmtId="0" fontId="9" fillId="7" borderId="1" xfId="0" applyFont="1" applyFill="1" applyBorder="1" applyAlignment="1">
      <alignment horizontal="center" vertical="center" wrapText="1"/>
    </xf>
    <xf numFmtId="0" fontId="0" fillId="7" borderId="1" xfId="0" applyFill="1" applyBorder="1"/>
    <xf numFmtId="0" fontId="9" fillId="8" borderId="1" xfId="0" applyFont="1" applyFill="1" applyBorder="1" applyAlignment="1">
      <alignment horizontal="center" vertical="center" wrapText="1"/>
    </xf>
    <xf numFmtId="0" fontId="0" fillId="8" borderId="1" xfId="0" applyFill="1" applyBorder="1"/>
    <xf numFmtId="14" fontId="0" fillId="8" borderId="1" xfId="0" applyNumberFormat="1" applyFill="1" applyBorder="1"/>
    <xf numFmtId="0" fontId="10" fillId="6" borderId="2" xfId="0" applyFont="1" applyFill="1" applyBorder="1"/>
    <xf numFmtId="0" fontId="7" fillId="2" borderId="1" xfId="0" applyFont="1" applyFill="1" applyBorder="1" applyAlignment="1">
      <alignment horizontal="center" vertical="center" wrapText="1"/>
    </xf>
    <xf numFmtId="49" fontId="7" fillId="2" borderId="1" xfId="0" applyNumberFormat="1" applyFont="1" applyFill="1" applyBorder="1" applyAlignment="1">
      <alignment horizontal="center" vertical="center" wrapText="1"/>
    </xf>
    <xf numFmtId="49" fontId="7" fillId="3" borderId="1" xfId="0" applyNumberFormat="1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horizontal="center" vertical="center" wrapText="1"/>
    </xf>
    <xf numFmtId="14" fontId="0" fillId="0" borderId="0" xfId="0" applyNumberFormat="1"/>
    <xf numFmtId="14" fontId="0" fillId="4" borderId="1" xfId="0" applyNumberFormat="1" applyFill="1" applyBorder="1"/>
    <xf numFmtId="49" fontId="0" fillId="4" borderId="1" xfId="0" applyNumberFormat="1" applyFill="1" applyBorder="1" applyProtection="1">
      <protection locked="0"/>
    </xf>
    <xf numFmtId="0" fontId="0" fillId="0" borderId="1" xfId="0" applyBorder="1"/>
    <xf numFmtId="164" fontId="0" fillId="0" borderId="0" xfId="0" applyNumberFormat="1"/>
    <xf numFmtId="1" fontId="7" fillId="2" borderId="1" xfId="0" applyNumberFormat="1" applyFont="1" applyFill="1" applyBorder="1" applyAlignment="1">
      <alignment horizontal="center" vertical="center" wrapText="1"/>
    </xf>
    <xf numFmtId="2" fontId="10" fillId="0" borderId="0" xfId="0" applyNumberFormat="1" applyFont="1"/>
    <xf numFmtId="1" fontId="10" fillId="0" borderId="0" xfId="0" applyNumberFormat="1" applyFont="1"/>
    <xf numFmtId="0" fontId="10" fillId="0" borderId="0" xfId="0" applyFont="1"/>
    <xf numFmtId="1" fontId="0" fillId="0" borderId="0" xfId="0" applyNumberFormat="1"/>
    <xf numFmtId="1" fontId="0" fillId="4" borderId="1" xfId="3" applyNumberFormat="1" applyFont="1" applyFill="1" applyBorder="1" applyProtection="1">
      <protection locked="0"/>
    </xf>
    <xf numFmtId="1" fontId="0" fillId="4" borderId="1" xfId="0" applyNumberFormat="1" applyFill="1" applyBorder="1" applyProtection="1">
      <protection locked="0"/>
    </xf>
    <xf numFmtId="49" fontId="10" fillId="0" borderId="0" xfId="0" applyNumberFormat="1" applyFont="1" applyAlignment="1">
      <alignment horizontal="right"/>
    </xf>
    <xf numFmtId="4" fontId="0" fillId="4" borderId="1" xfId="0" applyNumberFormat="1" applyFill="1" applyBorder="1"/>
    <xf numFmtId="4" fontId="0" fillId="0" borderId="0" xfId="0" applyNumberFormat="1"/>
    <xf numFmtId="2" fontId="10" fillId="0" borderId="0" xfId="0" applyNumberFormat="1" applyFont="1" applyAlignment="1">
      <alignment horizontal="right"/>
    </xf>
    <xf numFmtId="4" fontId="8" fillId="0" borderId="0" xfId="0" applyNumberFormat="1" applyFont="1"/>
    <xf numFmtId="2" fontId="12" fillId="0" borderId="0" xfId="0" applyNumberFormat="1" applyFont="1"/>
    <xf numFmtId="14" fontId="9" fillId="8" borderId="1" xfId="0" applyNumberFormat="1" applyFont="1" applyFill="1" applyBorder="1" applyAlignment="1">
      <alignment horizontal="center" vertical="center" wrapText="1"/>
    </xf>
    <xf numFmtId="49" fontId="15" fillId="4" borderId="1" xfId="0" applyNumberFormat="1" applyFont="1" applyFill="1" applyBorder="1"/>
    <xf numFmtId="2" fontId="15" fillId="5" borderId="1" xfId="0" applyNumberFormat="1" applyFont="1" applyFill="1" applyBorder="1"/>
    <xf numFmtId="0" fontId="0" fillId="6" borderId="2" xfId="0" applyFill="1" applyBorder="1" applyAlignment="1">
      <alignment horizontal="center"/>
    </xf>
  </cellXfs>
  <cellStyles count="22">
    <cellStyle name="Hipervínculo" xfId="4" builtinId="8" hidden="1"/>
    <cellStyle name="Hipervínculo" xfId="6" builtinId="8" hidden="1"/>
    <cellStyle name="Hipervínculo" xfId="8" builtinId="8" hidden="1"/>
    <cellStyle name="Hipervínculo" xfId="10" builtinId="8" hidden="1"/>
    <cellStyle name="Hipervínculo" xfId="12" builtinId="8" hidden="1"/>
    <cellStyle name="Hipervínculo" xfId="14" builtinId="8" hidden="1"/>
    <cellStyle name="Hipervínculo" xfId="16" builtinId="8" hidden="1"/>
    <cellStyle name="Hipervínculo" xfId="18" builtinId="8" hidden="1"/>
    <cellStyle name="Hipervínculo" xfId="20" builtinId="8" hidden="1"/>
    <cellStyle name="Hipervínculo visitado" xfId="5" builtinId="9" hidden="1"/>
    <cellStyle name="Hipervínculo visitado" xfId="7" builtinId="9" hidden="1"/>
    <cellStyle name="Hipervínculo visitado" xfId="9" builtinId="9" hidden="1"/>
    <cellStyle name="Hipervínculo visitado" xfId="11" builtinId="9" hidden="1"/>
    <cellStyle name="Hipervínculo visitado" xfId="13" builtinId="9" hidden="1"/>
    <cellStyle name="Hipervínculo visitado" xfId="15" builtinId="9" hidden="1"/>
    <cellStyle name="Hipervínculo visitado" xfId="17" builtinId="9" hidden="1"/>
    <cellStyle name="Hipervínculo visitado" xfId="19" builtinId="9" hidden="1"/>
    <cellStyle name="Hipervínculo visitado" xfId="21" builtinId="9" hidden="1"/>
    <cellStyle name="Normal" xfId="0" builtinId="0"/>
    <cellStyle name="Normal 2" xfId="1" xr:uid="{00000000-0005-0000-0000-000013000000}"/>
    <cellStyle name="Normal_Hoja1_1" xfId="2" xr:uid="{00000000-0005-0000-0000-000014000000}"/>
    <cellStyle name="Porcentaje" xfId="3" builtinId="5"/>
  </cellStyles>
  <dxfs count="56"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rgb="FFFFC000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rgb="FFFFC000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rgb="FFFFC000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rgb="FFFFC000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rgb="FFFFC000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rgb="FFFFC000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rgb="FFFFC000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rgb="FFFFC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1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8.xml"/><Relationship Id="rId2" Type="http://schemas.openxmlformats.org/officeDocument/2006/relationships/vmlDrawing" Target="../drawings/vmlDrawing8.vml"/><Relationship Id="rId1" Type="http://schemas.openxmlformats.org/officeDocument/2006/relationships/printerSettings" Target="../printerSettings/printerSettings2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comments" Target="../comments9.xml"/><Relationship Id="rId1" Type="http://schemas.openxmlformats.org/officeDocument/2006/relationships/vmlDrawing" Target="../drawings/vmlDrawing9.v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10.xml"/><Relationship Id="rId1" Type="http://schemas.openxmlformats.org/officeDocument/2006/relationships/vmlDrawing" Target="../drawings/vmlDrawing10.v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1.xml"/><Relationship Id="rId1" Type="http://schemas.openxmlformats.org/officeDocument/2006/relationships/vmlDrawing" Target="../drawings/vmlDrawing11.v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2.xml"/><Relationship Id="rId1" Type="http://schemas.openxmlformats.org/officeDocument/2006/relationships/vmlDrawing" Target="../drawings/vmlDrawing1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>
    <pageSetUpPr fitToPage="1"/>
  </sheetPr>
  <dimension ref="A1:AL161"/>
  <sheetViews>
    <sheetView zoomScale="80" zoomScaleNormal="80" zoomScalePageLayoutView="110" workbookViewId="0">
      <pane ySplit="1" topLeftCell="A83" activePane="bottomLeft" state="frozen"/>
      <selection pane="bottomLeft" activeCell="D104" sqref="D104:E104"/>
    </sheetView>
  </sheetViews>
  <sheetFormatPr baseColWidth="10" defaultColWidth="11.42578125" defaultRowHeight="15"/>
  <cols>
    <col min="1" max="1" width="12.85546875" style="29" bestFit="1" customWidth="1"/>
    <col min="2" max="2" width="20.42578125" style="30" bestFit="1" customWidth="1"/>
    <col min="3" max="3" width="13.42578125" style="4" hidden="1" customWidth="1"/>
    <col min="4" max="4" width="15.85546875" style="3" bestFit="1" customWidth="1"/>
    <col min="5" max="5" width="49.42578125" style="4" bestFit="1" customWidth="1"/>
    <col min="6" max="6" width="66" style="4" bestFit="1" customWidth="1"/>
    <col min="7" max="7" width="10.85546875" customWidth="1"/>
    <col min="8" max="8" width="7.7109375" customWidth="1"/>
    <col min="10" max="10" width="6.7109375" hidden="1" customWidth="1"/>
    <col min="11" max="11" width="11.7109375" hidden="1" customWidth="1"/>
    <col min="12" max="12" width="9.28515625" bestFit="1" customWidth="1"/>
    <col min="13" max="13" width="6.7109375" bestFit="1" customWidth="1"/>
    <col min="14" max="14" width="12.140625" customWidth="1"/>
    <col min="15" max="15" width="8.7109375" bestFit="1" customWidth="1"/>
    <col min="16" max="16" width="12.140625" bestFit="1" customWidth="1"/>
    <col min="17" max="18" width="6.42578125" hidden="1" customWidth="1"/>
    <col min="19" max="19" width="8" hidden="1" customWidth="1"/>
    <col min="20" max="20" width="8.7109375" hidden="1" customWidth="1"/>
    <col min="21" max="21" width="10.7109375" hidden="1" customWidth="1"/>
    <col min="22" max="22" width="11.7109375" customWidth="1"/>
    <col min="23" max="23" width="6.140625" customWidth="1"/>
    <col min="24" max="24" width="13.28515625" customWidth="1"/>
    <col min="25" max="25" width="11.7109375" hidden="1" customWidth="1"/>
    <col min="26" max="26" width="5.42578125" hidden="1" customWidth="1"/>
    <col min="27" max="27" width="8.42578125" hidden="1" customWidth="1"/>
    <col min="28" max="28" width="12.7109375" bestFit="1" customWidth="1"/>
    <col min="29" max="29" width="14.7109375" hidden="1" customWidth="1"/>
    <col min="30" max="30" width="16.140625" hidden="1" customWidth="1"/>
    <col min="31" max="31" width="16.140625" style="3" hidden="1" customWidth="1"/>
    <col min="32" max="32" width="4.42578125" style="3" hidden="1" customWidth="1"/>
    <col min="33" max="33" width="9.85546875" style="3" hidden="1" customWidth="1"/>
    <col min="34" max="34" width="12" style="4" hidden="1" customWidth="1"/>
    <col min="35" max="35" width="15.42578125" hidden="1" customWidth="1"/>
    <col min="36" max="36" width="26.42578125" bestFit="1" customWidth="1"/>
    <col min="37" max="37" width="21.42578125" bestFit="1" customWidth="1"/>
    <col min="38" max="38" width="14.140625" style="44" customWidth="1"/>
  </cols>
  <sheetData>
    <row r="1" spans="1:38" s="1" customFormat="1" ht="38.25" customHeight="1">
      <c r="A1" s="21" t="s">
        <v>5</v>
      </c>
      <c r="B1" s="22" t="s">
        <v>9</v>
      </c>
      <c r="C1" s="22" t="s">
        <v>6</v>
      </c>
      <c r="D1" s="22" t="s">
        <v>8</v>
      </c>
      <c r="E1" s="22" t="s">
        <v>3</v>
      </c>
      <c r="F1" s="22" t="s">
        <v>10</v>
      </c>
      <c r="G1" s="21" t="s">
        <v>7</v>
      </c>
      <c r="H1" s="21" t="s">
        <v>0</v>
      </c>
      <c r="I1" s="21" t="s">
        <v>1</v>
      </c>
      <c r="J1" s="21" t="s">
        <v>23</v>
      </c>
      <c r="K1" s="21" t="s">
        <v>24</v>
      </c>
      <c r="L1" s="21" t="s">
        <v>19</v>
      </c>
      <c r="M1" s="21" t="s">
        <v>15</v>
      </c>
      <c r="N1" s="21" t="s">
        <v>16</v>
      </c>
      <c r="O1" s="21" t="s">
        <v>25</v>
      </c>
      <c r="P1" s="21" t="s">
        <v>26</v>
      </c>
      <c r="Q1" s="21" t="s">
        <v>20</v>
      </c>
      <c r="R1" s="21" t="s">
        <v>17</v>
      </c>
      <c r="S1" s="21" t="s">
        <v>18</v>
      </c>
      <c r="T1" s="21" t="s">
        <v>28</v>
      </c>
      <c r="U1" s="21" t="s">
        <v>27</v>
      </c>
      <c r="V1" s="21" t="s">
        <v>2</v>
      </c>
      <c r="W1" s="21" t="s">
        <v>30</v>
      </c>
      <c r="X1" s="21" t="s">
        <v>32</v>
      </c>
      <c r="Y1" s="21" t="s">
        <v>29</v>
      </c>
      <c r="Z1" s="21" t="s">
        <v>31</v>
      </c>
      <c r="AA1" s="21" t="s">
        <v>33</v>
      </c>
      <c r="AB1" s="21" t="s">
        <v>34</v>
      </c>
      <c r="AC1" s="22" t="s">
        <v>11</v>
      </c>
      <c r="AD1" s="22" t="s">
        <v>21</v>
      </c>
      <c r="AE1" s="22" t="s">
        <v>22</v>
      </c>
      <c r="AF1" s="22" t="s">
        <v>4</v>
      </c>
      <c r="AG1" s="22" t="s">
        <v>12</v>
      </c>
      <c r="AH1" s="23" t="s">
        <v>13</v>
      </c>
      <c r="AI1" s="24" t="s">
        <v>14</v>
      </c>
      <c r="AJ1" s="32" t="s">
        <v>37</v>
      </c>
      <c r="AK1" s="34" t="s">
        <v>35</v>
      </c>
      <c r="AL1" s="62"/>
    </row>
    <row r="2" spans="1:38" ht="17.25" customHeight="1">
      <c r="A2" s="25">
        <v>45464</v>
      </c>
      <c r="B2" s="26" t="s">
        <v>116</v>
      </c>
      <c r="C2" s="14"/>
      <c r="D2" s="31" t="s">
        <v>117</v>
      </c>
      <c r="E2" s="14" t="s">
        <v>118</v>
      </c>
      <c r="F2" s="15" t="str">
        <f t="shared" ref="F2:F33" si="0">"S/F "&amp;B2&amp;" "&amp;E2</f>
        <v>S/F 2240097 Arenaga S.L.</v>
      </c>
      <c r="G2" s="16">
        <v>67</v>
      </c>
      <c r="H2" s="17">
        <v>21</v>
      </c>
      <c r="I2" s="18">
        <f t="shared" ref="I2:I33" si="1">+IF(G2&lt;&gt;0,G2*H2/100,0)</f>
        <v>14.07</v>
      </c>
      <c r="J2" s="17"/>
      <c r="K2" s="18"/>
      <c r="L2" s="16"/>
      <c r="M2" s="17"/>
      <c r="N2" s="18">
        <f t="shared" ref="N2:N33" si="2">+IF(L2&lt;&gt;0,L2*M2/100,0)</f>
        <v>0</v>
      </c>
      <c r="O2" s="19"/>
      <c r="P2" s="18"/>
      <c r="Q2" s="16"/>
      <c r="R2" s="17"/>
      <c r="S2" s="18"/>
      <c r="T2" s="19"/>
      <c r="U2" s="18"/>
      <c r="V2" s="16"/>
      <c r="W2" s="17"/>
      <c r="X2" s="18">
        <f t="shared" ref="X2:X33" si="3">+IF(W2&lt;&gt;0,V2*W2/100,0)</f>
        <v>0</v>
      </c>
      <c r="Y2" s="19"/>
      <c r="Z2" s="19"/>
      <c r="AA2" s="18"/>
      <c r="AB2" s="20">
        <f t="shared" ref="AB2:AB33" si="4">+G2+I2+K2+L2+N2+P2+Q2+S2+U2-X2-AA2</f>
        <v>81.069999999999993</v>
      </c>
      <c r="AC2" s="5"/>
      <c r="AD2" s="8"/>
      <c r="AF2" s="6"/>
      <c r="AG2" s="7"/>
      <c r="AJ2" s="33" t="s">
        <v>64</v>
      </c>
      <c r="AK2" s="35"/>
      <c r="AL2" s="38"/>
    </row>
    <row r="3" spans="1:38" ht="17.25" customHeight="1">
      <c r="A3" s="25">
        <v>45657</v>
      </c>
      <c r="B3" s="26" t="s">
        <v>60</v>
      </c>
      <c r="C3" s="14"/>
      <c r="D3" s="31" t="s">
        <v>61</v>
      </c>
      <c r="E3" s="14" t="s">
        <v>62</v>
      </c>
      <c r="F3" s="15" t="str">
        <f t="shared" si="0"/>
        <v>S/F CX/24/01062375 Solred S.A.</v>
      </c>
      <c r="G3" s="16">
        <v>52.07</v>
      </c>
      <c r="H3" s="17">
        <v>21</v>
      </c>
      <c r="I3" s="18">
        <f t="shared" si="1"/>
        <v>10.934699999999999</v>
      </c>
      <c r="J3" s="17"/>
      <c r="K3" s="18"/>
      <c r="L3" s="16"/>
      <c r="M3" s="17"/>
      <c r="N3" s="18">
        <f t="shared" si="2"/>
        <v>0</v>
      </c>
      <c r="O3" s="19"/>
      <c r="P3" s="18"/>
      <c r="Q3" s="16"/>
      <c r="R3" s="17"/>
      <c r="S3" s="18"/>
      <c r="T3" s="19"/>
      <c r="U3" s="18"/>
      <c r="V3" s="16"/>
      <c r="W3" s="17"/>
      <c r="X3" s="18">
        <f t="shared" si="3"/>
        <v>0</v>
      </c>
      <c r="Y3" s="19"/>
      <c r="Z3" s="19"/>
      <c r="AA3" s="18"/>
      <c r="AB3" s="20">
        <f t="shared" si="4"/>
        <v>63.0047</v>
      </c>
      <c r="AC3" s="5"/>
      <c r="AD3" s="8"/>
      <c r="AF3" s="6"/>
      <c r="AG3" s="7"/>
      <c r="AJ3" s="33" t="s">
        <v>64</v>
      </c>
      <c r="AK3" s="35" t="s">
        <v>63</v>
      </c>
      <c r="AL3" s="38"/>
    </row>
    <row r="4" spans="1:38" ht="17.25" customHeight="1">
      <c r="A4" s="25">
        <v>45657</v>
      </c>
      <c r="B4" s="26" t="s">
        <v>139</v>
      </c>
      <c r="C4" s="14"/>
      <c r="D4" s="31" t="s">
        <v>140</v>
      </c>
      <c r="E4" s="14" t="s">
        <v>141</v>
      </c>
      <c r="F4" s="15" t="str">
        <f t="shared" si="0"/>
        <v>S/F 24.087 Vitivinicola San Miguel S.L.</v>
      </c>
      <c r="G4" s="16">
        <v>1115</v>
      </c>
      <c r="H4" s="17">
        <v>21</v>
      </c>
      <c r="I4" s="18">
        <f t="shared" si="1"/>
        <v>234.15</v>
      </c>
      <c r="J4" s="17"/>
      <c r="K4" s="18"/>
      <c r="L4" s="16"/>
      <c r="M4" s="17"/>
      <c r="N4" s="18">
        <f t="shared" si="2"/>
        <v>0</v>
      </c>
      <c r="O4" s="19"/>
      <c r="P4" s="18"/>
      <c r="Q4" s="16"/>
      <c r="R4" s="17"/>
      <c r="S4" s="18"/>
      <c r="T4" s="19"/>
      <c r="U4" s="18"/>
      <c r="V4" s="16"/>
      <c r="W4" s="17"/>
      <c r="X4" s="18">
        <f t="shared" si="3"/>
        <v>0</v>
      </c>
      <c r="Y4" s="19"/>
      <c r="Z4" s="19"/>
      <c r="AA4" s="18"/>
      <c r="AB4" s="20">
        <f t="shared" si="4"/>
        <v>1349.15</v>
      </c>
      <c r="AC4" s="5"/>
      <c r="AD4" s="8"/>
      <c r="AF4" s="6"/>
      <c r="AG4" s="7"/>
      <c r="AJ4" s="33" t="s">
        <v>142</v>
      </c>
      <c r="AK4" s="35" t="s">
        <v>75</v>
      </c>
      <c r="AL4" s="38"/>
    </row>
    <row r="5" spans="1:38" ht="17.25" customHeight="1">
      <c r="A5" s="25">
        <v>45658</v>
      </c>
      <c r="B5" s="26" t="s">
        <v>83</v>
      </c>
      <c r="C5" s="14"/>
      <c r="D5" s="31" t="s">
        <v>80</v>
      </c>
      <c r="E5" s="14" t="s">
        <v>81</v>
      </c>
      <c r="F5" s="15" t="str">
        <f t="shared" si="0"/>
        <v>S/F 37157/2025 Grenke Rent S.L.</v>
      </c>
      <c r="G5" s="16">
        <v>53.7</v>
      </c>
      <c r="H5" s="17">
        <v>21</v>
      </c>
      <c r="I5" s="18">
        <f t="shared" si="1"/>
        <v>11.277000000000001</v>
      </c>
      <c r="J5" s="17"/>
      <c r="K5" s="18"/>
      <c r="L5" s="16"/>
      <c r="M5" s="17"/>
      <c r="N5" s="18">
        <f t="shared" si="2"/>
        <v>0</v>
      </c>
      <c r="O5" s="19"/>
      <c r="P5" s="18"/>
      <c r="Q5" s="16"/>
      <c r="R5" s="17"/>
      <c r="S5" s="18"/>
      <c r="T5" s="19"/>
      <c r="U5" s="18"/>
      <c r="V5" s="16"/>
      <c r="W5" s="17"/>
      <c r="X5" s="18">
        <f t="shared" si="3"/>
        <v>0</v>
      </c>
      <c r="Y5" s="19"/>
      <c r="Z5" s="19"/>
      <c r="AA5" s="18"/>
      <c r="AB5" s="20">
        <f t="shared" si="4"/>
        <v>64.977000000000004</v>
      </c>
      <c r="AC5" s="5"/>
      <c r="AD5" s="8"/>
      <c r="AF5" s="6"/>
      <c r="AG5" s="7"/>
      <c r="AJ5" s="33"/>
      <c r="AK5" s="35" t="s">
        <v>68</v>
      </c>
      <c r="AL5" s="38"/>
    </row>
    <row r="6" spans="1:38" ht="17.25" customHeight="1">
      <c r="A6" s="25">
        <v>45658</v>
      </c>
      <c r="B6" s="26" t="s">
        <v>79</v>
      </c>
      <c r="C6" s="14"/>
      <c r="D6" s="31" t="s">
        <v>80</v>
      </c>
      <c r="E6" s="14" t="s">
        <v>81</v>
      </c>
      <c r="F6" s="15" t="str">
        <f t="shared" si="0"/>
        <v>S/F 73741/2025 Grenke Rent S.L.</v>
      </c>
      <c r="G6" s="16">
        <v>96</v>
      </c>
      <c r="H6" s="17">
        <v>0</v>
      </c>
      <c r="I6" s="18">
        <f t="shared" si="1"/>
        <v>0</v>
      </c>
      <c r="J6" s="17"/>
      <c r="K6" s="18"/>
      <c r="L6" s="16"/>
      <c r="M6" s="17"/>
      <c r="N6" s="18">
        <f t="shared" si="2"/>
        <v>0</v>
      </c>
      <c r="O6" s="19"/>
      <c r="P6" s="18"/>
      <c r="Q6" s="16"/>
      <c r="R6" s="17"/>
      <c r="S6" s="18"/>
      <c r="T6" s="19"/>
      <c r="U6" s="18"/>
      <c r="V6" s="16"/>
      <c r="W6" s="17"/>
      <c r="X6" s="18">
        <f t="shared" si="3"/>
        <v>0</v>
      </c>
      <c r="Y6" s="19"/>
      <c r="Z6" s="19"/>
      <c r="AA6" s="18"/>
      <c r="AB6" s="20">
        <f t="shared" si="4"/>
        <v>96</v>
      </c>
      <c r="AC6" s="5"/>
      <c r="AD6" s="8"/>
      <c r="AF6" s="6"/>
      <c r="AG6" s="7"/>
      <c r="AJ6" s="33" t="s">
        <v>82</v>
      </c>
      <c r="AK6" s="35" t="s">
        <v>68</v>
      </c>
      <c r="AL6" s="38"/>
    </row>
    <row r="7" spans="1:38" ht="17.25" customHeight="1">
      <c r="A7" s="25">
        <v>45658</v>
      </c>
      <c r="B7" s="26" t="s">
        <v>72</v>
      </c>
      <c r="C7" s="14"/>
      <c r="D7" s="31" t="s">
        <v>73</v>
      </c>
      <c r="E7" s="14" t="s">
        <v>74</v>
      </c>
      <c r="F7" s="15" t="str">
        <f t="shared" si="0"/>
        <v>S/F 001/25 José Luís Cortés Bañares</v>
      </c>
      <c r="G7" s="16">
        <v>100</v>
      </c>
      <c r="H7" s="17">
        <v>21</v>
      </c>
      <c r="I7" s="18">
        <f t="shared" si="1"/>
        <v>21</v>
      </c>
      <c r="J7" s="17"/>
      <c r="K7" s="18"/>
      <c r="L7" s="16"/>
      <c r="M7" s="17"/>
      <c r="N7" s="18">
        <f t="shared" si="2"/>
        <v>0</v>
      </c>
      <c r="O7" s="19"/>
      <c r="P7" s="18"/>
      <c r="Q7" s="16"/>
      <c r="R7" s="17"/>
      <c r="S7" s="18"/>
      <c r="T7" s="19"/>
      <c r="U7" s="18"/>
      <c r="V7" s="16"/>
      <c r="W7" s="17"/>
      <c r="X7" s="18">
        <f t="shared" si="3"/>
        <v>0</v>
      </c>
      <c r="Y7" s="19"/>
      <c r="Z7" s="19"/>
      <c r="AA7" s="18"/>
      <c r="AB7" s="20">
        <f t="shared" si="4"/>
        <v>121</v>
      </c>
      <c r="AC7" s="5"/>
      <c r="AD7" s="8"/>
      <c r="AF7" s="6"/>
      <c r="AG7" s="7"/>
      <c r="AJ7" s="33"/>
      <c r="AK7" s="35" t="s">
        <v>75</v>
      </c>
      <c r="AL7" s="38"/>
    </row>
    <row r="8" spans="1:38" ht="17.25" customHeight="1">
      <c r="A8" s="25">
        <v>45658</v>
      </c>
      <c r="B8" s="26" t="s">
        <v>65</v>
      </c>
      <c r="C8" s="14"/>
      <c r="D8" s="31" t="s">
        <v>66</v>
      </c>
      <c r="E8" s="14" t="s">
        <v>67</v>
      </c>
      <c r="F8" s="15" t="str">
        <f t="shared" si="0"/>
        <v>S/F 25-000.127 Morlo e Hijos S.L.</v>
      </c>
      <c r="G8" s="16">
        <v>120</v>
      </c>
      <c r="H8" s="17">
        <v>10</v>
      </c>
      <c r="I8" s="18">
        <f t="shared" si="1"/>
        <v>12</v>
      </c>
      <c r="J8" s="17"/>
      <c r="K8" s="18"/>
      <c r="L8" s="16"/>
      <c r="M8" s="17"/>
      <c r="N8" s="18">
        <f t="shared" si="2"/>
        <v>0</v>
      </c>
      <c r="O8" s="19"/>
      <c r="P8" s="18"/>
      <c r="Q8" s="16"/>
      <c r="R8" s="17"/>
      <c r="S8" s="18"/>
      <c r="T8" s="19"/>
      <c r="U8" s="18"/>
      <c r="V8" s="16"/>
      <c r="W8" s="17"/>
      <c r="X8" s="18">
        <f t="shared" si="3"/>
        <v>0</v>
      </c>
      <c r="Y8" s="19"/>
      <c r="Z8" s="19"/>
      <c r="AA8" s="18"/>
      <c r="AB8" s="20">
        <f t="shared" si="4"/>
        <v>132</v>
      </c>
      <c r="AC8" s="5"/>
      <c r="AD8" s="8"/>
      <c r="AF8" s="6"/>
      <c r="AG8" s="7"/>
      <c r="AJ8" s="33" t="s">
        <v>285</v>
      </c>
      <c r="AK8" s="35" t="s">
        <v>68</v>
      </c>
      <c r="AL8" s="38"/>
    </row>
    <row r="9" spans="1:38" ht="17.25" customHeight="1">
      <c r="A9" s="25">
        <v>45658</v>
      </c>
      <c r="B9" s="26" t="s">
        <v>69</v>
      </c>
      <c r="C9" s="14"/>
      <c r="D9" s="31" t="s">
        <v>70</v>
      </c>
      <c r="E9" s="14" t="s">
        <v>71</v>
      </c>
      <c r="F9" s="15" t="str">
        <f t="shared" si="0"/>
        <v>S/F 2501C00790382 Securitas Direct España</v>
      </c>
      <c r="G9" s="16">
        <v>47.82</v>
      </c>
      <c r="H9" s="17">
        <v>21</v>
      </c>
      <c r="I9" s="18">
        <f t="shared" si="1"/>
        <v>10.042200000000001</v>
      </c>
      <c r="J9" s="17"/>
      <c r="K9" s="18"/>
      <c r="L9" s="16"/>
      <c r="M9" s="17"/>
      <c r="N9" s="18">
        <f t="shared" si="2"/>
        <v>0</v>
      </c>
      <c r="O9" s="19"/>
      <c r="P9" s="18"/>
      <c r="Q9" s="16"/>
      <c r="R9" s="17"/>
      <c r="S9" s="18"/>
      <c r="T9" s="19"/>
      <c r="U9" s="18"/>
      <c r="V9" s="16"/>
      <c r="W9" s="17"/>
      <c r="X9" s="18">
        <f t="shared" si="3"/>
        <v>0</v>
      </c>
      <c r="Y9" s="19"/>
      <c r="Z9" s="19"/>
      <c r="AA9" s="18"/>
      <c r="AB9" s="20">
        <f t="shared" si="4"/>
        <v>57.862200000000001</v>
      </c>
      <c r="AC9" s="5"/>
      <c r="AD9" s="8"/>
      <c r="AF9" s="6"/>
      <c r="AG9" s="7"/>
      <c r="AJ9" s="33"/>
      <c r="AK9" s="35" t="s">
        <v>68</v>
      </c>
      <c r="AL9" s="38"/>
    </row>
    <row r="10" spans="1:38" ht="17.25" customHeight="1">
      <c r="A10" s="25">
        <v>45659</v>
      </c>
      <c r="B10" s="26" t="s">
        <v>200</v>
      </c>
      <c r="C10" s="14"/>
      <c r="D10" s="31" t="s">
        <v>201</v>
      </c>
      <c r="E10" s="14" t="s">
        <v>202</v>
      </c>
      <c r="F10" s="15" t="str">
        <f t="shared" si="0"/>
        <v>S/F 2024002 Enrique Camacho Molano</v>
      </c>
      <c r="G10" s="16">
        <v>1725</v>
      </c>
      <c r="H10" s="17">
        <v>21</v>
      </c>
      <c r="I10" s="18">
        <f t="shared" si="1"/>
        <v>362.25</v>
      </c>
      <c r="J10" s="17"/>
      <c r="K10" s="18"/>
      <c r="L10" s="16"/>
      <c r="M10" s="17"/>
      <c r="N10" s="18">
        <f t="shared" si="2"/>
        <v>0</v>
      </c>
      <c r="O10" s="19"/>
      <c r="P10" s="18"/>
      <c r="Q10" s="16"/>
      <c r="R10" s="17"/>
      <c r="S10" s="18"/>
      <c r="T10" s="19"/>
      <c r="U10" s="18"/>
      <c r="V10" s="16"/>
      <c r="W10" s="17"/>
      <c r="X10" s="18">
        <f t="shared" si="3"/>
        <v>0</v>
      </c>
      <c r="Y10" s="19"/>
      <c r="Z10" s="19"/>
      <c r="AA10" s="18"/>
      <c r="AB10" s="20">
        <f t="shared" si="4"/>
        <v>2087.25</v>
      </c>
      <c r="AC10" s="5"/>
      <c r="AD10" s="8"/>
      <c r="AF10" s="6"/>
      <c r="AG10" s="7"/>
      <c r="AJ10" s="33" t="s">
        <v>203</v>
      </c>
      <c r="AK10" s="35" t="s">
        <v>75</v>
      </c>
      <c r="AL10" s="38"/>
    </row>
    <row r="11" spans="1:38" ht="17.25" customHeight="1">
      <c r="A11" s="25">
        <v>45660</v>
      </c>
      <c r="B11" s="26" t="s">
        <v>92</v>
      </c>
      <c r="C11" s="14"/>
      <c r="D11" s="31" t="s">
        <v>115</v>
      </c>
      <c r="E11" s="14" t="s">
        <v>91</v>
      </c>
      <c r="F11" s="15" t="str">
        <f t="shared" si="0"/>
        <v>S/F 2025 5 Aceros y Equipos S.L.</v>
      </c>
      <c r="G11" s="16">
        <v>3518.75</v>
      </c>
      <c r="H11" s="17">
        <v>21</v>
      </c>
      <c r="I11" s="18">
        <f t="shared" si="1"/>
        <v>738.9375</v>
      </c>
      <c r="J11" s="17"/>
      <c r="K11" s="18"/>
      <c r="L11" s="16"/>
      <c r="M11" s="17"/>
      <c r="N11" s="18">
        <f t="shared" si="2"/>
        <v>0</v>
      </c>
      <c r="O11" s="19"/>
      <c r="P11" s="18"/>
      <c r="Q11" s="16"/>
      <c r="R11" s="17"/>
      <c r="S11" s="18"/>
      <c r="T11" s="19"/>
      <c r="U11" s="18"/>
      <c r="V11" s="16"/>
      <c r="W11" s="17"/>
      <c r="X11" s="18">
        <f t="shared" si="3"/>
        <v>0</v>
      </c>
      <c r="Y11" s="19"/>
      <c r="Z11" s="19"/>
      <c r="AA11" s="18"/>
      <c r="AB11" s="20">
        <f t="shared" si="4"/>
        <v>4257.6875</v>
      </c>
      <c r="AC11" s="5"/>
      <c r="AD11" s="8"/>
      <c r="AF11" s="6"/>
      <c r="AG11" s="7"/>
      <c r="AJ11" s="33"/>
      <c r="AK11" s="35"/>
      <c r="AL11" s="38"/>
    </row>
    <row r="12" spans="1:38" ht="17.25" customHeight="1">
      <c r="A12" s="25">
        <v>45660</v>
      </c>
      <c r="B12" s="26" t="s">
        <v>143</v>
      </c>
      <c r="C12" s="14"/>
      <c r="D12" s="31" t="s">
        <v>144</v>
      </c>
      <c r="E12" s="14" t="s">
        <v>145</v>
      </c>
      <c r="F12" s="15" t="str">
        <f t="shared" si="0"/>
        <v xml:space="preserve">S/F 8250004707 FNMT-RCM </v>
      </c>
      <c r="G12" s="16">
        <v>24</v>
      </c>
      <c r="H12" s="17">
        <v>21</v>
      </c>
      <c r="I12" s="18">
        <f t="shared" si="1"/>
        <v>5.04</v>
      </c>
      <c r="J12" s="17"/>
      <c r="K12" s="18"/>
      <c r="L12" s="16"/>
      <c r="M12" s="17"/>
      <c r="N12" s="18">
        <f t="shared" si="2"/>
        <v>0</v>
      </c>
      <c r="O12" s="19"/>
      <c r="P12" s="18"/>
      <c r="Q12" s="16"/>
      <c r="R12" s="17"/>
      <c r="S12" s="18"/>
      <c r="T12" s="19"/>
      <c r="U12" s="18"/>
      <c r="V12" s="16"/>
      <c r="W12" s="17"/>
      <c r="X12" s="18">
        <f t="shared" si="3"/>
        <v>0</v>
      </c>
      <c r="Y12" s="19"/>
      <c r="Z12" s="19"/>
      <c r="AA12" s="18"/>
      <c r="AB12" s="20">
        <f t="shared" si="4"/>
        <v>29.04</v>
      </c>
      <c r="AC12" s="5"/>
      <c r="AD12" s="8"/>
      <c r="AF12" s="6"/>
      <c r="AG12" s="7"/>
      <c r="AJ12" s="33"/>
      <c r="AK12" s="35" t="s">
        <v>146</v>
      </c>
      <c r="AL12" s="38"/>
    </row>
    <row r="13" spans="1:38" ht="17.25" customHeight="1">
      <c r="A13" s="25">
        <v>45660</v>
      </c>
      <c r="B13" s="26" t="s">
        <v>76</v>
      </c>
      <c r="C13" s="14"/>
      <c r="D13" s="31" t="s">
        <v>77</v>
      </c>
      <c r="E13" s="14" t="s">
        <v>78</v>
      </c>
      <c r="F13" s="15" t="str">
        <f t="shared" si="0"/>
        <v>S/F 1488717746 Mercedes-Benz España S.A.U.</v>
      </c>
      <c r="G13" s="16">
        <v>39</v>
      </c>
      <c r="H13" s="17">
        <v>21</v>
      </c>
      <c r="I13" s="18">
        <f t="shared" si="1"/>
        <v>8.19</v>
      </c>
      <c r="J13" s="17"/>
      <c r="K13" s="18"/>
      <c r="L13" s="16"/>
      <c r="M13" s="17"/>
      <c r="N13" s="18">
        <f t="shared" si="2"/>
        <v>0</v>
      </c>
      <c r="O13" s="19"/>
      <c r="P13" s="18"/>
      <c r="Q13" s="16"/>
      <c r="R13" s="17"/>
      <c r="S13" s="18"/>
      <c r="T13" s="19"/>
      <c r="U13" s="18"/>
      <c r="V13" s="16"/>
      <c r="W13" s="17"/>
      <c r="X13" s="18">
        <f t="shared" si="3"/>
        <v>0</v>
      </c>
      <c r="Y13" s="19"/>
      <c r="Z13" s="19"/>
      <c r="AA13" s="18"/>
      <c r="AB13" s="20">
        <f t="shared" si="4"/>
        <v>47.19</v>
      </c>
      <c r="AC13" s="5"/>
      <c r="AD13" s="8"/>
      <c r="AF13" s="6"/>
      <c r="AG13" s="7"/>
      <c r="AJ13" s="33"/>
      <c r="AK13" s="35" t="s">
        <v>68</v>
      </c>
      <c r="AL13" s="38"/>
    </row>
    <row r="14" spans="1:38" ht="17.25" customHeight="1">
      <c r="A14" s="25">
        <v>45662</v>
      </c>
      <c r="B14" s="26" t="s">
        <v>96</v>
      </c>
      <c r="C14" s="14"/>
      <c r="D14" s="31" t="s">
        <v>97</v>
      </c>
      <c r="E14" s="14" t="s">
        <v>98</v>
      </c>
      <c r="F14" s="15" t="str">
        <f t="shared" si="0"/>
        <v>S/F E10009412172-0125 Orange Espagne S.A.U.</v>
      </c>
      <c r="G14" s="16">
        <v>203.86</v>
      </c>
      <c r="H14" s="17">
        <v>21</v>
      </c>
      <c r="I14" s="18">
        <f t="shared" si="1"/>
        <v>42.810600000000001</v>
      </c>
      <c r="J14" s="17"/>
      <c r="K14" s="18"/>
      <c r="L14" s="16">
        <v>1.57</v>
      </c>
      <c r="M14" s="17"/>
      <c r="N14" s="18">
        <f t="shared" si="2"/>
        <v>0</v>
      </c>
      <c r="O14" s="19"/>
      <c r="P14" s="18"/>
      <c r="Q14" s="16"/>
      <c r="R14" s="17"/>
      <c r="S14" s="18"/>
      <c r="T14" s="19"/>
      <c r="U14" s="18"/>
      <c r="V14" s="16"/>
      <c r="W14" s="17"/>
      <c r="X14" s="18">
        <f t="shared" si="3"/>
        <v>0</v>
      </c>
      <c r="Y14" s="19"/>
      <c r="Z14" s="19"/>
      <c r="AA14" s="18"/>
      <c r="AB14" s="20">
        <f t="shared" si="4"/>
        <v>248.2406</v>
      </c>
      <c r="AC14" s="5"/>
      <c r="AD14" s="8"/>
      <c r="AF14" s="6"/>
      <c r="AG14" s="7"/>
      <c r="AJ14" s="33"/>
      <c r="AK14" s="35" t="s">
        <v>68</v>
      </c>
      <c r="AL14" s="38"/>
    </row>
    <row r="15" spans="1:38" ht="17.25" customHeight="1">
      <c r="A15" s="25">
        <v>45664</v>
      </c>
      <c r="B15" s="26" t="s">
        <v>44</v>
      </c>
      <c r="C15" s="14"/>
      <c r="D15" s="31" t="s">
        <v>45</v>
      </c>
      <c r="E15" s="14" t="s">
        <v>46</v>
      </c>
      <c r="F15" s="15" t="str">
        <f t="shared" si="0"/>
        <v>S/F 22 Comercial de Chapa Cortada S.L.</v>
      </c>
      <c r="G15" s="16">
        <v>106.8</v>
      </c>
      <c r="H15" s="17">
        <v>21</v>
      </c>
      <c r="I15" s="18">
        <f t="shared" si="1"/>
        <v>22.427999999999997</v>
      </c>
      <c r="J15" s="17"/>
      <c r="K15" s="18"/>
      <c r="L15" s="16"/>
      <c r="M15" s="17"/>
      <c r="N15" s="18">
        <f t="shared" si="2"/>
        <v>0</v>
      </c>
      <c r="O15" s="19"/>
      <c r="P15" s="18">
        <v>0</v>
      </c>
      <c r="Q15" s="16"/>
      <c r="R15" s="17"/>
      <c r="S15" s="18">
        <f>+IF(Q15&lt;&gt;0,Q15*R15/100,0)</f>
        <v>0</v>
      </c>
      <c r="T15" s="19"/>
      <c r="U15" s="18">
        <v>0</v>
      </c>
      <c r="V15" s="16"/>
      <c r="W15" s="17"/>
      <c r="X15" s="18">
        <f t="shared" si="3"/>
        <v>0</v>
      </c>
      <c r="Y15" s="19"/>
      <c r="Z15" s="19"/>
      <c r="AA15" s="18">
        <f>+IF(Z15&lt;&gt;0,Y15*Z15/100,0)</f>
        <v>0</v>
      </c>
      <c r="AB15" s="20">
        <f t="shared" si="4"/>
        <v>129.22800000000001</v>
      </c>
      <c r="AC15" s="5"/>
      <c r="AD15" s="8"/>
      <c r="AF15" s="6"/>
      <c r="AG15" s="7"/>
      <c r="AJ15" s="33"/>
      <c r="AK15" s="35"/>
      <c r="AL15" s="38"/>
    </row>
    <row r="16" spans="1:38" ht="17.25" customHeight="1">
      <c r="A16" s="25">
        <v>45664</v>
      </c>
      <c r="B16" s="26" t="s">
        <v>47</v>
      </c>
      <c r="C16" s="14"/>
      <c r="D16" s="31" t="s">
        <v>45</v>
      </c>
      <c r="E16" s="14" t="s">
        <v>46</v>
      </c>
      <c r="F16" s="15" t="str">
        <f t="shared" si="0"/>
        <v>S/F 23 Comercial de Chapa Cortada S.L.</v>
      </c>
      <c r="G16" s="16">
        <v>498</v>
      </c>
      <c r="H16" s="17">
        <v>21</v>
      </c>
      <c r="I16" s="18">
        <f t="shared" si="1"/>
        <v>104.58</v>
      </c>
      <c r="J16" s="17"/>
      <c r="K16" s="18"/>
      <c r="L16" s="16"/>
      <c r="M16" s="17"/>
      <c r="N16" s="18">
        <f t="shared" si="2"/>
        <v>0</v>
      </c>
      <c r="O16" s="19"/>
      <c r="P16" s="18">
        <v>0</v>
      </c>
      <c r="Q16" s="16"/>
      <c r="R16" s="17"/>
      <c r="S16" s="18">
        <f>+IF(Q16&lt;&gt;0,Q16*R16/100,0)</f>
        <v>0</v>
      </c>
      <c r="T16" s="19"/>
      <c r="U16" s="18">
        <v>0</v>
      </c>
      <c r="V16" s="16"/>
      <c r="W16" s="17"/>
      <c r="X16" s="18">
        <f t="shared" si="3"/>
        <v>0</v>
      </c>
      <c r="Y16" s="19"/>
      <c r="Z16" s="19"/>
      <c r="AA16" s="18">
        <f>+IF(Z16&lt;&gt;0,Y16*Z16/100,0)</f>
        <v>0</v>
      </c>
      <c r="AB16" s="20">
        <f t="shared" si="4"/>
        <v>602.58000000000004</v>
      </c>
      <c r="AC16" s="5"/>
      <c r="AD16" s="8"/>
      <c r="AF16" s="6"/>
      <c r="AG16" s="7"/>
      <c r="AJ16" s="33"/>
      <c r="AK16" s="35"/>
      <c r="AL16" s="38"/>
    </row>
    <row r="17" spans="1:38" ht="17.25" customHeight="1">
      <c r="A17" s="25">
        <v>45665</v>
      </c>
      <c r="B17" s="26" t="s">
        <v>130</v>
      </c>
      <c r="C17" s="14"/>
      <c r="D17" s="31" t="s">
        <v>131</v>
      </c>
      <c r="E17" s="14" t="s">
        <v>132</v>
      </c>
      <c r="F17" s="15" t="str">
        <f t="shared" si="0"/>
        <v>S/F 35275 Frío y Hotelería Técnica S.L. - FRIHOSTEC</v>
      </c>
      <c r="G17" s="16">
        <v>1590</v>
      </c>
      <c r="H17" s="17">
        <v>21</v>
      </c>
      <c r="I17" s="18">
        <f t="shared" si="1"/>
        <v>333.9</v>
      </c>
      <c r="J17" s="17"/>
      <c r="K17" s="18"/>
      <c r="L17" s="16"/>
      <c r="M17" s="17"/>
      <c r="N17" s="18">
        <f t="shared" si="2"/>
        <v>0</v>
      </c>
      <c r="O17" s="19"/>
      <c r="P17" s="18"/>
      <c r="Q17" s="16"/>
      <c r="R17" s="17"/>
      <c r="S17" s="18"/>
      <c r="T17" s="19"/>
      <c r="U17" s="18"/>
      <c r="V17" s="16"/>
      <c r="W17" s="17"/>
      <c r="X17" s="18">
        <f t="shared" si="3"/>
        <v>0</v>
      </c>
      <c r="Y17" s="19"/>
      <c r="Z17" s="19"/>
      <c r="AA17" s="18"/>
      <c r="AB17" s="20">
        <f t="shared" si="4"/>
        <v>1923.9</v>
      </c>
      <c r="AC17" s="5"/>
      <c r="AD17" s="8"/>
      <c r="AF17" s="6"/>
      <c r="AG17" s="7"/>
      <c r="AJ17" s="33" t="s">
        <v>133</v>
      </c>
      <c r="AK17" s="35"/>
      <c r="AL17" s="38"/>
    </row>
    <row r="18" spans="1:38" ht="17.25" customHeight="1">
      <c r="A18" s="25">
        <v>45666</v>
      </c>
      <c r="B18" s="26" t="s">
        <v>150</v>
      </c>
      <c r="C18" s="14"/>
      <c r="D18" s="31" t="s">
        <v>151</v>
      </c>
      <c r="E18" s="14" t="s">
        <v>152</v>
      </c>
      <c r="F18" s="15" t="str">
        <f t="shared" si="0"/>
        <v>S/F V-25-01-0530 Plenoil S.L.</v>
      </c>
      <c r="G18" s="16">
        <v>59.69</v>
      </c>
      <c r="H18" s="17">
        <v>21</v>
      </c>
      <c r="I18" s="18">
        <f t="shared" si="1"/>
        <v>12.5349</v>
      </c>
      <c r="J18" s="17"/>
      <c r="K18" s="18"/>
      <c r="L18" s="16"/>
      <c r="M18" s="17"/>
      <c r="N18" s="18">
        <f t="shared" si="2"/>
        <v>0</v>
      </c>
      <c r="O18" s="19"/>
      <c r="P18" s="18"/>
      <c r="Q18" s="16"/>
      <c r="R18" s="17"/>
      <c r="S18" s="18"/>
      <c r="T18" s="19"/>
      <c r="U18" s="18"/>
      <c r="V18" s="16"/>
      <c r="W18" s="17"/>
      <c r="X18" s="18">
        <f t="shared" si="3"/>
        <v>0</v>
      </c>
      <c r="Y18" s="19"/>
      <c r="Z18" s="19"/>
      <c r="AA18" s="18"/>
      <c r="AB18" s="20">
        <f t="shared" si="4"/>
        <v>72.224899999999991</v>
      </c>
      <c r="AC18" s="5"/>
      <c r="AD18" s="8"/>
      <c r="AF18" s="6"/>
      <c r="AG18" s="7"/>
      <c r="AJ18" s="33" t="s">
        <v>153</v>
      </c>
      <c r="AK18" s="35" t="s">
        <v>146</v>
      </c>
      <c r="AL18" s="38"/>
    </row>
    <row r="19" spans="1:38" ht="17.25" customHeight="1">
      <c r="A19" s="25">
        <v>45666</v>
      </c>
      <c r="B19" s="26" t="s">
        <v>88</v>
      </c>
      <c r="C19" s="14"/>
      <c r="D19" s="31" t="s">
        <v>89</v>
      </c>
      <c r="E19" s="14" t="s">
        <v>90</v>
      </c>
      <c r="F19" s="15" t="str">
        <f t="shared" si="0"/>
        <v>S/F 2500117 Recuperaciones Perez S.L.</v>
      </c>
      <c r="G19" s="16">
        <v>22</v>
      </c>
      <c r="H19" s="17">
        <v>10</v>
      </c>
      <c r="I19" s="18">
        <f t="shared" si="1"/>
        <v>2.2000000000000002</v>
      </c>
      <c r="J19" s="17"/>
      <c r="K19" s="18"/>
      <c r="L19" s="16"/>
      <c r="M19" s="17"/>
      <c r="N19" s="18">
        <f t="shared" si="2"/>
        <v>0</v>
      </c>
      <c r="O19" s="19"/>
      <c r="P19" s="18"/>
      <c r="Q19" s="16"/>
      <c r="R19" s="17"/>
      <c r="S19" s="18"/>
      <c r="T19" s="19"/>
      <c r="U19" s="18"/>
      <c r="V19" s="16"/>
      <c r="W19" s="17"/>
      <c r="X19" s="18">
        <f t="shared" si="3"/>
        <v>0</v>
      </c>
      <c r="Y19" s="19"/>
      <c r="Z19" s="19"/>
      <c r="AA19" s="18"/>
      <c r="AB19" s="20">
        <f t="shared" si="4"/>
        <v>24.2</v>
      </c>
      <c r="AC19" s="5"/>
      <c r="AD19" s="8"/>
      <c r="AF19" s="6"/>
      <c r="AG19" s="7"/>
      <c r="AJ19" s="33"/>
      <c r="AK19" s="35" t="s">
        <v>75</v>
      </c>
      <c r="AL19" s="38"/>
    </row>
    <row r="20" spans="1:38" ht="17.25" customHeight="1">
      <c r="A20" s="25">
        <v>45666</v>
      </c>
      <c r="B20" s="26" t="s">
        <v>271</v>
      </c>
      <c r="C20" s="14"/>
      <c r="D20" s="31" t="s">
        <v>272</v>
      </c>
      <c r="E20" s="14" t="s">
        <v>273</v>
      </c>
      <c r="F20" s="15" t="str">
        <f t="shared" si="0"/>
        <v>S/F 22009 Val Soluciones de Aplicaciones S.L.</v>
      </c>
      <c r="G20" s="16">
        <v>1030</v>
      </c>
      <c r="H20" s="17">
        <v>21</v>
      </c>
      <c r="I20" s="18">
        <f t="shared" si="1"/>
        <v>216.3</v>
      </c>
      <c r="J20" s="17"/>
      <c r="K20" s="18">
        <f>+IF(G20&lt;&gt;0,G20*J20/100,0)</f>
        <v>0</v>
      </c>
      <c r="L20" s="16"/>
      <c r="M20" s="17"/>
      <c r="N20" s="18">
        <f t="shared" si="2"/>
        <v>0</v>
      </c>
      <c r="O20" s="19"/>
      <c r="P20" s="18"/>
      <c r="Q20" s="16"/>
      <c r="R20" s="17"/>
      <c r="S20" s="18"/>
      <c r="T20" s="19"/>
      <c r="U20" s="18"/>
      <c r="V20" s="16"/>
      <c r="W20" s="17"/>
      <c r="X20" s="18">
        <f t="shared" si="3"/>
        <v>0</v>
      </c>
      <c r="Y20" s="19"/>
      <c r="Z20" s="19"/>
      <c r="AA20" s="18">
        <f>+IF(Z20&lt;&gt;0,Y20*Z20/100,0)</f>
        <v>0</v>
      </c>
      <c r="AB20" s="20">
        <f t="shared" si="4"/>
        <v>1246.3</v>
      </c>
      <c r="AC20" s="5"/>
      <c r="AD20" s="8"/>
      <c r="AF20" s="6"/>
      <c r="AG20" s="7"/>
      <c r="AJ20" s="33"/>
      <c r="AK20" s="35"/>
      <c r="AL20" s="38"/>
    </row>
    <row r="21" spans="1:38" ht="17.25" customHeight="1">
      <c r="A21" s="25">
        <v>45667</v>
      </c>
      <c r="B21" s="26" t="s">
        <v>41</v>
      </c>
      <c r="C21" s="14"/>
      <c r="D21" s="31" t="s">
        <v>42</v>
      </c>
      <c r="E21" s="14" t="s">
        <v>43</v>
      </c>
      <c r="F21" s="15" t="str">
        <f t="shared" si="0"/>
        <v>S/F 250500118 Acinesgon S.L.U.</v>
      </c>
      <c r="G21" s="16">
        <v>221.86</v>
      </c>
      <c r="H21" s="17">
        <v>21</v>
      </c>
      <c r="I21" s="18">
        <f t="shared" si="1"/>
        <v>46.590600000000002</v>
      </c>
      <c r="J21" s="17"/>
      <c r="K21" s="18"/>
      <c r="L21" s="16"/>
      <c r="M21" s="17"/>
      <c r="N21" s="18">
        <f t="shared" si="2"/>
        <v>0</v>
      </c>
      <c r="O21" s="19"/>
      <c r="P21" s="18">
        <v>0</v>
      </c>
      <c r="Q21" s="16"/>
      <c r="R21" s="17"/>
      <c r="S21" s="18">
        <f>+IF(Q21&lt;&gt;0,Q21*R21/100,0)</f>
        <v>0</v>
      </c>
      <c r="T21" s="19"/>
      <c r="U21" s="18">
        <v>0</v>
      </c>
      <c r="V21" s="16"/>
      <c r="W21" s="17"/>
      <c r="X21" s="18">
        <f t="shared" si="3"/>
        <v>0</v>
      </c>
      <c r="Y21" s="19"/>
      <c r="Z21" s="19"/>
      <c r="AA21" s="18">
        <f>+IF(Z21&lt;&gt;0,Y21*Z21/100,0)</f>
        <v>0</v>
      </c>
      <c r="AB21" s="20">
        <f t="shared" si="4"/>
        <v>268.45060000000001</v>
      </c>
      <c r="AC21" s="5"/>
      <c r="AD21" s="8"/>
      <c r="AF21" s="6"/>
      <c r="AG21" s="7"/>
      <c r="AJ21" s="33"/>
      <c r="AK21" s="35"/>
      <c r="AL21" s="38"/>
    </row>
    <row r="22" spans="1:38" ht="17.25" customHeight="1">
      <c r="A22" s="25">
        <v>45667</v>
      </c>
      <c r="B22" s="26" t="s">
        <v>48</v>
      </c>
      <c r="C22" s="14"/>
      <c r="D22" s="31" t="s">
        <v>45</v>
      </c>
      <c r="E22" s="14" t="s">
        <v>46</v>
      </c>
      <c r="F22" s="15" t="str">
        <f t="shared" si="0"/>
        <v>S/F 61 Comercial de Chapa Cortada S.L.</v>
      </c>
      <c r="G22" s="16">
        <v>579</v>
      </c>
      <c r="H22" s="17">
        <v>21</v>
      </c>
      <c r="I22" s="18">
        <f t="shared" si="1"/>
        <v>121.59</v>
      </c>
      <c r="J22" s="17"/>
      <c r="K22" s="18"/>
      <c r="L22" s="16"/>
      <c r="M22" s="17"/>
      <c r="N22" s="18">
        <f t="shared" si="2"/>
        <v>0</v>
      </c>
      <c r="O22" s="19"/>
      <c r="P22" s="18"/>
      <c r="Q22" s="16"/>
      <c r="R22" s="17"/>
      <c r="S22" s="18"/>
      <c r="T22" s="19"/>
      <c r="U22" s="18"/>
      <c r="V22" s="16"/>
      <c r="W22" s="17"/>
      <c r="X22" s="18">
        <f t="shared" si="3"/>
        <v>0</v>
      </c>
      <c r="Y22" s="19"/>
      <c r="Z22" s="19"/>
      <c r="AA22" s="18"/>
      <c r="AB22" s="20">
        <f t="shared" si="4"/>
        <v>700.59</v>
      </c>
      <c r="AC22" s="5"/>
      <c r="AD22" s="8"/>
      <c r="AF22" s="6"/>
      <c r="AG22" s="7"/>
      <c r="AJ22" s="33"/>
      <c r="AK22" s="35"/>
      <c r="AL22" s="38"/>
    </row>
    <row r="23" spans="1:38" ht="17.25" customHeight="1">
      <c r="A23" s="25">
        <v>45667</v>
      </c>
      <c r="B23" s="26" t="s">
        <v>108</v>
      </c>
      <c r="C23" s="14"/>
      <c r="D23" s="31" t="s">
        <v>109</v>
      </c>
      <c r="E23" s="14" t="s">
        <v>110</v>
      </c>
      <c r="F23" s="15" t="str">
        <f t="shared" si="0"/>
        <v>S/F 7 Garfios BIAK S.L.L.</v>
      </c>
      <c r="G23" s="16">
        <v>400.67</v>
      </c>
      <c r="H23" s="17">
        <v>21</v>
      </c>
      <c r="I23" s="18">
        <f t="shared" si="1"/>
        <v>84.140699999999995</v>
      </c>
      <c r="J23" s="17"/>
      <c r="K23" s="18"/>
      <c r="L23" s="16"/>
      <c r="M23" s="17"/>
      <c r="N23" s="18">
        <f t="shared" si="2"/>
        <v>0</v>
      </c>
      <c r="O23" s="19"/>
      <c r="P23" s="18"/>
      <c r="Q23" s="16"/>
      <c r="R23" s="17"/>
      <c r="S23" s="18"/>
      <c r="T23" s="19"/>
      <c r="U23" s="18"/>
      <c r="V23" s="16"/>
      <c r="W23" s="17"/>
      <c r="X23" s="18">
        <f t="shared" si="3"/>
        <v>0</v>
      </c>
      <c r="Y23" s="19"/>
      <c r="Z23" s="19"/>
      <c r="AA23" s="18"/>
      <c r="AB23" s="20">
        <f t="shared" si="4"/>
        <v>484.8107</v>
      </c>
      <c r="AC23" s="5"/>
      <c r="AD23" s="8"/>
      <c r="AF23" s="6"/>
      <c r="AG23" s="7"/>
      <c r="AJ23" s="33"/>
      <c r="AK23" s="35" t="s">
        <v>68</v>
      </c>
      <c r="AL23" s="38"/>
    </row>
    <row r="24" spans="1:38" ht="17.25" customHeight="1">
      <c r="A24" s="25">
        <v>45667</v>
      </c>
      <c r="B24" s="26" t="s">
        <v>52</v>
      </c>
      <c r="C24" s="14"/>
      <c r="D24" s="31" t="s">
        <v>53</v>
      </c>
      <c r="E24" s="14" t="s">
        <v>54</v>
      </c>
      <c r="F24" s="15" t="str">
        <f t="shared" si="0"/>
        <v>S/F 20250031 Láser Levante S.A.</v>
      </c>
      <c r="G24" s="16">
        <v>1089.29</v>
      </c>
      <c r="H24" s="17">
        <v>21</v>
      </c>
      <c r="I24" s="18">
        <f t="shared" si="1"/>
        <v>228.7509</v>
      </c>
      <c r="J24" s="17"/>
      <c r="K24" s="18"/>
      <c r="L24" s="16"/>
      <c r="M24" s="17"/>
      <c r="N24" s="18">
        <f t="shared" si="2"/>
        <v>0</v>
      </c>
      <c r="O24" s="19"/>
      <c r="P24" s="18"/>
      <c r="Q24" s="16"/>
      <c r="R24" s="17"/>
      <c r="S24" s="18"/>
      <c r="T24" s="19"/>
      <c r="U24" s="18"/>
      <c r="V24" s="16"/>
      <c r="W24" s="17"/>
      <c r="X24" s="18">
        <f t="shared" si="3"/>
        <v>0</v>
      </c>
      <c r="Y24" s="19"/>
      <c r="Z24" s="19"/>
      <c r="AA24" s="18"/>
      <c r="AB24" s="20">
        <f t="shared" si="4"/>
        <v>1318.0409</v>
      </c>
      <c r="AC24" s="5"/>
      <c r="AD24" s="8"/>
      <c r="AF24" s="6"/>
      <c r="AG24" s="7"/>
      <c r="AJ24" s="33"/>
      <c r="AK24" s="35"/>
      <c r="AL24" s="38"/>
    </row>
    <row r="25" spans="1:38" ht="17.25" customHeight="1">
      <c r="A25" s="25">
        <v>45667</v>
      </c>
      <c r="B25" s="26" t="s">
        <v>49</v>
      </c>
      <c r="C25" s="14"/>
      <c r="D25" s="31" t="s">
        <v>50</v>
      </c>
      <c r="E25" s="14" t="s">
        <v>51</v>
      </c>
      <c r="F25" s="15" t="str">
        <f t="shared" si="0"/>
        <v>S/F 33 Tubos Vega S.L.</v>
      </c>
      <c r="G25" s="16">
        <v>1659.74</v>
      </c>
      <c r="H25" s="17">
        <v>21</v>
      </c>
      <c r="I25" s="18">
        <f t="shared" si="1"/>
        <v>348.54540000000003</v>
      </c>
      <c r="J25" s="17"/>
      <c r="K25" s="18"/>
      <c r="L25" s="16"/>
      <c r="M25" s="17"/>
      <c r="N25" s="18">
        <f t="shared" si="2"/>
        <v>0</v>
      </c>
      <c r="O25" s="19"/>
      <c r="P25" s="18"/>
      <c r="Q25" s="16"/>
      <c r="R25" s="17"/>
      <c r="S25" s="18"/>
      <c r="T25" s="19"/>
      <c r="U25" s="18"/>
      <c r="V25" s="16"/>
      <c r="W25" s="17"/>
      <c r="X25" s="18">
        <f t="shared" si="3"/>
        <v>0</v>
      </c>
      <c r="Y25" s="19"/>
      <c r="Z25" s="19"/>
      <c r="AA25" s="18"/>
      <c r="AB25" s="20">
        <f t="shared" si="4"/>
        <v>2008.2854</v>
      </c>
      <c r="AC25" s="5"/>
      <c r="AD25" s="8"/>
      <c r="AF25" s="6"/>
      <c r="AG25" s="7"/>
      <c r="AJ25" s="33"/>
      <c r="AK25" s="35"/>
      <c r="AL25" s="38"/>
    </row>
    <row r="26" spans="1:38" ht="17.25" customHeight="1">
      <c r="A26" s="25">
        <v>45667</v>
      </c>
      <c r="B26" s="26" t="s">
        <v>93</v>
      </c>
      <c r="C26" s="14"/>
      <c r="D26" s="31" t="s">
        <v>94</v>
      </c>
      <c r="E26" s="14" t="s">
        <v>95</v>
      </c>
      <c r="F26" s="15" t="str">
        <f t="shared" si="0"/>
        <v>S/F 25F00002 Viedma Laso S.L.</v>
      </c>
      <c r="G26" s="16">
        <v>508</v>
      </c>
      <c r="H26" s="17">
        <v>21</v>
      </c>
      <c r="I26" s="18">
        <f t="shared" si="1"/>
        <v>106.68</v>
      </c>
      <c r="J26" s="17"/>
      <c r="K26" s="18"/>
      <c r="L26" s="16"/>
      <c r="M26" s="17"/>
      <c r="N26" s="18">
        <f t="shared" si="2"/>
        <v>0</v>
      </c>
      <c r="O26" s="19"/>
      <c r="P26" s="18"/>
      <c r="Q26" s="16"/>
      <c r="R26" s="17"/>
      <c r="S26" s="18"/>
      <c r="T26" s="19"/>
      <c r="U26" s="18"/>
      <c r="V26" s="16"/>
      <c r="W26" s="17"/>
      <c r="X26" s="18">
        <f t="shared" si="3"/>
        <v>0</v>
      </c>
      <c r="Y26" s="19"/>
      <c r="Z26" s="19"/>
      <c r="AA26" s="18"/>
      <c r="AB26" s="20">
        <f t="shared" si="4"/>
        <v>614.68000000000006</v>
      </c>
      <c r="AC26" s="5"/>
      <c r="AD26" s="8"/>
      <c r="AF26" s="6"/>
      <c r="AG26" s="7"/>
      <c r="AJ26" s="33"/>
      <c r="AK26" s="35"/>
      <c r="AL26" s="38"/>
    </row>
    <row r="27" spans="1:38" ht="17.25" customHeight="1">
      <c r="A27" s="25">
        <v>45670</v>
      </c>
      <c r="B27" s="26" t="s">
        <v>126</v>
      </c>
      <c r="C27" s="14"/>
      <c r="D27" s="26" t="s">
        <v>45</v>
      </c>
      <c r="E27" s="14" t="s">
        <v>46</v>
      </c>
      <c r="F27" s="15" t="str">
        <f t="shared" si="0"/>
        <v>S/F 83 Comercial de Chapa Cortada S.L.</v>
      </c>
      <c r="G27" s="16">
        <v>2112</v>
      </c>
      <c r="H27" s="17">
        <v>21</v>
      </c>
      <c r="I27" s="18">
        <f t="shared" si="1"/>
        <v>443.52</v>
      </c>
      <c r="J27" s="17"/>
      <c r="K27" s="18"/>
      <c r="L27" s="16"/>
      <c r="M27" s="17"/>
      <c r="N27" s="18">
        <f t="shared" si="2"/>
        <v>0</v>
      </c>
      <c r="O27" s="19"/>
      <c r="P27" s="18"/>
      <c r="Q27" s="16"/>
      <c r="R27" s="17"/>
      <c r="S27" s="18"/>
      <c r="T27" s="19"/>
      <c r="U27" s="18"/>
      <c r="V27" s="16"/>
      <c r="W27" s="17"/>
      <c r="X27" s="18">
        <f t="shared" si="3"/>
        <v>0</v>
      </c>
      <c r="Y27" s="19"/>
      <c r="Z27" s="19"/>
      <c r="AA27" s="18"/>
      <c r="AB27" s="20">
        <f t="shared" si="4"/>
        <v>2555.52</v>
      </c>
      <c r="AC27" s="5"/>
      <c r="AD27" s="8"/>
      <c r="AF27" s="6"/>
      <c r="AG27" s="7"/>
      <c r="AJ27" s="33"/>
      <c r="AK27" s="35"/>
      <c r="AL27" s="38"/>
    </row>
    <row r="28" spans="1:38" ht="17.25" customHeight="1">
      <c r="A28" s="25">
        <v>45670</v>
      </c>
      <c r="B28" s="26" t="s">
        <v>102</v>
      </c>
      <c r="C28" s="14"/>
      <c r="D28" s="31" t="s">
        <v>103</v>
      </c>
      <c r="E28" s="14" t="s">
        <v>104</v>
      </c>
      <c r="F28" s="15" t="str">
        <f t="shared" si="0"/>
        <v>S/F 2500000096 Cor Química S.L.</v>
      </c>
      <c r="G28" s="16">
        <v>1023.75</v>
      </c>
      <c r="H28" s="17">
        <v>21</v>
      </c>
      <c r="I28" s="18">
        <f t="shared" si="1"/>
        <v>214.98750000000001</v>
      </c>
      <c r="J28" s="17"/>
      <c r="K28" s="18"/>
      <c r="L28" s="16"/>
      <c r="M28" s="17"/>
      <c r="N28" s="18">
        <f t="shared" si="2"/>
        <v>0</v>
      </c>
      <c r="O28" s="19"/>
      <c r="P28" s="18"/>
      <c r="Q28" s="16"/>
      <c r="R28" s="17"/>
      <c r="S28" s="18"/>
      <c r="T28" s="19"/>
      <c r="U28" s="18"/>
      <c r="V28" s="16"/>
      <c r="W28" s="17"/>
      <c r="X28" s="18">
        <f t="shared" si="3"/>
        <v>0</v>
      </c>
      <c r="Y28" s="19"/>
      <c r="Z28" s="19"/>
      <c r="AA28" s="18"/>
      <c r="AB28" s="20">
        <f t="shared" si="4"/>
        <v>1238.7375</v>
      </c>
      <c r="AC28" s="5"/>
      <c r="AD28" s="8"/>
      <c r="AF28" s="6"/>
      <c r="AG28" s="7"/>
      <c r="AJ28" s="33"/>
      <c r="AK28" s="35" t="s">
        <v>68</v>
      </c>
      <c r="AL28" s="38"/>
    </row>
    <row r="29" spans="1:38" ht="17.25" customHeight="1">
      <c r="A29" s="25">
        <v>45670</v>
      </c>
      <c r="B29" s="26" t="s">
        <v>154</v>
      </c>
      <c r="C29" s="14"/>
      <c r="D29" s="31" t="s">
        <v>155</v>
      </c>
      <c r="E29" s="14" t="s">
        <v>156</v>
      </c>
      <c r="F29" s="15" t="str">
        <f t="shared" si="0"/>
        <v>S/F 2501-096 GMR S.L.</v>
      </c>
      <c r="G29" s="16">
        <v>753.36</v>
      </c>
      <c r="H29" s="17">
        <v>21</v>
      </c>
      <c r="I29" s="18">
        <f t="shared" si="1"/>
        <v>158.2056</v>
      </c>
      <c r="J29" s="17"/>
      <c r="K29" s="18"/>
      <c r="L29" s="16"/>
      <c r="M29" s="17"/>
      <c r="N29" s="18">
        <f t="shared" si="2"/>
        <v>0</v>
      </c>
      <c r="O29" s="19"/>
      <c r="P29" s="18"/>
      <c r="Q29" s="16"/>
      <c r="R29" s="17"/>
      <c r="S29" s="18"/>
      <c r="T29" s="19"/>
      <c r="U29" s="18"/>
      <c r="V29" s="16"/>
      <c r="W29" s="17"/>
      <c r="X29" s="18">
        <f t="shared" si="3"/>
        <v>0</v>
      </c>
      <c r="Y29" s="19"/>
      <c r="Z29" s="19"/>
      <c r="AA29" s="18"/>
      <c r="AB29" s="20">
        <f t="shared" si="4"/>
        <v>911.56560000000002</v>
      </c>
      <c r="AC29" s="5"/>
      <c r="AD29" s="8"/>
      <c r="AF29" s="6"/>
      <c r="AG29" s="7"/>
      <c r="AJ29" s="33"/>
      <c r="AK29" s="35"/>
      <c r="AL29" s="38"/>
    </row>
    <row r="30" spans="1:38" ht="17.25" customHeight="1">
      <c r="A30" s="25">
        <v>45670</v>
      </c>
      <c r="B30" s="26" t="s">
        <v>55</v>
      </c>
      <c r="C30" s="14"/>
      <c r="D30" s="31" t="s">
        <v>56</v>
      </c>
      <c r="E30" s="14" t="s">
        <v>57</v>
      </c>
      <c r="F30" s="15" t="str">
        <f t="shared" si="0"/>
        <v>S/F 750046 Jannone Tubos S.L.</v>
      </c>
      <c r="G30" s="16">
        <v>101.93</v>
      </c>
      <c r="H30" s="17">
        <v>21</v>
      </c>
      <c r="I30" s="18">
        <f t="shared" si="1"/>
        <v>21.4053</v>
      </c>
      <c r="J30" s="17"/>
      <c r="K30" s="18"/>
      <c r="L30" s="16"/>
      <c r="M30" s="17"/>
      <c r="N30" s="18">
        <f t="shared" si="2"/>
        <v>0</v>
      </c>
      <c r="O30" s="19"/>
      <c r="P30" s="18"/>
      <c r="Q30" s="16"/>
      <c r="R30" s="17"/>
      <c r="S30" s="18"/>
      <c r="T30" s="19"/>
      <c r="U30" s="18"/>
      <c r="V30" s="16"/>
      <c r="W30" s="17"/>
      <c r="X30" s="18">
        <f t="shared" si="3"/>
        <v>0</v>
      </c>
      <c r="Y30" s="19"/>
      <c r="Z30" s="19"/>
      <c r="AA30" s="18"/>
      <c r="AB30" s="20">
        <f t="shared" si="4"/>
        <v>123.3353</v>
      </c>
      <c r="AC30" s="5"/>
      <c r="AD30" s="8"/>
      <c r="AF30" s="6"/>
      <c r="AG30" s="7"/>
      <c r="AJ30" s="33"/>
      <c r="AK30" s="35"/>
      <c r="AL30" s="38"/>
    </row>
    <row r="31" spans="1:38" ht="17.25" customHeight="1">
      <c r="A31" s="25">
        <v>45670</v>
      </c>
      <c r="B31" s="26" t="s">
        <v>58</v>
      </c>
      <c r="C31" s="14"/>
      <c r="D31" s="31" t="s">
        <v>56</v>
      </c>
      <c r="E31" s="14" t="s">
        <v>57</v>
      </c>
      <c r="F31" s="15" t="str">
        <f t="shared" si="0"/>
        <v>S/F 750047 Jannone Tubos S.L.</v>
      </c>
      <c r="G31" s="16">
        <v>122.34</v>
      </c>
      <c r="H31" s="17">
        <v>21</v>
      </c>
      <c r="I31" s="18">
        <f t="shared" si="1"/>
        <v>25.691399999999998</v>
      </c>
      <c r="J31" s="17"/>
      <c r="K31" s="18">
        <f>+IF(G31&lt;&gt;0,G31*J31/100,0)</f>
        <v>0</v>
      </c>
      <c r="L31" s="16"/>
      <c r="M31" s="17"/>
      <c r="N31" s="18">
        <f t="shared" si="2"/>
        <v>0</v>
      </c>
      <c r="O31" s="19"/>
      <c r="P31" s="18">
        <f>+IF(L31&lt;&gt;0,L31*O31/100,0)</f>
        <v>0</v>
      </c>
      <c r="Q31" s="16"/>
      <c r="R31" s="17"/>
      <c r="S31" s="18">
        <f>+IF(Q31&lt;&gt;0,Q31*R31/100,0)</f>
        <v>0</v>
      </c>
      <c r="T31" s="19"/>
      <c r="U31" s="18">
        <f>+IF(Q31&lt;&gt;0,Q31*T31/100,0)</f>
        <v>0</v>
      </c>
      <c r="V31" s="16"/>
      <c r="W31" s="17"/>
      <c r="X31" s="18">
        <f t="shared" si="3"/>
        <v>0</v>
      </c>
      <c r="Y31" s="19"/>
      <c r="Z31" s="19"/>
      <c r="AA31" s="18">
        <f>+IF(Z31&lt;&gt;0,Y31*Z31/100,0)</f>
        <v>0</v>
      </c>
      <c r="AB31" s="20">
        <f t="shared" si="4"/>
        <v>148.03139999999999</v>
      </c>
      <c r="AC31" s="5"/>
      <c r="AD31" s="8"/>
      <c r="AF31" s="6"/>
      <c r="AG31" s="7"/>
      <c r="AJ31" s="33"/>
      <c r="AK31" s="35"/>
      <c r="AL31" s="38"/>
    </row>
    <row r="32" spans="1:38" ht="17.25" customHeight="1">
      <c r="A32" s="25">
        <v>45670</v>
      </c>
      <c r="B32" s="26" t="s">
        <v>59</v>
      </c>
      <c r="C32" s="14"/>
      <c r="D32" s="31" t="s">
        <v>56</v>
      </c>
      <c r="E32" s="14" t="s">
        <v>57</v>
      </c>
      <c r="F32" s="15" t="str">
        <f t="shared" si="0"/>
        <v>S/F 750048 Jannone Tubos S.L.</v>
      </c>
      <c r="G32" s="16">
        <v>94.09</v>
      </c>
      <c r="H32" s="17">
        <v>21</v>
      </c>
      <c r="I32" s="18">
        <f t="shared" si="1"/>
        <v>19.758900000000001</v>
      </c>
      <c r="J32" s="17"/>
      <c r="K32" s="18"/>
      <c r="L32" s="16"/>
      <c r="M32" s="17"/>
      <c r="N32" s="18">
        <f t="shared" si="2"/>
        <v>0</v>
      </c>
      <c r="O32" s="19"/>
      <c r="P32" s="18"/>
      <c r="Q32" s="16"/>
      <c r="R32" s="17"/>
      <c r="S32" s="18"/>
      <c r="T32" s="19"/>
      <c r="U32" s="18"/>
      <c r="V32" s="16"/>
      <c r="W32" s="17"/>
      <c r="X32" s="18">
        <f t="shared" si="3"/>
        <v>0</v>
      </c>
      <c r="Y32" s="19"/>
      <c r="Z32" s="19"/>
      <c r="AA32" s="18"/>
      <c r="AB32" s="20">
        <f t="shared" si="4"/>
        <v>113.8489</v>
      </c>
      <c r="AC32" s="5"/>
      <c r="AD32" s="8"/>
      <c r="AF32" s="6"/>
      <c r="AG32" s="7"/>
      <c r="AJ32" s="33"/>
      <c r="AK32" s="35"/>
      <c r="AL32" s="38"/>
    </row>
    <row r="33" spans="1:38" ht="17.25" customHeight="1">
      <c r="A33" s="25">
        <v>45670</v>
      </c>
      <c r="B33" s="26" t="s">
        <v>180</v>
      </c>
      <c r="C33" s="14"/>
      <c r="D33" s="31" t="s">
        <v>181</v>
      </c>
      <c r="E33" s="14" t="s">
        <v>182</v>
      </c>
      <c r="F33" s="15" t="str">
        <f t="shared" si="0"/>
        <v>S/F B009/2025 Olaen Maquinaria S.L.</v>
      </c>
      <c r="G33" s="16">
        <v>2401.5</v>
      </c>
      <c r="H33" s="17">
        <v>21</v>
      </c>
      <c r="I33" s="18">
        <f t="shared" si="1"/>
        <v>504.315</v>
      </c>
      <c r="J33" s="17"/>
      <c r="K33" s="18"/>
      <c r="L33" s="16"/>
      <c r="M33" s="17"/>
      <c r="N33" s="18">
        <f t="shared" si="2"/>
        <v>0</v>
      </c>
      <c r="O33" s="19"/>
      <c r="P33" s="18"/>
      <c r="Q33" s="16"/>
      <c r="R33" s="17"/>
      <c r="S33" s="18"/>
      <c r="T33" s="19"/>
      <c r="U33" s="18"/>
      <c r="V33" s="16"/>
      <c r="W33" s="17"/>
      <c r="X33" s="18">
        <f t="shared" si="3"/>
        <v>0</v>
      </c>
      <c r="Y33" s="19"/>
      <c r="Z33" s="19"/>
      <c r="AA33" s="18"/>
      <c r="AB33" s="20">
        <f t="shared" si="4"/>
        <v>2905.8150000000001</v>
      </c>
      <c r="AC33" s="5"/>
      <c r="AD33" s="8"/>
      <c r="AF33" s="6"/>
      <c r="AG33" s="7"/>
      <c r="AJ33" s="33"/>
      <c r="AK33" s="35"/>
      <c r="AL33" s="38"/>
    </row>
    <row r="34" spans="1:38" ht="17.25" customHeight="1">
      <c r="A34" s="25">
        <v>45670</v>
      </c>
      <c r="B34" s="26" t="s">
        <v>274</v>
      </c>
      <c r="C34" s="14"/>
      <c r="D34" s="31" t="s">
        <v>272</v>
      </c>
      <c r="E34" s="14" t="s">
        <v>273</v>
      </c>
      <c r="F34" s="15" t="str">
        <f t="shared" ref="F34:F65" si="5">"S/F "&amp;B34&amp;" "&amp;E34</f>
        <v>S/F 22028 Val Soluciones de Aplicaciones S.L.</v>
      </c>
      <c r="G34" s="16">
        <v>624.32000000000005</v>
      </c>
      <c r="H34" s="17">
        <v>21</v>
      </c>
      <c r="I34" s="18">
        <f t="shared" ref="I34:I65" si="6">+IF(G34&lt;&gt;0,G34*H34/100,0)</f>
        <v>131.10720000000001</v>
      </c>
      <c r="J34" s="17"/>
      <c r="K34" s="18">
        <f>+IF(G34&lt;&gt;0,G34*J34/100,0)</f>
        <v>0</v>
      </c>
      <c r="L34" s="16"/>
      <c r="M34" s="17"/>
      <c r="N34" s="18">
        <f t="shared" ref="N34:N65" si="7">+IF(L34&lt;&gt;0,L34*M34/100,0)</f>
        <v>0</v>
      </c>
      <c r="O34" s="19"/>
      <c r="P34" s="18"/>
      <c r="Q34" s="16"/>
      <c r="R34" s="17"/>
      <c r="S34" s="18"/>
      <c r="T34" s="19"/>
      <c r="U34" s="18"/>
      <c r="V34" s="16"/>
      <c r="W34" s="17"/>
      <c r="X34" s="18">
        <f t="shared" ref="X34:X65" si="8">+IF(W34&lt;&gt;0,V34*W34/100,0)</f>
        <v>0</v>
      </c>
      <c r="Y34" s="19"/>
      <c r="Z34" s="19"/>
      <c r="AA34" s="18">
        <f>+IF(Z34&lt;&gt;0,Y34*Z34/100,0)</f>
        <v>0</v>
      </c>
      <c r="AB34" s="20">
        <f t="shared" ref="AB34:AB65" si="9">+G34+I34+K34+L34+N34+P34+Q34+S34+U34-X34-AA34</f>
        <v>755.42720000000008</v>
      </c>
      <c r="AC34" s="5"/>
      <c r="AD34" s="8"/>
      <c r="AF34" s="6"/>
      <c r="AG34" s="7"/>
      <c r="AJ34" s="33"/>
      <c r="AK34" s="35"/>
      <c r="AL34" s="38"/>
    </row>
    <row r="35" spans="1:38" ht="17.25" customHeight="1">
      <c r="A35" s="25">
        <v>45670</v>
      </c>
      <c r="B35" s="26" t="s">
        <v>286</v>
      </c>
      <c r="C35" s="14"/>
      <c r="D35" s="31" t="s">
        <v>272</v>
      </c>
      <c r="E35" s="14" t="s">
        <v>273</v>
      </c>
      <c r="F35" s="15" t="str">
        <f t="shared" si="5"/>
        <v>S/F 22034 Val Soluciones de Aplicaciones S.L.</v>
      </c>
      <c r="G35" s="16">
        <v>175.32</v>
      </c>
      <c r="H35" s="17">
        <v>21</v>
      </c>
      <c r="I35" s="18">
        <f t="shared" si="6"/>
        <v>36.8172</v>
      </c>
      <c r="J35" s="17"/>
      <c r="K35" s="18">
        <f>+IF(G35&lt;&gt;0,G35*J35/100,0)</f>
        <v>0</v>
      </c>
      <c r="L35" s="16"/>
      <c r="M35" s="17"/>
      <c r="N35" s="18">
        <f t="shared" si="7"/>
        <v>0</v>
      </c>
      <c r="O35" s="19"/>
      <c r="P35" s="18"/>
      <c r="Q35" s="16"/>
      <c r="R35" s="17"/>
      <c r="S35" s="18"/>
      <c r="T35" s="19"/>
      <c r="U35" s="18"/>
      <c r="V35" s="16"/>
      <c r="W35" s="17"/>
      <c r="X35" s="18">
        <f t="shared" si="8"/>
        <v>0</v>
      </c>
      <c r="Y35" s="19"/>
      <c r="Z35" s="19"/>
      <c r="AA35" s="18">
        <f>+IF(Z35&lt;&gt;0,Y35*Z35/100,0)</f>
        <v>0</v>
      </c>
      <c r="AB35" s="20">
        <f t="shared" si="9"/>
        <v>212.13720000000001</v>
      </c>
      <c r="AC35" s="5"/>
      <c r="AD35" s="8"/>
      <c r="AF35" s="6"/>
      <c r="AG35" s="7"/>
      <c r="AJ35" s="33"/>
      <c r="AK35" s="35"/>
      <c r="AL35" s="38"/>
    </row>
    <row r="36" spans="1:38" ht="17.25" customHeight="1">
      <c r="A36" s="25">
        <v>45671</v>
      </c>
      <c r="B36" s="26" t="s">
        <v>168</v>
      </c>
      <c r="C36" s="14"/>
      <c r="D36" s="31" t="s">
        <v>169</v>
      </c>
      <c r="E36" s="14" t="s">
        <v>170</v>
      </c>
      <c r="F36" s="15" t="str">
        <f t="shared" si="5"/>
        <v xml:space="preserve">S/F 12500018 Adimec Desarrollos Técnicos S.L. </v>
      </c>
      <c r="G36" s="16">
        <v>734.8</v>
      </c>
      <c r="H36" s="17">
        <v>21</v>
      </c>
      <c r="I36" s="18">
        <f t="shared" si="6"/>
        <v>154.30799999999999</v>
      </c>
      <c r="J36" s="17"/>
      <c r="K36" s="18"/>
      <c r="L36" s="16"/>
      <c r="M36" s="17"/>
      <c r="N36" s="18">
        <f t="shared" si="7"/>
        <v>0</v>
      </c>
      <c r="O36" s="19"/>
      <c r="P36" s="18"/>
      <c r="Q36" s="16"/>
      <c r="R36" s="17"/>
      <c r="S36" s="18"/>
      <c r="T36" s="19"/>
      <c r="U36" s="18"/>
      <c r="V36" s="16"/>
      <c r="W36" s="17"/>
      <c r="X36" s="18">
        <f t="shared" si="8"/>
        <v>0</v>
      </c>
      <c r="Y36" s="19"/>
      <c r="Z36" s="19"/>
      <c r="AA36" s="18"/>
      <c r="AB36" s="20">
        <f t="shared" si="9"/>
        <v>889.10799999999995</v>
      </c>
      <c r="AC36" s="5"/>
      <c r="AD36" s="8"/>
      <c r="AF36" s="6"/>
      <c r="AG36" s="7"/>
      <c r="AJ36" s="33"/>
      <c r="AK36" s="35"/>
      <c r="AL36" s="38"/>
    </row>
    <row r="37" spans="1:38" ht="17.25" customHeight="1">
      <c r="A37" s="25">
        <v>45671</v>
      </c>
      <c r="B37" s="26" t="s">
        <v>127</v>
      </c>
      <c r="C37" s="14"/>
      <c r="D37" s="31" t="s">
        <v>128</v>
      </c>
      <c r="E37" s="14" t="s">
        <v>129</v>
      </c>
      <c r="F37" s="15" t="str">
        <f t="shared" si="5"/>
        <v>S/F 250016 Comercial Andora Semanca S.L.</v>
      </c>
      <c r="G37" s="16">
        <v>344.43</v>
      </c>
      <c r="H37" s="17">
        <v>21</v>
      </c>
      <c r="I37" s="18">
        <f t="shared" si="6"/>
        <v>72.330299999999994</v>
      </c>
      <c r="J37" s="17"/>
      <c r="K37" s="18"/>
      <c r="L37" s="16"/>
      <c r="M37" s="17"/>
      <c r="N37" s="18">
        <f t="shared" si="7"/>
        <v>0</v>
      </c>
      <c r="O37" s="19"/>
      <c r="P37" s="18"/>
      <c r="Q37" s="16"/>
      <c r="R37" s="17"/>
      <c r="S37" s="18"/>
      <c r="T37" s="19"/>
      <c r="U37" s="18"/>
      <c r="V37" s="16"/>
      <c r="W37" s="17"/>
      <c r="X37" s="18">
        <f t="shared" si="8"/>
        <v>0</v>
      </c>
      <c r="Y37" s="19"/>
      <c r="Z37" s="19"/>
      <c r="AA37" s="18"/>
      <c r="AB37" s="20">
        <f t="shared" si="9"/>
        <v>416.76030000000003</v>
      </c>
      <c r="AC37" s="5"/>
      <c r="AD37" s="8"/>
      <c r="AF37" s="6"/>
      <c r="AG37" s="7"/>
      <c r="AJ37" s="33"/>
      <c r="AK37" s="35" t="s">
        <v>68</v>
      </c>
      <c r="AL37" s="38"/>
    </row>
    <row r="38" spans="1:38" ht="17.25" customHeight="1">
      <c r="A38" s="25">
        <v>45671</v>
      </c>
      <c r="B38" s="26" t="s">
        <v>163</v>
      </c>
      <c r="C38" s="14"/>
      <c r="D38" s="31" t="s">
        <v>53</v>
      </c>
      <c r="E38" s="14" t="s">
        <v>54</v>
      </c>
      <c r="F38" s="15" t="str">
        <f t="shared" si="5"/>
        <v>S/F 20250054 Láser Levante S.A.</v>
      </c>
      <c r="G38" s="16">
        <v>94.99</v>
      </c>
      <c r="H38" s="17">
        <v>21</v>
      </c>
      <c r="I38" s="18">
        <f t="shared" si="6"/>
        <v>19.947900000000001</v>
      </c>
      <c r="J38" s="17"/>
      <c r="K38" s="18"/>
      <c r="L38" s="16"/>
      <c r="M38" s="17"/>
      <c r="N38" s="18">
        <f t="shared" si="7"/>
        <v>0</v>
      </c>
      <c r="O38" s="19"/>
      <c r="P38" s="18"/>
      <c r="Q38" s="16"/>
      <c r="R38" s="17"/>
      <c r="S38" s="18"/>
      <c r="T38" s="19"/>
      <c r="U38" s="18"/>
      <c r="V38" s="16"/>
      <c r="W38" s="17"/>
      <c r="X38" s="18">
        <f t="shared" si="8"/>
        <v>0</v>
      </c>
      <c r="Y38" s="19"/>
      <c r="Z38" s="19"/>
      <c r="AA38" s="18"/>
      <c r="AB38" s="20">
        <f t="shared" si="9"/>
        <v>114.9379</v>
      </c>
      <c r="AC38" s="5"/>
      <c r="AD38" s="8"/>
      <c r="AF38" s="6"/>
      <c r="AG38" s="7"/>
      <c r="AJ38" s="33"/>
      <c r="AK38" s="35"/>
      <c r="AL38" s="38"/>
    </row>
    <row r="39" spans="1:38" ht="17.25" customHeight="1">
      <c r="A39" s="25">
        <v>45671</v>
      </c>
      <c r="B39" s="26" t="s">
        <v>134</v>
      </c>
      <c r="C39" s="14"/>
      <c r="D39" s="31" t="s">
        <v>135</v>
      </c>
      <c r="E39" s="14" t="s">
        <v>136</v>
      </c>
      <c r="F39" s="15" t="str">
        <f t="shared" si="5"/>
        <v>S/F YE2501EL00008933 The Yellow Energy - NEXUS</v>
      </c>
      <c r="G39" s="16">
        <v>1216.3399999999999</v>
      </c>
      <c r="H39" s="17">
        <v>21</v>
      </c>
      <c r="I39" s="18">
        <f t="shared" si="6"/>
        <v>255.4314</v>
      </c>
      <c r="J39" s="17"/>
      <c r="K39" s="18"/>
      <c r="L39" s="16"/>
      <c r="M39" s="17"/>
      <c r="N39" s="18">
        <f t="shared" si="7"/>
        <v>0</v>
      </c>
      <c r="O39" s="19"/>
      <c r="P39" s="18"/>
      <c r="Q39" s="16"/>
      <c r="R39" s="17"/>
      <c r="S39" s="18"/>
      <c r="T39" s="19"/>
      <c r="U39" s="18"/>
      <c r="V39" s="16"/>
      <c r="W39" s="17"/>
      <c r="X39" s="18">
        <f t="shared" si="8"/>
        <v>0</v>
      </c>
      <c r="Y39" s="19"/>
      <c r="Z39" s="19"/>
      <c r="AA39" s="18"/>
      <c r="AB39" s="20">
        <f t="shared" si="9"/>
        <v>1471.7713999999999</v>
      </c>
      <c r="AC39" s="5"/>
      <c r="AD39" s="8"/>
      <c r="AF39" s="6"/>
      <c r="AG39" s="7"/>
      <c r="AJ39" s="33"/>
      <c r="AK39" s="35" t="s">
        <v>68</v>
      </c>
      <c r="AL39" s="38"/>
    </row>
    <row r="40" spans="1:38" ht="17.25" customHeight="1">
      <c r="A40" s="25">
        <v>45672</v>
      </c>
      <c r="B40" s="26" t="s">
        <v>105</v>
      </c>
      <c r="C40" s="14"/>
      <c r="D40" s="31" t="s">
        <v>106</v>
      </c>
      <c r="E40" s="14" t="s">
        <v>107</v>
      </c>
      <c r="F40" s="15" t="str">
        <f t="shared" si="5"/>
        <v>S/F FVR-250094 Aceros URS S.A.</v>
      </c>
      <c r="G40" s="16">
        <v>2015</v>
      </c>
      <c r="H40" s="17">
        <v>21</v>
      </c>
      <c r="I40" s="18">
        <f t="shared" si="6"/>
        <v>423.15</v>
      </c>
      <c r="J40" s="17"/>
      <c r="K40" s="18"/>
      <c r="L40" s="16"/>
      <c r="M40" s="17"/>
      <c r="N40" s="18">
        <f t="shared" si="7"/>
        <v>0</v>
      </c>
      <c r="O40" s="19"/>
      <c r="P40" s="18"/>
      <c r="Q40" s="16"/>
      <c r="R40" s="17"/>
      <c r="S40" s="18"/>
      <c r="T40" s="19"/>
      <c r="U40" s="18"/>
      <c r="V40" s="16"/>
      <c r="W40" s="17"/>
      <c r="X40" s="18">
        <f t="shared" si="8"/>
        <v>0</v>
      </c>
      <c r="Y40" s="19"/>
      <c r="Z40" s="19"/>
      <c r="AA40" s="18"/>
      <c r="AB40" s="20">
        <f t="shared" si="9"/>
        <v>2438.15</v>
      </c>
      <c r="AC40" s="5"/>
      <c r="AD40" s="8"/>
      <c r="AF40" s="6"/>
      <c r="AG40" s="7"/>
      <c r="AJ40" s="33"/>
      <c r="AK40" s="35"/>
      <c r="AL40" s="38"/>
    </row>
    <row r="41" spans="1:38" ht="17.25" customHeight="1">
      <c r="A41" s="25">
        <v>45672</v>
      </c>
      <c r="B41" s="26" t="s">
        <v>147</v>
      </c>
      <c r="C41" s="14"/>
      <c r="D41" s="31" t="s">
        <v>148</v>
      </c>
      <c r="E41" s="14" t="s">
        <v>149</v>
      </c>
      <c r="F41" s="15" t="str">
        <f t="shared" si="5"/>
        <v>S/F F0900/0073606 Ahorramas S.A.</v>
      </c>
      <c r="G41" s="16">
        <v>10.51</v>
      </c>
      <c r="H41" s="17">
        <v>21</v>
      </c>
      <c r="I41" s="18">
        <f t="shared" si="6"/>
        <v>2.2071000000000001</v>
      </c>
      <c r="J41" s="17"/>
      <c r="K41" s="18"/>
      <c r="L41" s="16">
        <v>25.74</v>
      </c>
      <c r="M41" s="17">
        <v>10</v>
      </c>
      <c r="N41" s="18">
        <f t="shared" si="7"/>
        <v>2.5739999999999998</v>
      </c>
      <c r="O41" s="19"/>
      <c r="P41" s="18"/>
      <c r="Q41" s="16"/>
      <c r="R41" s="17"/>
      <c r="S41" s="18"/>
      <c r="T41" s="19"/>
      <c r="U41" s="18"/>
      <c r="V41" s="16"/>
      <c r="W41" s="17"/>
      <c r="X41" s="18">
        <f t="shared" si="8"/>
        <v>0</v>
      </c>
      <c r="Y41" s="19"/>
      <c r="Z41" s="19"/>
      <c r="AA41" s="18"/>
      <c r="AB41" s="20">
        <f t="shared" si="9"/>
        <v>41.031099999999995</v>
      </c>
      <c r="AC41" s="5"/>
      <c r="AD41" s="8"/>
      <c r="AF41" s="6"/>
      <c r="AG41" s="7"/>
      <c r="AJ41" s="33"/>
      <c r="AK41" s="35" t="s">
        <v>146</v>
      </c>
      <c r="AL41" s="38"/>
    </row>
    <row r="42" spans="1:38" ht="17.25" customHeight="1">
      <c r="A42" s="25">
        <v>45672</v>
      </c>
      <c r="B42" s="26" t="s">
        <v>265</v>
      </c>
      <c r="C42" s="14"/>
      <c r="D42" s="31" t="s">
        <v>266</v>
      </c>
      <c r="E42" s="14" t="s">
        <v>267</v>
      </c>
      <c r="F42" s="15" t="str">
        <f t="shared" si="5"/>
        <v>S/F 25029 Isomas Sistemas S.L.</v>
      </c>
      <c r="G42" s="16">
        <v>540</v>
      </c>
      <c r="H42" s="17">
        <v>21</v>
      </c>
      <c r="I42" s="18">
        <f t="shared" si="6"/>
        <v>113.4</v>
      </c>
      <c r="J42" s="17"/>
      <c r="K42" s="18">
        <f>+IF(G42&lt;&gt;0,G42*J42/100,0)</f>
        <v>0</v>
      </c>
      <c r="L42" s="16"/>
      <c r="M42" s="17"/>
      <c r="N42" s="18">
        <f t="shared" si="7"/>
        <v>0</v>
      </c>
      <c r="O42" s="19"/>
      <c r="P42" s="18"/>
      <c r="Q42" s="16"/>
      <c r="R42" s="17"/>
      <c r="S42" s="18"/>
      <c r="T42" s="19"/>
      <c r="U42" s="18"/>
      <c r="V42" s="16"/>
      <c r="W42" s="17"/>
      <c r="X42" s="18">
        <f t="shared" si="8"/>
        <v>0</v>
      </c>
      <c r="Y42" s="19"/>
      <c r="Z42" s="19"/>
      <c r="AA42" s="18">
        <f>+IF(Z42&lt;&gt;0,Y42*Z42/100,0)</f>
        <v>0</v>
      </c>
      <c r="AB42" s="20">
        <f t="shared" si="9"/>
        <v>653.4</v>
      </c>
      <c r="AC42" s="5"/>
      <c r="AD42" s="8"/>
      <c r="AF42" s="6"/>
      <c r="AG42" s="7"/>
      <c r="AJ42" s="33"/>
      <c r="AK42" s="35"/>
      <c r="AL42" s="38"/>
    </row>
    <row r="43" spans="1:38" ht="17.25" customHeight="1">
      <c r="A43" s="25">
        <v>45672</v>
      </c>
      <c r="B43" s="26" t="s">
        <v>157</v>
      </c>
      <c r="C43" s="14"/>
      <c r="D43" s="31" t="s">
        <v>53</v>
      </c>
      <c r="E43" s="14" t="s">
        <v>54</v>
      </c>
      <c r="F43" s="15" t="str">
        <f t="shared" si="5"/>
        <v>S/F 20250058 Láser Levante S.A.</v>
      </c>
      <c r="G43" s="16">
        <v>54.32</v>
      </c>
      <c r="H43" s="17">
        <v>21</v>
      </c>
      <c r="I43" s="18">
        <f t="shared" si="6"/>
        <v>11.4072</v>
      </c>
      <c r="J43" s="17"/>
      <c r="K43" s="18"/>
      <c r="L43" s="16"/>
      <c r="M43" s="17"/>
      <c r="N43" s="18">
        <f t="shared" si="7"/>
        <v>0</v>
      </c>
      <c r="O43" s="19"/>
      <c r="P43" s="18"/>
      <c r="Q43" s="16"/>
      <c r="R43" s="17"/>
      <c r="S43" s="18"/>
      <c r="T43" s="19"/>
      <c r="U43" s="18"/>
      <c r="V43" s="16"/>
      <c r="W43" s="17"/>
      <c r="X43" s="18">
        <f t="shared" si="8"/>
        <v>0</v>
      </c>
      <c r="Y43" s="19"/>
      <c r="Z43" s="19"/>
      <c r="AA43" s="18"/>
      <c r="AB43" s="20">
        <f t="shared" si="9"/>
        <v>65.727199999999996</v>
      </c>
      <c r="AC43" s="5"/>
      <c r="AD43" s="8"/>
      <c r="AF43" s="6"/>
      <c r="AG43" s="7"/>
      <c r="AJ43" s="33"/>
      <c r="AK43" s="35"/>
      <c r="AL43" s="38"/>
    </row>
    <row r="44" spans="1:38" ht="17.25" customHeight="1">
      <c r="A44" s="25">
        <v>45672</v>
      </c>
      <c r="B44" s="26" t="s">
        <v>158</v>
      </c>
      <c r="C44" s="14"/>
      <c r="D44" s="31" t="s">
        <v>53</v>
      </c>
      <c r="E44" s="14" t="s">
        <v>54</v>
      </c>
      <c r="F44" s="15" t="str">
        <f t="shared" si="5"/>
        <v>S/F 20250076 Láser Levante S.A.</v>
      </c>
      <c r="G44" s="16">
        <v>484.25</v>
      </c>
      <c r="H44" s="17">
        <v>21</v>
      </c>
      <c r="I44" s="18">
        <f t="shared" si="6"/>
        <v>101.6925</v>
      </c>
      <c r="J44" s="17"/>
      <c r="K44" s="18"/>
      <c r="L44" s="16"/>
      <c r="M44" s="17"/>
      <c r="N44" s="18">
        <f t="shared" si="7"/>
        <v>0</v>
      </c>
      <c r="O44" s="19"/>
      <c r="P44" s="18"/>
      <c r="Q44" s="16"/>
      <c r="R44" s="17"/>
      <c r="S44" s="18"/>
      <c r="T44" s="19"/>
      <c r="U44" s="18"/>
      <c r="V44" s="16"/>
      <c r="W44" s="17"/>
      <c r="X44" s="18">
        <f t="shared" si="8"/>
        <v>0</v>
      </c>
      <c r="Y44" s="19"/>
      <c r="Z44" s="19"/>
      <c r="AA44" s="18"/>
      <c r="AB44" s="20">
        <f t="shared" si="9"/>
        <v>585.9425</v>
      </c>
      <c r="AC44" s="5"/>
      <c r="AD44" s="8"/>
      <c r="AF44" s="6"/>
      <c r="AG44" s="7"/>
      <c r="AJ44" s="33"/>
      <c r="AK44" s="35"/>
      <c r="AL44" s="38"/>
    </row>
    <row r="45" spans="1:38" ht="17.25" customHeight="1">
      <c r="A45" s="25">
        <v>45672</v>
      </c>
      <c r="B45" s="26" t="s">
        <v>111</v>
      </c>
      <c r="C45" s="14"/>
      <c r="D45" s="31" t="s">
        <v>112</v>
      </c>
      <c r="E45" s="14" t="s">
        <v>114</v>
      </c>
      <c r="F45" s="15" t="str">
        <f t="shared" si="5"/>
        <v>S/F 1M/2500171 Rodamientos y Servicios S.L.U. - ROYSE</v>
      </c>
      <c r="G45" s="16">
        <v>8.1199999999999992</v>
      </c>
      <c r="H45" s="17">
        <v>21</v>
      </c>
      <c r="I45" s="18">
        <f t="shared" si="6"/>
        <v>1.7051999999999998</v>
      </c>
      <c r="J45" s="17"/>
      <c r="K45" s="18"/>
      <c r="L45" s="16"/>
      <c r="M45" s="17"/>
      <c r="N45" s="18">
        <f t="shared" si="7"/>
        <v>0</v>
      </c>
      <c r="O45" s="19"/>
      <c r="P45" s="18"/>
      <c r="Q45" s="16"/>
      <c r="R45" s="17"/>
      <c r="S45" s="18"/>
      <c r="T45" s="19"/>
      <c r="U45" s="18"/>
      <c r="V45" s="16"/>
      <c r="W45" s="17"/>
      <c r="X45" s="18">
        <f t="shared" si="8"/>
        <v>0</v>
      </c>
      <c r="Y45" s="19"/>
      <c r="Z45" s="19"/>
      <c r="AA45" s="18"/>
      <c r="AB45" s="20">
        <f t="shared" si="9"/>
        <v>9.8251999999999988</v>
      </c>
      <c r="AC45" s="5"/>
      <c r="AD45" s="8"/>
      <c r="AF45" s="6"/>
      <c r="AG45" s="7"/>
      <c r="AJ45" s="33" t="s">
        <v>113</v>
      </c>
      <c r="AK45" s="35"/>
      <c r="AL45" s="38"/>
    </row>
    <row r="46" spans="1:38" ht="17.25" customHeight="1">
      <c r="A46" s="25">
        <v>45672</v>
      </c>
      <c r="B46" s="26" t="s">
        <v>99</v>
      </c>
      <c r="C46" s="14"/>
      <c r="D46" s="31" t="s">
        <v>100</v>
      </c>
      <c r="E46" s="14" t="s">
        <v>101</v>
      </c>
      <c r="F46" s="15" t="str">
        <f t="shared" si="5"/>
        <v>S/F 620064 Tubos y Accesorios de Conducción S.L.</v>
      </c>
      <c r="G46" s="16">
        <v>2056.33</v>
      </c>
      <c r="H46" s="17">
        <v>21</v>
      </c>
      <c r="I46" s="18">
        <f t="shared" si="6"/>
        <v>431.82929999999999</v>
      </c>
      <c r="J46" s="17"/>
      <c r="K46" s="18"/>
      <c r="L46" s="16"/>
      <c r="M46" s="17"/>
      <c r="N46" s="18">
        <f t="shared" si="7"/>
        <v>0</v>
      </c>
      <c r="O46" s="19"/>
      <c r="P46" s="18"/>
      <c r="Q46" s="16"/>
      <c r="R46" s="17"/>
      <c r="S46" s="18"/>
      <c r="T46" s="19"/>
      <c r="U46" s="18"/>
      <c r="V46" s="16"/>
      <c r="W46" s="17"/>
      <c r="X46" s="18">
        <f t="shared" si="8"/>
        <v>0</v>
      </c>
      <c r="Y46" s="19"/>
      <c r="Z46" s="19"/>
      <c r="AA46" s="18"/>
      <c r="AB46" s="20">
        <f t="shared" si="9"/>
        <v>2488.1592999999998</v>
      </c>
      <c r="AC46" s="5"/>
      <c r="AD46" s="8"/>
      <c r="AF46" s="6"/>
      <c r="AG46" s="7"/>
      <c r="AJ46" s="33"/>
      <c r="AK46" s="35"/>
      <c r="AL46" s="38"/>
    </row>
    <row r="47" spans="1:38" ht="17.25" customHeight="1">
      <c r="A47" s="25">
        <v>45673</v>
      </c>
      <c r="B47" s="26" t="s">
        <v>159</v>
      </c>
      <c r="C47" s="14"/>
      <c r="D47" s="31" t="s">
        <v>160</v>
      </c>
      <c r="E47" s="14" t="s">
        <v>161</v>
      </c>
      <c r="F47" s="15" t="str">
        <f t="shared" si="5"/>
        <v>S/F 21250116010451601 Iberdrola Clientes S.A..</v>
      </c>
      <c r="G47" s="16">
        <v>1223.7</v>
      </c>
      <c r="H47" s="17">
        <v>21</v>
      </c>
      <c r="I47" s="18">
        <f t="shared" si="6"/>
        <v>256.97700000000003</v>
      </c>
      <c r="J47" s="17"/>
      <c r="K47" s="18"/>
      <c r="L47" s="16"/>
      <c r="M47" s="17"/>
      <c r="N47" s="18">
        <f t="shared" si="7"/>
        <v>0</v>
      </c>
      <c r="O47" s="19"/>
      <c r="P47" s="18"/>
      <c r="Q47" s="16"/>
      <c r="R47" s="17"/>
      <c r="S47" s="18"/>
      <c r="T47" s="19"/>
      <c r="U47" s="18"/>
      <c r="V47" s="16"/>
      <c r="W47" s="17"/>
      <c r="X47" s="18">
        <f t="shared" si="8"/>
        <v>0</v>
      </c>
      <c r="Y47" s="19"/>
      <c r="Z47" s="19"/>
      <c r="AA47" s="18"/>
      <c r="AB47" s="20">
        <f t="shared" si="9"/>
        <v>1480.6770000000001</v>
      </c>
      <c r="AC47" s="5"/>
      <c r="AD47" s="8"/>
      <c r="AF47" s="6"/>
      <c r="AG47" s="7"/>
      <c r="AJ47" s="33"/>
      <c r="AK47" s="35" t="s">
        <v>68</v>
      </c>
      <c r="AL47" s="38"/>
    </row>
    <row r="48" spans="1:38" ht="17.25" customHeight="1">
      <c r="A48" s="25">
        <v>45673</v>
      </c>
      <c r="B48" s="26" t="s">
        <v>162</v>
      </c>
      <c r="C48" s="14"/>
      <c r="D48" s="31" t="s">
        <v>53</v>
      </c>
      <c r="E48" s="14" t="s">
        <v>54</v>
      </c>
      <c r="F48" s="15" t="str">
        <f t="shared" si="5"/>
        <v>S/F 20250088 Láser Levante S.A.</v>
      </c>
      <c r="G48" s="16">
        <v>79.12</v>
      </c>
      <c r="H48" s="17">
        <v>21</v>
      </c>
      <c r="I48" s="18">
        <f t="shared" si="6"/>
        <v>16.615200000000002</v>
      </c>
      <c r="J48" s="17"/>
      <c r="K48" s="18"/>
      <c r="L48" s="16"/>
      <c r="M48" s="17"/>
      <c r="N48" s="18">
        <f t="shared" si="7"/>
        <v>0</v>
      </c>
      <c r="O48" s="19"/>
      <c r="P48" s="18"/>
      <c r="Q48" s="16"/>
      <c r="R48" s="17"/>
      <c r="S48" s="18"/>
      <c r="T48" s="19"/>
      <c r="U48" s="18"/>
      <c r="V48" s="16"/>
      <c r="W48" s="17"/>
      <c r="X48" s="18">
        <f t="shared" si="8"/>
        <v>0</v>
      </c>
      <c r="Y48" s="19"/>
      <c r="Z48" s="19"/>
      <c r="AA48" s="18"/>
      <c r="AB48" s="20">
        <f t="shared" si="9"/>
        <v>95.735200000000006</v>
      </c>
      <c r="AC48" s="5"/>
      <c r="AD48" s="8"/>
      <c r="AF48" s="6"/>
      <c r="AG48" s="7"/>
      <c r="AJ48" s="33"/>
      <c r="AK48" s="35"/>
      <c r="AL48" s="38"/>
    </row>
    <row r="49" spans="1:38" ht="17.25" customHeight="1">
      <c r="A49" s="25">
        <v>45674</v>
      </c>
      <c r="B49" s="26" t="s">
        <v>172</v>
      </c>
      <c r="C49" s="14"/>
      <c r="D49" s="31" t="s">
        <v>169</v>
      </c>
      <c r="E49" s="14" t="s">
        <v>170</v>
      </c>
      <c r="F49" s="15" t="str">
        <f t="shared" si="5"/>
        <v xml:space="preserve">S/F 12500020 Adimec Desarrollos Técnicos S.L. </v>
      </c>
      <c r="G49" s="16">
        <v>688.8</v>
      </c>
      <c r="H49" s="17">
        <v>21</v>
      </c>
      <c r="I49" s="18">
        <f t="shared" si="6"/>
        <v>144.648</v>
      </c>
      <c r="J49" s="17"/>
      <c r="K49" s="18"/>
      <c r="L49" s="16"/>
      <c r="M49" s="17"/>
      <c r="N49" s="18">
        <f t="shared" si="7"/>
        <v>0</v>
      </c>
      <c r="O49" s="19"/>
      <c r="P49" s="18"/>
      <c r="Q49" s="16"/>
      <c r="R49" s="17"/>
      <c r="S49" s="18"/>
      <c r="T49" s="19"/>
      <c r="U49" s="18"/>
      <c r="V49" s="16"/>
      <c r="W49" s="17"/>
      <c r="X49" s="18">
        <f t="shared" si="8"/>
        <v>0</v>
      </c>
      <c r="Y49" s="19"/>
      <c r="Z49" s="19"/>
      <c r="AA49" s="18"/>
      <c r="AB49" s="20">
        <f t="shared" si="9"/>
        <v>833.44799999999998</v>
      </c>
      <c r="AC49" s="5"/>
      <c r="AD49" s="8"/>
      <c r="AF49" s="6"/>
      <c r="AG49" s="7"/>
      <c r="AJ49" s="33"/>
      <c r="AK49" s="35"/>
      <c r="AL49" s="38"/>
    </row>
    <row r="50" spans="1:38" ht="17.25" customHeight="1">
      <c r="A50" s="25">
        <v>45674</v>
      </c>
      <c r="B50" s="26" t="s">
        <v>171</v>
      </c>
      <c r="C50" s="14"/>
      <c r="D50" s="31" t="s">
        <v>169</v>
      </c>
      <c r="E50" s="14" t="s">
        <v>170</v>
      </c>
      <c r="F50" s="15" t="str">
        <f t="shared" si="5"/>
        <v xml:space="preserve">S/F 12500022 Adimec Desarrollos Técnicos S.L. </v>
      </c>
      <c r="G50" s="16">
        <v>4784</v>
      </c>
      <c r="H50" s="17">
        <v>21</v>
      </c>
      <c r="I50" s="18">
        <f t="shared" si="6"/>
        <v>1004.64</v>
      </c>
      <c r="J50" s="17"/>
      <c r="K50" s="18"/>
      <c r="L50" s="16"/>
      <c r="M50" s="17"/>
      <c r="N50" s="18">
        <f t="shared" si="7"/>
        <v>0</v>
      </c>
      <c r="O50" s="19"/>
      <c r="P50" s="18"/>
      <c r="Q50" s="16"/>
      <c r="R50" s="17"/>
      <c r="S50" s="18"/>
      <c r="T50" s="19"/>
      <c r="U50" s="18"/>
      <c r="V50" s="16"/>
      <c r="W50" s="17"/>
      <c r="X50" s="18">
        <f t="shared" si="8"/>
        <v>0</v>
      </c>
      <c r="Y50" s="19"/>
      <c r="Z50" s="19"/>
      <c r="AA50" s="18"/>
      <c r="AB50" s="20">
        <f t="shared" si="9"/>
        <v>5788.64</v>
      </c>
      <c r="AC50" s="5"/>
      <c r="AD50" s="8"/>
      <c r="AF50" s="6"/>
      <c r="AG50" s="7"/>
      <c r="AJ50" s="33"/>
      <c r="AK50" s="35"/>
      <c r="AL50" s="38"/>
    </row>
    <row r="51" spans="1:38" ht="17.25" customHeight="1">
      <c r="A51" s="25">
        <v>45674</v>
      </c>
      <c r="B51" s="26" t="s">
        <v>173</v>
      </c>
      <c r="C51" s="14"/>
      <c r="D51" s="31" t="s">
        <v>169</v>
      </c>
      <c r="E51" s="14" t="s">
        <v>170</v>
      </c>
      <c r="F51" s="15" t="str">
        <f t="shared" si="5"/>
        <v xml:space="preserve">S/F 12500023 Adimec Desarrollos Técnicos S.L. </v>
      </c>
      <c r="G51" s="16">
        <v>702.3</v>
      </c>
      <c r="H51" s="17">
        <v>21</v>
      </c>
      <c r="I51" s="18">
        <f t="shared" si="6"/>
        <v>147.483</v>
      </c>
      <c r="J51" s="17"/>
      <c r="K51" s="18"/>
      <c r="L51" s="16"/>
      <c r="M51" s="17"/>
      <c r="N51" s="18">
        <f t="shared" si="7"/>
        <v>0</v>
      </c>
      <c r="O51" s="19"/>
      <c r="P51" s="18"/>
      <c r="Q51" s="16"/>
      <c r="R51" s="17"/>
      <c r="S51" s="18"/>
      <c r="T51" s="19"/>
      <c r="U51" s="18"/>
      <c r="V51" s="16"/>
      <c r="W51" s="17"/>
      <c r="X51" s="18">
        <f t="shared" si="8"/>
        <v>0</v>
      </c>
      <c r="Y51" s="19"/>
      <c r="Z51" s="19"/>
      <c r="AA51" s="18"/>
      <c r="AB51" s="20">
        <f t="shared" si="9"/>
        <v>849.7829999999999</v>
      </c>
      <c r="AC51" s="5"/>
      <c r="AD51" s="8"/>
      <c r="AF51" s="6"/>
      <c r="AG51" s="7"/>
      <c r="AJ51" s="33"/>
      <c r="AK51" s="35"/>
      <c r="AL51" s="38"/>
    </row>
    <row r="52" spans="1:38" ht="17.25" customHeight="1">
      <c r="A52" s="25">
        <v>45674</v>
      </c>
      <c r="B52" s="26" t="s">
        <v>194</v>
      </c>
      <c r="C52" s="14"/>
      <c r="D52" s="31" t="s">
        <v>128</v>
      </c>
      <c r="E52" s="14" t="s">
        <v>129</v>
      </c>
      <c r="F52" s="15" t="str">
        <f t="shared" si="5"/>
        <v>S/F 250037 Comercial Andora Semanca S.L.</v>
      </c>
      <c r="G52" s="16">
        <v>104</v>
      </c>
      <c r="H52" s="17">
        <v>21</v>
      </c>
      <c r="I52" s="18">
        <f t="shared" si="6"/>
        <v>21.84</v>
      </c>
      <c r="J52" s="17"/>
      <c r="K52" s="18"/>
      <c r="L52" s="16"/>
      <c r="M52" s="17"/>
      <c r="N52" s="18">
        <f t="shared" si="7"/>
        <v>0</v>
      </c>
      <c r="O52" s="19"/>
      <c r="P52" s="18"/>
      <c r="Q52" s="16"/>
      <c r="R52" s="17"/>
      <c r="S52" s="18"/>
      <c r="T52" s="19"/>
      <c r="U52" s="18"/>
      <c r="V52" s="16"/>
      <c r="W52" s="17"/>
      <c r="X52" s="18">
        <f t="shared" si="8"/>
        <v>0</v>
      </c>
      <c r="Y52" s="19"/>
      <c r="Z52" s="19"/>
      <c r="AA52" s="18"/>
      <c r="AB52" s="20">
        <f t="shared" si="9"/>
        <v>125.84</v>
      </c>
      <c r="AC52" s="5"/>
      <c r="AD52" s="8"/>
      <c r="AF52" s="6"/>
      <c r="AG52" s="7"/>
      <c r="AJ52" s="33"/>
      <c r="AK52" s="35"/>
      <c r="AL52" s="38"/>
    </row>
    <row r="53" spans="1:38" ht="17.25" customHeight="1">
      <c r="A53" s="25">
        <v>45674</v>
      </c>
      <c r="B53" s="26" t="s">
        <v>205</v>
      </c>
      <c r="C53" s="14"/>
      <c r="D53" s="31" t="s">
        <v>206</v>
      </c>
      <c r="E53" s="14" t="s">
        <v>207</v>
      </c>
      <c r="F53" s="15" t="str">
        <f t="shared" si="5"/>
        <v>S/F 20250026 Cortes Levante S.L.</v>
      </c>
      <c r="G53" s="16">
        <v>510</v>
      </c>
      <c r="H53" s="17">
        <v>21</v>
      </c>
      <c r="I53" s="18">
        <f t="shared" si="6"/>
        <v>107.1</v>
      </c>
      <c r="J53" s="17"/>
      <c r="K53" s="18"/>
      <c r="L53" s="16"/>
      <c r="M53" s="17"/>
      <c r="N53" s="18">
        <f t="shared" si="7"/>
        <v>0</v>
      </c>
      <c r="O53" s="19"/>
      <c r="P53" s="18"/>
      <c r="Q53" s="16"/>
      <c r="R53" s="17"/>
      <c r="S53" s="18"/>
      <c r="T53" s="19"/>
      <c r="U53" s="18"/>
      <c r="V53" s="16"/>
      <c r="W53" s="17"/>
      <c r="X53" s="18">
        <f t="shared" si="8"/>
        <v>0</v>
      </c>
      <c r="Y53" s="19"/>
      <c r="Z53" s="19"/>
      <c r="AA53" s="18"/>
      <c r="AB53" s="20">
        <f t="shared" si="9"/>
        <v>617.1</v>
      </c>
      <c r="AC53" s="5"/>
      <c r="AD53" s="8"/>
      <c r="AF53" s="6"/>
      <c r="AG53" s="7"/>
      <c r="AJ53" s="33"/>
      <c r="AK53" s="35"/>
      <c r="AL53" s="38"/>
    </row>
    <row r="54" spans="1:38" ht="17.25" customHeight="1">
      <c r="A54" s="25">
        <v>45674</v>
      </c>
      <c r="B54" s="26" t="s">
        <v>278</v>
      </c>
      <c r="C54" s="14"/>
      <c r="D54" s="31" t="s">
        <v>269</v>
      </c>
      <c r="E54" s="14" t="s">
        <v>270</v>
      </c>
      <c r="F54" s="15" t="str">
        <f t="shared" si="5"/>
        <v>S/F 51 Distribuidora de Galvanizado Madrileña S.L.</v>
      </c>
      <c r="G54" s="16">
        <v>457.5</v>
      </c>
      <c r="H54" s="17">
        <v>21</v>
      </c>
      <c r="I54" s="18">
        <f t="shared" si="6"/>
        <v>96.075000000000003</v>
      </c>
      <c r="J54" s="17"/>
      <c r="K54" s="18">
        <f>+IF(G54&lt;&gt;0,G54*J54/100,0)</f>
        <v>0</v>
      </c>
      <c r="L54" s="16"/>
      <c r="M54" s="17"/>
      <c r="N54" s="18">
        <f t="shared" si="7"/>
        <v>0</v>
      </c>
      <c r="O54" s="19"/>
      <c r="P54" s="18"/>
      <c r="Q54" s="16"/>
      <c r="R54" s="17"/>
      <c r="S54" s="18"/>
      <c r="T54" s="19"/>
      <c r="U54" s="18"/>
      <c r="V54" s="16"/>
      <c r="W54" s="17"/>
      <c r="X54" s="18">
        <f t="shared" si="8"/>
        <v>0</v>
      </c>
      <c r="Y54" s="19"/>
      <c r="Z54" s="19"/>
      <c r="AA54" s="18">
        <f>+IF(Z54&lt;&gt;0,Y54*Z54/100,0)</f>
        <v>0</v>
      </c>
      <c r="AB54" s="20">
        <f t="shared" si="9"/>
        <v>553.57500000000005</v>
      </c>
      <c r="AC54" s="5"/>
      <c r="AD54" s="8"/>
      <c r="AF54" s="6"/>
      <c r="AG54" s="7"/>
      <c r="AJ54" s="33"/>
      <c r="AK54" s="35"/>
      <c r="AL54" s="38"/>
    </row>
    <row r="55" spans="1:38" ht="17.25" customHeight="1">
      <c r="A55" s="25">
        <v>45674</v>
      </c>
      <c r="B55" s="26" t="s">
        <v>122</v>
      </c>
      <c r="C55" s="14"/>
      <c r="D55" s="31" t="s">
        <v>123</v>
      </c>
      <c r="E55" s="14" t="s">
        <v>124</v>
      </c>
      <c r="F55" s="15" t="str">
        <f t="shared" si="5"/>
        <v>S/F 584347 Rejillas Electrosoldadas S.A.U.</v>
      </c>
      <c r="G55" s="16">
        <v>1839.25</v>
      </c>
      <c r="H55" s="17">
        <v>21</v>
      </c>
      <c r="I55" s="18">
        <f t="shared" si="6"/>
        <v>386.24250000000001</v>
      </c>
      <c r="J55" s="17"/>
      <c r="K55" s="18"/>
      <c r="L55" s="16"/>
      <c r="M55" s="17"/>
      <c r="N55" s="18">
        <f t="shared" si="7"/>
        <v>0</v>
      </c>
      <c r="O55" s="19"/>
      <c r="P55" s="18"/>
      <c r="Q55" s="16"/>
      <c r="R55" s="17"/>
      <c r="S55" s="18"/>
      <c r="T55" s="19"/>
      <c r="U55" s="18"/>
      <c r="V55" s="16"/>
      <c r="W55" s="17"/>
      <c r="X55" s="18">
        <f t="shared" si="8"/>
        <v>0</v>
      </c>
      <c r="Y55" s="19"/>
      <c r="Z55" s="19"/>
      <c r="AA55" s="18"/>
      <c r="AB55" s="20">
        <f t="shared" si="9"/>
        <v>2225.4924999999998</v>
      </c>
      <c r="AC55" s="5"/>
      <c r="AD55" s="8"/>
      <c r="AF55" s="6"/>
      <c r="AG55" s="7"/>
      <c r="AJ55" s="33"/>
      <c r="AK55" s="35"/>
      <c r="AL55" s="38"/>
    </row>
    <row r="56" spans="1:38" ht="17.25" customHeight="1">
      <c r="A56" s="25">
        <v>45674</v>
      </c>
      <c r="B56" s="26" t="s">
        <v>125</v>
      </c>
      <c r="C56" s="14"/>
      <c r="D56" s="31" t="s">
        <v>50</v>
      </c>
      <c r="E56" s="14" t="s">
        <v>51</v>
      </c>
      <c r="F56" s="15" t="str">
        <f t="shared" si="5"/>
        <v>S/F 79 Tubos Vega S.L.</v>
      </c>
      <c r="G56" s="16">
        <v>3013.18</v>
      </c>
      <c r="H56" s="17">
        <v>21</v>
      </c>
      <c r="I56" s="18">
        <f t="shared" si="6"/>
        <v>632.76779999999997</v>
      </c>
      <c r="J56" s="17"/>
      <c r="K56" s="18"/>
      <c r="L56" s="16"/>
      <c r="M56" s="17"/>
      <c r="N56" s="18">
        <f t="shared" si="7"/>
        <v>0</v>
      </c>
      <c r="O56" s="19"/>
      <c r="P56" s="18"/>
      <c r="Q56" s="16"/>
      <c r="R56" s="17"/>
      <c r="S56" s="18"/>
      <c r="T56" s="19"/>
      <c r="U56" s="18"/>
      <c r="V56" s="16"/>
      <c r="W56" s="17"/>
      <c r="X56" s="18">
        <f t="shared" si="8"/>
        <v>0</v>
      </c>
      <c r="Y56" s="19"/>
      <c r="Z56" s="19"/>
      <c r="AA56" s="18"/>
      <c r="AB56" s="20">
        <f t="shared" si="9"/>
        <v>3645.9477999999999</v>
      </c>
      <c r="AC56" s="5"/>
      <c r="AD56" s="8"/>
      <c r="AF56" s="6"/>
      <c r="AG56" s="7"/>
      <c r="AJ56" s="33"/>
      <c r="AK56" s="35"/>
      <c r="AL56" s="38"/>
    </row>
    <row r="57" spans="1:38" ht="17.25" customHeight="1">
      <c r="A57" s="25">
        <v>45677</v>
      </c>
      <c r="B57" s="26" t="s">
        <v>164</v>
      </c>
      <c r="C57" s="14"/>
      <c r="D57" s="31" t="s">
        <v>45</v>
      </c>
      <c r="E57" s="14" t="s">
        <v>46</v>
      </c>
      <c r="F57" s="15" t="str">
        <f t="shared" si="5"/>
        <v>S/F 139 Comercial de Chapa Cortada S.L.</v>
      </c>
      <c r="G57" s="16">
        <v>1490</v>
      </c>
      <c r="H57" s="17">
        <v>21</v>
      </c>
      <c r="I57" s="18">
        <f t="shared" si="6"/>
        <v>312.89999999999998</v>
      </c>
      <c r="J57" s="17"/>
      <c r="K57" s="18"/>
      <c r="L57" s="16"/>
      <c r="M57" s="17"/>
      <c r="N57" s="18">
        <f t="shared" si="7"/>
        <v>0</v>
      </c>
      <c r="O57" s="19"/>
      <c r="P57" s="18"/>
      <c r="Q57" s="16"/>
      <c r="R57" s="17"/>
      <c r="S57" s="18"/>
      <c r="T57" s="19"/>
      <c r="U57" s="18"/>
      <c r="V57" s="16"/>
      <c r="W57" s="17"/>
      <c r="X57" s="18">
        <f t="shared" si="8"/>
        <v>0</v>
      </c>
      <c r="Y57" s="19"/>
      <c r="Z57" s="19"/>
      <c r="AA57" s="18"/>
      <c r="AB57" s="20">
        <f t="shared" si="9"/>
        <v>1802.9</v>
      </c>
      <c r="AC57" s="5"/>
      <c r="AD57" s="8"/>
      <c r="AF57" s="6"/>
      <c r="AG57" s="7"/>
      <c r="AJ57" s="33"/>
      <c r="AK57" s="35"/>
      <c r="AL57" s="38"/>
    </row>
    <row r="58" spans="1:38" ht="17.25" customHeight="1">
      <c r="A58" s="25">
        <v>45677</v>
      </c>
      <c r="B58" s="26" t="s">
        <v>208</v>
      </c>
      <c r="C58" s="14"/>
      <c r="D58" s="31" t="s">
        <v>206</v>
      </c>
      <c r="E58" s="14" t="s">
        <v>207</v>
      </c>
      <c r="F58" s="15" t="str">
        <f t="shared" si="5"/>
        <v>S/F 20250033 Cortes Levante S.L.</v>
      </c>
      <c r="G58" s="16">
        <v>176</v>
      </c>
      <c r="H58" s="17">
        <v>21</v>
      </c>
      <c r="I58" s="18">
        <f t="shared" si="6"/>
        <v>36.96</v>
      </c>
      <c r="J58" s="17"/>
      <c r="K58" s="18"/>
      <c r="L58" s="16"/>
      <c r="M58" s="17"/>
      <c r="N58" s="18">
        <f t="shared" si="7"/>
        <v>0</v>
      </c>
      <c r="O58" s="19"/>
      <c r="P58" s="18"/>
      <c r="Q58" s="16"/>
      <c r="R58" s="17"/>
      <c r="S58" s="18"/>
      <c r="T58" s="19"/>
      <c r="U58" s="18"/>
      <c r="V58" s="16"/>
      <c r="W58" s="17"/>
      <c r="X58" s="18">
        <f t="shared" si="8"/>
        <v>0</v>
      </c>
      <c r="Y58" s="19"/>
      <c r="Z58" s="19"/>
      <c r="AA58" s="18"/>
      <c r="AB58" s="20">
        <f t="shared" si="9"/>
        <v>212.96</v>
      </c>
      <c r="AC58" s="5"/>
      <c r="AD58" s="8"/>
      <c r="AF58" s="6"/>
      <c r="AG58" s="7"/>
      <c r="AJ58" s="33"/>
      <c r="AK58" s="35"/>
      <c r="AL58" s="38"/>
    </row>
    <row r="59" spans="1:38" ht="17.25" customHeight="1">
      <c r="A59" s="25">
        <v>45677</v>
      </c>
      <c r="B59" s="26" t="s">
        <v>165</v>
      </c>
      <c r="C59" s="14"/>
      <c r="D59" s="31" t="s">
        <v>166</v>
      </c>
      <c r="E59" s="14" t="s">
        <v>167</v>
      </c>
      <c r="F59" s="15" t="str">
        <f t="shared" si="5"/>
        <v>S/F 314.241 Hierros y Tubos Lorca S.L.</v>
      </c>
      <c r="G59" s="16">
        <v>775.3</v>
      </c>
      <c r="H59" s="17">
        <v>21</v>
      </c>
      <c r="I59" s="18">
        <f t="shared" si="6"/>
        <v>162.81299999999999</v>
      </c>
      <c r="J59" s="17"/>
      <c r="K59" s="18"/>
      <c r="L59" s="16"/>
      <c r="M59" s="17"/>
      <c r="N59" s="18">
        <f t="shared" si="7"/>
        <v>0</v>
      </c>
      <c r="O59" s="19"/>
      <c r="P59" s="18"/>
      <c r="Q59" s="16"/>
      <c r="R59" s="17"/>
      <c r="S59" s="18"/>
      <c r="T59" s="19"/>
      <c r="U59" s="18"/>
      <c r="V59" s="16"/>
      <c r="W59" s="17"/>
      <c r="X59" s="18">
        <f t="shared" si="8"/>
        <v>0</v>
      </c>
      <c r="Y59" s="19"/>
      <c r="Z59" s="19"/>
      <c r="AA59" s="18"/>
      <c r="AB59" s="20">
        <f t="shared" si="9"/>
        <v>938.11299999999994</v>
      </c>
      <c r="AC59" s="5"/>
      <c r="AD59" s="8"/>
      <c r="AF59" s="6"/>
      <c r="AG59" s="7"/>
      <c r="AJ59" s="33"/>
      <c r="AK59" s="35"/>
      <c r="AL59" s="38"/>
    </row>
    <row r="60" spans="1:38" ht="17.25" customHeight="1">
      <c r="A60" s="25">
        <v>45677</v>
      </c>
      <c r="B60" s="26" t="s">
        <v>119</v>
      </c>
      <c r="C60" s="14"/>
      <c r="D60" s="31" t="s">
        <v>56</v>
      </c>
      <c r="E60" s="14" t="s">
        <v>57</v>
      </c>
      <c r="F60" s="15" t="str">
        <f t="shared" si="5"/>
        <v>S/F 750148 Jannone Tubos S.L.</v>
      </c>
      <c r="G60" s="16">
        <v>112.93</v>
      </c>
      <c r="H60" s="17">
        <v>21</v>
      </c>
      <c r="I60" s="18">
        <f t="shared" si="6"/>
        <v>23.715300000000003</v>
      </c>
      <c r="J60" s="17"/>
      <c r="K60" s="18"/>
      <c r="L60" s="16"/>
      <c r="M60" s="17"/>
      <c r="N60" s="18">
        <f t="shared" si="7"/>
        <v>0</v>
      </c>
      <c r="O60" s="19"/>
      <c r="P60" s="18"/>
      <c r="Q60" s="16"/>
      <c r="R60" s="17"/>
      <c r="S60" s="18"/>
      <c r="T60" s="19"/>
      <c r="U60" s="18"/>
      <c r="V60" s="16"/>
      <c r="W60" s="17"/>
      <c r="X60" s="18">
        <f t="shared" si="8"/>
        <v>0</v>
      </c>
      <c r="Y60" s="19"/>
      <c r="Z60" s="19"/>
      <c r="AA60" s="18"/>
      <c r="AB60" s="20">
        <f t="shared" si="9"/>
        <v>136.64530000000002</v>
      </c>
      <c r="AC60" s="5"/>
      <c r="AD60" s="8"/>
      <c r="AF60" s="6"/>
      <c r="AG60" s="7"/>
      <c r="AJ60" s="33"/>
      <c r="AK60" s="35"/>
      <c r="AL60" s="38"/>
    </row>
    <row r="61" spans="1:38" ht="17.25" customHeight="1">
      <c r="A61" s="25">
        <v>45677</v>
      </c>
      <c r="B61" s="26" t="s">
        <v>120</v>
      </c>
      <c r="C61" s="14"/>
      <c r="D61" s="31" t="s">
        <v>56</v>
      </c>
      <c r="E61" s="14" t="s">
        <v>57</v>
      </c>
      <c r="F61" s="15" t="str">
        <f t="shared" si="5"/>
        <v>S/F 750149 Jannone Tubos S.L.</v>
      </c>
      <c r="G61" s="16">
        <v>66.459999999999994</v>
      </c>
      <c r="H61" s="17">
        <v>21</v>
      </c>
      <c r="I61" s="18">
        <f t="shared" si="6"/>
        <v>13.956599999999998</v>
      </c>
      <c r="J61" s="17"/>
      <c r="K61" s="18"/>
      <c r="L61" s="16"/>
      <c r="M61" s="17"/>
      <c r="N61" s="18">
        <f t="shared" si="7"/>
        <v>0</v>
      </c>
      <c r="O61" s="19"/>
      <c r="P61" s="18"/>
      <c r="Q61" s="16"/>
      <c r="R61" s="17"/>
      <c r="S61" s="18"/>
      <c r="T61" s="19"/>
      <c r="U61" s="18"/>
      <c r="V61" s="16"/>
      <c r="W61" s="17"/>
      <c r="X61" s="18">
        <f t="shared" si="8"/>
        <v>0</v>
      </c>
      <c r="Y61" s="19"/>
      <c r="Z61" s="19"/>
      <c r="AA61" s="18"/>
      <c r="AB61" s="20">
        <f t="shared" si="9"/>
        <v>80.416599999999988</v>
      </c>
      <c r="AC61" s="5"/>
      <c r="AD61" s="8"/>
      <c r="AF61" s="6"/>
      <c r="AG61" s="7"/>
      <c r="AJ61" s="33"/>
      <c r="AK61" s="35"/>
      <c r="AL61" s="38"/>
    </row>
    <row r="62" spans="1:38" ht="17.25" customHeight="1">
      <c r="A62" s="25">
        <v>45677</v>
      </c>
      <c r="B62" s="26" t="s">
        <v>121</v>
      </c>
      <c r="C62" s="14"/>
      <c r="D62" s="31" t="s">
        <v>56</v>
      </c>
      <c r="E62" s="14" t="s">
        <v>57</v>
      </c>
      <c r="F62" s="15" t="str">
        <f t="shared" si="5"/>
        <v>S/F 750150 Jannone Tubos S.L.</v>
      </c>
      <c r="G62" s="16">
        <v>25.85</v>
      </c>
      <c r="H62" s="17">
        <v>21</v>
      </c>
      <c r="I62" s="18">
        <f t="shared" si="6"/>
        <v>5.4285000000000005</v>
      </c>
      <c r="J62" s="17"/>
      <c r="K62" s="18"/>
      <c r="L62" s="16"/>
      <c r="M62" s="17"/>
      <c r="N62" s="18">
        <f t="shared" si="7"/>
        <v>0</v>
      </c>
      <c r="O62" s="19"/>
      <c r="P62" s="18"/>
      <c r="Q62" s="16"/>
      <c r="R62" s="17"/>
      <c r="S62" s="18"/>
      <c r="T62" s="19"/>
      <c r="U62" s="18"/>
      <c r="V62" s="16"/>
      <c r="W62" s="17"/>
      <c r="X62" s="18">
        <f t="shared" si="8"/>
        <v>0</v>
      </c>
      <c r="Y62" s="19"/>
      <c r="Z62" s="19"/>
      <c r="AA62" s="18"/>
      <c r="AB62" s="20">
        <f t="shared" si="9"/>
        <v>31.278500000000001</v>
      </c>
      <c r="AC62" s="5"/>
      <c r="AD62" s="8"/>
      <c r="AF62" s="6"/>
      <c r="AG62" s="7"/>
      <c r="AJ62" s="33"/>
      <c r="AK62" s="35"/>
      <c r="AL62" s="38"/>
    </row>
    <row r="63" spans="1:38" ht="17.25" customHeight="1">
      <c r="A63" s="25">
        <v>45677</v>
      </c>
      <c r="B63" s="26" t="s">
        <v>137</v>
      </c>
      <c r="C63" s="14"/>
      <c r="D63" s="31" t="s">
        <v>66</v>
      </c>
      <c r="E63" s="14" t="s">
        <v>67</v>
      </c>
      <c r="F63" s="15" t="str">
        <f t="shared" si="5"/>
        <v>S/F 25-000.377 Morlo e Hijos S.L.</v>
      </c>
      <c r="G63" s="16">
        <v>746.76</v>
      </c>
      <c r="H63" s="17">
        <v>10</v>
      </c>
      <c r="I63" s="18">
        <f t="shared" si="6"/>
        <v>74.676000000000002</v>
      </c>
      <c r="J63" s="17"/>
      <c r="K63" s="18"/>
      <c r="L63" s="16"/>
      <c r="M63" s="17"/>
      <c r="N63" s="18">
        <f t="shared" si="7"/>
        <v>0</v>
      </c>
      <c r="O63" s="19"/>
      <c r="P63" s="18"/>
      <c r="Q63" s="16"/>
      <c r="R63" s="17"/>
      <c r="S63" s="18"/>
      <c r="T63" s="19"/>
      <c r="U63" s="18"/>
      <c r="V63" s="16"/>
      <c r="W63" s="17"/>
      <c r="X63" s="18">
        <f t="shared" si="8"/>
        <v>0</v>
      </c>
      <c r="Y63" s="19"/>
      <c r="Z63" s="19"/>
      <c r="AA63" s="18"/>
      <c r="AB63" s="20">
        <f t="shared" si="9"/>
        <v>821.43600000000004</v>
      </c>
      <c r="AC63" s="5"/>
      <c r="AD63" s="8"/>
      <c r="AF63" s="6"/>
      <c r="AG63" s="7"/>
      <c r="AJ63" s="33" t="s">
        <v>138</v>
      </c>
      <c r="AK63" s="35" t="s">
        <v>68</v>
      </c>
      <c r="AL63" s="38"/>
    </row>
    <row r="64" spans="1:38" ht="17.25" customHeight="1">
      <c r="A64" s="25">
        <v>45679</v>
      </c>
      <c r="B64" s="26" t="s">
        <v>219</v>
      </c>
      <c r="C64" s="14"/>
      <c r="D64" s="31" t="s">
        <v>220</v>
      </c>
      <c r="E64" s="14" t="s">
        <v>221</v>
      </c>
      <c r="F64" s="15" t="str">
        <f t="shared" si="5"/>
        <v>S/F 2025005 Ayllón Calderería S.L.</v>
      </c>
      <c r="G64" s="16">
        <v>1760</v>
      </c>
      <c r="H64" s="17">
        <v>21</v>
      </c>
      <c r="I64" s="18">
        <f t="shared" si="6"/>
        <v>369.6</v>
      </c>
      <c r="J64" s="17"/>
      <c r="K64" s="18"/>
      <c r="L64" s="16"/>
      <c r="M64" s="17"/>
      <c r="N64" s="18">
        <f t="shared" si="7"/>
        <v>0</v>
      </c>
      <c r="O64" s="19"/>
      <c r="P64" s="18"/>
      <c r="Q64" s="16"/>
      <c r="R64" s="17"/>
      <c r="S64" s="18"/>
      <c r="T64" s="19"/>
      <c r="U64" s="18"/>
      <c r="V64" s="16"/>
      <c r="W64" s="17"/>
      <c r="X64" s="18">
        <f t="shared" si="8"/>
        <v>0</v>
      </c>
      <c r="Y64" s="19"/>
      <c r="Z64" s="19"/>
      <c r="AA64" s="18"/>
      <c r="AB64" s="20">
        <f t="shared" si="9"/>
        <v>2129.6</v>
      </c>
      <c r="AC64" s="5"/>
      <c r="AD64" s="8"/>
      <c r="AF64" s="6"/>
      <c r="AG64" s="7"/>
      <c r="AJ64" s="33"/>
      <c r="AK64" s="35"/>
      <c r="AL64" s="38"/>
    </row>
    <row r="65" spans="1:38" ht="17.25" customHeight="1">
      <c r="A65" s="25">
        <v>45680</v>
      </c>
      <c r="B65" s="26" t="s">
        <v>192</v>
      </c>
      <c r="C65" s="14"/>
      <c r="D65" s="31" t="s">
        <v>169</v>
      </c>
      <c r="E65" s="14" t="s">
        <v>170</v>
      </c>
      <c r="F65" s="15" t="str">
        <f t="shared" si="5"/>
        <v xml:space="preserve">S/F 12500030 Adimec Desarrollos Técnicos S.L. </v>
      </c>
      <c r="G65" s="16">
        <v>436</v>
      </c>
      <c r="H65" s="17">
        <v>21</v>
      </c>
      <c r="I65" s="18">
        <f t="shared" si="6"/>
        <v>91.56</v>
      </c>
      <c r="J65" s="17"/>
      <c r="K65" s="18"/>
      <c r="L65" s="16"/>
      <c r="M65" s="17"/>
      <c r="N65" s="18">
        <f t="shared" si="7"/>
        <v>0</v>
      </c>
      <c r="O65" s="19"/>
      <c r="P65" s="18"/>
      <c r="Q65" s="16"/>
      <c r="R65" s="17"/>
      <c r="S65" s="18"/>
      <c r="T65" s="19"/>
      <c r="U65" s="18"/>
      <c r="V65" s="16"/>
      <c r="W65" s="17"/>
      <c r="X65" s="18">
        <f t="shared" si="8"/>
        <v>0</v>
      </c>
      <c r="Y65" s="19"/>
      <c r="Z65" s="19"/>
      <c r="AA65" s="18"/>
      <c r="AB65" s="20">
        <f t="shared" si="9"/>
        <v>527.55999999999995</v>
      </c>
      <c r="AC65" s="5"/>
      <c r="AD65" s="8"/>
      <c r="AF65" s="6"/>
      <c r="AG65" s="7"/>
      <c r="AJ65" s="33"/>
      <c r="AK65" s="35"/>
      <c r="AL65" s="38"/>
    </row>
    <row r="66" spans="1:38" ht="17.25" customHeight="1">
      <c r="A66" s="25">
        <v>45680</v>
      </c>
      <c r="B66" s="26" t="s">
        <v>222</v>
      </c>
      <c r="C66" s="14"/>
      <c r="D66" s="31" t="s">
        <v>223</v>
      </c>
      <c r="E66" s="14" t="s">
        <v>224</v>
      </c>
      <c r="F66" s="15" t="str">
        <f t="shared" ref="F66:F97" si="10">"S/F "&amp;B66&amp;" "&amp;E66</f>
        <v>S/F 004/25 Sinerg Metal S.L.</v>
      </c>
      <c r="G66" s="16">
        <v>956.13</v>
      </c>
      <c r="H66" s="17">
        <v>21</v>
      </c>
      <c r="I66" s="18">
        <f t="shared" ref="I66:I97" si="11">+IF(G66&lt;&gt;0,G66*H66/100,0)</f>
        <v>200.78729999999999</v>
      </c>
      <c r="J66" s="17"/>
      <c r="K66" s="18"/>
      <c r="L66" s="16"/>
      <c r="M66" s="17"/>
      <c r="N66" s="18">
        <f t="shared" ref="N66:N97" si="12">+IF(L66&lt;&gt;0,L66*M66/100,0)</f>
        <v>0</v>
      </c>
      <c r="O66" s="19"/>
      <c r="P66" s="18"/>
      <c r="Q66" s="16"/>
      <c r="R66" s="17"/>
      <c r="S66" s="18"/>
      <c r="T66" s="19"/>
      <c r="U66" s="18"/>
      <c r="V66" s="16"/>
      <c r="W66" s="17"/>
      <c r="X66" s="18">
        <f t="shared" ref="X66:X97" si="13">+IF(W66&lt;&gt;0,V66*W66/100,0)</f>
        <v>0</v>
      </c>
      <c r="Y66" s="19"/>
      <c r="Z66" s="19"/>
      <c r="AA66" s="18"/>
      <c r="AB66" s="20">
        <f t="shared" ref="AB66:AB97" si="14">+G66+I66+K66+L66+N66+P66+Q66+S66+U66-X66-AA66</f>
        <v>1156.9173000000001</v>
      </c>
      <c r="AC66" s="5"/>
      <c r="AD66" s="8"/>
      <c r="AF66" s="6"/>
      <c r="AG66" s="7"/>
      <c r="AJ66" s="33"/>
      <c r="AK66" s="35"/>
      <c r="AL66" s="38"/>
    </row>
    <row r="67" spans="1:38" ht="17.25" customHeight="1">
      <c r="A67" s="25">
        <v>45680</v>
      </c>
      <c r="B67" s="26" t="s">
        <v>189</v>
      </c>
      <c r="C67" s="14"/>
      <c r="D67" s="31" t="s">
        <v>190</v>
      </c>
      <c r="E67" s="14" t="s">
        <v>191</v>
      </c>
      <c r="F67" s="15" t="str">
        <f t="shared" si="10"/>
        <v>S/F 90769384 Thyssenkrupp Materials Ibérica S.A.</v>
      </c>
      <c r="G67" s="16">
        <v>3920.4</v>
      </c>
      <c r="H67" s="17">
        <v>21</v>
      </c>
      <c r="I67" s="18">
        <f t="shared" si="11"/>
        <v>823.28400000000011</v>
      </c>
      <c r="J67" s="17"/>
      <c r="K67" s="18"/>
      <c r="L67" s="16"/>
      <c r="M67" s="17"/>
      <c r="N67" s="18">
        <f t="shared" si="12"/>
        <v>0</v>
      </c>
      <c r="O67" s="19"/>
      <c r="P67" s="18"/>
      <c r="Q67" s="16"/>
      <c r="R67" s="17"/>
      <c r="S67" s="18"/>
      <c r="T67" s="19"/>
      <c r="U67" s="18"/>
      <c r="V67" s="16"/>
      <c r="W67" s="17"/>
      <c r="X67" s="18">
        <f t="shared" si="13"/>
        <v>0</v>
      </c>
      <c r="Y67" s="19"/>
      <c r="Z67" s="19"/>
      <c r="AA67" s="18"/>
      <c r="AB67" s="20">
        <f t="shared" si="14"/>
        <v>4743.6840000000002</v>
      </c>
      <c r="AC67" s="5"/>
      <c r="AD67" s="8"/>
      <c r="AF67" s="6"/>
      <c r="AG67" s="7"/>
      <c r="AJ67" s="33"/>
      <c r="AK67" s="35" t="s">
        <v>68</v>
      </c>
      <c r="AL67" s="38"/>
    </row>
    <row r="68" spans="1:38" ht="17.25" customHeight="1">
      <c r="A68" s="25">
        <v>45681</v>
      </c>
      <c r="B68" s="26" t="s">
        <v>174</v>
      </c>
      <c r="C68" s="14"/>
      <c r="D68" s="31" t="s">
        <v>175</v>
      </c>
      <c r="E68" s="14" t="s">
        <v>176</v>
      </c>
      <c r="F68" s="15" t="str">
        <f t="shared" si="10"/>
        <v>S/F 25-001207 Almacenes Delca S.A.</v>
      </c>
      <c r="G68" s="16">
        <v>39.36</v>
      </c>
      <c r="H68" s="17">
        <v>21</v>
      </c>
      <c r="I68" s="18">
        <f t="shared" si="11"/>
        <v>8.2655999999999992</v>
      </c>
      <c r="J68" s="17"/>
      <c r="K68" s="18"/>
      <c r="L68" s="16"/>
      <c r="M68" s="17"/>
      <c r="N68" s="18">
        <f t="shared" si="12"/>
        <v>0</v>
      </c>
      <c r="O68" s="19"/>
      <c r="P68" s="18"/>
      <c r="Q68" s="16"/>
      <c r="R68" s="17"/>
      <c r="S68" s="18"/>
      <c r="T68" s="19"/>
      <c r="U68" s="18"/>
      <c r="V68" s="16"/>
      <c r="W68" s="17"/>
      <c r="X68" s="18">
        <f t="shared" si="13"/>
        <v>0</v>
      </c>
      <c r="Y68" s="19"/>
      <c r="Z68" s="19"/>
      <c r="AA68" s="18"/>
      <c r="AB68" s="20">
        <f t="shared" si="14"/>
        <v>47.625599999999999</v>
      </c>
      <c r="AC68" s="5"/>
      <c r="AD68" s="8"/>
      <c r="AF68" s="6"/>
      <c r="AG68" s="7"/>
      <c r="AJ68" s="33"/>
      <c r="AK68" s="35"/>
      <c r="AL68" s="38"/>
    </row>
    <row r="69" spans="1:38" ht="17.25" customHeight="1">
      <c r="A69" s="25">
        <v>45681</v>
      </c>
      <c r="B69" s="26" t="s">
        <v>204</v>
      </c>
      <c r="C69" s="14"/>
      <c r="D69" s="31" t="s">
        <v>45</v>
      </c>
      <c r="E69" s="14" t="s">
        <v>46</v>
      </c>
      <c r="F69" s="15" t="str">
        <f t="shared" si="10"/>
        <v>S/F 213 Comercial de Chapa Cortada S.L.</v>
      </c>
      <c r="G69" s="16">
        <v>120</v>
      </c>
      <c r="H69" s="17">
        <v>21</v>
      </c>
      <c r="I69" s="18">
        <f t="shared" si="11"/>
        <v>25.2</v>
      </c>
      <c r="J69" s="17"/>
      <c r="K69" s="18"/>
      <c r="L69" s="16"/>
      <c r="M69" s="17"/>
      <c r="N69" s="18">
        <f t="shared" si="12"/>
        <v>0</v>
      </c>
      <c r="O69" s="19"/>
      <c r="P69" s="18"/>
      <c r="Q69" s="16"/>
      <c r="R69" s="17"/>
      <c r="S69" s="18"/>
      <c r="T69" s="19"/>
      <c r="U69" s="18"/>
      <c r="V69" s="16"/>
      <c r="W69" s="17"/>
      <c r="X69" s="18">
        <f t="shared" si="13"/>
        <v>0</v>
      </c>
      <c r="Y69" s="19"/>
      <c r="Z69" s="19"/>
      <c r="AA69" s="18"/>
      <c r="AB69" s="20">
        <f t="shared" si="14"/>
        <v>145.19999999999999</v>
      </c>
      <c r="AC69" s="5"/>
      <c r="AD69" s="8"/>
      <c r="AF69" s="6"/>
      <c r="AG69" s="7"/>
      <c r="AJ69" s="33"/>
      <c r="AK69" s="35"/>
      <c r="AL69" s="38"/>
    </row>
    <row r="70" spans="1:38" ht="17.25" customHeight="1">
      <c r="A70" s="25">
        <v>45681</v>
      </c>
      <c r="B70" s="26" t="s">
        <v>177</v>
      </c>
      <c r="C70" s="14"/>
      <c r="D70" s="31" t="s">
        <v>178</v>
      </c>
      <c r="E70" s="14" t="s">
        <v>179</v>
      </c>
      <c r="F70" s="15" t="str">
        <f t="shared" si="10"/>
        <v>S/F 2500654 Comercial de Soldadura S.A.</v>
      </c>
      <c r="G70" s="16">
        <v>268.39</v>
      </c>
      <c r="H70" s="17">
        <v>21</v>
      </c>
      <c r="I70" s="18">
        <f t="shared" si="11"/>
        <v>56.361899999999999</v>
      </c>
      <c r="J70" s="17"/>
      <c r="K70" s="18"/>
      <c r="L70" s="16"/>
      <c r="M70" s="17"/>
      <c r="N70" s="18">
        <f t="shared" si="12"/>
        <v>0</v>
      </c>
      <c r="O70" s="19"/>
      <c r="P70" s="18"/>
      <c r="Q70" s="16"/>
      <c r="R70" s="17"/>
      <c r="S70" s="18"/>
      <c r="T70" s="19"/>
      <c r="U70" s="18"/>
      <c r="V70" s="16"/>
      <c r="W70" s="17"/>
      <c r="X70" s="18">
        <f t="shared" si="13"/>
        <v>0</v>
      </c>
      <c r="Y70" s="19"/>
      <c r="Z70" s="19"/>
      <c r="AA70" s="18"/>
      <c r="AB70" s="20">
        <f t="shared" si="14"/>
        <v>324.75189999999998</v>
      </c>
      <c r="AC70" s="5"/>
      <c r="AD70" s="8"/>
      <c r="AF70" s="6"/>
      <c r="AG70" s="7"/>
      <c r="AJ70" s="33"/>
      <c r="AK70" s="35"/>
      <c r="AL70" s="38"/>
    </row>
    <row r="71" spans="1:38" ht="17.25" customHeight="1">
      <c r="A71" s="25">
        <v>45681</v>
      </c>
      <c r="B71" s="26" t="s">
        <v>209</v>
      </c>
      <c r="C71" s="14"/>
      <c r="D71" s="31" t="s">
        <v>206</v>
      </c>
      <c r="E71" s="14" t="s">
        <v>207</v>
      </c>
      <c r="F71" s="15" t="str">
        <f t="shared" si="10"/>
        <v>S/F 20250041 Cortes Levante S.L.</v>
      </c>
      <c r="G71" s="16">
        <v>524.5</v>
      </c>
      <c r="H71" s="17">
        <v>21</v>
      </c>
      <c r="I71" s="18">
        <f t="shared" si="11"/>
        <v>110.145</v>
      </c>
      <c r="J71" s="17"/>
      <c r="K71" s="18"/>
      <c r="L71" s="16"/>
      <c r="M71" s="17"/>
      <c r="N71" s="18">
        <f t="shared" si="12"/>
        <v>0</v>
      </c>
      <c r="O71" s="19"/>
      <c r="P71" s="18"/>
      <c r="Q71" s="16"/>
      <c r="R71" s="17"/>
      <c r="S71" s="18"/>
      <c r="T71" s="19"/>
      <c r="U71" s="18"/>
      <c r="V71" s="16"/>
      <c r="W71" s="17"/>
      <c r="X71" s="18">
        <f t="shared" si="13"/>
        <v>0</v>
      </c>
      <c r="Y71" s="19"/>
      <c r="Z71" s="19"/>
      <c r="AA71" s="18"/>
      <c r="AB71" s="20">
        <f t="shared" si="14"/>
        <v>634.64499999999998</v>
      </c>
      <c r="AC71" s="5"/>
      <c r="AD71" s="8"/>
      <c r="AF71" s="6"/>
      <c r="AG71" s="7"/>
      <c r="AJ71" s="33"/>
      <c r="AK71" s="35"/>
      <c r="AL71" s="38"/>
    </row>
    <row r="72" spans="1:38" ht="17.25" customHeight="1">
      <c r="A72" s="25">
        <v>45681</v>
      </c>
      <c r="B72" s="26" t="s">
        <v>186</v>
      </c>
      <c r="C72" s="14"/>
      <c r="D72" s="31" t="s">
        <v>187</v>
      </c>
      <c r="E72" s="14" t="s">
        <v>188</v>
      </c>
      <c r="F72" s="15" t="str">
        <f t="shared" si="10"/>
        <v>S/F 25011 Fercuse S.L.</v>
      </c>
      <c r="G72" s="16">
        <v>1237.5</v>
      </c>
      <c r="H72" s="17">
        <v>21</v>
      </c>
      <c r="I72" s="18">
        <f t="shared" si="11"/>
        <v>259.875</v>
      </c>
      <c r="J72" s="17"/>
      <c r="K72" s="18"/>
      <c r="L72" s="16"/>
      <c r="M72" s="17"/>
      <c r="N72" s="18">
        <f t="shared" si="12"/>
        <v>0</v>
      </c>
      <c r="O72" s="19"/>
      <c r="P72" s="18"/>
      <c r="Q72" s="16"/>
      <c r="R72" s="17"/>
      <c r="S72" s="18"/>
      <c r="T72" s="19"/>
      <c r="U72" s="18"/>
      <c r="V72" s="16"/>
      <c r="W72" s="17"/>
      <c r="X72" s="18">
        <f t="shared" si="13"/>
        <v>0</v>
      </c>
      <c r="Y72" s="19"/>
      <c r="Z72" s="19"/>
      <c r="AA72" s="18"/>
      <c r="AB72" s="20">
        <f t="shared" si="14"/>
        <v>1497.375</v>
      </c>
      <c r="AC72" s="5"/>
      <c r="AD72" s="8"/>
      <c r="AF72" s="6"/>
      <c r="AG72" s="7"/>
      <c r="AJ72" s="33"/>
      <c r="AK72" s="35"/>
      <c r="AL72" s="38"/>
    </row>
    <row r="73" spans="1:38" ht="17.25" customHeight="1">
      <c r="A73" s="25">
        <v>45681</v>
      </c>
      <c r="B73" s="26" t="s">
        <v>197</v>
      </c>
      <c r="C73" s="14"/>
      <c r="D73" s="31" t="s">
        <v>198</v>
      </c>
      <c r="E73" s="14" t="s">
        <v>199</v>
      </c>
      <c r="F73" s="15" t="str">
        <f t="shared" si="10"/>
        <v>S/F 2025/250018 PBTrans Group</v>
      </c>
      <c r="G73" s="16">
        <v>250</v>
      </c>
      <c r="H73" s="17">
        <v>21</v>
      </c>
      <c r="I73" s="18">
        <f t="shared" si="11"/>
        <v>52.5</v>
      </c>
      <c r="J73" s="17"/>
      <c r="K73" s="18"/>
      <c r="L73" s="16"/>
      <c r="M73" s="17"/>
      <c r="N73" s="18">
        <f t="shared" si="12"/>
        <v>0</v>
      </c>
      <c r="O73" s="19"/>
      <c r="P73" s="18"/>
      <c r="Q73" s="16"/>
      <c r="R73" s="17"/>
      <c r="S73" s="18"/>
      <c r="T73" s="19"/>
      <c r="U73" s="18"/>
      <c r="V73" s="16"/>
      <c r="W73" s="17"/>
      <c r="X73" s="18">
        <f t="shared" si="13"/>
        <v>0</v>
      </c>
      <c r="Y73" s="19"/>
      <c r="Z73" s="19"/>
      <c r="AA73" s="18"/>
      <c r="AB73" s="20">
        <f t="shared" si="14"/>
        <v>302.5</v>
      </c>
      <c r="AC73" s="5"/>
      <c r="AD73" s="8"/>
      <c r="AF73" s="6"/>
      <c r="AG73" s="7"/>
      <c r="AJ73" s="33"/>
      <c r="AK73" s="35"/>
      <c r="AL73" s="38"/>
    </row>
    <row r="74" spans="1:38" ht="17.25" customHeight="1">
      <c r="A74" s="25">
        <v>45681</v>
      </c>
      <c r="B74" s="26" t="s">
        <v>193</v>
      </c>
      <c r="C74" s="14"/>
      <c r="D74" s="31" t="s">
        <v>50</v>
      </c>
      <c r="E74" s="14" t="s">
        <v>51</v>
      </c>
      <c r="F74" s="15" t="str">
        <f t="shared" si="10"/>
        <v>S/F 128 Tubos Vega S.L.</v>
      </c>
      <c r="G74" s="16">
        <v>861.19</v>
      </c>
      <c r="H74" s="17">
        <v>21</v>
      </c>
      <c r="I74" s="18">
        <f t="shared" si="11"/>
        <v>180.84990000000002</v>
      </c>
      <c r="J74" s="17"/>
      <c r="K74" s="18"/>
      <c r="L74" s="16"/>
      <c r="M74" s="17"/>
      <c r="N74" s="18">
        <f t="shared" si="12"/>
        <v>0</v>
      </c>
      <c r="O74" s="19"/>
      <c r="P74" s="18"/>
      <c r="Q74" s="16"/>
      <c r="R74" s="17"/>
      <c r="S74" s="18"/>
      <c r="T74" s="19"/>
      <c r="U74" s="18"/>
      <c r="V74" s="16"/>
      <c r="W74" s="17"/>
      <c r="X74" s="18">
        <f t="shared" si="13"/>
        <v>0</v>
      </c>
      <c r="Y74" s="19"/>
      <c r="Z74" s="19"/>
      <c r="AA74" s="18"/>
      <c r="AB74" s="20">
        <f t="shared" si="14"/>
        <v>1042.0399</v>
      </c>
      <c r="AC74" s="5"/>
      <c r="AD74" s="8"/>
      <c r="AF74" s="6"/>
      <c r="AG74" s="7"/>
      <c r="AJ74" s="33"/>
      <c r="AK74" s="35"/>
      <c r="AL74" s="38"/>
    </row>
    <row r="75" spans="1:38" ht="17.25" customHeight="1">
      <c r="A75" s="25">
        <v>45684</v>
      </c>
      <c r="B75" s="26" t="s">
        <v>84</v>
      </c>
      <c r="C75" s="14"/>
      <c r="D75" s="26" t="s">
        <v>85</v>
      </c>
      <c r="E75" s="14" t="s">
        <v>86</v>
      </c>
      <c r="F75" s="15" t="str">
        <f t="shared" si="10"/>
        <v>S/F 02/025 José Luis Úbeda Sanz &amp; Cía S.R.C.</v>
      </c>
      <c r="G75" s="16">
        <v>7780.39</v>
      </c>
      <c r="H75" s="17">
        <v>21</v>
      </c>
      <c r="I75" s="18">
        <f t="shared" si="11"/>
        <v>1633.8819000000001</v>
      </c>
      <c r="J75" s="17"/>
      <c r="K75" s="18"/>
      <c r="L75" s="16"/>
      <c r="M75" s="17"/>
      <c r="N75" s="18">
        <f t="shared" si="12"/>
        <v>0</v>
      </c>
      <c r="O75" s="19"/>
      <c r="P75" s="18"/>
      <c r="Q75" s="16"/>
      <c r="R75" s="17"/>
      <c r="S75" s="18"/>
      <c r="T75" s="19"/>
      <c r="U75" s="18"/>
      <c r="V75" s="16">
        <v>7780.39</v>
      </c>
      <c r="W75" s="17">
        <v>19</v>
      </c>
      <c r="X75" s="18">
        <f t="shared" si="13"/>
        <v>1478.2741000000001</v>
      </c>
      <c r="Y75" s="19"/>
      <c r="Z75" s="19"/>
      <c r="AA75" s="18"/>
      <c r="AB75" s="20">
        <f t="shared" si="14"/>
        <v>7935.9977999999992</v>
      </c>
      <c r="AC75" s="5"/>
      <c r="AD75" s="8"/>
      <c r="AF75" s="6"/>
      <c r="AG75" s="7"/>
      <c r="AJ75" s="33" t="s">
        <v>87</v>
      </c>
      <c r="AK75" s="35" t="s">
        <v>75</v>
      </c>
      <c r="AL75" s="38"/>
    </row>
    <row r="76" spans="1:38" ht="17.25" customHeight="1">
      <c r="A76" s="25">
        <v>45684</v>
      </c>
      <c r="B76" s="26" t="s">
        <v>249</v>
      </c>
      <c r="C76" s="14"/>
      <c r="D76" s="31" t="s">
        <v>53</v>
      </c>
      <c r="E76" s="14" t="s">
        <v>54</v>
      </c>
      <c r="F76" s="15" t="str">
        <f t="shared" si="10"/>
        <v>S/F 20250151 Láser Levante S.A.</v>
      </c>
      <c r="G76" s="16">
        <v>319.88</v>
      </c>
      <c r="H76" s="17">
        <v>21</v>
      </c>
      <c r="I76" s="18">
        <f t="shared" si="11"/>
        <v>67.174799999999991</v>
      </c>
      <c r="J76" s="17"/>
      <c r="K76" s="18">
        <f>+IF(G76&lt;&gt;0,G76*J76/100,0)</f>
        <v>0</v>
      </c>
      <c r="L76" s="16"/>
      <c r="M76" s="17"/>
      <c r="N76" s="18">
        <f t="shared" si="12"/>
        <v>0</v>
      </c>
      <c r="O76" s="19"/>
      <c r="P76" s="18"/>
      <c r="Q76" s="16"/>
      <c r="R76" s="17"/>
      <c r="S76" s="18"/>
      <c r="T76" s="19"/>
      <c r="U76" s="18"/>
      <c r="V76" s="16"/>
      <c r="W76" s="17"/>
      <c r="X76" s="18">
        <f t="shared" si="13"/>
        <v>0</v>
      </c>
      <c r="Y76" s="19"/>
      <c r="Z76" s="19"/>
      <c r="AA76" s="18">
        <f>+IF(Z76&lt;&gt;0,Y76*Z76/100,0)</f>
        <v>0</v>
      </c>
      <c r="AB76" s="20">
        <f t="shared" si="14"/>
        <v>387.0548</v>
      </c>
      <c r="AC76" s="5"/>
      <c r="AD76" s="8"/>
      <c r="AF76" s="6"/>
      <c r="AG76" s="7"/>
      <c r="AJ76" s="33"/>
      <c r="AK76" s="35"/>
      <c r="AL76" s="38"/>
    </row>
    <row r="77" spans="1:38" ht="17.25" customHeight="1">
      <c r="A77" s="25">
        <v>45684</v>
      </c>
      <c r="B77" s="26" t="s">
        <v>195</v>
      </c>
      <c r="C77" s="14"/>
      <c r="D77" s="31" t="s">
        <v>196</v>
      </c>
      <c r="E77" s="14" t="s">
        <v>287</v>
      </c>
      <c r="F77" s="15" t="str">
        <f t="shared" si="10"/>
        <v>S/F D25/66 Mallas Chapas y Complementos S.L.</v>
      </c>
      <c r="G77" s="16">
        <v>308</v>
      </c>
      <c r="H77" s="17">
        <v>21</v>
      </c>
      <c r="I77" s="18">
        <f t="shared" si="11"/>
        <v>64.680000000000007</v>
      </c>
      <c r="J77" s="17"/>
      <c r="K77" s="18"/>
      <c r="L77" s="16"/>
      <c r="M77" s="17"/>
      <c r="N77" s="18">
        <f t="shared" si="12"/>
        <v>0</v>
      </c>
      <c r="O77" s="19"/>
      <c r="P77" s="18"/>
      <c r="Q77" s="16"/>
      <c r="R77" s="17"/>
      <c r="S77" s="18"/>
      <c r="T77" s="19"/>
      <c r="U77" s="18"/>
      <c r="V77" s="16"/>
      <c r="W77" s="17"/>
      <c r="X77" s="18">
        <f t="shared" si="13"/>
        <v>0</v>
      </c>
      <c r="Y77" s="19"/>
      <c r="Z77" s="19"/>
      <c r="AA77" s="18"/>
      <c r="AB77" s="20">
        <f t="shared" si="14"/>
        <v>372.68</v>
      </c>
      <c r="AC77" s="5"/>
      <c r="AD77" s="8"/>
      <c r="AF77" s="6"/>
      <c r="AG77" s="7"/>
      <c r="AJ77" s="33"/>
      <c r="AK77" s="35"/>
      <c r="AL77" s="38"/>
    </row>
    <row r="78" spans="1:38" ht="17.25" customHeight="1">
      <c r="A78" s="25">
        <v>45684</v>
      </c>
      <c r="B78" s="26" t="s">
        <v>183</v>
      </c>
      <c r="C78" s="14"/>
      <c r="D78" s="31" t="s">
        <v>184</v>
      </c>
      <c r="E78" s="14" t="s">
        <v>185</v>
      </c>
      <c r="F78" s="15" t="str">
        <f t="shared" si="10"/>
        <v>S/F PL25000012 Plataforma Global del Sur S.L.U.</v>
      </c>
      <c r="G78" s="16">
        <v>431.67</v>
      </c>
      <c r="H78" s="17">
        <v>21</v>
      </c>
      <c r="I78" s="18">
        <f t="shared" si="11"/>
        <v>90.650700000000001</v>
      </c>
      <c r="J78" s="17"/>
      <c r="K78" s="18"/>
      <c r="L78" s="16"/>
      <c r="M78" s="17"/>
      <c r="N78" s="18">
        <f t="shared" si="12"/>
        <v>0</v>
      </c>
      <c r="O78" s="19"/>
      <c r="P78" s="18"/>
      <c r="Q78" s="16"/>
      <c r="R78" s="17"/>
      <c r="S78" s="18"/>
      <c r="T78" s="19"/>
      <c r="U78" s="18"/>
      <c r="V78" s="16"/>
      <c r="W78" s="17"/>
      <c r="X78" s="18">
        <f t="shared" si="13"/>
        <v>0</v>
      </c>
      <c r="Y78" s="19"/>
      <c r="Z78" s="19"/>
      <c r="AA78" s="18"/>
      <c r="AB78" s="20">
        <f t="shared" si="14"/>
        <v>522.32069999999999</v>
      </c>
      <c r="AC78" s="5"/>
      <c r="AD78" s="8"/>
      <c r="AF78" s="6"/>
      <c r="AG78" s="7"/>
      <c r="AJ78" s="33"/>
      <c r="AK78" s="35" t="s">
        <v>75</v>
      </c>
      <c r="AL78" s="38"/>
    </row>
    <row r="79" spans="1:38" ht="17.25" customHeight="1">
      <c r="A79" s="25">
        <v>45685</v>
      </c>
      <c r="B79" s="26" t="s">
        <v>248</v>
      </c>
      <c r="C79" s="14"/>
      <c r="D79" s="31" t="s">
        <v>53</v>
      </c>
      <c r="E79" s="14" t="s">
        <v>54</v>
      </c>
      <c r="F79" s="15" t="str">
        <f t="shared" si="10"/>
        <v>S/F 20250162 Láser Levante S.A.</v>
      </c>
      <c r="G79" s="16">
        <v>157.4</v>
      </c>
      <c r="H79" s="17">
        <v>21</v>
      </c>
      <c r="I79" s="18">
        <f t="shared" si="11"/>
        <v>33.054000000000002</v>
      </c>
      <c r="J79" s="17"/>
      <c r="K79" s="18">
        <f>+IF(G79&lt;&gt;0,G79*J79/100,0)</f>
        <v>0</v>
      </c>
      <c r="L79" s="16"/>
      <c r="M79" s="17"/>
      <c r="N79" s="18">
        <f t="shared" si="12"/>
        <v>0</v>
      </c>
      <c r="O79" s="19"/>
      <c r="P79" s="18"/>
      <c r="Q79" s="16"/>
      <c r="R79" s="17"/>
      <c r="S79" s="18"/>
      <c r="T79" s="19"/>
      <c r="U79" s="18"/>
      <c r="V79" s="16"/>
      <c r="W79" s="17"/>
      <c r="X79" s="18">
        <f t="shared" si="13"/>
        <v>0</v>
      </c>
      <c r="Y79" s="19"/>
      <c r="Z79" s="19"/>
      <c r="AA79" s="18">
        <f>+IF(Z79&lt;&gt;0,Y79*Z79/100,0)</f>
        <v>0</v>
      </c>
      <c r="AB79" s="20">
        <f t="shared" si="14"/>
        <v>190.45400000000001</v>
      </c>
      <c r="AC79" s="5"/>
      <c r="AD79" s="8"/>
      <c r="AF79" s="6"/>
      <c r="AG79" s="7"/>
      <c r="AJ79" s="33"/>
      <c r="AK79" s="35"/>
      <c r="AL79" s="38"/>
    </row>
    <row r="80" spans="1:38" ht="17.25" customHeight="1">
      <c r="A80" s="25">
        <v>45685</v>
      </c>
      <c r="B80" s="26" t="s">
        <v>216</v>
      </c>
      <c r="C80" s="14"/>
      <c r="D80" s="31" t="s">
        <v>217</v>
      </c>
      <c r="E80" s="14" t="s">
        <v>218</v>
      </c>
      <c r="F80" s="15" t="str">
        <f t="shared" si="10"/>
        <v>S/F 2025/026 Mantenimientos Snooper S.L.</v>
      </c>
      <c r="G80" s="16">
        <v>832</v>
      </c>
      <c r="H80" s="17">
        <v>21</v>
      </c>
      <c r="I80" s="18">
        <f t="shared" si="11"/>
        <v>174.72</v>
      </c>
      <c r="J80" s="17"/>
      <c r="K80" s="18"/>
      <c r="L80" s="16"/>
      <c r="M80" s="17"/>
      <c r="N80" s="18">
        <f t="shared" si="12"/>
        <v>0</v>
      </c>
      <c r="O80" s="19"/>
      <c r="P80" s="18"/>
      <c r="Q80" s="16"/>
      <c r="R80" s="17"/>
      <c r="S80" s="18"/>
      <c r="T80" s="19"/>
      <c r="U80" s="18"/>
      <c r="V80" s="16"/>
      <c r="W80" s="17"/>
      <c r="X80" s="18">
        <f t="shared" si="13"/>
        <v>0</v>
      </c>
      <c r="Y80" s="19"/>
      <c r="Z80" s="19"/>
      <c r="AA80" s="18"/>
      <c r="AB80" s="20">
        <f t="shared" si="14"/>
        <v>1006.72</v>
      </c>
      <c r="AC80" s="5"/>
      <c r="AD80" s="8"/>
      <c r="AF80" s="6"/>
      <c r="AG80" s="7"/>
      <c r="AJ80" s="33"/>
      <c r="AK80" s="35" t="s">
        <v>68</v>
      </c>
      <c r="AL80" s="38"/>
    </row>
    <row r="81" spans="1:38" ht="17.25" customHeight="1">
      <c r="A81" s="25">
        <v>45686</v>
      </c>
      <c r="B81" s="26" t="s">
        <v>259</v>
      </c>
      <c r="C81" s="14"/>
      <c r="D81" s="31" t="s">
        <v>128</v>
      </c>
      <c r="E81" s="14" t="s">
        <v>129</v>
      </c>
      <c r="F81" s="15" t="str">
        <f t="shared" si="10"/>
        <v>S/F 2500057 Comercial Andora Semanca S.L.</v>
      </c>
      <c r="G81" s="16">
        <v>102</v>
      </c>
      <c r="H81" s="17">
        <v>21</v>
      </c>
      <c r="I81" s="18">
        <f t="shared" si="11"/>
        <v>21.42</v>
      </c>
      <c r="J81" s="17"/>
      <c r="K81" s="18">
        <f>+IF(G81&lt;&gt;0,G81*J81/100,0)</f>
        <v>0</v>
      </c>
      <c r="L81" s="16"/>
      <c r="M81" s="17"/>
      <c r="N81" s="18">
        <f t="shared" si="12"/>
        <v>0</v>
      </c>
      <c r="O81" s="19"/>
      <c r="P81" s="18"/>
      <c r="Q81" s="16"/>
      <c r="R81" s="17"/>
      <c r="S81" s="18"/>
      <c r="T81" s="19"/>
      <c r="U81" s="18"/>
      <c r="V81" s="16"/>
      <c r="W81" s="17"/>
      <c r="X81" s="18">
        <f t="shared" si="13"/>
        <v>0</v>
      </c>
      <c r="Y81" s="19"/>
      <c r="Z81" s="19"/>
      <c r="AA81" s="18">
        <f>+IF(Z81&lt;&gt;0,Y81*Z81/100,0)</f>
        <v>0</v>
      </c>
      <c r="AB81" s="20">
        <f t="shared" si="14"/>
        <v>123.42</v>
      </c>
      <c r="AC81" s="5"/>
      <c r="AD81" s="8"/>
      <c r="AF81" s="6"/>
      <c r="AG81" s="7"/>
      <c r="AJ81" s="33"/>
      <c r="AK81" s="35" t="s">
        <v>68</v>
      </c>
      <c r="AL81" s="38"/>
    </row>
    <row r="82" spans="1:38" ht="17.25" customHeight="1">
      <c r="A82" s="25">
        <v>45686</v>
      </c>
      <c r="B82" s="26" t="s">
        <v>241</v>
      </c>
      <c r="C82" s="14"/>
      <c r="D82" s="31" t="s">
        <v>45</v>
      </c>
      <c r="E82" s="14" t="s">
        <v>46</v>
      </c>
      <c r="F82" s="15" t="str">
        <f t="shared" si="10"/>
        <v>S/F 248 Comercial de Chapa Cortada S.L.</v>
      </c>
      <c r="G82" s="16">
        <v>153</v>
      </c>
      <c r="H82" s="17">
        <v>21</v>
      </c>
      <c r="I82" s="18">
        <f t="shared" si="11"/>
        <v>32.130000000000003</v>
      </c>
      <c r="J82" s="17"/>
      <c r="K82" s="18">
        <f>+IF(G82&lt;&gt;0,G82*J82/100,0)</f>
        <v>0</v>
      </c>
      <c r="L82" s="16"/>
      <c r="M82" s="17"/>
      <c r="N82" s="18">
        <f t="shared" si="12"/>
        <v>0</v>
      </c>
      <c r="O82" s="19"/>
      <c r="P82" s="18"/>
      <c r="Q82" s="16"/>
      <c r="R82" s="17"/>
      <c r="S82" s="18"/>
      <c r="T82" s="19"/>
      <c r="U82" s="18"/>
      <c r="V82" s="16"/>
      <c r="W82" s="17"/>
      <c r="X82" s="18">
        <f t="shared" si="13"/>
        <v>0</v>
      </c>
      <c r="Y82" s="19"/>
      <c r="Z82" s="19"/>
      <c r="AA82" s="18">
        <f>+IF(Z82&lt;&gt;0,Y82*Z82/100,0)</f>
        <v>0</v>
      </c>
      <c r="AB82" s="20">
        <f t="shared" si="14"/>
        <v>185.13</v>
      </c>
      <c r="AC82" s="5"/>
      <c r="AD82" s="8"/>
      <c r="AF82" s="6"/>
      <c r="AG82" s="7"/>
      <c r="AJ82" s="33"/>
      <c r="AK82" s="35"/>
      <c r="AL82" s="38"/>
    </row>
    <row r="83" spans="1:38" ht="17.25" customHeight="1">
      <c r="A83" s="25">
        <v>45686</v>
      </c>
      <c r="B83" s="26" t="s">
        <v>268</v>
      </c>
      <c r="C83" s="14"/>
      <c r="D83" s="31" t="s">
        <v>269</v>
      </c>
      <c r="E83" s="14" t="s">
        <v>270</v>
      </c>
      <c r="F83" s="15" t="str">
        <f t="shared" si="10"/>
        <v>S/F 102 Distribuidora de Galvanizado Madrileña S.L.</v>
      </c>
      <c r="G83" s="16">
        <v>872.3</v>
      </c>
      <c r="H83" s="17">
        <v>21</v>
      </c>
      <c r="I83" s="18">
        <f t="shared" si="11"/>
        <v>183.18299999999999</v>
      </c>
      <c r="J83" s="17"/>
      <c r="K83" s="18">
        <f>+IF(G83&lt;&gt;0,G83*J83/100,0)</f>
        <v>0</v>
      </c>
      <c r="L83" s="16"/>
      <c r="M83" s="17"/>
      <c r="N83" s="18">
        <f t="shared" si="12"/>
        <v>0</v>
      </c>
      <c r="O83" s="19"/>
      <c r="P83" s="18"/>
      <c r="Q83" s="16"/>
      <c r="R83" s="17"/>
      <c r="S83" s="18"/>
      <c r="T83" s="19"/>
      <c r="U83" s="18"/>
      <c r="V83" s="16"/>
      <c r="W83" s="17"/>
      <c r="X83" s="18">
        <f t="shared" si="13"/>
        <v>0</v>
      </c>
      <c r="Y83" s="19"/>
      <c r="Z83" s="19"/>
      <c r="AA83" s="18">
        <f>+IF(Z83&lt;&gt;0,Y83*Z83/100,0)</f>
        <v>0</v>
      </c>
      <c r="AB83" s="20">
        <f t="shared" si="14"/>
        <v>1055.4829999999999</v>
      </c>
      <c r="AC83" s="5"/>
      <c r="AD83" s="8"/>
      <c r="AF83" s="6"/>
      <c r="AG83" s="7"/>
      <c r="AJ83" s="33"/>
      <c r="AK83" s="35"/>
      <c r="AL83" s="38"/>
    </row>
    <row r="84" spans="1:38" ht="17.25" customHeight="1">
      <c r="A84" s="25">
        <v>45686</v>
      </c>
      <c r="B84" s="26" t="s">
        <v>237</v>
      </c>
      <c r="C84" s="14"/>
      <c r="D84" s="31" t="s">
        <v>53</v>
      </c>
      <c r="E84" s="14" t="s">
        <v>54</v>
      </c>
      <c r="F84" s="15" t="str">
        <f t="shared" si="10"/>
        <v>S/F 20250173 Láser Levante S.A.</v>
      </c>
      <c r="G84" s="16">
        <v>1124.72</v>
      </c>
      <c r="H84" s="17">
        <v>21</v>
      </c>
      <c r="I84" s="18">
        <f t="shared" si="11"/>
        <v>236.19119999999998</v>
      </c>
      <c r="J84" s="17"/>
      <c r="K84" s="18"/>
      <c r="L84" s="16"/>
      <c r="M84" s="17"/>
      <c r="N84" s="18">
        <f t="shared" si="12"/>
        <v>0</v>
      </c>
      <c r="O84" s="19"/>
      <c r="P84" s="18"/>
      <c r="Q84" s="16"/>
      <c r="R84" s="17"/>
      <c r="S84" s="18"/>
      <c r="T84" s="19"/>
      <c r="U84" s="18"/>
      <c r="V84" s="16"/>
      <c r="W84" s="17"/>
      <c r="X84" s="18">
        <f t="shared" si="13"/>
        <v>0</v>
      </c>
      <c r="Y84" s="19"/>
      <c r="Z84" s="19"/>
      <c r="AA84" s="18"/>
      <c r="AB84" s="20">
        <f t="shared" si="14"/>
        <v>1360.9112</v>
      </c>
      <c r="AC84" s="5"/>
      <c r="AD84" s="8"/>
      <c r="AF84" s="6"/>
      <c r="AG84" s="7"/>
      <c r="AJ84" s="33"/>
      <c r="AK84" s="35"/>
      <c r="AL84" s="38"/>
    </row>
    <row r="85" spans="1:38" ht="17.25" customHeight="1">
      <c r="A85" s="25">
        <v>45686</v>
      </c>
      <c r="B85" s="26" t="s">
        <v>213</v>
      </c>
      <c r="C85" s="14"/>
      <c r="D85" s="31" t="s">
        <v>66</v>
      </c>
      <c r="E85" s="14" t="s">
        <v>67</v>
      </c>
      <c r="F85" s="15" t="str">
        <f t="shared" si="10"/>
        <v>S/F A7-000.011 Morlo e Hijos S.L.</v>
      </c>
      <c r="G85" s="16">
        <v>-12</v>
      </c>
      <c r="H85" s="17">
        <v>10</v>
      </c>
      <c r="I85" s="18">
        <f t="shared" si="11"/>
        <v>-1.2</v>
      </c>
      <c r="J85" s="17"/>
      <c r="K85" s="18"/>
      <c r="L85" s="16"/>
      <c r="M85" s="17"/>
      <c r="N85" s="18">
        <f t="shared" si="12"/>
        <v>0</v>
      </c>
      <c r="O85" s="19"/>
      <c r="P85" s="18"/>
      <c r="Q85" s="16"/>
      <c r="R85" s="17"/>
      <c r="S85" s="18"/>
      <c r="T85" s="19"/>
      <c r="U85" s="18"/>
      <c r="V85" s="16"/>
      <c r="W85" s="17"/>
      <c r="X85" s="18">
        <f t="shared" si="13"/>
        <v>0</v>
      </c>
      <c r="Y85" s="19"/>
      <c r="Z85" s="19"/>
      <c r="AA85" s="18"/>
      <c r="AB85" s="20">
        <f t="shared" si="14"/>
        <v>-13.2</v>
      </c>
      <c r="AC85" s="5"/>
      <c r="AD85" s="8"/>
      <c r="AF85" s="6"/>
      <c r="AG85" s="7"/>
      <c r="AJ85" s="33" t="s">
        <v>214</v>
      </c>
      <c r="AK85" s="35" t="s">
        <v>215</v>
      </c>
      <c r="AL85" s="38"/>
    </row>
    <row r="86" spans="1:38" ht="17.25" customHeight="1">
      <c r="A86" s="25">
        <v>45686</v>
      </c>
      <c r="B86" s="26" t="s">
        <v>210</v>
      </c>
      <c r="C86" s="14"/>
      <c r="D86" s="31" t="s">
        <v>211</v>
      </c>
      <c r="E86" s="14" t="s">
        <v>212</v>
      </c>
      <c r="F86" s="15" t="str">
        <f t="shared" si="10"/>
        <v>S/F 5361 Nakal Soluciones S.L.</v>
      </c>
      <c r="G86" s="16">
        <v>94.11</v>
      </c>
      <c r="H86" s="17">
        <v>21</v>
      </c>
      <c r="I86" s="18">
        <f t="shared" si="11"/>
        <v>19.763099999999998</v>
      </c>
      <c r="J86" s="17"/>
      <c r="K86" s="18"/>
      <c r="L86" s="16"/>
      <c r="M86" s="17"/>
      <c r="N86" s="18">
        <f t="shared" si="12"/>
        <v>0</v>
      </c>
      <c r="O86" s="19"/>
      <c r="P86" s="18"/>
      <c r="Q86" s="16"/>
      <c r="R86" s="17"/>
      <c r="S86" s="18"/>
      <c r="T86" s="19"/>
      <c r="U86" s="18"/>
      <c r="V86" s="16"/>
      <c r="W86" s="17"/>
      <c r="X86" s="18">
        <f t="shared" si="13"/>
        <v>0</v>
      </c>
      <c r="Y86" s="19"/>
      <c r="Z86" s="19"/>
      <c r="AA86" s="18"/>
      <c r="AB86" s="20">
        <f t="shared" si="14"/>
        <v>113.87309999999999</v>
      </c>
      <c r="AC86" s="5"/>
      <c r="AD86" s="8"/>
      <c r="AF86" s="6"/>
      <c r="AG86" s="7"/>
      <c r="AJ86" s="33"/>
      <c r="AK86" s="35" t="s">
        <v>68</v>
      </c>
      <c r="AL86" s="38"/>
    </row>
    <row r="87" spans="1:38" ht="17.25" customHeight="1">
      <c r="A87" s="25">
        <v>45687</v>
      </c>
      <c r="B87" s="26" t="s">
        <v>275</v>
      </c>
      <c r="C87" s="14"/>
      <c r="D87" s="31" t="s">
        <v>276</v>
      </c>
      <c r="E87" s="14" t="s">
        <v>277</v>
      </c>
      <c r="F87" s="15" t="str">
        <f t="shared" si="10"/>
        <v>S/F 250015 Sean Suministros Industriales C.B.</v>
      </c>
      <c r="G87" s="16">
        <v>971.53</v>
      </c>
      <c r="H87" s="17">
        <v>21</v>
      </c>
      <c r="I87" s="18">
        <f t="shared" si="11"/>
        <v>204.0213</v>
      </c>
      <c r="J87" s="17"/>
      <c r="K87" s="18">
        <f>+IF(G87&lt;&gt;0,G87*J87/100,0)</f>
        <v>0</v>
      </c>
      <c r="L87" s="16"/>
      <c r="M87" s="17"/>
      <c r="N87" s="18">
        <f t="shared" si="12"/>
        <v>0</v>
      </c>
      <c r="O87" s="19"/>
      <c r="P87" s="18"/>
      <c r="Q87" s="16"/>
      <c r="R87" s="17"/>
      <c r="S87" s="18"/>
      <c r="T87" s="19"/>
      <c r="U87" s="18"/>
      <c r="V87" s="16"/>
      <c r="W87" s="17"/>
      <c r="X87" s="18">
        <f t="shared" si="13"/>
        <v>0</v>
      </c>
      <c r="Y87" s="19"/>
      <c r="Z87" s="19"/>
      <c r="AA87" s="18">
        <f>+IF(Z87&lt;&gt;0,Y87*Z87/100,0)</f>
        <v>0</v>
      </c>
      <c r="AB87" s="20">
        <f t="shared" si="14"/>
        <v>1175.5513000000001</v>
      </c>
      <c r="AC87" s="5"/>
      <c r="AD87" s="8"/>
      <c r="AF87" s="6"/>
      <c r="AG87" s="7"/>
      <c r="AJ87" s="33"/>
      <c r="AK87" s="35"/>
      <c r="AL87" s="38"/>
    </row>
    <row r="88" spans="1:38" ht="17.25" customHeight="1">
      <c r="A88" s="25">
        <v>45688</v>
      </c>
      <c r="B88" s="26" t="s">
        <v>243</v>
      </c>
      <c r="C88" s="14"/>
      <c r="D88" s="31" t="s">
        <v>169</v>
      </c>
      <c r="E88" s="14" t="s">
        <v>170</v>
      </c>
      <c r="F88" s="15" t="str">
        <f t="shared" si="10"/>
        <v xml:space="preserve">S/F 12500047 Adimec Desarrollos Técnicos S.L. </v>
      </c>
      <c r="G88" s="16">
        <v>480</v>
      </c>
      <c r="H88" s="17">
        <v>21</v>
      </c>
      <c r="I88" s="18">
        <f t="shared" si="11"/>
        <v>100.8</v>
      </c>
      <c r="J88" s="17"/>
      <c r="K88" s="18">
        <f>+IF(G88&lt;&gt;0,G88*J88/100,0)</f>
        <v>0</v>
      </c>
      <c r="L88" s="16"/>
      <c r="M88" s="17"/>
      <c r="N88" s="18">
        <f t="shared" si="12"/>
        <v>0</v>
      </c>
      <c r="O88" s="19"/>
      <c r="P88" s="18"/>
      <c r="Q88" s="16"/>
      <c r="R88" s="17"/>
      <c r="S88" s="18"/>
      <c r="T88" s="19"/>
      <c r="U88" s="18"/>
      <c r="V88" s="16"/>
      <c r="W88" s="17"/>
      <c r="X88" s="18">
        <f t="shared" si="13"/>
        <v>0</v>
      </c>
      <c r="Y88" s="19"/>
      <c r="Z88" s="19"/>
      <c r="AA88" s="18">
        <f>+IF(Z88&lt;&gt;0,Y88*Z88/100,0)</f>
        <v>0</v>
      </c>
      <c r="AB88" s="20">
        <f t="shared" si="14"/>
        <v>580.79999999999995</v>
      </c>
      <c r="AC88" s="5"/>
      <c r="AD88" s="8"/>
      <c r="AF88" s="6"/>
      <c r="AG88" s="7"/>
      <c r="AJ88" s="33"/>
      <c r="AK88" s="35"/>
      <c r="AL88" s="38"/>
    </row>
    <row r="89" spans="1:38" ht="17.25" customHeight="1">
      <c r="A89" s="25">
        <v>45688</v>
      </c>
      <c r="B89" s="26" t="s">
        <v>242</v>
      </c>
      <c r="C89" s="14"/>
      <c r="D89" s="31" t="s">
        <v>45</v>
      </c>
      <c r="E89" s="14" t="s">
        <v>46</v>
      </c>
      <c r="F89" s="15" t="str">
        <f t="shared" si="10"/>
        <v>S/F 307 Comercial de Chapa Cortada S.L.</v>
      </c>
      <c r="G89" s="16">
        <v>409.45</v>
      </c>
      <c r="H89" s="17">
        <v>21</v>
      </c>
      <c r="I89" s="18">
        <f t="shared" si="11"/>
        <v>85.984499999999983</v>
      </c>
      <c r="J89" s="17"/>
      <c r="K89" s="18">
        <f>+IF(G89&lt;&gt;0,G89*J89/100,0)</f>
        <v>0</v>
      </c>
      <c r="L89" s="16"/>
      <c r="M89" s="17"/>
      <c r="N89" s="18">
        <f t="shared" si="12"/>
        <v>0</v>
      </c>
      <c r="O89" s="19"/>
      <c r="P89" s="18"/>
      <c r="Q89" s="16"/>
      <c r="R89" s="17"/>
      <c r="S89" s="18"/>
      <c r="T89" s="19"/>
      <c r="U89" s="18"/>
      <c r="V89" s="16"/>
      <c r="W89" s="17"/>
      <c r="X89" s="18">
        <f t="shared" si="13"/>
        <v>0</v>
      </c>
      <c r="Y89" s="19"/>
      <c r="Z89" s="19"/>
      <c r="AA89" s="18">
        <f>+IF(Z89&lt;&gt;0,Y89*Z89/100,0)</f>
        <v>0</v>
      </c>
      <c r="AB89" s="20">
        <f t="shared" si="14"/>
        <v>495.43449999999996</v>
      </c>
      <c r="AC89" s="5"/>
      <c r="AD89" s="8"/>
      <c r="AF89" s="6"/>
      <c r="AG89" s="7"/>
      <c r="AJ89" s="33"/>
      <c r="AK89" s="35"/>
      <c r="AL89" s="38"/>
    </row>
    <row r="90" spans="1:38" ht="17.25" customHeight="1">
      <c r="A90" s="25">
        <v>45688</v>
      </c>
      <c r="B90" s="26" t="s">
        <v>245</v>
      </c>
      <c r="C90" s="14"/>
      <c r="D90" s="31" t="s">
        <v>246</v>
      </c>
      <c r="E90" s="14" t="s">
        <v>247</v>
      </c>
      <c r="F90" s="15" t="str">
        <f t="shared" si="10"/>
        <v>S/F FV-25-00358 Cortes Metalúrgicos Oviedo S.L.</v>
      </c>
      <c r="G90" s="16">
        <v>1390.16</v>
      </c>
      <c r="H90" s="17">
        <v>21</v>
      </c>
      <c r="I90" s="18">
        <f t="shared" si="11"/>
        <v>291.93360000000001</v>
      </c>
      <c r="J90" s="17"/>
      <c r="K90" s="18">
        <f>+IF(G90&lt;&gt;0,G90*J90/100,0)</f>
        <v>0</v>
      </c>
      <c r="L90" s="16"/>
      <c r="M90" s="17"/>
      <c r="N90" s="18">
        <f t="shared" si="12"/>
        <v>0</v>
      </c>
      <c r="O90" s="19"/>
      <c r="P90" s="18"/>
      <c r="Q90" s="16"/>
      <c r="R90" s="17"/>
      <c r="S90" s="18"/>
      <c r="T90" s="19"/>
      <c r="U90" s="18"/>
      <c r="V90" s="16"/>
      <c r="W90" s="17"/>
      <c r="X90" s="18">
        <f t="shared" si="13"/>
        <v>0</v>
      </c>
      <c r="Y90" s="19"/>
      <c r="Z90" s="19"/>
      <c r="AA90" s="18">
        <f>+IF(Z90&lt;&gt;0,Y90*Z90/100,0)</f>
        <v>0</v>
      </c>
      <c r="AB90" s="20">
        <f t="shared" si="14"/>
        <v>1682.0936000000002</v>
      </c>
      <c r="AC90" s="5"/>
      <c r="AD90" s="8"/>
      <c r="AF90" s="6"/>
      <c r="AG90" s="7"/>
      <c r="AJ90" s="33"/>
      <c r="AK90" s="35"/>
      <c r="AL90" s="38"/>
    </row>
    <row r="91" spans="1:38" ht="17.25" customHeight="1">
      <c r="A91" s="25">
        <v>45688</v>
      </c>
      <c r="B91" s="26" t="s">
        <v>250</v>
      </c>
      <c r="C91" s="14"/>
      <c r="D91" s="31" t="s">
        <v>251</v>
      </c>
      <c r="E91" s="14" t="s">
        <v>252</v>
      </c>
      <c r="F91" s="15" t="str">
        <f t="shared" si="10"/>
        <v>S/F 176 Hierros Colmenar S.A.</v>
      </c>
      <c r="G91" s="16">
        <v>336.85</v>
      </c>
      <c r="H91" s="17">
        <v>21</v>
      </c>
      <c r="I91" s="18">
        <f t="shared" si="11"/>
        <v>70.738500000000002</v>
      </c>
      <c r="J91" s="17"/>
      <c r="K91" s="18">
        <f>+IF(G91&lt;&gt;0,G91*J91/100,0)</f>
        <v>0</v>
      </c>
      <c r="L91" s="16"/>
      <c r="M91" s="17"/>
      <c r="N91" s="18">
        <f t="shared" si="12"/>
        <v>0</v>
      </c>
      <c r="O91" s="19"/>
      <c r="P91" s="18"/>
      <c r="Q91" s="16"/>
      <c r="R91" s="17"/>
      <c r="S91" s="18"/>
      <c r="T91" s="19"/>
      <c r="U91" s="18"/>
      <c r="V91" s="16"/>
      <c r="W91" s="17"/>
      <c r="X91" s="18">
        <f t="shared" si="13"/>
        <v>0</v>
      </c>
      <c r="Y91" s="19"/>
      <c r="Z91" s="19"/>
      <c r="AA91" s="18">
        <f>+IF(Z91&lt;&gt;0,Y91*Z91/100,0)</f>
        <v>0</v>
      </c>
      <c r="AB91" s="20">
        <f t="shared" si="14"/>
        <v>407.58850000000001</v>
      </c>
      <c r="AC91" s="5"/>
      <c r="AD91" s="8"/>
      <c r="AF91" s="6"/>
      <c r="AG91" s="7"/>
      <c r="AJ91" s="33"/>
      <c r="AK91" s="35"/>
      <c r="AL91" s="38"/>
    </row>
    <row r="92" spans="1:38" ht="17.25" customHeight="1">
      <c r="A92" s="25">
        <v>45688</v>
      </c>
      <c r="B92" s="26" t="s">
        <v>236</v>
      </c>
      <c r="C92" s="14"/>
      <c r="D92" s="31" t="s">
        <v>166</v>
      </c>
      <c r="E92" s="14" t="s">
        <v>167</v>
      </c>
      <c r="F92" s="15" t="str">
        <f t="shared" si="10"/>
        <v>S/F 314914 Hierros y Tubos Lorca S.L.</v>
      </c>
      <c r="G92" s="16">
        <v>170.9</v>
      </c>
      <c r="H92" s="17">
        <v>21</v>
      </c>
      <c r="I92" s="18">
        <f t="shared" si="11"/>
        <v>35.889000000000003</v>
      </c>
      <c r="J92" s="17"/>
      <c r="K92" s="18"/>
      <c r="L92" s="16"/>
      <c r="M92" s="17"/>
      <c r="N92" s="18">
        <f t="shared" si="12"/>
        <v>0</v>
      </c>
      <c r="O92" s="19"/>
      <c r="P92" s="18"/>
      <c r="Q92" s="16"/>
      <c r="R92" s="17"/>
      <c r="S92" s="18"/>
      <c r="T92" s="19"/>
      <c r="U92" s="18"/>
      <c r="V92" s="16"/>
      <c r="W92" s="17"/>
      <c r="X92" s="18">
        <f t="shared" si="13"/>
        <v>0</v>
      </c>
      <c r="Y92" s="19"/>
      <c r="Z92" s="19"/>
      <c r="AA92" s="18"/>
      <c r="AB92" s="20">
        <f t="shared" si="14"/>
        <v>206.78900000000002</v>
      </c>
      <c r="AC92" s="5"/>
      <c r="AD92" s="8"/>
      <c r="AF92" s="6"/>
      <c r="AG92" s="7"/>
      <c r="AJ92" s="33"/>
      <c r="AK92" s="35"/>
      <c r="AL92" s="38"/>
    </row>
    <row r="93" spans="1:38" ht="17.25" customHeight="1">
      <c r="A93" s="25">
        <v>45688</v>
      </c>
      <c r="B93" s="26" t="s">
        <v>256</v>
      </c>
      <c r="C93" s="14"/>
      <c r="D93" s="31" t="s">
        <v>257</v>
      </c>
      <c r="E93" s="14" t="s">
        <v>258</v>
      </c>
      <c r="F93" s="15" t="str">
        <f t="shared" si="10"/>
        <v>S/F 25022 Induolmasa S.A.</v>
      </c>
      <c r="G93" s="16">
        <v>346.54</v>
      </c>
      <c r="H93" s="17">
        <v>21</v>
      </c>
      <c r="I93" s="18">
        <f t="shared" si="11"/>
        <v>72.773399999999995</v>
      </c>
      <c r="J93" s="17"/>
      <c r="K93" s="18">
        <f>+IF(G93&lt;&gt;0,G93*J93/100,0)</f>
        <v>0</v>
      </c>
      <c r="L93" s="16"/>
      <c r="M93" s="17"/>
      <c r="N93" s="18">
        <f t="shared" si="12"/>
        <v>0</v>
      </c>
      <c r="O93" s="19"/>
      <c r="P93" s="18"/>
      <c r="Q93" s="16"/>
      <c r="R93" s="17"/>
      <c r="S93" s="18"/>
      <c r="T93" s="19"/>
      <c r="U93" s="18"/>
      <c r="V93" s="16"/>
      <c r="W93" s="17"/>
      <c r="X93" s="18">
        <f t="shared" si="13"/>
        <v>0</v>
      </c>
      <c r="Y93" s="19"/>
      <c r="Z93" s="19"/>
      <c r="AA93" s="18">
        <f>+IF(Z93&lt;&gt;0,Y93*Z93/100,0)</f>
        <v>0</v>
      </c>
      <c r="AB93" s="20">
        <f t="shared" si="14"/>
        <v>419.3134</v>
      </c>
      <c r="AC93" s="5"/>
      <c r="AD93" s="8"/>
      <c r="AF93" s="6"/>
      <c r="AG93" s="7"/>
      <c r="AJ93" s="33"/>
      <c r="AK93" s="35"/>
      <c r="AL93" s="38"/>
    </row>
    <row r="94" spans="1:38" ht="17.25" customHeight="1">
      <c r="A94" s="25">
        <v>45688</v>
      </c>
      <c r="B94" s="26" t="s">
        <v>279</v>
      </c>
      <c r="C94" s="14"/>
      <c r="D94" s="31" t="s">
        <v>280</v>
      </c>
      <c r="E94" s="14" t="s">
        <v>281</v>
      </c>
      <c r="F94" s="15" t="str">
        <f t="shared" si="10"/>
        <v>S/F 213639 Jacquet Iberica S.A.</v>
      </c>
      <c r="G94" s="16">
        <v>2906</v>
      </c>
      <c r="H94" s="17">
        <v>21</v>
      </c>
      <c r="I94" s="18">
        <f t="shared" si="11"/>
        <v>610.26</v>
      </c>
      <c r="J94" s="17"/>
      <c r="K94" s="18">
        <f>+IF(G94&lt;&gt;0,G94*J94/100,0)</f>
        <v>0</v>
      </c>
      <c r="L94" s="16"/>
      <c r="M94" s="17"/>
      <c r="N94" s="18">
        <f t="shared" si="12"/>
        <v>0</v>
      </c>
      <c r="O94" s="19"/>
      <c r="P94" s="18"/>
      <c r="Q94" s="16"/>
      <c r="R94" s="17"/>
      <c r="S94" s="18"/>
      <c r="T94" s="19"/>
      <c r="U94" s="18"/>
      <c r="V94" s="16"/>
      <c r="W94" s="17"/>
      <c r="X94" s="18">
        <f t="shared" si="13"/>
        <v>0</v>
      </c>
      <c r="Y94" s="19"/>
      <c r="Z94" s="19"/>
      <c r="AA94" s="18">
        <f>+IF(Z94&lt;&gt;0,Y94*Z94/100,0)</f>
        <v>0</v>
      </c>
      <c r="AB94" s="20">
        <f t="shared" si="14"/>
        <v>3516.26</v>
      </c>
      <c r="AC94" s="5"/>
      <c r="AD94" s="8"/>
      <c r="AF94" s="6"/>
      <c r="AG94" s="7"/>
      <c r="AJ94" s="33"/>
      <c r="AK94" s="35"/>
      <c r="AL94" s="38"/>
    </row>
    <row r="95" spans="1:38" ht="17.25" customHeight="1">
      <c r="A95" s="25">
        <v>45688</v>
      </c>
      <c r="B95" s="26" t="s">
        <v>261</v>
      </c>
      <c r="C95" s="14"/>
      <c r="D95" s="31" t="s">
        <v>56</v>
      </c>
      <c r="E95" s="14" t="s">
        <v>57</v>
      </c>
      <c r="F95" s="15" t="str">
        <f t="shared" si="10"/>
        <v>S/F 750330 Jannone Tubos S.L.</v>
      </c>
      <c r="G95" s="16">
        <v>172.58</v>
      </c>
      <c r="H95" s="17">
        <v>21</v>
      </c>
      <c r="I95" s="18">
        <f t="shared" si="11"/>
        <v>36.241800000000005</v>
      </c>
      <c r="J95" s="17"/>
      <c r="K95" s="18">
        <f>+IF(G95&lt;&gt;0,G95*J95/100,0)</f>
        <v>0</v>
      </c>
      <c r="L95" s="16"/>
      <c r="M95" s="17"/>
      <c r="N95" s="18">
        <f t="shared" si="12"/>
        <v>0</v>
      </c>
      <c r="O95" s="19"/>
      <c r="P95" s="18"/>
      <c r="Q95" s="16"/>
      <c r="R95" s="17"/>
      <c r="S95" s="18"/>
      <c r="T95" s="19"/>
      <c r="U95" s="18"/>
      <c r="V95" s="16"/>
      <c r="W95" s="17"/>
      <c r="X95" s="18">
        <f t="shared" si="13"/>
        <v>0</v>
      </c>
      <c r="Y95" s="19"/>
      <c r="Z95" s="19"/>
      <c r="AA95" s="18">
        <f>+IF(Z95&lt;&gt;0,Y95*Z95/100,0)</f>
        <v>0</v>
      </c>
      <c r="AB95" s="20">
        <f t="shared" si="14"/>
        <v>208.82180000000002</v>
      </c>
      <c r="AC95" s="5"/>
      <c r="AD95" s="8"/>
      <c r="AF95" s="6"/>
      <c r="AG95" s="7"/>
      <c r="AJ95" s="33"/>
      <c r="AK95" s="35"/>
      <c r="AL95" s="38"/>
    </row>
    <row r="96" spans="1:38" ht="17.25" customHeight="1">
      <c r="A96" s="25">
        <v>45688</v>
      </c>
      <c r="B96" s="26" t="s">
        <v>253</v>
      </c>
      <c r="C96" s="14"/>
      <c r="D96" s="31" t="s">
        <v>254</v>
      </c>
      <c r="E96" s="14" t="s">
        <v>255</v>
      </c>
      <c r="F96" s="15" t="str">
        <f t="shared" si="10"/>
        <v>S/F 1101/25 Laserebro S.L.</v>
      </c>
      <c r="G96" s="16">
        <v>616</v>
      </c>
      <c r="H96" s="17">
        <v>21</v>
      </c>
      <c r="I96" s="18">
        <f t="shared" si="11"/>
        <v>129.36000000000001</v>
      </c>
      <c r="J96" s="17"/>
      <c r="K96" s="18">
        <f>+IF(G96&lt;&gt;0,G96*J96/100,0)</f>
        <v>0</v>
      </c>
      <c r="L96" s="16"/>
      <c r="M96" s="17"/>
      <c r="N96" s="18">
        <f t="shared" si="12"/>
        <v>0</v>
      </c>
      <c r="O96" s="19"/>
      <c r="P96" s="18"/>
      <c r="Q96" s="16"/>
      <c r="R96" s="17"/>
      <c r="S96" s="18"/>
      <c r="T96" s="19"/>
      <c r="U96" s="18"/>
      <c r="V96" s="16"/>
      <c r="W96" s="17"/>
      <c r="X96" s="18">
        <f t="shared" si="13"/>
        <v>0</v>
      </c>
      <c r="Y96" s="19"/>
      <c r="Z96" s="19"/>
      <c r="AA96" s="18">
        <f>+IF(Z96&lt;&gt;0,Y96*Z96/100,0)</f>
        <v>0</v>
      </c>
      <c r="AB96" s="20">
        <f t="shared" si="14"/>
        <v>745.36</v>
      </c>
      <c r="AC96" s="5"/>
      <c r="AD96" s="8"/>
      <c r="AF96" s="6"/>
      <c r="AG96" s="7"/>
      <c r="AJ96" s="33"/>
      <c r="AK96" s="35"/>
      <c r="AL96" s="38"/>
    </row>
    <row r="97" spans="1:38" ht="17.25" customHeight="1">
      <c r="A97" s="25">
        <v>45688</v>
      </c>
      <c r="B97" s="26" t="s">
        <v>244</v>
      </c>
      <c r="C97" s="14"/>
      <c r="D97" s="31" t="s">
        <v>181</v>
      </c>
      <c r="E97" s="14" t="s">
        <v>182</v>
      </c>
      <c r="F97" s="15" t="str">
        <f t="shared" si="10"/>
        <v>S/F B017/2025 Olaen Maquinaria S.L.</v>
      </c>
      <c r="G97" s="16">
        <v>1845</v>
      </c>
      <c r="H97" s="17">
        <v>21</v>
      </c>
      <c r="I97" s="18">
        <f t="shared" si="11"/>
        <v>387.45</v>
      </c>
      <c r="J97" s="17"/>
      <c r="K97" s="18">
        <f>+IF(G97&lt;&gt;0,G97*J97/100,0)</f>
        <v>0</v>
      </c>
      <c r="L97" s="16"/>
      <c r="M97" s="17"/>
      <c r="N97" s="18">
        <f t="shared" si="12"/>
        <v>0</v>
      </c>
      <c r="O97" s="19"/>
      <c r="P97" s="18"/>
      <c r="Q97" s="16"/>
      <c r="R97" s="17"/>
      <c r="S97" s="18"/>
      <c r="T97" s="19"/>
      <c r="U97" s="18"/>
      <c r="V97" s="16"/>
      <c r="W97" s="17"/>
      <c r="X97" s="18">
        <f t="shared" si="13"/>
        <v>0</v>
      </c>
      <c r="Y97" s="19"/>
      <c r="Z97" s="19"/>
      <c r="AA97" s="18">
        <f>+IF(Z97&lt;&gt;0,Y97*Z97/100,0)</f>
        <v>0</v>
      </c>
      <c r="AB97" s="20">
        <f t="shared" si="14"/>
        <v>2232.4499999999998</v>
      </c>
      <c r="AC97" s="5"/>
      <c r="AD97" s="8"/>
      <c r="AF97" s="6"/>
      <c r="AG97" s="7"/>
      <c r="AJ97" s="33"/>
      <c r="AK97" s="35"/>
      <c r="AL97" s="38"/>
    </row>
    <row r="98" spans="1:38" ht="17.25" customHeight="1">
      <c r="A98" s="25">
        <v>45688</v>
      </c>
      <c r="B98" s="26" t="s">
        <v>230</v>
      </c>
      <c r="C98" s="14"/>
      <c r="D98" s="31" t="s">
        <v>231</v>
      </c>
      <c r="E98" s="14" t="s">
        <v>232</v>
      </c>
      <c r="F98" s="15" t="str">
        <f t="shared" ref="F98:F106" si="15">"S/F "&amp;B98&amp;" "&amp;E98</f>
        <v>S/F 168/25 Orbe Laser S.L.</v>
      </c>
      <c r="G98" s="16">
        <v>132.76</v>
      </c>
      <c r="H98" s="17">
        <v>21</v>
      </c>
      <c r="I98" s="18">
        <f t="shared" ref="I98:I106" si="16">+IF(G98&lt;&gt;0,G98*H98/100,0)</f>
        <v>27.8796</v>
      </c>
      <c r="J98" s="17"/>
      <c r="K98" s="18"/>
      <c r="L98" s="16"/>
      <c r="M98" s="17"/>
      <c r="N98" s="18">
        <f t="shared" ref="N98:N106" si="17">+IF(L98&lt;&gt;0,L98*M98/100,0)</f>
        <v>0</v>
      </c>
      <c r="O98" s="19"/>
      <c r="P98" s="18"/>
      <c r="Q98" s="16"/>
      <c r="R98" s="17"/>
      <c r="S98" s="18"/>
      <c r="T98" s="19"/>
      <c r="U98" s="18"/>
      <c r="V98" s="16"/>
      <c r="W98" s="17"/>
      <c r="X98" s="18">
        <f t="shared" ref="X98:X106" si="18">+IF(W98&lt;&gt;0,V98*W98/100,0)</f>
        <v>0</v>
      </c>
      <c r="Y98" s="19"/>
      <c r="Z98" s="19"/>
      <c r="AA98" s="18"/>
      <c r="AB98" s="20">
        <f t="shared" ref="AB98:AB106" si="19">+G98+I98+K98+L98+N98+P98+Q98+S98+U98-X98-AA98</f>
        <v>160.6396</v>
      </c>
      <c r="AC98" s="5"/>
      <c r="AD98" s="8"/>
      <c r="AF98" s="6"/>
      <c r="AG98" s="7"/>
      <c r="AJ98" s="33"/>
      <c r="AK98" s="35"/>
      <c r="AL98" s="38"/>
    </row>
    <row r="99" spans="1:38" ht="17.25" customHeight="1">
      <c r="A99" s="25">
        <v>45688</v>
      </c>
      <c r="B99" s="26" t="s">
        <v>262</v>
      </c>
      <c r="C99" s="14"/>
      <c r="D99" s="31" t="s">
        <v>263</v>
      </c>
      <c r="E99" s="14" t="s">
        <v>264</v>
      </c>
      <c r="F99" s="15" t="str">
        <f t="shared" si="15"/>
        <v>S/F 2935 Porfirio Sandonis Moreda</v>
      </c>
      <c r="G99" s="16">
        <v>210</v>
      </c>
      <c r="H99" s="17">
        <v>21</v>
      </c>
      <c r="I99" s="18">
        <f t="shared" si="16"/>
        <v>44.1</v>
      </c>
      <c r="J99" s="17"/>
      <c r="K99" s="18">
        <f>+IF(G99&lt;&gt;0,G99*J99/100,0)</f>
        <v>0</v>
      </c>
      <c r="L99" s="16"/>
      <c r="M99" s="17"/>
      <c r="N99" s="18">
        <f t="shared" si="17"/>
        <v>0</v>
      </c>
      <c r="O99" s="19"/>
      <c r="P99" s="18"/>
      <c r="Q99" s="16"/>
      <c r="R99" s="17"/>
      <c r="S99" s="18"/>
      <c r="T99" s="19"/>
      <c r="U99" s="18"/>
      <c r="V99" s="16">
        <v>210</v>
      </c>
      <c r="W99" s="17">
        <v>1</v>
      </c>
      <c r="X99" s="18">
        <f t="shared" si="18"/>
        <v>2.1</v>
      </c>
      <c r="Y99" s="19"/>
      <c r="Z99" s="19"/>
      <c r="AA99" s="18">
        <f>+IF(Z99&lt;&gt;0,Y99*Z99/100,0)</f>
        <v>0</v>
      </c>
      <c r="AB99" s="20">
        <f t="shared" si="19"/>
        <v>252</v>
      </c>
      <c r="AC99" s="5"/>
      <c r="AD99" s="8"/>
      <c r="AF99" s="6"/>
      <c r="AG99" s="7"/>
      <c r="AJ99" s="33"/>
      <c r="AK99" s="35"/>
      <c r="AL99" s="38"/>
    </row>
    <row r="100" spans="1:38" ht="17.25" customHeight="1">
      <c r="A100" s="25">
        <v>45688</v>
      </c>
      <c r="B100" s="26" t="s">
        <v>227</v>
      </c>
      <c r="C100" s="14"/>
      <c r="D100" s="31" t="s">
        <v>228</v>
      </c>
      <c r="E100" s="14" t="s">
        <v>229</v>
      </c>
      <c r="F100" s="15" t="str">
        <f t="shared" si="15"/>
        <v>S/F 5250102 Proveedora de Tubos Occidental S.L.</v>
      </c>
      <c r="G100" s="16">
        <v>2243.4</v>
      </c>
      <c r="H100" s="17">
        <v>21</v>
      </c>
      <c r="I100" s="18">
        <f t="shared" si="16"/>
        <v>471.11400000000003</v>
      </c>
      <c r="J100" s="17"/>
      <c r="K100" s="18"/>
      <c r="L100" s="16">
        <v>22.13</v>
      </c>
      <c r="M100" s="17"/>
      <c r="N100" s="18">
        <f t="shared" si="17"/>
        <v>0</v>
      </c>
      <c r="O100" s="19"/>
      <c r="P100" s="18"/>
      <c r="Q100" s="16"/>
      <c r="R100" s="17"/>
      <c r="S100" s="18"/>
      <c r="T100" s="19"/>
      <c r="U100" s="18"/>
      <c r="V100" s="16"/>
      <c r="W100" s="17"/>
      <c r="X100" s="18">
        <f t="shared" si="18"/>
        <v>0</v>
      </c>
      <c r="Y100" s="19"/>
      <c r="Z100" s="19"/>
      <c r="AA100" s="18"/>
      <c r="AB100" s="20">
        <f t="shared" si="19"/>
        <v>2736.6440000000002</v>
      </c>
      <c r="AC100" s="5"/>
      <c r="AD100" s="8"/>
      <c r="AF100" s="6"/>
      <c r="AG100" s="7"/>
      <c r="AJ100" s="33"/>
      <c r="AK100" s="35" t="s">
        <v>68</v>
      </c>
      <c r="AL100" s="38"/>
    </row>
    <row r="101" spans="1:38" ht="17.25" customHeight="1">
      <c r="A101" s="25">
        <v>45688</v>
      </c>
      <c r="B101" s="26" t="s">
        <v>225</v>
      </c>
      <c r="C101" s="14"/>
      <c r="D101" s="31" t="s">
        <v>89</v>
      </c>
      <c r="E101" s="14" t="s">
        <v>90</v>
      </c>
      <c r="F101" s="15" t="str">
        <f t="shared" si="15"/>
        <v>S/F 2500283 Recuperaciones Perez S.L.</v>
      </c>
      <c r="G101" s="16">
        <v>196.28</v>
      </c>
      <c r="H101" s="17">
        <v>10</v>
      </c>
      <c r="I101" s="18">
        <f t="shared" si="16"/>
        <v>19.628</v>
      </c>
      <c r="J101" s="17"/>
      <c r="K101" s="18"/>
      <c r="L101" s="16"/>
      <c r="M101" s="17"/>
      <c r="N101" s="18">
        <f t="shared" si="17"/>
        <v>0</v>
      </c>
      <c r="O101" s="19"/>
      <c r="P101" s="18"/>
      <c r="Q101" s="16"/>
      <c r="R101" s="17"/>
      <c r="S101" s="18"/>
      <c r="T101" s="19"/>
      <c r="U101" s="18"/>
      <c r="V101" s="16"/>
      <c r="W101" s="17"/>
      <c r="X101" s="18">
        <f t="shared" si="18"/>
        <v>0</v>
      </c>
      <c r="Y101" s="19"/>
      <c r="Z101" s="19"/>
      <c r="AA101" s="18"/>
      <c r="AB101" s="20">
        <f t="shared" si="19"/>
        <v>215.90800000000002</v>
      </c>
      <c r="AC101" s="5"/>
      <c r="AD101" s="8"/>
      <c r="AF101" s="6"/>
      <c r="AG101" s="7"/>
      <c r="AJ101" s="33" t="s">
        <v>226</v>
      </c>
      <c r="AK101" s="35"/>
      <c r="AL101" s="38"/>
    </row>
    <row r="102" spans="1:38" ht="17.25" customHeight="1">
      <c r="A102" s="25">
        <v>45688</v>
      </c>
      <c r="B102" s="26" t="s">
        <v>282</v>
      </c>
      <c r="C102" s="14"/>
      <c r="D102" s="31" t="s">
        <v>283</v>
      </c>
      <c r="E102" s="14" t="s">
        <v>284</v>
      </c>
      <c r="F102" s="15" t="str">
        <f t="shared" si="15"/>
        <v>S/F 471973701 S.E. de Carburos Metalicos S.A.</v>
      </c>
      <c r="G102" s="16">
        <v>2331.46</v>
      </c>
      <c r="H102" s="17">
        <v>21</v>
      </c>
      <c r="I102" s="18">
        <f t="shared" si="16"/>
        <v>489.60660000000001</v>
      </c>
      <c r="J102" s="17"/>
      <c r="K102" s="18">
        <f>+IF(G102&lt;&gt;0,G102*J102/100,0)</f>
        <v>0</v>
      </c>
      <c r="L102" s="16"/>
      <c r="M102" s="17"/>
      <c r="N102" s="18">
        <f t="shared" si="17"/>
        <v>0</v>
      </c>
      <c r="O102" s="19"/>
      <c r="P102" s="18"/>
      <c r="Q102" s="16"/>
      <c r="R102" s="17"/>
      <c r="S102" s="18"/>
      <c r="T102" s="19"/>
      <c r="U102" s="18"/>
      <c r="V102" s="16"/>
      <c r="W102" s="17"/>
      <c r="X102" s="18">
        <f t="shared" si="18"/>
        <v>0</v>
      </c>
      <c r="Y102" s="19"/>
      <c r="Z102" s="19"/>
      <c r="AA102" s="18">
        <f>+IF(Z102&lt;&gt;0,Y102*Z102/100,0)</f>
        <v>0</v>
      </c>
      <c r="AB102" s="20">
        <f t="shared" si="19"/>
        <v>2821.0666000000001</v>
      </c>
      <c r="AC102" s="5"/>
      <c r="AD102" s="8"/>
      <c r="AF102" s="6"/>
      <c r="AG102" s="7"/>
      <c r="AJ102" s="33"/>
      <c r="AK102" s="35"/>
      <c r="AL102" s="38"/>
    </row>
    <row r="103" spans="1:38" ht="17.25" customHeight="1">
      <c r="A103" s="25">
        <v>45688</v>
      </c>
      <c r="B103" s="26" t="s">
        <v>233</v>
      </c>
      <c r="C103" s="14"/>
      <c r="D103" s="31" t="s">
        <v>234</v>
      </c>
      <c r="E103" s="14" t="s">
        <v>235</v>
      </c>
      <c r="F103" s="15" t="str">
        <f t="shared" si="15"/>
        <v>S/F 653.375 Sercables S.A.</v>
      </c>
      <c r="G103" s="16">
        <v>392.7</v>
      </c>
      <c r="H103" s="17">
        <v>21</v>
      </c>
      <c r="I103" s="18">
        <f t="shared" si="16"/>
        <v>82.466999999999985</v>
      </c>
      <c r="J103" s="17"/>
      <c r="K103" s="18"/>
      <c r="L103" s="16"/>
      <c r="M103" s="17"/>
      <c r="N103" s="18">
        <f t="shared" si="17"/>
        <v>0</v>
      </c>
      <c r="O103" s="19"/>
      <c r="P103" s="18"/>
      <c r="Q103" s="16"/>
      <c r="R103" s="17"/>
      <c r="S103" s="18"/>
      <c r="T103" s="19"/>
      <c r="U103" s="18"/>
      <c r="V103" s="16"/>
      <c r="W103" s="17"/>
      <c r="X103" s="18">
        <f t="shared" si="18"/>
        <v>0</v>
      </c>
      <c r="Y103" s="19"/>
      <c r="Z103" s="19"/>
      <c r="AA103" s="18"/>
      <c r="AB103" s="20">
        <f t="shared" si="19"/>
        <v>475.16699999999997</v>
      </c>
      <c r="AC103" s="5"/>
      <c r="AD103" s="8"/>
      <c r="AF103" s="6"/>
      <c r="AG103" s="7"/>
      <c r="AJ103" s="33"/>
      <c r="AK103" s="35"/>
      <c r="AL103" s="38"/>
    </row>
    <row r="104" spans="1:38" ht="17.25" customHeight="1">
      <c r="A104" s="25">
        <v>45688</v>
      </c>
      <c r="B104" s="26" t="s">
        <v>238</v>
      </c>
      <c r="C104" s="14"/>
      <c r="D104" s="31" t="s">
        <v>239</v>
      </c>
      <c r="E104" s="14" t="s">
        <v>240</v>
      </c>
      <c r="F104" s="15" t="str">
        <f t="shared" si="15"/>
        <v>S/F 25/01255 Suministros Siderúrgicos Montañeses S.A.</v>
      </c>
      <c r="G104" s="16">
        <v>1009.05</v>
      </c>
      <c r="H104" s="17">
        <v>21</v>
      </c>
      <c r="I104" s="18">
        <f t="shared" si="16"/>
        <v>211.90049999999999</v>
      </c>
      <c r="J104" s="17"/>
      <c r="K104" s="18">
        <f>+IF(G104&lt;&gt;0,G104*J104/100,0)</f>
        <v>0</v>
      </c>
      <c r="L104" s="16"/>
      <c r="M104" s="17"/>
      <c r="N104" s="18">
        <f t="shared" si="17"/>
        <v>0</v>
      </c>
      <c r="O104" s="19"/>
      <c r="P104" s="18"/>
      <c r="Q104" s="16"/>
      <c r="R104" s="17"/>
      <c r="S104" s="18"/>
      <c r="T104" s="19"/>
      <c r="U104" s="18"/>
      <c r="V104" s="16"/>
      <c r="W104" s="17"/>
      <c r="X104" s="18">
        <f t="shared" si="18"/>
        <v>0</v>
      </c>
      <c r="Y104" s="19"/>
      <c r="Z104" s="19"/>
      <c r="AA104" s="18">
        <f>+IF(Z104&lt;&gt;0,Y104*Z104/100,0)</f>
        <v>0</v>
      </c>
      <c r="AB104" s="20">
        <f t="shared" si="19"/>
        <v>1220.9504999999999</v>
      </c>
      <c r="AC104" s="5"/>
      <c r="AD104" s="8"/>
      <c r="AF104" s="6"/>
      <c r="AG104" s="7"/>
      <c r="AJ104" s="33"/>
      <c r="AK104" s="35"/>
      <c r="AL104" s="38"/>
    </row>
    <row r="105" spans="1:38" ht="17.25" customHeight="1">
      <c r="A105" s="25">
        <v>45688</v>
      </c>
      <c r="B105" s="26" t="s">
        <v>260</v>
      </c>
      <c r="C105" s="14"/>
      <c r="D105" s="31" t="s">
        <v>50</v>
      </c>
      <c r="E105" s="14" t="s">
        <v>51</v>
      </c>
      <c r="F105" s="15" t="str">
        <f t="shared" si="15"/>
        <v>S/F 184 Tubos Vega S.L.</v>
      </c>
      <c r="G105" s="16">
        <v>639.82000000000005</v>
      </c>
      <c r="H105" s="17">
        <v>21</v>
      </c>
      <c r="I105" s="18">
        <f t="shared" si="16"/>
        <v>134.3622</v>
      </c>
      <c r="J105" s="17"/>
      <c r="K105" s="18">
        <f>+IF(G105&lt;&gt;0,G105*J105/100,0)</f>
        <v>0</v>
      </c>
      <c r="L105" s="16"/>
      <c r="M105" s="17"/>
      <c r="N105" s="18">
        <f t="shared" si="17"/>
        <v>0</v>
      </c>
      <c r="O105" s="19"/>
      <c r="P105" s="18"/>
      <c r="Q105" s="16"/>
      <c r="R105" s="17"/>
      <c r="S105" s="18"/>
      <c r="T105" s="19"/>
      <c r="U105" s="18"/>
      <c r="V105" s="16"/>
      <c r="W105" s="17"/>
      <c r="X105" s="18">
        <f t="shared" si="18"/>
        <v>0</v>
      </c>
      <c r="Y105" s="19"/>
      <c r="Z105" s="19"/>
      <c r="AA105" s="18">
        <f>+IF(Z105&lt;&gt;0,Y105*Z105/100,0)</f>
        <v>0</v>
      </c>
      <c r="AB105" s="20">
        <f t="shared" si="19"/>
        <v>774.18220000000008</v>
      </c>
      <c r="AC105" s="5"/>
      <c r="AD105" s="8"/>
      <c r="AF105" s="6"/>
      <c r="AG105" s="7"/>
      <c r="AJ105" s="33"/>
      <c r="AK105" s="35"/>
      <c r="AL105" s="38"/>
    </row>
    <row r="106" spans="1:38" ht="17.25" customHeight="1">
      <c r="A106" s="25"/>
      <c r="B106" s="26"/>
      <c r="C106" s="14"/>
      <c r="D106" s="31"/>
      <c r="E106" s="14"/>
      <c r="F106" s="15" t="str">
        <f t="shared" si="15"/>
        <v xml:space="preserve">S/F  </v>
      </c>
      <c r="G106" s="16"/>
      <c r="H106" s="17">
        <v>21</v>
      </c>
      <c r="I106" s="18">
        <f t="shared" si="16"/>
        <v>0</v>
      </c>
      <c r="J106" s="17"/>
      <c r="K106" s="18">
        <f>+IF(G106&lt;&gt;0,G106*J106/100,0)</f>
        <v>0</v>
      </c>
      <c r="L106" s="16"/>
      <c r="M106" s="17"/>
      <c r="N106" s="18">
        <f t="shared" si="17"/>
        <v>0</v>
      </c>
      <c r="O106" s="19"/>
      <c r="P106" s="18"/>
      <c r="Q106" s="16"/>
      <c r="R106" s="17"/>
      <c r="S106" s="18"/>
      <c r="T106" s="19"/>
      <c r="U106" s="18"/>
      <c r="V106" s="16"/>
      <c r="W106" s="17"/>
      <c r="X106" s="18">
        <f t="shared" si="18"/>
        <v>0</v>
      </c>
      <c r="Y106" s="19"/>
      <c r="Z106" s="19"/>
      <c r="AA106" s="18">
        <f>+IF(Z106&lt;&gt;0,Y106*Z106/100,0)</f>
        <v>0</v>
      </c>
      <c r="AB106" s="20">
        <f t="shared" si="19"/>
        <v>0</v>
      </c>
      <c r="AC106" s="5"/>
      <c r="AD106" s="8"/>
      <c r="AF106" s="6"/>
      <c r="AG106" s="7"/>
      <c r="AJ106" s="33"/>
      <c r="AK106" s="35"/>
      <c r="AL106" s="38"/>
    </row>
    <row r="107" spans="1:38" ht="17.25" customHeight="1"/>
    <row r="108" spans="1:38" ht="17.25" customHeight="1"/>
    <row r="109" spans="1:38" ht="17.25" customHeight="1"/>
    <row r="110" spans="1:38" ht="17.25" customHeight="1"/>
    <row r="111" spans="1:38" ht="17.25" customHeight="1"/>
    <row r="112" spans="1:38" ht="17.25" customHeight="1"/>
    <row r="113" ht="17.25" customHeight="1"/>
    <row r="114" ht="17.25" customHeight="1"/>
    <row r="115" ht="17.25" customHeight="1"/>
    <row r="116" ht="17.25" customHeight="1"/>
    <row r="117" ht="17.25" customHeight="1"/>
    <row r="118" ht="17.25" customHeight="1"/>
    <row r="119" ht="17.25" customHeight="1"/>
    <row r="120" ht="17.25" customHeight="1"/>
    <row r="121" ht="17.25" customHeight="1"/>
    <row r="122" ht="17.25" customHeight="1"/>
    <row r="123" ht="17.25" customHeight="1"/>
    <row r="124" ht="17.25" customHeight="1"/>
    <row r="125" ht="17.25" customHeight="1"/>
    <row r="126" ht="17.25" customHeight="1"/>
    <row r="127" ht="17.25" customHeight="1"/>
    <row r="128" ht="17.25" customHeight="1"/>
    <row r="129" ht="17.25" customHeight="1"/>
    <row r="130" ht="17.25" customHeight="1"/>
    <row r="131" ht="17.25" customHeight="1"/>
    <row r="132" ht="17.25" customHeight="1"/>
    <row r="133" ht="17.25" customHeight="1"/>
    <row r="134" ht="17.25" customHeight="1"/>
    <row r="135" ht="17.25" customHeight="1"/>
    <row r="136" ht="17.25" customHeight="1"/>
    <row r="137" ht="17.25" customHeight="1"/>
    <row r="138" ht="17.25" customHeight="1"/>
    <row r="139" ht="17.25" customHeight="1"/>
    <row r="140" ht="17.25" customHeight="1"/>
    <row r="141" ht="17.25" customHeight="1"/>
    <row r="142" ht="17.25" customHeight="1"/>
    <row r="143" ht="17.25" customHeight="1"/>
    <row r="144" ht="17.25" customHeight="1"/>
    <row r="145" ht="17.25" customHeight="1"/>
    <row r="146" ht="17.25" customHeight="1"/>
    <row r="147" ht="17.25" customHeight="1"/>
    <row r="148" ht="17.25" customHeight="1"/>
    <row r="149" ht="17.25" customHeight="1"/>
    <row r="150" ht="17.25" customHeight="1"/>
    <row r="151" ht="17.25" customHeight="1"/>
    <row r="152" ht="17.25" customHeight="1"/>
    <row r="153" ht="17.25" customHeight="1"/>
    <row r="154" ht="17.25" customHeight="1"/>
    <row r="155" ht="17.25" customHeight="1"/>
    <row r="156" ht="17.25" customHeight="1"/>
    <row r="157" ht="17.25" customHeight="1"/>
    <row r="158" ht="17.25" customHeight="1"/>
    <row r="159" ht="17.25" customHeight="1"/>
    <row r="160" ht="17.25" customHeight="1"/>
    <row r="161" customFormat="1" ht="17.25" customHeight="1"/>
  </sheetData>
  <sortState xmlns:xlrd2="http://schemas.microsoft.com/office/spreadsheetml/2017/richdata2" ref="A2:AK110">
    <sortCondition ref="A2:A110"/>
    <sortCondition ref="E2:E110"/>
    <sortCondition ref="B2:B110"/>
  </sortState>
  <phoneticPr fontId="16" type="noConversion"/>
  <conditionalFormatting sqref="AK2:AK103">
    <cfRule type="cellIs" dxfId="55" priority="1" operator="equal">
      <formula>"INCIDENCIA"</formula>
    </cfRule>
    <cfRule type="cellIs" dxfId="54" priority="2" operator="equal">
      <formula>"ATRASADA/RETENC."</formula>
    </cfRule>
    <cfRule type="cellIs" dxfId="53" priority="3" operator="equal">
      <formula>"ATRASADA"</formula>
    </cfRule>
    <cfRule type="cellIs" dxfId="52" priority="4" operator="equal">
      <formula>"ATRASADA/FINANC."</formula>
    </cfRule>
  </conditionalFormatting>
  <dataValidations count="2">
    <dataValidation type="textLength" errorStyle="warning" allowBlank="1" showInputMessage="1" showErrorMessage="1" error="Contamar le informa de que el código introducido debe contener únicamente 8 dígitos._x000a__x000a_" sqref="AC65 AC82:AC106 AC2:AC32" xr:uid="{00000000-0002-0000-0000-000001000000}">
      <formula1>8</formula1>
      <formula2>8</formula2>
    </dataValidation>
    <dataValidation type="date" allowBlank="1" showInputMessage="1" showErrorMessage="1" sqref="A107:A113" xr:uid="{00000000-0002-0000-0000-000000000000}">
      <formula1>43831</formula1>
      <formula2>44561</formula2>
    </dataValidation>
  </dataValidations>
  <printOptions horizontalCentered="1"/>
  <pageMargins left="0.23622047244094491" right="0.23622047244094491" top="0.74803149606299213" bottom="0.74803149606299213" header="0.31496062992125984" footer="0.31496062992125984"/>
  <headerFooter>
    <oddHeader>&amp;L&amp;A&amp;R&amp;F</oddHeader>
    <oddFooter>&amp;C&amp;P / &amp;N</oddFooter>
  </headerFooter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2">
    <pageSetUpPr fitToPage="1"/>
  </sheetPr>
  <dimension ref="A1:AL205"/>
  <sheetViews>
    <sheetView tabSelected="1" zoomScale="80" zoomScaleNormal="80" workbookViewId="0">
      <pane ySplit="1" topLeftCell="A110" activePane="bottomLeft" state="frozen"/>
      <selection pane="bottomLeft" activeCell="A142" sqref="A142:XFD142"/>
    </sheetView>
  </sheetViews>
  <sheetFormatPr baseColWidth="10" defaultColWidth="11.42578125" defaultRowHeight="15"/>
  <cols>
    <col min="1" max="1" width="12.85546875" style="29" bestFit="1" customWidth="1"/>
    <col min="2" max="2" width="20.42578125" style="30" bestFit="1" customWidth="1"/>
    <col min="3" max="3" width="13.42578125" style="4" hidden="1" customWidth="1"/>
    <col min="4" max="4" width="15.85546875" style="3" bestFit="1" customWidth="1"/>
    <col min="5" max="5" width="49.42578125" style="4" bestFit="1" customWidth="1"/>
    <col min="6" max="6" width="61" style="4" bestFit="1" customWidth="1"/>
    <col min="7" max="7" width="10.85546875" customWidth="1"/>
    <col min="8" max="8" width="7.7109375" customWidth="1"/>
    <col min="9" max="9" width="11.7109375" customWidth="1"/>
    <col min="10" max="10" width="7.140625" hidden="1" customWidth="1"/>
    <col min="11" max="11" width="11.7109375" hidden="1" customWidth="1"/>
    <col min="12" max="12" width="7.140625" bestFit="1" customWidth="1"/>
    <col min="13" max="13" width="6.42578125" bestFit="1" customWidth="1"/>
    <col min="14" max="14" width="12.140625" bestFit="1" customWidth="1"/>
    <col min="15" max="15" width="8.5703125" hidden="1" customWidth="1"/>
    <col min="16" max="16" width="12.42578125" hidden="1" customWidth="1"/>
    <col min="17" max="17" width="6.28515625" bestFit="1" customWidth="1"/>
    <col min="18" max="18" width="6.42578125" bestFit="1" customWidth="1"/>
    <col min="19" max="19" width="8" bestFit="1" customWidth="1"/>
    <col min="20" max="20" width="8.5703125" hidden="1" customWidth="1"/>
    <col min="21" max="21" width="12.42578125" hidden="1" customWidth="1"/>
    <col min="22" max="22" width="10.28515625" bestFit="1" customWidth="1"/>
    <col min="23" max="23" width="5.5703125" bestFit="1" customWidth="1"/>
    <col min="24" max="24" width="12" bestFit="1" customWidth="1"/>
    <col min="25" max="25" width="11.7109375" hidden="1" customWidth="1"/>
    <col min="26" max="26" width="5" hidden="1" customWidth="1"/>
    <col min="27" max="27" width="8" hidden="1" customWidth="1"/>
    <col min="28" max="28" width="12.7109375" bestFit="1" customWidth="1"/>
    <col min="29" max="29" width="14.7109375" hidden="1" customWidth="1"/>
    <col min="30" max="30" width="16.140625" hidden="1" customWidth="1"/>
    <col min="31" max="31" width="16.140625" style="3" hidden="1" customWidth="1"/>
    <col min="32" max="32" width="4.42578125" style="3" hidden="1" customWidth="1"/>
    <col min="33" max="33" width="9.85546875" style="3" hidden="1" customWidth="1"/>
    <col min="34" max="34" width="12" style="4" hidden="1" customWidth="1"/>
    <col min="35" max="35" width="15.42578125" hidden="1" customWidth="1"/>
    <col min="36" max="36" width="26.42578125" bestFit="1" customWidth="1"/>
    <col min="37" max="37" width="21.42578125" bestFit="1" customWidth="1"/>
    <col min="38" max="38" width="14.140625" style="44" hidden="1" customWidth="1"/>
  </cols>
  <sheetData>
    <row r="1" spans="1:38" s="1" customFormat="1" ht="38.25" customHeight="1">
      <c r="A1" s="21" t="s">
        <v>5</v>
      </c>
      <c r="B1" s="22" t="s">
        <v>9</v>
      </c>
      <c r="C1" s="22" t="s">
        <v>6</v>
      </c>
      <c r="D1" s="22" t="s">
        <v>8</v>
      </c>
      <c r="E1" s="22" t="s">
        <v>3</v>
      </c>
      <c r="F1" s="22" t="s">
        <v>10</v>
      </c>
      <c r="G1" s="21" t="s">
        <v>7</v>
      </c>
      <c r="H1" s="21" t="s">
        <v>0</v>
      </c>
      <c r="I1" s="21" t="s">
        <v>1</v>
      </c>
      <c r="J1" s="21" t="s">
        <v>23</v>
      </c>
      <c r="K1" s="21" t="s">
        <v>24</v>
      </c>
      <c r="L1" s="21" t="s">
        <v>19</v>
      </c>
      <c r="M1" s="21" t="s">
        <v>15</v>
      </c>
      <c r="N1" s="21" t="s">
        <v>16</v>
      </c>
      <c r="O1" s="21" t="s">
        <v>25</v>
      </c>
      <c r="P1" s="21" t="s">
        <v>26</v>
      </c>
      <c r="Q1" s="21" t="s">
        <v>20</v>
      </c>
      <c r="R1" s="21" t="s">
        <v>17</v>
      </c>
      <c r="S1" s="21" t="s">
        <v>18</v>
      </c>
      <c r="T1" s="21" t="s">
        <v>28</v>
      </c>
      <c r="U1" s="21" t="s">
        <v>27</v>
      </c>
      <c r="V1" s="21" t="s">
        <v>2</v>
      </c>
      <c r="W1" s="21" t="s">
        <v>30</v>
      </c>
      <c r="X1" s="21" t="s">
        <v>32</v>
      </c>
      <c r="Y1" s="21" t="s">
        <v>29</v>
      </c>
      <c r="Z1" s="21" t="s">
        <v>31</v>
      </c>
      <c r="AA1" s="21" t="s">
        <v>33</v>
      </c>
      <c r="AB1" s="21" t="s">
        <v>34</v>
      </c>
      <c r="AC1" s="22" t="s">
        <v>11</v>
      </c>
      <c r="AD1" s="22" t="s">
        <v>21</v>
      </c>
      <c r="AE1" s="22" t="s">
        <v>22</v>
      </c>
      <c r="AF1" s="22" t="s">
        <v>4</v>
      </c>
      <c r="AG1" s="22" t="s">
        <v>12</v>
      </c>
      <c r="AH1" s="23" t="s">
        <v>13</v>
      </c>
      <c r="AI1" s="24" t="s">
        <v>14</v>
      </c>
      <c r="AJ1" s="32" t="s">
        <v>37</v>
      </c>
      <c r="AK1" s="34" t="s">
        <v>35</v>
      </c>
      <c r="AL1" s="62" t="s">
        <v>36</v>
      </c>
    </row>
    <row r="2" spans="1:38" ht="17.25" customHeight="1">
      <c r="A2" s="25">
        <v>45334</v>
      </c>
      <c r="B2" s="26" t="s">
        <v>394</v>
      </c>
      <c r="C2" s="14"/>
      <c r="D2" s="31" t="s">
        <v>395</v>
      </c>
      <c r="E2" s="14" t="s">
        <v>396</v>
      </c>
      <c r="F2" s="15" t="str">
        <f>"S/F "&amp;B2&amp;" "&amp;E2</f>
        <v>S/F Minuta 01/24 Jessica Garcia Ruiz</v>
      </c>
      <c r="G2" s="16">
        <v>100</v>
      </c>
      <c r="H2" s="17">
        <v>21</v>
      </c>
      <c r="I2" s="18">
        <f>+IF(G2&lt;&gt;0,G2*H2/100,0)</f>
        <v>21</v>
      </c>
      <c r="J2" s="17"/>
      <c r="K2" s="18">
        <f>+IF(G2&lt;&gt;0,G2*J2/100,0)</f>
        <v>0</v>
      </c>
      <c r="L2" s="16"/>
      <c r="M2" s="17"/>
      <c r="N2" s="18">
        <f>+IF(L2&lt;&gt;0,L2*M2/100,0)</f>
        <v>0</v>
      </c>
      <c r="O2" s="19"/>
      <c r="P2" s="18"/>
      <c r="Q2" s="16"/>
      <c r="R2" s="17"/>
      <c r="S2" s="18"/>
      <c r="T2" s="19"/>
      <c r="U2" s="18"/>
      <c r="V2" s="16"/>
      <c r="W2" s="17"/>
      <c r="X2" s="18">
        <f>+IF(W2&lt;&gt;0,V2*W2/100,0)</f>
        <v>0</v>
      </c>
      <c r="Y2" s="19"/>
      <c r="Z2" s="19"/>
      <c r="AA2" s="18">
        <f>+IF(Z2&lt;&gt;0,Y2*Z2/100,0)</f>
        <v>0</v>
      </c>
      <c r="AB2" s="20">
        <f>+G2+I2+K2+L2+N2+P2+Q2+S2+U2-X2-AA2</f>
        <v>121</v>
      </c>
      <c r="AC2" s="5"/>
      <c r="AD2" s="8"/>
      <c r="AF2" s="6"/>
      <c r="AG2" s="7"/>
      <c r="AJ2" s="33" t="s">
        <v>397</v>
      </c>
      <c r="AK2" s="35" t="s">
        <v>75</v>
      </c>
      <c r="AL2" s="38"/>
    </row>
    <row r="3" spans="1:38" ht="17.25" customHeight="1">
      <c r="A3" s="25">
        <v>45411</v>
      </c>
      <c r="B3" s="26" t="s">
        <v>452</v>
      </c>
      <c r="C3" s="14"/>
      <c r="D3" s="31" t="s">
        <v>466</v>
      </c>
      <c r="E3" s="14" t="s">
        <v>440</v>
      </c>
      <c r="F3" s="15" t="str">
        <f>"S/F "&amp;B3&amp;" "&amp;E3</f>
        <v>S/F 5477-2024-00386672 Costco wholesale Spain S.L.U.</v>
      </c>
      <c r="G3" s="16">
        <v>57.95</v>
      </c>
      <c r="H3" s="17">
        <v>21</v>
      </c>
      <c r="I3" s="18">
        <f>+IF(G3&lt;&gt;0,G3*H3/100,0)</f>
        <v>12.169500000000001</v>
      </c>
      <c r="J3" s="17"/>
      <c r="K3" s="18">
        <f>+IF(G3&lt;&gt;0,G3*J3/100,0)</f>
        <v>0</v>
      </c>
      <c r="L3" s="16"/>
      <c r="M3" s="17"/>
      <c r="N3" s="18">
        <f>+IF(L3&lt;&gt;0,L3*M3/100,0)</f>
        <v>0</v>
      </c>
      <c r="O3" s="19"/>
      <c r="P3" s="18"/>
      <c r="Q3" s="16"/>
      <c r="R3" s="17"/>
      <c r="S3" s="18"/>
      <c r="T3" s="19"/>
      <c r="U3" s="18"/>
      <c r="V3" s="16"/>
      <c r="W3" s="17"/>
      <c r="X3" s="18">
        <f>+IF(W3&lt;&gt;0,V3*W3/100,0)</f>
        <v>0</v>
      </c>
      <c r="Y3" s="19"/>
      <c r="Z3" s="19"/>
      <c r="AA3" s="18">
        <f>+IF(Z3&lt;&gt;0,Y3*Z3/100,0)</f>
        <v>0</v>
      </c>
      <c r="AB3" s="20">
        <f>+G3+I3+K3+L3+N3+P3+Q3+S3+U3-X3-AA3</f>
        <v>70.119500000000002</v>
      </c>
      <c r="AC3" s="5"/>
      <c r="AD3" s="8"/>
      <c r="AF3" s="6"/>
      <c r="AG3" s="7"/>
      <c r="AJ3" s="33" t="s">
        <v>64</v>
      </c>
      <c r="AK3" s="35" t="s">
        <v>63</v>
      </c>
      <c r="AL3" s="38"/>
    </row>
    <row r="4" spans="1:38" ht="17.25" customHeight="1">
      <c r="A4" s="25">
        <v>45483</v>
      </c>
      <c r="B4" s="26" t="s">
        <v>451</v>
      </c>
      <c r="C4" s="14"/>
      <c r="D4" s="31" t="s">
        <v>466</v>
      </c>
      <c r="E4" s="14" t="s">
        <v>440</v>
      </c>
      <c r="F4" s="15" t="str">
        <f>"S/F "&amp;B4&amp;" "&amp;E4</f>
        <v>S/F 5477-2024-00705410 Costco wholesale Spain S.L.U.</v>
      </c>
      <c r="G4" s="16">
        <v>56.4</v>
      </c>
      <c r="H4" s="17">
        <v>21</v>
      </c>
      <c r="I4" s="18">
        <f>+IF(G4&lt;&gt;0,G4*H4/100,0)</f>
        <v>11.843999999999999</v>
      </c>
      <c r="J4" s="17"/>
      <c r="K4" s="18">
        <f>+IF(G4&lt;&gt;0,G4*J4/100,0)</f>
        <v>0</v>
      </c>
      <c r="L4" s="16"/>
      <c r="M4" s="17"/>
      <c r="N4" s="18">
        <f>+IF(L4&lt;&gt;0,L4*M4/100,0)</f>
        <v>0</v>
      </c>
      <c r="O4" s="19"/>
      <c r="P4" s="18"/>
      <c r="Q4" s="16"/>
      <c r="R4" s="17"/>
      <c r="S4" s="18"/>
      <c r="T4" s="19"/>
      <c r="U4" s="18"/>
      <c r="V4" s="16"/>
      <c r="W4" s="17"/>
      <c r="X4" s="18">
        <f>+IF(W4&lt;&gt;0,V4*W4/100,0)</f>
        <v>0</v>
      </c>
      <c r="Y4" s="19"/>
      <c r="Z4" s="19"/>
      <c r="AA4" s="18">
        <f>+IF(Z4&lt;&gt;0,Y4*Z4/100,0)</f>
        <v>0</v>
      </c>
      <c r="AB4" s="20">
        <f>+G4+I4+K4+L4+N4+P4+Q4+S4+U4-X4-AA4</f>
        <v>68.244</v>
      </c>
      <c r="AC4" s="5"/>
      <c r="AD4" s="8"/>
      <c r="AF4" s="6"/>
      <c r="AG4" s="7"/>
      <c r="AJ4" s="33" t="s">
        <v>64</v>
      </c>
      <c r="AK4" s="35" t="s">
        <v>63</v>
      </c>
      <c r="AL4" s="38"/>
    </row>
    <row r="5" spans="1:38" ht="17.25" customHeight="1">
      <c r="A5" s="25">
        <v>45510</v>
      </c>
      <c r="B5" s="26" t="s">
        <v>448</v>
      </c>
      <c r="C5" s="14"/>
      <c r="D5" s="31" t="s">
        <v>449</v>
      </c>
      <c r="E5" s="14" t="s">
        <v>450</v>
      </c>
      <c r="F5" s="15" t="str">
        <f>"S/F "&amp;B5&amp;" "&amp;E5</f>
        <v>S/F 182D2400016504 Plenoil Canarias S.L.U.</v>
      </c>
      <c r="G5" s="16">
        <v>36.49</v>
      </c>
      <c r="H5" s="17">
        <v>0</v>
      </c>
      <c r="I5" s="18">
        <f>+IF(G5&lt;&gt;0,G5*H5/100,0)</f>
        <v>0</v>
      </c>
      <c r="J5" s="17"/>
      <c r="K5" s="18">
        <f>+IF(G5&lt;&gt;0,G5*J5/100,0)</f>
        <v>0</v>
      </c>
      <c r="L5" s="16"/>
      <c r="M5" s="17"/>
      <c r="N5" s="18">
        <f>+IF(L5&lt;&gt;0,L5*M5/100,0)</f>
        <v>0</v>
      </c>
      <c r="O5" s="19"/>
      <c r="P5" s="18"/>
      <c r="Q5" s="16"/>
      <c r="R5" s="17"/>
      <c r="S5" s="18"/>
      <c r="T5" s="19"/>
      <c r="U5" s="18"/>
      <c r="V5" s="16"/>
      <c r="W5" s="17"/>
      <c r="X5" s="18">
        <f>+IF(W5&lt;&gt;0,V5*W5/100,0)</f>
        <v>0</v>
      </c>
      <c r="Y5" s="19"/>
      <c r="Z5" s="19"/>
      <c r="AA5" s="18">
        <f>+IF(Z5&lt;&gt;0,Y5*Z5/100,0)</f>
        <v>0</v>
      </c>
      <c r="AB5" s="20">
        <f>+G5+I5+K5+L5+N5+P5+Q5+S5+U5-X5-AA5</f>
        <v>36.49</v>
      </c>
      <c r="AC5" s="5"/>
      <c r="AD5" s="8"/>
      <c r="AF5" s="6"/>
      <c r="AG5" s="7"/>
      <c r="AJ5" s="33" t="s">
        <v>64</v>
      </c>
      <c r="AK5" s="35" t="s">
        <v>63</v>
      </c>
      <c r="AL5" s="38"/>
    </row>
    <row r="6" spans="1:38" ht="17.25" customHeight="1">
      <c r="A6" s="25">
        <v>45565</v>
      </c>
      <c r="B6" s="26" t="s">
        <v>389</v>
      </c>
      <c r="C6" s="14"/>
      <c r="D6" s="31" t="s">
        <v>269</v>
      </c>
      <c r="E6" s="14" t="s">
        <v>270</v>
      </c>
      <c r="F6" s="15" t="str">
        <f>"S/F "&amp;B6&amp;" "&amp;E6</f>
        <v>S/F 1458 Distribuidora de Galvanizado Madrileña S.L.</v>
      </c>
      <c r="G6" s="16">
        <v>1073.5999999999999</v>
      </c>
      <c r="H6" s="17">
        <v>21</v>
      </c>
      <c r="I6" s="18">
        <f>+IF(G6&lt;&gt;0,G6*H6/100,0)</f>
        <v>225.45599999999999</v>
      </c>
      <c r="J6" s="17"/>
      <c r="K6" s="18">
        <f>+IF(G6&lt;&gt;0,G6*J6/100,0)</f>
        <v>0</v>
      </c>
      <c r="L6" s="16"/>
      <c r="M6" s="17"/>
      <c r="N6" s="18">
        <f>+IF(L6&lt;&gt;0,L6*M6/100,0)</f>
        <v>0</v>
      </c>
      <c r="O6" s="19"/>
      <c r="P6" s="18"/>
      <c r="Q6" s="16"/>
      <c r="R6" s="17"/>
      <c r="S6" s="18"/>
      <c r="T6" s="19"/>
      <c r="U6" s="18"/>
      <c r="V6" s="16"/>
      <c r="W6" s="17"/>
      <c r="X6" s="18">
        <f>+IF(W6&lt;&gt;0,V6*W6/100,0)</f>
        <v>0</v>
      </c>
      <c r="Y6" s="19"/>
      <c r="Z6" s="19"/>
      <c r="AA6" s="18">
        <f>+IF(Z6&lt;&gt;0,Y6*Z6/100,0)</f>
        <v>0</v>
      </c>
      <c r="AB6" s="20">
        <f>+G6+I6+K6+L6+N6+P6+Q6+S6+U6-X6-AA6</f>
        <v>1299.0559999999998</v>
      </c>
      <c r="AC6" s="5"/>
      <c r="AD6" s="8"/>
      <c r="AF6" s="6"/>
      <c r="AG6" s="7"/>
      <c r="AJ6" s="33" t="s">
        <v>64</v>
      </c>
      <c r="AK6" s="35"/>
      <c r="AL6" s="38"/>
    </row>
    <row r="7" spans="1:38" ht="17.25" customHeight="1">
      <c r="A7" s="25">
        <v>45566</v>
      </c>
      <c r="B7" s="26" t="s">
        <v>390</v>
      </c>
      <c r="C7" s="14"/>
      <c r="D7" s="31" t="s">
        <v>269</v>
      </c>
      <c r="E7" s="14" t="s">
        <v>270</v>
      </c>
      <c r="F7" s="15" t="str">
        <f>"S/F "&amp;B7&amp;" "&amp;E7</f>
        <v>S/F 1474 Distribuidora de Galvanizado Madrileña S.L.</v>
      </c>
      <c r="G7" s="16">
        <v>1073.5999999999999</v>
      </c>
      <c r="H7" s="17">
        <v>21</v>
      </c>
      <c r="I7" s="18">
        <f>+IF(G7&lt;&gt;0,G7*H7/100,0)</f>
        <v>225.45599999999999</v>
      </c>
      <c r="J7" s="17"/>
      <c r="K7" s="18">
        <f>+IF(G7&lt;&gt;0,G7*J7/100,0)</f>
        <v>0</v>
      </c>
      <c r="L7" s="16"/>
      <c r="M7" s="17"/>
      <c r="N7" s="18">
        <f>+IF(L7&lt;&gt;0,L7*M7/100,0)</f>
        <v>0</v>
      </c>
      <c r="O7" s="19"/>
      <c r="P7" s="18"/>
      <c r="Q7" s="16"/>
      <c r="R7" s="17"/>
      <c r="S7" s="18"/>
      <c r="T7" s="19"/>
      <c r="U7" s="18"/>
      <c r="V7" s="16"/>
      <c r="W7" s="17"/>
      <c r="X7" s="18">
        <f>+IF(W7&lt;&gt;0,V7*W7/100,0)</f>
        <v>0</v>
      </c>
      <c r="Y7" s="19"/>
      <c r="Z7" s="19"/>
      <c r="AA7" s="18">
        <f>+IF(Z7&lt;&gt;0,Y7*Z7/100,0)</f>
        <v>0</v>
      </c>
      <c r="AB7" s="20">
        <f>+G7+I7+K7+L7+N7+P7+Q7+S7+U7-X7-AA7</f>
        <v>1299.0559999999998</v>
      </c>
      <c r="AC7" s="5"/>
      <c r="AD7" s="8"/>
      <c r="AF7" s="6"/>
      <c r="AG7" s="7"/>
      <c r="AJ7" s="33" t="s">
        <v>64</v>
      </c>
      <c r="AK7" s="35"/>
      <c r="AL7" s="38"/>
    </row>
    <row r="8" spans="1:38" ht="17.25" customHeight="1">
      <c r="A8" s="25">
        <v>45568</v>
      </c>
      <c r="B8" s="26" t="s">
        <v>453</v>
      </c>
      <c r="C8" s="14"/>
      <c r="D8" s="31" t="s">
        <v>466</v>
      </c>
      <c r="E8" s="14" t="s">
        <v>440</v>
      </c>
      <c r="F8" s="15" t="str">
        <f>"S/F "&amp;B8&amp;" "&amp;E8</f>
        <v>S/F 5477-2024-00436987 Costco wholesale Spain S.L.U.</v>
      </c>
      <c r="G8" s="16">
        <v>47.2</v>
      </c>
      <c r="H8" s="17">
        <v>21</v>
      </c>
      <c r="I8" s="18">
        <f>+IF(G8&lt;&gt;0,G8*H8/100,0)</f>
        <v>9.9120000000000008</v>
      </c>
      <c r="J8" s="17"/>
      <c r="K8" s="18">
        <f>+IF(G8&lt;&gt;0,G8*J8/100,0)</f>
        <v>0</v>
      </c>
      <c r="L8" s="16"/>
      <c r="M8" s="17"/>
      <c r="N8" s="18">
        <f>+IF(L8&lt;&gt;0,L8*M8/100,0)</f>
        <v>0</v>
      </c>
      <c r="O8" s="19"/>
      <c r="P8" s="18"/>
      <c r="Q8" s="16"/>
      <c r="R8" s="17"/>
      <c r="S8" s="18"/>
      <c r="T8" s="19"/>
      <c r="U8" s="18"/>
      <c r="V8" s="16"/>
      <c r="W8" s="17"/>
      <c r="X8" s="18">
        <f>+IF(W8&lt;&gt;0,V8*W8/100,0)</f>
        <v>0</v>
      </c>
      <c r="Y8" s="19"/>
      <c r="Z8" s="19"/>
      <c r="AA8" s="18">
        <f>+IF(Z8&lt;&gt;0,Y8*Z8/100,0)</f>
        <v>0</v>
      </c>
      <c r="AB8" s="20">
        <f>+G8+I8+K8+L8+N8+P8+Q8+S8+U8-X8-AA8</f>
        <v>57.112000000000002</v>
      </c>
      <c r="AC8" s="5"/>
      <c r="AD8" s="8"/>
      <c r="AF8" s="6"/>
      <c r="AG8" s="7"/>
      <c r="AJ8" s="33" t="s">
        <v>64</v>
      </c>
      <c r="AK8" s="35" t="s">
        <v>63</v>
      </c>
      <c r="AL8" s="38"/>
    </row>
    <row r="9" spans="1:38" ht="17.25" customHeight="1">
      <c r="A9" s="25">
        <v>45603</v>
      </c>
      <c r="B9" s="26" t="s">
        <v>357</v>
      </c>
      <c r="C9" s="14"/>
      <c r="D9" s="31" t="s">
        <v>358</v>
      </c>
      <c r="E9" s="14" t="s">
        <v>359</v>
      </c>
      <c r="F9" s="15" t="str">
        <f>"S/F "&amp;B9&amp;" "&amp;E9</f>
        <v>S/F 8815 Jose Manuel González Garrote - Extintores</v>
      </c>
      <c r="G9" s="16">
        <v>233.73</v>
      </c>
      <c r="H9" s="17">
        <v>21</v>
      </c>
      <c r="I9" s="18">
        <f>+IF(G9&lt;&gt;0,G9*H9/100,0)</f>
        <v>49.083300000000001</v>
      </c>
      <c r="J9" s="17"/>
      <c r="K9" s="18">
        <f>+IF(G9&lt;&gt;0,G9*J9/100,0)</f>
        <v>0</v>
      </c>
      <c r="L9" s="16"/>
      <c r="M9" s="17"/>
      <c r="N9" s="18">
        <f>+IF(L9&lt;&gt;0,L9*M9/100,0)</f>
        <v>0</v>
      </c>
      <c r="O9" s="19"/>
      <c r="P9" s="18"/>
      <c r="Q9" s="16"/>
      <c r="R9" s="17"/>
      <c r="S9" s="18"/>
      <c r="T9" s="19"/>
      <c r="U9" s="18"/>
      <c r="V9" s="16"/>
      <c r="W9" s="17"/>
      <c r="X9" s="18">
        <f>+IF(W9&lt;&gt;0,V9*W9/100,0)</f>
        <v>0</v>
      </c>
      <c r="Y9" s="19"/>
      <c r="Z9" s="19"/>
      <c r="AA9" s="18">
        <f>+IF(Z9&lt;&gt;0,Y9*Z9/100,0)</f>
        <v>0</v>
      </c>
      <c r="AB9" s="20">
        <f>+G9+I9+K9+L9+N9+P9+Q9+S9+U9-X9-AA9</f>
        <v>282.81329999999997</v>
      </c>
      <c r="AC9" s="5"/>
      <c r="AD9" s="8"/>
      <c r="AF9" s="6"/>
      <c r="AG9" s="7"/>
      <c r="AJ9" s="33" t="s">
        <v>64</v>
      </c>
      <c r="AK9" s="35" t="s">
        <v>75</v>
      </c>
      <c r="AL9" s="38"/>
    </row>
    <row r="10" spans="1:38" ht="17.25" customHeight="1">
      <c r="A10" s="25">
        <v>45604</v>
      </c>
      <c r="B10" s="26" t="s">
        <v>481</v>
      </c>
      <c r="C10" s="14"/>
      <c r="D10" s="31" t="s">
        <v>466</v>
      </c>
      <c r="E10" s="14" t="s">
        <v>440</v>
      </c>
      <c r="F10" s="15" t="str">
        <f>"S/F "&amp;B10&amp;" "&amp;E10</f>
        <v>S/F 5477-2024-00436278 Costco wholesale Spain S.L.U.</v>
      </c>
      <c r="G10" s="16">
        <v>65.400000000000006</v>
      </c>
      <c r="H10" s="17">
        <v>21</v>
      </c>
      <c r="I10" s="18">
        <f>+IF(G10&lt;&gt;0,G10*H10/100,0)</f>
        <v>13.734000000000002</v>
      </c>
      <c r="J10" s="17"/>
      <c r="K10" s="18">
        <f>+IF(G10&lt;&gt;0,G10*J10/100,0)</f>
        <v>0</v>
      </c>
      <c r="L10" s="16"/>
      <c r="M10" s="17"/>
      <c r="N10" s="18">
        <f>+IF(L10&lt;&gt;0,L10*M10/100,0)</f>
        <v>0</v>
      </c>
      <c r="O10" s="19"/>
      <c r="P10" s="18"/>
      <c r="Q10" s="16"/>
      <c r="R10" s="17"/>
      <c r="S10" s="18"/>
      <c r="T10" s="19"/>
      <c r="U10" s="18"/>
      <c r="V10" s="16"/>
      <c r="W10" s="17"/>
      <c r="X10" s="18">
        <f>+IF(W10&lt;&gt;0,V10*W10/100,0)</f>
        <v>0</v>
      </c>
      <c r="Y10" s="19"/>
      <c r="Z10" s="19"/>
      <c r="AA10" s="18"/>
      <c r="AB10" s="20">
        <f>+G10+I10+K10+L10+N10+P10+Q10+S10+U10-X10-AA10</f>
        <v>79.134000000000015</v>
      </c>
      <c r="AC10" s="5"/>
      <c r="AD10" s="8"/>
      <c r="AF10" s="6"/>
      <c r="AG10" s="7"/>
      <c r="AJ10" s="33" t="s">
        <v>64</v>
      </c>
      <c r="AK10" s="35" t="s">
        <v>63</v>
      </c>
      <c r="AL10" s="38"/>
    </row>
    <row r="11" spans="1:38" ht="17.25" customHeight="1">
      <c r="A11" s="25">
        <v>45617</v>
      </c>
      <c r="B11" s="26" t="s">
        <v>480</v>
      </c>
      <c r="C11" s="14"/>
      <c r="D11" s="31" t="s">
        <v>466</v>
      </c>
      <c r="E11" s="14" t="s">
        <v>440</v>
      </c>
      <c r="F11" s="15" t="str">
        <f>"S/F "&amp;B11&amp;" "&amp;E11</f>
        <v>S/F 5477-2024-00439294 Costco wholesale Spain S.L.U.</v>
      </c>
      <c r="G11" s="16">
        <v>61.44</v>
      </c>
      <c r="H11" s="17">
        <v>21</v>
      </c>
      <c r="I11" s="18">
        <f>+IF(G11&lt;&gt;0,G11*H11/100,0)</f>
        <v>12.9024</v>
      </c>
      <c r="J11" s="17"/>
      <c r="K11" s="18">
        <f>+IF(G11&lt;&gt;0,G11*J11/100,0)</f>
        <v>0</v>
      </c>
      <c r="L11" s="16"/>
      <c r="M11" s="17"/>
      <c r="N11" s="18">
        <f>+IF(L11&lt;&gt;0,L11*M11/100,0)</f>
        <v>0</v>
      </c>
      <c r="O11" s="19"/>
      <c r="P11" s="18"/>
      <c r="Q11" s="16"/>
      <c r="R11" s="17"/>
      <c r="S11" s="18"/>
      <c r="T11" s="19"/>
      <c r="U11" s="18"/>
      <c r="V11" s="16"/>
      <c r="W11" s="17"/>
      <c r="X11" s="18">
        <f>+IF(W11&lt;&gt;0,V11*W11/100,0)</f>
        <v>0</v>
      </c>
      <c r="Y11" s="19"/>
      <c r="Z11" s="19"/>
      <c r="AA11" s="18">
        <f>+IF(Z11&lt;&gt;0,Y11*Z11/100,0)</f>
        <v>0</v>
      </c>
      <c r="AB11" s="20">
        <f>+G11+I11+K11+L11+N11+P11+Q11+S11+U11-X11-AA11</f>
        <v>74.342399999999998</v>
      </c>
      <c r="AC11" s="5"/>
      <c r="AD11" s="8"/>
      <c r="AF11" s="6"/>
      <c r="AG11" s="7"/>
      <c r="AJ11" s="33" t="s">
        <v>64</v>
      </c>
      <c r="AK11" s="35" t="s">
        <v>63</v>
      </c>
      <c r="AL11" s="38"/>
    </row>
    <row r="12" spans="1:38" ht="17.25" customHeight="1">
      <c r="A12" s="25">
        <v>45625</v>
      </c>
      <c r="B12" s="26" t="s">
        <v>476</v>
      </c>
      <c r="C12" s="14"/>
      <c r="D12" s="31" t="s">
        <v>443</v>
      </c>
      <c r="E12" s="14" t="s">
        <v>444</v>
      </c>
      <c r="F12" s="15" t="str">
        <f>"S/F "&amp;B12&amp;" "&amp;E12</f>
        <v>S/F 2117 Meson Toledano</v>
      </c>
      <c r="G12" s="16">
        <v>159.63999999999999</v>
      </c>
      <c r="H12" s="17">
        <v>10</v>
      </c>
      <c r="I12" s="18">
        <f>+IF(G12&lt;&gt;0,G12*H12/100,0)</f>
        <v>15.963999999999999</v>
      </c>
      <c r="J12" s="17"/>
      <c r="K12" s="18">
        <f>+IF(G12&lt;&gt;0,G12*J12/100,0)</f>
        <v>0</v>
      </c>
      <c r="L12" s="16"/>
      <c r="M12" s="17"/>
      <c r="N12" s="18">
        <f>+IF(L12&lt;&gt;0,L12*M12/100,0)</f>
        <v>0</v>
      </c>
      <c r="O12" s="19"/>
      <c r="P12" s="18"/>
      <c r="Q12" s="16"/>
      <c r="R12" s="17"/>
      <c r="S12" s="18"/>
      <c r="T12" s="19"/>
      <c r="U12" s="18"/>
      <c r="V12" s="16"/>
      <c r="W12" s="17"/>
      <c r="X12" s="18">
        <f>+IF(W12&lt;&gt;0,V12*W12/100,0)</f>
        <v>0</v>
      </c>
      <c r="Y12" s="19"/>
      <c r="Z12" s="19"/>
      <c r="AA12" s="18">
        <f>+IF(Z12&lt;&gt;0,Y12*Z12/100,0)</f>
        <v>0</v>
      </c>
      <c r="AB12" s="20">
        <f>+G12+I12+K12+L12+N12+P12+Q12+S12+U12-X12-AA12</f>
        <v>175.60399999999998</v>
      </c>
      <c r="AC12" s="5"/>
      <c r="AD12" s="8"/>
      <c r="AF12" s="6"/>
      <c r="AG12" s="7"/>
      <c r="AJ12" s="33" t="s">
        <v>64</v>
      </c>
      <c r="AK12" s="35" t="s">
        <v>63</v>
      </c>
      <c r="AL12" s="38"/>
    </row>
    <row r="13" spans="1:38" ht="17.25" customHeight="1">
      <c r="A13" s="25">
        <v>45636</v>
      </c>
      <c r="B13" s="26" t="s">
        <v>470</v>
      </c>
      <c r="C13" s="14"/>
      <c r="D13" s="31" t="s">
        <v>151</v>
      </c>
      <c r="E13" s="14" t="s">
        <v>152</v>
      </c>
      <c r="F13" s="15" t="str">
        <f>"S/F "&amp;B13&amp;" "&amp;E13</f>
        <v>S/F 202D2400037430 Plenoil S.L.</v>
      </c>
      <c r="G13" s="16">
        <v>41.32</v>
      </c>
      <c r="H13" s="17">
        <v>21</v>
      </c>
      <c r="I13" s="18">
        <f>+IF(G13&lt;&gt;0,G13*H13/100,0)</f>
        <v>8.6772000000000009</v>
      </c>
      <c r="J13" s="17"/>
      <c r="K13" s="18">
        <f>+IF(G13&lt;&gt;0,G13*J13/100,0)</f>
        <v>0</v>
      </c>
      <c r="L13" s="16"/>
      <c r="M13" s="17"/>
      <c r="N13" s="18">
        <f>+IF(L13&lt;&gt;0,L13*M13/100,0)</f>
        <v>0</v>
      </c>
      <c r="O13" s="19"/>
      <c r="P13" s="18"/>
      <c r="Q13" s="16"/>
      <c r="R13" s="17"/>
      <c r="S13" s="18"/>
      <c r="T13" s="19"/>
      <c r="U13" s="18"/>
      <c r="V13" s="16"/>
      <c r="W13" s="17"/>
      <c r="X13" s="18">
        <f>+IF(W13&lt;&gt;0,V13*W13/100,0)</f>
        <v>0</v>
      </c>
      <c r="Y13" s="19"/>
      <c r="Z13" s="19"/>
      <c r="AA13" s="18">
        <f>+IF(Z13&lt;&gt;0,Y13*Z13/100,0)</f>
        <v>0</v>
      </c>
      <c r="AB13" s="20">
        <f>+G13+I13+K13+L13+N13+P13+Q13+S13+U13-X13-AA13</f>
        <v>49.997199999999999</v>
      </c>
      <c r="AC13" s="5"/>
      <c r="AD13" s="8"/>
      <c r="AF13" s="6"/>
      <c r="AG13" s="7"/>
      <c r="AJ13" s="33" t="s">
        <v>64</v>
      </c>
      <c r="AK13" s="35" t="s">
        <v>471</v>
      </c>
      <c r="AL13" s="38"/>
    </row>
    <row r="14" spans="1:38" ht="17.25" customHeight="1">
      <c r="A14" s="25">
        <v>45642</v>
      </c>
      <c r="B14" s="26" t="s">
        <v>472</v>
      </c>
      <c r="C14" s="14"/>
      <c r="D14" s="31" t="s">
        <v>151</v>
      </c>
      <c r="E14" s="14" t="s">
        <v>152</v>
      </c>
      <c r="F14" s="15" t="str">
        <f>"S/F "&amp;B14&amp;" "&amp;E14</f>
        <v>S/F 202D2400037995 Plenoil S.L.</v>
      </c>
      <c r="G14" s="16">
        <v>41.32</v>
      </c>
      <c r="H14" s="17">
        <v>21</v>
      </c>
      <c r="I14" s="18">
        <f>+IF(G14&lt;&gt;0,G14*H14/100,0)</f>
        <v>8.6772000000000009</v>
      </c>
      <c r="J14" s="17"/>
      <c r="K14" s="18">
        <f>+IF(G14&lt;&gt;0,G14*J14/100,0)</f>
        <v>0</v>
      </c>
      <c r="L14" s="16"/>
      <c r="M14" s="17"/>
      <c r="N14" s="18">
        <f>+IF(L14&lt;&gt;0,L14*M14/100,0)</f>
        <v>0</v>
      </c>
      <c r="O14" s="19"/>
      <c r="P14" s="18"/>
      <c r="Q14" s="16"/>
      <c r="R14" s="17"/>
      <c r="S14" s="18"/>
      <c r="T14" s="19"/>
      <c r="U14" s="18"/>
      <c r="V14" s="16"/>
      <c r="W14" s="17"/>
      <c r="X14" s="18">
        <f>+IF(W14&lt;&gt;0,V14*W14/100,0)</f>
        <v>0</v>
      </c>
      <c r="Y14" s="19"/>
      <c r="Z14" s="19"/>
      <c r="AA14" s="18">
        <f>+IF(Z14&lt;&gt;0,Y14*Z14/100,0)</f>
        <v>0</v>
      </c>
      <c r="AB14" s="20">
        <f>+G14+I14+K14+L14+N14+P14+Q14+S14+U14-X14-AA14</f>
        <v>49.997199999999999</v>
      </c>
      <c r="AC14" s="5"/>
      <c r="AD14" s="8"/>
      <c r="AF14" s="6"/>
      <c r="AG14" s="7"/>
      <c r="AJ14" s="33" t="s">
        <v>64</v>
      </c>
      <c r="AK14" s="35" t="s">
        <v>471</v>
      </c>
      <c r="AL14" s="38"/>
    </row>
    <row r="15" spans="1:38" ht="17.25" customHeight="1">
      <c r="A15" s="25">
        <v>45642</v>
      </c>
      <c r="B15" s="26" t="s">
        <v>482</v>
      </c>
      <c r="C15" s="14"/>
      <c r="D15" s="31" t="s">
        <v>466</v>
      </c>
      <c r="E15" s="14" t="s">
        <v>440</v>
      </c>
      <c r="F15" s="15" t="str">
        <f>"S/F "&amp;B15&amp;" "&amp;E15</f>
        <v>S/F 5477-2024-00445197 Costco wholesale Spain S.L.U.</v>
      </c>
      <c r="G15" s="16">
        <v>66.11</v>
      </c>
      <c r="H15" s="17">
        <v>21</v>
      </c>
      <c r="I15" s="18">
        <f>+IF(G15&lt;&gt;0,G15*H15/100,0)</f>
        <v>13.883099999999999</v>
      </c>
      <c r="J15" s="17"/>
      <c r="K15" s="18">
        <f>+IF(G15&lt;&gt;0,G15*J15/100,0)</f>
        <v>0</v>
      </c>
      <c r="L15" s="16"/>
      <c r="M15" s="17"/>
      <c r="N15" s="18">
        <f>+IF(L15&lt;&gt;0,L15*M15/100,0)</f>
        <v>0</v>
      </c>
      <c r="O15" s="19"/>
      <c r="P15" s="18"/>
      <c r="Q15" s="16"/>
      <c r="R15" s="17"/>
      <c r="S15" s="18"/>
      <c r="T15" s="19"/>
      <c r="U15" s="18"/>
      <c r="V15" s="16"/>
      <c r="W15" s="17"/>
      <c r="X15" s="18">
        <f>+IF(W15&lt;&gt;0,V15*W15/100,0)</f>
        <v>0</v>
      </c>
      <c r="Y15" s="19"/>
      <c r="Z15" s="19"/>
      <c r="AA15" s="18">
        <f>+IF(Z15&lt;&gt;0,Y15*Z15/100,0)</f>
        <v>0</v>
      </c>
      <c r="AB15" s="20">
        <f>+G15+I15+K15+L15+N15+P15+Q15+S15+U15-X15-AA15</f>
        <v>79.993099999999998</v>
      </c>
      <c r="AC15" s="5"/>
      <c r="AD15" s="8"/>
      <c r="AF15" s="6"/>
      <c r="AG15" s="7"/>
      <c r="AJ15" s="33" t="s">
        <v>64</v>
      </c>
      <c r="AK15" s="35" t="s">
        <v>63</v>
      </c>
      <c r="AL15" s="38"/>
    </row>
    <row r="16" spans="1:38" ht="17.25" customHeight="1">
      <c r="A16" s="25">
        <v>45644</v>
      </c>
      <c r="B16" s="26" t="s">
        <v>484</v>
      </c>
      <c r="C16" s="14"/>
      <c r="D16" s="31" t="s">
        <v>466</v>
      </c>
      <c r="E16" s="14" t="s">
        <v>440</v>
      </c>
      <c r="F16" s="15" t="str">
        <f>"S/F "&amp;B16&amp;" "&amp;E16</f>
        <v>S/F 5477-2024-00734333 Costco wholesale Spain S.L.U.</v>
      </c>
      <c r="G16" s="16">
        <v>63.45</v>
      </c>
      <c r="H16" s="17">
        <v>21</v>
      </c>
      <c r="I16" s="18">
        <f>+IF(G16&lt;&gt;0,G16*H16/100,0)</f>
        <v>13.3245</v>
      </c>
      <c r="J16" s="17"/>
      <c r="K16" s="18">
        <f>+IF(G16&lt;&gt;0,G16*J16/100,0)</f>
        <v>0</v>
      </c>
      <c r="L16" s="16"/>
      <c r="M16" s="17"/>
      <c r="N16" s="18">
        <f>+IF(L16&lt;&gt;0,L16*M16/100,0)</f>
        <v>0</v>
      </c>
      <c r="O16" s="19"/>
      <c r="P16" s="18"/>
      <c r="Q16" s="16"/>
      <c r="R16" s="17"/>
      <c r="S16" s="18"/>
      <c r="T16" s="19"/>
      <c r="U16" s="18"/>
      <c r="V16" s="16"/>
      <c r="W16" s="17"/>
      <c r="X16" s="18">
        <f>+IF(W16&lt;&gt;0,V16*W16/100,0)</f>
        <v>0</v>
      </c>
      <c r="Y16" s="19"/>
      <c r="Z16" s="19"/>
      <c r="AA16" s="18">
        <f>+IF(Z16&lt;&gt;0,Y16*Z16/100,0)</f>
        <v>0</v>
      </c>
      <c r="AB16" s="20">
        <f>+G16+I16+K16+L16+N16+P16+Q16+S16+U16-X16-AA16</f>
        <v>76.774500000000003</v>
      </c>
      <c r="AC16" s="5"/>
      <c r="AD16" s="8"/>
      <c r="AF16" s="6"/>
      <c r="AG16" s="7"/>
      <c r="AJ16" s="33" t="s">
        <v>64</v>
      </c>
      <c r="AK16" s="35" t="s">
        <v>63</v>
      </c>
      <c r="AL16" s="38"/>
    </row>
    <row r="17" spans="1:38" ht="17.25" customHeight="1">
      <c r="A17" s="25">
        <v>45646</v>
      </c>
      <c r="B17" s="26" t="s">
        <v>463</v>
      </c>
      <c r="C17" s="14"/>
      <c r="D17" s="31" t="s">
        <v>148</v>
      </c>
      <c r="E17" s="14" t="s">
        <v>149</v>
      </c>
      <c r="F17" s="15" t="str">
        <f>"S/F "&amp;B17&amp;" "&amp;E17</f>
        <v>S/F 1082/0003661 Ahorramas S.A.</v>
      </c>
      <c r="G17" s="16">
        <v>25.82</v>
      </c>
      <c r="H17" s="17">
        <v>21</v>
      </c>
      <c r="I17" s="18">
        <f>+IF(G17&lt;&gt;0,G17*H17/100,0)</f>
        <v>5.4222000000000001</v>
      </c>
      <c r="J17" s="17"/>
      <c r="K17" s="18">
        <f>+IF(G17&lt;&gt;0,G17*J17/100,0)</f>
        <v>0</v>
      </c>
      <c r="L17" s="16">
        <v>202.65</v>
      </c>
      <c r="M17" s="17">
        <v>10</v>
      </c>
      <c r="N17" s="18">
        <f>+IF(L17&lt;&gt;0,L17*M17/100,0)</f>
        <v>20.265000000000001</v>
      </c>
      <c r="O17" s="19"/>
      <c r="P17" s="18"/>
      <c r="Q17" s="16">
        <v>54.36</v>
      </c>
      <c r="R17" s="17">
        <v>2</v>
      </c>
      <c r="S17" s="18">
        <f>+IF(Q17&lt;&gt;0,Q17*R17/100,0)</f>
        <v>1.0871999999999999</v>
      </c>
      <c r="T17" s="19"/>
      <c r="U17" s="18"/>
      <c r="V17" s="16"/>
      <c r="W17" s="17"/>
      <c r="X17" s="18">
        <f>+IF(W17&lt;&gt;0,V17*W17/100,0)</f>
        <v>0</v>
      </c>
      <c r="Y17" s="19"/>
      <c r="Z17" s="19"/>
      <c r="AA17" s="18"/>
      <c r="AB17" s="20">
        <f>+G17+I17+K17+L17+N17+P17+Q17+S17+U17-X17-AA17</f>
        <v>309.6044</v>
      </c>
      <c r="AC17" s="5"/>
      <c r="AD17" s="8"/>
      <c r="AF17" s="6"/>
      <c r="AG17" s="7"/>
      <c r="AJ17" s="33" t="s">
        <v>64</v>
      </c>
      <c r="AK17" s="35" t="s">
        <v>63</v>
      </c>
      <c r="AL17" s="38"/>
    </row>
    <row r="18" spans="1:38" ht="17.25" customHeight="1">
      <c r="A18" s="25">
        <v>45664</v>
      </c>
      <c r="B18" s="26" t="s">
        <v>485</v>
      </c>
      <c r="C18" s="14"/>
      <c r="D18" s="31" t="s">
        <v>53</v>
      </c>
      <c r="E18" s="14" t="s">
        <v>54</v>
      </c>
      <c r="F18" s="15"/>
      <c r="G18" s="16">
        <v>2921.07</v>
      </c>
      <c r="H18" s="17">
        <v>21</v>
      </c>
      <c r="I18" s="18">
        <f>+IF(G18&lt;&gt;0,G18*H18/100,0)</f>
        <v>613.42470000000003</v>
      </c>
      <c r="J18" s="17"/>
      <c r="K18" s="18">
        <f>+IF(G18&lt;&gt;0,G18*J18/100,0)</f>
        <v>0</v>
      </c>
      <c r="L18" s="16"/>
      <c r="M18" s="17"/>
      <c r="N18" s="18">
        <f>+IF(L18&lt;&gt;0,L18*M18/100,0)</f>
        <v>0</v>
      </c>
      <c r="O18" s="19"/>
      <c r="P18" s="18"/>
      <c r="Q18" s="16"/>
      <c r="R18" s="17"/>
      <c r="S18" s="18"/>
      <c r="T18" s="19"/>
      <c r="U18" s="18"/>
      <c r="V18" s="16"/>
      <c r="W18" s="17"/>
      <c r="X18" s="18">
        <f>+IF(W18&lt;&gt;0,V18*W18/100,0)</f>
        <v>0</v>
      </c>
      <c r="Y18" s="19"/>
      <c r="Z18" s="19"/>
      <c r="AA18" s="18">
        <f>+IF(Z18&lt;&gt;0,Y18*Z18/100,0)</f>
        <v>0</v>
      </c>
      <c r="AB18" s="20">
        <f>+G18+I18+K18+L18+N18+P18+Q18+S18+U18-X18-AA18</f>
        <v>3534.4947000000002</v>
      </c>
      <c r="AC18" s="5"/>
      <c r="AD18" s="8"/>
      <c r="AF18" s="6"/>
      <c r="AG18" s="7"/>
      <c r="AJ18" s="33" t="s">
        <v>64</v>
      </c>
      <c r="AK18" s="35"/>
      <c r="AL18" s="38"/>
    </row>
    <row r="19" spans="1:38" ht="17.25" customHeight="1">
      <c r="A19" s="25">
        <v>45665</v>
      </c>
      <c r="B19" s="26" t="s">
        <v>302</v>
      </c>
      <c r="C19" s="14"/>
      <c r="D19" s="31" t="s">
        <v>53</v>
      </c>
      <c r="E19" s="14" t="s">
        <v>54</v>
      </c>
      <c r="F19" s="15" t="str">
        <f>"S/F "&amp;B19&amp;" "&amp;E19</f>
        <v>S/F 20250018 Láser Levante S.A.</v>
      </c>
      <c r="G19" s="16">
        <v>561.75</v>
      </c>
      <c r="H19" s="17">
        <v>21</v>
      </c>
      <c r="I19" s="18">
        <f>+IF(G19&lt;&gt;0,G19*H19/100,0)</f>
        <v>117.9675</v>
      </c>
      <c r="J19" s="17"/>
      <c r="K19" s="18">
        <f>+IF(G19&lt;&gt;0,G19*J19/100,0)</f>
        <v>0</v>
      </c>
      <c r="L19" s="16"/>
      <c r="M19" s="17"/>
      <c r="N19" s="18">
        <f>+IF(L19&lt;&gt;0,L19*M19/100,0)</f>
        <v>0</v>
      </c>
      <c r="O19" s="19"/>
      <c r="P19" s="18"/>
      <c r="Q19" s="16"/>
      <c r="R19" s="17"/>
      <c r="S19" s="18"/>
      <c r="T19" s="19"/>
      <c r="U19" s="18"/>
      <c r="V19" s="16"/>
      <c r="W19" s="17"/>
      <c r="X19" s="18">
        <f>+IF(W19&lt;&gt;0,V19*W19/100,0)</f>
        <v>0</v>
      </c>
      <c r="Y19" s="19"/>
      <c r="Z19" s="19"/>
      <c r="AA19" s="18">
        <f>+IF(Z19&lt;&gt;0,Y19*Z19/100,0)</f>
        <v>0</v>
      </c>
      <c r="AB19" s="20">
        <f>+G19+I19+K19+L19+N19+P19+Q19+S19+U19-X19-AA19</f>
        <v>679.71749999999997</v>
      </c>
      <c r="AC19" s="5"/>
      <c r="AD19" s="8"/>
      <c r="AF19" s="6"/>
      <c r="AG19" s="7"/>
      <c r="AJ19" s="33" t="s">
        <v>64</v>
      </c>
      <c r="AK19" s="35"/>
      <c r="AL19" s="38"/>
    </row>
    <row r="20" spans="1:38" ht="17.25" customHeight="1">
      <c r="A20" s="25">
        <v>45665</v>
      </c>
      <c r="B20" s="26" t="s">
        <v>319</v>
      </c>
      <c r="C20" s="14"/>
      <c r="D20" s="31" t="s">
        <v>317</v>
      </c>
      <c r="E20" s="14" t="s">
        <v>318</v>
      </c>
      <c r="F20" s="15" t="str">
        <f>"S/F "&amp;B20&amp;" "&amp;E20</f>
        <v>S/F 25007817 SG Equipment Finance Iberia, EFC, S.A.U.</v>
      </c>
      <c r="G20" s="16">
        <v>673.6</v>
      </c>
      <c r="H20" s="17">
        <v>21</v>
      </c>
      <c r="I20" s="18">
        <f>+IF(G20&lt;&gt;0,G20*H20/100,0)</f>
        <v>141.45600000000002</v>
      </c>
      <c r="J20" s="17"/>
      <c r="K20" s="18">
        <f>+IF(G20&lt;&gt;0,G20*J20/100,0)</f>
        <v>0</v>
      </c>
      <c r="L20" s="16"/>
      <c r="M20" s="17"/>
      <c r="N20" s="18">
        <f>+IF(L20&lt;&gt;0,L20*M20/100,0)</f>
        <v>0</v>
      </c>
      <c r="O20" s="19"/>
      <c r="P20" s="18"/>
      <c r="Q20" s="16"/>
      <c r="R20" s="17"/>
      <c r="S20" s="18"/>
      <c r="T20" s="19"/>
      <c r="U20" s="18"/>
      <c r="V20" s="16"/>
      <c r="W20" s="17"/>
      <c r="X20" s="18">
        <f>+IF(W20&lt;&gt;0,V20*W20/100,0)</f>
        <v>0</v>
      </c>
      <c r="Y20" s="19"/>
      <c r="Z20" s="19"/>
      <c r="AA20" s="18">
        <f>+IF(Z20&lt;&gt;0,Y20*Z20/100,0)</f>
        <v>0</v>
      </c>
      <c r="AB20" s="20">
        <f>+G20+I20+K20+L20+N20+P20+Q20+S20+U20-X20-AA20</f>
        <v>815.05600000000004</v>
      </c>
      <c r="AC20" s="5"/>
      <c r="AD20" s="8"/>
      <c r="AF20" s="6"/>
      <c r="AG20" s="7"/>
      <c r="AJ20" s="33" t="s">
        <v>64</v>
      </c>
      <c r="AK20" s="35" t="s">
        <v>68</v>
      </c>
      <c r="AL20" s="38"/>
    </row>
    <row r="21" spans="1:38" ht="17.25" customHeight="1">
      <c r="A21" s="25">
        <v>45665</v>
      </c>
      <c r="B21" s="26" t="s">
        <v>459</v>
      </c>
      <c r="C21" s="14"/>
      <c r="D21" s="31" t="s">
        <v>466</v>
      </c>
      <c r="E21" s="14" t="s">
        <v>440</v>
      </c>
      <c r="F21" s="15" t="str">
        <f>"S/F "&amp;B21&amp;" "&amp;E21</f>
        <v>S/F 5477-2025-00587283 Costco wholesale Spain S.L.U.</v>
      </c>
      <c r="G21" s="16">
        <v>62.7</v>
      </c>
      <c r="H21" s="17">
        <v>21</v>
      </c>
      <c r="I21" s="18">
        <f>+IF(G21&lt;&gt;0,G21*H21/100,0)</f>
        <v>13.167</v>
      </c>
      <c r="J21" s="17"/>
      <c r="K21" s="18">
        <f>+IF(G21&lt;&gt;0,G21*J21/100,0)</f>
        <v>0</v>
      </c>
      <c r="L21" s="16"/>
      <c r="M21" s="17"/>
      <c r="N21" s="18">
        <f>+IF(L21&lt;&gt;0,L21*M21/100,0)</f>
        <v>0</v>
      </c>
      <c r="O21" s="19"/>
      <c r="P21" s="18"/>
      <c r="Q21" s="16"/>
      <c r="R21" s="17"/>
      <c r="S21" s="18"/>
      <c r="T21" s="19"/>
      <c r="U21" s="18"/>
      <c r="V21" s="16"/>
      <c r="W21" s="17"/>
      <c r="X21" s="18">
        <f>+IF(W21&lt;&gt;0,V21*W21/100,0)</f>
        <v>0</v>
      </c>
      <c r="Y21" s="19"/>
      <c r="Z21" s="19"/>
      <c r="AA21" s="18">
        <f>+IF(Z21&lt;&gt;0,Y21*Z21/100,0)</f>
        <v>0</v>
      </c>
      <c r="AB21" s="20">
        <f>+G21+I21+K21+L21+N21+P21+Q21+S21+U21-X21-AA21</f>
        <v>75.867000000000004</v>
      </c>
      <c r="AC21" s="5"/>
      <c r="AD21" s="8"/>
      <c r="AF21" s="6"/>
      <c r="AG21" s="7"/>
      <c r="AJ21" s="33" t="s">
        <v>64</v>
      </c>
      <c r="AK21" s="35" t="s">
        <v>63</v>
      </c>
      <c r="AL21" s="38"/>
    </row>
    <row r="22" spans="1:38" ht="17.25" customHeight="1">
      <c r="A22" s="25">
        <v>45665</v>
      </c>
      <c r="B22" s="26" t="s">
        <v>460</v>
      </c>
      <c r="C22" s="14"/>
      <c r="D22" s="31" t="s">
        <v>466</v>
      </c>
      <c r="E22" s="14" t="s">
        <v>440</v>
      </c>
      <c r="F22" s="15" t="str">
        <f>"S/F "&amp;B22&amp;" "&amp;E22</f>
        <v>S/F 5477-2025-00587300 Costco wholesale Spain S.L.U.</v>
      </c>
      <c r="G22" s="16">
        <v>52.56</v>
      </c>
      <c r="H22" s="17">
        <v>21</v>
      </c>
      <c r="I22" s="18">
        <f>+IF(G22&lt;&gt;0,G22*H22/100,0)</f>
        <v>11.037599999999999</v>
      </c>
      <c r="J22" s="17"/>
      <c r="K22" s="18">
        <f>+IF(G22&lt;&gt;0,G22*J22/100,0)</f>
        <v>0</v>
      </c>
      <c r="L22" s="16"/>
      <c r="M22" s="17"/>
      <c r="N22" s="18">
        <f>+IF(L22&lt;&gt;0,L22*M22/100,0)</f>
        <v>0</v>
      </c>
      <c r="O22" s="19"/>
      <c r="P22" s="18"/>
      <c r="Q22" s="16"/>
      <c r="R22" s="17"/>
      <c r="S22" s="18"/>
      <c r="T22" s="19"/>
      <c r="U22" s="18"/>
      <c r="V22" s="16"/>
      <c r="W22" s="17"/>
      <c r="X22" s="18">
        <f>+IF(W22&lt;&gt;0,V22*W22/100,0)</f>
        <v>0</v>
      </c>
      <c r="Y22" s="19"/>
      <c r="Z22" s="19"/>
      <c r="AA22" s="18">
        <f>+IF(Z22&lt;&gt;0,Y22*Z22/100,0)</f>
        <v>0</v>
      </c>
      <c r="AB22" s="20">
        <f>+G22+I22+K22+L22+N22+P22+Q22+S22+U22-X22-AA22</f>
        <v>63.5976</v>
      </c>
      <c r="AC22" s="5"/>
      <c r="AD22" s="8"/>
      <c r="AF22" s="6"/>
      <c r="AG22" s="7"/>
      <c r="AJ22" s="33" t="s">
        <v>64</v>
      </c>
      <c r="AK22" s="35" t="s">
        <v>63</v>
      </c>
      <c r="AL22" s="38"/>
    </row>
    <row r="23" spans="1:38" ht="17.25" customHeight="1">
      <c r="A23" s="25">
        <v>45671</v>
      </c>
      <c r="B23" s="26" t="s">
        <v>456</v>
      </c>
      <c r="C23" s="14"/>
      <c r="D23" s="31" t="s">
        <v>466</v>
      </c>
      <c r="E23" s="14" t="s">
        <v>440</v>
      </c>
      <c r="F23" s="15" t="str">
        <f>"S/F "&amp;B23&amp;" "&amp;E23</f>
        <v>S/F 5477-2025-00004622 Costco wholesale Spain S.L.U.</v>
      </c>
      <c r="G23" s="16">
        <v>25</v>
      </c>
      <c r="H23" s="17">
        <v>21</v>
      </c>
      <c r="I23" s="18">
        <f>+IF(G23&lt;&gt;0,G23*H23/100,0)</f>
        <v>5.25</v>
      </c>
      <c r="J23" s="17"/>
      <c r="K23" s="18">
        <f>+IF(G23&lt;&gt;0,G23*J23/100,0)</f>
        <v>0</v>
      </c>
      <c r="L23" s="16"/>
      <c r="M23" s="17"/>
      <c r="N23" s="18">
        <f>+IF(L23&lt;&gt;0,L23*M23/100,0)</f>
        <v>0</v>
      </c>
      <c r="O23" s="19"/>
      <c r="P23" s="18"/>
      <c r="Q23" s="16"/>
      <c r="R23" s="17"/>
      <c r="S23" s="18"/>
      <c r="T23" s="19"/>
      <c r="U23" s="18"/>
      <c r="V23" s="16"/>
      <c r="W23" s="17"/>
      <c r="X23" s="18">
        <f>+IF(W23&lt;&gt;0,V23*W23/100,0)</f>
        <v>0</v>
      </c>
      <c r="Y23" s="19"/>
      <c r="Z23" s="19"/>
      <c r="AA23" s="18">
        <f>+IF(Z23&lt;&gt;0,Y23*Z23/100,0)</f>
        <v>0</v>
      </c>
      <c r="AB23" s="20">
        <f>+G23+I23+K23+L23+N23+P23+Q23+S23+U23-X23-AA23</f>
        <v>30.25</v>
      </c>
      <c r="AC23" s="5"/>
      <c r="AD23" s="8"/>
      <c r="AF23" s="6"/>
      <c r="AG23" s="7"/>
      <c r="AJ23" s="33" t="s">
        <v>64</v>
      </c>
      <c r="AK23" s="35" t="s">
        <v>63</v>
      </c>
      <c r="AL23" s="38"/>
    </row>
    <row r="24" spans="1:38" ht="17.25" customHeight="1">
      <c r="A24" s="25">
        <v>45671</v>
      </c>
      <c r="B24" s="26" t="s">
        <v>467</v>
      </c>
      <c r="C24" s="14"/>
      <c r="D24" s="31" t="s">
        <v>466</v>
      </c>
      <c r="E24" s="14" t="s">
        <v>440</v>
      </c>
      <c r="F24" s="15" t="str">
        <f>"S/F "&amp;B24&amp;" "&amp;E24</f>
        <v>S/F 5477-2025-00739427 Costco wholesale Spain S.L.U.</v>
      </c>
      <c r="G24" s="16">
        <v>65.64</v>
      </c>
      <c r="H24" s="17">
        <v>21</v>
      </c>
      <c r="I24" s="18">
        <f>+IF(G24&lt;&gt;0,G24*H24/100,0)</f>
        <v>13.7844</v>
      </c>
      <c r="J24" s="17"/>
      <c r="K24" s="18">
        <f>+IF(G24&lt;&gt;0,G24*J24/100,0)</f>
        <v>0</v>
      </c>
      <c r="L24" s="16"/>
      <c r="M24" s="17"/>
      <c r="N24" s="18">
        <f>+IF(L24&lt;&gt;0,L24*M24/100,0)</f>
        <v>0</v>
      </c>
      <c r="O24" s="19"/>
      <c r="P24" s="18"/>
      <c r="Q24" s="16"/>
      <c r="R24" s="17"/>
      <c r="S24" s="18"/>
      <c r="T24" s="19"/>
      <c r="U24" s="18"/>
      <c r="V24" s="16"/>
      <c r="W24" s="17"/>
      <c r="X24" s="18">
        <f>+IF(W24&lt;&gt;0,V24*W24/100,0)</f>
        <v>0</v>
      </c>
      <c r="Y24" s="19"/>
      <c r="Z24" s="19"/>
      <c r="AA24" s="18"/>
      <c r="AB24" s="20">
        <f>+G24+I24+K24+L24+N24+P24+Q24+S24+U24-X24-AA24</f>
        <v>79.424400000000006</v>
      </c>
      <c r="AC24" s="5"/>
      <c r="AD24" s="8"/>
      <c r="AF24" s="6"/>
      <c r="AG24" s="7"/>
      <c r="AJ24" s="33" t="s">
        <v>64</v>
      </c>
      <c r="AK24" s="35" t="s">
        <v>63</v>
      </c>
      <c r="AL24" s="38"/>
    </row>
    <row r="25" spans="1:38" ht="17.25" customHeight="1">
      <c r="A25" s="25">
        <v>45673</v>
      </c>
      <c r="B25" s="26" t="s">
        <v>570</v>
      </c>
      <c r="C25" s="14"/>
      <c r="D25" s="31" t="s">
        <v>500</v>
      </c>
      <c r="E25" s="14" t="s">
        <v>501</v>
      </c>
      <c r="F25" s="15" t="str">
        <f>"S/F "&amp;B25&amp;" "&amp;E25</f>
        <v>S/F 24 Fergoa Industrial XXI S.L.</v>
      </c>
      <c r="G25" s="16">
        <v>320</v>
      </c>
      <c r="H25" s="17">
        <v>21</v>
      </c>
      <c r="I25" s="18">
        <f>+IF(G25&lt;&gt;0,G25*H25/100,0)</f>
        <v>67.2</v>
      </c>
      <c r="J25" s="17"/>
      <c r="K25" s="18">
        <f>+IF(G25&lt;&gt;0,G25*J25/100,0)</f>
        <v>0</v>
      </c>
      <c r="L25" s="16"/>
      <c r="M25" s="17"/>
      <c r="N25" s="18">
        <f>+IF(L25&lt;&gt;0,L25*M25/100,0)</f>
        <v>0</v>
      </c>
      <c r="O25" s="19"/>
      <c r="P25" s="18"/>
      <c r="Q25" s="16"/>
      <c r="R25" s="17"/>
      <c r="S25" s="18"/>
      <c r="T25" s="19"/>
      <c r="U25" s="18"/>
      <c r="V25" s="16"/>
      <c r="W25" s="17"/>
      <c r="X25" s="18">
        <f>+IF(W25&lt;&gt;0,V25*W25/100,0)</f>
        <v>0</v>
      </c>
      <c r="Y25" s="19"/>
      <c r="Z25" s="19"/>
      <c r="AA25" s="18">
        <f>+IF(Z25&lt;&gt;0,Y25*Z25/100,0)</f>
        <v>0</v>
      </c>
      <c r="AB25" s="20">
        <f>+G25+I25+K25+L25+N25+P25+Q25+S25+U25-X25-AA25</f>
        <v>387.2</v>
      </c>
      <c r="AC25" s="5"/>
      <c r="AD25" s="8"/>
      <c r="AF25" s="6"/>
      <c r="AG25" s="7"/>
      <c r="AJ25" s="33" t="s">
        <v>64</v>
      </c>
      <c r="AK25" s="35"/>
      <c r="AL25" s="38"/>
    </row>
    <row r="26" spans="1:38" ht="17.25" customHeight="1">
      <c r="A26" s="25">
        <v>45676</v>
      </c>
      <c r="B26" s="26" t="s">
        <v>483</v>
      </c>
      <c r="C26" s="14"/>
      <c r="D26" s="31" t="s">
        <v>466</v>
      </c>
      <c r="E26" s="14" t="s">
        <v>440</v>
      </c>
      <c r="F26" s="15" t="str">
        <f>"S/F "&amp;B26&amp;" "&amp;E26</f>
        <v>S/F 5477-2025-00453051 Costco wholesale Spain S.L.U.</v>
      </c>
      <c r="G26" s="16">
        <v>60.04</v>
      </c>
      <c r="H26" s="17">
        <v>21</v>
      </c>
      <c r="I26" s="18">
        <f>+IF(G26&lt;&gt;0,G26*H26/100,0)</f>
        <v>12.6084</v>
      </c>
      <c r="J26" s="17"/>
      <c r="K26" s="18">
        <f>+IF(G26&lt;&gt;0,G26*J26/100,0)</f>
        <v>0</v>
      </c>
      <c r="L26" s="16"/>
      <c r="M26" s="17"/>
      <c r="N26" s="18">
        <f>+IF(L26&lt;&gt;0,L26*M26/100,0)</f>
        <v>0</v>
      </c>
      <c r="O26" s="19"/>
      <c r="P26" s="18"/>
      <c r="Q26" s="16"/>
      <c r="R26" s="17"/>
      <c r="S26" s="18"/>
      <c r="T26" s="19"/>
      <c r="U26" s="18"/>
      <c r="V26" s="16"/>
      <c r="W26" s="17"/>
      <c r="X26" s="18">
        <f>+IF(W26&lt;&gt;0,V26*W26/100,0)</f>
        <v>0</v>
      </c>
      <c r="Y26" s="19"/>
      <c r="Z26" s="19"/>
      <c r="AA26" s="18">
        <f>+IF(Z26&lt;&gt;0,Y26*Z26/100,0)</f>
        <v>0</v>
      </c>
      <c r="AB26" s="20">
        <f>+G26+I26+K26+L26+N26+P26+Q26+S26+U26-X26-AA26</f>
        <v>72.648399999999995</v>
      </c>
      <c r="AC26" s="5"/>
      <c r="AD26" s="8"/>
      <c r="AF26" s="6"/>
      <c r="AG26" s="7"/>
      <c r="AJ26" s="33" t="s">
        <v>64</v>
      </c>
      <c r="AK26" s="35" t="s">
        <v>63</v>
      </c>
      <c r="AL26" s="38"/>
    </row>
    <row r="27" spans="1:38" ht="17.25" customHeight="1">
      <c r="A27" s="25">
        <v>45679</v>
      </c>
      <c r="B27" s="26" t="s">
        <v>408</v>
      </c>
      <c r="C27" s="14"/>
      <c r="D27" s="31" t="s">
        <v>53</v>
      </c>
      <c r="E27" s="14" t="s">
        <v>54</v>
      </c>
      <c r="F27" s="15" t="str">
        <f>"S/F "&amp;B27&amp;" "&amp;E27</f>
        <v>S/F 20250112 Láser Levante S.A.</v>
      </c>
      <c r="G27" s="16">
        <v>541.66999999999996</v>
      </c>
      <c r="H27" s="17">
        <v>21</v>
      </c>
      <c r="I27" s="18">
        <f>+IF(G27&lt;&gt;0,G27*H27/100,0)</f>
        <v>113.75069999999999</v>
      </c>
      <c r="J27" s="17"/>
      <c r="K27" s="18">
        <f>+IF(G27&lt;&gt;0,G27*J27/100,0)</f>
        <v>0</v>
      </c>
      <c r="L27" s="16"/>
      <c r="M27" s="17"/>
      <c r="N27" s="18">
        <f>+IF(L27&lt;&gt;0,L27*M27/100,0)</f>
        <v>0</v>
      </c>
      <c r="O27" s="19"/>
      <c r="P27" s="18"/>
      <c r="Q27" s="16"/>
      <c r="R27" s="17"/>
      <c r="S27" s="18"/>
      <c r="T27" s="19"/>
      <c r="U27" s="18"/>
      <c r="V27" s="16"/>
      <c r="W27" s="17"/>
      <c r="X27" s="18">
        <f>+IF(W27&lt;&gt;0,V27*W27/100,0)</f>
        <v>0</v>
      </c>
      <c r="Y27" s="19"/>
      <c r="Z27" s="19"/>
      <c r="AA27" s="18">
        <f>+IF(Z27&lt;&gt;0,Y27*Z27/100,0)</f>
        <v>0</v>
      </c>
      <c r="AB27" s="20">
        <f>+G27+I27+K27+L27+N27+P27+Q27+S27+U27-X27-AA27</f>
        <v>655.4206999999999</v>
      </c>
      <c r="AC27" s="5"/>
      <c r="AD27" s="8"/>
      <c r="AF27" s="6"/>
      <c r="AG27" s="7"/>
      <c r="AJ27" s="33" t="s">
        <v>64</v>
      </c>
      <c r="AK27" s="35"/>
      <c r="AL27" s="38"/>
    </row>
    <row r="28" spans="1:38" ht="17.25" customHeight="1">
      <c r="A28" s="25">
        <v>45681</v>
      </c>
      <c r="B28" s="26" t="s">
        <v>462</v>
      </c>
      <c r="C28" s="14"/>
      <c r="D28" s="31" t="s">
        <v>443</v>
      </c>
      <c r="E28" s="14" t="s">
        <v>444</v>
      </c>
      <c r="F28" s="15" t="str">
        <f>"S/F "&amp;B28&amp;" "&amp;E28</f>
        <v>S/F 2184 Meson Toledano</v>
      </c>
      <c r="G28" s="16">
        <v>302.55</v>
      </c>
      <c r="H28" s="17">
        <v>10</v>
      </c>
      <c r="I28" s="18">
        <f>+IF(G28&lt;&gt;0,G28*H28/100,0)</f>
        <v>30.254999999999999</v>
      </c>
      <c r="J28" s="17"/>
      <c r="K28" s="18">
        <f>+IF(G28&lt;&gt;0,G28*J28/100,0)</f>
        <v>0</v>
      </c>
      <c r="L28" s="16"/>
      <c r="M28" s="17"/>
      <c r="N28" s="18">
        <f>+IF(L28&lt;&gt;0,L28*M28/100,0)</f>
        <v>0</v>
      </c>
      <c r="O28" s="19"/>
      <c r="P28" s="18"/>
      <c r="Q28" s="16"/>
      <c r="R28" s="17"/>
      <c r="S28" s="18"/>
      <c r="T28" s="19"/>
      <c r="U28" s="18"/>
      <c r="V28" s="16"/>
      <c r="W28" s="17"/>
      <c r="X28" s="18">
        <f>+IF(W28&lt;&gt;0,V28*W28/100,0)</f>
        <v>0</v>
      </c>
      <c r="Y28" s="19"/>
      <c r="Z28" s="19"/>
      <c r="AA28" s="18">
        <f>+IF(Z28&lt;&gt;0,Y28*Z28/100,0)</f>
        <v>0</v>
      </c>
      <c r="AB28" s="20">
        <f>+G28+I28+K28+L28+N28+P28+Q28+S28+U28-X28-AA28</f>
        <v>332.80500000000001</v>
      </c>
      <c r="AC28" s="5"/>
      <c r="AD28" s="8"/>
      <c r="AF28" s="6"/>
      <c r="AG28" s="7"/>
      <c r="AJ28" s="33" t="s">
        <v>64</v>
      </c>
      <c r="AK28" s="35" t="s">
        <v>445</v>
      </c>
      <c r="AL28" s="38"/>
    </row>
    <row r="29" spans="1:38" ht="17.25" customHeight="1">
      <c r="A29" s="25">
        <v>45681</v>
      </c>
      <c r="B29" s="26" t="s">
        <v>303</v>
      </c>
      <c r="C29" s="14"/>
      <c r="D29" s="31" t="s">
        <v>53</v>
      </c>
      <c r="E29" s="14" t="s">
        <v>54</v>
      </c>
      <c r="F29" s="15" t="str">
        <f>"S/F "&amp;B29&amp;" "&amp;E29</f>
        <v>S/F 20250138 Láser Levante S.A.</v>
      </c>
      <c r="G29" s="16">
        <v>10.99</v>
      </c>
      <c r="H29" s="17">
        <v>21</v>
      </c>
      <c r="I29" s="18">
        <f>+IF(G29&lt;&gt;0,G29*H29/100,0)</f>
        <v>2.3079000000000001</v>
      </c>
      <c r="J29" s="17"/>
      <c r="K29" s="18">
        <f>+IF(G29&lt;&gt;0,G29*J29/100,0)</f>
        <v>0</v>
      </c>
      <c r="L29" s="16"/>
      <c r="M29" s="17"/>
      <c r="N29" s="18">
        <f>+IF(L29&lt;&gt;0,L29*M29/100,0)</f>
        <v>0</v>
      </c>
      <c r="O29" s="19"/>
      <c r="P29" s="18"/>
      <c r="Q29" s="16"/>
      <c r="R29" s="17"/>
      <c r="S29" s="18"/>
      <c r="T29" s="19"/>
      <c r="U29" s="18"/>
      <c r="V29" s="16"/>
      <c r="W29" s="17"/>
      <c r="X29" s="18">
        <f>+IF(W29&lt;&gt;0,V29*W29/100,0)</f>
        <v>0</v>
      </c>
      <c r="Y29" s="19"/>
      <c r="Z29" s="19"/>
      <c r="AA29" s="18">
        <f>+IF(Z29&lt;&gt;0,Y29*Z29/100,0)</f>
        <v>0</v>
      </c>
      <c r="AB29" s="20">
        <f>+G29+I29+K29+L29+N29+P29+Q29+S29+U29-X29-AA29</f>
        <v>13.2979</v>
      </c>
      <c r="AC29" s="5"/>
      <c r="AD29" s="8"/>
      <c r="AF29" s="6"/>
      <c r="AG29" s="7"/>
      <c r="AJ29" s="33" t="s">
        <v>64</v>
      </c>
      <c r="AK29" s="35"/>
      <c r="AL29" s="38"/>
    </row>
    <row r="30" spans="1:38" ht="17.25" customHeight="1">
      <c r="A30" s="25">
        <v>45681</v>
      </c>
      <c r="B30" s="26" t="s">
        <v>305</v>
      </c>
      <c r="C30" s="14"/>
      <c r="D30" s="31" t="s">
        <v>53</v>
      </c>
      <c r="E30" s="14" t="s">
        <v>54</v>
      </c>
      <c r="F30" s="15" t="str">
        <f>"S/F "&amp;B30&amp;" "&amp;E30</f>
        <v>S/F 20250142 Láser Levante S.A.</v>
      </c>
      <c r="G30" s="16">
        <v>62.48</v>
      </c>
      <c r="H30" s="17">
        <v>21</v>
      </c>
      <c r="I30" s="18">
        <f>+IF(G30&lt;&gt;0,G30*H30/100,0)</f>
        <v>13.120799999999999</v>
      </c>
      <c r="J30" s="17"/>
      <c r="K30" s="18">
        <f>+IF(G30&lt;&gt;0,G30*J30/100,0)</f>
        <v>0</v>
      </c>
      <c r="L30" s="16"/>
      <c r="M30" s="17"/>
      <c r="N30" s="18">
        <f>+IF(L30&lt;&gt;0,L30*M30/100,0)</f>
        <v>0</v>
      </c>
      <c r="O30" s="19"/>
      <c r="P30" s="18"/>
      <c r="Q30" s="16"/>
      <c r="R30" s="17"/>
      <c r="S30" s="18"/>
      <c r="T30" s="19"/>
      <c r="U30" s="18"/>
      <c r="V30" s="16"/>
      <c r="W30" s="17"/>
      <c r="X30" s="18">
        <f>+IF(W30&lt;&gt;0,V30*W30/100,0)</f>
        <v>0</v>
      </c>
      <c r="Y30" s="19"/>
      <c r="Z30" s="19"/>
      <c r="AA30" s="18">
        <f>+IF(Z30&lt;&gt;0,Y30*Z30/100,0)</f>
        <v>0</v>
      </c>
      <c r="AB30" s="20">
        <f>+G30+I30+K30+L30+N30+P30+Q30+S30+U30-X30-AA30</f>
        <v>75.600799999999992</v>
      </c>
      <c r="AC30" s="5"/>
      <c r="AD30" s="8"/>
      <c r="AF30" s="6"/>
      <c r="AG30" s="7"/>
      <c r="AJ30" s="33" t="s">
        <v>64</v>
      </c>
      <c r="AK30" s="35"/>
      <c r="AL30" s="38"/>
    </row>
    <row r="31" spans="1:38" ht="17.25" customHeight="1">
      <c r="A31" s="25">
        <v>45683</v>
      </c>
      <c r="B31" s="26" t="s">
        <v>465</v>
      </c>
      <c r="C31" s="14"/>
      <c r="D31" s="31" t="s">
        <v>466</v>
      </c>
      <c r="E31" s="14" t="s">
        <v>440</v>
      </c>
      <c r="F31" s="15" t="str">
        <f>"S/F "&amp;B31&amp;" "&amp;E31</f>
        <v>S/F 454645 Costco wholesale Spain S.L.U.</v>
      </c>
      <c r="G31" s="16">
        <v>45.66</v>
      </c>
      <c r="H31" s="17">
        <v>21</v>
      </c>
      <c r="I31" s="18">
        <f>+IF(G31&lt;&gt;0,G31*H31/100,0)</f>
        <v>9.5885999999999996</v>
      </c>
      <c r="J31" s="17"/>
      <c r="K31" s="18">
        <f>+IF(G31&lt;&gt;0,G31*J31/100,0)</f>
        <v>0</v>
      </c>
      <c r="L31" s="16"/>
      <c r="M31" s="17"/>
      <c r="N31" s="18">
        <f>+IF(L31&lt;&gt;0,L31*M31/100,0)</f>
        <v>0</v>
      </c>
      <c r="O31" s="19"/>
      <c r="P31" s="18"/>
      <c r="Q31" s="16"/>
      <c r="R31" s="17"/>
      <c r="S31" s="18"/>
      <c r="T31" s="19"/>
      <c r="U31" s="18"/>
      <c r="V31" s="16"/>
      <c r="W31" s="17"/>
      <c r="X31" s="18">
        <f>+IF(W31&lt;&gt;0,V31*W31/100,0)</f>
        <v>0</v>
      </c>
      <c r="Y31" s="19"/>
      <c r="Z31" s="19"/>
      <c r="AA31" s="18">
        <f>+IF(Z31&lt;&gt;0,Y31*Z31/100,0)</f>
        <v>0</v>
      </c>
      <c r="AB31" s="20">
        <f>+G31+I31+K31+L31+N31+P31+Q31+S31+U31-X31-AA31</f>
        <v>55.248599999999996</v>
      </c>
      <c r="AC31" s="5"/>
      <c r="AD31" s="8"/>
      <c r="AF31" s="6"/>
      <c r="AG31" s="7"/>
      <c r="AJ31" s="33" t="s">
        <v>64</v>
      </c>
      <c r="AK31" s="35" t="s">
        <v>63</v>
      </c>
      <c r="AL31" s="38"/>
    </row>
    <row r="32" spans="1:38" ht="17.25" customHeight="1">
      <c r="A32" s="25">
        <v>45684</v>
      </c>
      <c r="B32" s="26" t="s">
        <v>292</v>
      </c>
      <c r="C32" s="14"/>
      <c r="D32" s="31" t="s">
        <v>272</v>
      </c>
      <c r="E32" s="14" t="s">
        <v>273</v>
      </c>
      <c r="F32" s="15" t="str">
        <f>"S/F "&amp;B32&amp;" "&amp;E32</f>
        <v>S/F 22146 Val Soluciones de Aplicaciones S.L.</v>
      </c>
      <c r="G32" s="16">
        <v>1287.5</v>
      </c>
      <c r="H32" s="17">
        <v>21</v>
      </c>
      <c r="I32" s="18">
        <f>+IF(G32&lt;&gt;0,G32*H32/100,0)</f>
        <v>270.375</v>
      </c>
      <c r="J32" s="17"/>
      <c r="K32" s="18">
        <f>+IF(G32&lt;&gt;0,G32*J32/100,0)</f>
        <v>0</v>
      </c>
      <c r="L32" s="16"/>
      <c r="M32" s="17"/>
      <c r="N32" s="18">
        <f>+IF(L32&lt;&gt;0,L32*M32/100,0)</f>
        <v>0</v>
      </c>
      <c r="O32" s="19"/>
      <c r="P32" s="18"/>
      <c r="Q32" s="16"/>
      <c r="R32" s="17"/>
      <c r="S32" s="18"/>
      <c r="T32" s="19"/>
      <c r="U32" s="18"/>
      <c r="V32" s="16"/>
      <c r="W32" s="17"/>
      <c r="X32" s="18">
        <f>+IF(W32&lt;&gt;0,V32*W32/100,0)</f>
        <v>0</v>
      </c>
      <c r="Y32" s="19"/>
      <c r="Z32" s="19"/>
      <c r="AA32" s="18">
        <f>+IF(Z32&lt;&gt;0,Y32*Z32/100,0)</f>
        <v>0</v>
      </c>
      <c r="AB32" s="20">
        <f>+G32+I32+K32+L32+N32+P32+Q32+S32+U32-X32-AA32</f>
        <v>1557.875</v>
      </c>
      <c r="AC32" s="5"/>
      <c r="AD32" s="8"/>
      <c r="AF32" s="6"/>
      <c r="AG32" s="7"/>
      <c r="AJ32" s="33" t="s">
        <v>64</v>
      </c>
      <c r="AK32" s="35"/>
      <c r="AL32" s="38"/>
    </row>
    <row r="33" spans="1:38" ht="17.25" customHeight="1">
      <c r="A33" s="25">
        <v>45686</v>
      </c>
      <c r="B33" s="26" t="s">
        <v>294</v>
      </c>
      <c r="C33" s="14"/>
      <c r="D33" s="31" t="s">
        <v>272</v>
      </c>
      <c r="E33" s="14" t="s">
        <v>273</v>
      </c>
      <c r="F33" s="15" t="str">
        <f>"S/F "&amp;B33&amp;" "&amp;E33</f>
        <v>S/F 22170 Val Soluciones de Aplicaciones S.L.</v>
      </c>
      <c r="G33" s="16">
        <v>264.26</v>
      </c>
      <c r="H33" s="17">
        <v>21</v>
      </c>
      <c r="I33" s="18">
        <f>+IF(G33&lt;&gt;0,G33*H33/100,0)</f>
        <v>55.494599999999998</v>
      </c>
      <c r="J33" s="17"/>
      <c r="K33" s="18">
        <f>+IF(G33&lt;&gt;0,G33*J33/100,0)</f>
        <v>0</v>
      </c>
      <c r="L33" s="16"/>
      <c r="M33" s="17"/>
      <c r="N33" s="18">
        <f>+IF(L33&lt;&gt;0,L33*M33/100,0)</f>
        <v>0</v>
      </c>
      <c r="O33" s="19"/>
      <c r="P33" s="18"/>
      <c r="Q33" s="16"/>
      <c r="R33" s="17"/>
      <c r="S33" s="18"/>
      <c r="T33" s="19"/>
      <c r="U33" s="18"/>
      <c r="V33" s="16"/>
      <c r="W33" s="17"/>
      <c r="X33" s="18">
        <f>+IF(W33&lt;&gt;0,V33*W33/100,0)</f>
        <v>0</v>
      </c>
      <c r="Y33" s="19"/>
      <c r="Z33" s="19"/>
      <c r="AA33" s="18">
        <f>+IF(Z33&lt;&gt;0,Y33*Z33/100,0)</f>
        <v>0</v>
      </c>
      <c r="AB33" s="20">
        <f>+G33+I33+K33+L33+N33+P33+Q33+S33+U33-X33-AA33</f>
        <v>319.75459999999998</v>
      </c>
      <c r="AC33" s="5"/>
      <c r="AD33" s="8"/>
      <c r="AF33" s="6"/>
      <c r="AG33" s="7"/>
      <c r="AJ33" s="33" t="s">
        <v>64</v>
      </c>
      <c r="AK33" s="35"/>
      <c r="AL33" s="38"/>
    </row>
    <row r="34" spans="1:38" ht="17.25" customHeight="1">
      <c r="A34" s="25">
        <v>45686</v>
      </c>
      <c r="B34" s="26" t="s">
        <v>295</v>
      </c>
      <c r="C34" s="14"/>
      <c r="D34" s="31" t="s">
        <v>272</v>
      </c>
      <c r="E34" s="14" t="s">
        <v>273</v>
      </c>
      <c r="F34" s="15" t="str">
        <f>"S/F "&amp;B34&amp;" "&amp;E34</f>
        <v>S/F 22172 Val Soluciones de Aplicaciones S.L.</v>
      </c>
      <c r="G34" s="16">
        <v>1441.98</v>
      </c>
      <c r="H34" s="17">
        <v>21</v>
      </c>
      <c r="I34" s="18">
        <f>+IF(G34&lt;&gt;0,G34*H34/100,0)</f>
        <v>302.81580000000002</v>
      </c>
      <c r="J34" s="17"/>
      <c r="K34" s="18">
        <f>+IF(G34&lt;&gt;0,G34*J34/100,0)</f>
        <v>0</v>
      </c>
      <c r="L34" s="16"/>
      <c r="M34" s="17"/>
      <c r="N34" s="18">
        <f>+IF(L34&lt;&gt;0,L34*M34/100,0)</f>
        <v>0</v>
      </c>
      <c r="O34" s="19"/>
      <c r="P34" s="18"/>
      <c r="Q34" s="16"/>
      <c r="R34" s="17"/>
      <c r="S34" s="18"/>
      <c r="T34" s="19"/>
      <c r="U34" s="18"/>
      <c r="V34" s="16"/>
      <c r="W34" s="17"/>
      <c r="X34" s="18">
        <f>+IF(W34&lt;&gt;0,V34*W34/100,0)</f>
        <v>0</v>
      </c>
      <c r="Y34" s="19"/>
      <c r="Z34" s="19"/>
      <c r="AA34" s="18">
        <f>+IF(Z34&lt;&gt;0,Y34*Z34/100,0)</f>
        <v>0</v>
      </c>
      <c r="AB34" s="20">
        <f>+G34+I34+K34+L34+N34+P34+Q34+S34+U34-X34-AA34</f>
        <v>1744.7958000000001</v>
      </c>
      <c r="AC34" s="5"/>
      <c r="AD34" s="8"/>
      <c r="AF34" s="6"/>
      <c r="AG34" s="7"/>
      <c r="AJ34" s="33" t="s">
        <v>64</v>
      </c>
      <c r="AK34" s="35"/>
      <c r="AL34" s="38"/>
    </row>
    <row r="35" spans="1:38" ht="17.25" customHeight="1">
      <c r="A35" s="25">
        <v>45687</v>
      </c>
      <c r="B35" s="26" t="s">
        <v>473</v>
      </c>
      <c r="C35" s="14"/>
      <c r="D35" s="31" t="s">
        <v>151</v>
      </c>
      <c r="E35" s="14" t="s">
        <v>152</v>
      </c>
      <c r="F35" s="15" t="str">
        <f>"S/F "&amp;B35&amp;" "&amp;E35</f>
        <v>S/F 202D2500002448 Plenoil S.L.</v>
      </c>
      <c r="G35" s="16">
        <v>41.32</v>
      </c>
      <c r="H35" s="17">
        <v>21</v>
      </c>
      <c r="I35" s="18">
        <f>+IF(G35&lt;&gt;0,G35*H35/100,0)</f>
        <v>8.6772000000000009</v>
      </c>
      <c r="J35" s="17"/>
      <c r="K35" s="18">
        <f>+IF(G35&lt;&gt;0,G35*J35/100,0)</f>
        <v>0</v>
      </c>
      <c r="L35" s="16"/>
      <c r="M35" s="17"/>
      <c r="N35" s="18">
        <f>+IF(L35&lt;&gt;0,L35*M35/100,0)</f>
        <v>0</v>
      </c>
      <c r="O35" s="19"/>
      <c r="P35" s="18"/>
      <c r="Q35" s="16"/>
      <c r="R35" s="17"/>
      <c r="S35" s="18"/>
      <c r="T35" s="19"/>
      <c r="U35" s="18"/>
      <c r="V35" s="16"/>
      <c r="W35" s="17"/>
      <c r="X35" s="18">
        <f>+IF(W35&lt;&gt;0,V35*W35/100,0)</f>
        <v>0</v>
      </c>
      <c r="Y35" s="19"/>
      <c r="Z35" s="19"/>
      <c r="AA35" s="18">
        <f>+IF(Z35&lt;&gt;0,Y35*Z35/100,0)</f>
        <v>0</v>
      </c>
      <c r="AB35" s="20">
        <f>+G35+I35+K35+L35+N35+P35+Q35+S35+U35-X35-AA35</f>
        <v>49.997199999999999</v>
      </c>
      <c r="AC35" s="5"/>
      <c r="AD35" s="8"/>
      <c r="AF35" s="6"/>
      <c r="AG35" s="7"/>
      <c r="AJ35" s="33" t="s">
        <v>64</v>
      </c>
      <c r="AK35" s="35" t="s">
        <v>469</v>
      </c>
      <c r="AL35" s="38"/>
    </row>
    <row r="36" spans="1:38" ht="17.25" customHeight="1">
      <c r="A36" s="25">
        <v>45687</v>
      </c>
      <c r="B36" s="26" t="s">
        <v>333</v>
      </c>
      <c r="C36" s="14"/>
      <c r="D36" s="31" t="s">
        <v>94</v>
      </c>
      <c r="E36" s="14" t="s">
        <v>95</v>
      </c>
      <c r="F36" s="15" t="str">
        <f>"S/F "&amp;B36&amp;" "&amp;E36</f>
        <v>S/F 25F00005 Viedma Laso S.L.</v>
      </c>
      <c r="G36" s="16">
        <v>178.4</v>
      </c>
      <c r="H36" s="17">
        <v>21</v>
      </c>
      <c r="I36" s="18">
        <f>+IF(G36&lt;&gt;0,G36*H36/100,0)</f>
        <v>37.463999999999999</v>
      </c>
      <c r="J36" s="17"/>
      <c r="K36" s="18">
        <f>+IF(G36&lt;&gt;0,G36*J36/100,0)</f>
        <v>0</v>
      </c>
      <c r="L36" s="16"/>
      <c r="M36" s="17"/>
      <c r="N36" s="18">
        <f>+IF(L36&lt;&gt;0,L36*M36/100,0)</f>
        <v>0</v>
      </c>
      <c r="O36" s="19"/>
      <c r="P36" s="18"/>
      <c r="Q36" s="16"/>
      <c r="R36" s="17"/>
      <c r="S36" s="18"/>
      <c r="T36" s="19"/>
      <c r="U36" s="18"/>
      <c r="V36" s="16"/>
      <c r="W36" s="17"/>
      <c r="X36" s="18">
        <f>+IF(W36&lt;&gt;0,V36*W36/100,0)</f>
        <v>0</v>
      </c>
      <c r="Y36" s="19"/>
      <c r="Z36" s="19"/>
      <c r="AA36" s="18">
        <f>+IF(Z36&lt;&gt;0,Y36*Z36/100,0)</f>
        <v>0</v>
      </c>
      <c r="AB36" s="20">
        <f>+G36+I36+K36+L36+N36+P36+Q36+S36+U36-X36-AA36</f>
        <v>215.864</v>
      </c>
      <c r="AC36" s="5"/>
      <c r="AD36" s="8"/>
      <c r="AF36" s="6"/>
      <c r="AG36" s="7"/>
      <c r="AJ36" s="33" t="s">
        <v>64</v>
      </c>
      <c r="AK36" s="35"/>
      <c r="AL36" s="38"/>
    </row>
    <row r="37" spans="1:38" ht="17.25" customHeight="1">
      <c r="A37" s="25">
        <v>45688</v>
      </c>
      <c r="B37" s="26" t="s">
        <v>324</v>
      </c>
      <c r="C37" s="14"/>
      <c r="D37" s="26" t="s">
        <v>325</v>
      </c>
      <c r="E37" s="14" t="s">
        <v>326</v>
      </c>
      <c r="F37" s="15" t="str">
        <f>"S/F "&amp;B37&amp;" "&amp;E37</f>
        <v xml:space="preserve">S/F 2 Hostel Mireco S.L. - LA VELETA </v>
      </c>
      <c r="G37" s="16">
        <v>391.36</v>
      </c>
      <c r="H37" s="17">
        <v>10</v>
      </c>
      <c r="I37" s="18">
        <f>+IF(G37&lt;&gt;0,G37*H37/100,0)</f>
        <v>39.136000000000003</v>
      </c>
      <c r="J37" s="17"/>
      <c r="K37" s="18">
        <f>+IF(G37&lt;&gt;0,G37*J37/100,0)</f>
        <v>0</v>
      </c>
      <c r="L37" s="16"/>
      <c r="M37" s="17"/>
      <c r="N37" s="18">
        <f>+IF(L37&lt;&gt;0,L37*M37/100,0)</f>
        <v>0</v>
      </c>
      <c r="O37" s="19"/>
      <c r="P37" s="18">
        <f>+IF(L37&lt;&gt;0,L37*O37/100,0)</f>
        <v>0</v>
      </c>
      <c r="Q37" s="16"/>
      <c r="R37" s="17"/>
      <c r="S37" s="18">
        <f>+IF(Q37&lt;&gt;0,Q37*R37/100,0)</f>
        <v>0</v>
      </c>
      <c r="T37" s="19"/>
      <c r="U37" s="18">
        <f>+IF(Q37&lt;&gt;0,Q37*T37/100,0)</f>
        <v>0</v>
      </c>
      <c r="V37" s="16"/>
      <c r="W37" s="17"/>
      <c r="X37" s="18">
        <f>+IF(W37&lt;&gt;0,V37*W37/100,0)</f>
        <v>0</v>
      </c>
      <c r="Y37" s="19"/>
      <c r="Z37" s="19"/>
      <c r="AA37" s="18">
        <f>+IF(Z37&lt;&gt;0,Y37*Z37/100,0)</f>
        <v>0</v>
      </c>
      <c r="AB37" s="20">
        <f>+G37+I37+K37+L37+N37+P37+Q37+S37+U37-X37-AA37</f>
        <v>430.49600000000004</v>
      </c>
      <c r="AC37" s="5"/>
      <c r="AD37" s="8"/>
      <c r="AF37" s="6"/>
      <c r="AG37" s="7"/>
      <c r="AJ37" s="33" t="s">
        <v>327</v>
      </c>
      <c r="AK37" s="35" t="s">
        <v>146</v>
      </c>
      <c r="AL37" s="38"/>
    </row>
    <row r="38" spans="1:38" ht="17.25" customHeight="1">
      <c r="A38" s="25">
        <v>45688</v>
      </c>
      <c r="B38" s="26" t="s">
        <v>566</v>
      </c>
      <c r="C38" s="14"/>
      <c r="D38" s="31" t="s">
        <v>562</v>
      </c>
      <c r="E38" s="14" t="s">
        <v>563</v>
      </c>
      <c r="F38" s="15" t="str">
        <f>"S/F "&amp;B38&amp;" "&amp;E38</f>
        <v>S/F 250159 Contamar Asesores de Empresa S.L.</v>
      </c>
      <c r="G38" s="16">
        <v>739.61</v>
      </c>
      <c r="H38" s="17">
        <v>21</v>
      </c>
      <c r="I38" s="18">
        <f>+IF(G38&lt;&gt;0,G38*H38/100,0)</f>
        <v>155.31809999999999</v>
      </c>
      <c r="J38" s="17"/>
      <c r="K38" s="18">
        <f>+IF(G38&lt;&gt;0,G38*J38/100,0)</f>
        <v>0</v>
      </c>
      <c r="L38" s="16"/>
      <c r="M38" s="17"/>
      <c r="N38" s="18">
        <f>+IF(L38&lt;&gt;0,L38*M38/100,0)</f>
        <v>0</v>
      </c>
      <c r="O38" s="19"/>
      <c r="P38" s="18"/>
      <c r="Q38" s="16"/>
      <c r="R38" s="17"/>
      <c r="S38" s="18"/>
      <c r="T38" s="19"/>
      <c r="U38" s="18"/>
      <c r="V38" s="16"/>
      <c r="W38" s="17"/>
      <c r="X38" s="18">
        <f>+IF(W38&lt;&gt;0,V38*W38/100,0)</f>
        <v>0</v>
      </c>
      <c r="Y38" s="19"/>
      <c r="Z38" s="19"/>
      <c r="AA38" s="18">
        <f>+IF(Z38&lt;&gt;0,Y38*Z38/100,0)</f>
        <v>0</v>
      </c>
      <c r="AB38" s="20">
        <f>+G38+I38+K38+L38+N38+P38+Q38+S38+U38-X38-AA38</f>
        <v>894.92809999999997</v>
      </c>
      <c r="AC38" s="5"/>
      <c r="AD38" s="8"/>
      <c r="AF38" s="6"/>
      <c r="AG38" s="7"/>
      <c r="AJ38" s="33" t="s">
        <v>64</v>
      </c>
      <c r="AK38" s="35"/>
      <c r="AL38" s="38"/>
    </row>
    <row r="39" spans="1:38" ht="17.25" customHeight="1">
      <c r="A39" s="25">
        <v>45688</v>
      </c>
      <c r="B39" s="26" t="s">
        <v>564</v>
      </c>
      <c r="C39" s="14"/>
      <c r="D39" s="31" t="s">
        <v>562</v>
      </c>
      <c r="E39" s="14" t="s">
        <v>563</v>
      </c>
      <c r="F39" s="15" t="str">
        <f>"S/F "&amp;B39&amp;" "&amp;E39</f>
        <v>S/F 250351 Contamar Asesores de Empresa S.L.</v>
      </c>
      <c r="G39" s="16">
        <v>390.6</v>
      </c>
      <c r="H39" s="17">
        <v>21</v>
      </c>
      <c r="I39" s="18">
        <f>+IF(G39&lt;&gt;0,G39*H39/100,0)</f>
        <v>82.02600000000001</v>
      </c>
      <c r="J39" s="17"/>
      <c r="K39" s="18">
        <f>+IF(G39&lt;&gt;0,G39*J39/100,0)</f>
        <v>0</v>
      </c>
      <c r="L39" s="16"/>
      <c r="M39" s="17"/>
      <c r="N39" s="18">
        <f>+IF(L39&lt;&gt;0,L39*M39/100,0)</f>
        <v>0</v>
      </c>
      <c r="O39" s="19"/>
      <c r="P39" s="18"/>
      <c r="Q39" s="16"/>
      <c r="R39" s="17"/>
      <c r="S39" s="18"/>
      <c r="T39" s="19"/>
      <c r="U39" s="18"/>
      <c r="V39" s="16"/>
      <c r="W39" s="17"/>
      <c r="X39" s="18">
        <f>+IF(W39&lt;&gt;0,V39*W39/100,0)</f>
        <v>0</v>
      </c>
      <c r="Y39" s="19"/>
      <c r="Z39" s="19"/>
      <c r="AA39" s="18"/>
      <c r="AB39" s="20">
        <f>+G39+I39+K39+L39+N39+P39+Q39+S39+U39-X39-AA39</f>
        <v>472.62600000000003</v>
      </c>
      <c r="AC39" s="5"/>
      <c r="AD39" s="8"/>
      <c r="AF39" s="6"/>
      <c r="AG39" s="7"/>
      <c r="AJ39" s="33" t="s">
        <v>64</v>
      </c>
      <c r="AK39" s="35"/>
      <c r="AL39" s="38"/>
    </row>
    <row r="40" spans="1:38" ht="17.25" customHeight="1">
      <c r="A40" s="25">
        <v>45688</v>
      </c>
      <c r="B40" s="26" t="s">
        <v>301</v>
      </c>
      <c r="C40" s="14"/>
      <c r="D40" s="31" t="s">
        <v>53</v>
      </c>
      <c r="E40" s="14" t="s">
        <v>54</v>
      </c>
      <c r="F40" s="15" t="str">
        <f>"S/F "&amp;B40&amp;" "&amp;E40</f>
        <v>S/F 20250191 Láser Levante S.A.</v>
      </c>
      <c r="G40" s="16">
        <v>47.38</v>
      </c>
      <c r="H40" s="17">
        <v>21</v>
      </c>
      <c r="I40" s="18">
        <f>+IF(G40&lt;&gt;0,G40*H40/100,0)</f>
        <v>9.9497999999999998</v>
      </c>
      <c r="J40" s="17"/>
      <c r="K40" s="18">
        <f>+IF(G40&lt;&gt;0,G40*J40/100,0)</f>
        <v>0</v>
      </c>
      <c r="L40" s="16"/>
      <c r="M40" s="17"/>
      <c r="N40" s="18">
        <f>+IF(L40&lt;&gt;0,L40*M40/100,0)</f>
        <v>0</v>
      </c>
      <c r="O40" s="19"/>
      <c r="P40" s="18"/>
      <c r="Q40" s="16"/>
      <c r="R40" s="17"/>
      <c r="S40" s="18"/>
      <c r="T40" s="19"/>
      <c r="U40" s="18"/>
      <c r="V40" s="16"/>
      <c r="W40" s="17"/>
      <c r="X40" s="18">
        <f>+IF(W40&lt;&gt;0,V40*W40/100,0)</f>
        <v>0</v>
      </c>
      <c r="Y40" s="19"/>
      <c r="Z40" s="19"/>
      <c r="AA40" s="18">
        <f>+IF(Z40&lt;&gt;0,Y40*Z40/100,0)</f>
        <v>0</v>
      </c>
      <c r="AB40" s="20">
        <f>+G40+I40+K40+L40+N40+P40+Q40+S40+U40-X40-AA40</f>
        <v>57.329800000000006</v>
      </c>
      <c r="AC40" s="5"/>
      <c r="AD40" s="8"/>
      <c r="AF40" s="6"/>
      <c r="AG40" s="7"/>
      <c r="AJ40" s="33" t="s">
        <v>64</v>
      </c>
      <c r="AK40" s="35"/>
      <c r="AL40" s="38"/>
    </row>
    <row r="41" spans="1:38" ht="17.25" customHeight="1">
      <c r="A41" s="25">
        <v>45688</v>
      </c>
      <c r="B41" s="26" t="s">
        <v>350</v>
      </c>
      <c r="C41" s="14"/>
      <c r="D41" s="31" t="s">
        <v>351</v>
      </c>
      <c r="E41" s="14" t="s">
        <v>352</v>
      </c>
      <c r="F41" s="15" t="str">
        <f>"S/F "&amp;B41&amp;" "&amp;E41</f>
        <v>S/F 198/2025 Iberbac S.A.L.</v>
      </c>
      <c r="G41" s="16">
        <v>68</v>
      </c>
      <c r="H41" s="17">
        <v>21</v>
      </c>
      <c r="I41" s="18">
        <f>+IF(G41&lt;&gt;0,G41*H41/100,0)</f>
        <v>14.28</v>
      </c>
      <c r="J41" s="17"/>
      <c r="K41" s="18">
        <f>+IF(G41&lt;&gt;0,G41*J41/100,0)</f>
        <v>0</v>
      </c>
      <c r="L41" s="16"/>
      <c r="M41" s="17"/>
      <c r="N41" s="18">
        <f>+IF(L41&lt;&gt;0,L41*M41/100,0)</f>
        <v>0</v>
      </c>
      <c r="O41" s="19"/>
      <c r="P41" s="18"/>
      <c r="Q41" s="16"/>
      <c r="R41" s="17"/>
      <c r="S41" s="18"/>
      <c r="T41" s="19"/>
      <c r="U41" s="18"/>
      <c r="V41" s="16"/>
      <c r="W41" s="17"/>
      <c r="X41" s="18">
        <f>+IF(W41&lt;&gt;0,V41*W41/100,0)</f>
        <v>0</v>
      </c>
      <c r="Y41" s="19"/>
      <c r="Z41" s="19"/>
      <c r="AA41" s="18">
        <f>+IF(Z41&lt;&gt;0,Y41*Z41/100,0)</f>
        <v>0</v>
      </c>
      <c r="AB41" s="20">
        <f>+G41+I41+K41+L41+N41+P41+Q41+S41+U41-X41-AA41</f>
        <v>82.28</v>
      </c>
      <c r="AC41" s="5"/>
      <c r="AD41" s="8"/>
      <c r="AF41" s="6"/>
      <c r="AG41" s="7"/>
      <c r="AJ41" s="33" t="s">
        <v>64</v>
      </c>
      <c r="AK41" s="35"/>
      <c r="AL41" s="38"/>
    </row>
    <row r="42" spans="1:38" ht="17.25" customHeight="1">
      <c r="A42" s="25">
        <v>45688</v>
      </c>
      <c r="B42" s="26" t="s">
        <v>416</v>
      </c>
      <c r="C42" s="14"/>
      <c r="D42" s="31" t="s">
        <v>61</v>
      </c>
      <c r="E42" s="14" t="s">
        <v>62</v>
      </c>
      <c r="F42" s="15" t="str">
        <f>"S/F "&amp;B42&amp;" "&amp;E42</f>
        <v>S/F 25/00026546 Solred S.A.</v>
      </c>
      <c r="G42" s="16">
        <v>4.1399999999999997</v>
      </c>
      <c r="H42" s="17">
        <v>21</v>
      </c>
      <c r="I42" s="18">
        <f>+IF(G42&lt;&gt;0,G42*H42/100,0)</f>
        <v>0.86939999999999995</v>
      </c>
      <c r="J42" s="17"/>
      <c r="K42" s="18">
        <f>+IF(G42&lt;&gt;0,G42*J42/100,0)</f>
        <v>0</v>
      </c>
      <c r="L42" s="16"/>
      <c r="M42" s="17"/>
      <c r="N42" s="18">
        <f>+IF(L42&lt;&gt;0,L42*M42/100,0)</f>
        <v>0</v>
      </c>
      <c r="O42" s="19"/>
      <c r="P42" s="18"/>
      <c r="Q42" s="16"/>
      <c r="R42" s="17"/>
      <c r="S42" s="18"/>
      <c r="T42" s="19"/>
      <c r="U42" s="18"/>
      <c r="V42" s="16"/>
      <c r="W42" s="17"/>
      <c r="X42" s="18">
        <f>+IF(W42&lt;&gt;0,V42*W42/100,0)</f>
        <v>0</v>
      </c>
      <c r="Y42" s="19"/>
      <c r="Z42" s="19"/>
      <c r="AA42" s="18">
        <f>+IF(Z42&lt;&gt;0,Y42*Z42/100,0)</f>
        <v>0</v>
      </c>
      <c r="AB42" s="20">
        <f>+G42+I42+K42+L42+N42+P42+Q42+S42+U42-X42-AA42</f>
        <v>5.0093999999999994</v>
      </c>
      <c r="AC42" s="5"/>
      <c r="AD42" s="8"/>
      <c r="AF42" s="6"/>
      <c r="AG42" s="7"/>
      <c r="AJ42" s="33" t="s">
        <v>64</v>
      </c>
      <c r="AK42" s="35"/>
      <c r="AL42" s="38"/>
    </row>
    <row r="43" spans="1:38" ht="17.25" customHeight="1">
      <c r="A43" s="25">
        <v>45688</v>
      </c>
      <c r="B43" s="26" t="s">
        <v>334</v>
      </c>
      <c r="C43" s="14"/>
      <c r="D43" s="31" t="s">
        <v>175</v>
      </c>
      <c r="E43" s="14" t="s">
        <v>176</v>
      </c>
      <c r="F43" s="15" t="str">
        <f>"S/F "&amp;B43&amp;" "&amp;E43</f>
        <v>S/F FV-NV-25-001980 Almacenes Delca S.A.</v>
      </c>
      <c r="G43" s="16">
        <v>125.71</v>
      </c>
      <c r="H43" s="17">
        <v>21</v>
      </c>
      <c r="I43" s="18">
        <f>+IF(G43&lt;&gt;0,G43*H43/100,0)</f>
        <v>26.399099999999997</v>
      </c>
      <c r="J43" s="17"/>
      <c r="K43" s="18">
        <f>+IF(G43&lt;&gt;0,G43*J43/100,0)</f>
        <v>0</v>
      </c>
      <c r="L43" s="16"/>
      <c r="M43" s="17"/>
      <c r="N43" s="18">
        <f>+IF(L43&lt;&gt;0,L43*M43/100,0)</f>
        <v>0</v>
      </c>
      <c r="O43" s="19"/>
      <c r="P43" s="18"/>
      <c r="Q43" s="16"/>
      <c r="R43" s="17"/>
      <c r="S43" s="18"/>
      <c r="T43" s="19"/>
      <c r="U43" s="18"/>
      <c r="V43" s="16"/>
      <c r="W43" s="17"/>
      <c r="X43" s="18">
        <f>+IF(W43&lt;&gt;0,V43*W43/100,0)</f>
        <v>0</v>
      </c>
      <c r="Y43" s="19"/>
      <c r="Z43" s="19"/>
      <c r="AA43" s="18">
        <f>+IF(Z43&lt;&gt;0,Y43*Z43/100,0)</f>
        <v>0</v>
      </c>
      <c r="AB43" s="20">
        <f>+G43+I43+K43+L43+N43+P43+Q43+S43+U43-X43-AA43</f>
        <v>152.10909999999998</v>
      </c>
      <c r="AC43" s="5"/>
      <c r="AD43" s="8"/>
      <c r="AF43" s="6"/>
      <c r="AG43" s="7"/>
      <c r="AJ43" s="33" t="s">
        <v>64</v>
      </c>
      <c r="AK43" s="35"/>
      <c r="AL43" s="38"/>
    </row>
    <row r="44" spans="1:38" ht="17.25" customHeight="1">
      <c r="A44" s="25">
        <v>45689</v>
      </c>
      <c r="B44" s="26" t="s">
        <v>417</v>
      </c>
      <c r="C44" s="14"/>
      <c r="D44" s="31" t="s">
        <v>73</v>
      </c>
      <c r="E44" s="14" t="s">
        <v>418</v>
      </c>
      <c r="F44" s="15" t="str">
        <f>"S/F "&amp;B44&amp;" "&amp;E44</f>
        <v>S/F 011/25 Jose Luis Cortes Bañares</v>
      </c>
      <c r="G44" s="16">
        <v>100</v>
      </c>
      <c r="H44" s="17">
        <v>21</v>
      </c>
      <c r="I44" s="18">
        <f>+IF(G44&lt;&gt;0,G44*H44/100,0)</f>
        <v>21</v>
      </c>
      <c r="J44" s="17"/>
      <c r="K44" s="18">
        <f>+IF(G44&lt;&gt;0,G44*J44/100,0)</f>
        <v>0</v>
      </c>
      <c r="L44" s="16"/>
      <c r="M44" s="17"/>
      <c r="N44" s="18">
        <f>+IF(L44&lt;&gt;0,L44*M44/100,0)</f>
        <v>0</v>
      </c>
      <c r="O44" s="19"/>
      <c r="P44" s="18"/>
      <c r="Q44" s="16"/>
      <c r="R44" s="17"/>
      <c r="S44" s="18"/>
      <c r="T44" s="19"/>
      <c r="U44" s="18"/>
      <c r="V44" s="16"/>
      <c r="W44" s="17"/>
      <c r="X44" s="18">
        <f>+IF(W44&lt;&gt;0,V44*W44/100,0)</f>
        <v>0</v>
      </c>
      <c r="Y44" s="19"/>
      <c r="Z44" s="19"/>
      <c r="AA44" s="18">
        <f>+IF(Z44&lt;&gt;0,Y44*Z44/100,0)</f>
        <v>0</v>
      </c>
      <c r="AB44" s="20">
        <f>+G44+I44+K44+L44+N44+P44+Q44+S44+U44-X44-AA44</f>
        <v>121</v>
      </c>
      <c r="AC44" s="5"/>
      <c r="AD44" s="8"/>
      <c r="AF44" s="6"/>
      <c r="AG44" s="7"/>
      <c r="AJ44" s="33"/>
      <c r="AK44" s="35" t="s">
        <v>75</v>
      </c>
      <c r="AL44" s="38"/>
    </row>
    <row r="45" spans="1:38" ht="17.25" customHeight="1">
      <c r="A45" s="25">
        <v>45689</v>
      </c>
      <c r="B45" s="26" t="s">
        <v>323</v>
      </c>
      <c r="C45" s="14"/>
      <c r="D45" s="31" t="s">
        <v>80</v>
      </c>
      <c r="E45" s="14" t="s">
        <v>81</v>
      </c>
      <c r="F45" s="15" t="str">
        <f>"S/F "&amp;B45&amp;" "&amp;E45</f>
        <v>S/F 110875/2025 Grenke Rent S.L.</v>
      </c>
      <c r="G45" s="16">
        <v>53.7</v>
      </c>
      <c r="H45" s="17">
        <v>21</v>
      </c>
      <c r="I45" s="18">
        <f>+IF(G45&lt;&gt;0,G45*H45/100,0)</f>
        <v>11.277000000000001</v>
      </c>
      <c r="J45" s="17"/>
      <c r="K45" s="18"/>
      <c r="L45" s="16"/>
      <c r="M45" s="17"/>
      <c r="N45" s="18">
        <f>+IF(L45&lt;&gt;0,L45*M45/100,0)</f>
        <v>0</v>
      </c>
      <c r="O45" s="19"/>
      <c r="P45" s="18"/>
      <c r="Q45" s="16"/>
      <c r="R45" s="17"/>
      <c r="S45" s="18"/>
      <c r="T45" s="19"/>
      <c r="U45" s="18"/>
      <c r="V45" s="16"/>
      <c r="W45" s="17"/>
      <c r="X45" s="18">
        <f>+IF(W45&lt;&gt;0,V45*W45/100,0)</f>
        <v>0</v>
      </c>
      <c r="Y45" s="19"/>
      <c r="Z45" s="19"/>
      <c r="AA45" s="18"/>
      <c r="AB45" s="20">
        <f>+G45+I45+K45+L45+N45+P45+Q45+S45+U45-X45-AA45</f>
        <v>64.977000000000004</v>
      </c>
      <c r="AC45" s="5"/>
      <c r="AD45" s="8"/>
      <c r="AF45" s="6"/>
      <c r="AG45" s="7"/>
      <c r="AJ45" s="33"/>
      <c r="AK45" s="35" t="s">
        <v>68</v>
      </c>
      <c r="AL45" s="38"/>
    </row>
    <row r="46" spans="1:38" ht="17.25" customHeight="1">
      <c r="A46" s="25">
        <v>45689</v>
      </c>
      <c r="B46" s="26" t="s">
        <v>310</v>
      </c>
      <c r="C46" s="14"/>
      <c r="D46" s="31" t="s">
        <v>70</v>
      </c>
      <c r="E46" s="14" t="s">
        <v>71</v>
      </c>
      <c r="F46" s="15" t="str">
        <f>"S/F "&amp;B46&amp;" "&amp;E46</f>
        <v>S/F 2502C00806687 Securitas Direct España</v>
      </c>
      <c r="G46" s="16">
        <v>47.82</v>
      </c>
      <c r="H46" s="17">
        <v>21</v>
      </c>
      <c r="I46" s="18">
        <f>+IF(G46&lt;&gt;0,G46*H46/100,0)</f>
        <v>10.042200000000001</v>
      </c>
      <c r="J46" s="17"/>
      <c r="K46" s="18"/>
      <c r="L46" s="16"/>
      <c r="M46" s="17"/>
      <c r="N46" s="18">
        <f>+IF(L46&lt;&gt;0,L46*M46/100,0)</f>
        <v>0</v>
      </c>
      <c r="O46" s="19"/>
      <c r="P46" s="18"/>
      <c r="Q46" s="16"/>
      <c r="R46" s="17"/>
      <c r="S46" s="18"/>
      <c r="T46" s="19"/>
      <c r="U46" s="18"/>
      <c r="V46" s="16"/>
      <c r="W46" s="17"/>
      <c r="X46" s="18">
        <f>+IF(W46&lt;&gt;0,V46*W46/100,0)</f>
        <v>0</v>
      </c>
      <c r="Y46" s="19"/>
      <c r="Z46" s="19"/>
      <c r="AA46" s="18"/>
      <c r="AB46" s="20">
        <f>+G46+I46+K46+L46+N46+P46+Q46+S46+U46-X46-AA46</f>
        <v>57.862200000000001</v>
      </c>
      <c r="AC46" s="5"/>
      <c r="AD46" s="8"/>
      <c r="AF46" s="6"/>
      <c r="AG46" s="7"/>
      <c r="AJ46" s="33"/>
      <c r="AK46" s="35" t="s">
        <v>68</v>
      </c>
      <c r="AL46" s="38"/>
    </row>
    <row r="47" spans="1:38" ht="17.25" customHeight="1">
      <c r="A47" s="25">
        <v>45690</v>
      </c>
      <c r="B47" s="26" t="s">
        <v>391</v>
      </c>
      <c r="C47" s="14"/>
      <c r="D47" s="31" t="s">
        <v>392</v>
      </c>
      <c r="E47" s="14" t="s">
        <v>393</v>
      </c>
      <c r="F47" s="15" t="str">
        <f>"S/F "&amp;B47&amp;" "&amp;E47</f>
        <v>S/F REP-2500105 Maquinaria Maidecar S.L.</v>
      </c>
      <c r="G47" s="16">
        <v>1896.68</v>
      </c>
      <c r="H47" s="17">
        <v>21</v>
      </c>
      <c r="I47" s="18">
        <f>+IF(G47&lt;&gt;0,G47*H47/100,0)</f>
        <v>398.30279999999999</v>
      </c>
      <c r="J47" s="17"/>
      <c r="K47" s="18">
        <f>+IF(G47&lt;&gt;0,G47*J47/100,0)</f>
        <v>0</v>
      </c>
      <c r="L47" s="16"/>
      <c r="M47" s="17"/>
      <c r="N47" s="18">
        <f>+IF(L47&lt;&gt;0,L47*M47/100,0)</f>
        <v>0</v>
      </c>
      <c r="O47" s="19"/>
      <c r="P47" s="18"/>
      <c r="Q47" s="16"/>
      <c r="R47" s="17"/>
      <c r="S47" s="18"/>
      <c r="T47" s="19"/>
      <c r="U47" s="18"/>
      <c r="V47" s="16"/>
      <c r="W47" s="17"/>
      <c r="X47" s="18">
        <f>+IF(W47&lt;&gt;0,V47*W47/100,0)</f>
        <v>0</v>
      </c>
      <c r="Y47" s="19"/>
      <c r="Z47" s="19"/>
      <c r="AA47" s="18">
        <f>+IF(Z47&lt;&gt;0,Y47*Z47/100,0)</f>
        <v>0</v>
      </c>
      <c r="AB47" s="20">
        <f>+G47+I47+K47+L47+N47+P47+Q47+S47+U47-X47-AA47</f>
        <v>2294.9828000000002</v>
      </c>
      <c r="AC47" s="5"/>
      <c r="AD47" s="8"/>
      <c r="AF47" s="6"/>
      <c r="AG47" s="7"/>
      <c r="AJ47" s="33"/>
      <c r="AK47" s="35"/>
      <c r="AL47" s="38"/>
    </row>
    <row r="48" spans="1:38" ht="17.25" customHeight="1">
      <c r="A48" s="25">
        <v>45691</v>
      </c>
      <c r="B48" s="26" t="s">
        <v>320</v>
      </c>
      <c r="C48" s="14"/>
      <c r="D48" s="31" t="s">
        <v>321</v>
      </c>
      <c r="E48" s="14" t="s">
        <v>322</v>
      </c>
      <c r="F48" s="15" t="str">
        <f>"S/F "&amp;B48&amp;" "&amp;E48</f>
        <v>S/F 2500129 Técnicas de Embalajes de Madera S.L.U.</v>
      </c>
      <c r="G48" s="16">
        <v>330</v>
      </c>
      <c r="H48" s="17">
        <v>21</v>
      </c>
      <c r="I48" s="18">
        <f>+IF(G48&lt;&gt;0,G48*H48/100,0)</f>
        <v>69.3</v>
      </c>
      <c r="J48" s="17"/>
      <c r="K48" s="18">
        <f>+IF(G48&lt;&gt;0,G48*J48/100,0)</f>
        <v>0</v>
      </c>
      <c r="L48" s="16"/>
      <c r="M48" s="17"/>
      <c r="N48" s="18">
        <f>+IF(L48&lt;&gt;0,L48*M48/100,0)</f>
        <v>0</v>
      </c>
      <c r="O48" s="19"/>
      <c r="P48" s="18"/>
      <c r="Q48" s="16"/>
      <c r="R48" s="17"/>
      <c r="S48" s="18"/>
      <c r="T48" s="19"/>
      <c r="U48" s="18"/>
      <c r="V48" s="16"/>
      <c r="W48" s="17"/>
      <c r="X48" s="18">
        <f>+IF(W48&lt;&gt;0,V48*W48/100,0)</f>
        <v>0</v>
      </c>
      <c r="Y48" s="19"/>
      <c r="Z48" s="19"/>
      <c r="AA48" s="18">
        <f>+IF(Z48&lt;&gt;0,Y48*Z48/100,0)</f>
        <v>0</v>
      </c>
      <c r="AB48" s="20">
        <f>+G48+I48+K48+L48+N48+P48+Q48+S48+U48-X48-AA48</f>
        <v>399.3</v>
      </c>
      <c r="AC48" s="5"/>
      <c r="AD48" s="8"/>
      <c r="AF48" s="6"/>
      <c r="AG48" s="7"/>
      <c r="AJ48" s="33"/>
      <c r="AK48" s="35"/>
      <c r="AL48" s="38"/>
    </row>
    <row r="49" spans="1:38" ht="17.25" customHeight="1">
      <c r="A49" s="25">
        <v>45691</v>
      </c>
      <c r="B49" s="26" t="s">
        <v>304</v>
      </c>
      <c r="C49" s="14"/>
      <c r="D49" s="31" t="s">
        <v>53</v>
      </c>
      <c r="E49" s="14" t="s">
        <v>54</v>
      </c>
      <c r="F49" s="15" t="str">
        <f>"S/F "&amp;B49&amp;" "&amp;E49</f>
        <v>S/F 20250212 Láser Levante S.A.</v>
      </c>
      <c r="G49" s="16">
        <v>4857.34</v>
      </c>
      <c r="H49" s="17">
        <v>21</v>
      </c>
      <c r="I49" s="18">
        <f>+IF(G49&lt;&gt;0,G49*H49/100,0)</f>
        <v>1020.0414</v>
      </c>
      <c r="J49" s="17"/>
      <c r="K49" s="18">
        <f>+IF(G49&lt;&gt;0,G49*J49/100,0)</f>
        <v>0</v>
      </c>
      <c r="L49" s="16"/>
      <c r="M49" s="17"/>
      <c r="N49" s="18">
        <f>+IF(L49&lt;&gt;0,L49*M49/100,0)</f>
        <v>0</v>
      </c>
      <c r="O49" s="19"/>
      <c r="P49" s="18"/>
      <c r="Q49" s="16"/>
      <c r="R49" s="17"/>
      <c r="S49" s="18"/>
      <c r="T49" s="19"/>
      <c r="U49" s="18"/>
      <c r="V49" s="16"/>
      <c r="W49" s="17"/>
      <c r="X49" s="18">
        <f>+IF(W49&lt;&gt;0,V49*W49/100,0)</f>
        <v>0</v>
      </c>
      <c r="Y49" s="19"/>
      <c r="Z49" s="19"/>
      <c r="AA49" s="18">
        <f>+IF(Z49&lt;&gt;0,Y49*Z49/100,0)</f>
        <v>0</v>
      </c>
      <c r="AB49" s="20">
        <f>+G49+I49+K49+L49+N49+P49+Q49+S49+U49-X49-AA49</f>
        <v>5877.3814000000002</v>
      </c>
      <c r="AC49" s="5"/>
      <c r="AD49" s="8"/>
      <c r="AF49" s="6"/>
      <c r="AG49" s="7"/>
      <c r="AJ49" s="33"/>
      <c r="AK49" s="35"/>
      <c r="AL49" s="38"/>
    </row>
    <row r="50" spans="1:38" ht="17.25" customHeight="1">
      <c r="A50" s="25">
        <v>45691</v>
      </c>
      <c r="B50" s="26" t="s">
        <v>306</v>
      </c>
      <c r="C50" s="14"/>
      <c r="D50" s="31" t="s">
        <v>307</v>
      </c>
      <c r="E50" s="14" t="s">
        <v>308</v>
      </c>
      <c r="F50" s="15" t="str">
        <f>"S/F "&amp;B50&amp;" "&amp;E50</f>
        <v>S/F 25/00040 Compresores Madrid S.L.U.</v>
      </c>
      <c r="G50" s="16">
        <v>206</v>
      </c>
      <c r="H50" s="17">
        <v>21</v>
      </c>
      <c r="I50" s="18">
        <f>+IF(G50&lt;&gt;0,G50*H50/100,0)</f>
        <v>43.26</v>
      </c>
      <c r="J50" s="17"/>
      <c r="K50" s="18">
        <f>+IF(G50&lt;&gt;0,G50*J50/100,0)</f>
        <v>0</v>
      </c>
      <c r="L50" s="16"/>
      <c r="M50" s="17"/>
      <c r="N50" s="18">
        <f>+IF(L50&lt;&gt;0,L50*M50/100,0)</f>
        <v>0</v>
      </c>
      <c r="O50" s="19"/>
      <c r="P50" s="18"/>
      <c r="Q50" s="16"/>
      <c r="R50" s="17"/>
      <c r="S50" s="18"/>
      <c r="T50" s="19"/>
      <c r="U50" s="18"/>
      <c r="V50" s="16"/>
      <c r="W50" s="17"/>
      <c r="X50" s="18">
        <f>+IF(W50&lt;&gt;0,V50*W50/100,0)</f>
        <v>0</v>
      </c>
      <c r="Y50" s="19"/>
      <c r="Z50" s="19"/>
      <c r="AA50" s="18">
        <f>+IF(Z50&lt;&gt;0,Y50*Z50/100,0)</f>
        <v>0</v>
      </c>
      <c r="AB50" s="20">
        <f>+G50+I50+K50+L50+N50+P50+Q50+S50+U50-X50-AA50</f>
        <v>249.26</v>
      </c>
      <c r="AC50" s="5"/>
      <c r="AD50" s="8"/>
      <c r="AF50" s="6"/>
      <c r="AG50" s="7"/>
      <c r="AJ50" s="33"/>
      <c r="AK50" s="35" t="s">
        <v>75</v>
      </c>
      <c r="AL50" s="38"/>
    </row>
    <row r="51" spans="1:38" ht="17.25" customHeight="1">
      <c r="A51" s="25">
        <v>45691</v>
      </c>
      <c r="B51" s="26" t="s">
        <v>311</v>
      </c>
      <c r="C51" s="14"/>
      <c r="D51" s="31" t="s">
        <v>312</v>
      </c>
      <c r="E51" s="14" t="s">
        <v>313</v>
      </c>
      <c r="F51" s="15" t="str">
        <f>"S/F "&amp;B51&amp;" "&amp;E51</f>
        <v>S/F A5 645 Gasoleos de Calefaccion y Locomoción S.L.</v>
      </c>
      <c r="G51" s="16">
        <v>432.64</v>
      </c>
      <c r="H51" s="17">
        <v>21</v>
      </c>
      <c r="I51" s="18">
        <f>+IF(G51&lt;&gt;0,G51*H51/100,0)</f>
        <v>90.854399999999998</v>
      </c>
      <c r="J51" s="17"/>
      <c r="K51" s="18">
        <f>+IF(G51&lt;&gt;0,G51*J51/100,0)</f>
        <v>0</v>
      </c>
      <c r="L51" s="16"/>
      <c r="M51" s="17"/>
      <c r="N51" s="18">
        <f>+IF(L51&lt;&gt;0,L51*M51/100,0)</f>
        <v>0</v>
      </c>
      <c r="O51" s="19"/>
      <c r="P51" s="18"/>
      <c r="Q51" s="16"/>
      <c r="R51" s="17"/>
      <c r="S51" s="18"/>
      <c r="T51" s="19"/>
      <c r="U51" s="18"/>
      <c r="V51" s="16"/>
      <c r="W51" s="17"/>
      <c r="X51" s="18">
        <f>+IF(W51&lt;&gt;0,V51*W51/100,0)</f>
        <v>0</v>
      </c>
      <c r="Y51" s="19"/>
      <c r="Z51" s="19"/>
      <c r="AA51" s="18">
        <f>+IF(Z51&lt;&gt;0,Y51*Z51/100,0)</f>
        <v>0</v>
      </c>
      <c r="AB51" s="20">
        <f>+G51+I51+K51+L51+N51+P51+Q51+S51+U51-X51-AA51</f>
        <v>523.49440000000004</v>
      </c>
      <c r="AC51" s="5"/>
      <c r="AD51" s="8"/>
      <c r="AF51" s="6"/>
      <c r="AG51" s="7"/>
      <c r="AJ51" s="33"/>
      <c r="AK51" s="35" t="s">
        <v>314</v>
      </c>
      <c r="AL51" s="38"/>
    </row>
    <row r="52" spans="1:38" ht="17.25" customHeight="1">
      <c r="A52" s="25">
        <v>45692</v>
      </c>
      <c r="B52" s="26" t="s">
        <v>315</v>
      </c>
      <c r="C52" s="14"/>
      <c r="D52" s="31" t="s">
        <v>77</v>
      </c>
      <c r="E52" s="14" t="s">
        <v>78</v>
      </c>
      <c r="F52" s="15" t="str">
        <f>"S/F "&amp;B52&amp;" "&amp;E52</f>
        <v>S/F 1488833623 Mercedes-Benz España S.A.U.</v>
      </c>
      <c r="G52" s="16">
        <v>39</v>
      </c>
      <c r="H52" s="17">
        <v>21</v>
      </c>
      <c r="I52" s="18">
        <f>+IF(G52&lt;&gt;0,G52*H52/100,0)</f>
        <v>8.19</v>
      </c>
      <c r="J52" s="17"/>
      <c r="K52" s="18"/>
      <c r="L52" s="16"/>
      <c r="M52" s="17"/>
      <c r="N52" s="18">
        <f>+IF(L52&lt;&gt;0,L52*M52/100,0)</f>
        <v>0</v>
      </c>
      <c r="O52" s="19"/>
      <c r="P52" s="18"/>
      <c r="Q52" s="16"/>
      <c r="R52" s="17"/>
      <c r="S52" s="18"/>
      <c r="T52" s="19"/>
      <c r="U52" s="18"/>
      <c r="V52" s="16"/>
      <c r="W52" s="17"/>
      <c r="X52" s="18">
        <f>+IF(W52&lt;&gt;0,V52*W52/100,0)</f>
        <v>0</v>
      </c>
      <c r="Y52" s="19"/>
      <c r="Z52" s="19"/>
      <c r="AA52" s="18"/>
      <c r="AB52" s="20">
        <f>+G52+I52+K52+L52+N52+P52+Q52+S52+U52-X52-AA52</f>
        <v>47.19</v>
      </c>
      <c r="AC52" s="5"/>
      <c r="AD52" s="8"/>
      <c r="AF52" s="6"/>
      <c r="AG52" s="7"/>
      <c r="AJ52" s="33"/>
      <c r="AK52" s="35" t="s">
        <v>68</v>
      </c>
      <c r="AL52" s="38"/>
    </row>
    <row r="53" spans="1:38" ht="17.25" customHeight="1">
      <c r="A53" s="25">
        <v>45692</v>
      </c>
      <c r="B53" s="26" t="s">
        <v>455</v>
      </c>
      <c r="C53" s="14"/>
      <c r="D53" s="31" t="s">
        <v>466</v>
      </c>
      <c r="E53" s="14" t="s">
        <v>440</v>
      </c>
      <c r="F53" s="15" t="str">
        <f>"S/F "&amp;B53&amp;" "&amp;E53</f>
        <v>S/F 5477-2025-00011446 Costco wholesale Spain S.L.U.</v>
      </c>
      <c r="G53" s="16">
        <v>128.37</v>
      </c>
      <c r="H53" s="17">
        <v>21</v>
      </c>
      <c r="I53" s="18">
        <f>+IF(G53&lt;&gt;0,G53*H53/100,0)</f>
        <v>26.957699999999999</v>
      </c>
      <c r="J53" s="17"/>
      <c r="K53" s="18">
        <f>+IF(G53&lt;&gt;0,G53*J53/100,0)</f>
        <v>0</v>
      </c>
      <c r="L53" s="16"/>
      <c r="M53" s="17"/>
      <c r="N53" s="18">
        <f>+IF(L53&lt;&gt;0,L53*M53/100,0)</f>
        <v>0</v>
      </c>
      <c r="O53" s="19"/>
      <c r="P53" s="18"/>
      <c r="Q53" s="16"/>
      <c r="R53" s="17"/>
      <c r="S53" s="18"/>
      <c r="T53" s="19"/>
      <c r="U53" s="18"/>
      <c r="V53" s="16"/>
      <c r="W53" s="17"/>
      <c r="X53" s="18">
        <f>+IF(W53&lt;&gt;0,V53*W53/100,0)</f>
        <v>0</v>
      </c>
      <c r="Y53" s="19"/>
      <c r="Z53" s="19"/>
      <c r="AA53" s="18">
        <f>+IF(Z53&lt;&gt;0,Y53*Z53/100,0)</f>
        <v>0</v>
      </c>
      <c r="AB53" s="20">
        <f>+G53+I53+K53+L53+N53+P53+Q53+S53+U53-X53-AA53</f>
        <v>155.32769999999999</v>
      </c>
      <c r="AC53" s="5"/>
      <c r="AD53" s="8"/>
      <c r="AF53" s="6"/>
      <c r="AG53" s="7"/>
      <c r="AJ53" s="33"/>
      <c r="AK53" s="35" t="s">
        <v>445</v>
      </c>
      <c r="AL53" s="38"/>
    </row>
    <row r="54" spans="1:38" ht="17.25" customHeight="1">
      <c r="A54" s="25">
        <v>45692</v>
      </c>
      <c r="B54" s="26" t="s">
        <v>457</v>
      </c>
      <c r="C54" s="14"/>
      <c r="D54" s="31" t="s">
        <v>466</v>
      </c>
      <c r="E54" s="14" t="s">
        <v>440</v>
      </c>
      <c r="F54" s="15" t="str">
        <f>"S/F "&amp;B54&amp;" "&amp;E54</f>
        <v>S/F 5477-2025-00592137 Costco wholesale Spain S.L.U.</v>
      </c>
      <c r="G54" s="16">
        <v>70.599999999999994</v>
      </c>
      <c r="H54" s="17">
        <v>21</v>
      </c>
      <c r="I54" s="18">
        <f>+IF(G54&lt;&gt;0,G54*H54/100,0)</f>
        <v>14.825999999999999</v>
      </c>
      <c r="J54" s="17"/>
      <c r="K54" s="18">
        <f>+IF(G54&lt;&gt;0,G54*J54/100,0)</f>
        <v>0</v>
      </c>
      <c r="L54" s="16"/>
      <c r="M54" s="17"/>
      <c r="N54" s="18">
        <f>+IF(L54&lt;&gt;0,L54*M54/100,0)</f>
        <v>0</v>
      </c>
      <c r="O54" s="19"/>
      <c r="P54" s="18"/>
      <c r="Q54" s="16"/>
      <c r="R54" s="17"/>
      <c r="S54" s="18"/>
      <c r="T54" s="19"/>
      <c r="U54" s="18"/>
      <c r="V54" s="16"/>
      <c r="W54" s="17"/>
      <c r="X54" s="18">
        <f>+IF(W54&lt;&gt;0,V54*W54/100,0)</f>
        <v>0</v>
      </c>
      <c r="Y54" s="19"/>
      <c r="Z54" s="19"/>
      <c r="AA54" s="18"/>
      <c r="AB54" s="20">
        <f>+G54+I54+K54+L54+N54+P54+Q54+S54+U54-X54-AA54</f>
        <v>85.425999999999988</v>
      </c>
      <c r="AC54" s="5"/>
      <c r="AD54" s="8"/>
      <c r="AF54" s="6"/>
      <c r="AG54" s="7"/>
      <c r="AJ54" s="33"/>
      <c r="AK54" s="35" t="s">
        <v>441</v>
      </c>
      <c r="AL54" s="38"/>
    </row>
    <row r="55" spans="1:38" ht="17.25" customHeight="1">
      <c r="A55" s="25">
        <v>45693</v>
      </c>
      <c r="B55" s="26" t="s">
        <v>332</v>
      </c>
      <c r="C55" s="14"/>
      <c r="D55" s="31" t="s">
        <v>45</v>
      </c>
      <c r="E55" s="14" t="s">
        <v>46</v>
      </c>
      <c r="F55" s="15" t="str">
        <f>"S/F "&amp;B55&amp;" "&amp;E55</f>
        <v>S/F 354 Comercial de Chapa Cortada S.L.</v>
      </c>
      <c r="G55" s="16">
        <v>1619.4</v>
      </c>
      <c r="H55" s="17">
        <v>21</v>
      </c>
      <c r="I55" s="18">
        <f>+IF(G55&lt;&gt;0,G55*H55/100,0)</f>
        <v>340.07400000000001</v>
      </c>
      <c r="J55" s="17"/>
      <c r="K55" s="18">
        <f>+IF(G55&lt;&gt;0,G55*J55/100,0)</f>
        <v>0</v>
      </c>
      <c r="L55" s="16"/>
      <c r="M55" s="17"/>
      <c r="N55" s="18">
        <f>+IF(L55&lt;&gt;0,L55*M55/100,0)</f>
        <v>0</v>
      </c>
      <c r="O55" s="19"/>
      <c r="P55" s="18"/>
      <c r="Q55" s="16"/>
      <c r="R55" s="17"/>
      <c r="S55" s="18"/>
      <c r="T55" s="19"/>
      <c r="U55" s="18"/>
      <c r="V55" s="16"/>
      <c r="W55" s="17"/>
      <c r="X55" s="18">
        <f>+IF(W55&lt;&gt;0,V55*W55/100,0)</f>
        <v>0</v>
      </c>
      <c r="Y55" s="19"/>
      <c r="Z55" s="19"/>
      <c r="AA55" s="18">
        <f>+IF(Z55&lt;&gt;0,Y55*Z55/100,0)</f>
        <v>0</v>
      </c>
      <c r="AB55" s="20">
        <f>+G55+I55+K55+L55+N55+P55+Q55+S55+U55-X55-AA55</f>
        <v>1959.4740000000002</v>
      </c>
      <c r="AC55" s="5"/>
      <c r="AD55" s="8"/>
      <c r="AF55" s="6"/>
      <c r="AG55" s="7"/>
      <c r="AJ55" s="33"/>
      <c r="AK55" s="35"/>
      <c r="AL55" s="38"/>
    </row>
    <row r="56" spans="1:38" ht="17.25" customHeight="1">
      <c r="A56" s="25">
        <v>45693</v>
      </c>
      <c r="B56" s="26" t="s">
        <v>474</v>
      </c>
      <c r="C56" s="14"/>
      <c r="D56" s="31" t="s">
        <v>151</v>
      </c>
      <c r="E56" s="14" t="s">
        <v>152</v>
      </c>
      <c r="F56" s="15" t="str">
        <f>"S/F "&amp;B56&amp;" "&amp;E56</f>
        <v>S/F 202D2500002971 Plenoil S.L.</v>
      </c>
      <c r="G56" s="16">
        <v>49.59</v>
      </c>
      <c r="H56" s="17">
        <v>21</v>
      </c>
      <c r="I56" s="18">
        <f>+IF(G56&lt;&gt;0,G56*H56/100,0)</f>
        <v>10.413900000000002</v>
      </c>
      <c r="J56" s="17"/>
      <c r="K56" s="18">
        <f>+IF(G56&lt;&gt;0,G56*J56/100,0)</f>
        <v>0</v>
      </c>
      <c r="L56" s="16"/>
      <c r="M56" s="17"/>
      <c r="N56" s="18">
        <f>+IF(L56&lt;&gt;0,L56*M56/100,0)</f>
        <v>0</v>
      </c>
      <c r="O56" s="19"/>
      <c r="P56" s="18"/>
      <c r="Q56" s="16"/>
      <c r="R56" s="17"/>
      <c r="S56" s="18"/>
      <c r="T56" s="19"/>
      <c r="U56" s="18"/>
      <c r="V56" s="16"/>
      <c r="W56" s="17"/>
      <c r="X56" s="18">
        <f>+IF(W56&lt;&gt;0,V56*W56/100,0)</f>
        <v>0</v>
      </c>
      <c r="Y56" s="19"/>
      <c r="Z56" s="19"/>
      <c r="AA56" s="18">
        <f>+IF(Z56&lt;&gt;0,Y56*Z56/100,0)</f>
        <v>0</v>
      </c>
      <c r="AB56" s="20">
        <f>+G56+I56+K56+L56+N56+P56+Q56+S56+U56-X56-AA56</f>
        <v>60.003900000000002</v>
      </c>
      <c r="AC56" s="5"/>
      <c r="AD56" s="8"/>
      <c r="AF56" s="6"/>
      <c r="AG56" s="7"/>
      <c r="AJ56" s="33"/>
      <c r="AK56" s="35" t="s">
        <v>469</v>
      </c>
      <c r="AL56" s="38"/>
    </row>
    <row r="57" spans="1:38" ht="17.25" customHeight="1">
      <c r="A57" s="25">
        <v>45693</v>
      </c>
      <c r="B57" s="26" t="s">
        <v>288</v>
      </c>
      <c r="C57" s="14"/>
      <c r="D57" s="31" t="s">
        <v>97</v>
      </c>
      <c r="E57" s="14" t="s">
        <v>98</v>
      </c>
      <c r="F57" s="15" t="str">
        <f>"S/F "&amp;B57&amp;" "&amp;E57</f>
        <v>S/F E10009503039-0225 Orange Espagne S.A.U.</v>
      </c>
      <c r="G57" s="16">
        <v>208.14</v>
      </c>
      <c r="H57" s="17">
        <v>21</v>
      </c>
      <c r="I57" s="18">
        <f>+IF(G57&lt;&gt;0,G57*H57/100,0)</f>
        <v>43.709399999999995</v>
      </c>
      <c r="J57" s="17"/>
      <c r="K57" s="18"/>
      <c r="L57" s="16">
        <v>1.57</v>
      </c>
      <c r="M57" s="17"/>
      <c r="N57" s="18">
        <f>+IF(L57&lt;&gt;0,L57*M57/100,0)</f>
        <v>0</v>
      </c>
      <c r="O57" s="19"/>
      <c r="P57" s="18"/>
      <c r="Q57" s="16"/>
      <c r="R57" s="17"/>
      <c r="S57" s="18"/>
      <c r="T57" s="19"/>
      <c r="U57" s="18"/>
      <c r="V57" s="16"/>
      <c r="W57" s="17"/>
      <c r="X57" s="18">
        <f>+IF(W57&lt;&gt;0,V57*W57/100,0)</f>
        <v>0</v>
      </c>
      <c r="Y57" s="19"/>
      <c r="Z57" s="19"/>
      <c r="AA57" s="18"/>
      <c r="AB57" s="20">
        <f>+G57+I57+K57+L57+N57+P57+Q57+S57+U57-X57-AA57</f>
        <v>253.41939999999997</v>
      </c>
      <c r="AC57" s="5"/>
      <c r="AD57" s="8"/>
      <c r="AF57" s="6"/>
      <c r="AG57" s="7"/>
      <c r="AJ57" s="33"/>
      <c r="AK57" s="35" t="s">
        <v>68</v>
      </c>
      <c r="AL57" s="38"/>
    </row>
    <row r="58" spans="1:38" ht="17.25" customHeight="1">
      <c r="A58" s="25">
        <v>45694</v>
      </c>
      <c r="B58" s="26" t="s">
        <v>353</v>
      </c>
      <c r="C58" s="14"/>
      <c r="D58" s="31" t="s">
        <v>269</v>
      </c>
      <c r="E58" s="14" t="s">
        <v>270</v>
      </c>
      <c r="F58" s="15" t="str">
        <f>"S/F "&amp;B58&amp;" "&amp;E58</f>
        <v>S/F 143 Distribuidora de Galvanizado Madrileña S.L.</v>
      </c>
      <c r="G58" s="16">
        <v>1287.0999999999999</v>
      </c>
      <c r="H58" s="17">
        <v>21</v>
      </c>
      <c r="I58" s="18">
        <f>+IF(G58&lt;&gt;0,G58*H58/100,0)</f>
        <v>270.291</v>
      </c>
      <c r="J58" s="17"/>
      <c r="K58" s="18">
        <f>+IF(G58&lt;&gt;0,G58*J58/100,0)</f>
        <v>0</v>
      </c>
      <c r="L58" s="16"/>
      <c r="M58" s="17"/>
      <c r="N58" s="18">
        <f>+IF(L58&lt;&gt;0,L58*M58/100,0)</f>
        <v>0</v>
      </c>
      <c r="O58" s="19"/>
      <c r="P58" s="18"/>
      <c r="Q58" s="16"/>
      <c r="R58" s="17"/>
      <c r="S58" s="18"/>
      <c r="T58" s="19"/>
      <c r="U58" s="18"/>
      <c r="V58" s="16"/>
      <c r="W58" s="17"/>
      <c r="X58" s="18">
        <f>+IF(W58&lt;&gt;0,V58*W58/100,0)</f>
        <v>0</v>
      </c>
      <c r="Y58" s="19"/>
      <c r="Z58" s="19"/>
      <c r="AA58" s="18">
        <f>+IF(Z58&lt;&gt;0,Y58*Z58/100,0)</f>
        <v>0</v>
      </c>
      <c r="AB58" s="20">
        <f>+G58+I58+K58+L58+N58+P58+Q58+S58+U58-X58-AA58</f>
        <v>1557.3909999999998</v>
      </c>
      <c r="AC58" s="5"/>
      <c r="AD58" s="8"/>
      <c r="AF58" s="6"/>
      <c r="AG58" s="7"/>
      <c r="AJ58" s="33"/>
      <c r="AK58" s="35"/>
      <c r="AL58" s="38"/>
    </row>
    <row r="59" spans="1:38" ht="17.25" customHeight="1">
      <c r="A59" s="25">
        <v>45694</v>
      </c>
      <c r="B59" s="26" t="s">
        <v>309</v>
      </c>
      <c r="C59" s="14"/>
      <c r="D59" s="31" t="s">
        <v>206</v>
      </c>
      <c r="E59" s="14" t="s">
        <v>207</v>
      </c>
      <c r="F59" s="15" t="str">
        <f>"S/F "&amp;B59&amp;" "&amp;E59</f>
        <v>S/F 20250069 Cortes Levante S.L.</v>
      </c>
      <c r="G59" s="16">
        <v>855</v>
      </c>
      <c r="H59" s="17">
        <v>21</v>
      </c>
      <c r="I59" s="18">
        <f>+IF(G59&lt;&gt;0,G59*H59/100,0)</f>
        <v>179.55</v>
      </c>
      <c r="J59" s="17"/>
      <c r="K59" s="18">
        <f>+IF(G59&lt;&gt;0,G59*J59/100,0)</f>
        <v>0</v>
      </c>
      <c r="L59" s="16"/>
      <c r="M59" s="17"/>
      <c r="N59" s="18">
        <f>+IF(L59&lt;&gt;0,L59*M59/100,0)</f>
        <v>0</v>
      </c>
      <c r="O59" s="19"/>
      <c r="P59" s="18"/>
      <c r="Q59" s="16"/>
      <c r="R59" s="17"/>
      <c r="S59" s="18"/>
      <c r="T59" s="19"/>
      <c r="U59" s="18"/>
      <c r="V59" s="16"/>
      <c r="W59" s="17"/>
      <c r="X59" s="18">
        <f>+IF(W59&lt;&gt;0,V59*W59/100,0)</f>
        <v>0</v>
      </c>
      <c r="Y59" s="19"/>
      <c r="Z59" s="19"/>
      <c r="AA59" s="18">
        <f>+IF(Z59&lt;&gt;0,Y59*Z59/100,0)</f>
        <v>0</v>
      </c>
      <c r="AB59" s="20">
        <f>+G59+I59+K59+L59+N59+P59+Q59+S59+U59-X59-AA59</f>
        <v>1034.55</v>
      </c>
      <c r="AC59" s="5"/>
      <c r="AD59" s="8"/>
      <c r="AF59" s="6"/>
      <c r="AG59" s="7"/>
      <c r="AJ59" s="33"/>
      <c r="AK59" s="35"/>
      <c r="AL59" s="38"/>
    </row>
    <row r="60" spans="1:38" ht="17.25" customHeight="1">
      <c r="A60" s="25">
        <v>45694</v>
      </c>
      <c r="B60" s="26" t="s">
        <v>300</v>
      </c>
      <c r="C60" s="14"/>
      <c r="D60" s="31" t="s">
        <v>53</v>
      </c>
      <c r="E60" s="14" t="s">
        <v>54</v>
      </c>
      <c r="F60" s="15" t="str">
        <f>"S/F "&amp;B60&amp;" "&amp;E60</f>
        <v>S/F 20250254 Láser Levante S.A.</v>
      </c>
      <c r="G60" s="16">
        <v>1265.1300000000001</v>
      </c>
      <c r="H60" s="17">
        <v>21</v>
      </c>
      <c r="I60" s="18">
        <f>+IF(G60&lt;&gt;0,G60*H60/100,0)</f>
        <v>265.67730000000006</v>
      </c>
      <c r="J60" s="17"/>
      <c r="K60" s="18">
        <f>+IF(G60&lt;&gt;0,G60*J60/100,0)</f>
        <v>0</v>
      </c>
      <c r="L60" s="16"/>
      <c r="M60" s="17"/>
      <c r="N60" s="18">
        <f>+IF(L60&lt;&gt;0,L60*M60/100,0)</f>
        <v>0</v>
      </c>
      <c r="O60" s="19"/>
      <c r="P60" s="18"/>
      <c r="Q60" s="16"/>
      <c r="R60" s="17"/>
      <c r="S60" s="18"/>
      <c r="T60" s="19"/>
      <c r="U60" s="18"/>
      <c r="V60" s="16"/>
      <c r="W60" s="17"/>
      <c r="X60" s="18">
        <f>+IF(W60&lt;&gt;0,V60*W60/100,0)</f>
        <v>0</v>
      </c>
      <c r="Y60" s="19"/>
      <c r="Z60" s="19"/>
      <c r="AA60" s="18">
        <f>+IF(Z60&lt;&gt;0,Y60*Z60/100,0)</f>
        <v>0</v>
      </c>
      <c r="AB60" s="20">
        <f>+G60+I60+K60+L60+N60+P60+Q60+S60+U60-X60-AA60</f>
        <v>1530.8073000000002</v>
      </c>
      <c r="AC60" s="5"/>
      <c r="AD60" s="8"/>
      <c r="AF60" s="6"/>
      <c r="AG60" s="7"/>
      <c r="AJ60" s="33"/>
      <c r="AK60" s="35"/>
      <c r="AL60" s="38"/>
    </row>
    <row r="61" spans="1:38" ht="17.25" customHeight="1">
      <c r="A61" s="25">
        <v>45694</v>
      </c>
      <c r="B61" s="26" t="s">
        <v>477</v>
      </c>
      <c r="C61" s="14"/>
      <c r="D61" s="31" t="s">
        <v>478</v>
      </c>
      <c r="E61" s="14" t="s">
        <v>479</v>
      </c>
      <c r="F61" s="15" t="str">
        <f>"S/F "&amp;B61&amp;" "&amp;E61</f>
        <v>S/F 31941025/00000256 Villeriche Oil S.L.</v>
      </c>
      <c r="G61" s="16">
        <v>16.53</v>
      </c>
      <c r="H61" s="17">
        <v>21</v>
      </c>
      <c r="I61" s="18">
        <f>+IF(G61&lt;&gt;0,G61*H61/100,0)</f>
        <v>3.4712999999999998</v>
      </c>
      <c r="J61" s="17"/>
      <c r="K61" s="18">
        <f>+IF(G61&lt;&gt;0,G61*J61/100,0)</f>
        <v>0</v>
      </c>
      <c r="L61" s="16"/>
      <c r="M61" s="17"/>
      <c r="N61" s="18">
        <f>+IF(L61&lt;&gt;0,L61*M61/100,0)</f>
        <v>0</v>
      </c>
      <c r="O61" s="19"/>
      <c r="P61" s="18"/>
      <c r="Q61" s="16"/>
      <c r="R61" s="17"/>
      <c r="S61" s="18"/>
      <c r="T61" s="19"/>
      <c r="U61" s="18"/>
      <c r="V61" s="16"/>
      <c r="W61" s="17"/>
      <c r="X61" s="18">
        <f>+IF(W61&lt;&gt;0,V61*W61/100,0)</f>
        <v>0</v>
      </c>
      <c r="Y61" s="19"/>
      <c r="Z61" s="19"/>
      <c r="AA61" s="18">
        <f>+IF(Z61&lt;&gt;0,Y61*Z61/100,0)</f>
        <v>0</v>
      </c>
      <c r="AB61" s="20">
        <f>+G61+I61+K61+L61+N61+P61+Q61+S61+U61-X61-AA61</f>
        <v>20.001300000000001</v>
      </c>
      <c r="AC61" s="5"/>
      <c r="AD61" s="8"/>
      <c r="AF61" s="6"/>
      <c r="AG61" s="7"/>
      <c r="AJ61" s="33"/>
      <c r="AK61" s="35" t="s">
        <v>113</v>
      </c>
      <c r="AL61" s="38"/>
    </row>
    <row r="62" spans="1:38" ht="17.25" customHeight="1">
      <c r="A62" s="25">
        <v>45694</v>
      </c>
      <c r="B62" s="26" t="s">
        <v>458</v>
      </c>
      <c r="C62" s="14"/>
      <c r="D62" s="31" t="s">
        <v>466</v>
      </c>
      <c r="E62" s="14" t="s">
        <v>440</v>
      </c>
      <c r="F62" s="15" t="str">
        <f>"S/F "&amp;B62&amp;" "&amp;E62</f>
        <v>S/F 5477-2025-00457312 Costco wholesale Spain S.L.U.</v>
      </c>
      <c r="G62" s="16">
        <v>56.09</v>
      </c>
      <c r="H62" s="17">
        <v>21</v>
      </c>
      <c r="I62" s="18">
        <f>+IF(G62&lt;&gt;0,G62*H62/100,0)</f>
        <v>11.7789</v>
      </c>
      <c r="J62" s="17"/>
      <c r="K62" s="18">
        <f>+IF(G62&lt;&gt;0,G62*J62/100,0)</f>
        <v>0</v>
      </c>
      <c r="L62" s="16"/>
      <c r="M62" s="17"/>
      <c r="N62" s="18">
        <f>+IF(L62&lt;&gt;0,L62*M62/100,0)</f>
        <v>0</v>
      </c>
      <c r="O62" s="19"/>
      <c r="P62" s="18"/>
      <c r="Q62" s="16"/>
      <c r="R62" s="17"/>
      <c r="S62" s="18"/>
      <c r="T62" s="19"/>
      <c r="U62" s="18"/>
      <c r="V62" s="16"/>
      <c r="W62" s="17"/>
      <c r="X62" s="18">
        <f>+IF(W62&lt;&gt;0,V62*W62/100,0)</f>
        <v>0</v>
      </c>
      <c r="Y62" s="19"/>
      <c r="Z62" s="19"/>
      <c r="AA62" s="18">
        <f>+IF(Z62&lt;&gt;0,Y62*Z62/100,0)</f>
        <v>0</v>
      </c>
      <c r="AB62" s="20">
        <f>+G62+I62+K62+L62+N62+P62+Q62+S62+U62-X62-AA62</f>
        <v>67.868899999999996</v>
      </c>
      <c r="AC62" s="5"/>
      <c r="AD62" s="8"/>
      <c r="AF62" s="6"/>
      <c r="AG62" s="7"/>
      <c r="AJ62" s="33"/>
      <c r="AK62" s="35" t="s">
        <v>441</v>
      </c>
      <c r="AL62" s="38"/>
    </row>
    <row r="63" spans="1:38" ht="17.25" customHeight="1">
      <c r="A63" s="25">
        <v>45694</v>
      </c>
      <c r="B63" s="26" t="s">
        <v>461</v>
      </c>
      <c r="C63" s="14"/>
      <c r="D63" s="31" t="s">
        <v>466</v>
      </c>
      <c r="E63" s="14" t="s">
        <v>440</v>
      </c>
      <c r="F63" s="15" t="str">
        <f>"S/F "&amp;B63&amp;" "&amp;E63</f>
        <v>S/F 5477-2025-00592463 Costco wholesale Spain S.L.U.</v>
      </c>
      <c r="G63" s="16">
        <v>63.31</v>
      </c>
      <c r="H63" s="17">
        <v>21</v>
      </c>
      <c r="I63" s="18">
        <f>+IF(G63&lt;&gt;0,G63*H63/100,0)</f>
        <v>13.2951</v>
      </c>
      <c r="J63" s="17"/>
      <c r="K63" s="18">
        <f>+IF(G63&lt;&gt;0,G63*J63/100,0)</f>
        <v>0</v>
      </c>
      <c r="L63" s="16"/>
      <c r="M63" s="17"/>
      <c r="N63" s="18">
        <f>+IF(L63&lt;&gt;0,L63*M63/100,0)</f>
        <v>0</v>
      </c>
      <c r="O63" s="19"/>
      <c r="P63" s="18"/>
      <c r="Q63" s="16"/>
      <c r="R63" s="17"/>
      <c r="S63" s="18"/>
      <c r="T63" s="19"/>
      <c r="U63" s="18"/>
      <c r="V63" s="16"/>
      <c r="W63" s="17"/>
      <c r="X63" s="18">
        <f>+IF(W63&lt;&gt;0,V63*W63/100,0)</f>
        <v>0</v>
      </c>
      <c r="Y63" s="19"/>
      <c r="Z63" s="19"/>
      <c r="AA63" s="18">
        <f>+IF(Z63&lt;&gt;0,Y63*Z63/100,0)</f>
        <v>0</v>
      </c>
      <c r="AB63" s="20">
        <f>+G63+I63+K63+L63+N63+P63+Q63+S63+U63-X63-AA63</f>
        <v>76.605100000000007</v>
      </c>
      <c r="AC63" s="5"/>
      <c r="AD63" s="8"/>
      <c r="AF63" s="6"/>
      <c r="AG63" s="7"/>
      <c r="AJ63" s="33"/>
      <c r="AK63" s="35" t="s">
        <v>441</v>
      </c>
      <c r="AL63" s="38"/>
    </row>
    <row r="64" spans="1:38" ht="17.25" customHeight="1">
      <c r="A64" s="25">
        <v>45695</v>
      </c>
      <c r="B64" s="26" t="s">
        <v>331</v>
      </c>
      <c r="C64" s="14"/>
      <c r="D64" s="31" t="s">
        <v>50</v>
      </c>
      <c r="E64" s="14" t="s">
        <v>51</v>
      </c>
      <c r="F64" s="15" t="str">
        <f>"S/F "&amp;B64&amp;" "&amp;E64</f>
        <v>S/F 238 Tubos Vega S.L.</v>
      </c>
      <c r="G64" s="16">
        <v>5657.1</v>
      </c>
      <c r="H64" s="17">
        <v>21</v>
      </c>
      <c r="I64" s="18">
        <f>+IF(G64&lt;&gt;0,G64*H64/100,0)</f>
        <v>1187.991</v>
      </c>
      <c r="J64" s="17"/>
      <c r="K64" s="18">
        <f>+IF(G64&lt;&gt;0,G64*J64/100,0)</f>
        <v>0</v>
      </c>
      <c r="L64" s="16"/>
      <c r="M64" s="17"/>
      <c r="N64" s="18">
        <f>+IF(L64&lt;&gt;0,L64*M64/100,0)</f>
        <v>0</v>
      </c>
      <c r="O64" s="19"/>
      <c r="P64" s="18"/>
      <c r="Q64" s="16"/>
      <c r="R64" s="17"/>
      <c r="S64" s="18"/>
      <c r="T64" s="19"/>
      <c r="U64" s="18"/>
      <c r="V64" s="16"/>
      <c r="W64" s="17"/>
      <c r="X64" s="18">
        <f>+IF(W64&lt;&gt;0,V64*W64/100,0)</f>
        <v>0</v>
      </c>
      <c r="Y64" s="19"/>
      <c r="Z64" s="19"/>
      <c r="AA64" s="18">
        <f>+IF(Z64&lt;&gt;0,Y64*Z64/100,0)</f>
        <v>0</v>
      </c>
      <c r="AB64" s="20">
        <f>+G64+I64+K64+L64+N64+P64+Q64+S64+U64-X64-AA64</f>
        <v>6845.0910000000003</v>
      </c>
      <c r="AC64" s="5"/>
      <c r="AD64" s="8"/>
      <c r="AF64" s="6"/>
      <c r="AG64" s="7"/>
      <c r="AJ64" s="33"/>
      <c r="AK64" s="35"/>
      <c r="AL64" s="38"/>
    </row>
    <row r="65" spans="1:38" ht="17.25" customHeight="1">
      <c r="A65" s="25">
        <v>45695</v>
      </c>
      <c r="B65" s="26" t="s">
        <v>340</v>
      </c>
      <c r="C65" s="14"/>
      <c r="D65" s="31" t="s">
        <v>128</v>
      </c>
      <c r="E65" s="14" t="s">
        <v>129</v>
      </c>
      <c r="F65" s="15" t="str">
        <f>"S/F "&amp;B65&amp;" "&amp;E65</f>
        <v>S/F 250087 Comercial Andora Semanca S.L.</v>
      </c>
      <c r="G65" s="16">
        <v>280.2</v>
      </c>
      <c r="H65" s="17">
        <v>21</v>
      </c>
      <c r="I65" s="18">
        <f>+IF(G65&lt;&gt;0,G65*H65/100,0)</f>
        <v>58.841999999999999</v>
      </c>
      <c r="J65" s="17"/>
      <c r="K65" s="18">
        <f>+IF(G65&lt;&gt;0,G65*J65/100,0)</f>
        <v>0</v>
      </c>
      <c r="L65" s="16"/>
      <c r="M65" s="17"/>
      <c r="N65" s="18">
        <f>+IF(L65&lt;&gt;0,L65*M65/100,0)</f>
        <v>0</v>
      </c>
      <c r="O65" s="19"/>
      <c r="P65" s="18"/>
      <c r="Q65" s="16"/>
      <c r="R65" s="17"/>
      <c r="S65" s="18"/>
      <c r="T65" s="19"/>
      <c r="U65" s="18"/>
      <c r="V65" s="16"/>
      <c r="W65" s="17"/>
      <c r="X65" s="18">
        <f>+IF(W65&lt;&gt;0,V65*W65/100,0)</f>
        <v>0</v>
      </c>
      <c r="Y65" s="19"/>
      <c r="Z65" s="19"/>
      <c r="AA65" s="18">
        <f>+IF(Z65&lt;&gt;0,Y65*Z65/100,0)</f>
        <v>0</v>
      </c>
      <c r="AB65" s="20">
        <f>+G65+I65+K65+L65+N65+P65+Q65+S65+U65-X65-AA65</f>
        <v>339.04199999999997</v>
      </c>
      <c r="AC65" s="5"/>
      <c r="AD65" s="8"/>
      <c r="AF65" s="6"/>
      <c r="AG65" s="7"/>
      <c r="AJ65" s="33"/>
      <c r="AK65" s="35" t="s">
        <v>68</v>
      </c>
      <c r="AL65" s="38"/>
    </row>
    <row r="66" spans="1:38" ht="17.25" customHeight="1">
      <c r="A66" s="25">
        <v>45695</v>
      </c>
      <c r="B66" s="26" t="s">
        <v>336</v>
      </c>
      <c r="C66" s="14"/>
      <c r="D66" s="31" t="s">
        <v>337</v>
      </c>
      <c r="E66" s="14" t="s">
        <v>338</v>
      </c>
      <c r="F66" s="15" t="str">
        <f>"S/F "&amp;B66&amp;" "&amp;E66</f>
        <v>S/F 536891 Zorelor S.A.</v>
      </c>
      <c r="G66" s="16">
        <v>458.58</v>
      </c>
      <c r="H66" s="17">
        <v>21</v>
      </c>
      <c r="I66" s="18">
        <f>+IF(G66&lt;&gt;0,G66*H66/100,0)</f>
        <v>96.3018</v>
      </c>
      <c r="J66" s="17"/>
      <c r="K66" s="18">
        <f>+IF(G66&lt;&gt;0,G66*J66/100,0)</f>
        <v>0</v>
      </c>
      <c r="L66" s="16"/>
      <c r="M66" s="17"/>
      <c r="N66" s="18">
        <f>+IF(L66&lt;&gt;0,L66*M66/100,0)</f>
        <v>0</v>
      </c>
      <c r="O66" s="19"/>
      <c r="P66" s="18"/>
      <c r="Q66" s="16"/>
      <c r="R66" s="17"/>
      <c r="S66" s="18"/>
      <c r="T66" s="19"/>
      <c r="U66" s="18"/>
      <c r="V66" s="16"/>
      <c r="W66" s="17"/>
      <c r="X66" s="18">
        <f>+IF(W66&lt;&gt;0,V66*W66/100,0)</f>
        <v>0</v>
      </c>
      <c r="Y66" s="19"/>
      <c r="Z66" s="19"/>
      <c r="AA66" s="18">
        <f>+IF(Z66&lt;&gt;0,Y66*Z66/100,0)</f>
        <v>0</v>
      </c>
      <c r="AB66" s="20">
        <f>+G66+I66+K66+L66+N66+P66+Q66+S66+U66-X66-AA66</f>
        <v>554.8818</v>
      </c>
      <c r="AC66" s="5"/>
      <c r="AD66" s="8"/>
      <c r="AF66" s="6"/>
      <c r="AG66" s="7"/>
      <c r="AJ66" s="33"/>
      <c r="AK66" s="35"/>
      <c r="AL66" s="38"/>
    </row>
    <row r="67" spans="1:38" ht="17.25" customHeight="1">
      <c r="A67" s="25">
        <v>45695</v>
      </c>
      <c r="B67" s="26" t="s">
        <v>403</v>
      </c>
      <c r="C67" s="14"/>
      <c r="D67" s="31" t="s">
        <v>53</v>
      </c>
      <c r="E67" s="14" t="s">
        <v>54</v>
      </c>
      <c r="F67" s="15" t="str">
        <f>"S/F "&amp;B67&amp;" "&amp;E67</f>
        <v>S/F 20250265 Láser Levante S.A.</v>
      </c>
      <c r="G67" s="16">
        <v>2195.4899999999998</v>
      </c>
      <c r="H67" s="17">
        <v>21</v>
      </c>
      <c r="I67" s="18">
        <f>+IF(G67&lt;&gt;0,G67*H67/100,0)</f>
        <v>461.05289999999991</v>
      </c>
      <c r="J67" s="17"/>
      <c r="K67" s="18">
        <f>+IF(G67&lt;&gt;0,G67*J67/100,0)</f>
        <v>0</v>
      </c>
      <c r="L67" s="16"/>
      <c r="M67" s="17"/>
      <c r="N67" s="18">
        <f>+IF(L67&lt;&gt;0,L67*M67/100,0)</f>
        <v>0</v>
      </c>
      <c r="O67" s="19"/>
      <c r="P67" s="18"/>
      <c r="Q67" s="16"/>
      <c r="R67" s="17"/>
      <c r="S67" s="18"/>
      <c r="T67" s="19"/>
      <c r="U67" s="18"/>
      <c r="V67" s="16"/>
      <c r="W67" s="17"/>
      <c r="X67" s="18">
        <f>+IF(W67&lt;&gt;0,V67*W67/100,0)</f>
        <v>0</v>
      </c>
      <c r="Y67" s="19"/>
      <c r="Z67" s="19"/>
      <c r="AA67" s="18">
        <f>+IF(Z67&lt;&gt;0,Y67*Z67/100,0)</f>
        <v>0</v>
      </c>
      <c r="AB67" s="20">
        <f>+G67+I67+K67+L67+N67+P67+Q67+S67+U67-X67-AA67</f>
        <v>2656.5428999999995</v>
      </c>
      <c r="AC67" s="5"/>
      <c r="AD67" s="8"/>
      <c r="AF67" s="6"/>
      <c r="AG67" s="7"/>
      <c r="AJ67" s="33"/>
      <c r="AK67" s="35"/>
      <c r="AL67" s="38"/>
    </row>
    <row r="68" spans="1:38" ht="17.25" customHeight="1">
      <c r="A68" s="25">
        <v>45695</v>
      </c>
      <c r="B68" s="26" t="s">
        <v>316</v>
      </c>
      <c r="C68" s="14"/>
      <c r="D68" s="31" t="s">
        <v>317</v>
      </c>
      <c r="E68" s="14" t="s">
        <v>318</v>
      </c>
      <c r="F68" s="15" t="str">
        <f>"S/F "&amp;B68&amp;" "&amp;E68</f>
        <v>S/F 25016549 SG Equipment Finance Iberia, EFC, S.A.U.</v>
      </c>
      <c r="G68" s="16">
        <v>673.6</v>
      </c>
      <c r="H68" s="17">
        <v>21</v>
      </c>
      <c r="I68" s="18">
        <f>+IF(G68&lt;&gt;0,G68*H68/100,0)</f>
        <v>141.45600000000002</v>
      </c>
      <c r="J68" s="17"/>
      <c r="K68" s="18">
        <f>+IF(G68&lt;&gt;0,G68*J68/100,0)</f>
        <v>0</v>
      </c>
      <c r="L68" s="16"/>
      <c r="M68" s="17"/>
      <c r="N68" s="18">
        <f>+IF(L68&lt;&gt;0,L68*M68/100,0)</f>
        <v>0</v>
      </c>
      <c r="O68" s="19"/>
      <c r="P68" s="18"/>
      <c r="Q68" s="16"/>
      <c r="R68" s="17"/>
      <c r="S68" s="18"/>
      <c r="T68" s="19"/>
      <c r="U68" s="18"/>
      <c r="V68" s="16"/>
      <c r="W68" s="17"/>
      <c r="X68" s="18">
        <f>+IF(W68&lt;&gt;0,V68*W68/100,0)</f>
        <v>0</v>
      </c>
      <c r="Y68" s="19"/>
      <c r="Z68" s="19"/>
      <c r="AA68" s="18">
        <f>+IF(Z68&lt;&gt;0,Y68*Z68/100,0)</f>
        <v>0</v>
      </c>
      <c r="AB68" s="20">
        <f>+G68+I68+K68+L68+N68+P68+Q68+S68+U68-X68-AA68</f>
        <v>815.05600000000004</v>
      </c>
      <c r="AC68" s="5"/>
      <c r="AD68" s="8"/>
      <c r="AF68" s="6"/>
      <c r="AG68" s="7"/>
      <c r="AJ68" s="33"/>
      <c r="AK68" s="35" t="s">
        <v>68</v>
      </c>
      <c r="AL68" s="38"/>
    </row>
    <row r="69" spans="1:38" ht="17.25" customHeight="1">
      <c r="A69" s="25">
        <v>45696</v>
      </c>
      <c r="B69" s="26" t="s">
        <v>468</v>
      </c>
      <c r="C69" s="14"/>
      <c r="D69" s="31" t="s">
        <v>151</v>
      </c>
      <c r="E69" s="14" t="s">
        <v>152</v>
      </c>
      <c r="F69" s="15" t="str">
        <f>"S/F "&amp;B69&amp;" "&amp;E69</f>
        <v>S/F 202D2500003235 Plenoil S.L.</v>
      </c>
      <c r="G69" s="16">
        <v>49.59</v>
      </c>
      <c r="H69" s="17">
        <v>21</v>
      </c>
      <c r="I69" s="18">
        <f>+IF(G69&lt;&gt;0,G69*H69/100,0)</f>
        <v>10.413900000000002</v>
      </c>
      <c r="J69" s="17"/>
      <c r="K69" s="18">
        <f>+IF(G69&lt;&gt;0,G69*J69/100,0)</f>
        <v>0</v>
      </c>
      <c r="L69" s="16"/>
      <c r="M69" s="17"/>
      <c r="N69" s="18">
        <f>+IF(L69&lt;&gt;0,L69*M69/100,0)</f>
        <v>0</v>
      </c>
      <c r="O69" s="19"/>
      <c r="P69" s="18"/>
      <c r="Q69" s="16"/>
      <c r="R69" s="17"/>
      <c r="S69" s="18"/>
      <c r="T69" s="19"/>
      <c r="U69" s="18"/>
      <c r="V69" s="16"/>
      <c r="W69" s="17"/>
      <c r="X69" s="18">
        <f>+IF(W69&lt;&gt;0,V69*W69/100,0)</f>
        <v>0</v>
      </c>
      <c r="Y69" s="19"/>
      <c r="Z69" s="19"/>
      <c r="AA69" s="18">
        <f>+IF(Z69&lt;&gt;0,Y69*Z69/100,0)</f>
        <v>0</v>
      </c>
      <c r="AB69" s="20">
        <f>+G69+I69+K69+L69+N69+P69+Q69+S69+U69-X69-AA69</f>
        <v>60.003900000000002</v>
      </c>
      <c r="AC69" s="5"/>
      <c r="AD69" s="8"/>
      <c r="AF69" s="6"/>
      <c r="AG69" s="7"/>
      <c r="AJ69" s="33"/>
      <c r="AK69" s="35" t="s">
        <v>469</v>
      </c>
      <c r="AL69" s="38"/>
    </row>
    <row r="70" spans="1:38" ht="17.25" customHeight="1">
      <c r="A70" s="25">
        <v>45698</v>
      </c>
      <c r="B70" s="26" t="s">
        <v>299</v>
      </c>
      <c r="C70" s="14"/>
      <c r="D70" s="31" t="s">
        <v>56</v>
      </c>
      <c r="E70" s="14" t="s">
        <v>57</v>
      </c>
      <c r="F70" s="15" t="str">
        <f>"S/F "&amp;B70&amp;" "&amp;E70</f>
        <v>S/F 750400 Jannone Tubos S.L.</v>
      </c>
      <c r="G70" s="16">
        <v>201.01</v>
      </c>
      <c r="H70" s="17">
        <v>21</v>
      </c>
      <c r="I70" s="18">
        <f>+IF(G70&lt;&gt;0,G70*H70/100,0)</f>
        <v>42.2121</v>
      </c>
      <c r="J70" s="17"/>
      <c r="K70" s="18">
        <f>+IF(G70&lt;&gt;0,G70*J70/100,0)</f>
        <v>0</v>
      </c>
      <c r="L70" s="16"/>
      <c r="M70" s="17"/>
      <c r="N70" s="18">
        <f>+IF(L70&lt;&gt;0,L70*M70/100,0)</f>
        <v>0</v>
      </c>
      <c r="O70" s="19"/>
      <c r="P70" s="18"/>
      <c r="Q70" s="16"/>
      <c r="R70" s="17"/>
      <c r="S70" s="18"/>
      <c r="T70" s="19"/>
      <c r="U70" s="18"/>
      <c r="V70" s="16"/>
      <c r="W70" s="17"/>
      <c r="X70" s="18">
        <f>+IF(W70&lt;&gt;0,V70*W70/100,0)</f>
        <v>0</v>
      </c>
      <c r="Y70" s="19"/>
      <c r="Z70" s="19"/>
      <c r="AA70" s="18">
        <f>+IF(Z70&lt;&gt;0,Y70*Z70/100,0)</f>
        <v>0</v>
      </c>
      <c r="AB70" s="20">
        <f>+G70+I70+K70+L70+N70+P70+Q70+S70+U70-X70-AA70</f>
        <v>243.22209999999998</v>
      </c>
      <c r="AC70" s="5"/>
      <c r="AD70" s="8"/>
      <c r="AF70" s="6"/>
      <c r="AG70" s="7"/>
      <c r="AJ70" s="33"/>
      <c r="AK70" s="35"/>
      <c r="AL70" s="38"/>
    </row>
    <row r="71" spans="1:38" ht="17.25" customHeight="1">
      <c r="A71" s="25">
        <v>45698</v>
      </c>
      <c r="B71" s="26" t="s">
        <v>328</v>
      </c>
      <c r="C71" s="14"/>
      <c r="D71" s="31" t="s">
        <v>329</v>
      </c>
      <c r="E71" s="14" t="s">
        <v>330</v>
      </c>
      <c r="F71" s="15" t="str">
        <f>"S/F "&amp;B71&amp;" "&amp;E71</f>
        <v>S/F 2500330 Montero FyE S.A.</v>
      </c>
      <c r="G71" s="16">
        <v>114.56</v>
      </c>
      <c r="H71" s="17">
        <v>21</v>
      </c>
      <c r="I71" s="18">
        <f>+IF(G71&lt;&gt;0,G71*H71/100,0)</f>
        <v>24.057600000000001</v>
      </c>
      <c r="J71" s="17"/>
      <c r="K71" s="18">
        <f>+IF(G71&lt;&gt;0,G71*J71/100,0)</f>
        <v>0</v>
      </c>
      <c r="L71" s="16"/>
      <c r="M71" s="17"/>
      <c r="N71" s="18">
        <f>+IF(L71&lt;&gt;0,L71*M71/100,0)</f>
        <v>0</v>
      </c>
      <c r="O71" s="19"/>
      <c r="P71" s="18"/>
      <c r="Q71" s="16"/>
      <c r="R71" s="17"/>
      <c r="S71" s="18"/>
      <c r="T71" s="19"/>
      <c r="U71" s="18"/>
      <c r="V71" s="16"/>
      <c r="W71" s="17"/>
      <c r="X71" s="18">
        <f>+IF(W71&lt;&gt;0,V71*W71/100,0)</f>
        <v>0</v>
      </c>
      <c r="Y71" s="19"/>
      <c r="Z71" s="19"/>
      <c r="AA71" s="18">
        <f>+IF(Z71&lt;&gt;0,Y71*Z71/100,0)</f>
        <v>0</v>
      </c>
      <c r="AB71" s="20">
        <f>+G71+I71+K71+L71+N71+P71+Q71+S71+U71-X71-AA71</f>
        <v>138.61760000000001</v>
      </c>
      <c r="AC71" s="5"/>
      <c r="AD71" s="8"/>
      <c r="AF71" s="6"/>
      <c r="AG71" s="7"/>
      <c r="AJ71" s="33"/>
      <c r="AK71" s="35"/>
      <c r="AL71" s="38"/>
    </row>
    <row r="72" spans="1:38" ht="17.25" customHeight="1">
      <c r="A72" s="25">
        <v>45698</v>
      </c>
      <c r="B72" s="26" t="s">
        <v>296</v>
      </c>
      <c r="C72" s="14"/>
      <c r="D72" s="31" t="s">
        <v>190</v>
      </c>
      <c r="E72" s="14" t="s">
        <v>297</v>
      </c>
      <c r="F72" s="15" t="str">
        <f>"S/F "&amp;B72&amp;" "&amp;E72</f>
        <v>S/F 9077057 thyssenkrupp Materials Iberica S.A.</v>
      </c>
      <c r="G72" s="16">
        <v>326</v>
      </c>
      <c r="H72" s="17">
        <v>21</v>
      </c>
      <c r="I72" s="18">
        <f>+IF(G72&lt;&gt;0,G72*H72/100,0)</f>
        <v>68.459999999999994</v>
      </c>
      <c r="J72" s="17"/>
      <c r="K72" s="18">
        <f>+IF(G72&lt;&gt;0,G72*J72/100,0)</f>
        <v>0</v>
      </c>
      <c r="L72" s="16"/>
      <c r="M72" s="17"/>
      <c r="N72" s="18">
        <f>+IF(L72&lt;&gt;0,L72*M72/100,0)</f>
        <v>0</v>
      </c>
      <c r="O72" s="19"/>
      <c r="P72" s="18"/>
      <c r="Q72" s="16"/>
      <c r="R72" s="17"/>
      <c r="S72" s="18"/>
      <c r="T72" s="19"/>
      <c r="U72" s="18"/>
      <c r="V72" s="16"/>
      <c r="W72" s="17"/>
      <c r="X72" s="18">
        <f>+IF(W72&lt;&gt;0,V72*W72/100,0)</f>
        <v>0</v>
      </c>
      <c r="Y72" s="19"/>
      <c r="Z72" s="19"/>
      <c r="AA72" s="18">
        <f>+IF(Z72&lt;&gt;0,Y72*Z72/100,0)</f>
        <v>0</v>
      </c>
      <c r="AB72" s="20">
        <f>+G72+I72+K72+L72+N72+P72+Q72+S72+U72-X72-AA72</f>
        <v>394.46</v>
      </c>
      <c r="AC72" s="5"/>
      <c r="AD72" s="8"/>
      <c r="AF72" s="6"/>
      <c r="AG72" s="7"/>
      <c r="AJ72" s="33"/>
      <c r="AK72" s="35" t="s">
        <v>68</v>
      </c>
      <c r="AL72" s="38"/>
    </row>
    <row r="73" spans="1:38" ht="17.25" customHeight="1">
      <c r="A73" s="25">
        <v>45698</v>
      </c>
      <c r="B73" s="26" t="s">
        <v>298</v>
      </c>
      <c r="C73" s="14"/>
      <c r="D73" s="31" t="s">
        <v>190</v>
      </c>
      <c r="E73" s="14" t="s">
        <v>297</v>
      </c>
      <c r="F73" s="15" t="str">
        <f>"S/F "&amp;B73&amp;" "&amp;E73</f>
        <v>S/F 9077058 thyssenkrupp Materials Iberica S.A.</v>
      </c>
      <c r="G73" s="16">
        <v>472.2</v>
      </c>
      <c r="H73" s="17">
        <v>21</v>
      </c>
      <c r="I73" s="18">
        <f>+IF(G73&lt;&gt;0,G73*H73/100,0)</f>
        <v>99.161999999999992</v>
      </c>
      <c r="J73" s="17"/>
      <c r="K73" s="18">
        <f>+IF(G73&lt;&gt;0,G73*J73/100,0)</f>
        <v>0</v>
      </c>
      <c r="L73" s="16"/>
      <c r="M73" s="17"/>
      <c r="N73" s="18">
        <f>+IF(L73&lt;&gt;0,L73*M73/100,0)</f>
        <v>0</v>
      </c>
      <c r="O73" s="19"/>
      <c r="P73" s="18"/>
      <c r="Q73" s="16"/>
      <c r="R73" s="17"/>
      <c r="S73" s="18"/>
      <c r="T73" s="19"/>
      <c r="U73" s="18"/>
      <c r="V73" s="16"/>
      <c r="W73" s="17"/>
      <c r="X73" s="18">
        <f>+IF(W73&lt;&gt;0,V73*W73/100,0)</f>
        <v>0</v>
      </c>
      <c r="Y73" s="19"/>
      <c r="Z73" s="19"/>
      <c r="AA73" s="18">
        <f>+IF(Z73&lt;&gt;0,Y73*Z73/100,0)</f>
        <v>0</v>
      </c>
      <c r="AB73" s="20">
        <f>+G73+I73+K73+L73+N73+P73+Q73+S73+U73-X73-AA73</f>
        <v>571.36199999999997</v>
      </c>
      <c r="AC73" s="5"/>
      <c r="AD73" s="8"/>
      <c r="AF73" s="6"/>
      <c r="AG73" s="7"/>
      <c r="AJ73" s="33"/>
      <c r="AK73" s="35"/>
      <c r="AL73" s="38"/>
    </row>
    <row r="74" spans="1:38" ht="17.25" customHeight="1">
      <c r="A74" s="25">
        <v>45698</v>
      </c>
      <c r="B74" s="26" t="s">
        <v>568</v>
      </c>
      <c r="C74" s="14"/>
      <c r="D74" s="31" t="s">
        <v>53</v>
      </c>
      <c r="E74" s="14" t="s">
        <v>54</v>
      </c>
      <c r="F74" s="15" t="str">
        <f>"S/F "&amp;B74&amp;" "&amp;E74</f>
        <v>S/F 20250287 Láser Levante S.A.</v>
      </c>
      <c r="G74" s="16">
        <v>659.11</v>
      </c>
      <c r="H74" s="17">
        <v>21</v>
      </c>
      <c r="I74" s="18">
        <f>+IF(G74&lt;&gt;0,G74*H74/100,0)</f>
        <v>138.41309999999999</v>
      </c>
      <c r="J74" s="17"/>
      <c r="K74" s="18">
        <f>+IF(G74&lt;&gt;0,G74*J74/100,0)</f>
        <v>0</v>
      </c>
      <c r="L74" s="16"/>
      <c r="M74" s="17"/>
      <c r="N74" s="18">
        <f>+IF(L74&lt;&gt;0,L74*M74/100,0)</f>
        <v>0</v>
      </c>
      <c r="O74" s="19"/>
      <c r="P74" s="18"/>
      <c r="Q74" s="16"/>
      <c r="R74" s="17"/>
      <c r="S74" s="18"/>
      <c r="T74" s="19"/>
      <c r="U74" s="18"/>
      <c r="V74" s="16"/>
      <c r="W74" s="17"/>
      <c r="X74" s="18">
        <f>+IF(W74&lt;&gt;0,V74*W74/100,0)</f>
        <v>0</v>
      </c>
      <c r="Y74" s="19"/>
      <c r="Z74" s="19"/>
      <c r="AA74" s="18">
        <f>+IF(Z74&lt;&gt;0,Y74*Z74/100,0)</f>
        <v>0</v>
      </c>
      <c r="AB74" s="20">
        <f>+G74+I74+K74+L74+N74+P74+Q74+S74+U74-X74-AA74</f>
        <v>797.5231</v>
      </c>
      <c r="AC74" s="5"/>
      <c r="AD74" s="8"/>
      <c r="AF74" s="6"/>
      <c r="AG74" s="7"/>
      <c r="AJ74" s="33"/>
      <c r="AK74" s="35"/>
      <c r="AL74" s="38"/>
    </row>
    <row r="75" spans="1:38" ht="17.25" customHeight="1">
      <c r="A75" s="25">
        <v>45698</v>
      </c>
      <c r="B75" s="26" t="s">
        <v>335</v>
      </c>
      <c r="C75" s="14"/>
      <c r="D75" s="31" t="s">
        <v>42</v>
      </c>
      <c r="E75" s="14" t="s">
        <v>43</v>
      </c>
      <c r="F75" s="15" t="str">
        <f>"S/F "&amp;B75&amp;" "&amp;E75</f>
        <v>S/F 250500945 Acinesgon S.L.U.</v>
      </c>
      <c r="G75" s="16">
        <v>212.9</v>
      </c>
      <c r="H75" s="17">
        <v>21</v>
      </c>
      <c r="I75" s="18">
        <f>+IF(G75&lt;&gt;0,G75*H75/100,0)</f>
        <v>44.709000000000003</v>
      </c>
      <c r="J75" s="17"/>
      <c r="K75" s="18">
        <f>+IF(G75&lt;&gt;0,G75*J75/100,0)</f>
        <v>0</v>
      </c>
      <c r="L75" s="16"/>
      <c r="M75" s="17"/>
      <c r="N75" s="18">
        <f>+IF(L75&lt;&gt;0,L75*M75/100,0)</f>
        <v>0</v>
      </c>
      <c r="O75" s="19"/>
      <c r="P75" s="18"/>
      <c r="Q75" s="16"/>
      <c r="R75" s="17"/>
      <c r="S75" s="18"/>
      <c r="T75" s="19"/>
      <c r="U75" s="18"/>
      <c r="V75" s="16"/>
      <c r="W75" s="17"/>
      <c r="X75" s="18">
        <f>+IF(W75&lt;&gt;0,V75*W75/100,0)</f>
        <v>0</v>
      </c>
      <c r="Y75" s="19"/>
      <c r="Z75" s="19"/>
      <c r="AA75" s="18">
        <f>+IF(Z75&lt;&gt;0,Y75*Z75/100,0)</f>
        <v>0</v>
      </c>
      <c r="AB75" s="20">
        <f>+G75+I75+K75+L75+N75+P75+Q75+S75+U75-X75-AA75</f>
        <v>257.60900000000004</v>
      </c>
      <c r="AC75" s="5"/>
      <c r="AD75" s="8"/>
      <c r="AF75" s="6"/>
      <c r="AG75" s="7"/>
      <c r="AJ75" s="33"/>
      <c r="AK75" s="35"/>
      <c r="AL75" s="38"/>
    </row>
    <row r="76" spans="1:38" ht="17.25" customHeight="1">
      <c r="A76" s="25">
        <v>45698</v>
      </c>
      <c r="B76" s="26" t="s">
        <v>289</v>
      </c>
      <c r="C76" s="14"/>
      <c r="D76" s="31" t="s">
        <v>290</v>
      </c>
      <c r="E76" s="14" t="s">
        <v>291</v>
      </c>
      <c r="F76" s="15" t="str">
        <f>"S/F "&amp;B76&amp;" "&amp;E76</f>
        <v>S/F 25/0433 Manufacturas Fernández Pellicer S.L.</v>
      </c>
      <c r="G76" s="16">
        <v>648</v>
      </c>
      <c r="H76" s="17">
        <v>21</v>
      </c>
      <c r="I76" s="18">
        <f>+IF(G76&lt;&gt;0,G76*H76/100,0)</f>
        <v>136.08000000000001</v>
      </c>
      <c r="J76" s="17"/>
      <c r="K76" s="18">
        <f>+IF(G76&lt;&gt;0,G76*J76/100,0)</f>
        <v>0</v>
      </c>
      <c r="L76" s="16"/>
      <c r="M76" s="17"/>
      <c r="N76" s="18">
        <f>+IF(L76&lt;&gt;0,L76*M76/100,0)</f>
        <v>0</v>
      </c>
      <c r="O76" s="19"/>
      <c r="P76" s="18"/>
      <c r="Q76" s="16"/>
      <c r="R76" s="17"/>
      <c r="S76" s="18"/>
      <c r="T76" s="19"/>
      <c r="U76" s="18"/>
      <c r="V76" s="16"/>
      <c r="W76" s="17"/>
      <c r="X76" s="18">
        <f>+IF(W76&lt;&gt;0,V76*W76/100,0)</f>
        <v>0</v>
      </c>
      <c r="Y76" s="19"/>
      <c r="Z76" s="19"/>
      <c r="AA76" s="18">
        <f>+IF(Z76&lt;&gt;0,Y76*Z76/100,0)</f>
        <v>0</v>
      </c>
      <c r="AB76" s="20">
        <f>+G76+I76+K76+L76+N76+P76+Q76+S76+U76-X76-AA76</f>
        <v>784.08</v>
      </c>
      <c r="AC76" s="5"/>
      <c r="AD76" s="8"/>
      <c r="AF76" s="6"/>
      <c r="AG76" s="7"/>
      <c r="AJ76" s="33" t="s">
        <v>293</v>
      </c>
      <c r="AK76" s="35" t="s">
        <v>75</v>
      </c>
      <c r="AL76" s="38"/>
    </row>
    <row r="77" spans="1:38" ht="17.25" customHeight="1">
      <c r="A77" s="25">
        <v>45699</v>
      </c>
      <c r="B77" s="26" t="s">
        <v>375</v>
      </c>
      <c r="C77" s="14"/>
      <c r="D77" s="31" t="s">
        <v>181</v>
      </c>
      <c r="E77" s="14" t="s">
        <v>182</v>
      </c>
      <c r="F77" s="15" t="str">
        <f>"S/F "&amp;B77&amp;" "&amp;E77</f>
        <v>S/F B-022/2025 Olaen Maquinaria S.L.</v>
      </c>
      <c r="G77" s="16">
        <v>896</v>
      </c>
      <c r="H77" s="17">
        <v>21</v>
      </c>
      <c r="I77" s="18">
        <f>+IF(G77&lt;&gt;0,G77*H77/100,0)</f>
        <v>188.16</v>
      </c>
      <c r="J77" s="17"/>
      <c r="K77" s="18">
        <f>+IF(G77&lt;&gt;0,G77*J77/100,0)</f>
        <v>0</v>
      </c>
      <c r="L77" s="16"/>
      <c r="M77" s="17"/>
      <c r="N77" s="18">
        <f>+IF(L77&lt;&gt;0,L77*M77/100,0)</f>
        <v>0</v>
      </c>
      <c r="O77" s="19"/>
      <c r="P77" s="18"/>
      <c r="Q77" s="16"/>
      <c r="R77" s="17"/>
      <c r="S77" s="18"/>
      <c r="T77" s="19"/>
      <c r="U77" s="18"/>
      <c r="V77" s="16"/>
      <c r="W77" s="17"/>
      <c r="X77" s="18">
        <f>+IF(W77&lt;&gt;0,V77*W77/100,0)</f>
        <v>0</v>
      </c>
      <c r="Y77" s="19"/>
      <c r="Z77" s="19"/>
      <c r="AA77" s="18">
        <f>+IF(Z77&lt;&gt;0,Y77*Z77/100,0)</f>
        <v>0</v>
      </c>
      <c r="AB77" s="20">
        <f>+G77+I77+K77+L77+N77+P77+Q77+S77+U77-X77-AA77</f>
        <v>1084.1600000000001</v>
      </c>
      <c r="AC77" s="5"/>
      <c r="AD77" s="8"/>
      <c r="AF77" s="6"/>
      <c r="AG77" s="7"/>
      <c r="AJ77" s="33"/>
      <c r="AK77" s="35"/>
      <c r="AL77" s="38"/>
    </row>
    <row r="78" spans="1:38" ht="17.25" customHeight="1">
      <c r="A78" s="25">
        <v>45699</v>
      </c>
      <c r="B78" s="26" t="s">
        <v>486</v>
      </c>
      <c r="C78" s="14"/>
      <c r="D78" s="31" t="s">
        <v>487</v>
      </c>
      <c r="E78" s="14" t="s">
        <v>488</v>
      </c>
      <c r="F78" s="15" t="str">
        <f>"S/F "&amp;B78&amp;" "&amp;E78</f>
        <v>S/F FA/2500156 Juan F. Delgado Garcia - TODO CAMION</v>
      </c>
      <c r="G78" s="16">
        <v>286.52999999999997</v>
      </c>
      <c r="H78" s="17">
        <v>21</v>
      </c>
      <c r="I78" s="18">
        <f>+IF(G78&lt;&gt;0,G78*H78/100,0)</f>
        <v>60.171299999999995</v>
      </c>
      <c r="J78" s="17"/>
      <c r="K78" s="18">
        <f>+IF(G78&lt;&gt;0,G78*J78/100,0)</f>
        <v>0</v>
      </c>
      <c r="L78" s="16"/>
      <c r="M78" s="17"/>
      <c r="N78" s="18">
        <f>+IF(L78&lt;&gt;0,L78*M78/100,0)</f>
        <v>0</v>
      </c>
      <c r="O78" s="19"/>
      <c r="P78" s="18"/>
      <c r="Q78" s="16"/>
      <c r="R78" s="17"/>
      <c r="S78" s="18"/>
      <c r="T78" s="19"/>
      <c r="U78" s="18"/>
      <c r="V78" s="16"/>
      <c r="W78" s="17"/>
      <c r="X78" s="18">
        <f>+IF(W78&lt;&gt;0,V78*W78/100,0)</f>
        <v>0</v>
      </c>
      <c r="Y78" s="19"/>
      <c r="Z78" s="19"/>
      <c r="AA78" s="18">
        <f>+IF(Z78&lt;&gt;0,Y78*Z78/100,0)</f>
        <v>0</v>
      </c>
      <c r="AB78" s="20">
        <f>+G78+I78+K78+L78+N78+P78+Q78+S78+U78-X78-AA78</f>
        <v>346.70129999999995</v>
      </c>
      <c r="AC78" s="5"/>
      <c r="AD78" s="8"/>
      <c r="AF78" s="6"/>
      <c r="AG78" s="7"/>
      <c r="AJ78" s="33"/>
      <c r="AK78" s="35"/>
      <c r="AL78" s="38"/>
    </row>
    <row r="79" spans="1:38" ht="17.25" customHeight="1">
      <c r="A79" s="25">
        <v>45700</v>
      </c>
      <c r="B79" s="26" t="s">
        <v>541</v>
      </c>
      <c r="C79" s="14"/>
      <c r="D79" s="31" t="s">
        <v>272</v>
      </c>
      <c r="E79" s="14" t="s">
        <v>273</v>
      </c>
      <c r="F79" s="15" t="str">
        <f>"S/F "&amp;B79&amp;" "&amp;E79</f>
        <v>S/F 22292 Val Soluciones de Aplicaciones S.L.</v>
      </c>
      <c r="G79" s="16">
        <v>258</v>
      </c>
      <c r="H79" s="17">
        <v>21</v>
      </c>
      <c r="I79" s="18">
        <f>+IF(G79&lt;&gt;0,G79*H79/100,0)</f>
        <v>54.18</v>
      </c>
      <c r="J79" s="17"/>
      <c r="K79" s="18">
        <f>+IF(G79&lt;&gt;0,G79*J79/100,0)</f>
        <v>0</v>
      </c>
      <c r="L79" s="16"/>
      <c r="M79" s="17"/>
      <c r="N79" s="18">
        <f>+IF(L79&lt;&gt;0,L79*M79/100,0)</f>
        <v>0</v>
      </c>
      <c r="O79" s="19"/>
      <c r="P79" s="18"/>
      <c r="Q79" s="16"/>
      <c r="R79" s="17"/>
      <c r="S79" s="18"/>
      <c r="T79" s="19"/>
      <c r="U79" s="18"/>
      <c r="V79" s="16"/>
      <c r="W79" s="17"/>
      <c r="X79" s="18">
        <f>+IF(W79&lt;&gt;0,V79*W79/100,0)</f>
        <v>0</v>
      </c>
      <c r="Y79" s="19"/>
      <c r="Z79" s="19"/>
      <c r="AA79" s="18"/>
      <c r="AB79" s="20">
        <f>+G79+I79+K79+L79+N79+P79+Q79+S79+U79-X79-AA79</f>
        <v>312.18</v>
      </c>
      <c r="AC79" s="5"/>
      <c r="AD79" s="8"/>
      <c r="AF79" s="6"/>
      <c r="AG79" s="7"/>
      <c r="AJ79" s="33"/>
      <c r="AK79" s="35"/>
      <c r="AL79" s="38"/>
    </row>
    <row r="80" spans="1:38" ht="17.25" customHeight="1">
      <c r="A80" s="25">
        <v>45700</v>
      </c>
      <c r="B80" s="26" t="s">
        <v>543</v>
      </c>
      <c r="C80" s="14"/>
      <c r="D80" s="31" t="s">
        <v>272</v>
      </c>
      <c r="E80" s="14" t="s">
        <v>273</v>
      </c>
      <c r="F80" s="15" t="str">
        <f>"S/F "&amp;B80&amp;" "&amp;E80</f>
        <v>S/F 22294 Val Soluciones de Aplicaciones S.L.</v>
      </c>
      <c r="G80" s="16">
        <v>108</v>
      </c>
      <c r="H80" s="17">
        <v>21</v>
      </c>
      <c r="I80" s="18">
        <f>+IF(G80&lt;&gt;0,G80*H80/100,0)</f>
        <v>22.68</v>
      </c>
      <c r="J80" s="17"/>
      <c r="K80" s="18">
        <f>+IF(G80&lt;&gt;0,G80*J80/100,0)</f>
        <v>0</v>
      </c>
      <c r="L80" s="16"/>
      <c r="M80" s="17"/>
      <c r="N80" s="18">
        <f>+IF(L80&lt;&gt;0,L80*M80/100,0)</f>
        <v>0</v>
      </c>
      <c r="O80" s="19"/>
      <c r="P80" s="18"/>
      <c r="Q80" s="16"/>
      <c r="R80" s="17"/>
      <c r="S80" s="18"/>
      <c r="T80" s="19"/>
      <c r="U80" s="18"/>
      <c r="V80" s="16"/>
      <c r="W80" s="17"/>
      <c r="X80" s="18">
        <f>+IF(W80&lt;&gt;0,V80*W80/100,0)</f>
        <v>0</v>
      </c>
      <c r="Y80" s="19"/>
      <c r="Z80" s="19"/>
      <c r="AA80" s="18">
        <f>+IF(Z80&lt;&gt;0,Y80*Z80/100,0)</f>
        <v>0</v>
      </c>
      <c r="AB80" s="20">
        <f>+G80+I80+K80+L80+N80+P80+Q80+S80+U80-X80-AA80</f>
        <v>130.68</v>
      </c>
      <c r="AC80" s="5"/>
      <c r="AD80" s="8"/>
      <c r="AF80" s="6"/>
      <c r="AG80" s="7"/>
      <c r="AJ80" s="33"/>
      <c r="AK80" s="35"/>
      <c r="AL80" s="38"/>
    </row>
    <row r="81" spans="1:38" ht="17.25" customHeight="1">
      <c r="A81" s="25">
        <v>45700</v>
      </c>
      <c r="B81" s="26" t="s">
        <v>542</v>
      </c>
      <c r="C81" s="14"/>
      <c r="D81" s="31" t="s">
        <v>272</v>
      </c>
      <c r="E81" s="14" t="s">
        <v>273</v>
      </c>
      <c r="F81" s="15" t="str">
        <f>"S/F "&amp;B81&amp;" "&amp;E81</f>
        <v>S/F 22299 Val Soluciones de Aplicaciones S.L.</v>
      </c>
      <c r="G81" s="16">
        <v>807.84</v>
      </c>
      <c r="H81" s="17">
        <v>21</v>
      </c>
      <c r="I81" s="18">
        <f>+IF(G81&lt;&gt;0,G81*H81/100,0)</f>
        <v>169.6464</v>
      </c>
      <c r="J81" s="17"/>
      <c r="K81" s="18">
        <f>+IF(G81&lt;&gt;0,G81*J81/100,0)</f>
        <v>0</v>
      </c>
      <c r="L81" s="16"/>
      <c r="M81" s="17"/>
      <c r="N81" s="18">
        <f>+IF(L81&lt;&gt;0,L81*M81/100,0)</f>
        <v>0</v>
      </c>
      <c r="O81" s="19"/>
      <c r="P81" s="18"/>
      <c r="Q81" s="16"/>
      <c r="R81" s="17"/>
      <c r="S81" s="18"/>
      <c r="T81" s="19"/>
      <c r="U81" s="18"/>
      <c r="V81" s="16"/>
      <c r="W81" s="17"/>
      <c r="X81" s="18">
        <f>+IF(W81&lt;&gt;0,V81*W81/100,0)</f>
        <v>0</v>
      </c>
      <c r="Y81" s="19"/>
      <c r="Z81" s="19"/>
      <c r="AA81" s="18">
        <f>+IF(Z81&lt;&gt;0,Y81*Z81/100,0)</f>
        <v>0</v>
      </c>
      <c r="AB81" s="20">
        <f>+G81+I81+K81+L81+N81+P81+Q81+S81+U81-X81-AA81</f>
        <v>977.4864</v>
      </c>
      <c r="AC81" s="5"/>
      <c r="AD81" s="8"/>
      <c r="AF81" s="6"/>
      <c r="AG81" s="7"/>
      <c r="AJ81" s="33"/>
      <c r="AK81" s="35"/>
      <c r="AL81" s="38"/>
    </row>
    <row r="82" spans="1:38" ht="17.25" customHeight="1">
      <c r="A82" s="25">
        <v>45700</v>
      </c>
      <c r="B82" s="26" t="s">
        <v>544</v>
      </c>
      <c r="C82" s="14"/>
      <c r="D82" s="31" t="s">
        <v>272</v>
      </c>
      <c r="E82" s="14" t="s">
        <v>273</v>
      </c>
      <c r="F82" s="15" t="str">
        <f>"S/F "&amp;B82&amp;" "&amp;E82</f>
        <v>S/F 22307 Val Soluciones de Aplicaciones S.L.</v>
      </c>
      <c r="G82" s="16">
        <v>62.1</v>
      </c>
      <c r="H82" s="17">
        <v>21</v>
      </c>
      <c r="I82" s="18">
        <f>+IF(G82&lt;&gt;0,G82*H82/100,0)</f>
        <v>13.041000000000002</v>
      </c>
      <c r="J82" s="17"/>
      <c r="K82" s="18">
        <f>+IF(G82&lt;&gt;0,G82*J82/100,0)</f>
        <v>0</v>
      </c>
      <c r="L82" s="16"/>
      <c r="M82" s="17"/>
      <c r="N82" s="18">
        <f>+IF(L82&lt;&gt;0,L82*M82/100,0)</f>
        <v>0</v>
      </c>
      <c r="O82" s="19"/>
      <c r="P82" s="18"/>
      <c r="Q82" s="16"/>
      <c r="R82" s="17"/>
      <c r="S82" s="18"/>
      <c r="T82" s="19"/>
      <c r="U82" s="18"/>
      <c r="V82" s="16"/>
      <c r="W82" s="17"/>
      <c r="X82" s="18">
        <f>+IF(W82&lt;&gt;0,V82*W82/100,0)</f>
        <v>0</v>
      </c>
      <c r="Y82" s="19"/>
      <c r="Z82" s="19"/>
      <c r="AA82" s="18">
        <f>+IF(Z82&lt;&gt;0,Y82*Z82/100,0)</f>
        <v>0</v>
      </c>
      <c r="AB82" s="20">
        <f>+G82+I82+K82+L82+N82+P82+Q82+S82+U82-X82-AA82</f>
        <v>75.141000000000005</v>
      </c>
      <c r="AC82" s="5"/>
      <c r="AD82" s="8"/>
      <c r="AF82" s="6"/>
      <c r="AG82" s="7"/>
      <c r="AJ82" s="33"/>
      <c r="AK82" s="35"/>
      <c r="AL82" s="38"/>
    </row>
    <row r="83" spans="1:38" ht="17.25" customHeight="1">
      <c r="A83" s="25">
        <v>45701</v>
      </c>
      <c r="B83" s="26" t="s">
        <v>360</v>
      </c>
      <c r="C83" s="14"/>
      <c r="D83" s="31" t="s">
        <v>361</v>
      </c>
      <c r="E83" s="14" t="s">
        <v>362</v>
      </c>
      <c r="F83" s="15" t="str">
        <f>"S/F "&amp;B83&amp;" "&amp;E83</f>
        <v>S/F 71889 Hidraúlica Caboblanco e Hijos</v>
      </c>
      <c r="G83" s="16">
        <v>104.92</v>
      </c>
      <c r="H83" s="17">
        <v>21</v>
      </c>
      <c r="I83" s="18">
        <f>+IF(G83&lt;&gt;0,G83*H83/100,0)</f>
        <v>22.033200000000001</v>
      </c>
      <c r="J83" s="17"/>
      <c r="K83" s="18">
        <f>+IF(G83&lt;&gt;0,G83*J83/100,0)</f>
        <v>0</v>
      </c>
      <c r="L83" s="16"/>
      <c r="M83" s="17"/>
      <c r="N83" s="18">
        <f>+IF(L83&lt;&gt;0,L83*M83/100,0)</f>
        <v>0</v>
      </c>
      <c r="O83" s="19"/>
      <c r="P83" s="18"/>
      <c r="Q83" s="16"/>
      <c r="R83" s="17"/>
      <c r="S83" s="18"/>
      <c r="T83" s="19"/>
      <c r="U83" s="18"/>
      <c r="V83" s="16"/>
      <c r="W83" s="17"/>
      <c r="X83" s="18">
        <f>+IF(W83&lt;&gt;0,V83*W83/100,0)</f>
        <v>0</v>
      </c>
      <c r="Y83" s="19"/>
      <c r="Z83" s="19"/>
      <c r="AA83" s="18">
        <f>+IF(Z83&lt;&gt;0,Y83*Z83/100,0)</f>
        <v>0</v>
      </c>
      <c r="AB83" s="20">
        <f>+G83+I83+K83+L83+N83+P83+Q83+S83+U83-X83-AA83</f>
        <v>126.95320000000001</v>
      </c>
      <c r="AC83" s="5"/>
      <c r="AD83" s="8"/>
      <c r="AF83" s="6"/>
      <c r="AG83" s="7"/>
      <c r="AJ83" s="33" t="s">
        <v>75</v>
      </c>
      <c r="AK83" s="35"/>
      <c r="AL83" s="38"/>
    </row>
    <row r="84" spans="1:38" ht="17.25" customHeight="1">
      <c r="A84" s="25">
        <v>45701</v>
      </c>
      <c r="B84" s="26" t="s">
        <v>406</v>
      </c>
      <c r="C84" s="14"/>
      <c r="D84" s="31" t="s">
        <v>53</v>
      </c>
      <c r="E84" s="14" t="s">
        <v>54</v>
      </c>
      <c r="F84" s="15" t="str">
        <f>"S/F "&amp;B84&amp;" "&amp;E84</f>
        <v>S/F 20250327 Láser Levante S.A.</v>
      </c>
      <c r="G84" s="16">
        <v>186.66</v>
      </c>
      <c r="H84" s="17">
        <v>21</v>
      </c>
      <c r="I84" s="18">
        <f>+IF(G84&lt;&gt;0,G84*H84/100,0)</f>
        <v>39.198599999999999</v>
      </c>
      <c r="J84" s="17"/>
      <c r="K84" s="18">
        <f>+IF(G84&lt;&gt;0,G84*J84/100,0)</f>
        <v>0</v>
      </c>
      <c r="L84" s="16"/>
      <c r="M84" s="17"/>
      <c r="N84" s="18">
        <f>+IF(L84&lt;&gt;0,L84*M84/100,0)</f>
        <v>0</v>
      </c>
      <c r="O84" s="19"/>
      <c r="P84" s="18"/>
      <c r="Q84" s="16"/>
      <c r="R84" s="17"/>
      <c r="S84" s="18"/>
      <c r="T84" s="19"/>
      <c r="U84" s="18"/>
      <c r="V84" s="16"/>
      <c r="W84" s="17"/>
      <c r="X84" s="18">
        <f>+IF(W84&lt;&gt;0,V84*W84/100,0)</f>
        <v>0</v>
      </c>
      <c r="Y84" s="19"/>
      <c r="Z84" s="19"/>
      <c r="AA84" s="18">
        <f>+IF(Z84&lt;&gt;0,Y84*Z84/100,0)</f>
        <v>0</v>
      </c>
      <c r="AB84" s="20">
        <f>+G84+I84+K84+L84+N84+P84+Q84+S84+U84-X84-AA84</f>
        <v>225.8586</v>
      </c>
      <c r="AC84" s="5"/>
      <c r="AD84" s="8"/>
      <c r="AF84" s="6"/>
      <c r="AG84" s="7"/>
      <c r="AJ84" s="33"/>
      <c r="AK84" s="35"/>
      <c r="AL84" s="38"/>
    </row>
    <row r="85" spans="1:38" ht="17.25" customHeight="1">
      <c r="A85" s="25">
        <v>45701</v>
      </c>
      <c r="B85" s="26" t="s">
        <v>475</v>
      </c>
      <c r="C85" s="14"/>
      <c r="D85" s="31" t="s">
        <v>151</v>
      </c>
      <c r="E85" s="14" t="s">
        <v>152</v>
      </c>
      <c r="F85" s="15" t="str">
        <f>"S/F "&amp;B85&amp;" "&amp;E85</f>
        <v>S/F 202D2500003683 Plenoil S.L.</v>
      </c>
      <c r="G85" s="16">
        <v>41.32</v>
      </c>
      <c r="H85" s="17">
        <v>21</v>
      </c>
      <c r="I85" s="18">
        <f>+IF(G85&lt;&gt;0,G85*H85/100,0)</f>
        <v>8.6772000000000009</v>
      </c>
      <c r="J85" s="17"/>
      <c r="K85" s="18">
        <f>+IF(G85&lt;&gt;0,G85*J85/100,0)</f>
        <v>0</v>
      </c>
      <c r="L85" s="16"/>
      <c r="M85" s="17"/>
      <c r="N85" s="18">
        <f>+IF(L85&lt;&gt;0,L85*M85/100,0)</f>
        <v>0</v>
      </c>
      <c r="O85" s="19"/>
      <c r="P85" s="18"/>
      <c r="Q85" s="16"/>
      <c r="R85" s="17"/>
      <c r="S85" s="18"/>
      <c r="T85" s="19"/>
      <c r="U85" s="18"/>
      <c r="V85" s="16"/>
      <c r="W85" s="17"/>
      <c r="X85" s="18">
        <f>+IF(W85&lt;&gt;0,V85*W85/100,0)</f>
        <v>0</v>
      </c>
      <c r="Y85" s="19"/>
      <c r="Z85" s="19"/>
      <c r="AA85" s="18"/>
      <c r="AB85" s="20">
        <f>+G85+I85+K85+L85+N85+P85+Q85+S85+U85-X85-AA85</f>
        <v>49.997199999999999</v>
      </c>
      <c r="AC85" s="5"/>
      <c r="AD85" s="8"/>
      <c r="AF85" s="6"/>
      <c r="AG85" s="7"/>
      <c r="AJ85" s="33"/>
      <c r="AK85" s="35" t="s">
        <v>469</v>
      </c>
      <c r="AL85" s="38"/>
    </row>
    <row r="86" spans="1:38" ht="17.25" customHeight="1">
      <c r="A86" s="25">
        <v>45702</v>
      </c>
      <c r="B86" s="26" t="s">
        <v>366</v>
      </c>
      <c r="C86" s="14"/>
      <c r="D86" s="31" t="s">
        <v>50</v>
      </c>
      <c r="E86" s="14" t="s">
        <v>51</v>
      </c>
      <c r="F86" s="15" t="str">
        <f>"S/F "&amp;B86&amp;" "&amp;E86</f>
        <v>S/F 294 Tubos Vega S.L.</v>
      </c>
      <c r="G86" s="16">
        <v>703.5</v>
      </c>
      <c r="H86" s="17">
        <v>21</v>
      </c>
      <c r="I86" s="18">
        <f>+IF(G86&lt;&gt;0,G86*H86/100,0)</f>
        <v>147.73500000000001</v>
      </c>
      <c r="J86" s="17"/>
      <c r="K86" s="18">
        <f>+IF(G86&lt;&gt;0,G86*J86/100,0)</f>
        <v>0</v>
      </c>
      <c r="L86" s="16"/>
      <c r="M86" s="17"/>
      <c r="N86" s="18">
        <f>+IF(L86&lt;&gt;0,L86*M86/100,0)</f>
        <v>0</v>
      </c>
      <c r="O86" s="19"/>
      <c r="P86" s="18"/>
      <c r="Q86" s="16"/>
      <c r="R86" s="17"/>
      <c r="S86" s="18"/>
      <c r="T86" s="19"/>
      <c r="U86" s="18"/>
      <c r="V86" s="16"/>
      <c r="W86" s="17"/>
      <c r="X86" s="18">
        <f>+IF(W86&lt;&gt;0,V86*W86/100,0)</f>
        <v>0</v>
      </c>
      <c r="Y86" s="19"/>
      <c r="Z86" s="19"/>
      <c r="AA86" s="18">
        <f>+IF(Z86&lt;&gt;0,Y86*Z86/100,0)</f>
        <v>0</v>
      </c>
      <c r="AB86" s="20">
        <f>+G86+I86+K86+L86+N86+P86+Q86+S86+U86-X86-AA86</f>
        <v>851.23500000000001</v>
      </c>
      <c r="AC86" s="5"/>
      <c r="AD86" s="8"/>
      <c r="AF86" s="6"/>
      <c r="AG86" s="7"/>
      <c r="AJ86" s="33"/>
      <c r="AK86" s="35"/>
      <c r="AL86" s="38"/>
    </row>
    <row r="87" spans="1:38" ht="17.25" customHeight="1">
      <c r="A87" s="25">
        <v>45702</v>
      </c>
      <c r="B87" s="26" t="s">
        <v>464</v>
      </c>
      <c r="C87" s="14"/>
      <c r="D87" s="31" t="s">
        <v>443</v>
      </c>
      <c r="E87" s="14" t="s">
        <v>444</v>
      </c>
      <c r="F87" s="15" t="str">
        <f>"S/F "&amp;B87&amp;" "&amp;E87</f>
        <v>S/F 2204 Meson Toledano</v>
      </c>
      <c r="G87" s="16">
        <v>83.64</v>
      </c>
      <c r="H87" s="17">
        <v>10</v>
      </c>
      <c r="I87" s="18">
        <f>+IF(G87&lt;&gt;0,G87*H87/100,0)</f>
        <v>8.363999999999999</v>
      </c>
      <c r="J87" s="17"/>
      <c r="K87" s="18">
        <f>+IF(G87&lt;&gt;0,G87*J87/100,0)</f>
        <v>0</v>
      </c>
      <c r="L87" s="16"/>
      <c r="M87" s="17"/>
      <c r="N87" s="18">
        <f>+IF(L87&lt;&gt;0,L87*M87/100,0)</f>
        <v>0</v>
      </c>
      <c r="O87" s="19"/>
      <c r="P87" s="18"/>
      <c r="Q87" s="16"/>
      <c r="R87" s="17"/>
      <c r="S87" s="18"/>
      <c r="T87" s="19"/>
      <c r="U87" s="18"/>
      <c r="V87" s="16"/>
      <c r="W87" s="17"/>
      <c r="X87" s="18">
        <f>+IF(W87&lt;&gt;0,V87*W87/100,0)</f>
        <v>0</v>
      </c>
      <c r="Y87" s="19"/>
      <c r="Z87" s="19"/>
      <c r="AA87" s="18">
        <f>+IF(Z87&lt;&gt;0,Y87*Z87/100,0)</f>
        <v>0</v>
      </c>
      <c r="AB87" s="20">
        <f>+G87+I87+K87+L87+N87+P87+Q87+S87+U87-X87-AA87</f>
        <v>92.004000000000005</v>
      </c>
      <c r="AC87" s="5"/>
      <c r="AD87" s="8"/>
      <c r="AF87" s="6"/>
      <c r="AG87" s="7"/>
      <c r="AJ87" s="33"/>
      <c r="AK87" s="35" t="s">
        <v>445</v>
      </c>
      <c r="AL87" s="38"/>
    </row>
    <row r="88" spans="1:38" ht="17.25" customHeight="1">
      <c r="A88" s="25">
        <v>45702</v>
      </c>
      <c r="B88" s="26" t="s">
        <v>354</v>
      </c>
      <c r="C88" s="14"/>
      <c r="D88" s="31" t="s">
        <v>178</v>
      </c>
      <c r="E88" s="14" t="s">
        <v>355</v>
      </c>
      <c r="F88" s="15" t="str">
        <f>"S/F "&amp;B88&amp;" "&amp;E88</f>
        <v>S/F 2501544 Comercial de Soldadura S.A. - CODESOL</v>
      </c>
      <c r="G88" s="16">
        <v>4690</v>
      </c>
      <c r="H88" s="17">
        <v>21</v>
      </c>
      <c r="I88" s="18">
        <f>+IF(G88&lt;&gt;0,G88*H88/100,0)</f>
        <v>984.9</v>
      </c>
      <c r="J88" s="17"/>
      <c r="K88" s="18">
        <f>+IF(G88&lt;&gt;0,G88*J88/100,0)</f>
        <v>0</v>
      </c>
      <c r="L88" s="16"/>
      <c r="M88" s="17"/>
      <c r="N88" s="18">
        <f>+IF(L88&lt;&gt;0,L88*M88/100,0)</f>
        <v>0</v>
      </c>
      <c r="O88" s="19"/>
      <c r="P88" s="18"/>
      <c r="Q88" s="16"/>
      <c r="R88" s="17"/>
      <c r="S88" s="18"/>
      <c r="T88" s="19"/>
      <c r="U88" s="18"/>
      <c r="V88" s="16"/>
      <c r="W88" s="17"/>
      <c r="X88" s="18">
        <f>+IF(W88&lt;&gt;0,V88*W88/100,0)</f>
        <v>0</v>
      </c>
      <c r="Y88" s="19"/>
      <c r="Z88" s="19"/>
      <c r="AA88" s="18">
        <f>+IF(Z88&lt;&gt;0,Y88*Z88/100,0)</f>
        <v>0</v>
      </c>
      <c r="AB88" s="20">
        <f>+G88+I88+K88+L88+N88+P88+Q88+S88+U88-X88-AA88</f>
        <v>5674.9</v>
      </c>
      <c r="AC88" s="5"/>
      <c r="AD88" s="8"/>
      <c r="AF88" s="6"/>
      <c r="AG88" s="7"/>
      <c r="AJ88" s="33" t="s">
        <v>356</v>
      </c>
      <c r="AK88" s="35"/>
      <c r="AL88" s="38"/>
    </row>
    <row r="89" spans="1:38" ht="17.25" customHeight="1">
      <c r="A89" s="25">
        <v>45702</v>
      </c>
      <c r="B89" s="26" t="s">
        <v>374</v>
      </c>
      <c r="C89" s="14"/>
      <c r="D89" s="31" t="s">
        <v>372</v>
      </c>
      <c r="E89" s="14" t="s">
        <v>373</v>
      </c>
      <c r="F89" s="15" t="str">
        <f>"S/F "&amp;B89&amp;" "&amp;E89</f>
        <v>S/F 925001691 Fabory Spain S.L.U.</v>
      </c>
      <c r="G89" s="16">
        <v>685.64</v>
      </c>
      <c r="H89" s="17">
        <v>21</v>
      </c>
      <c r="I89" s="18">
        <f>+IF(G89&lt;&gt;0,G89*H89/100,0)</f>
        <v>143.98439999999999</v>
      </c>
      <c r="J89" s="17"/>
      <c r="K89" s="18">
        <f>+IF(G89&lt;&gt;0,G89*J89/100,0)</f>
        <v>0</v>
      </c>
      <c r="L89" s="16"/>
      <c r="M89" s="17"/>
      <c r="N89" s="18">
        <f>+IF(L89&lt;&gt;0,L89*M89/100,0)</f>
        <v>0</v>
      </c>
      <c r="O89" s="19"/>
      <c r="P89" s="18"/>
      <c r="Q89" s="16"/>
      <c r="R89" s="17"/>
      <c r="S89" s="18"/>
      <c r="T89" s="19"/>
      <c r="U89" s="18"/>
      <c r="V89" s="16"/>
      <c r="W89" s="17"/>
      <c r="X89" s="18">
        <f>+IF(W89&lt;&gt;0,V89*W89/100,0)</f>
        <v>0</v>
      </c>
      <c r="Y89" s="19"/>
      <c r="Z89" s="19"/>
      <c r="AA89" s="18">
        <f>+IF(Z89&lt;&gt;0,Y89*Z89/100,0)</f>
        <v>0</v>
      </c>
      <c r="AB89" s="20">
        <f>+G89+I89+K89+L89+N89+P89+Q89+S89+U89-X89-AA89</f>
        <v>829.62439999999992</v>
      </c>
      <c r="AC89" s="5"/>
      <c r="AD89" s="8"/>
      <c r="AF89" s="6"/>
      <c r="AG89" s="7"/>
      <c r="AJ89" s="33"/>
      <c r="AK89" s="35"/>
      <c r="AL89" s="38"/>
    </row>
    <row r="90" spans="1:38" ht="17.25" customHeight="1">
      <c r="A90" s="25">
        <v>45702</v>
      </c>
      <c r="B90" s="26" t="s">
        <v>489</v>
      </c>
      <c r="C90" s="14"/>
      <c r="D90" s="31" t="s">
        <v>372</v>
      </c>
      <c r="E90" s="14" t="s">
        <v>373</v>
      </c>
      <c r="F90" s="15" t="str">
        <f>"S/F "&amp;B90&amp;" "&amp;E90</f>
        <v>S/F 925001692 Fabory Spain S.L.U.</v>
      </c>
      <c r="G90" s="16">
        <v>201.88</v>
      </c>
      <c r="H90" s="17">
        <v>21</v>
      </c>
      <c r="I90" s="18">
        <f>+IF(G90&lt;&gt;0,G90*H90/100,0)</f>
        <v>42.394799999999996</v>
      </c>
      <c r="J90" s="17"/>
      <c r="K90" s="18">
        <f>+IF(G90&lt;&gt;0,G90*J90/100,0)</f>
        <v>0</v>
      </c>
      <c r="L90" s="16"/>
      <c r="M90" s="17"/>
      <c r="N90" s="18">
        <f>+IF(L90&lt;&gt;0,L90*M90/100,0)</f>
        <v>0</v>
      </c>
      <c r="O90" s="19"/>
      <c r="P90" s="18"/>
      <c r="Q90" s="16"/>
      <c r="R90" s="17"/>
      <c r="S90" s="18"/>
      <c r="T90" s="19"/>
      <c r="U90" s="18"/>
      <c r="V90" s="16"/>
      <c r="W90" s="17"/>
      <c r="X90" s="18">
        <f>+IF(W90&lt;&gt;0,V90*W90/100,0)</f>
        <v>0</v>
      </c>
      <c r="Y90" s="19"/>
      <c r="Z90" s="19"/>
      <c r="AA90" s="18">
        <f>+IF(Z90&lt;&gt;0,Y90*Z90/100,0)</f>
        <v>0</v>
      </c>
      <c r="AB90" s="20">
        <f>+G90+I90+K90+L90+N90+P90+Q90+S90+U90-X90-AA90</f>
        <v>244.2748</v>
      </c>
      <c r="AC90" s="5"/>
      <c r="AD90" s="8"/>
      <c r="AF90" s="6"/>
      <c r="AG90" s="7"/>
      <c r="AJ90" s="33"/>
      <c r="AK90" s="35"/>
      <c r="AL90" s="38"/>
    </row>
    <row r="91" spans="1:38" ht="17.25" customHeight="1">
      <c r="A91" s="25">
        <v>45702</v>
      </c>
      <c r="B91" s="26" t="s">
        <v>344</v>
      </c>
      <c r="C91" s="14"/>
      <c r="D91" s="31" t="s">
        <v>345</v>
      </c>
      <c r="E91" s="14" t="s">
        <v>346</v>
      </c>
      <c r="F91" s="15" t="str">
        <f>"S/F "&amp;B91&amp;" "&amp;E91</f>
        <v>S/F 111337/2025 Suministros Industriales Rame S.L.</v>
      </c>
      <c r="G91" s="16">
        <v>687.7</v>
      </c>
      <c r="H91" s="17">
        <v>21</v>
      </c>
      <c r="I91" s="18">
        <f>+IF(G91&lt;&gt;0,G91*H91/100,0)</f>
        <v>144.417</v>
      </c>
      <c r="J91" s="17"/>
      <c r="K91" s="18">
        <f>+IF(G91&lt;&gt;0,G91*J91/100,0)</f>
        <v>0</v>
      </c>
      <c r="L91" s="16"/>
      <c r="M91" s="17"/>
      <c r="N91" s="18">
        <f>+IF(L91&lt;&gt;0,L91*M91/100,0)</f>
        <v>0</v>
      </c>
      <c r="O91" s="19"/>
      <c r="P91" s="18"/>
      <c r="Q91" s="16"/>
      <c r="R91" s="17"/>
      <c r="S91" s="18"/>
      <c r="T91" s="19"/>
      <c r="U91" s="18"/>
      <c r="V91" s="16"/>
      <c r="W91" s="17"/>
      <c r="X91" s="18">
        <f>+IF(W91&lt;&gt;0,V91*W91/100,0)</f>
        <v>0</v>
      </c>
      <c r="Y91" s="19"/>
      <c r="Z91" s="19"/>
      <c r="AA91" s="18">
        <f>+IF(Z91&lt;&gt;0,Y91*Z91/100,0)</f>
        <v>0</v>
      </c>
      <c r="AB91" s="20">
        <f>+G91+I91+K91+L91+N91+P91+Q91+S91+U91-X91-AA91</f>
        <v>832.11700000000008</v>
      </c>
      <c r="AC91" s="5"/>
      <c r="AD91" s="8"/>
      <c r="AF91" s="6"/>
      <c r="AG91" s="7"/>
      <c r="AJ91" s="33"/>
      <c r="AK91" s="35"/>
      <c r="AL91" s="38"/>
    </row>
    <row r="92" spans="1:38" ht="17.25" customHeight="1">
      <c r="A92" s="25">
        <v>45702</v>
      </c>
      <c r="B92" s="26" t="s">
        <v>490</v>
      </c>
      <c r="C92" s="14"/>
      <c r="D92" s="31" t="s">
        <v>175</v>
      </c>
      <c r="E92" s="14" t="s">
        <v>176</v>
      </c>
      <c r="F92" s="15" t="str">
        <f>"S/F "&amp;B92&amp;" "&amp;E92</f>
        <v>S/F 25-003085 Almacenes Delca S.A.</v>
      </c>
      <c r="G92" s="16">
        <v>146.1</v>
      </c>
      <c r="H92" s="17">
        <v>21</v>
      </c>
      <c r="I92" s="18">
        <f>+IF(G92&lt;&gt;0,G92*H92/100,0)</f>
        <v>30.680999999999997</v>
      </c>
      <c r="J92" s="17"/>
      <c r="K92" s="18">
        <f>+IF(G92&lt;&gt;0,G92*J92/100,0)</f>
        <v>0</v>
      </c>
      <c r="L92" s="16"/>
      <c r="M92" s="17"/>
      <c r="N92" s="18">
        <f>+IF(L92&lt;&gt;0,L92*M92/100,0)</f>
        <v>0</v>
      </c>
      <c r="O92" s="19"/>
      <c r="P92" s="18"/>
      <c r="Q92" s="16"/>
      <c r="R92" s="17"/>
      <c r="S92" s="18"/>
      <c r="T92" s="19"/>
      <c r="U92" s="18"/>
      <c r="V92" s="16"/>
      <c r="W92" s="17"/>
      <c r="X92" s="18">
        <f>+IF(W92&lt;&gt;0,V92*W92/100,0)</f>
        <v>0</v>
      </c>
      <c r="Y92" s="19"/>
      <c r="Z92" s="19"/>
      <c r="AA92" s="18">
        <f>+IF(Z92&lt;&gt;0,Y92*Z92/100,0)</f>
        <v>0</v>
      </c>
      <c r="AB92" s="20">
        <f>+G92+I92+K92+L92+N92+P92+Q92+S92+U92-X92-AA92</f>
        <v>176.78100000000001</v>
      </c>
      <c r="AC92" s="5"/>
      <c r="AD92" s="8"/>
      <c r="AF92" s="6"/>
      <c r="AG92" s="7"/>
      <c r="AJ92" s="33"/>
      <c r="AK92" s="35"/>
      <c r="AL92" s="38"/>
    </row>
    <row r="93" spans="1:38" ht="17.25" customHeight="1">
      <c r="A93" s="25">
        <v>45702</v>
      </c>
      <c r="B93" s="26" t="s">
        <v>339</v>
      </c>
      <c r="C93" s="14"/>
      <c r="D93" s="31" t="s">
        <v>231</v>
      </c>
      <c r="E93" s="14" t="s">
        <v>232</v>
      </c>
      <c r="F93" s="15" t="str">
        <f>"S/F "&amp;B93&amp;" "&amp;E93</f>
        <v>S/F 331/25 Orbe Laser S.L.</v>
      </c>
      <c r="G93" s="16">
        <v>4545.2</v>
      </c>
      <c r="H93" s="17">
        <v>21</v>
      </c>
      <c r="I93" s="18">
        <f>+IF(G93&lt;&gt;0,G93*H93/100,0)</f>
        <v>954.49199999999996</v>
      </c>
      <c r="J93" s="17"/>
      <c r="K93" s="18">
        <f>+IF(G93&lt;&gt;0,G93*J93/100,0)</f>
        <v>0</v>
      </c>
      <c r="L93" s="16"/>
      <c r="M93" s="17"/>
      <c r="N93" s="18">
        <f>+IF(L93&lt;&gt;0,L93*M93/100,0)</f>
        <v>0</v>
      </c>
      <c r="O93" s="19"/>
      <c r="P93" s="18"/>
      <c r="Q93" s="16"/>
      <c r="R93" s="17"/>
      <c r="S93" s="18"/>
      <c r="T93" s="19"/>
      <c r="U93" s="18"/>
      <c r="V93" s="16"/>
      <c r="W93" s="17"/>
      <c r="X93" s="18">
        <f>+IF(W93&lt;&gt;0,V93*W93/100,0)</f>
        <v>0</v>
      </c>
      <c r="Y93" s="19"/>
      <c r="Z93" s="19"/>
      <c r="AA93" s="18">
        <f>+IF(Z93&lt;&gt;0,Y93*Z93/100,0)</f>
        <v>0</v>
      </c>
      <c r="AB93" s="20">
        <f>+G93+I93+K93+L93+N93+P93+Q93+S93+U93-X93-AA93</f>
        <v>5499.692</v>
      </c>
      <c r="AC93" s="5"/>
      <c r="AD93" s="8"/>
      <c r="AF93" s="6"/>
      <c r="AG93" s="7"/>
      <c r="AJ93" s="33"/>
      <c r="AK93" s="35"/>
      <c r="AL93" s="38"/>
    </row>
    <row r="94" spans="1:38" ht="17.25" customHeight="1">
      <c r="A94" s="25">
        <v>45703</v>
      </c>
      <c r="B94" s="26" t="s">
        <v>342</v>
      </c>
      <c r="C94" s="14"/>
      <c r="D94" s="31" t="s">
        <v>100</v>
      </c>
      <c r="E94" s="14" t="s">
        <v>343</v>
      </c>
      <c r="F94" s="15" t="str">
        <f>"S/F "&amp;B94&amp;" "&amp;E94</f>
        <v>S/F 620437 Tubos y Accesorios de Condución S.L.</v>
      </c>
      <c r="G94" s="16">
        <v>886.1</v>
      </c>
      <c r="H94" s="17">
        <v>21</v>
      </c>
      <c r="I94" s="18">
        <f>+IF(G94&lt;&gt;0,G94*H94/100,0)</f>
        <v>186.08100000000002</v>
      </c>
      <c r="J94" s="17"/>
      <c r="K94" s="18">
        <f>+IF(G94&lt;&gt;0,G94*J94/100,0)</f>
        <v>0</v>
      </c>
      <c r="L94" s="16"/>
      <c r="M94" s="17"/>
      <c r="N94" s="18">
        <f>+IF(L94&lt;&gt;0,L94*M94/100,0)</f>
        <v>0</v>
      </c>
      <c r="O94" s="19"/>
      <c r="P94" s="18"/>
      <c r="Q94" s="16"/>
      <c r="R94" s="17"/>
      <c r="S94" s="18"/>
      <c r="T94" s="19"/>
      <c r="U94" s="18"/>
      <c r="V94" s="16"/>
      <c r="W94" s="17"/>
      <c r="X94" s="18">
        <f>+IF(W94&lt;&gt;0,V94*W94/100,0)</f>
        <v>0</v>
      </c>
      <c r="Y94" s="19"/>
      <c r="Z94" s="19"/>
      <c r="AA94" s="18">
        <f>+IF(Z94&lt;&gt;0,Y94*Z94/100,0)</f>
        <v>0</v>
      </c>
      <c r="AB94" s="20">
        <f>+G94+I94+K94+L94+N94+P94+Q94+S94+U94-X94-AA94</f>
        <v>1072.181</v>
      </c>
      <c r="AC94" s="5"/>
      <c r="AD94" s="8"/>
      <c r="AF94" s="6"/>
      <c r="AG94" s="7"/>
      <c r="AJ94" s="33"/>
      <c r="AK94" s="35"/>
      <c r="AL94" s="38"/>
    </row>
    <row r="95" spans="1:38" ht="17.25" customHeight="1">
      <c r="A95" s="25">
        <v>45703</v>
      </c>
      <c r="B95" s="26" t="s">
        <v>347</v>
      </c>
      <c r="C95" s="14"/>
      <c r="D95" s="31" t="s">
        <v>348</v>
      </c>
      <c r="E95" s="14" t="s">
        <v>349</v>
      </c>
      <c r="F95" s="15" t="str">
        <f>"S/F "&amp;B95&amp;" "&amp;E95</f>
        <v>S/F 624745 Cotain S.A.</v>
      </c>
      <c r="G95" s="16">
        <v>37.6</v>
      </c>
      <c r="H95" s="17">
        <v>21</v>
      </c>
      <c r="I95" s="18">
        <f>+IF(G95&lt;&gt;0,G95*H95/100,0)</f>
        <v>7.8959999999999999</v>
      </c>
      <c r="J95" s="17"/>
      <c r="K95" s="18">
        <f>+IF(G95&lt;&gt;0,G95*J95/100,0)</f>
        <v>0</v>
      </c>
      <c r="L95" s="16"/>
      <c r="M95" s="17"/>
      <c r="N95" s="18">
        <f>+IF(L95&lt;&gt;0,L95*M95/100,0)</f>
        <v>0</v>
      </c>
      <c r="O95" s="19"/>
      <c r="P95" s="18"/>
      <c r="Q95" s="16"/>
      <c r="R95" s="17"/>
      <c r="S95" s="18"/>
      <c r="T95" s="19"/>
      <c r="U95" s="18"/>
      <c r="V95" s="16"/>
      <c r="W95" s="17"/>
      <c r="X95" s="18">
        <f>+IF(W95&lt;&gt;0,V95*W95/100,0)</f>
        <v>0</v>
      </c>
      <c r="Y95" s="19"/>
      <c r="Z95" s="19"/>
      <c r="AA95" s="18">
        <f>+IF(Z95&lt;&gt;0,Y95*Z95/100,0)</f>
        <v>0</v>
      </c>
      <c r="AB95" s="20">
        <f>+G95+I95+K95+L95+N95+P95+Q95+S95+U95-X95-AA95</f>
        <v>45.496000000000002</v>
      </c>
      <c r="AC95" s="5"/>
      <c r="AD95" s="8"/>
      <c r="AF95" s="6"/>
      <c r="AG95" s="7"/>
      <c r="AJ95" s="33"/>
      <c r="AK95" s="35"/>
      <c r="AL95" s="38"/>
    </row>
    <row r="96" spans="1:38" ht="17.25" customHeight="1">
      <c r="A96" s="25">
        <v>45703</v>
      </c>
      <c r="B96" s="26" t="s">
        <v>341</v>
      </c>
      <c r="C96" s="14"/>
      <c r="D96" s="31" t="s">
        <v>254</v>
      </c>
      <c r="E96" s="14" t="s">
        <v>255</v>
      </c>
      <c r="F96" s="15" t="str">
        <f>"S/F "&amp;B96&amp;" "&amp;E96</f>
        <v>S/F 1773/25 Laserebro S.L.</v>
      </c>
      <c r="G96" s="16">
        <v>283.60000000000002</v>
      </c>
      <c r="H96" s="17">
        <v>21</v>
      </c>
      <c r="I96" s="18">
        <f>+IF(G96&lt;&gt;0,G96*H96/100,0)</f>
        <v>59.556000000000004</v>
      </c>
      <c r="J96" s="17"/>
      <c r="K96" s="18">
        <f>+IF(G96&lt;&gt;0,G96*J96/100,0)</f>
        <v>0</v>
      </c>
      <c r="L96" s="16"/>
      <c r="M96" s="17"/>
      <c r="N96" s="18">
        <f>+IF(L96&lt;&gt;0,L96*M96/100,0)</f>
        <v>0</v>
      </c>
      <c r="O96" s="19"/>
      <c r="P96" s="18"/>
      <c r="Q96" s="16"/>
      <c r="R96" s="17"/>
      <c r="S96" s="18"/>
      <c r="T96" s="19"/>
      <c r="U96" s="18"/>
      <c r="V96" s="16"/>
      <c r="W96" s="17"/>
      <c r="X96" s="18">
        <f>+IF(W96&lt;&gt;0,V96*W96/100,0)</f>
        <v>0</v>
      </c>
      <c r="Y96" s="19"/>
      <c r="Z96" s="19"/>
      <c r="AA96" s="18">
        <f>+IF(Z96&lt;&gt;0,Y96*Z96/100,0)</f>
        <v>0</v>
      </c>
      <c r="AB96" s="20">
        <f>+G96+I96+K96+L96+N96+P96+Q96+S96+U96-X96-AA96</f>
        <v>343.15600000000001</v>
      </c>
      <c r="AC96" s="5"/>
      <c r="AD96" s="8"/>
      <c r="AF96" s="6"/>
      <c r="AG96" s="7"/>
      <c r="AJ96" s="33"/>
      <c r="AK96" s="35"/>
      <c r="AL96" s="38"/>
    </row>
    <row r="97" spans="1:38" ht="17.25" customHeight="1">
      <c r="A97" s="25">
        <v>45705</v>
      </c>
      <c r="B97" s="26" t="s">
        <v>535</v>
      </c>
      <c r="C97" s="14"/>
      <c r="D97" s="31" t="s">
        <v>201</v>
      </c>
      <c r="E97" s="14" t="s">
        <v>202</v>
      </c>
      <c r="F97" s="15" t="str">
        <f>"S/F "&amp;B97&amp;" "&amp;E97</f>
        <v>S/F 2024017 Enrique Camacho Molano</v>
      </c>
      <c r="G97" s="16">
        <v>140</v>
      </c>
      <c r="H97" s="17">
        <v>21</v>
      </c>
      <c r="I97" s="18">
        <f>+IF(G97&lt;&gt;0,G97*H97/100,0)</f>
        <v>29.4</v>
      </c>
      <c r="J97" s="17"/>
      <c r="K97" s="18">
        <f>+IF(G97&lt;&gt;0,G97*J97/100,0)</f>
        <v>0</v>
      </c>
      <c r="L97" s="16"/>
      <c r="M97" s="17"/>
      <c r="N97" s="18">
        <f>+IF(L97&lt;&gt;0,L97*M97/100,0)</f>
        <v>0</v>
      </c>
      <c r="O97" s="19"/>
      <c r="P97" s="18"/>
      <c r="Q97" s="16"/>
      <c r="R97" s="17"/>
      <c r="S97" s="18"/>
      <c r="T97" s="19"/>
      <c r="U97" s="18"/>
      <c r="V97" s="16"/>
      <c r="W97" s="17"/>
      <c r="X97" s="18">
        <f>+IF(W97&lt;&gt;0,V97*W97/100,0)</f>
        <v>0</v>
      </c>
      <c r="Y97" s="19"/>
      <c r="Z97" s="19"/>
      <c r="AA97" s="18"/>
      <c r="AB97" s="20">
        <f>+G97+I97+K97+L97+N97+P97+Q97+S97+U97-X97-AA97</f>
        <v>169.4</v>
      </c>
      <c r="AC97" s="5"/>
      <c r="AD97" s="8"/>
      <c r="AF97" s="6"/>
      <c r="AG97" s="7"/>
      <c r="AJ97" s="33" t="s">
        <v>536</v>
      </c>
      <c r="AK97" s="35" t="s">
        <v>75</v>
      </c>
      <c r="AL97" s="38"/>
    </row>
    <row r="98" spans="1:38" ht="17.25" customHeight="1">
      <c r="A98" s="25">
        <v>45705</v>
      </c>
      <c r="B98" s="26" t="s">
        <v>404</v>
      </c>
      <c r="C98" s="14"/>
      <c r="D98" s="31" t="s">
        <v>169</v>
      </c>
      <c r="E98" s="14" t="s">
        <v>405</v>
      </c>
      <c r="F98" s="15" t="str">
        <f>"S/F "&amp;B98&amp;" "&amp;E98</f>
        <v>S/F 12500097 Adimec Desarrollos Técnicos S.L.</v>
      </c>
      <c r="G98" s="16">
        <v>9994.82</v>
      </c>
      <c r="H98" s="17">
        <v>21</v>
      </c>
      <c r="I98" s="18">
        <f>+IF(G98&lt;&gt;0,G98*H98/100,0)</f>
        <v>2098.9122000000002</v>
      </c>
      <c r="J98" s="17"/>
      <c r="K98" s="18">
        <f>+IF(G98&lt;&gt;0,G98*J98/100,0)</f>
        <v>0</v>
      </c>
      <c r="L98" s="16"/>
      <c r="M98" s="17"/>
      <c r="N98" s="18">
        <f>+IF(L98&lt;&gt;0,L98*M98/100,0)</f>
        <v>0</v>
      </c>
      <c r="O98" s="19"/>
      <c r="P98" s="18"/>
      <c r="Q98" s="16"/>
      <c r="R98" s="17"/>
      <c r="S98" s="18"/>
      <c r="T98" s="19"/>
      <c r="U98" s="18"/>
      <c r="V98" s="16"/>
      <c r="W98" s="17"/>
      <c r="X98" s="18">
        <f>+IF(W98&lt;&gt;0,V98*W98/100,0)</f>
        <v>0</v>
      </c>
      <c r="Y98" s="19"/>
      <c r="Z98" s="19"/>
      <c r="AA98" s="18">
        <f>+IF(Z98&lt;&gt;0,Y98*Z98/100,0)</f>
        <v>0</v>
      </c>
      <c r="AB98" s="20">
        <f>+G98+I98+K98+L98+N98+P98+Q98+S98+U98-X98-AA98</f>
        <v>12093.7322</v>
      </c>
      <c r="AC98" s="5"/>
      <c r="AD98" s="8"/>
      <c r="AF98" s="6"/>
      <c r="AG98" s="7"/>
      <c r="AJ98" s="33"/>
      <c r="AK98" s="35"/>
      <c r="AL98" s="38"/>
    </row>
    <row r="99" spans="1:38" ht="17.25" customHeight="1">
      <c r="A99" s="25">
        <v>45706</v>
      </c>
      <c r="B99" s="26" t="s">
        <v>379</v>
      </c>
      <c r="C99" s="14"/>
      <c r="D99" s="31" t="s">
        <v>45</v>
      </c>
      <c r="E99" s="14" t="s">
        <v>46</v>
      </c>
      <c r="F99" s="15" t="str">
        <f>"S/F "&amp;B99&amp;" "&amp;E99</f>
        <v>S/F 512 Comercial de Chapa Cortada S.L.</v>
      </c>
      <c r="G99" s="16">
        <v>840</v>
      </c>
      <c r="H99" s="17">
        <v>21</v>
      </c>
      <c r="I99" s="18">
        <f>+IF(G99&lt;&gt;0,G99*H99/100,0)</f>
        <v>176.4</v>
      </c>
      <c r="J99" s="17"/>
      <c r="K99" s="18">
        <f>+IF(G99&lt;&gt;0,G99*J99/100,0)</f>
        <v>0</v>
      </c>
      <c r="L99" s="16"/>
      <c r="M99" s="17"/>
      <c r="N99" s="18">
        <f>+IF(L99&lt;&gt;0,L99*M99/100,0)</f>
        <v>0</v>
      </c>
      <c r="O99" s="19"/>
      <c r="P99" s="18"/>
      <c r="Q99" s="16"/>
      <c r="R99" s="17"/>
      <c r="S99" s="18"/>
      <c r="T99" s="19"/>
      <c r="U99" s="18"/>
      <c r="V99" s="16"/>
      <c r="W99" s="17"/>
      <c r="X99" s="18">
        <f>+IF(W99&lt;&gt;0,V99*W99/100,0)</f>
        <v>0</v>
      </c>
      <c r="Y99" s="19"/>
      <c r="Z99" s="19"/>
      <c r="AA99" s="18">
        <f>+IF(Z99&lt;&gt;0,Y99*Z99/100,0)</f>
        <v>0</v>
      </c>
      <c r="AB99" s="20">
        <f>+G99+I99+K99+L99+N99+P99+Q99+S99+U99-X99-AA99</f>
        <v>1016.4</v>
      </c>
      <c r="AC99" s="5"/>
      <c r="AD99" s="8"/>
      <c r="AF99" s="6"/>
      <c r="AG99" s="7"/>
      <c r="AJ99" s="33"/>
      <c r="AK99" s="35"/>
      <c r="AL99" s="38"/>
    </row>
    <row r="100" spans="1:38" ht="17.25" customHeight="1">
      <c r="A100" s="25">
        <v>45707</v>
      </c>
      <c r="B100" s="26" t="s">
        <v>363</v>
      </c>
      <c r="C100" s="14"/>
      <c r="D100" s="31" t="s">
        <v>364</v>
      </c>
      <c r="E100" s="14" t="s">
        <v>365</v>
      </c>
      <c r="F100" s="15" t="str">
        <f>"S/F "&amp;B100&amp;" "&amp;E100</f>
        <v>S/F 170 Bogdan Gheorghe Ciurea</v>
      </c>
      <c r="G100" s="16">
        <v>220</v>
      </c>
      <c r="H100" s="17">
        <v>21</v>
      </c>
      <c r="I100" s="18">
        <f>+IF(G100&lt;&gt;0,G100*H100/100,0)</f>
        <v>46.2</v>
      </c>
      <c r="J100" s="17"/>
      <c r="K100" s="18">
        <f>+IF(G100&lt;&gt;0,G100*J100/100,0)</f>
        <v>0</v>
      </c>
      <c r="L100" s="16"/>
      <c r="M100" s="17"/>
      <c r="N100" s="18">
        <f>+IF(L100&lt;&gt;0,L100*M100/100,0)</f>
        <v>0</v>
      </c>
      <c r="O100" s="19"/>
      <c r="P100" s="18"/>
      <c r="Q100" s="16"/>
      <c r="R100" s="17"/>
      <c r="S100" s="18"/>
      <c r="T100" s="19"/>
      <c r="U100" s="18"/>
      <c r="V100" s="16"/>
      <c r="W100" s="17"/>
      <c r="X100" s="18">
        <f>+IF(W100&lt;&gt;0,V100*W100/100,0)</f>
        <v>0</v>
      </c>
      <c r="Y100" s="19"/>
      <c r="Z100" s="19"/>
      <c r="AA100" s="18">
        <f>+IF(Z100&lt;&gt;0,Y100*Z100/100,0)</f>
        <v>0</v>
      </c>
      <c r="AB100" s="20">
        <f>+G100+I100+K100+L100+N100+P100+Q100+S100+U100-X100-AA100</f>
        <v>266.2</v>
      </c>
      <c r="AC100" s="5"/>
      <c r="AD100" s="8"/>
      <c r="AF100" s="6"/>
      <c r="AG100" s="7"/>
      <c r="AJ100" s="33"/>
      <c r="AK100" s="35"/>
      <c r="AL100" s="38"/>
    </row>
    <row r="101" spans="1:38" ht="17.25" customHeight="1">
      <c r="A101" s="25">
        <v>45707</v>
      </c>
      <c r="B101" s="26" t="s">
        <v>545</v>
      </c>
      <c r="C101" s="14"/>
      <c r="D101" s="31" t="s">
        <v>272</v>
      </c>
      <c r="E101" s="14" t="s">
        <v>273</v>
      </c>
      <c r="F101" s="15" t="str">
        <f>"S/F "&amp;B101&amp;" "&amp;E101</f>
        <v>S/F 22368 Val Soluciones de Aplicaciones S.L.</v>
      </c>
      <c r="G101" s="16">
        <v>1350.44</v>
      </c>
      <c r="H101" s="17">
        <v>21</v>
      </c>
      <c r="I101" s="18">
        <f>+IF(G101&lt;&gt;0,G101*H101/100,0)</f>
        <v>283.5924</v>
      </c>
      <c r="J101" s="17"/>
      <c r="K101" s="18">
        <f>+IF(G101&lt;&gt;0,G101*J101/100,0)</f>
        <v>0</v>
      </c>
      <c r="L101" s="16"/>
      <c r="M101" s="17"/>
      <c r="N101" s="18">
        <f>+IF(L101&lt;&gt;0,L101*M101/100,0)</f>
        <v>0</v>
      </c>
      <c r="O101" s="19"/>
      <c r="P101" s="18"/>
      <c r="Q101" s="16"/>
      <c r="R101" s="17"/>
      <c r="S101" s="18"/>
      <c r="T101" s="19"/>
      <c r="U101" s="18"/>
      <c r="V101" s="16"/>
      <c r="W101" s="17"/>
      <c r="X101" s="18">
        <f>+IF(W101&lt;&gt;0,V101*W101/100,0)</f>
        <v>0</v>
      </c>
      <c r="Y101" s="19"/>
      <c r="Z101" s="19"/>
      <c r="AA101" s="18"/>
      <c r="AB101" s="20">
        <f>+G101+I101+K101+L101+N101+P101+Q101+S101+U101-X101-AA101</f>
        <v>1634.0324000000001</v>
      </c>
      <c r="AC101" s="5"/>
      <c r="AD101" s="8"/>
      <c r="AF101" s="6"/>
      <c r="AG101" s="7"/>
      <c r="AJ101" s="33"/>
      <c r="AK101" s="35"/>
      <c r="AL101" s="38"/>
    </row>
    <row r="102" spans="1:38" ht="17.25" customHeight="1">
      <c r="A102" s="25">
        <v>45707</v>
      </c>
      <c r="B102" s="26" t="s">
        <v>546</v>
      </c>
      <c r="C102" s="14"/>
      <c r="D102" s="31" t="s">
        <v>272</v>
      </c>
      <c r="E102" s="14" t="s">
        <v>273</v>
      </c>
      <c r="F102" s="15" t="str">
        <f>"S/F "&amp;B102&amp;" "&amp;E102</f>
        <v>S/F 22370 Val Soluciones de Aplicaciones S.L.</v>
      </c>
      <c r="G102" s="16">
        <v>5.77</v>
      </c>
      <c r="H102" s="17">
        <v>21</v>
      </c>
      <c r="I102" s="18">
        <f>+IF(G102&lt;&gt;0,G102*H102/100,0)</f>
        <v>1.2116999999999998</v>
      </c>
      <c r="J102" s="17"/>
      <c r="K102" s="18">
        <f>+IF(G102&lt;&gt;0,G102*J102/100,0)</f>
        <v>0</v>
      </c>
      <c r="L102" s="16"/>
      <c r="M102" s="17"/>
      <c r="N102" s="18">
        <f>+IF(L102&lt;&gt;0,L102*M102/100,0)</f>
        <v>0</v>
      </c>
      <c r="O102" s="19"/>
      <c r="P102" s="18"/>
      <c r="Q102" s="16"/>
      <c r="R102" s="17"/>
      <c r="S102" s="18"/>
      <c r="T102" s="19"/>
      <c r="U102" s="18"/>
      <c r="V102" s="16"/>
      <c r="W102" s="17"/>
      <c r="X102" s="18">
        <f>+IF(W102&lt;&gt;0,V102*W102/100,0)</f>
        <v>0</v>
      </c>
      <c r="Y102" s="19"/>
      <c r="Z102" s="19"/>
      <c r="AA102" s="18">
        <f>+IF(Z102&lt;&gt;0,Y102*Z102/100,0)</f>
        <v>0</v>
      </c>
      <c r="AB102" s="20">
        <f>+G102+I102+K102+L102+N102+P102+Q102+S102+U102-X102-AA102</f>
        <v>6.9816999999999991</v>
      </c>
      <c r="AC102" s="5"/>
      <c r="AD102" s="8"/>
      <c r="AF102" s="6"/>
      <c r="AG102" s="7"/>
      <c r="AJ102" s="33"/>
      <c r="AK102" s="35"/>
      <c r="AL102" s="38"/>
    </row>
    <row r="103" spans="1:38" ht="17.25" customHeight="1">
      <c r="A103" s="25">
        <v>45708</v>
      </c>
      <c r="B103" s="26" t="s">
        <v>402</v>
      </c>
      <c r="C103" s="14"/>
      <c r="D103" s="31" t="s">
        <v>45</v>
      </c>
      <c r="E103" s="14" t="s">
        <v>46</v>
      </c>
      <c r="F103" s="15" t="str">
        <f>"S/F "&amp;B103&amp;" "&amp;E103</f>
        <v>S/F 541 Comercial de Chapa Cortada S.L.</v>
      </c>
      <c r="G103" s="16">
        <v>88.1</v>
      </c>
      <c r="H103" s="17">
        <v>21</v>
      </c>
      <c r="I103" s="18">
        <f>+IF(G103&lt;&gt;0,G103*H103/100,0)</f>
        <v>18.500999999999998</v>
      </c>
      <c r="J103" s="17"/>
      <c r="K103" s="18">
        <f>+IF(G103&lt;&gt;0,G103*J103/100,0)</f>
        <v>0</v>
      </c>
      <c r="L103" s="16"/>
      <c r="M103" s="17"/>
      <c r="N103" s="18">
        <f>+IF(L103&lt;&gt;0,L103*M103/100,0)</f>
        <v>0</v>
      </c>
      <c r="O103" s="19"/>
      <c r="P103" s="18"/>
      <c r="Q103" s="16"/>
      <c r="R103" s="17"/>
      <c r="S103" s="18"/>
      <c r="T103" s="19"/>
      <c r="U103" s="18"/>
      <c r="V103" s="16"/>
      <c r="W103" s="17"/>
      <c r="X103" s="18">
        <f>+IF(W103&lt;&gt;0,V103*W103/100,0)</f>
        <v>0</v>
      </c>
      <c r="Y103" s="19"/>
      <c r="Z103" s="19"/>
      <c r="AA103" s="18">
        <f>+IF(Z103&lt;&gt;0,Y103*Z103/100,0)</f>
        <v>0</v>
      </c>
      <c r="AB103" s="20">
        <f>+G103+I103+K103+L103+N103+P103+Q103+S103+U103-X103-AA103</f>
        <v>106.601</v>
      </c>
      <c r="AC103" s="5"/>
      <c r="AD103" s="8"/>
      <c r="AF103" s="6"/>
      <c r="AG103" s="7"/>
      <c r="AJ103" s="33"/>
      <c r="AK103" s="35"/>
      <c r="AL103" s="38"/>
    </row>
    <row r="104" spans="1:38" ht="17.25" customHeight="1">
      <c r="A104" s="25">
        <v>45708</v>
      </c>
      <c r="B104" s="26" t="s">
        <v>383</v>
      </c>
      <c r="C104" s="14"/>
      <c r="D104" s="31" t="s">
        <v>166</v>
      </c>
      <c r="E104" s="14" t="s">
        <v>384</v>
      </c>
      <c r="F104" s="15" t="str">
        <f>"S/F "&amp;B104&amp;" "&amp;E104</f>
        <v>S/F 315.821 Hierros y Tubos LORCA S.L.</v>
      </c>
      <c r="G104" s="16">
        <v>1516.19</v>
      </c>
      <c r="H104" s="17">
        <v>21</v>
      </c>
      <c r="I104" s="18">
        <f>+IF(G104&lt;&gt;0,G104*H104/100,0)</f>
        <v>318.3999</v>
      </c>
      <c r="J104" s="17"/>
      <c r="K104" s="18">
        <f>+IF(G104&lt;&gt;0,G104*J104/100,0)</f>
        <v>0</v>
      </c>
      <c r="L104" s="16"/>
      <c r="M104" s="17"/>
      <c r="N104" s="18">
        <f>+IF(L104&lt;&gt;0,L104*M104/100,0)</f>
        <v>0</v>
      </c>
      <c r="O104" s="19"/>
      <c r="P104" s="18"/>
      <c r="Q104" s="16"/>
      <c r="R104" s="17"/>
      <c r="S104" s="18"/>
      <c r="T104" s="19"/>
      <c r="U104" s="18"/>
      <c r="V104" s="16"/>
      <c r="W104" s="17"/>
      <c r="X104" s="18">
        <f>+IF(W104&lt;&gt;0,V104*W104/100,0)</f>
        <v>0</v>
      </c>
      <c r="Y104" s="19"/>
      <c r="Z104" s="19"/>
      <c r="AA104" s="18">
        <f>+IF(Z104&lt;&gt;0,Y104*Z104/100,0)</f>
        <v>0</v>
      </c>
      <c r="AB104" s="20">
        <f>+G104+I104+K104+L104+N104+P104+Q104+S104+U104-X104-AA104</f>
        <v>1834.5898999999999</v>
      </c>
      <c r="AC104" s="5"/>
      <c r="AD104" s="8"/>
      <c r="AF104" s="6"/>
      <c r="AG104" s="7"/>
      <c r="AJ104" s="33"/>
      <c r="AK104" s="35"/>
      <c r="AL104" s="38"/>
    </row>
    <row r="105" spans="1:38" ht="17.25" customHeight="1">
      <c r="A105" s="25">
        <v>45708</v>
      </c>
      <c r="B105" s="26" t="s">
        <v>422</v>
      </c>
      <c r="C105" s="14"/>
      <c r="D105" s="31" t="s">
        <v>53</v>
      </c>
      <c r="E105" s="14" t="s">
        <v>54</v>
      </c>
      <c r="F105" s="15" t="str">
        <f>"S/F "&amp;B105&amp;" "&amp;E105</f>
        <v>S/F 20250392 Láser Levante S.A.</v>
      </c>
      <c r="G105" s="16">
        <v>1484.91</v>
      </c>
      <c r="H105" s="17">
        <v>21</v>
      </c>
      <c r="I105" s="18">
        <f>+IF(G105&lt;&gt;0,G105*H105/100,0)</f>
        <v>311.83109999999999</v>
      </c>
      <c r="J105" s="17"/>
      <c r="K105" s="18">
        <f>+IF(G105&lt;&gt;0,G105*J105/100,0)</f>
        <v>0</v>
      </c>
      <c r="L105" s="16"/>
      <c r="M105" s="17"/>
      <c r="N105" s="18">
        <f>+IF(L105&lt;&gt;0,L105*M105/100,0)</f>
        <v>0</v>
      </c>
      <c r="O105" s="19"/>
      <c r="P105" s="18"/>
      <c r="Q105" s="16"/>
      <c r="R105" s="17"/>
      <c r="S105" s="18"/>
      <c r="T105" s="19"/>
      <c r="U105" s="18"/>
      <c r="V105" s="16"/>
      <c r="W105" s="17"/>
      <c r="X105" s="18">
        <f>+IF(W105&lt;&gt;0,V105*W105/100,0)</f>
        <v>0</v>
      </c>
      <c r="Y105" s="19"/>
      <c r="Z105" s="19"/>
      <c r="AA105" s="18">
        <f>+IF(Z105&lt;&gt;0,Y105*Z105/100,0)</f>
        <v>0</v>
      </c>
      <c r="AB105" s="20">
        <f>+G105+I105+K105+L105+N105+P105+Q105+S105+U105-X105-AA105</f>
        <v>1796.7411000000002</v>
      </c>
      <c r="AC105" s="5"/>
      <c r="AD105" s="8"/>
      <c r="AF105" s="6"/>
      <c r="AG105" s="7"/>
      <c r="AJ105" s="33"/>
      <c r="AK105" s="35"/>
      <c r="AL105" s="38"/>
    </row>
    <row r="106" spans="1:38" ht="17.25" customHeight="1">
      <c r="A106" s="25">
        <v>45708</v>
      </c>
      <c r="B106" s="26" t="s">
        <v>380</v>
      </c>
      <c r="C106" s="14"/>
      <c r="D106" s="31" t="s">
        <v>381</v>
      </c>
      <c r="E106" s="14" t="s">
        <v>382</v>
      </c>
      <c r="F106" s="15" t="str">
        <f>"S/F "&amp;B106&amp;" "&amp;E106</f>
        <v>S/F 125003646 LGAI Technological Center S.A. - APPLUS</v>
      </c>
      <c r="G106" s="16">
        <v>1080</v>
      </c>
      <c r="H106" s="17">
        <v>21</v>
      </c>
      <c r="I106" s="18">
        <f>+IF(G106&lt;&gt;0,G106*H106/100,0)</f>
        <v>226.8</v>
      </c>
      <c r="J106" s="17"/>
      <c r="K106" s="18">
        <f>+IF(G106&lt;&gt;0,G106*J106/100,0)</f>
        <v>0</v>
      </c>
      <c r="L106" s="16"/>
      <c r="M106" s="17"/>
      <c r="N106" s="18">
        <f>+IF(L106&lt;&gt;0,L106*M106/100,0)</f>
        <v>0</v>
      </c>
      <c r="O106" s="19"/>
      <c r="P106" s="18"/>
      <c r="Q106" s="16"/>
      <c r="R106" s="17"/>
      <c r="S106" s="18"/>
      <c r="T106" s="19"/>
      <c r="U106" s="18"/>
      <c r="V106" s="16"/>
      <c r="W106" s="17"/>
      <c r="X106" s="18">
        <f>+IF(W106&lt;&gt;0,V106*W106/100,0)</f>
        <v>0</v>
      </c>
      <c r="Y106" s="19"/>
      <c r="Z106" s="19"/>
      <c r="AA106" s="18">
        <f>+IF(Z106&lt;&gt;0,Y106*Z106/100,0)</f>
        <v>0</v>
      </c>
      <c r="AB106" s="20">
        <f>+G106+I106+K106+L106+N106+P106+Q106+S106+U106-X106-AA106</f>
        <v>1306.8</v>
      </c>
      <c r="AC106" s="5"/>
      <c r="AD106" s="8"/>
      <c r="AF106" s="6"/>
      <c r="AG106" s="7"/>
      <c r="AJ106" s="33"/>
      <c r="AK106" s="35" t="s">
        <v>75</v>
      </c>
      <c r="AL106" s="38"/>
    </row>
    <row r="107" spans="1:38" ht="17.25" customHeight="1">
      <c r="A107" s="25">
        <v>45708</v>
      </c>
      <c r="B107" s="26" t="s">
        <v>386</v>
      </c>
      <c r="C107" s="14"/>
      <c r="D107" s="31" t="s">
        <v>387</v>
      </c>
      <c r="E107" s="14" t="s">
        <v>388</v>
      </c>
      <c r="F107" s="15" t="str">
        <f>"S/F "&amp;B107&amp;" "&amp;E107</f>
        <v>S/F 2025/5 Miguel Ángel Santos Simón - FASALO</v>
      </c>
      <c r="G107" s="16">
        <v>104.26</v>
      </c>
      <c r="H107" s="17">
        <v>21</v>
      </c>
      <c r="I107" s="18">
        <f>+IF(G107&lt;&gt;0,G107*H107/100,0)</f>
        <v>21.894600000000001</v>
      </c>
      <c r="J107" s="17"/>
      <c r="K107" s="18">
        <f>+IF(G107&lt;&gt;0,G107*J107/100,0)</f>
        <v>0</v>
      </c>
      <c r="L107" s="16"/>
      <c r="M107" s="17"/>
      <c r="N107" s="18">
        <f>+IF(L107&lt;&gt;0,L107*M107/100,0)</f>
        <v>0</v>
      </c>
      <c r="O107" s="19"/>
      <c r="P107" s="18"/>
      <c r="Q107" s="16"/>
      <c r="R107" s="17"/>
      <c r="S107" s="18"/>
      <c r="T107" s="19"/>
      <c r="U107" s="18"/>
      <c r="V107" s="16"/>
      <c r="W107" s="17"/>
      <c r="X107" s="18">
        <f>+IF(W107&lt;&gt;0,V107*W107/100,0)</f>
        <v>0</v>
      </c>
      <c r="Y107" s="19"/>
      <c r="Z107" s="19"/>
      <c r="AA107" s="18">
        <f>+IF(Z107&lt;&gt;0,Y107*Z107/100,0)</f>
        <v>0</v>
      </c>
      <c r="AB107" s="20">
        <f>+G107+I107+K107+L107+N107+P107+Q107+S107+U107-X107-AA107</f>
        <v>126.1546</v>
      </c>
      <c r="AC107" s="5"/>
      <c r="AD107" s="8"/>
      <c r="AF107" s="6"/>
      <c r="AG107" s="7"/>
      <c r="AJ107" s="33"/>
      <c r="AK107" s="35" t="s">
        <v>75</v>
      </c>
      <c r="AL107" s="38"/>
    </row>
    <row r="108" spans="1:38" ht="17.25" customHeight="1">
      <c r="A108" s="25">
        <v>45708</v>
      </c>
      <c r="B108" s="26" t="s">
        <v>367</v>
      </c>
      <c r="C108" s="14"/>
      <c r="D108" s="31" t="s">
        <v>368</v>
      </c>
      <c r="E108" s="14" t="s">
        <v>369</v>
      </c>
      <c r="F108" s="15" t="str">
        <f>"S/F "&amp;B108&amp;" "&amp;E108</f>
        <v>S/F 25/000028 Engre S.A.</v>
      </c>
      <c r="G108" s="16">
        <v>840</v>
      </c>
      <c r="H108" s="17">
        <v>21</v>
      </c>
      <c r="I108" s="18">
        <f>+IF(G108&lt;&gt;0,G108*H108/100,0)</f>
        <v>176.4</v>
      </c>
      <c r="J108" s="17"/>
      <c r="K108" s="18">
        <f>+IF(G108&lt;&gt;0,G108*J108/100,0)</f>
        <v>0</v>
      </c>
      <c r="L108" s="16"/>
      <c r="M108" s="17"/>
      <c r="N108" s="18">
        <f>+IF(L108&lt;&gt;0,L108*M108/100,0)</f>
        <v>0</v>
      </c>
      <c r="O108" s="19"/>
      <c r="P108" s="18"/>
      <c r="Q108" s="16"/>
      <c r="R108" s="17"/>
      <c r="S108" s="18"/>
      <c r="T108" s="19"/>
      <c r="U108" s="18"/>
      <c r="V108" s="16"/>
      <c r="W108" s="17"/>
      <c r="X108" s="18">
        <f>+IF(W108&lt;&gt;0,V108*W108/100,0)</f>
        <v>0</v>
      </c>
      <c r="Y108" s="19"/>
      <c r="Z108" s="19"/>
      <c r="AA108" s="18">
        <f>+IF(Z108&lt;&gt;0,Y108*Z108/100,0)</f>
        <v>0</v>
      </c>
      <c r="AB108" s="20">
        <f>+G108+I108+K108+L108+N108+P108+Q108+S108+U108-X108-AA108</f>
        <v>1016.4</v>
      </c>
      <c r="AC108" s="5"/>
      <c r="AD108" s="8"/>
      <c r="AF108" s="6"/>
      <c r="AG108" s="7"/>
      <c r="AJ108" s="33"/>
      <c r="AK108" s="35"/>
      <c r="AL108" s="38"/>
    </row>
    <row r="109" spans="1:38" ht="17.25" customHeight="1">
      <c r="A109" s="25">
        <v>45708</v>
      </c>
      <c r="B109" s="26" t="s">
        <v>376</v>
      </c>
      <c r="C109" s="14"/>
      <c r="D109" s="31" t="s">
        <v>377</v>
      </c>
      <c r="E109" s="14" t="s">
        <v>378</v>
      </c>
      <c r="F109" s="15" t="str">
        <f>"S/F "&amp;B109&amp;" "&amp;E109</f>
        <v>S/F A-V2025-00000778291 Mercadona S.A.</v>
      </c>
      <c r="G109" s="16">
        <v>57</v>
      </c>
      <c r="H109" s="17">
        <v>10</v>
      </c>
      <c r="I109" s="18">
        <f>+IF(G109&lt;&gt;0,G109*H109/100,0)</f>
        <v>5.7</v>
      </c>
      <c r="J109" s="17"/>
      <c r="K109" s="18">
        <f>+IF(G109&lt;&gt;0,G109*J109/100,0)</f>
        <v>0</v>
      </c>
      <c r="L109" s="16"/>
      <c r="M109" s="17"/>
      <c r="N109" s="18">
        <f>+IF(L109&lt;&gt;0,L109*M109/100,0)</f>
        <v>0</v>
      </c>
      <c r="O109" s="19"/>
      <c r="P109" s="18"/>
      <c r="Q109" s="16"/>
      <c r="R109" s="17"/>
      <c r="S109" s="18"/>
      <c r="T109" s="19"/>
      <c r="U109" s="18"/>
      <c r="V109" s="16"/>
      <c r="W109" s="17"/>
      <c r="X109" s="18">
        <f>+IF(W109&lt;&gt;0,V109*W109/100,0)</f>
        <v>0</v>
      </c>
      <c r="Y109" s="19"/>
      <c r="Z109" s="19"/>
      <c r="AA109" s="18">
        <f>+IF(Z109&lt;&gt;0,Y109*Z109/100,0)</f>
        <v>0</v>
      </c>
      <c r="AB109" s="20">
        <f>+G109+I109+K109+L109+N109+P109+Q109+S109+U109-X109-AA109</f>
        <v>62.7</v>
      </c>
      <c r="AC109" s="5"/>
      <c r="AD109" s="8"/>
      <c r="AF109" s="6"/>
      <c r="AG109" s="7"/>
      <c r="AJ109" s="33"/>
      <c r="AK109" s="35" t="s">
        <v>113</v>
      </c>
      <c r="AL109" s="38"/>
    </row>
    <row r="110" spans="1:38" ht="17.25" customHeight="1">
      <c r="A110" s="25">
        <v>45708</v>
      </c>
      <c r="B110" s="26" t="s">
        <v>370</v>
      </c>
      <c r="C110" s="14"/>
      <c r="D110" s="31" t="s">
        <v>175</v>
      </c>
      <c r="E110" s="14" t="s">
        <v>176</v>
      </c>
      <c r="F110" s="15" t="str">
        <f>"S/F "&amp;B110&amp;" "&amp;E110</f>
        <v>S/F FV-ANV-25-00132 Almacenes Delca S.A.</v>
      </c>
      <c r="G110" s="16">
        <v>-125.71</v>
      </c>
      <c r="H110" s="17">
        <v>21</v>
      </c>
      <c r="I110" s="18">
        <f>+IF(G110&lt;&gt;0,G110*H110/100,0)</f>
        <v>-26.399099999999997</v>
      </c>
      <c r="J110" s="17"/>
      <c r="K110" s="18">
        <f>+IF(G110&lt;&gt;0,G110*J110/100,0)</f>
        <v>0</v>
      </c>
      <c r="L110" s="16"/>
      <c r="M110" s="17"/>
      <c r="N110" s="18">
        <f>+IF(L110&lt;&gt;0,L110*M110/100,0)</f>
        <v>0</v>
      </c>
      <c r="O110" s="19"/>
      <c r="P110" s="18"/>
      <c r="Q110" s="16"/>
      <c r="R110" s="17"/>
      <c r="S110" s="18"/>
      <c r="T110" s="19"/>
      <c r="U110" s="18"/>
      <c r="V110" s="16"/>
      <c r="W110" s="17"/>
      <c r="X110" s="18">
        <f>+IF(W110&lt;&gt;0,V110*W110/100,0)</f>
        <v>0</v>
      </c>
      <c r="Y110" s="19"/>
      <c r="Z110" s="19"/>
      <c r="AA110" s="18">
        <f>+IF(Z110&lt;&gt;0,Y110*Z110/100,0)</f>
        <v>0</v>
      </c>
      <c r="AB110" s="20">
        <f>+G110+I110+K110+L110+N110+P110+Q110+S110+U110-X110-AA110</f>
        <v>-152.10909999999998</v>
      </c>
      <c r="AC110" s="5"/>
      <c r="AD110" s="8"/>
      <c r="AF110" s="6"/>
      <c r="AG110" s="7"/>
      <c r="AJ110" s="33" t="s">
        <v>371</v>
      </c>
      <c r="AK110" s="35"/>
      <c r="AL110" s="38"/>
    </row>
    <row r="111" spans="1:38" ht="17.25" customHeight="1">
      <c r="A111" s="25">
        <v>45709</v>
      </c>
      <c r="B111" s="26" t="s">
        <v>407</v>
      </c>
      <c r="C111" s="14"/>
      <c r="D111" s="31" t="s">
        <v>50</v>
      </c>
      <c r="E111" s="14" t="s">
        <v>51</v>
      </c>
      <c r="F111" s="15" t="str">
        <f>"S/F "&amp;B111&amp;" "&amp;E111</f>
        <v>S/F 365 Tubos Vega S.L.</v>
      </c>
      <c r="G111" s="16">
        <v>1907.31</v>
      </c>
      <c r="H111" s="17">
        <v>21</v>
      </c>
      <c r="I111" s="18">
        <f>+IF(G111&lt;&gt;0,G111*H111/100,0)</f>
        <v>400.5351</v>
      </c>
      <c r="J111" s="17"/>
      <c r="K111" s="18">
        <f>+IF(G111&lt;&gt;0,G111*J111/100,0)</f>
        <v>0</v>
      </c>
      <c r="L111" s="16"/>
      <c r="M111" s="17"/>
      <c r="N111" s="18">
        <f>+IF(L111&lt;&gt;0,L111*M111/100,0)</f>
        <v>0</v>
      </c>
      <c r="O111" s="19"/>
      <c r="P111" s="18"/>
      <c r="Q111" s="16"/>
      <c r="R111" s="17"/>
      <c r="S111" s="18"/>
      <c r="T111" s="19"/>
      <c r="U111" s="18"/>
      <c r="V111" s="16"/>
      <c r="W111" s="17"/>
      <c r="X111" s="18">
        <f>+IF(W111&lt;&gt;0,V111*W111/100,0)</f>
        <v>0</v>
      </c>
      <c r="Y111" s="19"/>
      <c r="Z111" s="19"/>
      <c r="AA111" s="18">
        <f>+IF(Z111&lt;&gt;0,Y111*Z111/100,0)</f>
        <v>0</v>
      </c>
      <c r="AB111" s="20">
        <f>+G111+I111+K111+L111+N111+P111+Q111+S111+U111-X111-AA111</f>
        <v>2307.8451</v>
      </c>
      <c r="AC111" s="5"/>
      <c r="AD111" s="8"/>
      <c r="AF111" s="6"/>
      <c r="AG111" s="7"/>
      <c r="AJ111" s="33"/>
      <c r="AK111" s="35"/>
      <c r="AL111" s="38"/>
    </row>
    <row r="112" spans="1:38" ht="17.25" customHeight="1">
      <c r="A112" s="25">
        <v>45709</v>
      </c>
      <c r="B112" s="26" t="s">
        <v>491</v>
      </c>
      <c r="C112" s="14"/>
      <c r="D112" s="31" t="s">
        <v>345</v>
      </c>
      <c r="E112" s="14" t="s">
        <v>346</v>
      </c>
      <c r="F112" s="15" t="str">
        <f>"S/F "&amp;B112&amp;" "&amp;E112</f>
        <v>S/F 111604/2025 Suministros Industriales Rame S.L.</v>
      </c>
      <c r="G112" s="16">
        <v>36.24</v>
      </c>
      <c r="H112" s="17">
        <v>21</v>
      </c>
      <c r="I112" s="18">
        <f>+IF(G112&lt;&gt;0,G112*H112/100,0)</f>
        <v>7.6104000000000012</v>
      </c>
      <c r="J112" s="17"/>
      <c r="K112" s="18">
        <f>+IF(G112&lt;&gt;0,G112*J112/100,0)</f>
        <v>0</v>
      </c>
      <c r="L112" s="16"/>
      <c r="M112" s="17"/>
      <c r="N112" s="18">
        <f>+IF(L112&lt;&gt;0,L112*M112/100,0)</f>
        <v>0</v>
      </c>
      <c r="O112" s="19"/>
      <c r="P112" s="18"/>
      <c r="Q112" s="16"/>
      <c r="R112" s="17"/>
      <c r="S112" s="18"/>
      <c r="T112" s="19"/>
      <c r="U112" s="18"/>
      <c r="V112" s="16"/>
      <c r="W112" s="17"/>
      <c r="X112" s="18">
        <f>+IF(W112&lt;&gt;0,V112*W112/100,0)</f>
        <v>0</v>
      </c>
      <c r="Y112" s="19"/>
      <c r="Z112" s="19"/>
      <c r="AA112" s="18">
        <f>+IF(Z112&lt;&gt;0,Y112*Z112/100,0)</f>
        <v>0</v>
      </c>
      <c r="AB112" s="20">
        <f>+G112+I112+K112+L112+N112+P112+Q112+S112+U112-X112-AA112</f>
        <v>43.8504</v>
      </c>
      <c r="AC112" s="5"/>
      <c r="AD112" s="8"/>
      <c r="AF112" s="6"/>
      <c r="AG112" s="7"/>
      <c r="AJ112" s="33"/>
      <c r="AK112" s="35"/>
      <c r="AL112" s="38"/>
    </row>
    <row r="113" spans="1:38" ht="17.25" customHeight="1">
      <c r="A113" s="25">
        <v>45709</v>
      </c>
      <c r="B113" s="26" t="s">
        <v>412</v>
      </c>
      <c r="C113" s="14"/>
      <c r="D113" s="31" t="s">
        <v>413</v>
      </c>
      <c r="E113" s="14" t="s">
        <v>414</v>
      </c>
      <c r="F113" s="15" t="str">
        <f>"S/F "&amp;B113&amp;" "&amp;E113</f>
        <v>S/F 1980/25 Caja Laboral Popular Coop de Crédito</v>
      </c>
      <c r="G113" s="16">
        <v>245.73</v>
      </c>
      <c r="H113" s="17">
        <v>21</v>
      </c>
      <c r="I113" s="18">
        <f>+IF(G113&lt;&gt;0,G113*H113/100,0)</f>
        <v>51.603299999999997</v>
      </c>
      <c r="J113" s="17"/>
      <c r="K113" s="18">
        <f>+IF(G113&lt;&gt;0,G113*J113/100,0)</f>
        <v>0</v>
      </c>
      <c r="L113" s="16">
        <v>484.58</v>
      </c>
      <c r="M113" s="17"/>
      <c r="N113" s="18">
        <f>+IF(L113&lt;&gt;0,L113*M113/100,0)</f>
        <v>0</v>
      </c>
      <c r="O113" s="19"/>
      <c r="P113" s="18"/>
      <c r="Q113" s="16"/>
      <c r="R113" s="17"/>
      <c r="S113" s="18"/>
      <c r="T113" s="19"/>
      <c r="U113" s="18"/>
      <c r="V113" s="16"/>
      <c r="W113" s="17"/>
      <c r="X113" s="18">
        <f>+IF(W113&lt;&gt;0,V113*W113/100,0)</f>
        <v>0</v>
      </c>
      <c r="Y113" s="19"/>
      <c r="Z113" s="19"/>
      <c r="AA113" s="18">
        <f>+IF(Z113&lt;&gt;0,Y113*Z113/100,0)</f>
        <v>0</v>
      </c>
      <c r="AB113" s="20">
        <f>+G113+I113+K113+L113+N113+P113+Q113+S113+U113-X113-AA113</f>
        <v>781.91329999999994</v>
      </c>
      <c r="AC113" s="5"/>
      <c r="AD113" s="8"/>
      <c r="AF113" s="6"/>
      <c r="AG113" s="7"/>
      <c r="AJ113" s="33" t="s">
        <v>415</v>
      </c>
      <c r="AK113" s="35"/>
      <c r="AL113" s="38"/>
    </row>
    <row r="114" spans="1:38" ht="17.25" customHeight="1">
      <c r="A114" s="25">
        <v>45709</v>
      </c>
      <c r="B114" s="26" t="s">
        <v>398</v>
      </c>
      <c r="C114" s="14"/>
      <c r="D114" s="31" t="s">
        <v>175</v>
      </c>
      <c r="E114" s="14" t="s">
        <v>176</v>
      </c>
      <c r="F114" s="15" t="str">
        <f>"S/F "&amp;B114&amp;" "&amp;E114</f>
        <v>S/F 25-003912 Almacenes Delca S.A.</v>
      </c>
      <c r="G114" s="16">
        <v>293.94</v>
      </c>
      <c r="H114" s="17">
        <v>21</v>
      </c>
      <c r="I114" s="18">
        <f>+IF(G114&lt;&gt;0,G114*H114/100,0)</f>
        <v>61.727399999999996</v>
      </c>
      <c r="J114" s="17"/>
      <c r="K114" s="18">
        <f>+IF(G114&lt;&gt;0,G114*J114/100,0)</f>
        <v>0</v>
      </c>
      <c r="L114" s="16"/>
      <c r="M114" s="17"/>
      <c r="N114" s="18">
        <f>+IF(L114&lt;&gt;0,L114*M114/100,0)</f>
        <v>0</v>
      </c>
      <c r="O114" s="19"/>
      <c r="P114" s="18"/>
      <c r="Q114" s="16"/>
      <c r="R114" s="17"/>
      <c r="S114" s="18"/>
      <c r="T114" s="19"/>
      <c r="U114" s="18"/>
      <c r="V114" s="16"/>
      <c r="W114" s="17"/>
      <c r="X114" s="18">
        <f>+IF(W114&lt;&gt;0,V114*W114/100,0)</f>
        <v>0</v>
      </c>
      <c r="Y114" s="19"/>
      <c r="Z114" s="19"/>
      <c r="AA114" s="18">
        <f>+IF(Z114&lt;&gt;0,Y114*Z114/100,0)</f>
        <v>0</v>
      </c>
      <c r="AB114" s="20">
        <f>+G114+I114+K114+L114+N114+P114+Q114+S114+U114-X114-AA114</f>
        <v>355.66739999999999</v>
      </c>
      <c r="AC114" s="5"/>
      <c r="AD114" s="8"/>
      <c r="AF114" s="6"/>
      <c r="AG114" s="7"/>
      <c r="AJ114" s="33"/>
      <c r="AK114" s="35" t="s">
        <v>75</v>
      </c>
      <c r="AL114" s="38"/>
    </row>
    <row r="115" spans="1:38" ht="17.25" customHeight="1">
      <c r="A115" s="25">
        <v>45709</v>
      </c>
      <c r="B115" s="26" t="s">
        <v>385</v>
      </c>
      <c r="C115" s="14"/>
      <c r="D115" s="31" t="s">
        <v>184</v>
      </c>
      <c r="E115" s="14" t="s">
        <v>185</v>
      </c>
      <c r="F115" s="15" t="str">
        <f>"S/F "&amp;B115&amp;" "&amp;E115</f>
        <v>S/F PL25000031 Plataforma Global del Sur S.L.U.</v>
      </c>
      <c r="G115" s="16">
        <v>12.68</v>
      </c>
      <c r="H115" s="17">
        <v>21</v>
      </c>
      <c r="I115" s="18">
        <f>+IF(G115&lt;&gt;0,G115*H115/100,0)</f>
        <v>2.6627999999999998</v>
      </c>
      <c r="J115" s="17"/>
      <c r="K115" s="18">
        <f>+IF(G115&lt;&gt;0,G115*J115/100,0)</f>
        <v>0</v>
      </c>
      <c r="L115" s="16"/>
      <c r="M115" s="17"/>
      <c r="N115" s="18">
        <f>+IF(L115&lt;&gt;0,L115*M115/100,0)</f>
        <v>0</v>
      </c>
      <c r="O115" s="19"/>
      <c r="P115" s="18"/>
      <c r="Q115" s="16"/>
      <c r="R115" s="17"/>
      <c r="S115" s="18"/>
      <c r="T115" s="19"/>
      <c r="U115" s="18"/>
      <c r="V115" s="16"/>
      <c r="W115" s="17"/>
      <c r="X115" s="18">
        <f>+IF(W115&lt;&gt;0,V115*W115/100,0)</f>
        <v>0</v>
      </c>
      <c r="Y115" s="19"/>
      <c r="Z115" s="19"/>
      <c r="AA115" s="18">
        <f>+IF(Z115&lt;&gt;0,Y115*Z115/100,0)</f>
        <v>0</v>
      </c>
      <c r="AB115" s="20">
        <f>+G115+I115+K115+L115+N115+P115+Q115+S115+U115-X115-AA115</f>
        <v>15.3428</v>
      </c>
      <c r="AC115" s="5"/>
      <c r="AD115" s="8"/>
      <c r="AF115" s="6"/>
      <c r="AG115" s="7"/>
      <c r="AJ115" s="33"/>
      <c r="AK115" s="35"/>
      <c r="AL115" s="38"/>
    </row>
    <row r="116" spans="1:38" ht="17.25" customHeight="1">
      <c r="A116" s="25">
        <v>45712</v>
      </c>
      <c r="B116" s="26" t="s">
        <v>423</v>
      </c>
      <c r="C116" s="14"/>
      <c r="D116" s="31" t="s">
        <v>53</v>
      </c>
      <c r="E116" s="14" t="s">
        <v>54</v>
      </c>
      <c r="F116" s="15" t="str">
        <f>"S/F "&amp;B116&amp;" "&amp;E116</f>
        <v>S/F 20250404 Láser Levante S.A.</v>
      </c>
      <c r="G116" s="16">
        <v>1238.57</v>
      </c>
      <c r="H116" s="17">
        <v>21</v>
      </c>
      <c r="I116" s="18">
        <f>+IF(G116&lt;&gt;0,G116*H116/100,0)</f>
        <v>260.09969999999998</v>
      </c>
      <c r="J116" s="17"/>
      <c r="K116" s="18">
        <f>+IF(G116&lt;&gt;0,G116*J116/100,0)</f>
        <v>0</v>
      </c>
      <c r="L116" s="16"/>
      <c r="M116" s="17"/>
      <c r="N116" s="18">
        <f>+IF(L116&lt;&gt;0,L116*M116/100,0)</f>
        <v>0</v>
      </c>
      <c r="O116" s="19"/>
      <c r="P116" s="18"/>
      <c r="Q116" s="16"/>
      <c r="R116" s="17"/>
      <c r="S116" s="18"/>
      <c r="T116" s="19"/>
      <c r="U116" s="18"/>
      <c r="V116" s="16"/>
      <c r="W116" s="17"/>
      <c r="X116" s="18">
        <f>+IF(W116&lt;&gt;0,V116*W116/100,0)</f>
        <v>0</v>
      </c>
      <c r="Y116" s="19"/>
      <c r="Z116" s="19"/>
      <c r="AA116" s="18">
        <f>+IF(Z116&lt;&gt;0,Y116*Z116/100,0)</f>
        <v>0</v>
      </c>
      <c r="AB116" s="20">
        <f>+G116+I116+K116+L116+N116+P116+Q116+S116+U116-X116-AA116</f>
        <v>1498.6696999999999</v>
      </c>
      <c r="AC116" s="5"/>
      <c r="AD116" s="8"/>
      <c r="AF116" s="6"/>
      <c r="AG116" s="7"/>
      <c r="AJ116" s="33"/>
      <c r="AK116" s="35"/>
      <c r="AL116" s="38"/>
    </row>
    <row r="117" spans="1:38" ht="17.25" customHeight="1">
      <c r="A117" s="25">
        <v>45712</v>
      </c>
      <c r="B117" s="26" t="s">
        <v>424</v>
      </c>
      <c r="C117" s="14"/>
      <c r="D117" s="31" t="s">
        <v>53</v>
      </c>
      <c r="E117" s="14" t="s">
        <v>54</v>
      </c>
      <c r="F117" s="15" t="str">
        <f>"S/F "&amp;B117&amp;" "&amp;E117</f>
        <v>S/F 20250408 Láser Levante S.A.</v>
      </c>
      <c r="G117" s="16">
        <v>640.25</v>
      </c>
      <c r="H117" s="17">
        <v>21</v>
      </c>
      <c r="I117" s="18">
        <f>+IF(G117&lt;&gt;0,G117*H117/100,0)</f>
        <v>134.45249999999999</v>
      </c>
      <c r="J117" s="17"/>
      <c r="K117" s="18">
        <f>+IF(G117&lt;&gt;0,G117*J117/100,0)</f>
        <v>0</v>
      </c>
      <c r="L117" s="16"/>
      <c r="M117" s="17"/>
      <c r="N117" s="18">
        <f>+IF(L117&lt;&gt;0,L117*M117/100,0)</f>
        <v>0</v>
      </c>
      <c r="O117" s="19"/>
      <c r="P117" s="18"/>
      <c r="Q117" s="16"/>
      <c r="R117" s="17"/>
      <c r="S117" s="18"/>
      <c r="T117" s="19"/>
      <c r="U117" s="18"/>
      <c r="V117" s="16"/>
      <c r="W117" s="17"/>
      <c r="X117" s="18">
        <f>+IF(W117&lt;&gt;0,V117*W117/100,0)</f>
        <v>0</v>
      </c>
      <c r="Y117" s="19"/>
      <c r="Z117" s="19"/>
      <c r="AA117" s="18">
        <f>+IF(Z117&lt;&gt;0,Y117*Z117/100,0)</f>
        <v>0</v>
      </c>
      <c r="AB117" s="20">
        <f>+G117+I117+K117+L117+N117+P117+Q117+S117+U117-X117-AA117</f>
        <v>774.70249999999999</v>
      </c>
      <c r="AC117" s="5"/>
      <c r="AD117" s="8"/>
      <c r="AF117" s="6"/>
      <c r="AG117" s="7"/>
      <c r="AJ117" s="33"/>
      <c r="AK117" s="35"/>
      <c r="AL117" s="38"/>
    </row>
    <row r="118" spans="1:38" ht="17.25" customHeight="1">
      <c r="A118" s="25">
        <v>45712</v>
      </c>
      <c r="B118" s="26" t="s">
        <v>420</v>
      </c>
      <c r="C118" s="14"/>
      <c r="D118" s="31" t="s">
        <v>53</v>
      </c>
      <c r="E118" s="14" t="s">
        <v>54</v>
      </c>
      <c r="F118" s="15" t="str">
        <f>"S/F "&amp;B118&amp;" "&amp;E118</f>
        <v>S/F 20250417 Láser Levante S.A.</v>
      </c>
      <c r="G118" s="16">
        <v>886.17</v>
      </c>
      <c r="H118" s="17">
        <v>21</v>
      </c>
      <c r="I118" s="18">
        <f>+IF(G118&lt;&gt;0,G118*H118/100,0)</f>
        <v>186.09569999999999</v>
      </c>
      <c r="J118" s="17"/>
      <c r="K118" s="18">
        <f>+IF(G118&lt;&gt;0,G118*J118/100,0)</f>
        <v>0</v>
      </c>
      <c r="L118" s="16"/>
      <c r="M118" s="17"/>
      <c r="N118" s="18">
        <f>+IF(L118&lt;&gt;0,L118*M118/100,0)</f>
        <v>0</v>
      </c>
      <c r="O118" s="19"/>
      <c r="P118" s="18"/>
      <c r="Q118" s="16"/>
      <c r="R118" s="17"/>
      <c r="S118" s="18"/>
      <c r="T118" s="19"/>
      <c r="U118" s="18"/>
      <c r="V118" s="16"/>
      <c r="W118" s="17"/>
      <c r="X118" s="18">
        <f>+IF(W118&lt;&gt;0,V118*W118/100,0)</f>
        <v>0</v>
      </c>
      <c r="Y118" s="19"/>
      <c r="Z118" s="19"/>
      <c r="AA118" s="18">
        <f>+IF(Z118&lt;&gt;0,Y118*Z118/100,0)</f>
        <v>0</v>
      </c>
      <c r="AB118" s="20">
        <f>+G118+I118+K118+L118+N118+P118+Q118+S118+U118-X118-AA118</f>
        <v>1072.2656999999999</v>
      </c>
      <c r="AC118" s="5"/>
      <c r="AD118" s="8"/>
      <c r="AF118" s="6"/>
      <c r="AG118" s="7"/>
      <c r="AJ118" s="33"/>
      <c r="AK118" s="35"/>
      <c r="AL118" s="38"/>
    </row>
    <row r="119" spans="1:38" ht="17.25" customHeight="1">
      <c r="A119" s="25">
        <v>45712</v>
      </c>
      <c r="B119" s="26" t="s">
        <v>569</v>
      </c>
      <c r="C119" s="14"/>
      <c r="D119" s="31" t="s">
        <v>53</v>
      </c>
      <c r="E119" s="14" t="s">
        <v>54</v>
      </c>
      <c r="F119" s="15" t="str">
        <f>"S/F "&amp;B119&amp;" "&amp;E119</f>
        <v>S/F 20250422 Láser Levante S.A.</v>
      </c>
      <c r="G119" s="16">
        <v>565.87</v>
      </c>
      <c r="H119" s="17">
        <v>21</v>
      </c>
      <c r="I119" s="18">
        <f>+IF(G119&lt;&gt;0,G119*H119/100,0)</f>
        <v>118.8327</v>
      </c>
      <c r="J119" s="17"/>
      <c r="K119" s="18">
        <f>+IF(G119&lt;&gt;0,G119*J119/100,0)</f>
        <v>0</v>
      </c>
      <c r="L119" s="16"/>
      <c r="M119" s="17"/>
      <c r="N119" s="18">
        <f>+IF(L119&lt;&gt;0,L119*M119/100,0)</f>
        <v>0</v>
      </c>
      <c r="O119" s="19"/>
      <c r="P119" s="18"/>
      <c r="Q119" s="16"/>
      <c r="R119" s="17"/>
      <c r="S119" s="18"/>
      <c r="T119" s="19"/>
      <c r="U119" s="18"/>
      <c r="V119" s="16"/>
      <c r="W119" s="17"/>
      <c r="X119" s="18">
        <f>+IF(W119&lt;&gt;0,V119*W119/100,0)</f>
        <v>0</v>
      </c>
      <c r="Y119" s="19"/>
      <c r="Z119" s="19"/>
      <c r="AA119" s="18"/>
      <c r="AB119" s="20">
        <f>+G119+I119+K119+L119+N119+P119+Q119+S119+U119-X119-AA119</f>
        <v>684.70270000000005</v>
      </c>
      <c r="AC119" s="5"/>
      <c r="AD119" s="8"/>
      <c r="AF119" s="6"/>
      <c r="AG119" s="7"/>
      <c r="AJ119" s="33"/>
      <c r="AK119" s="35"/>
      <c r="AL119" s="38"/>
    </row>
    <row r="120" spans="1:38" ht="17.25" customHeight="1">
      <c r="A120" s="25">
        <v>45712</v>
      </c>
      <c r="B120" s="26" t="s">
        <v>425</v>
      </c>
      <c r="C120" s="14"/>
      <c r="D120" s="31" t="s">
        <v>53</v>
      </c>
      <c r="E120" s="14" t="s">
        <v>54</v>
      </c>
      <c r="F120" s="15" t="str">
        <f>"S/F "&amp;B120&amp;" "&amp;E120</f>
        <v>S/F 20250423 Láser Levante S.A.</v>
      </c>
      <c r="G120" s="16">
        <v>245.54</v>
      </c>
      <c r="H120" s="17">
        <v>21</v>
      </c>
      <c r="I120" s="18">
        <f>+IF(G120&lt;&gt;0,G120*H120/100,0)</f>
        <v>51.563400000000001</v>
      </c>
      <c r="J120" s="17"/>
      <c r="K120" s="18">
        <f>+IF(G120&lt;&gt;0,G120*J120/100,0)</f>
        <v>0</v>
      </c>
      <c r="L120" s="16"/>
      <c r="M120" s="17"/>
      <c r="N120" s="18">
        <f>+IF(L120&lt;&gt;0,L120*M120/100,0)</f>
        <v>0</v>
      </c>
      <c r="O120" s="19"/>
      <c r="P120" s="18"/>
      <c r="Q120" s="16"/>
      <c r="R120" s="17"/>
      <c r="S120" s="18"/>
      <c r="T120" s="19"/>
      <c r="U120" s="18"/>
      <c r="V120" s="16"/>
      <c r="W120" s="17"/>
      <c r="X120" s="18">
        <f>+IF(W120&lt;&gt;0,V120*W120/100,0)</f>
        <v>0</v>
      </c>
      <c r="Y120" s="19"/>
      <c r="Z120" s="19"/>
      <c r="AA120" s="18">
        <f>+IF(Z120&lt;&gt;0,Y120*Z120/100,0)</f>
        <v>0</v>
      </c>
      <c r="AB120" s="20">
        <f>+G120+I120+K120+L120+N120+P120+Q120+S120+U120-X120-AA120</f>
        <v>297.10339999999997</v>
      </c>
      <c r="AC120" s="5"/>
      <c r="AD120" s="8"/>
      <c r="AF120" s="6"/>
      <c r="AG120" s="7"/>
      <c r="AJ120" s="33"/>
      <c r="AK120" s="35"/>
      <c r="AL120" s="38"/>
    </row>
    <row r="121" spans="1:38" ht="17.25" customHeight="1">
      <c r="A121" s="25">
        <v>45712</v>
      </c>
      <c r="B121" s="26" t="s">
        <v>426</v>
      </c>
      <c r="C121" s="14"/>
      <c r="D121" s="31" t="s">
        <v>53</v>
      </c>
      <c r="E121" s="14" t="s">
        <v>54</v>
      </c>
      <c r="F121" s="15" t="str">
        <f>"S/F "&amp;B121&amp;" "&amp;E121</f>
        <v>S/F 20250424 Láser Levante S.A.</v>
      </c>
      <c r="G121" s="16">
        <v>47.23</v>
      </c>
      <c r="H121" s="17">
        <v>21</v>
      </c>
      <c r="I121" s="18">
        <f>+IF(G121&lt;&gt;0,G121*H121/100,0)</f>
        <v>9.9182999999999986</v>
      </c>
      <c r="J121" s="17"/>
      <c r="K121" s="18">
        <f>+IF(G121&lt;&gt;0,G121*J121/100,0)</f>
        <v>0</v>
      </c>
      <c r="L121" s="16"/>
      <c r="M121" s="17"/>
      <c r="N121" s="18">
        <f>+IF(L121&lt;&gt;0,L121*M121/100,0)</f>
        <v>0</v>
      </c>
      <c r="O121" s="19"/>
      <c r="P121" s="18"/>
      <c r="Q121" s="16"/>
      <c r="R121" s="17"/>
      <c r="S121" s="18"/>
      <c r="T121" s="19"/>
      <c r="U121" s="18"/>
      <c r="V121" s="16"/>
      <c r="W121" s="17"/>
      <c r="X121" s="18">
        <f>+IF(W121&lt;&gt;0,V121*W121/100,0)</f>
        <v>0</v>
      </c>
      <c r="Y121" s="19"/>
      <c r="Z121" s="19"/>
      <c r="AA121" s="18">
        <f>+IF(Z121&lt;&gt;0,Y121*Z121/100,0)</f>
        <v>0</v>
      </c>
      <c r="AB121" s="20">
        <f>+G121+I121+K121+L121+N121+P121+Q121+S121+U121-X121-AA121</f>
        <v>57.148299999999992</v>
      </c>
      <c r="AC121" s="5"/>
      <c r="AD121" s="8"/>
      <c r="AF121" s="6"/>
      <c r="AG121" s="7"/>
      <c r="AJ121" s="33"/>
      <c r="AK121" s="35"/>
      <c r="AL121" s="38"/>
    </row>
    <row r="122" spans="1:38" ht="17.25" customHeight="1">
      <c r="A122" s="25">
        <v>45712</v>
      </c>
      <c r="B122" s="26" t="s">
        <v>399</v>
      </c>
      <c r="C122" s="14"/>
      <c r="D122" s="31" t="s">
        <v>400</v>
      </c>
      <c r="E122" s="14" t="s">
        <v>401</v>
      </c>
      <c r="F122" s="15" t="str">
        <f>"S/F "&amp;B122&amp;" "&amp;E122</f>
        <v>S/F 2025 40 Rodmientos y Complementos de Importación S.L.</v>
      </c>
      <c r="G122" s="16">
        <v>282</v>
      </c>
      <c r="H122" s="17">
        <v>21</v>
      </c>
      <c r="I122" s="18">
        <f>+IF(G122&lt;&gt;0,G122*H122/100,0)</f>
        <v>59.22</v>
      </c>
      <c r="J122" s="17"/>
      <c r="K122" s="18">
        <f>+IF(G122&lt;&gt;0,G122*J122/100,0)</f>
        <v>0</v>
      </c>
      <c r="L122" s="16"/>
      <c r="M122" s="17"/>
      <c r="N122" s="18">
        <f>+IF(L122&lt;&gt;0,L122*M122/100,0)</f>
        <v>0</v>
      </c>
      <c r="O122" s="19"/>
      <c r="P122" s="18"/>
      <c r="Q122" s="16"/>
      <c r="R122" s="17"/>
      <c r="S122" s="18"/>
      <c r="T122" s="19"/>
      <c r="U122" s="18"/>
      <c r="V122" s="16"/>
      <c r="W122" s="17"/>
      <c r="X122" s="18">
        <f>+IF(W122&lt;&gt;0,V122*W122/100,0)</f>
        <v>0</v>
      </c>
      <c r="Y122" s="19"/>
      <c r="Z122" s="19"/>
      <c r="AA122" s="18">
        <f>+IF(Z122&lt;&gt;0,Y122*Z122/100,0)</f>
        <v>0</v>
      </c>
      <c r="AB122" s="20">
        <f>+G122+I122+K122+L122+N122+P122+Q122+S122+U122-X122-AA122</f>
        <v>341.22</v>
      </c>
      <c r="AC122" s="5"/>
      <c r="AD122" s="8"/>
      <c r="AF122" s="6"/>
      <c r="AG122" s="7"/>
      <c r="AJ122" s="33"/>
      <c r="AK122" s="35"/>
      <c r="AL122" s="38"/>
    </row>
    <row r="123" spans="1:38" ht="17.25" customHeight="1">
      <c r="A123" s="25">
        <v>45712</v>
      </c>
      <c r="B123" s="26" t="s">
        <v>409</v>
      </c>
      <c r="C123" s="14"/>
      <c r="D123" s="31" t="s">
        <v>410</v>
      </c>
      <c r="E123" s="14" t="s">
        <v>411</v>
      </c>
      <c r="F123" s="15" t="str">
        <f>"S/F "&amp;B123&amp;" "&amp;E123</f>
        <v>S/F 437/28592025F General de Servicios ITV S.A.</v>
      </c>
      <c r="G123" s="16">
        <v>43.64</v>
      </c>
      <c r="H123" s="17">
        <v>21</v>
      </c>
      <c r="I123" s="18">
        <f>+IF(G123&lt;&gt;0,G123*H123/100,0)</f>
        <v>9.1644000000000005</v>
      </c>
      <c r="J123" s="17"/>
      <c r="K123" s="18">
        <f>+IF(G123&lt;&gt;0,G123*J123/100,0)</f>
        <v>0</v>
      </c>
      <c r="L123" s="16">
        <v>4.18</v>
      </c>
      <c r="M123" s="17"/>
      <c r="N123" s="18">
        <f>+IF(L123&lt;&gt;0,L123*M123/100,0)</f>
        <v>0</v>
      </c>
      <c r="O123" s="19"/>
      <c r="P123" s="18"/>
      <c r="Q123" s="16"/>
      <c r="R123" s="17"/>
      <c r="S123" s="18"/>
      <c r="T123" s="19"/>
      <c r="U123" s="18"/>
      <c r="V123" s="16"/>
      <c r="W123" s="17"/>
      <c r="X123" s="18">
        <f>+IF(W123&lt;&gt;0,V123*W123/100,0)</f>
        <v>0</v>
      </c>
      <c r="Y123" s="19"/>
      <c r="Z123" s="19"/>
      <c r="AA123" s="18">
        <f>+IF(Z123&lt;&gt;0,Y123*Z123/100,0)</f>
        <v>0</v>
      </c>
      <c r="AB123" s="20">
        <f>+G123+I123+K123+L123+N123+P123+Q123+S123+U123-X123-AA123</f>
        <v>56.984400000000001</v>
      </c>
      <c r="AC123" s="5"/>
      <c r="AD123" s="8"/>
      <c r="AF123" s="6"/>
      <c r="AG123" s="7"/>
      <c r="AJ123" s="33"/>
      <c r="AK123" s="35" t="s">
        <v>113</v>
      </c>
      <c r="AL123" s="38"/>
    </row>
    <row r="124" spans="1:38" ht="17.25" customHeight="1">
      <c r="A124" s="25">
        <v>45713</v>
      </c>
      <c r="B124" s="26" t="s">
        <v>428</v>
      </c>
      <c r="C124" s="14"/>
      <c r="D124" s="31" t="s">
        <v>429</v>
      </c>
      <c r="E124" s="14" t="s">
        <v>430</v>
      </c>
      <c r="F124" s="15" t="str">
        <f>"S/F "&amp;B124&amp;" "&amp;E124</f>
        <v>S/F 12/25 David Santos Ramirez - Talleres santos</v>
      </c>
      <c r="G124" s="16">
        <v>1227.6500000000001</v>
      </c>
      <c r="H124" s="17">
        <v>21</v>
      </c>
      <c r="I124" s="18">
        <f>+IF(G124&lt;&gt;0,G124*H124/100,0)</f>
        <v>257.80650000000003</v>
      </c>
      <c r="J124" s="17"/>
      <c r="K124" s="18">
        <f>+IF(G124&lt;&gt;0,G124*J124/100,0)</f>
        <v>0</v>
      </c>
      <c r="L124" s="16"/>
      <c r="M124" s="17"/>
      <c r="N124" s="18">
        <f>+IF(L124&lt;&gt;0,L124*M124/100,0)</f>
        <v>0</v>
      </c>
      <c r="O124" s="19"/>
      <c r="P124" s="18"/>
      <c r="Q124" s="16"/>
      <c r="R124" s="17"/>
      <c r="S124" s="18"/>
      <c r="T124" s="19"/>
      <c r="U124" s="18"/>
      <c r="V124" s="16"/>
      <c r="W124" s="17"/>
      <c r="X124" s="18">
        <f>+IF(W124&lt;&gt;0,V124*W124/100,0)</f>
        <v>0</v>
      </c>
      <c r="Y124" s="19"/>
      <c r="Z124" s="19"/>
      <c r="AA124" s="18">
        <f>+IF(Z124&lt;&gt;0,Y124*Z124/100,0)</f>
        <v>0</v>
      </c>
      <c r="AB124" s="20">
        <f>+G124+I124+K124+L124+N124+P124+Q124+S124+U124-X124-AA124</f>
        <v>1485.4565000000002</v>
      </c>
      <c r="AC124" s="5"/>
      <c r="AD124" s="8"/>
      <c r="AF124" s="6"/>
      <c r="AG124" s="7"/>
      <c r="AJ124" s="33"/>
      <c r="AK124" s="35"/>
      <c r="AL124" s="38"/>
    </row>
    <row r="125" spans="1:38" ht="17.25" customHeight="1">
      <c r="A125" s="25">
        <v>45713</v>
      </c>
      <c r="B125" s="26" t="s">
        <v>492</v>
      </c>
      <c r="C125" s="14"/>
      <c r="D125" s="31" t="s">
        <v>53</v>
      </c>
      <c r="E125" s="14" t="s">
        <v>54</v>
      </c>
      <c r="F125" s="15" t="str">
        <f>"S/F "&amp;B125&amp;" "&amp;E125</f>
        <v>S/F 20250432 Láser Levante S.A.</v>
      </c>
      <c r="G125" s="16">
        <v>46.08</v>
      </c>
      <c r="H125" s="17">
        <v>21</v>
      </c>
      <c r="I125" s="18">
        <f>+IF(G125&lt;&gt;0,G125*H125/100,0)</f>
        <v>9.6768000000000001</v>
      </c>
      <c r="J125" s="17"/>
      <c r="K125" s="18">
        <f>+IF(G125&lt;&gt;0,G125*J125/100,0)</f>
        <v>0</v>
      </c>
      <c r="L125" s="16"/>
      <c r="M125" s="17"/>
      <c r="N125" s="18">
        <f>+IF(L125&lt;&gt;0,L125*M125/100,0)</f>
        <v>0</v>
      </c>
      <c r="O125" s="19"/>
      <c r="P125" s="18"/>
      <c r="Q125" s="16"/>
      <c r="R125" s="17"/>
      <c r="S125" s="18"/>
      <c r="T125" s="19"/>
      <c r="U125" s="18"/>
      <c r="V125" s="16"/>
      <c r="W125" s="17"/>
      <c r="X125" s="18">
        <f>+IF(W125&lt;&gt;0,V125*W125/100,0)</f>
        <v>0</v>
      </c>
      <c r="Y125" s="19"/>
      <c r="Z125" s="19"/>
      <c r="AA125" s="18">
        <f>+IF(Z125&lt;&gt;0,Y125*Z125/100,0)</f>
        <v>0</v>
      </c>
      <c r="AB125" s="20">
        <f>+G125+I125+K125+L125+N125+P125+Q125+S125+U125-X125-AA125</f>
        <v>55.756799999999998</v>
      </c>
      <c r="AC125" s="5"/>
      <c r="AD125" s="8"/>
      <c r="AF125" s="6"/>
      <c r="AG125" s="7"/>
      <c r="AJ125" s="33"/>
      <c r="AK125" s="35"/>
      <c r="AL125" s="38"/>
    </row>
    <row r="126" spans="1:38" ht="17.25" customHeight="1">
      <c r="A126" s="25">
        <v>45713</v>
      </c>
      <c r="B126" s="26" t="s">
        <v>493</v>
      </c>
      <c r="C126" s="14"/>
      <c r="D126" s="31" t="s">
        <v>494</v>
      </c>
      <c r="E126" s="14" t="s">
        <v>495</v>
      </c>
      <c r="F126" s="15" t="str">
        <f>"S/F "&amp;B126&amp;" "&amp;E126</f>
        <v>S/F 20252451 Clean Home S.L. - Proseylimp</v>
      </c>
      <c r="G126" s="16">
        <v>191.05</v>
      </c>
      <c r="H126" s="17">
        <v>21</v>
      </c>
      <c r="I126" s="18">
        <f>+IF(G126&lt;&gt;0,G126*H126/100,0)</f>
        <v>40.1205</v>
      </c>
      <c r="J126" s="17"/>
      <c r="K126" s="18">
        <f>+IF(G126&lt;&gt;0,G126*J126/100,0)</f>
        <v>0</v>
      </c>
      <c r="L126" s="16"/>
      <c r="M126" s="17"/>
      <c r="N126" s="18">
        <f>+IF(L126&lt;&gt;0,L126*M126/100,0)</f>
        <v>0</v>
      </c>
      <c r="O126" s="19"/>
      <c r="P126" s="18"/>
      <c r="Q126" s="16"/>
      <c r="R126" s="17"/>
      <c r="S126" s="18"/>
      <c r="T126" s="19"/>
      <c r="U126" s="18"/>
      <c r="V126" s="16"/>
      <c r="W126" s="17"/>
      <c r="X126" s="18">
        <f>+IF(W126&lt;&gt;0,V126*W126/100,0)</f>
        <v>0</v>
      </c>
      <c r="Y126" s="19"/>
      <c r="Z126" s="19"/>
      <c r="AA126" s="18">
        <f>+IF(Z126&lt;&gt;0,Y126*Z126/100,0)</f>
        <v>0</v>
      </c>
      <c r="AB126" s="20">
        <f>+G126+I126+K126+L126+N126+P126+Q126+S126+U126-X126-AA126</f>
        <v>231.1705</v>
      </c>
      <c r="AC126" s="5"/>
      <c r="AD126" s="8"/>
      <c r="AF126" s="6"/>
      <c r="AG126" s="7"/>
      <c r="AJ126" s="33"/>
      <c r="AK126" s="35"/>
      <c r="AL126" s="38"/>
    </row>
    <row r="127" spans="1:38" ht="17.25" customHeight="1">
      <c r="A127" s="25">
        <v>45713</v>
      </c>
      <c r="B127" s="26" t="s">
        <v>419</v>
      </c>
      <c r="C127" s="14"/>
      <c r="D127" s="26" t="s">
        <v>181</v>
      </c>
      <c r="E127" s="14" t="s">
        <v>182</v>
      </c>
      <c r="F127" s="15" t="str">
        <f>"S/F "&amp;B127&amp;" "&amp;E127</f>
        <v>S/F B-035/2025 Olaen Maquinaria S.L.</v>
      </c>
      <c r="G127" s="16">
        <v>675</v>
      </c>
      <c r="H127" s="17">
        <v>21</v>
      </c>
      <c r="I127" s="18">
        <f>+IF(G127&lt;&gt;0,G127*H127/100,0)</f>
        <v>141.75</v>
      </c>
      <c r="J127" s="17"/>
      <c r="K127" s="18">
        <f>+IF(G127&lt;&gt;0,G127*J127/100,0)</f>
        <v>0</v>
      </c>
      <c r="L127" s="16"/>
      <c r="M127" s="17"/>
      <c r="N127" s="18">
        <f>+IF(L127&lt;&gt;0,L127*M127/100,0)</f>
        <v>0</v>
      </c>
      <c r="O127" s="19"/>
      <c r="P127" s="18"/>
      <c r="Q127" s="16"/>
      <c r="R127" s="17"/>
      <c r="S127" s="18"/>
      <c r="T127" s="19"/>
      <c r="U127" s="18"/>
      <c r="V127" s="16"/>
      <c r="W127" s="17"/>
      <c r="X127" s="18">
        <f>+IF(W127&lt;&gt;0,V127*W127/100,0)</f>
        <v>0</v>
      </c>
      <c r="Y127" s="19"/>
      <c r="Z127" s="19"/>
      <c r="AA127" s="18">
        <f>+IF(Z127&lt;&gt;0,Y127*Z127/100,0)</f>
        <v>0</v>
      </c>
      <c r="AB127" s="20">
        <f>+G127+I127+K127+L127+N127+P127+Q127+S127+U127-X127-AA127</f>
        <v>816.75</v>
      </c>
      <c r="AC127" s="5"/>
      <c r="AD127" s="8"/>
      <c r="AF127" s="6"/>
      <c r="AG127" s="7"/>
      <c r="AJ127" s="33"/>
      <c r="AK127" s="35"/>
      <c r="AL127" s="38"/>
    </row>
    <row r="128" spans="1:38" ht="17.25" customHeight="1">
      <c r="A128" s="25">
        <v>45714</v>
      </c>
      <c r="B128" s="26" t="s">
        <v>499</v>
      </c>
      <c r="C128" s="14"/>
      <c r="D128" s="31" t="s">
        <v>500</v>
      </c>
      <c r="E128" s="14" t="s">
        <v>501</v>
      </c>
      <c r="F128" s="15" t="str">
        <f>"S/F "&amp;B128&amp;" "&amp;E128</f>
        <v>S/F 136 Fergoa Industrial XXI S.L.</v>
      </c>
      <c r="G128" s="16">
        <v>420</v>
      </c>
      <c r="H128" s="17">
        <v>21</v>
      </c>
      <c r="I128" s="18">
        <f>+IF(G128&lt;&gt;0,G128*H128/100,0)</f>
        <v>88.2</v>
      </c>
      <c r="J128" s="17"/>
      <c r="K128" s="18">
        <f>+IF(G128&lt;&gt;0,G128*J128/100,0)</f>
        <v>0</v>
      </c>
      <c r="L128" s="16"/>
      <c r="M128" s="17"/>
      <c r="N128" s="18">
        <f>+IF(L128&lt;&gt;0,L128*M128/100,0)</f>
        <v>0</v>
      </c>
      <c r="O128" s="19"/>
      <c r="P128" s="18"/>
      <c r="Q128" s="16"/>
      <c r="R128" s="17"/>
      <c r="S128" s="18"/>
      <c r="T128" s="19"/>
      <c r="U128" s="18"/>
      <c r="V128" s="16"/>
      <c r="W128" s="17"/>
      <c r="X128" s="18">
        <f>+IF(W128&lt;&gt;0,V128*W128/100,0)</f>
        <v>0</v>
      </c>
      <c r="Y128" s="19"/>
      <c r="Z128" s="19"/>
      <c r="AA128" s="18"/>
      <c r="AB128" s="20">
        <f>+G128+I128+K128+L128+N128+P128+Q128+S128+U128-X128-AA128</f>
        <v>508.2</v>
      </c>
      <c r="AC128" s="5"/>
      <c r="AD128" s="8"/>
      <c r="AF128" s="6"/>
      <c r="AG128" s="7"/>
      <c r="AJ128" s="33"/>
      <c r="AK128" s="35"/>
      <c r="AL128" s="38"/>
    </row>
    <row r="129" spans="1:38" ht="17.25" customHeight="1">
      <c r="A129" s="25">
        <v>45714</v>
      </c>
      <c r="B129" s="26" t="s">
        <v>497</v>
      </c>
      <c r="C129" s="14"/>
      <c r="D129" s="31" t="s">
        <v>45</v>
      </c>
      <c r="E129" s="14" t="s">
        <v>46</v>
      </c>
      <c r="F129" s="15" t="str">
        <f>"S/F "&amp;B129&amp;" "&amp;E129</f>
        <v>S/F 632 Comercial de Chapa Cortada S.L.</v>
      </c>
      <c r="G129" s="16">
        <v>1139.9000000000001</v>
      </c>
      <c r="H129" s="17">
        <v>21</v>
      </c>
      <c r="I129" s="18">
        <f>+IF(G129&lt;&gt;0,G129*H129/100,0)</f>
        <v>239.37900000000002</v>
      </c>
      <c r="J129" s="17"/>
      <c r="K129" s="18">
        <f>+IF(G129&lt;&gt;0,G129*J129/100,0)</f>
        <v>0</v>
      </c>
      <c r="L129" s="16"/>
      <c r="M129" s="17"/>
      <c r="N129" s="18">
        <f>+IF(L129&lt;&gt;0,L129*M129/100,0)</f>
        <v>0</v>
      </c>
      <c r="O129" s="19"/>
      <c r="P129" s="18"/>
      <c r="Q129" s="16"/>
      <c r="R129" s="17"/>
      <c r="S129" s="18"/>
      <c r="T129" s="19"/>
      <c r="U129" s="18"/>
      <c r="V129" s="16"/>
      <c r="W129" s="17"/>
      <c r="X129" s="18">
        <f>+IF(W129&lt;&gt;0,V129*W129/100,0)</f>
        <v>0</v>
      </c>
      <c r="Y129" s="19"/>
      <c r="Z129" s="19"/>
      <c r="AA129" s="18">
        <f>+IF(Z129&lt;&gt;0,Y129*Z129/100,0)</f>
        <v>0</v>
      </c>
      <c r="AB129" s="20">
        <f>+G129+I129+K129+L129+N129+P129+Q129+S129+U129-X129-AA129</f>
        <v>1379.279</v>
      </c>
      <c r="AC129" s="5"/>
      <c r="AD129" s="8"/>
      <c r="AF129" s="6"/>
      <c r="AG129" s="7"/>
      <c r="AJ129" s="33"/>
      <c r="AK129" s="35"/>
      <c r="AL129" s="38"/>
    </row>
    <row r="130" spans="1:38" ht="17.25" customHeight="1">
      <c r="A130" s="25">
        <v>45714</v>
      </c>
      <c r="B130" s="26" t="s">
        <v>498</v>
      </c>
      <c r="C130" s="14"/>
      <c r="D130" s="31" t="s">
        <v>45</v>
      </c>
      <c r="E130" s="14" t="s">
        <v>46</v>
      </c>
      <c r="F130" s="15" t="str">
        <f>"S/F "&amp;B130&amp;" "&amp;E130</f>
        <v>S/F 633 Comercial de Chapa Cortada S.L.</v>
      </c>
      <c r="G130" s="16">
        <v>1.8</v>
      </c>
      <c r="H130" s="17">
        <v>21</v>
      </c>
      <c r="I130" s="18">
        <f>+IF(G130&lt;&gt;0,G130*H130/100,0)</f>
        <v>0.37800000000000006</v>
      </c>
      <c r="J130" s="17"/>
      <c r="K130" s="18">
        <f>+IF(G130&lt;&gt;0,G130*J130/100,0)</f>
        <v>0</v>
      </c>
      <c r="L130" s="16"/>
      <c r="M130" s="17"/>
      <c r="N130" s="18">
        <f>+IF(L130&lt;&gt;0,L130*M130/100,0)</f>
        <v>0</v>
      </c>
      <c r="O130" s="19"/>
      <c r="P130" s="18"/>
      <c r="Q130" s="16"/>
      <c r="R130" s="17"/>
      <c r="S130" s="18"/>
      <c r="T130" s="19"/>
      <c r="U130" s="18"/>
      <c r="V130" s="16"/>
      <c r="W130" s="17"/>
      <c r="X130" s="18">
        <f>+IF(W130&lt;&gt;0,V130*W130/100,0)</f>
        <v>0</v>
      </c>
      <c r="Y130" s="19"/>
      <c r="Z130" s="19"/>
      <c r="AA130" s="18">
        <f>+IF(Z130&lt;&gt;0,Y130*Z130/100,0)</f>
        <v>0</v>
      </c>
      <c r="AB130" s="20">
        <f>+G130+I130+K130+L130+N130+P130+Q130+S130+U130-X130-AA130</f>
        <v>2.1779999999999999</v>
      </c>
      <c r="AC130" s="5"/>
      <c r="AD130" s="8"/>
      <c r="AF130" s="6"/>
      <c r="AG130" s="7"/>
      <c r="AJ130" s="33"/>
      <c r="AK130" s="35"/>
      <c r="AL130" s="38"/>
    </row>
    <row r="131" spans="1:38" ht="17.25" customHeight="1">
      <c r="A131" s="25">
        <v>45714</v>
      </c>
      <c r="B131" s="26" t="s">
        <v>502</v>
      </c>
      <c r="C131" s="14"/>
      <c r="D131" s="31" t="s">
        <v>361</v>
      </c>
      <c r="E131" s="14" t="s">
        <v>362</v>
      </c>
      <c r="F131" s="15" t="str">
        <f>"S/F "&amp;B131&amp;" "&amp;E131</f>
        <v>S/F 71984 Hidraúlica Caboblanco e Hijos</v>
      </c>
      <c r="G131" s="16">
        <v>492.47</v>
      </c>
      <c r="H131" s="17">
        <v>21</v>
      </c>
      <c r="I131" s="18">
        <f>+IF(G131&lt;&gt;0,G131*H131/100,0)</f>
        <v>103.4187</v>
      </c>
      <c r="J131" s="17"/>
      <c r="K131" s="18">
        <f>+IF(G131&lt;&gt;0,G131*J131/100,0)</f>
        <v>0</v>
      </c>
      <c r="L131" s="16"/>
      <c r="M131" s="17"/>
      <c r="N131" s="18">
        <f>+IF(L131&lt;&gt;0,L131*M131/100,0)</f>
        <v>0</v>
      </c>
      <c r="O131" s="19"/>
      <c r="P131" s="18"/>
      <c r="Q131" s="16"/>
      <c r="R131" s="17"/>
      <c r="S131" s="18"/>
      <c r="T131" s="19"/>
      <c r="U131" s="18"/>
      <c r="V131" s="16"/>
      <c r="W131" s="17"/>
      <c r="X131" s="18">
        <f>+IF(W131&lt;&gt;0,V131*W131/100,0)</f>
        <v>0</v>
      </c>
      <c r="Y131" s="19"/>
      <c r="Z131" s="19"/>
      <c r="AA131" s="18">
        <f>+IF(Z131&lt;&gt;0,Y131*Z131/100,0)</f>
        <v>0</v>
      </c>
      <c r="AB131" s="20">
        <f>+G131+I131+K131+L131+N131+P131+Q131+S131+U131-X131-AA131</f>
        <v>595.88869999999997</v>
      </c>
      <c r="AC131" s="5"/>
      <c r="AD131" s="8"/>
      <c r="AF131" s="6"/>
      <c r="AG131" s="7"/>
      <c r="AJ131" s="33"/>
      <c r="AK131" s="35"/>
      <c r="AL131" s="38"/>
    </row>
    <row r="132" spans="1:38" ht="17.25" customHeight="1">
      <c r="A132" s="25">
        <v>45714</v>
      </c>
      <c r="B132" s="26" t="s">
        <v>503</v>
      </c>
      <c r="C132" s="14"/>
      <c r="D132" s="31" t="s">
        <v>228</v>
      </c>
      <c r="E132" s="14" t="s">
        <v>229</v>
      </c>
      <c r="F132" s="15" t="str">
        <f>"S/F "&amp;B132&amp;" "&amp;E132</f>
        <v>S/F 5250245 Proveedora de Tubos Occidental S.L.</v>
      </c>
      <c r="G132" s="16">
        <v>132.51</v>
      </c>
      <c r="H132" s="17">
        <v>21</v>
      </c>
      <c r="I132" s="18">
        <f>+IF(G132&lt;&gt;0,G132*H132/100,0)</f>
        <v>27.827100000000002</v>
      </c>
      <c r="J132" s="17"/>
      <c r="K132" s="18">
        <f>+IF(G132&lt;&gt;0,G132*J132/100,0)</f>
        <v>0</v>
      </c>
      <c r="L132" s="16">
        <v>1.03</v>
      </c>
      <c r="M132" s="17"/>
      <c r="N132" s="18">
        <f>+IF(L132&lt;&gt;0,L132*M132/100,0)</f>
        <v>0</v>
      </c>
      <c r="O132" s="19"/>
      <c r="P132" s="18"/>
      <c r="Q132" s="16"/>
      <c r="R132" s="17"/>
      <c r="S132" s="18"/>
      <c r="T132" s="19"/>
      <c r="U132" s="18"/>
      <c r="V132" s="16"/>
      <c r="W132" s="17"/>
      <c r="X132" s="18">
        <f>+IF(W132&lt;&gt;0,V132*W132/100,0)</f>
        <v>0</v>
      </c>
      <c r="Y132" s="19"/>
      <c r="Z132" s="19"/>
      <c r="AA132" s="18">
        <f>+IF(Z132&lt;&gt;0,Y132*Z132/100,0)</f>
        <v>0</v>
      </c>
      <c r="AB132" s="20">
        <f>+G132+I132+K132+L132+N132+P132+Q132+S132+U132-X132-AA132</f>
        <v>161.36709999999999</v>
      </c>
      <c r="AC132" s="5"/>
      <c r="AD132" s="8"/>
      <c r="AF132" s="6"/>
      <c r="AG132" s="7"/>
      <c r="AJ132" s="33"/>
      <c r="AK132" s="35"/>
      <c r="AL132" s="38"/>
    </row>
    <row r="133" spans="1:38" ht="17.25" customHeight="1">
      <c r="A133" s="25">
        <v>45714</v>
      </c>
      <c r="B133" s="26" t="s">
        <v>496</v>
      </c>
      <c r="C133" s="14"/>
      <c r="D133" s="31" t="s">
        <v>169</v>
      </c>
      <c r="E133" s="14" t="s">
        <v>405</v>
      </c>
      <c r="F133" s="15" t="str">
        <f>"S/F "&amp;B133&amp;" "&amp;E133</f>
        <v>S/F 12500111 Adimec Desarrollos Técnicos S.L.</v>
      </c>
      <c r="G133" s="16">
        <v>1471.07</v>
      </c>
      <c r="H133" s="17">
        <v>21</v>
      </c>
      <c r="I133" s="18">
        <f>+IF(G133&lt;&gt;0,G133*H133/100,0)</f>
        <v>308.92469999999997</v>
      </c>
      <c r="J133" s="17"/>
      <c r="K133" s="18">
        <f>+IF(G133&lt;&gt;0,G133*J133/100,0)</f>
        <v>0</v>
      </c>
      <c r="L133" s="16"/>
      <c r="M133" s="17"/>
      <c r="N133" s="18">
        <f>+IF(L133&lt;&gt;0,L133*M133/100,0)</f>
        <v>0</v>
      </c>
      <c r="O133" s="19"/>
      <c r="P133" s="18"/>
      <c r="Q133" s="16"/>
      <c r="R133" s="17"/>
      <c r="S133" s="18"/>
      <c r="T133" s="19"/>
      <c r="U133" s="18"/>
      <c r="V133" s="16"/>
      <c r="W133" s="17"/>
      <c r="X133" s="18">
        <f>+IF(W133&lt;&gt;0,V133*W133/100,0)</f>
        <v>0</v>
      </c>
      <c r="Y133" s="19"/>
      <c r="Z133" s="19"/>
      <c r="AA133" s="18"/>
      <c r="AB133" s="20">
        <f>+G133+I133+K133+L133+N133+P133+Q133+S133+U133-X133-AA133</f>
        <v>1779.9947</v>
      </c>
      <c r="AC133" s="5"/>
      <c r="AD133" s="8"/>
      <c r="AF133" s="6"/>
      <c r="AG133" s="7"/>
      <c r="AJ133" s="33"/>
      <c r="AK133" s="35" t="s">
        <v>68</v>
      </c>
      <c r="AL133" s="38"/>
    </row>
    <row r="134" spans="1:38" ht="17.25" customHeight="1">
      <c r="A134" s="25">
        <v>45714</v>
      </c>
      <c r="B134" s="26" t="s">
        <v>567</v>
      </c>
      <c r="C134" s="14"/>
      <c r="D134" s="31" t="s">
        <v>190</v>
      </c>
      <c r="E134" s="14" t="s">
        <v>297</v>
      </c>
      <c r="F134" s="15" t="str">
        <f>"S/F "&amp;B134&amp;" "&amp;E134</f>
        <v>S/F 90770750 thyssenkrupp Materials Iberica S.A.</v>
      </c>
      <c r="G134" s="16">
        <v>1388</v>
      </c>
      <c r="H134" s="17">
        <v>21</v>
      </c>
      <c r="I134" s="18">
        <f>+IF(G134&lt;&gt;0,G134*H134/100,0)</f>
        <v>291.48</v>
      </c>
      <c r="J134" s="17"/>
      <c r="K134" s="18">
        <f>+IF(G134&lt;&gt;0,G134*J134/100,0)</f>
        <v>0</v>
      </c>
      <c r="L134" s="16"/>
      <c r="M134" s="17"/>
      <c r="N134" s="18">
        <f>+IF(L134&lt;&gt;0,L134*M134/100,0)</f>
        <v>0</v>
      </c>
      <c r="O134" s="19"/>
      <c r="P134" s="18"/>
      <c r="Q134" s="16"/>
      <c r="R134" s="17"/>
      <c r="S134" s="18"/>
      <c r="T134" s="19"/>
      <c r="U134" s="18"/>
      <c r="V134" s="16"/>
      <c r="W134" s="17"/>
      <c r="X134" s="18">
        <f>+IF(W134&lt;&gt;0,V134*W134/100,0)</f>
        <v>0</v>
      </c>
      <c r="Y134" s="19"/>
      <c r="Z134" s="19"/>
      <c r="AA134" s="18">
        <f>+IF(Z134&lt;&gt;0,Y134*Z134/100,0)</f>
        <v>0</v>
      </c>
      <c r="AB134" s="20">
        <f>+G134+I134+K134+L134+N134+P134+Q134+S134+U134-X134-AA134</f>
        <v>1679.48</v>
      </c>
      <c r="AC134" s="5"/>
      <c r="AD134" s="8"/>
      <c r="AF134" s="6"/>
      <c r="AG134" s="7"/>
      <c r="AJ134" s="33"/>
      <c r="AK134" s="35"/>
      <c r="AL134" s="38"/>
    </row>
    <row r="135" spans="1:38" ht="17.25" customHeight="1">
      <c r="A135" s="25">
        <v>45714</v>
      </c>
      <c r="B135" s="26" t="s">
        <v>431</v>
      </c>
      <c r="C135" s="14"/>
      <c r="D135" s="31" t="s">
        <v>432</v>
      </c>
      <c r="E135" s="14" t="s">
        <v>433</v>
      </c>
      <c r="F135" s="15" t="str">
        <f>"S/F "&amp;B135&amp;" "&amp;E135</f>
        <v>S/F 2025016997 ASPY Prevención S.L.U.</v>
      </c>
      <c r="G135" s="16">
        <v>226.21</v>
      </c>
      <c r="H135" s="17">
        <v>21</v>
      </c>
      <c r="I135" s="18">
        <f>+IF(G135&lt;&gt;0,G135*H135/100,0)</f>
        <v>47.504100000000001</v>
      </c>
      <c r="J135" s="17"/>
      <c r="K135" s="18">
        <f>+IF(G135&lt;&gt;0,G135*J135/100,0)</f>
        <v>0</v>
      </c>
      <c r="L135" s="16"/>
      <c r="M135" s="17"/>
      <c r="N135" s="18">
        <f>+IF(L135&lt;&gt;0,L135*M135/100,0)</f>
        <v>0</v>
      </c>
      <c r="O135" s="19"/>
      <c r="P135" s="18"/>
      <c r="Q135" s="16"/>
      <c r="R135" s="17"/>
      <c r="S135" s="18"/>
      <c r="T135" s="19"/>
      <c r="U135" s="18"/>
      <c r="V135" s="16"/>
      <c r="W135" s="17"/>
      <c r="X135" s="18">
        <f>+IF(W135&lt;&gt;0,V135*W135/100,0)</f>
        <v>0</v>
      </c>
      <c r="Y135" s="19"/>
      <c r="Z135" s="19"/>
      <c r="AA135" s="18">
        <f>+IF(Z135&lt;&gt;0,Y135*Z135/100,0)</f>
        <v>0</v>
      </c>
      <c r="AB135" s="20">
        <f>+G135+I135+K135+L135+N135+P135+Q135+S135+U135-X135-AA135</f>
        <v>273.71410000000003</v>
      </c>
      <c r="AC135" s="5"/>
      <c r="AD135" s="8"/>
      <c r="AF135" s="6"/>
      <c r="AG135" s="7"/>
      <c r="AJ135" s="33"/>
      <c r="AK135" s="35" t="s">
        <v>68</v>
      </c>
      <c r="AL135" s="38"/>
    </row>
    <row r="136" spans="1:38" ht="17.25" customHeight="1">
      <c r="A136" s="25">
        <v>45714</v>
      </c>
      <c r="B136" s="26" t="s">
        <v>454</v>
      </c>
      <c r="C136" s="14"/>
      <c r="D136" s="31" t="s">
        <v>466</v>
      </c>
      <c r="E136" s="14" t="s">
        <v>440</v>
      </c>
      <c r="F136" s="15" t="str">
        <f>"S/F "&amp;B136&amp;" "&amp;E136</f>
        <v>S/F 5477-2025-00019447 Costco wholesale Spain S.L.U.</v>
      </c>
      <c r="G136" s="16">
        <v>228.84</v>
      </c>
      <c r="H136" s="17">
        <v>21</v>
      </c>
      <c r="I136" s="18">
        <f>+IF(G136&lt;&gt;0,G136*H136/100,0)</f>
        <v>48.056400000000004</v>
      </c>
      <c r="J136" s="17"/>
      <c r="K136" s="18">
        <f>+IF(G136&lt;&gt;0,G136*J136/100,0)</f>
        <v>0</v>
      </c>
      <c r="L136" s="16"/>
      <c r="M136" s="17"/>
      <c r="N136" s="18">
        <f>+IF(L136&lt;&gt;0,L136*M136/100,0)</f>
        <v>0</v>
      </c>
      <c r="O136" s="19"/>
      <c r="P136" s="18"/>
      <c r="Q136" s="16"/>
      <c r="R136" s="17"/>
      <c r="S136" s="18"/>
      <c r="T136" s="19"/>
      <c r="U136" s="18"/>
      <c r="V136" s="16"/>
      <c r="W136" s="17"/>
      <c r="X136" s="18">
        <f>+IF(W136&lt;&gt;0,V136*W136/100,0)</f>
        <v>0</v>
      </c>
      <c r="Y136" s="19"/>
      <c r="Z136" s="19"/>
      <c r="AA136" s="18">
        <f>+IF(Z136&lt;&gt;0,Y136*Z136/100,0)</f>
        <v>0</v>
      </c>
      <c r="AB136" s="20">
        <f>+G136+I136+K136+L136+N136+P136+Q136+S136+U136-X136-AA136</f>
        <v>276.89640000000003</v>
      </c>
      <c r="AC136" s="5"/>
      <c r="AD136" s="8"/>
      <c r="AF136" s="6"/>
      <c r="AG136" s="7"/>
      <c r="AJ136" s="33"/>
      <c r="AK136" s="35" t="s">
        <v>445</v>
      </c>
      <c r="AL136" s="38"/>
    </row>
    <row r="137" spans="1:38" ht="17.25" customHeight="1">
      <c r="A137" s="25">
        <v>45714</v>
      </c>
      <c r="B137" s="26" t="s">
        <v>438</v>
      </c>
      <c r="C137" s="14"/>
      <c r="D137" s="31" t="s">
        <v>466</v>
      </c>
      <c r="E137" s="14" t="s">
        <v>440</v>
      </c>
      <c r="F137" s="15" t="str">
        <f>"S/F "&amp;B137&amp;" "&amp;E137</f>
        <v>S/F 5477-2025-00462157 Costco wholesale Spain S.L.U.</v>
      </c>
      <c r="G137" s="16">
        <v>61.01</v>
      </c>
      <c r="H137" s="17">
        <v>21</v>
      </c>
      <c r="I137" s="18">
        <f>+IF(G137&lt;&gt;0,G137*H137/100,0)</f>
        <v>12.812100000000001</v>
      </c>
      <c r="J137" s="17"/>
      <c r="K137" s="18">
        <f>+IF(G137&lt;&gt;0,G137*J137/100,0)</f>
        <v>0</v>
      </c>
      <c r="L137" s="16"/>
      <c r="M137" s="17"/>
      <c r="N137" s="18">
        <f>+IF(L137&lt;&gt;0,L137*M137/100,0)</f>
        <v>0</v>
      </c>
      <c r="O137" s="19"/>
      <c r="P137" s="18"/>
      <c r="Q137" s="16"/>
      <c r="R137" s="17"/>
      <c r="S137" s="18"/>
      <c r="T137" s="19"/>
      <c r="U137" s="18"/>
      <c r="V137" s="16"/>
      <c r="W137" s="17"/>
      <c r="X137" s="18">
        <f>+IF(W137&lt;&gt;0,V137*W137/100,0)</f>
        <v>0</v>
      </c>
      <c r="Y137" s="19"/>
      <c r="Z137" s="19"/>
      <c r="AA137" s="18">
        <f>+IF(Z137&lt;&gt;0,Y137*Z137/100,0)</f>
        <v>0</v>
      </c>
      <c r="AB137" s="20">
        <f>+G137+I137+K137+L137+N137+P137+Q137+S137+U137-X137-AA137</f>
        <v>73.822100000000006</v>
      </c>
      <c r="AC137" s="5"/>
      <c r="AD137" s="8"/>
      <c r="AF137" s="6"/>
      <c r="AG137" s="7"/>
      <c r="AJ137" s="33"/>
      <c r="AK137" s="35" t="s">
        <v>441</v>
      </c>
      <c r="AL137" s="38"/>
    </row>
    <row r="138" spans="1:38" ht="17.25" customHeight="1">
      <c r="A138" s="25">
        <v>45715</v>
      </c>
      <c r="B138" s="26" t="s">
        <v>505</v>
      </c>
      <c r="C138" s="14"/>
      <c r="D138" s="31" t="s">
        <v>506</v>
      </c>
      <c r="E138" s="14" t="s">
        <v>507</v>
      </c>
      <c r="F138" s="15" t="str">
        <f>"S/F "&amp;B138&amp;" "&amp;E138</f>
        <v>S/F 2493 Lacados Grema S.L.</v>
      </c>
      <c r="G138" s="16">
        <v>2823.75</v>
      </c>
      <c r="H138" s="17">
        <v>21</v>
      </c>
      <c r="I138" s="18">
        <f>+IF(G138&lt;&gt;0,G138*H138/100,0)</f>
        <v>592.98749999999995</v>
      </c>
      <c r="J138" s="17"/>
      <c r="K138" s="18">
        <f>+IF(G138&lt;&gt;0,G138*J138/100,0)</f>
        <v>0</v>
      </c>
      <c r="L138" s="16"/>
      <c r="M138" s="17"/>
      <c r="N138" s="18">
        <f>+IF(L138&lt;&gt;0,L138*M138/100,0)</f>
        <v>0</v>
      </c>
      <c r="O138" s="19"/>
      <c r="P138" s="18"/>
      <c r="Q138" s="16"/>
      <c r="R138" s="17"/>
      <c r="S138" s="18"/>
      <c r="T138" s="19"/>
      <c r="U138" s="18"/>
      <c r="V138" s="16"/>
      <c r="W138" s="17"/>
      <c r="X138" s="18">
        <f>+IF(W138&lt;&gt;0,V138*W138/100,0)</f>
        <v>0</v>
      </c>
      <c r="Y138" s="19"/>
      <c r="Z138" s="19"/>
      <c r="AA138" s="18">
        <f>+IF(Z138&lt;&gt;0,Y138*Z138/100,0)</f>
        <v>0</v>
      </c>
      <c r="AB138" s="20">
        <f>+G138+I138+K138+L138+N138+P138+Q138+S138+U138-X138-AA138</f>
        <v>3416.7375000000002</v>
      </c>
      <c r="AC138" s="5"/>
      <c r="AD138" s="8"/>
      <c r="AF138" s="6"/>
      <c r="AG138" s="7"/>
      <c r="AJ138" s="33" t="s">
        <v>508</v>
      </c>
      <c r="AK138" s="35" t="s">
        <v>68</v>
      </c>
      <c r="AL138" s="38"/>
    </row>
    <row r="139" spans="1:38" ht="17.25" customHeight="1">
      <c r="A139" s="25">
        <v>45715</v>
      </c>
      <c r="B139" s="26" t="s">
        <v>427</v>
      </c>
      <c r="C139" s="14"/>
      <c r="D139" s="31" t="s">
        <v>211</v>
      </c>
      <c r="E139" s="14" t="s">
        <v>212</v>
      </c>
      <c r="F139" s="15" t="str">
        <f>"S/F "&amp;B139&amp;" "&amp;E139</f>
        <v>S/F 5474 Nakal Soluciones S.L.</v>
      </c>
      <c r="G139" s="16">
        <v>185.72</v>
      </c>
      <c r="H139" s="17">
        <v>21</v>
      </c>
      <c r="I139" s="18">
        <f>+IF(G139&lt;&gt;0,G139*H139/100,0)</f>
        <v>39.001199999999997</v>
      </c>
      <c r="J139" s="17"/>
      <c r="K139" s="18">
        <f>+IF(G139&lt;&gt;0,G139*J139/100,0)</f>
        <v>0</v>
      </c>
      <c r="L139" s="16"/>
      <c r="M139" s="17"/>
      <c r="N139" s="18">
        <f>+IF(L139&lt;&gt;0,L139*M139/100,0)</f>
        <v>0</v>
      </c>
      <c r="O139" s="19"/>
      <c r="P139" s="18"/>
      <c r="Q139" s="16"/>
      <c r="R139" s="17"/>
      <c r="S139" s="18"/>
      <c r="T139" s="19"/>
      <c r="U139" s="18"/>
      <c r="V139" s="16"/>
      <c r="W139" s="17"/>
      <c r="X139" s="18">
        <f>+IF(W139&lt;&gt;0,V139*W139/100,0)</f>
        <v>0</v>
      </c>
      <c r="Y139" s="19"/>
      <c r="Z139" s="19"/>
      <c r="AA139" s="18">
        <f>+IF(Z139&lt;&gt;0,Y139*Z139/100,0)</f>
        <v>0</v>
      </c>
      <c r="AB139" s="20">
        <f>+G139+I139+K139+L139+N139+P139+Q139+S139+U139-X139-AA139</f>
        <v>224.72120000000001</v>
      </c>
      <c r="AC139" s="5"/>
      <c r="AD139" s="8"/>
      <c r="AF139" s="6"/>
      <c r="AG139" s="7"/>
      <c r="AJ139" s="33"/>
      <c r="AK139" s="35" t="s">
        <v>75</v>
      </c>
      <c r="AL139" s="38"/>
    </row>
    <row r="140" spans="1:38" ht="17.25" customHeight="1">
      <c r="A140" s="25">
        <v>45715</v>
      </c>
      <c r="B140" s="26" t="s">
        <v>504</v>
      </c>
      <c r="C140" s="14"/>
      <c r="D140" s="31" t="s">
        <v>128</v>
      </c>
      <c r="E140" s="14" t="s">
        <v>129</v>
      </c>
      <c r="F140" s="15" t="str">
        <f>"S/F "&amp;B140&amp;" "&amp;E140</f>
        <v>S/F 250121 Comercial Andora Semanca S.L.</v>
      </c>
      <c r="G140" s="16">
        <v>1044.4000000000001</v>
      </c>
      <c r="H140" s="17">
        <v>21</v>
      </c>
      <c r="I140" s="18">
        <f>+IF(G140&lt;&gt;0,G140*H140/100,0)</f>
        <v>219.32400000000001</v>
      </c>
      <c r="J140" s="17"/>
      <c r="K140" s="18">
        <f>+IF(G140&lt;&gt;0,G140*J140/100,0)</f>
        <v>0</v>
      </c>
      <c r="L140" s="16"/>
      <c r="M140" s="17"/>
      <c r="N140" s="18">
        <f>+IF(L140&lt;&gt;0,L140*M140/100,0)</f>
        <v>0</v>
      </c>
      <c r="O140" s="19"/>
      <c r="P140" s="18"/>
      <c r="Q140" s="16"/>
      <c r="R140" s="17"/>
      <c r="S140" s="18"/>
      <c r="T140" s="19"/>
      <c r="U140" s="18"/>
      <c r="V140" s="16"/>
      <c r="W140" s="17"/>
      <c r="X140" s="18">
        <f>+IF(W140&lt;&gt;0,V140*W140/100,0)</f>
        <v>0</v>
      </c>
      <c r="Y140" s="19"/>
      <c r="Z140" s="19"/>
      <c r="AA140" s="18">
        <f>+IF(Z140&lt;&gt;0,Y140*Z140/100,0)</f>
        <v>0</v>
      </c>
      <c r="AB140" s="20">
        <f>+G140+I140+K140+L140+N140+P140+Q140+S140+U140-X140-AA140</f>
        <v>1263.7240000000002</v>
      </c>
      <c r="AC140" s="5"/>
      <c r="AD140" s="8"/>
      <c r="AF140" s="6"/>
      <c r="AG140" s="7"/>
      <c r="AJ140" s="33"/>
      <c r="AK140" s="35" t="s">
        <v>68</v>
      </c>
      <c r="AL140" s="38"/>
    </row>
    <row r="141" spans="1:38" ht="17.25" customHeight="1">
      <c r="A141" s="25">
        <v>45715</v>
      </c>
      <c r="B141" s="26" t="s">
        <v>548</v>
      </c>
      <c r="C141" s="14"/>
      <c r="D141" s="26" t="s">
        <v>85</v>
      </c>
      <c r="E141" s="14" t="s">
        <v>86</v>
      </c>
      <c r="F141" s="15" t="str">
        <f>"S/F "&amp;B141&amp;" "&amp;E141</f>
        <v>S/F 04/025 José Luis Úbeda Sanz &amp; Cía S.R.C.</v>
      </c>
      <c r="G141" s="16">
        <v>7780.39</v>
      </c>
      <c r="H141" s="17">
        <v>21</v>
      </c>
      <c r="I141" s="18">
        <f>+IF(G141&lt;&gt;0,G141*H141/100,0)</f>
        <v>1633.8819000000001</v>
      </c>
      <c r="J141" s="17"/>
      <c r="K141" s="18"/>
      <c r="L141" s="16"/>
      <c r="M141" s="17"/>
      <c r="N141" s="18">
        <f>+IF(L141&lt;&gt;0,L141*M141/100,0)</f>
        <v>0</v>
      </c>
      <c r="O141" s="19"/>
      <c r="P141" s="18"/>
      <c r="Q141" s="16"/>
      <c r="R141" s="17"/>
      <c r="S141" s="18"/>
      <c r="T141" s="19"/>
      <c r="U141" s="18"/>
      <c r="V141" s="16">
        <v>7780.39</v>
      </c>
      <c r="W141" s="17">
        <v>19</v>
      </c>
      <c r="X141" s="18">
        <f>+IF(W141&lt;&gt;0,V141*W141/100,0)</f>
        <v>1478.2741000000001</v>
      </c>
      <c r="Y141" s="19"/>
      <c r="Z141" s="19"/>
      <c r="AA141" s="18"/>
      <c r="AB141" s="20">
        <f>+G141+I141+K141+L141+N141+P141+Q141+S141+U141-X141-AA141</f>
        <v>7935.9977999999992</v>
      </c>
      <c r="AC141" s="5"/>
      <c r="AD141" s="8"/>
      <c r="AF141" s="6"/>
      <c r="AG141" s="7"/>
      <c r="AJ141" s="33" t="s">
        <v>87</v>
      </c>
      <c r="AK141" s="35" t="s">
        <v>75</v>
      </c>
      <c r="AL141" s="38"/>
    </row>
    <row r="142" spans="1:38" ht="17.25" customHeight="1">
      <c r="A142" s="25">
        <v>45715</v>
      </c>
      <c r="B142" s="26" t="s">
        <v>556</v>
      </c>
      <c r="C142" s="14"/>
      <c r="D142" s="31" t="s">
        <v>307</v>
      </c>
      <c r="E142" s="14" t="s">
        <v>308</v>
      </c>
      <c r="F142" s="15" t="str">
        <f>"S/F "&amp;B142&amp;" "&amp;E142</f>
        <v>S/F 25/00071 Compresores Madrid S.L.U.</v>
      </c>
      <c r="G142" s="16">
        <v>15000</v>
      </c>
      <c r="H142" s="17">
        <v>21</v>
      </c>
      <c r="I142" s="18">
        <f>+IF(G142&lt;&gt;0,G142*H142/100,0)</f>
        <v>3150</v>
      </c>
      <c r="J142" s="17"/>
      <c r="K142" s="18">
        <f>+IF(G142&lt;&gt;0,G142*J142/100,0)</f>
        <v>0</v>
      </c>
      <c r="L142" s="16"/>
      <c r="M142" s="17"/>
      <c r="N142" s="18">
        <f>+IF(L142&lt;&gt;0,L142*M142/100,0)</f>
        <v>0</v>
      </c>
      <c r="O142" s="19"/>
      <c r="P142" s="18"/>
      <c r="Q142" s="16"/>
      <c r="R142" s="17"/>
      <c r="S142" s="18"/>
      <c r="T142" s="19"/>
      <c r="U142" s="18"/>
      <c r="V142" s="16"/>
      <c r="W142" s="17"/>
      <c r="X142" s="18">
        <f>+IF(W142&lt;&gt;0,V142*W142/100,0)</f>
        <v>0</v>
      </c>
      <c r="Y142" s="19"/>
      <c r="Z142" s="19"/>
      <c r="AA142" s="18">
        <f>+IF(Z142&lt;&gt;0,Y142*Z142/100,0)</f>
        <v>0</v>
      </c>
      <c r="AB142" s="20">
        <f>+G142+I142+K142+L142+N142+P142+Q142+S142+U142-X142-AA142</f>
        <v>18150</v>
      </c>
      <c r="AC142" s="5"/>
      <c r="AD142" s="8"/>
      <c r="AF142" s="6"/>
      <c r="AG142" s="7"/>
      <c r="AJ142" s="33" t="s">
        <v>557</v>
      </c>
      <c r="AK142" s="35"/>
      <c r="AL142" s="38"/>
    </row>
    <row r="143" spans="1:38" ht="17.25" customHeight="1">
      <c r="A143" s="25">
        <v>45716</v>
      </c>
      <c r="B143" s="26" t="s">
        <v>571</v>
      </c>
      <c r="C143" s="14"/>
      <c r="D143" s="31" t="s">
        <v>325</v>
      </c>
      <c r="E143" s="14" t="s">
        <v>326</v>
      </c>
      <c r="F143" s="15" t="str">
        <f>"S/F "&amp;B143&amp;" "&amp;E143</f>
        <v xml:space="preserve">S/F 10 Hostel Mireco S.L. - LA VELETA </v>
      </c>
      <c r="G143" s="16">
        <v>442.64</v>
      </c>
      <c r="H143" s="17">
        <v>10</v>
      </c>
      <c r="I143" s="18">
        <f>+IF(G143&lt;&gt;0,G143*H143/100,0)</f>
        <v>44.263999999999996</v>
      </c>
      <c r="J143" s="17"/>
      <c r="K143" s="18">
        <f>+IF(G143&lt;&gt;0,G143*J143/100,0)</f>
        <v>0</v>
      </c>
      <c r="L143" s="16"/>
      <c r="M143" s="17"/>
      <c r="N143" s="18">
        <f>+IF(L143&lt;&gt;0,L143*M143/100,0)</f>
        <v>0</v>
      </c>
      <c r="O143" s="19"/>
      <c r="P143" s="18"/>
      <c r="Q143" s="16"/>
      <c r="R143" s="17"/>
      <c r="S143" s="18"/>
      <c r="T143" s="19"/>
      <c r="U143" s="18"/>
      <c r="V143" s="16"/>
      <c r="W143" s="17"/>
      <c r="X143" s="18">
        <f>+IF(W143&lt;&gt;0,V143*W143/100,0)</f>
        <v>0</v>
      </c>
      <c r="Y143" s="19"/>
      <c r="Z143" s="19"/>
      <c r="AA143" s="18">
        <f>+IF(Z143&lt;&gt;0,Y143*Z143/100,0)</f>
        <v>0</v>
      </c>
      <c r="AB143" s="20">
        <f>+G143+I143+K143+L143+N143+P143+Q143+S143+U143-X143-AA143</f>
        <v>486.904</v>
      </c>
      <c r="AC143" s="5"/>
      <c r="AD143" s="8"/>
      <c r="AF143" s="6"/>
      <c r="AG143" s="7"/>
      <c r="AJ143" s="33" t="s">
        <v>572</v>
      </c>
      <c r="AK143" s="35" t="s">
        <v>573</v>
      </c>
      <c r="AL143" s="38"/>
    </row>
    <row r="144" spans="1:38" ht="17.25" customHeight="1">
      <c r="A144" s="25">
        <v>45716</v>
      </c>
      <c r="B144" s="26" t="s">
        <v>528</v>
      </c>
      <c r="C144" s="14"/>
      <c r="D144" s="31" t="s">
        <v>50</v>
      </c>
      <c r="E144" s="14" t="s">
        <v>51</v>
      </c>
      <c r="F144" s="15" t="str">
        <f>"S/F "&amp;B144&amp;" "&amp;E144</f>
        <v>S/F 434 Tubos Vega S.L.</v>
      </c>
      <c r="G144" s="16">
        <v>7194.27</v>
      </c>
      <c r="H144" s="17">
        <v>21</v>
      </c>
      <c r="I144" s="18">
        <f>+IF(G144&lt;&gt;0,G144*H144/100,0)</f>
        <v>1510.7967000000001</v>
      </c>
      <c r="J144" s="17"/>
      <c r="K144" s="18">
        <f>+IF(G144&lt;&gt;0,G144*J144/100,0)</f>
        <v>0</v>
      </c>
      <c r="L144" s="16"/>
      <c r="M144" s="17"/>
      <c r="N144" s="18">
        <f>+IF(L144&lt;&gt;0,L144*M144/100,0)</f>
        <v>0</v>
      </c>
      <c r="O144" s="19"/>
      <c r="P144" s="18"/>
      <c r="Q144" s="16"/>
      <c r="R144" s="17"/>
      <c r="S144" s="18"/>
      <c r="T144" s="19"/>
      <c r="U144" s="18"/>
      <c r="V144" s="16"/>
      <c r="W144" s="17"/>
      <c r="X144" s="18">
        <f>+IF(W144&lt;&gt;0,V144*W144/100,0)</f>
        <v>0</v>
      </c>
      <c r="Y144" s="19"/>
      <c r="Z144" s="19"/>
      <c r="AA144" s="18">
        <f>+IF(Z144&lt;&gt;0,Y144*Z144/100,0)</f>
        <v>0</v>
      </c>
      <c r="AB144" s="20">
        <f>+G144+I144+K144+L144+N144+P144+Q144+S144+U144-X144-AA144</f>
        <v>8705.0667000000012</v>
      </c>
      <c r="AC144" s="5"/>
      <c r="AD144" s="8"/>
      <c r="AF144" s="6"/>
      <c r="AG144" s="7"/>
      <c r="AJ144" s="33"/>
      <c r="AK144" s="35"/>
      <c r="AL144" s="38"/>
    </row>
    <row r="145" spans="1:38" ht="17.25" customHeight="1">
      <c r="A145" s="25">
        <v>45716</v>
      </c>
      <c r="B145" s="26" t="s">
        <v>515</v>
      </c>
      <c r="C145" s="14"/>
      <c r="D145" s="31" t="s">
        <v>45</v>
      </c>
      <c r="E145" s="14" t="s">
        <v>46</v>
      </c>
      <c r="F145" s="15" t="str">
        <f>"S/F "&amp;B145&amp;" "&amp;E145</f>
        <v>S/F 663 Comercial de Chapa Cortada S.L.</v>
      </c>
      <c r="G145" s="16">
        <v>845</v>
      </c>
      <c r="H145" s="17">
        <v>21</v>
      </c>
      <c r="I145" s="18">
        <f>+IF(G145&lt;&gt;0,G145*H145/100,0)</f>
        <v>177.45</v>
      </c>
      <c r="J145" s="17"/>
      <c r="K145" s="18">
        <f>+IF(G145&lt;&gt;0,G145*J145/100,0)</f>
        <v>0</v>
      </c>
      <c r="L145" s="16"/>
      <c r="M145" s="17"/>
      <c r="N145" s="18">
        <f>+IF(L145&lt;&gt;0,L145*M145/100,0)</f>
        <v>0</v>
      </c>
      <c r="O145" s="19"/>
      <c r="P145" s="18"/>
      <c r="Q145" s="16"/>
      <c r="R145" s="17"/>
      <c r="S145" s="18"/>
      <c r="T145" s="19"/>
      <c r="U145" s="18"/>
      <c r="V145" s="16"/>
      <c r="W145" s="17"/>
      <c r="X145" s="18">
        <f>+IF(W145&lt;&gt;0,V145*W145/100,0)</f>
        <v>0</v>
      </c>
      <c r="Y145" s="19"/>
      <c r="Z145" s="19"/>
      <c r="AA145" s="18">
        <f>+IF(Z145&lt;&gt;0,Y145*Z145/100,0)</f>
        <v>0</v>
      </c>
      <c r="AB145" s="20">
        <f>+G145+I145+K145+L145+N145+P145+Q145+S145+U145-X145-AA145</f>
        <v>1022.45</v>
      </c>
      <c r="AC145" s="5"/>
      <c r="AD145" s="8"/>
      <c r="AF145" s="6"/>
      <c r="AG145" s="7"/>
      <c r="AJ145" s="33"/>
      <c r="AK145" s="35" t="s">
        <v>445</v>
      </c>
      <c r="AL145" s="38"/>
    </row>
    <row r="146" spans="1:38" ht="17.25" customHeight="1">
      <c r="A146" s="25">
        <v>45716</v>
      </c>
      <c r="B146" s="26" t="s">
        <v>434</v>
      </c>
      <c r="C146" s="14"/>
      <c r="D146" s="31" t="s">
        <v>45</v>
      </c>
      <c r="E146" s="14" t="s">
        <v>46</v>
      </c>
      <c r="F146" s="15" t="str">
        <f>"S/F "&amp;B146&amp;" "&amp;E146</f>
        <v>S/F 664 Comercial de Chapa Cortada S.L.</v>
      </c>
      <c r="G146" s="16">
        <v>104.5</v>
      </c>
      <c r="H146" s="17">
        <v>21</v>
      </c>
      <c r="I146" s="18">
        <f>+IF(G146&lt;&gt;0,G146*H146/100,0)</f>
        <v>21.945</v>
      </c>
      <c r="J146" s="17"/>
      <c r="K146" s="18">
        <f>+IF(G146&lt;&gt;0,G146*J146/100,0)</f>
        <v>0</v>
      </c>
      <c r="L146" s="16"/>
      <c r="M146" s="17"/>
      <c r="N146" s="18">
        <f>+IF(L146&lt;&gt;0,L146*M146/100,0)</f>
        <v>0</v>
      </c>
      <c r="O146" s="19"/>
      <c r="P146" s="18"/>
      <c r="Q146" s="16"/>
      <c r="R146" s="17"/>
      <c r="S146" s="18"/>
      <c r="T146" s="19"/>
      <c r="U146" s="18"/>
      <c r="V146" s="16"/>
      <c r="W146" s="17"/>
      <c r="X146" s="18">
        <f>+IF(W146&lt;&gt;0,V146*W146/100,0)</f>
        <v>0</v>
      </c>
      <c r="Y146" s="19"/>
      <c r="Z146" s="19"/>
      <c r="AA146" s="18">
        <f>+IF(Z146&lt;&gt;0,Y146*Z146/100,0)</f>
        <v>0</v>
      </c>
      <c r="AB146" s="20">
        <f>+G146+I146+K146+L146+N146+P146+Q146+S146+U146-X146-AA146</f>
        <v>126.44499999999999</v>
      </c>
      <c r="AC146" s="5"/>
      <c r="AD146" s="8"/>
      <c r="AF146" s="6"/>
      <c r="AG146" s="7"/>
      <c r="AJ146" s="33"/>
      <c r="AK146" s="35"/>
      <c r="AL146" s="38"/>
    </row>
    <row r="147" spans="1:38" ht="17.25" customHeight="1">
      <c r="A147" s="25">
        <v>45716</v>
      </c>
      <c r="B147" s="26" t="s">
        <v>442</v>
      </c>
      <c r="C147" s="14"/>
      <c r="D147" s="31" t="s">
        <v>443</v>
      </c>
      <c r="E147" s="14" t="s">
        <v>444</v>
      </c>
      <c r="F147" s="15" t="str">
        <f>"S/F "&amp;B147&amp;" "&amp;E147</f>
        <v>S/F 2215 Meson Toledano</v>
      </c>
      <c r="G147" s="16">
        <v>175.91</v>
      </c>
      <c r="H147" s="17">
        <v>10</v>
      </c>
      <c r="I147" s="18">
        <f>+IF(G147&lt;&gt;0,G147*H147/100,0)</f>
        <v>17.590999999999998</v>
      </c>
      <c r="J147" s="17"/>
      <c r="K147" s="18">
        <f>+IF(G147&lt;&gt;0,G147*J147/100,0)</f>
        <v>0</v>
      </c>
      <c r="L147" s="16"/>
      <c r="M147" s="17"/>
      <c r="N147" s="18">
        <f>+IF(L147&lt;&gt;0,L147*M147/100,0)</f>
        <v>0</v>
      </c>
      <c r="O147" s="19"/>
      <c r="P147" s="18"/>
      <c r="Q147" s="16"/>
      <c r="R147" s="17"/>
      <c r="S147" s="18"/>
      <c r="T147" s="19"/>
      <c r="U147" s="18"/>
      <c r="V147" s="16"/>
      <c r="W147" s="17"/>
      <c r="X147" s="18">
        <f>+IF(W147&lt;&gt;0,V147*W147/100,0)</f>
        <v>0</v>
      </c>
      <c r="Y147" s="19"/>
      <c r="Z147" s="19"/>
      <c r="AA147" s="18">
        <f>+IF(Z147&lt;&gt;0,Y147*Z147/100,0)</f>
        <v>0</v>
      </c>
      <c r="AB147" s="20">
        <f>+G147+I147+K147+L147+N147+P147+Q147+S147+U147-X147-AA147</f>
        <v>193.501</v>
      </c>
      <c r="AC147" s="5"/>
      <c r="AD147" s="8"/>
      <c r="AF147" s="6"/>
      <c r="AG147" s="7"/>
      <c r="AJ147" s="33"/>
      <c r="AK147" s="35"/>
      <c r="AL147" s="38"/>
    </row>
    <row r="148" spans="1:38" ht="17.25" customHeight="1">
      <c r="A148" s="25">
        <v>45716</v>
      </c>
      <c r="B148" s="26" t="s">
        <v>522</v>
      </c>
      <c r="C148" s="14"/>
      <c r="D148" s="31" t="s">
        <v>263</v>
      </c>
      <c r="E148" s="14" t="s">
        <v>264</v>
      </c>
      <c r="F148" s="15" t="str">
        <f>"S/F "&amp;B148&amp;" "&amp;E148</f>
        <v>S/F 2951 Porfirio Sandonis Moreda</v>
      </c>
      <c r="G148" s="16">
        <v>275</v>
      </c>
      <c r="H148" s="17">
        <v>21</v>
      </c>
      <c r="I148" s="18">
        <f>+IF(G148&lt;&gt;0,G148*H148/100,0)</f>
        <v>57.75</v>
      </c>
      <c r="J148" s="17"/>
      <c r="K148" s="18">
        <f>+IF(G148&lt;&gt;0,G148*J148/100,0)</f>
        <v>0</v>
      </c>
      <c r="L148" s="16"/>
      <c r="M148" s="17"/>
      <c r="N148" s="18">
        <f>+IF(L148&lt;&gt;0,L148*M148/100,0)</f>
        <v>0</v>
      </c>
      <c r="O148" s="19"/>
      <c r="P148" s="18"/>
      <c r="Q148" s="16"/>
      <c r="R148" s="17"/>
      <c r="S148" s="18"/>
      <c r="T148" s="19"/>
      <c r="U148" s="18"/>
      <c r="V148" s="16">
        <v>275</v>
      </c>
      <c r="W148" s="17">
        <v>1</v>
      </c>
      <c r="X148" s="18">
        <f>+IF(W148&lt;&gt;0,V148*W148/100,0)</f>
        <v>2.75</v>
      </c>
      <c r="Y148" s="19"/>
      <c r="Z148" s="19"/>
      <c r="AA148" s="18"/>
      <c r="AB148" s="20">
        <f>+G148+I148+K148+L148+N148+P148+Q148+S148+U148-X148-AA148</f>
        <v>330</v>
      </c>
      <c r="AC148" s="5"/>
      <c r="AD148" s="8"/>
      <c r="AF148" s="6"/>
      <c r="AG148" s="7"/>
      <c r="AJ148" s="33"/>
      <c r="AK148" s="35"/>
      <c r="AL148" s="38"/>
    </row>
    <row r="149" spans="1:38" ht="17.25" customHeight="1">
      <c r="A149" s="25">
        <v>45716</v>
      </c>
      <c r="B149" s="26" t="s">
        <v>560</v>
      </c>
      <c r="C149" s="14"/>
      <c r="D149" s="31" t="s">
        <v>257</v>
      </c>
      <c r="E149" s="14" t="s">
        <v>258</v>
      </c>
      <c r="F149" s="15" t="str">
        <f>"S/F "&amp;B149&amp;" "&amp;E149</f>
        <v>S/F 25038 Induolmasa S.A.</v>
      </c>
      <c r="G149" s="16">
        <v>2453.61</v>
      </c>
      <c r="H149" s="17">
        <v>21</v>
      </c>
      <c r="I149" s="18">
        <f>+IF(G149&lt;&gt;0,G149*H149/100,0)</f>
        <v>515.25810000000001</v>
      </c>
      <c r="J149" s="17"/>
      <c r="K149" s="18">
        <f>+IF(G149&lt;&gt;0,G149*J149/100,0)</f>
        <v>0</v>
      </c>
      <c r="L149" s="16"/>
      <c r="M149" s="17"/>
      <c r="N149" s="18">
        <f>+IF(L149&lt;&gt;0,L149*M149/100,0)</f>
        <v>0</v>
      </c>
      <c r="O149" s="19"/>
      <c r="P149" s="18"/>
      <c r="Q149" s="16"/>
      <c r="R149" s="17"/>
      <c r="S149" s="18"/>
      <c r="T149" s="19"/>
      <c r="U149" s="18"/>
      <c r="V149" s="16"/>
      <c r="W149" s="17"/>
      <c r="X149" s="18">
        <f>+IF(W149&lt;&gt;0,V149*W149/100,0)</f>
        <v>0</v>
      </c>
      <c r="Y149" s="19"/>
      <c r="Z149" s="19"/>
      <c r="AA149" s="18">
        <f>+IF(Z149&lt;&gt;0,Y149*Z149/100,0)</f>
        <v>0</v>
      </c>
      <c r="AB149" s="20">
        <f>+G149+I149+K149+L149+N149+P149+Q149+S149+U149-X149-AA149</f>
        <v>2968.8681000000001</v>
      </c>
      <c r="AC149" s="5"/>
      <c r="AD149" s="8"/>
      <c r="AF149" s="6"/>
      <c r="AG149" s="7"/>
      <c r="AJ149" s="33"/>
      <c r="AK149" s="35"/>
      <c r="AL149" s="38"/>
    </row>
    <row r="150" spans="1:38" ht="17.25" customHeight="1">
      <c r="A150" s="25">
        <v>45716</v>
      </c>
      <c r="B150" s="26" t="s">
        <v>532</v>
      </c>
      <c r="C150" s="14"/>
      <c r="D150" s="31" t="s">
        <v>276</v>
      </c>
      <c r="E150" s="14" t="s">
        <v>277</v>
      </c>
      <c r="F150" s="15" t="str">
        <f>"S/F "&amp;B150&amp;" "&amp;E150</f>
        <v>S/F 250034 Sean Suministros Industriales C.B.</v>
      </c>
      <c r="G150" s="16">
        <v>4963.5200000000004</v>
      </c>
      <c r="H150" s="17">
        <v>21</v>
      </c>
      <c r="I150" s="18">
        <f>+IF(G150&lt;&gt;0,G150*H150/100,0)</f>
        <v>1042.3392000000001</v>
      </c>
      <c r="J150" s="17"/>
      <c r="K150" s="18">
        <f>+IF(G150&lt;&gt;0,G150*J150/100,0)</f>
        <v>0</v>
      </c>
      <c r="L150" s="16"/>
      <c r="M150" s="17"/>
      <c r="N150" s="18">
        <f>+IF(L150&lt;&gt;0,L150*M150/100,0)</f>
        <v>0</v>
      </c>
      <c r="O150" s="19"/>
      <c r="P150" s="18"/>
      <c r="Q150" s="16"/>
      <c r="R150" s="17"/>
      <c r="S150" s="18"/>
      <c r="T150" s="19"/>
      <c r="U150" s="18"/>
      <c r="V150" s="16"/>
      <c r="W150" s="17"/>
      <c r="X150" s="18">
        <f>+IF(W150&lt;&gt;0,V150*W150/100,0)</f>
        <v>0</v>
      </c>
      <c r="Y150" s="19"/>
      <c r="Z150" s="19"/>
      <c r="AA150" s="18">
        <f>+IF(Z150&lt;&gt;0,Y150*Z150/100,0)</f>
        <v>0</v>
      </c>
      <c r="AB150" s="20">
        <f>+G150+I150+K150+L150+N150+P150+Q150+S150+U150-X150-AA150</f>
        <v>6005.8592000000008</v>
      </c>
      <c r="AC150" s="5"/>
      <c r="AD150" s="8"/>
      <c r="AF150" s="6"/>
      <c r="AG150" s="7"/>
      <c r="AJ150" s="33"/>
      <c r="AK150" s="35"/>
      <c r="AL150" s="38"/>
    </row>
    <row r="151" spans="1:38" ht="17.25" customHeight="1">
      <c r="A151" s="25">
        <v>45716</v>
      </c>
      <c r="B151" s="26" t="s">
        <v>565</v>
      </c>
      <c r="C151" s="14"/>
      <c r="D151" s="31" t="s">
        <v>562</v>
      </c>
      <c r="E151" s="14" t="s">
        <v>563</v>
      </c>
      <c r="F151" s="15" t="str">
        <f>"S/F "&amp;B151&amp;" "&amp;E151</f>
        <v>S/F 250574 Contamar Asesores de Empresa S.L.</v>
      </c>
      <c r="G151" s="16">
        <v>739.61</v>
      </c>
      <c r="H151" s="17">
        <v>21</v>
      </c>
      <c r="I151" s="18">
        <f>+IF(G151&lt;&gt;0,G151*H151/100,0)</f>
        <v>155.31809999999999</v>
      </c>
      <c r="J151" s="17"/>
      <c r="K151" s="18">
        <f>+IF(G151&lt;&gt;0,G151*J151/100,0)</f>
        <v>0</v>
      </c>
      <c r="L151" s="16"/>
      <c r="M151" s="17"/>
      <c r="N151" s="18">
        <f>+IF(L151&lt;&gt;0,L151*M151/100,0)</f>
        <v>0</v>
      </c>
      <c r="O151" s="19"/>
      <c r="P151" s="18"/>
      <c r="Q151" s="16"/>
      <c r="R151" s="17"/>
      <c r="S151" s="18"/>
      <c r="T151" s="19"/>
      <c r="U151" s="18"/>
      <c r="V151" s="16"/>
      <c r="W151" s="17"/>
      <c r="X151" s="18">
        <f>+IF(W151&lt;&gt;0,V151*W151/100,0)</f>
        <v>0</v>
      </c>
      <c r="Y151" s="19"/>
      <c r="Z151" s="19"/>
      <c r="AA151" s="18">
        <f>+IF(Z151&lt;&gt;0,Y151*Z151/100,0)</f>
        <v>0</v>
      </c>
      <c r="AB151" s="20">
        <f>+G151+I151+K151+L151+N151+P151+Q151+S151+U151-X151-AA151</f>
        <v>894.92809999999997</v>
      </c>
      <c r="AC151" s="5"/>
      <c r="AD151" s="8"/>
      <c r="AF151" s="6"/>
      <c r="AG151" s="7"/>
      <c r="AJ151" s="33"/>
      <c r="AK151" s="35"/>
      <c r="AL151" s="38"/>
    </row>
    <row r="152" spans="1:38" ht="17.25" customHeight="1">
      <c r="A152" s="25">
        <v>45716</v>
      </c>
      <c r="B152" s="26" t="s">
        <v>561</v>
      </c>
      <c r="C152" s="14"/>
      <c r="D152" s="31" t="s">
        <v>562</v>
      </c>
      <c r="E152" s="14" t="s">
        <v>563</v>
      </c>
      <c r="F152" s="15" t="str">
        <f>"S/F "&amp;B152&amp;" "&amp;E152</f>
        <v>S/F 250770 Contamar Asesores de Empresa S.L.</v>
      </c>
      <c r="G152" s="16">
        <v>390.6</v>
      </c>
      <c r="H152" s="17">
        <v>21</v>
      </c>
      <c r="I152" s="18">
        <f>+IF(G152&lt;&gt;0,G152*H152/100,0)</f>
        <v>82.02600000000001</v>
      </c>
      <c r="J152" s="17"/>
      <c r="K152" s="18">
        <f>+IF(G152&lt;&gt;0,G152*J152/100,0)</f>
        <v>0</v>
      </c>
      <c r="L152" s="16"/>
      <c r="M152" s="17"/>
      <c r="N152" s="18">
        <f>+IF(L152&lt;&gt;0,L152*M152/100,0)</f>
        <v>0</v>
      </c>
      <c r="O152" s="19"/>
      <c r="P152" s="18"/>
      <c r="Q152" s="16"/>
      <c r="R152" s="17"/>
      <c r="S152" s="18"/>
      <c r="T152" s="19"/>
      <c r="U152" s="18"/>
      <c r="V152" s="16"/>
      <c r="W152" s="17"/>
      <c r="X152" s="18">
        <f>+IF(W152&lt;&gt;0,V152*W152/100,0)</f>
        <v>0</v>
      </c>
      <c r="Y152" s="19"/>
      <c r="Z152" s="19"/>
      <c r="AA152" s="18">
        <f>+IF(Z152&lt;&gt;0,Y152*Z152/100,0)</f>
        <v>0</v>
      </c>
      <c r="AB152" s="20">
        <f>+G152+I152+K152+L152+N152+P152+Q152+S152+U152-X152-AA152</f>
        <v>472.62600000000003</v>
      </c>
      <c r="AC152" s="5"/>
      <c r="AD152" s="8"/>
      <c r="AF152" s="6"/>
      <c r="AG152" s="7"/>
      <c r="AJ152" s="33"/>
      <c r="AK152" s="35"/>
      <c r="AL152" s="38"/>
    </row>
    <row r="153" spans="1:38" ht="17.25" customHeight="1">
      <c r="A153" s="25">
        <v>45716</v>
      </c>
      <c r="B153" s="26" t="s">
        <v>421</v>
      </c>
      <c r="C153" s="14"/>
      <c r="D153" s="31" t="s">
        <v>166</v>
      </c>
      <c r="E153" s="14" t="s">
        <v>384</v>
      </c>
      <c r="F153" s="15" t="str">
        <f>"S/F "&amp;B153&amp;" "&amp;E153</f>
        <v>S/F 316412 Hierros y Tubos LORCA S.L.</v>
      </c>
      <c r="G153" s="16">
        <v>246.9</v>
      </c>
      <c r="H153" s="17">
        <v>21</v>
      </c>
      <c r="I153" s="18">
        <f>+IF(G153&lt;&gt;0,G153*H153/100,0)</f>
        <v>51.849000000000004</v>
      </c>
      <c r="J153" s="17"/>
      <c r="K153" s="18">
        <f>+IF(G153&lt;&gt;0,G153*J153/100,0)</f>
        <v>0</v>
      </c>
      <c r="L153" s="16"/>
      <c r="M153" s="17"/>
      <c r="N153" s="18">
        <f>+IF(L153&lt;&gt;0,L153*M153/100,0)</f>
        <v>0</v>
      </c>
      <c r="O153" s="19"/>
      <c r="P153" s="18"/>
      <c r="Q153" s="16"/>
      <c r="R153" s="17"/>
      <c r="S153" s="18"/>
      <c r="T153" s="19"/>
      <c r="U153" s="18"/>
      <c r="V153" s="16"/>
      <c r="W153" s="17"/>
      <c r="X153" s="18">
        <f>+IF(W153&lt;&gt;0,V153*W153/100,0)</f>
        <v>0</v>
      </c>
      <c r="Y153" s="19"/>
      <c r="Z153" s="19"/>
      <c r="AA153" s="18">
        <f>+IF(Z153&lt;&gt;0,Y153*Z153/100,0)</f>
        <v>0</v>
      </c>
      <c r="AB153" s="20">
        <f>+G153+I153+K153+L153+N153+P153+Q153+S153+U153-X153-AA153</f>
        <v>298.74900000000002</v>
      </c>
      <c r="AC153" s="5"/>
      <c r="AD153" s="8"/>
      <c r="AF153" s="6"/>
      <c r="AG153" s="7"/>
      <c r="AJ153" s="33"/>
      <c r="AK153" s="35"/>
      <c r="AL153" s="38"/>
    </row>
    <row r="154" spans="1:38" ht="17.25" customHeight="1">
      <c r="A154" s="25">
        <v>45716</v>
      </c>
      <c r="B154" s="26" t="s">
        <v>512</v>
      </c>
      <c r="C154" s="14"/>
      <c r="D154" s="31" t="s">
        <v>169</v>
      </c>
      <c r="E154" s="14" t="s">
        <v>405</v>
      </c>
      <c r="F154" s="15" t="str">
        <f>"S/F "&amp;B154&amp;" "&amp;E154</f>
        <v>S/F 12500117 Adimec Desarrollos Técnicos S.L.</v>
      </c>
      <c r="G154" s="16">
        <v>207</v>
      </c>
      <c r="H154" s="17">
        <v>21</v>
      </c>
      <c r="I154" s="18">
        <f>+IF(G154&lt;&gt;0,G154*H154/100,0)</f>
        <v>43.47</v>
      </c>
      <c r="J154" s="17"/>
      <c r="K154" s="18">
        <f>+IF(G154&lt;&gt;0,G154*J154/100,0)</f>
        <v>0</v>
      </c>
      <c r="L154" s="16"/>
      <c r="M154" s="17"/>
      <c r="N154" s="18">
        <f>+IF(L154&lt;&gt;0,L154*M154/100,0)</f>
        <v>0</v>
      </c>
      <c r="O154" s="19"/>
      <c r="P154" s="18"/>
      <c r="Q154" s="16"/>
      <c r="R154" s="17"/>
      <c r="S154" s="18"/>
      <c r="T154" s="19"/>
      <c r="U154" s="18"/>
      <c r="V154" s="16"/>
      <c r="W154" s="17"/>
      <c r="X154" s="18">
        <f>+IF(W154&lt;&gt;0,V154*W154/100,0)</f>
        <v>0</v>
      </c>
      <c r="Y154" s="19"/>
      <c r="Z154" s="19"/>
      <c r="AA154" s="18">
        <f>+IF(Z154&lt;&gt;0,Y154*Z154/100,0)</f>
        <v>0</v>
      </c>
      <c r="AB154" s="20">
        <f>+G154+I154+K154+L154+N154+P154+Q154+S154+U154-X154-AA154</f>
        <v>250.47</v>
      </c>
      <c r="AC154" s="5"/>
      <c r="AD154" s="8"/>
      <c r="AF154" s="6"/>
      <c r="AG154" s="7"/>
      <c r="AJ154" s="33"/>
      <c r="AK154" s="35"/>
      <c r="AL154" s="38"/>
    </row>
    <row r="155" spans="1:38" ht="17.25" customHeight="1">
      <c r="A155" s="25">
        <v>45716</v>
      </c>
      <c r="B155" s="26" t="s">
        <v>538</v>
      </c>
      <c r="C155" s="14"/>
      <c r="D155" s="31" t="s">
        <v>53</v>
      </c>
      <c r="E155" s="14" t="s">
        <v>54</v>
      </c>
      <c r="F155" s="15" t="str">
        <f>"S/F "&amp;B155&amp;" "&amp;E155</f>
        <v>S/F 20250463 Láser Levante S.A.</v>
      </c>
      <c r="G155" s="16">
        <v>422.72</v>
      </c>
      <c r="H155" s="17">
        <v>21</v>
      </c>
      <c r="I155" s="18">
        <f>+IF(G155&lt;&gt;0,G155*H155/100,0)</f>
        <v>88.771200000000007</v>
      </c>
      <c r="J155" s="17"/>
      <c r="K155" s="18">
        <f>+IF(G155&lt;&gt;0,G155*J155/100,0)</f>
        <v>0</v>
      </c>
      <c r="L155" s="16"/>
      <c r="M155" s="17"/>
      <c r="N155" s="18">
        <f>+IF(L155&lt;&gt;0,L155*M155/100,0)</f>
        <v>0</v>
      </c>
      <c r="O155" s="19"/>
      <c r="P155" s="18"/>
      <c r="Q155" s="16"/>
      <c r="R155" s="17"/>
      <c r="S155" s="18"/>
      <c r="T155" s="19"/>
      <c r="U155" s="18"/>
      <c r="V155" s="16"/>
      <c r="W155" s="17"/>
      <c r="X155" s="18">
        <f>+IF(W155&lt;&gt;0,V155*W155/100,0)</f>
        <v>0</v>
      </c>
      <c r="Y155" s="19"/>
      <c r="Z155" s="19"/>
      <c r="AA155" s="18">
        <f>+IF(Z155&lt;&gt;0,Y155*Z155/100,0)</f>
        <v>0</v>
      </c>
      <c r="AB155" s="20">
        <f>+G155+I155+K155+L155+N155+P155+Q155+S155+U155-X155-AA155</f>
        <v>511.49120000000005</v>
      </c>
      <c r="AC155" s="5"/>
      <c r="AD155" s="8"/>
      <c r="AF155" s="6"/>
      <c r="AG155" s="7"/>
      <c r="AJ155" s="33"/>
      <c r="AK155" s="35"/>
      <c r="AL155" s="38"/>
    </row>
    <row r="156" spans="1:38" ht="17.25" customHeight="1">
      <c r="A156" s="25">
        <v>45716</v>
      </c>
      <c r="B156" s="26" t="s">
        <v>540</v>
      </c>
      <c r="C156" s="14"/>
      <c r="D156" s="31" t="s">
        <v>53</v>
      </c>
      <c r="E156" s="14" t="s">
        <v>54</v>
      </c>
      <c r="F156" s="15" t="str">
        <f>"S/F "&amp;B156&amp;" "&amp;E156</f>
        <v>S/F 20250470 Láser Levante S.A.</v>
      </c>
      <c r="G156" s="16">
        <v>47.8</v>
      </c>
      <c r="H156" s="17">
        <v>21</v>
      </c>
      <c r="I156" s="18">
        <f>+IF(G156&lt;&gt;0,G156*H156/100,0)</f>
        <v>10.038</v>
      </c>
      <c r="J156" s="17"/>
      <c r="K156" s="18">
        <f>+IF(G156&lt;&gt;0,G156*J156/100,0)</f>
        <v>0</v>
      </c>
      <c r="L156" s="16"/>
      <c r="M156" s="17"/>
      <c r="N156" s="18">
        <f>+IF(L156&lt;&gt;0,L156*M156/100,0)</f>
        <v>0</v>
      </c>
      <c r="O156" s="19"/>
      <c r="P156" s="18"/>
      <c r="Q156" s="16"/>
      <c r="R156" s="17"/>
      <c r="S156" s="18"/>
      <c r="T156" s="19"/>
      <c r="U156" s="18"/>
      <c r="V156" s="16"/>
      <c r="W156" s="17"/>
      <c r="X156" s="18">
        <f>+IF(W156&lt;&gt;0,V156*W156/100,0)</f>
        <v>0</v>
      </c>
      <c r="Y156" s="19"/>
      <c r="Z156" s="19"/>
      <c r="AA156" s="18">
        <f>+IF(Z156&lt;&gt;0,Y156*Z156/100,0)</f>
        <v>0</v>
      </c>
      <c r="AB156" s="20">
        <f>+G156+I156+K156+L156+N156+P156+Q156+S156+U156-X156-AA156</f>
        <v>57.837999999999994</v>
      </c>
      <c r="AC156" s="5"/>
      <c r="AD156" s="8"/>
      <c r="AF156" s="6"/>
      <c r="AG156" s="7"/>
      <c r="AJ156" s="33"/>
      <c r="AK156" s="35"/>
      <c r="AL156" s="38"/>
    </row>
    <row r="157" spans="1:38" ht="17.25" customHeight="1">
      <c r="A157" s="25">
        <v>45716</v>
      </c>
      <c r="B157" s="26" t="s">
        <v>537</v>
      </c>
      <c r="C157" s="14"/>
      <c r="D157" s="31" t="s">
        <v>53</v>
      </c>
      <c r="E157" s="14" t="s">
        <v>54</v>
      </c>
      <c r="F157" s="15" t="str">
        <f>"S/F "&amp;B157&amp;" "&amp;E157</f>
        <v>S/F 20250471 Láser Levante S.A.</v>
      </c>
      <c r="G157" s="16">
        <v>677.5</v>
      </c>
      <c r="H157" s="17">
        <v>21</v>
      </c>
      <c r="I157" s="18">
        <f>+IF(G157&lt;&gt;0,G157*H157/100,0)</f>
        <v>142.27500000000001</v>
      </c>
      <c r="J157" s="17"/>
      <c r="K157" s="18">
        <f>+IF(G157&lt;&gt;0,G157*J157/100,0)</f>
        <v>0</v>
      </c>
      <c r="L157" s="16"/>
      <c r="M157" s="17"/>
      <c r="N157" s="18">
        <f>+IF(L157&lt;&gt;0,L157*M157/100,0)</f>
        <v>0</v>
      </c>
      <c r="O157" s="19"/>
      <c r="P157" s="18"/>
      <c r="Q157" s="16"/>
      <c r="R157" s="17"/>
      <c r="S157" s="18"/>
      <c r="T157" s="19"/>
      <c r="U157" s="18"/>
      <c r="V157" s="16"/>
      <c r="W157" s="17"/>
      <c r="X157" s="18">
        <f>+IF(W157&lt;&gt;0,V157*W157/100,0)</f>
        <v>0</v>
      </c>
      <c r="Y157" s="19"/>
      <c r="Z157" s="19"/>
      <c r="AA157" s="18">
        <f>+IF(Z157&lt;&gt;0,Y157*Z157/100,0)</f>
        <v>0</v>
      </c>
      <c r="AB157" s="20">
        <f>+G157+I157+K157+L157+N157+P157+Q157+S157+U157-X157-AA157</f>
        <v>819.77499999999998</v>
      </c>
      <c r="AC157" s="5"/>
      <c r="AD157" s="8"/>
      <c r="AF157" s="6"/>
      <c r="AG157" s="7"/>
      <c r="AJ157" s="33"/>
      <c r="AK157" s="35"/>
      <c r="AL157" s="38"/>
    </row>
    <row r="158" spans="1:38" ht="17.25" customHeight="1">
      <c r="A158" s="25">
        <v>45716</v>
      </c>
      <c r="B158" s="26" t="s">
        <v>539</v>
      </c>
      <c r="C158" s="14"/>
      <c r="D158" s="31" t="s">
        <v>53</v>
      </c>
      <c r="E158" s="14" t="s">
        <v>54</v>
      </c>
      <c r="F158" s="15" t="str">
        <f>"S/F "&amp;B158&amp;" "&amp;E158</f>
        <v>S/F 20250472 Láser Levante S.A.</v>
      </c>
      <c r="G158" s="16">
        <v>446.28</v>
      </c>
      <c r="H158" s="17">
        <v>21</v>
      </c>
      <c r="I158" s="18">
        <f>+IF(G158&lt;&gt;0,G158*H158/100,0)</f>
        <v>93.718799999999987</v>
      </c>
      <c r="J158" s="17"/>
      <c r="K158" s="18">
        <f>+IF(G158&lt;&gt;0,G158*J158/100,0)</f>
        <v>0</v>
      </c>
      <c r="L158" s="16"/>
      <c r="M158" s="17"/>
      <c r="N158" s="18">
        <f>+IF(L158&lt;&gt;0,L158*M158/100,0)</f>
        <v>0</v>
      </c>
      <c r="O158" s="19"/>
      <c r="P158" s="18"/>
      <c r="Q158" s="16"/>
      <c r="R158" s="17"/>
      <c r="S158" s="18"/>
      <c r="T158" s="19"/>
      <c r="U158" s="18"/>
      <c r="V158" s="16"/>
      <c r="W158" s="17"/>
      <c r="X158" s="18">
        <f>+IF(W158&lt;&gt;0,V158*W158/100,0)</f>
        <v>0</v>
      </c>
      <c r="Y158" s="19"/>
      <c r="Z158" s="19"/>
      <c r="AA158" s="18">
        <f>+IF(Z158&lt;&gt;0,Y158*Z158/100,0)</f>
        <v>0</v>
      </c>
      <c r="AB158" s="20">
        <f>+G158+I158+K158+L158+N158+P158+Q158+S158+U158-X158-AA158</f>
        <v>539.99879999999996</v>
      </c>
      <c r="AC158" s="5"/>
      <c r="AD158" s="8"/>
      <c r="AF158" s="6"/>
      <c r="AG158" s="7"/>
      <c r="AJ158" s="33"/>
      <c r="AK158" s="35"/>
      <c r="AL158" s="38"/>
    </row>
    <row r="159" spans="1:38" ht="17.25" customHeight="1">
      <c r="A159" s="25">
        <v>45716</v>
      </c>
      <c r="B159" s="26" t="s">
        <v>513</v>
      </c>
      <c r="C159" s="14"/>
      <c r="D159" s="31" t="s">
        <v>283</v>
      </c>
      <c r="E159" s="14" t="s">
        <v>284</v>
      </c>
      <c r="F159" s="15" t="str">
        <f>"S/F "&amp;B159&amp;" "&amp;E159</f>
        <v>S/F 472084466 S.E. de Carburos Metalicos S.A.</v>
      </c>
      <c r="G159" s="16">
        <v>3175.46</v>
      </c>
      <c r="H159" s="17">
        <v>21</v>
      </c>
      <c r="I159" s="18">
        <f>+IF(G159&lt;&gt;0,G159*H159/100,0)</f>
        <v>666.84660000000008</v>
      </c>
      <c r="J159" s="17"/>
      <c r="K159" s="18">
        <f>+IF(G159&lt;&gt;0,G159*J159/100,0)</f>
        <v>0</v>
      </c>
      <c r="L159" s="16"/>
      <c r="M159" s="17"/>
      <c r="N159" s="18">
        <f>+IF(L159&lt;&gt;0,L159*M159/100,0)</f>
        <v>0</v>
      </c>
      <c r="O159" s="19"/>
      <c r="P159" s="18"/>
      <c r="Q159" s="16"/>
      <c r="R159" s="17"/>
      <c r="S159" s="18"/>
      <c r="T159" s="19"/>
      <c r="U159" s="18"/>
      <c r="V159" s="16"/>
      <c r="W159" s="17"/>
      <c r="X159" s="18">
        <f>+IF(W159&lt;&gt;0,V159*W159/100,0)</f>
        <v>0</v>
      </c>
      <c r="Y159" s="19"/>
      <c r="Z159" s="19"/>
      <c r="AA159" s="18"/>
      <c r="AB159" s="20">
        <f>+G159+I159+K159+L159+N159+P159+Q159+S159+U159-X159-AA159</f>
        <v>3842.3065999999999</v>
      </c>
      <c r="AC159" s="5"/>
      <c r="AD159" s="8"/>
      <c r="AF159" s="6"/>
      <c r="AG159" s="7"/>
      <c r="AJ159" s="33"/>
      <c r="AK159" s="35"/>
      <c r="AL159" s="38"/>
    </row>
    <row r="160" spans="1:38" ht="17.25" customHeight="1">
      <c r="A160" s="25">
        <v>45716</v>
      </c>
      <c r="B160" s="26" t="s">
        <v>517</v>
      </c>
      <c r="C160" s="14"/>
      <c r="D160" s="31" t="s">
        <v>518</v>
      </c>
      <c r="E160" s="14" t="s">
        <v>519</v>
      </c>
      <c r="F160" s="15" t="str">
        <f>"S/F "&amp;B160&amp;" "&amp;E160</f>
        <v>S/F 9021033439 Hastinik S.A.</v>
      </c>
      <c r="G160" s="16">
        <v>698.32</v>
      </c>
      <c r="H160" s="17">
        <v>21</v>
      </c>
      <c r="I160" s="18">
        <f>+IF(G160&lt;&gt;0,G160*H160/100,0)</f>
        <v>146.6472</v>
      </c>
      <c r="J160" s="17"/>
      <c r="K160" s="18">
        <f>+IF(G160&lt;&gt;0,G160*J160/100,0)</f>
        <v>0</v>
      </c>
      <c r="L160" s="16"/>
      <c r="M160" s="17"/>
      <c r="N160" s="18">
        <f>+IF(L160&lt;&gt;0,L160*M160/100,0)</f>
        <v>0</v>
      </c>
      <c r="O160" s="19"/>
      <c r="P160" s="18"/>
      <c r="Q160" s="16"/>
      <c r="R160" s="17"/>
      <c r="S160" s="18"/>
      <c r="T160" s="19"/>
      <c r="U160" s="18"/>
      <c r="V160" s="16"/>
      <c r="W160" s="17"/>
      <c r="X160" s="18">
        <f>+IF(W160&lt;&gt;0,V160*W160/100,0)</f>
        <v>0</v>
      </c>
      <c r="Y160" s="19"/>
      <c r="Z160" s="19"/>
      <c r="AA160" s="18">
        <f>+IF(Z160&lt;&gt;0,Y160*Z160/100,0)</f>
        <v>0</v>
      </c>
      <c r="AB160" s="20">
        <f>+G160+I160+K160+L160+N160+P160+Q160+S160+U160-X160-AA160</f>
        <v>844.96720000000005</v>
      </c>
      <c r="AC160" s="5"/>
      <c r="AD160" s="8"/>
      <c r="AF160" s="6"/>
      <c r="AG160" s="7"/>
      <c r="AJ160" s="33"/>
      <c r="AK160" s="35"/>
      <c r="AL160" s="38"/>
    </row>
    <row r="161" spans="1:38" ht="17.25" customHeight="1">
      <c r="A161" s="25">
        <v>45716</v>
      </c>
      <c r="B161" s="26" t="s">
        <v>523</v>
      </c>
      <c r="C161" s="14"/>
      <c r="D161" s="31" t="s">
        <v>217</v>
      </c>
      <c r="E161" s="14" t="s">
        <v>218</v>
      </c>
      <c r="F161" s="15" t="str">
        <f>"S/F "&amp;B161&amp;" "&amp;E161</f>
        <v>S/F 2025/61 Mantenimientos Snooper S.L.</v>
      </c>
      <c r="G161" s="16">
        <v>832</v>
      </c>
      <c r="H161" s="17">
        <v>21</v>
      </c>
      <c r="I161" s="18">
        <f>+IF(G161&lt;&gt;0,G161*H161/100,0)</f>
        <v>174.72</v>
      </c>
      <c r="J161" s="17"/>
      <c r="K161" s="18">
        <f>+IF(G161&lt;&gt;0,G161*J161/100,0)</f>
        <v>0</v>
      </c>
      <c r="L161" s="16"/>
      <c r="M161" s="17"/>
      <c r="N161" s="18">
        <f>+IF(L161&lt;&gt;0,L161*M161/100,0)</f>
        <v>0</v>
      </c>
      <c r="O161" s="19"/>
      <c r="P161" s="18"/>
      <c r="Q161" s="16"/>
      <c r="R161" s="17"/>
      <c r="S161" s="18"/>
      <c r="T161" s="19"/>
      <c r="U161" s="18"/>
      <c r="V161" s="16"/>
      <c r="W161" s="17"/>
      <c r="X161" s="18">
        <f>+IF(W161&lt;&gt;0,V161*W161/100,0)</f>
        <v>0</v>
      </c>
      <c r="Y161" s="19"/>
      <c r="Z161" s="19"/>
      <c r="AA161" s="18">
        <f>+IF(Z161&lt;&gt;0,Y161*Z161/100,0)</f>
        <v>0</v>
      </c>
      <c r="AB161" s="20">
        <f>+G161+I161+K161+L161+N161+P161+Q161+S161+U161-X161-AA161</f>
        <v>1006.72</v>
      </c>
      <c r="AC161" s="5"/>
      <c r="AD161" s="8"/>
      <c r="AF161" s="6"/>
      <c r="AG161" s="7"/>
      <c r="AJ161" s="33"/>
      <c r="AK161" s="35"/>
      <c r="AL161" s="38"/>
    </row>
    <row r="162" spans="1:38" ht="17.25" customHeight="1">
      <c r="A162" s="25">
        <v>45716</v>
      </c>
      <c r="B162" s="26" t="s">
        <v>524</v>
      </c>
      <c r="C162" s="14"/>
      <c r="D162" s="31" t="s">
        <v>239</v>
      </c>
      <c r="E162" s="14" t="s">
        <v>240</v>
      </c>
      <c r="F162" s="15" t="str">
        <f>"S/F "&amp;B162&amp;" "&amp;E162</f>
        <v>S/F 25/02669 Suministros Siderúrgicos Montañeses S.A.</v>
      </c>
      <c r="G162" s="16">
        <v>205.53</v>
      </c>
      <c r="H162" s="17">
        <v>21</v>
      </c>
      <c r="I162" s="18">
        <f>+IF(G162&lt;&gt;0,G162*H162/100,0)</f>
        <v>43.161300000000004</v>
      </c>
      <c r="J162" s="17"/>
      <c r="K162" s="18">
        <f>+IF(G162&lt;&gt;0,G162*J162/100,0)</f>
        <v>0</v>
      </c>
      <c r="L162" s="16"/>
      <c r="M162" s="17"/>
      <c r="N162" s="18">
        <f>+IF(L162&lt;&gt;0,L162*M162/100,0)</f>
        <v>0</v>
      </c>
      <c r="O162" s="19"/>
      <c r="P162" s="18"/>
      <c r="Q162" s="16"/>
      <c r="R162" s="17"/>
      <c r="S162" s="18"/>
      <c r="T162" s="19"/>
      <c r="U162" s="18"/>
      <c r="V162" s="16"/>
      <c r="W162" s="17"/>
      <c r="X162" s="18">
        <f>+IF(W162&lt;&gt;0,V162*W162/100,0)</f>
        <v>0</v>
      </c>
      <c r="Y162" s="19"/>
      <c r="Z162" s="19"/>
      <c r="AA162" s="18">
        <f>+IF(Z162&lt;&gt;0,Y162*Z162/100,0)</f>
        <v>0</v>
      </c>
      <c r="AB162" s="20">
        <f>+G162+I162+K162+L162+N162+P162+Q162+S162+U162-X162-AA162</f>
        <v>248.69130000000001</v>
      </c>
      <c r="AC162" s="5"/>
      <c r="AD162" s="8"/>
      <c r="AF162" s="6"/>
      <c r="AG162" s="7"/>
      <c r="AJ162" s="33"/>
      <c r="AK162" s="35"/>
      <c r="AL162" s="38"/>
    </row>
    <row r="163" spans="1:38" ht="17.25" customHeight="1">
      <c r="A163" s="25">
        <v>45716</v>
      </c>
      <c r="B163" s="26" t="s">
        <v>525</v>
      </c>
      <c r="C163" s="14"/>
      <c r="D163" s="31" t="s">
        <v>526</v>
      </c>
      <c r="E163" s="14" t="s">
        <v>527</v>
      </c>
      <c r="F163" s="15" t="str">
        <f>"S/F "&amp;B163&amp;" "&amp;E163</f>
        <v>S/F 25-02494 Teminsa TMI S.L.</v>
      </c>
      <c r="G163" s="16">
        <v>1452.85</v>
      </c>
      <c r="H163" s="17">
        <v>21</v>
      </c>
      <c r="I163" s="18">
        <f>+IF(G163&lt;&gt;0,G163*H163/100,0)</f>
        <v>305.0985</v>
      </c>
      <c r="J163" s="17"/>
      <c r="K163" s="18">
        <f>+IF(G163&lt;&gt;0,G163*J163/100,0)</f>
        <v>0</v>
      </c>
      <c r="L163" s="16"/>
      <c r="M163" s="17"/>
      <c r="N163" s="18">
        <f>+IF(L163&lt;&gt;0,L163*M163/100,0)</f>
        <v>0</v>
      </c>
      <c r="O163" s="19"/>
      <c r="P163" s="18"/>
      <c r="Q163" s="16"/>
      <c r="R163" s="17"/>
      <c r="S163" s="18"/>
      <c r="T163" s="19"/>
      <c r="U163" s="18"/>
      <c r="V163" s="16"/>
      <c r="W163" s="17"/>
      <c r="X163" s="18">
        <f>+IF(W163&lt;&gt;0,V163*W163/100,0)</f>
        <v>0</v>
      </c>
      <c r="Y163" s="19"/>
      <c r="Z163" s="19"/>
      <c r="AA163" s="18">
        <f>+IF(Z163&lt;&gt;0,Y163*Z163/100,0)</f>
        <v>0</v>
      </c>
      <c r="AB163" s="20">
        <f>+G163+I163+K163+L163+N163+P163+Q163+S163+U163-X163-AA163</f>
        <v>1757.9485</v>
      </c>
      <c r="AC163" s="5"/>
      <c r="AD163" s="8"/>
      <c r="AF163" s="6"/>
      <c r="AG163" s="7"/>
      <c r="AJ163" s="33"/>
      <c r="AK163" s="35"/>
      <c r="AL163" s="38"/>
    </row>
    <row r="164" spans="1:38" ht="17.25" customHeight="1">
      <c r="A164" s="25">
        <v>45716</v>
      </c>
      <c r="B164" s="26" t="s">
        <v>435</v>
      </c>
      <c r="C164" s="14"/>
      <c r="D164" s="31" t="s">
        <v>436</v>
      </c>
      <c r="E164" s="14" t="s">
        <v>437</v>
      </c>
      <c r="F164" s="15" t="str">
        <f>"S/F "&amp;B164&amp;" "&amp;E164</f>
        <v>S/F 25FP000380 Agopierdra S.A.</v>
      </c>
      <c r="G164" s="16">
        <v>65.209999999999994</v>
      </c>
      <c r="H164" s="17">
        <v>21</v>
      </c>
      <c r="I164" s="18">
        <f>+IF(G164&lt;&gt;0,G164*H164/100,0)</f>
        <v>13.694099999999999</v>
      </c>
      <c r="J164" s="17"/>
      <c r="K164" s="18">
        <f>+IF(G164&lt;&gt;0,G164*J164/100,0)</f>
        <v>0</v>
      </c>
      <c r="L164" s="16"/>
      <c r="M164" s="17"/>
      <c r="N164" s="18">
        <f>+IF(L164&lt;&gt;0,L164*M164/100,0)</f>
        <v>0</v>
      </c>
      <c r="O164" s="19"/>
      <c r="P164" s="18"/>
      <c r="Q164" s="16"/>
      <c r="R164" s="17"/>
      <c r="S164" s="18"/>
      <c r="T164" s="19"/>
      <c r="U164" s="18"/>
      <c r="V164" s="16"/>
      <c r="W164" s="17"/>
      <c r="X164" s="18">
        <f>+IF(W164&lt;&gt;0,V164*W164/100,0)</f>
        <v>0</v>
      </c>
      <c r="Y164" s="19"/>
      <c r="Z164" s="19"/>
      <c r="AA164" s="18">
        <f>+IF(Z164&lt;&gt;0,Y164*Z164/100,0)</f>
        <v>0</v>
      </c>
      <c r="AB164" s="20">
        <f>+G164+I164+K164+L164+N164+P164+Q164+S164+U164-X164-AA164</f>
        <v>78.9041</v>
      </c>
      <c r="AC164" s="5"/>
      <c r="AD164" s="8"/>
      <c r="AF164" s="6"/>
      <c r="AG164" s="7"/>
      <c r="AJ164" s="33"/>
      <c r="AK164" s="35"/>
      <c r="AL164" s="38"/>
    </row>
    <row r="165" spans="1:38" ht="17.25" customHeight="1">
      <c r="A165" s="25">
        <v>45716</v>
      </c>
      <c r="B165" s="26" t="s">
        <v>521</v>
      </c>
      <c r="C165" s="14"/>
      <c r="D165" s="31" t="s">
        <v>231</v>
      </c>
      <c r="E165" s="14" t="s">
        <v>232</v>
      </c>
      <c r="F165" s="15" t="str">
        <f>"S/F "&amp;B165&amp;" "&amp;E165</f>
        <v>S/F 489/25 Orbe Laser S.L.</v>
      </c>
      <c r="G165" s="16">
        <v>486.6</v>
      </c>
      <c r="H165" s="17">
        <v>21</v>
      </c>
      <c r="I165" s="18">
        <f>+IF(G165&lt;&gt;0,G165*H165/100,0)</f>
        <v>102.18600000000001</v>
      </c>
      <c r="J165" s="17"/>
      <c r="K165" s="18">
        <f>+IF(G165&lt;&gt;0,G165*J165/100,0)</f>
        <v>0</v>
      </c>
      <c r="L165" s="16"/>
      <c r="M165" s="17"/>
      <c r="N165" s="18">
        <f>+IF(L165&lt;&gt;0,L165*M165/100,0)</f>
        <v>0</v>
      </c>
      <c r="O165" s="19"/>
      <c r="P165" s="18"/>
      <c r="Q165" s="16"/>
      <c r="R165" s="17"/>
      <c r="S165" s="18"/>
      <c r="T165" s="19"/>
      <c r="U165" s="18"/>
      <c r="V165" s="16"/>
      <c r="W165" s="17"/>
      <c r="X165" s="18">
        <f>+IF(W165&lt;&gt;0,V165*W165/100,0)</f>
        <v>0</v>
      </c>
      <c r="Y165" s="19"/>
      <c r="Z165" s="19"/>
      <c r="AA165" s="18">
        <f>+IF(Z165&lt;&gt;0,Y165*Z165/100,0)</f>
        <v>0</v>
      </c>
      <c r="AB165" s="20">
        <f>+G165+I165+K165+L165+N165+P165+Q165+S165+U165-X165-AA165</f>
        <v>588.78600000000006</v>
      </c>
      <c r="AC165" s="5"/>
      <c r="AD165" s="8"/>
      <c r="AF165" s="6"/>
      <c r="AG165" s="7"/>
      <c r="AJ165" s="33"/>
      <c r="AK165" s="35"/>
      <c r="AL165" s="38"/>
    </row>
    <row r="166" spans="1:38" ht="17.25" customHeight="1">
      <c r="A166" s="25">
        <v>45716</v>
      </c>
      <c r="B166" s="26" t="s">
        <v>509</v>
      </c>
      <c r="C166" s="14"/>
      <c r="D166" s="31" t="s">
        <v>510</v>
      </c>
      <c r="E166" s="14" t="s">
        <v>511</v>
      </c>
      <c r="F166" s="15" t="str">
        <f>"S/F "&amp;B166&amp;" "&amp;E166</f>
        <v>S/F AGG-FV25/923 Aceros Griñón S.L.</v>
      </c>
      <c r="G166" s="16">
        <v>56.8</v>
      </c>
      <c r="H166" s="17">
        <v>21</v>
      </c>
      <c r="I166" s="18">
        <f>+IF(G166&lt;&gt;0,G166*H166/100,0)</f>
        <v>11.927999999999999</v>
      </c>
      <c r="J166" s="17"/>
      <c r="K166" s="18">
        <f>+IF(G166&lt;&gt;0,G166*J166/100,0)</f>
        <v>0</v>
      </c>
      <c r="L166" s="16">
        <v>0.42</v>
      </c>
      <c r="M166" s="17"/>
      <c r="N166" s="18">
        <f>+IF(L166&lt;&gt;0,L166*M166/100,0)</f>
        <v>0</v>
      </c>
      <c r="O166" s="19"/>
      <c r="P166" s="18"/>
      <c r="Q166" s="16"/>
      <c r="R166" s="17"/>
      <c r="S166" s="18"/>
      <c r="T166" s="19"/>
      <c r="U166" s="18"/>
      <c r="V166" s="16"/>
      <c r="W166" s="17"/>
      <c r="X166" s="18">
        <f>+IF(W166&lt;&gt;0,V166*W166/100,0)</f>
        <v>0</v>
      </c>
      <c r="Y166" s="19"/>
      <c r="Z166" s="19"/>
      <c r="AA166" s="18">
        <f>+IF(Z166&lt;&gt;0,Y166*Z166/100,0)</f>
        <v>0</v>
      </c>
      <c r="AB166" s="20">
        <f>+G166+I166+K166+L166+N166+P166+Q166+S166+U166-X166-AA166</f>
        <v>69.147999999999996</v>
      </c>
      <c r="AC166" s="5"/>
      <c r="AD166" s="8"/>
      <c r="AF166" s="6"/>
      <c r="AG166" s="7"/>
      <c r="AJ166" s="33"/>
      <c r="AK166" s="35"/>
      <c r="AL166" s="38"/>
    </row>
    <row r="167" spans="1:38" ht="17.25" customHeight="1">
      <c r="A167" s="25">
        <v>45716</v>
      </c>
      <c r="B167" s="26" t="s">
        <v>520</v>
      </c>
      <c r="C167" s="14"/>
      <c r="D167" s="31" t="s">
        <v>181</v>
      </c>
      <c r="E167" s="14" t="s">
        <v>182</v>
      </c>
      <c r="F167" s="15" t="str">
        <f>"S/F "&amp;B167&amp;" "&amp;E167</f>
        <v>S/F B-039/2025 Olaen Maquinaria S.L.</v>
      </c>
      <c r="G167" s="16">
        <v>28</v>
      </c>
      <c r="H167" s="17">
        <v>21</v>
      </c>
      <c r="I167" s="18">
        <f>+IF(G167&lt;&gt;0,G167*H167/100,0)</f>
        <v>5.88</v>
      </c>
      <c r="J167" s="17"/>
      <c r="K167" s="18">
        <f>+IF(G167&lt;&gt;0,G167*J167/100,0)</f>
        <v>0</v>
      </c>
      <c r="L167" s="16"/>
      <c r="M167" s="17"/>
      <c r="N167" s="18">
        <f>+IF(L167&lt;&gt;0,L167*M167/100,0)</f>
        <v>0</v>
      </c>
      <c r="O167" s="19"/>
      <c r="P167" s="18"/>
      <c r="Q167" s="16"/>
      <c r="R167" s="17"/>
      <c r="S167" s="18"/>
      <c r="T167" s="19"/>
      <c r="U167" s="18"/>
      <c r="V167" s="16"/>
      <c r="W167" s="17"/>
      <c r="X167" s="18">
        <f>+IF(W167&lt;&gt;0,V167*W167/100,0)</f>
        <v>0</v>
      </c>
      <c r="Y167" s="19"/>
      <c r="Z167" s="19"/>
      <c r="AA167" s="18">
        <f>+IF(Z167&lt;&gt;0,Y167*Z167/100,0)</f>
        <v>0</v>
      </c>
      <c r="AB167" s="20">
        <f>+G167+I167+K167+L167+N167+P167+Q167+S167+U167-X167-AA167</f>
        <v>33.880000000000003</v>
      </c>
      <c r="AC167" s="5"/>
      <c r="AD167" s="8"/>
      <c r="AF167" s="6"/>
      <c r="AG167" s="7"/>
      <c r="AJ167" s="33"/>
      <c r="AK167" s="35"/>
      <c r="AL167" s="38"/>
    </row>
    <row r="168" spans="1:38" ht="17.25" customHeight="1">
      <c r="A168" s="25">
        <v>45716</v>
      </c>
      <c r="B168" s="26" t="s">
        <v>514</v>
      </c>
      <c r="C168" s="14"/>
      <c r="D168" s="31" t="s">
        <v>246</v>
      </c>
      <c r="E168" s="14" t="s">
        <v>247</v>
      </c>
      <c r="F168" s="15" t="str">
        <f>"S/F "&amp;B168&amp;" "&amp;E168</f>
        <v>S/F FV-25-00767 Cortes Metalúrgicos Oviedo S.L.</v>
      </c>
      <c r="G168" s="16">
        <v>4581.3999999999996</v>
      </c>
      <c r="H168" s="17">
        <v>21</v>
      </c>
      <c r="I168" s="18">
        <f>+IF(G168&lt;&gt;0,G168*H168/100,0)</f>
        <v>962.09399999999994</v>
      </c>
      <c r="J168" s="17"/>
      <c r="K168" s="18">
        <f>+IF(G168&lt;&gt;0,G168*J168/100,0)</f>
        <v>0</v>
      </c>
      <c r="L168" s="16"/>
      <c r="M168" s="17"/>
      <c r="N168" s="18">
        <f>+IF(L168&lt;&gt;0,L168*M168/100,0)</f>
        <v>0</v>
      </c>
      <c r="O168" s="19"/>
      <c r="P168" s="18"/>
      <c r="Q168" s="16"/>
      <c r="R168" s="17"/>
      <c r="S168" s="18"/>
      <c r="T168" s="19"/>
      <c r="U168" s="18"/>
      <c r="V168" s="16"/>
      <c r="W168" s="17"/>
      <c r="X168" s="18">
        <f>+IF(W168&lt;&gt;0,V168*W168/100,0)</f>
        <v>0</v>
      </c>
      <c r="Y168" s="19"/>
      <c r="Z168" s="19"/>
      <c r="AA168" s="18">
        <f>+IF(Z168&lt;&gt;0,Y168*Z168/100,0)</f>
        <v>0</v>
      </c>
      <c r="AB168" s="20">
        <f>+G168+I168+K168+L168+N168+P168+Q168+S168+U168-X168-AA168</f>
        <v>5543.4939999999997</v>
      </c>
      <c r="AC168" s="5"/>
      <c r="AD168" s="8"/>
      <c r="AF168" s="6"/>
      <c r="AG168" s="7"/>
      <c r="AJ168" s="33"/>
      <c r="AK168" s="35"/>
      <c r="AL168" s="38"/>
    </row>
    <row r="169" spans="1:38" ht="17.25" customHeight="1">
      <c r="A169" s="25">
        <v>45716</v>
      </c>
      <c r="B169" s="26" t="s">
        <v>516</v>
      </c>
      <c r="C169" s="14"/>
      <c r="D169" s="31" t="s">
        <v>175</v>
      </c>
      <c r="E169" s="14" t="s">
        <v>176</v>
      </c>
      <c r="F169" s="15" t="str">
        <f>"S/F "&amp;B169&amp;" "&amp;E169</f>
        <v>S/F FV-NV-25-004254 Almacenes Delca S.A.</v>
      </c>
      <c r="G169" s="16">
        <v>39.75</v>
      </c>
      <c r="H169" s="17">
        <v>21</v>
      </c>
      <c r="I169" s="18">
        <f>+IF(G169&lt;&gt;0,G169*H169/100,0)</f>
        <v>8.3475000000000001</v>
      </c>
      <c r="J169" s="17"/>
      <c r="K169" s="18">
        <f>+IF(G169&lt;&gt;0,G169*J169/100,0)</f>
        <v>0</v>
      </c>
      <c r="L169" s="16"/>
      <c r="M169" s="17"/>
      <c r="N169" s="18">
        <f>+IF(L169&lt;&gt;0,L169*M169/100,0)</f>
        <v>0</v>
      </c>
      <c r="O169" s="19"/>
      <c r="P169" s="18"/>
      <c r="Q169" s="16"/>
      <c r="R169" s="17"/>
      <c r="S169" s="18"/>
      <c r="T169" s="19"/>
      <c r="U169" s="18"/>
      <c r="V169" s="16"/>
      <c r="W169" s="17"/>
      <c r="X169" s="18">
        <f>+IF(W169&lt;&gt;0,V169*W169/100,0)</f>
        <v>0</v>
      </c>
      <c r="Y169" s="19"/>
      <c r="Z169" s="19"/>
      <c r="AA169" s="18"/>
      <c r="AB169" s="20">
        <f>+G169+I169+K169+L169+N169+P169+Q169+S169+U169-X169-AA169</f>
        <v>48.097499999999997</v>
      </c>
      <c r="AC169" s="5"/>
      <c r="AD169" s="8"/>
      <c r="AF169" s="6"/>
      <c r="AG169" s="7"/>
      <c r="AJ169" s="33"/>
      <c r="AK169" s="35"/>
      <c r="AL169" s="38"/>
    </row>
    <row r="170" spans="1:38" ht="17.25" customHeight="1">
      <c r="A170" s="25"/>
      <c r="B170" s="26"/>
      <c r="C170" s="14"/>
      <c r="D170" s="31"/>
      <c r="E170" s="14"/>
      <c r="F170" s="15" t="str">
        <f>"S/F "&amp;B170&amp;" "&amp;E170</f>
        <v xml:space="preserve">S/F  </v>
      </c>
      <c r="G170" s="16"/>
      <c r="H170" s="17">
        <v>21</v>
      </c>
      <c r="I170" s="18">
        <f>+IF(G170&lt;&gt;0,G170*H170/100,0)</f>
        <v>0</v>
      </c>
      <c r="J170" s="17"/>
      <c r="K170" s="18">
        <f>+IF(G170&lt;&gt;0,G170*J170/100,0)</f>
        <v>0</v>
      </c>
      <c r="L170" s="16"/>
      <c r="M170" s="17"/>
      <c r="N170" s="18">
        <f>+IF(L170&lt;&gt;0,L170*M170/100,0)</f>
        <v>0</v>
      </c>
      <c r="O170" s="19"/>
      <c r="P170" s="18"/>
      <c r="Q170" s="16"/>
      <c r="R170" s="17"/>
      <c r="S170" s="18"/>
      <c r="T170" s="19"/>
      <c r="U170" s="18"/>
      <c r="V170" s="16"/>
      <c r="W170" s="17"/>
      <c r="X170" s="18">
        <f>+IF(W170&lt;&gt;0,V170*W170/100,0)</f>
        <v>0</v>
      </c>
      <c r="Y170" s="19"/>
      <c r="Z170" s="19"/>
      <c r="AA170" s="18">
        <f>+IF(Z170&lt;&gt;0,Y170*Z170/100,0)</f>
        <v>0</v>
      </c>
      <c r="AB170" s="20">
        <f>+G170+I170+K170+L170+N170+P170+Q170+S170+U170-X170-AA170</f>
        <v>0</v>
      </c>
      <c r="AC170" s="5"/>
      <c r="AD170" s="8"/>
      <c r="AF170" s="6"/>
      <c r="AG170" s="7"/>
      <c r="AJ170" s="33"/>
      <c r="AK170" s="35"/>
      <c r="AL170" s="38"/>
    </row>
    <row r="171" spans="1:38" ht="17.25" customHeight="1">
      <c r="F171" s="4" t="str">
        <f>"S/F "&amp;B171&amp;" "&amp;E171</f>
        <v xml:space="preserve">S/F  </v>
      </c>
      <c r="H171">
        <v>21</v>
      </c>
      <c r="I171">
        <f>+IF(G171&lt;&gt;0,G171*H171/100,0)</f>
        <v>0</v>
      </c>
      <c r="K171">
        <f>+IF(G171&lt;&gt;0,G171*J171/100,0)</f>
        <v>0</v>
      </c>
      <c r="N171">
        <f>+IF(L171&lt;&gt;0,L171*M171/100,0)</f>
        <v>0</v>
      </c>
      <c r="X171">
        <f>+IF(W171&lt;&gt;0,V171*W171/100,0)</f>
        <v>0</v>
      </c>
      <c r="AB171">
        <f>+G171+I171+K171+L171+N171+P171+Q171+S171+U171-X171-AA171</f>
        <v>0</v>
      </c>
    </row>
    <row r="172" spans="1:38" ht="17.25" customHeight="1">
      <c r="F172" s="4" t="str">
        <f>"S/F "&amp;B172&amp;" "&amp;E172</f>
        <v xml:space="preserve">S/F  </v>
      </c>
      <c r="H172">
        <v>21</v>
      </c>
      <c r="I172">
        <f>+IF(G172&lt;&gt;0,G172*H172/100,0)</f>
        <v>0</v>
      </c>
      <c r="K172">
        <f>+IF(G172&lt;&gt;0,G172*J172/100,0)</f>
        <v>0</v>
      </c>
      <c r="N172">
        <f>+IF(L172&lt;&gt;0,L172*M172/100,0)</f>
        <v>0</v>
      </c>
      <c r="X172">
        <f>+IF(W172&lt;&gt;0,V172*W172/100,0)</f>
        <v>0</v>
      </c>
      <c r="AB172">
        <f>+G172+I172+K172+L172+N172+P172+Q172+S172+U172-X172-AA172</f>
        <v>0</v>
      </c>
    </row>
    <row r="173" spans="1:38" ht="17.25" customHeight="1">
      <c r="F173" s="4" t="str">
        <f>"S/F "&amp;B173&amp;" "&amp;E173</f>
        <v xml:space="preserve">S/F  </v>
      </c>
      <c r="H173">
        <v>21</v>
      </c>
      <c r="I173">
        <f>+IF(G173&lt;&gt;0,G173*H173/100,0)</f>
        <v>0</v>
      </c>
      <c r="K173">
        <f>+IF(G173&lt;&gt;0,G173*J173/100,0)</f>
        <v>0</v>
      </c>
      <c r="N173">
        <f>+IF(L173&lt;&gt;0,L173*M173/100,0)</f>
        <v>0</v>
      </c>
      <c r="X173">
        <f>+IF(W173&lt;&gt;0,V173*W173/100,0)</f>
        <v>0</v>
      </c>
      <c r="AB173">
        <f>+G173+I173+K173+L173+N173+P173+Q173+S173+U173-X173-AA173</f>
        <v>0</v>
      </c>
    </row>
    <row r="174" spans="1:38" ht="17.25" customHeight="1">
      <c r="F174" s="4" t="str">
        <f>"S/F "&amp;B174&amp;" "&amp;E174</f>
        <v xml:space="preserve">S/F  </v>
      </c>
      <c r="H174">
        <v>21</v>
      </c>
      <c r="I174">
        <f>+IF(G174&lt;&gt;0,G174*H174/100,0)</f>
        <v>0</v>
      </c>
      <c r="K174">
        <f>+IF(G174&lt;&gt;0,G174*J174/100,0)</f>
        <v>0</v>
      </c>
      <c r="N174">
        <f>+IF(L174&lt;&gt;0,L174*M174/100,0)</f>
        <v>0</v>
      </c>
      <c r="X174">
        <f>+IF(W174&lt;&gt;0,V174*W174/100,0)</f>
        <v>0</v>
      </c>
      <c r="AB174">
        <f>+G174+I174+K174+L174+N174+P174+Q174+S174+U174-X174-AA174</f>
        <v>0</v>
      </c>
    </row>
    <row r="175" spans="1:38" ht="17.25" customHeight="1">
      <c r="F175" s="4" t="str">
        <f>"S/F "&amp;B175&amp;" "&amp;E175</f>
        <v xml:space="preserve">S/F  </v>
      </c>
      <c r="H175">
        <v>21</v>
      </c>
      <c r="I175">
        <f>+IF(G175&lt;&gt;0,G175*H175/100,0)</f>
        <v>0</v>
      </c>
      <c r="K175">
        <f>+IF(G175&lt;&gt;0,G175*J175/100,0)</f>
        <v>0</v>
      </c>
      <c r="N175">
        <f>+IF(L175&lt;&gt;0,L175*M175/100,0)</f>
        <v>0</v>
      </c>
      <c r="X175">
        <f>+IF(W175&lt;&gt;0,V175*W175/100,0)</f>
        <v>0</v>
      </c>
      <c r="AB175">
        <f>+G175+I175+K175+L175+N175+P175+Q175+S175+U175-X175-AA175</f>
        <v>0</v>
      </c>
    </row>
    <row r="176" spans="1:38" ht="17.25" customHeight="1">
      <c r="F176" s="4" t="str">
        <f>"S/F "&amp;B176&amp;" "&amp;E176</f>
        <v xml:space="preserve">S/F  </v>
      </c>
      <c r="H176">
        <v>21</v>
      </c>
      <c r="I176">
        <f>+IF(G176&lt;&gt;0,G176*H176/100,0)</f>
        <v>0</v>
      </c>
      <c r="K176">
        <f>+IF(G176&lt;&gt;0,G176*J176/100,0)</f>
        <v>0</v>
      </c>
      <c r="N176">
        <f>+IF(L176&lt;&gt;0,L176*M176/100,0)</f>
        <v>0</v>
      </c>
      <c r="X176">
        <f>+IF(W176&lt;&gt;0,V176*W176/100,0)</f>
        <v>0</v>
      </c>
      <c r="AA176">
        <f>+IF(Z176&lt;&gt;0,Y176*Z176/100,0)</f>
        <v>0</v>
      </c>
      <c r="AB176">
        <f>+G176+I176+K176+L176+N176+P176+Q176+S176+U176-X176-AA176</f>
        <v>0</v>
      </c>
    </row>
    <row r="177" spans="6:28" ht="17.25" customHeight="1">
      <c r="F177" s="4" t="str">
        <f>"S/F "&amp;B177&amp;" "&amp;E177</f>
        <v xml:space="preserve">S/F  </v>
      </c>
      <c r="H177">
        <v>21</v>
      </c>
      <c r="I177">
        <f>+IF(G177&lt;&gt;0,G177*H177/100,0)</f>
        <v>0</v>
      </c>
      <c r="K177">
        <f>+IF(G177&lt;&gt;0,G177*J177/100,0)</f>
        <v>0</v>
      </c>
      <c r="N177">
        <f>+IF(L177&lt;&gt;0,L177*M177/100,0)</f>
        <v>0</v>
      </c>
      <c r="X177">
        <f>+IF(W177&lt;&gt;0,V177*W177/100,0)</f>
        <v>0</v>
      </c>
      <c r="AA177">
        <f>+IF(Z177&lt;&gt;0,Y177*Z177/100,0)</f>
        <v>0</v>
      </c>
      <c r="AB177">
        <f>+G177+I177+K177+L177+N177+P177+Q177+S177+U177-X177-AA177</f>
        <v>0</v>
      </c>
    </row>
    <row r="178" spans="6:28" ht="17.25" customHeight="1">
      <c r="F178" s="4" t="str">
        <f>"S/F "&amp;B178&amp;" "&amp;E178</f>
        <v xml:space="preserve">S/F  </v>
      </c>
      <c r="H178">
        <v>21</v>
      </c>
      <c r="I178">
        <f>+IF(G178&lt;&gt;0,G178*H178/100,0)</f>
        <v>0</v>
      </c>
      <c r="K178">
        <f>+IF(G178&lt;&gt;0,G178*J178/100,0)</f>
        <v>0</v>
      </c>
      <c r="N178">
        <f>+IF(L178&lt;&gt;0,L178*M178/100,0)</f>
        <v>0</v>
      </c>
      <c r="X178">
        <f>+IF(W178&lt;&gt;0,V178*W178/100,0)</f>
        <v>0</v>
      </c>
      <c r="AB178">
        <f>+G178+I178+K178+L178+N178+P178+Q178+S178+U178-X178-AA178</f>
        <v>0</v>
      </c>
    </row>
    <row r="179" spans="6:28" ht="17.25" customHeight="1"/>
    <row r="180" spans="6:28" ht="17.25" customHeight="1"/>
    <row r="181" spans="6:28" ht="17.25" customHeight="1"/>
    <row r="182" spans="6:28" ht="17.25" customHeight="1"/>
    <row r="183" spans="6:28" ht="17.25" customHeight="1"/>
    <row r="184" spans="6:28" ht="17.25" customHeight="1"/>
    <row r="185" spans="6:28" ht="17.25" customHeight="1"/>
    <row r="186" spans="6:28" ht="17.25" customHeight="1"/>
    <row r="187" spans="6:28" ht="17.25" customHeight="1"/>
    <row r="188" spans="6:28" ht="17.25" customHeight="1"/>
    <row r="189" spans="6:28" ht="17.25" customHeight="1"/>
    <row r="190" spans="6:28" ht="17.25" customHeight="1"/>
    <row r="191" spans="6:28" ht="17.25" customHeight="1"/>
    <row r="192" spans="6:28" ht="17.25" customHeight="1"/>
    <row r="193" spans="1:38" ht="17.25" customHeight="1"/>
    <row r="194" spans="1:38" ht="17.25" customHeight="1"/>
    <row r="195" spans="1:38" ht="17.25" customHeight="1"/>
    <row r="196" spans="1:38" ht="17.25" customHeight="1"/>
    <row r="197" spans="1:38" ht="17.25" customHeight="1"/>
    <row r="198" spans="1:38" ht="17.25" customHeight="1"/>
    <row r="199" spans="1:38" ht="17.25" customHeight="1"/>
    <row r="200" spans="1:38" ht="17.25" customHeight="1"/>
    <row r="201" spans="1:38" ht="17.25" customHeight="1"/>
    <row r="202" spans="1:38" ht="17.25" customHeight="1"/>
    <row r="203" spans="1:38" ht="17.25" customHeight="1"/>
    <row r="204" spans="1:38" ht="17.25" customHeight="1"/>
    <row r="205" spans="1:38" ht="17.25" customHeight="1">
      <c r="A205"/>
      <c r="B205"/>
      <c r="C205"/>
      <c r="D205"/>
      <c r="E205"/>
      <c r="F205"/>
      <c r="AE205"/>
      <c r="AF205"/>
      <c r="AG205"/>
      <c r="AH205"/>
      <c r="AL205"/>
    </row>
  </sheetData>
  <sortState xmlns:xlrd2="http://schemas.microsoft.com/office/spreadsheetml/2017/richdata2" ref="A2:AL174">
    <sortCondition ref="A2:A174"/>
    <sortCondition ref="B2:B174"/>
    <sortCondition ref="E2:E174"/>
  </sortState>
  <conditionalFormatting sqref="AK2:AK106">
    <cfRule type="cellIs" dxfId="51" priority="48" operator="equal">
      <formula>"ATRASADA/FINANC."</formula>
    </cfRule>
    <cfRule type="cellIs" dxfId="50" priority="47" operator="equal">
      <formula>"ATRASADA"</formula>
    </cfRule>
    <cfRule type="cellIs" dxfId="49" priority="46" operator="equal">
      <formula>"ATRASADA/RETENC."</formula>
    </cfRule>
    <cfRule type="cellIs" dxfId="48" priority="45" operator="equal">
      <formula>"INCIDENCIA"</formula>
    </cfRule>
  </conditionalFormatting>
  <conditionalFormatting sqref="AK110:AK119">
    <cfRule type="cellIs" dxfId="47" priority="32" operator="equal">
      <formula>"ATRASADA/FINANC."</formula>
    </cfRule>
    <cfRule type="cellIs" dxfId="46" priority="31" operator="equal">
      <formula>"ATRASADA"</formula>
    </cfRule>
    <cfRule type="cellIs" dxfId="45" priority="30" operator="equal">
      <formula>"ATRASADA/RETENC."</formula>
    </cfRule>
    <cfRule type="cellIs" dxfId="44" priority="29" operator="equal">
      <formula>"INCIDENCIA"</formula>
    </cfRule>
  </conditionalFormatting>
  <conditionalFormatting sqref="AK122:AK123">
    <cfRule type="cellIs" dxfId="43" priority="44" operator="equal">
      <formula>"ATRASADA/FINANC."</formula>
    </cfRule>
    <cfRule type="cellIs" dxfId="42" priority="43" operator="equal">
      <formula>"ATRASADA"</formula>
    </cfRule>
    <cfRule type="cellIs" dxfId="41" priority="42" operator="equal">
      <formula>"ATRASADA/RETENC."</formula>
    </cfRule>
    <cfRule type="cellIs" dxfId="40" priority="41" operator="equal">
      <formula>"INCIDENCIA"</formula>
    </cfRule>
  </conditionalFormatting>
  <conditionalFormatting sqref="AK125:AK126">
    <cfRule type="cellIs" dxfId="39" priority="21" operator="equal">
      <formula>"INCIDENCIA"</formula>
    </cfRule>
    <cfRule type="cellIs" dxfId="38" priority="22" operator="equal">
      <formula>"ATRASADA/RETENC."</formula>
    </cfRule>
    <cfRule type="cellIs" dxfId="37" priority="23" operator="equal">
      <formula>"ATRASADA"</formula>
    </cfRule>
    <cfRule type="cellIs" dxfId="36" priority="24" operator="equal">
      <formula>"ATRASADA/FINANC."</formula>
    </cfRule>
  </conditionalFormatting>
  <conditionalFormatting sqref="AK132:AK134 AK138 AK167">
    <cfRule type="cellIs" dxfId="35" priority="37" operator="equal">
      <formula>"INCIDENCIA"</formula>
    </cfRule>
    <cfRule type="cellIs" dxfId="34" priority="38" operator="equal">
      <formula>"ATRASADA/RETENC."</formula>
    </cfRule>
    <cfRule type="cellIs" dxfId="33" priority="39" operator="equal">
      <formula>"ATRASADA"</formula>
    </cfRule>
    <cfRule type="cellIs" dxfId="32" priority="40" operator="equal">
      <formula>"ATRASADA/FINANC."</formula>
    </cfRule>
  </conditionalFormatting>
  <conditionalFormatting sqref="AK142">
    <cfRule type="cellIs" dxfId="31" priority="20" operator="equal">
      <formula>"ATRASADA/FINANC."</formula>
    </cfRule>
    <cfRule type="cellIs" dxfId="30" priority="19" operator="equal">
      <formula>"ATRASADA"</formula>
    </cfRule>
    <cfRule type="cellIs" dxfId="29" priority="18" operator="equal">
      <formula>"ATRASADA/RETENC."</formula>
    </cfRule>
    <cfRule type="cellIs" dxfId="28" priority="17" operator="equal">
      <formula>"INCIDENCIA"</formula>
    </cfRule>
  </conditionalFormatting>
  <conditionalFormatting sqref="AK148">
    <cfRule type="cellIs" dxfId="27" priority="2" operator="equal">
      <formula>"ATRASADA/RETENC."</formula>
    </cfRule>
    <cfRule type="cellIs" dxfId="26" priority="3" operator="equal">
      <formula>"ATRASADA"</formula>
    </cfRule>
    <cfRule type="cellIs" dxfId="25" priority="4" operator="equal">
      <formula>"ATRASADA/FINANC."</formula>
    </cfRule>
    <cfRule type="cellIs" dxfId="24" priority="1" operator="equal">
      <formula>"INCIDENCIA"</formula>
    </cfRule>
  </conditionalFormatting>
  <conditionalFormatting sqref="AK153">
    <cfRule type="cellIs" dxfId="23" priority="5" operator="equal">
      <formula>"INCIDENCIA"</formula>
    </cfRule>
    <cfRule type="cellIs" dxfId="22" priority="6" operator="equal">
      <formula>"ATRASADA/RETENC."</formula>
    </cfRule>
    <cfRule type="cellIs" dxfId="21" priority="7" operator="equal">
      <formula>"ATRASADA"</formula>
    </cfRule>
    <cfRule type="cellIs" dxfId="20" priority="8" operator="equal">
      <formula>"ATRASADA/FINANC."</formula>
    </cfRule>
  </conditionalFormatting>
  <conditionalFormatting sqref="AK157">
    <cfRule type="cellIs" dxfId="19" priority="9" operator="equal">
      <formula>"INCIDENCIA"</formula>
    </cfRule>
    <cfRule type="cellIs" dxfId="18" priority="12" operator="equal">
      <formula>"ATRASADA/FINANC."</formula>
    </cfRule>
    <cfRule type="cellIs" dxfId="17" priority="11" operator="equal">
      <formula>"ATRASADA"</formula>
    </cfRule>
    <cfRule type="cellIs" dxfId="16" priority="10" operator="equal">
      <formula>"ATRASADA/RETENC."</formula>
    </cfRule>
  </conditionalFormatting>
  <conditionalFormatting sqref="AK162">
    <cfRule type="cellIs" dxfId="15" priority="16" operator="equal">
      <formula>"ATRASADA/FINANC."</formula>
    </cfRule>
    <cfRule type="cellIs" dxfId="14" priority="15" operator="equal">
      <formula>"ATRASADA"</formula>
    </cfRule>
    <cfRule type="cellIs" dxfId="13" priority="14" operator="equal">
      <formula>"ATRASADA/RETENC."</formula>
    </cfRule>
    <cfRule type="cellIs" dxfId="12" priority="13" operator="equal">
      <formula>"INCIDENCIA"</formula>
    </cfRule>
  </conditionalFormatting>
  <dataValidations count="1">
    <dataValidation type="textLength" errorStyle="warning" allowBlank="1" showInputMessage="1" showErrorMessage="1" error="Contamar le informa de que el código introducido debe contener únicamente 8 dígitos._x000a__x000a_" sqref="AC2:AC21 AC23:AC33" xr:uid="{00000000-0002-0000-0100-000000000000}">
      <formula1>8</formula1>
      <formula2>8</formula2>
    </dataValidation>
  </dataValidations>
  <pageMargins left="0.23622047244094491" right="0.23622047244094491" top="0.35433070866141736" bottom="0.35433070866141736" header="0.19685039370078741" footer="0"/>
  <headerFooter>
    <oddHeader>&amp;L&amp;F&amp;R&amp;P/&amp;N</oddHeader>
  </headerFooter>
  <rowBreaks count="1" manualBreakCount="1">
    <brk id="66" max="35" man="1"/>
  </rowBreaks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3">
    <pageSetUpPr fitToPage="1"/>
  </sheetPr>
  <dimension ref="A1:AL184"/>
  <sheetViews>
    <sheetView zoomScale="80" zoomScaleNormal="80" workbookViewId="0">
      <pane ySplit="1" topLeftCell="A2" activePane="bottomLeft" state="frozen"/>
      <selection pane="bottomLeft" activeCell="D16" sqref="D16"/>
    </sheetView>
  </sheetViews>
  <sheetFormatPr baseColWidth="10" defaultColWidth="11.42578125" defaultRowHeight="15"/>
  <cols>
    <col min="1" max="1" width="12.85546875" style="29" bestFit="1" customWidth="1"/>
    <col min="2" max="2" width="20.42578125" style="30" bestFit="1" customWidth="1"/>
    <col min="3" max="3" width="13.42578125" style="4" hidden="1" customWidth="1"/>
    <col min="4" max="4" width="15.85546875" style="3" bestFit="1" customWidth="1"/>
    <col min="5" max="5" width="49.42578125" style="4" bestFit="1" customWidth="1"/>
    <col min="6" max="6" width="66" style="4" bestFit="1" customWidth="1"/>
    <col min="7" max="7" width="10.85546875" customWidth="1"/>
    <col min="8" max="8" width="7.7109375" customWidth="1"/>
    <col min="10" max="10" width="6.7109375" hidden="1" customWidth="1"/>
    <col min="11" max="11" width="11.7109375" hidden="1" customWidth="1"/>
    <col min="12" max="12" width="9.28515625" bestFit="1" customWidth="1"/>
    <col min="13" max="13" width="6.7109375" bestFit="1" customWidth="1"/>
    <col min="14" max="14" width="12.140625" customWidth="1"/>
    <col min="15" max="15" width="8.7109375" bestFit="1" customWidth="1"/>
    <col min="16" max="16" width="12.140625" bestFit="1" customWidth="1"/>
    <col min="17" max="18" width="6.42578125" hidden="1" customWidth="1"/>
    <col min="19" max="19" width="8" hidden="1" customWidth="1"/>
    <col min="20" max="20" width="8.7109375" hidden="1" customWidth="1"/>
    <col min="21" max="21" width="10.7109375" hidden="1" customWidth="1"/>
    <col min="22" max="22" width="11.7109375" customWidth="1"/>
    <col min="23" max="23" width="6.140625" customWidth="1"/>
    <col min="24" max="24" width="13.28515625" customWidth="1"/>
    <col min="25" max="25" width="11.7109375" hidden="1" customWidth="1"/>
    <col min="26" max="26" width="5.42578125" hidden="1" customWidth="1"/>
    <col min="27" max="27" width="8.42578125" hidden="1" customWidth="1"/>
    <col min="28" max="28" width="12.7109375" bestFit="1" customWidth="1"/>
    <col min="29" max="29" width="14.7109375" hidden="1" customWidth="1"/>
    <col min="30" max="30" width="16.140625" hidden="1" customWidth="1"/>
    <col min="31" max="31" width="16.140625" style="3" hidden="1" customWidth="1"/>
    <col min="32" max="32" width="4.42578125" style="3" hidden="1" customWidth="1"/>
    <col min="33" max="33" width="9.85546875" style="3" hidden="1" customWidth="1"/>
    <col min="34" max="34" width="12" style="4" hidden="1" customWidth="1"/>
    <col min="35" max="35" width="15.42578125" hidden="1" customWidth="1"/>
    <col min="36" max="36" width="26.42578125" bestFit="1" customWidth="1"/>
    <col min="37" max="37" width="21.42578125" bestFit="1" customWidth="1"/>
    <col min="38" max="38" width="14.140625" style="44" hidden="1" customWidth="1"/>
  </cols>
  <sheetData>
    <row r="1" spans="1:38" s="1" customFormat="1" ht="38.25" customHeight="1">
      <c r="A1" s="21" t="s">
        <v>5</v>
      </c>
      <c r="B1" s="22" t="s">
        <v>9</v>
      </c>
      <c r="C1" s="22" t="s">
        <v>6</v>
      </c>
      <c r="D1" s="22" t="s">
        <v>8</v>
      </c>
      <c r="E1" s="22" t="s">
        <v>3</v>
      </c>
      <c r="F1" s="22" t="s">
        <v>10</v>
      </c>
      <c r="G1" s="21" t="s">
        <v>7</v>
      </c>
      <c r="H1" s="21" t="s">
        <v>0</v>
      </c>
      <c r="I1" s="21" t="s">
        <v>1</v>
      </c>
      <c r="J1" s="21" t="s">
        <v>23</v>
      </c>
      <c r="K1" s="21" t="s">
        <v>24</v>
      </c>
      <c r="L1" s="21" t="s">
        <v>19</v>
      </c>
      <c r="M1" s="21" t="s">
        <v>15</v>
      </c>
      <c r="N1" s="21" t="s">
        <v>16</v>
      </c>
      <c r="O1" s="21" t="s">
        <v>25</v>
      </c>
      <c r="P1" s="21" t="s">
        <v>26</v>
      </c>
      <c r="Q1" s="21" t="s">
        <v>20</v>
      </c>
      <c r="R1" s="21" t="s">
        <v>17</v>
      </c>
      <c r="S1" s="21" t="s">
        <v>18</v>
      </c>
      <c r="T1" s="21" t="s">
        <v>28</v>
      </c>
      <c r="U1" s="21" t="s">
        <v>27</v>
      </c>
      <c r="V1" s="21" t="s">
        <v>2</v>
      </c>
      <c r="W1" s="21" t="s">
        <v>30</v>
      </c>
      <c r="X1" s="21" t="s">
        <v>32</v>
      </c>
      <c r="Y1" s="21" t="s">
        <v>29</v>
      </c>
      <c r="Z1" s="21" t="s">
        <v>31</v>
      </c>
      <c r="AA1" s="21" t="s">
        <v>33</v>
      </c>
      <c r="AB1" s="21" t="s">
        <v>34</v>
      </c>
      <c r="AC1" s="22" t="s">
        <v>11</v>
      </c>
      <c r="AD1" s="22" t="s">
        <v>21</v>
      </c>
      <c r="AE1" s="22" t="s">
        <v>22</v>
      </c>
      <c r="AF1" s="22" t="s">
        <v>4</v>
      </c>
      <c r="AG1" s="22" t="s">
        <v>12</v>
      </c>
      <c r="AH1" s="23" t="s">
        <v>13</v>
      </c>
      <c r="AI1" s="24" t="s">
        <v>14</v>
      </c>
      <c r="AJ1" s="32" t="s">
        <v>37</v>
      </c>
      <c r="AK1" s="34" t="s">
        <v>35</v>
      </c>
      <c r="AL1" s="62" t="s">
        <v>36</v>
      </c>
    </row>
    <row r="2" spans="1:38" ht="17.25" customHeight="1">
      <c r="A2" s="25">
        <v>45721</v>
      </c>
      <c r="B2" s="26" t="s">
        <v>446</v>
      </c>
      <c r="C2" s="14"/>
      <c r="D2" s="31" t="s">
        <v>439</v>
      </c>
      <c r="E2" s="14" t="s">
        <v>440</v>
      </c>
      <c r="F2" s="15" t="str">
        <f t="shared" ref="F2:F33" si="0">"S/F "&amp;B2&amp;" "&amp;E2</f>
        <v>S/F 5477-2025-00597238 Costco wholesale Spain S.L.U.</v>
      </c>
      <c r="G2" s="16">
        <v>54.26</v>
      </c>
      <c r="H2" s="17">
        <v>21</v>
      </c>
      <c r="I2" s="18">
        <f t="shared" ref="I2:I33" si="1">+IF(G2&lt;&gt;0,G2*H2/100,0)</f>
        <v>11.394600000000001</v>
      </c>
      <c r="J2" s="17"/>
      <c r="K2" s="18">
        <f t="shared" ref="K2:K33" si="2">+IF(G2&lt;&gt;0,G2*J2/100,0)</f>
        <v>0</v>
      </c>
      <c r="L2" s="16"/>
      <c r="M2" s="17"/>
      <c r="N2" s="18">
        <f t="shared" ref="N2:N33" si="3">+IF(L2&lt;&gt;0,L2*M2/100,0)</f>
        <v>0</v>
      </c>
      <c r="O2" s="19"/>
      <c r="P2" s="18"/>
      <c r="Q2" s="16"/>
      <c r="R2" s="17"/>
      <c r="S2" s="18"/>
      <c r="T2" s="19"/>
      <c r="U2" s="18"/>
      <c r="V2" s="16"/>
      <c r="W2" s="17"/>
      <c r="X2" s="18">
        <f t="shared" ref="X2:X33" si="4">+IF(W2&lt;&gt;0,V2*W2/100,0)</f>
        <v>0</v>
      </c>
      <c r="Y2" s="19"/>
      <c r="Z2" s="19"/>
      <c r="AA2" s="18">
        <f>+IF(Z2&lt;&gt;0,Y2*Z2/100,0)</f>
        <v>0</v>
      </c>
      <c r="AB2" s="20">
        <f t="shared" ref="AB2:AB33" si="5">+G2+I2+K2+L2+N2+P2+Q2+S2+U2-X2-AA2</f>
        <v>65.654600000000002</v>
      </c>
      <c r="AC2" s="5"/>
      <c r="AD2" s="8"/>
      <c r="AF2" s="6"/>
      <c r="AG2" s="7"/>
      <c r="AJ2" s="33"/>
      <c r="AK2" s="35" t="s">
        <v>447</v>
      </c>
      <c r="AL2" s="38"/>
    </row>
    <row r="3" spans="1:38" ht="17.25" customHeight="1">
      <c r="A3" s="25">
        <v>45722</v>
      </c>
      <c r="B3" s="26" t="s">
        <v>529</v>
      </c>
      <c r="C3" s="14"/>
      <c r="D3" s="31" t="s">
        <v>160</v>
      </c>
      <c r="E3" s="14" t="s">
        <v>530</v>
      </c>
      <c r="F3" s="15" t="str">
        <f t="shared" si="0"/>
        <v>S/F 925682627 Iberdrola Clientes S.A.U.</v>
      </c>
      <c r="G3" s="16">
        <v>2895.17</v>
      </c>
      <c r="H3" s="17">
        <v>21</v>
      </c>
      <c r="I3" s="18">
        <f t="shared" si="1"/>
        <v>607.98569999999995</v>
      </c>
      <c r="J3" s="17"/>
      <c r="K3" s="18">
        <f t="shared" si="2"/>
        <v>0</v>
      </c>
      <c r="L3" s="16"/>
      <c r="M3" s="17"/>
      <c r="N3" s="18">
        <f t="shared" si="3"/>
        <v>0</v>
      </c>
      <c r="O3" s="19"/>
      <c r="P3" s="18"/>
      <c r="Q3" s="16"/>
      <c r="R3" s="17"/>
      <c r="S3" s="18"/>
      <c r="T3" s="19"/>
      <c r="U3" s="18"/>
      <c r="V3" s="16"/>
      <c r="W3" s="17"/>
      <c r="X3" s="18">
        <f t="shared" si="4"/>
        <v>0</v>
      </c>
      <c r="Y3" s="19"/>
      <c r="Z3" s="19"/>
      <c r="AA3" s="18">
        <f>+IF(Z3&lt;&gt;0,Y3*Z3/100,0)</f>
        <v>0</v>
      </c>
      <c r="AB3" s="20">
        <f t="shared" si="5"/>
        <v>3503.1557000000003</v>
      </c>
      <c r="AC3" s="5"/>
      <c r="AD3" s="8"/>
      <c r="AF3" s="6"/>
      <c r="AG3" s="7"/>
      <c r="AJ3" s="33"/>
      <c r="AK3" s="35" t="s">
        <v>68</v>
      </c>
      <c r="AL3" s="38"/>
    </row>
    <row r="4" spans="1:38" ht="17.25" customHeight="1">
      <c r="A4" s="25">
        <v>45723</v>
      </c>
      <c r="B4" s="26" t="s">
        <v>531</v>
      </c>
      <c r="C4" s="14"/>
      <c r="D4" s="31" t="s">
        <v>317</v>
      </c>
      <c r="E4" s="14" t="s">
        <v>318</v>
      </c>
      <c r="F4" s="15" t="str">
        <f t="shared" si="0"/>
        <v>S/F 25025380 SG Equipment Finance Iberia, EFC, S.A.U.</v>
      </c>
      <c r="G4" s="16">
        <v>673.6</v>
      </c>
      <c r="H4" s="17">
        <v>21</v>
      </c>
      <c r="I4" s="18">
        <f t="shared" si="1"/>
        <v>141.45600000000002</v>
      </c>
      <c r="J4" s="17"/>
      <c r="K4" s="18">
        <f t="shared" si="2"/>
        <v>0</v>
      </c>
      <c r="L4" s="16"/>
      <c r="M4" s="17"/>
      <c r="N4" s="18">
        <f t="shared" si="3"/>
        <v>0</v>
      </c>
      <c r="O4" s="19"/>
      <c r="P4" s="18"/>
      <c r="Q4" s="16"/>
      <c r="R4" s="17"/>
      <c r="S4" s="18"/>
      <c r="T4" s="19"/>
      <c r="U4" s="18"/>
      <c r="V4" s="16"/>
      <c r="W4" s="17"/>
      <c r="X4" s="18">
        <f t="shared" si="4"/>
        <v>0</v>
      </c>
      <c r="Y4" s="19"/>
      <c r="Z4" s="19"/>
      <c r="AA4" s="18">
        <f>+IF(Z4&lt;&gt;0,Y4*Z4/100,0)</f>
        <v>0</v>
      </c>
      <c r="AB4" s="20">
        <f t="shared" si="5"/>
        <v>815.05600000000004</v>
      </c>
      <c r="AC4" s="5"/>
      <c r="AD4" s="8"/>
      <c r="AF4" s="6"/>
      <c r="AG4" s="7"/>
      <c r="AJ4" s="33"/>
      <c r="AK4" s="35" t="s">
        <v>68</v>
      </c>
      <c r="AL4" s="38"/>
    </row>
    <row r="5" spans="1:38" ht="17.25" customHeight="1">
      <c r="A5" s="25">
        <v>45721</v>
      </c>
      <c r="B5" s="26" t="s">
        <v>533</v>
      </c>
      <c r="C5" s="14"/>
      <c r="D5" s="31" t="s">
        <v>178</v>
      </c>
      <c r="E5" s="14" t="s">
        <v>179</v>
      </c>
      <c r="F5" s="15" t="str">
        <f t="shared" si="0"/>
        <v>S/F 2502377 Comercial de Soldadura S.A.</v>
      </c>
      <c r="G5" s="16">
        <v>641.13</v>
      </c>
      <c r="H5" s="17">
        <v>21</v>
      </c>
      <c r="I5" s="18">
        <f t="shared" si="1"/>
        <v>134.63729999999998</v>
      </c>
      <c r="J5" s="17"/>
      <c r="K5" s="18">
        <f t="shared" si="2"/>
        <v>0</v>
      </c>
      <c r="L5" s="16"/>
      <c r="M5" s="17"/>
      <c r="N5" s="18">
        <f t="shared" si="3"/>
        <v>0</v>
      </c>
      <c r="O5" s="19"/>
      <c r="P5" s="18"/>
      <c r="Q5" s="16"/>
      <c r="R5" s="17"/>
      <c r="S5" s="18"/>
      <c r="T5" s="19"/>
      <c r="U5" s="18"/>
      <c r="V5" s="16"/>
      <c r="W5" s="17"/>
      <c r="X5" s="18">
        <f t="shared" si="4"/>
        <v>0</v>
      </c>
      <c r="Y5" s="19"/>
      <c r="Z5" s="19"/>
      <c r="AA5" s="18">
        <f>+IF(Z5&lt;&gt;0,Y5*Z5/100,0)</f>
        <v>0</v>
      </c>
      <c r="AB5" s="20">
        <f t="shared" si="5"/>
        <v>775.76729999999998</v>
      </c>
      <c r="AC5" s="5"/>
      <c r="AD5" s="8"/>
      <c r="AF5" s="6"/>
      <c r="AG5" s="7"/>
      <c r="AJ5" s="33"/>
      <c r="AK5" s="35"/>
      <c r="AL5" s="38"/>
    </row>
    <row r="6" spans="1:38" ht="17.25" customHeight="1">
      <c r="A6" s="25">
        <v>45720</v>
      </c>
      <c r="B6" s="26" t="s">
        <v>534</v>
      </c>
      <c r="C6" s="14"/>
      <c r="D6" s="31" t="s">
        <v>128</v>
      </c>
      <c r="E6" s="14" t="s">
        <v>129</v>
      </c>
      <c r="F6" s="15" t="str">
        <f t="shared" si="0"/>
        <v>S/F 250151 Comercial Andora Semanca S.L.</v>
      </c>
      <c r="G6" s="16">
        <v>1223.5</v>
      </c>
      <c r="H6" s="17">
        <v>21</v>
      </c>
      <c r="I6" s="18">
        <f t="shared" si="1"/>
        <v>256.935</v>
      </c>
      <c r="J6" s="17"/>
      <c r="K6" s="18">
        <f t="shared" si="2"/>
        <v>0</v>
      </c>
      <c r="L6" s="16"/>
      <c r="M6" s="17"/>
      <c r="N6" s="18">
        <f t="shared" si="3"/>
        <v>0</v>
      </c>
      <c r="O6" s="19"/>
      <c r="P6" s="18"/>
      <c r="Q6" s="16"/>
      <c r="R6" s="17"/>
      <c r="S6" s="18"/>
      <c r="T6" s="19"/>
      <c r="U6" s="18"/>
      <c r="V6" s="16"/>
      <c r="W6" s="17"/>
      <c r="X6" s="18">
        <f t="shared" si="4"/>
        <v>0</v>
      </c>
      <c r="Y6" s="19"/>
      <c r="Z6" s="19"/>
      <c r="AA6" s="18"/>
      <c r="AB6" s="20">
        <f t="shared" si="5"/>
        <v>1480.4349999999999</v>
      </c>
      <c r="AC6" s="5"/>
      <c r="AD6" s="8"/>
      <c r="AF6" s="6"/>
      <c r="AG6" s="7"/>
      <c r="AJ6" s="33"/>
      <c r="AK6" s="35" t="s">
        <v>68</v>
      </c>
      <c r="AL6" s="38"/>
    </row>
    <row r="7" spans="1:38" ht="17.25" customHeight="1">
      <c r="A7" s="25">
        <v>45742</v>
      </c>
      <c r="B7" s="26" t="s">
        <v>547</v>
      </c>
      <c r="C7" s="14"/>
      <c r="D7" s="26" t="s">
        <v>85</v>
      </c>
      <c r="E7" s="14" t="s">
        <v>86</v>
      </c>
      <c r="F7" s="15" t="str">
        <f t="shared" si="0"/>
        <v>S/F 06/025 José Luis Úbeda Sanz &amp; Cía S.R.C.</v>
      </c>
      <c r="G7" s="16">
        <v>7780.39</v>
      </c>
      <c r="H7" s="17">
        <v>21</v>
      </c>
      <c r="I7" s="18">
        <f t="shared" si="1"/>
        <v>1633.8819000000001</v>
      </c>
      <c r="J7" s="17"/>
      <c r="K7" s="18"/>
      <c r="L7" s="16"/>
      <c r="M7" s="17"/>
      <c r="N7" s="18">
        <f t="shared" si="3"/>
        <v>0</v>
      </c>
      <c r="O7" s="19"/>
      <c r="P7" s="18"/>
      <c r="Q7" s="16"/>
      <c r="R7" s="17"/>
      <c r="S7" s="18"/>
      <c r="T7" s="19"/>
      <c r="U7" s="18"/>
      <c r="V7" s="16">
        <v>7780.39</v>
      </c>
      <c r="W7" s="17">
        <v>19</v>
      </c>
      <c r="X7" s="18">
        <f t="shared" si="4"/>
        <v>1478.2741000000001</v>
      </c>
      <c r="Y7" s="19"/>
      <c r="Z7" s="19"/>
      <c r="AA7" s="18"/>
      <c r="AB7" s="20">
        <f t="shared" si="5"/>
        <v>7935.9977999999992</v>
      </c>
      <c r="AC7" s="5"/>
      <c r="AD7" s="8"/>
      <c r="AF7" s="6"/>
      <c r="AG7" s="7"/>
      <c r="AJ7" s="33" t="s">
        <v>87</v>
      </c>
      <c r="AK7" s="35" t="s">
        <v>75</v>
      </c>
      <c r="AL7" s="38"/>
    </row>
    <row r="8" spans="1:38" ht="17.25" customHeight="1">
      <c r="A8" s="25">
        <v>45717</v>
      </c>
      <c r="B8" s="26" t="s">
        <v>549</v>
      </c>
      <c r="C8" s="14"/>
      <c r="D8" s="31" t="s">
        <v>80</v>
      </c>
      <c r="E8" s="14" t="s">
        <v>81</v>
      </c>
      <c r="F8" s="15" t="str">
        <f t="shared" si="0"/>
        <v>S/F 161805/2025 Grenke Rent S.L.</v>
      </c>
      <c r="G8" s="16">
        <v>53.7</v>
      </c>
      <c r="H8" s="17">
        <v>21</v>
      </c>
      <c r="I8" s="18">
        <f t="shared" si="1"/>
        <v>11.277000000000001</v>
      </c>
      <c r="J8" s="17"/>
      <c r="K8" s="18">
        <f t="shared" si="2"/>
        <v>0</v>
      </c>
      <c r="L8" s="16"/>
      <c r="M8" s="17"/>
      <c r="N8" s="18">
        <f t="shared" si="3"/>
        <v>0</v>
      </c>
      <c r="O8" s="19"/>
      <c r="P8" s="18"/>
      <c r="Q8" s="16"/>
      <c r="R8" s="17"/>
      <c r="S8" s="18"/>
      <c r="T8" s="19"/>
      <c r="U8" s="18"/>
      <c r="V8" s="16"/>
      <c r="W8" s="17"/>
      <c r="X8" s="18">
        <f t="shared" si="4"/>
        <v>0</v>
      </c>
      <c r="Y8" s="19"/>
      <c r="Z8" s="19"/>
      <c r="AA8" s="18">
        <f t="shared" ref="AA8:AA14" si="6">+IF(Z8&lt;&gt;0,Y8*Z8/100,0)</f>
        <v>0</v>
      </c>
      <c r="AB8" s="20">
        <f t="shared" si="5"/>
        <v>64.977000000000004</v>
      </c>
      <c r="AC8" s="5"/>
      <c r="AD8" s="8"/>
      <c r="AF8" s="6"/>
      <c r="AG8" s="7"/>
      <c r="AJ8" s="33"/>
      <c r="AK8" s="35" t="s">
        <v>68</v>
      </c>
      <c r="AL8" s="38"/>
    </row>
    <row r="9" spans="1:38" ht="17.25" customHeight="1">
      <c r="A9" s="25">
        <v>45719</v>
      </c>
      <c r="B9" s="26" t="s">
        <v>550</v>
      </c>
      <c r="C9" s="14"/>
      <c r="D9" s="31" t="s">
        <v>53</v>
      </c>
      <c r="E9" s="14" t="s">
        <v>54</v>
      </c>
      <c r="F9" s="15" t="str">
        <f t="shared" si="0"/>
        <v>S/F 20250492 Láser Levante S.A.</v>
      </c>
      <c r="G9" s="16">
        <v>24.4</v>
      </c>
      <c r="H9" s="17">
        <v>21</v>
      </c>
      <c r="I9" s="18">
        <f t="shared" si="1"/>
        <v>5.1239999999999997</v>
      </c>
      <c r="J9" s="17"/>
      <c r="K9" s="18">
        <f t="shared" si="2"/>
        <v>0</v>
      </c>
      <c r="L9" s="16"/>
      <c r="M9" s="17"/>
      <c r="N9" s="18">
        <f t="shared" si="3"/>
        <v>0</v>
      </c>
      <c r="O9" s="19"/>
      <c r="P9" s="18"/>
      <c r="Q9" s="16"/>
      <c r="R9" s="17"/>
      <c r="S9" s="18"/>
      <c r="T9" s="19"/>
      <c r="U9" s="18"/>
      <c r="V9" s="16"/>
      <c r="W9" s="17"/>
      <c r="X9" s="18">
        <f t="shared" si="4"/>
        <v>0</v>
      </c>
      <c r="Y9" s="19"/>
      <c r="Z9" s="19"/>
      <c r="AA9" s="18">
        <f t="shared" si="6"/>
        <v>0</v>
      </c>
      <c r="AB9" s="20">
        <f t="shared" si="5"/>
        <v>29.523999999999997</v>
      </c>
      <c r="AC9" s="5"/>
      <c r="AD9" s="8"/>
      <c r="AF9" s="6"/>
      <c r="AG9" s="7"/>
      <c r="AJ9" s="33"/>
      <c r="AK9" s="35"/>
      <c r="AL9" s="38"/>
    </row>
    <row r="10" spans="1:38" ht="17.25" customHeight="1">
      <c r="A10" s="25">
        <v>45719</v>
      </c>
      <c r="B10" s="26" t="s">
        <v>551</v>
      </c>
      <c r="C10" s="14"/>
      <c r="D10" s="31" t="s">
        <v>53</v>
      </c>
      <c r="E10" s="14" t="s">
        <v>54</v>
      </c>
      <c r="F10" s="15" t="str">
        <f t="shared" si="0"/>
        <v>S/F 20250488 Láser Levante S.A.</v>
      </c>
      <c r="G10" s="16">
        <v>1440</v>
      </c>
      <c r="H10" s="17">
        <v>21</v>
      </c>
      <c r="I10" s="18">
        <f t="shared" si="1"/>
        <v>302.39999999999998</v>
      </c>
      <c r="J10" s="17"/>
      <c r="K10" s="18">
        <f t="shared" si="2"/>
        <v>0</v>
      </c>
      <c r="L10" s="16"/>
      <c r="M10" s="17"/>
      <c r="N10" s="18">
        <f t="shared" si="3"/>
        <v>0</v>
      </c>
      <c r="O10" s="19"/>
      <c r="P10" s="18"/>
      <c r="Q10" s="16"/>
      <c r="R10" s="17"/>
      <c r="S10" s="18"/>
      <c r="T10" s="19"/>
      <c r="U10" s="18"/>
      <c r="V10" s="16"/>
      <c r="W10" s="17"/>
      <c r="X10" s="18">
        <f t="shared" si="4"/>
        <v>0</v>
      </c>
      <c r="Y10" s="19"/>
      <c r="Z10" s="19"/>
      <c r="AA10" s="18">
        <f t="shared" si="6"/>
        <v>0</v>
      </c>
      <c r="AB10" s="20">
        <f t="shared" si="5"/>
        <v>1742.4</v>
      </c>
      <c r="AC10" s="5"/>
      <c r="AD10" s="8"/>
      <c r="AF10" s="6"/>
      <c r="AG10" s="7"/>
      <c r="AJ10" s="33"/>
      <c r="AK10" s="35"/>
      <c r="AL10" s="38"/>
    </row>
    <row r="11" spans="1:38" ht="17.25" customHeight="1">
      <c r="A11" s="25">
        <v>45719</v>
      </c>
      <c r="B11" s="26" t="s">
        <v>552</v>
      </c>
      <c r="C11" s="14"/>
      <c r="D11" s="31" t="s">
        <v>53</v>
      </c>
      <c r="E11" s="14" t="s">
        <v>54</v>
      </c>
      <c r="F11" s="15" t="str">
        <f t="shared" si="0"/>
        <v>S/F 20250493 Láser Levante S.A.</v>
      </c>
      <c r="G11" s="16">
        <v>694.96</v>
      </c>
      <c r="H11" s="17">
        <v>21</v>
      </c>
      <c r="I11" s="18">
        <f t="shared" si="1"/>
        <v>145.94159999999999</v>
      </c>
      <c r="J11" s="17"/>
      <c r="K11" s="18">
        <f t="shared" si="2"/>
        <v>0</v>
      </c>
      <c r="L11" s="16"/>
      <c r="M11" s="17"/>
      <c r="N11" s="18">
        <f t="shared" si="3"/>
        <v>0</v>
      </c>
      <c r="O11" s="19"/>
      <c r="P11" s="18"/>
      <c r="Q11" s="16"/>
      <c r="R11" s="17"/>
      <c r="S11" s="18"/>
      <c r="T11" s="19"/>
      <c r="U11" s="18"/>
      <c r="V11" s="16"/>
      <c r="W11" s="17"/>
      <c r="X11" s="18">
        <f t="shared" si="4"/>
        <v>0</v>
      </c>
      <c r="Y11" s="19"/>
      <c r="Z11" s="19"/>
      <c r="AA11" s="18">
        <f t="shared" si="6"/>
        <v>0</v>
      </c>
      <c r="AB11" s="20">
        <f t="shared" si="5"/>
        <v>840.90160000000003</v>
      </c>
      <c r="AC11" s="5"/>
      <c r="AD11" s="8"/>
      <c r="AF11" s="6"/>
      <c r="AG11" s="7"/>
      <c r="AJ11" s="33"/>
      <c r="AK11" s="35"/>
      <c r="AL11" s="38"/>
    </row>
    <row r="12" spans="1:38" ht="17.25" customHeight="1">
      <c r="A12" s="25">
        <v>45719</v>
      </c>
      <c r="B12" s="26" t="s">
        <v>553</v>
      </c>
      <c r="C12" s="14"/>
      <c r="D12" s="31" t="s">
        <v>53</v>
      </c>
      <c r="E12" s="14" t="s">
        <v>54</v>
      </c>
      <c r="F12" s="15" t="str">
        <f t="shared" si="0"/>
        <v>S/F 20250494 Láser Levante S.A.</v>
      </c>
      <c r="G12" s="16">
        <v>11.01</v>
      </c>
      <c r="H12" s="17">
        <v>21</v>
      </c>
      <c r="I12" s="18">
        <f t="shared" si="1"/>
        <v>2.3121</v>
      </c>
      <c r="J12" s="17"/>
      <c r="K12" s="18">
        <f t="shared" si="2"/>
        <v>0</v>
      </c>
      <c r="L12" s="16"/>
      <c r="M12" s="17"/>
      <c r="N12" s="18">
        <f t="shared" si="3"/>
        <v>0</v>
      </c>
      <c r="O12" s="19"/>
      <c r="P12" s="18"/>
      <c r="Q12" s="16"/>
      <c r="R12" s="17"/>
      <c r="S12" s="18"/>
      <c r="T12" s="19"/>
      <c r="U12" s="18"/>
      <c r="V12" s="16"/>
      <c r="W12" s="17"/>
      <c r="X12" s="18">
        <f t="shared" si="4"/>
        <v>0</v>
      </c>
      <c r="Y12" s="19"/>
      <c r="Z12" s="19"/>
      <c r="AA12" s="18">
        <f t="shared" si="6"/>
        <v>0</v>
      </c>
      <c r="AB12" s="20">
        <f t="shared" si="5"/>
        <v>13.322099999999999</v>
      </c>
      <c r="AC12" s="5"/>
      <c r="AD12" s="8"/>
      <c r="AF12" s="6"/>
      <c r="AG12" s="7"/>
      <c r="AJ12" s="33"/>
      <c r="AK12" s="35"/>
      <c r="AL12" s="38"/>
    </row>
    <row r="13" spans="1:38" ht="17.25" customHeight="1">
      <c r="A13" s="25">
        <v>45719</v>
      </c>
      <c r="B13" s="26" t="s">
        <v>554</v>
      </c>
      <c r="C13" s="14"/>
      <c r="D13" s="31" t="s">
        <v>53</v>
      </c>
      <c r="E13" s="14" t="s">
        <v>54</v>
      </c>
      <c r="F13" s="15" t="str">
        <f t="shared" si="0"/>
        <v>S/F 20250495 Láser Levante S.A.</v>
      </c>
      <c r="G13" s="16">
        <v>50.14</v>
      </c>
      <c r="H13" s="17">
        <v>21</v>
      </c>
      <c r="I13" s="18">
        <f t="shared" si="1"/>
        <v>10.529400000000001</v>
      </c>
      <c r="J13" s="17"/>
      <c r="K13" s="18">
        <f t="shared" si="2"/>
        <v>0</v>
      </c>
      <c r="L13" s="16"/>
      <c r="M13" s="17"/>
      <c r="N13" s="18">
        <f t="shared" si="3"/>
        <v>0</v>
      </c>
      <c r="O13" s="19"/>
      <c r="P13" s="18"/>
      <c r="Q13" s="16"/>
      <c r="R13" s="17"/>
      <c r="S13" s="18"/>
      <c r="T13" s="19"/>
      <c r="U13" s="18"/>
      <c r="V13" s="16"/>
      <c r="W13" s="17"/>
      <c r="X13" s="18">
        <f t="shared" si="4"/>
        <v>0</v>
      </c>
      <c r="Y13" s="19"/>
      <c r="Z13" s="19"/>
      <c r="AA13" s="18">
        <f t="shared" si="6"/>
        <v>0</v>
      </c>
      <c r="AB13" s="20">
        <f t="shared" si="5"/>
        <v>60.669400000000003</v>
      </c>
      <c r="AC13" s="5"/>
      <c r="AD13" s="8"/>
      <c r="AF13" s="6"/>
      <c r="AG13" s="7"/>
      <c r="AJ13" s="33"/>
      <c r="AK13" s="35"/>
      <c r="AL13" s="38"/>
    </row>
    <row r="14" spans="1:38" ht="17.25" customHeight="1">
      <c r="A14" s="25">
        <v>45721</v>
      </c>
      <c r="B14" s="26" t="s">
        <v>555</v>
      </c>
      <c r="C14" s="14"/>
      <c r="D14" s="31" t="s">
        <v>89</v>
      </c>
      <c r="E14" s="14" t="s">
        <v>90</v>
      </c>
      <c r="F14" s="15" t="str">
        <f t="shared" si="0"/>
        <v>S/F 2500774 Recuperaciones Perez S.L.</v>
      </c>
      <c r="G14" s="16">
        <v>477.76</v>
      </c>
      <c r="H14" s="17">
        <v>10</v>
      </c>
      <c r="I14" s="18">
        <f t="shared" si="1"/>
        <v>47.776000000000003</v>
      </c>
      <c r="J14" s="17"/>
      <c r="K14" s="18">
        <f t="shared" si="2"/>
        <v>0</v>
      </c>
      <c r="L14" s="16"/>
      <c r="M14" s="17"/>
      <c r="N14" s="18">
        <f t="shared" si="3"/>
        <v>0</v>
      </c>
      <c r="O14" s="19"/>
      <c r="P14" s="18"/>
      <c r="Q14" s="16"/>
      <c r="R14" s="17"/>
      <c r="S14" s="18"/>
      <c r="T14" s="19"/>
      <c r="U14" s="18"/>
      <c r="V14" s="16"/>
      <c r="W14" s="17"/>
      <c r="X14" s="18">
        <f t="shared" si="4"/>
        <v>0</v>
      </c>
      <c r="Y14" s="19"/>
      <c r="Z14" s="19"/>
      <c r="AA14" s="18">
        <f t="shared" si="6"/>
        <v>0</v>
      </c>
      <c r="AB14" s="20">
        <f t="shared" si="5"/>
        <v>525.53599999999994</v>
      </c>
      <c r="AC14" s="5"/>
      <c r="AD14" s="8"/>
      <c r="AF14" s="6"/>
      <c r="AG14" s="7"/>
      <c r="AJ14" s="33"/>
      <c r="AK14" s="35"/>
      <c r="AL14" s="38"/>
    </row>
    <row r="15" spans="1:38" ht="17.25" customHeight="1">
      <c r="A15" s="25">
        <v>45720</v>
      </c>
      <c r="B15" s="26" t="s">
        <v>558</v>
      </c>
      <c r="C15" s="14"/>
      <c r="D15" s="31" t="s">
        <v>77</v>
      </c>
      <c r="E15" s="14" t="s">
        <v>78</v>
      </c>
      <c r="F15" s="15" t="str">
        <f t="shared" si="0"/>
        <v>S/F 730929 Mercedes-Benz España S.A.U.</v>
      </c>
      <c r="G15" s="16">
        <v>39</v>
      </c>
      <c r="H15" s="17">
        <v>21</v>
      </c>
      <c r="I15" s="18">
        <f t="shared" si="1"/>
        <v>8.19</v>
      </c>
      <c r="J15" s="17"/>
      <c r="K15" s="18"/>
      <c r="L15" s="16"/>
      <c r="M15" s="17"/>
      <c r="N15" s="18">
        <f t="shared" si="3"/>
        <v>0</v>
      </c>
      <c r="O15" s="19"/>
      <c r="P15" s="18"/>
      <c r="Q15" s="16"/>
      <c r="R15" s="17"/>
      <c r="S15" s="18"/>
      <c r="T15" s="19"/>
      <c r="U15" s="18"/>
      <c r="V15" s="16"/>
      <c r="W15" s="17"/>
      <c r="X15" s="18">
        <f t="shared" si="4"/>
        <v>0</v>
      </c>
      <c r="Y15" s="19"/>
      <c r="Z15" s="19"/>
      <c r="AA15" s="18"/>
      <c r="AB15" s="20">
        <f t="shared" si="5"/>
        <v>47.19</v>
      </c>
      <c r="AC15" s="5"/>
      <c r="AD15" s="8"/>
      <c r="AF15" s="6"/>
      <c r="AG15" s="7"/>
      <c r="AJ15" s="33"/>
      <c r="AK15" s="35" t="s">
        <v>68</v>
      </c>
      <c r="AL15" s="38"/>
    </row>
    <row r="16" spans="1:38" ht="17.25" customHeight="1">
      <c r="A16" s="25">
        <v>45717</v>
      </c>
      <c r="B16" s="26" t="s">
        <v>559</v>
      </c>
      <c r="C16" s="14"/>
      <c r="D16" s="31" t="s">
        <v>70</v>
      </c>
      <c r="E16" s="14" t="s">
        <v>71</v>
      </c>
      <c r="F16" s="15" t="str">
        <f t="shared" si="0"/>
        <v>S/F 2503C00801713 Securitas Direct España</v>
      </c>
      <c r="G16" s="16">
        <v>47.82</v>
      </c>
      <c r="H16" s="17">
        <v>21</v>
      </c>
      <c r="I16" s="18">
        <f t="shared" si="1"/>
        <v>10.042200000000001</v>
      </c>
      <c r="J16" s="17"/>
      <c r="K16" s="18"/>
      <c r="L16" s="16"/>
      <c r="M16" s="17"/>
      <c r="N16" s="18">
        <f t="shared" si="3"/>
        <v>0</v>
      </c>
      <c r="O16" s="19"/>
      <c r="P16" s="18"/>
      <c r="Q16" s="16"/>
      <c r="R16" s="17"/>
      <c r="S16" s="18"/>
      <c r="T16" s="19"/>
      <c r="U16" s="18"/>
      <c r="V16" s="16"/>
      <c r="W16" s="17"/>
      <c r="X16" s="18">
        <f t="shared" si="4"/>
        <v>0</v>
      </c>
      <c r="Y16" s="19"/>
      <c r="Z16" s="19"/>
      <c r="AA16" s="18"/>
      <c r="AB16" s="20">
        <f t="shared" si="5"/>
        <v>57.862200000000001</v>
      </c>
      <c r="AC16" s="5"/>
      <c r="AD16" s="8"/>
      <c r="AF16" s="6"/>
      <c r="AG16" s="7"/>
      <c r="AJ16" s="33"/>
      <c r="AK16" s="35" t="s">
        <v>68</v>
      </c>
      <c r="AL16" s="38"/>
    </row>
    <row r="17" spans="1:38" ht="17.25" customHeight="1">
      <c r="A17" s="25"/>
      <c r="B17" s="26"/>
      <c r="C17" s="14"/>
      <c r="D17" s="31"/>
      <c r="E17" s="14"/>
      <c r="F17" s="15" t="str">
        <f t="shared" si="0"/>
        <v xml:space="preserve">S/F  </v>
      </c>
      <c r="G17" s="16"/>
      <c r="H17" s="17">
        <v>21</v>
      </c>
      <c r="I17" s="18">
        <f t="shared" si="1"/>
        <v>0</v>
      </c>
      <c r="J17" s="17"/>
      <c r="K17" s="18">
        <f t="shared" si="2"/>
        <v>0</v>
      </c>
      <c r="L17" s="16"/>
      <c r="M17" s="17"/>
      <c r="N17" s="18">
        <f t="shared" si="3"/>
        <v>0</v>
      </c>
      <c r="O17" s="19"/>
      <c r="P17" s="18"/>
      <c r="Q17" s="16"/>
      <c r="R17" s="17"/>
      <c r="S17" s="18"/>
      <c r="T17" s="19"/>
      <c r="U17" s="18"/>
      <c r="V17" s="16"/>
      <c r="W17" s="17"/>
      <c r="X17" s="18">
        <f t="shared" si="4"/>
        <v>0</v>
      </c>
      <c r="Y17" s="19"/>
      <c r="Z17" s="19"/>
      <c r="AA17" s="18"/>
      <c r="AB17" s="20">
        <f t="shared" si="5"/>
        <v>0</v>
      </c>
      <c r="AC17" s="5"/>
      <c r="AD17" s="8"/>
      <c r="AF17" s="6"/>
      <c r="AG17" s="7"/>
      <c r="AJ17" s="33"/>
      <c r="AK17" s="35"/>
      <c r="AL17" s="38"/>
    </row>
    <row r="18" spans="1:38" ht="17.25" customHeight="1">
      <c r="A18" s="25"/>
      <c r="B18" s="26"/>
      <c r="C18" s="14"/>
      <c r="D18" s="31"/>
      <c r="E18" s="14"/>
      <c r="F18" s="15" t="str">
        <f t="shared" si="0"/>
        <v xml:space="preserve">S/F  </v>
      </c>
      <c r="G18" s="16"/>
      <c r="H18" s="17">
        <v>21</v>
      </c>
      <c r="I18" s="18">
        <f t="shared" si="1"/>
        <v>0</v>
      </c>
      <c r="J18" s="17"/>
      <c r="K18" s="18">
        <f t="shared" si="2"/>
        <v>0</v>
      </c>
      <c r="L18" s="16"/>
      <c r="M18" s="17"/>
      <c r="N18" s="18">
        <f t="shared" si="3"/>
        <v>0</v>
      </c>
      <c r="O18" s="19"/>
      <c r="P18" s="18"/>
      <c r="Q18" s="16"/>
      <c r="R18" s="17"/>
      <c r="S18" s="18"/>
      <c r="T18" s="19"/>
      <c r="U18" s="18"/>
      <c r="V18" s="16"/>
      <c r="W18" s="17"/>
      <c r="X18" s="18">
        <f t="shared" si="4"/>
        <v>0</v>
      </c>
      <c r="Y18" s="19"/>
      <c r="Z18" s="19"/>
      <c r="AA18" s="18">
        <f>+IF(Z18&lt;&gt;0,Y18*Z18/100,0)</f>
        <v>0</v>
      </c>
      <c r="AB18" s="20">
        <f t="shared" si="5"/>
        <v>0</v>
      </c>
      <c r="AC18" s="5"/>
      <c r="AD18" s="8"/>
      <c r="AF18" s="6"/>
      <c r="AG18" s="7"/>
      <c r="AJ18" s="33"/>
      <c r="AK18" s="35"/>
      <c r="AL18" s="38"/>
    </row>
    <row r="19" spans="1:38" ht="17.25" customHeight="1">
      <c r="A19" s="25"/>
      <c r="B19" s="26"/>
      <c r="C19" s="14"/>
      <c r="D19" s="31"/>
      <c r="E19" s="14"/>
      <c r="F19" s="15" t="str">
        <f t="shared" si="0"/>
        <v xml:space="preserve">S/F  </v>
      </c>
      <c r="G19" s="16"/>
      <c r="H19" s="17">
        <v>21</v>
      </c>
      <c r="I19" s="18">
        <f t="shared" si="1"/>
        <v>0</v>
      </c>
      <c r="J19" s="17"/>
      <c r="K19" s="18">
        <f t="shared" si="2"/>
        <v>0</v>
      </c>
      <c r="L19" s="16"/>
      <c r="M19" s="17"/>
      <c r="N19" s="18">
        <f t="shared" si="3"/>
        <v>0</v>
      </c>
      <c r="O19" s="19"/>
      <c r="P19" s="18"/>
      <c r="Q19" s="16"/>
      <c r="R19" s="17"/>
      <c r="S19" s="18"/>
      <c r="T19" s="19"/>
      <c r="U19" s="18"/>
      <c r="V19" s="16"/>
      <c r="W19" s="17"/>
      <c r="X19" s="18">
        <f t="shared" si="4"/>
        <v>0</v>
      </c>
      <c r="Y19" s="19"/>
      <c r="Z19" s="19"/>
      <c r="AA19" s="18"/>
      <c r="AB19" s="20">
        <f t="shared" si="5"/>
        <v>0</v>
      </c>
      <c r="AC19" s="5"/>
      <c r="AD19" s="8"/>
      <c r="AF19" s="6"/>
      <c r="AG19" s="7"/>
      <c r="AJ19" s="33"/>
      <c r="AK19" s="35"/>
      <c r="AL19" s="38"/>
    </row>
    <row r="20" spans="1:38" ht="17.25" customHeight="1">
      <c r="A20" s="25"/>
      <c r="B20" s="26"/>
      <c r="C20" s="14"/>
      <c r="D20" s="31"/>
      <c r="E20" s="14"/>
      <c r="F20" s="15" t="str">
        <f t="shared" si="0"/>
        <v xml:space="preserve">S/F  </v>
      </c>
      <c r="G20" s="16"/>
      <c r="H20" s="17">
        <v>21</v>
      </c>
      <c r="I20" s="18">
        <f t="shared" si="1"/>
        <v>0</v>
      </c>
      <c r="J20" s="17"/>
      <c r="K20" s="18">
        <f t="shared" si="2"/>
        <v>0</v>
      </c>
      <c r="L20" s="16"/>
      <c r="M20" s="17"/>
      <c r="N20" s="18">
        <f t="shared" si="3"/>
        <v>0</v>
      </c>
      <c r="O20" s="19"/>
      <c r="P20" s="18"/>
      <c r="Q20" s="16"/>
      <c r="R20" s="17"/>
      <c r="S20" s="18"/>
      <c r="T20" s="19"/>
      <c r="U20" s="18"/>
      <c r="V20" s="16"/>
      <c r="W20" s="17"/>
      <c r="X20" s="18">
        <f t="shared" si="4"/>
        <v>0</v>
      </c>
      <c r="Y20" s="19"/>
      <c r="Z20" s="19"/>
      <c r="AA20" s="18">
        <f t="shared" ref="AA20:AA42" si="7">+IF(Z20&lt;&gt;0,Y20*Z20/100,0)</f>
        <v>0</v>
      </c>
      <c r="AB20" s="20">
        <f t="shared" si="5"/>
        <v>0</v>
      </c>
      <c r="AC20" s="5"/>
      <c r="AD20" s="8"/>
      <c r="AF20" s="6"/>
      <c r="AG20" s="7"/>
      <c r="AJ20" s="33"/>
      <c r="AK20" s="35"/>
      <c r="AL20" s="38"/>
    </row>
    <row r="21" spans="1:38" ht="17.25" customHeight="1">
      <c r="A21" s="25"/>
      <c r="B21" s="26"/>
      <c r="C21" s="14"/>
      <c r="D21" s="26"/>
      <c r="E21" s="14"/>
      <c r="F21" s="15" t="str">
        <f t="shared" si="0"/>
        <v xml:space="preserve">S/F  </v>
      </c>
      <c r="G21" s="16"/>
      <c r="H21" s="17">
        <v>21</v>
      </c>
      <c r="I21" s="18">
        <f t="shared" si="1"/>
        <v>0</v>
      </c>
      <c r="J21" s="17"/>
      <c r="K21" s="18">
        <f t="shared" si="2"/>
        <v>0</v>
      </c>
      <c r="L21" s="16"/>
      <c r="M21" s="17"/>
      <c r="N21" s="18">
        <f t="shared" si="3"/>
        <v>0</v>
      </c>
      <c r="O21" s="19"/>
      <c r="P21" s="18"/>
      <c r="Q21" s="16"/>
      <c r="R21" s="17"/>
      <c r="S21" s="18"/>
      <c r="T21" s="19"/>
      <c r="U21" s="18"/>
      <c r="V21" s="16"/>
      <c r="W21" s="17"/>
      <c r="X21" s="18">
        <f t="shared" si="4"/>
        <v>0</v>
      </c>
      <c r="Y21" s="19"/>
      <c r="Z21" s="19"/>
      <c r="AA21" s="18">
        <f t="shared" si="7"/>
        <v>0</v>
      </c>
      <c r="AB21" s="20">
        <f t="shared" si="5"/>
        <v>0</v>
      </c>
      <c r="AC21" s="5"/>
      <c r="AD21" s="8"/>
      <c r="AF21" s="6"/>
      <c r="AG21" s="7"/>
      <c r="AJ21" s="33"/>
      <c r="AK21" s="35"/>
      <c r="AL21" s="38"/>
    </row>
    <row r="22" spans="1:38" ht="17.25" customHeight="1">
      <c r="A22" s="25"/>
      <c r="B22" s="26"/>
      <c r="C22" s="14"/>
      <c r="D22" s="31"/>
      <c r="E22" s="14"/>
      <c r="F22" s="15" t="str">
        <f t="shared" si="0"/>
        <v xml:space="preserve">S/F  </v>
      </c>
      <c r="G22" s="16"/>
      <c r="H22" s="17">
        <v>21</v>
      </c>
      <c r="I22" s="18">
        <f t="shared" si="1"/>
        <v>0</v>
      </c>
      <c r="J22" s="17"/>
      <c r="K22" s="18">
        <f t="shared" si="2"/>
        <v>0</v>
      </c>
      <c r="L22" s="16"/>
      <c r="M22" s="17"/>
      <c r="N22" s="18">
        <f t="shared" si="3"/>
        <v>0</v>
      </c>
      <c r="O22" s="19"/>
      <c r="P22" s="18"/>
      <c r="Q22" s="16"/>
      <c r="R22" s="17"/>
      <c r="S22" s="18"/>
      <c r="T22" s="19"/>
      <c r="U22" s="18"/>
      <c r="V22" s="16"/>
      <c r="W22" s="17"/>
      <c r="X22" s="18">
        <f t="shared" si="4"/>
        <v>0</v>
      </c>
      <c r="Y22" s="19"/>
      <c r="Z22" s="19"/>
      <c r="AA22" s="18">
        <f t="shared" si="7"/>
        <v>0</v>
      </c>
      <c r="AB22" s="20">
        <f t="shared" si="5"/>
        <v>0</v>
      </c>
      <c r="AC22" s="5"/>
      <c r="AD22" s="8"/>
      <c r="AF22" s="6"/>
      <c r="AG22" s="7"/>
      <c r="AJ22" s="33"/>
      <c r="AK22" s="35"/>
      <c r="AL22" s="38"/>
    </row>
    <row r="23" spans="1:38" ht="17.25" customHeight="1">
      <c r="A23" s="25"/>
      <c r="B23" s="26"/>
      <c r="C23" s="14"/>
      <c r="D23" s="31"/>
      <c r="E23" s="14"/>
      <c r="F23" s="15" t="str">
        <f t="shared" si="0"/>
        <v xml:space="preserve">S/F  </v>
      </c>
      <c r="G23" s="16"/>
      <c r="H23" s="17">
        <v>21</v>
      </c>
      <c r="I23" s="18">
        <f t="shared" si="1"/>
        <v>0</v>
      </c>
      <c r="J23" s="17"/>
      <c r="K23" s="18">
        <f t="shared" si="2"/>
        <v>0</v>
      </c>
      <c r="L23" s="16"/>
      <c r="M23" s="17"/>
      <c r="N23" s="18">
        <f t="shared" si="3"/>
        <v>0</v>
      </c>
      <c r="O23" s="19"/>
      <c r="P23" s="18"/>
      <c r="Q23" s="16"/>
      <c r="R23" s="17"/>
      <c r="S23" s="18"/>
      <c r="T23" s="19"/>
      <c r="U23" s="18"/>
      <c r="V23" s="16"/>
      <c r="W23" s="17"/>
      <c r="X23" s="18">
        <f t="shared" si="4"/>
        <v>0</v>
      </c>
      <c r="Y23" s="19"/>
      <c r="Z23" s="19"/>
      <c r="AA23" s="18">
        <f t="shared" si="7"/>
        <v>0</v>
      </c>
      <c r="AB23" s="20">
        <f t="shared" si="5"/>
        <v>0</v>
      </c>
      <c r="AC23" s="5"/>
      <c r="AD23" s="8"/>
      <c r="AF23" s="6"/>
      <c r="AG23" s="7"/>
      <c r="AJ23" s="33"/>
      <c r="AK23" s="35"/>
      <c r="AL23" s="38"/>
    </row>
    <row r="24" spans="1:38" ht="17.25" customHeight="1">
      <c r="A24" s="25"/>
      <c r="B24" s="26"/>
      <c r="C24" s="14"/>
      <c r="D24" s="31"/>
      <c r="E24" s="14"/>
      <c r="F24" s="15" t="str">
        <f t="shared" si="0"/>
        <v xml:space="preserve">S/F  </v>
      </c>
      <c r="G24" s="16"/>
      <c r="H24" s="17">
        <v>21</v>
      </c>
      <c r="I24" s="18">
        <f t="shared" si="1"/>
        <v>0</v>
      </c>
      <c r="J24" s="17"/>
      <c r="K24" s="18">
        <f t="shared" si="2"/>
        <v>0</v>
      </c>
      <c r="L24" s="16"/>
      <c r="M24" s="17"/>
      <c r="N24" s="18">
        <f t="shared" si="3"/>
        <v>0</v>
      </c>
      <c r="O24" s="19"/>
      <c r="P24" s="18"/>
      <c r="Q24" s="16"/>
      <c r="R24" s="17"/>
      <c r="S24" s="18"/>
      <c r="T24" s="19"/>
      <c r="U24" s="18"/>
      <c r="V24" s="16"/>
      <c r="W24" s="17"/>
      <c r="X24" s="18">
        <f t="shared" si="4"/>
        <v>0</v>
      </c>
      <c r="Y24" s="19"/>
      <c r="Z24" s="19"/>
      <c r="AA24" s="18">
        <f t="shared" si="7"/>
        <v>0</v>
      </c>
      <c r="AB24" s="20">
        <f t="shared" si="5"/>
        <v>0</v>
      </c>
      <c r="AC24" s="5"/>
      <c r="AD24" s="8"/>
      <c r="AF24" s="6"/>
      <c r="AG24" s="7"/>
      <c r="AJ24" s="33"/>
      <c r="AK24" s="35"/>
      <c r="AL24" s="38"/>
    </row>
    <row r="25" spans="1:38" ht="17.25" customHeight="1">
      <c r="A25" s="25"/>
      <c r="B25" s="26"/>
      <c r="C25" s="14"/>
      <c r="D25" s="31"/>
      <c r="E25" s="14"/>
      <c r="F25" s="15" t="str">
        <f t="shared" si="0"/>
        <v xml:space="preserve">S/F  </v>
      </c>
      <c r="G25" s="16"/>
      <c r="H25" s="17">
        <v>21</v>
      </c>
      <c r="I25" s="18">
        <f t="shared" si="1"/>
        <v>0</v>
      </c>
      <c r="J25" s="17"/>
      <c r="K25" s="18">
        <f t="shared" si="2"/>
        <v>0</v>
      </c>
      <c r="L25" s="16"/>
      <c r="M25" s="17"/>
      <c r="N25" s="18">
        <f t="shared" si="3"/>
        <v>0</v>
      </c>
      <c r="O25" s="19"/>
      <c r="P25" s="18"/>
      <c r="Q25" s="16"/>
      <c r="R25" s="17"/>
      <c r="S25" s="18"/>
      <c r="T25" s="19"/>
      <c r="U25" s="18"/>
      <c r="V25" s="16"/>
      <c r="W25" s="17"/>
      <c r="X25" s="18">
        <f t="shared" si="4"/>
        <v>0</v>
      </c>
      <c r="Y25" s="19"/>
      <c r="Z25" s="19"/>
      <c r="AA25" s="18">
        <f t="shared" si="7"/>
        <v>0</v>
      </c>
      <c r="AB25" s="20">
        <f t="shared" si="5"/>
        <v>0</v>
      </c>
      <c r="AC25" s="5"/>
      <c r="AD25" s="8"/>
      <c r="AF25" s="6"/>
      <c r="AG25" s="7"/>
      <c r="AJ25" s="33"/>
      <c r="AK25" s="35"/>
      <c r="AL25" s="38"/>
    </row>
    <row r="26" spans="1:38" ht="17.25" customHeight="1">
      <c r="A26" s="25"/>
      <c r="B26" s="26"/>
      <c r="C26" s="14"/>
      <c r="D26" s="26"/>
      <c r="E26" s="14"/>
      <c r="F26" s="15" t="str">
        <f t="shared" si="0"/>
        <v xml:space="preserve">S/F  </v>
      </c>
      <c r="G26" s="16"/>
      <c r="H26" s="17">
        <v>21</v>
      </c>
      <c r="I26" s="18">
        <f t="shared" si="1"/>
        <v>0</v>
      </c>
      <c r="J26" s="17"/>
      <c r="K26" s="18">
        <f t="shared" si="2"/>
        <v>0</v>
      </c>
      <c r="L26" s="16"/>
      <c r="M26" s="17"/>
      <c r="N26" s="18">
        <f t="shared" si="3"/>
        <v>0</v>
      </c>
      <c r="O26" s="19"/>
      <c r="P26" s="18"/>
      <c r="Q26" s="16"/>
      <c r="R26" s="17"/>
      <c r="S26" s="18"/>
      <c r="T26" s="19"/>
      <c r="U26" s="18"/>
      <c r="V26" s="16"/>
      <c r="W26" s="17"/>
      <c r="X26" s="18">
        <f t="shared" si="4"/>
        <v>0</v>
      </c>
      <c r="Y26" s="19"/>
      <c r="Z26" s="19"/>
      <c r="AA26" s="18">
        <f t="shared" si="7"/>
        <v>0</v>
      </c>
      <c r="AB26" s="20">
        <f t="shared" si="5"/>
        <v>0</v>
      </c>
      <c r="AC26" s="5"/>
      <c r="AD26" s="8"/>
      <c r="AF26" s="6"/>
      <c r="AG26" s="7"/>
      <c r="AJ26" s="33"/>
      <c r="AK26" s="35"/>
      <c r="AL26" s="38"/>
    </row>
    <row r="27" spans="1:38" ht="17.25" customHeight="1">
      <c r="A27" s="25"/>
      <c r="B27" s="26"/>
      <c r="C27" s="14"/>
      <c r="D27" s="31"/>
      <c r="E27" s="14"/>
      <c r="F27" s="15" t="str">
        <f t="shared" si="0"/>
        <v xml:space="preserve">S/F  </v>
      </c>
      <c r="G27" s="16"/>
      <c r="H27" s="17">
        <v>21</v>
      </c>
      <c r="I27" s="18">
        <f t="shared" si="1"/>
        <v>0</v>
      </c>
      <c r="J27" s="17"/>
      <c r="K27" s="18">
        <f t="shared" si="2"/>
        <v>0</v>
      </c>
      <c r="L27" s="16"/>
      <c r="M27" s="17"/>
      <c r="N27" s="18">
        <f t="shared" si="3"/>
        <v>0</v>
      </c>
      <c r="O27" s="19"/>
      <c r="P27" s="18"/>
      <c r="Q27" s="16"/>
      <c r="R27" s="17"/>
      <c r="S27" s="18"/>
      <c r="T27" s="19"/>
      <c r="U27" s="18"/>
      <c r="V27" s="16"/>
      <c r="W27" s="17"/>
      <c r="X27" s="18">
        <f t="shared" si="4"/>
        <v>0</v>
      </c>
      <c r="Y27" s="19"/>
      <c r="Z27" s="19"/>
      <c r="AA27" s="18">
        <f t="shared" si="7"/>
        <v>0</v>
      </c>
      <c r="AB27" s="20">
        <f t="shared" si="5"/>
        <v>0</v>
      </c>
      <c r="AC27" s="5"/>
      <c r="AD27" s="8"/>
      <c r="AF27" s="6"/>
      <c r="AG27" s="7"/>
      <c r="AJ27" s="33"/>
      <c r="AK27" s="35"/>
      <c r="AL27" s="38"/>
    </row>
    <row r="28" spans="1:38" ht="17.25" customHeight="1">
      <c r="A28" s="25"/>
      <c r="B28" s="26"/>
      <c r="C28" s="14"/>
      <c r="D28" s="31"/>
      <c r="E28" s="14"/>
      <c r="F28" s="15" t="str">
        <f t="shared" si="0"/>
        <v xml:space="preserve">S/F  </v>
      </c>
      <c r="G28" s="16"/>
      <c r="H28" s="17">
        <v>21</v>
      </c>
      <c r="I28" s="18">
        <f t="shared" si="1"/>
        <v>0</v>
      </c>
      <c r="J28" s="17"/>
      <c r="K28" s="18">
        <f t="shared" si="2"/>
        <v>0</v>
      </c>
      <c r="L28" s="16"/>
      <c r="M28" s="17"/>
      <c r="N28" s="18">
        <f t="shared" si="3"/>
        <v>0</v>
      </c>
      <c r="O28" s="19"/>
      <c r="P28" s="18"/>
      <c r="Q28" s="16"/>
      <c r="R28" s="17"/>
      <c r="S28" s="18"/>
      <c r="T28" s="19"/>
      <c r="U28" s="18"/>
      <c r="V28" s="16"/>
      <c r="W28" s="17"/>
      <c r="X28" s="18">
        <f t="shared" si="4"/>
        <v>0</v>
      </c>
      <c r="Y28" s="19"/>
      <c r="Z28" s="19"/>
      <c r="AA28" s="18">
        <f t="shared" si="7"/>
        <v>0</v>
      </c>
      <c r="AB28" s="20">
        <f t="shared" si="5"/>
        <v>0</v>
      </c>
      <c r="AC28" s="5"/>
      <c r="AD28" s="8"/>
      <c r="AF28" s="6"/>
      <c r="AG28" s="7"/>
      <c r="AJ28" s="33"/>
      <c r="AK28" s="35"/>
      <c r="AL28" s="38"/>
    </row>
    <row r="29" spans="1:38" ht="17.25" customHeight="1">
      <c r="A29" s="25"/>
      <c r="B29" s="26"/>
      <c r="C29" s="14"/>
      <c r="D29" s="31"/>
      <c r="E29" s="14"/>
      <c r="F29" s="15" t="str">
        <f t="shared" si="0"/>
        <v xml:space="preserve">S/F  </v>
      </c>
      <c r="G29" s="16"/>
      <c r="H29" s="17">
        <v>21</v>
      </c>
      <c r="I29" s="18">
        <f t="shared" si="1"/>
        <v>0</v>
      </c>
      <c r="J29" s="17"/>
      <c r="K29" s="18">
        <f t="shared" si="2"/>
        <v>0</v>
      </c>
      <c r="L29" s="16"/>
      <c r="M29" s="17"/>
      <c r="N29" s="18">
        <f t="shared" si="3"/>
        <v>0</v>
      </c>
      <c r="O29" s="19"/>
      <c r="P29" s="18"/>
      <c r="Q29" s="16"/>
      <c r="R29" s="17"/>
      <c r="S29" s="18"/>
      <c r="T29" s="19"/>
      <c r="U29" s="18"/>
      <c r="V29" s="16"/>
      <c r="W29" s="17"/>
      <c r="X29" s="18">
        <f t="shared" si="4"/>
        <v>0</v>
      </c>
      <c r="Y29" s="19"/>
      <c r="Z29" s="19"/>
      <c r="AA29" s="18">
        <f t="shared" si="7"/>
        <v>0</v>
      </c>
      <c r="AB29" s="20">
        <f t="shared" si="5"/>
        <v>0</v>
      </c>
      <c r="AC29" s="5"/>
      <c r="AD29" s="8"/>
      <c r="AF29" s="6"/>
      <c r="AG29" s="7"/>
      <c r="AJ29" s="33"/>
      <c r="AK29" s="35"/>
      <c r="AL29" s="38"/>
    </row>
    <row r="30" spans="1:38" ht="17.25" customHeight="1">
      <c r="A30" s="25"/>
      <c r="B30" s="26"/>
      <c r="C30" s="14"/>
      <c r="D30" s="31"/>
      <c r="E30" s="14"/>
      <c r="F30" s="15" t="str">
        <f t="shared" si="0"/>
        <v xml:space="preserve">S/F  </v>
      </c>
      <c r="G30" s="16"/>
      <c r="H30" s="17">
        <v>21</v>
      </c>
      <c r="I30" s="18">
        <f t="shared" si="1"/>
        <v>0</v>
      </c>
      <c r="J30" s="17"/>
      <c r="K30" s="18">
        <f t="shared" si="2"/>
        <v>0</v>
      </c>
      <c r="L30" s="16"/>
      <c r="M30" s="17"/>
      <c r="N30" s="18">
        <f t="shared" si="3"/>
        <v>0</v>
      </c>
      <c r="O30" s="19"/>
      <c r="P30" s="18"/>
      <c r="Q30" s="16"/>
      <c r="R30" s="17"/>
      <c r="S30" s="18"/>
      <c r="T30" s="19"/>
      <c r="U30" s="18"/>
      <c r="V30" s="16"/>
      <c r="W30" s="17"/>
      <c r="X30" s="18">
        <f t="shared" si="4"/>
        <v>0</v>
      </c>
      <c r="Y30" s="19"/>
      <c r="Z30" s="19"/>
      <c r="AA30" s="18">
        <f t="shared" si="7"/>
        <v>0</v>
      </c>
      <c r="AB30" s="20">
        <f t="shared" si="5"/>
        <v>0</v>
      </c>
      <c r="AC30" s="5"/>
      <c r="AD30" s="8"/>
      <c r="AF30" s="6"/>
      <c r="AG30" s="7"/>
      <c r="AJ30" s="33"/>
      <c r="AK30" s="35"/>
      <c r="AL30" s="38"/>
    </row>
    <row r="31" spans="1:38" ht="17.25" customHeight="1">
      <c r="A31" s="25"/>
      <c r="B31" s="26"/>
      <c r="C31" s="14"/>
      <c r="D31" s="31"/>
      <c r="E31" s="14"/>
      <c r="F31" s="15" t="str">
        <f t="shared" si="0"/>
        <v xml:space="preserve">S/F  </v>
      </c>
      <c r="G31" s="16"/>
      <c r="H31" s="17">
        <v>21</v>
      </c>
      <c r="I31" s="18">
        <f t="shared" si="1"/>
        <v>0</v>
      </c>
      <c r="J31" s="17"/>
      <c r="K31" s="18">
        <f t="shared" si="2"/>
        <v>0</v>
      </c>
      <c r="L31" s="16"/>
      <c r="M31" s="17"/>
      <c r="N31" s="18">
        <f t="shared" si="3"/>
        <v>0</v>
      </c>
      <c r="O31" s="19"/>
      <c r="P31" s="18"/>
      <c r="Q31" s="16"/>
      <c r="R31" s="17"/>
      <c r="S31" s="18"/>
      <c r="T31" s="19"/>
      <c r="U31" s="18"/>
      <c r="V31" s="16"/>
      <c r="W31" s="17"/>
      <c r="X31" s="18">
        <f t="shared" si="4"/>
        <v>0</v>
      </c>
      <c r="Y31" s="19"/>
      <c r="Z31" s="19"/>
      <c r="AA31" s="18">
        <f t="shared" si="7"/>
        <v>0</v>
      </c>
      <c r="AB31" s="20">
        <f t="shared" si="5"/>
        <v>0</v>
      </c>
      <c r="AC31" s="5"/>
      <c r="AD31" s="8"/>
      <c r="AF31" s="6"/>
      <c r="AG31" s="7"/>
      <c r="AJ31" s="33"/>
      <c r="AK31" s="35"/>
      <c r="AL31" s="38"/>
    </row>
    <row r="32" spans="1:38" ht="17.25" customHeight="1">
      <c r="A32" s="25"/>
      <c r="B32" s="26"/>
      <c r="C32" s="14"/>
      <c r="D32" s="31"/>
      <c r="E32" s="14"/>
      <c r="F32" s="15" t="str">
        <f t="shared" si="0"/>
        <v xml:space="preserve">S/F  </v>
      </c>
      <c r="G32" s="16"/>
      <c r="H32" s="17">
        <v>21</v>
      </c>
      <c r="I32" s="18">
        <f t="shared" si="1"/>
        <v>0</v>
      </c>
      <c r="J32" s="17"/>
      <c r="K32" s="18">
        <f t="shared" si="2"/>
        <v>0</v>
      </c>
      <c r="L32" s="16"/>
      <c r="M32" s="17"/>
      <c r="N32" s="18">
        <f t="shared" si="3"/>
        <v>0</v>
      </c>
      <c r="O32" s="19"/>
      <c r="P32" s="18"/>
      <c r="Q32" s="16"/>
      <c r="R32" s="17"/>
      <c r="S32" s="18"/>
      <c r="T32" s="19"/>
      <c r="U32" s="18"/>
      <c r="V32" s="16"/>
      <c r="W32" s="17"/>
      <c r="X32" s="18">
        <f t="shared" si="4"/>
        <v>0</v>
      </c>
      <c r="Y32" s="19"/>
      <c r="Z32" s="19"/>
      <c r="AA32" s="18">
        <f t="shared" si="7"/>
        <v>0</v>
      </c>
      <c r="AB32" s="20">
        <f t="shared" si="5"/>
        <v>0</v>
      </c>
      <c r="AC32" s="5"/>
      <c r="AD32" s="8"/>
      <c r="AF32" s="6"/>
      <c r="AG32" s="7"/>
      <c r="AJ32" s="33"/>
      <c r="AK32" s="35"/>
      <c r="AL32" s="38"/>
    </row>
    <row r="33" spans="1:38" ht="17.25" customHeight="1">
      <c r="A33" s="25"/>
      <c r="B33" s="26"/>
      <c r="C33" s="14"/>
      <c r="D33" s="31"/>
      <c r="E33" s="14"/>
      <c r="F33" s="15" t="str">
        <f t="shared" si="0"/>
        <v xml:space="preserve">S/F  </v>
      </c>
      <c r="G33" s="16"/>
      <c r="H33" s="17">
        <v>21</v>
      </c>
      <c r="I33" s="18">
        <f t="shared" si="1"/>
        <v>0</v>
      </c>
      <c r="J33" s="17"/>
      <c r="K33" s="18">
        <f t="shared" si="2"/>
        <v>0</v>
      </c>
      <c r="L33" s="16"/>
      <c r="M33" s="17"/>
      <c r="N33" s="18">
        <f t="shared" si="3"/>
        <v>0</v>
      </c>
      <c r="O33" s="19"/>
      <c r="P33" s="18"/>
      <c r="Q33" s="16"/>
      <c r="R33" s="17"/>
      <c r="S33" s="18"/>
      <c r="T33" s="19"/>
      <c r="U33" s="18"/>
      <c r="V33" s="16"/>
      <c r="W33" s="17"/>
      <c r="X33" s="18">
        <f t="shared" si="4"/>
        <v>0</v>
      </c>
      <c r="Y33" s="19"/>
      <c r="Z33" s="19"/>
      <c r="AA33" s="18">
        <f t="shared" si="7"/>
        <v>0</v>
      </c>
      <c r="AB33" s="20">
        <f t="shared" si="5"/>
        <v>0</v>
      </c>
      <c r="AC33" s="5"/>
      <c r="AD33" s="8"/>
      <c r="AF33" s="6"/>
      <c r="AG33" s="7"/>
      <c r="AJ33" s="33"/>
      <c r="AK33" s="35"/>
      <c r="AL33" s="38"/>
    </row>
    <row r="34" spans="1:38" ht="17.25" customHeight="1">
      <c r="A34" s="25"/>
      <c r="B34" s="26"/>
      <c r="C34" s="14"/>
      <c r="D34" s="31"/>
      <c r="E34" s="14"/>
      <c r="F34" s="15" t="str">
        <f t="shared" ref="F34:F64" si="8">"S/F "&amp;B34&amp;" "&amp;E34</f>
        <v xml:space="preserve">S/F  </v>
      </c>
      <c r="G34" s="16"/>
      <c r="H34" s="17">
        <v>21</v>
      </c>
      <c r="I34" s="18">
        <f t="shared" ref="I34:I64" si="9">+IF(G34&lt;&gt;0,G34*H34/100,0)</f>
        <v>0</v>
      </c>
      <c r="J34" s="17"/>
      <c r="K34" s="18">
        <f t="shared" ref="K34:K64" si="10">+IF(G34&lt;&gt;0,G34*J34/100,0)</f>
        <v>0</v>
      </c>
      <c r="L34" s="16"/>
      <c r="M34" s="17"/>
      <c r="N34" s="18">
        <f t="shared" ref="N34:N64" si="11">+IF(L34&lt;&gt;0,L34*M34/100,0)</f>
        <v>0</v>
      </c>
      <c r="O34" s="19"/>
      <c r="P34" s="18"/>
      <c r="Q34" s="16"/>
      <c r="R34" s="17"/>
      <c r="S34" s="18"/>
      <c r="T34" s="19"/>
      <c r="U34" s="18"/>
      <c r="V34" s="16"/>
      <c r="W34" s="17"/>
      <c r="X34" s="18">
        <f t="shared" ref="X34:X64" si="12">+IF(W34&lt;&gt;0,V34*W34/100,0)</f>
        <v>0</v>
      </c>
      <c r="Y34" s="19"/>
      <c r="Z34" s="19"/>
      <c r="AA34" s="18">
        <f t="shared" si="7"/>
        <v>0</v>
      </c>
      <c r="AB34" s="20">
        <f t="shared" ref="AB34:AB64" si="13">+G34+I34+K34+L34+N34+P34+Q34+S34+U34-X34-AA34</f>
        <v>0</v>
      </c>
      <c r="AC34" s="5"/>
      <c r="AD34" s="8"/>
      <c r="AF34" s="6"/>
      <c r="AG34" s="7"/>
      <c r="AJ34" s="33"/>
      <c r="AK34" s="35"/>
      <c r="AL34" s="38"/>
    </row>
    <row r="35" spans="1:38" ht="17.25" customHeight="1">
      <c r="A35" s="25"/>
      <c r="B35" s="26"/>
      <c r="C35" s="14"/>
      <c r="D35" s="31"/>
      <c r="E35" s="14"/>
      <c r="F35" s="15" t="str">
        <f t="shared" si="8"/>
        <v xml:space="preserve">S/F  </v>
      </c>
      <c r="G35" s="16"/>
      <c r="H35" s="17">
        <v>21</v>
      </c>
      <c r="I35" s="18">
        <f t="shared" si="9"/>
        <v>0</v>
      </c>
      <c r="J35" s="17"/>
      <c r="K35" s="18">
        <f t="shared" si="10"/>
        <v>0</v>
      </c>
      <c r="L35" s="16"/>
      <c r="M35" s="17"/>
      <c r="N35" s="18">
        <f t="shared" si="11"/>
        <v>0</v>
      </c>
      <c r="O35" s="19"/>
      <c r="P35" s="18"/>
      <c r="Q35" s="16"/>
      <c r="R35" s="17"/>
      <c r="S35" s="18"/>
      <c r="T35" s="19"/>
      <c r="U35" s="18"/>
      <c r="V35" s="16"/>
      <c r="W35" s="17"/>
      <c r="X35" s="18">
        <f t="shared" si="12"/>
        <v>0</v>
      </c>
      <c r="Y35" s="19"/>
      <c r="Z35" s="19"/>
      <c r="AA35" s="18">
        <f t="shared" si="7"/>
        <v>0</v>
      </c>
      <c r="AB35" s="20">
        <f t="shared" si="13"/>
        <v>0</v>
      </c>
      <c r="AC35" s="5"/>
      <c r="AD35" s="8"/>
      <c r="AF35" s="6"/>
      <c r="AG35" s="7"/>
      <c r="AJ35" s="33"/>
      <c r="AK35" s="35"/>
      <c r="AL35" s="38"/>
    </row>
    <row r="36" spans="1:38" ht="17.25" customHeight="1">
      <c r="A36" s="25"/>
      <c r="B36" s="26"/>
      <c r="C36" s="14"/>
      <c r="D36" s="31"/>
      <c r="E36" s="14"/>
      <c r="F36" s="15" t="str">
        <f t="shared" si="8"/>
        <v xml:space="preserve">S/F  </v>
      </c>
      <c r="G36" s="16"/>
      <c r="H36" s="17">
        <v>21</v>
      </c>
      <c r="I36" s="18">
        <f t="shared" si="9"/>
        <v>0</v>
      </c>
      <c r="J36" s="17"/>
      <c r="K36" s="18">
        <f t="shared" si="10"/>
        <v>0</v>
      </c>
      <c r="L36" s="16"/>
      <c r="M36" s="17"/>
      <c r="N36" s="18">
        <f t="shared" si="11"/>
        <v>0</v>
      </c>
      <c r="O36" s="19"/>
      <c r="P36" s="18"/>
      <c r="Q36" s="16"/>
      <c r="R36" s="17"/>
      <c r="S36" s="18"/>
      <c r="T36" s="19"/>
      <c r="U36" s="18"/>
      <c r="V36" s="16"/>
      <c r="W36" s="17"/>
      <c r="X36" s="18">
        <f t="shared" si="12"/>
        <v>0</v>
      </c>
      <c r="Y36" s="19"/>
      <c r="Z36" s="19"/>
      <c r="AA36" s="18">
        <f t="shared" si="7"/>
        <v>0</v>
      </c>
      <c r="AB36" s="20">
        <f t="shared" si="13"/>
        <v>0</v>
      </c>
      <c r="AC36" s="5"/>
      <c r="AD36" s="8"/>
      <c r="AF36" s="6"/>
      <c r="AG36" s="7"/>
      <c r="AJ36" s="33"/>
      <c r="AK36" s="35"/>
      <c r="AL36" s="38"/>
    </row>
    <row r="37" spans="1:38" ht="17.25" customHeight="1">
      <c r="A37" s="25"/>
      <c r="B37" s="26"/>
      <c r="C37" s="14"/>
      <c r="D37" s="31"/>
      <c r="E37" s="14"/>
      <c r="F37" s="15" t="str">
        <f t="shared" si="8"/>
        <v xml:space="preserve">S/F  </v>
      </c>
      <c r="G37" s="16"/>
      <c r="H37" s="17">
        <v>21</v>
      </c>
      <c r="I37" s="18">
        <f t="shared" si="9"/>
        <v>0</v>
      </c>
      <c r="J37" s="17"/>
      <c r="K37" s="18">
        <f t="shared" si="10"/>
        <v>0</v>
      </c>
      <c r="L37" s="16"/>
      <c r="M37" s="17"/>
      <c r="N37" s="18">
        <f t="shared" si="11"/>
        <v>0</v>
      </c>
      <c r="O37" s="19"/>
      <c r="P37" s="18"/>
      <c r="Q37" s="16"/>
      <c r="R37" s="17"/>
      <c r="S37" s="18"/>
      <c r="T37" s="19"/>
      <c r="U37" s="18"/>
      <c r="V37" s="16"/>
      <c r="W37" s="17"/>
      <c r="X37" s="18">
        <f t="shared" si="12"/>
        <v>0</v>
      </c>
      <c r="Y37" s="19"/>
      <c r="Z37" s="19"/>
      <c r="AA37" s="18">
        <f t="shared" si="7"/>
        <v>0</v>
      </c>
      <c r="AB37" s="20">
        <f t="shared" si="13"/>
        <v>0</v>
      </c>
      <c r="AC37" s="5"/>
      <c r="AD37" s="8"/>
      <c r="AF37" s="6"/>
      <c r="AG37" s="7"/>
      <c r="AJ37" s="33"/>
      <c r="AK37" s="35"/>
      <c r="AL37" s="38"/>
    </row>
    <row r="38" spans="1:38" ht="17.25" customHeight="1">
      <c r="A38" s="25"/>
      <c r="B38" s="26"/>
      <c r="C38" s="14"/>
      <c r="D38" s="31"/>
      <c r="E38" s="14"/>
      <c r="F38" s="15" t="str">
        <f t="shared" si="8"/>
        <v xml:space="preserve">S/F  </v>
      </c>
      <c r="G38" s="16"/>
      <c r="H38" s="17">
        <v>21</v>
      </c>
      <c r="I38" s="18">
        <f t="shared" si="9"/>
        <v>0</v>
      </c>
      <c r="J38" s="17"/>
      <c r="K38" s="18">
        <f t="shared" si="10"/>
        <v>0</v>
      </c>
      <c r="L38" s="16"/>
      <c r="M38" s="17"/>
      <c r="N38" s="18">
        <f t="shared" si="11"/>
        <v>0</v>
      </c>
      <c r="O38" s="19"/>
      <c r="P38" s="18"/>
      <c r="Q38" s="16"/>
      <c r="R38" s="17"/>
      <c r="S38" s="18"/>
      <c r="T38" s="19"/>
      <c r="U38" s="18"/>
      <c r="V38" s="16"/>
      <c r="W38" s="17"/>
      <c r="X38" s="18">
        <f t="shared" si="12"/>
        <v>0</v>
      </c>
      <c r="Y38" s="19"/>
      <c r="Z38" s="19"/>
      <c r="AA38" s="18">
        <f t="shared" si="7"/>
        <v>0</v>
      </c>
      <c r="AB38" s="20">
        <f t="shared" si="13"/>
        <v>0</v>
      </c>
      <c r="AC38" s="5"/>
      <c r="AD38" s="8"/>
      <c r="AF38" s="6"/>
      <c r="AG38" s="7"/>
      <c r="AJ38" s="33"/>
      <c r="AK38" s="35"/>
      <c r="AL38" s="38"/>
    </row>
    <row r="39" spans="1:38" ht="17.25" customHeight="1">
      <c r="A39" s="25"/>
      <c r="B39" s="26"/>
      <c r="C39" s="14"/>
      <c r="D39" s="31"/>
      <c r="E39" s="14"/>
      <c r="F39" s="15" t="str">
        <f t="shared" si="8"/>
        <v xml:space="preserve">S/F  </v>
      </c>
      <c r="G39" s="16"/>
      <c r="H39" s="17">
        <v>21</v>
      </c>
      <c r="I39" s="18">
        <f t="shared" si="9"/>
        <v>0</v>
      </c>
      <c r="J39" s="17"/>
      <c r="K39" s="18">
        <f t="shared" si="10"/>
        <v>0</v>
      </c>
      <c r="L39" s="16"/>
      <c r="M39" s="17"/>
      <c r="N39" s="18">
        <f t="shared" si="11"/>
        <v>0</v>
      </c>
      <c r="O39" s="19"/>
      <c r="P39" s="18">
        <f>+IF(L39&lt;&gt;0,L39*O39/100,0)</f>
        <v>0</v>
      </c>
      <c r="Q39" s="16"/>
      <c r="R39" s="17"/>
      <c r="S39" s="18">
        <f>+IF(Q39&lt;&gt;0,Q39*R39/100,0)</f>
        <v>0</v>
      </c>
      <c r="T39" s="19"/>
      <c r="U39" s="18">
        <f>+IF(Q39&lt;&gt;0,Q39*T39/100,0)</f>
        <v>0</v>
      </c>
      <c r="V39" s="16"/>
      <c r="W39" s="17"/>
      <c r="X39" s="18">
        <f t="shared" si="12"/>
        <v>0</v>
      </c>
      <c r="Y39" s="19"/>
      <c r="Z39" s="19"/>
      <c r="AA39" s="18">
        <f t="shared" si="7"/>
        <v>0</v>
      </c>
      <c r="AB39" s="20">
        <f t="shared" si="13"/>
        <v>0</v>
      </c>
      <c r="AC39" s="5"/>
      <c r="AD39" s="8"/>
      <c r="AF39" s="6"/>
      <c r="AG39" s="7"/>
      <c r="AJ39" s="33"/>
      <c r="AK39" s="35"/>
      <c r="AL39" s="38"/>
    </row>
    <row r="40" spans="1:38" ht="17.25" customHeight="1">
      <c r="A40" s="25"/>
      <c r="B40" s="26"/>
      <c r="C40" s="14"/>
      <c r="D40" s="31"/>
      <c r="E40" s="14"/>
      <c r="F40" s="15" t="str">
        <f t="shared" si="8"/>
        <v xml:space="preserve">S/F  </v>
      </c>
      <c r="G40" s="16"/>
      <c r="H40" s="17">
        <v>21</v>
      </c>
      <c r="I40" s="18">
        <f t="shared" si="9"/>
        <v>0</v>
      </c>
      <c r="J40" s="17"/>
      <c r="K40" s="18">
        <f t="shared" si="10"/>
        <v>0</v>
      </c>
      <c r="L40" s="16"/>
      <c r="M40" s="17"/>
      <c r="N40" s="18">
        <f t="shared" si="11"/>
        <v>0</v>
      </c>
      <c r="O40" s="19"/>
      <c r="P40" s="18"/>
      <c r="Q40" s="16"/>
      <c r="R40" s="17"/>
      <c r="S40" s="18"/>
      <c r="T40" s="19"/>
      <c r="U40" s="18"/>
      <c r="V40" s="16"/>
      <c r="W40" s="17"/>
      <c r="X40" s="18">
        <f t="shared" si="12"/>
        <v>0</v>
      </c>
      <c r="Y40" s="19"/>
      <c r="Z40" s="19"/>
      <c r="AA40" s="18">
        <f t="shared" si="7"/>
        <v>0</v>
      </c>
      <c r="AB40" s="20">
        <f t="shared" si="13"/>
        <v>0</v>
      </c>
      <c r="AC40" s="5"/>
      <c r="AD40" s="8"/>
      <c r="AF40" s="6"/>
      <c r="AG40" s="7"/>
      <c r="AJ40" s="33"/>
      <c r="AK40" s="35"/>
      <c r="AL40" s="38"/>
    </row>
    <row r="41" spans="1:38" ht="17.25" customHeight="1">
      <c r="A41" s="25"/>
      <c r="B41" s="26"/>
      <c r="C41" s="14"/>
      <c r="D41" s="31"/>
      <c r="E41" s="14"/>
      <c r="F41" s="15" t="str">
        <f t="shared" si="8"/>
        <v xml:space="preserve">S/F  </v>
      </c>
      <c r="G41" s="16"/>
      <c r="H41" s="17">
        <v>21</v>
      </c>
      <c r="I41" s="18">
        <f t="shared" si="9"/>
        <v>0</v>
      </c>
      <c r="J41" s="17"/>
      <c r="K41" s="18">
        <f t="shared" si="10"/>
        <v>0</v>
      </c>
      <c r="L41" s="16"/>
      <c r="M41" s="17"/>
      <c r="N41" s="18">
        <f t="shared" si="11"/>
        <v>0</v>
      </c>
      <c r="O41" s="19"/>
      <c r="P41" s="18"/>
      <c r="Q41" s="16"/>
      <c r="R41" s="17"/>
      <c r="S41" s="18"/>
      <c r="T41" s="19"/>
      <c r="U41" s="18"/>
      <c r="V41" s="16"/>
      <c r="W41" s="17"/>
      <c r="X41" s="18">
        <f t="shared" si="12"/>
        <v>0</v>
      </c>
      <c r="Y41" s="19"/>
      <c r="Z41" s="19"/>
      <c r="AA41" s="18">
        <f t="shared" si="7"/>
        <v>0</v>
      </c>
      <c r="AB41" s="20">
        <f t="shared" si="13"/>
        <v>0</v>
      </c>
      <c r="AC41" s="5"/>
      <c r="AD41" s="8"/>
      <c r="AF41" s="6"/>
      <c r="AG41" s="7"/>
      <c r="AJ41" s="33"/>
      <c r="AK41" s="35"/>
      <c r="AL41" s="38"/>
    </row>
    <row r="42" spans="1:38" ht="17.25" customHeight="1">
      <c r="A42" s="25"/>
      <c r="B42" s="26"/>
      <c r="C42" s="14"/>
      <c r="D42" s="31"/>
      <c r="E42" s="14"/>
      <c r="F42" s="15" t="str">
        <f t="shared" si="8"/>
        <v xml:space="preserve">S/F  </v>
      </c>
      <c r="G42" s="16"/>
      <c r="H42" s="17">
        <v>21</v>
      </c>
      <c r="I42" s="18">
        <f t="shared" si="9"/>
        <v>0</v>
      </c>
      <c r="J42" s="17"/>
      <c r="K42" s="18">
        <f t="shared" si="10"/>
        <v>0</v>
      </c>
      <c r="L42" s="16"/>
      <c r="M42" s="17"/>
      <c r="N42" s="18">
        <f t="shared" si="11"/>
        <v>0</v>
      </c>
      <c r="O42" s="19"/>
      <c r="P42" s="18"/>
      <c r="Q42" s="16"/>
      <c r="R42" s="17"/>
      <c r="S42" s="18"/>
      <c r="T42" s="19"/>
      <c r="U42" s="18"/>
      <c r="V42" s="16"/>
      <c r="W42" s="17"/>
      <c r="X42" s="18">
        <f t="shared" si="12"/>
        <v>0</v>
      </c>
      <c r="Y42" s="19"/>
      <c r="Z42" s="19"/>
      <c r="AA42" s="18">
        <f t="shared" si="7"/>
        <v>0</v>
      </c>
      <c r="AB42" s="20">
        <f t="shared" si="13"/>
        <v>0</v>
      </c>
      <c r="AC42" s="5"/>
      <c r="AD42" s="8"/>
      <c r="AF42" s="6"/>
      <c r="AG42" s="7"/>
      <c r="AJ42" s="33"/>
      <c r="AK42" s="35"/>
      <c r="AL42" s="38"/>
    </row>
    <row r="43" spans="1:38" ht="17.25" customHeight="1">
      <c r="A43" s="25"/>
      <c r="B43" s="26"/>
      <c r="C43" s="14"/>
      <c r="D43" s="31"/>
      <c r="E43" s="14"/>
      <c r="F43" s="15" t="str">
        <f t="shared" si="8"/>
        <v xml:space="preserve">S/F  </v>
      </c>
      <c r="G43" s="16"/>
      <c r="H43" s="17">
        <v>21</v>
      </c>
      <c r="I43" s="18">
        <f t="shared" si="9"/>
        <v>0</v>
      </c>
      <c r="J43" s="17"/>
      <c r="K43" s="18">
        <f t="shared" si="10"/>
        <v>0</v>
      </c>
      <c r="L43" s="16"/>
      <c r="M43" s="17"/>
      <c r="N43" s="18">
        <f t="shared" si="11"/>
        <v>0</v>
      </c>
      <c r="O43" s="19"/>
      <c r="P43" s="18"/>
      <c r="Q43" s="16"/>
      <c r="R43" s="17"/>
      <c r="S43" s="18"/>
      <c r="T43" s="19"/>
      <c r="U43" s="18"/>
      <c r="V43" s="16"/>
      <c r="W43" s="17"/>
      <c r="X43" s="18">
        <f t="shared" si="12"/>
        <v>0</v>
      </c>
      <c r="Y43" s="19"/>
      <c r="Z43" s="19"/>
      <c r="AA43" s="18">
        <f t="shared" ref="AA43:AA81" si="14">+IF(Z43&lt;&gt;0,Y43*Z43/100,0)</f>
        <v>0</v>
      </c>
      <c r="AB43" s="20">
        <f t="shared" si="13"/>
        <v>0</v>
      </c>
      <c r="AC43" s="5"/>
      <c r="AD43" s="8"/>
      <c r="AF43" s="6"/>
      <c r="AG43" s="7"/>
      <c r="AJ43" s="33"/>
      <c r="AK43" s="35"/>
      <c r="AL43" s="38"/>
    </row>
    <row r="44" spans="1:38" ht="17.25" customHeight="1">
      <c r="A44" s="25"/>
      <c r="B44" s="26"/>
      <c r="C44" s="14"/>
      <c r="D44" s="31"/>
      <c r="E44" s="14"/>
      <c r="F44" s="15" t="str">
        <f t="shared" si="8"/>
        <v xml:space="preserve">S/F  </v>
      </c>
      <c r="G44" s="16"/>
      <c r="H44" s="17">
        <v>21</v>
      </c>
      <c r="I44" s="18">
        <f t="shared" si="9"/>
        <v>0</v>
      </c>
      <c r="J44" s="17"/>
      <c r="K44" s="18">
        <f t="shared" si="10"/>
        <v>0</v>
      </c>
      <c r="L44" s="16"/>
      <c r="M44" s="17"/>
      <c r="N44" s="18">
        <f t="shared" si="11"/>
        <v>0</v>
      </c>
      <c r="O44" s="19"/>
      <c r="P44" s="18"/>
      <c r="Q44" s="16"/>
      <c r="R44" s="17"/>
      <c r="S44" s="18"/>
      <c r="T44" s="19"/>
      <c r="U44" s="18"/>
      <c r="V44" s="16"/>
      <c r="W44" s="17"/>
      <c r="X44" s="18">
        <f t="shared" si="12"/>
        <v>0</v>
      </c>
      <c r="Y44" s="19"/>
      <c r="Z44" s="19"/>
      <c r="AA44" s="18">
        <f t="shared" si="14"/>
        <v>0</v>
      </c>
      <c r="AB44" s="20">
        <f t="shared" si="13"/>
        <v>0</v>
      </c>
      <c r="AC44" s="5"/>
      <c r="AD44" s="8"/>
      <c r="AF44" s="6"/>
      <c r="AG44" s="7"/>
      <c r="AJ44" s="33"/>
      <c r="AK44" s="35"/>
      <c r="AL44" s="38"/>
    </row>
    <row r="45" spans="1:38" ht="17.25" customHeight="1">
      <c r="A45" s="25"/>
      <c r="B45" s="26"/>
      <c r="C45" s="14"/>
      <c r="D45" s="31"/>
      <c r="E45" s="14"/>
      <c r="F45" s="15" t="str">
        <f t="shared" si="8"/>
        <v xml:space="preserve">S/F  </v>
      </c>
      <c r="G45" s="16"/>
      <c r="H45" s="17">
        <v>21</v>
      </c>
      <c r="I45" s="18">
        <f t="shared" si="9"/>
        <v>0</v>
      </c>
      <c r="J45" s="17"/>
      <c r="K45" s="18">
        <f t="shared" si="10"/>
        <v>0</v>
      </c>
      <c r="L45" s="16"/>
      <c r="M45" s="17"/>
      <c r="N45" s="18">
        <f t="shared" si="11"/>
        <v>0</v>
      </c>
      <c r="O45" s="19"/>
      <c r="P45" s="18"/>
      <c r="Q45" s="16"/>
      <c r="R45" s="17"/>
      <c r="S45" s="18"/>
      <c r="T45" s="19"/>
      <c r="U45" s="18"/>
      <c r="V45" s="16"/>
      <c r="W45" s="17"/>
      <c r="X45" s="18">
        <f t="shared" si="12"/>
        <v>0</v>
      </c>
      <c r="Y45" s="19"/>
      <c r="Z45" s="19"/>
      <c r="AA45" s="18">
        <f t="shared" si="14"/>
        <v>0</v>
      </c>
      <c r="AB45" s="20">
        <f t="shared" si="13"/>
        <v>0</v>
      </c>
      <c r="AC45" s="5"/>
      <c r="AD45" s="8"/>
      <c r="AF45" s="6"/>
      <c r="AG45" s="7"/>
      <c r="AJ45" s="33"/>
      <c r="AK45" s="35"/>
      <c r="AL45" s="38"/>
    </row>
    <row r="46" spans="1:38" ht="17.25" customHeight="1">
      <c r="A46" s="25"/>
      <c r="B46" s="26"/>
      <c r="C46" s="14"/>
      <c r="D46" s="31"/>
      <c r="E46" s="14"/>
      <c r="F46" s="15" t="str">
        <f t="shared" si="8"/>
        <v xml:space="preserve">S/F  </v>
      </c>
      <c r="G46" s="16"/>
      <c r="H46" s="17">
        <v>21</v>
      </c>
      <c r="I46" s="18">
        <f t="shared" si="9"/>
        <v>0</v>
      </c>
      <c r="J46" s="17"/>
      <c r="K46" s="18">
        <f t="shared" si="10"/>
        <v>0</v>
      </c>
      <c r="L46" s="16"/>
      <c r="M46" s="17"/>
      <c r="N46" s="18">
        <f t="shared" si="11"/>
        <v>0</v>
      </c>
      <c r="O46" s="19"/>
      <c r="P46" s="18"/>
      <c r="Q46" s="16"/>
      <c r="R46" s="17"/>
      <c r="S46" s="18"/>
      <c r="T46" s="19"/>
      <c r="U46" s="18"/>
      <c r="V46" s="16"/>
      <c r="W46" s="17"/>
      <c r="X46" s="18">
        <f t="shared" si="12"/>
        <v>0</v>
      </c>
      <c r="Y46" s="19"/>
      <c r="Z46" s="19"/>
      <c r="AA46" s="18">
        <f t="shared" si="14"/>
        <v>0</v>
      </c>
      <c r="AB46" s="20">
        <f t="shared" si="13"/>
        <v>0</v>
      </c>
      <c r="AC46" s="5"/>
      <c r="AD46" s="8"/>
      <c r="AF46" s="6"/>
      <c r="AG46" s="7"/>
      <c r="AJ46" s="33"/>
      <c r="AK46" s="35"/>
      <c r="AL46" s="38"/>
    </row>
    <row r="47" spans="1:38" ht="17.25" customHeight="1">
      <c r="A47" s="25"/>
      <c r="B47" s="26"/>
      <c r="C47" s="14"/>
      <c r="D47" s="31"/>
      <c r="E47" s="14"/>
      <c r="F47" s="15" t="str">
        <f t="shared" si="8"/>
        <v xml:space="preserve">S/F  </v>
      </c>
      <c r="G47" s="16"/>
      <c r="H47" s="17">
        <v>21</v>
      </c>
      <c r="I47" s="18">
        <f t="shared" si="9"/>
        <v>0</v>
      </c>
      <c r="J47" s="17"/>
      <c r="K47" s="18">
        <f t="shared" si="10"/>
        <v>0</v>
      </c>
      <c r="L47" s="16"/>
      <c r="M47" s="17"/>
      <c r="N47" s="18">
        <f t="shared" si="11"/>
        <v>0</v>
      </c>
      <c r="O47" s="19"/>
      <c r="P47" s="18"/>
      <c r="Q47" s="16"/>
      <c r="R47" s="17"/>
      <c r="S47" s="18"/>
      <c r="T47" s="19"/>
      <c r="U47" s="18"/>
      <c r="V47" s="16"/>
      <c r="W47" s="17"/>
      <c r="X47" s="18">
        <f t="shared" si="12"/>
        <v>0</v>
      </c>
      <c r="Y47" s="19"/>
      <c r="Z47" s="19"/>
      <c r="AA47" s="18">
        <f t="shared" si="14"/>
        <v>0</v>
      </c>
      <c r="AB47" s="20">
        <f t="shared" si="13"/>
        <v>0</v>
      </c>
      <c r="AC47" s="5"/>
      <c r="AD47" s="8"/>
      <c r="AF47" s="6"/>
      <c r="AG47" s="7"/>
      <c r="AJ47" s="33"/>
      <c r="AK47" s="35"/>
      <c r="AL47" s="38"/>
    </row>
    <row r="48" spans="1:38" ht="17.25" customHeight="1">
      <c r="A48" s="25"/>
      <c r="B48" s="26"/>
      <c r="C48" s="14"/>
      <c r="D48" s="31"/>
      <c r="E48" s="14"/>
      <c r="F48" s="15" t="str">
        <f t="shared" si="8"/>
        <v xml:space="preserve">S/F  </v>
      </c>
      <c r="G48" s="16"/>
      <c r="H48" s="17">
        <v>21</v>
      </c>
      <c r="I48" s="18">
        <f t="shared" si="9"/>
        <v>0</v>
      </c>
      <c r="J48" s="17"/>
      <c r="K48" s="18">
        <f t="shared" si="10"/>
        <v>0</v>
      </c>
      <c r="L48" s="16"/>
      <c r="M48" s="17"/>
      <c r="N48" s="18">
        <f t="shared" si="11"/>
        <v>0</v>
      </c>
      <c r="O48" s="19"/>
      <c r="P48" s="18"/>
      <c r="Q48" s="16"/>
      <c r="R48" s="17"/>
      <c r="S48" s="18"/>
      <c r="T48" s="19"/>
      <c r="U48" s="18"/>
      <c r="V48" s="16"/>
      <c r="W48" s="17"/>
      <c r="X48" s="18">
        <f t="shared" si="12"/>
        <v>0</v>
      </c>
      <c r="Y48" s="19"/>
      <c r="Z48" s="19"/>
      <c r="AA48" s="18">
        <f t="shared" si="14"/>
        <v>0</v>
      </c>
      <c r="AB48" s="20">
        <f t="shared" si="13"/>
        <v>0</v>
      </c>
      <c r="AC48" s="5"/>
      <c r="AD48" s="8"/>
      <c r="AF48" s="6"/>
      <c r="AG48" s="7"/>
      <c r="AJ48" s="33"/>
      <c r="AK48" s="35"/>
      <c r="AL48" s="38"/>
    </row>
    <row r="49" spans="1:38" ht="17.25" customHeight="1">
      <c r="A49" s="25"/>
      <c r="B49" s="26"/>
      <c r="C49" s="14"/>
      <c r="D49" s="31"/>
      <c r="E49" s="14"/>
      <c r="F49" s="15" t="str">
        <f t="shared" si="8"/>
        <v xml:space="preserve">S/F  </v>
      </c>
      <c r="G49" s="16"/>
      <c r="H49" s="17">
        <v>21</v>
      </c>
      <c r="I49" s="18">
        <f t="shared" si="9"/>
        <v>0</v>
      </c>
      <c r="J49" s="17"/>
      <c r="K49" s="18">
        <f t="shared" si="10"/>
        <v>0</v>
      </c>
      <c r="L49" s="16"/>
      <c r="M49" s="17"/>
      <c r="N49" s="18">
        <f t="shared" si="11"/>
        <v>0</v>
      </c>
      <c r="O49" s="19"/>
      <c r="P49" s="18"/>
      <c r="Q49" s="16"/>
      <c r="R49" s="17"/>
      <c r="S49" s="18"/>
      <c r="T49" s="19"/>
      <c r="U49" s="18"/>
      <c r="V49" s="16"/>
      <c r="W49" s="17"/>
      <c r="X49" s="18">
        <f t="shared" si="12"/>
        <v>0</v>
      </c>
      <c r="Y49" s="19"/>
      <c r="Z49" s="19"/>
      <c r="AA49" s="18">
        <f t="shared" si="14"/>
        <v>0</v>
      </c>
      <c r="AB49" s="20">
        <f t="shared" si="13"/>
        <v>0</v>
      </c>
      <c r="AC49" s="5"/>
      <c r="AD49" s="8"/>
      <c r="AF49" s="6"/>
      <c r="AG49" s="7"/>
      <c r="AJ49" s="33"/>
      <c r="AK49" s="35"/>
      <c r="AL49" s="38"/>
    </row>
    <row r="50" spans="1:38" ht="17.25" customHeight="1">
      <c r="A50" s="25"/>
      <c r="B50" s="26"/>
      <c r="C50" s="14"/>
      <c r="D50" s="31"/>
      <c r="E50" s="14"/>
      <c r="F50" s="15" t="str">
        <f t="shared" si="8"/>
        <v xml:space="preserve">S/F  </v>
      </c>
      <c r="G50" s="16"/>
      <c r="H50" s="17">
        <v>21</v>
      </c>
      <c r="I50" s="18">
        <f t="shared" si="9"/>
        <v>0</v>
      </c>
      <c r="J50" s="17"/>
      <c r="K50" s="18">
        <f t="shared" si="10"/>
        <v>0</v>
      </c>
      <c r="L50" s="16"/>
      <c r="M50" s="17"/>
      <c r="N50" s="18">
        <f t="shared" si="11"/>
        <v>0</v>
      </c>
      <c r="O50" s="19"/>
      <c r="P50" s="18"/>
      <c r="Q50" s="16"/>
      <c r="R50" s="17"/>
      <c r="S50" s="18"/>
      <c r="T50" s="19"/>
      <c r="U50" s="18"/>
      <c r="V50" s="16"/>
      <c r="W50" s="17"/>
      <c r="X50" s="18">
        <f t="shared" si="12"/>
        <v>0</v>
      </c>
      <c r="Y50" s="19"/>
      <c r="Z50" s="19"/>
      <c r="AA50" s="18">
        <f t="shared" si="14"/>
        <v>0</v>
      </c>
      <c r="AB50" s="20">
        <f t="shared" si="13"/>
        <v>0</v>
      </c>
      <c r="AC50" s="5"/>
      <c r="AD50" s="8"/>
      <c r="AF50" s="6"/>
      <c r="AG50" s="7"/>
      <c r="AJ50" s="33"/>
      <c r="AK50" s="35"/>
      <c r="AL50" s="38"/>
    </row>
    <row r="51" spans="1:38" ht="17.25" customHeight="1">
      <c r="A51" s="25"/>
      <c r="B51" s="26"/>
      <c r="C51" s="14"/>
      <c r="D51" s="31"/>
      <c r="E51" s="14"/>
      <c r="F51" s="15" t="str">
        <f t="shared" si="8"/>
        <v xml:space="preserve">S/F  </v>
      </c>
      <c r="G51" s="16"/>
      <c r="H51" s="17">
        <v>21</v>
      </c>
      <c r="I51" s="18">
        <f t="shared" si="9"/>
        <v>0</v>
      </c>
      <c r="J51" s="17"/>
      <c r="K51" s="18">
        <f t="shared" si="10"/>
        <v>0</v>
      </c>
      <c r="L51" s="16"/>
      <c r="M51" s="17"/>
      <c r="N51" s="18">
        <f t="shared" si="11"/>
        <v>0</v>
      </c>
      <c r="O51" s="19"/>
      <c r="P51" s="18"/>
      <c r="Q51" s="16"/>
      <c r="R51" s="17"/>
      <c r="S51" s="18"/>
      <c r="T51" s="19"/>
      <c r="U51" s="18"/>
      <c r="V51" s="16"/>
      <c r="W51" s="17"/>
      <c r="X51" s="18">
        <f t="shared" si="12"/>
        <v>0</v>
      </c>
      <c r="Y51" s="19"/>
      <c r="Z51" s="19"/>
      <c r="AA51" s="18">
        <f t="shared" si="14"/>
        <v>0</v>
      </c>
      <c r="AB51" s="20">
        <f t="shared" si="13"/>
        <v>0</v>
      </c>
      <c r="AC51" s="5"/>
      <c r="AD51" s="8"/>
      <c r="AF51" s="6"/>
      <c r="AG51" s="7"/>
      <c r="AJ51" s="33"/>
      <c r="AK51" s="35"/>
      <c r="AL51" s="38"/>
    </row>
    <row r="52" spans="1:38" ht="17.25" customHeight="1">
      <c r="A52" s="25"/>
      <c r="B52" s="26"/>
      <c r="C52" s="14"/>
      <c r="D52" s="31"/>
      <c r="E52" s="14"/>
      <c r="F52" s="15" t="str">
        <f t="shared" si="8"/>
        <v xml:space="preserve">S/F  </v>
      </c>
      <c r="G52" s="16"/>
      <c r="H52" s="17">
        <v>21</v>
      </c>
      <c r="I52" s="18">
        <f t="shared" si="9"/>
        <v>0</v>
      </c>
      <c r="J52" s="17"/>
      <c r="K52" s="18">
        <f t="shared" si="10"/>
        <v>0</v>
      </c>
      <c r="L52" s="16"/>
      <c r="M52" s="17"/>
      <c r="N52" s="18">
        <f t="shared" si="11"/>
        <v>0</v>
      </c>
      <c r="O52" s="19"/>
      <c r="P52" s="18"/>
      <c r="Q52" s="16"/>
      <c r="R52" s="17"/>
      <c r="S52" s="18"/>
      <c r="T52" s="19"/>
      <c r="U52" s="18"/>
      <c r="V52" s="16"/>
      <c r="W52" s="17"/>
      <c r="X52" s="18">
        <f t="shared" si="12"/>
        <v>0</v>
      </c>
      <c r="Y52" s="19"/>
      <c r="Z52" s="19"/>
      <c r="AA52" s="18">
        <f t="shared" si="14"/>
        <v>0</v>
      </c>
      <c r="AB52" s="20">
        <f t="shared" si="13"/>
        <v>0</v>
      </c>
      <c r="AC52" s="5"/>
      <c r="AD52" s="8"/>
      <c r="AF52" s="6"/>
      <c r="AG52" s="7"/>
      <c r="AJ52" s="33"/>
      <c r="AK52" s="35"/>
      <c r="AL52" s="38"/>
    </row>
    <row r="53" spans="1:38" ht="17.25" customHeight="1">
      <c r="A53" s="25"/>
      <c r="B53" s="26"/>
      <c r="C53" s="14"/>
      <c r="D53" s="31"/>
      <c r="E53" s="14"/>
      <c r="F53" s="15" t="str">
        <f t="shared" si="8"/>
        <v xml:space="preserve">S/F  </v>
      </c>
      <c r="G53" s="16"/>
      <c r="H53" s="17">
        <v>21</v>
      </c>
      <c r="I53" s="18">
        <f t="shared" si="9"/>
        <v>0</v>
      </c>
      <c r="J53" s="17"/>
      <c r="K53" s="18">
        <f t="shared" si="10"/>
        <v>0</v>
      </c>
      <c r="L53" s="16"/>
      <c r="M53" s="17"/>
      <c r="N53" s="18">
        <f t="shared" si="11"/>
        <v>0</v>
      </c>
      <c r="O53" s="19"/>
      <c r="P53" s="18"/>
      <c r="Q53" s="16"/>
      <c r="R53" s="17"/>
      <c r="S53" s="18"/>
      <c r="T53" s="19"/>
      <c r="U53" s="18"/>
      <c r="V53" s="16"/>
      <c r="W53" s="17"/>
      <c r="X53" s="18">
        <f t="shared" si="12"/>
        <v>0</v>
      </c>
      <c r="Y53" s="19"/>
      <c r="Z53" s="19"/>
      <c r="AA53" s="18">
        <f t="shared" si="14"/>
        <v>0</v>
      </c>
      <c r="AB53" s="20">
        <f t="shared" si="13"/>
        <v>0</v>
      </c>
      <c r="AC53" s="5"/>
      <c r="AD53" s="8"/>
      <c r="AF53" s="6"/>
      <c r="AG53" s="7"/>
      <c r="AJ53" s="33"/>
      <c r="AK53" s="35"/>
      <c r="AL53" s="38"/>
    </row>
    <row r="54" spans="1:38" ht="17.25" customHeight="1">
      <c r="A54" s="25"/>
      <c r="B54" s="26"/>
      <c r="C54" s="14"/>
      <c r="D54" s="31"/>
      <c r="E54" s="14"/>
      <c r="F54" s="15" t="str">
        <f t="shared" si="8"/>
        <v xml:space="preserve">S/F  </v>
      </c>
      <c r="G54" s="16"/>
      <c r="H54" s="17">
        <v>21</v>
      </c>
      <c r="I54" s="18">
        <f t="shared" si="9"/>
        <v>0</v>
      </c>
      <c r="J54" s="17"/>
      <c r="K54" s="18">
        <f t="shared" si="10"/>
        <v>0</v>
      </c>
      <c r="L54" s="16"/>
      <c r="M54" s="17"/>
      <c r="N54" s="18">
        <f t="shared" si="11"/>
        <v>0</v>
      </c>
      <c r="O54" s="19"/>
      <c r="P54" s="18"/>
      <c r="Q54" s="16"/>
      <c r="R54" s="17"/>
      <c r="S54" s="18"/>
      <c r="T54" s="19"/>
      <c r="U54" s="18"/>
      <c r="V54" s="16"/>
      <c r="W54" s="17"/>
      <c r="X54" s="18">
        <f t="shared" si="12"/>
        <v>0</v>
      </c>
      <c r="Y54" s="19"/>
      <c r="Z54" s="19"/>
      <c r="AA54" s="18">
        <f t="shared" si="14"/>
        <v>0</v>
      </c>
      <c r="AB54" s="20">
        <f t="shared" si="13"/>
        <v>0</v>
      </c>
      <c r="AC54" s="5"/>
      <c r="AD54" s="8"/>
      <c r="AF54" s="6"/>
      <c r="AG54" s="7"/>
      <c r="AJ54" s="33"/>
      <c r="AK54" s="35"/>
      <c r="AL54" s="38"/>
    </row>
    <row r="55" spans="1:38" ht="17.25" customHeight="1">
      <c r="A55" s="25"/>
      <c r="B55" s="26"/>
      <c r="C55" s="14"/>
      <c r="D55" s="31"/>
      <c r="E55" s="14"/>
      <c r="F55" s="15" t="str">
        <f t="shared" si="8"/>
        <v xml:space="preserve">S/F  </v>
      </c>
      <c r="G55" s="16"/>
      <c r="H55" s="17">
        <v>21</v>
      </c>
      <c r="I55" s="18">
        <f t="shared" si="9"/>
        <v>0</v>
      </c>
      <c r="J55" s="17"/>
      <c r="K55" s="18">
        <f t="shared" si="10"/>
        <v>0</v>
      </c>
      <c r="L55" s="16"/>
      <c r="M55" s="17"/>
      <c r="N55" s="18">
        <f t="shared" si="11"/>
        <v>0</v>
      </c>
      <c r="O55" s="19"/>
      <c r="P55" s="18"/>
      <c r="Q55" s="16"/>
      <c r="R55" s="17"/>
      <c r="S55" s="18"/>
      <c r="T55" s="19"/>
      <c r="U55" s="18"/>
      <c r="V55" s="16"/>
      <c r="W55" s="17"/>
      <c r="X55" s="18">
        <f t="shared" si="12"/>
        <v>0</v>
      </c>
      <c r="Y55" s="19"/>
      <c r="Z55" s="19"/>
      <c r="AA55" s="18">
        <f t="shared" si="14"/>
        <v>0</v>
      </c>
      <c r="AB55" s="20">
        <f t="shared" si="13"/>
        <v>0</v>
      </c>
      <c r="AC55" s="5"/>
      <c r="AD55" s="8"/>
      <c r="AF55" s="6"/>
      <c r="AG55" s="7"/>
      <c r="AJ55" s="33"/>
      <c r="AK55" s="35"/>
      <c r="AL55" s="38"/>
    </row>
    <row r="56" spans="1:38" ht="17.25" customHeight="1">
      <c r="A56" s="25"/>
      <c r="B56" s="26"/>
      <c r="C56" s="14"/>
      <c r="D56" s="31"/>
      <c r="E56" s="14"/>
      <c r="F56" s="15" t="str">
        <f t="shared" si="8"/>
        <v xml:space="preserve">S/F  </v>
      </c>
      <c r="G56" s="16"/>
      <c r="H56" s="17">
        <v>21</v>
      </c>
      <c r="I56" s="18">
        <f t="shared" si="9"/>
        <v>0</v>
      </c>
      <c r="J56" s="17"/>
      <c r="K56" s="18">
        <f t="shared" si="10"/>
        <v>0</v>
      </c>
      <c r="L56" s="16"/>
      <c r="M56" s="17"/>
      <c r="N56" s="18">
        <f t="shared" si="11"/>
        <v>0</v>
      </c>
      <c r="O56" s="19"/>
      <c r="P56" s="18"/>
      <c r="Q56" s="16"/>
      <c r="R56" s="17"/>
      <c r="S56" s="18"/>
      <c r="T56" s="19"/>
      <c r="U56" s="18"/>
      <c r="V56" s="16"/>
      <c r="W56" s="17"/>
      <c r="X56" s="18">
        <f t="shared" si="12"/>
        <v>0</v>
      </c>
      <c r="Y56" s="19"/>
      <c r="Z56" s="19"/>
      <c r="AA56" s="18">
        <f t="shared" si="14"/>
        <v>0</v>
      </c>
      <c r="AB56" s="20">
        <f t="shared" si="13"/>
        <v>0</v>
      </c>
      <c r="AC56" s="5"/>
      <c r="AD56" s="8"/>
      <c r="AF56" s="6"/>
      <c r="AG56" s="7"/>
      <c r="AJ56" s="33"/>
      <c r="AK56" s="35"/>
      <c r="AL56" s="38"/>
    </row>
    <row r="57" spans="1:38" ht="17.25" customHeight="1">
      <c r="A57" s="25"/>
      <c r="B57" s="26"/>
      <c r="C57" s="14"/>
      <c r="D57" s="31"/>
      <c r="E57" s="14"/>
      <c r="F57" s="15" t="str">
        <f t="shared" si="8"/>
        <v xml:space="preserve">S/F  </v>
      </c>
      <c r="G57" s="16"/>
      <c r="H57" s="17">
        <v>21</v>
      </c>
      <c r="I57" s="18">
        <f t="shared" si="9"/>
        <v>0</v>
      </c>
      <c r="J57" s="17"/>
      <c r="K57" s="18">
        <f t="shared" si="10"/>
        <v>0</v>
      </c>
      <c r="L57" s="16"/>
      <c r="M57" s="17"/>
      <c r="N57" s="18">
        <f t="shared" si="11"/>
        <v>0</v>
      </c>
      <c r="O57" s="19"/>
      <c r="P57" s="18"/>
      <c r="Q57" s="16"/>
      <c r="R57" s="17"/>
      <c r="S57" s="18"/>
      <c r="T57" s="19"/>
      <c r="U57" s="18"/>
      <c r="V57" s="16"/>
      <c r="W57" s="17"/>
      <c r="X57" s="18">
        <f t="shared" si="12"/>
        <v>0</v>
      </c>
      <c r="Y57" s="19"/>
      <c r="Z57" s="19"/>
      <c r="AA57" s="18">
        <f t="shared" si="14"/>
        <v>0</v>
      </c>
      <c r="AB57" s="20">
        <f t="shared" si="13"/>
        <v>0</v>
      </c>
      <c r="AC57" s="5"/>
      <c r="AD57" s="8"/>
      <c r="AF57" s="6"/>
      <c r="AG57" s="7"/>
      <c r="AJ57" s="33"/>
      <c r="AK57" s="35"/>
      <c r="AL57" s="38"/>
    </row>
    <row r="58" spans="1:38" ht="17.25" customHeight="1">
      <c r="A58" s="25"/>
      <c r="B58" s="26"/>
      <c r="C58" s="14"/>
      <c r="D58" s="31"/>
      <c r="E58" s="14"/>
      <c r="F58" s="15" t="str">
        <f t="shared" si="8"/>
        <v xml:space="preserve">S/F  </v>
      </c>
      <c r="G58" s="16"/>
      <c r="H58" s="17">
        <v>21</v>
      </c>
      <c r="I58" s="18">
        <f t="shared" si="9"/>
        <v>0</v>
      </c>
      <c r="J58" s="17"/>
      <c r="K58" s="18">
        <f t="shared" si="10"/>
        <v>0</v>
      </c>
      <c r="L58" s="16"/>
      <c r="M58" s="17"/>
      <c r="N58" s="18">
        <f t="shared" si="11"/>
        <v>0</v>
      </c>
      <c r="O58" s="19"/>
      <c r="P58" s="18"/>
      <c r="Q58" s="16"/>
      <c r="R58" s="17"/>
      <c r="S58" s="18"/>
      <c r="T58" s="19"/>
      <c r="U58" s="18"/>
      <c r="V58" s="16"/>
      <c r="W58" s="17"/>
      <c r="X58" s="18">
        <f t="shared" si="12"/>
        <v>0</v>
      </c>
      <c r="Y58" s="19"/>
      <c r="Z58" s="19"/>
      <c r="AA58" s="18">
        <f t="shared" si="14"/>
        <v>0</v>
      </c>
      <c r="AB58" s="20">
        <f t="shared" si="13"/>
        <v>0</v>
      </c>
      <c r="AC58" s="5"/>
      <c r="AD58" s="8"/>
      <c r="AF58" s="6"/>
      <c r="AG58" s="7"/>
      <c r="AJ58" s="33"/>
      <c r="AK58" s="35"/>
      <c r="AL58" s="38"/>
    </row>
    <row r="59" spans="1:38" ht="17.25" customHeight="1">
      <c r="A59" s="25"/>
      <c r="B59" s="26"/>
      <c r="C59" s="14"/>
      <c r="D59" s="31"/>
      <c r="E59" s="14"/>
      <c r="F59" s="15" t="str">
        <f t="shared" si="8"/>
        <v xml:space="preserve">S/F  </v>
      </c>
      <c r="G59" s="16"/>
      <c r="H59" s="17">
        <v>21</v>
      </c>
      <c r="I59" s="18">
        <f t="shared" si="9"/>
        <v>0</v>
      </c>
      <c r="J59" s="17"/>
      <c r="K59" s="18">
        <f t="shared" si="10"/>
        <v>0</v>
      </c>
      <c r="L59" s="16"/>
      <c r="M59" s="17"/>
      <c r="N59" s="18">
        <f t="shared" si="11"/>
        <v>0</v>
      </c>
      <c r="O59" s="19"/>
      <c r="P59" s="18"/>
      <c r="Q59" s="16"/>
      <c r="R59" s="17"/>
      <c r="S59" s="18"/>
      <c r="T59" s="19"/>
      <c r="U59" s="18"/>
      <c r="V59" s="16"/>
      <c r="W59" s="17"/>
      <c r="X59" s="18">
        <f t="shared" si="12"/>
        <v>0</v>
      </c>
      <c r="Y59" s="19"/>
      <c r="Z59" s="19"/>
      <c r="AA59" s="18">
        <f t="shared" si="14"/>
        <v>0</v>
      </c>
      <c r="AB59" s="20">
        <f t="shared" si="13"/>
        <v>0</v>
      </c>
      <c r="AC59" s="5"/>
      <c r="AD59" s="8"/>
      <c r="AF59" s="6"/>
      <c r="AG59" s="7"/>
      <c r="AJ59" s="33"/>
      <c r="AK59" s="35"/>
      <c r="AL59" s="38"/>
    </row>
    <row r="60" spans="1:38" ht="17.25" customHeight="1">
      <c r="A60" s="25"/>
      <c r="B60" s="26"/>
      <c r="C60" s="14"/>
      <c r="D60" s="31"/>
      <c r="E60" s="14"/>
      <c r="F60" s="15" t="str">
        <f t="shared" si="8"/>
        <v xml:space="preserve">S/F  </v>
      </c>
      <c r="G60" s="16"/>
      <c r="H60" s="17">
        <v>21</v>
      </c>
      <c r="I60" s="18">
        <f t="shared" si="9"/>
        <v>0</v>
      </c>
      <c r="J60" s="17"/>
      <c r="K60" s="18">
        <f t="shared" si="10"/>
        <v>0</v>
      </c>
      <c r="L60" s="16"/>
      <c r="M60" s="17"/>
      <c r="N60" s="18">
        <f t="shared" si="11"/>
        <v>0</v>
      </c>
      <c r="O60" s="19"/>
      <c r="P60" s="18"/>
      <c r="Q60" s="16"/>
      <c r="R60" s="17"/>
      <c r="S60" s="18"/>
      <c r="T60" s="19"/>
      <c r="U60" s="18"/>
      <c r="V60" s="16"/>
      <c r="W60" s="17"/>
      <c r="X60" s="18">
        <f t="shared" si="12"/>
        <v>0</v>
      </c>
      <c r="Y60" s="19"/>
      <c r="Z60" s="19"/>
      <c r="AA60" s="18">
        <f t="shared" si="14"/>
        <v>0</v>
      </c>
      <c r="AB60" s="20">
        <f t="shared" si="13"/>
        <v>0</v>
      </c>
      <c r="AC60" s="5"/>
      <c r="AD60" s="8"/>
      <c r="AF60" s="6"/>
      <c r="AG60" s="7"/>
      <c r="AJ60" s="33"/>
      <c r="AK60" s="35"/>
      <c r="AL60" s="38"/>
    </row>
    <row r="61" spans="1:38" ht="17.25" customHeight="1">
      <c r="A61" s="25"/>
      <c r="B61" s="26"/>
      <c r="C61" s="14"/>
      <c r="D61" s="31"/>
      <c r="E61" s="14"/>
      <c r="F61" s="15" t="str">
        <f t="shared" si="8"/>
        <v xml:space="preserve">S/F  </v>
      </c>
      <c r="G61" s="16"/>
      <c r="H61" s="17">
        <v>21</v>
      </c>
      <c r="I61" s="18">
        <f t="shared" si="9"/>
        <v>0</v>
      </c>
      <c r="J61" s="17"/>
      <c r="K61" s="18">
        <f t="shared" si="10"/>
        <v>0</v>
      </c>
      <c r="L61" s="16"/>
      <c r="M61" s="17"/>
      <c r="N61" s="18">
        <f t="shared" si="11"/>
        <v>0</v>
      </c>
      <c r="O61" s="19"/>
      <c r="P61" s="18"/>
      <c r="Q61" s="16"/>
      <c r="R61" s="17"/>
      <c r="S61" s="18"/>
      <c r="T61" s="19"/>
      <c r="U61" s="18"/>
      <c r="V61" s="16"/>
      <c r="W61" s="17"/>
      <c r="X61" s="18">
        <f t="shared" si="12"/>
        <v>0</v>
      </c>
      <c r="Y61" s="19"/>
      <c r="Z61" s="19"/>
      <c r="AA61" s="18">
        <f t="shared" si="14"/>
        <v>0</v>
      </c>
      <c r="AB61" s="20">
        <f t="shared" si="13"/>
        <v>0</v>
      </c>
      <c r="AC61" s="5"/>
      <c r="AD61" s="8"/>
      <c r="AF61" s="6"/>
      <c r="AG61" s="7"/>
      <c r="AJ61" s="33"/>
      <c r="AK61" s="35"/>
      <c r="AL61" s="38"/>
    </row>
    <row r="62" spans="1:38" ht="17.25" customHeight="1">
      <c r="A62" s="25"/>
      <c r="B62" s="26"/>
      <c r="C62" s="14"/>
      <c r="D62" s="31"/>
      <c r="E62" s="14"/>
      <c r="F62" s="15" t="str">
        <f t="shared" si="8"/>
        <v xml:space="preserve">S/F  </v>
      </c>
      <c r="G62" s="16"/>
      <c r="H62" s="17">
        <v>21</v>
      </c>
      <c r="I62" s="18">
        <f t="shared" si="9"/>
        <v>0</v>
      </c>
      <c r="J62" s="17"/>
      <c r="K62" s="18">
        <f t="shared" si="10"/>
        <v>0</v>
      </c>
      <c r="L62" s="16"/>
      <c r="M62" s="17"/>
      <c r="N62" s="18">
        <f t="shared" si="11"/>
        <v>0</v>
      </c>
      <c r="O62" s="19"/>
      <c r="P62" s="18"/>
      <c r="Q62" s="16"/>
      <c r="R62" s="17"/>
      <c r="S62" s="18"/>
      <c r="T62" s="19"/>
      <c r="U62" s="18"/>
      <c r="V62" s="16"/>
      <c r="W62" s="17"/>
      <c r="X62" s="18">
        <f t="shared" si="12"/>
        <v>0</v>
      </c>
      <c r="Y62" s="19"/>
      <c r="Z62" s="19"/>
      <c r="AA62" s="18">
        <f t="shared" si="14"/>
        <v>0</v>
      </c>
      <c r="AB62" s="20">
        <f t="shared" si="13"/>
        <v>0</v>
      </c>
      <c r="AC62" s="5"/>
      <c r="AD62" s="8"/>
      <c r="AF62" s="6"/>
      <c r="AG62" s="7"/>
      <c r="AJ62" s="33"/>
      <c r="AK62" s="35"/>
      <c r="AL62" s="38"/>
    </row>
    <row r="63" spans="1:38" ht="17.25" customHeight="1">
      <c r="A63" s="25"/>
      <c r="B63" s="26"/>
      <c r="C63" s="14"/>
      <c r="D63" s="31"/>
      <c r="E63" s="14"/>
      <c r="F63" s="15" t="str">
        <f t="shared" si="8"/>
        <v xml:space="preserve">S/F  </v>
      </c>
      <c r="G63" s="16"/>
      <c r="H63" s="17">
        <v>21</v>
      </c>
      <c r="I63" s="18">
        <f t="shared" si="9"/>
        <v>0</v>
      </c>
      <c r="J63" s="17"/>
      <c r="K63" s="18">
        <f t="shared" si="10"/>
        <v>0</v>
      </c>
      <c r="L63" s="16"/>
      <c r="M63" s="17"/>
      <c r="N63" s="18">
        <f t="shared" si="11"/>
        <v>0</v>
      </c>
      <c r="O63" s="19"/>
      <c r="P63" s="18"/>
      <c r="Q63" s="16"/>
      <c r="R63" s="17"/>
      <c r="S63" s="18"/>
      <c r="T63" s="19"/>
      <c r="U63" s="18"/>
      <c r="V63" s="16"/>
      <c r="W63" s="17"/>
      <c r="X63" s="18">
        <f t="shared" si="12"/>
        <v>0</v>
      </c>
      <c r="Y63" s="19"/>
      <c r="Z63" s="19"/>
      <c r="AA63" s="18">
        <f t="shared" si="14"/>
        <v>0</v>
      </c>
      <c r="AB63" s="20">
        <f t="shared" si="13"/>
        <v>0</v>
      </c>
      <c r="AC63" s="5"/>
      <c r="AD63" s="8"/>
      <c r="AF63" s="6"/>
      <c r="AG63" s="7"/>
      <c r="AJ63" s="33"/>
      <c r="AK63" s="35"/>
      <c r="AL63" s="38"/>
    </row>
    <row r="64" spans="1:38" ht="17.25" customHeight="1">
      <c r="A64" s="25"/>
      <c r="B64" s="26"/>
      <c r="C64" s="14"/>
      <c r="D64" s="31"/>
      <c r="E64" s="14"/>
      <c r="F64" s="15" t="str">
        <f t="shared" si="8"/>
        <v xml:space="preserve">S/F  </v>
      </c>
      <c r="G64" s="16"/>
      <c r="H64" s="17">
        <v>21</v>
      </c>
      <c r="I64" s="18">
        <f t="shared" si="9"/>
        <v>0</v>
      </c>
      <c r="J64" s="17"/>
      <c r="K64" s="18">
        <f t="shared" si="10"/>
        <v>0</v>
      </c>
      <c r="L64" s="16"/>
      <c r="M64" s="17"/>
      <c r="N64" s="18">
        <f t="shared" si="11"/>
        <v>0</v>
      </c>
      <c r="O64" s="19"/>
      <c r="P64" s="18"/>
      <c r="Q64" s="16"/>
      <c r="R64" s="17"/>
      <c r="S64" s="18"/>
      <c r="T64" s="19"/>
      <c r="U64" s="18"/>
      <c r="V64" s="16"/>
      <c r="W64" s="17"/>
      <c r="X64" s="18">
        <f t="shared" si="12"/>
        <v>0</v>
      </c>
      <c r="Y64" s="19"/>
      <c r="Z64" s="19"/>
      <c r="AA64" s="18">
        <f t="shared" si="14"/>
        <v>0</v>
      </c>
      <c r="AB64" s="20">
        <f t="shared" si="13"/>
        <v>0</v>
      </c>
      <c r="AC64" s="5"/>
      <c r="AD64" s="8"/>
      <c r="AF64" s="6"/>
      <c r="AG64" s="7"/>
      <c r="AJ64" s="33"/>
      <c r="AK64" s="35"/>
      <c r="AL64" s="38"/>
    </row>
    <row r="65" spans="1:38" ht="17.25" customHeight="1">
      <c r="A65" s="25"/>
      <c r="B65" s="26"/>
      <c r="C65" s="14"/>
      <c r="D65" s="31"/>
      <c r="E65" s="14"/>
      <c r="F65" s="15" t="str">
        <f t="shared" ref="F65:F96" si="15">"S/F "&amp;B65&amp;" "&amp;E65</f>
        <v xml:space="preserve">S/F  </v>
      </c>
      <c r="G65" s="16"/>
      <c r="H65" s="17">
        <v>21</v>
      </c>
      <c r="I65" s="18">
        <f t="shared" ref="I65:I96" si="16">+IF(G65&lt;&gt;0,G65*H65/100,0)</f>
        <v>0</v>
      </c>
      <c r="J65" s="17"/>
      <c r="K65" s="18">
        <f t="shared" ref="K65:K96" si="17">+IF(G65&lt;&gt;0,G65*J65/100,0)</f>
        <v>0</v>
      </c>
      <c r="L65" s="16"/>
      <c r="M65" s="17"/>
      <c r="N65" s="18">
        <f t="shared" ref="N65:N96" si="18">+IF(L65&lt;&gt;0,L65*M65/100,0)</f>
        <v>0</v>
      </c>
      <c r="O65" s="19"/>
      <c r="P65" s="18"/>
      <c r="Q65" s="16"/>
      <c r="R65" s="17"/>
      <c r="S65" s="18"/>
      <c r="T65" s="19"/>
      <c r="U65" s="18"/>
      <c r="V65" s="16"/>
      <c r="W65" s="17"/>
      <c r="X65" s="18">
        <f t="shared" ref="X65:X96" si="19">+IF(W65&lt;&gt;0,V65*W65/100,0)</f>
        <v>0</v>
      </c>
      <c r="Y65" s="19"/>
      <c r="Z65" s="19"/>
      <c r="AA65" s="18">
        <f t="shared" si="14"/>
        <v>0</v>
      </c>
      <c r="AB65" s="20">
        <f t="shared" ref="AB65:AB96" si="20">+G65+I65+K65+L65+N65+P65+Q65+S65+U65-X65-AA65</f>
        <v>0</v>
      </c>
      <c r="AC65" s="5"/>
      <c r="AD65" s="8"/>
      <c r="AF65" s="6"/>
      <c r="AG65" s="7"/>
      <c r="AJ65" s="33"/>
      <c r="AK65" s="35"/>
      <c r="AL65" s="38"/>
    </row>
    <row r="66" spans="1:38" ht="17.25" customHeight="1">
      <c r="A66" s="25"/>
      <c r="B66" s="26"/>
      <c r="C66" s="14"/>
      <c r="D66" s="31"/>
      <c r="E66" s="14"/>
      <c r="F66" s="15" t="str">
        <f t="shared" si="15"/>
        <v xml:space="preserve">S/F  </v>
      </c>
      <c r="G66" s="16"/>
      <c r="H66" s="17">
        <v>21</v>
      </c>
      <c r="I66" s="18">
        <f t="shared" si="16"/>
        <v>0</v>
      </c>
      <c r="J66" s="17"/>
      <c r="K66" s="18">
        <f t="shared" si="17"/>
        <v>0</v>
      </c>
      <c r="L66" s="16"/>
      <c r="M66" s="17"/>
      <c r="N66" s="18">
        <f t="shared" si="18"/>
        <v>0</v>
      </c>
      <c r="O66" s="19"/>
      <c r="P66" s="18"/>
      <c r="Q66" s="16"/>
      <c r="R66" s="17"/>
      <c r="S66" s="18"/>
      <c r="T66" s="19"/>
      <c r="U66" s="18"/>
      <c r="V66" s="16"/>
      <c r="W66" s="17"/>
      <c r="X66" s="18">
        <f t="shared" si="19"/>
        <v>0</v>
      </c>
      <c r="Y66" s="19"/>
      <c r="Z66" s="19"/>
      <c r="AA66" s="18">
        <f t="shared" si="14"/>
        <v>0</v>
      </c>
      <c r="AB66" s="20">
        <f t="shared" si="20"/>
        <v>0</v>
      </c>
      <c r="AC66" s="5"/>
      <c r="AD66" s="8"/>
      <c r="AF66" s="6"/>
      <c r="AG66" s="7"/>
      <c r="AJ66" s="33"/>
      <c r="AK66" s="35"/>
      <c r="AL66" s="38"/>
    </row>
    <row r="67" spans="1:38" ht="17.25" customHeight="1">
      <c r="A67" s="25"/>
      <c r="B67" s="26"/>
      <c r="C67" s="14"/>
      <c r="D67" s="31"/>
      <c r="E67" s="14"/>
      <c r="F67" s="15" t="str">
        <f t="shared" si="15"/>
        <v xml:space="preserve">S/F  </v>
      </c>
      <c r="G67" s="16"/>
      <c r="H67" s="17">
        <v>21</v>
      </c>
      <c r="I67" s="18">
        <f t="shared" si="16"/>
        <v>0</v>
      </c>
      <c r="J67" s="17"/>
      <c r="K67" s="18">
        <f t="shared" si="17"/>
        <v>0</v>
      </c>
      <c r="L67" s="16"/>
      <c r="M67" s="17"/>
      <c r="N67" s="18">
        <f t="shared" si="18"/>
        <v>0</v>
      </c>
      <c r="O67" s="19"/>
      <c r="P67" s="18"/>
      <c r="Q67" s="16"/>
      <c r="R67" s="17"/>
      <c r="S67" s="18"/>
      <c r="T67" s="19"/>
      <c r="U67" s="18"/>
      <c r="V67" s="16"/>
      <c r="W67" s="17"/>
      <c r="X67" s="18">
        <f t="shared" si="19"/>
        <v>0</v>
      </c>
      <c r="Y67" s="19"/>
      <c r="Z67" s="19"/>
      <c r="AA67" s="18">
        <f t="shared" si="14"/>
        <v>0</v>
      </c>
      <c r="AB67" s="20">
        <f t="shared" si="20"/>
        <v>0</v>
      </c>
      <c r="AC67" s="5"/>
      <c r="AD67" s="8"/>
      <c r="AF67" s="6"/>
      <c r="AG67" s="7"/>
      <c r="AJ67" s="33"/>
      <c r="AK67" s="35"/>
      <c r="AL67" s="38"/>
    </row>
    <row r="68" spans="1:38" ht="17.25" customHeight="1">
      <c r="A68" s="25"/>
      <c r="B68" s="26"/>
      <c r="C68" s="14"/>
      <c r="D68" s="31"/>
      <c r="E68" s="14"/>
      <c r="F68" s="15" t="str">
        <f t="shared" si="15"/>
        <v xml:space="preserve">S/F  </v>
      </c>
      <c r="G68" s="16"/>
      <c r="H68" s="17">
        <v>21</v>
      </c>
      <c r="I68" s="18">
        <f t="shared" si="16"/>
        <v>0</v>
      </c>
      <c r="J68" s="17"/>
      <c r="K68" s="18">
        <f t="shared" si="17"/>
        <v>0</v>
      </c>
      <c r="L68" s="16"/>
      <c r="M68" s="17"/>
      <c r="N68" s="18">
        <f t="shared" si="18"/>
        <v>0</v>
      </c>
      <c r="O68" s="19"/>
      <c r="P68" s="18"/>
      <c r="Q68" s="16"/>
      <c r="R68" s="17"/>
      <c r="S68" s="18"/>
      <c r="T68" s="19"/>
      <c r="U68" s="18"/>
      <c r="V68" s="16"/>
      <c r="W68" s="17"/>
      <c r="X68" s="18">
        <f t="shared" si="19"/>
        <v>0</v>
      </c>
      <c r="Y68" s="19"/>
      <c r="Z68" s="19"/>
      <c r="AA68" s="18">
        <f t="shared" si="14"/>
        <v>0</v>
      </c>
      <c r="AB68" s="20">
        <f t="shared" si="20"/>
        <v>0</v>
      </c>
      <c r="AC68" s="5"/>
      <c r="AD68" s="8"/>
      <c r="AF68" s="6"/>
      <c r="AG68" s="7"/>
      <c r="AJ68" s="33"/>
      <c r="AK68" s="35"/>
      <c r="AL68" s="38"/>
    </row>
    <row r="69" spans="1:38" ht="17.25" customHeight="1">
      <c r="A69" s="25"/>
      <c r="B69" s="26"/>
      <c r="C69" s="14"/>
      <c r="D69" s="31"/>
      <c r="E69" s="14"/>
      <c r="F69" s="15" t="str">
        <f t="shared" si="15"/>
        <v xml:space="preserve">S/F  </v>
      </c>
      <c r="G69" s="16"/>
      <c r="H69" s="17">
        <v>21</v>
      </c>
      <c r="I69" s="18">
        <f t="shared" si="16"/>
        <v>0</v>
      </c>
      <c r="J69" s="17"/>
      <c r="K69" s="18">
        <f t="shared" si="17"/>
        <v>0</v>
      </c>
      <c r="L69" s="16"/>
      <c r="M69" s="17"/>
      <c r="N69" s="18">
        <f t="shared" si="18"/>
        <v>0</v>
      </c>
      <c r="O69" s="19"/>
      <c r="P69" s="18"/>
      <c r="Q69" s="16"/>
      <c r="R69" s="17"/>
      <c r="S69" s="18"/>
      <c r="T69" s="19"/>
      <c r="U69" s="18"/>
      <c r="V69" s="16"/>
      <c r="W69" s="17"/>
      <c r="X69" s="18">
        <f t="shared" si="19"/>
        <v>0</v>
      </c>
      <c r="Y69" s="19"/>
      <c r="Z69" s="19"/>
      <c r="AA69" s="18">
        <f t="shared" si="14"/>
        <v>0</v>
      </c>
      <c r="AB69" s="20">
        <f t="shared" si="20"/>
        <v>0</v>
      </c>
      <c r="AC69" s="5"/>
      <c r="AD69" s="8"/>
      <c r="AF69" s="6"/>
      <c r="AG69" s="7"/>
      <c r="AJ69" s="33"/>
      <c r="AK69" s="35"/>
      <c r="AL69" s="38"/>
    </row>
    <row r="70" spans="1:38" ht="17.25" customHeight="1">
      <c r="A70" s="25"/>
      <c r="B70" s="26"/>
      <c r="C70" s="14"/>
      <c r="D70" s="31"/>
      <c r="E70" s="14"/>
      <c r="F70" s="15" t="str">
        <f t="shared" si="15"/>
        <v xml:space="preserve">S/F  </v>
      </c>
      <c r="G70" s="16"/>
      <c r="H70" s="17">
        <v>21</v>
      </c>
      <c r="I70" s="18">
        <f t="shared" si="16"/>
        <v>0</v>
      </c>
      <c r="J70" s="17"/>
      <c r="K70" s="18">
        <f t="shared" si="17"/>
        <v>0</v>
      </c>
      <c r="L70" s="16"/>
      <c r="M70" s="17"/>
      <c r="N70" s="18">
        <f t="shared" si="18"/>
        <v>0</v>
      </c>
      <c r="O70" s="19"/>
      <c r="P70" s="18"/>
      <c r="Q70" s="16"/>
      <c r="R70" s="17"/>
      <c r="S70" s="18"/>
      <c r="T70" s="19"/>
      <c r="U70" s="18"/>
      <c r="V70" s="16"/>
      <c r="W70" s="17"/>
      <c r="X70" s="18">
        <f t="shared" si="19"/>
        <v>0</v>
      </c>
      <c r="Y70" s="19"/>
      <c r="Z70" s="19"/>
      <c r="AA70" s="18">
        <f t="shared" si="14"/>
        <v>0</v>
      </c>
      <c r="AB70" s="20">
        <f t="shared" si="20"/>
        <v>0</v>
      </c>
      <c r="AC70" s="5"/>
      <c r="AD70" s="8"/>
      <c r="AF70" s="6"/>
      <c r="AG70" s="7"/>
      <c r="AJ70" s="33"/>
      <c r="AK70" s="35"/>
      <c r="AL70" s="38"/>
    </row>
    <row r="71" spans="1:38" ht="17.25" customHeight="1">
      <c r="A71" s="25"/>
      <c r="B71" s="26"/>
      <c r="C71" s="14"/>
      <c r="D71" s="31"/>
      <c r="E71" s="14"/>
      <c r="F71" s="15" t="str">
        <f t="shared" si="15"/>
        <v xml:space="preserve">S/F  </v>
      </c>
      <c r="G71" s="16"/>
      <c r="H71" s="17">
        <v>21</v>
      </c>
      <c r="I71" s="18">
        <f t="shared" si="16"/>
        <v>0</v>
      </c>
      <c r="J71" s="17"/>
      <c r="K71" s="18">
        <f t="shared" si="17"/>
        <v>0</v>
      </c>
      <c r="L71" s="16"/>
      <c r="M71" s="17"/>
      <c r="N71" s="18">
        <f t="shared" si="18"/>
        <v>0</v>
      </c>
      <c r="O71" s="19"/>
      <c r="P71" s="18"/>
      <c r="Q71" s="16"/>
      <c r="R71" s="17"/>
      <c r="S71" s="18"/>
      <c r="T71" s="19"/>
      <c r="U71" s="18"/>
      <c r="V71" s="16"/>
      <c r="W71" s="17"/>
      <c r="X71" s="18">
        <f t="shared" si="19"/>
        <v>0</v>
      </c>
      <c r="Y71" s="19"/>
      <c r="Z71" s="19"/>
      <c r="AA71" s="18">
        <f t="shared" si="14"/>
        <v>0</v>
      </c>
      <c r="AB71" s="20">
        <f t="shared" si="20"/>
        <v>0</v>
      </c>
      <c r="AC71" s="5"/>
      <c r="AD71" s="8"/>
      <c r="AF71" s="6"/>
      <c r="AG71" s="7"/>
      <c r="AJ71" s="33"/>
      <c r="AK71" s="35"/>
      <c r="AL71" s="38"/>
    </row>
    <row r="72" spans="1:38" ht="17.25" customHeight="1">
      <c r="A72" s="25"/>
      <c r="B72" s="26"/>
      <c r="C72" s="14"/>
      <c r="D72" s="31"/>
      <c r="E72" s="14"/>
      <c r="F72" s="15" t="str">
        <f t="shared" si="15"/>
        <v xml:space="preserve">S/F  </v>
      </c>
      <c r="G72" s="16"/>
      <c r="H72" s="17">
        <v>21</v>
      </c>
      <c r="I72" s="18">
        <f t="shared" si="16"/>
        <v>0</v>
      </c>
      <c r="J72" s="17"/>
      <c r="K72" s="18">
        <f t="shared" si="17"/>
        <v>0</v>
      </c>
      <c r="L72" s="16"/>
      <c r="M72" s="17"/>
      <c r="N72" s="18">
        <f t="shared" si="18"/>
        <v>0</v>
      </c>
      <c r="O72" s="19"/>
      <c r="P72" s="18"/>
      <c r="Q72" s="16"/>
      <c r="R72" s="17"/>
      <c r="S72" s="18"/>
      <c r="T72" s="19"/>
      <c r="U72" s="18"/>
      <c r="V72" s="16"/>
      <c r="W72" s="17"/>
      <c r="X72" s="18">
        <f t="shared" si="19"/>
        <v>0</v>
      </c>
      <c r="Y72" s="19"/>
      <c r="Z72" s="19"/>
      <c r="AA72" s="18">
        <f t="shared" si="14"/>
        <v>0</v>
      </c>
      <c r="AB72" s="20">
        <f t="shared" si="20"/>
        <v>0</v>
      </c>
      <c r="AC72" s="5"/>
      <c r="AD72" s="8"/>
      <c r="AF72" s="6"/>
      <c r="AG72" s="7"/>
      <c r="AJ72" s="33"/>
      <c r="AK72" s="35"/>
      <c r="AL72" s="38"/>
    </row>
    <row r="73" spans="1:38" ht="17.25" customHeight="1">
      <c r="A73" s="25"/>
      <c r="B73" s="26"/>
      <c r="C73" s="14"/>
      <c r="D73" s="31"/>
      <c r="E73" s="14"/>
      <c r="F73" s="15" t="str">
        <f t="shared" si="15"/>
        <v xml:space="preserve">S/F  </v>
      </c>
      <c r="G73" s="16"/>
      <c r="H73" s="17">
        <v>21</v>
      </c>
      <c r="I73" s="18">
        <f t="shared" si="16"/>
        <v>0</v>
      </c>
      <c r="J73" s="17"/>
      <c r="K73" s="18">
        <f t="shared" si="17"/>
        <v>0</v>
      </c>
      <c r="L73" s="16"/>
      <c r="M73" s="17"/>
      <c r="N73" s="18">
        <f t="shared" si="18"/>
        <v>0</v>
      </c>
      <c r="O73" s="19"/>
      <c r="P73" s="18"/>
      <c r="Q73" s="16"/>
      <c r="R73" s="17"/>
      <c r="S73" s="18"/>
      <c r="T73" s="19"/>
      <c r="U73" s="18"/>
      <c r="V73" s="16"/>
      <c r="W73" s="17"/>
      <c r="X73" s="18">
        <f t="shared" si="19"/>
        <v>0</v>
      </c>
      <c r="Y73" s="19"/>
      <c r="Z73" s="19"/>
      <c r="AA73" s="18">
        <f t="shared" si="14"/>
        <v>0</v>
      </c>
      <c r="AB73" s="20">
        <f t="shared" si="20"/>
        <v>0</v>
      </c>
      <c r="AC73" s="5"/>
      <c r="AD73" s="8"/>
      <c r="AF73" s="6"/>
      <c r="AG73" s="7"/>
      <c r="AJ73" s="33"/>
      <c r="AK73" s="35"/>
      <c r="AL73" s="38"/>
    </row>
    <row r="74" spans="1:38" ht="17.25" customHeight="1">
      <c r="A74" s="25"/>
      <c r="B74" s="26"/>
      <c r="C74" s="14"/>
      <c r="D74" s="26"/>
      <c r="E74" s="14"/>
      <c r="F74" s="15" t="str">
        <f t="shared" si="15"/>
        <v xml:space="preserve">S/F  </v>
      </c>
      <c r="G74" s="16"/>
      <c r="H74" s="17">
        <v>21</v>
      </c>
      <c r="I74" s="18">
        <f t="shared" si="16"/>
        <v>0</v>
      </c>
      <c r="J74" s="17"/>
      <c r="K74" s="18">
        <f t="shared" si="17"/>
        <v>0</v>
      </c>
      <c r="L74" s="16"/>
      <c r="M74" s="17"/>
      <c r="N74" s="18">
        <f t="shared" si="18"/>
        <v>0</v>
      </c>
      <c r="O74" s="19"/>
      <c r="P74" s="18"/>
      <c r="Q74" s="16"/>
      <c r="R74" s="17"/>
      <c r="S74" s="18"/>
      <c r="T74" s="19"/>
      <c r="U74" s="18"/>
      <c r="V74" s="16"/>
      <c r="W74" s="17"/>
      <c r="X74" s="18">
        <f t="shared" si="19"/>
        <v>0</v>
      </c>
      <c r="Y74" s="19"/>
      <c r="Z74" s="19"/>
      <c r="AA74" s="18">
        <f t="shared" si="14"/>
        <v>0</v>
      </c>
      <c r="AB74" s="20">
        <f t="shared" si="20"/>
        <v>0</v>
      </c>
      <c r="AC74" s="5"/>
      <c r="AD74" s="8"/>
      <c r="AF74" s="6"/>
      <c r="AG74" s="7"/>
      <c r="AJ74" s="33"/>
      <c r="AK74" s="35"/>
      <c r="AL74" s="38"/>
    </row>
    <row r="75" spans="1:38" ht="17.25" customHeight="1">
      <c r="A75" s="25"/>
      <c r="B75" s="26"/>
      <c r="C75" s="14"/>
      <c r="D75" s="31"/>
      <c r="E75" s="14"/>
      <c r="F75" s="15" t="str">
        <f t="shared" si="15"/>
        <v xml:space="preserve">S/F  </v>
      </c>
      <c r="G75" s="16"/>
      <c r="H75" s="17">
        <v>21</v>
      </c>
      <c r="I75" s="18">
        <f t="shared" si="16"/>
        <v>0</v>
      </c>
      <c r="J75" s="17"/>
      <c r="K75" s="18">
        <f t="shared" si="17"/>
        <v>0</v>
      </c>
      <c r="L75" s="16"/>
      <c r="M75" s="17"/>
      <c r="N75" s="18">
        <f t="shared" si="18"/>
        <v>0</v>
      </c>
      <c r="O75" s="19"/>
      <c r="P75" s="18"/>
      <c r="Q75" s="16"/>
      <c r="R75" s="17"/>
      <c r="S75" s="18"/>
      <c r="T75" s="19"/>
      <c r="U75" s="18"/>
      <c r="V75" s="16"/>
      <c r="W75" s="17"/>
      <c r="X75" s="18">
        <f t="shared" si="19"/>
        <v>0</v>
      </c>
      <c r="Y75" s="19"/>
      <c r="Z75" s="19"/>
      <c r="AA75" s="18">
        <f t="shared" si="14"/>
        <v>0</v>
      </c>
      <c r="AB75" s="20">
        <f t="shared" si="20"/>
        <v>0</v>
      </c>
      <c r="AC75" s="5"/>
      <c r="AD75" s="8"/>
      <c r="AF75" s="6"/>
      <c r="AG75" s="7"/>
      <c r="AJ75" s="33"/>
      <c r="AK75" s="35"/>
      <c r="AL75" s="38"/>
    </row>
    <row r="76" spans="1:38" ht="17.25" customHeight="1">
      <c r="A76" s="25"/>
      <c r="B76" s="26"/>
      <c r="C76" s="14"/>
      <c r="D76" s="31"/>
      <c r="E76" s="14"/>
      <c r="F76" s="15" t="str">
        <f t="shared" si="15"/>
        <v xml:space="preserve">S/F  </v>
      </c>
      <c r="G76" s="16"/>
      <c r="H76" s="17">
        <v>21</v>
      </c>
      <c r="I76" s="18">
        <f t="shared" si="16"/>
        <v>0</v>
      </c>
      <c r="J76" s="17"/>
      <c r="K76" s="18">
        <f t="shared" si="17"/>
        <v>0</v>
      </c>
      <c r="L76" s="16"/>
      <c r="M76" s="17"/>
      <c r="N76" s="18">
        <f t="shared" si="18"/>
        <v>0</v>
      </c>
      <c r="O76" s="19"/>
      <c r="P76" s="18"/>
      <c r="Q76" s="16"/>
      <c r="R76" s="17"/>
      <c r="S76" s="18"/>
      <c r="T76" s="19"/>
      <c r="U76" s="18"/>
      <c r="V76" s="16"/>
      <c r="W76" s="17"/>
      <c r="X76" s="18">
        <f t="shared" si="19"/>
        <v>0</v>
      </c>
      <c r="Y76" s="19"/>
      <c r="Z76" s="19"/>
      <c r="AA76" s="18">
        <f t="shared" si="14"/>
        <v>0</v>
      </c>
      <c r="AB76" s="20">
        <f t="shared" si="20"/>
        <v>0</v>
      </c>
      <c r="AC76" s="5"/>
      <c r="AD76" s="8"/>
      <c r="AF76" s="6"/>
      <c r="AG76" s="7"/>
      <c r="AJ76" s="33"/>
      <c r="AK76" s="35"/>
      <c r="AL76" s="38"/>
    </row>
    <row r="77" spans="1:38" ht="17.25" customHeight="1">
      <c r="A77" s="25"/>
      <c r="B77" s="26"/>
      <c r="C77" s="14"/>
      <c r="D77" s="31"/>
      <c r="E77" s="14"/>
      <c r="F77" s="15" t="str">
        <f t="shared" si="15"/>
        <v xml:space="preserve">S/F  </v>
      </c>
      <c r="G77" s="16"/>
      <c r="H77" s="17">
        <v>21</v>
      </c>
      <c r="I77" s="18">
        <f t="shared" si="16"/>
        <v>0</v>
      </c>
      <c r="J77" s="17"/>
      <c r="K77" s="18">
        <f t="shared" si="17"/>
        <v>0</v>
      </c>
      <c r="L77" s="16"/>
      <c r="M77" s="17"/>
      <c r="N77" s="18">
        <f t="shared" si="18"/>
        <v>0</v>
      </c>
      <c r="O77" s="19"/>
      <c r="P77" s="18"/>
      <c r="Q77" s="16"/>
      <c r="R77" s="17"/>
      <c r="S77" s="18"/>
      <c r="T77" s="19"/>
      <c r="U77" s="18"/>
      <c r="V77" s="16"/>
      <c r="W77" s="17"/>
      <c r="X77" s="18">
        <f t="shared" si="19"/>
        <v>0</v>
      </c>
      <c r="Y77" s="19"/>
      <c r="Z77" s="19"/>
      <c r="AA77" s="18">
        <f t="shared" si="14"/>
        <v>0</v>
      </c>
      <c r="AB77" s="20">
        <f t="shared" si="20"/>
        <v>0</v>
      </c>
      <c r="AC77" s="5"/>
      <c r="AD77" s="8"/>
      <c r="AF77" s="6"/>
      <c r="AG77" s="7"/>
      <c r="AJ77" s="33"/>
      <c r="AK77" s="35"/>
      <c r="AL77" s="38"/>
    </row>
    <row r="78" spans="1:38" ht="17.25" customHeight="1">
      <c r="A78" s="25"/>
      <c r="B78" s="26"/>
      <c r="C78" s="14"/>
      <c r="D78" s="31"/>
      <c r="E78" s="14"/>
      <c r="F78" s="15" t="str">
        <f t="shared" si="15"/>
        <v xml:space="preserve">S/F  </v>
      </c>
      <c r="G78" s="16"/>
      <c r="H78" s="17">
        <v>21</v>
      </c>
      <c r="I78" s="18">
        <f t="shared" si="16"/>
        <v>0</v>
      </c>
      <c r="J78" s="17"/>
      <c r="K78" s="18">
        <f t="shared" si="17"/>
        <v>0</v>
      </c>
      <c r="L78" s="16"/>
      <c r="M78" s="17"/>
      <c r="N78" s="18">
        <f t="shared" si="18"/>
        <v>0</v>
      </c>
      <c r="O78" s="19"/>
      <c r="P78" s="18"/>
      <c r="Q78" s="16"/>
      <c r="R78" s="17"/>
      <c r="S78" s="18"/>
      <c r="T78" s="19"/>
      <c r="U78" s="18"/>
      <c r="V78" s="16"/>
      <c r="W78" s="17"/>
      <c r="X78" s="18">
        <f t="shared" si="19"/>
        <v>0</v>
      </c>
      <c r="Y78" s="19"/>
      <c r="Z78" s="19"/>
      <c r="AA78" s="18">
        <f t="shared" si="14"/>
        <v>0</v>
      </c>
      <c r="AB78" s="20">
        <f t="shared" si="20"/>
        <v>0</v>
      </c>
      <c r="AC78" s="5"/>
      <c r="AD78" s="8"/>
      <c r="AF78" s="6"/>
      <c r="AG78" s="7"/>
      <c r="AJ78" s="33"/>
      <c r="AK78" s="35"/>
      <c r="AL78" s="38"/>
    </row>
    <row r="79" spans="1:38" ht="17.25" customHeight="1">
      <c r="A79" s="25"/>
      <c r="B79" s="26"/>
      <c r="C79" s="14"/>
      <c r="D79" s="31"/>
      <c r="E79" s="14"/>
      <c r="F79" s="15" t="str">
        <f t="shared" si="15"/>
        <v xml:space="preserve">S/F  </v>
      </c>
      <c r="G79" s="16"/>
      <c r="H79" s="17">
        <v>21</v>
      </c>
      <c r="I79" s="18">
        <f t="shared" si="16"/>
        <v>0</v>
      </c>
      <c r="J79" s="17"/>
      <c r="K79" s="18">
        <f t="shared" si="17"/>
        <v>0</v>
      </c>
      <c r="L79" s="16"/>
      <c r="M79" s="17"/>
      <c r="N79" s="18">
        <f t="shared" si="18"/>
        <v>0</v>
      </c>
      <c r="O79" s="19"/>
      <c r="P79" s="18"/>
      <c r="Q79" s="16"/>
      <c r="R79" s="17"/>
      <c r="S79" s="18"/>
      <c r="T79" s="19"/>
      <c r="U79" s="18"/>
      <c r="V79" s="16"/>
      <c r="W79" s="17"/>
      <c r="X79" s="18">
        <f t="shared" si="19"/>
        <v>0</v>
      </c>
      <c r="Y79" s="19"/>
      <c r="Z79" s="19"/>
      <c r="AA79" s="18">
        <f t="shared" si="14"/>
        <v>0</v>
      </c>
      <c r="AB79" s="20">
        <f t="shared" si="20"/>
        <v>0</v>
      </c>
      <c r="AC79" s="5"/>
      <c r="AD79" s="8"/>
      <c r="AF79" s="6"/>
      <c r="AG79" s="7"/>
      <c r="AJ79" s="33"/>
      <c r="AK79" s="35"/>
      <c r="AL79" s="38"/>
    </row>
    <row r="80" spans="1:38" ht="17.25" customHeight="1">
      <c r="A80" s="25"/>
      <c r="B80" s="26"/>
      <c r="C80" s="14"/>
      <c r="D80" s="31"/>
      <c r="E80" s="14"/>
      <c r="F80" s="15" t="str">
        <f t="shared" si="15"/>
        <v xml:space="preserve">S/F  </v>
      </c>
      <c r="G80" s="16"/>
      <c r="H80" s="17">
        <v>21</v>
      </c>
      <c r="I80" s="18">
        <f t="shared" si="16"/>
        <v>0</v>
      </c>
      <c r="J80" s="17"/>
      <c r="K80" s="18">
        <f t="shared" si="17"/>
        <v>0</v>
      </c>
      <c r="L80" s="16"/>
      <c r="M80" s="17"/>
      <c r="N80" s="18">
        <f t="shared" si="18"/>
        <v>0</v>
      </c>
      <c r="O80" s="19"/>
      <c r="P80" s="18"/>
      <c r="Q80" s="16"/>
      <c r="R80" s="17"/>
      <c r="S80" s="18"/>
      <c r="T80" s="19"/>
      <c r="U80" s="18"/>
      <c r="V80" s="16"/>
      <c r="W80" s="17"/>
      <c r="X80" s="18">
        <f t="shared" si="19"/>
        <v>0</v>
      </c>
      <c r="Y80" s="19"/>
      <c r="Z80" s="19"/>
      <c r="AA80" s="18">
        <f t="shared" si="14"/>
        <v>0</v>
      </c>
      <c r="AB80" s="20">
        <f t="shared" si="20"/>
        <v>0</v>
      </c>
      <c r="AC80" s="5"/>
      <c r="AD80" s="8"/>
      <c r="AF80" s="6"/>
      <c r="AG80" s="7"/>
      <c r="AJ80" s="33"/>
      <c r="AK80" s="35"/>
      <c r="AL80" s="38"/>
    </row>
    <row r="81" spans="1:38" ht="17.25" customHeight="1">
      <c r="A81" s="25"/>
      <c r="B81" s="26"/>
      <c r="C81" s="14"/>
      <c r="D81" s="31"/>
      <c r="E81" s="14"/>
      <c r="F81" s="15" t="str">
        <f t="shared" si="15"/>
        <v xml:space="preserve">S/F  </v>
      </c>
      <c r="G81" s="16"/>
      <c r="H81" s="17">
        <v>21</v>
      </c>
      <c r="I81" s="18">
        <f t="shared" si="16"/>
        <v>0</v>
      </c>
      <c r="J81" s="17"/>
      <c r="K81" s="18">
        <f t="shared" si="17"/>
        <v>0</v>
      </c>
      <c r="L81" s="16"/>
      <c r="M81" s="17"/>
      <c r="N81" s="18">
        <f t="shared" si="18"/>
        <v>0</v>
      </c>
      <c r="O81" s="19"/>
      <c r="P81" s="18"/>
      <c r="Q81" s="16"/>
      <c r="R81" s="17"/>
      <c r="S81" s="18"/>
      <c r="T81" s="19"/>
      <c r="U81" s="18"/>
      <c r="V81" s="16"/>
      <c r="W81" s="17"/>
      <c r="X81" s="18">
        <f t="shared" si="19"/>
        <v>0</v>
      </c>
      <c r="Y81" s="19"/>
      <c r="Z81" s="19"/>
      <c r="AA81" s="18">
        <f t="shared" si="14"/>
        <v>0</v>
      </c>
      <c r="AB81" s="20">
        <f t="shared" si="20"/>
        <v>0</v>
      </c>
      <c r="AC81" s="5"/>
      <c r="AD81" s="8"/>
      <c r="AF81" s="6"/>
      <c r="AG81" s="7"/>
      <c r="AJ81" s="33"/>
      <c r="AK81" s="35"/>
      <c r="AL81" s="38"/>
    </row>
    <row r="82" spans="1:38" ht="17.25" customHeight="1">
      <c r="A82" s="25"/>
      <c r="B82" s="26"/>
      <c r="C82" s="14"/>
      <c r="D82" s="31"/>
      <c r="E82" s="14"/>
      <c r="F82" s="15" t="str">
        <f t="shared" si="15"/>
        <v xml:space="preserve">S/F  </v>
      </c>
      <c r="G82" s="16"/>
      <c r="H82" s="17">
        <v>21</v>
      </c>
      <c r="I82" s="18">
        <f t="shared" si="16"/>
        <v>0</v>
      </c>
      <c r="J82" s="17"/>
      <c r="K82" s="18">
        <f t="shared" si="17"/>
        <v>0</v>
      </c>
      <c r="L82" s="16"/>
      <c r="M82" s="17"/>
      <c r="N82" s="18">
        <f t="shared" si="18"/>
        <v>0</v>
      </c>
      <c r="O82" s="19"/>
      <c r="P82" s="18"/>
      <c r="Q82" s="16"/>
      <c r="R82" s="17"/>
      <c r="S82" s="18"/>
      <c r="T82" s="19"/>
      <c r="U82" s="18"/>
      <c r="V82" s="16"/>
      <c r="W82" s="17"/>
      <c r="X82" s="18">
        <f t="shared" si="19"/>
        <v>0</v>
      </c>
      <c r="Y82" s="19"/>
      <c r="Z82" s="19"/>
      <c r="AA82" s="18"/>
      <c r="AB82" s="20">
        <f t="shared" si="20"/>
        <v>0</v>
      </c>
      <c r="AC82" s="5"/>
      <c r="AD82" s="8"/>
      <c r="AF82" s="6"/>
      <c r="AG82" s="7"/>
      <c r="AJ82" s="33"/>
      <c r="AK82" s="35"/>
      <c r="AL82" s="38"/>
    </row>
    <row r="83" spans="1:38" ht="17.25" customHeight="1">
      <c r="A83" s="25"/>
      <c r="B83" s="26"/>
      <c r="C83" s="14"/>
      <c r="D83" s="31"/>
      <c r="E83" s="14"/>
      <c r="F83" s="15" t="str">
        <f t="shared" si="15"/>
        <v xml:space="preserve">S/F  </v>
      </c>
      <c r="G83" s="16"/>
      <c r="H83" s="17">
        <v>21</v>
      </c>
      <c r="I83" s="18">
        <f t="shared" si="16"/>
        <v>0</v>
      </c>
      <c r="J83" s="17"/>
      <c r="K83" s="18">
        <f t="shared" si="17"/>
        <v>0</v>
      </c>
      <c r="L83" s="16"/>
      <c r="M83" s="17"/>
      <c r="N83" s="18">
        <f t="shared" si="18"/>
        <v>0</v>
      </c>
      <c r="O83" s="19"/>
      <c r="P83" s="18"/>
      <c r="Q83" s="16"/>
      <c r="R83" s="17"/>
      <c r="S83" s="18"/>
      <c r="T83" s="19"/>
      <c r="U83" s="18"/>
      <c r="V83" s="16"/>
      <c r="W83" s="17"/>
      <c r="X83" s="18">
        <f t="shared" si="19"/>
        <v>0</v>
      </c>
      <c r="Y83" s="19"/>
      <c r="Z83" s="19"/>
      <c r="AA83" s="18">
        <f t="shared" ref="AA83:AA93" si="21">+IF(Z83&lt;&gt;0,Y83*Z83/100,0)</f>
        <v>0</v>
      </c>
      <c r="AB83" s="20">
        <f t="shared" si="20"/>
        <v>0</v>
      </c>
      <c r="AC83" s="5"/>
      <c r="AD83" s="8"/>
      <c r="AF83" s="6"/>
      <c r="AG83" s="7"/>
      <c r="AJ83" s="33"/>
      <c r="AK83" s="35"/>
      <c r="AL83" s="38"/>
    </row>
    <row r="84" spans="1:38" ht="17.25" customHeight="1">
      <c r="A84" s="25"/>
      <c r="B84" s="26"/>
      <c r="C84" s="14"/>
      <c r="D84" s="31"/>
      <c r="E84" s="14"/>
      <c r="F84" s="15" t="str">
        <f t="shared" si="15"/>
        <v xml:space="preserve">S/F  </v>
      </c>
      <c r="G84" s="16"/>
      <c r="H84" s="17">
        <v>21</v>
      </c>
      <c r="I84" s="18">
        <f t="shared" si="16"/>
        <v>0</v>
      </c>
      <c r="J84" s="17"/>
      <c r="K84" s="18">
        <f t="shared" si="17"/>
        <v>0</v>
      </c>
      <c r="L84" s="16"/>
      <c r="M84" s="17"/>
      <c r="N84" s="18">
        <f t="shared" si="18"/>
        <v>0</v>
      </c>
      <c r="O84" s="19"/>
      <c r="P84" s="18"/>
      <c r="Q84" s="16"/>
      <c r="R84" s="17"/>
      <c r="S84" s="18"/>
      <c r="T84" s="19"/>
      <c r="U84" s="18"/>
      <c r="V84" s="16"/>
      <c r="W84" s="17"/>
      <c r="X84" s="18">
        <f t="shared" si="19"/>
        <v>0</v>
      </c>
      <c r="Y84" s="19"/>
      <c r="Z84" s="19"/>
      <c r="AA84" s="18">
        <f t="shared" si="21"/>
        <v>0</v>
      </c>
      <c r="AB84" s="20">
        <f t="shared" si="20"/>
        <v>0</v>
      </c>
      <c r="AC84" s="5"/>
      <c r="AD84" s="8"/>
      <c r="AF84" s="6"/>
      <c r="AG84" s="7"/>
      <c r="AJ84" s="33"/>
      <c r="AK84" s="35"/>
      <c r="AL84" s="38"/>
    </row>
    <row r="85" spans="1:38" ht="17.25" customHeight="1">
      <c r="A85" s="25"/>
      <c r="B85" s="26"/>
      <c r="C85" s="14"/>
      <c r="D85" s="31"/>
      <c r="E85" s="14"/>
      <c r="F85" s="15" t="str">
        <f t="shared" si="15"/>
        <v xml:space="preserve">S/F  </v>
      </c>
      <c r="G85" s="16"/>
      <c r="H85" s="17">
        <v>21</v>
      </c>
      <c r="I85" s="18">
        <f t="shared" si="16"/>
        <v>0</v>
      </c>
      <c r="J85" s="17"/>
      <c r="K85" s="18">
        <f t="shared" si="17"/>
        <v>0</v>
      </c>
      <c r="L85" s="16"/>
      <c r="M85" s="17"/>
      <c r="N85" s="18">
        <f t="shared" si="18"/>
        <v>0</v>
      </c>
      <c r="O85" s="19"/>
      <c r="P85" s="18"/>
      <c r="Q85" s="16"/>
      <c r="R85" s="17"/>
      <c r="S85" s="18"/>
      <c r="T85" s="19"/>
      <c r="U85" s="18"/>
      <c r="V85" s="16"/>
      <c r="W85" s="17"/>
      <c r="X85" s="18">
        <f t="shared" si="19"/>
        <v>0</v>
      </c>
      <c r="Y85" s="19"/>
      <c r="Z85" s="19"/>
      <c r="AA85" s="18">
        <f t="shared" si="21"/>
        <v>0</v>
      </c>
      <c r="AB85" s="20">
        <f t="shared" si="20"/>
        <v>0</v>
      </c>
      <c r="AC85" s="5"/>
      <c r="AD85" s="8"/>
      <c r="AF85" s="6"/>
      <c r="AG85" s="7"/>
      <c r="AJ85" s="33"/>
      <c r="AK85" s="35"/>
      <c r="AL85" s="38"/>
    </row>
    <row r="86" spans="1:38" ht="17.25" customHeight="1">
      <c r="A86" s="25"/>
      <c r="B86" s="26"/>
      <c r="C86" s="14"/>
      <c r="D86" s="31"/>
      <c r="E86" s="14"/>
      <c r="F86" s="15" t="str">
        <f t="shared" si="15"/>
        <v xml:space="preserve">S/F  </v>
      </c>
      <c r="G86" s="16"/>
      <c r="H86" s="17">
        <v>21</v>
      </c>
      <c r="I86" s="18">
        <f t="shared" si="16"/>
        <v>0</v>
      </c>
      <c r="J86" s="17"/>
      <c r="K86" s="18">
        <f t="shared" si="17"/>
        <v>0</v>
      </c>
      <c r="L86" s="16"/>
      <c r="M86" s="17"/>
      <c r="N86" s="18">
        <f t="shared" si="18"/>
        <v>0</v>
      </c>
      <c r="O86" s="19"/>
      <c r="P86" s="18"/>
      <c r="Q86" s="16"/>
      <c r="R86" s="17"/>
      <c r="S86" s="18"/>
      <c r="T86" s="19"/>
      <c r="U86" s="18"/>
      <c r="V86" s="16"/>
      <c r="W86" s="17"/>
      <c r="X86" s="18">
        <f t="shared" si="19"/>
        <v>0</v>
      </c>
      <c r="Y86" s="19"/>
      <c r="Z86" s="19"/>
      <c r="AA86" s="18">
        <f t="shared" si="21"/>
        <v>0</v>
      </c>
      <c r="AB86" s="20">
        <f t="shared" si="20"/>
        <v>0</v>
      </c>
      <c r="AC86" s="5"/>
      <c r="AD86" s="8"/>
      <c r="AF86" s="6"/>
      <c r="AG86" s="7"/>
      <c r="AJ86" s="33"/>
      <c r="AK86" s="35"/>
      <c r="AL86" s="38"/>
    </row>
    <row r="87" spans="1:38" ht="17.25" customHeight="1">
      <c r="A87" s="25"/>
      <c r="B87" s="26"/>
      <c r="C87" s="14"/>
      <c r="D87" s="31"/>
      <c r="E87" s="14"/>
      <c r="F87" s="15" t="str">
        <f t="shared" si="15"/>
        <v xml:space="preserve">S/F  </v>
      </c>
      <c r="G87" s="16"/>
      <c r="H87" s="17">
        <v>21</v>
      </c>
      <c r="I87" s="18">
        <f t="shared" si="16"/>
        <v>0</v>
      </c>
      <c r="J87" s="17"/>
      <c r="K87" s="18">
        <f t="shared" si="17"/>
        <v>0</v>
      </c>
      <c r="L87" s="16"/>
      <c r="M87" s="17"/>
      <c r="N87" s="18">
        <f t="shared" si="18"/>
        <v>0</v>
      </c>
      <c r="O87" s="19"/>
      <c r="P87" s="18"/>
      <c r="Q87" s="16"/>
      <c r="R87" s="17"/>
      <c r="S87" s="18"/>
      <c r="T87" s="19"/>
      <c r="U87" s="18"/>
      <c r="V87" s="16"/>
      <c r="W87" s="17"/>
      <c r="X87" s="18">
        <f t="shared" si="19"/>
        <v>0</v>
      </c>
      <c r="Y87" s="19"/>
      <c r="Z87" s="19"/>
      <c r="AA87" s="18">
        <f t="shared" si="21"/>
        <v>0</v>
      </c>
      <c r="AB87" s="20">
        <f t="shared" si="20"/>
        <v>0</v>
      </c>
      <c r="AC87" s="5"/>
      <c r="AD87" s="8"/>
      <c r="AF87" s="6"/>
      <c r="AG87" s="7"/>
      <c r="AJ87" s="33"/>
      <c r="AK87" s="35"/>
      <c r="AL87" s="38"/>
    </row>
    <row r="88" spans="1:38" ht="17.25" customHeight="1">
      <c r="A88" s="25"/>
      <c r="B88" s="26"/>
      <c r="C88" s="14"/>
      <c r="D88" s="31"/>
      <c r="E88" s="14"/>
      <c r="F88" s="15" t="str">
        <f t="shared" si="15"/>
        <v xml:space="preserve">S/F  </v>
      </c>
      <c r="G88" s="16"/>
      <c r="H88" s="17">
        <v>21</v>
      </c>
      <c r="I88" s="18">
        <f t="shared" si="16"/>
        <v>0</v>
      </c>
      <c r="J88" s="17"/>
      <c r="K88" s="18">
        <f t="shared" si="17"/>
        <v>0</v>
      </c>
      <c r="L88" s="16"/>
      <c r="M88" s="17"/>
      <c r="N88" s="18">
        <f t="shared" si="18"/>
        <v>0</v>
      </c>
      <c r="O88" s="19"/>
      <c r="P88" s="18"/>
      <c r="Q88" s="16"/>
      <c r="R88" s="17"/>
      <c r="S88" s="18"/>
      <c r="T88" s="19"/>
      <c r="U88" s="18"/>
      <c r="V88" s="16"/>
      <c r="W88" s="17"/>
      <c r="X88" s="18">
        <f t="shared" si="19"/>
        <v>0</v>
      </c>
      <c r="Y88" s="19"/>
      <c r="Z88" s="19"/>
      <c r="AA88" s="18">
        <f t="shared" si="21"/>
        <v>0</v>
      </c>
      <c r="AB88" s="20">
        <f t="shared" si="20"/>
        <v>0</v>
      </c>
      <c r="AC88" s="5"/>
      <c r="AD88" s="8"/>
      <c r="AF88" s="6"/>
      <c r="AG88" s="7"/>
      <c r="AJ88" s="33"/>
      <c r="AK88" s="35"/>
      <c r="AL88" s="38"/>
    </row>
    <row r="89" spans="1:38" ht="17.25" customHeight="1">
      <c r="A89" s="25"/>
      <c r="B89" s="26"/>
      <c r="C89" s="14"/>
      <c r="D89" s="31"/>
      <c r="E89" s="14"/>
      <c r="F89" s="15" t="str">
        <f t="shared" si="15"/>
        <v xml:space="preserve">S/F  </v>
      </c>
      <c r="G89" s="16"/>
      <c r="H89" s="17">
        <v>21</v>
      </c>
      <c r="I89" s="18">
        <f t="shared" si="16"/>
        <v>0</v>
      </c>
      <c r="J89" s="17"/>
      <c r="K89" s="18">
        <f t="shared" si="17"/>
        <v>0</v>
      </c>
      <c r="L89" s="16"/>
      <c r="M89" s="17"/>
      <c r="N89" s="18">
        <f t="shared" si="18"/>
        <v>0</v>
      </c>
      <c r="O89" s="19"/>
      <c r="P89" s="18"/>
      <c r="Q89" s="16"/>
      <c r="R89" s="17"/>
      <c r="S89" s="18"/>
      <c r="T89" s="19"/>
      <c r="U89" s="18"/>
      <c r="V89" s="16"/>
      <c r="W89" s="17"/>
      <c r="X89" s="18">
        <f t="shared" si="19"/>
        <v>0</v>
      </c>
      <c r="Y89" s="19"/>
      <c r="Z89" s="19"/>
      <c r="AA89" s="18">
        <f t="shared" si="21"/>
        <v>0</v>
      </c>
      <c r="AB89" s="20">
        <f t="shared" si="20"/>
        <v>0</v>
      </c>
      <c r="AC89" s="5"/>
      <c r="AD89" s="8"/>
      <c r="AF89" s="6"/>
      <c r="AG89" s="7"/>
      <c r="AJ89" s="33"/>
      <c r="AK89" s="35"/>
      <c r="AL89" s="38"/>
    </row>
    <row r="90" spans="1:38" ht="17.25" customHeight="1">
      <c r="A90" s="25"/>
      <c r="B90" s="26"/>
      <c r="C90" s="14"/>
      <c r="D90" s="31"/>
      <c r="E90" s="14"/>
      <c r="F90" s="15" t="str">
        <f t="shared" si="15"/>
        <v xml:space="preserve">S/F  </v>
      </c>
      <c r="G90" s="16"/>
      <c r="H90" s="17">
        <v>21</v>
      </c>
      <c r="I90" s="18">
        <f t="shared" si="16"/>
        <v>0</v>
      </c>
      <c r="J90" s="17"/>
      <c r="K90" s="18">
        <f t="shared" si="17"/>
        <v>0</v>
      </c>
      <c r="L90" s="16"/>
      <c r="M90" s="17"/>
      <c r="N90" s="18">
        <f t="shared" si="18"/>
        <v>0</v>
      </c>
      <c r="O90" s="19"/>
      <c r="P90" s="18"/>
      <c r="Q90" s="16"/>
      <c r="R90" s="17"/>
      <c r="S90" s="18"/>
      <c r="T90" s="19"/>
      <c r="U90" s="18"/>
      <c r="V90" s="16"/>
      <c r="W90" s="17"/>
      <c r="X90" s="18">
        <f t="shared" si="19"/>
        <v>0</v>
      </c>
      <c r="Y90" s="19"/>
      <c r="Z90" s="19"/>
      <c r="AA90" s="18">
        <f t="shared" si="21"/>
        <v>0</v>
      </c>
      <c r="AB90" s="20">
        <f t="shared" si="20"/>
        <v>0</v>
      </c>
      <c r="AC90" s="5"/>
      <c r="AD90" s="8"/>
      <c r="AF90" s="6"/>
      <c r="AG90" s="7"/>
      <c r="AJ90" s="33"/>
      <c r="AK90" s="35"/>
      <c r="AL90" s="38"/>
    </row>
    <row r="91" spans="1:38" ht="17.25" customHeight="1">
      <c r="A91" s="25"/>
      <c r="B91" s="26"/>
      <c r="C91" s="14"/>
      <c r="D91" s="31"/>
      <c r="E91" s="14"/>
      <c r="F91" s="15" t="str">
        <f t="shared" si="15"/>
        <v xml:space="preserve">S/F  </v>
      </c>
      <c r="G91" s="16"/>
      <c r="H91" s="17">
        <v>21</v>
      </c>
      <c r="I91" s="18">
        <f t="shared" si="16"/>
        <v>0</v>
      </c>
      <c r="J91" s="17"/>
      <c r="K91" s="18">
        <f t="shared" si="17"/>
        <v>0</v>
      </c>
      <c r="L91" s="16"/>
      <c r="M91" s="17"/>
      <c r="N91" s="18">
        <f t="shared" si="18"/>
        <v>0</v>
      </c>
      <c r="O91" s="19"/>
      <c r="P91" s="18"/>
      <c r="Q91" s="16"/>
      <c r="R91" s="17"/>
      <c r="S91" s="18"/>
      <c r="T91" s="19"/>
      <c r="U91" s="18"/>
      <c r="V91" s="16"/>
      <c r="W91" s="17"/>
      <c r="X91" s="18">
        <f t="shared" si="19"/>
        <v>0</v>
      </c>
      <c r="Y91" s="19"/>
      <c r="Z91" s="19"/>
      <c r="AA91" s="18">
        <f t="shared" si="21"/>
        <v>0</v>
      </c>
      <c r="AB91" s="20">
        <f t="shared" si="20"/>
        <v>0</v>
      </c>
      <c r="AC91" s="5"/>
      <c r="AD91" s="8"/>
      <c r="AF91" s="6"/>
      <c r="AG91" s="7"/>
      <c r="AJ91" s="33"/>
      <c r="AK91" s="35"/>
      <c r="AL91" s="38"/>
    </row>
    <row r="92" spans="1:38" ht="17.25" customHeight="1">
      <c r="A92" s="25"/>
      <c r="B92" s="26"/>
      <c r="C92" s="14"/>
      <c r="D92" s="31"/>
      <c r="E92" s="14"/>
      <c r="F92" s="15" t="str">
        <f t="shared" si="15"/>
        <v xml:space="preserve">S/F  </v>
      </c>
      <c r="G92" s="16"/>
      <c r="H92" s="17">
        <v>21</v>
      </c>
      <c r="I92" s="18">
        <f t="shared" si="16"/>
        <v>0</v>
      </c>
      <c r="J92" s="17"/>
      <c r="K92" s="18">
        <f t="shared" si="17"/>
        <v>0</v>
      </c>
      <c r="L92" s="16"/>
      <c r="M92" s="17"/>
      <c r="N92" s="18">
        <f t="shared" si="18"/>
        <v>0</v>
      </c>
      <c r="O92" s="19"/>
      <c r="P92" s="18"/>
      <c r="Q92" s="16"/>
      <c r="R92" s="17"/>
      <c r="S92" s="18"/>
      <c r="T92" s="19"/>
      <c r="U92" s="18"/>
      <c r="V92" s="16"/>
      <c r="W92" s="17"/>
      <c r="X92" s="18">
        <f t="shared" si="19"/>
        <v>0</v>
      </c>
      <c r="Y92" s="19"/>
      <c r="Z92" s="19"/>
      <c r="AA92" s="18">
        <f t="shared" si="21"/>
        <v>0</v>
      </c>
      <c r="AB92" s="20">
        <f t="shared" si="20"/>
        <v>0</v>
      </c>
      <c r="AC92" s="5"/>
      <c r="AD92" s="8"/>
      <c r="AF92" s="6"/>
      <c r="AG92" s="7"/>
      <c r="AJ92" s="33"/>
      <c r="AK92" s="35"/>
      <c r="AL92" s="38"/>
    </row>
    <row r="93" spans="1:38" ht="17.25" customHeight="1">
      <c r="A93" s="25"/>
      <c r="B93" s="26"/>
      <c r="C93" s="14"/>
      <c r="D93" s="31"/>
      <c r="E93" s="14"/>
      <c r="F93" s="15" t="str">
        <f t="shared" si="15"/>
        <v xml:space="preserve">S/F  </v>
      </c>
      <c r="G93" s="16"/>
      <c r="H93" s="17">
        <v>21</v>
      </c>
      <c r="I93" s="18">
        <f t="shared" si="16"/>
        <v>0</v>
      </c>
      <c r="J93" s="17"/>
      <c r="K93" s="18">
        <f t="shared" si="17"/>
        <v>0</v>
      </c>
      <c r="L93" s="16"/>
      <c r="M93" s="17"/>
      <c r="N93" s="18">
        <f t="shared" si="18"/>
        <v>0</v>
      </c>
      <c r="O93" s="19"/>
      <c r="P93" s="18"/>
      <c r="Q93" s="16"/>
      <c r="R93" s="17"/>
      <c r="S93" s="18"/>
      <c r="T93" s="19"/>
      <c r="U93" s="18"/>
      <c r="V93" s="16"/>
      <c r="W93" s="17"/>
      <c r="X93" s="18">
        <f t="shared" si="19"/>
        <v>0</v>
      </c>
      <c r="Y93" s="19"/>
      <c r="Z93" s="19"/>
      <c r="AA93" s="18">
        <f t="shared" si="21"/>
        <v>0</v>
      </c>
      <c r="AB93" s="20">
        <f t="shared" si="20"/>
        <v>0</v>
      </c>
      <c r="AC93" s="5"/>
      <c r="AD93" s="8"/>
      <c r="AF93" s="6"/>
      <c r="AG93" s="7"/>
      <c r="AJ93" s="33"/>
      <c r="AK93" s="35"/>
      <c r="AL93" s="38"/>
    </row>
    <row r="94" spans="1:38" ht="17.25" customHeight="1">
      <c r="A94" s="25"/>
      <c r="B94" s="26"/>
      <c r="C94" s="14"/>
      <c r="D94" s="31"/>
      <c r="E94" s="14"/>
      <c r="F94" s="15" t="str">
        <f t="shared" si="15"/>
        <v xml:space="preserve">S/F  </v>
      </c>
      <c r="G94" s="16"/>
      <c r="H94" s="17">
        <v>21</v>
      </c>
      <c r="I94" s="18">
        <f t="shared" si="16"/>
        <v>0</v>
      </c>
      <c r="J94" s="17"/>
      <c r="K94" s="18">
        <f t="shared" si="17"/>
        <v>0</v>
      </c>
      <c r="L94" s="16"/>
      <c r="M94" s="17"/>
      <c r="N94" s="18">
        <f t="shared" si="18"/>
        <v>0</v>
      </c>
      <c r="O94" s="19"/>
      <c r="P94" s="18"/>
      <c r="Q94" s="16"/>
      <c r="R94" s="17"/>
      <c r="S94" s="18"/>
      <c r="T94" s="19"/>
      <c r="U94" s="18"/>
      <c r="V94" s="16"/>
      <c r="W94" s="17"/>
      <c r="X94" s="18">
        <f t="shared" si="19"/>
        <v>0</v>
      </c>
      <c r="Y94" s="19"/>
      <c r="Z94" s="19"/>
      <c r="AA94" s="18"/>
      <c r="AB94" s="20">
        <f t="shared" si="20"/>
        <v>0</v>
      </c>
      <c r="AC94" s="5"/>
      <c r="AD94" s="8"/>
      <c r="AF94" s="6"/>
      <c r="AG94" s="7"/>
      <c r="AJ94" s="33"/>
      <c r="AK94" s="35"/>
      <c r="AL94" s="38"/>
    </row>
    <row r="95" spans="1:38" ht="17.25" customHeight="1">
      <c r="A95" s="25"/>
      <c r="B95" s="26"/>
      <c r="C95" s="14"/>
      <c r="D95" s="31"/>
      <c r="E95" s="14"/>
      <c r="F95" s="15" t="str">
        <f t="shared" si="15"/>
        <v xml:space="preserve">S/F  </v>
      </c>
      <c r="G95" s="16"/>
      <c r="H95" s="17">
        <v>21</v>
      </c>
      <c r="I95" s="18">
        <f t="shared" si="16"/>
        <v>0</v>
      </c>
      <c r="J95" s="17"/>
      <c r="K95" s="18">
        <f t="shared" si="17"/>
        <v>0</v>
      </c>
      <c r="L95" s="16"/>
      <c r="M95" s="17"/>
      <c r="N95" s="18">
        <f t="shared" si="18"/>
        <v>0</v>
      </c>
      <c r="O95" s="19"/>
      <c r="P95" s="18"/>
      <c r="Q95" s="16"/>
      <c r="R95" s="17"/>
      <c r="S95" s="18"/>
      <c r="T95" s="19"/>
      <c r="U95" s="18"/>
      <c r="V95" s="16"/>
      <c r="W95" s="17"/>
      <c r="X95" s="18">
        <f t="shared" si="19"/>
        <v>0</v>
      </c>
      <c r="Y95" s="19"/>
      <c r="Z95" s="19"/>
      <c r="AA95" s="18">
        <f t="shared" ref="AA95:AA104" si="22">+IF(Z95&lt;&gt;0,Y95*Z95/100,0)</f>
        <v>0</v>
      </c>
      <c r="AB95" s="20">
        <f t="shared" si="20"/>
        <v>0</v>
      </c>
      <c r="AC95" s="5"/>
      <c r="AD95" s="8"/>
      <c r="AF95" s="6"/>
      <c r="AG95" s="7"/>
      <c r="AJ95" s="33"/>
      <c r="AK95" s="35"/>
      <c r="AL95" s="38"/>
    </row>
    <row r="96" spans="1:38" ht="17.25" customHeight="1">
      <c r="A96" s="25"/>
      <c r="B96" s="26"/>
      <c r="C96" s="14"/>
      <c r="D96" s="31"/>
      <c r="E96" s="14"/>
      <c r="F96" s="15" t="str">
        <f t="shared" si="15"/>
        <v xml:space="preserve">S/F  </v>
      </c>
      <c r="G96" s="16"/>
      <c r="H96" s="17">
        <v>21</v>
      </c>
      <c r="I96" s="18">
        <f t="shared" si="16"/>
        <v>0</v>
      </c>
      <c r="J96" s="17"/>
      <c r="K96" s="18">
        <f t="shared" si="17"/>
        <v>0</v>
      </c>
      <c r="L96" s="16"/>
      <c r="M96" s="17"/>
      <c r="N96" s="18">
        <f t="shared" si="18"/>
        <v>0</v>
      </c>
      <c r="O96" s="19"/>
      <c r="P96" s="18"/>
      <c r="Q96" s="16"/>
      <c r="R96" s="17"/>
      <c r="S96" s="18"/>
      <c r="T96" s="19"/>
      <c r="U96" s="18"/>
      <c r="V96" s="16"/>
      <c r="W96" s="17"/>
      <c r="X96" s="18">
        <f t="shared" si="19"/>
        <v>0</v>
      </c>
      <c r="Y96" s="19"/>
      <c r="Z96" s="19"/>
      <c r="AA96" s="18">
        <f t="shared" si="22"/>
        <v>0</v>
      </c>
      <c r="AB96" s="20">
        <f t="shared" si="20"/>
        <v>0</v>
      </c>
      <c r="AC96" s="5"/>
      <c r="AD96" s="8"/>
      <c r="AF96" s="6"/>
      <c r="AG96" s="7"/>
      <c r="AJ96" s="33"/>
      <c r="AK96" s="35"/>
      <c r="AL96" s="38"/>
    </row>
    <row r="97" spans="1:38" ht="17.25" customHeight="1">
      <c r="A97" s="25"/>
      <c r="B97" s="26"/>
      <c r="C97" s="14"/>
      <c r="D97" s="31"/>
      <c r="E97" s="14"/>
      <c r="F97" s="15" t="str">
        <f t="shared" ref="F97:F127" si="23">"S/F "&amp;B97&amp;" "&amp;E97</f>
        <v xml:space="preserve">S/F  </v>
      </c>
      <c r="G97" s="16"/>
      <c r="H97" s="17">
        <v>21</v>
      </c>
      <c r="I97" s="18">
        <f t="shared" ref="I97:I127" si="24">+IF(G97&lt;&gt;0,G97*H97/100,0)</f>
        <v>0</v>
      </c>
      <c r="J97" s="17"/>
      <c r="K97" s="18">
        <f t="shared" ref="K97:K127" si="25">+IF(G97&lt;&gt;0,G97*J97/100,0)</f>
        <v>0</v>
      </c>
      <c r="L97" s="16"/>
      <c r="M97" s="17"/>
      <c r="N97" s="18">
        <f t="shared" ref="N97:N127" si="26">+IF(L97&lt;&gt;0,L97*M97/100,0)</f>
        <v>0</v>
      </c>
      <c r="O97" s="19"/>
      <c r="P97" s="18"/>
      <c r="Q97" s="16"/>
      <c r="R97" s="17"/>
      <c r="S97" s="18"/>
      <c r="T97" s="19"/>
      <c r="U97" s="18"/>
      <c r="V97" s="16"/>
      <c r="W97" s="17"/>
      <c r="X97" s="18">
        <f t="shared" ref="X97:X127" si="27">+IF(W97&lt;&gt;0,V97*W97/100,0)</f>
        <v>0</v>
      </c>
      <c r="Y97" s="19"/>
      <c r="Z97" s="19"/>
      <c r="AA97" s="18">
        <f t="shared" si="22"/>
        <v>0</v>
      </c>
      <c r="AB97" s="20">
        <f t="shared" ref="AB97:AB127" si="28">+G97+I97+K97+L97+N97+P97+Q97+S97+U97-X97-AA97</f>
        <v>0</v>
      </c>
      <c r="AC97" s="5"/>
      <c r="AD97" s="8"/>
      <c r="AF97" s="6"/>
      <c r="AG97" s="7"/>
      <c r="AJ97" s="33"/>
      <c r="AK97" s="35"/>
      <c r="AL97" s="38"/>
    </row>
    <row r="98" spans="1:38" ht="17.25" customHeight="1">
      <c r="A98" s="25"/>
      <c r="B98" s="26"/>
      <c r="C98" s="14"/>
      <c r="D98" s="31"/>
      <c r="E98" s="14"/>
      <c r="F98" s="15" t="str">
        <f t="shared" si="23"/>
        <v xml:space="preserve">S/F  </v>
      </c>
      <c r="G98" s="16"/>
      <c r="H98" s="17">
        <v>21</v>
      </c>
      <c r="I98" s="18">
        <f t="shared" si="24"/>
        <v>0</v>
      </c>
      <c r="J98" s="17"/>
      <c r="K98" s="18">
        <f t="shared" si="25"/>
        <v>0</v>
      </c>
      <c r="L98" s="16"/>
      <c r="M98" s="17"/>
      <c r="N98" s="18">
        <f t="shared" si="26"/>
        <v>0</v>
      </c>
      <c r="O98" s="19"/>
      <c r="P98" s="18"/>
      <c r="Q98" s="16"/>
      <c r="R98" s="17"/>
      <c r="S98" s="18"/>
      <c r="T98" s="19"/>
      <c r="U98" s="18"/>
      <c r="V98" s="16"/>
      <c r="W98" s="17"/>
      <c r="X98" s="18">
        <f t="shared" si="27"/>
        <v>0</v>
      </c>
      <c r="Y98" s="19"/>
      <c r="Z98" s="19"/>
      <c r="AA98" s="18">
        <f t="shared" si="22"/>
        <v>0</v>
      </c>
      <c r="AB98" s="20">
        <f t="shared" si="28"/>
        <v>0</v>
      </c>
      <c r="AC98" s="5"/>
      <c r="AD98" s="8"/>
      <c r="AF98" s="6"/>
      <c r="AG98" s="7"/>
      <c r="AJ98" s="33"/>
      <c r="AK98" s="35"/>
      <c r="AL98" s="38"/>
    </row>
    <row r="99" spans="1:38" ht="17.25" customHeight="1">
      <c r="A99" s="25"/>
      <c r="B99" s="26"/>
      <c r="C99" s="14"/>
      <c r="D99" s="31"/>
      <c r="E99" s="14"/>
      <c r="F99" s="15" t="str">
        <f t="shared" si="23"/>
        <v xml:space="preserve">S/F  </v>
      </c>
      <c r="G99" s="16"/>
      <c r="H99" s="17">
        <v>21</v>
      </c>
      <c r="I99" s="18">
        <f t="shared" si="24"/>
        <v>0</v>
      </c>
      <c r="J99" s="17"/>
      <c r="K99" s="18">
        <f t="shared" si="25"/>
        <v>0</v>
      </c>
      <c r="L99" s="16"/>
      <c r="M99" s="17"/>
      <c r="N99" s="18">
        <f t="shared" si="26"/>
        <v>0</v>
      </c>
      <c r="O99" s="19"/>
      <c r="P99" s="18"/>
      <c r="Q99" s="16"/>
      <c r="R99" s="17"/>
      <c r="S99" s="18"/>
      <c r="T99" s="19"/>
      <c r="U99" s="18"/>
      <c r="V99" s="16"/>
      <c r="W99" s="17"/>
      <c r="X99" s="18">
        <f t="shared" si="27"/>
        <v>0</v>
      </c>
      <c r="Y99" s="19"/>
      <c r="Z99" s="19"/>
      <c r="AA99" s="18">
        <f t="shared" si="22"/>
        <v>0</v>
      </c>
      <c r="AB99" s="20">
        <f t="shared" si="28"/>
        <v>0</v>
      </c>
      <c r="AC99" s="5"/>
      <c r="AD99" s="8"/>
      <c r="AF99" s="6"/>
      <c r="AG99" s="7"/>
      <c r="AJ99" s="33"/>
      <c r="AK99" s="35"/>
      <c r="AL99" s="38"/>
    </row>
    <row r="100" spans="1:38" ht="17.25" customHeight="1">
      <c r="A100" s="25"/>
      <c r="B100" s="26"/>
      <c r="C100" s="14"/>
      <c r="D100" s="31"/>
      <c r="E100" s="14"/>
      <c r="F100" s="15" t="str">
        <f t="shared" si="23"/>
        <v xml:space="preserve">S/F  </v>
      </c>
      <c r="G100" s="16"/>
      <c r="H100" s="17">
        <v>21</v>
      </c>
      <c r="I100" s="18">
        <f t="shared" si="24"/>
        <v>0</v>
      </c>
      <c r="J100" s="17"/>
      <c r="K100" s="18">
        <f t="shared" si="25"/>
        <v>0</v>
      </c>
      <c r="L100" s="16"/>
      <c r="M100" s="17"/>
      <c r="N100" s="18">
        <f t="shared" si="26"/>
        <v>0</v>
      </c>
      <c r="O100" s="19"/>
      <c r="P100" s="18"/>
      <c r="Q100" s="16"/>
      <c r="R100" s="17"/>
      <c r="S100" s="18"/>
      <c r="T100" s="19"/>
      <c r="U100" s="18"/>
      <c r="V100" s="16"/>
      <c r="W100" s="17"/>
      <c r="X100" s="18">
        <f t="shared" si="27"/>
        <v>0</v>
      </c>
      <c r="Y100" s="19"/>
      <c r="Z100" s="19"/>
      <c r="AA100" s="18">
        <f t="shared" si="22"/>
        <v>0</v>
      </c>
      <c r="AB100" s="20">
        <f t="shared" si="28"/>
        <v>0</v>
      </c>
      <c r="AC100" s="5"/>
      <c r="AD100" s="8"/>
      <c r="AF100" s="6"/>
      <c r="AG100" s="7"/>
      <c r="AJ100" s="33"/>
      <c r="AK100" s="35"/>
      <c r="AL100" s="38"/>
    </row>
    <row r="101" spans="1:38" ht="17.25" customHeight="1">
      <c r="A101" s="25"/>
      <c r="B101" s="26"/>
      <c r="C101" s="14"/>
      <c r="D101" s="31"/>
      <c r="E101" s="14"/>
      <c r="F101" s="15" t="str">
        <f t="shared" si="23"/>
        <v xml:space="preserve">S/F  </v>
      </c>
      <c r="G101" s="16"/>
      <c r="H101" s="17">
        <v>21</v>
      </c>
      <c r="I101" s="18">
        <f t="shared" si="24"/>
        <v>0</v>
      </c>
      <c r="J101" s="17"/>
      <c r="K101" s="18">
        <f t="shared" si="25"/>
        <v>0</v>
      </c>
      <c r="L101" s="16"/>
      <c r="M101" s="17"/>
      <c r="N101" s="18">
        <f t="shared" si="26"/>
        <v>0</v>
      </c>
      <c r="O101" s="19"/>
      <c r="P101" s="18"/>
      <c r="Q101" s="16"/>
      <c r="R101" s="17"/>
      <c r="S101" s="18"/>
      <c r="T101" s="19"/>
      <c r="U101" s="18"/>
      <c r="V101" s="16"/>
      <c r="W101" s="17"/>
      <c r="X101" s="18">
        <f t="shared" si="27"/>
        <v>0</v>
      </c>
      <c r="Y101" s="19"/>
      <c r="Z101" s="19"/>
      <c r="AA101" s="18">
        <f t="shared" si="22"/>
        <v>0</v>
      </c>
      <c r="AB101" s="20">
        <f t="shared" si="28"/>
        <v>0</v>
      </c>
      <c r="AC101" s="5"/>
      <c r="AD101" s="8"/>
      <c r="AF101" s="6"/>
      <c r="AG101" s="7"/>
      <c r="AJ101" s="33"/>
      <c r="AK101" s="35"/>
      <c r="AL101" s="38"/>
    </row>
    <row r="102" spans="1:38" ht="17.25" customHeight="1">
      <c r="A102" s="25"/>
      <c r="B102" s="26"/>
      <c r="C102" s="14"/>
      <c r="D102" s="31"/>
      <c r="E102" s="14"/>
      <c r="F102" s="15" t="str">
        <f t="shared" si="23"/>
        <v xml:space="preserve">S/F  </v>
      </c>
      <c r="G102" s="16"/>
      <c r="H102" s="17">
        <v>21</v>
      </c>
      <c r="I102" s="18">
        <f t="shared" si="24"/>
        <v>0</v>
      </c>
      <c r="J102" s="17"/>
      <c r="K102" s="18">
        <f t="shared" si="25"/>
        <v>0</v>
      </c>
      <c r="L102" s="16"/>
      <c r="M102" s="17"/>
      <c r="N102" s="18">
        <f t="shared" si="26"/>
        <v>0</v>
      </c>
      <c r="O102" s="19"/>
      <c r="P102" s="18"/>
      <c r="Q102" s="16"/>
      <c r="R102" s="17"/>
      <c r="S102" s="18"/>
      <c r="T102" s="19"/>
      <c r="U102" s="18"/>
      <c r="V102" s="16"/>
      <c r="W102" s="17"/>
      <c r="X102" s="18">
        <f t="shared" si="27"/>
        <v>0</v>
      </c>
      <c r="Y102" s="19"/>
      <c r="Z102" s="19"/>
      <c r="AA102" s="18">
        <f t="shared" si="22"/>
        <v>0</v>
      </c>
      <c r="AB102" s="20">
        <f t="shared" si="28"/>
        <v>0</v>
      </c>
      <c r="AC102" s="5"/>
      <c r="AD102" s="8"/>
      <c r="AF102" s="6"/>
      <c r="AG102" s="7"/>
      <c r="AJ102" s="33"/>
      <c r="AK102" s="35"/>
      <c r="AL102" s="38"/>
    </row>
    <row r="103" spans="1:38" ht="17.25" customHeight="1">
      <c r="A103" s="25"/>
      <c r="B103" s="26"/>
      <c r="C103" s="14"/>
      <c r="D103" s="31"/>
      <c r="E103" s="14"/>
      <c r="F103" s="15" t="str">
        <f t="shared" si="23"/>
        <v xml:space="preserve">S/F  </v>
      </c>
      <c r="G103" s="16"/>
      <c r="H103" s="17">
        <v>21</v>
      </c>
      <c r="I103" s="18">
        <f t="shared" si="24"/>
        <v>0</v>
      </c>
      <c r="J103" s="17"/>
      <c r="K103" s="18">
        <f t="shared" si="25"/>
        <v>0</v>
      </c>
      <c r="L103" s="16"/>
      <c r="M103" s="17"/>
      <c r="N103" s="18">
        <f t="shared" si="26"/>
        <v>0</v>
      </c>
      <c r="O103" s="19"/>
      <c r="P103" s="18"/>
      <c r="Q103" s="16"/>
      <c r="R103" s="17"/>
      <c r="S103" s="18"/>
      <c r="T103" s="19"/>
      <c r="U103" s="18"/>
      <c r="V103" s="16"/>
      <c r="W103" s="17"/>
      <c r="X103" s="18">
        <f t="shared" si="27"/>
        <v>0</v>
      </c>
      <c r="Y103" s="19"/>
      <c r="Z103" s="19"/>
      <c r="AA103" s="18">
        <f t="shared" si="22"/>
        <v>0</v>
      </c>
      <c r="AB103" s="20">
        <f t="shared" si="28"/>
        <v>0</v>
      </c>
      <c r="AC103" s="5"/>
      <c r="AD103" s="8"/>
      <c r="AF103" s="6"/>
      <c r="AG103" s="7"/>
      <c r="AJ103" s="33"/>
      <c r="AK103" s="35"/>
      <c r="AL103" s="38"/>
    </row>
    <row r="104" spans="1:38" ht="17.25" customHeight="1">
      <c r="A104" s="25"/>
      <c r="B104" s="26"/>
      <c r="C104" s="14"/>
      <c r="D104" s="31"/>
      <c r="E104" s="14"/>
      <c r="F104" s="15" t="str">
        <f t="shared" si="23"/>
        <v xml:space="preserve">S/F  </v>
      </c>
      <c r="G104" s="16"/>
      <c r="H104" s="17">
        <v>21</v>
      </c>
      <c r="I104" s="18">
        <f t="shared" si="24"/>
        <v>0</v>
      </c>
      <c r="J104" s="17"/>
      <c r="K104" s="18">
        <f t="shared" si="25"/>
        <v>0</v>
      </c>
      <c r="L104" s="16"/>
      <c r="M104" s="17"/>
      <c r="N104" s="18">
        <f t="shared" si="26"/>
        <v>0</v>
      </c>
      <c r="O104" s="19"/>
      <c r="P104" s="18"/>
      <c r="Q104" s="16"/>
      <c r="R104" s="17"/>
      <c r="S104" s="18"/>
      <c r="T104" s="19"/>
      <c r="U104" s="18"/>
      <c r="V104" s="16"/>
      <c r="W104" s="17"/>
      <c r="X104" s="18">
        <f t="shared" si="27"/>
        <v>0</v>
      </c>
      <c r="Y104" s="19"/>
      <c r="Z104" s="19"/>
      <c r="AA104" s="18">
        <f t="shared" si="22"/>
        <v>0</v>
      </c>
      <c r="AB104" s="20">
        <f t="shared" si="28"/>
        <v>0</v>
      </c>
      <c r="AC104" s="5"/>
      <c r="AD104" s="8"/>
      <c r="AF104" s="6"/>
      <c r="AG104" s="7"/>
      <c r="AJ104" s="33"/>
      <c r="AK104" s="35"/>
      <c r="AL104" s="38"/>
    </row>
    <row r="105" spans="1:38" ht="17.25" customHeight="1">
      <c r="A105" s="25"/>
      <c r="B105" s="26"/>
      <c r="C105" s="14"/>
      <c r="D105" s="31"/>
      <c r="E105" s="14"/>
      <c r="F105" s="15" t="str">
        <f t="shared" si="23"/>
        <v xml:space="preserve">S/F  </v>
      </c>
      <c r="G105" s="16"/>
      <c r="H105" s="17">
        <v>21</v>
      </c>
      <c r="I105" s="18">
        <f t="shared" si="24"/>
        <v>0</v>
      </c>
      <c r="J105" s="17"/>
      <c r="K105" s="18">
        <f t="shared" si="25"/>
        <v>0</v>
      </c>
      <c r="L105" s="16"/>
      <c r="M105" s="17"/>
      <c r="N105" s="18">
        <f t="shared" si="26"/>
        <v>0</v>
      </c>
      <c r="O105" s="19"/>
      <c r="P105" s="18"/>
      <c r="Q105" s="16"/>
      <c r="R105" s="17"/>
      <c r="S105" s="18"/>
      <c r="T105" s="19"/>
      <c r="U105" s="18"/>
      <c r="V105" s="16"/>
      <c r="W105" s="17"/>
      <c r="X105" s="18">
        <f t="shared" si="27"/>
        <v>0</v>
      </c>
      <c r="Y105" s="19"/>
      <c r="Z105" s="19"/>
      <c r="AA105" s="18"/>
      <c r="AB105" s="20">
        <f t="shared" si="28"/>
        <v>0</v>
      </c>
      <c r="AC105" s="5"/>
      <c r="AD105" s="8"/>
      <c r="AF105" s="6"/>
      <c r="AG105" s="7"/>
      <c r="AJ105" s="33"/>
      <c r="AK105" s="35"/>
      <c r="AL105" s="38"/>
    </row>
    <row r="106" spans="1:38" ht="17.25" customHeight="1">
      <c r="F106" s="4" t="str">
        <f t="shared" si="23"/>
        <v xml:space="preserve">S/F  </v>
      </c>
      <c r="H106">
        <v>21</v>
      </c>
      <c r="I106">
        <f t="shared" si="24"/>
        <v>0</v>
      </c>
      <c r="K106">
        <f t="shared" si="25"/>
        <v>0</v>
      </c>
      <c r="N106">
        <f t="shared" si="26"/>
        <v>0</v>
      </c>
      <c r="X106">
        <f t="shared" si="27"/>
        <v>0</v>
      </c>
      <c r="AA106">
        <f>+IF(Z106&lt;&gt;0,Y106*Z106/100,0)</f>
        <v>0</v>
      </c>
      <c r="AB106">
        <f t="shared" si="28"/>
        <v>0</v>
      </c>
    </row>
    <row r="107" spans="1:38" ht="17.25" customHeight="1">
      <c r="F107" s="4" t="str">
        <f t="shared" si="23"/>
        <v xml:space="preserve">S/F  </v>
      </c>
      <c r="H107">
        <v>21</v>
      </c>
      <c r="I107">
        <f t="shared" si="24"/>
        <v>0</v>
      </c>
      <c r="K107">
        <f t="shared" si="25"/>
        <v>0</v>
      </c>
      <c r="N107">
        <f t="shared" si="26"/>
        <v>0</v>
      </c>
      <c r="X107">
        <f t="shared" si="27"/>
        <v>0</v>
      </c>
      <c r="AA107">
        <f>+IF(Z107&lt;&gt;0,Y107*Z107/100,0)</f>
        <v>0</v>
      </c>
      <c r="AB107">
        <f t="shared" si="28"/>
        <v>0</v>
      </c>
    </row>
    <row r="108" spans="1:38" ht="17.25" customHeight="1">
      <c r="F108" s="4" t="str">
        <f t="shared" si="23"/>
        <v xml:space="preserve">S/F  </v>
      </c>
      <c r="H108">
        <v>21</v>
      </c>
      <c r="I108">
        <f t="shared" si="24"/>
        <v>0</v>
      </c>
      <c r="K108">
        <f t="shared" si="25"/>
        <v>0</v>
      </c>
      <c r="N108">
        <f t="shared" si="26"/>
        <v>0</v>
      </c>
      <c r="X108">
        <f t="shared" si="27"/>
        <v>0</v>
      </c>
      <c r="AA108">
        <f>+IF(Z108&lt;&gt;0,Y108*Z108/100,0)</f>
        <v>0</v>
      </c>
      <c r="AB108">
        <f t="shared" si="28"/>
        <v>0</v>
      </c>
    </row>
    <row r="109" spans="1:38" ht="17.25" customHeight="1">
      <c r="F109" s="4" t="str">
        <f t="shared" si="23"/>
        <v xml:space="preserve">S/F  </v>
      </c>
      <c r="H109">
        <v>21</v>
      </c>
      <c r="I109">
        <f t="shared" si="24"/>
        <v>0</v>
      </c>
      <c r="K109">
        <f t="shared" si="25"/>
        <v>0</v>
      </c>
      <c r="N109">
        <f t="shared" si="26"/>
        <v>0</v>
      </c>
      <c r="X109">
        <f t="shared" si="27"/>
        <v>0</v>
      </c>
      <c r="AA109">
        <f>+IF(Z109&lt;&gt;0,Y109*Z109/100,0)</f>
        <v>0</v>
      </c>
      <c r="AB109">
        <f t="shared" si="28"/>
        <v>0</v>
      </c>
    </row>
    <row r="110" spans="1:38" ht="17.25" customHeight="1">
      <c r="F110" s="4" t="str">
        <f t="shared" si="23"/>
        <v xml:space="preserve">S/F  </v>
      </c>
      <c r="H110">
        <v>21</v>
      </c>
      <c r="I110">
        <f t="shared" si="24"/>
        <v>0</v>
      </c>
      <c r="K110">
        <f t="shared" si="25"/>
        <v>0</v>
      </c>
      <c r="N110">
        <f t="shared" si="26"/>
        <v>0</v>
      </c>
      <c r="X110">
        <f t="shared" si="27"/>
        <v>0</v>
      </c>
      <c r="AB110">
        <f t="shared" si="28"/>
        <v>0</v>
      </c>
    </row>
    <row r="111" spans="1:38" ht="17.25" customHeight="1">
      <c r="F111" s="4" t="str">
        <f t="shared" si="23"/>
        <v xml:space="preserve">S/F  </v>
      </c>
      <c r="H111">
        <v>21</v>
      </c>
      <c r="I111">
        <f t="shared" si="24"/>
        <v>0</v>
      </c>
      <c r="K111">
        <f t="shared" si="25"/>
        <v>0</v>
      </c>
      <c r="N111">
        <f t="shared" si="26"/>
        <v>0</v>
      </c>
      <c r="X111">
        <f t="shared" si="27"/>
        <v>0</v>
      </c>
      <c r="AA111">
        <f>+IF(Z111&lt;&gt;0,Y111*Z111/100,0)</f>
        <v>0</v>
      </c>
      <c r="AB111">
        <f t="shared" si="28"/>
        <v>0</v>
      </c>
    </row>
    <row r="112" spans="1:38" ht="17.25" customHeight="1">
      <c r="F112" s="4" t="str">
        <f t="shared" si="23"/>
        <v xml:space="preserve">S/F  </v>
      </c>
      <c r="H112">
        <v>21</v>
      </c>
      <c r="I112">
        <f t="shared" si="24"/>
        <v>0</v>
      </c>
      <c r="K112">
        <f t="shared" si="25"/>
        <v>0</v>
      </c>
      <c r="N112">
        <f t="shared" si="26"/>
        <v>0</v>
      </c>
      <c r="X112">
        <f t="shared" si="27"/>
        <v>0</v>
      </c>
      <c r="AA112">
        <f>+IF(Z112&lt;&gt;0,Y112*Z112/100,0)</f>
        <v>0</v>
      </c>
      <c r="AB112">
        <f t="shared" si="28"/>
        <v>0</v>
      </c>
    </row>
    <row r="113" spans="6:28" ht="17.25" customHeight="1">
      <c r="F113" s="4" t="str">
        <f t="shared" si="23"/>
        <v xml:space="preserve">S/F  </v>
      </c>
      <c r="H113">
        <v>21</v>
      </c>
      <c r="I113">
        <f t="shared" si="24"/>
        <v>0</v>
      </c>
      <c r="K113">
        <f t="shared" si="25"/>
        <v>0</v>
      </c>
      <c r="N113">
        <f t="shared" si="26"/>
        <v>0</v>
      </c>
      <c r="X113">
        <f t="shared" si="27"/>
        <v>0</v>
      </c>
      <c r="AB113">
        <f t="shared" si="28"/>
        <v>0</v>
      </c>
    </row>
    <row r="114" spans="6:28" ht="17.25" customHeight="1">
      <c r="F114" s="4" t="str">
        <f t="shared" si="23"/>
        <v xml:space="preserve">S/F  </v>
      </c>
      <c r="H114">
        <v>21</v>
      </c>
      <c r="I114">
        <f t="shared" si="24"/>
        <v>0</v>
      </c>
      <c r="K114">
        <f t="shared" si="25"/>
        <v>0</v>
      </c>
      <c r="N114">
        <f t="shared" si="26"/>
        <v>0</v>
      </c>
      <c r="X114">
        <f t="shared" si="27"/>
        <v>0</v>
      </c>
      <c r="AA114">
        <f>+IF(Z114&lt;&gt;0,Y114*Z114/100,0)</f>
        <v>0</v>
      </c>
      <c r="AB114">
        <f t="shared" si="28"/>
        <v>0</v>
      </c>
    </row>
    <row r="115" spans="6:28" ht="17.25" customHeight="1">
      <c r="F115" s="4" t="str">
        <f t="shared" si="23"/>
        <v xml:space="preserve">S/F  </v>
      </c>
      <c r="H115">
        <v>21</v>
      </c>
      <c r="I115">
        <f t="shared" si="24"/>
        <v>0</v>
      </c>
      <c r="K115">
        <f t="shared" si="25"/>
        <v>0</v>
      </c>
      <c r="N115">
        <f t="shared" si="26"/>
        <v>0</v>
      </c>
      <c r="X115">
        <f t="shared" si="27"/>
        <v>0</v>
      </c>
      <c r="AA115">
        <f>+IF(Z115&lt;&gt;0,Y115*Z115/100,0)</f>
        <v>0</v>
      </c>
      <c r="AB115">
        <f t="shared" si="28"/>
        <v>0</v>
      </c>
    </row>
    <row r="116" spans="6:28" ht="17.25" customHeight="1">
      <c r="F116" s="4" t="str">
        <f t="shared" si="23"/>
        <v xml:space="preserve">S/F  </v>
      </c>
      <c r="H116">
        <v>21</v>
      </c>
      <c r="I116">
        <f t="shared" si="24"/>
        <v>0</v>
      </c>
      <c r="K116">
        <f t="shared" si="25"/>
        <v>0</v>
      </c>
      <c r="N116">
        <f t="shared" si="26"/>
        <v>0</v>
      </c>
      <c r="X116">
        <f t="shared" si="27"/>
        <v>0</v>
      </c>
      <c r="AA116">
        <f>+IF(Z116&lt;&gt;0,Y116*Z116/100,0)</f>
        <v>0</v>
      </c>
      <c r="AB116">
        <f t="shared" si="28"/>
        <v>0</v>
      </c>
    </row>
    <row r="117" spans="6:28" ht="17.25" customHeight="1">
      <c r="F117" s="4" t="str">
        <f t="shared" si="23"/>
        <v xml:space="preserve">S/F  </v>
      </c>
      <c r="H117">
        <v>21</v>
      </c>
      <c r="I117">
        <f t="shared" si="24"/>
        <v>0</v>
      </c>
      <c r="K117">
        <f t="shared" si="25"/>
        <v>0</v>
      </c>
      <c r="N117">
        <f t="shared" si="26"/>
        <v>0</v>
      </c>
      <c r="X117">
        <f t="shared" si="27"/>
        <v>0</v>
      </c>
      <c r="AA117">
        <f>+IF(Z117&lt;&gt;0,Y117*Z117/100,0)</f>
        <v>0</v>
      </c>
      <c r="AB117">
        <f t="shared" si="28"/>
        <v>0</v>
      </c>
    </row>
    <row r="118" spans="6:28" ht="17.25" customHeight="1">
      <c r="F118" s="4" t="str">
        <f t="shared" si="23"/>
        <v xml:space="preserve">S/F  </v>
      </c>
      <c r="H118">
        <v>21</v>
      </c>
      <c r="I118">
        <f t="shared" si="24"/>
        <v>0</v>
      </c>
      <c r="K118">
        <f t="shared" si="25"/>
        <v>0</v>
      </c>
      <c r="N118">
        <f t="shared" si="26"/>
        <v>0</v>
      </c>
      <c r="X118">
        <f t="shared" si="27"/>
        <v>0</v>
      </c>
      <c r="AA118">
        <f>+IF(Z118&lt;&gt;0,Y118*Z118/100,0)</f>
        <v>0</v>
      </c>
      <c r="AB118">
        <f t="shared" si="28"/>
        <v>0</v>
      </c>
    </row>
    <row r="119" spans="6:28" ht="17.25" customHeight="1">
      <c r="F119" s="4" t="str">
        <f t="shared" si="23"/>
        <v xml:space="preserve">S/F  </v>
      </c>
      <c r="H119">
        <v>21</v>
      </c>
      <c r="I119">
        <f t="shared" si="24"/>
        <v>0</v>
      </c>
      <c r="K119">
        <f t="shared" si="25"/>
        <v>0</v>
      </c>
      <c r="N119">
        <f t="shared" si="26"/>
        <v>0</v>
      </c>
      <c r="X119">
        <f t="shared" si="27"/>
        <v>0</v>
      </c>
      <c r="AB119">
        <f t="shared" si="28"/>
        <v>0</v>
      </c>
    </row>
    <row r="120" spans="6:28" ht="17.25" customHeight="1">
      <c r="F120" s="4" t="str">
        <f t="shared" si="23"/>
        <v xml:space="preserve">S/F  </v>
      </c>
      <c r="H120">
        <v>21</v>
      </c>
      <c r="I120">
        <f t="shared" si="24"/>
        <v>0</v>
      </c>
      <c r="K120">
        <f t="shared" si="25"/>
        <v>0</v>
      </c>
      <c r="N120">
        <f t="shared" si="26"/>
        <v>0</v>
      </c>
      <c r="X120">
        <f t="shared" si="27"/>
        <v>0</v>
      </c>
      <c r="AA120">
        <f>+IF(Z120&lt;&gt;0,Y120*Z120/100,0)</f>
        <v>0</v>
      </c>
      <c r="AB120">
        <f t="shared" si="28"/>
        <v>0</v>
      </c>
    </row>
    <row r="121" spans="6:28" ht="17.25" customHeight="1">
      <c r="F121" s="4" t="str">
        <f t="shared" si="23"/>
        <v xml:space="preserve">S/F  </v>
      </c>
      <c r="H121">
        <v>21</v>
      </c>
      <c r="I121">
        <f t="shared" si="24"/>
        <v>0</v>
      </c>
      <c r="K121">
        <f t="shared" si="25"/>
        <v>0</v>
      </c>
      <c r="N121">
        <f t="shared" si="26"/>
        <v>0</v>
      </c>
      <c r="X121">
        <f t="shared" si="27"/>
        <v>0</v>
      </c>
      <c r="AA121">
        <f>+IF(Z121&lt;&gt;0,Y121*Z121/100,0)</f>
        <v>0</v>
      </c>
      <c r="AB121">
        <f t="shared" si="28"/>
        <v>0</v>
      </c>
    </row>
    <row r="122" spans="6:28" ht="17.25" customHeight="1">
      <c r="F122" s="4" t="str">
        <f t="shared" si="23"/>
        <v xml:space="preserve">S/F  </v>
      </c>
      <c r="H122">
        <v>21</v>
      </c>
      <c r="I122">
        <f t="shared" si="24"/>
        <v>0</v>
      </c>
      <c r="K122">
        <f t="shared" si="25"/>
        <v>0</v>
      </c>
      <c r="N122">
        <f t="shared" si="26"/>
        <v>0</v>
      </c>
      <c r="X122">
        <f t="shared" si="27"/>
        <v>0</v>
      </c>
      <c r="AA122">
        <f>+IF(Z122&lt;&gt;0,Y122*Z122/100,0)</f>
        <v>0</v>
      </c>
      <c r="AB122">
        <f t="shared" si="28"/>
        <v>0</v>
      </c>
    </row>
    <row r="123" spans="6:28" ht="17.25" customHeight="1">
      <c r="F123" s="4" t="str">
        <f t="shared" si="23"/>
        <v xml:space="preserve">S/F  </v>
      </c>
      <c r="H123">
        <v>21</v>
      </c>
      <c r="I123">
        <f t="shared" si="24"/>
        <v>0</v>
      </c>
      <c r="K123">
        <f t="shared" si="25"/>
        <v>0</v>
      </c>
      <c r="N123">
        <f t="shared" si="26"/>
        <v>0</v>
      </c>
      <c r="X123">
        <f t="shared" si="27"/>
        <v>0</v>
      </c>
      <c r="AA123">
        <f>+IF(Z123&lt;&gt;0,Y123*Z123/100,0)</f>
        <v>0</v>
      </c>
      <c r="AB123">
        <f t="shared" si="28"/>
        <v>0</v>
      </c>
    </row>
    <row r="124" spans="6:28" ht="17.25" customHeight="1">
      <c r="F124" s="4" t="str">
        <f t="shared" si="23"/>
        <v xml:space="preserve">S/F  </v>
      </c>
      <c r="H124">
        <v>21</v>
      </c>
      <c r="I124">
        <f t="shared" si="24"/>
        <v>0</v>
      </c>
      <c r="K124">
        <f t="shared" si="25"/>
        <v>0</v>
      </c>
      <c r="N124">
        <f t="shared" si="26"/>
        <v>0</v>
      </c>
      <c r="X124">
        <f t="shared" si="27"/>
        <v>0</v>
      </c>
      <c r="AA124">
        <f>+IF(Z124&lt;&gt;0,Y124*Z124/100,0)</f>
        <v>0</v>
      </c>
      <c r="AB124">
        <f t="shared" si="28"/>
        <v>0</v>
      </c>
    </row>
    <row r="125" spans="6:28" ht="17.25" customHeight="1">
      <c r="F125" s="4" t="str">
        <f t="shared" si="23"/>
        <v xml:space="preserve">S/F  </v>
      </c>
      <c r="H125">
        <v>21</v>
      </c>
      <c r="I125">
        <f t="shared" si="24"/>
        <v>0</v>
      </c>
      <c r="K125">
        <f t="shared" si="25"/>
        <v>0</v>
      </c>
      <c r="N125">
        <f t="shared" si="26"/>
        <v>0</v>
      </c>
      <c r="X125">
        <f t="shared" si="27"/>
        <v>0</v>
      </c>
      <c r="AB125">
        <f t="shared" si="28"/>
        <v>0</v>
      </c>
    </row>
    <row r="126" spans="6:28" ht="17.25" customHeight="1">
      <c r="F126" s="4" t="str">
        <f t="shared" si="23"/>
        <v xml:space="preserve">S/F  </v>
      </c>
      <c r="H126">
        <v>21</v>
      </c>
      <c r="I126">
        <f t="shared" si="24"/>
        <v>0</v>
      </c>
      <c r="K126">
        <f t="shared" si="25"/>
        <v>0</v>
      </c>
      <c r="N126">
        <f t="shared" si="26"/>
        <v>0</v>
      </c>
      <c r="X126">
        <f t="shared" si="27"/>
        <v>0</v>
      </c>
      <c r="AA126">
        <f>+IF(Z126&lt;&gt;0,Y126*Z126/100,0)</f>
        <v>0</v>
      </c>
      <c r="AB126">
        <f t="shared" si="28"/>
        <v>0</v>
      </c>
    </row>
    <row r="127" spans="6:28" ht="17.25" customHeight="1">
      <c r="F127" s="4" t="str">
        <f t="shared" si="23"/>
        <v xml:space="preserve">S/F  </v>
      </c>
      <c r="H127">
        <v>21</v>
      </c>
      <c r="I127">
        <f t="shared" si="24"/>
        <v>0</v>
      </c>
      <c r="K127">
        <f t="shared" si="25"/>
        <v>0</v>
      </c>
      <c r="N127">
        <f t="shared" si="26"/>
        <v>0</v>
      </c>
      <c r="X127">
        <f t="shared" si="27"/>
        <v>0</v>
      </c>
      <c r="AB127">
        <f t="shared" si="28"/>
        <v>0</v>
      </c>
    </row>
    <row r="128" spans="6:28" ht="17.25" customHeight="1">
      <c r="F128" s="4" t="str">
        <f t="shared" ref="F128:F158" si="29">"S/F "&amp;B128&amp;" "&amp;E128</f>
        <v xml:space="preserve">S/F  </v>
      </c>
      <c r="H128">
        <v>21</v>
      </c>
      <c r="I128">
        <f t="shared" ref="I128:I158" si="30">+IF(G128&lt;&gt;0,G128*H128/100,0)</f>
        <v>0</v>
      </c>
      <c r="K128">
        <f t="shared" ref="K128:K158" si="31">+IF(G128&lt;&gt;0,G128*J128/100,0)</f>
        <v>0</v>
      </c>
      <c r="N128">
        <f t="shared" ref="N128:N158" si="32">+IF(L128&lt;&gt;0,L128*M128/100,0)</f>
        <v>0</v>
      </c>
      <c r="X128">
        <f t="shared" ref="X128:X158" si="33">+IF(W128&lt;&gt;0,V128*W128/100,0)</f>
        <v>0</v>
      </c>
      <c r="AA128">
        <f>+IF(Z128&lt;&gt;0,Y128*Z128/100,0)</f>
        <v>0</v>
      </c>
      <c r="AB128">
        <f t="shared" ref="AB128:AB158" si="34">+G128+I128+K128+L128+N128+P128+Q128+S128+U128-X128-AA128</f>
        <v>0</v>
      </c>
    </row>
    <row r="129" spans="6:28" ht="17.25" customHeight="1">
      <c r="F129" s="4" t="str">
        <f t="shared" si="29"/>
        <v xml:space="preserve">S/F  </v>
      </c>
      <c r="H129">
        <v>21</v>
      </c>
      <c r="I129">
        <f t="shared" si="30"/>
        <v>0</v>
      </c>
      <c r="K129">
        <f t="shared" si="31"/>
        <v>0</v>
      </c>
      <c r="N129">
        <f t="shared" si="32"/>
        <v>0</v>
      </c>
      <c r="X129">
        <f t="shared" si="33"/>
        <v>0</v>
      </c>
      <c r="AA129">
        <f>+IF(Z129&lt;&gt;0,Y129*Z129/100,0)</f>
        <v>0</v>
      </c>
      <c r="AB129">
        <f t="shared" si="34"/>
        <v>0</v>
      </c>
    </row>
    <row r="130" spans="6:28" ht="17.25" customHeight="1">
      <c r="F130" s="4" t="str">
        <f t="shared" si="29"/>
        <v xml:space="preserve">S/F  </v>
      </c>
      <c r="H130">
        <v>21</v>
      </c>
      <c r="I130">
        <f t="shared" si="30"/>
        <v>0</v>
      </c>
      <c r="K130">
        <f t="shared" si="31"/>
        <v>0</v>
      </c>
      <c r="N130">
        <f t="shared" si="32"/>
        <v>0</v>
      </c>
      <c r="X130">
        <f t="shared" si="33"/>
        <v>0</v>
      </c>
      <c r="AA130">
        <f>+IF(Z130&lt;&gt;0,Y130*Z130/100,0)</f>
        <v>0</v>
      </c>
      <c r="AB130">
        <f t="shared" si="34"/>
        <v>0</v>
      </c>
    </row>
    <row r="131" spans="6:28" ht="17.25" customHeight="1">
      <c r="F131" s="4" t="str">
        <f t="shared" si="29"/>
        <v xml:space="preserve">S/F  </v>
      </c>
      <c r="H131">
        <v>21</v>
      </c>
      <c r="I131">
        <f t="shared" si="30"/>
        <v>0</v>
      </c>
      <c r="K131">
        <f t="shared" si="31"/>
        <v>0</v>
      </c>
      <c r="N131">
        <f t="shared" si="32"/>
        <v>0</v>
      </c>
      <c r="X131">
        <f t="shared" si="33"/>
        <v>0</v>
      </c>
      <c r="AA131">
        <f>+IF(Z131&lt;&gt;0,Y131*Z131/100,0)</f>
        <v>0</v>
      </c>
      <c r="AB131">
        <f t="shared" si="34"/>
        <v>0</v>
      </c>
    </row>
    <row r="132" spans="6:28" ht="17.25" customHeight="1">
      <c r="F132" s="4" t="str">
        <f t="shared" si="29"/>
        <v xml:space="preserve">S/F  </v>
      </c>
      <c r="H132">
        <v>21</v>
      </c>
      <c r="I132">
        <f t="shared" si="30"/>
        <v>0</v>
      </c>
      <c r="K132">
        <f t="shared" si="31"/>
        <v>0</v>
      </c>
      <c r="N132">
        <f t="shared" si="32"/>
        <v>0</v>
      </c>
      <c r="X132">
        <f t="shared" si="33"/>
        <v>0</v>
      </c>
      <c r="AB132">
        <f t="shared" si="34"/>
        <v>0</v>
      </c>
    </row>
    <row r="133" spans="6:28" ht="17.25" customHeight="1">
      <c r="F133" s="4" t="str">
        <f t="shared" si="29"/>
        <v xml:space="preserve">S/F  </v>
      </c>
      <c r="H133">
        <v>21</v>
      </c>
      <c r="I133">
        <f t="shared" si="30"/>
        <v>0</v>
      </c>
      <c r="K133">
        <f t="shared" si="31"/>
        <v>0</v>
      </c>
      <c r="N133">
        <f t="shared" si="32"/>
        <v>0</v>
      </c>
      <c r="X133">
        <f t="shared" si="33"/>
        <v>0</v>
      </c>
      <c r="AA133">
        <f>+IF(Z133&lt;&gt;0,Y133*Z133/100,0)</f>
        <v>0</v>
      </c>
      <c r="AB133">
        <f t="shared" si="34"/>
        <v>0</v>
      </c>
    </row>
    <row r="134" spans="6:28" ht="17.25" customHeight="1">
      <c r="F134" s="4" t="str">
        <f t="shared" si="29"/>
        <v xml:space="preserve">S/F  </v>
      </c>
      <c r="H134">
        <v>21</v>
      </c>
      <c r="I134">
        <f t="shared" si="30"/>
        <v>0</v>
      </c>
      <c r="K134">
        <f t="shared" si="31"/>
        <v>0</v>
      </c>
      <c r="N134">
        <f t="shared" si="32"/>
        <v>0</v>
      </c>
      <c r="X134">
        <f t="shared" si="33"/>
        <v>0</v>
      </c>
      <c r="AB134">
        <f t="shared" si="34"/>
        <v>0</v>
      </c>
    </row>
    <row r="135" spans="6:28" ht="17.25" customHeight="1">
      <c r="F135" s="4" t="str">
        <f t="shared" si="29"/>
        <v xml:space="preserve">S/F  </v>
      </c>
      <c r="H135">
        <v>21</v>
      </c>
      <c r="I135">
        <f t="shared" si="30"/>
        <v>0</v>
      </c>
      <c r="K135">
        <f t="shared" si="31"/>
        <v>0</v>
      </c>
      <c r="N135">
        <f t="shared" si="32"/>
        <v>0</v>
      </c>
      <c r="X135">
        <f t="shared" si="33"/>
        <v>0</v>
      </c>
      <c r="AB135">
        <f t="shared" si="34"/>
        <v>0</v>
      </c>
    </row>
    <row r="136" spans="6:28" ht="17.25" customHeight="1">
      <c r="F136" s="4" t="str">
        <f t="shared" si="29"/>
        <v xml:space="preserve">S/F  </v>
      </c>
      <c r="H136">
        <v>21</v>
      </c>
      <c r="I136">
        <f t="shared" si="30"/>
        <v>0</v>
      </c>
      <c r="K136">
        <f t="shared" si="31"/>
        <v>0</v>
      </c>
      <c r="N136">
        <f t="shared" si="32"/>
        <v>0</v>
      </c>
      <c r="X136">
        <f t="shared" si="33"/>
        <v>0</v>
      </c>
      <c r="AB136">
        <f t="shared" si="34"/>
        <v>0</v>
      </c>
    </row>
    <row r="137" spans="6:28" ht="17.25" customHeight="1">
      <c r="F137" s="4" t="str">
        <f t="shared" si="29"/>
        <v xml:space="preserve">S/F  </v>
      </c>
      <c r="H137">
        <v>21</v>
      </c>
      <c r="I137">
        <f t="shared" si="30"/>
        <v>0</v>
      </c>
      <c r="K137">
        <f t="shared" si="31"/>
        <v>0</v>
      </c>
      <c r="N137">
        <f t="shared" si="32"/>
        <v>0</v>
      </c>
      <c r="X137">
        <f t="shared" si="33"/>
        <v>0</v>
      </c>
      <c r="AB137">
        <f t="shared" si="34"/>
        <v>0</v>
      </c>
    </row>
    <row r="138" spans="6:28" ht="17.25" customHeight="1">
      <c r="F138" s="4" t="str">
        <f t="shared" si="29"/>
        <v xml:space="preserve">S/F  </v>
      </c>
      <c r="H138">
        <v>21</v>
      </c>
      <c r="I138">
        <f t="shared" si="30"/>
        <v>0</v>
      </c>
      <c r="K138">
        <f t="shared" si="31"/>
        <v>0</v>
      </c>
      <c r="N138">
        <f t="shared" si="32"/>
        <v>0</v>
      </c>
      <c r="X138">
        <f t="shared" si="33"/>
        <v>0</v>
      </c>
      <c r="AB138">
        <f t="shared" si="34"/>
        <v>0</v>
      </c>
    </row>
    <row r="139" spans="6:28" ht="17.25" customHeight="1">
      <c r="F139" s="4" t="str">
        <f t="shared" si="29"/>
        <v xml:space="preserve">S/F  </v>
      </c>
      <c r="H139">
        <v>21</v>
      </c>
      <c r="I139">
        <f t="shared" si="30"/>
        <v>0</v>
      </c>
      <c r="K139">
        <f t="shared" si="31"/>
        <v>0</v>
      </c>
      <c r="N139">
        <f t="shared" si="32"/>
        <v>0</v>
      </c>
      <c r="X139">
        <f t="shared" si="33"/>
        <v>0</v>
      </c>
      <c r="AB139">
        <f t="shared" si="34"/>
        <v>0</v>
      </c>
    </row>
    <row r="140" spans="6:28" ht="17.25" customHeight="1">
      <c r="F140" s="4" t="str">
        <f t="shared" si="29"/>
        <v xml:space="preserve">S/F  </v>
      </c>
      <c r="H140">
        <v>21</v>
      </c>
      <c r="I140">
        <f t="shared" si="30"/>
        <v>0</v>
      </c>
      <c r="K140">
        <f t="shared" si="31"/>
        <v>0</v>
      </c>
      <c r="N140">
        <f t="shared" si="32"/>
        <v>0</v>
      </c>
      <c r="X140">
        <f t="shared" si="33"/>
        <v>0</v>
      </c>
      <c r="AB140">
        <f t="shared" si="34"/>
        <v>0</v>
      </c>
    </row>
    <row r="141" spans="6:28" ht="17.25" customHeight="1">
      <c r="F141" s="4" t="str">
        <f t="shared" si="29"/>
        <v xml:space="preserve">S/F  </v>
      </c>
      <c r="H141">
        <v>21</v>
      </c>
      <c r="I141">
        <f t="shared" si="30"/>
        <v>0</v>
      </c>
      <c r="K141">
        <f t="shared" si="31"/>
        <v>0</v>
      </c>
      <c r="N141">
        <f t="shared" si="32"/>
        <v>0</v>
      </c>
      <c r="X141">
        <f t="shared" si="33"/>
        <v>0</v>
      </c>
      <c r="AB141">
        <f t="shared" si="34"/>
        <v>0</v>
      </c>
    </row>
    <row r="142" spans="6:28" ht="17.25" customHeight="1">
      <c r="F142" s="4" t="str">
        <f t="shared" si="29"/>
        <v xml:space="preserve">S/F  </v>
      </c>
      <c r="H142">
        <v>21</v>
      </c>
      <c r="I142">
        <f t="shared" si="30"/>
        <v>0</v>
      </c>
      <c r="K142">
        <f t="shared" si="31"/>
        <v>0</v>
      </c>
      <c r="N142">
        <f t="shared" si="32"/>
        <v>0</v>
      </c>
      <c r="X142">
        <f t="shared" si="33"/>
        <v>0</v>
      </c>
      <c r="AB142">
        <f t="shared" si="34"/>
        <v>0</v>
      </c>
    </row>
    <row r="143" spans="6:28" ht="17.25" customHeight="1">
      <c r="F143" s="4" t="str">
        <f t="shared" si="29"/>
        <v xml:space="preserve">S/F  </v>
      </c>
      <c r="H143">
        <v>21</v>
      </c>
      <c r="I143">
        <f t="shared" si="30"/>
        <v>0</v>
      </c>
      <c r="K143">
        <f t="shared" si="31"/>
        <v>0</v>
      </c>
      <c r="N143">
        <f t="shared" si="32"/>
        <v>0</v>
      </c>
      <c r="X143">
        <f t="shared" si="33"/>
        <v>0</v>
      </c>
      <c r="AB143">
        <f t="shared" si="34"/>
        <v>0</v>
      </c>
    </row>
    <row r="144" spans="6:28" ht="17.25" customHeight="1">
      <c r="F144" s="4" t="str">
        <f t="shared" si="29"/>
        <v xml:space="preserve">S/F  </v>
      </c>
      <c r="H144">
        <v>10</v>
      </c>
      <c r="I144">
        <f t="shared" si="30"/>
        <v>0</v>
      </c>
      <c r="K144">
        <f t="shared" si="31"/>
        <v>0</v>
      </c>
      <c r="N144">
        <f t="shared" si="32"/>
        <v>0</v>
      </c>
      <c r="X144">
        <f t="shared" si="33"/>
        <v>0</v>
      </c>
      <c r="AB144">
        <f t="shared" si="34"/>
        <v>0</v>
      </c>
    </row>
    <row r="145" spans="1:38" ht="17.25" customHeight="1">
      <c r="F145" s="4" t="str">
        <f t="shared" si="29"/>
        <v xml:space="preserve">S/F  </v>
      </c>
      <c r="H145">
        <v>21</v>
      </c>
      <c r="I145">
        <f t="shared" si="30"/>
        <v>0</v>
      </c>
      <c r="K145">
        <f t="shared" si="31"/>
        <v>0</v>
      </c>
      <c r="N145">
        <f t="shared" si="32"/>
        <v>0</v>
      </c>
      <c r="X145">
        <f t="shared" si="33"/>
        <v>0</v>
      </c>
      <c r="AB145">
        <f t="shared" si="34"/>
        <v>0</v>
      </c>
    </row>
    <row r="146" spans="1:38" ht="17.25" customHeight="1">
      <c r="F146" s="4" t="str">
        <f t="shared" si="29"/>
        <v xml:space="preserve">S/F  </v>
      </c>
      <c r="H146">
        <v>21</v>
      </c>
      <c r="I146">
        <f t="shared" si="30"/>
        <v>0</v>
      </c>
      <c r="K146">
        <f t="shared" si="31"/>
        <v>0</v>
      </c>
      <c r="N146">
        <f t="shared" si="32"/>
        <v>0</v>
      </c>
      <c r="X146">
        <f t="shared" si="33"/>
        <v>0</v>
      </c>
      <c r="AB146">
        <f t="shared" si="34"/>
        <v>0</v>
      </c>
    </row>
    <row r="147" spans="1:38" ht="17.25" customHeight="1">
      <c r="F147" s="4" t="str">
        <f t="shared" si="29"/>
        <v xml:space="preserve">S/F  </v>
      </c>
      <c r="H147">
        <v>21</v>
      </c>
      <c r="I147">
        <f t="shared" si="30"/>
        <v>0</v>
      </c>
      <c r="K147">
        <f t="shared" si="31"/>
        <v>0</v>
      </c>
      <c r="N147">
        <f t="shared" si="32"/>
        <v>0</v>
      </c>
      <c r="X147">
        <f t="shared" si="33"/>
        <v>0</v>
      </c>
      <c r="AB147">
        <f t="shared" si="34"/>
        <v>0</v>
      </c>
    </row>
    <row r="148" spans="1:38" ht="17.25" customHeight="1">
      <c r="F148" s="4" t="str">
        <f t="shared" si="29"/>
        <v xml:space="preserve">S/F  </v>
      </c>
      <c r="H148">
        <v>21</v>
      </c>
      <c r="I148">
        <f t="shared" si="30"/>
        <v>0</v>
      </c>
      <c r="K148">
        <f t="shared" si="31"/>
        <v>0</v>
      </c>
      <c r="N148">
        <f t="shared" si="32"/>
        <v>0</v>
      </c>
      <c r="X148">
        <f t="shared" si="33"/>
        <v>0</v>
      </c>
      <c r="AB148">
        <f t="shared" si="34"/>
        <v>0</v>
      </c>
    </row>
    <row r="149" spans="1:38" ht="17.25" customHeight="1">
      <c r="F149" s="4" t="str">
        <f t="shared" si="29"/>
        <v xml:space="preserve">S/F  </v>
      </c>
      <c r="H149">
        <v>21</v>
      </c>
      <c r="I149">
        <f t="shared" si="30"/>
        <v>0</v>
      </c>
      <c r="K149">
        <f t="shared" si="31"/>
        <v>0</v>
      </c>
      <c r="N149">
        <f t="shared" si="32"/>
        <v>0</v>
      </c>
      <c r="X149">
        <f t="shared" si="33"/>
        <v>0</v>
      </c>
      <c r="AB149">
        <f t="shared" si="34"/>
        <v>0</v>
      </c>
    </row>
    <row r="150" spans="1:38" ht="17.25" customHeight="1">
      <c r="F150" s="4" t="str">
        <f t="shared" si="29"/>
        <v xml:space="preserve">S/F  </v>
      </c>
      <c r="H150">
        <v>21</v>
      </c>
      <c r="I150">
        <f t="shared" si="30"/>
        <v>0</v>
      </c>
      <c r="K150">
        <f t="shared" si="31"/>
        <v>0</v>
      </c>
      <c r="N150">
        <f t="shared" si="32"/>
        <v>0</v>
      </c>
      <c r="X150">
        <f t="shared" si="33"/>
        <v>0</v>
      </c>
      <c r="AB150">
        <f t="shared" si="34"/>
        <v>0</v>
      </c>
    </row>
    <row r="151" spans="1:38" ht="17.25" customHeight="1">
      <c r="F151" s="4" t="str">
        <f t="shared" si="29"/>
        <v xml:space="preserve">S/F  </v>
      </c>
      <c r="H151">
        <v>21</v>
      </c>
      <c r="I151">
        <f t="shared" si="30"/>
        <v>0</v>
      </c>
      <c r="K151">
        <f t="shared" si="31"/>
        <v>0</v>
      </c>
      <c r="N151">
        <f t="shared" si="32"/>
        <v>0</v>
      </c>
      <c r="X151">
        <f t="shared" si="33"/>
        <v>0</v>
      </c>
      <c r="AB151">
        <f t="shared" si="34"/>
        <v>0</v>
      </c>
    </row>
    <row r="152" spans="1:38" ht="17.25" customHeight="1">
      <c r="F152" s="4" t="str">
        <f t="shared" si="29"/>
        <v xml:space="preserve">S/F  </v>
      </c>
      <c r="H152">
        <v>21</v>
      </c>
      <c r="I152">
        <f t="shared" si="30"/>
        <v>0</v>
      </c>
      <c r="K152">
        <f t="shared" si="31"/>
        <v>0</v>
      </c>
      <c r="N152">
        <f t="shared" si="32"/>
        <v>0</v>
      </c>
      <c r="X152">
        <f t="shared" si="33"/>
        <v>0</v>
      </c>
      <c r="AB152">
        <f t="shared" si="34"/>
        <v>0</v>
      </c>
    </row>
    <row r="153" spans="1:38" ht="17.25" customHeight="1">
      <c r="F153" s="4" t="str">
        <f t="shared" si="29"/>
        <v xml:space="preserve">S/F  </v>
      </c>
      <c r="H153">
        <v>21</v>
      </c>
      <c r="I153">
        <f t="shared" si="30"/>
        <v>0</v>
      </c>
      <c r="K153">
        <f t="shared" si="31"/>
        <v>0</v>
      </c>
      <c r="N153">
        <f t="shared" si="32"/>
        <v>0</v>
      </c>
      <c r="X153">
        <f t="shared" si="33"/>
        <v>0</v>
      </c>
      <c r="AB153">
        <f t="shared" si="34"/>
        <v>0</v>
      </c>
    </row>
    <row r="154" spans="1:38" ht="17.25" customHeight="1">
      <c r="F154" s="4" t="str">
        <f t="shared" si="29"/>
        <v xml:space="preserve">S/F  </v>
      </c>
      <c r="H154">
        <v>21</v>
      </c>
      <c r="I154">
        <f t="shared" si="30"/>
        <v>0</v>
      </c>
      <c r="K154">
        <f t="shared" si="31"/>
        <v>0</v>
      </c>
      <c r="N154">
        <f t="shared" si="32"/>
        <v>0</v>
      </c>
      <c r="X154">
        <f t="shared" si="33"/>
        <v>0</v>
      </c>
      <c r="AB154">
        <f t="shared" si="34"/>
        <v>0</v>
      </c>
    </row>
    <row r="155" spans="1:38" ht="17.25" customHeight="1">
      <c r="F155" s="4" t="str">
        <f t="shared" si="29"/>
        <v xml:space="preserve">S/F  </v>
      </c>
      <c r="H155">
        <v>21</v>
      </c>
      <c r="I155">
        <f t="shared" si="30"/>
        <v>0</v>
      </c>
      <c r="K155">
        <f t="shared" si="31"/>
        <v>0</v>
      </c>
      <c r="N155">
        <f t="shared" si="32"/>
        <v>0</v>
      </c>
      <c r="X155">
        <f t="shared" si="33"/>
        <v>0</v>
      </c>
      <c r="AB155">
        <f t="shared" si="34"/>
        <v>0</v>
      </c>
    </row>
    <row r="156" spans="1:38" ht="17.25" customHeight="1">
      <c r="F156" s="4" t="str">
        <f t="shared" si="29"/>
        <v xml:space="preserve">S/F  </v>
      </c>
      <c r="H156">
        <v>21</v>
      </c>
      <c r="I156">
        <f t="shared" si="30"/>
        <v>0</v>
      </c>
      <c r="K156">
        <f t="shared" si="31"/>
        <v>0</v>
      </c>
      <c r="N156">
        <f t="shared" si="32"/>
        <v>0</v>
      </c>
      <c r="X156">
        <f t="shared" si="33"/>
        <v>0</v>
      </c>
      <c r="AB156">
        <f t="shared" si="34"/>
        <v>0</v>
      </c>
    </row>
    <row r="157" spans="1:38" ht="17.25" customHeight="1">
      <c r="F157" s="4" t="str">
        <f t="shared" si="29"/>
        <v xml:space="preserve">S/F  </v>
      </c>
      <c r="H157">
        <v>21</v>
      </c>
      <c r="I157">
        <f t="shared" si="30"/>
        <v>0</v>
      </c>
      <c r="K157">
        <f t="shared" si="31"/>
        <v>0</v>
      </c>
      <c r="N157">
        <f t="shared" si="32"/>
        <v>0</v>
      </c>
      <c r="X157">
        <f t="shared" si="33"/>
        <v>0</v>
      </c>
      <c r="AB157">
        <f t="shared" si="34"/>
        <v>0</v>
      </c>
    </row>
    <row r="158" spans="1:38" ht="17.25" customHeight="1">
      <c r="F158" s="4" t="str">
        <f t="shared" si="29"/>
        <v xml:space="preserve">S/F  </v>
      </c>
      <c r="H158">
        <v>21</v>
      </c>
      <c r="I158">
        <f t="shared" si="30"/>
        <v>0</v>
      </c>
      <c r="K158">
        <f t="shared" si="31"/>
        <v>0</v>
      </c>
      <c r="N158">
        <f t="shared" si="32"/>
        <v>0</v>
      </c>
      <c r="X158">
        <f t="shared" si="33"/>
        <v>0</v>
      </c>
      <c r="AB158">
        <f t="shared" si="34"/>
        <v>0</v>
      </c>
    </row>
    <row r="159" spans="1:38" ht="17.25" customHeight="1">
      <c r="F159" s="4" t="str">
        <f t="shared" ref="F159:F183" si="35">"S/F "&amp;B159&amp;" "&amp;E159</f>
        <v xml:space="preserve">S/F  </v>
      </c>
      <c r="H159">
        <v>21</v>
      </c>
      <c r="I159">
        <f t="shared" ref="I159:I182" si="36">+IF(G159&lt;&gt;0,G159*H159/100,0)</f>
        <v>0</v>
      </c>
      <c r="K159">
        <f t="shared" ref="K159:K183" si="37">+IF(G159&lt;&gt;0,G159*J159/100,0)</f>
        <v>0</v>
      </c>
      <c r="N159">
        <f t="shared" ref="N159:N182" si="38">+IF(L159&lt;&gt;0,L159*M159/100,0)</f>
        <v>0</v>
      </c>
      <c r="X159">
        <f t="shared" ref="X159:X182" si="39">+IF(W159&lt;&gt;0,V159*W159/100,0)</f>
        <v>0</v>
      </c>
      <c r="AB159">
        <f t="shared" ref="AB159:AB182" si="40">+G159+I159+K159+L159+N159+P159+Q159+S159+U159-X159-AA159</f>
        <v>0</v>
      </c>
    </row>
    <row r="160" spans="1:38" ht="17.25" customHeight="1">
      <c r="A160"/>
      <c r="B160"/>
      <c r="C160"/>
      <c r="D160"/>
      <c r="E160"/>
      <c r="F160" t="str">
        <f t="shared" si="35"/>
        <v xml:space="preserve">S/F  </v>
      </c>
      <c r="H160">
        <v>21</v>
      </c>
      <c r="I160">
        <f t="shared" si="36"/>
        <v>0</v>
      </c>
      <c r="K160">
        <f t="shared" si="37"/>
        <v>0</v>
      </c>
      <c r="N160">
        <f t="shared" si="38"/>
        <v>0</v>
      </c>
      <c r="X160">
        <f t="shared" si="39"/>
        <v>0</v>
      </c>
      <c r="AB160">
        <f t="shared" si="40"/>
        <v>0</v>
      </c>
      <c r="AE160"/>
      <c r="AF160"/>
      <c r="AG160"/>
      <c r="AH160"/>
      <c r="AL160"/>
    </row>
    <row r="161" spans="6:28">
      <c r="F161" s="4" t="str">
        <f t="shared" si="35"/>
        <v xml:space="preserve">S/F  </v>
      </c>
      <c r="H161">
        <v>21</v>
      </c>
      <c r="I161">
        <f t="shared" si="36"/>
        <v>0</v>
      </c>
      <c r="K161">
        <f t="shared" si="37"/>
        <v>0</v>
      </c>
      <c r="N161">
        <f t="shared" si="38"/>
        <v>0</v>
      </c>
      <c r="X161">
        <f t="shared" si="39"/>
        <v>0</v>
      </c>
      <c r="AB161">
        <f t="shared" si="40"/>
        <v>0</v>
      </c>
    </row>
    <row r="162" spans="6:28">
      <c r="F162" s="4" t="str">
        <f t="shared" si="35"/>
        <v xml:space="preserve">S/F  </v>
      </c>
      <c r="H162">
        <v>21</v>
      </c>
      <c r="I162">
        <f t="shared" si="36"/>
        <v>0</v>
      </c>
      <c r="K162">
        <f t="shared" si="37"/>
        <v>0</v>
      </c>
      <c r="N162">
        <f t="shared" si="38"/>
        <v>0</v>
      </c>
      <c r="X162">
        <f t="shared" si="39"/>
        <v>0</v>
      </c>
      <c r="AB162">
        <f t="shared" si="40"/>
        <v>0</v>
      </c>
    </row>
    <row r="163" spans="6:28">
      <c r="F163" s="4" t="str">
        <f t="shared" si="35"/>
        <v xml:space="preserve">S/F  </v>
      </c>
      <c r="H163">
        <v>21</v>
      </c>
      <c r="I163">
        <f t="shared" si="36"/>
        <v>0</v>
      </c>
      <c r="K163">
        <f t="shared" si="37"/>
        <v>0</v>
      </c>
      <c r="N163">
        <f t="shared" si="38"/>
        <v>0</v>
      </c>
      <c r="X163">
        <f t="shared" si="39"/>
        <v>0</v>
      </c>
      <c r="AB163">
        <f t="shared" si="40"/>
        <v>0</v>
      </c>
    </row>
    <row r="164" spans="6:28">
      <c r="F164" s="4" t="str">
        <f t="shared" si="35"/>
        <v xml:space="preserve">S/F  </v>
      </c>
      <c r="H164">
        <v>21</v>
      </c>
      <c r="I164">
        <f t="shared" si="36"/>
        <v>0</v>
      </c>
      <c r="K164">
        <f t="shared" si="37"/>
        <v>0</v>
      </c>
      <c r="N164">
        <f t="shared" si="38"/>
        <v>0</v>
      </c>
      <c r="X164">
        <f t="shared" si="39"/>
        <v>0</v>
      </c>
      <c r="AB164">
        <f t="shared" si="40"/>
        <v>0</v>
      </c>
    </row>
    <row r="165" spans="6:28">
      <c r="F165" s="4" t="str">
        <f t="shared" si="35"/>
        <v xml:space="preserve">S/F  </v>
      </c>
      <c r="H165">
        <v>21</v>
      </c>
      <c r="I165">
        <f t="shared" si="36"/>
        <v>0</v>
      </c>
      <c r="K165">
        <f t="shared" si="37"/>
        <v>0</v>
      </c>
      <c r="N165">
        <f t="shared" si="38"/>
        <v>0</v>
      </c>
      <c r="X165">
        <f t="shared" si="39"/>
        <v>0</v>
      </c>
      <c r="AB165">
        <f t="shared" si="40"/>
        <v>0</v>
      </c>
    </row>
    <row r="166" spans="6:28">
      <c r="F166" s="4" t="str">
        <f t="shared" si="35"/>
        <v xml:space="preserve">S/F  </v>
      </c>
      <c r="H166">
        <v>21</v>
      </c>
      <c r="I166">
        <f t="shared" si="36"/>
        <v>0</v>
      </c>
      <c r="K166">
        <f t="shared" si="37"/>
        <v>0</v>
      </c>
      <c r="N166">
        <f t="shared" si="38"/>
        <v>0</v>
      </c>
      <c r="X166">
        <f t="shared" si="39"/>
        <v>0</v>
      </c>
      <c r="AB166">
        <f t="shared" si="40"/>
        <v>0</v>
      </c>
    </row>
    <row r="167" spans="6:28">
      <c r="F167" s="4" t="str">
        <f t="shared" si="35"/>
        <v xml:space="preserve">S/F  </v>
      </c>
      <c r="H167">
        <v>21</v>
      </c>
      <c r="I167">
        <f t="shared" si="36"/>
        <v>0</v>
      </c>
      <c r="K167">
        <f t="shared" si="37"/>
        <v>0</v>
      </c>
      <c r="N167">
        <f t="shared" si="38"/>
        <v>0</v>
      </c>
      <c r="X167">
        <f t="shared" si="39"/>
        <v>0</v>
      </c>
      <c r="AB167">
        <f t="shared" si="40"/>
        <v>0</v>
      </c>
    </row>
    <row r="168" spans="6:28">
      <c r="F168" s="4" t="str">
        <f t="shared" si="35"/>
        <v xml:space="preserve">S/F  </v>
      </c>
      <c r="H168">
        <v>21</v>
      </c>
      <c r="I168">
        <f t="shared" si="36"/>
        <v>0</v>
      </c>
      <c r="K168">
        <f t="shared" si="37"/>
        <v>0</v>
      </c>
      <c r="N168">
        <f t="shared" si="38"/>
        <v>0</v>
      </c>
      <c r="X168">
        <f t="shared" si="39"/>
        <v>0</v>
      </c>
      <c r="AB168">
        <f t="shared" si="40"/>
        <v>0</v>
      </c>
    </row>
    <row r="169" spans="6:28">
      <c r="F169" s="4" t="str">
        <f t="shared" si="35"/>
        <v xml:space="preserve">S/F  </v>
      </c>
      <c r="H169">
        <v>21</v>
      </c>
      <c r="I169">
        <f t="shared" si="36"/>
        <v>0</v>
      </c>
      <c r="K169">
        <f t="shared" si="37"/>
        <v>0</v>
      </c>
      <c r="N169">
        <f t="shared" si="38"/>
        <v>0</v>
      </c>
      <c r="X169">
        <f t="shared" si="39"/>
        <v>0</v>
      </c>
      <c r="AB169">
        <f t="shared" si="40"/>
        <v>0</v>
      </c>
    </row>
    <row r="170" spans="6:28">
      <c r="F170" s="4" t="str">
        <f t="shared" si="35"/>
        <v xml:space="preserve">S/F  </v>
      </c>
      <c r="H170">
        <v>21</v>
      </c>
      <c r="I170">
        <f t="shared" si="36"/>
        <v>0</v>
      </c>
      <c r="K170">
        <f t="shared" si="37"/>
        <v>0</v>
      </c>
      <c r="N170">
        <f t="shared" si="38"/>
        <v>0</v>
      </c>
      <c r="X170">
        <f t="shared" si="39"/>
        <v>0</v>
      </c>
      <c r="AB170">
        <f t="shared" si="40"/>
        <v>0</v>
      </c>
    </row>
    <row r="171" spans="6:28">
      <c r="F171" s="4" t="str">
        <f t="shared" si="35"/>
        <v xml:space="preserve">S/F  </v>
      </c>
      <c r="H171">
        <v>21</v>
      </c>
      <c r="I171">
        <f t="shared" si="36"/>
        <v>0</v>
      </c>
      <c r="K171">
        <f t="shared" si="37"/>
        <v>0</v>
      </c>
      <c r="N171">
        <f t="shared" si="38"/>
        <v>0</v>
      </c>
      <c r="X171">
        <f t="shared" si="39"/>
        <v>0</v>
      </c>
      <c r="AB171">
        <f t="shared" si="40"/>
        <v>0</v>
      </c>
    </row>
    <row r="172" spans="6:28">
      <c r="F172" s="4" t="str">
        <f t="shared" si="35"/>
        <v xml:space="preserve">S/F  </v>
      </c>
      <c r="H172">
        <v>21</v>
      </c>
      <c r="I172">
        <f t="shared" si="36"/>
        <v>0</v>
      </c>
      <c r="K172">
        <f t="shared" si="37"/>
        <v>0</v>
      </c>
      <c r="N172">
        <f t="shared" si="38"/>
        <v>0</v>
      </c>
      <c r="X172">
        <f t="shared" si="39"/>
        <v>0</v>
      </c>
      <c r="AB172">
        <f t="shared" si="40"/>
        <v>0</v>
      </c>
    </row>
    <row r="173" spans="6:28">
      <c r="F173" s="4" t="str">
        <f t="shared" si="35"/>
        <v xml:space="preserve">S/F  </v>
      </c>
      <c r="H173">
        <v>21</v>
      </c>
      <c r="I173">
        <f t="shared" si="36"/>
        <v>0</v>
      </c>
      <c r="K173">
        <f t="shared" si="37"/>
        <v>0</v>
      </c>
      <c r="N173">
        <f t="shared" si="38"/>
        <v>0</v>
      </c>
      <c r="X173">
        <f t="shared" si="39"/>
        <v>0</v>
      </c>
      <c r="AB173">
        <f t="shared" si="40"/>
        <v>0</v>
      </c>
    </row>
    <row r="174" spans="6:28">
      <c r="F174" s="4" t="str">
        <f t="shared" si="35"/>
        <v xml:space="preserve">S/F  </v>
      </c>
      <c r="H174">
        <v>21</v>
      </c>
      <c r="I174">
        <f t="shared" si="36"/>
        <v>0</v>
      </c>
      <c r="K174">
        <f t="shared" si="37"/>
        <v>0</v>
      </c>
      <c r="N174">
        <f t="shared" si="38"/>
        <v>0</v>
      </c>
      <c r="X174">
        <f t="shared" si="39"/>
        <v>0</v>
      </c>
      <c r="AB174">
        <f t="shared" si="40"/>
        <v>0</v>
      </c>
    </row>
    <row r="175" spans="6:28">
      <c r="F175" s="4" t="str">
        <f t="shared" si="35"/>
        <v xml:space="preserve">S/F  </v>
      </c>
      <c r="H175">
        <v>21</v>
      </c>
      <c r="I175">
        <f t="shared" si="36"/>
        <v>0</v>
      </c>
      <c r="K175">
        <f t="shared" si="37"/>
        <v>0</v>
      </c>
      <c r="N175">
        <f t="shared" si="38"/>
        <v>0</v>
      </c>
      <c r="X175">
        <f t="shared" si="39"/>
        <v>0</v>
      </c>
      <c r="AB175">
        <f t="shared" si="40"/>
        <v>0</v>
      </c>
    </row>
    <row r="176" spans="6:28">
      <c r="F176" s="4" t="str">
        <f t="shared" si="35"/>
        <v xml:space="preserve">S/F  </v>
      </c>
      <c r="H176">
        <v>21</v>
      </c>
      <c r="I176">
        <f t="shared" si="36"/>
        <v>0</v>
      </c>
      <c r="K176">
        <f t="shared" si="37"/>
        <v>0</v>
      </c>
      <c r="N176">
        <f t="shared" si="38"/>
        <v>0</v>
      </c>
      <c r="X176">
        <f t="shared" si="39"/>
        <v>0</v>
      </c>
      <c r="AB176">
        <f t="shared" si="40"/>
        <v>0</v>
      </c>
    </row>
    <row r="177" spans="6:28">
      <c r="F177" s="4" t="str">
        <f t="shared" si="35"/>
        <v xml:space="preserve">S/F  </v>
      </c>
      <c r="H177">
        <v>21</v>
      </c>
      <c r="I177">
        <f t="shared" si="36"/>
        <v>0</v>
      </c>
      <c r="K177">
        <f t="shared" si="37"/>
        <v>0</v>
      </c>
      <c r="N177">
        <f t="shared" si="38"/>
        <v>0</v>
      </c>
      <c r="X177">
        <f t="shared" si="39"/>
        <v>0</v>
      </c>
      <c r="AB177">
        <f t="shared" si="40"/>
        <v>0</v>
      </c>
    </row>
    <row r="178" spans="6:28">
      <c r="F178" s="4" t="str">
        <f t="shared" si="35"/>
        <v xml:space="preserve">S/F  </v>
      </c>
      <c r="H178">
        <v>21</v>
      </c>
      <c r="I178">
        <f t="shared" si="36"/>
        <v>0</v>
      </c>
      <c r="K178">
        <f t="shared" si="37"/>
        <v>0</v>
      </c>
      <c r="N178">
        <f t="shared" si="38"/>
        <v>0</v>
      </c>
      <c r="X178">
        <f t="shared" si="39"/>
        <v>0</v>
      </c>
      <c r="AB178">
        <f t="shared" si="40"/>
        <v>0</v>
      </c>
    </row>
    <row r="179" spans="6:28">
      <c r="F179" s="4" t="str">
        <f t="shared" si="35"/>
        <v xml:space="preserve">S/F  </v>
      </c>
      <c r="H179">
        <v>21</v>
      </c>
      <c r="I179">
        <f t="shared" si="36"/>
        <v>0</v>
      </c>
      <c r="K179">
        <f t="shared" si="37"/>
        <v>0</v>
      </c>
      <c r="N179">
        <f t="shared" si="38"/>
        <v>0</v>
      </c>
      <c r="X179">
        <f t="shared" si="39"/>
        <v>0</v>
      </c>
      <c r="AB179">
        <f t="shared" si="40"/>
        <v>0</v>
      </c>
    </row>
    <row r="180" spans="6:28">
      <c r="F180" s="4" t="str">
        <f t="shared" si="35"/>
        <v xml:space="preserve">S/F  </v>
      </c>
      <c r="H180">
        <v>10</v>
      </c>
      <c r="I180">
        <f t="shared" si="36"/>
        <v>0</v>
      </c>
      <c r="K180">
        <f t="shared" si="37"/>
        <v>0</v>
      </c>
      <c r="N180">
        <f t="shared" si="38"/>
        <v>0</v>
      </c>
      <c r="X180">
        <f t="shared" si="39"/>
        <v>0</v>
      </c>
      <c r="AB180">
        <f t="shared" si="40"/>
        <v>0</v>
      </c>
    </row>
    <row r="181" spans="6:28">
      <c r="F181" s="4" t="str">
        <f t="shared" si="35"/>
        <v xml:space="preserve">S/F  </v>
      </c>
      <c r="H181">
        <v>21</v>
      </c>
      <c r="I181">
        <f t="shared" si="36"/>
        <v>0</v>
      </c>
      <c r="K181">
        <f t="shared" si="37"/>
        <v>0</v>
      </c>
      <c r="N181">
        <f t="shared" si="38"/>
        <v>0</v>
      </c>
      <c r="X181">
        <f t="shared" si="39"/>
        <v>0</v>
      </c>
      <c r="AB181">
        <f t="shared" si="40"/>
        <v>0</v>
      </c>
    </row>
    <row r="182" spans="6:28">
      <c r="F182" s="4" t="str">
        <f t="shared" si="35"/>
        <v xml:space="preserve">S/F  </v>
      </c>
      <c r="H182">
        <v>21</v>
      </c>
      <c r="I182">
        <f t="shared" si="36"/>
        <v>0</v>
      </c>
      <c r="K182">
        <f t="shared" si="37"/>
        <v>0</v>
      </c>
      <c r="N182">
        <f t="shared" si="38"/>
        <v>0</v>
      </c>
      <c r="X182">
        <f t="shared" si="39"/>
        <v>0</v>
      </c>
      <c r="AB182">
        <f t="shared" si="40"/>
        <v>0</v>
      </c>
    </row>
    <row r="183" spans="6:28">
      <c r="F183" s="4" t="str">
        <f t="shared" si="35"/>
        <v xml:space="preserve">S/F  </v>
      </c>
      <c r="K183">
        <f t="shared" si="37"/>
        <v>0</v>
      </c>
    </row>
    <row r="184" spans="6:28">
      <c r="G184">
        <f>SUM(G2:G183)</f>
        <v>16106.84</v>
      </c>
    </row>
  </sheetData>
  <sortState xmlns:xlrd2="http://schemas.microsoft.com/office/spreadsheetml/2017/richdata2" ref="A2:AJ183">
    <sortCondition ref="A2:A183"/>
    <sortCondition ref="B2:B183"/>
    <sortCondition ref="C2:C183"/>
  </sortState>
  <conditionalFormatting sqref="AK2:AK6">
    <cfRule type="cellIs" dxfId="11" priority="9" operator="equal">
      <formula>"INCIDENCIA"</formula>
    </cfRule>
    <cfRule type="cellIs" dxfId="10" priority="10" operator="equal">
      <formula>"ATRASADA/RETENC."</formula>
    </cfRule>
    <cfRule type="cellIs" dxfId="9" priority="11" operator="equal">
      <formula>"ATRASADA"</formula>
    </cfRule>
    <cfRule type="cellIs" dxfId="8" priority="12" operator="equal">
      <formula>"ATRASADA/FINANC."</formula>
    </cfRule>
  </conditionalFormatting>
  <conditionalFormatting sqref="AK8:AK102">
    <cfRule type="cellIs" dxfId="7" priority="1" operator="equal">
      <formula>"INCIDENCIA"</formula>
    </cfRule>
    <cfRule type="cellIs" dxfId="6" priority="2" operator="equal">
      <formula>"ATRASADA/RETENC."</formula>
    </cfRule>
    <cfRule type="cellIs" dxfId="5" priority="3" operator="equal">
      <formula>"ATRASADA"</formula>
    </cfRule>
    <cfRule type="cellIs" dxfId="4" priority="4" operator="equal">
      <formula>"ATRASADA/FINANC."</formula>
    </cfRule>
  </conditionalFormatting>
  <dataValidations count="1">
    <dataValidation type="textLength" errorStyle="warning" allowBlank="1" showInputMessage="1" showErrorMessage="1" error="Contamar le informa de que el código introducido debe contener únicamente 8 dígitos._x000a__x000a_" sqref="AC2:AC6 AC8:AC14 AC17:AC33" xr:uid="{00000000-0002-0000-0200-000000000000}">
      <formula1>8</formula1>
      <formula2>8</formula2>
    </dataValidation>
  </dataValidations>
  <pageMargins left="0.23622047244094491" right="0.23622047244094491" top="0.35433070866141736" bottom="0.35433070866141736" header="0.19685039370078741" footer="0"/>
  <headerFooter>
    <oddHeader>&amp;L&amp;F&amp;R&amp;P/&amp;N</oddHeader>
  </headerFooter>
  <rowBreaks count="1" manualBreakCount="1">
    <brk id="65" max="35" man="1"/>
  </rowBreaks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Hoja4">
    <pageSetUpPr fitToPage="1"/>
  </sheetPr>
  <dimension ref="A1:AM166"/>
  <sheetViews>
    <sheetView zoomScale="80" zoomScaleNormal="80" zoomScalePageLayoutView="125" workbookViewId="0">
      <pane ySplit="1" topLeftCell="A32" activePane="bottomLeft" state="frozen"/>
      <selection pane="bottomLeft" activeCell="AJ75" sqref="AJ75"/>
    </sheetView>
  </sheetViews>
  <sheetFormatPr baseColWidth="10" defaultColWidth="11.42578125" defaultRowHeight="15"/>
  <cols>
    <col min="1" max="1" width="13" bestFit="1" customWidth="1"/>
    <col min="2" max="2" width="21.140625" style="4" bestFit="1" customWidth="1"/>
    <col min="3" max="3" width="9.85546875" style="4" customWidth="1"/>
    <col min="4" max="4" width="12.7109375" style="4" bestFit="1" customWidth="1"/>
    <col min="5" max="5" width="60.42578125" style="4" bestFit="1" customWidth="1"/>
    <col min="6" max="6" width="61" style="4" bestFit="1" customWidth="1"/>
    <col min="7" max="7" width="14.42578125" bestFit="1" customWidth="1"/>
    <col min="8" max="8" width="7.7109375" style="53" customWidth="1"/>
    <col min="9" max="9" width="14" bestFit="1" customWidth="1"/>
    <col min="10" max="10" width="7.7109375" hidden="1" customWidth="1"/>
    <col min="11" max="11" width="12.140625" hidden="1" customWidth="1"/>
    <col min="12" max="12" width="8.85546875" customWidth="1"/>
    <col min="13" max="13" width="7.7109375" customWidth="1"/>
    <col min="14" max="14" width="10.28515625" customWidth="1"/>
    <col min="15" max="15" width="8.7109375" hidden="1" customWidth="1"/>
    <col min="16" max="16" width="15.28515625" hidden="1" customWidth="1"/>
    <col min="17" max="17" width="7.7109375" hidden="1" customWidth="1"/>
    <col min="18" max="18" width="6.85546875" hidden="1" customWidth="1"/>
    <col min="19" max="19" width="9.85546875" hidden="1" customWidth="1"/>
    <col min="20" max="20" width="7.7109375" hidden="1" customWidth="1"/>
    <col min="21" max="21" width="11.140625" hidden="1" customWidth="1"/>
    <col min="22" max="22" width="11.7109375" customWidth="1"/>
    <col min="23" max="23" width="6.140625" customWidth="1"/>
    <col min="24" max="24" width="11.42578125" customWidth="1"/>
    <col min="25" max="25" width="11.7109375" hidden="1" customWidth="1"/>
    <col min="26" max="26" width="6.140625" hidden="1" customWidth="1"/>
    <col min="27" max="27" width="8.42578125" hidden="1" customWidth="1"/>
    <col min="28" max="28" width="12.42578125" bestFit="1" customWidth="1"/>
    <col min="29" max="29" width="18.42578125" hidden="1" customWidth="1"/>
    <col min="30" max="30" width="20.140625" hidden="1" customWidth="1"/>
    <col min="31" max="31" width="20.140625" style="3" hidden="1" customWidth="1"/>
    <col min="32" max="33" width="11.42578125" style="3" hidden="1" customWidth="1"/>
    <col min="34" max="34" width="14.42578125" style="4" hidden="1" customWidth="1"/>
    <col min="35" max="35" width="18.7109375" hidden="1" customWidth="1"/>
    <col min="36" max="36" width="26.42578125" bestFit="1" customWidth="1"/>
    <col min="37" max="37" width="21.42578125" bestFit="1" customWidth="1"/>
    <col min="38" max="38" width="14.140625" style="44" customWidth="1"/>
  </cols>
  <sheetData>
    <row r="1" spans="1:39" s="1" customFormat="1" ht="38.25">
      <c r="A1" s="40" t="s">
        <v>5</v>
      </c>
      <c r="B1" s="41" t="s">
        <v>9</v>
      </c>
      <c r="C1" s="41" t="s">
        <v>6</v>
      </c>
      <c r="D1" s="41" t="s">
        <v>8</v>
      </c>
      <c r="E1" s="41" t="s">
        <v>3</v>
      </c>
      <c r="F1" s="41" t="s">
        <v>10</v>
      </c>
      <c r="G1" s="40" t="s">
        <v>7</v>
      </c>
      <c r="H1" s="49" t="s">
        <v>0</v>
      </c>
      <c r="I1" s="40" t="s">
        <v>1</v>
      </c>
      <c r="J1" s="40" t="s">
        <v>23</v>
      </c>
      <c r="K1" s="40" t="s">
        <v>24</v>
      </c>
      <c r="L1" s="40" t="s">
        <v>19</v>
      </c>
      <c r="M1" s="40" t="s">
        <v>15</v>
      </c>
      <c r="N1" s="40" t="s">
        <v>16</v>
      </c>
      <c r="O1" s="40" t="s">
        <v>25</v>
      </c>
      <c r="P1" s="40" t="s">
        <v>26</v>
      </c>
      <c r="Q1" s="40" t="s">
        <v>20</v>
      </c>
      <c r="R1" s="40" t="s">
        <v>17</v>
      </c>
      <c r="S1" s="40" t="s">
        <v>18</v>
      </c>
      <c r="T1" s="40" t="s">
        <v>28</v>
      </c>
      <c r="U1" s="40" t="s">
        <v>27</v>
      </c>
      <c r="V1" s="40" t="s">
        <v>2</v>
      </c>
      <c r="W1" s="40" t="s">
        <v>30</v>
      </c>
      <c r="X1" s="40" t="s">
        <v>32</v>
      </c>
      <c r="Y1" s="40" t="s">
        <v>29</v>
      </c>
      <c r="Z1" s="40" t="s">
        <v>31</v>
      </c>
      <c r="AA1" s="40" t="s">
        <v>33</v>
      </c>
      <c r="AB1" s="40" t="s">
        <v>34</v>
      </c>
      <c r="AC1" s="41" t="s">
        <v>11</v>
      </c>
      <c r="AD1" s="41" t="s">
        <v>21</v>
      </c>
      <c r="AE1" s="41" t="s">
        <v>22</v>
      </c>
      <c r="AF1" s="41" t="s">
        <v>4</v>
      </c>
      <c r="AG1" s="41" t="s">
        <v>12</v>
      </c>
      <c r="AH1" s="42" t="s">
        <v>13</v>
      </c>
      <c r="AI1" s="43" t="s">
        <v>14</v>
      </c>
      <c r="AJ1" s="32" t="s">
        <v>37</v>
      </c>
      <c r="AK1" s="34" t="s">
        <v>35</v>
      </c>
      <c r="AL1" s="62" t="s">
        <v>36</v>
      </c>
    </row>
    <row r="2" spans="1:39">
      <c r="A2" s="45"/>
      <c r="B2" s="46"/>
      <c r="C2" s="14"/>
      <c r="D2" s="14"/>
      <c r="E2" s="14"/>
      <c r="F2" s="15" t="str">
        <f t="shared" ref="F2:F33" si="0">"S/F "&amp;B2&amp;" "&amp;E2</f>
        <v xml:space="preserve">S/F  </v>
      </c>
      <c r="G2" s="16"/>
      <c r="H2" s="54">
        <f>21</f>
        <v>21</v>
      </c>
      <c r="I2" s="18">
        <f t="shared" ref="I2:I33" si="1">+IF(G2&lt;&gt;0,G2*H2/100,0)</f>
        <v>0</v>
      </c>
      <c r="J2" s="17"/>
      <c r="K2" s="18">
        <f t="shared" ref="K2:K33" si="2">+IF(G2&lt;&gt;0,G2*J2/100,0)</f>
        <v>0</v>
      </c>
      <c r="L2" s="16"/>
      <c r="M2" s="17"/>
      <c r="N2" s="18">
        <f t="shared" ref="N2:N33" si="3">+IF(L2&lt;&gt;0,L2*M2/100,0)</f>
        <v>0</v>
      </c>
      <c r="O2" s="19"/>
      <c r="P2" s="18">
        <f>+IF(L2&lt;&gt;0,L2*O2/100,0)</f>
        <v>0</v>
      </c>
      <c r="Q2" s="16"/>
      <c r="R2" s="17"/>
      <c r="S2" s="18">
        <f>+IF(Q2&lt;&gt;0,Q2*R2/100,0)</f>
        <v>0</v>
      </c>
      <c r="T2" s="19"/>
      <c r="U2" s="18">
        <f>+IF(Q2&lt;&gt;0,Q2*T2/100,0)</f>
        <v>0</v>
      </c>
      <c r="V2" s="19"/>
      <c r="W2" s="19"/>
      <c r="X2" s="18">
        <f t="shared" ref="X2:X33" si="4">+IF(W2&lt;&gt;0,V2*W2/100,0)</f>
        <v>0</v>
      </c>
      <c r="Y2" s="19"/>
      <c r="Z2" s="19"/>
      <c r="AA2" s="18">
        <f t="shared" ref="AA2:AA11" si="5">+IF(Z2&lt;&gt;0,Y2*Z2/100,0)</f>
        <v>0</v>
      </c>
      <c r="AB2" s="20">
        <f t="shared" ref="AB2:AB33" si="6">+G2+I2+K2+L2+N2+P2+Q2+S2+U2-X2-AA2</f>
        <v>0</v>
      </c>
      <c r="AC2" s="5"/>
      <c r="AD2" s="2"/>
      <c r="AF2" s="6"/>
      <c r="AG2" s="7"/>
      <c r="AJ2" s="33"/>
      <c r="AK2" s="35"/>
      <c r="AL2" s="38"/>
      <c r="AM2" s="48"/>
    </row>
    <row r="3" spans="1:39">
      <c r="A3" s="45"/>
      <c r="B3" s="46"/>
      <c r="C3" s="14"/>
      <c r="D3" s="14"/>
      <c r="E3" s="14"/>
      <c r="F3" s="15" t="str">
        <f t="shared" si="0"/>
        <v xml:space="preserve">S/F  </v>
      </c>
      <c r="G3" s="16"/>
      <c r="H3" s="54">
        <v>21</v>
      </c>
      <c r="I3" s="18">
        <f t="shared" si="1"/>
        <v>0</v>
      </c>
      <c r="J3" s="17"/>
      <c r="K3" s="18">
        <f t="shared" si="2"/>
        <v>0</v>
      </c>
      <c r="L3" s="16"/>
      <c r="M3" s="17"/>
      <c r="N3" s="18">
        <f t="shared" si="3"/>
        <v>0</v>
      </c>
      <c r="O3" s="47"/>
      <c r="P3" s="47"/>
      <c r="Q3" s="47"/>
      <c r="R3" s="47"/>
      <c r="S3" s="47"/>
      <c r="T3" s="47"/>
      <c r="U3" s="47"/>
      <c r="V3" s="16"/>
      <c r="W3" s="17"/>
      <c r="X3" s="18">
        <f t="shared" si="4"/>
        <v>0</v>
      </c>
      <c r="Y3" s="19"/>
      <c r="Z3" s="19"/>
      <c r="AA3" s="18">
        <f t="shared" si="5"/>
        <v>0</v>
      </c>
      <c r="AB3" s="20">
        <f t="shared" si="6"/>
        <v>0</v>
      </c>
      <c r="AJ3" s="33"/>
      <c r="AK3" s="35"/>
      <c r="AL3" s="38"/>
      <c r="AM3" s="48"/>
    </row>
    <row r="4" spans="1:39">
      <c r="A4" s="45"/>
      <c r="B4" s="46"/>
      <c r="C4" s="14"/>
      <c r="D4" s="14"/>
      <c r="E4" s="14"/>
      <c r="F4" s="15" t="str">
        <f t="shared" si="0"/>
        <v xml:space="preserve">S/F  </v>
      </c>
      <c r="G4" s="16"/>
      <c r="H4" s="54">
        <v>21</v>
      </c>
      <c r="I4" s="18">
        <f t="shared" si="1"/>
        <v>0</v>
      </c>
      <c r="J4" s="17"/>
      <c r="K4" s="18">
        <f t="shared" si="2"/>
        <v>0</v>
      </c>
      <c r="L4" s="16"/>
      <c r="M4" s="17"/>
      <c r="N4" s="18">
        <f t="shared" si="3"/>
        <v>0</v>
      </c>
      <c r="O4" s="47"/>
      <c r="P4" s="47"/>
      <c r="Q4" s="47"/>
      <c r="R4" s="47"/>
      <c r="S4" s="47"/>
      <c r="T4" s="47"/>
      <c r="U4" s="47"/>
      <c r="V4" s="16"/>
      <c r="W4" s="17"/>
      <c r="X4" s="18">
        <f t="shared" si="4"/>
        <v>0</v>
      </c>
      <c r="Y4" s="19"/>
      <c r="Z4" s="19"/>
      <c r="AA4" s="18">
        <f t="shared" si="5"/>
        <v>0</v>
      </c>
      <c r="AB4" s="20">
        <f t="shared" si="6"/>
        <v>0</v>
      </c>
      <c r="AJ4" s="33"/>
      <c r="AK4" s="35"/>
      <c r="AL4" s="38"/>
      <c r="AM4" s="48"/>
    </row>
    <row r="5" spans="1:39">
      <c r="A5" s="45"/>
      <c r="B5" s="46"/>
      <c r="C5" s="14"/>
      <c r="D5" s="14"/>
      <c r="E5" s="14"/>
      <c r="F5" s="15" t="str">
        <f t="shared" si="0"/>
        <v xml:space="preserve">S/F  </v>
      </c>
      <c r="G5" s="16"/>
      <c r="H5" s="54">
        <v>21</v>
      </c>
      <c r="I5" s="18">
        <f t="shared" si="1"/>
        <v>0</v>
      </c>
      <c r="J5" s="17"/>
      <c r="K5" s="18">
        <f t="shared" si="2"/>
        <v>0</v>
      </c>
      <c r="L5" s="16"/>
      <c r="M5" s="17"/>
      <c r="N5" s="18">
        <f t="shared" si="3"/>
        <v>0</v>
      </c>
      <c r="O5" s="47"/>
      <c r="P5" s="47"/>
      <c r="Q5" s="47"/>
      <c r="R5" s="47"/>
      <c r="S5" s="47"/>
      <c r="T5" s="47"/>
      <c r="U5" s="47"/>
      <c r="V5" s="16"/>
      <c r="W5" s="17"/>
      <c r="X5" s="18">
        <f t="shared" si="4"/>
        <v>0</v>
      </c>
      <c r="Y5" s="19"/>
      <c r="Z5" s="19"/>
      <c r="AA5" s="18">
        <f t="shared" si="5"/>
        <v>0</v>
      </c>
      <c r="AB5" s="20">
        <f t="shared" si="6"/>
        <v>0</v>
      </c>
      <c r="AJ5" s="33"/>
      <c r="AK5" s="35"/>
      <c r="AL5" s="38"/>
      <c r="AM5" s="48"/>
    </row>
    <row r="6" spans="1:39">
      <c r="A6" s="45"/>
      <c r="B6" s="46"/>
      <c r="C6" s="14"/>
      <c r="D6" s="14"/>
      <c r="E6" s="14"/>
      <c r="F6" s="15" t="str">
        <f t="shared" si="0"/>
        <v xml:space="preserve">S/F  </v>
      </c>
      <c r="G6" s="16"/>
      <c r="H6" s="54">
        <v>21</v>
      </c>
      <c r="I6" s="18">
        <f t="shared" si="1"/>
        <v>0</v>
      </c>
      <c r="J6" s="17"/>
      <c r="K6" s="18">
        <f t="shared" si="2"/>
        <v>0</v>
      </c>
      <c r="L6" s="16"/>
      <c r="M6" s="17"/>
      <c r="N6" s="18">
        <f t="shared" si="3"/>
        <v>0</v>
      </c>
      <c r="O6" s="47"/>
      <c r="P6" s="47"/>
      <c r="Q6" s="47"/>
      <c r="R6" s="47"/>
      <c r="S6" s="47"/>
      <c r="T6" s="47"/>
      <c r="U6" s="47"/>
      <c r="V6" s="16"/>
      <c r="W6" s="17"/>
      <c r="X6" s="18">
        <f t="shared" si="4"/>
        <v>0</v>
      </c>
      <c r="Y6" s="19"/>
      <c r="Z6" s="19"/>
      <c r="AA6" s="18">
        <f t="shared" si="5"/>
        <v>0</v>
      </c>
      <c r="AB6" s="20">
        <f t="shared" si="6"/>
        <v>0</v>
      </c>
      <c r="AJ6" s="33"/>
      <c r="AK6" s="35"/>
      <c r="AL6" s="38"/>
      <c r="AM6" s="48"/>
    </row>
    <row r="7" spans="1:39">
      <c r="A7" s="45"/>
      <c r="B7" s="46"/>
      <c r="C7" s="14"/>
      <c r="D7" s="14"/>
      <c r="E7" s="14"/>
      <c r="F7" s="15" t="str">
        <f t="shared" si="0"/>
        <v xml:space="preserve">S/F  </v>
      </c>
      <c r="G7" s="16"/>
      <c r="H7" s="54">
        <v>21</v>
      </c>
      <c r="I7" s="18">
        <f t="shared" si="1"/>
        <v>0</v>
      </c>
      <c r="J7" s="17"/>
      <c r="K7" s="18">
        <f t="shared" si="2"/>
        <v>0</v>
      </c>
      <c r="L7" s="16"/>
      <c r="M7" s="17"/>
      <c r="N7" s="18">
        <f t="shared" si="3"/>
        <v>0</v>
      </c>
      <c r="O7" s="47"/>
      <c r="P7" s="47"/>
      <c r="Q7" s="47"/>
      <c r="R7" s="47"/>
      <c r="S7" s="47"/>
      <c r="T7" s="47"/>
      <c r="U7" s="47"/>
      <c r="V7" s="16"/>
      <c r="W7" s="17"/>
      <c r="X7" s="18">
        <f t="shared" si="4"/>
        <v>0</v>
      </c>
      <c r="Y7" s="19"/>
      <c r="Z7" s="19"/>
      <c r="AA7" s="18">
        <f t="shared" si="5"/>
        <v>0</v>
      </c>
      <c r="AB7" s="20">
        <f t="shared" si="6"/>
        <v>0</v>
      </c>
      <c r="AJ7" s="33"/>
      <c r="AK7" s="35"/>
      <c r="AL7" s="38"/>
      <c r="AM7" s="48"/>
    </row>
    <row r="8" spans="1:39">
      <c r="A8" s="45"/>
      <c r="B8" s="46"/>
      <c r="C8" s="14"/>
      <c r="D8" s="14"/>
      <c r="E8" s="14"/>
      <c r="F8" s="15" t="str">
        <f t="shared" si="0"/>
        <v xml:space="preserve">S/F  </v>
      </c>
      <c r="G8" s="16"/>
      <c r="H8" s="54">
        <v>21</v>
      </c>
      <c r="I8" s="18">
        <f t="shared" si="1"/>
        <v>0</v>
      </c>
      <c r="J8" s="17"/>
      <c r="K8" s="18">
        <f t="shared" si="2"/>
        <v>0</v>
      </c>
      <c r="L8" s="16"/>
      <c r="M8" s="17"/>
      <c r="N8" s="18">
        <f t="shared" si="3"/>
        <v>0</v>
      </c>
      <c r="O8" s="47"/>
      <c r="P8" s="47"/>
      <c r="Q8" s="47"/>
      <c r="R8" s="47"/>
      <c r="S8" s="47"/>
      <c r="T8" s="47"/>
      <c r="U8" s="47"/>
      <c r="V8" s="16"/>
      <c r="W8" s="17"/>
      <c r="X8" s="18">
        <f t="shared" si="4"/>
        <v>0</v>
      </c>
      <c r="Y8" s="19"/>
      <c r="Z8" s="19"/>
      <c r="AA8" s="18">
        <f t="shared" si="5"/>
        <v>0</v>
      </c>
      <c r="AB8" s="20">
        <f t="shared" si="6"/>
        <v>0</v>
      </c>
      <c r="AJ8" s="33"/>
      <c r="AK8" s="35"/>
      <c r="AL8" s="38"/>
      <c r="AM8" s="48"/>
    </row>
    <row r="9" spans="1:39">
      <c r="A9" s="45"/>
      <c r="B9" s="46"/>
      <c r="C9" s="14"/>
      <c r="D9" s="14"/>
      <c r="E9" s="14"/>
      <c r="F9" s="15" t="str">
        <f t="shared" si="0"/>
        <v xml:space="preserve">S/F  </v>
      </c>
      <c r="G9" s="16"/>
      <c r="H9" s="54">
        <v>21</v>
      </c>
      <c r="I9" s="18">
        <f t="shared" si="1"/>
        <v>0</v>
      </c>
      <c r="J9" s="17"/>
      <c r="K9" s="18">
        <f t="shared" si="2"/>
        <v>0</v>
      </c>
      <c r="L9" s="16"/>
      <c r="M9" s="17"/>
      <c r="N9" s="18">
        <f t="shared" si="3"/>
        <v>0</v>
      </c>
      <c r="O9" s="47"/>
      <c r="P9" s="47"/>
      <c r="Q9" s="47"/>
      <c r="R9" s="47"/>
      <c r="S9" s="47"/>
      <c r="T9" s="47"/>
      <c r="U9" s="47"/>
      <c r="V9" s="16"/>
      <c r="W9" s="17"/>
      <c r="X9" s="18">
        <f t="shared" si="4"/>
        <v>0</v>
      </c>
      <c r="Y9" s="19"/>
      <c r="Z9" s="19"/>
      <c r="AA9" s="18">
        <f t="shared" si="5"/>
        <v>0</v>
      </c>
      <c r="AB9" s="20">
        <f t="shared" si="6"/>
        <v>0</v>
      </c>
      <c r="AJ9" s="33"/>
      <c r="AK9" s="35"/>
      <c r="AL9" s="38"/>
      <c r="AM9" s="48"/>
    </row>
    <row r="10" spans="1:39">
      <c r="A10" s="45"/>
      <c r="B10" s="46"/>
      <c r="C10" s="14"/>
      <c r="D10" s="14"/>
      <c r="E10" s="14"/>
      <c r="F10" s="15" t="str">
        <f t="shared" si="0"/>
        <v xml:space="preserve">S/F  </v>
      </c>
      <c r="G10" s="16"/>
      <c r="H10" s="54">
        <v>21</v>
      </c>
      <c r="I10" s="18">
        <f t="shared" si="1"/>
        <v>0</v>
      </c>
      <c r="J10" s="17"/>
      <c r="K10" s="18">
        <f t="shared" si="2"/>
        <v>0</v>
      </c>
      <c r="L10" s="16"/>
      <c r="M10" s="17"/>
      <c r="N10" s="18">
        <f t="shared" si="3"/>
        <v>0</v>
      </c>
      <c r="O10" s="47"/>
      <c r="P10" s="47"/>
      <c r="Q10" s="47"/>
      <c r="R10" s="47"/>
      <c r="S10" s="47"/>
      <c r="T10" s="47"/>
      <c r="U10" s="47"/>
      <c r="V10" s="16"/>
      <c r="W10" s="17"/>
      <c r="X10" s="18">
        <f t="shared" si="4"/>
        <v>0</v>
      </c>
      <c r="Y10" s="19"/>
      <c r="Z10" s="19"/>
      <c r="AA10" s="18">
        <f t="shared" si="5"/>
        <v>0</v>
      </c>
      <c r="AB10" s="20">
        <f t="shared" si="6"/>
        <v>0</v>
      </c>
      <c r="AJ10" s="33"/>
      <c r="AK10" s="35"/>
      <c r="AL10" s="38"/>
      <c r="AM10" s="48"/>
    </row>
    <row r="11" spans="1:39">
      <c r="A11" s="45"/>
      <c r="B11" s="46"/>
      <c r="C11" s="14"/>
      <c r="D11" s="14"/>
      <c r="E11" s="14"/>
      <c r="F11" s="15" t="str">
        <f t="shared" si="0"/>
        <v xml:space="preserve">S/F  </v>
      </c>
      <c r="G11" s="16"/>
      <c r="H11" s="54">
        <v>21</v>
      </c>
      <c r="I11" s="18">
        <f t="shared" si="1"/>
        <v>0</v>
      </c>
      <c r="J11" s="17"/>
      <c r="K11" s="18">
        <f t="shared" si="2"/>
        <v>0</v>
      </c>
      <c r="L11" s="16"/>
      <c r="M11" s="17"/>
      <c r="N11" s="18">
        <f t="shared" si="3"/>
        <v>0</v>
      </c>
      <c r="O11" s="19"/>
      <c r="P11" s="18"/>
      <c r="Q11" s="16"/>
      <c r="R11" s="17"/>
      <c r="S11" s="18"/>
      <c r="T11" s="19"/>
      <c r="U11" s="18"/>
      <c r="V11" s="16"/>
      <c r="W11" s="17"/>
      <c r="X11" s="18">
        <f t="shared" si="4"/>
        <v>0</v>
      </c>
      <c r="Y11" s="19"/>
      <c r="Z11" s="19"/>
      <c r="AA11" s="18">
        <f t="shared" si="5"/>
        <v>0</v>
      </c>
      <c r="AB11" s="20">
        <f t="shared" si="6"/>
        <v>0</v>
      </c>
      <c r="AC11" s="5"/>
      <c r="AD11" s="8"/>
      <c r="AF11" s="6"/>
      <c r="AG11" s="7"/>
      <c r="AJ11" s="33"/>
      <c r="AK11" s="35"/>
      <c r="AL11" s="38"/>
      <c r="AM11" s="48"/>
    </row>
    <row r="12" spans="1:39">
      <c r="A12" s="45"/>
      <c r="B12" s="46"/>
      <c r="C12" s="14"/>
      <c r="D12" s="14"/>
      <c r="E12" s="14"/>
      <c r="F12" s="15" t="str">
        <f t="shared" si="0"/>
        <v xml:space="preserve">S/F  </v>
      </c>
      <c r="G12" s="16"/>
      <c r="H12" s="55">
        <v>21</v>
      </c>
      <c r="I12" s="18">
        <f t="shared" si="1"/>
        <v>0</v>
      </c>
      <c r="J12" s="17"/>
      <c r="K12" s="18">
        <f t="shared" si="2"/>
        <v>0</v>
      </c>
      <c r="L12" s="16"/>
      <c r="M12" s="17"/>
      <c r="N12" s="18">
        <f t="shared" si="3"/>
        <v>0</v>
      </c>
      <c r="O12" s="47"/>
      <c r="P12" s="47"/>
      <c r="Q12" s="47"/>
      <c r="R12" s="47"/>
      <c r="S12" s="47"/>
      <c r="T12" s="47"/>
      <c r="U12" s="47"/>
      <c r="V12" s="16"/>
      <c r="W12" s="17"/>
      <c r="X12" s="18">
        <f t="shared" si="4"/>
        <v>0</v>
      </c>
      <c r="Y12" s="19"/>
      <c r="Z12" s="19"/>
      <c r="AA12" s="18"/>
      <c r="AB12" s="20">
        <f t="shared" si="6"/>
        <v>0</v>
      </c>
      <c r="AJ12" s="33"/>
      <c r="AK12" s="35"/>
      <c r="AL12" s="38"/>
      <c r="AM12" s="48"/>
    </row>
    <row r="13" spans="1:39">
      <c r="A13" s="45"/>
      <c r="B13" s="46"/>
      <c r="C13" s="14"/>
      <c r="D13" s="14"/>
      <c r="E13" s="14"/>
      <c r="F13" s="15" t="str">
        <f t="shared" si="0"/>
        <v xml:space="preserve">S/F  </v>
      </c>
      <c r="G13" s="16"/>
      <c r="H13" s="54">
        <v>21</v>
      </c>
      <c r="I13" s="18">
        <f t="shared" si="1"/>
        <v>0</v>
      </c>
      <c r="J13" s="17"/>
      <c r="K13" s="18">
        <f t="shared" si="2"/>
        <v>0</v>
      </c>
      <c r="L13" s="16"/>
      <c r="M13" s="17"/>
      <c r="N13" s="18">
        <f t="shared" si="3"/>
        <v>0</v>
      </c>
      <c r="O13" s="19"/>
      <c r="P13" s="18"/>
      <c r="Q13" s="16"/>
      <c r="R13" s="17"/>
      <c r="S13" s="18"/>
      <c r="T13" s="19"/>
      <c r="U13" s="18"/>
      <c r="V13" s="16"/>
      <c r="W13" s="17"/>
      <c r="X13" s="18">
        <f t="shared" si="4"/>
        <v>0</v>
      </c>
      <c r="Y13" s="19"/>
      <c r="Z13" s="19"/>
      <c r="AA13" s="18">
        <f>+IF(Z13&lt;&gt;0,Y13*Z13/100,0)</f>
        <v>0</v>
      </c>
      <c r="AB13" s="20">
        <f t="shared" si="6"/>
        <v>0</v>
      </c>
      <c r="AC13" s="5"/>
      <c r="AD13" s="8"/>
      <c r="AF13" s="6"/>
      <c r="AG13" s="7"/>
      <c r="AJ13" s="33"/>
      <c r="AK13" s="35"/>
      <c r="AL13" s="38"/>
      <c r="AM13" s="48"/>
    </row>
    <row r="14" spans="1:39">
      <c r="A14" s="45"/>
      <c r="B14" s="46"/>
      <c r="C14" s="14"/>
      <c r="D14" s="14"/>
      <c r="E14" s="14"/>
      <c r="F14" s="15" t="str">
        <f t="shared" si="0"/>
        <v xml:space="preserve">S/F  </v>
      </c>
      <c r="G14" s="16"/>
      <c r="H14" s="54">
        <v>21</v>
      </c>
      <c r="I14" s="18">
        <f t="shared" si="1"/>
        <v>0</v>
      </c>
      <c r="J14" s="17"/>
      <c r="K14" s="18">
        <f t="shared" si="2"/>
        <v>0</v>
      </c>
      <c r="L14" s="16"/>
      <c r="M14" s="17"/>
      <c r="N14" s="18">
        <f t="shared" si="3"/>
        <v>0</v>
      </c>
      <c r="O14" s="47"/>
      <c r="P14" s="47"/>
      <c r="Q14" s="47"/>
      <c r="R14" s="47"/>
      <c r="S14" s="47"/>
      <c r="T14" s="47"/>
      <c r="U14" s="47"/>
      <c r="V14" s="16"/>
      <c r="W14" s="17"/>
      <c r="X14" s="18">
        <f t="shared" si="4"/>
        <v>0</v>
      </c>
      <c r="Y14" s="19"/>
      <c r="Z14" s="19"/>
      <c r="AA14" s="18">
        <f>+IF(Z14&lt;&gt;0,Y14*Z14/100,0)</f>
        <v>0</v>
      </c>
      <c r="AB14" s="20">
        <f t="shared" si="6"/>
        <v>0</v>
      </c>
      <c r="AJ14" s="33"/>
      <c r="AK14" s="35"/>
      <c r="AL14" s="38"/>
      <c r="AM14" s="48"/>
    </row>
    <row r="15" spans="1:39">
      <c r="A15" s="45"/>
      <c r="B15" s="46"/>
      <c r="C15" s="14"/>
      <c r="D15" s="14"/>
      <c r="E15" s="14"/>
      <c r="F15" s="15" t="str">
        <f t="shared" si="0"/>
        <v xml:space="preserve">S/F  </v>
      </c>
      <c r="G15" s="16"/>
      <c r="H15" s="54">
        <v>21</v>
      </c>
      <c r="I15" s="18">
        <f t="shared" si="1"/>
        <v>0</v>
      </c>
      <c r="J15" s="17"/>
      <c r="K15" s="18">
        <f t="shared" si="2"/>
        <v>0</v>
      </c>
      <c r="L15" s="16"/>
      <c r="M15" s="17"/>
      <c r="N15" s="18">
        <f t="shared" si="3"/>
        <v>0</v>
      </c>
      <c r="O15" s="47"/>
      <c r="P15" s="47"/>
      <c r="Q15" s="47"/>
      <c r="R15" s="47"/>
      <c r="S15" s="47"/>
      <c r="T15" s="47"/>
      <c r="U15" s="47"/>
      <c r="V15" s="16"/>
      <c r="W15" s="17"/>
      <c r="X15" s="18">
        <f t="shared" si="4"/>
        <v>0</v>
      </c>
      <c r="Y15" s="19"/>
      <c r="Z15" s="19"/>
      <c r="AA15" s="18">
        <f>+IF(Z15&lt;&gt;0,Y15*Z15/100,0)</f>
        <v>0</v>
      </c>
      <c r="AB15" s="20">
        <f t="shared" si="6"/>
        <v>0</v>
      </c>
      <c r="AJ15" s="33"/>
      <c r="AK15" s="35"/>
      <c r="AL15" s="38"/>
      <c r="AM15" s="48"/>
    </row>
    <row r="16" spans="1:39">
      <c r="A16" s="45"/>
      <c r="B16" s="46"/>
      <c r="C16" s="14"/>
      <c r="D16" s="14"/>
      <c r="E16" s="14"/>
      <c r="F16" s="15" t="str">
        <f t="shared" si="0"/>
        <v xml:space="preserve">S/F  </v>
      </c>
      <c r="G16" s="16"/>
      <c r="H16" s="54">
        <v>21</v>
      </c>
      <c r="I16" s="18">
        <f t="shared" si="1"/>
        <v>0</v>
      </c>
      <c r="J16" s="17"/>
      <c r="K16" s="18">
        <f t="shared" si="2"/>
        <v>0</v>
      </c>
      <c r="L16" s="16"/>
      <c r="M16" s="17"/>
      <c r="N16" s="18">
        <f t="shared" si="3"/>
        <v>0</v>
      </c>
      <c r="O16" s="47"/>
      <c r="P16" s="47"/>
      <c r="Q16" s="47"/>
      <c r="R16" s="47"/>
      <c r="S16" s="47"/>
      <c r="T16" s="47"/>
      <c r="U16" s="47"/>
      <c r="V16" s="16"/>
      <c r="W16" s="17"/>
      <c r="X16" s="18">
        <f t="shared" si="4"/>
        <v>0</v>
      </c>
      <c r="Y16" s="19"/>
      <c r="Z16" s="19"/>
      <c r="AA16" s="18"/>
      <c r="AB16" s="20">
        <f t="shared" si="6"/>
        <v>0</v>
      </c>
      <c r="AJ16" s="33"/>
      <c r="AK16" s="35"/>
      <c r="AL16" s="38"/>
      <c r="AM16" s="48"/>
    </row>
    <row r="17" spans="1:39">
      <c r="A17" s="45"/>
      <c r="B17" s="46"/>
      <c r="C17" s="14"/>
      <c r="D17" s="14"/>
      <c r="E17" s="14"/>
      <c r="F17" s="15" t="str">
        <f t="shared" si="0"/>
        <v xml:space="preserve">S/F  </v>
      </c>
      <c r="G17" s="16"/>
      <c r="H17" s="54">
        <v>10</v>
      </c>
      <c r="I17" s="18">
        <f t="shared" si="1"/>
        <v>0</v>
      </c>
      <c r="J17" s="17"/>
      <c r="K17" s="18">
        <f t="shared" si="2"/>
        <v>0</v>
      </c>
      <c r="L17" s="16"/>
      <c r="M17" s="17"/>
      <c r="N17" s="18">
        <f t="shared" si="3"/>
        <v>0</v>
      </c>
      <c r="O17" s="47"/>
      <c r="P17" s="47"/>
      <c r="Q17" s="47"/>
      <c r="R17" s="47"/>
      <c r="S17" s="47"/>
      <c r="T17" s="47"/>
      <c r="U17" s="47"/>
      <c r="V17" s="16"/>
      <c r="W17" s="17"/>
      <c r="X17" s="18">
        <f t="shared" si="4"/>
        <v>0</v>
      </c>
      <c r="Y17" s="19"/>
      <c r="Z17" s="19"/>
      <c r="AA17" s="18"/>
      <c r="AB17" s="20">
        <f t="shared" si="6"/>
        <v>0</v>
      </c>
      <c r="AJ17" s="33"/>
      <c r="AK17" s="35"/>
      <c r="AL17" s="38"/>
      <c r="AM17" s="48"/>
    </row>
    <row r="18" spans="1:39">
      <c r="A18" s="45"/>
      <c r="B18" s="46"/>
      <c r="C18" s="14"/>
      <c r="D18" s="14"/>
      <c r="E18" s="14"/>
      <c r="F18" s="15" t="str">
        <f t="shared" si="0"/>
        <v xml:space="preserve">S/F  </v>
      </c>
      <c r="G18" s="16"/>
      <c r="H18" s="54">
        <v>21</v>
      </c>
      <c r="I18" s="18">
        <f t="shared" si="1"/>
        <v>0</v>
      </c>
      <c r="J18" s="17"/>
      <c r="K18" s="18">
        <f t="shared" si="2"/>
        <v>0</v>
      </c>
      <c r="L18" s="16"/>
      <c r="M18" s="17"/>
      <c r="N18" s="18">
        <f t="shared" si="3"/>
        <v>0</v>
      </c>
      <c r="O18" s="47"/>
      <c r="P18" s="47"/>
      <c r="Q18" s="47"/>
      <c r="R18" s="47"/>
      <c r="S18" s="47"/>
      <c r="T18" s="47"/>
      <c r="U18" s="47"/>
      <c r="V18" s="16"/>
      <c r="W18" s="17"/>
      <c r="X18" s="18">
        <f t="shared" si="4"/>
        <v>0</v>
      </c>
      <c r="Y18" s="19"/>
      <c r="Z18" s="19"/>
      <c r="AA18" s="18">
        <f>+IF(Z18&lt;&gt;0,Y18*Z18/100,0)</f>
        <v>0</v>
      </c>
      <c r="AB18" s="20">
        <f t="shared" si="6"/>
        <v>0</v>
      </c>
      <c r="AJ18" s="33"/>
      <c r="AK18" s="35"/>
      <c r="AL18" s="38"/>
      <c r="AM18" s="48"/>
    </row>
    <row r="19" spans="1:39">
      <c r="A19" s="45"/>
      <c r="B19" s="46"/>
      <c r="C19" s="14"/>
      <c r="D19" s="14"/>
      <c r="E19" s="14"/>
      <c r="F19" s="15" t="str">
        <f t="shared" si="0"/>
        <v xml:space="preserve">S/F  </v>
      </c>
      <c r="G19" s="16"/>
      <c r="H19" s="54">
        <v>21</v>
      </c>
      <c r="I19" s="18">
        <f t="shared" si="1"/>
        <v>0</v>
      </c>
      <c r="J19" s="17"/>
      <c r="K19" s="18">
        <f t="shared" si="2"/>
        <v>0</v>
      </c>
      <c r="L19" s="16"/>
      <c r="M19" s="17"/>
      <c r="N19" s="18">
        <f t="shared" si="3"/>
        <v>0</v>
      </c>
      <c r="O19" s="19"/>
      <c r="P19" s="18"/>
      <c r="Q19" s="16"/>
      <c r="R19" s="17"/>
      <c r="S19" s="18"/>
      <c r="T19" s="19"/>
      <c r="U19" s="18"/>
      <c r="V19" s="16"/>
      <c r="W19" s="17"/>
      <c r="X19" s="18">
        <f t="shared" si="4"/>
        <v>0</v>
      </c>
      <c r="Y19" s="19"/>
      <c r="Z19" s="19"/>
      <c r="AA19" s="18">
        <f>+IF(Z19&lt;&gt;0,Y19*Z19/100,0)</f>
        <v>0</v>
      </c>
      <c r="AB19" s="20">
        <f t="shared" si="6"/>
        <v>0</v>
      </c>
      <c r="AC19" s="5"/>
      <c r="AD19" s="8"/>
      <c r="AF19" s="6"/>
      <c r="AG19" s="7"/>
      <c r="AJ19" s="33"/>
      <c r="AK19" s="35"/>
      <c r="AL19" s="38"/>
      <c r="AM19" s="48"/>
    </row>
    <row r="20" spans="1:39">
      <c r="A20" s="45"/>
      <c r="B20" s="46"/>
      <c r="C20" s="14"/>
      <c r="D20" s="14"/>
      <c r="E20" s="14"/>
      <c r="F20" s="15" t="str">
        <f t="shared" si="0"/>
        <v xml:space="preserve">S/F  </v>
      </c>
      <c r="G20" s="16"/>
      <c r="H20" s="54">
        <v>21</v>
      </c>
      <c r="I20" s="18">
        <f t="shared" si="1"/>
        <v>0</v>
      </c>
      <c r="J20" s="17"/>
      <c r="K20" s="18">
        <f t="shared" si="2"/>
        <v>0</v>
      </c>
      <c r="L20" s="16"/>
      <c r="M20" s="17"/>
      <c r="N20" s="18">
        <f t="shared" si="3"/>
        <v>0</v>
      </c>
      <c r="O20" s="19"/>
      <c r="P20" s="18"/>
      <c r="Q20" s="16"/>
      <c r="R20" s="17"/>
      <c r="S20" s="18"/>
      <c r="T20" s="19"/>
      <c r="U20" s="18"/>
      <c r="V20" s="16"/>
      <c r="W20" s="17"/>
      <c r="X20" s="18">
        <f t="shared" si="4"/>
        <v>0</v>
      </c>
      <c r="Y20" s="19"/>
      <c r="Z20" s="19"/>
      <c r="AA20" s="18">
        <f>+IF(Z20&lt;&gt;0,Y20*Z20/100,0)</f>
        <v>0</v>
      </c>
      <c r="AB20" s="20">
        <f t="shared" si="6"/>
        <v>0</v>
      </c>
      <c r="AC20" s="5"/>
      <c r="AD20" s="8"/>
      <c r="AF20" s="6"/>
      <c r="AG20" s="7"/>
      <c r="AJ20" s="33"/>
      <c r="AK20" s="35"/>
      <c r="AL20" s="38"/>
      <c r="AM20" s="48"/>
    </row>
    <row r="21" spans="1:39">
      <c r="A21" s="45"/>
      <c r="B21" s="46"/>
      <c r="C21" s="14"/>
      <c r="D21" s="14"/>
      <c r="E21" s="14"/>
      <c r="F21" s="15" t="str">
        <f t="shared" si="0"/>
        <v xml:space="preserve">S/F  </v>
      </c>
      <c r="G21" s="16"/>
      <c r="H21" s="54">
        <v>21</v>
      </c>
      <c r="I21" s="18">
        <f t="shared" si="1"/>
        <v>0</v>
      </c>
      <c r="J21" s="17"/>
      <c r="K21" s="18">
        <f t="shared" si="2"/>
        <v>0</v>
      </c>
      <c r="L21" s="16"/>
      <c r="M21" s="17"/>
      <c r="N21" s="18">
        <f t="shared" si="3"/>
        <v>0</v>
      </c>
      <c r="O21" s="19"/>
      <c r="P21" s="18"/>
      <c r="Q21" s="16"/>
      <c r="R21" s="17"/>
      <c r="S21" s="18"/>
      <c r="T21" s="19"/>
      <c r="U21" s="18"/>
      <c r="V21" s="16"/>
      <c r="W21" s="17"/>
      <c r="X21" s="18">
        <f t="shared" si="4"/>
        <v>0</v>
      </c>
      <c r="Y21" s="19"/>
      <c r="Z21" s="19"/>
      <c r="AA21" s="18">
        <f>+IF(Z21&lt;&gt;0,Y21*Z21/100,0)</f>
        <v>0</v>
      </c>
      <c r="AB21" s="20">
        <f t="shared" si="6"/>
        <v>0</v>
      </c>
      <c r="AC21" s="5"/>
      <c r="AD21" s="8"/>
      <c r="AF21" s="6"/>
      <c r="AG21" s="7"/>
      <c r="AJ21" s="33"/>
      <c r="AK21" s="35"/>
      <c r="AL21" s="38"/>
      <c r="AM21" s="48"/>
    </row>
    <row r="22" spans="1:39">
      <c r="A22" s="45"/>
      <c r="B22" s="46"/>
      <c r="C22" s="14"/>
      <c r="D22" s="14"/>
      <c r="E22" s="14"/>
      <c r="F22" s="15" t="str">
        <f t="shared" si="0"/>
        <v xml:space="preserve">S/F  </v>
      </c>
      <c r="G22" s="16"/>
      <c r="H22" s="55">
        <v>21</v>
      </c>
      <c r="I22" s="18">
        <f t="shared" si="1"/>
        <v>0</v>
      </c>
      <c r="J22" s="17"/>
      <c r="K22" s="18">
        <f t="shared" si="2"/>
        <v>0</v>
      </c>
      <c r="L22" s="16"/>
      <c r="M22" s="17"/>
      <c r="N22" s="18">
        <f t="shared" si="3"/>
        <v>0</v>
      </c>
      <c r="O22" s="47"/>
      <c r="P22" s="47"/>
      <c r="Q22" s="47"/>
      <c r="R22" s="47"/>
      <c r="S22" s="47"/>
      <c r="T22" s="47"/>
      <c r="U22" s="47"/>
      <c r="V22" s="16"/>
      <c r="W22" s="17"/>
      <c r="X22" s="18">
        <f t="shared" si="4"/>
        <v>0</v>
      </c>
      <c r="Y22" s="19"/>
      <c r="Z22" s="19"/>
      <c r="AA22" s="18"/>
      <c r="AB22" s="20">
        <f t="shared" si="6"/>
        <v>0</v>
      </c>
      <c r="AJ22" s="33"/>
      <c r="AK22" s="35"/>
      <c r="AL22" s="38"/>
      <c r="AM22" s="48"/>
    </row>
    <row r="23" spans="1:39">
      <c r="A23" s="45"/>
      <c r="B23" s="46"/>
      <c r="C23" s="14"/>
      <c r="D23" s="14"/>
      <c r="E23" s="14"/>
      <c r="F23" s="15" t="str">
        <f t="shared" si="0"/>
        <v xml:space="preserve">S/F  </v>
      </c>
      <c r="G23" s="16"/>
      <c r="H23" s="54">
        <v>21</v>
      </c>
      <c r="I23" s="18">
        <f t="shared" si="1"/>
        <v>0</v>
      </c>
      <c r="J23" s="17"/>
      <c r="K23" s="18">
        <f t="shared" si="2"/>
        <v>0</v>
      </c>
      <c r="L23" s="16"/>
      <c r="M23" s="17"/>
      <c r="N23" s="18">
        <f t="shared" si="3"/>
        <v>0</v>
      </c>
      <c r="O23" s="19"/>
      <c r="P23" s="18"/>
      <c r="Q23" s="16"/>
      <c r="R23" s="17"/>
      <c r="S23" s="18"/>
      <c r="T23" s="19"/>
      <c r="U23" s="18"/>
      <c r="V23" s="16"/>
      <c r="W23" s="17"/>
      <c r="X23" s="18">
        <f t="shared" si="4"/>
        <v>0</v>
      </c>
      <c r="Y23" s="19"/>
      <c r="Z23" s="19"/>
      <c r="AA23" s="18">
        <f>+IF(Z23&lt;&gt;0,Y23*Z23/100,0)</f>
        <v>0</v>
      </c>
      <c r="AB23" s="20">
        <f t="shared" si="6"/>
        <v>0</v>
      </c>
      <c r="AC23" s="5"/>
      <c r="AD23" s="8"/>
      <c r="AF23" s="6"/>
      <c r="AG23" s="7"/>
      <c r="AJ23" s="33"/>
      <c r="AK23" s="35"/>
      <c r="AL23" s="38"/>
      <c r="AM23" s="48"/>
    </row>
    <row r="24" spans="1:39">
      <c r="A24" s="45"/>
      <c r="B24" s="46"/>
      <c r="C24" s="14"/>
      <c r="D24" s="14"/>
      <c r="E24" s="14"/>
      <c r="F24" s="15" t="str">
        <f t="shared" si="0"/>
        <v xml:space="preserve">S/F  </v>
      </c>
      <c r="G24" s="16"/>
      <c r="H24" s="54">
        <v>21</v>
      </c>
      <c r="I24" s="18">
        <f t="shared" si="1"/>
        <v>0</v>
      </c>
      <c r="J24" s="17"/>
      <c r="K24" s="18">
        <f t="shared" si="2"/>
        <v>0</v>
      </c>
      <c r="L24" s="16"/>
      <c r="M24" s="17"/>
      <c r="N24" s="18">
        <f t="shared" si="3"/>
        <v>0</v>
      </c>
      <c r="O24" s="19"/>
      <c r="P24" s="18"/>
      <c r="Q24" s="16"/>
      <c r="R24" s="17"/>
      <c r="S24" s="18"/>
      <c r="T24" s="19"/>
      <c r="U24" s="18"/>
      <c r="V24" s="16"/>
      <c r="W24" s="17"/>
      <c r="X24" s="18">
        <f t="shared" si="4"/>
        <v>0</v>
      </c>
      <c r="Y24" s="19"/>
      <c r="Z24" s="19"/>
      <c r="AA24" s="18">
        <f>+IF(Z24&lt;&gt;0,Y24*Z24/100,0)</f>
        <v>0</v>
      </c>
      <c r="AB24" s="20">
        <f t="shared" si="6"/>
        <v>0</v>
      </c>
      <c r="AC24" s="5"/>
      <c r="AD24" s="8"/>
      <c r="AF24" s="6"/>
      <c r="AG24" s="7"/>
      <c r="AJ24" s="33"/>
      <c r="AK24" s="35"/>
      <c r="AL24" s="38"/>
      <c r="AM24" s="48"/>
    </row>
    <row r="25" spans="1:39">
      <c r="A25" s="45"/>
      <c r="B25" s="46"/>
      <c r="C25" s="14"/>
      <c r="D25" s="14"/>
      <c r="E25" s="14"/>
      <c r="F25" s="15" t="str">
        <f t="shared" si="0"/>
        <v xml:space="preserve">S/F  </v>
      </c>
      <c r="G25" s="16"/>
      <c r="H25" s="54">
        <v>21</v>
      </c>
      <c r="I25" s="18">
        <f t="shared" si="1"/>
        <v>0</v>
      </c>
      <c r="J25" s="17"/>
      <c r="K25" s="18">
        <f t="shared" si="2"/>
        <v>0</v>
      </c>
      <c r="L25" s="16"/>
      <c r="M25" s="17"/>
      <c r="N25" s="18">
        <f t="shared" si="3"/>
        <v>0</v>
      </c>
      <c r="O25" s="47"/>
      <c r="P25" s="47"/>
      <c r="Q25" s="47"/>
      <c r="R25" s="47"/>
      <c r="S25" s="47"/>
      <c r="T25" s="47"/>
      <c r="U25" s="47"/>
      <c r="V25" s="16"/>
      <c r="W25" s="17"/>
      <c r="X25" s="18">
        <f t="shared" si="4"/>
        <v>0</v>
      </c>
      <c r="Y25" s="19"/>
      <c r="Z25" s="19"/>
      <c r="AA25" s="18">
        <f>+IF(Z25&lt;&gt;0,Y25*Z25/100,0)</f>
        <v>0</v>
      </c>
      <c r="AB25" s="20">
        <f t="shared" si="6"/>
        <v>0</v>
      </c>
      <c r="AC25" s="5"/>
      <c r="AD25" s="2"/>
      <c r="AF25" s="2"/>
      <c r="AJ25" s="33"/>
      <c r="AK25" s="35"/>
      <c r="AL25" s="38"/>
      <c r="AM25" s="48"/>
    </row>
    <row r="26" spans="1:39">
      <c r="A26" s="45"/>
      <c r="B26" s="46"/>
      <c r="C26" s="14"/>
      <c r="D26" s="14"/>
      <c r="E26" s="14"/>
      <c r="F26" s="15" t="str">
        <f t="shared" si="0"/>
        <v xml:space="preserve">S/F  </v>
      </c>
      <c r="G26" s="16"/>
      <c r="H26" s="54">
        <v>21</v>
      </c>
      <c r="I26" s="18">
        <f t="shared" si="1"/>
        <v>0</v>
      </c>
      <c r="J26" s="17"/>
      <c r="K26" s="18">
        <f t="shared" si="2"/>
        <v>0</v>
      </c>
      <c r="L26" s="16"/>
      <c r="M26" s="17"/>
      <c r="N26" s="18">
        <f t="shared" si="3"/>
        <v>0</v>
      </c>
      <c r="O26" s="19"/>
      <c r="P26" s="18"/>
      <c r="Q26" s="16"/>
      <c r="R26" s="17"/>
      <c r="S26" s="18"/>
      <c r="T26" s="19"/>
      <c r="U26" s="18"/>
      <c r="V26" s="16"/>
      <c r="W26" s="17"/>
      <c r="X26" s="18">
        <f t="shared" si="4"/>
        <v>0</v>
      </c>
      <c r="Y26" s="19"/>
      <c r="Z26" s="19"/>
      <c r="AA26" s="18">
        <f>+IF(Z26&lt;&gt;0,Y26*Z26/100,0)</f>
        <v>0</v>
      </c>
      <c r="AB26" s="20">
        <f t="shared" si="6"/>
        <v>0</v>
      </c>
      <c r="AC26" s="5"/>
      <c r="AD26" s="8"/>
      <c r="AF26" s="6"/>
      <c r="AG26" s="7"/>
      <c r="AJ26" s="33"/>
      <c r="AK26" s="35"/>
      <c r="AL26" s="38"/>
      <c r="AM26" s="48"/>
    </row>
    <row r="27" spans="1:39">
      <c r="A27" s="45"/>
      <c r="B27" s="46"/>
      <c r="C27" s="14"/>
      <c r="D27" s="14"/>
      <c r="E27" s="14"/>
      <c r="F27" s="15" t="str">
        <f t="shared" si="0"/>
        <v xml:space="preserve">S/F  </v>
      </c>
      <c r="G27" s="16"/>
      <c r="H27" s="54">
        <v>21</v>
      </c>
      <c r="I27" s="18">
        <f t="shared" si="1"/>
        <v>0</v>
      </c>
      <c r="J27" s="17"/>
      <c r="K27" s="18">
        <f t="shared" si="2"/>
        <v>0</v>
      </c>
      <c r="L27" s="16"/>
      <c r="M27" s="17"/>
      <c r="N27" s="18">
        <f t="shared" si="3"/>
        <v>0</v>
      </c>
      <c r="O27" s="19"/>
      <c r="P27" s="18"/>
      <c r="Q27" s="16"/>
      <c r="R27" s="17"/>
      <c r="S27" s="18"/>
      <c r="T27" s="19"/>
      <c r="U27" s="18"/>
      <c r="V27" s="16"/>
      <c r="W27" s="17"/>
      <c r="X27" s="18">
        <f t="shared" si="4"/>
        <v>0</v>
      </c>
      <c r="Y27" s="19"/>
      <c r="Z27" s="19"/>
      <c r="AA27" s="18">
        <f>+IF(Z27&lt;&gt;0,Y27*Z27/100,0)</f>
        <v>0</v>
      </c>
      <c r="AB27" s="20">
        <f t="shared" si="6"/>
        <v>0</v>
      </c>
      <c r="AC27" s="5"/>
      <c r="AD27" s="8"/>
      <c r="AF27" s="6"/>
      <c r="AG27" s="7"/>
      <c r="AJ27" s="33"/>
      <c r="AK27" s="35"/>
      <c r="AL27" s="38"/>
      <c r="AM27" s="48"/>
    </row>
    <row r="28" spans="1:39">
      <c r="A28" s="45"/>
      <c r="B28" s="46"/>
      <c r="C28" s="14"/>
      <c r="D28" s="14"/>
      <c r="E28" s="14"/>
      <c r="F28" s="15" t="str">
        <f t="shared" si="0"/>
        <v xml:space="preserve">S/F  </v>
      </c>
      <c r="G28" s="16"/>
      <c r="H28" s="55">
        <v>21</v>
      </c>
      <c r="I28" s="18">
        <f t="shared" si="1"/>
        <v>0</v>
      </c>
      <c r="J28" s="17"/>
      <c r="K28" s="18">
        <f t="shared" si="2"/>
        <v>0</v>
      </c>
      <c r="L28" s="16"/>
      <c r="M28" s="17"/>
      <c r="N28" s="18">
        <f t="shared" si="3"/>
        <v>0</v>
      </c>
      <c r="O28" s="47"/>
      <c r="P28" s="47"/>
      <c r="Q28" s="47"/>
      <c r="R28" s="47"/>
      <c r="S28" s="47"/>
      <c r="T28" s="47"/>
      <c r="U28" s="47"/>
      <c r="V28" s="16"/>
      <c r="W28" s="17"/>
      <c r="X28" s="18">
        <f t="shared" si="4"/>
        <v>0</v>
      </c>
      <c r="Y28" s="19"/>
      <c r="Z28" s="19"/>
      <c r="AA28" s="18"/>
      <c r="AB28" s="20">
        <f t="shared" si="6"/>
        <v>0</v>
      </c>
      <c r="AJ28" s="33"/>
      <c r="AK28" s="35"/>
      <c r="AL28" s="38"/>
      <c r="AM28" s="48"/>
    </row>
    <row r="29" spans="1:39">
      <c r="A29" s="45"/>
      <c r="B29" s="46"/>
      <c r="C29" s="14"/>
      <c r="D29" s="14"/>
      <c r="E29" s="14"/>
      <c r="F29" s="15" t="str">
        <f t="shared" si="0"/>
        <v xml:space="preserve">S/F  </v>
      </c>
      <c r="G29" s="16"/>
      <c r="H29" s="54">
        <v>21</v>
      </c>
      <c r="I29" s="18">
        <f t="shared" si="1"/>
        <v>0</v>
      </c>
      <c r="J29" s="17"/>
      <c r="K29" s="18">
        <f t="shared" si="2"/>
        <v>0</v>
      </c>
      <c r="L29" s="16"/>
      <c r="M29" s="17"/>
      <c r="N29" s="18">
        <f t="shared" si="3"/>
        <v>0</v>
      </c>
      <c r="O29" s="19"/>
      <c r="P29" s="18"/>
      <c r="Q29" s="16"/>
      <c r="R29" s="17"/>
      <c r="S29" s="18"/>
      <c r="T29" s="19"/>
      <c r="U29" s="18"/>
      <c r="V29" s="19"/>
      <c r="W29" s="19"/>
      <c r="X29" s="18">
        <f t="shared" si="4"/>
        <v>0</v>
      </c>
      <c r="Y29" s="19"/>
      <c r="Z29" s="19"/>
      <c r="AA29" s="18">
        <f t="shared" ref="AA29:AA41" si="7">+IF(Z29&lt;&gt;0,Y29*Z29/100,0)</f>
        <v>0</v>
      </c>
      <c r="AB29" s="20">
        <f t="shared" si="6"/>
        <v>0</v>
      </c>
      <c r="AC29" s="5"/>
      <c r="AD29" s="2"/>
      <c r="AF29" s="6"/>
      <c r="AG29" s="7"/>
      <c r="AJ29" s="33"/>
      <c r="AK29" s="35"/>
      <c r="AL29" s="38"/>
      <c r="AM29" s="48"/>
    </row>
    <row r="30" spans="1:39">
      <c r="A30" s="45"/>
      <c r="B30" s="46"/>
      <c r="C30" s="14"/>
      <c r="D30" s="14"/>
      <c r="E30" s="14"/>
      <c r="F30" s="15" t="str">
        <f t="shared" si="0"/>
        <v xml:space="preserve">S/F  </v>
      </c>
      <c r="G30" s="16"/>
      <c r="H30" s="54">
        <v>21</v>
      </c>
      <c r="I30" s="18">
        <f t="shared" si="1"/>
        <v>0</v>
      </c>
      <c r="J30" s="17"/>
      <c r="K30" s="18">
        <f t="shared" si="2"/>
        <v>0</v>
      </c>
      <c r="L30" s="16"/>
      <c r="M30" s="17"/>
      <c r="N30" s="18">
        <f t="shared" si="3"/>
        <v>0</v>
      </c>
      <c r="O30" s="19"/>
      <c r="P30" s="18"/>
      <c r="Q30" s="16"/>
      <c r="R30" s="17"/>
      <c r="S30" s="18"/>
      <c r="T30" s="19"/>
      <c r="U30" s="18"/>
      <c r="V30" s="16"/>
      <c r="W30" s="17"/>
      <c r="X30" s="18">
        <f t="shared" si="4"/>
        <v>0</v>
      </c>
      <c r="Y30" s="19"/>
      <c r="Z30" s="19"/>
      <c r="AA30" s="18">
        <f t="shared" si="7"/>
        <v>0</v>
      </c>
      <c r="AB30" s="20">
        <f t="shared" si="6"/>
        <v>0</v>
      </c>
      <c r="AC30" s="5"/>
      <c r="AD30" s="8"/>
      <c r="AF30" s="6"/>
      <c r="AG30" s="7"/>
      <c r="AJ30" s="33"/>
      <c r="AK30" s="35"/>
      <c r="AL30" s="38"/>
      <c r="AM30" s="48"/>
    </row>
    <row r="31" spans="1:39">
      <c r="A31" s="45"/>
      <c r="B31" s="46"/>
      <c r="C31" s="14"/>
      <c r="D31" s="14"/>
      <c r="E31" s="14"/>
      <c r="F31" s="15" t="str">
        <f t="shared" si="0"/>
        <v xml:space="preserve">S/F  </v>
      </c>
      <c r="G31" s="16"/>
      <c r="H31" s="54">
        <v>21</v>
      </c>
      <c r="I31" s="18">
        <f t="shared" si="1"/>
        <v>0</v>
      </c>
      <c r="J31" s="17"/>
      <c r="K31" s="18">
        <f t="shared" si="2"/>
        <v>0</v>
      </c>
      <c r="L31" s="16"/>
      <c r="M31" s="17"/>
      <c r="N31" s="18">
        <f t="shared" si="3"/>
        <v>0</v>
      </c>
      <c r="O31" s="19"/>
      <c r="P31" s="18"/>
      <c r="Q31" s="16"/>
      <c r="R31" s="17"/>
      <c r="S31" s="18"/>
      <c r="T31" s="19"/>
      <c r="U31" s="18"/>
      <c r="V31" s="16"/>
      <c r="W31" s="17"/>
      <c r="X31" s="18">
        <f t="shared" si="4"/>
        <v>0</v>
      </c>
      <c r="Y31" s="19"/>
      <c r="Z31" s="19"/>
      <c r="AA31" s="18">
        <f t="shared" si="7"/>
        <v>0</v>
      </c>
      <c r="AB31" s="20">
        <f t="shared" si="6"/>
        <v>0</v>
      </c>
      <c r="AC31" s="5"/>
      <c r="AD31" s="8"/>
      <c r="AF31" s="6"/>
      <c r="AG31" s="7"/>
      <c r="AJ31" s="33"/>
      <c r="AK31" s="35"/>
      <c r="AL31" s="38"/>
      <c r="AM31" s="48"/>
    </row>
    <row r="32" spans="1:39">
      <c r="A32" s="45"/>
      <c r="B32" s="46"/>
      <c r="C32" s="14"/>
      <c r="D32" s="14"/>
      <c r="E32" s="14"/>
      <c r="F32" s="15" t="str">
        <f t="shared" si="0"/>
        <v xml:space="preserve">S/F  </v>
      </c>
      <c r="G32" s="16"/>
      <c r="H32" s="54">
        <v>21</v>
      </c>
      <c r="I32" s="18">
        <f t="shared" si="1"/>
        <v>0</v>
      </c>
      <c r="J32" s="17"/>
      <c r="K32" s="18">
        <f t="shared" si="2"/>
        <v>0</v>
      </c>
      <c r="L32" s="16"/>
      <c r="M32" s="17"/>
      <c r="N32" s="18">
        <f t="shared" si="3"/>
        <v>0</v>
      </c>
      <c r="O32" s="19"/>
      <c r="P32" s="18"/>
      <c r="Q32" s="16"/>
      <c r="R32" s="17"/>
      <c r="S32" s="18"/>
      <c r="T32" s="19"/>
      <c r="U32" s="18"/>
      <c r="V32" s="16"/>
      <c r="W32" s="17"/>
      <c r="X32" s="18">
        <f t="shared" si="4"/>
        <v>0</v>
      </c>
      <c r="Y32" s="19"/>
      <c r="Z32" s="19"/>
      <c r="AA32" s="18">
        <f t="shared" si="7"/>
        <v>0</v>
      </c>
      <c r="AB32" s="20">
        <f t="shared" si="6"/>
        <v>0</v>
      </c>
      <c r="AC32" s="5"/>
      <c r="AD32" s="8"/>
      <c r="AF32" s="6"/>
      <c r="AG32" s="7"/>
      <c r="AJ32" s="33"/>
      <c r="AK32" s="35"/>
      <c r="AL32" s="38"/>
      <c r="AM32" s="48"/>
    </row>
    <row r="33" spans="1:39">
      <c r="A33" s="45"/>
      <c r="B33" s="46"/>
      <c r="C33" s="14"/>
      <c r="D33" s="14"/>
      <c r="E33" s="14"/>
      <c r="F33" s="15" t="str">
        <f t="shared" si="0"/>
        <v xml:space="preserve">S/F  </v>
      </c>
      <c r="G33" s="16"/>
      <c r="H33" s="54">
        <v>21</v>
      </c>
      <c r="I33" s="18">
        <f t="shared" si="1"/>
        <v>0</v>
      </c>
      <c r="J33" s="17"/>
      <c r="K33" s="18">
        <f t="shared" si="2"/>
        <v>0</v>
      </c>
      <c r="L33" s="16"/>
      <c r="M33" s="17"/>
      <c r="N33" s="18">
        <f t="shared" si="3"/>
        <v>0</v>
      </c>
      <c r="O33" s="47"/>
      <c r="P33" s="47"/>
      <c r="Q33" s="47"/>
      <c r="R33" s="47"/>
      <c r="S33" s="47"/>
      <c r="T33" s="47"/>
      <c r="U33" s="47"/>
      <c r="V33" s="16"/>
      <c r="W33" s="17"/>
      <c r="X33" s="18">
        <f t="shared" si="4"/>
        <v>0</v>
      </c>
      <c r="Y33" s="19"/>
      <c r="Z33" s="19"/>
      <c r="AA33" s="18">
        <f t="shared" si="7"/>
        <v>0</v>
      </c>
      <c r="AB33" s="20">
        <f t="shared" si="6"/>
        <v>0</v>
      </c>
      <c r="AJ33" s="33"/>
      <c r="AK33" s="35"/>
      <c r="AL33" s="38"/>
      <c r="AM33" s="48"/>
    </row>
    <row r="34" spans="1:39">
      <c r="A34" s="45"/>
      <c r="B34" s="46"/>
      <c r="C34" s="14"/>
      <c r="D34" s="14"/>
      <c r="E34" s="14"/>
      <c r="F34" s="15" t="str">
        <f t="shared" ref="F34:F65" si="8">"S/F "&amp;B34&amp;" "&amp;E34</f>
        <v xml:space="preserve">S/F  </v>
      </c>
      <c r="G34" s="16"/>
      <c r="H34" s="54">
        <v>21</v>
      </c>
      <c r="I34" s="18">
        <f t="shared" ref="I34:I65" si="9">+IF(G34&lt;&gt;0,G34*H34/100,0)</f>
        <v>0</v>
      </c>
      <c r="J34" s="17"/>
      <c r="K34" s="18">
        <f t="shared" ref="K34:K65" si="10">+IF(G34&lt;&gt;0,G34*J34/100,0)</f>
        <v>0</v>
      </c>
      <c r="L34" s="16"/>
      <c r="M34" s="17"/>
      <c r="N34" s="18">
        <f t="shared" ref="N34:N65" si="11">+IF(L34&lt;&gt;0,L34*M34/100,0)</f>
        <v>0</v>
      </c>
      <c r="O34" s="19"/>
      <c r="P34" s="18"/>
      <c r="Q34" s="16"/>
      <c r="R34" s="17"/>
      <c r="S34" s="18"/>
      <c r="T34" s="19"/>
      <c r="U34" s="18"/>
      <c r="V34" s="16"/>
      <c r="W34" s="17"/>
      <c r="X34" s="18">
        <f t="shared" ref="X34:X65" si="12">+IF(W34&lt;&gt;0,V34*W34/100,0)</f>
        <v>0</v>
      </c>
      <c r="Y34" s="19"/>
      <c r="Z34" s="19"/>
      <c r="AA34" s="18">
        <f t="shared" si="7"/>
        <v>0</v>
      </c>
      <c r="AB34" s="20">
        <f t="shared" ref="AB34:AB65" si="13">+G34+I34+K34+L34+N34+P34+Q34+S34+U34-X34-AA34</f>
        <v>0</v>
      </c>
      <c r="AC34" s="5"/>
      <c r="AD34" s="8"/>
      <c r="AF34" s="6"/>
      <c r="AG34" s="7"/>
      <c r="AJ34" s="33"/>
      <c r="AK34" s="35"/>
      <c r="AL34" s="38"/>
      <c r="AM34" s="48"/>
    </row>
    <row r="35" spans="1:39">
      <c r="A35" s="45"/>
      <c r="B35" s="46"/>
      <c r="C35" s="14"/>
      <c r="D35" s="14"/>
      <c r="E35" s="14"/>
      <c r="F35" s="15" t="str">
        <f t="shared" si="8"/>
        <v xml:space="preserve">S/F  </v>
      </c>
      <c r="G35" s="16"/>
      <c r="H35" s="54">
        <v>21</v>
      </c>
      <c r="I35" s="18">
        <f t="shared" si="9"/>
        <v>0</v>
      </c>
      <c r="J35" s="17"/>
      <c r="K35" s="18">
        <f t="shared" si="10"/>
        <v>0</v>
      </c>
      <c r="L35" s="16"/>
      <c r="M35" s="17"/>
      <c r="N35" s="18">
        <f t="shared" si="11"/>
        <v>0</v>
      </c>
      <c r="O35" s="19"/>
      <c r="P35" s="18"/>
      <c r="Q35" s="16"/>
      <c r="R35" s="17"/>
      <c r="S35" s="18"/>
      <c r="T35" s="19"/>
      <c r="U35" s="18"/>
      <c r="V35" s="16"/>
      <c r="W35" s="17"/>
      <c r="X35" s="18">
        <f t="shared" si="12"/>
        <v>0</v>
      </c>
      <c r="Y35" s="19"/>
      <c r="Z35" s="19"/>
      <c r="AA35" s="18">
        <f t="shared" si="7"/>
        <v>0</v>
      </c>
      <c r="AB35" s="20">
        <f t="shared" si="13"/>
        <v>0</v>
      </c>
      <c r="AC35" s="5"/>
      <c r="AD35" s="8"/>
      <c r="AF35" s="6"/>
      <c r="AG35" s="7"/>
      <c r="AJ35" s="33"/>
      <c r="AK35" s="35"/>
      <c r="AL35" s="38"/>
      <c r="AM35" s="48"/>
    </row>
    <row r="36" spans="1:39">
      <c r="A36" s="45"/>
      <c r="B36" s="46"/>
      <c r="C36" s="14"/>
      <c r="D36" s="14"/>
      <c r="E36" s="14"/>
      <c r="F36" s="15" t="str">
        <f t="shared" si="8"/>
        <v xml:space="preserve">S/F  </v>
      </c>
      <c r="G36" s="16"/>
      <c r="H36" s="54">
        <v>21</v>
      </c>
      <c r="I36" s="18">
        <f t="shared" si="9"/>
        <v>0</v>
      </c>
      <c r="J36" s="17"/>
      <c r="K36" s="18">
        <f t="shared" si="10"/>
        <v>0</v>
      </c>
      <c r="L36" s="16"/>
      <c r="M36" s="17"/>
      <c r="N36" s="18">
        <f t="shared" si="11"/>
        <v>0</v>
      </c>
      <c r="O36" s="19"/>
      <c r="P36" s="18"/>
      <c r="Q36" s="16"/>
      <c r="R36" s="17"/>
      <c r="S36" s="18"/>
      <c r="T36" s="19"/>
      <c r="U36" s="18"/>
      <c r="V36" s="16"/>
      <c r="W36" s="17"/>
      <c r="X36" s="18">
        <f t="shared" si="12"/>
        <v>0</v>
      </c>
      <c r="Y36" s="19"/>
      <c r="Z36" s="19"/>
      <c r="AA36" s="18">
        <f t="shared" si="7"/>
        <v>0</v>
      </c>
      <c r="AB36" s="20">
        <f t="shared" si="13"/>
        <v>0</v>
      </c>
      <c r="AC36" s="5"/>
      <c r="AD36" s="8"/>
      <c r="AF36" s="6"/>
      <c r="AG36" s="7"/>
      <c r="AJ36" s="33"/>
      <c r="AK36" s="35"/>
      <c r="AL36" s="38"/>
      <c r="AM36" s="48"/>
    </row>
    <row r="37" spans="1:39">
      <c r="A37" s="45"/>
      <c r="B37" s="46"/>
      <c r="C37" s="14"/>
      <c r="D37" s="14"/>
      <c r="E37" s="14"/>
      <c r="F37" s="15" t="str">
        <f t="shared" si="8"/>
        <v xml:space="preserve">S/F  </v>
      </c>
      <c r="G37" s="16"/>
      <c r="H37" s="54">
        <v>21</v>
      </c>
      <c r="I37" s="18">
        <f t="shared" si="9"/>
        <v>0</v>
      </c>
      <c r="J37" s="17"/>
      <c r="K37" s="18">
        <f t="shared" si="10"/>
        <v>0</v>
      </c>
      <c r="L37" s="16"/>
      <c r="M37" s="17"/>
      <c r="N37" s="18">
        <f t="shared" si="11"/>
        <v>0</v>
      </c>
      <c r="O37" s="19"/>
      <c r="P37" s="18"/>
      <c r="Q37" s="16"/>
      <c r="R37" s="17"/>
      <c r="S37" s="18"/>
      <c r="T37" s="19"/>
      <c r="U37" s="18"/>
      <c r="V37" s="16"/>
      <c r="W37" s="17"/>
      <c r="X37" s="18">
        <f t="shared" si="12"/>
        <v>0</v>
      </c>
      <c r="Y37" s="19"/>
      <c r="Z37" s="19"/>
      <c r="AA37" s="18">
        <f t="shared" si="7"/>
        <v>0</v>
      </c>
      <c r="AB37" s="20">
        <f t="shared" si="13"/>
        <v>0</v>
      </c>
      <c r="AC37" s="5"/>
      <c r="AD37" s="8"/>
      <c r="AF37" s="6"/>
      <c r="AG37" s="7"/>
      <c r="AJ37" s="33"/>
      <c r="AK37" s="35"/>
      <c r="AL37" s="38"/>
      <c r="AM37" s="48"/>
    </row>
    <row r="38" spans="1:39">
      <c r="A38" s="45"/>
      <c r="B38" s="46"/>
      <c r="C38" s="14"/>
      <c r="D38" s="14"/>
      <c r="E38" s="14"/>
      <c r="F38" s="15" t="str">
        <f t="shared" si="8"/>
        <v xml:space="preserve">S/F  </v>
      </c>
      <c r="G38" s="16"/>
      <c r="H38" s="54">
        <v>21</v>
      </c>
      <c r="I38" s="18">
        <f t="shared" si="9"/>
        <v>0</v>
      </c>
      <c r="J38" s="17"/>
      <c r="K38" s="18">
        <f t="shared" si="10"/>
        <v>0</v>
      </c>
      <c r="L38" s="16"/>
      <c r="M38" s="17"/>
      <c r="N38" s="18">
        <f t="shared" si="11"/>
        <v>0</v>
      </c>
      <c r="O38" s="19"/>
      <c r="P38" s="18"/>
      <c r="Q38" s="16"/>
      <c r="R38" s="17"/>
      <c r="S38" s="18"/>
      <c r="T38" s="19"/>
      <c r="U38" s="18"/>
      <c r="V38" s="16"/>
      <c r="W38" s="17"/>
      <c r="X38" s="18">
        <f t="shared" si="12"/>
        <v>0</v>
      </c>
      <c r="Y38" s="19"/>
      <c r="Z38" s="19"/>
      <c r="AA38" s="18">
        <f t="shared" si="7"/>
        <v>0</v>
      </c>
      <c r="AB38" s="20">
        <f t="shared" si="13"/>
        <v>0</v>
      </c>
      <c r="AC38" s="5"/>
      <c r="AD38" s="8"/>
      <c r="AF38" s="6"/>
      <c r="AG38" s="7"/>
      <c r="AJ38" s="33"/>
      <c r="AK38" s="35"/>
      <c r="AL38" s="38"/>
      <c r="AM38" s="48"/>
    </row>
    <row r="39" spans="1:39">
      <c r="A39" s="45"/>
      <c r="B39" s="46"/>
      <c r="C39" s="14"/>
      <c r="D39" s="14"/>
      <c r="E39" s="14"/>
      <c r="F39" s="15" t="str">
        <f t="shared" si="8"/>
        <v xml:space="preserve">S/F  </v>
      </c>
      <c r="G39" s="16"/>
      <c r="H39" s="54">
        <v>21</v>
      </c>
      <c r="I39" s="18">
        <f t="shared" si="9"/>
        <v>0</v>
      </c>
      <c r="J39" s="17"/>
      <c r="K39" s="18">
        <f t="shared" si="10"/>
        <v>0</v>
      </c>
      <c r="L39" s="16"/>
      <c r="M39" s="17"/>
      <c r="N39" s="18">
        <f t="shared" si="11"/>
        <v>0</v>
      </c>
      <c r="O39" s="47"/>
      <c r="P39" s="47"/>
      <c r="Q39" s="47"/>
      <c r="R39" s="47"/>
      <c r="S39" s="47"/>
      <c r="T39" s="47"/>
      <c r="U39" s="47"/>
      <c r="V39" s="16"/>
      <c r="W39" s="17"/>
      <c r="X39" s="18">
        <f t="shared" si="12"/>
        <v>0</v>
      </c>
      <c r="Y39" s="19"/>
      <c r="Z39" s="19"/>
      <c r="AA39" s="18">
        <f t="shared" si="7"/>
        <v>0</v>
      </c>
      <c r="AB39" s="20">
        <f t="shared" si="13"/>
        <v>0</v>
      </c>
      <c r="AJ39" s="33"/>
      <c r="AK39" s="35"/>
      <c r="AL39" s="38"/>
      <c r="AM39" s="48"/>
    </row>
    <row r="40" spans="1:39">
      <c r="A40" s="45"/>
      <c r="B40" s="46"/>
      <c r="C40" s="14"/>
      <c r="D40" s="14"/>
      <c r="E40" s="14"/>
      <c r="F40" s="15" t="str">
        <f t="shared" si="8"/>
        <v xml:space="preserve">S/F  </v>
      </c>
      <c r="G40" s="16"/>
      <c r="H40" s="54">
        <v>21</v>
      </c>
      <c r="I40" s="18">
        <f t="shared" si="9"/>
        <v>0</v>
      </c>
      <c r="J40" s="17"/>
      <c r="K40" s="18">
        <f t="shared" si="10"/>
        <v>0</v>
      </c>
      <c r="L40" s="16"/>
      <c r="M40" s="17"/>
      <c r="N40" s="18">
        <f t="shared" si="11"/>
        <v>0</v>
      </c>
      <c r="O40" s="47"/>
      <c r="P40" s="47"/>
      <c r="Q40" s="47"/>
      <c r="R40" s="47"/>
      <c r="S40" s="47"/>
      <c r="T40" s="47"/>
      <c r="U40" s="47"/>
      <c r="V40" s="16"/>
      <c r="W40" s="17"/>
      <c r="X40" s="18">
        <f t="shared" si="12"/>
        <v>0</v>
      </c>
      <c r="Y40" s="19"/>
      <c r="Z40" s="19"/>
      <c r="AA40" s="18">
        <f t="shared" si="7"/>
        <v>0</v>
      </c>
      <c r="AB40" s="20">
        <f t="shared" si="13"/>
        <v>0</v>
      </c>
      <c r="AJ40" s="33"/>
      <c r="AK40" s="35"/>
      <c r="AL40" s="38"/>
      <c r="AM40" s="48"/>
    </row>
    <row r="41" spans="1:39">
      <c r="A41" s="45"/>
      <c r="B41" s="46"/>
      <c r="C41" s="14"/>
      <c r="D41" s="14"/>
      <c r="E41" s="14"/>
      <c r="F41" s="15" t="str">
        <f t="shared" si="8"/>
        <v xml:space="preserve">S/F  </v>
      </c>
      <c r="G41" s="16"/>
      <c r="H41" s="54">
        <v>21</v>
      </c>
      <c r="I41" s="18">
        <f t="shared" si="9"/>
        <v>0</v>
      </c>
      <c r="J41" s="17"/>
      <c r="K41" s="18">
        <f t="shared" si="10"/>
        <v>0</v>
      </c>
      <c r="L41" s="16"/>
      <c r="M41" s="17"/>
      <c r="N41" s="18">
        <f t="shared" si="11"/>
        <v>0</v>
      </c>
      <c r="O41" s="19"/>
      <c r="P41" s="18"/>
      <c r="Q41" s="16"/>
      <c r="R41" s="17"/>
      <c r="S41" s="18"/>
      <c r="T41" s="19"/>
      <c r="U41" s="18"/>
      <c r="V41" s="19"/>
      <c r="W41" s="19"/>
      <c r="X41" s="18">
        <f t="shared" si="12"/>
        <v>0</v>
      </c>
      <c r="Y41" s="19"/>
      <c r="Z41" s="19"/>
      <c r="AA41" s="18">
        <f t="shared" si="7"/>
        <v>0</v>
      </c>
      <c r="AB41" s="20">
        <f t="shared" si="13"/>
        <v>0</v>
      </c>
      <c r="AC41" s="5"/>
      <c r="AD41" s="2"/>
      <c r="AF41" s="6"/>
      <c r="AG41" s="7"/>
      <c r="AJ41" s="33"/>
      <c r="AK41" s="35"/>
      <c r="AL41" s="38"/>
      <c r="AM41" s="48"/>
    </row>
    <row r="42" spans="1:39">
      <c r="A42" s="45"/>
      <c r="B42" s="46"/>
      <c r="C42" s="14"/>
      <c r="D42" s="14"/>
      <c r="E42" s="14"/>
      <c r="F42" s="15" t="str">
        <f t="shared" si="8"/>
        <v xml:space="preserve">S/F  </v>
      </c>
      <c r="G42" s="16"/>
      <c r="H42" s="55">
        <v>21</v>
      </c>
      <c r="I42" s="18">
        <f t="shared" si="9"/>
        <v>0</v>
      </c>
      <c r="J42" s="17"/>
      <c r="K42" s="18">
        <f t="shared" si="10"/>
        <v>0</v>
      </c>
      <c r="L42" s="16"/>
      <c r="M42" s="17"/>
      <c r="N42" s="18">
        <f t="shared" si="11"/>
        <v>0</v>
      </c>
      <c r="O42" s="47"/>
      <c r="P42" s="47"/>
      <c r="Q42" s="47"/>
      <c r="R42" s="47"/>
      <c r="S42" s="47"/>
      <c r="T42" s="47"/>
      <c r="U42" s="47"/>
      <c r="V42" s="16"/>
      <c r="W42" s="17"/>
      <c r="X42" s="18">
        <f t="shared" si="12"/>
        <v>0</v>
      </c>
      <c r="Y42" s="19"/>
      <c r="Z42" s="19"/>
      <c r="AA42" s="18"/>
      <c r="AB42" s="20">
        <f t="shared" si="13"/>
        <v>0</v>
      </c>
      <c r="AJ42" s="33"/>
      <c r="AK42" s="35"/>
      <c r="AL42" s="38"/>
      <c r="AM42" s="48"/>
    </row>
    <row r="43" spans="1:39">
      <c r="A43" s="45"/>
      <c r="B43" s="46"/>
      <c r="C43" s="14"/>
      <c r="D43" s="14"/>
      <c r="E43" s="14"/>
      <c r="F43" s="15" t="str">
        <f t="shared" si="8"/>
        <v xml:space="preserve">S/F  </v>
      </c>
      <c r="G43" s="16"/>
      <c r="H43" s="54">
        <v>21</v>
      </c>
      <c r="I43" s="18">
        <f t="shared" si="9"/>
        <v>0</v>
      </c>
      <c r="J43" s="17"/>
      <c r="K43" s="18">
        <f t="shared" si="10"/>
        <v>0</v>
      </c>
      <c r="L43" s="16"/>
      <c r="M43" s="17"/>
      <c r="N43" s="18">
        <f t="shared" si="11"/>
        <v>0</v>
      </c>
      <c r="O43" s="47"/>
      <c r="P43" s="47"/>
      <c r="Q43" s="47"/>
      <c r="R43" s="47"/>
      <c r="S43" s="47"/>
      <c r="T43" s="47"/>
      <c r="U43" s="47"/>
      <c r="V43" s="16"/>
      <c r="W43" s="17"/>
      <c r="X43" s="18">
        <f t="shared" si="12"/>
        <v>0</v>
      </c>
      <c r="Y43" s="19"/>
      <c r="Z43" s="19"/>
      <c r="AA43" s="18">
        <f t="shared" ref="AA43:AA51" si="14">+IF(Z43&lt;&gt;0,Y43*Z43/100,0)</f>
        <v>0</v>
      </c>
      <c r="AB43" s="20">
        <f t="shared" si="13"/>
        <v>0</v>
      </c>
      <c r="AJ43" s="33"/>
      <c r="AK43" s="35"/>
      <c r="AL43" s="38"/>
      <c r="AM43" s="48"/>
    </row>
    <row r="44" spans="1:39">
      <c r="A44" s="45"/>
      <c r="B44" s="46"/>
      <c r="C44" s="14"/>
      <c r="D44" s="14"/>
      <c r="E44" s="14"/>
      <c r="F44" s="15" t="str">
        <f t="shared" si="8"/>
        <v xml:space="preserve">S/F  </v>
      </c>
      <c r="G44" s="16"/>
      <c r="H44" s="54">
        <v>21</v>
      </c>
      <c r="I44" s="18">
        <f t="shared" si="9"/>
        <v>0</v>
      </c>
      <c r="J44" s="17"/>
      <c r="K44" s="18">
        <f t="shared" si="10"/>
        <v>0</v>
      </c>
      <c r="L44" s="16"/>
      <c r="M44" s="17"/>
      <c r="N44" s="18">
        <f t="shared" si="11"/>
        <v>0</v>
      </c>
      <c r="O44" s="19"/>
      <c r="P44" s="18"/>
      <c r="Q44" s="16"/>
      <c r="R44" s="17"/>
      <c r="S44" s="18"/>
      <c r="T44" s="19"/>
      <c r="U44" s="18"/>
      <c r="V44" s="16"/>
      <c r="W44" s="17"/>
      <c r="X44" s="18">
        <f t="shared" si="12"/>
        <v>0</v>
      </c>
      <c r="Y44" s="19"/>
      <c r="Z44" s="19"/>
      <c r="AA44" s="18">
        <f t="shared" si="14"/>
        <v>0</v>
      </c>
      <c r="AB44" s="20">
        <f t="shared" si="13"/>
        <v>0</v>
      </c>
      <c r="AC44" s="5"/>
      <c r="AD44" s="8"/>
      <c r="AF44" s="6"/>
      <c r="AG44" s="7"/>
      <c r="AJ44" s="33"/>
      <c r="AK44" s="35"/>
      <c r="AL44" s="38"/>
      <c r="AM44" s="48"/>
    </row>
    <row r="45" spans="1:39">
      <c r="A45" s="45"/>
      <c r="B45" s="46"/>
      <c r="C45" s="14"/>
      <c r="D45" s="14"/>
      <c r="E45" s="14"/>
      <c r="F45" s="15" t="str">
        <f t="shared" si="8"/>
        <v xml:space="preserve">S/F  </v>
      </c>
      <c r="G45" s="16"/>
      <c r="H45" s="54">
        <v>21</v>
      </c>
      <c r="I45" s="18">
        <f t="shared" si="9"/>
        <v>0</v>
      </c>
      <c r="J45" s="17"/>
      <c r="K45" s="18">
        <f t="shared" si="10"/>
        <v>0</v>
      </c>
      <c r="L45" s="16"/>
      <c r="M45" s="17"/>
      <c r="N45" s="18">
        <f t="shared" si="11"/>
        <v>0</v>
      </c>
      <c r="O45" s="19"/>
      <c r="P45" s="18"/>
      <c r="Q45" s="16"/>
      <c r="R45" s="17"/>
      <c r="S45" s="18"/>
      <c r="T45" s="19"/>
      <c r="U45" s="18"/>
      <c r="V45" s="16"/>
      <c r="W45" s="17"/>
      <c r="X45" s="18">
        <f t="shared" si="12"/>
        <v>0</v>
      </c>
      <c r="Y45" s="19"/>
      <c r="Z45" s="19"/>
      <c r="AA45" s="18">
        <f t="shared" si="14"/>
        <v>0</v>
      </c>
      <c r="AB45" s="20">
        <f t="shared" si="13"/>
        <v>0</v>
      </c>
      <c r="AC45" s="5"/>
      <c r="AD45" s="8"/>
      <c r="AF45" s="6"/>
      <c r="AG45" s="7"/>
      <c r="AJ45" s="33"/>
      <c r="AK45" s="35"/>
      <c r="AL45" s="38"/>
      <c r="AM45" s="48"/>
    </row>
    <row r="46" spans="1:39">
      <c r="A46" s="45"/>
      <c r="B46" s="46"/>
      <c r="C46" s="14"/>
      <c r="D46" s="14"/>
      <c r="E46" s="14"/>
      <c r="F46" s="15" t="str">
        <f t="shared" si="8"/>
        <v xml:space="preserve">S/F  </v>
      </c>
      <c r="G46" s="16"/>
      <c r="H46" s="54">
        <v>21</v>
      </c>
      <c r="I46" s="18">
        <f t="shared" si="9"/>
        <v>0</v>
      </c>
      <c r="J46" s="17"/>
      <c r="K46" s="18">
        <f t="shared" si="10"/>
        <v>0</v>
      </c>
      <c r="L46" s="16"/>
      <c r="M46" s="17"/>
      <c r="N46" s="18">
        <f t="shared" si="11"/>
        <v>0</v>
      </c>
      <c r="O46" s="19"/>
      <c r="P46" s="18"/>
      <c r="Q46" s="16"/>
      <c r="R46" s="17"/>
      <c r="S46" s="18"/>
      <c r="T46" s="19"/>
      <c r="U46" s="18"/>
      <c r="V46" s="16"/>
      <c r="W46" s="17"/>
      <c r="X46" s="18">
        <f t="shared" si="12"/>
        <v>0</v>
      </c>
      <c r="Y46" s="19"/>
      <c r="Z46" s="19"/>
      <c r="AA46" s="18">
        <f t="shared" si="14"/>
        <v>0</v>
      </c>
      <c r="AB46" s="20">
        <f t="shared" si="13"/>
        <v>0</v>
      </c>
      <c r="AC46" s="5"/>
      <c r="AD46" s="8"/>
      <c r="AF46" s="6"/>
      <c r="AG46" s="7"/>
      <c r="AJ46" s="33"/>
      <c r="AK46" s="35"/>
      <c r="AL46" s="38"/>
      <c r="AM46" s="48"/>
    </row>
    <row r="47" spans="1:39">
      <c r="A47" s="45"/>
      <c r="B47" s="46"/>
      <c r="C47" s="14"/>
      <c r="D47" s="14"/>
      <c r="E47" s="14"/>
      <c r="F47" s="15" t="str">
        <f t="shared" si="8"/>
        <v xml:space="preserve">S/F  </v>
      </c>
      <c r="G47" s="16"/>
      <c r="H47" s="54">
        <v>21</v>
      </c>
      <c r="I47" s="18">
        <f t="shared" si="9"/>
        <v>0</v>
      </c>
      <c r="J47" s="17"/>
      <c r="K47" s="18">
        <f t="shared" si="10"/>
        <v>0</v>
      </c>
      <c r="L47" s="16"/>
      <c r="M47" s="17"/>
      <c r="N47" s="18">
        <f t="shared" si="11"/>
        <v>0</v>
      </c>
      <c r="O47" s="19"/>
      <c r="P47" s="18"/>
      <c r="Q47" s="16"/>
      <c r="R47" s="17"/>
      <c r="S47" s="18"/>
      <c r="T47" s="19"/>
      <c r="U47" s="18"/>
      <c r="V47" s="16"/>
      <c r="W47" s="17"/>
      <c r="X47" s="18">
        <f t="shared" si="12"/>
        <v>0</v>
      </c>
      <c r="Y47" s="19"/>
      <c r="Z47" s="19"/>
      <c r="AA47" s="18">
        <f t="shared" si="14"/>
        <v>0</v>
      </c>
      <c r="AB47" s="20">
        <f t="shared" si="13"/>
        <v>0</v>
      </c>
      <c r="AC47" s="5"/>
      <c r="AD47" s="8"/>
      <c r="AF47" s="6"/>
      <c r="AG47" s="7"/>
      <c r="AJ47" s="33"/>
      <c r="AK47" s="35"/>
      <c r="AL47" s="38"/>
      <c r="AM47" s="48"/>
    </row>
    <row r="48" spans="1:39">
      <c r="A48" s="45"/>
      <c r="B48" s="46"/>
      <c r="C48" s="14"/>
      <c r="D48" s="14"/>
      <c r="E48" s="14"/>
      <c r="F48" s="15" t="str">
        <f t="shared" si="8"/>
        <v xml:space="preserve">S/F  </v>
      </c>
      <c r="G48" s="16"/>
      <c r="H48" s="54">
        <v>21</v>
      </c>
      <c r="I48" s="18">
        <f t="shared" si="9"/>
        <v>0</v>
      </c>
      <c r="J48" s="17"/>
      <c r="K48" s="18">
        <f t="shared" si="10"/>
        <v>0</v>
      </c>
      <c r="L48" s="16"/>
      <c r="M48" s="17"/>
      <c r="N48" s="18">
        <f t="shared" si="11"/>
        <v>0</v>
      </c>
      <c r="O48" s="19"/>
      <c r="P48" s="18"/>
      <c r="Q48" s="16"/>
      <c r="R48" s="17"/>
      <c r="S48" s="18"/>
      <c r="T48" s="19"/>
      <c r="U48" s="18"/>
      <c r="V48" s="16"/>
      <c r="W48" s="17"/>
      <c r="X48" s="18">
        <f t="shared" si="12"/>
        <v>0</v>
      </c>
      <c r="Y48" s="19"/>
      <c r="Z48" s="19"/>
      <c r="AA48" s="18">
        <f t="shared" si="14"/>
        <v>0</v>
      </c>
      <c r="AB48" s="20">
        <f t="shared" si="13"/>
        <v>0</v>
      </c>
      <c r="AC48" s="5"/>
      <c r="AD48" s="8"/>
      <c r="AF48" s="6"/>
      <c r="AG48" s="7"/>
      <c r="AJ48" s="33"/>
      <c r="AK48" s="35"/>
      <c r="AL48" s="38"/>
      <c r="AM48" s="48"/>
    </row>
    <row r="49" spans="1:39">
      <c r="A49" s="45"/>
      <c r="B49" s="46"/>
      <c r="C49" s="14"/>
      <c r="D49" s="14"/>
      <c r="E49" s="14"/>
      <c r="F49" s="15" t="str">
        <f t="shared" si="8"/>
        <v xml:space="preserve">S/F  </v>
      </c>
      <c r="G49" s="16"/>
      <c r="H49" s="54">
        <v>21</v>
      </c>
      <c r="I49" s="18">
        <f t="shared" si="9"/>
        <v>0</v>
      </c>
      <c r="J49" s="17"/>
      <c r="K49" s="18">
        <f t="shared" si="10"/>
        <v>0</v>
      </c>
      <c r="L49" s="16"/>
      <c r="M49" s="17"/>
      <c r="N49" s="18">
        <f t="shared" si="11"/>
        <v>0</v>
      </c>
      <c r="O49" s="19"/>
      <c r="P49" s="18"/>
      <c r="Q49" s="16"/>
      <c r="R49" s="17"/>
      <c r="S49" s="18"/>
      <c r="T49" s="19"/>
      <c r="U49" s="18"/>
      <c r="V49" s="16"/>
      <c r="W49" s="17"/>
      <c r="X49" s="18">
        <f t="shared" si="12"/>
        <v>0</v>
      </c>
      <c r="Y49" s="19"/>
      <c r="Z49" s="19"/>
      <c r="AA49" s="18">
        <f t="shared" si="14"/>
        <v>0</v>
      </c>
      <c r="AB49" s="20">
        <f t="shared" si="13"/>
        <v>0</v>
      </c>
      <c r="AC49" s="5"/>
      <c r="AD49" s="8"/>
      <c r="AF49" s="6"/>
      <c r="AG49" s="7"/>
      <c r="AJ49" s="33"/>
      <c r="AK49" s="35"/>
      <c r="AL49" s="38"/>
      <c r="AM49" s="48"/>
    </row>
    <row r="50" spans="1:39">
      <c r="A50" s="45"/>
      <c r="B50" s="46"/>
      <c r="C50" s="14"/>
      <c r="D50" s="14"/>
      <c r="E50" s="14"/>
      <c r="F50" s="15" t="str">
        <f t="shared" si="8"/>
        <v xml:space="preserve">S/F  </v>
      </c>
      <c r="G50" s="16"/>
      <c r="H50" s="54">
        <v>21</v>
      </c>
      <c r="I50" s="18">
        <f t="shared" si="9"/>
        <v>0</v>
      </c>
      <c r="J50" s="17"/>
      <c r="K50" s="18">
        <f t="shared" si="10"/>
        <v>0</v>
      </c>
      <c r="L50" s="16"/>
      <c r="M50" s="17"/>
      <c r="N50" s="18">
        <f t="shared" si="11"/>
        <v>0</v>
      </c>
      <c r="O50" s="47"/>
      <c r="P50" s="47"/>
      <c r="Q50" s="47"/>
      <c r="R50" s="47"/>
      <c r="S50" s="47"/>
      <c r="T50" s="47"/>
      <c r="U50" s="47"/>
      <c r="V50" s="16"/>
      <c r="W50" s="17"/>
      <c r="X50" s="18">
        <f t="shared" si="12"/>
        <v>0</v>
      </c>
      <c r="Y50" s="19"/>
      <c r="Z50" s="19"/>
      <c r="AA50" s="18">
        <f t="shared" si="14"/>
        <v>0</v>
      </c>
      <c r="AB50" s="20">
        <f t="shared" si="13"/>
        <v>0</v>
      </c>
      <c r="AJ50" s="33"/>
      <c r="AK50" s="35"/>
      <c r="AL50" s="38"/>
      <c r="AM50" s="48"/>
    </row>
    <row r="51" spans="1:39">
      <c r="A51" s="45"/>
      <c r="B51" s="46"/>
      <c r="C51" s="14"/>
      <c r="D51" s="14"/>
      <c r="E51" s="14"/>
      <c r="F51" s="15" t="str">
        <f t="shared" si="8"/>
        <v xml:space="preserve">S/F  </v>
      </c>
      <c r="G51" s="16"/>
      <c r="H51" s="54">
        <v>21</v>
      </c>
      <c r="I51" s="18">
        <f t="shared" si="9"/>
        <v>0</v>
      </c>
      <c r="J51" s="17"/>
      <c r="K51" s="18">
        <f t="shared" si="10"/>
        <v>0</v>
      </c>
      <c r="L51" s="16"/>
      <c r="M51" s="17"/>
      <c r="N51" s="18">
        <f t="shared" si="11"/>
        <v>0</v>
      </c>
      <c r="O51" s="47"/>
      <c r="P51" s="47"/>
      <c r="Q51" s="47"/>
      <c r="R51" s="47"/>
      <c r="S51" s="47"/>
      <c r="T51" s="47"/>
      <c r="U51" s="47"/>
      <c r="V51" s="16"/>
      <c r="W51" s="17"/>
      <c r="X51" s="18">
        <f t="shared" si="12"/>
        <v>0</v>
      </c>
      <c r="Y51" s="19"/>
      <c r="Z51" s="19"/>
      <c r="AA51" s="18">
        <f t="shared" si="14"/>
        <v>0</v>
      </c>
      <c r="AB51" s="20">
        <f t="shared" si="13"/>
        <v>0</v>
      </c>
      <c r="AJ51" s="33"/>
      <c r="AK51" s="35"/>
      <c r="AL51" s="38"/>
      <c r="AM51" s="48"/>
    </row>
    <row r="52" spans="1:39">
      <c r="A52" s="45"/>
      <c r="B52" s="46"/>
      <c r="C52" s="14"/>
      <c r="D52" s="14"/>
      <c r="E52" s="14"/>
      <c r="F52" s="15" t="str">
        <f t="shared" si="8"/>
        <v xml:space="preserve">S/F  </v>
      </c>
      <c r="G52" s="16"/>
      <c r="H52" s="55">
        <v>21</v>
      </c>
      <c r="I52" s="18">
        <f t="shared" si="9"/>
        <v>0</v>
      </c>
      <c r="J52" s="17"/>
      <c r="K52" s="18">
        <f t="shared" si="10"/>
        <v>0</v>
      </c>
      <c r="L52" s="16"/>
      <c r="M52" s="17"/>
      <c r="N52" s="18">
        <f t="shared" si="11"/>
        <v>0</v>
      </c>
      <c r="O52" s="47"/>
      <c r="P52" s="47"/>
      <c r="Q52" s="47"/>
      <c r="R52" s="47"/>
      <c r="S52" s="47"/>
      <c r="T52" s="47"/>
      <c r="U52" s="47"/>
      <c r="V52" s="16"/>
      <c r="W52" s="17"/>
      <c r="X52" s="18">
        <f t="shared" si="12"/>
        <v>0</v>
      </c>
      <c r="Y52" s="19"/>
      <c r="Z52" s="19"/>
      <c r="AA52" s="18"/>
      <c r="AB52" s="20">
        <f t="shared" si="13"/>
        <v>0</v>
      </c>
      <c r="AJ52" s="33"/>
      <c r="AK52" s="35"/>
      <c r="AL52" s="38"/>
      <c r="AM52" s="48"/>
    </row>
    <row r="53" spans="1:39">
      <c r="A53" s="45"/>
      <c r="B53" s="46"/>
      <c r="C53" s="14"/>
      <c r="D53" s="14"/>
      <c r="E53" s="14"/>
      <c r="F53" s="15" t="str">
        <f t="shared" si="8"/>
        <v xml:space="preserve">S/F  </v>
      </c>
      <c r="G53" s="16"/>
      <c r="H53" s="54">
        <v>21</v>
      </c>
      <c r="I53" s="18">
        <f t="shared" si="9"/>
        <v>0</v>
      </c>
      <c r="J53" s="17"/>
      <c r="K53" s="18">
        <f t="shared" si="10"/>
        <v>0</v>
      </c>
      <c r="L53" s="16"/>
      <c r="M53" s="17"/>
      <c r="N53" s="18">
        <f t="shared" si="11"/>
        <v>0</v>
      </c>
      <c r="O53" s="47"/>
      <c r="P53" s="47"/>
      <c r="Q53" s="47"/>
      <c r="R53" s="47"/>
      <c r="S53" s="47"/>
      <c r="T53" s="47"/>
      <c r="U53" s="47"/>
      <c r="V53" s="16"/>
      <c r="W53" s="17"/>
      <c r="X53" s="18">
        <f t="shared" si="12"/>
        <v>0</v>
      </c>
      <c r="Y53" s="19"/>
      <c r="Z53" s="19"/>
      <c r="AA53" s="18">
        <f>+IF(Z53&lt;&gt;0,Y53*Z53/100,0)</f>
        <v>0</v>
      </c>
      <c r="AB53" s="20">
        <f t="shared" si="13"/>
        <v>0</v>
      </c>
      <c r="AC53" s="5"/>
      <c r="AD53" s="2"/>
      <c r="AF53" s="2"/>
      <c r="AJ53" s="33"/>
      <c r="AK53" s="35"/>
      <c r="AL53" s="38"/>
      <c r="AM53" s="48"/>
    </row>
    <row r="54" spans="1:39">
      <c r="A54" s="45"/>
      <c r="B54" s="46"/>
      <c r="C54" s="14"/>
      <c r="D54" s="14"/>
      <c r="E54" s="14"/>
      <c r="F54" s="15" t="str">
        <f t="shared" si="8"/>
        <v xml:space="preserve">S/F  </v>
      </c>
      <c r="G54" s="16"/>
      <c r="H54" s="54">
        <v>21</v>
      </c>
      <c r="I54" s="18">
        <f t="shared" si="9"/>
        <v>0</v>
      </c>
      <c r="J54" s="17"/>
      <c r="K54" s="18">
        <f t="shared" si="10"/>
        <v>0</v>
      </c>
      <c r="L54" s="16"/>
      <c r="M54" s="17"/>
      <c r="N54" s="18">
        <f t="shared" si="11"/>
        <v>0</v>
      </c>
      <c r="O54" s="19"/>
      <c r="P54" s="18"/>
      <c r="Q54" s="16"/>
      <c r="R54" s="17"/>
      <c r="S54" s="18"/>
      <c r="T54" s="19"/>
      <c r="U54" s="18"/>
      <c r="V54" s="16"/>
      <c r="W54" s="17"/>
      <c r="X54" s="18">
        <f t="shared" si="12"/>
        <v>0</v>
      </c>
      <c r="Y54" s="19"/>
      <c r="Z54" s="19"/>
      <c r="AA54" s="18">
        <f>+IF(Z54&lt;&gt;0,Y54*Z54/100,0)</f>
        <v>0</v>
      </c>
      <c r="AB54" s="20">
        <f t="shared" si="13"/>
        <v>0</v>
      </c>
      <c r="AC54" s="5"/>
      <c r="AD54" s="8"/>
      <c r="AF54" s="6"/>
      <c r="AG54" s="7"/>
      <c r="AJ54" s="33"/>
      <c r="AK54" s="35"/>
      <c r="AL54" s="38"/>
      <c r="AM54" s="48"/>
    </row>
    <row r="55" spans="1:39">
      <c r="A55" s="45"/>
      <c r="B55" s="46"/>
      <c r="C55" s="14"/>
      <c r="D55" s="14"/>
      <c r="E55" s="14"/>
      <c r="F55" s="15" t="str">
        <f t="shared" si="8"/>
        <v xml:space="preserve">S/F  </v>
      </c>
      <c r="G55" s="16"/>
      <c r="H55" s="54">
        <v>21</v>
      </c>
      <c r="I55" s="18">
        <f t="shared" si="9"/>
        <v>0</v>
      </c>
      <c r="J55" s="17"/>
      <c r="K55" s="18">
        <f t="shared" si="10"/>
        <v>0</v>
      </c>
      <c r="L55" s="16"/>
      <c r="M55" s="17"/>
      <c r="N55" s="18">
        <f t="shared" si="11"/>
        <v>0</v>
      </c>
      <c r="O55" s="19"/>
      <c r="P55" s="18"/>
      <c r="Q55" s="16"/>
      <c r="R55" s="17"/>
      <c r="S55" s="18"/>
      <c r="T55" s="19"/>
      <c r="U55" s="18"/>
      <c r="V55" s="16"/>
      <c r="W55" s="17"/>
      <c r="X55" s="18">
        <f t="shared" si="12"/>
        <v>0</v>
      </c>
      <c r="Y55" s="19"/>
      <c r="Z55" s="19"/>
      <c r="AA55" s="18">
        <f>+IF(Z55&lt;&gt;0,Y55*Z55/100,0)</f>
        <v>0</v>
      </c>
      <c r="AB55" s="20">
        <f t="shared" si="13"/>
        <v>0</v>
      </c>
      <c r="AC55" s="5"/>
      <c r="AD55" s="8"/>
      <c r="AF55" s="6"/>
      <c r="AG55" s="7"/>
      <c r="AJ55" s="33"/>
      <c r="AK55" s="35"/>
      <c r="AL55" s="38"/>
      <c r="AM55" s="48"/>
    </row>
    <row r="56" spans="1:39">
      <c r="A56" s="45"/>
      <c r="B56" s="46"/>
      <c r="C56" s="14"/>
      <c r="D56" s="14"/>
      <c r="E56" s="14"/>
      <c r="F56" s="15" t="str">
        <f t="shared" si="8"/>
        <v xml:space="preserve">S/F  </v>
      </c>
      <c r="G56" s="16"/>
      <c r="H56" s="54">
        <v>21</v>
      </c>
      <c r="I56" s="18">
        <f t="shared" si="9"/>
        <v>0</v>
      </c>
      <c r="J56" s="17"/>
      <c r="K56" s="18">
        <f t="shared" si="10"/>
        <v>0</v>
      </c>
      <c r="L56" s="16"/>
      <c r="M56" s="17"/>
      <c r="N56" s="18">
        <f t="shared" si="11"/>
        <v>0</v>
      </c>
      <c r="O56" s="19"/>
      <c r="P56" s="18"/>
      <c r="Q56" s="16"/>
      <c r="R56" s="17"/>
      <c r="S56" s="18"/>
      <c r="T56" s="19"/>
      <c r="U56" s="18"/>
      <c r="V56" s="16"/>
      <c r="W56" s="17"/>
      <c r="X56" s="18">
        <f t="shared" si="12"/>
        <v>0</v>
      </c>
      <c r="Y56" s="19"/>
      <c r="Z56" s="19"/>
      <c r="AA56" s="18">
        <f>+IF(Z56&lt;&gt;0,Y56*Z56/100,0)</f>
        <v>0</v>
      </c>
      <c r="AB56" s="20">
        <f t="shared" si="13"/>
        <v>0</v>
      </c>
      <c r="AC56" s="5"/>
      <c r="AD56" s="8"/>
      <c r="AF56" s="6"/>
      <c r="AG56" s="7"/>
      <c r="AJ56" s="33"/>
      <c r="AK56" s="35"/>
      <c r="AL56" s="38"/>
      <c r="AM56" s="48"/>
    </row>
    <row r="57" spans="1:39">
      <c r="A57" s="45"/>
      <c r="B57" s="46"/>
      <c r="C57" s="14"/>
      <c r="D57" s="14"/>
      <c r="E57" s="14"/>
      <c r="F57" s="15" t="str">
        <f t="shared" si="8"/>
        <v xml:space="preserve">S/F  </v>
      </c>
      <c r="G57" s="16"/>
      <c r="H57" s="55">
        <v>21</v>
      </c>
      <c r="I57" s="18">
        <f t="shared" si="9"/>
        <v>0</v>
      </c>
      <c r="J57" s="17"/>
      <c r="K57" s="18">
        <f t="shared" si="10"/>
        <v>0</v>
      </c>
      <c r="L57" s="16"/>
      <c r="M57" s="17"/>
      <c r="N57" s="18">
        <f t="shared" si="11"/>
        <v>0</v>
      </c>
      <c r="O57" s="47"/>
      <c r="P57" s="47"/>
      <c r="Q57" s="47"/>
      <c r="R57" s="47"/>
      <c r="S57" s="47"/>
      <c r="T57" s="47"/>
      <c r="U57" s="47"/>
      <c r="V57" s="16"/>
      <c r="W57" s="17"/>
      <c r="X57" s="18">
        <f t="shared" si="12"/>
        <v>0</v>
      </c>
      <c r="Y57" s="19"/>
      <c r="Z57" s="19"/>
      <c r="AA57" s="18"/>
      <c r="AB57" s="20">
        <f t="shared" si="13"/>
        <v>0</v>
      </c>
      <c r="AJ57" s="33"/>
      <c r="AK57" s="35"/>
      <c r="AL57" s="38"/>
      <c r="AM57" s="48"/>
    </row>
    <row r="58" spans="1:39">
      <c r="A58" s="45"/>
      <c r="B58" s="46"/>
      <c r="C58" s="14"/>
      <c r="D58" s="14"/>
      <c r="E58" s="14"/>
      <c r="F58" s="15" t="str">
        <f t="shared" si="8"/>
        <v xml:space="preserve">S/F  </v>
      </c>
      <c r="G58" s="16"/>
      <c r="H58" s="54">
        <v>21</v>
      </c>
      <c r="I58" s="18">
        <f t="shared" si="9"/>
        <v>0</v>
      </c>
      <c r="J58" s="17"/>
      <c r="K58" s="18">
        <f t="shared" si="10"/>
        <v>0</v>
      </c>
      <c r="L58" s="16"/>
      <c r="M58" s="17"/>
      <c r="N58" s="18">
        <f t="shared" si="11"/>
        <v>0</v>
      </c>
      <c r="O58" s="47"/>
      <c r="P58" s="47"/>
      <c r="Q58" s="47"/>
      <c r="R58" s="47"/>
      <c r="S58" s="47"/>
      <c r="T58" s="47"/>
      <c r="U58" s="47"/>
      <c r="V58" s="16"/>
      <c r="W58" s="17"/>
      <c r="X58" s="18">
        <f t="shared" si="12"/>
        <v>0</v>
      </c>
      <c r="Y58" s="19"/>
      <c r="Z58" s="19"/>
      <c r="AA58" s="18">
        <f t="shared" ref="AA58:AA103" si="15">+IF(Z58&lt;&gt;0,Y58*Z58/100,0)</f>
        <v>0</v>
      </c>
      <c r="AB58" s="20">
        <f t="shared" si="13"/>
        <v>0</v>
      </c>
      <c r="AC58" s="5"/>
      <c r="AD58" s="2"/>
      <c r="AF58" s="2"/>
      <c r="AJ58" s="33"/>
      <c r="AK58" s="35"/>
      <c r="AL58" s="38"/>
      <c r="AM58" s="48"/>
    </row>
    <row r="59" spans="1:39">
      <c r="A59" s="45"/>
      <c r="B59" s="46"/>
      <c r="C59" s="14"/>
      <c r="D59" s="14"/>
      <c r="E59" s="14"/>
      <c r="F59" s="15" t="str">
        <f t="shared" si="8"/>
        <v xml:space="preserve">S/F  </v>
      </c>
      <c r="G59" s="16"/>
      <c r="H59" s="54">
        <v>21</v>
      </c>
      <c r="I59" s="18">
        <f t="shared" si="9"/>
        <v>0</v>
      </c>
      <c r="J59" s="17"/>
      <c r="K59" s="18">
        <f t="shared" si="10"/>
        <v>0</v>
      </c>
      <c r="L59" s="16"/>
      <c r="M59" s="17"/>
      <c r="N59" s="18">
        <f t="shared" si="11"/>
        <v>0</v>
      </c>
      <c r="O59" s="47"/>
      <c r="P59" s="47"/>
      <c r="Q59" s="47"/>
      <c r="R59" s="47"/>
      <c r="S59" s="47"/>
      <c r="T59" s="47"/>
      <c r="U59" s="47"/>
      <c r="V59" s="16"/>
      <c r="W59" s="17"/>
      <c r="X59" s="18">
        <f t="shared" si="12"/>
        <v>0</v>
      </c>
      <c r="Y59" s="19"/>
      <c r="Z59" s="19"/>
      <c r="AA59" s="18">
        <f t="shared" si="15"/>
        <v>0</v>
      </c>
      <c r="AB59" s="20">
        <f t="shared" si="13"/>
        <v>0</v>
      </c>
      <c r="AC59" s="5"/>
      <c r="AD59" s="2"/>
      <c r="AF59" s="2"/>
      <c r="AJ59" s="33"/>
      <c r="AK59" s="35"/>
      <c r="AL59" s="38"/>
      <c r="AM59" s="48"/>
    </row>
    <row r="60" spans="1:39">
      <c r="A60" s="45"/>
      <c r="B60" s="46"/>
      <c r="C60" s="14"/>
      <c r="D60" s="14"/>
      <c r="E60" s="14"/>
      <c r="F60" s="15" t="str">
        <f t="shared" si="8"/>
        <v xml:space="preserve">S/F  </v>
      </c>
      <c r="G60" s="16"/>
      <c r="H60" s="54">
        <v>21</v>
      </c>
      <c r="I60" s="18">
        <f t="shared" si="9"/>
        <v>0</v>
      </c>
      <c r="J60" s="17"/>
      <c r="K60" s="18">
        <f t="shared" si="10"/>
        <v>0</v>
      </c>
      <c r="L60" s="16"/>
      <c r="M60" s="17"/>
      <c r="N60" s="18">
        <f t="shared" si="11"/>
        <v>0</v>
      </c>
      <c r="O60" s="47"/>
      <c r="P60" s="47"/>
      <c r="Q60" s="47"/>
      <c r="R60" s="47"/>
      <c r="S60" s="47"/>
      <c r="T60" s="47"/>
      <c r="U60" s="47"/>
      <c r="V60" s="16"/>
      <c r="W60" s="17"/>
      <c r="X60" s="18">
        <f t="shared" si="12"/>
        <v>0</v>
      </c>
      <c r="Y60" s="19"/>
      <c r="Z60" s="19"/>
      <c r="AA60" s="18">
        <f t="shared" si="15"/>
        <v>0</v>
      </c>
      <c r="AB60" s="20">
        <f t="shared" si="13"/>
        <v>0</v>
      </c>
      <c r="AC60" s="5"/>
      <c r="AD60" s="2"/>
      <c r="AF60" s="2"/>
      <c r="AJ60" s="33"/>
      <c r="AK60" s="35"/>
      <c r="AL60" s="38"/>
      <c r="AM60" s="48"/>
    </row>
    <row r="61" spans="1:39">
      <c r="A61" s="45"/>
      <c r="B61" s="46"/>
      <c r="C61" s="14"/>
      <c r="D61" s="14"/>
      <c r="E61" s="14"/>
      <c r="F61" s="15" t="str">
        <f t="shared" si="8"/>
        <v xml:space="preserve">S/F  </v>
      </c>
      <c r="G61" s="16"/>
      <c r="H61" s="54">
        <v>21</v>
      </c>
      <c r="I61" s="18">
        <f t="shared" si="9"/>
        <v>0</v>
      </c>
      <c r="J61" s="17"/>
      <c r="K61" s="18">
        <f t="shared" si="10"/>
        <v>0</v>
      </c>
      <c r="L61" s="16"/>
      <c r="M61" s="17"/>
      <c r="N61" s="18">
        <f t="shared" si="11"/>
        <v>0</v>
      </c>
      <c r="O61" s="47"/>
      <c r="P61" s="47"/>
      <c r="Q61" s="47"/>
      <c r="R61" s="47"/>
      <c r="S61" s="47"/>
      <c r="T61" s="47"/>
      <c r="U61" s="47"/>
      <c r="V61" s="16"/>
      <c r="W61" s="17"/>
      <c r="X61" s="18">
        <f t="shared" si="12"/>
        <v>0</v>
      </c>
      <c r="Y61" s="19"/>
      <c r="Z61" s="19"/>
      <c r="AA61" s="18">
        <f t="shared" si="15"/>
        <v>0</v>
      </c>
      <c r="AB61" s="20">
        <f t="shared" si="13"/>
        <v>0</v>
      </c>
      <c r="AC61" s="5"/>
      <c r="AD61" s="2"/>
      <c r="AF61" s="2"/>
      <c r="AJ61" s="33"/>
      <c r="AK61" s="35"/>
      <c r="AL61" s="38"/>
      <c r="AM61" s="48"/>
    </row>
    <row r="62" spans="1:39">
      <c r="A62" s="45"/>
      <c r="B62" s="46"/>
      <c r="C62" s="14"/>
      <c r="D62" s="14"/>
      <c r="E62" s="14"/>
      <c r="F62" s="15" t="str">
        <f t="shared" si="8"/>
        <v xml:space="preserve">S/F  </v>
      </c>
      <c r="G62" s="16"/>
      <c r="H62" s="54">
        <v>21</v>
      </c>
      <c r="I62" s="18">
        <f t="shared" si="9"/>
        <v>0</v>
      </c>
      <c r="J62" s="17"/>
      <c r="K62" s="18">
        <f t="shared" si="10"/>
        <v>0</v>
      </c>
      <c r="L62" s="16"/>
      <c r="M62" s="17"/>
      <c r="N62" s="18">
        <f t="shared" si="11"/>
        <v>0</v>
      </c>
      <c r="O62" s="47"/>
      <c r="P62" s="47"/>
      <c r="Q62" s="47"/>
      <c r="R62" s="47"/>
      <c r="S62" s="47"/>
      <c r="T62" s="47"/>
      <c r="U62" s="47"/>
      <c r="V62" s="16"/>
      <c r="W62" s="17"/>
      <c r="X62" s="18">
        <f t="shared" si="12"/>
        <v>0</v>
      </c>
      <c r="Y62" s="19"/>
      <c r="Z62" s="19"/>
      <c r="AA62" s="18">
        <f t="shared" si="15"/>
        <v>0</v>
      </c>
      <c r="AB62" s="20">
        <f t="shared" si="13"/>
        <v>0</v>
      </c>
      <c r="AJ62" s="33"/>
      <c r="AK62" s="35"/>
      <c r="AL62" s="38"/>
      <c r="AM62" s="48"/>
    </row>
    <row r="63" spans="1:39">
      <c r="A63" s="45"/>
      <c r="B63" s="46"/>
      <c r="C63" s="14"/>
      <c r="D63" s="14"/>
      <c r="E63" s="14"/>
      <c r="F63" s="15" t="str">
        <f t="shared" si="8"/>
        <v xml:space="preserve">S/F  </v>
      </c>
      <c r="G63" s="16"/>
      <c r="H63" s="54">
        <v>21</v>
      </c>
      <c r="I63" s="18">
        <f t="shared" si="9"/>
        <v>0</v>
      </c>
      <c r="J63" s="17"/>
      <c r="K63" s="18">
        <f t="shared" si="10"/>
        <v>0</v>
      </c>
      <c r="L63" s="16"/>
      <c r="M63" s="17"/>
      <c r="N63" s="18">
        <f t="shared" si="11"/>
        <v>0</v>
      </c>
      <c r="O63" s="47"/>
      <c r="P63" s="47"/>
      <c r="Q63" s="47"/>
      <c r="R63" s="47"/>
      <c r="S63" s="47"/>
      <c r="T63" s="47"/>
      <c r="U63" s="47"/>
      <c r="V63" s="16"/>
      <c r="W63" s="17"/>
      <c r="X63" s="18">
        <f t="shared" si="12"/>
        <v>0</v>
      </c>
      <c r="Y63" s="19"/>
      <c r="Z63" s="19"/>
      <c r="AA63" s="18">
        <f t="shared" si="15"/>
        <v>0</v>
      </c>
      <c r="AB63" s="20">
        <f t="shared" si="13"/>
        <v>0</v>
      </c>
      <c r="AJ63" s="33"/>
      <c r="AK63" s="35"/>
      <c r="AL63" s="38"/>
      <c r="AM63" s="48"/>
    </row>
    <row r="64" spans="1:39">
      <c r="A64" s="45"/>
      <c r="B64" s="46"/>
      <c r="C64" s="14"/>
      <c r="D64" s="14"/>
      <c r="E64" s="14"/>
      <c r="F64" s="15" t="str">
        <f t="shared" si="8"/>
        <v xml:space="preserve">S/F  </v>
      </c>
      <c r="G64" s="16"/>
      <c r="H64" s="54">
        <v>21</v>
      </c>
      <c r="I64" s="18">
        <f t="shared" si="9"/>
        <v>0</v>
      </c>
      <c r="J64" s="17"/>
      <c r="K64" s="18">
        <f t="shared" si="10"/>
        <v>0</v>
      </c>
      <c r="L64" s="16"/>
      <c r="M64" s="17"/>
      <c r="N64" s="18">
        <f t="shared" si="11"/>
        <v>0</v>
      </c>
      <c r="O64" s="47"/>
      <c r="P64" s="47"/>
      <c r="Q64" s="47"/>
      <c r="R64" s="47"/>
      <c r="S64" s="47"/>
      <c r="T64" s="47"/>
      <c r="U64" s="47"/>
      <c r="V64" s="16"/>
      <c r="W64" s="17"/>
      <c r="X64" s="18">
        <f t="shared" si="12"/>
        <v>0</v>
      </c>
      <c r="Y64" s="19"/>
      <c r="Z64" s="19"/>
      <c r="AA64" s="18">
        <f t="shared" si="15"/>
        <v>0</v>
      </c>
      <c r="AB64" s="20">
        <f t="shared" si="13"/>
        <v>0</v>
      </c>
      <c r="AJ64" s="33"/>
      <c r="AK64" s="35"/>
      <c r="AL64" s="38"/>
      <c r="AM64" s="48"/>
    </row>
    <row r="65" spans="1:39">
      <c r="A65" s="45"/>
      <c r="B65" s="46"/>
      <c r="C65" s="14"/>
      <c r="D65" s="14"/>
      <c r="E65" s="14"/>
      <c r="F65" s="15" t="str">
        <f t="shared" si="8"/>
        <v xml:space="preserve">S/F  </v>
      </c>
      <c r="G65" s="16"/>
      <c r="H65" s="54">
        <v>21</v>
      </c>
      <c r="I65" s="18">
        <f t="shared" si="9"/>
        <v>0</v>
      </c>
      <c r="J65" s="17"/>
      <c r="K65" s="18">
        <f t="shared" si="10"/>
        <v>0</v>
      </c>
      <c r="L65" s="16"/>
      <c r="M65" s="17"/>
      <c r="N65" s="18">
        <f t="shared" si="11"/>
        <v>0</v>
      </c>
      <c r="O65" s="47"/>
      <c r="P65" s="47"/>
      <c r="Q65" s="47"/>
      <c r="R65" s="47"/>
      <c r="S65" s="47"/>
      <c r="T65" s="47"/>
      <c r="U65" s="47"/>
      <c r="V65" s="16"/>
      <c r="W65" s="17"/>
      <c r="X65" s="18">
        <f t="shared" si="12"/>
        <v>0</v>
      </c>
      <c r="Y65" s="19"/>
      <c r="Z65" s="19"/>
      <c r="AA65" s="18">
        <f t="shared" si="15"/>
        <v>0</v>
      </c>
      <c r="AB65" s="20">
        <f t="shared" si="13"/>
        <v>0</v>
      </c>
      <c r="AJ65" s="33"/>
      <c r="AK65" s="35"/>
      <c r="AL65" s="38"/>
      <c r="AM65" s="48"/>
    </row>
    <row r="66" spans="1:39">
      <c r="A66" s="45"/>
      <c r="B66" s="46"/>
      <c r="C66" s="14"/>
      <c r="D66" s="14"/>
      <c r="E66" s="14"/>
      <c r="F66" s="15" t="str">
        <f t="shared" ref="F66:F96" si="16">"S/F "&amp;B66&amp;" "&amp;E66</f>
        <v xml:space="preserve">S/F  </v>
      </c>
      <c r="G66" s="16"/>
      <c r="H66" s="54">
        <v>21</v>
      </c>
      <c r="I66" s="18">
        <f t="shared" ref="I66:I96" si="17">+IF(G66&lt;&gt;0,G66*H66/100,0)</f>
        <v>0</v>
      </c>
      <c r="J66" s="17"/>
      <c r="K66" s="18">
        <f t="shared" ref="K66:K96" si="18">+IF(G66&lt;&gt;0,G66*J66/100,0)</f>
        <v>0</v>
      </c>
      <c r="L66" s="16"/>
      <c r="M66" s="17"/>
      <c r="N66" s="18">
        <f t="shared" ref="N66:N96" si="19">+IF(L66&lt;&gt;0,L66*M66/100,0)</f>
        <v>0</v>
      </c>
      <c r="O66" s="47"/>
      <c r="P66" s="47"/>
      <c r="Q66" s="47"/>
      <c r="R66" s="47"/>
      <c r="S66" s="47"/>
      <c r="T66" s="47"/>
      <c r="U66" s="47"/>
      <c r="V66" s="16"/>
      <c r="W66" s="17"/>
      <c r="X66" s="18">
        <f t="shared" ref="X66:X96" si="20">+IF(W66&lt;&gt;0,V66*W66/100,0)</f>
        <v>0</v>
      </c>
      <c r="Y66" s="19"/>
      <c r="Z66" s="19"/>
      <c r="AA66" s="18">
        <f t="shared" si="15"/>
        <v>0</v>
      </c>
      <c r="AB66" s="20">
        <f t="shared" ref="AB66:AB96" si="21">+G66+I66+K66+L66+N66+P66+Q66+S66+U66-X66-AA66</f>
        <v>0</v>
      </c>
      <c r="AJ66" s="33"/>
      <c r="AK66" s="35"/>
      <c r="AL66" s="38"/>
      <c r="AM66" s="48"/>
    </row>
    <row r="67" spans="1:39">
      <c r="A67" s="45"/>
      <c r="B67" s="46"/>
      <c r="C67" s="14"/>
      <c r="D67" s="14"/>
      <c r="E67" s="14"/>
      <c r="F67" s="15" t="str">
        <f t="shared" si="16"/>
        <v xml:space="preserve">S/F  </v>
      </c>
      <c r="G67" s="16"/>
      <c r="H67" s="54">
        <v>21</v>
      </c>
      <c r="I67" s="18">
        <f t="shared" si="17"/>
        <v>0</v>
      </c>
      <c r="J67" s="17"/>
      <c r="K67" s="18">
        <f t="shared" si="18"/>
        <v>0</v>
      </c>
      <c r="L67" s="16"/>
      <c r="M67" s="17"/>
      <c r="N67" s="18">
        <f t="shared" si="19"/>
        <v>0</v>
      </c>
      <c r="O67" s="47"/>
      <c r="P67" s="47"/>
      <c r="Q67" s="47"/>
      <c r="R67" s="47"/>
      <c r="S67" s="47"/>
      <c r="T67" s="47"/>
      <c r="U67" s="47"/>
      <c r="V67" s="16"/>
      <c r="W67" s="17"/>
      <c r="X67" s="18">
        <f t="shared" si="20"/>
        <v>0</v>
      </c>
      <c r="Y67" s="19"/>
      <c r="Z67" s="19"/>
      <c r="AA67" s="18">
        <f t="shared" si="15"/>
        <v>0</v>
      </c>
      <c r="AB67" s="20">
        <f t="shared" si="21"/>
        <v>0</v>
      </c>
      <c r="AJ67" s="33"/>
      <c r="AK67" s="35"/>
      <c r="AL67" s="38"/>
      <c r="AM67" s="48"/>
    </row>
    <row r="68" spans="1:39">
      <c r="A68" s="45"/>
      <c r="B68" s="46"/>
      <c r="C68" s="14"/>
      <c r="D68" s="14"/>
      <c r="E68" s="14"/>
      <c r="F68" s="15" t="str">
        <f t="shared" si="16"/>
        <v xml:space="preserve">S/F  </v>
      </c>
      <c r="G68" s="16"/>
      <c r="H68" s="54">
        <v>21</v>
      </c>
      <c r="I68" s="18">
        <f t="shared" si="17"/>
        <v>0</v>
      </c>
      <c r="J68" s="17"/>
      <c r="K68" s="18">
        <f t="shared" si="18"/>
        <v>0</v>
      </c>
      <c r="L68" s="16"/>
      <c r="M68" s="17"/>
      <c r="N68" s="18">
        <f t="shared" si="19"/>
        <v>0</v>
      </c>
      <c r="O68" s="19"/>
      <c r="P68" s="18"/>
      <c r="Q68" s="16"/>
      <c r="R68" s="17"/>
      <c r="S68" s="18"/>
      <c r="T68" s="19"/>
      <c r="U68" s="18"/>
      <c r="V68" s="16"/>
      <c r="W68" s="17"/>
      <c r="X68" s="18">
        <f t="shared" si="20"/>
        <v>0</v>
      </c>
      <c r="Y68" s="19"/>
      <c r="Z68" s="19"/>
      <c r="AA68" s="18">
        <f t="shared" si="15"/>
        <v>0</v>
      </c>
      <c r="AB68" s="20">
        <f t="shared" si="21"/>
        <v>0</v>
      </c>
      <c r="AC68" s="5"/>
      <c r="AD68" s="8"/>
      <c r="AF68" s="6"/>
      <c r="AG68" s="7"/>
      <c r="AJ68" s="33"/>
      <c r="AK68" s="35"/>
      <c r="AL68" s="38"/>
      <c r="AM68" s="48"/>
    </row>
    <row r="69" spans="1:39">
      <c r="A69" s="45"/>
      <c r="B69" s="46"/>
      <c r="C69" s="14"/>
      <c r="D69" s="14"/>
      <c r="E69" s="14"/>
      <c r="F69" s="15" t="str">
        <f t="shared" si="16"/>
        <v xml:space="preserve">S/F  </v>
      </c>
      <c r="G69" s="16"/>
      <c r="H69" s="54">
        <v>21</v>
      </c>
      <c r="I69" s="18">
        <f t="shared" si="17"/>
        <v>0</v>
      </c>
      <c r="J69" s="17"/>
      <c r="K69" s="18">
        <f t="shared" si="18"/>
        <v>0</v>
      </c>
      <c r="L69" s="16"/>
      <c r="M69" s="17"/>
      <c r="N69" s="18">
        <f t="shared" si="19"/>
        <v>0</v>
      </c>
      <c r="O69" s="19"/>
      <c r="P69" s="18"/>
      <c r="Q69" s="16"/>
      <c r="R69" s="17"/>
      <c r="S69" s="18"/>
      <c r="T69" s="19"/>
      <c r="U69" s="18"/>
      <c r="V69" s="16"/>
      <c r="W69" s="17"/>
      <c r="X69" s="18">
        <f t="shared" si="20"/>
        <v>0</v>
      </c>
      <c r="Y69" s="19"/>
      <c r="Z69" s="19"/>
      <c r="AA69" s="18">
        <f t="shared" si="15"/>
        <v>0</v>
      </c>
      <c r="AB69" s="20">
        <f t="shared" si="21"/>
        <v>0</v>
      </c>
      <c r="AC69" s="5"/>
      <c r="AD69" s="8"/>
      <c r="AF69" s="6"/>
      <c r="AG69" s="7"/>
      <c r="AJ69" s="33"/>
      <c r="AK69" s="35"/>
      <c r="AL69" s="38"/>
      <c r="AM69" s="48"/>
    </row>
    <row r="70" spans="1:39">
      <c r="A70" s="45"/>
      <c r="B70" s="46"/>
      <c r="C70" s="14"/>
      <c r="D70" s="14"/>
      <c r="E70" s="14"/>
      <c r="F70" s="15" t="str">
        <f t="shared" si="16"/>
        <v xml:space="preserve">S/F  </v>
      </c>
      <c r="G70" s="16"/>
      <c r="H70" s="54">
        <v>21</v>
      </c>
      <c r="I70" s="18">
        <f t="shared" si="17"/>
        <v>0</v>
      </c>
      <c r="J70" s="17"/>
      <c r="K70" s="18">
        <f t="shared" si="18"/>
        <v>0</v>
      </c>
      <c r="L70" s="16"/>
      <c r="M70" s="17"/>
      <c r="N70" s="18">
        <f t="shared" si="19"/>
        <v>0</v>
      </c>
      <c r="O70" s="47"/>
      <c r="P70" s="47"/>
      <c r="Q70" s="47"/>
      <c r="R70" s="47"/>
      <c r="S70" s="47"/>
      <c r="T70" s="47"/>
      <c r="U70" s="47"/>
      <c r="V70" s="16"/>
      <c r="W70" s="17"/>
      <c r="X70" s="18">
        <f t="shared" si="20"/>
        <v>0</v>
      </c>
      <c r="Y70" s="19"/>
      <c r="Z70" s="19"/>
      <c r="AA70" s="18">
        <f t="shared" si="15"/>
        <v>0</v>
      </c>
      <c r="AB70" s="20">
        <f t="shared" si="21"/>
        <v>0</v>
      </c>
      <c r="AJ70" s="33"/>
      <c r="AK70" s="35"/>
      <c r="AL70" s="38"/>
      <c r="AM70" s="48"/>
    </row>
    <row r="71" spans="1:39">
      <c r="A71" s="45"/>
      <c r="B71" s="46"/>
      <c r="C71" s="14"/>
      <c r="D71" s="14"/>
      <c r="E71" s="14"/>
      <c r="F71" s="15" t="str">
        <f t="shared" si="16"/>
        <v xml:space="preserve">S/F  </v>
      </c>
      <c r="G71" s="16"/>
      <c r="H71" s="54">
        <v>21</v>
      </c>
      <c r="I71" s="18">
        <f t="shared" si="17"/>
        <v>0</v>
      </c>
      <c r="J71" s="17"/>
      <c r="K71" s="18">
        <f t="shared" si="18"/>
        <v>0</v>
      </c>
      <c r="L71" s="16"/>
      <c r="M71" s="17"/>
      <c r="N71" s="18">
        <f t="shared" si="19"/>
        <v>0</v>
      </c>
      <c r="O71" s="47"/>
      <c r="P71" s="47"/>
      <c r="Q71" s="47"/>
      <c r="R71" s="47"/>
      <c r="S71" s="47"/>
      <c r="T71" s="47"/>
      <c r="U71" s="47"/>
      <c r="V71" s="16"/>
      <c r="W71" s="17"/>
      <c r="X71" s="18">
        <f t="shared" si="20"/>
        <v>0</v>
      </c>
      <c r="Y71" s="19"/>
      <c r="Z71" s="19"/>
      <c r="AA71" s="18">
        <f t="shared" si="15"/>
        <v>0</v>
      </c>
      <c r="AB71" s="20">
        <f t="shared" si="21"/>
        <v>0</v>
      </c>
      <c r="AC71" s="5"/>
      <c r="AD71" s="2"/>
      <c r="AF71" s="2"/>
      <c r="AJ71" s="33"/>
      <c r="AK71" s="35"/>
      <c r="AL71" s="38"/>
      <c r="AM71" s="48"/>
    </row>
    <row r="72" spans="1:39">
      <c r="A72" s="45"/>
      <c r="B72" s="46"/>
      <c r="C72" s="14"/>
      <c r="D72" s="14"/>
      <c r="E72" s="14"/>
      <c r="F72" s="15" t="str">
        <f t="shared" si="16"/>
        <v xml:space="preserve">S/F  </v>
      </c>
      <c r="G72" s="16"/>
      <c r="H72" s="54">
        <v>21</v>
      </c>
      <c r="I72" s="18">
        <f t="shared" si="17"/>
        <v>0</v>
      </c>
      <c r="J72" s="17"/>
      <c r="K72" s="18">
        <f t="shared" si="18"/>
        <v>0</v>
      </c>
      <c r="L72" s="16"/>
      <c r="M72" s="17"/>
      <c r="N72" s="18">
        <f t="shared" si="19"/>
        <v>0</v>
      </c>
      <c r="O72" s="19"/>
      <c r="P72" s="18"/>
      <c r="Q72" s="16"/>
      <c r="R72" s="17"/>
      <c r="S72" s="18"/>
      <c r="T72" s="19"/>
      <c r="U72" s="18"/>
      <c r="V72" s="16"/>
      <c r="W72" s="17"/>
      <c r="X72" s="18">
        <f t="shared" si="20"/>
        <v>0</v>
      </c>
      <c r="Y72" s="19"/>
      <c r="Z72" s="19"/>
      <c r="AA72" s="18">
        <f t="shared" si="15"/>
        <v>0</v>
      </c>
      <c r="AB72" s="20">
        <f t="shared" si="21"/>
        <v>0</v>
      </c>
      <c r="AC72" s="5"/>
      <c r="AD72" s="8"/>
      <c r="AF72" s="6"/>
      <c r="AG72" s="7"/>
      <c r="AJ72" s="33"/>
      <c r="AK72" s="35"/>
      <c r="AL72" s="38"/>
      <c r="AM72" s="48"/>
    </row>
    <row r="73" spans="1:39">
      <c r="A73" s="45"/>
      <c r="B73" s="46"/>
      <c r="C73" s="14"/>
      <c r="D73" s="14"/>
      <c r="E73" s="14"/>
      <c r="F73" s="15" t="str">
        <f t="shared" si="16"/>
        <v xml:space="preserve">S/F  </v>
      </c>
      <c r="G73" s="16"/>
      <c r="H73" s="54">
        <v>21</v>
      </c>
      <c r="I73" s="18">
        <f t="shared" si="17"/>
        <v>0</v>
      </c>
      <c r="J73" s="17"/>
      <c r="K73" s="18">
        <f t="shared" si="18"/>
        <v>0</v>
      </c>
      <c r="L73" s="16"/>
      <c r="M73" s="17"/>
      <c r="N73" s="18">
        <f t="shared" si="19"/>
        <v>0</v>
      </c>
      <c r="O73" s="47"/>
      <c r="P73" s="47"/>
      <c r="Q73" s="47"/>
      <c r="R73" s="47"/>
      <c r="S73" s="47"/>
      <c r="T73" s="47"/>
      <c r="U73" s="47"/>
      <c r="V73" s="16"/>
      <c r="W73" s="17"/>
      <c r="X73" s="18">
        <f t="shared" si="20"/>
        <v>0</v>
      </c>
      <c r="Y73" s="19"/>
      <c r="Z73" s="19"/>
      <c r="AA73" s="18">
        <f t="shared" si="15"/>
        <v>0</v>
      </c>
      <c r="AB73" s="20">
        <f t="shared" si="21"/>
        <v>0</v>
      </c>
      <c r="AC73" s="5"/>
      <c r="AD73" s="2"/>
      <c r="AF73" s="2"/>
      <c r="AJ73" s="33"/>
      <c r="AK73" s="35"/>
      <c r="AL73" s="38"/>
      <c r="AM73" s="48"/>
    </row>
    <row r="74" spans="1:39">
      <c r="A74" s="45"/>
      <c r="B74" s="46"/>
      <c r="C74" s="14"/>
      <c r="D74" s="14"/>
      <c r="E74" s="14"/>
      <c r="F74" s="15" t="str">
        <f t="shared" si="16"/>
        <v xml:space="preserve">S/F  </v>
      </c>
      <c r="G74" s="16"/>
      <c r="H74" s="54">
        <v>21</v>
      </c>
      <c r="I74" s="18">
        <f t="shared" si="17"/>
        <v>0</v>
      </c>
      <c r="J74" s="17"/>
      <c r="K74" s="18">
        <f t="shared" si="18"/>
        <v>0</v>
      </c>
      <c r="L74" s="16"/>
      <c r="M74" s="17"/>
      <c r="N74" s="18">
        <f t="shared" si="19"/>
        <v>0</v>
      </c>
      <c r="O74" s="47"/>
      <c r="P74" s="47"/>
      <c r="Q74" s="47"/>
      <c r="R74" s="47"/>
      <c r="S74" s="47"/>
      <c r="T74" s="47"/>
      <c r="U74" s="47"/>
      <c r="V74" s="16"/>
      <c r="W74" s="17"/>
      <c r="X74" s="18">
        <f t="shared" si="20"/>
        <v>0</v>
      </c>
      <c r="Y74" s="19"/>
      <c r="Z74" s="19"/>
      <c r="AA74" s="18">
        <f t="shared" si="15"/>
        <v>0</v>
      </c>
      <c r="AB74" s="20">
        <f t="shared" si="21"/>
        <v>0</v>
      </c>
      <c r="AC74" s="5"/>
      <c r="AD74" s="2"/>
      <c r="AF74" s="2"/>
      <c r="AJ74" s="33"/>
      <c r="AK74" s="35"/>
      <c r="AL74" s="38"/>
      <c r="AM74" s="48"/>
    </row>
    <row r="75" spans="1:39">
      <c r="A75" s="45"/>
      <c r="B75" s="46"/>
      <c r="C75" s="14"/>
      <c r="D75" s="14"/>
      <c r="E75" s="14"/>
      <c r="F75" s="15" t="str">
        <f t="shared" si="16"/>
        <v xml:space="preserve">S/F  </v>
      </c>
      <c r="G75" s="16"/>
      <c r="H75" s="54">
        <v>21</v>
      </c>
      <c r="I75" s="18">
        <f t="shared" si="17"/>
        <v>0</v>
      </c>
      <c r="J75" s="17"/>
      <c r="K75" s="18">
        <f t="shared" si="18"/>
        <v>0</v>
      </c>
      <c r="L75" s="16"/>
      <c r="M75" s="17"/>
      <c r="N75" s="18">
        <f t="shared" si="19"/>
        <v>0</v>
      </c>
      <c r="O75" s="47"/>
      <c r="P75" s="47"/>
      <c r="Q75" s="47"/>
      <c r="R75" s="47"/>
      <c r="S75" s="47"/>
      <c r="T75" s="47"/>
      <c r="U75" s="47"/>
      <c r="V75" s="16"/>
      <c r="W75" s="17"/>
      <c r="X75" s="18">
        <f t="shared" si="20"/>
        <v>0</v>
      </c>
      <c r="Y75" s="19"/>
      <c r="Z75" s="19"/>
      <c r="AA75" s="18">
        <f t="shared" si="15"/>
        <v>0</v>
      </c>
      <c r="AB75" s="20">
        <f t="shared" si="21"/>
        <v>0</v>
      </c>
      <c r="AC75" s="5"/>
      <c r="AD75" s="2"/>
      <c r="AF75" s="2"/>
      <c r="AJ75" s="33"/>
      <c r="AK75" s="35"/>
      <c r="AL75" s="38"/>
      <c r="AM75" s="48"/>
    </row>
    <row r="76" spans="1:39">
      <c r="A76" s="45"/>
      <c r="B76" s="46"/>
      <c r="C76" s="14"/>
      <c r="D76" s="14"/>
      <c r="E76" s="14"/>
      <c r="F76" s="15" t="str">
        <f t="shared" si="16"/>
        <v xml:space="preserve">S/F  </v>
      </c>
      <c r="G76" s="16"/>
      <c r="H76" s="54">
        <v>21</v>
      </c>
      <c r="I76" s="18">
        <f t="shared" si="17"/>
        <v>0</v>
      </c>
      <c r="J76" s="17"/>
      <c r="K76" s="18">
        <f t="shared" si="18"/>
        <v>0</v>
      </c>
      <c r="L76" s="16"/>
      <c r="M76" s="17"/>
      <c r="N76" s="18">
        <f t="shared" si="19"/>
        <v>0</v>
      </c>
      <c r="O76" s="47"/>
      <c r="P76" s="47"/>
      <c r="Q76" s="47"/>
      <c r="R76" s="47"/>
      <c r="S76" s="47"/>
      <c r="T76" s="47"/>
      <c r="U76" s="47"/>
      <c r="V76" s="16"/>
      <c r="W76" s="17"/>
      <c r="X76" s="18">
        <f t="shared" si="20"/>
        <v>0</v>
      </c>
      <c r="Y76" s="19"/>
      <c r="Z76" s="19"/>
      <c r="AA76" s="18">
        <f t="shared" si="15"/>
        <v>0</v>
      </c>
      <c r="AB76" s="20">
        <f t="shared" si="21"/>
        <v>0</v>
      </c>
      <c r="AC76" s="5"/>
      <c r="AD76" s="2"/>
      <c r="AF76" s="2"/>
      <c r="AJ76" s="33"/>
      <c r="AK76" s="35"/>
      <c r="AL76" s="38"/>
      <c r="AM76" s="48"/>
    </row>
    <row r="77" spans="1:39">
      <c r="A77" s="45"/>
      <c r="B77" s="46"/>
      <c r="C77" s="14"/>
      <c r="D77" s="14"/>
      <c r="E77" s="14"/>
      <c r="F77" s="15" t="str">
        <f t="shared" si="16"/>
        <v xml:space="preserve">S/F  </v>
      </c>
      <c r="G77" s="16"/>
      <c r="H77" s="54">
        <v>21</v>
      </c>
      <c r="I77" s="18">
        <f t="shared" si="17"/>
        <v>0</v>
      </c>
      <c r="J77" s="17"/>
      <c r="K77" s="18">
        <f t="shared" si="18"/>
        <v>0</v>
      </c>
      <c r="L77" s="16"/>
      <c r="M77" s="17"/>
      <c r="N77" s="18">
        <f t="shared" si="19"/>
        <v>0</v>
      </c>
      <c r="O77" s="47"/>
      <c r="P77" s="47"/>
      <c r="Q77" s="47"/>
      <c r="R77" s="47"/>
      <c r="S77" s="47"/>
      <c r="T77" s="47"/>
      <c r="U77" s="47"/>
      <c r="V77" s="16"/>
      <c r="W77" s="17"/>
      <c r="X77" s="18">
        <f t="shared" si="20"/>
        <v>0</v>
      </c>
      <c r="Y77" s="19"/>
      <c r="Z77" s="19"/>
      <c r="AA77" s="18">
        <f t="shared" si="15"/>
        <v>0</v>
      </c>
      <c r="AB77" s="20">
        <f t="shared" si="21"/>
        <v>0</v>
      </c>
      <c r="AC77" s="5"/>
      <c r="AD77" s="2"/>
      <c r="AF77" s="2"/>
      <c r="AJ77" s="33"/>
      <c r="AK77" s="35"/>
      <c r="AL77" s="38"/>
      <c r="AM77" s="48"/>
    </row>
    <row r="78" spans="1:39">
      <c r="A78" s="45"/>
      <c r="B78" s="46"/>
      <c r="C78" s="14"/>
      <c r="D78" s="14"/>
      <c r="E78" s="14"/>
      <c r="F78" s="15" t="str">
        <f t="shared" si="16"/>
        <v xml:space="preserve">S/F  </v>
      </c>
      <c r="G78" s="16"/>
      <c r="H78" s="54">
        <v>21</v>
      </c>
      <c r="I78" s="18">
        <f t="shared" si="17"/>
        <v>0</v>
      </c>
      <c r="J78" s="17"/>
      <c r="K78" s="18">
        <f t="shared" si="18"/>
        <v>0</v>
      </c>
      <c r="L78" s="16"/>
      <c r="M78" s="17"/>
      <c r="N78" s="18">
        <f t="shared" si="19"/>
        <v>0</v>
      </c>
      <c r="O78" s="47"/>
      <c r="P78" s="47"/>
      <c r="Q78" s="47"/>
      <c r="R78" s="47"/>
      <c r="S78" s="47"/>
      <c r="T78" s="47"/>
      <c r="U78" s="47"/>
      <c r="V78" s="16"/>
      <c r="W78" s="17"/>
      <c r="X78" s="18">
        <f t="shared" si="20"/>
        <v>0</v>
      </c>
      <c r="Y78" s="19"/>
      <c r="Z78" s="19"/>
      <c r="AA78" s="18">
        <f t="shared" si="15"/>
        <v>0</v>
      </c>
      <c r="AB78" s="20">
        <f t="shared" si="21"/>
        <v>0</v>
      </c>
      <c r="AJ78" s="33"/>
      <c r="AK78" s="35"/>
      <c r="AL78" s="38"/>
      <c r="AM78" s="48"/>
    </row>
    <row r="79" spans="1:39">
      <c r="A79" s="45"/>
      <c r="B79" s="46"/>
      <c r="C79" s="14"/>
      <c r="D79" s="14"/>
      <c r="E79" s="14"/>
      <c r="F79" s="15" t="str">
        <f t="shared" si="16"/>
        <v xml:space="preserve">S/F  </v>
      </c>
      <c r="G79" s="16"/>
      <c r="H79" s="54">
        <v>21</v>
      </c>
      <c r="I79" s="18">
        <f t="shared" si="17"/>
        <v>0</v>
      </c>
      <c r="J79" s="17"/>
      <c r="K79" s="18">
        <f t="shared" si="18"/>
        <v>0</v>
      </c>
      <c r="L79" s="16"/>
      <c r="M79" s="17"/>
      <c r="N79" s="18">
        <f t="shared" si="19"/>
        <v>0</v>
      </c>
      <c r="O79" s="47"/>
      <c r="P79" s="47"/>
      <c r="Q79" s="47"/>
      <c r="R79" s="47"/>
      <c r="S79" s="47"/>
      <c r="T79" s="47"/>
      <c r="U79" s="47"/>
      <c r="V79" s="16"/>
      <c r="W79" s="17"/>
      <c r="X79" s="18">
        <f t="shared" si="20"/>
        <v>0</v>
      </c>
      <c r="Y79" s="19"/>
      <c r="Z79" s="19"/>
      <c r="AA79" s="18">
        <f t="shared" si="15"/>
        <v>0</v>
      </c>
      <c r="AB79" s="20">
        <f t="shared" si="21"/>
        <v>0</v>
      </c>
      <c r="AC79" s="5"/>
      <c r="AD79" s="2"/>
      <c r="AF79" s="2"/>
      <c r="AJ79" s="33"/>
      <c r="AK79" s="35"/>
      <c r="AL79" s="38"/>
      <c r="AM79" s="48"/>
    </row>
    <row r="80" spans="1:39">
      <c r="A80" s="45"/>
      <c r="B80" s="46"/>
      <c r="C80" s="14"/>
      <c r="D80" s="14"/>
      <c r="E80" s="14"/>
      <c r="F80" s="15" t="str">
        <f t="shared" si="16"/>
        <v xml:space="preserve">S/F  </v>
      </c>
      <c r="G80" s="16"/>
      <c r="H80" s="54">
        <v>21</v>
      </c>
      <c r="I80" s="18">
        <f t="shared" si="17"/>
        <v>0</v>
      </c>
      <c r="J80" s="17"/>
      <c r="K80" s="18">
        <f t="shared" si="18"/>
        <v>0</v>
      </c>
      <c r="L80" s="16"/>
      <c r="M80" s="17"/>
      <c r="N80" s="18">
        <f t="shared" si="19"/>
        <v>0</v>
      </c>
      <c r="O80" s="47"/>
      <c r="P80" s="47"/>
      <c r="Q80" s="47"/>
      <c r="R80" s="47"/>
      <c r="S80" s="47"/>
      <c r="T80" s="47"/>
      <c r="U80" s="47"/>
      <c r="V80" s="16"/>
      <c r="W80" s="17"/>
      <c r="X80" s="18">
        <f t="shared" si="20"/>
        <v>0</v>
      </c>
      <c r="Y80" s="19"/>
      <c r="Z80" s="19"/>
      <c r="AA80" s="18">
        <f t="shared" si="15"/>
        <v>0</v>
      </c>
      <c r="AB80" s="20">
        <f t="shared" si="21"/>
        <v>0</v>
      </c>
      <c r="AJ80" s="33"/>
      <c r="AK80" s="35"/>
      <c r="AL80" s="38"/>
      <c r="AM80" s="48"/>
    </row>
    <row r="81" spans="1:39">
      <c r="A81" s="45"/>
      <c r="B81" s="46"/>
      <c r="C81" s="14"/>
      <c r="D81" s="14"/>
      <c r="E81" s="14"/>
      <c r="F81" s="15" t="str">
        <f t="shared" si="16"/>
        <v xml:space="preserve">S/F  </v>
      </c>
      <c r="G81" s="16"/>
      <c r="H81" s="54">
        <v>21</v>
      </c>
      <c r="I81" s="18">
        <f t="shared" si="17"/>
        <v>0</v>
      </c>
      <c r="J81" s="17"/>
      <c r="K81" s="18">
        <f t="shared" si="18"/>
        <v>0</v>
      </c>
      <c r="L81" s="16"/>
      <c r="M81" s="17"/>
      <c r="N81" s="18">
        <f t="shared" si="19"/>
        <v>0</v>
      </c>
      <c r="O81" s="47"/>
      <c r="P81" s="47"/>
      <c r="Q81" s="47"/>
      <c r="R81" s="47"/>
      <c r="S81" s="47"/>
      <c r="T81" s="47"/>
      <c r="U81" s="47"/>
      <c r="V81" s="16"/>
      <c r="W81" s="17"/>
      <c r="X81" s="18">
        <f t="shared" si="20"/>
        <v>0</v>
      </c>
      <c r="Y81" s="19"/>
      <c r="Z81" s="19"/>
      <c r="AA81" s="18">
        <f t="shared" si="15"/>
        <v>0</v>
      </c>
      <c r="AB81" s="20">
        <f t="shared" si="21"/>
        <v>0</v>
      </c>
      <c r="AJ81" s="33"/>
      <c r="AK81" s="35"/>
      <c r="AL81" s="38"/>
      <c r="AM81" s="48"/>
    </row>
    <row r="82" spans="1:39">
      <c r="A82" s="45"/>
      <c r="B82" s="46"/>
      <c r="C82" s="14"/>
      <c r="D82" s="14"/>
      <c r="E82" s="14"/>
      <c r="F82" s="15" t="str">
        <f t="shared" si="16"/>
        <v xml:space="preserve">S/F  </v>
      </c>
      <c r="G82" s="16"/>
      <c r="H82" s="54">
        <v>21</v>
      </c>
      <c r="I82" s="18">
        <f t="shared" si="17"/>
        <v>0</v>
      </c>
      <c r="J82" s="17"/>
      <c r="K82" s="18">
        <f t="shared" si="18"/>
        <v>0</v>
      </c>
      <c r="L82" s="16"/>
      <c r="M82" s="17"/>
      <c r="N82" s="18">
        <f t="shared" si="19"/>
        <v>0</v>
      </c>
      <c r="O82" s="47"/>
      <c r="P82" s="47"/>
      <c r="Q82" s="47"/>
      <c r="R82" s="47"/>
      <c r="S82" s="47"/>
      <c r="T82" s="47"/>
      <c r="U82" s="47"/>
      <c r="V82" s="16"/>
      <c r="W82" s="17"/>
      <c r="X82" s="18">
        <f t="shared" si="20"/>
        <v>0</v>
      </c>
      <c r="Y82" s="19"/>
      <c r="Z82" s="19"/>
      <c r="AA82" s="18">
        <f t="shared" si="15"/>
        <v>0</v>
      </c>
      <c r="AB82" s="20">
        <f t="shared" si="21"/>
        <v>0</v>
      </c>
      <c r="AJ82" s="33"/>
      <c r="AK82" s="35"/>
      <c r="AL82" s="38"/>
      <c r="AM82" s="48"/>
    </row>
    <row r="83" spans="1:39">
      <c r="A83" s="45"/>
      <c r="B83" s="46"/>
      <c r="C83" s="14"/>
      <c r="D83" s="14"/>
      <c r="E83" s="14"/>
      <c r="F83" s="15" t="str">
        <f t="shared" si="16"/>
        <v xml:space="preserve">S/F  </v>
      </c>
      <c r="G83" s="16"/>
      <c r="H83" s="54">
        <v>21</v>
      </c>
      <c r="I83" s="18">
        <f t="shared" si="17"/>
        <v>0</v>
      </c>
      <c r="J83" s="17"/>
      <c r="K83" s="18">
        <f t="shared" si="18"/>
        <v>0</v>
      </c>
      <c r="L83" s="16"/>
      <c r="M83" s="17"/>
      <c r="N83" s="18">
        <f t="shared" si="19"/>
        <v>0</v>
      </c>
      <c r="O83" s="47"/>
      <c r="P83" s="47"/>
      <c r="Q83" s="47"/>
      <c r="R83" s="47"/>
      <c r="S83" s="47"/>
      <c r="T83" s="47"/>
      <c r="U83" s="47"/>
      <c r="V83" s="16"/>
      <c r="W83" s="17"/>
      <c r="X83" s="18">
        <f t="shared" si="20"/>
        <v>0</v>
      </c>
      <c r="Y83" s="19"/>
      <c r="Z83" s="19"/>
      <c r="AA83" s="18">
        <f t="shared" si="15"/>
        <v>0</v>
      </c>
      <c r="AB83" s="20">
        <f t="shared" si="21"/>
        <v>0</v>
      </c>
      <c r="AC83" s="5"/>
      <c r="AD83" s="2"/>
      <c r="AF83" s="2"/>
      <c r="AJ83" s="33"/>
      <c r="AK83" s="35"/>
      <c r="AL83" s="38"/>
      <c r="AM83" s="48"/>
    </row>
    <row r="84" spans="1:39">
      <c r="A84" s="45"/>
      <c r="B84" s="46"/>
      <c r="C84" s="14"/>
      <c r="D84" s="14"/>
      <c r="E84" s="14"/>
      <c r="F84" s="15" t="str">
        <f t="shared" si="16"/>
        <v xml:space="preserve">S/F  </v>
      </c>
      <c r="G84" s="16"/>
      <c r="H84" s="54">
        <v>21</v>
      </c>
      <c r="I84" s="18">
        <f t="shared" si="17"/>
        <v>0</v>
      </c>
      <c r="J84" s="17"/>
      <c r="K84" s="18">
        <f t="shared" si="18"/>
        <v>0</v>
      </c>
      <c r="L84" s="16"/>
      <c r="M84" s="17"/>
      <c r="N84" s="18">
        <f t="shared" si="19"/>
        <v>0</v>
      </c>
      <c r="O84" s="47"/>
      <c r="P84" s="47"/>
      <c r="Q84" s="47"/>
      <c r="R84" s="47"/>
      <c r="S84" s="47"/>
      <c r="T84" s="47"/>
      <c r="U84" s="47"/>
      <c r="V84" s="16"/>
      <c r="W84" s="17"/>
      <c r="X84" s="18">
        <f t="shared" si="20"/>
        <v>0</v>
      </c>
      <c r="Y84" s="19"/>
      <c r="Z84" s="19"/>
      <c r="AA84" s="18">
        <f t="shared" si="15"/>
        <v>0</v>
      </c>
      <c r="AB84" s="20">
        <f t="shared" si="21"/>
        <v>0</v>
      </c>
      <c r="AJ84" s="33"/>
      <c r="AK84" s="35"/>
      <c r="AL84" s="38"/>
      <c r="AM84" s="48"/>
    </row>
    <row r="85" spans="1:39">
      <c r="A85" s="45"/>
      <c r="B85" s="46"/>
      <c r="C85" s="14"/>
      <c r="D85" s="14"/>
      <c r="E85" s="14"/>
      <c r="F85" s="15" t="str">
        <f t="shared" si="16"/>
        <v xml:space="preserve">S/F  </v>
      </c>
      <c r="G85" s="16"/>
      <c r="H85" s="54">
        <v>21</v>
      </c>
      <c r="I85" s="18">
        <f t="shared" si="17"/>
        <v>0</v>
      </c>
      <c r="J85" s="17"/>
      <c r="K85" s="18">
        <f t="shared" si="18"/>
        <v>0</v>
      </c>
      <c r="L85" s="16"/>
      <c r="M85" s="17"/>
      <c r="N85" s="18">
        <f t="shared" si="19"/>
        <v>0</v>
      </c>
      <c r="O85" s="47"/>
      <c r="P85" s="47"/>
      <c r="Q85" s="47"/>
      <c r="R85" s="47"/>
      <c r="S85" s="47"/>
      <c r="T85" s="47"/>
      <c r="U85" s="47"/>
      <c r="V85" s="16"/>
      <c r="W85" s="17"/>
      <c r="X85" s="18">
        <f t="shared" si="20"/>
        <v>0</v>
      </c>
      <c r="Y85" s="19"/>
      <c r="Z85" s="19"/>
      <c r="AA85" s="18">
        <f t="shared" si="15"/>
        <v>0</v>
      </c>
      <c r="AB85" s="20">
        <f t="shared" si="21"/>
        <v>0</v>
      </c>
      <c r="AJ85" s="33"/>
      <c r="AK85" s="35"/>
      <c r="AL85" s="38"/>
      <c r="AM85" s="48"/>
    </row>
    <row r="86" spans="1:39">
      <c r="A86" s="45"/>
      <c r="B86" s="46"/>
      <c r="C86" s="14"/>
      <c r="D86" s="14"/>
      <c r="E86" s="14"/>
      <c r="F86" s="15" t="str">
        <f t="shared" si="16"/>
        <v xml:space="preserve">S/F  </v>
      </c>
      <c r="G86" s="16"/>
      <c r="H86" s="54">
        <v>21</v>
      </c>
      <c r="I86" s="18">
        <f t="shared" si="17"/>
        <v>0</v>
      </c>
      <c r="J86" s="17"/>
      <c r="K86" s="18">
        <f t="shared" si="18"/>
        <v>0</v>
      </c>
      <c r="L86" s="16"/>
      <c r="M86" s="17"/>
      <c r="N86" s="18">
        <f t="shared" si="19"/>
        <v>0</v>
      </c>
      <c r="O86" s="47"/>
      <c r="P86" s="47"/>
      <c r="Q86" s="47"/>
      <c r="R86" s="47"/>
      <c r="S86" s="47"/>
      <c r="T86" s="47"/>
      <c r="U86" s="47"/>
      <c r="V86" s="16"/>
      <c r="W86" s="17"/>
      <c r="X86" s="18">
        <f t="shared" si="20"/>
        <v>0</v>
      </c>
      <c r="Y86" s="19"/>
      <c r="Z86" s="19"/>
      <c r="AA86" s="18">
        <f t="shared" si="15"/>
        <v>0</v>
      </c>
      <c r="AB86" s="20">
        <f t="shared" si="21"/>
        <v>0</v>
      </c>
      <c r="AC86" s="5"/>
      <c r="AD86" s="2"/>
      <c r="AF86" s="2"/>
      <c r="AJ86" s="33"/>
      <c r="AK86" s="35"/>
      <c r="AL86" s="38"/>
      <c r="AM86" s="48"/>
    </row>
    <row r="87" spans="1:39">
      <c r="A87" s="45"/>
      <c r="B87" s="46"/>
      <c r="C87" s="14"/>
      <c r="D87" s="14"/>
      <c r="E87" s="14"/>
      <c r="F87" s="15" t="str">
        <f t="shared" si="16"/>
        <v xml:space="preserve">S/F  </v>
      </c>
      <c r="G87" s="16"/>
      <c r="H87" s="54">
        <v>21</v>
      </c>
      <c r="I87" s="18">
        <f t="shared" si="17"/>
        <v>0</v>
      </c>
      <c r="J87" s="17"/>
      <c r="K87" s="18">
        <f t="shared" si="18"/>
        <v>0</v>
      </c>
      <c r="L87" s="16"/>
      <c r="M87" s="17"/>
      <c r="N87" s="18">
        <f t="shared" si="19"/>
        <v>0</v>
      </c>
      <c r="O87" s="47"/>
      <c r="P87" s="47"/>
      <c r="Q87" s="47"/>
      <c r="R87" s="47"/>
      <c r="S87" s="47"/>
      <c r="T87" s="47"/>
      <c r="U87" s="47"/>
      <c r="V87" s="16"/>
      <c r="W87" s="17"/>
      <c r="X87" s="18">
        <f t="shared" si="20"/>
        <v>0</v>
      </c>
      <c r="Y87" s="19"/>
      <c r="Z87" s="19"/>
      <c r="AA87" s="18">
        <f t="shared" si="15"/>
        <v>0</v>
      </c>
      <c r="AB87" s="20">
        <f t="shared" si="21"/>
        <v>0</v>
      </c>
      <c r="AJ87" s="33"/>
      <c r="AK87" s="35"/>
      <c r="AL87" s="38"/>
      <c r="AM87" s="48"/>
    </row>
    <row r="88" spans="1:39">
      <c r="A88" s="45"/>
      <c r="B88" s="46"/>
      <c r="C88" s="14"/>
      <c r="D88" s="14"/>
      <c r="E88" s="14"/>
      <c r="F88" s="15" t="str">
        <f t="shared" si="16"/>
        <v xml:space="preserve">S/F  </v>
      </c>
      <c r="G88" s="16"/>
      <c r="H88" s="54">
        <v>21</v>
      </c>
      <c r="I88" s="18">
        <f t="shared" si="17"/>
        <v>0</v>
      </c>
      <c r="J88" s="17"/>
      <c r="K88" s="18">
        <f t="shared" si="18"/>
        <v>0</v>
      </c>
      <c r="L88" s="16"/>
      <c r="M88" s="17"/>
      <c r="N88" s="18">
        <f t="shared" si="19"/>
        <v>0</v>
      </c>
      <c r="O88" s="47"/>
      <c r="P88" s="47"/>
      <c r="Q88" s="47"/>
      <c r="R88" s="47"/>
      <c r="S88" s="47"/>
      <c r="T88" s="47"/>
      <c r="U88" s="47"/>
      <c r="V88" s="16"/>
      <c r="W88" s="17"/>
      <c r="X88" s="18">
        <f t="shared" si="20"/>
        <v>0</v>
      </c>
      <c r="Y88" s="19"/>
      <c r="Z88" s="19"/>
      <c r="AA88" s="18">
        <f t="shared" si="15"/>
        <v>0</v>
      </c>
      <c r="AB88" s="20">
        <f t="shared" si="21"/>
        <v>0</v>
      </c>
      <c r="AJ88" s="33"/>
      <c r="AK88" s="35"/>
      <c r="AL88" s="38"/>
      <c r="AM88" s="48"/>
    </row>
    <row r="89" spans="1:39">
      <c r="A89" s="45"/>
      <c r="B89" s="46"/>
      <c r="C89" s="14"/>
      <c r="D89" s="14"/>
      <c r="E89" s="14"/>
      <c r="F89" s="15" t="str">
        <f t="shared" si="16"/>
        <v xml:space="preserve">S/F  </v>
      </c>
      <c r="G89" s="16"/>
      <c r="H89" s="54">
        <v>21</v>
      </c>
      <c r="I89" s="18">
        <f t="shared" si="17"/>
        <v>0</v>
      </c>
      <c r="J89" s="17"/>
      <c r="K89" s="18">
        <f t="shared" si="18"/>
        <v>0</v>
      </c>
      <c r="L89" s="16"/>
      <c r="M89" s="17"/>
      <c r="N89" s="18">
        <f t="shared" si="19"/>
        <v>0</v>
      </c>
      <c r="O89" s="47"/>
      <c r="P89" s="47"/>
      <c r="Q89" s="47"/>
      <c r="R89" s="47"/>
      <c r="S89" s="47"/>
      <c r="T89" s="47"/>
      <c r="U89" s="47"/>
      <c r="V89" s="16"/>
      <c r="W89" s="17"/>
      <c r="X89" s="18">
        <f t="shared" si="20"/>
        <v>0</v>
      </c>
      <c r="Y89" s="19"/>
      <c r="Z89" s="19"/>
      <c r="AA89" s="18">
        <f t="shared" si="15"/>
        <v>0</v>
      </c>
      <c r="AB89" s="20">
        <f t="shared" si="21"/>
        <v>0</v>
      </c>
      <c r="AC89" s="5"/>
      <c r="AD89" s="2"/>
      <c r="AF89" s="2"/>
      <c r="AJ89" s="33"/>
      <c r="AK89" s="35"/>
      <c r="AL89" s="38"/>
      <c r="AM89" s="48"/>
    </row>
    <row r="90" spans="1:39">
      <c r="A90" s="45"/>
      <c r="B90" s="46"/>
      <c r="C90" s="14"/>
      <c r="D90" s="14"/>
      <c r="E90" s="14"/>
      <c r="F90" s="15" t="str">
        <f t="shared" si="16"/>
        <v xml:space="preserve">S/F  </v>
      </c>
      <c r="G90" s="16"/>
      <c r="H90" s="54">
        <v>21</v>
      </c>
      <c r="I90" s="18">
        <f t="shared" si="17"/>
        <v>0</v>
      </c>
      <c r="J90" s="17"/>
      <c r="K90" s="18">
        <f t="shared" si="18"/>
        <v>0</v>
      </c>
      <c r="L90" s="16"/>
      <c r="M90" s="17"/>
      <c r="N90" s="18">
        <f t="shared" si="19"/>
        <v>0</v>
      </c>
      <c r="O90" s="47"/>
      <c r="P90" s="47"/>
      <c r="Q90" s="47"/>
      <c r="R90" s="47"/>
      <c r="S90" s="47"/>
      <c r="T90" s="47"/>
      <c r="U90" s="47"/>
      <c r="V90" s="16"/>
      <c r="W90" s="17"/>
      <c r="X90" s="18">
        <f t="shared" si="20"/>
        <v>0</v>
      </c>
      <c r="Y90" s="19"/>
      <c r="Z90" s="19"/>
      <c r="AA90" s="18">
        <f t="shared" si="15"/>
        <v>0</v>
      </c>
      <c r="AB90" s="20">
        <f t="shared" si="21"/>
        <v>0</v>
      </c>
      <c r="AC90" s="5"/>
      <c r="AD90" s="2"/>
      <c r="AF90" s="2"/>
      <c r="AJ90" s="33"/>
      <c r="AK90" s="35"/>
      <c r="AL90" s="38"/>
      <c r="AM90" s="48"/>
    </row>
    <row r="91" spans="1:39">
      <c r="A91" s="45"/>
      <c r="B91" s="46"/>
      <c r="C91" s="14"/>
      <c r="D91" s="14"/>
      <c r="E91" s="14"/>
      <c r="F91" s="15" t="str">
        <f t="shared" si="16"/>
        <v xml:space="preserve">S/F  </v>
      </c>
      <c r="G91" s="16"/>
      <c r="H91" s="54">
        <v>21</v>
      </c>
      <c r="I91" s="18">
        <f t="shared" si="17"/>
        <v>0</v>
      </c>
      <c r="J91" s="17"/>
      <c r="K91" s="18">
        <f t="shared" si="18"/>
        <v>0</v>
      </c>
      <c r="L91" s="16"/>
      <c r="M91" s="17"/>
      <c r="N91" s="18">
        <f t="shared" si="19"/>
        <v>0</v>
      </c>
      <c r="O91" s="47"/>
      <c r="P91" s="47"/>
      <c r="Q91" s="47"/>
      <c r="R91" s="47"/>
      <c r="S91" s="47"/>
      <c r="T91" s="47"/>
      <c r="U91" s="47"/>
      <c r="V91" s="16"/>
      <c r="W91" s="17"/>
      <c r="X91" s="18">
        <f t="shared" si="20"/>
        <v>0</v>
      </c>
      <c r="Y91" s="19"/>
      <c r="Z91" s="19"/>
      <c r="AA91" s="18">
        <f t="shared" si="15"/>
        <v>0</v>
      </c>
      <c r="AB91" s="20">
        <f t="shared" si="21"/>
        <v>0</v>
      </c>
      <c r="AC91" s="5"/>
      <c r="AD91" s="2"/>
      <c r="AF91" s="2"/>
      <c r="AJ91" s="33"/>
      <c r="AK91" s="35"/>
      <c r="AL91" s="38"/>
      <c r="AM91" s="48"/>
    </row>
    <row r="92" spans="1:39">
      <c r="A92" s="45"/>
      <c r="B92" s="46"/>
      <c r="C92" s="14"/>
      <c r="D92" s="14"/>
      <c r="E92" s="14"/>
      <c r="F92" s="15" t="str">
        <f t="shared" si="16"/>
        <v xml:space="preserve">S/F  </v>
      </c>
      <c r="G92" s="16"/>
      <c r="H92" s="54">
        <v>21</v>
      </c>
      <c r="I92" s="18">
        <f t="shared" si="17"/>
        <v>0</v>
      </c>
      <c r="J92" s="17"/>
      <c r="K92" s="18">
        <f t="shared" si="18"/>
        <v>0</v>
      </c>
      <c r="L92" s="16"/>
      <c r="M92" s="17"/>
      <c r="N92" s="18">
        <f t="shared" si="19"/>
        <v>0</v>
      </c>
      <c r="O92" s="47"/>
      <c r="P92" s="47"/>
      <c r="Q92" s="47"/>
      <c r="R92" s="47"/>
      <c r="S92" s="47"/>
      <c r="T92" s="47"/>
      <c r="U92" s="47"/>
      <c r="V92" s="16"/>
      <c r="W92" s="17"/>
      <c r="X92" s="18">
        <f t="shared" si="20"/>
        <v>0</v>
      </c>
      <c r="Y92" s="19"/>
      <c r="Z92" s="19"/>
      <c r="AA92" s="18">
        <f t="shared" si="15"/>
        <v>0</v>
      </c>
      <c r="AB92" s="20">
        <f t="shared" si="21"/>
        <v>0</v>
      </c>
      <c r="AC92" s="5"/>
      <c r="AD92" s="2"/>
      <c r="AF92" s="2"/>
      <c r="AJ92" s="33"/>
      <c r="AK92" s="35"/>
      <c r="AL92" s="38"/>
      <c r="AM92" s="48"/>
    </row>
    <row r="93" spans="1:39">
      <c r="A93" s="45"/>
      <c r="B93" s="46"/>
      <c r="C93" s="14"/>
      <c r="D93" s="14"/>
      <c r="E93" s="14"/>
      <c r="F93" s="15" t="str">
        <f t="shared" si="16"/>
        <v xml:space="preserve">S/F  </v>
      </c>
      <c r="G93" s="16"/>
      <c r="H93" s="54">
        <v>21</v>
      </c>
      <c r="I93" s="18">
        <f t="shared" si="17"/>
        <v>0</v>
      </c>
      <c r="J93" s="17"/>
      <c r="K93" s="18">
        <f t="shared" si="18"/>
        <v>0</v>
      </c>
      <c r="L93" s="16"/>
      <c r="M93" s="17"/>
      <c r="N93" s="18">
        <f t="shared" si="19"/>
        <v>0</v>
      </c>
      <c r="O93" s="47"/>
      <c r="P93" s="47"/>
      <c r="Q93" s="47"/>
      <c r="R93" s="47"/>
      <c r="S93" s="47"/>
      <c r="T93" s="47"/>
      <c r="U93" s="47"/>
      <c r="V93" s="16"/>
      <c r="W93" s="17"/>
      <c r="X93" s="18">
        <f t="shared" si="20"/>
        <v>0</v>
      </c>
      <c r="Y93" s="19"/>
      <c r="Z93" s="19"/>
      <c r="AA93" s="18">
        <f t="shared" si="15"/>
        <v>0</v>
      </c>
      <c r="AB93" s="20">
        <f t="shared" si="21"/>
        <v>0</v>
      </c>
      <c r="AC93" s="5"/>
      <c r="AD93" s="2"/>
      <c r="AF93" s="2"/>
      <c r="AJ93" s="33"/>
      <c r="AK93" s="35"/>
      <c r="AL93" s="38"/>
      <c r="AM93" s="48"/>
    </row>
    <row r="94" spans="1:39">
      <c r="A94" s="45"/>
      <c r="B94" s="46"/>
      <c r="C94" s="14"/>
      <c r="D94" s="14"/>
      <c r="E94" s="14"/>
      <c r="F94" s="15" t="str">
        <f t="shared" si="16"/>
        <v xml:space="preserve">S/F  </v>
      </c>
      <c r="G94" s="16"/>
      <c r="H94" s="54">
        <v>21</v>
      </c>
      <c r="I94" s="18">
        <f t="shared" si="17"/>
        <v>0</v>
      </c>
      <c r="J94" s="17"/>
      <c r="K94" s="18">
        <f t="shared" si="18"/>
        <v>0</v>
      </c>
      <c r="L94" s="16"/>
      <c r="M94" s="17"/>
      <c r="N94" s="18">
        <f t="shared" si="19"/>
        <v>0</v>
      </c>
      <c r="O94" s="47"/>
      <c r="P94" s="47"/>
      <c r="Q94" s="47"/>
      <c r="R94" s="47"/>
      <c r="S94" s="47"/>
      <c r="T94" s="47"/>
      <c r="U94" s="47"/>
      <c r="V94" s="16"/>
      <c r="W94" s="17"/>
      <c r="X94" s="18">
        <f t="shared" si="20"/>
        <v>0</v>
      </c>
      <c r="Y94" s="19"/>
      <c r="Z94" s="19"/>
      <c r="AA94" s="18">
        <f t="shared" si="15"/>
        <v>0</v>
      </c>
      <c r="AB94" s="20">
        <f t="shared" si="21"/>
        <v>0</v>
      </c>
      <c r="AJ94" s="33"/>
      <c r="AK94" s="35"/>
      <c r="AL94" s="38"/>
      <c r="AM94" s="48"/>
    </row>
    <row r="95" spans="1:39">
      <c r="A95" s="45"/>
      <c r="B95" s="46"/>
      <c r="C95" s="14"/>
      <c r="D95" s="14"/>
      <c r="E95" s="14"/>
      <c r="F95" s="15" t="str">
        <f t="shared" si="16"/>
        <v xml:space="preserve">S/F  </v>
      </c>
      <c r="G95" s="16"/>
      <c r="H95" s="54">
        <v>21</v>
      </c>
      <c r="I95" s="18">
        <f t="shared" si="17"/>
        <v>0</v>
      </c>
      <c r="J95" s="17"/>
      <c r="K95" s="18">
        <f t="shared" si="18"/>
        <v>0</v>
      </c>
      <c r="L95" s="16"/>
      <c r="M95" s="17"/>
      <c r="N95" s="18">
        <f t="shared" si="19"/>
        <v>0</v>
      </c>
      <c r="O95" s="47"/>
      <c r="P95" s="47"/>
      <c r="Q95" s="47"/>
      <c r="R95" s="47"/>
      <c r="S95" s="47"/>
      <c r="T95" s="47"/>
      <c r="U95" s="47"/>
      <c r="V95" s="16"/>
      <c r="W95" s="17"/>
      <c r="X95" s="18">
        <f t="shared" si="20"/>
        <v>0</v>
      </c>
      <c r="Y95" s="19"/>
      <c r="Z95" s="19"/>
      <c r="AA95" s="18">
        <f t="shared" si="15"/>
        <v>0</v>
      </c>
      <c r="AB95" s="20">
        <f t="shared" si="21"/>
        <v>0</v>
      </c>
      <c r="AC95" s="5"/>
      <c r="AD95" s="2"/>
      <c r="AF95" s="2"/>
      <c r="AJ95" s="33"/>
      <c r="AK95" s="35"/>
      <c r="AL95" s="38"/>
      <c r="AM95" s="48"/>
    </row>
    <row r="96" spans="1:39">
      <c r="A96" s="45"/>
      <c r="B96" s="46"/>
      <c r="C96" s="14"/>
      <c r="D96" s="14"/>
      <c r="E96" s="14"/>
      <c r="F96" s="15" t="str">
        <f t="shared" si="16"/>
        <v xml:space="preserve">S/F  </v>
      </c>
      <c r="G96" s="16"/>
      <c r="H96" s="54">
        <v>21</v>
      </c>
      <c r="I96" s="18">
        <f t="shared" si="17"/>
        <v>0</v>
      </c>
      <c r="J96" s="17"/>
      <c r="K96" s="18">
        <f t="shared" si="18"/>
        <v>0</v>
      </c>
      <c r="L96" s="16"/>
      <c r="M96" s="17"/>
      <c r="N96" s="18">
        <f t="shared" si="19"/>
        <v>0</v>
      </c>
      <c r="O96" s="47"/>
      <c r="P96" s="47"/>
      <c r="Q96" s="47"/>
      <c r="R96" s="47"/>
      <c r="S96" s="47"/>
      <c r="T96" s="47"/>
      <c r="U96" s="47"/>
      <c r="V96" s="16"/>
      <c r="W96" s="17"/>
      <c r="X96" s="18">
        <f t="shared" si="20"/>
        <v>0</v>
      </c>
      <c r="Y96" s="19"/>
      <c r="Z96" s="19"/>
      <c r="AA96" s="18">
        <f t="shared" si="15"/>
        <v>0</v>
      </c>
      <c r="AB96" s="20">
        <f t="shared" si="21"/>
        <v>0</v>
      </c>
      <c r="AC96" s="5"/>
      <c r="AD96" s="2"/>
      <c r="AF96" s="2"/>
      <c r="AJ96" s="33"/>
      <c r="AK96" s="35"/>
      <c r="AL96" s="38"/>
      <c r="AM96" s="48"/>
    </row>
    <row r="97" spans="1:39">
      <c r="A97" s="45"/>
      <c r="B97" s="46"/>
      <c r="C97" s="14"/>
      <c r="D97" s="14"/>
      <c r="E97" s="14"/>
      <c r="F97" s="15" t="str">
        <f t="shared" ref="F97:F127" si="22">"S/F "&amp;B97&amp;" "&amp;E97</f>
        <v xml:space="preserve">S/F  </v>
      </c>
      <c r="G97" s="16"/>
      <c r="H97" s="54">
        <v>21</v>
      </c>
      <c r="I97" s="18">
        <f t="shared" ref="I97:I127" si="23">+IF(G97&lt;&gt;0,G97*H97/100,0)</f>
        <v>0</v>
      </c>
      <c r="J97" s="17"/>
      <c r="K97" s="18">
        <f t="shared" ref="K97:K127" si="24">+IF(G97&lt;&gt;0,G97*J97/100,0)</f>
        <v>0</v>
      </c>
      <c r="L97" s="16"/>
      <c r="M97" s="17"/>
      <c r="N97" s="18">
        <f t="shared" ref="N97:N127" si="25">+IF(L97&lt;&gt;0,L97*M97/100,0)</f>
        <v>0</v>
      </c>
      <c r="O97" s="47"/>
      <c r="P97" s="47"/>
      <c r="Q97" s="47"/>
      <c r="R97" s="47"/>
      <c r="S97" s="47"/>
      <c r="T97" s="47"/>
      <c r="U97" s="47"/>
      <c r="V97" s="16"/>
      <c r="W97" s="17"/>
      <c r="X97" s="18">
        <f t="shared" ref="X97:X127" si="26">+IF(W97&lt;&gt;0,V97*W97/100,0)</f>
        <v>0</v>
      </c>
      <c r="Y97" s="19"/>
      <c r="Z97" s="19"/>
      <c r="AA97" s="18">
        <f t="shared" si="15"/>
        <v>0</v>
      </c>
      <c r="AB97" s="20">
        <f t="shared" ref="AB97:AB127" si="27">+G97+I97+K97+L97+N97+P97+Q97+S97+U97-X97-AA97</f>
        <v>0</v>
      </c>
      <c r="AC97" s="5"/>
      <c r="AD97" s="2"/>
      <c r="AF97" s="2"/>
      <c r="AJ97" s="33"/>
      <c r="AK97" s="35"/>
      <c r="AL97" s="38"/>
      <c r="AM97" s="48"/>
    </row>
    <row r="98" spans="1:39">
      <c r="A98" s="45"/>
      <c r="B98" s="46"/>
      <c r="C98" s="14"/>
      <c r="D98" s="14"/>
      <c r="E98" s="14"/>
      <c r="F98" s="15" t="str">
        <f t="shared" si="22"/>
        <v xml:space="preserve">S/F  </v>
      </c>
      <c r="G98" s="16"/>
      <c r="H98" s="54">
        <v>21</v>
      </c>
      <c r="I98" s="18">
        <f t="shared" si="23"/>
        <v>0</v>
      </c>
      <c r="J98" s="17"/>
      <c r="K98" s="18">
        <f t="shared" si="24"/>
        <v>0</v>
      </c>
      <c r="L98" s="16"/>
      <c r="M98" s="17"/>
      <c r="N98" s="18">
        <f t="shared" si="25"/>
        <v>0</v>
      </c>
      <c r="O98" s="47"/>
      <c r="P98" s="47"/>
      <c r="Q98" s="47"/>
      <c r="R98" s="47"/>
      <c r="S98" s="47"/>
      <c r="T98" s="47"/>
      <c r="U98" s="47"/>
      <c r="V98" s="16"/>
      <c r="W98" s="17"/>
      <c r="X98" s="18">
        <f t="shared" si="26"/>
        <v>0</v>
      </c>
      <c r="Y98" s="19"/>
      <c r="Z98" s="19"/>
      <c r="AA98" s="18">
        <f t="shared" si="15"/>
        <v>0</v>
      </c>
      <c r="AB98" s="20">
        <f t="shared" si="27"/>
        <v>0</v>
      </c>
      <c r="AC98" s="5"/>
      <c r="AD98" s="2"/>
      <c r="AF98" s="2"/>
      <c r="AJ98" s="33"/>
      <c r="AK98" s="35"/>
      <c r="AL98" s="38"/>
      <c r="AM98" s="48"/>
    </row>
    <row r="99" spans="1:39">
      <c r="A99" s="45"/>
      <c r="B99" s="46"/>
      <c r="C99" s="14"/>
      <c r="D99" s="14"/>
      <c r="E99" s="14"/>
      <c r="F99" s="15" t="str">
        <f t="shared" si="22"/>
        <v xml:space="preserve">S/F  </v>
      </c>
      <c r="G99" s="16"/>
      <c r="H99" s="54">
        <v>21</v>
      </c>
      <c r="I99" s="18">
        <f t="shared" si="23"/>
        <v>0</v>
      </c>
      <c r="J99" s="17"/>
      <c r="K99" s="18">
        <f t="shared" si="24"/>
        <v>0</v>
      </c>
      <c r="L99" s="16"/>
      <c r="M99" s="17"/>
      <c r="N99" s="18">
        <f t="shared" si="25"/>
        <v>0</v>
      </c>
      <c r="O99" s="47"/>
      <c r="P99" s="47"/>
      <c r="Q99" s="47"/>
      <c r="R99" s="47"/>
      <c r="S99" s="47"/>
      <c r="T99" s="47"/>
      <c r="U99" s="47"/>
      <c r="V99" s="16"/>
      <c r="W99" s="17"/>
      <c r="X99" s="18">
        <f t="shared" si="26"/>
        <v>0</v>
      </c>
      <c r="Y99" s="19"/>
      <c r="Z99" s="19"/>
      <c r="AA99" s="18">
        <f t="shared" si="15"/>
        <v>0</v>
      </c>
      <c r="AB99" s="20">
        <f t="shared" si="27"/>
        <v>0</v>
      </c>
      <c r="AC99" s="5"/>
      <c r="AD99" s="2"/>
      <c r="AF99" s="2"/>
      <c r="AJ99" s="33"/>
      <c r="AK99" s="35"/>
      <c r="AL99" s="38"/>
      <c r="AM99" s="48"/>
    </row>
    <row r="100" spans="1:39">
      <c r="A100" s="45"/>
      <c r="B100" s="46"/>
      <c r="C100" s="14"/>
      <c r="D100" s="14"/>
      <c r="E100" s="14"/>
      <c r="F100" s="15" t="str">
        <f t="shared" si="22"/>
        <v xml:space="preserve">S/F  </v>
      </c>
      <c r="G100" s="16"/>
      <c r="H100" s="54">
        <v>21</v>
      </c>
      <c r="I100" s="18">
        <f t="shared" si="23"/>
        <v>0</v>
      </c>
      <c r="J100" s="17"/>
      <c r="K100" s="18">
        <f t="shared" si="24"/>
        <v>0</v>
      </c>
      <c r="L100" s="16"/>
      <c r="M100" s="17"/>
      <c r="N100" s="18">
        <f t="shared" si="25"/>
        <v>0</v>
      </c>
      <c r="O100" s="47"/>
      <c r="P100" s="47"/>
      <c r="Q100" s="47"/>
      <c r="R100" s="47"/>
      <c r="S100" s="47"/>
      <c r="T100" s="47"/>
      <c r="U100" s="47"/>
      <c r="V100" s="16"/>
      <c r="W100" s="17"/>
      <c r="X100" s="18">
        <f t="shared" si="26"/>
        <v>0</v>
      </c>
      <c r="Y100" s="19"/>
      <c r="Z100" s="19"/>
      <c r="AA100" s="18">
        <f t="shared" si="15"/>
        <v>0</v>
      </c>
      <c r="AB100" s="20">
        <f t="shared" si="27"/>
        <v>0</v>
      </c>
      <c r="AC100" s="5"/>
      <c r="AD100" s="2"/>
      <c r="AF100" s="2"/>
      <c r="AJ100" s="33"/>
      <c r="AK100" s="35"/>
      <c r="AL100" s="38"/>
      <c r="AM100" s="48"/>
    </row>
    <row r="101" spans="1:39">
      <c r="A101" s="45"/>
      <c r="B101" s="46"/>
      <c r="C101" s="14"/>
      <c r="D101" s="14"/>
      <c r="E101" s="14"/>
      <c r="F101" s="15" t="str">
        <f t="shared" si="22"/>
        <v xml:space="preserve">S/F  </v>
      </c>
      <c r="G101" s="16"/>
      <c r="H101" s="54">
        <v>21</v>
      </c>
      <c r="I101" s="18">
        <f t="shared" si="23"/>
        <v>0</v>
      </c>
      <c r="J101" s="17"/>
      <c r="K101" s="18">
        <f t="shared" si="24"/>
        <v>0</v>
      </c>
      <c r="L101" s="16"/>
      <c r="M101" s="17"/>
      <c r="N101" s="18">
        <f t="shared" si="25"/>
        <v>0</v>
      </c>
      <c r="O101" s="47"/>
      <c r="P101" s="47"/>
      <c r="Q101" s="47"/>
      <c r="R101" s="47"/>
      <c r="S101" s="47"/>
      <c r="T101" s="47"/>
      <c r="U101" s="47"/>
      <c r="V101" s="16"/>
      <c r="W101" s="17"/>
      <c r="X101" s="18">
        <f t="shared" si="26"/>
        <v>0</v>
      </c>
      <c r="Y101" s="19"/>
      <c r="Z101" s="19"/>
      <c r="AA101" s="18">
        <f t="shared" si="15"/>
        <v>0</v>
      </c>
      <c r="AB101" s="20">
        <f t="shared" si="27"/>
        <v>0</v>
      </c>
      <c r="AC101" s="5"/>
      <c r="AD101" s="2"/>
      <c r="AF101" s="2"/>
      <c r="AJ101" s="33"/>
      <c r="AK101" s="35"/>
      <c r="AL101" s="38"/>
      <c r="AM101" s="48"/>
    </row>
    <row r="102" spans="1:39">
      <c r="A102" s="45"/>
      <c r="B102" s="46"/>
      <c r="C102" s="14"/>
      <c r="D102" s="14"/>
      <c r="E102" s="14"/>
      <c r="F102" s="15" t="str">
        <f t="shared" si="22"/>
        <v xml:space="preserve">S/F  </v>
      </c>
      <c r="G102" s="16"/>
      <c r="H102" s="54">
        <v>21</v>
      </c>
      <c r="I102" s="18">
        <f t="shared" si="23"/>
        <v>0</v>
      </c>
      <c r="J102" s="17"/>
      <c r="K102" s="18">
        <f t="shared" si="24"/>
        <v>0</v>
      </c>
      <c r="L102" s="16"/>
      <c r="M102" s="17"/>
      <c r="N102" s="18">
        <f t="shared" si="25"/>
        <v>0</v>
      </c>
      <c r="O102" s="47"/>
      <c r="P102" s="47"/>
      <c r="Q102" s="47"/>
      <c r="R102" s="47"/>
      <c r="S102" s="47"/>
      <c r="T102" s="47"/>
      <c r="U102" s="47"/>
      <c r="V102" s="16"/>
      <c r="W102" s="17"/>
      <c r="X102" s="18">
        <f t="shared" si="26"/>
        <v>0</v>
      </c>
      <c r="Y102" s="19"/>
      <c r="Z102" s="19"/>
      <c r="AA102" s="18">
        <f t="shared" si="15"/>
        <v>0</v>
      </c>
      <c r="AB102" s="20">
        <f t="shared" si="27"/>
        <v>0</v>
      </c>
      <c r="AC102" s="5"/>
      <c r="AD102" s="2"/>
      <c r="AF102" s="2"/>
      <c r="AJ102" s="33"/>
      <c r="AK102" s="35"/>
      <c r="AL102" s="38"/>
      <c r="AM102" s="48"/>
    </row>
    <row r="103" spans="1:39">
      <c r="A103" s="45"/>
      <c r="B103" s="46"/>
      <c r="C103" s="14"/>
      <c r="D103" s="14"/>
      <c r="E103" s="14"/>
      <c r="F103" s="15" t="str">
        <f t="shared" si="22"/>
        <v xml:space="preserve">S/F  </v>
      </c>
      <c r="G103" s="16"/>
      <c r="H103" s="54">
        <v>21</v>
      </c>
      <c r="I103" s="18">
        <f t="shared" si="23"/>
        <v>0</v>
      </c>
      <c r="J103" s="17"/>
      <c r="K103" s="18">
        <f t="shared" si="24"/>
        <v>0</v>
      </c>
      <c r="L103" s="16"/>
      <c r="M103" s="17"/>
      <c r="N103" s="18">
        <f t="shared" si="25"/>
        <v>0</v>
      </c>
      <c r="O103" s="47"/>
      <c r="P103" s="47"/>
      <c r="Q103" s="47"/>
      <c r="R103" s="47"/>
      <c r="S103" s="47"/>
      <c r="T103" s="47"/>
      <c r="U103" s="47"/>
      <c r="V103" s="16"/>
      <c r="W103" s="17"/>
      <c r="X103" s="18">
        <f t="shared" si="26"/>
        <v>0</v>
      </c>
      <c r="Y103" s="19"/>
      <c r="Z103" s="19"/>
      <c r="AA103" s="18">
        <f t="shared" si="15"/>
        <v>0</v>
      </c>
      <c r="AB103" s="20">
        <f t="shared" si="27"/>
        <v>0</v>
      </c>
      <c r="AC103" s="5"/>
      <c r="AD103" s="2"/>
      <c r="AF103" s="2"/>
      <c r="AJ103" s="33"/>
      <c r="AK103" s="35"/>
      <c r="AL103" s="38"/>
      <c r="AM103" s="48"/>
    </row>
    <row r="104" spans="1:39">
      <c r="A104" s="45"/>
      <c r="B104" s="46"/>
      <c r="C104" s="14"/>
      <c r="D104" s="14"/>
      <c r="E104" s="14"/>
      <c r="F104" s="15" t="str">
        <f t="shared" si="22"/>
        <v xml:space="preserve">S/F  </v>
      </c>
      <c r="G104" s="16"/>
      <c r="H104" s="55">
        <v>21</v>
      </c>
      <c r="I104" s="18">
        <f t="shared" si="23"/>
        <v>0</v>
      </c>
      <c r="J104" s="17"/>
      <c r="K104" s="18">
        <f t="shared" si="24"/>
        <v>0</v>
      </c>
      <c r="L104" s="16"/>
      <c r="M104" s="17"/>
      <c r="N104" s="18">
        <f t="shared" si="25"/>
        <v>0</v>
      </c>
      <c r="O104" s="47"/>
      <c r="P104" s="47"/>
      <c r="Q104" s="47"/>
      <c r="R104" s="47"/>
      <c r="S104" s="47"/>
      <c r="T104" s="47"/>
      <c r="U104" s="47"/>
      <c r="V104" s="16"/>
      <c r="W104" s="17"/>
      <c r="X104" s="18">
        <f t="shared" si="26"/>
        <v>0</v>
      </c>
      <c r="Y104" s="19"/>
      <c r="Z104" s="19"/>
      <c r="AA104" s="18"/>
      <c r="AB104" s="20">
        <f t="shared" si="27"/>
        <v>0</v>
      </c>
      <c r="AJ104" s="33"/>
      <c r="AK104" s="35"/>
      <c r="AL104" s="38"/>
      <c r="AM104" s="48"/>
    </row>
    <row r="105" spans="1:39">
      <c r="A105" s="45"/>
      <c r="B105" s="46"/>
      <c r="C105" s="14"/>
      <c r="D105" s="14"/>
      <c r="E105" s="14"/>
      <c r="F105" s="15" t="str">
        <f t="shared" si="22"/>
        <v xml:space="preserve">S/F  </v>
      </c>
      <c r="G105" s="16"/>
      <c r="H105" s="54">
        <v>21</v>
      </c>
      <c r="I105" s="18">
        <f t="shared" si="23"/>
        <v>0</v>
      </c>
      <c r="J105" s="17"/>
      <c r="K105" s="18">
        <f t="shared" si="24"/>
        <v>0</v>
      </c>
      <c r="L105" s="16"/>
      <c r="M105" s="17"/>
      <c r="N105" s="18">
        <f t="shared" si="25"/>
        <v>0</v>
      </c>
      <c r="O105" s="47"/>
      <c r="P105" s="47"/>
      <c r="Q105" s="47"/>
      <c r="R105" s="47"/>
      <c r="S105" s="47"/>
      <c r="T105" s="47"/>
      <c r="U105" s="47"/>
      <c r="V105" s="16"/>
      <c r="W105" s="17"/>
      <c r="X105" s="18">
        <f t="shared" si="26"/>
        <v>0</v>
      </c>
      <c r="Y105" s="19"/>
      <c r="Z105" s="19"/>
      <c r="AA105" s="18">
        <f>+IF(Z105&lt;&gt;0,Y105*Z105/100,0)</f>
        <v>0</v>
      </c>
      <c r="AB105" s="20">
        <f t="shared" si="27"/>
        <v>0</v>
      </c>
      <c r="AC105" s="5"/>
      <c r="AD105" s="2"/>
      <c r="AF105" s="2"/>
      <c r="AJ105" s="33"/>
      <c r="AK105" s="35"/>
      <c r="AL105" s="38"/>
      <c r="AM105" s="48"/>
    </row>
    <row r="106" spans="1:39">
      <c r="A106" s="45"/>
      <c r="B106" s="46"/>
      <c r="C106" s="14"/>
      <c r="D106" s="14"/>
      <c r="E106" s="14"/>
      <c r="F106" s="15" t="str">
        <f t="shared" si="22"/>
        <v xml:space="preserve">S/F  </v>
      </c>
      <c r="G106" s="16"/>
      <c r="H106" s="54">
        <v>21</v>
      </c>
      <c r="I106" s="18">
        <f t="shared" si="23"/>
        <v>0</v>
      </c>
      <c r="J106" s="17"/>
      <c r="K106" s="18">
        <f t="shared" si="24"/>
        <v>0</v>
      </c>
      <c r="L106" s="16"/>
      <c r="M106" s="17"/>
      <c r="N106" s="18">
        <f t="shared" si="25"/>
        <v>0</v>
      </c>
      <c r="O106" s="47"/>
      <c r="P106" s="47"/>
      <c r="Q106" s="47"/>
      <c r="R106" s="47"/>
      <c r="S106" s="47"/>
      <c r="T106" s="47"/>
      <c r="U106" s="47"/>
      <c r="V106" s="16"/>
      <c r="W106" s="17"/>
      <c r="X106" s="18">
        <f t="shared" si="26"/>
        <v>0</v>
      </c>
      <c r="Y106" s="19"/>
      <c r="Z106" s="19"/>
      <c r="AA106" s="18">
        <f>+IF(Z106&lt;&gt;0,Y106*Z106/100,0)</f>
        <v>0</v>
      </c>
      <c r="AB106" s="20">
        <f t="shared" si="27"/>
        <v>0</v>
      </c>
      <c r="AJ106" s="33"/>
      <c r="AK106" s="35"/>
      <c r="AL106" s="38"/>
      <c r="AM106" s="48"/>
    </row>
    <row r="107" spans="1:39">
      <c r="A107" s="45"/>
      <c r="B107" s="46"/>
      <c r="C107" s="14"/>
      <c r="D107" s="14"/>
      <c r="E107" s="14"/>
      <c r="F107" s="15" t="str">
        <f t="shared" si="22"/>
        <v xml:space="preserve">S/F  </v>
      </c>
      <c r="G107" s="16"/>
      <c r="H107" s="54">
        <v>21</v>
      </c>
      <c r="I107" s="18">
        <f t="shared" si="23"/>
        <v>0</v>
      </c>
      <c r="J107" s="17"/>
      <c r="K107" s="18">
        <f t="shared" si="24"/>
        <v>0</v>
      </c>
      <c r="L107" s="16"/>
      <c r="M107" s="17"/>
      <c r="N107" s="18">
        <f t="shared" si="25"/>
        <v>0</v>
      </c>
      <c r="O107" s="47"/>
      <c r="P107" s="47"/>
      <c r="Q107" s="47"/>
      <c r="R107" s="47"/>
      <c r="S107" s="47"/>
      <c r="T107" s="47"/>
      <c r="U107" s="47"/>
      <c r="V107" s="16"/>
      <c r="W107" s="17"/>
      <c r="X107" s="18">
        <f t="shared" si="26"/>
        <v>0</v>
      </c>
      <c r="Y107" s="19"/>
      <c r="Z107" s="19"/>
      <c r="AA107" s="18">
        <f>+IF(Z107&lt;&gt;0,Y107*Z107/100,0)</f>
        <v>0</v>
      </c>
      <c r="AB107" s="20">
        <f t="shared" si="27"/>
        <v>0</v>
      </c>
      <c r="AC107" s="5"/>
      <c r="AD107" s="2"/>
      <c r="AF107" s="2"/>
      <c r="AJ107" s="33"/>
      <c r="AK107" s="35"/>
      <c r="AL107" s="38"/>
      <c r="AM107" s="48"/>
    </row>
    <row r="108" spans="1:39">
      <c r="A108" s="45"/>
      <c r="B108" s="46"/>
      <c r="C108" s="14"/>
      <c r="D108" s="14"/>
      <c r="E108" s="14"/>
      <c r="F108" s="15" t="str">
        <f t="shared" si="22"/>
        <v xml:space="preserve">S/F  </v>
      </c>
      <c r="G108" s="16"/>
      <c r="H108" s="54">
        <v>21</v>
      </c>
      <c r="I108" s="18">
        <f t="shared" si="23"/>
        <v>0</v>
      </c>
      <c r="J108" s="17"/>
      <c r="K108" s="18">
        <f t="shared" si="24"/>
        <v>0</v>
      </c>
      <c r="L108" s="16"/>
      <c r="M108" s="17"/>
      <c r="N108" s="18">
        <f t="shared" si="25"/>
        <v>0</v>
      </c>
      <c r="O108" s="47"/>
      <c r="P108" s="47"/>
      <c r="Q108" s="47"/>
      <c r="R108" s="47"/>
      <c r="S108" s="47"/>
      <c r="T108" s="47"/>
      <c r="U108" s="47"/>
      <c r="V108" s="16"/>
      <c r="W108" s="17"/>
      <c r="X108" s="18">
        <f t="shared" si="26"/>
        <v>0</v>
      </c>
      <c r="Y108" s="19"/>
      <c r="Z108" s="19"/>
      <c r="AA108" s="18"/>
      <c r="AB108" s="20">
        <f t="shared" si="27"/>
        <v>0</v>
      </c>
      <c r="AJ108" s="33"/>
      <c r="AK108" s="35"/>
      <c r="AL108" s="38"/>
      <c r="AM108" s="48"/>
    </row>
    <row r="109" spans="1:39">
      <c r="A109" s="45"/>
      <c r="B109" s="46"/>
      <c r="C109" s="14"/>
      <c r="D109" s="14"/>
      <c r="E109" s="14"/>
      <c r="F109" s="15" t="str">
        <f t="shared" si="22"/>
        <v xml:space="preserve">S/F  </v>
      </c>
      <c r="G109" s="16"/>
      <c r="H109" s="54">
        <v>21</v>
      </c>
      <c r="I109" s="18">
        <f t="shared" si="23"/>
        <v>0</v>
      </c>
      <c r="J109" s="17"/>
      <c r="K109" s="18">
        <f t="shared" si="24"/>
        <v>0</v>
      </c>
      <c r="L109" s="16"/>
      <c r="M109" s="17"/>
      <c r="N109" s="18">
        <f t="shared" si="25"/>
        <v>0</v>
      </c>
      <c r="O109" s="47"/>
      <c r="P109" s="47"/>
      <c r="Q109" s="47"/>
      <c r="R109" s="47"/>
      <c r="S109" s="47"/>
      <c r="T109" s="47"/>
      <c r="U109" s="47"/>
      <c r="V109" s="16"/>
      <c r="W109" s="17"/>
      <c r="X109" s="18">
        <f t="shared" si="26"/>
        <v>0</v>
      </c>
      <c r="Y109" s="19"/>
      <c r="Z109" s="19"/>
      <c r="AA109" s="18">
        <f>+IF(Z109&lt;&gt;0,Y109*Z109/100,0)</f>
        <v>0</v>
      </c>
      <c r="AB109" s="20">
        <f t="shared" si="27"/>
        <v>0</v>
      </c>
      <c r="AJ109" s="33"/>
      <c r="AK109" s="35"/>
      <c r="AL109" s="38"/>
      <c r="AM109" s="48"/>
    </row>
    <row r="110" spans="1:39">
      <c r="A110" s="45"/>
      <c r="B110" s="46"/>
      <c r="C110" s="14"/>
      <c r="D110" s="14"/>
      <c r="E110" s="14"/>
      <c r="F110" s="15" t="str">
        <f t="shared" si="22"/>
        <v xml:space="preserve">S/F  </v>
      </c>
      <c r="G110" s="16"/>
      <c r="H110" s="55">
        <v>21</v>
      </c>
      <c r="I110" s="18">
        <f t="shared" si="23"/>
        <v>0</v>
      </c>
      <c r="J110" s="17"/>
      <c r="K110" s="18">
        <f t="shared" si="24"/>
        <v>0</v>
      </c>
      <c r="L110" s="16"/>
      <c r="M110" s="17"/>
      <c r="N110" s="18">
        <f t="shared" si="25"/>
        <v>0</v>
      </c>
      <c r="O110" s="47"/>
      <c r="P110" s="47"/>
      <c r="Q110" s="47"/>
      <c r="R110" s="47"/>
      <c r="S110" s="47"/>
      <c r="T110" s="47"/>
      <c r="U110" s="47"/>
      <c r="V110" s="16"/>
      <c r="W110" s="17"/>
      <c r="X110" s="18">
        <f t="shared" si="26"/>
        <v>0</v>
      </c>
      <c r="Y110" s="19"/>
      <c r="Z110" s="19"/>
      <c r="AA110" s="18"/>
      <c r="AB110" s="20">
        <f t="shared" si="27"/>
        <v>0</v>
      </c>
      <c r="AM110" s="48"/>
    </row>
    <row r="111" spans="1:39">
      <c r="A111" s="45"/>
      <c r="B111" s="46"/>
      <c r="C111" s="14"/>
      <c r="D111" s="14"/>
      <c r="E111" s="14"/>
      <c r="F111" s="15" t="str">
        <f t="shared" si="22"/>
        <v xml:space="preserve">S/F  </v>
      </c>
      <c r="G111" s="16"/>
      <c r="H111" s="54">
        <v>21</v>
      </c>
      <c r="I111" s="18">
        <f t="shared" si="23"/>
        <v>0</v>
      </c>
      <c r="J111" s="17"/>
      <c r="K111" s="18">
        <f t="shared" si="24"/>
        <v>0</v>
      </c>
      <c r="L111" s="16"/>
      <c r="M111" s="17"/>
      <c r="N111" s="18">
        <f t="shared" si="25"/>
        <v>0</v>
      </c>
      <c r="O111" s="47"/>
      <c r="P111" s="47"/>
      <c r="Q111" s="47"/>
      <c r="R111" s="47"/>
      <c r="S111" s="47"/>
      <c r="T111" s="47"/>
      <c r="U111" s="47"/>
      <c r="V111" s="16"/>
      <c r="W111" s="17"/>
      <c r="X111" s="18">
        <f t="shared" si="26"/>
        <v>0</v>
      </c>
      <c r="Y111" s="19"/>
      <c r="Z111" s="19"/>
      <c r="AA111" s="18">
        <f>+IF(Z111&lt;&gt;0,Y111*Z111/100,0)</f>
        <v>0</v>
      </c>
      <c r="AB111" s="20">
        <f t="shared" si="27"/>
        <v>0</v>
      </c>
      <c r="AC111" s="5"/>
      <c r="AD111" s="2"/>
      <c r="AF111" s="2"/>
      <c r="AM111" s="48"/>
    </row>
    <row r="112" spans="1:39">
      <c r="A112" s="45"/>
      <c r="B112" s="46"/>
      <c r="C112" s="14"/>
      <c r="D112" s="14"/>
      <c r="E112" s="14"/>
      <c r="F112" s="15" t="str">
        <f t="shared" si="22"/>
        <v xml:space="preserve">S/F  </v>
      </c>
      <c r="G112" s="16"/>
      <c r="H112" s="54">
        <v>21</v>
      </c>
      <c r="I112" s="18">
        <f t="shared" si="23"/>
        <v>0</v>
      </c>
      <c r="J112" s="17"/>
      <c r="K112" s="18">
        <f t="shared" si="24"/>
        <v>0</v>
      </c>
      <c r="L112" s="16"/>
      <c r="M112" s="17"/>
      <c r="N112" s="18">
        <f t="shared" si="25"/>
        <v>0</v>
      </c>
      <c r="O112" s="47"/>
      <c r="P112" s="47"/>
      <c r="Q112" s="47"/>
      <c r="R112" s="47"/>
      <c r="S112" s="47"/>
      <c r="T112" s="47"/>
      <c r="U112" s="47"/>
      <c r="V112" s="16"/>
      <c r="W112" s="17"/>
      <c r="X112" s="18">
        <f t="shared" si="26"/>
        <v>0</v>
      </c>
      <c r="Y112" s="19"/>
      <c r="Z112" s="19"/>
      <c r="AA112" s="18">
        <f>+IF(Z112&lt;&gt;0,Y112*Z112/100,0)</f>
        <v>0</v>
      </c>
      <c r="AB112" s="20">
        <f t="shared" si="27"/>
        <v>0</v>
      </c>
      <c r="AM112" s="48"/>
    </row>
    <row r="113" spans="1:39">
      <c r="A113" s="45"/>
      <c r="B113" s="46"/>
      <c r="C113" s="14"/>
      <c r="D113" s="14"/>
      <c r="E113" s="14"/>
      <c r="F113" s="15" t="str">
        <f t="shared" si="22"/>
        <v xml:space="preserve">S/F  </v>
      </c>
      <c r="G113" s="16"/>
      <c r="H113" s="54">
        <v>21</v>
      </c>
      <c r="I113" s="18">
        <f t="shared" si="23"/>
        <v>0</v>
      </c>
      <c r="J113" s="17"/>
      <c r="K113" s="18">
        <f t="shared" si="24"/>
        <v>0</v>
      </c>
      <c r="L113" s="16"/>
      <c r="M113" s="17"/>
      <c r="N113" s="18">
        <f t="shared" si="25"/>
        <v>0</v>
      </c>
      <c r="O113" s="47"/>
      <c r="P113" s="47"/>
      <c r="Q113" s="47"/>
      <c r="R113" s="47"/>
      <c r="S113" s="47"/>
      <c r="T113" s="47"/>
      <c r="U113" s="47"/>
      <c r="V113" s="16"/>
      <c r="W113" s="17"/>
      <c r="X113" s="18">
        <f t="shared" si="26"/>
        <v>0</v>
      </c>
      <c r="Y113" s="19"/>
      <c r="Z113" s="19"/>
      <c r="AA113" s="18">
        <f>+IF(Z113&lt;&gt;0,Y113*Z113/100,0)</f>
        <v>0</v>
      </c>
      <c r="AB113" s="20">
        <f t="shared" si="27"/>
        <v>0</v>
      </c>
      <c r="AM113" s="48"/>
    </row>
    <row r="114" spans="1:39">
      <c r="A114" s="45"/>
      <c r="B114" s="46"/>
      <c r="C114" s="14"/>
      <c r="D114" s="14"/>
      <c r="E114" s="14"/>
      <c r="F114" s="15" t="str">
        <f t="shared" si="22"/>
        <v xml:space="preserve">S/F  </v>
      </c>
      <c r="G114" s="16"/>
      <c r="H114" s="54">
        <v>21</v>
      </c>
      <c r="I114" s="18">
        <f t="shared" si="23"/>
        <v>0</v>
      </c>
      <c r="J114" s="17"/>
      <c r="K114" s="18">
        <f t="shared" si="24"/>
        <v>0</v>
      </c>
      <c r="L114" s="16"/>
      <c r="M114" s="17"/>
      <c r="N114" s="18">
        <f t="shared" si="25"/>
        <v>0</v>
      </c>
      <c r="O114" s="47"/>
      <c r="P114" s="47"/>
      <c r="Q114" s="47"/>
      <c r="R114" s="47"/>
      <c r="S114" s="47"/>
      <c r="T114" s="47"/>
      <c r="U114" s="47"/>
      <c r="V114" s="16"/>
      <c r="W114" s="17"/>
      <c r="X114" s="18">
        <f t="shared" si="26"/>
        <v>0</v>
      </c>
      <c r="Y114" s="19"/>
      <c r="Z114" s="19"/>
      <c r="AA114" s="18"/>
      <c r="AB114" s="20">
        <f t="shared" si="27"/>
        <v>0</v>
      </c>
      <c r="AM114" s="48"/>
    </row>
    <row r="115" spans="1:39">
      <c r="A115" s="45"/>
      <c r="B115" s="46"/>
      <c r="C115" s="14"/>
      <c r="D115" s="14"/>
      <c r="E115" s="14"/>
      <c r="F115" s="15" t="str">
        <f t="shared" si="22"/>
        <v xml:space="preserve">S/F  </v>
      </c>
      <c r="G115" s="16"/>
      <c r="H115" s="54">
        <v>21</v>
      </c>
      <c r="I115" s="18">
        <f t="shared" si="23"/>
        <v>0</v>
      </c>
      <c r="J115" s="17"/>
      <c r="K115" s="18">
        <f t="shared" si="24"/>
        <v>0</v>
      </c>
      <c r="L115" s="16"/>
      <c r="M115" s="17"/>
      <c r="N115" s="18">
        <f t="shared" si="25"/>
        <v>0</v>
      </c>
      <c r="O115" s="47"/>
      <c r="P115" s="47"/>
      <c r="Q115" s="47"/>
      <c r="R115" s="47"/>
      <c r="S115" s="47"/>
      <c r="T115" s="47"/>
      <c r="U115" s="47"/>
      <c r="V115" s="16"/>
      <c r="W115" s="17"/>
      <c r="X115" s="18">
        <f t="shared" si="26"/>
        <v>0</v>
      </c>
      <c r="Y115" s="19"/>
      <c r="Z115" s="19"/>
      <c r="AA115" s="18">
        <f>+IF(Z115&lt;&gt;0,Y115*Z115/100,0)</f>
        <v>0</v>
      </c>
      <c r="AB115" s="20">
        <f t="shared" si="27"/>
        <v>0</v>
      </c>
      <c r="AM115" s="48"/>
    </row>
    <row r="116" spans="1:39">
      <c r="A116" s="45"/>
      <c r="B116" s="46"/>
      <c r="C116" s="14"/>
      <c r="D116" s="14"/>
      <c r="E116" s="14"/>
      <c r="F116" s="15" t="str">
        <f t="shared" si="22"/>
        <v xml:space="preserve">S/F  </v>
      </c>
      <c r="G116" s="16"/>
      <c r="H116" s="54">
        <v>21</v>
      </c>
      <c r="I116" s="18">
        <f t="shared" si="23"/>
        <v>0</v>
      </c>
      <c r="J116" s="17"/>
      <c r="K116" s="18">
        <f t="shared" si="24"/>
        <v>0</v>
      </c>
      <c r="L116" s="16"/>
      <c r="M116" s="17"/>
      <c r="N116" s="18">
        <f t="shared" si="25"/>
        <v>0</v>
      </c>
      <c r="O116" s="47"/>
      <c r="P116" s="47"/>
      <c r="Q116" s="47"/>
      <c r="R116" s="47"/>
      <c r="S116" s="47"/>
      <c r="T116" s="47"/>
      <c r="U116" s="47"/>
      <c r="V116" s="16"/>
      <c r="W116" s="17"/>
      <c r="X116" s="18">
        <f t="shared" si="26"/>
        <v>0</v>
      </c>
      <c r="Y116" s="19"/>
      <c r="Z116" s="19"/>
      <c r="AA116" s="18">
        <f>+IF(Z116&lt;&gt;0,Y116*Z116/100,0)</f>
        <v>0</v>
      </c>
      <c r="AB116" s="20">
        <f t="shared" si="27"/>
        <v>0</v>
      </c>
      <c r="AM116" s="48"/>
    </row>
    <row r="117" spans="1:39">
      <c r="A117" s="45"/>
      <c r="B117" s="46"/>
      <c r="C117" s="14"/>
      <c r="D117" s="14"/>
      <c r="E117" s="14"/>
      <c r="F117" s="15" t="str">
        <f t="shared" si="22"/>
        <v xml:space="preserve">S/F  </v>
      </c>
      <c r="G117" s="16"/>
      <c r="H117" s="55">
        <v>21</v>
      </c>
      <c r="I117" s="18">
        <f t="shared" si="23"/>
        <v>0</v>
      </c>
      <c r="J117" s="17"/>
      <c r="K117" s="18">
        <f t="shared" si="24"/>
        <v>0</v>
      </c>
      <c r="L117" s="16"/>
      <c r="M117" s="17"/>
      <c r="N117" s="18">
        <f t="shared" si="25"/>
        <v>0</v>
      </c>
      <c r="O117" s="47"/>
      <c r="P117" s="47"/>
      <c r="Q117" s="47"/>
      <c r="R117" s="47"/>
      <c r="S117" s="47"/>
      <c r="T117" s="47"/>
      <c r="U117" s="47"/>
      <c r="V117" s="16"/>
      <c r="W117" s="17"/>
      <c r="X117" s="18">
        <f t="shared" si="26"/>
        <v>0</v>
      </c>
      <c r="Y117" s="19"/>
      <c r="Z117" s="19"/>
      <c r="AA117" s="18"/>
      <c r="AB117" s="20">
        <f t="shared" si="27"/>
        <v>0</v>
      </c>
      <c r="AM117" s="48"/>
    </row>
    <row r="118" spans="1:39">
      <c r="A118" s="45"/>
      <c r="B118" s="46"/>
      <c r="C118" s="14"/>
      <c r="D118" s="14"/>
      <c r="E118" s="14"/>
      <c r="F118" s="15" t="str">
        <f t="shared" si="22"/>
        <v xml:space="preserve">S/F  </v>
      </c>
      <c r="G118" s="16"/>
      <c r="H118" s="54">
        <v>21</v>
      </c>
      <c r="I118" s="18">
        <f t="shared" si="23"/>
        <v>0</v>
      </c>
      <c r="J118" s="17"/>
      <c r="K118" s="18">
        <f t="shared" si="24"/>
        <v>0</v>
      </c>
      <c r="L118" s="16"/>
      <c r="M118" s="17"/>
      <c r="N118" s="18">
        <f t="shared" si="25"/>
        <v>0</v>
      </c>
      <c r="O118" s="47"/>
      <c r="P118" s="47"/>
      <c r="Q118" s="47"/>
      <c r="R118" s="47"/>
      <c r="S118" s="47"/>
      <c r="T118" s="47"/>
      <c r="U118" s="47"/>
      <c r="V118" s="16"/>
      <c r="W118" s="17"/>
      <c r="X118" s="18">
        <f t="shared" si="26"/>
        <v>0</v>
      </c>
      <c r="Y118" s="19"/>
      <c r="Z118" s="19"/>
      <c r="AA118" s="18">
        <f>+IF(Z118&lt;&gt;0,Y118*Z118/100,0)</f>
        <v>0</v>
      </c>
      <c r="AB118" s="20">
        <f t="shared" si="27"/>
        <v>0</v>
      </c>
      <c r="AM118" s="48"/>
    </row>
    <row r="119" spans="1:39">
      <c r="A119" s="45"/>
      <c r="B119" s="46"/>
      <c r="C119" s="14"/>
      <c r="D119" s="14"/>
      <c r="E119" s="14"/>
      <c r="F119" s="15" t="str">
        <f t="shared" si="22"/>
        <v xml:space="preserve">S/F  </v>
      </c>
      <c r="G119" s="16"/>
      <c r="H119" s="54">
        <v>21</v>
      </c>
      <c r="I119" s="18">
        <f t="shared" si="23"/>
        <v>0</v>
      </c>
      <c r="J119" s="17"/>
      <c r="K119" s="18">
        <f t="shared" si="24"/>
        <v>0</v>
      </c>
      <c r="L119" s="16"/>
      <c r="M119" s="17"/>
      <c r="N119" s="18">
        <f t="shared" si="25"/>
        <v>0</v>
      </c>
      <c r="O119" s="47"/>
      <c r="P119" s="47"/>
      <c r="Q119" s="47"/>
      <c r="R119" s="47"/>
      <c r="S119" s="47"/>
      <c r="T119" s="47"/>
      <c r="U119" s="47"/>
      <c r="V119" s="16"/>
      <c r="W119" s="17"/>
      <c r="X119" s="18">
        <f t="shared" si="26"/>
        <v>0</v>
      </c>
      <c r="Y119" s="19"/>
      <c r="Z119" s="19"/>
      <c r="AA119" s="18">
        <f>+IF(Z119&lt;&gt;0,Y119*Z119/100,0)</f>
        <v>0</v>
      </c>
      <c r="AB119" s="20">
        <f t="shared" si="27"/>
        <v>0</v>
      </c>
      <c r="AM119" s="48"/>
    </row>
    <row r="120" spans="1:39">
      <c r="A120" s="45"/>
      <c r="B120" s="46"/>
      <c r="C120" s="14"/>
      <c r="D120" s="14"/>
      <c r="E120" s="14"/>
      <c r="F120" s="15" t="str">
        <f t="shared" si="22"/>
        <v xml:space="preserve">S/F  </v>
      </c>
      <c r="G120" s="16"/>
      <c r="H120" s="54">
        <v>21</v>
      </c>
      <c r="I120" s="18">
        <f t="shared" si="23"/>
        <v>0</v>
      </c>
      <c r="J120" s="17"/>
      <c r="K120" s="18">
        <f t="shared" si="24"/>
        <v>0</v>
      </c>
      <c r="L120" s="16"/>
      <c r="M120" s="17"/>
      <c r="N120" s="18">
        <f t="shared" si="25"/>
        <v>0</v>
      </c>
      <c r="O120" s="47"/>
      <c r="P120" s="47"/>
      <c r="Q120" s="47"/>
      <c r="R120" s="47"/>
      <c r="S120" s="47"/>
      <c r="T120" s="47"/>
      <c r="U120" s="47"/>
      <c r="V120" s="16"/>
      <c r="W120" s="17"/>
      <c r="X120" s="18">
        <f t="shared" si="26"/>
        <v>0</v>
      </c>
      <c r="Y120" s="19"/>
      <c r="Z120" s="19"/>
      <c r="AA120" s="18"/>
      <c r="AB120" s="20">
        <f t="shared" si="27"/>
        <v>0</v>
      </c>
      <c r="AM120" s="48"/>
    </row>
    <row r="121" spans="1:39">
      <c r="A121" s="45"/>
      <c r="B121" s="46"/>
      <c r="C121" s="14"/>
      <c r="D121" s="14"/>
      <c r="E121" s="14"/>
      <c r="F121" s="15" t="str">
        <f t="shared" si="22"/>
        <v xml:space="preserve">S/F  </v>
      </c>
      <c r="G121" s="16"/>
      <c r="H121" s="54">
        <v>21</v>
      </c>
      <c r="I121" s="18">
        <f t="shared" si="23"/>
        <v>0</v>
      </c>
      <c r="J121" s="17"/>
      <c r="K121" s="18">
        <f t="shared" si="24"/>
        <v>0</v>
      </c>
      <c r="L121" s="16"/>
      <c r="M121" s="17"/>
      <c r="N121" s="18">
        <f t="shared" si="25"/>
        <v>0</v>
      </c>
      <c r="O121" s="47"/>
      <c r="P121" s="47"/>
      <c r="Q121" s="47"/>
      <c r="R121" s="47"/>
      <c r="S121" s="47"/>
      <c r="T121" s="47"/>
      <c r="U121" s="47"/>
      <c r="V121" s="16"/>
      <c r="W121" s="17"/>
      <c r="X121" s="18">
        <f t="shared" si="26"/>
        <v>0</v>
      </c>
      <c r="Y121" s="19"/>
      <c r="Z121" s="19"/>
      <c r="AA121" s="18"/>
      <c r="AB121" s="20">
        <f t="shared" si="27"/>
        <v>0</v>
      </c>
      <c r="AM121" s="48"/>
    </row>
    <row r="122" spans="1:39">
      <c r="A122" s="45"/>
      <c r="B122" s="46"/>
      <c r="C122" s="14"/>
      <c r="D122" s="14"/>
      <c r="E122" s="14"/>
      <c r="F122" s="15" t="str">
        <f t="shared" si="22"/>
        <v xml:space="preserve">S/F  </v>
      </c>
      <c r="G122" s="16"/>
      <c r="H122" s="54">
        <v>21</v>
      </c>
      <c r="I122" s="18">
        <f t="shared" si="23"/>
        <v>0</v>
      </c>
      <c r="J122" s="17"/>
      <c r="K122" s="18">
        <f t="shared" si="24"/>
        <v>0</v>
      </c>
      <c r="L122" s="16"/>
      <c r="M122" s="17"/>
      <c r="N122" s="18">
        <f t="shared" si="25"/>
        <v>0</v>
      </c>
      <c r="O122" s="47"/>
      <c r="P122" s="47"/>
      <c r="Q122" s="47"/>
      <c r="R122" s="47"/>
      <c r="S122" s="47"/>
      <c r="T122" s="47"/>
      <c r="U122" s="47"/>
      <c r="V122" s="16"/>
      <c r="W122" s="17"/>
      <c r="X122" s="18">
        <f t="shared" si="26"/>
        <v>0</v>
      </c>
      <c r="Y122" s="19"/>
      <c r="Z122" s="19"/>
      <c r="AA122" s="18">
        <f>+IF(Z122&lt;&gt;0,Y122*Z122/100,0)</f>
        <v>0</v>
      </c>
      <c r="AB122" s="20">
        <f t="shared" si="27"/>
        <v>0</v>
      </c>
      <c r="AM122" s="48"/>
    </row>
    <row r="123" spans="1:39">
      <c r="A123" s="45"/>
      <c r="B123" s="46"/>
      <c r="C123" s="14"/>
      <c r="D123" s="14"/>
      <c r="E123" s="14"/>
      <c r="F123" s="15" t="str">
        <f t="shared" si="22"/>
        <v xml:space="preserve">S/F  </v>
      </c>
      <c r="G123" s="16"/>
      <c r="H123" s="54">
        <v>21</v>
      </c>
      <c r="I123" s="18">
        <f t="shared" si="23"/>
        <v>0</v>
      </c>
      <c r="J123" s="17"/>
      <c r="K123" s="18">
        <f t="shared" si="24"/>
        <v>0</v>
      </c>
      <c r="L123" s="16"/>
      <c r="M123" s="17"/>
      <c r="N123" s="18">
        <f t="shared" si="25"/>
        <v>0</v>
      </c>
      <c r="O123" s="47"/>
      <c r="P123" s="47"/>
      <c r="Q123" s="47"/>
      <c r="R123" s="47"/>
      <c r="S123" s="47"/>
      <c r="T123" s="47"/>
      <c r="U123" s="47"/>
      <c r="V123" s="16"/>
      <c r="W123" s="17"/>
      <c r="X123" s="18">
        <f t="shared" si="26"/>
        <v>0</v>
      </c>
      <c r="Y123" s="19"/>
      <c r="Z123" s="19"/>
      <c r="AA123" s="18">
        <f>+IF(Z123&lt;&gt;0,Y123*Z123/100,0)</f>
        <v>0</v>
      </c>
      <c r="AB123" s="20">
        <f t="shared" si="27"/>
        <v>0</v>
      </c>
      <c r="AM123" s="48"/>
    </row>
    <row r="124" spans="1:39">
      <c r="A124" s="45"/>
      <c r="B124" s="46"/>
      <c r="C124" s="14"/>
      <c r="D124" s="14"/>
      <c r="E124" s="14"/>
      <c r="F124" s="15" t="str">
        <f t="shared" si="22"/>
        <v xml:space="preserve">S/F  </v>
      </c>
      <c r="G124" s="16"/>
      <c r="H124" s="54">
        <v>21</v>
      </c>
      <c r="I124" s="18">
        <f t="shared" si="23"/>
        <v>0</v>
      </c>
      <c r="J124" s="17"/>
      <c r="K124" s="18">
        <f t="shared" si="24"/>
        <v>0</v>
      </c>
      <c r="L124" s="16"/>
      <c r="M124" s="17"/>
      <c r="N124" s="18">
        <f t="shared" si="25"/>
        <v>0</v>
      </c>
      <c r="O124" s="47"/>
      <c r="P124" s="47"/>
      <c r="Q124" s="47"/>
      <c r="R124" s="47"/>
      <c r="S124" s="47"/>
      <c r="T124" s="47"/>
      <c r="U124" s="47"/>
      <c r="V124" s="16"/>
      <c r="W124" s="17"/>
      <c r="X124" s="18">
        <f t="shared" si="26"/>
        <v>0</v>
      </c>
      <c r="Y124" s="19"/>
      <c r="Z124" s="19"/>
      <c r="AA124" s="18">
        <f>+IF(Z124&lt;&gt;0,Y124*Z124/100,0)</f>
        <v>0</v>
      </c>
      <c r="AB124" s="20">
        <f t="shared" si="27"/>
        <v>0</v>
      </c>
      <c r="AM124" s="48"/>
    </row>
    <row r="125" spans="1:39">
      <c r="A125" s="45"/>
      <c r="B125" s="46"/>
      <c r="C125" s="14"/>
      <c r="D125" s="14"/>
      <c r="E125" s="14"/>
      <c r="F125" s="15" t="str">
        <f t="shared" si="22"/>
        <v xml:space="preserve">S/F  </v>
      </c>
      <c r="G125" s="16"/>
      <c r="H125" s="55">
        <v>21</v>
      </c>
      <c r="I125" s="18">
        <f t="shared" si="23"/>
        <v>0</v>
      </c>
      <c r="J125" s="17"/>
      <c r="K125" s="18">
        <f t="shared" si="24"/>
        <v>0</v>
      </c>
      <c r="L125" s="16"/>
      <c r="M125" s="17"/>
      <c r="N125" s="18">
        <f t="shared" si="25"/>
        <v>0</v>
      </c>
      <c r="O125" s="47"/>
      <c r="P125" s="47"/>
      <c r="Q125" s="47"/>
      <c r="R125" s="47"/>
      <c r="S125" s="47"/>
      <c r="T125" s="47"/>
      <c r="U125" s="47"/>
      <c r="V125" s="16"/>
      <c r="W125" s="17"/>
      <c r="X125" s="18">
        <f t="shared" si="26"/>
        <v>0</v>
      </c>
      <c r="Y125" s="19"/>
      <c r="Z125" s="19"/>
      <c r="AA125" s="18"/>
      <c r="AB125" s="20">
        <f t="shared" si="27"/>
        <v>0</v>
      </c>
      <c r="AM125" s="48"/>
    </row>
    <row r="126" spans="1:39">
      <c r="A126" s="45"/>
      <c r="B126" s="46"/>
      <c r="C126" s="14"/>
      <c r="D126" s="14"/>
      <c r="E126" s="14"/>
      <c r="F126" s="15" t="str">
        <f t="shared" si="22"/>
        <v xml:space="preserve">S/F  </v>
      </c>
      <c r="G126" s="16"/>
      <c r="H126" s="54">
        <v>21</v>
      </c>
      <c r="I126" s="18">
        <f t="shared" si="23"/>
        <v>0</v>
      </c>
      <c r="J126" s="17"/>
      <c r="K126" s="18">
        <f t="shared" si="24"/>
        <v>0</v>
      </c>
      <c r="L126" s="16"/>
      <c r="M126" s="17"/>
      <c r="N126" s="18">
        <f t="shared" si="25"/>
        <v>0</v>
      </c>
      <c r="O126" s="47"/>
      <c r="P126" s="47"/>
      <c r="Q126" s="47"/>
      <c r="R126" s="47"/>
      <c r="S126" s="47"/>
      <c r="T126" s="47"/>
      <c r="U126" s="47"/>
      <c r="V126" s="16"/>
      <c r="W126" s="17"/>
      <c r="X126" s="18">
        <f t="shared" si="26"/>
        <v>0</v>
      </c>
      <c r="Y126" s="19"/>
      <c r="Z126" s="19"/>
      <c r="AA126" s="18">
        <f>+IF(Z126&lt;&gt;0,Y126*Z126/100,0)</f>
        <v>0</v>
      </c>
      <c r="AB126" s="20">
        <f t="shared" si="27"/>
        <v>0</v>
      </c>
      <c r="AM126" s="48"/>
    </row>
    <row r="127" spans="1:39">
      <c r="A127" s="45"/>
      <c r="B127" s="46"/>
      <c r="C127" s="14"/>
      <c r="D127" s="14"/>
      <c r="E127" s="14"/>
      <c r="F127" s="15" t="str">
        <f t="shared" si="22"/>
        <v xml:space="preserve">S/F  </v>
      </c>
      <c r="G127" s="16"/>
      <c r="H127" s="54">
        <v>21</v>
      </c>
      <c r="I127" s="18">
        <f t="shared" si="23"/>
        <v>0</v>
      </c>
      <c r="J127" s="17"/>
      <c r="K127" s="18">
        <f t="shared" si="24"/>
        <v>0</v>
      </c>
      <c r="L127" s="16"/>
      <c r="M127" s="17"/>
      <c r="N127" s="18">
        <f t="shared" si="25"/>
        <v>0</v>
      </c>
      <c r="O127" s="47"/>
      <c r="P127" s="47"/>
      <c r="Q127" s="47"/>
      <c r="R127" s="47"/>
      <c r="S127" s="47"/>
      <c r="T127" s="47"/>
      <c r="U127" s="47"/>
      <c r="V127" s="16"/>
      <c r="W127" s="17"/>
      <c r="X127" s="18">
        <f t="shared" si="26"/>
        <v>0</v>
      </c>
      <c r="Y127" s="19"/>
      <c r="Z127" s="19"/>
      <c r="AA127" s="18"/>
      <c r="AB127" s="20">
        <f t="shared" si="27"/>
        <v>0</v>
      </c>
      <c r="AM127" s="48"/>
    </row>
    <row r="128" spans="1:39">
      <c r="A128" s="45"/>
      <c r="B128" s="46"/>
      <c r="C128" s="14"/>
      <c r="D128" s="14"/>
      <c r="E128" s="14"/>
      <c r="F128" s="15" t="str">
        <f t="shared" ref="F128:F159" si="28">"S/F "&amp;B128&amp;" "&amp;E128</f>
        <v xml:space="preserve">S/F  </v>
      </c>
      <c r="G128" s="16"/>
      <c r="H128" s="54">
        <v>21</v>
      </c>
      <c r="I128" s="18">
        <f t="shared" ref="I128:I159" si="29">+IF(G128&lt;&gt;0,G128*H128/100,0)</f>
        <v>0</v>
      </c>
      <c r="J128" s="17"/>
      <c r="K128" s="18">
        <f t="shared" ref="K128:K159" si="30">+IF(G128&lt;&gt;0,G128*J128/100,0)</f>
        <v>0</v>
      </c>
      <c r="L128" s="16"/>
      <c r="M128" s="17"/>
      <c r="N128" s="18">
        <f t="shared" ref="N128:N159" si="31">+IF(L128&lt;&gt;0,L128*M128/100,0)</f>
        <v>0</v>
      </c>
      <c r="O128" s="47"/>
      <c r="P128" s="47"/>
      <c r="Q128" s="47"/>
      <c r="R128" s="47"/>
      <c r="S128" s="47"/>
      <c r="T128" s="47"/>
      <c r="U128" s="47"/>
      <c r="V128" s="16"/>
      <c r="W128" s="17"/>
      <c r="X128" s="18">
        <f t="shared" ref="X128:X159" si="32">+IF(W128&lt;&gt;0,V128*W128/100,0)</f>
        <v>0</v>
      </c>
      <c r="Y128" s="19"/>
      <c r="Z128" s="19"/>
      <c r="AA128" s="18"/>
      <c r="AB128" s="20">
        <f t="shared" ref="AB128:AB159" si="33">+G128+I128+K128+L128+N128+P128+Q128+S128+U128-X128-AA128</f>
        <v>0</v>
      </c>
      <c r="AM128" s="48"/>
    </row>
    <row r="129" spans="1:39">
      <c r="A129" s="45"/>
      <c r="B129" s="46"/>
      <c r="C129" s="14"/>
      <c r="D129" s="14"/>
      <c r="E129" s="14"/>
      <c r="F129" s="15" t="str">
        <f t="shared" si="28"/>
        <v xml:space="preserve">S/F  </v>
      </c>
      <c r="G129" s="16"/>
      <c r="H129" s="54">
        <v>21</v>
      </c>
      <c r="I129" s="18">
        <f t="shared" si="29"/>
        <v>0</v>
      </c>
      <c r="J129" s="17"/>
      <c r="K129" s="18">
        <f t="shared" si="30"/>
        <v>0</v>
      </c>
      <c r="L129" s="16"/>
      <c r="M129" s="17"/>
      <c r="N129" s="18">
        <f t="shared" si="31"/>
        <v>0</v>
      </c>
      <c r="O129" s="47"/>
      <c r="P129" s="47"/>
      <c r="Q129" s="47"/>
      <c r="R129" s="47"/>
      <c r="S129" s="47"/>
      <c r="T129" s="47"/>
      <c r="U129" s="47"/>
      <c r="V129" s="16"/>
      <c r="W129" s="17"/>
      <c r="X129" s="18">
        <f t="shared" si="32"/>
        <v>0</v>
      </c>
      <c r="Y129" s="19"/>
      <c r="Z129" s="19"/>
      <c r="AA129" s="18">
        <f>+IF(Z129&lt;&gt;0,Y129*Z129/100,0)</f>
        <v>0</v>
      </c>
      <c r="AB129" s="20">
        <f t="shared" si="33"/>
        <v>0</v>
      </c>
      <c r="AM129" s="48"/>
    </row>
    <row r="130" spans="1:39">
      <c r="A130" s="45"/>
      <c r="B130" s="46"/>
      <c r="C130" s="14"/>
      <c r="D130" s="14"/>
      <c r="E130" s="14"/>
      <c r="F130" s="15" t="str">
        <f t="shared" si="28"/>
        <v xml:space="preserve">S/F  </v>
      </c>
      <c r="G130" s="16"/>
      <c r="H130" s="55">
        <v>21</v>
      </c>
      <c r="I130" s="18">
        <f t="shared" si="29"/>
        <v>0</v>
      </c>
      <c r="J130" s="17"/>
      <c r="K130" s="18">
        <f t="shared" si="30"/>
        <v>0</v>
      </c>
      <c r="L130" s="16"/>
      <c r="M130" s="17"/>
      <c r="N130" s="18">
        <f t="shared" si="31"/>
        <v>0</v>
      </c>
      <c r="O130" s="47"/>
      <c r="P130" s="47"/>
      <c r="Q130" s="47"/>
      <c r="R130" s="47"/>
      <c r="S130" s="47"/>
      <c r="T130" s="47"/>
      <c r="U130" s="47"/>
      <c r="V130" s="16"/>
      <c r="W130" s="17"/>
      <c r="X130" s="18">
        <f t="shared" si="32"/>
        <v>0</v>
      </c>
      <c r="Y130" s="19"/>
      <c r="Z130" s="19"/>
      <c r="AA130" s="18"/>
      <c r="AB130" s="20">
        <f t="shared" si="33"/>
        <v>0</v>
      </c>
      <c r="AM130" s="48"/>
    </row>
    <row r="131" spans="1:39">
      <c r="A131" s="45"/>
      <c r="B131" s="46"/>
      <c r="C131" s="14"/>
      <c r="D131" s="14"/>
      <c r="E131" s="14"/>
      <c r="F131" s="15" t="str">
        <f t="shared" si="28"/>
        <v xml:space="preserve">S/F  </v>
      </c>
      <c r="G131" s="16"/>
      <c r="H131" s="54">
        <v>21</v>
      </c>
      <c r="I131" s="18">
        <f t="shared" si="29"/>
        <v>0</v>
      </c>
      <c r="J131" s="17"/>
      <c r="K131" s="18">
        <f t="shared" si="30"/>
        <v>0</v>
      </c>
      <c r="L131" s="16"/>
      <c r="M131" s="17"/>
      <c r="N131" s="18">
        <f t="shared" si="31"/>
        <v>0</v>
      </c>
      <c r="O131" s="47"/>
      <c r="P131" s="47"/>
      <c r="Q131" s="47"/>
      <c r="R131" s="47"/>
      <c r="S131" s="47"/>
      <c r="T131" s="47"/>
      <c r="U131" s="47"/>
      <c r="V131" s="16"/>
      <c r="W131" s="17"/>
      <c r="X131" s="18">
        <f t="shared" si="32"/>
        <v>0</v>
      </c>
      <c r="Y131" s="19"/>
      <c r="Z131" s="19"/>
      <c r="AA131" s="18">
        <f>+IF(Z131&lt;&gt;0,Y131*Z131/100,0)</f>
        <v>0</v>
      </c>
      <c r="AB131" s="20">
        <f t="shared" si="33"/>
        <v>0</v>
      </c>
      <c r="AM131" s="48"/>
    </row>
    <row r="132" spans="1:39">
      <c r="A132" s="45"/>
      <c r="B132" s="46"/>
      <c r="C132" s="14"/>
      <c r="D132" s="14"/>
      <c r="E132" s="14"/>
      <c r="F132" s="15" t="str">
        <f t="shared" si="28"/>
        <v xml:space="preserve">S/F  </v>
      </c>
      <c r="G132" s="16"/>
      <c r="H132" s="54">
        <v>21</v>
      </c>
      <c r="I132" s="18">
        <f t="shared" si="29"/>
        <v>0</v>
      </c>
      <c r="J132" s="17"/>
      <c r="K132" s="18">
        <f t="shared" si="30"/>
        <v>0</v>
      </c>
      <c r="L132" s="16"/>
      <c r="M132" s="17"/>
      <c r="N132" s="18">
        <f t="shared" si="31"/>
        <v>0</v>
      </c>
      <c r="O132" s="47"/>
      <c r="P132" s="47"/>
      <c r="Q132" s="47"/>
      <c r="R132" s="47"/>
      <c r="S132" s="47"/>
      <c r="T132" s="47"/>
      <c r="U132" s="47"/>
      <c r="V132" s="16"/>
      <c r="W132" s="17"/>
      <c r="X132" s="18">
        <f t="shared" si="32"/>
        <v>0</v>
      </c>
      <c r="Y132" s="19"/>
      <c r="Z132" s="19"/>
      <c r="AA132" s="18">
        <f>+IF(Z132&lt;&gt;0,Y132*Z132/100,0)</f>
        <v>0</v>
      </c>
      <c r="AB132" s="20">
        <f t="shared" si="33"/>
        <v>0</v>
      </c>
      <c r="AD132" s="9"/>
      <c r="AM132" s="48"/>
    </row>
    <row r="133" spans="1:39">
      <c r="A133" s="45"/>
      <c r="B133" s="46"/>
      <c r="C133" s="14"/>
      <c r="D133" s="14"/>
      <c r="E133" s="14"/>
      <c r="F133" s="15" t="str">
        <f t="shared" si="28"/>
        <v xml:space="preserve">S/F  </v>
      </c>
      <c r="G133" s="16"/>
      <c r="H133" s="55">
        <v>21</v>
      </c>
      <c r="I133" s="18">
        <f t="shared" si="29"/>
        <v>0</v>
      </c>
      <c r="J133" s="17"/>
      <c r="K133" s="18">
        <f t="shared" si="30"/>
        <v>0</v>
      </c>
      <c r="L133" s="16"/>
      <c r="M133" s="17"/>
      <c r="N133" s="18">
        <f t="shared" si="31"/>
        <v>0</v>
      </c>
      <c r="O133" s="47"/>
      <c r="P133" s="47"/>
      <c r="Q133" s="47"/>
      <c r="R133" s="47"/>
      <c r="S133" s="47"/>
      <c r="T133" s="47"/>
      <c r="U133" s="47"/>
      <c r="V133" s="16"/>
      <c r="W133" s="17"/>
      <c r="X133" s="18">
        <f t="shared" si="32"/>
        <v>0</v>
      </c>
      <c r="Y133" s="19"/>
      <c r="Z133" s="19"/>
      <c r="AA133" s="18"/>
      <c r="AB133" s="20">
        <f t="shared" si="33"/>
        <v>0</v>
      </c>
      <c r="AM133" s="48"/>
    </row>
    <row r="134" spans="1:39">
      <c r="A134" s="45"/>
      <c r="B134" s="46"/>
      <c r="C134" s="14"/>
      <c r="D134" s="14"/>
      <c r="E134" s="14"/>
      <c r="F134" s="15" t="str">
        <f t="shared" si="28"/>
        <v xml:space="preserve">S/F  </v>
      </c>
      <c r="G134" s="16"/>
      <c r="H134" s="54">
        <v>21</v>
      </c>
      <c r="I134" s="18">
        <f t="shared" si="29"/>
        <v>0</v>
      </c>
      <c r="J134" s="17"/>
      <c r="K134" s="18">
        <f t="shared" si="30"/>
        <v>0</v>
      </c>
      <c r="L134" s="16"/>
      <c r="M134" s="17"/>
      <c r="N134" s="18">
        <f t="shared" si="31"/>
        <v>0</v>
      </c>
      <c r="O134" s="47"/>
      <c r="P134" s="47"/>
      <c r="Q134" s="47"/>
      <c r="R134" s="47"/>
      <c r="S134" s="47"/>
      <c r="T134" s="47"/>
      <c r="U134" s="47"/>
      <c r="V134" s="16"/>
      <c r="W134" s="17"/>
      <c r="X134" s="18">
        <f t="shared" si="32"/>
        <v>0</v>
      </c>
      <c r="Y134" s="19"/>
      <c r="Z134" s="19"/>
      <c r="AA134" s="18">
        <f>+IF(Z134&lt;&gt;0,Y134*Z134/100,0)</f>
        <v>0</v>
      </c>
      <c r="AB134" s="20">
        <f t="shared" si="33"/>
        <v>0</v>
      </c>
      <c r="AM134" s="48"/>
    </row>
    <row r="135" spans="1:39">
      <c r="A135" s="45"/>
      <c r="B135" s="46"/>
      <c r="C135" s="14"/>
      <c r="D135" s="14"/>
      <c r="E135" s="14"/>
      <c r="F135" s="15" t="str">
        <f t="shared" si="28"/>
        <v xml:space="preserve">S/F  </v>
      </c>
      <c r="G135" s="16"/>
      <c r="H135" s="54">
        <v>21</v>
      </c>
      <c r="I135" s="18">
        <f t="shared" si="29"/>
        <v>0</v>
      </c>
      <c r="J135" s="17"/>
      <c r="K135" s="18">
        <f t="shared" si="30"/>
        <v>0</v>
      </c>
      <c r="L135" s="16"/>
      <c r="M135" s="17"/>
      <c r="N135" s="18">
        <f t="shared" si="31"/>
        <v>0</v>
      </c>
      <c r="O135" s="47"/>
      <c r="P135" s="47"/>
      <c r="Q135" s="47"/>
      <c r="R135" s="47"/>
      <c r="S135" s="47"/>
      <c r="T135" s="47"/>
      <c r="U135" s="47"/>
      <c r="V135" s="16"/>
      <c r="W135" s="17"/>
      <c r="X135" s="18">
        <f t="shared" si="32"/>
        <v>0</v>
      </c>
      <c r="Y135" s="19"/>
      <c r="Z135" s="19"/>
      <c r="AA135" s="18">
        <f>+IF(Z135&lt;&gt;0,Y135*Z135/100,0)</f>
        <v>0</v>
      </c>
      <c r="AB135" s="20">
        <f t="shared" si="33"/>
        <v>0</v>
      </c>
      <c r="AM135" s="48"/>
    </row>
    <row r="136" spans="1:39">
      <c r="A136" s="45"/>
      <c r="B136" s="46"/>
      <c r="C136" s="14"/>
      <c r="D136" s="14"/>
      <c r="E136" s="14"/>
      <c r="F136" s="15" t="str">
        <f t="shared" si="28"/>
        <v xml:space="preserve">S/F  </v>
      </c>
      <c r="G136" s="16"/>
      <c r="H136" s="54">
        <v>21</v>
      </c>
      <c r="I136" s="18">
        <f t="shared" si="29"/>
        <v>0</v>
      </c>
      <c r="J136" s="17"/>
      <c r="K136" s="18">
        <f t="shared" si="30"/>
        <v>0</v>
      </c>
      <c r="L136" s="16"/>
      <c r="M136" s="17"/>
      <c r="N136" s="18">
        <f t="shared" si="31"/>
        <v>0</v>
      </c>
      <c r="O136" s="47"/>
      <c r="P136" s="47"/>
      <c r="Q136" s="47"/>
      <c r="R136" s="47"/>
      <c r="S136" s="47"/>
      <c r="T136" s="47"/>
      <c r="U136" s="47"/>
      <c r="V136" s="16"/>
      <c r="W136" s="17"/>
      <c r="X136" s="18">
        <f t="shared" si="32"/>
        <v>0</v>
      </c>
      <c r="Y136" s="19"/>
      <c r="Z136" s="19"/>
      <c r="AA136" s="18"/>
      <c r="AB136" s="20">
        <f t="shared" si="33"/>
        <v>0</v>
      </c>
      <c r="AM136" s="48"/>
    </row>
    <row r="137" spans="1:39">
      <c r="A137" s="45"/>
      <c r="B137" s="46"/>
      <c r="C137" s="14"/>
      <c r="D137" s="14"/>
      <c r="E137" s="14"/>
      <c r="F137" s="15" t="str">
        <f t="shared" si="28"/>
        <v xml:space="preserve">S/F  </v>
      </c>
      <c r="G137" s="16"/>
      <c r="H137" s="55">
        <v>21</v>
      </c>
      <c r="I137" s="18">
        <f t="shared" si="29"/>
        <v>0</v>
      </c>
      <c r="J137" s="17"/>
      <c r="K137" s="18">
        <f t="shared" si="30"/>
        <v>0</v>
      </c>
      <c r="L137" s="16"/>
      <c r="M137" s="17"/>
      <c r="N137" s="18">
        <f t="shared" si="31"/>
        <v>0</v>
      </c>
      <c r="O137" s="47"/>
      <c r="P137" s="47"/>
      <c r="Q137" s="47"/>
      <c r="R137" s="47"/>
      <c r="S137" s="47"/>
      <c r="T137" s="47"/>
      <c r="U137" s="47"/>
      <c r="V137" s="16"/>
      <c r="W137" s="17"/>
      <c r="X137" s="18">
        <f t="shared" si="32"/>
        <v>0</v>
      </c>
      <c r="Y137" s="19"/>
      <c r="Z137" s="19"/>
      <c r="AA137" s="18"/>
      <c r="AB137" s="20">
        <f t="shared" si="33"/>
        <v>0</v>
      </c>
      <c r="AM137" s="48"/>
    </row>
    <row r="138" spans="1:39">
      <c r="A138" s="45"/>
      <c r="B138" s="46"/>
      <c r="C138" s="14"/>
      <c r="D138" s="14"/>
      <c r="E138" s="14"/>
      <c r="F138" s="15" t="str">
        <f t="shared" si="28"/>
        <v xml:space="preserve">S/F  </v>
      </c>
      <c r="G138" s="16"/>
      <c r="H138" s="54">
        <v>21</v>
      </c>
      <c r="I138" s="18">
        <f t="shared" si="29"/>
        <v>0</v>
      </c>
      <c r="J138" s="17"/>
      <c r="K138" s="18">
        <f t="shared" si="30"/>
        <v>0</v>
      </c>
      <c r="L138" s="16"/>
      <c r="M138" s="17"/>
      <c r="N138" s="18">
        <f t="shared" si="31"/>
        <v>0</v>
      </c>
      <c r="O138" s="47"/>
      <c r="P138" s="47"/>
      <c r="Q138" s="47"/>
      <c r="R138" s="47"/>
      <c r="S138" s="47"/>
      <c r="T138" s="47"/>
      <c r="U138" s="47"/>
      <c r="V138" s="16"/>
      <c r="W138" s="17"/>
      <c r="X138" s="18">
        <f t="shared" si="32"/>
        <v>0</v>
      </c>
      <c r="Y138" s="19"/>
      <c r="Z138" s="19"/>
      <c r="AA138" s="18"/>
      <c r="AB138" s="20">
        <f t="shared" si="33"/>
        <v>0</v>
      </c>
      <c r="AM138" s="48"/>
    </row>
    <row r="139" spans="1:39">
      <c r="A139" s="45"/>
      <c r="B139" s="46"/>
      <c r="C139" s="14"/>
      <c r="D139" s="14"/>
      <c r="E139" s="14"/>
      <c r="F139" s="15" t="str">
        <f t="shared" si="28"/>
        <v xml:space="preserve">S/F  </v>
      </c>
      <c r="G139" s="16"/>
      <c r="H139" s="54">
        <v>21</v>
      </c>
      <c r="I139" s="18">
        <f t="shared" si="29"/>
        <v>0</v>
      </c>
      <c r="J139" s="17"/>
      <c r="K139" s="18">
        <f t="shared" si="30"/>
        <v>0</v>
      </c>
      <c r="L139" s="16"/>
      <c r="M139" s="17"/>
      <c r="N139" s="18">
        <f t="shared" si="31"/>
        <v>0</v>
      </c>
      <c r="O139" s="47"/>
      <c r="P139" s="47"/>
      <c r="Q139" s="47"/>
      <c r="R139" s="47"/>
      <c r="S139" s="47"/>
      <c r="T139" s="47"/>
      <c r="U139" s="47"/>
      <c r="V139" s="16"/>
      <c r="W139" s="17"/>
      <c r="X139" s="18">
        <f t="shared" si="32"/>
        <v>0</v>
      </c>
      <c r="Y139" s="19"/>
      <c r="Z139" s="19"/>
      <c r="AA139" s="18"/>
      <c r="AB139" s="20">
        <f t="shared" si="33"/>
        <v>0</v>
      </c>
      <c r="AM139" s="48"/>
    </row>
    <row r="140" spans="1:39">
      <c r="A140" s="45"/>
      <c r="B140" s="46"/>
      <c r="C140" s="14"/>
      <c r="D140" s="14"/>
      <c r="E140" s="14"/>
      <c r="F140" s="15" t="str">
        <f t="shared" si="28"/>
        <v xml:space="preserve">S/F  </v>
      </c>
      <c r="G140" s="16"/>
      <c r="H140" s="55">
        <v>21</v>
      </c>
      <c r="I140" s="18">
        <f t="shared" si="29"/>
        <v>0</v>
      </c>
      <c r="J140" s="17"/>
      <c r="K140" s="18">
        <f t="shared" si="30"/>
        <v>0</v>
      </c>
      <c r="L140" s="16"/>
      <c r="M140" s="17"/>
      <c r="N140" s="18">
        <f t="shared" si="31"/>
        <v>0</v>
      </c>
      <c r="O140" s="47"/>
      <c r="P140" s="47"/>
      <c r="Q140" s="47"/>
      <c r="R140" s="47"/>
      <c r="S140" s="47"/>
      <c r="T140" s="47"/>
      <c r="U140" s="47"/>
      <c r="V140" s="16"/>
      <c r="W140" s="17"/>
      <c r="X140" s="18">
        <f t="shared" si="32"/>
        <v>0</v>
      </c>
      <c r="Y140" s="19"/>
      <c r="Z140" s="19"/>
      <c r="AA140" s="18"/>
      <c r="AB140" s="20">
        <f t="shared" si="33"/>
        <v>0</v>
      </c>
      <c r="AM140" s="48"/>
    </row>
    <row r="141" spans="1:39">
      <c r="A141" s="45"/>
      <c r="B141" s="46"/>
      <c r="C141" s="14"/>
      <c r="D141" s="14"/>
      <c r="E141" s="14"/>
      <c r="F141" s="15" t="str">
        <f t="shared" si="28"/>
        <v xml:space="preserve">S/F  </v>
      </c>
      <c r="G141" s="16"/>
      <c r="H141" s="55">
        <v>21</v>
      </c>
      <c r="I141" s="18">
        <f t="shared" si="29"/>
        <v>0</v>
      </c>
      <c r="J141" s="17"/>
      <c r="K141" s="18">
        <f t="shared" si="30"/>
        <v>0</v>
      </c>
      <c r="L141" s="16"/>
      <c r="M141" s="17"/>
      <c r="N141" s="18">
        <f t="shared" si="31"/>
        <v>0</v>
      </c>
      <c r="O141" s="47"/>
      <c r="P141" s="47"/>
      <c r="Q141" s="47"/>
      <c r="R141" s="47"/>
      <c r="S141" s="47"/>
      <c r="T141" s="47"/>
      <c r="U141" s="47"/>
      <c r="V141" s="16"/>
      <c r="W141" s="17"/>
      <c r="X141" s="18">
        <f t="shared" si="32"/>
        <v>0</v>
      </c>
      <c r="Y141" s="19"/>
      <c r="Z141" s="19"/>
      <c r="AA141" s="18"/>
      <c r="AB141" s="20">
        <f t="shared" si="33"/>
        <v>0</v>
      </c>
      <c r="AM141" s="48"/>
    </row>
    <row r="142" spans="1:39">
      <c r="A142" s="45"/>
      <c r="B142" s="46"/>
      <c r="C142" s="14"/>
      <c r="D142" s="14"/>
      <c r="E142" s="14"/>
      <c r="F142" s="15" t="str">
        <f t="shared" si="28"/>
        <v xml:space="preserve">S/F  </v>
      </c>
      <c r="G142" s="16"/>
      <c r="H142" s="55">
        <v>21</v>
      </c>
      <c r="I142" s="18">
        <f t="shared" si="29"/>
        <v>0</v>
      </c>
      <c r="J142" s="17"/>
      <c r="K142" s="18">
        <f t="shared" si="30"/>
        <v>0</v>
      </c>
      <c r="L142" s="16"/>
      <c r="M142" s="17"/>
      <c r="N142" s="18">
        <f t="shared" si="31"/>
        <v>0</v>
      </c>
      <c r="O142" s="47"/>
      <c r="P142" s="47"/>
      <c r="Q142" s="47"/>
      <c r="R142" s="47"/>
      <c r="S142" s="47"/>
      <c r="T142" s="47"/>
      <c r="U142" s="47"/>
      <c r="V142" s="16"/>
      <c r="W142" s="17"/>
      <c r="X142" s="18">
        <f t="shared" si="32"/>
        <v>0</v>
      </c>
      <c r="Y142" s="19"/>
      <c r="Z142" s="19"/>
      <c r="AA142" s="18"/>
      <c r="AB142" s="20">
        <f t="shared" si="33"/>
        <v>0</v>
      </c>
      <c r="AM142" s="48"/>
    </row>
    <row r="143" spans="1:39">
      <c r="A143" s="45"/>
      <c r="B143" s="46"/>
      <c r="C143" s="14"/>
      <c r="D143" s="14"/>
      <c r="E143" s="14"/>
      <c r="F143" s="15" t="str">
        <f t="shared" si="28"/>
        <v xml:space="preserve">S/F  </v>
      </c>
      <c r="G143" s="16"/>
      <c r="H143" s="55">
        <v>21</v>
      </c>
      <c r="I143" s="18">
        <f t="shared" si="29"/>
        <v>0</v>
      </c>
      <c r="J143" s="17"/>
      <c r="K143" s="18">
        <f t="shared" si="30"/>
        <v>0</v>
      </c>
      <c r="L143" s="16"/>
      <c r="M143" s="17"/>
      <c r="N143" s="18">
        <f t="shared" si="31"/>
        <v>0</v>
      </c>
      <c r="O143" s="47"/>
      <c r="P143" s="47"/>
      <c r="Q143" s="47"/>
      <c r="R143" s="47"/>
      <c r="S143" s="47"/>
      <c r="T143" s="47"/>
      <c r="U143" s="47"/>
      <c r="V143" s="16"/>
      <c r="W143" s="17"/>
      <c r="X143" s="18">
        <f t="shared" si="32"/>
        <v>0</v>
      </c>
      <c r="Y143" s="19"/>
      <c r="Z143" s="19"/>
      <c r="AA143" s="18"/>
      <c r="AB143" s="20">
        <f t="shared" si="33"/>
        <v>0</v>
      </c>
      <c r="AM143" s="48"/>
    </row>
    <row r="144" spans="1:39">
      <c r="A144" s="45"/>
      <c r="B144" s="46"/>
      <c r="C144" s="14"/>
      <c r="D144" s="14"/>
      <c r="E144" s="14"/>
      <c r="F144" s="15" t="str">
        <f t="shared" si="28"/>
        <v xml:space="preserve">S/F  </v>
      </c>
      <c r="G144" s="16"/>
      <c r="H144" s="55">
        <v>21</v>
      </c>
      <c r="I144" s="18">
        <f t="shared" si="29"/>
        <v>0</v>
      </c>
      <c r="J144" s="17"/>
      <c r="K144" s="18">
        <f t="shared" si="30"/>
        <v>0</v>
      </c>
      <c r="L144" s="16"/>
      <c r="M144" s="17"/>
      <c r="N144" s="18">
        <f t="shared" si="31"/>
        <v>0</v>
      </c>
      <c r="O144" s="47"/>
      <c r="P144" s="47"/>
      <c r="Q144" s="47"/>
      <c r="R144" s="47"/>
      <c r="S144" s="47"/>
      <c r="T144" s="47"/>
      <c r="U144" s="47"/>
      <c r="V144" s="16"/>
      <c r="W144" s="17"/>
      <c r="X144" s="18">
        <f t="shared" si="32"/>
        <v>0</v>
      </c>
      <c r="Y144" s="19"/>
      <c r="Z144" s="19"/>
      <c r="AA144" s="18"/>
      <c r="AB144" s="20">
        <f t="shared" si="33"/>
        <v>0</v>
      </c>
      <c r="AM144" s="48"/>
    </row>
    <row r="145" spans="1:39">
      <c r="A145" s="45"/>
      <c r="B145" s="46"/>
      <c r="C145" s="14"/>
      <c r="D145" s="14"/>
      <c r="E145" s="14"/>
      <c r="F145" s="15" t="str">
        <f t="shared" si="28"/>
        <v xml:space="preserve">S/F  </v>
      </c>
      <c r="G145" s="16"/>
      <c r="H145" s="55">
        <v>21</v>
      </c>
      <c r="I145" s="18">
        <f t="shared" si="29"/>
        <v>0</v>
      </c>
      <c r="J145" s="17"/>
      <c r="K145" s="18">
        <f t="shared" si="30"/>
        <v>0</v>
      </c>
      <c r="L145" s="16"/>
      <c r="M145" s="17"/>
      <c r="N145" s="18">
        <f t="shared" si="31"/>
        <v>0</v>
      </c>
      <c r="O145" s="47"/>
      <c r="P145" s="47"/>
      <c r="Q145" s="47"/>
      <c r="R145" s="47"/>
      <c r="S145" s="47"/>
      <c r="T145" s="47"/>
      <c r="U145" s="47"/>
      <c r="V145" s="16"/>
      <c r="W145" s="17"/>
      <c r="X145" s="18">
        <f t="shared" si="32"/>
        <v>0</v>
      </c>
      <c r="Y145" s="19"/>
      <c r="Z145" s="19"/>
      <c r="AA145" s="18"/>
      <c r="AB145" s="20">
        <f t="shared" si="33"/>
        <v>0</v>
      </c>
      <c r="AM145" s="48"/>
    </row>
    <row r="146" spans="1:39">
      <c r="A146" s="45"/>
      <c r="B146" s="46"/>
      <c r="C146" s="14"/>
      <c r="D146" s="14"/>
      <c r="E146" s="14"/>
      <c r="F146" s="15" t="str">
        <f t="shared" si="28"/>
        <v xml:space="preserve">S/F  </v>
      </c>
      <c r="G146" s="16"/>
      <c r="H146" s="55">
        <v>21</v>
      </c>
      <c r="I146" s="18">
        <f t="shared" si="29"/>
        <v>0</v>
      </c>
      <c r="J146" s="17"/>
      <c r="K146" s="18">
        <f t="shared" si="30"/>
        <v>0</v>
      </c>
      <c r="L146" s="16"/>
      <c r="M146" s="17"/>
      <c r="N146" s="18">
        <f t="shared" si="31"/>
        <v>0</v>
      </c>
      <c r="O146" s="47"/>
      <c r="P146" s="47"/>
      <c r="Q146" s="47"/>
      <c r="R146" s="47"/>
      <c r="S146" s="47"/>
      <c r="T146" s="47"/>
      <c r="U146" s="47"/>
      <c r="V146" s="16"/>
      <c r="W146" s="17"/>
      <c r="X146" s="18">
        <f t="shared" si="32"/>
        <v>0</v>
      </c>
      <c r="Y146" s="19"/>
      <c r="Z146" s="19"/>
      <c r="AA146" s="18"/>
      <c r="AB146" s="20">
        <f t="shared" si="33"/>
        <v>0</v>
      </c>
      <c r="AM146" s="48"/>
    </row>
    <row r="147" spans="1:39">
      <c r="A147" s="45"/>
      <c r="B147" s="46"/>
      <c r="C147" s="14"/>
      <c r="D147" s="14"/>
      <c r="E147" s="14"/>
      <c r="F147" s="15" t="str">
        <f t="shared" si="28"/>
        <v xml:space="preserve">S/F  </v>
      </c>
      <c r="G147" s="16"/>
      <c r="H147" s="55">
        <v>21</v>
      </c>
      <c r="I147" s="18">
        <f t="shared" si="29"/>
        <v>0</v>
      </c>
      <c r="J147" s="17"/>
      <c r="K147" s="18">
        <f t="shared" si="30"/>
        <v>0</v>
      </c>
      <c r="L147" s="16"/>
      <c r="M147" s="17"/>
      <c r="N147" s="18">
        <f t="shared" si="31"/>
        <v>0</v>
      </c>
      <c r="O147" s="47"/>
      <c r="P147" s="47"/>
      <c r="Q147" s="47"/>
      <c r="R147" s="47"/>
      <c r="S147" s="47"/>
      <c r="T147" s="47"/>
      <c r="U147" s="47"/>
      <c r="V147" s="16"/>
      <c r="W147" s="17"/>
      <c r="X147" s="18">
        <f t="shared" si="32"/>
        <v>0</v>
      </c>
      <c r="Y147" s="19"/>
      <c r="Z147" s="19"/>
      <c r="AA147" s="18"/>
      <c r="AB147" s="20">
        <f t="shared" si="33"/>
        <v>0</v>
      </c>
      <c r="AM147" s="48"/>
    </row>
    <row r="148" spans="1:39">
      <c r="A148" s="45"/>
      <c r="B148" s="46"/>
      <c r="C148" s="14"/>
      <c r="D148" s="14"/>
      <c r="E148" s="14"/>
      <c r="F148" s="15" t="str">
        <f t="shared" si="28"/>
        <v xml:space="preserve">S/F  </v>
      </c>
      <c r="G148" s="16"/>
      <c r="H148" s="55">
        <v>21</v>
      </c>
      <c r="I148" s="18">
        <f t="shared" si="29"/>
        <v>0</v>
      </c>
      <c r="J148" s="17"/>
      <c r="K148" s="18">
        <f t="shared" si="30"/>
        <v>0</v>
      </c>
      <c r="L148" s="16"/>
      <c r="M148" s="17"/>
      <c r="N148" s="18">
        <f t="shared" si="31"/>
        <v>0</v>
      </c>
      <c r="O148" s="47"/>
      <c r="P148" s="47"/>
      <c r="Q148" s="47"/>
      <c r="R148" s="47"/>
      <c r="S148" s="47"/>
      <c r="T148" s="47"/>
      <c r="U148" s="47"/>
      <c r="V148" s="16"/>
      <c r="W148" s="17"/>
      <c r="X148" s="18">
        <f t="shared" si="32"/>
        <v>0</v>
      </c>
      <c r="Y148" s="19"/>
      <c r="Z148" s="19"/>
      <c r="AA148" s="18"/>
      <c r="AB148" s="20">
        <f t="shared" si="33"/>
        <v>0</v>
      </c>
      <c r="AM148" s="48"/>
    </row>
    <row r="149" spans="1:39">
      <c r="A149" s="45"/>
      <c r="B149" s="46"/>
      <c r="C149" s="14"/>
      <c r="D149" s="14"/>
      <c r="E149" s="14"/>
      <c r="F149" s="15" t="str">
        <f t="shared" si="28"/>
        <v xml:space="preserve">S/F  </v>
      </c>
      <c r="G149" s="16"/>
      <c r="H149" s="54">
        <v>21</v>
      </c>
      <c r="I149" s="18">
        <f t="shared" si="29"/>
        <v>0</v>
      </c>
      <c r="J149" s="17"/>
      <c r="K149" s="18">
        <f t="shared" si="30"/>
        <v>0</v>
      </c>
      <c r="L149" s="16"/>
      <c r="M149" s="17"/>
      <c r="N149" s="18">
        <f t="shared" si="31"/>
        <v>0</v>
      </c>
      <c r="O149" s="47"/>
      <c r="P149" s="47"/>
      <c r="Q149" s="47"/>
      <c r="R149" s="47"/>
      <c r="S149" s="47"/>
      <c r="T149" s="47"/>
      <c r="U149" s="47"/>
      <c r="V149" s="16"/>
      <c r="W149" s="17"/>
      <c r="X149" s="18">
        <f t="shared" si="32"/>
        <v>0</v>
      </c>
      <c r="Y149" s="19"/>
      <c r="Z149" s="19"/>
      <c r="AA149" s="18">
        <f>+IF(Z149&lt;&gt;0,Y149*Z149/100,0)</f>
        <v>0</v>
      </c>
      <c r="AB149" s="20">
        <f t="shared" si="33"/>
        <v>0</v>
      </c>
      <c r="AM149" s="48"/>
    </row>
    <row r="150" spans="1:39">
      <c r="A150" s="45"/>
      <c r="B150" s="46"/>
      <c r="C150" s="14"/>
      <c r="D150" s="14"/>
      <c r="E150" s="14"/>
      <c r="F150" s="15" t="str">
        <f t="shared" si="28"/>
        <v xml:space="preserve">S/F  </v>
      </c>
      <c r="G150" s="16"/>
      <c r="H150" s="55">
        <v>21</v>
      </c>
      <c r="I150" s="18">
        <f t="shared" si="29"/>
        <v>0</v>
      </c>
      <c r="J150" s="17"/>
      <c r="K150" s="18">
        <f t="shared" si="30"/>
        <v>0</v>
      </c>
      <c r="L150" s="16"/>
      <c r="M150" s="17"/>
      <c r="N150" s="18">
        <f t="shared" si="31"/>
        <v>0</v>
      </c>
      <c r="O150" s="47"/>
      <c r="P150" s="47"/>
      <c r="Q150" s="47"/>
      <c r="R150" s="47"/>
      <c r="S150" s="47"/>
      <c r="T150" s="47"/>
      <c r="U150" s="47"/>
      <c r="V150" s="16"/>
      <c r="W150" s="17"/>
      <c r="X150" s="18">
        <f t="shared" si="32"/>
        <v>0</v>
      </c>
      <c r="Y150" s="19"/>
      <c r="Z150" s="19"/>
      <c r="AA150" s="18"/>
      <c r="AB150" s="20">
        <f t="shared" si="33"/>
        <v>0</v>
      </c>
      <c r="AM150" s="48"/>
    </row>
    <row r="151" spans="1:39">
      <c r="A151" s="45"/>
      <c r="B151" s="46"/>
      <c r="C151" s="14"/>
      <c r="D151" s="14"/>
      <c r="E151" s="14"/>
      <c r="F151" s="15" t="str">
        <f t="shared" si="28"/>
        <v xml:space="preserve">S/F  </v>
      </c>
      <c r="G151" s="16"/>
      <c r="H151" s="54">
        <v>21</v>
      </c>
      <c r="I151" s="18">
        <f t="shared" si="29"/>
        <v>0</v>
      </c>
      <c r="J151" s="17"/>
      <c r="K151" s="18">
        <f t="shared" si="30"/>
        <v>0</v>
      </c>
      <c r="L151" s="16"/>
      <c r="M151" s="17"/>
      <c r="N151" s="18">
        <f t="shared" si="31"/>
        <v>0</v>
      </c>
      <c r="O151" s="47"/>
      <c r="P151" s="47"/>
      <c r="Q151" s="47"/>
      <c r="R151" s="47"/>
      <c r="S151" s="47"/>
      <c r="T151" s="47"/>
      <c r="U151" s="47"/>
      <c r="V151" s="16"/>
      <c r="W151" s="17"/>
      <c r="X151" s="18">
        <f t="shared" si="32"/>
        <v>0</v>
      </c>
      <c r="Y151" s="19"/>
      <c r="Z151" s="19"/>
      <c r="AA151" s="18">
        <f>+IF(Z151&lt;&gt;0,Y151*Z151/100,0)</f>
        <v>0</v>
      </c>
      <c r="AB151" s="20">
        <f t="shared" si="33"/>
        <v>0</v>
      </c>
      <c r="AM151" s="48"/>
    </row>
    <row r="152" spans="1:39">
      <c r="A152" s="45"/>
      <c r="B152" s="46"/>
      <c r="C152" s="14"/>
      <c r="D152" s="14"/>
      <c r="E152" s="14"/>
      <c r="F152" s="15" t="str">
        <f t="shared" si="28"/>
        <v xml:space="preserve">S/F  </v>
      </c>
      <c r="G152" s="16"/>
      <c r="H152" s="55">
        <v>21</v>
      </c>
      <c r="I152" s="18">
        <f t="shared" si="29"/>
        <v>0</v>
      </c>
      <c r="J152" s="17"/>
      <c r="K152" s="18">
        <f t="shared" si="30"/>
        <v>0</v>
      </c>
      <c r="L152" s="16"/>
      <c r="M152" s="17"/>
      <c r="N152" s="18">
        <f t="shared" si="31"/>
        <v>0</v>
      </c>
      <c r="O152" s="47"/>
      <c r="P152" s="47"/>
      <c r="Q152" s="47"/>
      <c r="R152" s="47"/>
      <c r="S152" s="47"/>
      <c r="T152" s="47"/>
      <c r="U152" s="47"/>
      <c r="V152" s="16"/>
      <c r="W152" s="17"/>
      <c r="X152" s="18">
        <f t="shared" si="32"/>
        <v>0</v>
      </c>
      <c r="Y152" s="19"/>
      <c r="Z152" s="19"/>
      <c r="AA152" s="18"/>
      <c r="AB152" s="20">
        <f t="shared" si="33"/>
        <v>0</v>
      </c>
      <c r="AM152" s="48"/>
    </row>
    <row r="153" spans="1:39">
      <c r="A153" s="45"/>
      <c r="B153" s="46"/>
      <c r="C153" s="14"/>
      <c r="D153" s="14"/>
      <c r="E153" s="14"/>
      <c r="F153" s="15" t="str">
        <f t="shared" si="28"/>
        <v xml:space="preserve">S/F  </v>
      </c>
      <c r="G153" s="16"/>
      <c r="H153" s="54">
        <v>21</v>
      </c>
      <c r="I153" s="18">
        <f t="shared" si="29"/>
        <v>0</v>
      </c>
      <c r="J153" s="17"/>
      <c r="K153" s="18">
        <f t="shared" si="30"/>
        <v>0</v>
      </c>
      <c r="L153" s="16"/>
      <c r="M153" s="17"/>
      <c r="N153" s="18">
        <f t="shared" si="31"/>
        <v>0</v>
      </c>
      <c r="O153" s="47"/>
      <c r="P153" s="47"/>
      <c r="Q153" s="47"/>
      <c r="R153" s="47"/>
      <c r="S153" s="47"/>
      <c r="T153" s="47"/>
      <c r="U153" s="47"/>
      <c r="V153" s="16"/>
      <c r="W153" s="17"/>
      <c r="X153" s="18">
        <f t="shared" si="32"/>
        <v>0</v>
      </c>
      <c r="Y153" s="19"/>
      <c r="Z153" s="19"/>
      <c r="AA153" s="18">
        <f>+IF(Z153&lt;&gt;0,Y153*Z153/100,0)</f>
        <v>0</v>
      </c>
      <c r="AB153" s="20">
        <f t="shared" si="33"/>
        <v>0</v>
      </c>
      <c r="AM153" s="48"/>
    </row>
    <row r="154" spans="1:39">
      <c r="A154" s="45"/>
      <c r="B154" s="46"/>
      <c r="C154" s="14"/>
      <c r="D154" s="14"/>
      <c r="E154" s="14"/>
      <c r="F154" s="15" t="str">
        <f t="shared" si="28"/>
        <v xml:space="preserve">S/F  </v>
      </c>
      <c r="G154" s="16"/>
      <c r="H154" s="54">
        <v>21</v>
      </c>
      <c r="I154" s="18">
        <f t="shared" si="29"/>
        <v>0</v>
      </c>
      <c r="J154" s="17"/>
      <c r="K154" s="18">
        <f t="shared" si="30"/>
        <v>0</v>
      </c>
      <c r="L154" s="16"/>
      <c r="M154" s="17"/>
      <c r="N154" s="18">
        <f t="shared" si="31"/>
        <v>0</v>
      </c>
      <c r="O154" s="47"/>
      <c r="P154" s="47"/>
      <c r="Q154" s="47"/>
      <c r="R154" s="47"/>
      <c r="S154" s="47"/>
      <c r="T154" s="47"/>
      <c r="U154" s="47"/>
      <c r="V154" s="16"/>
      <c r="W154" s="17"/>
      <c r="X154" s="18">
        <f t="shared" si="32"/>
        <v>0</v>
      </c>
      <c r="Y154" s="19"/>
      <c r="Z154" s="19"/>
      <c r="AA154" s="18"/>
      <c r="AB154" s="20">
        <f t="shared" si="33"/>
        <v>0</v>
      </c>
      <c r="AM154" s="48"/>
    </row>
    <row r="155" spans="1:39">
      <c r="A155" s="45"/>
      <c r="B155" s="46"/>
      <c r="C155" s="14"/>
      <c r="D155" s="14"/>
      <c r="E155" s="14"/>
      <c r="F155" s="15" t="str">
        <f t="shared" si="28"/>
        <v xml:space="preserve">S/F  </v>
      </c>
      <c r="G155" s="16"/>
      <c r="H155" s="54">
        <v>21</v>
      </c>
      <c r="I155" s="18">
        <f t="shared" si="29"/>
        <v>0</v>
      </c>
      <c r="J155" s="17"/>
      <c r="K155" s="18">
        <f t="shared" si="30"/>
        <v>0</v>
      </c>
      <c r="L155" s="16"/>
      <c r="M155" s="17"/>
      <c r="N155" s="18">
        <f t="shared" si="31"/>
        <v>0</v>
      </c>
      <c r="O155" s="47"/>
      <c r="P155" s="47"/>
      <c r="Q155" s="47"/>
      <c r="R155" s="47"/>
      <c r="S155" s="47"/>
      <c r="T155" s="47"/>
      <c r="U155" s="47"/>
      <c r="V155" s="16"/>
      <c r="W155" s="17"/>
      <c r="X155" s="18">
        <f t="shared" si="32"/>
        <v>0</v>
      </c>
      <c r="Y155" s="19"/>
      <c r="Z155" s="19"/>
      <c r="AA155" s="18"/>
      <c r="AB155" s="20">
        <f t="shared" si="33"/>
        <v>0</v>
      </c>
      <c r="AM155" s="48"/>
    </row>
    <row r="156" spans="1:39">
      <c r="A156" s="45"/>
      <c r="B156" s="46"/>
      <c r="C156" s="14"/>
      <c r="D156" s="14"/>
      <c r="E156" s="14"/>
      <c r="F156" s="15" t="str">
        <f t="shared" si="28"/>
        <v xml:space="preserve">S/F  </v>
      </c>
      <c r="G156" s="16"/>
      <c r="H156" s="54">
        <v>21</v>
      </c>
      <c r="I156" s="18">
        <f t="shared" si="29"/>
        <v>0</v>
      </c>
      <c r="J156" s="17"/>
      <c r="K156" s="18">
        <f t="shared" si="30"/>
        <v>0</v>
      </c>
      <c r="L156" s="16"/>
      <c r="M156" s="17"/>
      <c r="N156" s="18">
        <f t="shared" si="31"/>
        <v>0</v>
      </c>
      <c r="O156" s="47"/>
      <c r="P156" s="47"/>
      <c r="Q156" s="47"/>
      <c r="R156" s="47"/>
      <c r="S156" s="47"/>
      <c r="T156" s="47"/>
      <c r="U156" s="47"/>
      <c r="V156" s="16"/>
      <c r="W156" s="17"/>
      <c r="X156" s="18">
        <f t="shared" si="32"/>
        <v>0</v>
      </c>
      <c r="Y156" s="19"/>
      <c r="Z156" s="19"/>
      <c r="AA156" s="18"/>
      <c r="AB156" s="20">
        <f t="shared" si="33"/>
        <v>0</v>
      </c>
      <c r="AM156" s="48"/>
    </row>
    <row r="157" spans="1:39">
      <c r="A157" s="45"/>
      <c r="B157" s="46"/>
      <c r="C157" s="14"/>
      <c r="D157" s="14"/>
      <c r="E157" s="14"/>
      <c r="F157" s="15" t="str">
        <f t="shared" si="28"/>
        <v xml:space="preserve">S/F  </v>
      </c>
      <c r="G157" s="16"/>
      <c r="H157" s="54">
        <v>21</v>
      </c>
      <c r="I157" s="18">
        <f t="shared" si="29"/>
        <v>0</v>
      </c>
      <c r="J157" s="17"/>
      <c r="K157" s="18">
        <f t="shared" si="30"/>
        <v>0</v>
      </c>
      <c r="L157" s="16"/>
      <c r="M157" s="17"/>
      <c r="N157" s="18">
        <f t="shared" si="31"/>
        <v>0</v>
      </c>
      <c r="O157" s="47"/>
      <c r="P157" s="47"/>
      <c r="Q157" s="47"/>
      <c r="R157" s="47"/>
      <c r="S157" s="47"/>
      <c r="T157" s="47"/>
      <c r="U157" s="47"/>
      <c r="V157" s="16"/>
      <c r="W157" s="17"/>
      <c r="X157" s="18">
        <f t="shared" si="32"/>
        <v>0</v>
      </c>
      <c r="Y157" s="19"/>
      <c r="Z157" s="19"/>
      <c r="AA157" s="18"/>
      <c r="AB157" s="20">
        <f t="shared" si="33"/>
        <v>0</v>
      </c>
      <c r="AM157" s="48"/>
    </row>
    <row r="158" spans="1:39">
      <c r="A158" s="45"/>
      <c r="B158" s="46"/>
      <c r="C158" s="14"/>
      <c r="D158" s="14"/>
      <c r="E158" s="14"/>
      <c r="F158" s="15" t="str">
        <f t="shared" si="28"/>
        <v xml:space="preserve">S/F  </v>
      </c>
      <c r="G158" s="16"/>
      <c r="H158" s="54">
        <v>21</v>
      </c>
      <c r="I158" s="18">
        <f t="shared" si="29"/>
        <v>0</v>
      </c>
      <c r="J158" s="17"/>
      <c r="K158" s="18">
        <f t="shared" si="30"/>
        <v>0</v>
      </c>
      <c r="L158" s="16"/>
      <c r="M158" s="17"/>
      <c r="N158" s="18">
        <f t="shared" si="31"/>
        <v>0</v>
      </c>
      <c r="O158" s="47"/>
      <c r="P158" s="47"/>
      <c r="Q158" s="47"/>
      <c r="R158" s="47"/>
      <c r="S158" s="47"/>
      <c r="T158" s="47"/>
      <c r="U158" s="47"/>
      <c r="V158" s="16"/>
      <c r="W158" s="17"/>
      <c r="X158" s="18">
        <f t="shared" si="32"/>
        <v>0</v>
      </c>
      <c r="Y158" s="19"/>
      <c r="Z158" s="19"/>
      <c r="AA158" s="18"/>
      <c r="AB158" s="20">
        <f t="shared" si="33"/>
        <v>0</v>
      </c>
      <c r="AM158" s="48"/>
    </row>
    <row r="159" spans="1:39">
      <c r="A159" s="45"/>
      <c r="B159" s="46"/>
      <c r="C159" s="14"/>
      <c r="D159" s="14"/>
      <c r="E159" s="14"/>
      <c r="F159" s="15" t="str">
        <f t="shared" si="28"/>
        <v xml:space="preserve">S/F  </v>
      </c>
      <c r="G159" s="16"/>
      <c r="H159" s="54">
        <v>21</v>
      </c>
      <c r="I159" s="18">
        <f t="shared" si="29"/>
        <v>0</v>
      </c>
      <c r="J159" s="17"/>
      <c r="K159" s="18">
        <f t="shared" si="30"/>
        <v>0</v>
      </c>
      <c r="L159" s="16"/>
      <c r="M159" s="17"/>
      <c r="N159" s="18">
        <f t="shared" si="31"/>
        <v>0</v>
      </c>
      <c r="O159" s="47"/>
      <c r="P159" s="47"/>
      <c r="Q159" s="47"/>
      <c r="R159" s="47"/>
      <c r="S159" s="47"/>
      <c r="T159" s="47"/>
      <c r="U159" s="47"/>
      <c r="V159" s="16"/>
      <c r="W159" s="17"/>
      <c r="X159" s="18">
        <f t="shared" si="32"/>
        <v>0</v>
      </c>
      <c r="Y159" s="19"/>
      <c r="Z159" s="19"/>
      <c r="AA159" s="18"/>
      <c r="AB159" s="20">
        <f t="shared" si="33"/>
        <v>0</v>
      </c>
      <c r="AM159" s="48"/>
    </row>
    <row r="160" spans="1:39">
      <c r="A160" s="45"/>
      <c r="B160" s="46"/>
      <c r="C160" s="14"/>
      <c r="D160" s="14"/>
      <c r="E160" s="14"/>
      <c r="F160" s="15" t="str">
        <f t="shared" ref="F160:F165" si="34">"S/F "&amp;B160&amp;" "&amp;E160</f>
        <v xml:space="preserve">S/F  </v>
      </c>
      <c r="G160" s="16"/>
      <c r="H160" s="54">
        <v>21</v>
      </c>
      <c r="I160" s="18">
        <f t="shared" ref="I160:I165" si="35">+IF(G160&lt;&gt;0,G160*H160/100,0)</f>
        <v>0</v>
      </c>
      <c r="J160" s="17"/>
      <c r="K160" s="18">
        <f t="shared" ref="K160:K165" si="36">+IF(G160&lt;&gt;0,G160*J160/100,0)</f>
        <v>0</v>
      </c>
      <c r="L160" s="16"/>
      <c r="M160" s="17"/>
      <c r="N160" s="18">
        <f t="shared" ref="N160:N165" si="37">+IF(L160&lt;&gt;0,L160*M160/100,0)</f>
        <v>0</v>
      </c>
      <c r="O160" s="47"/>
      <c r="P160" s="47"/>
      <c r="Q160" s="47"/>
      <c r="R160" s="47"/>
      <c r="S160" s="47"/>
      <c r="T160" s="47"/>
      <c r="U160" s="47"/>
      <c r="V160" s="16"/>
      <c r="W160" s="17"/>
      <c r="X160" s="18">
        <f t="shared" ref="X160:X165" si="38">+IF(W160&lt;&gt;0,V160*W160/100,0)</f>
        <v>0</v>
      </c>
      <c r="Y160" s="19"/>
      <c r="Z160" s="19"/>
      <c r="AA160" s="18"/>
      <c r="AB160" s="20">
        <f t="shared" ref="AB160:AB165" si="39">+G160+I160+K160+L160+N160+P160+Q160+S160+U160-X160-AA160</f>
        <v>0</v>
      </c>
      <c r="AM160" s="48"/>
    </row>
    <row r="161" spans="1:39">
      <c r="A161" s="45"/>
      <c r="B161" s="46"/>
      <c r="C161" s="14"/>
      <c r="D161" s="14"/>
      <c r="E161" s="14"/>
      <c r="F161" s="15" t="str">
        <f t="shared" si="34"/>
        <v xml:space="preserve">S/F  </v>
      </c>
      <c r="G161" s="16"/>
      <c r="H161" s="54">
        <v>21</v>
      </c>
      <c r="I161" s="18">
        <f t="shared" si="35"/>
        <v>0</v>
      </c>
      <c r="J161" s="17"/>
      <c r="K161" s="18">
        <f t="shared" si="36"/>
        <v>0</v>
      </c>
      <c r="L161" s="16"/>
      <c r="M161" s="17"/>
      <c r="N161" s="18">
        <f t="shared" si="37"/>
        <v>0</v>
      </c>
      <c r="O161" s="47"/>
      <c r="P161" s="47"/>
      <c r="Q161" s="47"/>
      <c r="R161" s="47"/>
      <c r="S161" s="47"/>
      <c r="T161" s="47"/>
      <c r="U161" s="47"/>
      <c r="V161" s="16"/>
      <c r="W161" s="17"/>
      <c r="X161" s="18">
        <f t="shared" si="38"/>
        <v>0</v>
      </c>
      <c r="Y161" s="19"/>
      <c r="Z161" s="19"/>
      <c r="AA161" s="18"/>
      <c r="AB161" s="20">
        <f t="shared" si="39"/>
        <v>0</v>
      </c>
      <c r="AM161" s="48"/>
    </row>
    <row r="162" spans="1:39">
      <c r="A162" s="45"/>
      <c r="B162" s="46"/>
      <c r="C162" s="14"/>
      <c r="D162" s="14"/>
      <c r="E162" s="14"/>
      <c r="F162" s="15" t="str">
        <f t="shared" si="34"/>
        <v xml:space="preserve">S/F  </v>
      </c>
      <c r="G162" s="16"/>
      <c r="H162" s="54">
        <v>21</v>
      </c>
      <c r="I162" s="18">
        <f t="shared" si="35"/>
        <v>0</v>
      </c>
      <c r="J162" s="17"/>
      <c r="K162" s="18">
        <f t="shared" si="36"/>
        <v>0</v>
      </c>
      <c r="L162" s="16"/>
      <c r="M162" s="17"/>
      <c r="N162" s="18">
        <f t="shared" si="37"/>
        <v>0</v>
      </c>
      <c r="O162" s="47"/>
      <c r="P162" s="47"/>
      <c r="Q162" s="47"/>
      <c r="R162" s="47"/>
      <c r="S162" s="47"/>
      <c r="T162" s="47"/>
      <c r="U162" s="47"/>
      <c r="V162" s="16"/>
      <c r="W162" s="17"/>
      <c r="X162" s="18">
        <f t="shared" si="38"/>
        <v>0</v>
      </c>
      <c r="Y162" s="19"/>
      <c r="Z162" s="19"/>
      <c r="AA162" s="18"/>
      <c r="AB162" s="20">
        <f t="shared" si="39"/>
        <v>0</v>
      </c>
      <c r="AM162" s="48"/>
    </row>
    <row r="163" spans="1:39">
      <c r="A163" s="45"/>
      <c r="B163" s="46"/>
      <c r="C163" s="14"/>
      <c r="D163" s="14"/>
      <c r="E163" s="14"/>
      <c r="F163" s="15" t="str">
        <f t="shared" si="34"/>
        <v xml:space="preserve">S/F  </v>
      </c>
      <c r="G163" s="16"/>
      <c r="H163" s="55">
        <v>21</v>
      </c>
      <c r="I163" s="18">
        <f t="shared" si="35"/>
        <v>0</v>
      </c>
      <c r="J163" s="17"/>
      <c r="K163" s="18">
        <f t="shared" si="36"/>
        <v>0</v>
      </c>
      <c r="L163" s="16"/>
      <c r="M163" s="17"/>
      <c r="N163" s="18">
        <f t="shared" si="37"/>
        <v>0</v>
      </c>
      <c r="O163" s="47"/>
      <c r="P163" s="47"/>
      <c r="Q163" s="47"/>
      <c r="R163" s="47"/>
      <c r="S163" s="47"/>
      <c r="T163" s="47"/>
      <c r="U163" s="47"/>
      <c r="V163" s="16"/>
      <c r="W163" s="17"/>
      <c r="X163" s="18">
        <f t="shared" si="38"/>
        <v>0</v>
      </c>
      <c r="Y163" s="19"/>
      <c r="Z163" s="19"/>
      <c r="AA163" s="18"/>
      <c r="AB163" s="20">
        <f t="shared" si="39"/>
        <v>0</v>
      </c>
      <c r="AM163" s="48"/>
    </row>
    <row r="164" spans="1:39">
      <c r="A164" s="45"/>
      <c r="B164" s="46"/>
      <c r="C164" s="14"/>
      <c r="D164" s="14"/>
      <c r="E164" s="14"/>
      <c r="F164" s="15" t="str">
        <f t="shared" si="34"/>
        <v xml:space="preserve">S/F  </v>
      </c>
      <c r="G164" s="16"/>
      <c r="H164" s="55">
        <v>21</v>
      </c>
      <c r="I164" s="18">
        <f t="shared" si="35"/>
        <v>0</v>
      </c>
      <c r="J164" s="17"/>
      <c r="K164" s="18">
        <f t="shared" si="36"/>
        <v>0</v>
      </c>
      <c r="L164" s="16"/>
      <c r="M164" s="17"/>
      <c r="N164" s="18">
        <f t="shared" si="37"/>
        <v>0</v>
      </c>
      <c r="O164" s="47"/>
      <c r="P164" s="47"/>
      <c r="Q164" s="47"/>
      <c r="R164" s="47"/>
      <c r="S164" s="47"/>
      <c r="T164" s="47"/>
      <c r="U164" s="47"/>
      <c r="V164" s="16"/>
      <c r="W164" s="17"/>
      <c r="X164" s="18">
        <f t="shared" si="38"/>
        <v>0</v>
      </c>
      <c r="Y164" s="19"/>
      <c r="Z164" s="19"/>
      <c r="AA164" s="18"/>
      <c r="AB164" s="20">
        <f t="shared" si="39"/>
        <v>0</v>
      </c>
      <c r="AL164"/>
      <c r="AM164" s="48"/>
    </row>
    <row r="165" spans="1:39">
      <c r="A165" s="45"/>
      <c r="B165" s="46"/>
      <c r="C165" s="14"/>
      <c r="D165" s="14"/>
      <c r="E165" s="14"/>
      <c r="F165" s="15" t="str">
        <f t="shared" si="34"/>
        <v xml:space="preserve">S/F  </v>
      </c>
      <c r="G165" s="16"/>
      <c r="H165" s="55">
        <v>21</v>
      </c>
      <c r="I165" s="18">
        <f t="shared" si="35"/>
        <v>0</v>
      </c>
      <c r="J165" s="17"/>
      <c r="K165" s="18">
        <f t="shared" si="36"/>
        <v>0</v>
      </c>
      <c r="L165" s="16"/>
      <c r="M165" s="17"/>
      <c r="N165" s="18">
        <f t="shared" si="37"/>
        <v>0</v>
      </c>
      <c r="O165" s="47"/>
      <c r="P165" s="47"/>
      <c r="Q165" s="47"/>
      <c r="R165" s="47"/>
      <c r="S165" s="47"/>
      <c r="T165" s="47"/>
      <c r="U165" s="47"/>
      <c r="V165" s="16"/>
      <c r="W165" s="17"/>
      <c r="X165" s="18">
        <f t="shared" si="38"/>
        <v>0</v>
      </c>
      <c r="Y165" s="19"/>
      <c r="Z165" s="19"/>
      <c r="AA165" s="18"/>
      <c r="AB165" s="20">
        <f t="shared" si="39"/>
        <v>0</v>
      </c>
      <c r="AM165" s="48"/>
    </row>
    <row r="166" spans="1:39">
      <c r="G166" s="50">
        <f>SUM(G2:G165)</f>
        <v>0</v>
      </c>
      <c r="H166" s="51"/>
      <c r="I166" s="50">
        <f>SUM(I2:I165)</f>
        <v>0</v>
      </c>
      <c r="J166" s="52"/>
      <c r="K166" s="52"/>
      <c r="L166" s="52"/>
      <c r="M166" s="52"/>
      <c r="N166" s="52"/>
      <c r="O166" s="52"/>
      <c r="P166" s="52"/>
      <c r="Q166" s="52"/>
      <c r="R166" s="52"/>
      <c r="S166" s="52"/>
      <c r="T166" s="52"/>
      <c r="U166" s="52"/>
      <c r="V166" s="52"/>
      <c r="W166" s="52"/>
      <c r="X166" s="52"/>
      <c r="Y166" s="52"/>
      <c r="Z166" s="52"/>
      <c r="AA166" s="52"/>
      <c r="AB166" s="50">
        <f>SUM(AB2:AB165)</f>
        <v>0</v>
      </c>
    </row>
  </sheetData>
  <sortState xmlns:xlrd2="http://schemas.microsoft.com/office/spreadsheetml/2017/richdata2" ref="A2:AK166">
    <sortCondition ref="A2:A166"/>
    <sortCondition ref="B2:B166"/>
    <sortCondition ref="E2:E166"/>
  </sortState>
  <conditionalFormatting sqref="AK2:AK103">
    <cfRule type="cellIs" dxfId="3" priority="1" operator="equal">
      <formula>"INCIDENCIA"</formula>
    </cfRule>
    <cfRule type="cellIs" dxfId="2" priority="2" operator="equal">
      <formula>"ATRASADA/RETENC."</formula>
    </cfRule>
    <cfRule type="cellIs" dxfId="1" priority="3" operator="equal">
      <formula>"ATRASADA"</formula>
    </cfRule>
    <cfRule type="cellIs" dxfId="0" priority="4" operator="equal">
      <formula>"ATRASADA/FINANC."</formula>
    </cfRule>
  </conditionalFormatting>
  <dataValidations count="1">
    <dataValidation type="textLength" errorStyle="warning" allowBlank="1" showInputMessage="1" showErrorMessage="1" error="Contamar le informa de que el código introducido debe contener únicamente 8 dígitos._x000a__x000a_" sqref="AC2:AC33" xr:uid="{00000000-0002-0000-0300-000000000000}">
      <formula1>8</formula1>
      <formula2>8</formula2>
    </dataValidation>
  </dataValidations>
  <printOptions horizontalCentered="1"/>
  <pageMargins left="0.23622047244094491" right="0.23622047244094491" top="0.35433070866141736" bottom="0.15748031496062992" header="0.19685039370078741" footer="0"/>
  <headerFooter>
    <oddHeader>&amp;L&amp;F&amp;R&amp;P/&amp;N</oddHeader>
  </headerFooter>
  <rowBreaks count="2" manualBreakCount="2">
    <brk id="80" max="35" man="1"/>
    <brk id="154" max="35" man="1"/>
  </rowBreaks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Hoja5">
    <pageSetUpPr fitToPage="1"/>
  </sheetPr>
  <dimension ref="A1:AL157"/>
  <sheetViews>
    <sheetView zoomScale="70" zoomScaleNormal="70" workbookViewId="0">
      <pane ySplit="1" topLeftCell="A103" activePane="bottomLeft" state="frozen"/>
      <selection pane="bottomLeft" activeCell="AJ2" sqref="AJ2:AJ155"/>
    </sheetView>
  </sheetViews>
  <sheetFormatPr baseColWidth="10" defaultColWidth="11.42578125" defaultRowHeight="17.25" customHeight="1"/>
  <cols>
    <col min="1" max="1" width="12.85546875" style="29" bestFit="1" customWidth="1"/>
    <col min="2" max="2" width="16.42578125" style="30" customWidth="1"/>
    <col min="3" max="3" width="13.42578125" style="4" hidden="1" customWidth="1"/>
    <col min="4" max="4" width="15.85546875" style="3" bestFit="1" customWidth="1"/>
    <col min="5" max="5" width="49.42578125" style="4" bestFit="1" customWidth="1"/>
    <col min="6" max="6" width="66" style="4" bestFit="1" customWidth="1"/>
    <col min="7" max="7" width="10.85546875" customWidth="1"/>
    <col min="8" max="8" width="7.7109375" customWidth="1"/>
    <col min="9" max="9" width="11.42578125" bestFit="1" customWidth="1"/>
    <col min="10" max="10" width="6.7109375" hidden="1" customWidth="1"/>
    <col min="11" max="11" width="11.7109375" hidden="1" customWidth="1"/>
    <col min="12" max="13" width="6.7109375" bestFit="1" customWidth="1"/>
    <col min="14" max="14" width="8.42578125" bestFit="1" customWidth="1"/>
    <col min="15" max="15" width="8.140625" hidden="1" customWidth="1"/>
    <col min="16" max="16" width="12.42578125" hidden="1" customWidth="1"/>
    <col min="17" max="18" width="6.7109375" hidden="1" customWidth="1"/>
    <col min="19" max="19" width="8.42578125" hidden="1" customWidth="1"/>
    <col min="20" max="20" width="7.7109375" hidden="1" customWidth="1"/>
    <col min="21" max="21" width="10.42578125" hidden="1" customWidth="1"/>
    <col min="22" max="22" width="11.7109375" customWidth="1"/>
    <col min="23" max="23" width="6.140625" customWidth="1"/>
    <col min="24" max="24" width="16.42578125" bestFit="1" customWidth="1"/>
    <col min="25" max="25" width="11.7109375" hidden="1" customWidth="1"/>
    <col min="26" max="26" width="5.42578125" hidden="1" customWidth="1"/>
    <col min="27" max="27" width="8.42578125" hidden="1" customWidth="1"/>
    <col min="28" max="28" width="13.85546875" bestFit="1" customWidth="1"/>
    <col min="29" max="29" width="14.7109375" hidden="1" customWidth="1"/>
    <col min="30" max="30" width="16.140625" hidden="1" customWidth="1"/>
    <col min="31" max="31" width="16.140625" style="3" hidden="1" customWidth="1"/>
    <col min="32" max="32" width="4.42578125" style="3" hidden="1" customWidth="1"/>
    <col min="33" max="33" width="9.85546875" style="3" hidden="1" customWidth="1"/>
    <col min="34" max="34" width="12" style="4" hidden="1" customWidth="1"/>
    <col min="35" max="35" width="15.42578125" hidden="1" customWidth="1"/>
    <col min="36" max="36" width="14.140625" bestFit="1" customWidth="1"/>
    <col min="37" max="38" width="14.140625" customWidth="1"/>
  </cols>
  <sheetData>
    <row r="1" spans="1:38" s="1" customFormat="1" ht="38.25" customHeight="1">
      <c r="A1" s="21" t="s">
        <v>5</v>
      </c>
      <c r="B1" s="22" t="s">
        <v>9</v>
      </c>
      <c r="C1" s="22" t="s">
        <v>6</v>
      </c>
      <c r="D1" s="22" t="s">
        <v>8</v>
      </c>
      <c r="E1" s="22" t="s">
        <v>3</v>
      </c>
      <c r="F1" s="22" t="s">
        <v>10</v>
      </c>
      <c r="G1" s="21" t="s">
        <v>7</v>
      </c>
      <c r="H1" s="21" t="s">
        <v>0</v>
      </c>
      <c r="I1" s="21" t="s">
        <v>1</v>
      </c>
      <c r="J1" s="21" t="s">
        <v>23</v>
      </c>
      <c r="K1" s="21" t="s">
        <v>24</v>
      </c>
      <c r="L1" s="21" t="s">
        <v>19</v>
      </c>
      <c r="M1" s="21" t="s">
        <v>15</v>
      </c>
      <c r="N1" s="21" t="s">
        <v>16</v>
      </c>
      <c r="O1" s="21" t="s">
        <v>25</v>
      </c>
      <c r="P1" s="21" t="s">
        <v>26</v>
      </c>
      <c r="Q1" s="21" t="s">
        <v>20</v>
      </c>
      <c r="R1" s="21" t="s">
        <v>17</v>
      </c>
      <c r="S1" s="21" t="s">
        <v>18</v>
      </c>
      <c r="T1" s="21" t="s">
        <v>28</v>
      </c>
      <c r="U1" s="21" t="s">
        <v>27</v>
      </c>
      <c r="V1" s="21" t="s">
        <v>2</v>
      </c>
      <c r="W1" s="21" t="s">
        <v>30</v>
      </c>
      <c r="X1" s="21" t="s">
        <v>32</v>
      </c>
      <c r="Y1" s="21" t="s">
        <v>29</v>
      </c>
      <c r="Z1" s="21" t="s">
        <v>31</v>
      </c>
      <c r="AA1" s="21" t="s">
        <v>33</v>
      </c>
      <c r="AB1" s="21" t="s">
        <v>34</v>
      </c>
      <c r="AC1" s="22" t="s">
        <v>11</v>
      </c>
      <c r="AD1" s="22" t="s">
        <v>21</v>
      </c>
      <c r="AE1" s="22" t="s">
        <v>22</v>
      </c>
      <c r="AF1" s="22" t="s">
        <v>4</v>
      </c>
      <c r="AG1" s="22" t="s">
        <v>12</v>
      </c>
      <c r="AH1" s="23" t="s">
        <v>13</v>
      </c>
      <c r="AI1" s="24" t="s">
        <v>14</v>
      </c>
      <c r="AJ1" s="32" t="s">
        <v>37</v>
      </c>
      <c r="AK1" s="34" t="s">
        <v>35</v>
      </c>
      <c r="AL1" s="36" t="s">
        <v>36</v>
      </c>
    </row>
    <row r="2" spans="1:38" ht="17.25" customHeight="1">
      <c r="A2" s="25"/>
      <c r="B2" s="26"/>
      <c r="C2" s="14"/>
      <c r="D2" s="31"/>
      <c r="E2" s="14"/>
      <c r="F2" s="15" t="str">
        <f t="shared" ref="F2:F33" si="0">"S/F "&amp;B2&amp;" "&amp;E2</f>
        <v xml:space="preserve">S/F  </v>
      </c>
      <c r="G2" s="16"/>
      <c r="H2" s="17">
        <v>21</v>
      </c>
      <c r="I2" s="18">
        <f t="shared" ref="I2:I33" si="1">+IF(G2&lt;&gt;0,G2*H2/100,0)</f>
        <v>0</v>
      </c>
      <c r="J2" s="17"/>
      <c r="K2" s="18"/>
      <c r="L2" s="16"/>
      <c r="M2" s="17"/>
      <c r="N2" s="18">
        <f t="shared" ref="N2:N33" si="2">+IF(L2&lt;&gt;0,L2*M2/100,0)</f>
        <v>0</v>
      </c>
      <c r="O2" s="19"/>
      <c r="P2" s="18">
        <v>0</v>
      </c>
      <c r="Q2" s="16"/>
      <c r="R2" s="17"/>
      <c r="S2" s="18">
        <v>0</v>
      </c>
      <c r="T2" s="19"/>
      <c r="U2" s="18">
        <v>0</v>
      </c>
      <c r="V2" s="16"/>
      <c r="W2" s="17"/>
      <c r="X2" s="18">
        <f t="shared" ref="X2:X33" si="3">+IF(W2&lt;&gt;0,V2*W2/100,0)</f>
        <v>0</v>
      </c>
      <c r="Y2" s="19"/>
      <c r="Z2" s="19"/>
      <c r="AA2" s="18">
        <f t="shared" ref="AA2:AA33" si="4">+IF(Z2&lt;&gt;0,Y2*Z2/100,0)</f>
        <v>0</v>
      </c>
      <c r="AB2" s="20">
        <f t="shared" ref="AB2:AB33" si="5">+G2+I2+K2+L2+N2+P2+Q2+S2+U2-X2-AA2</f>
        <v>0</v>
      </c>
      <c r="AC2" s="5"/>
      <c r="AD2" s="8"/>
      <c r="AF2" s="6"/>
      <c r="AG2" s="7"/>
      <c r="AJ2" s="33"/>
      <c r="AK2" s="35"/>
      <c r="AL2" s="37"/>
    </row>
    <row r="3" spans="1:38" ht="17.25" customHeight="1">
      <c r="A3" s="25"/>
      <c r="B3" s="26"/>
      <c r="C3" s="14"/>
      <c r="D3" s="31"/>
      <c r="E3" s="14"/>
      <c r="F3" s="15" t="str">
        <f t="shared" si="0"/>
        <v xml:space="preserve">S/F  </v>
      </c>
      <c r="G3" s="16"/>
      <c r="H3" s="17">
        <v>21</v>
      </c>
      <c r="I3" s="18">
        <f t="shared" si="1"/>
        <v>0</v>
      </c>
      <c r="J3" s="17"/>
      <c r="K3" s="18"/>
      <c r="L3" s="16"/>
      <c r="M3" s="17"/>
      <c r="N3" s="18">
        <f t="shared" si="2"/>
        <v>0</v>
      </c>
      <c r="O3" s="19"/>
      <c r="P3" s="18">
        <v>0</v>
      </c>
      <c r="Q3" s="16"/>
      <c r="R3" s="17"/>
      <c r="S3" s="18">
        <v>0</v>
      </c>
      <c r="T3" s="19"/>
      <c r="U3" s="18">
        <v>0</v>
      </c>
      <c r="V3" s="16"/>
      <c r="W3" s="17"/>
      <c r="X3" s="18">
        <f t="shared" si="3"/>
        <v>0</v>
      </c>
      <c r="Y3" s="19"/>
      <c r="Z3" s="19"/>
      <c r="AA3" s="18">
        <f t="shared" si="4"/>
        <v>0</v>
      </c>
      <c r="AB3" s="20">
        <f t="shared" si="5"/>
        <v>0</v>
      </c>
      <c r="AC3" s="5"/>
      <c r="AD3" s="8"/>
      <c r="AF3" s="6"/>
      <c r="AG3" s="7"/>
      <c r="AJ3" s="33"/>
      <c r="AK3" s="35"/>
      <c r="AL3" s="37"/>
    </row>
    <row r="4" spans="1:38" ht="17.25" customHeight="1">
      <c r="A4" s="25"/>
      <c r="B4" s="26"/>
      <c r="C4" s="14"/>
      <c r="D4" s="31"/>
      <c r="E4" s="14"/>
      <c r="F4" s="15" t="str">
        <f t="shared" si="0"/>
        <v xml:space="preserve">S/F  </v>
      </c>
      <c r="G4" s="16"/>
      <c r="H4" s="17">
        <v>21</v>
      </c>
      <c r="I4" s="18">
        <f t="shared" si="1"/>
        <v>0</v>
      </c>
      <c r="J4" s="17"/>
      <c r="K4" s="18"/>
      <c r="L4" s="16"/>
      <c r="M4" s="17"/>
      <c r="N4" s="18">
        <f t="shared" si="2"/>
        <v>0</v>
      </c>
      <c r="O4" s="19"/>
      <c r="P4" s="18">
        <v>0</v>
      </c>
      <c r="Q4" s="16"/>
      <c r="R4" s="17"/>
      <c r="S4" s="18">
        <v>0</v>
      </c>
      <c r="T4" s="19"/>
      <c r="U4" s="18">
        <v>0</v>
      </c>
      <c r="V4" s="16"/>
      <c r="W4" s="17"/>
      <c r="X4" s="18">
        <f t="shared" si="3"/>
        <v>0</v>
      </c>
      <c r="Y4" s="19"/>
      <c r="Z4" s="19"/>
      <c r="AA4" s="18">
        <f t="shared" si="4"/>
        <v>0</v>
      </c>
      <c r="AB4" s="20">
        <f t="shared" si="5"/>
        <v>0</v>
      </c>
      <c r="AC4" s="5"/>
      <c r="AD4" s="8"/>
      <c r="AF4" s="6"/>
      <c r="AG4" s="7"/>
      <c r="AJ4" s="33"/>
      <c r="AK4" s="35"/>
      <c r="AL4" s="37"/>
    </row>
    <row r="5" spans="1:38" ht="17.25" customHeight="1">
      <c r="A5" s="25"/>
      <c r="B5" s="26"/>
      <c r="C5" s="14"/>
      <c r="D5" s="31"/>
      <c r="E5" s="14"/>
      <c r="F5" s="15" t="str">
        <f t="shared" si="0"/>
        <v xml:space="preserve">S/F  </v>
      </c>
      <c r="G5" s="16"/>
      <c r="H5" s="17">
        <v>21</v>
      </c>
      <c r="I5" s="18">
        <f t="shared" si="1"/>
        <v>0</v>
      </c>
      <c r="J5" s="17"/>
      <c r="K5" s="18"/>
      <c r="L5" s="16"/>
      <c r="M5" s="17"/>
      <c r="N5" s="18">
        <f t="shared" si="2"/>
        <v>0</v>
      </c>
      <c r="O5" s="19"/>
      <c r="P5" s="18">
        <v>0</v>
      </c>
      <c r="Q5" s="16"/>
      <c r="R5" s="17"/>
      <c r="S5" s="18">
        <v>0</v>
      </c>
      <c r="T5" s="19"/>
      <c r="U5" s="18">
        <v>0</v>
      </c>
      <c r="V5" s="16"/>
      <c r="W5" s="17"/>
      <c r="X5" s="18">
        <f t="shared" si="3"/>
        <v>0</v>
      </c>
      <c r="Y5" s="19"/>
      <c r="Z5" s="19"/>
      <c r="AA5" s="18">
        <f t="shared" si="4"/>
        <v>0</v>
      </c>
      <c r="AB5" s="20">
        <f t="shared" si="5"/>
        <v>0</v>
      </c>
      <c r="AC5" s="5"/>
      <c r="AD5" s="8"/>
      <c r="AF5" s="6"/>
      <c r="AG5" s="7"/>
      <c r="AJ5" s="33"/>
      <c r="AK5" s="35"/>
      <c r="AL5" s="37"/>
    </row>
    <row r="6" spans="1:38" ht="17.25" customHeight="1">
      <c r="A6" s="25"/>
      <c r="B6" s="26"/>
      <c r="C6" s="14"/>
      <c r="D6" s="31"/>
      <c r="E6" s="14"/>
      <c r="F6" s="15" t="str">
        <f t="shared" si="0"/>
        <v xml:space="preserve">S/F  </v>
      </c>
      <c r="G6" s="16"/>
      <c r="H6" s="17">
        <v>21</v>
      </c>
      <c r="I6" s="18">
        <f t="shared" si="1"/>
        <v>0</v>
      </c>
      <c r="J6" s="17"/>
      <c r="K6" s="18"/>
      <c r="L6" s="16"/>
      <c r="M6" s="17"/>
      <c r="N6" s="18">
        <f t="shared" si="2"/>
        <v>0</v>
      </c>
      <c r="O6" s="19"/>
      <c r="P6" s="18">
        <v>0</v>
      </c>
      <c r="Q6" s="16"/>
      <c r="R6" s="17"/>
      <c r="S6" s="18">
        <v>0</v>
      </c>
      <c r="T6" s="19"/>
      <c r="U6" s="18">
        <v>0</v>
      </c>
      <c r="V6" s="16"/>
      <c r="W6" s="17"/>
      <c r="X6" s="18">
        <f t="shared" si="3"/>
        <v>0</v>
      </c>
      <c r="Y6" s="19"/>
      <c r="Z6" s="19"/>
      <c r="AA6" s="18">
        <f t="shared" si="4"/>
        <v>0</v>
      </c>
      <c r="AB6" s="20">
        <f t="shared" si="5"/>
        <v>0</v>
      </c>
      <c r="AC6" s="5"/>
      <c r="AD6" s="8"/>
      <c r="AF6" s="6"/>
      <c r="AG6" s="7"/>
      <c r="AJ6" s="33"/>
      <c r="AK6" s="35"/>
      <c r="AL6" s="37"/>
    </row>
    <row r="7" spans="1:38" ht="17.25" customHeight="1">
      <c r="A7" s="25"/>
      <c r="B7" s="26"/>
      <c r="C7" s="14"/>
      <c r="D7" s="31"/>
      <c r="E7" s="14"/>
      <c r="F7" s="15" t="str">
        <f t="shared" si="0"/>
        <v xml:space="preserve">S/F  </v>
      </c>
      <c r="G7" s="16"/>
      <c r="H7" s="17">
        <v>21</v>
      </c>
      <c r="I7" s="18">
        <f t="shared" si="1"/>
        <v>0</v>
      </c>
      <c r="J7" s="17"/>
      <c r="K7" s="18"/>
      <c r="L7" s="16"/>
      <c r="M7" s="17"/>
      <c r="N7" s="18">
        <f t="shared" si="2"/>
        <v>0</v>
      </c>
      <c r="O7" s="19"/>
      <c r="P7" s="18">
        <v>0</v>
      </c>
      <c r="Q7" s="16"/>
      <c r="R7" s="17"/>
      <c r="S7" s="18">
        <v>0</v>
      </c>
      <c r="T7" s="19"/>
      <c r="U7" s="18">
        <v>0</v>
      </c>
      <c r="V7" s="16"/>
      <c r="W7" s="17"/>
      <c r="X7" s="18">
        <f t="shared" si="3"/>
        <v>0</v>
      </c>
      <c r="Y7" s="19"/>
      <c r="Z7" s="19"/>
      <c r="AA7" s="18">
        <f t="shared" si="4"/>
        <v>0</v>
      </c>
      <c r="AB7" s="20">
        <f t="shared" si="5"/>
        <v>0</v>
      </c>
      <c r="AC7" s="5"/>
      <c r="AD7" s="8"/>
      <c r="AF7" s="6"/>
      <c r="AG7" s="7"/>
      <c r="AJ7" s="33"/>
      <c r="AK7" s="35"/>
      <c r="AL7" s="37"/>
    </row>
    <row r="8" spans="1:38" ht="17.25" customHeight="1">
      <c r="A8" s="25"/>
      <c r="B8" s="26"/>
      <c r="C8" s="14"/>
      <c r="D8" s="31"/>
      <c r="E8" s="14"/>
      <c r="F8" s="15" t="str">
        <f t="shared" si="0"/>
        <v xml:space="preserve">S/F  </v>
      </c>
      <c r="G8" s="16"/>
      <c r="H8" s="17">
        <v>21</v>
      </c>
      <c r="I8" s="18">
        <f t="shared" si="1"/>
        <v>0</v>
      </c>
      <c r="J8" s="17"/>
      <c r="K8" s="18"/>
      <c r="L8" s="16"/>
      <c r="M8" s="17"/>
      <c r="N8" s="18">
        <f t="shared" si="2"/>
        <v>0</v>
      </c>
      <c r="O8" s="19"/>
      <c r="P8" s="18">
        <v>0</v>
      </c>
      <c r="Q8" s="16"/>
      <c r="R8" s="17"/>
      <c r="S8" s="18">
        <v>0</v>
      </c>
      <c r="T8" s="19"/>
      <c r="U8" s="18">
        <v>0</v>
      </c>
      <c r="V8" s="16"/>
      <c r="W8" s="17"/>
      <c r="X8" s="18">
        <f t="shared" si="3"/>
        <v>0</v>
      </c>
      <c r="Y8" s="19"/>
      <c r="Z8" s="19"/>
      <c r="AA8" s="18">
        <f t="shared" si="4"/>
        <v>0</v>
      </c>
      <c r="AB8" s="20">
        <f t="shared" si="5"/>
        <v>0</v>
      </c>
      <c r="AC8" s="5"/>
      <c r="AD8" s="8"/>
      <c r="AF8" s="6"/>
      <c r="AG8" s="7"/>
      <c r="AJ8" s="33"/>
      <c r="AK8" s="35"/>
      <c r="AL8" s="37"/>
    </row>
    <row r="9" spans="1:38" ht="17.25" customHeight="1">
      <c r="A9" s="25"/>
      <c r="B9" s="26"/>
      <c r="C9" s="14"/>
      <c r="D9" s="31"/>
      <c r="E9" s="14"/>
      <c r="F9" s="15" t="str">
        <f t="shared" si="0"/>
        <v xml:space="preserve">S/F  </v>
      </c>
      <c r="G9" s="16"/>
      <c r="H9" s="17">
        <v>21</v>
      </c>
      <c r="I9" s="18">
        <f t="shared" si="1"/>
        <v>0</v>
      </c>
      <c r="J9" s="17"/>
      <c r="K9" s="18"/>
      <c r="L9" s="16"/>
      <c r="M9" s="17"/>
      <c r="N9" s="18">
        <f t="shared" si="2"/>
        <v>0</v>
      </c>
      <c r="O9" s="19"/>
      <c r="P9" s="18">
        <v>0</v>
      </c>
      <c r="Q9" s="16"/>
      <c r="R9" s="17"/>
      <c r="S9" s="18">
        <v>0</v>
      </c>
      <c r="T9" s="19"/>
      <c r="U9" s="18">
        <v>0</v>
      </c>
      <c r="V9" s="16"/>
      <c r="W9" s="17"/>
      <c r="X9" s="18">
        <f t="shared" si="3"/>
        <v>0</v>
      </c>
      <c r="Y9" s="19"/>
      <c r="Z9" s="19"/>
      <c r="AA9" s="18">
        <f t="shared" si="4"/>
        <v>0</v>
      </c>
      <c r="AB9" s="20">
        <f t="shared" si="5"/>
        <v>0</v>
      </c>
      <c r="AC9" s="5"/>
      <c r="AD9" s="8"/>
      <c r="AF9" s="6"/>
      <c r="AG9" s="7"/>
      <c r="AJ9" s="33"/>
      <c r="AK9" s="35"/>
      <c r="AL9" s="38"/>
    </row>
    <row r="10" spans="1:38" ht="17.25" customHeight="1">
      <c r="A10" s="25"/>
      <c r="B10" s="26"/>
      <c r="C10" s="14"/>
      <c r="D10" s="31"/>
      <c r="E10" s="14"/>
      <c r="F10" s="15" t="str">
        <f t="shared" si="0"/>
        <v xml:space="preserve">S/F  </v>
      </c>
      <c r="G10" s="16"/>
      <c r="H10" s="17">
        <v>21</v>
      </c>
      <c r="I10" s="18">
        <f t="shared" si="1"/>
        <v>0</v>
      </c>
      <c r="J10" s="17"/>
      <c r="K10" s="18"/>
      <c r="L10" s="16"/>
      <c r="M10" s="17"/>
      <c r="N10" s="18">
        <f t="shared" si="2"/>
        <v>0</v>
      </c>
      <c r="O10" s="19"/>
      <c r="P10" s="18">
        <v>0</v>
      </c>
      <c r="Q10" s="16"/>
      <c r="R10" s="17"/>
      <c r="S10" s="18">
        <v>0</v>
      </c>
      <c r="T10" s="19"/>
      <c r="U10" s="18">
        <v>0</v>
      </c>
      <c r="V10" s="16"/>
      <c r="W10" s="17"/>
      <c r="X10" s="18">
        <f t="shared" si="3"/>
        <v>0</v>
      </c>
      <c r="Y10" s="19"/>
      <c r="Z10" s="19"/>
      <c r="AA10" s="18">
        <f t="shared" si="4"/>
        <v>0</v>
      </c>
      <c r="AB10" s="20">
        <f t="shared" si="5"/>
        <v>0</v>
      </c>
      <c r="AC10" s="5"/>
      <c r="AD10" s="8"/>
      <c r="AF10" s="6"/>
      <c r="AG10" s="7"/>
      <c r="AJ10" s="33"/>
      <c r="AK10" s="35"/>
      <c r="AL10" s="38"/>
    </row>
    <row r="11" spans="1:38" ht="17.25" customHeight="1">
      <c r="A11" s="25"/>
      <c r="B11" s="26"/>
      <c r="C11" s="14"/>
      <c r="D11" s="31"/>
      <c r="E11" s="14"/>
      <c r="F11" s="15" t="str">
        <f t="shared" si="0"/>
        <v xml:space="preserve">S/F  </v>
      </c>
      <c r="G11" s="16"/>
      <c r="H11" s="17">
        <v>21</v>
      </c>
      <c r="I11" s="18">
        <f t="shared" si="1"/>
        <v>0</v>
      </c>
      <c r="J11" s="17"/>
      <c r="K11" s="18"/>
      <c r="L11" s="16"/>
      <c r="M11" s="17"/>
      <c r="N11" s="18">
        <f t="shared" si="2"/>
        <v>0</v>
      </c>
      <c r="O11" s="19"/>
      <c r="P11" s="18">
        <v>0</v>
      </c>
      <c r="Q11" s="16"/>
      <c r="R11" s="17"/>
      <c r="S11" s="18">
        <v>0</v>
      </c>
      <c r="T11" s="19"/>
      <c r="U11" s="18">
        <v>0</v>
      </c>
      <c r="V11" s="16"/>
      <c r="W11" s="17"/>
      <c r="X11" s="18">
        <f t="shared" si="3"/>
        <v>0</v>
      </c>
      <c r="Y11" s="19"/>
      <c r="Z11" s="19"/>
      <c r="AA11" s="18">
        <f t="shared" si="4"/>
        <v>0</v>
      </c>
      <c r="AB11" s="20">
        <f t="shared" si="5"/>
        <v>0</v>
      </c>
      <c r="AC11" s="5"/>
      <c r="AD11" s="8"/>
      <c r="AF11" s="6"/>
      <c r="AG11" s="7"/>
      <c r="AJ11" s="33"/>
      <c r="AK11" s="35"/>
      <c r="AL11" s="38"/>
    </row>
    <row r="12" spans="1:38" ht="17.25" customHeight="1">
      <c r="A12" s="25"/>
      <c r="B12" s="26"/>
      <c r="C12" s="14"/>
      <c r="D12" s="31"/>
      <c r="E12" s="14"/>
      <c r="F12" s="15" t="str">
        <f t="shared" si="0"/>
        <v xml:space="preserve">S/F  </v>
      </c>
      <c r="G12" s="16"/>
      <c r="H12" s="17">
        <v>21</v>
      </c>
      <c r="I12" s="18">
        <f t="shared" si="1"/>
        <v>0</v>
      </c>
      <c r="J12" s="17"/>
      <c r="K12" s="18"/>
      <c r="L12" s="16"/>
      <c r="M12" s="17"/>
      <c r="N12" s="18">
        <f t="shared" si="2"/>
        <v>0</v>
      </c>
      <c r="O12" s="19"/>
      <c r="P12" s="18">
        <v>0</v>
      </c>
      <c r="Q12" s="16"/>
      <c r="R12" s="17"/>
      <c r="S12" s="18">
        <v>0</v>
      </c>
      <c r="T12" s="19"/>
      <c r="U12" s="18">
        <v>0</v>
      </c>
      <c r="V12" s="16"/>
      <c r="W12" s="17"/>
      <c r="X12" s="18">
        <f t="shared" si="3"/>
        <v>0</v>
      </c>
      <c r="Y12" s="19"/>
      <c r="Z12" s="19"/>
      <c r="AA12" s="18">
        <f t="shared" si="4"/>
        <v>0</v>
      </c>
      <c r="AB12" s="20">
        <f t="shared" si="5"/>
        <v>0</v>
      </c>
      <c r="AC12" s="5"/>
      <c r="AD12" s="8"/>
      <c r="AF12" s="6"/>
      <c r="AG12" s="7"/>
      <c r="AJ12" s="33"/>
      <c r="AK12" s="35"/>
      <c r="AL12" s="38"/>
    </row>
    <row r="13" spans="1:38" ht="17.25" customHeight="1">
      <c r="A13" s="25"/>
      <c r="B13" s="26"/>
      <c r="C13" s="14"/>
      <c r="D13" s="31"/>
      <c r="E13" s="14"/>
      <c r="F13" s="15" t="str">
        <f t="shared" si="0"/>
        <v xml:space="preserve">S/F  </v>
      </c>
      <c r="G13" s="16"/>
      <c r="H13" s="17">
        <v>21</v>
      </c>
      <c r="I13" s="18">
        <f t="shared" si="1"/>
        <v>0</v>
      </c>
      <c r="J13" s="17"/>
      <c r="K13" s="18"/>
      <c r="L13" s="16"/>
      <c r="M13" s="17"/>
      <c r="N13" s="18">
        <f t="shared" si="2"/>
        <v>0</v>
      </c>
      <c r="O13" s="19"/>
      <c r="P13" s="18">
        <v>0</v>
      </c>
      <c r="Q13" s="16"/>
      <c r="R13" s="17"/>
      <c r="S13" s="18">
        <v>0</v>
      </c>
      <c r="T13" s="19"/>
      <c r="U13" s="18">
        <v>0</v>
      </c>
      <c r="V13" s="16"/>
      <c r="W13" s="17"/>
      <c r="X13" s="18">
        <f t="shared" si="3"/>
        <v>0</v>
      </c>
      <c r="Y13" s="19"/>
      <c r="Z13" s="19"/>
      <c r="AA13" s="18">
        <f t="shared" si="4"/>
        <v>0</v>
      </c>
      <c r="AB13" s="20">
        <f t="shared" si="5"/>
        <v>0</v>
      </c>
      <c r="AC13" s="5"/>
      <c r="AD13" s="8"/>
      <c r="AF13" s="6"/>
      <c r="AG13" s="7"/>
      <c r="AJ13" s="33"/>
      <c r="AK13" s="35"/>
      <c r="AL13" s="38"/>
    </row>
    <row r="14" spans="1:38" ht="17.25" customHeight="1">
      <c r="A14" s="25"/>
      <c r="B14" s="26"/>
      <c r="C14" s="14"/>
      <c r="D14" s="31"/>
      <c r="E14" s="14"/>
      <c r="F14" s="15" t="str">
        <f t="shared" si="0"/>
        <v xml:space="preserve">S/F  </v>
      </c>
      <c r="G14" s="16"/>
      <c r="H14" s="17">
        <v>21</v>
      </c>
      <c r="I14" s="18">
        <f t="shared" si="1"/>
        <v>0</v>
      </c>
      <c r="J14" s="17"/>
      <c r="K14" s="18"/>
      <c r="L14" s="16"/>
      <c r="M14" s="17"/>
      <c r="N14" s="18">
        <f t="shared" si="2"/>
        <v>0</v>
      </c>
      <c r="O14" s="19"/>
      <c r="P14" s="18">
        <v>0</v>
      </c>
      <c r="Q14" s="16"/>
      <c r="R14" s="17"/>
      <c r="S14" s="18">
        <v>0</v>
      </c>
      <c r="T14" s="19"/>
      <c r="U14" s="18">
        <v>0</v>
      </c>
      <c r="V14" s="16"/>
      <c r="W14" s="17"/>
      <c r="X14" s="18">
        <f t="shared" si="3"/>
        <v>0</v>
      </c>
      <c r="Y14" s="19"/>
      <c r="Z14" s="19"/>
      <c r="AA14" s="18">
        <f t="shared" si="4"/>
        <v>0</v>
      </c>
      <c r="AB14" s="20">
        <f t="shared" si="5"/>
        <v>0</v>
      </c>
      <c r="AC14" s="5"/>
      <c r="AD14" s="8"/>
      <c r="AF14" s="6"/>
      <c r="AG14" s="7"/>
      <c r="AJ14" s="33"/>
      <c r="AK14" s="35"/>
      <c r="AL14" s="37"/>
    </row>
    <row r="15" spans="1:38" ht="17.25" customHeight="1">
      <c r="A15" s="25"/>
      <c r="B15" s="26"/>
      <c r="C15" s="14"/>
      <c r="D15" s="31"/>
      <c r="E15" s="14"/>
      <c r="F15" s="15" t="str">
        <f t="shared" si="0"/>
        <v xml:space="preserve">S/F  </v>
      </c>
      <c r="G15" s="16"/>
      <c r="H15" s="17">
        <v>21</v>
      </c>
      <c r="I15" s="18">
        <f t="shared" si="1"/>
        <v>0</v>
      </c>
      <c r="J15" s="17"/>
      <c r="K15" s="18"/>
      <c r="L15" s="16"/>
      <c r="M15" s="17"/>
      <c r="N15" s="18">
        <f t="shared" si="2"/>
        <v>0</v>
      </c>
      <c r="O15" s="19"/>
      <c r="P15" s="18">
        <v>0</v>
      </c>
      <c r="Q15" s="16"/>
      <c r="R15" s="17"/>
      <c r="S15" s="18">
        <v>0</v>
      </c>
      <c r="T15" s="19"/>
      <c r="U15" s="18">
        <v>0</v>
      </c>
      <c r="V15" s="16"/>
      <c r="W15" s="17"/>
      <c r="X15" s="18">
        <f t="shared" si="3"/>
        <v>0</v>
      </c>
      <c r="Y15" s="19"/>
      <c r="Z15" s="19"/>
      <c r="AA15" s="18">
        <f t="shared" si="4"/>
        <v>0</v>
      </c>
      <c r="AB15" s="20">
        <f t="shared" si="5"/>
        <v>0</v>
      </c>
      <c r="AC15" s="5"/>
      <c r="AD15" s="8"/>
      <c r="AF15" s="6"/>
      <c r="AG15" s="7"/>
      <c r="AJ15" s="33"/>
      <c r="AK15" s="35"/>
      <c r="AL15" s="37"/>
    </row>
    <row r="16" spans="1:38" ht="17.25" customHeight="1">
      <c r="A16" s="25"/>
      <c r="B16" s="26"/>
      <c r="C16" s="14"/>
      <c r="D16" s="31"/>
      <c r="E16" s="14"/>
      <c r="F16" s="15" t="str">
        <f t="shared" si="0"/>
        <v xml:space="preserve">S/F  </v>
      </c>
      <c r="G16" s="16"/>
      <c r="H16" s="17">
        <v>21</v>
      </c>
      <c r="I16" s="18">
        <f t="shared" si="1"/>
        <v>0</v>
      </c>
      <c r="J16" s="17"/>
      <c r="K16" s="18"/>
      <c r="L16" s="16"/>
      <c r="M16" s="17"/>
      <c r="N16" s="18">
        <f t="shared" si="2"/>
        <v>0</v>
      </c>
      <c r="O16" s="19"/>
      <c r="P16" s="18">
        <v>0</v>
      </c>
      <c r="Q16" s="16"/>
      <c r="R16" s="17"/>
      <c r="S16" s="18">
        <v>0</v>
      </c>
      <c r="T16" s="19"/>
      <c r="U16" s="18">
        <v>0</v>
      </c>
      <c r="V16" s="16"/>
      <c r="W16" s="17"/>
      <c r="X16" s="18">
        <f t="shared" si="3"/>
        <v>0</v>
      </c>
      <c r="Y16" s="19"/>
      <c r="Z16" s="19"/>
      <c r="AA16" s="18">
        <f t="shared" si="4"/>
        <v>0</v>
      </c>
      <c r="AB16" s="20">
        <f t="shared" si="5"/>
        <v>0</v>
      </c>
      <c r="AC16" s="5"/>
      <c r="AD16" s="8"/>
      <c r="AF16" s="6"/>
      <c r="AG16" s="7"/>
      <c r="AJ16" s="33"/>
      <c r="AK16" s="35"/>
      <c r="AL16" s="37"/>
    </row>
    <row r="17" spans="1:38" ht="17.25" customHeight="1">
      <c r="A17" s="25"/>
      <c r="B17" s="26"/>
      <c r="C17" s="14"/>
      <c r="D17" s="31"/>
      <c r="E17" s="14"/>
      <c r="F17" s="15" t="str">
        <f t="shared" si="0"/>
        <v xml:space="preserve">S/F  </v>
      </c>
      <c r="G17" s="16"/>
      <c r="H17" s="17">
        <v>21</v>
      </c>
      <c r="I17" s="18">
        <f t="shared" si="1"/>
        <v>0</v>
      </c>
      <c r="J17" s="17"/>
      <c r="K17" s="18"/>
      <c r="L17" s="16"/>
      <c r="M17" s="17"/>
      <c r="N17" s="18">
        <f t="shared" si="2"/>
        <v>0</v>
      </c>
      <c r="O17" s="19"/>
      <c r="P17" s="18">
        <v>0</v>
      </c>
      <c r="Q17" s="16"/>
      <c r="R17" s="17"/>
      <c r="S17" s="18">
        <v>0</v>
      </c>
      <c r="T17" s="19"/>
      <c r="U17" s="18">
        <v>0</v>
      </c>
      <c r="V17" s="16"/>
      <c r="W17" s="17"/>
      <c r="X17" s="18">
        <f t="shared" si="3"/>
        <v>0</v>
      </c>
      <c r="Y17" s="19"/>
      <c r="Z17" s="19"/>
      <c r="AA17" s="18">
        <f t="shared" si="4"/>
        <v>0</v>
      </c>
      <c r="AB17" s="20">
        <f t="shared" si="5"/>
        <v>0</v>
      </c>
      <c r="AC17" s="5"/>
      <c r="AD17" s="8"/>
      <c r="AF17" s="6"/>
      <c r="AG17" s="7"/>
      <c r="AJ17" s="33"/>
      <c r="AK17" s="35"/>
      <c r="AL17" s="37"/>
    </row>
    <row r="18" spans="1:38" ht="17.25" customHeight="1">
      <c r="A18" s="25"/>
      <c r="B18" s="26"/>
      <c r="C18" s="14"/>
      <c r="D18" s="31"/>
      <c r="E18" s="14"/>
      <c r="F18" s="15" t="str">
        <f t="shared" si="0"/>
        <v xml:space="preserve">S/F  </v>
      </c>
      <c r="G18" s="16"/>
      <c r="H18" s="17">
        <v>21</v>
      </c>
      <c r="I18" s="18">
        <f t="shared" si="1"/>
        <v>0</v>
      </c>
      <c r="J18" s="17"/>
      <c r="K18" s="18"/>
      <c r="L18" s="16"/>
      <c r="M18" s="17"/>
      <c r="N18" s="18">
        <f t="shared" si="2"/>
        <v>0</v>
      </c>
      <c r="O18" s="19"/>
      <c r="P18" s="18">
        <v>0</v>
      </c>
      <c r="Q18" s="16"/>
      <c r="R18" s="17"/>
      <c r="S18" s="18">
        <v>0</v>
      </c>
      <c r="T18" s="19"/>
      <c r="U18" s="18">
        <v>0</v>
      </c>
      <c r="V18" s="16"/>
      <c r="W18" s="17"/>
      <c r="X18" s="18">
        <f t="shared" si="3"/>
        <v>0</v>
      </c>
      <c r="Y18" s="19"/>
      <c r="Z18" s="19"/>
      <c r="AA18" s="18">
        <f t="shared" si="4"/>
        <v>0</v>
      </c>
      <c r="AB18" s="20">
        <f t="shared" si="5"/>
        <v>0</v>
      </c>
      <c r="AC18" s="5"/>
      <c r="AD18" s="8"/>
      <c r="AF18" s="6"/>
      <c r="AG18" s="7"/>
      <c r="AJ18" s="33"/>
      <c r="AK18" s="35"/>
      <c r="AL18" s="37"/>
    </row>
    <row r="19" spans="1:38" ht="17.25" customHeight="1">
      <c r="A19" s="25"/>
      <c r="B19" s="26"/>
      <c r="C19" s="14"/>
      <c r="D19" s="31"/>
      <c r="E19" s="14"/>
      <c r="F19" s="15" t="str">
        <f t="shared" si="0"/>
        <v xml:space="preserve">S/F  </v>
      </c>
      <c r="G19" s="16"/>
      <c r="H19" s="17">
        <v>21</v>
      </c>
      <c r="I19" s="18">
        <f t="shared" si="1"/>
        <v>0</v>
      </c>
      <c r="J19" s="17"/>
      <c r="K19" s="18"/>
      <c r="L19" s="16"/>
      <c r="M19" s="17"/>
      <c r="N19" s="18">
        <f t="shared" si="2"/>
        <v>0</v>
      </c>
      <c r="O19" s="19"/>
      <c r="P19" s="18">
        <v>0</v>
      </c>
      <c r="Q19" s="16"/>
      <c r="R19" s="17"/>
      <c r="S19" s="18">
        <v>0</v>
      </c>
      <c r="T19" s="19"/>
      <c r="U19" s="18">
        <v>0</v>
      </c>
      <c r="V19" s="16"/>
      <c r="W19" s="17"/>
      <c r="X19" s="18">
        <f t="shared" si="3"/>
        <v>0</v>
      </c>
      <c r="Y19" s="19"/>
      <c r="Z19" s="19"/>
      <c r="AA19" s="18">
        <f t="shared" si="4"/>
        <v>0</v>
      </c>
      <c r="AB19" s="20">
        <f t="shared" si="5"/>
        <v>0</v>
      </c>
      <c r="AC19" s="5"/>
      <c r="AD19" s="8"/>
      <c r="AF19" s="6"/>
      <c r="AG19" s="7"/>
      <c r="AJ19" s="33"/>
      <c r="AK19" s="35"/>
      <c r="AL19" s="37"/>
    </row>
    <row r="20" spans="1:38" ht="17.25" customHeight="1">
      <c r="A20" s="25"/>
      <c r="B20" s="26"/>
      <c r="C20" s="14"/>
      <c r="D20" s="31"/>
      <c r="E20" s="14"/>
      <c r="F20" s="15" t="str">
        <f t="shared" si="0"/>
        <v xml:space="preserve">S/F  </v>
      </c>
      <c r="G20" s="16"/>
      <c r="H20" s="17">
        <v>21</v>
      </c>
      <c r="I20" s="18">
        <f t="shared" si="1"/>
        <v>0</v>
      </c>
      <c r="J20" s="17"/>
      <c r="K20" s="18"/>
      <c r="L20" s="16"/>
      <c r="M20" s="17"/>
      <c r="N20" s="18">
        <f t="shared" si="2"/>
        <v>0</v>
      </c>
      <c r="O20" s="19"/>
      <c r="P20" s="18">
        <v>0</v>
      </c>
      <c r="Q20" s="16"/>
      <c r="R20" s="17"/>
      <c r="S20" s="18">
        <v>0</v>
      </c>
      <c r="T20" s="19"/>
      <c r="U20" s="18">
        <v>0</v>
      </c>
      <c r="V20" s="16"/>
      <c r="W20" s="17"/>
      <c r="X20" s="18">
        <f t="shared" si="3"/>
        <v>0</v>
      </c>
      <c r="Y20" s="19"/>
      <c r="Z20" s="19"/>
      <c r="AA20" s="18">
        <f t="shared" si="4"/>
        <v>0</v>
      </c>
      <c r="AB20" s="20">
        <f t="shared" si="5"/>
        <v>0</v>
      </c>
      <c r="AC20" s="5"/>
      <c r="AD20" s="8"/>
      <c r="AF20" s="6"/>
      <c r="AG20" s="7"/>
      <c r="AJ20" s="33"/>
      <c r="AK20" s="35"/>
      <c r="AL20" s="37"/>
    </row>
    <row r="21" spans="1:38" ht="17.25" customHeight="1">
      <c r="A21" s="25"/>
      <c r="B21" s="26"/>
      <c r="C21" s="14"/>
      <c r="D21" s="31"/>
      <c r="E21" s="14"/>
      <c r="F21" s="15" t="str">
        <f t="shared" si="0"/>
        <v xml:space="preserve">S/F  </v>
      </c>
      <c r="G21" s="16"/>
      <c r="H21" s="17">
        <v>21</v>
      </c>
      <c r="I21" s="18">
        <f t="shared" si="1"/>
        <v>0</v>
      </c>
      <c r="J21" s="17"/>
      <c r="K21" s="18"/>
      <c r="L21" s="16"/>
      <c r="M21" s="17"/>
      <c r="N21" s="18">
        <f t="shared" si="2"/>
        <v>0</v>
      </c>
      <c r="O21" s="19"/>
      <c r="P21" s="18">
        <v>0</v>
      </c>
      <c r="Q21" s="16"/>
      <c r="R21" s="17"/>
      <c r="S21" s="18">
        <v>0</v>
      </c>
      <c r="T21" s="19"/>
      <c r="U21" s="18">
        <v>0</v>
      </c>
      <c r="V21" s="16"/>
      <c r="W21" s="17"/>
      <c r="X21" s="18">
        <f t="shared" si="3"/>
        <v>0</v>
      </c>
      <c r="Y21" s="19"/>
      <c r="Z21" s="19"/>
      <c r="AA21" s="18">
        <f t="shared" si="4"/>
        <v>0</v>
      </c>
      <c r="AB21" s="20">
        <f t="shared" si="5"/>
        <v>0</v>
      </c>
      <c r="AC21" s="5"/>
      <c r="AD21" s="8"/>
      <c r="AF21" s="6"/>
      <c r="AG21" s="7"/>
      <c r="AJ21" s="33"/>
      <c r="AK21" s="35"/>
      <c r="AL21" s="37"/>
    </row>
    <row r="22" spans="1:38" ht="17.25" customHeight="1">
      <c r="A22" s="25"/>
      <c r="B22" s="26"/>
      <c r="C22" s="14"/>
      <c r="D22" s="31"/>
      <c r="E22" s="14"/>
      <c r="F22" s="15" t="str">
        <f t="shared" si="0"/>
        <v xml:space="preserve">S/F  </v>
      </c>
      <c r="G22" s="16"/>
      <c r="H22" s="17">
        <v>21</v>
      </c>
      <c r="I22" s="18">
        <f t="shared" si="1"/>
        <v>0</v>
      </c>
      <c r="J22" s="17"/>
      <c r="K22" s="18"/>
      <c r="L22" s="16"/>
      <c r="M22" s="17"/>
      <c r="N22" s="18">
        <f t="shared" si="2"/>
        <v>0</v>
      </c>
      <c r="O22" s="19"/>
      <c r="P22" s="18">
        <v>0</v>
      </c>
      <c r="Q22" s="16"/>
      <c r="R22" s="17"/>
      <c r="S22" s="18">
        <v>0</v>
      </c>
      <c r="T22" s="19"/>
      <c r="U22" s="18">
        <v>0</v>
      </c>
      <c r="V22" s="16"/>
      <c r="W22" s="17"/>
      <c r="X22" s="18">
        <f t="shared" si="3"/>
        <v>0</v>
      </c>
      <c r="Y22" s="19"/>
      <c r="Z22" s="19"/>
      <c r="AA22" s="18">
        <f t="shared" si="4"/>
        <v>0</v>
      </c>
      <c r="AB22" s="20">
        <f t="shared" si="5"/>
        <v>0</v>
      </c>
      <c r="AC22" s="5"/>
      <c r="AD22" s="8"/>
      <c r="AF22" s="6"/>
      <c r="AG22" s="7"/>
      <c r="AJ22" s="33"/>
      <c r="AK22" s="35"/>
      <c r="AL22" s="37"/>
    </row>
    <row r="23" spans="1:38" ht="17.25" customHeight="1">
      <c r="A23" s="25"/>
      <c r="B23" s="26"/>
      <c r="C23" s="14"/>
      <c r="D23" s="31"/>
      <c r="E23" s="14"/>
      <c r="F23" s="15" t="str">
        <f t="shared" si="0"/>
        <v xml:space="preserve">S/F  </v>
      </c>
      <c r="G23" s="16"/>
      <c r="H23" s="17">
        <v>21</v>
      </c>
      <c r="I23" s="18">
        <f t="shared" si="1"/>
        <v>0</v>
      </c>
      <c r="J23" s="17"/>
      <c r="K23" s="18"/>
      <c r="L23" s="16"/>
      <c r="M23" s="17"/>
      <c r="N23" s="18">
        <f t="shared" si="2"/>
        <v>0</v>
      </c>
      <c r="O23" s="19"/>
      <c r="P23" s="18">
        <v>0</v>
      </c>
      <c r="Q23" s="16"/>
      <c r="R23" s="17"/>
      <c r="S23" s="18">
        <v>0</v>
      </c>
      <c r="T23" s="19"/>
      <c r="U23" s="18">
        <v>0</v>
      </c>
      <c r="V23" s="16"/>
      <c r="W23" s="17"/>
      <c r="X23" s="18">
        <f t="shared" si="3"/>
        <v>0</v>
      </c>
      <c r="Y23" s="19"/>
      <c r="Z23" s="19"/>
      <c r="AA23" s="18">
        <f t="shared" si="4"/>
        <v>0</v>
      </c>
      <c r="AB23" s="20">
        <f t="shared" si="5"/>
        <v>0</v>
      </c>
      <c r="AC23" s="5"/>
      <c r="AD23" s="8"/>
      <c r="AF23" s="6"/>
      <c r="AG23" s="7"/>
      <c r="AJ23" s="33"/>
      <c r="AK23" s="35"/>
      <c r="AL23" s="37"/>
    </row>
    <row r="24" spans="1:38" ht="17.25" customHeight="1">
      <c r="A24" s="25"/>
      <c r="B24" s="26"/>
      <c r="C24" s="14"/>
      <c r="D24" s="31"/>
      <c r="E24" s="14"/>
      <c r="F24" s="15" t="str">
        <f t="shared" si="0"/>
        <v xml:space="preserve">S/F  </v>
      </c>
      <c r="G24" s="16"/>
      <c r="H24" s="17">
        <v>21</v>
      </c>
      <c r="I24" s="18">
        <f t="shared" si="1"/>
        <v>0</v>
      </c>
      <c r="J24" s="17"/>
      <c r="K24" s="18"/>
      <c r="L24" s="16"/>
      <c r="M24" s="17"/>
      <c r="N24" s="18">
        <f t="shared" si="2"/>
        <v>0</v>
      </c>
      <c r="O24" s="19"/>
      <c r="P24" s="18">
        <v>0</v>
      </c>
      <c r="Q24" s="16"/>
      <c r="R24" s="17"/>
      <c r="S24" s="18">
        <v>0</v>
      </c>
      <c r="T24" s="19"/>
      <c r="U24" s="18">
        <v>0</v>
      </c>
      <c r="V24" s="16"/>
      <c r="W24" s="17"/>
      <c r="X24" s="18">
        <f t="shared" si="3"/>
        <v>0</v>
      </c>
      <c r="Y24" s="19"/>
      <c r="Z24" s="19"/>
      <c r="AA24" s="18">
        <f t="shared" si="4"/>
        <v>0</v>
      </c>
      <c r="AB24" s="20">
        <f t="shared" si="5"/>
        <v>0</v>
      </c>
      <c r="AC24" s="5"/>
      <c r="AD24" s="8"/>
      <c r="AF24" s="6"/>
      <c r="AG24" s="7"/>
      <c r="AJ24" s="33"/>
      <c r="AK24" s="35"/>
      <c r="AL24" s="38"/>
    </row>
    <row r="25" spans="1:38" ht="17.25" customHeight="1">
      <c r="A25" s="25"/>
      <c r="B25" s="26"/>
      <c r="C25" s="14"/>
      <c r="D25" s="31"/>
      <c r="E25" s="14"/>
      <c r="F25" s="15" t="str">
        <f t="shared" si="0"/>
        <v xml:space="preserve">S/F  </v>
      </c>
      <c r="G25" s="16"/>
      <c r="H25" s="17">
        <v>21</v>
      </c>
      <c r="I25" s="18">
        <f t="shared" si="1"/>
        <v>0</v>
      </c>
      <c r="J25" s="17"/>
      <c r="K25" s="18"/>
      <c r="L25" s="16"/>
      <c r="M25" s="17"/>
      <c r="N25" s="18">
        <f t="shared" si="2"/>
        <v>0</v>
      </c>
      <c r="O25" s="19"/>
      <c r="P25" s="18">
        <v>0</v>
      </c>
      <c r="Q25" s="16"/>
      <c r="R25" s="17"/>
      <c r="S25" s="18">
        <v>0</v>
      </c>
      <c r="T25" s="19"/>
      <c r="U25" s="18">
        <v>0</v>
      </c>
      <c r="V25" s="16"/>
      <c r="W25" s="17"/>
      <c r="X25" s="18">
        <f t="shared" si="3"/>
        <v>0</v>
      </c>
      <c r="Y25" s="19"/>
      <c r="Z25" s="19"/>
      <c r="AA25" s="18">
        <f t="shared" si="4"/>
        <v>0</v>
      </c>
      <c r="AB25" s="20">
        <f t="shared" si="5"/>
        <v>0</v>
      </c>
      <c r="AC25" s="5"/>
      <c r="AD25" s="8"/>
      <c r="AF25" s="6"/>
      <c r="AG25" s="7"/>
      <c r="AJ25" s="33"/>
      <c r="AK25" s="35"/>
      <c r="AL25" s="37"/>
    </row>
    <row r="26" spans="1:38" ht="17.25" customHeight="1">
      <c r="A26" s="25"/>
      <c r="B26" s="26"/>
      <c r="C26" s="14"/>
      <c r="D26" s="31"/>
      <c r="E26" s="14"/>
      <c r="F26" s="15" t="str">
        <f t="shared" si="0"/>
        <v xml:space="preserve">S/F  </v>
      </c>
      <c r="G26" s="16"/>
      <c r="H26" s="17">
        <v>21</v>
      </c>
      <c r="I26" s="18">
        <f t="shared" si="1"/>
        <v>0</v>
      </c>
      <c r="J26" s="17"/>
      <c r="K26" s="18"/>
      <c r="L26" s="16"/>
      <c r="M26" s="17"/>
      <c r="N26" s="18">
        <f t="shared" si="2"/>
        <v>0</v>
      </c>
      <c r="O26" s="19"/>
      <c r="P26" s="18">
        <v>0</v>
      </c>
      <c r="Q26" s="16"/>
      <c r="R26" s="17"/>
      <c r="S26" s="18">
        <v>0</v>
      </c>
      <c r="T26" s="19"/>
      <c r="U26" s="18">
        <v>0</v>
      </c>
      <c r="V26" s="16"/>
      <c r="W26" s="17"/>
      <c r="X26" s="18">
        <f t="shared" si="3"/>
        <v>0</v>
      </c>
      <c r="Y26" s="19"/>
      <c r="Z26" s="19"/>
      <c r="AA26" s="18">
        <f t="shared" si="4"/>
        <v>0</v>
      </c>
      <c r="AB26" s="20">
        <f t="shared" si="5"/>
        <v>0</v>
      </c>
      <c r="AC26" s="5"/>
      <c r="AD26" s="8"/>
      <c r="AF26" s="6"/>
      <c r="AG26" s="7"/>
      <c r="AJ26" s="33"/>
      <c r="AK26" s="35"/>
      <c r="AL26" s="37"/>
    </row>
    <row r="27" spans="1:38" ht="17.25" customHeight="1">
      <c r="A27" s="25"/>
      <c r="B27" s="26"/>
      <c r="C27" s="14"/>
      <c r="D27" s="31"/>
      <c r="E27" s="14"/>
      <c r="F27" s="15" t="str">
        <f t="shared" si="0"/>
        <v xml:space="preserve">S/F  </v>
      </c>
      <c r="G27" s="16"/>
      <c r="H27" s="17">
        <v>21</v>
      </c>
      <c r="I27" s="18">
        <f t="shared" si="1"/>
        <v>0</v>
      </c>
      <c r="J27" s="17"/>
      <c r="K27" s="18"/>
      <c r="L27" s="16"/>
      <c r="M27" s="17"/>
      <c r="N27" s="18">
        <f t="shared" si="2"/>
        <v>0</v>
      </c>
      <c r="O27" s="19"/>
      <c r="P27" s="18">
        <v>0</v>
      </c>
      <c r="Q27" s="16"/>
      <c r="R27" s="17"/>
      <c r="S27" s="18">
        <v>0</v>
      </c>
      <c r="T27" s="19"/>
      <c r="U27" s="18">
        <v>0</v>
      </c>
      <c r="V27" s="16"/>
      <c r="W27" s="17"/>
      <c r="X27" s="18">
        <f t="shared" si="3"/>
        <v>0</v>
      </c>
      <c r="Y27" s="19"/>
      <c r="Z27" s="19"/>
      <c r="AA27" s="18">
        <f t="shared" si="4"/>
        <v>0</v>
      </c>
      <c r="AB27" s="20">
        <f t="shared" si="5"/>
        <v>0</v>
      </c>
      <c r="AC27" s="5"/>
      <c r="AD27" s="8"/>
      <c r="AF27" s="6"/>
      <c r="AG27" s="7"/>
      <c r="AJ27" s="33"/>
      <c r="AK27" s="35"/>
      <c r="AL27" s="37"/>
    </row>
    <row r="28" spans="1:38" ht="17.25" customHeight="1">
      <c r="A28" s="25"/>
      <c r="B28" s="26"/>
      <c r="C28" s="14"/>
      <c r="D28" s="31"/>
      <c r="E28" s="14"/>
      <c r="F28" s="15" t="str">
        <f t="shared" si="0"/>
        <v xml:space="preserve">S/F  </v>
      </c>
      <c r="G28" s="16"/>
      <c r="H28" s="17">
        <v>21</v>
      </c>
      <c r="I28" s="18">
        <f t="shared" si="1"/>
        <v>0</v>
      </c>
      <c r="J28" s="17"/>
      <c r="K28" s="18"/>
      <c r="L28" s="16"/>
      <c r="M28" s="17"/>
      <c r="N28" s="18">
        <f t="shared" si="2"/>
        <v>0</v>
      </c>
      <c r="O28" s="19"/>
      <c r="P28" s="18">
        <v>0</v>
      </c>
      <c r="Q28" s="16"/>
      <c r="R28" s="17"/>
      <c r="S28" s="18">
        <v>0</v>
      </c>
      <c r="T28" s="19"/>
      <c r="U28" s="18">
        <v>0</v>
      </c>
      <c r="V28" s="16"/>
      <c r="W28" s="17"/>
      <c r="X28" s="18">
        <f t="shared" si="3"/>
        <v>0</v>
      </c>
      <c r="Y28" s="19"/>
      <c r="Z28" s="19"/>
      <c r="AA28" s="18">
        <f t="shared" si="4"/>
        <v>0</v>
      </c>
      <c r="AB28" s="20">
        <f t="shared" si="5"/>
        <v>0</v>
      </c>
      <c r="AC28" s="5"/>
      <c r="AD28" s="8"/>
      <c r="AF28" s="6"/>
      <c r="AG28" s="7"/>
      <c r="AJ28" s="33"/>
      <c r="AK28" s="35"/>
      <c r="AL28" s="37"/>
    </row>
    <row r="29" spans="1:38" ht="17.25" customHeight="1">
      <c r="A29" s="25"/>
      <c r="B29" s="26"/>
      <c r="C29" s="14"/>
      <c r="D29" s="31"/>
      <c r="E29" s="14"/>
      <c r="F29" s="15" t="str">
        <f t="shared" si="0"/>
        <v xml:space="preserve">S/F  </v>
      </c>
      <c r="G29" s="16"/>
      <c r="H29" s="17">
        <v>21</v>
      </c>
      <c r="I29" s="18">
        <f t="shared" si="1"/>
        <v>0</v>
      </c>
      <c r="J29" s="17"/>
      <c r="K29" s="18"/>
      <c r="L29" s="16"/>
      <c r="M29" s="17"/>
      <c r="N29" s="18">
        <f t="shared" si="2"/>
        <v>0</v>
      </c>
      <c r="O29" s="19"/>
      <c r="P29" s="18">
        <v>0</v>
      </c>
      <c r="Q29" s="16"/>
      <c r="R29" s="17"/>
      <c r="S29" s="18">
        <v>0</v>
      </c>
      <c r="T29" s="19"/>
      <c r="U29" s="18">
        <v>0</v>
      </c>
      <c r="V29" s="16"/>
      <c r="W29" s="17"/>
      <c r="X29" s="18">
        <f t="shared" si="3"/>
        <v>0</v>
      </c>
      <c r="Y29" s="19"/>
      <c r="Z29" s="19"/>
      <c r="AA29" s="18">
        <f t="shared" si="4"/>
        <v>0</v>
      </c>
      <c r="AB29" s="20">
        <f t="shared" si="5"/>
        <v>0</v>
      </c>
      <c r="AC29" s="5"/>
      <c r="AD29" s="8"/>
      <c r="AF29" s="6"/>
      <c r="AG29" s="7"/>
      <c r="AJ29" s="33"/>
      <c r="AK29" s="35"/>
      <c r="AL29" s="37"/>
    </row>
    <row r="30" spans="1:38" ht="17.25" customHeight="1">
      <c r="A30" s="25"/>
      <c r="B30" s="26"/>
      <c r="C30" s="14"/>
      <c r="D30" s="31"/>
      <c r="E30" s="14"/>
      <c r="F30" s="15" t="str">
        <f t="shared" si="0"/>
        <v xml:space="preserve">S/F  </v>
      </c>
      <c r="G30" s="16"/>
      <c r="H30" s="17">
        <v>21</v>
      </c>
      <c r="I30" s="18">
        <f t="shared" si="1"/>
        <v>0</v>
      </c>
      <c r="J30" s="17"/>
      <c r="K30" s="18"/>
      <c r="L30" s="16"/>
      <c r="M30" s="17"/>
      <c r="N30" s="18">
        <f t="shared" si="2"/>
        <v>0</v>
      </c>
      <c r="O30" s="19"/>
      <c r="P30" s="18">
        <v>0</v>
      </c>
      <c r="Q30" s="16"/>
      <c r="R30" s="17"/>
      <c r="S30" s="18">
        <v>0</v>
      </c>
      <c r="T30" s="19"/>
      <c r="U30" s="18">
        <v>0</v>
      </c>
      <c r="V30" s="16"/>
      <c r="W30" s="17"/>
      <c r="X30" s="18">
        <f t="shared" si="3"/>
        <v>0</v>
      </c>
      <c r="Y30" s="19"/>
      <c r="Z30" s="19"/>
      <c r="AA30" s="18">
        <f t="shared" si="4"/>
        <v>0</v>
      </c>
      <c r="AB30" s="20">
        <f t="shared" si="5"/>
        <v>0</v>
      </c>
      <c r="AC30" s="5"/>
      <c r="AD30" s="8"/>
      <c r="AF30" s="6"/>
      <c r="AG30" s="7"/>
      <c r="AJ30" s="33"/>
      <c r="AK30" s="35"/>
      <c r="AL30" s="37"/>
    </row>
    <row r="31" spans="1:38" ht="17.25" customHeight="1">
      <c r="A31" s="25"/>
      <c r="B31" s="26"/>
      <c r="C31" s="14"/>
      <c r="D31" s="31"/>
      <c r="E31" s="14"/>
      <c r="F31" s="15" t="str">
        <f t="shared" si="0"/>
        <v xml:space="preserve">S/F  </v>
      </c>
      <c r="G31" s="16"/>
      <c r="H31" s="17">
        <v>21</v>
      </c>
      <c r="I31" s="18">
        <f t="shared" si="1"/>
        <v>0</v>
      </c>
      <c r="J31" s="17"/>
      <c r="K31" s="18"/>
      <c r="L31" s="16"/>
      <c r="M31" s="17"/>
      <c r="N31" s="18">
        <f t="shared" si="2"/>
        <v>0</v>
      </c>
      <c r="O31" s="19"/>
      <c r="P31" s="18">
        <v>0</v>
      </c>
      <c r="Q31" s="16"/>
      <c r="R31" s="17"/>
      <c r="S31" s="18">
        <v>0</v>
      </c>
      <c r="T31" s="19"/>
      <c r="U31" s="18">
        <v>0</v>
      </c>
      <c r="V31" s="16"/>
      <c r="W31" s="17"/>
      <c r="X31" s="18">
        <f t="shared" si="3"/>
        <v>0</v>
      </c>
      <c r="Y31" s="19"/>
      <c r="Z31" s="19"/>
      <c r="AA31" s="18">
        <f t="shared" si="4"/>
        <v>0</v>
      </c>
      <c r="AB31" s="20">
        <f t="shared" si="5"/>
        <v>0</v>
      </c>
      <c r="AC31" s="5"/>
      <c r="AD31" s="8"/>
      <c r="AF31" s="6"/>
      <c r="AG31" s="7"/>
      <c r="AJ31" s="33"/>
      <c r="AK31" s="35"/>
      <c r="AL31" s="38"/>
    </row>
    <row r="32" spans="1:38" ht="17.25" customHeight="1">
      <c r="A32" s="25"/>
      <c r="B32" s="26"/>
      <c r="C32" s="14"/>
      <c r="D32" s="31"/>
      <c r="E32" s="14"/>
      <c r="F32" s="15" t="str">
        <f t="shared" si="0"/>
        <v xml:space="preserve">S/F  </v>
      </c>
      <c r="G32" s="16"/>
      <c r="H32" s="17">
        <v>21</v>
      </c>
      <c r="I32" s="18">
        <f t="shared" si="1"/>
        <v>0</v>
      </c>
      <c r="J32" s="17"/>
      <c r="K32" s="18"/>
      <c r="L32" s="16"/>
      <c r="M32" s="17"/>
      <c r="N32" s="18">
        <f t="shared" si="2"/>
        <v>0</v>
      </c>
      <c r="O32" s="19"/>
      <c r="P32" s="18">
        <v>0</v>
      </c>
      <c r="Q32" s="16"/>
      <c r="R32" s="17"/>
      <c r="S32" s="18">
        <v>0</v>
      </c>
      <c r="T32" s="19"/>
      <c r="U32" s="18">
        <v>0</v>
      </c>
      <c r="V32" s="16"/>
      <c r="W32" s="17"/>
      <c r="X32" s="18">
        <f t="shared" si="3"/>
        <v>0</v>
      </c>
      <c r="Y32" s="19"/>
      <c r="Z32" s="19"/>
      <c r="AA32" s="18">
        <f t="shared" si="4"/>
        <v>0</v>
      </c>
      <c r="AB32" s="20">
        <f t="shared" si="5"/>
        <v>0</v>
      </c>
      <c r="AC32" s="5"/>
      <c r="AD32" s="8"/>
      <c r="AF32" s="6"/>
      <c r="AG32" s="7"/>
      <c r="AJ32" s="33"/>
      <c r="AK32" s="35"/>
      <c r="AL32" s="37"/>
    </row>
    <row r="33" spans="1:38" ht="17.25" customHeight="1">
      <c r="A33" s="25"/>
      <c r="B33" s="26"/>
      <c r="C33" s="14"/>
      <c r="D33" s="31"/>
      <c r="E33" s="14"/>
      <c r="F33" s="15" t="str">
        <f t="shared" si="0"/>
        <v xml:space="preserve">S/F  </v>
      </c>
      <c r="G33" s="16"/>
      <c r="H33" s="17">
        <v>21</v>
      </c>
      <c r="I33" s="18">
        <f t="shared" si="1"/>
        <v>0</v>
      </c>
      <c r="J33" s="17"/>
      <c r="K33" s="18"/>
      <c r="L33" s="16"/>
      <c r="M33" s="17"/>
      <c r="N33" s="18">
        <f t="shared" si="2"/>
        <v>0</v>
      </c>
      <c r="O33" s="19"/>
      <c r="P33" s="18">
        <v>0</v>
      </c>
      <c r="Q33" s="16"/>
      <c r="R33" s="17"/>
      <c r="S33" s="18">
        <v>0</v>
      </c>
      <c r="T33" s="19"/>
      <c r="U33" s="18">
        <v>0</v>
      </c>
      <c r="V33" s="16"/>
      <c r="W33" s="17"/>
      <c r="X33" s="18">
        <f t="shared" si="3"/>
        <v>0</v>
      </c>
      <c r="Y33" s="19"/>
      <c r="Z33" s="19"/>
      <c r="AA33" s="18">
        <f t="shared" si="4"/>
        <v>0</v>
      </c>
      <c r="AB33" s="20">
        <f t="shared" si="5"/>
        <v>0</v>
      </c>
      <c r="AC33" s="5"/>
      <c r="AD33" s="8"/>
      <c r="AF33" s="6"/>
      <c r="AG33" s="7"/>
      <c r="AJ33" s="33"/>
      <c r="AK33" s="35"/>
      <c r="AL33" s="37"/>
    </row>
    <row r="34" spans="1:38" ht="17.25" customHeight="1">
      <c r="A34" s="25"/>
      <c r="B34" s="26"/>
      <c r="C34" s="14"/>
      <c r="D34" s="31"/>
      <c r="E34" s="14"/>
      <c r="F34" s="15" t="str">
        <f t="shared" ref="F34:F65" si="6">"S/F "&amp;B34&amp;" "&amp;E34</f>
        <v xml:space="preserve">S/F  </v>
      </c>
      <c r="G34" s="16"/>
      <c r="H34" s="17">
        <v>21</v>
      </c>
      <c r="I34" s="18">
        <f t="shared" ref="I34:I65" si="7">+IF(G34&lt;&gt;0,G34*H34/100,0)</f>
        <v>0</v>
      </c>
      <c r="J34" s="17"/>
      <c r="K34" s="18"/>
      <c r="L34" s="16"/>
      <c r="M34" s="17"/>
      <c r="N34" s="18">
        <f t="shared" ref="N34:N65" si="8">+IF(L34&lt;&gt;0,L34*M34/100,0)</f>
        <v>0</v>
      </c>
      <c r="O34" s="19"/>
      <c r="P34" s="18">
        <v>0</v>
      </c>
      <c r="Q34" s="16"/>
      <c r="R34" s="17"/>
      <c r="S34" s="18">
        <v>0</v>
      </c>
      <c r="T34" s="19"/>
      <c r="U34" s="18">
        <v>0</v>
      </c>
      <c r="V34" s="16"/>
      <c r="W34" s="17"/>
      <c r="X34" s="18">
        <f t="shared" ref="X34:X65" si="9">+IF(W34&lt;&gt;0,V34*W34/100,0)</f>
        <v>0</v>
      </c>
      <c r="Y34" s="19"/>
      <c r="Z34" s="19"/>
      <c r="AA34" s="18">
        <f t="shared" ref="AA34:AA65" si="10">+IF(Z34&lt;&gt;0,Y34*Z34/100,0)</f>
        <v>0</v>
      </c>
      <c r="AB34" s="20">
        <f t="shared" ref="AB34:AB65" si="11">+G34+I34+K34+L34+N34+P34+Q34+S34+U34-X34-AA34</f>
        <v>0</v>
      </c>
      <c r="AC34" s="5"/>
      <c r="AD34" s="8"/>
      <c r="AF34" s="6"/>
      <c r="AG34" s="7"/>
      <c r="AJ34" s="33"/>
      <c r="AK34" s="35"/>
      <c r="AL34" s="37"/>
    </row>
    <row r="35" spans="1:38" ht="17.25" customHeight="1">
      <c r="A35" s="25"/>
      <c r="B35" s="26"/>
      <c r="C35" s="14"/>
      <c r="D35" s="31"/>
      <c r="E35" s="14"/>
      <c r="F35" s="15" t="str">
        <f t="shared" si="6"/>
        <v xml:space="preserve">S/F  </v>
      </c>
      <c r="G35" s="16"/>
      <c r="H35" s="17">
        <v>21</v>
      </c>
      <c r="I35" s="18">
        <f t="shared" si="7"/>
        <v>0</v>
      </c>
      <c r="J35" s="17"/>
      <c r="K35" s="18"/>
      <c r="L35" s="16"/>
      <c r="M35" s="17"/>
      <c r="N35" s="18">
        <f t="shared" si="8"/>
        <v>0</v>
      </c>
      <c r="O35" s="19"/>
      <c r="P35" s="18">
        <v>0</v>
      </c>
      <c r="Q35" s="16"/>
      <c r="R35" s="17"/>
      <c r="S35" s="18">
        <v>0</v>
      </c>
      <c r="T35" s="19"/>
      <c r="U35" s="18">
        <v>0</v>
      </c>
      <c r="V35" s="16"/>
      <c r="W35" s="17"/>
      <c r="X35" s="18">
        <f t="shared" si="9"/>
        <v>0</v>
      </c>
      <c r="Y35" s="19"/>
      <c r="Z35" s="19"/>
      <c r="AA35" s="18">
        <f t="shared" si="10"/>
        <v>0</v>
      </c>
      <c r="AB35" s="20">
        <f t="shared" si="11"/>
        <v>0</v>
      </c>
      <c r="AC35" s="5"/>
      <c r="AD35" s="8"/>
      <c r="AF35" s="6"/>
      <c r="AG35" s="7"/>
      <c r="AJ35" s="33"/>
      <c r="AK35" s="35"/>
      <c r="AL35" s="37"/>
    </row>
    <row r="36" spans="1:38" ht="17.25" customHeight="1">
      <c r="A36" s="25"/>
      <c r="B36" s="26"/>
      <c r="C36" s="14"/>
      <c r="D36" s="31"/>
      <c r="E36" s="14"/>
      <c r="F36" s="15" t="str">
        <f t="shared" si="6"/>
        <v xml:space="preserve">S/F  </v>
      </c>
      <c r="G36" s="16"/>
      <c r="H36" s="17">
        <v>21</v>
      </c>
      <c r="I36" s="18">
        <f t="shared" si="7"/>
        <v>0</v>
      </c>
      <c r="J36" s="17"/>
      <c r="K36" s="18"/>
      <c r="L36" s="16"/>
      <c r="M36" s="17"/>
      <c r="N36" s="18">
        <f t="shared" si="8"/>
        <v>0</v>
      </c>
      <c r="O36" s="19"/>
      <c r="P36" s="18">
        <v>0</v>
      </c>
      <c r="Q36" s="16"/>
      <c r="R36" s="17"/>
      <c r="S36" s="18">
        <v>0</v>
      </c>
      <c r="T36" s="19"/>
      <c r="U36" s="18">
        <v>0</v>
      </c>
      <c r="V36" s="16"/>
      <c r="W36" s="17"/>
      <c r="X36" s="18">
        <f t="shared" si="9"/>
        <v>0</v>
      </c>
      <c r="Y36" s="19"/>
      <c r="Z36" s="19"/>
      <c r="AA36" s="18">
        <f t="shared" si="10"/>
        <v>0</v>
      </c>
      <c r="AB36" s="20">
        <f t="shared" si="11"/>
        <v>0</v>
      </c>
      <c r="AC36" s="5"/>
      <c r="AD36" s="8"/>
      <c r="AF36" s="6"/>
      <c r="AG36" s="7"/>
      <c r="AJ36" s="33"/>
      <c r="AK36" s="35"/>
      <c r="AL36" s="37"/>
    </row>
    <row r="37" spans="1:38" ht="17.25" customHeight="1">
      <c r="A37" s="25"/>
      <c r="B37" s="26"/>
      <c r="C37" s="14"/>
      <c r="D37" s="31"/>
      <c r="E37" s="14"/>
      <c r="F37" s="15" t="str">
        <f t="shared" si="6"/>
        <v xml:space="preserve">S/F  </v>
      </c>
      <c r="G37" s="16"/>
      <c r="H37" s="17">
        <v>21</v>
      </c>
      <c r="I37" s="18">
        <f t="shared" si="7"/>
        <v>0</v>
      </c>
      <c r="J37" s="17"/>
      <c r="K37" s="18"/>
      <c r="L37" s="16"/>
      <c r="M37" s="17"/>
      <c r="N37" s="18">
        <f t="shared" si="8"/>
        <v>0</v>
      </c>
      <c r="O37" s="19"/>
      <c r="P37" s="18">
        <v>0</v>
      </c>
      <c r="Q37" s="16"/>
      <c r="R37" s="17"/>
      <c r="S37" s="18">
        <v>0</v>
      </c>
      <c r="T37" s="19"/>
      <c r="U37" s="18">
        <v>0</v>
      </c>
      <c r="V37" s="16"/>
      <c r="W37" s="17"/>
      <c r="X37" s="18">
        <f t="shared" si="9"/>
        <v>0</v>
      </c>
      <c r="Y37" s="19"/>
      <c r="Z37" s="19"/>
      <c r="AA37" s="18">
        <f t="shared" si="10"/>
        <v>0</v>
      </c>
      <c r="AB37" s="20">
        <f t="shared" si="11"/>
        <v>0</v>
      </c>
      <c r="AC37" s="5"/>
      <c r="AD37" s="8"/>
      <c r="AF37" s="6"/>
      <c r="AG37" s="7"/>
      <c r="AJ37" s="33"/>
      <c r="AK37" s="35"/>
      <c r="AL37" s="37"/>
    </row>
    <row r="38" spans="1:38" ht="17.25" customHeight="1">
      <c r="A38" s="25"/>
      <c r="B38" s="26"/>
      <c r="C38" s="14"/>
      <c r="D38" s="31"/>
      <c r="E38" s="14"/>
      <c r="F38" s="15" t="str">
        <f t="shared" si="6"/>
        <v xml:space="preserve">S/F  </v>
      </c>
      <c r="G38" s="16"/>
      <c r="H38" s="17">
        <v>21</v>
      </c>
      <c r="I38" s="18">
        <f t="shared" si="7"/>
        <v>0</v>
      </c>
      <c r="J38" s="17"/>
      <c r="K38" s="18"/>
      <c r="L38" s="16"/>
      <c r="M38" s="17"/>
      <c r="N38" s="18">
        <f t="shared" si="8"/>
        <v>0</v>
      </c>
      <c r="O38" s="19"/>
      <c r="P38" s="18">
        <v>0</v>
      </c>
      <c r="Q38" s="16"/>
      <c r="R38" s="17"/>
      <c r="S38" s="18">
        <v>0</v>
      </c>
      <c r="T38" s="19"/>
      <c r="U38" s="18">
        <v>0</v>
      </c>
      <c r="V38" s="16"/>
      <c r="W38" s="17"/>
      <c r="X38" s="18">
        <f t="shared" si="9"/>
        <v>0</v>
      </c>
      <c r="Y38" s="19"/>
      <c r="Z38" s="19"/>
      <c r="AA38" s="18">
        <f t="shared" si="10"/>
        <v>0</v>
      </c>
      <c r="AB38" s="20">
        <f t="shared" si="11"/>
        <v>0</v>
      </c>
      <c r="AC38" s="5"/>
      <c r="AD38" s="8"/>
      <c r="AF38" s="6"/>
      <c r="AG38" s="7"/>
      <c r="AJ38" s="33"/>
      <c r="AK38" s="35"/>
      <c r="AL38" s="37"/>
    </row>
    <row r="39" spans="1:38" ht="17.25" customHeight="1">
      <c r="A39" s="25"/>
      <c r="B39" s="26"/>
      <c r="C39" s="14"/>
      <c r="D39" s="31"/>
      <c r="E39" s="14"/>
      <c r="F39" s="15" t="str">
        <f t="shared" si="6"/>
        <v xml:space="preserve">S/F  </v>
      </c>
      <c r="G39" s="16"/>
      <c r="H39" s="17">
        <v>21</v>
      </c>
      <c r="I39" s="18">
        <f t="shared" si="7"/>
        <v>0</v>
      </c>
      <c r="J39" s="17"/>
      <c r="K39" s="18"/>
      <c r="L39" s="16"/>
      <c r="M39" s="17"/>
      <c r="N39" s="18">
        <f t="shared" si="8"/>
        <v>0</v>
      </c>
      <c r="O39" s="19"/>
      <c r="P39" s="18">
        <v>0</v>
      </c>
      <c r="Q39" s="16"/>
      <c r="R39" s="17"/>
      <c r="S39" s="18">
        <v>0</v>
      </c>
      <c r="T39" s="19"/>
      <c r="U39" s="18">
        <v>0</v>
      </c>
      <c r="V39" s="16"/>
      <c r="W39" s="17"/>
      <c r="X39" s="18">
        <f t="shared" si="9"/>
        <v>0</v>
      </c>
      <c r="Y39" s="19"/>
      <c r="Z39" s="19"/>
      <c r="AA39" s="18">
        <f t="shared" si="10"/>
        <v>0</v>
      </c>
      <c r="AB39" s="20">
        <f t="shared" si="11"/>
        <v>0</v>
      </c>
      <c r="AC39" s="5"/>
      <c r="AD39" s="8"/>
      <c r="AF39" s="6"/>
      <c r="AG39" s="7"/>
      <c r="AJ39" s="33"/>
      <c r="AK39" s="35"/>
      <c r="AL39" s="37"/>
    </row>
    <row r="40" spans="1:38" ht="17.25" customHeight="1">
      <c r="A40" s="25"/>
      <c r="B40" s="26"/>
      <c r="C40" s="14"/>
      <c r="D40" s="31"/>
      <c r="E40" s="14"/>
      <c r="F40" s="15" t="str">
        <f t="shared" si="6"/>
        <v xml:space="preserve">S/F  </v>
      </c>
      <c r="G40" s="16"/>
      <c r="H40" s="17">
        <v>21</v>
      </c>
      <c r="I40" s="18">
        <f t="shared" si="7"/>
        <v>0</v>
      </c>
      <c r="J40" s="17"/>
      <c r="K40" s="18"/>
      <c r="L40" s="16"/>
      <c r="M40" s="17"/>
      <c r="N40" s="18">
        <f t="shared" si="8"/>
        <v>0</v>
      </c>
      <c r="O40" s="19"/>
      <c r="P40" s="18">
        <v>0</v>
      </c>
      <c r="Q40" s="16"/>
      <c r="R40" s="17"/>
      <c r="S40" s="18">
        <v>0</v>
      </c>
      <c r="T40" s="19"/>
      <c r="U40" s="18">
        <v>0</v>
      </c>
      <c r="V40" s="16"/>
      <c r="W40" s="17"/>
      <c r="X40" s="18">
        <f t="shared" si="9"/>
        <v>0</v>
      </c>
      <c r="Y40" s="19"/>
      <c r="Z40" s="19"/>
      <c r="AA40" s="18">
        <f t="shared" si="10"/>
        <v>0</v>
      </c>
      <c r="AB40" s="20">
        <f t="shared" si="11"/>
        <v>0</v>
      </c>
      <c r="AC40" s="5"/>
      <c r="AD40" s="8"/>
      <c r="AF40" s="6"/>
      <c r="AG40" s="7"/>
      <c r="AJ40" s="33"/>
      <c r="AK40" s="35"/>
      <c r="AL40" s="37"/>
    </row>
    <row r="41" spans="1:38" ht="17.25" customHeight="1">
      <c r="A41" s="25"/>
      <c r="B41" s="26"/>
      <c r="C41" s="14"/>
      <c r="D41" s="31"/>
      <c r="E41" s="14"/>
      <c r="F41" s="15" t="str">
        <f t="shared" si="6"/>
        <v xml:space="preserve">S/F  </v>
      </c>
      <c r="G41" s="16"/>
      <c r="H41" s="17">
        <v>21</v>
      </c>
      <c r="I41" s="18">
        <f t="shared" si="7"/>
        <v>0</v>
      </c>
      <c r="J41" s="17"/>
      <c r="K41" s="18"/>
      <c r="L41" s="16"/>
      <c r="M41" s="17"/>
      <c r="N41" s="18">
        <f t="shared" si="8"/>
        <v>0</v>
      </c>
      <c r="O41" s="19"/>
      <c r="P41" s="18">
        <v>0</v>
      </c>
      <c r="Q41" s="16"/>
      <c r="R41" s="17"/>
      <c r="S41" s="18">
        <v>0</v>
      </c>
      <c r="T41" s="19"/>
      <c r="U41" s="18">
        <v>0</v>
      </c>
      <c r="V41" s="16"/>
      <c r="W41" s="17"/>
      <c r="X41" s="18">
        <f t="shared" si="9"/>
        <v>0</v>
      </c>
      <c r="Y41" s="19"/>
      <c r="Z41" s="19"/>
      <c r="AA41" s="18">
        <f t="shared" si="10"/>
        <v>0</v>
      </c>
      <c r="AB41" s="20">
        <f t="shared" si="11"/>
        <v>0</v>
      </c>
      <c r="AC41" s="5"/>
      <c r="AD41" s="8"/>
      <c r="AF41" s="6"/>
      <c r="AG41" s="7"/>
      <c r="AJ41" s="33"/>
      <c r="AK41" s="35"/>
      <c r="AL41" s="37"/>
    </row>
    <row r="42" spans="1:38" ht="17.25" customHeight="1">
      <c r="A42" s="25"/>
      <c r="B42" s="26"/>
      <c r="C42" s="14"/>
      <c r="D42" s="31"/>
      <c r="E42" s="14"/>
      <c r="F42" s="15" t="str">
        <f t="shared" si="6"/>
        <v xml:space="preserve">S/F  </v>
      </c>
      <c r="G42" s="16"/>
      <c r="H42" s="17">
        <v>21</v>
      </c>
      <c r="I42" s="18">
        <f t="shared" si="7"/>
        <v>0</v>
      </c>
      <c r="J42" s="17"/>
      <c r="K42" s="18"/>
      <c r="L42" s="16"/>
      <c r="M42" s="17"/>
      <c r="N42" s="18">
        <f t="shared" si="8"/>
        <v>0</v>
      </c>
      <c r="O42" s="19"/>
      <c r="P42" s="18">
        <v>0</v>
      </c>
      <c r="Q42" s="16"/>
      <c r="R42" s="17"/>
      <c r="S42" s="18">
        <v>0</v>
      </c>
      <c r="T42" s="19"/>
      <c r="U42" s="18">
        <v>0</v>
      </c>
      <c r="V42" s="16"/>
      <c r="W42" s="17"/>
      <c r="X42" s="18">
        <f t="shared" si="9"/>
        <v>0</v>
      </c>
      <c r="Y42" s="19"/>
      <c r="Z42" s="19"/>
      <c r="AA42" s="18">
        <f t="shared" si="10"/>
        <v>0</v>
      </c>
      <c r="AB42" s="20">
        <f t="shared" si="11"/>
        <v>0</v>
      </c>
      <c r="AC42" s="5"/>
      <c r="AD42" s="8"/>
      <c r="AF42" s="6"/>
      <c r="AG42" s="7"/>
      <c r="AJ42" s="33"/>
      <c r="AK42" s="35"/>
      <c r="AL42" s="37"/>
    </row>
    <row r="43" spans="1:38" ht="17.25" customHeight="1">
      <c r="A43" s="25"/>
      <c r="B43" s="26"/>
      <c r="C43" s="14"/>
      <c r="D43" s="31"/>
      <c r="E43" s="14"/>
      <c r="F43" s="15" t="str">
        <f t="shared" si="6"/>
        <v xml:space="preserve">S/F  </v>
      </c>
      <c r="G43" s="16"/>
      <c r="H43" s="17">
        <v>21</v>
      </c>
      <c r="I43" s="18">
        <f t="shared" si="7"/>
        <v>0</v>
      </c>
      <c r="J43" s="17"/>
      <c r="K43" s="18"/>
      <c r="L43" s="16"/>
      <c r="M43" s="17"/>
      <c r="N43" s="18">
        <f t="shared" si="8"/>
        <v>0</v>
      </c>
      <c r="O43" s="19"/>
      <c r="P43" s="18">
        <v>0</v>
      </c>
      <c r="Q43" s="16"/>
      <c r="R43" s="17"/>
      <c r="S43" s="18">
        <v>0</v>
      </c>
      <c r="T43" s="19"/>
      <c r="U43" s="18">
        <v>0</v>
      </c>
      <c r="V43" s="16"/>
      <c r="W43" s="17"/>
      <c r="X43" s="18">
        <f t="shared" si="9"/>
        <v>0</v>
      </c>
      <c r="Y43" s="19"/>
      <c r="Z43" s="19"/>
      <c r="AA43" s="18">
        <f t="shared" si="10"/>
        <v>0</v>
      </c>
      <c r="AB43" s="20">
        <f t="shared" si="11"/>
        <v>0</v>
      </c>
      <c r="AC43" s="5"/>
      <c r="AD43" s="8"/>
      <c r="AF43" s="6"/>
      <c r="AG43" s="7"/>
      <c r="AJ43" s="33"/>
      <c r="AK43" s="35"/>
      <c r="AL43" s="37"/>
    </row>
    <row r="44" spans="1:38" ht="17.25" customHeight="1">
      <c r="A44" s="25"/>
      <c r="B44" s="26"/>
      <c r="C44" s="14"/>
      <c r="D44" s="31"/>
      <c r="E44" s="14"/>
      <c r="F44" s="15" t="str">
        <f t="shared" si="6"/>
        <v xml:space="preserve">S/F  </v>
      </c>
      <c r="G44" s="16"/>
      <c r="H44" s="17">
        <v>21</v>
      </c>
      <c r="I44" s="18">
        <f t="shared" si="7"/>
        <v>0</v>
      </c>
      <c r="J44" s="17"/>
      <c r="K44" s="18"/>
      <c r="L44" s="16"/>
      <c r="M44" s="17"/>
      <c r="N44" s="18">
        <f t="shared" si="8"/>
        <v>0</v>
      </c>
      <c r="O44" s="19"/>
      <c r="P44" s="18">
        <v>0</v>
      </c>
      <c r="Q44" s="16"/>
      <c r="R44" s="17"/>
      <c r="S44" s="18">
        <v>0</v>
      </c>
      <c r="T44" s="19"/>
      <c r="U44" s="18">
        <v>0</v>
      </c>
      <c r="V44" s="16"/>
      <c r="W44" s="17"/>
      <c r="X44" s="18">
        <f t="shared" si="9"/>
        <v>0</v>
      </c>
      <c r="Y44" s="19"/>
      <c r="Z44" s="19"/>
      <c r="AA44" s="18">
        <f t="shared" si="10"/>
        <v>0</v>
      </c>
      <c r="AB44" s="20">
        <f t="shared" si="11"/>
        <v>0</v>
      </c>
      <c r="AC44" s="5"/>
      <c r="AD44" s="8"/>
      <c r="AF44" s="6"/>
      <c r="AG44" s="7"/>
      <c r="AJ44" s="33"/>
      <c r="AK44" s="35"/>
      <c r="AL44" s="37"/>
    </row>
    <row r="45" spans="1:38" ht="17.25" customHeight="1">
      <c r="A45" s="25"/>
      <c r="B45" s="26"/>
      <c r="C45" s="14"/>
      <c r="D45" s="31"/>
      <c r="E45" s="14"/>
      <c r="F45" s="15" t="str">
        <f t="shared" si="6"/>
        <v xml:space="preserve">S/F  </v>
      </c>
      <c r="G45" s="16"/>
      <c r="H45" s="17">
        <v>21</v>
      </c>
      <c r="I45" s="18">
        <f t="shared" si="7"/>
        <v>0</v>
      </c>
      <c r="J45" s="17"/>
      <c r="K45" s="18"/>
      <c r="L45" s="16"/>
      <c r="M45" s="17"/>
      <c r="N45" s="18">
        <f t="shared" si="8"/>
        <v>0</v>
      </c>
      <c r="O45" s="19"/>
      <c r="P45" s="18">
        <v>0</v>
      </c>
      <c r="Q45" s="16"/>
      <c r="R45" s="17"/>
      <c r="S45" s="18">
        <v>0</v>
      </c>
      <c r="T45" s="19"/>
      <c r="U45" s="18">
        <v>0</v>
      </c>
      <c r="V45" s="16"/>
      <c r="W45" s="17"/>
      <c r="X45" s="18">
        <f t="shared" si="9"/>
        <v>0</v>
      </c>
      <c r="Y45" s="19"/>
      <c r="Z45" s="19"/>
      <c r="AA45" s="18">
        <f t="shared" si="10"/>
        <v>0</v>
      </c>
      <c r="AB45" s="20">
        <f t="shared" si="11"/>
        <v>0</v>
      </c>
      <c r="AC45" s="5"/>
      <c r="AD45" s="8"/>
      <c r="AF45" s="6"/>
      <c r="AG45" s="7"/>
      <c r="AJ45" s="33"/>
      <c r="AK45" s="35"/>
      <c r="AL45" s="37"/>
    </row>
    <row r="46" spans="1:38" ht="17.25" customHeight="1">
      <c r="A46" s="25"/>
      <c r="B46" s="26"/>
      <c r="C46" s="14"/>
      <c r="D46" s="31"/>
      <c r="E46" s="14"/>
      <c r="F46" s="15" t="str">
        <f t="shared" si="6"/>
        <v xml:space="preserve">S/F  </v>
      </c>
      <c r="G46" s="16"/>
      <c r="H46" s="17">
        <v>21</v>
      </c>
      <c r="I46" s="18">
        <f t="shared" si="7"/>
        <v>0</v>
      </c>
      <c r="J46" s="17"/>
      <c r="K46" s="18"/>
      <c r="L46" s="16"/>
      <c r="M46" s="17"/>
      <c r="N46" s="18">
        <f t="shared" si="8"/>
        <v>0</v>
      </c>
      <c r="O46" s="19"/>
      <c r="P46" s="18">
        <v>0</v>
      </c>
      <c r="Q46" s="16"/>
      <c r="R46" s="17"/>
      <c r="S46" s="18">
        <v>0</v>
      </c>
      <c r="T46" s="19"/>
      <c r="U46" s="18">
        <v>0</v>
      </c>
      <c r="V46" s="16"/>
      <c r="W46" s="17"/>
      <c r="X46" s="18">
        <f t="shared" si="9"/>
        <v>0</v>
      </c>
      <c r="Y46" s="19"/>
      <c r="Z46" s="19"/>
      <c r="AA46" s="18">
        <f t="shared" si="10"/>
        <v>0</v>
      </c>
      <c r="AB46" s="20">
        <f t="shared" si="11"/>
        <v>0</v>
      </c>
      <c r="AC46" s="5"/>
      <c r="AD46" s="8"/>
      <c r="AF46" s="6"/>
      <c r="AG46" s="7"/>
      <c r="AJ46" s="33"/>
      <c r="AK46" s="35"/>
      <c r="AL46" s="37"/>
    </row>
    <row r="47" spans="1:38" ht="17.25" customHeight="1">
      <c r="A47" s="25"/>
      <c r="B47" s="26"/>
      <c r="C47" s="14"/>
      <c r="D47" s="31"/>
      <c r="E47" s="14"/>
      <c r="F47" s="15" t="str">
        <f t="shared" si="6"/>
        <v xml:space="preserve">S/F  </v>
      </c>
      <c r="G47" s="16"/>
      <c r="H47" s="17">
        <v>21</v>
      </c>
      <c r="I47" s="18">
        <f t="shared" si="7"/>
        <v>0</v>
      </c>
      <c r="J47" s="17"/>
      <c r="K47" s="18"/>
      <c r="L47" s="16"/>
      <c r="M47" s="17"/>
      <c r="N47" s="18">
        <f t="shared" si="8"/>
        <v>0</v>
      </c>
      <c r="O47" s="19"/>
      <c r="P47" s="18">
        <v>0</v>
      </c>
      <c r="Q47" s="16"/>
      <c r="R47" s="17"/>
      <c r="S47" s="18">
        <v>0</v>
      </c>
      <c r="T47" s="19"/>
      <c r="U47" s="18">
        <v>0</v>
      </c>
      <c r="V47" s="16"/>
      <c r="W47" s="17"/>
      <c r="X47" s="18">
        <f t="shared" si="9"/>
        <v>0</v>
      </c>
      <c r="Y47" s="19"/>
      <c r="Z47" s="19"/>
      <c r="AA47" s="18">
        <f t="shared" si="10"/>
        <v>0</v>
      </c>
      <c r="AB47" s="20">
        <f t="shared" si="11"/>
        <v>0</v>
      </c>
      <c r="AC47" s="5"/>
      <c r="AD47" s="8"/>
      <c r="AF47" s="6"/>
      <c r="AG47" s="7"/>
      <c r="AJ47" s="33"/>
      <c r="AK47" s="35"/>
      <c r="AL47" s="37"/>
    </row>
    <row r="48" spans="1:38" ht="17.25" customHeight="1">
      <c r="A48" s="25"/>
      <c r="B48" s="26"/>
      <c r="C48" s="14"/>
      <c r="D48" s="31"/>
      <c r="E48" s="14"/>
      <c r="F48" s="15" t="str">
        <f t="shared" si="6"/>
        <v xml:space="preserve">S/F  </v>
      </c>
      <c r="G48" s="16"/>
      <c r="H48" s="17">
        <v>21</v>
      </c>
      <c r="I48" s="18">
        <f t="shared" si="7"/>
        <v>0</v>
      </c>
      <c r="J48" s="17"/>
      <c r="K48" s="18"/>
      <c r="L48" s="16"/>
      <c r="M48" s="17"/>
      <c r="N48" s="18">
        <f t="shared" si="8"/>
        <v>0</v>
      </c>
      <c r="O48" s="19"/>
      <c r="P48" s="18">
        <v>0</v>
      </c>
      <c r="Q48" s="16"/>
      <c r="R48" s="17"/>
      <c r="S48" s="18">
        <v>0</v>
      </c>
      <c r="T48" s="19"/>
      <c r="U48" s="18">
        <v>0</v>
      </c>
      <c r="V48" s="16"/>
      <c r="W48" s="17"/>
      <c r="X48" s="18">
        <f t="shared" si="9"/>
        <v>0</v>
      </c>
      <c r="Y48" s="19"/>
      <c r="Z48" s="19"/>
      <c r="AA48" s="18">
        <f t="shared" si="10"/>
        <v>0</v>
      </c>
      <c r="AB48" s="20">
        <f t="shared" si="11"/>
        <v>0</v>
      </c>
      <c r="AC48" s="5"/>
      <c r="AD48" s="8"/>
      <c r="AF48" s="6"/>
      <c r="AG48" s="7"/>
      <c r="AJ48" s="33"/>
      <c r="AK48" s="35"/>
      <c r="AL48" s="37"/>
    </row>
    <row r="49" spans="1:38" ht="17.25" customHeight="1">
      <c r="A49" s="25"/>
      <c r="B49" s="26"/>
      <c r="C49" s="14"/>
      <c r="D49" s="31"/>
      <c r="E49" s="14"/>
      <c r="F49" s="15" t="str">
        <f t="shared" si="6"/>
        <v xml:space="preserve">S/F  </v>
      </c>
      <c r="G49" s="16"/>
      <c r="H49" s="17">
        <v>21</v>
      </c>
      <c r="I49" s="18">
        <f t="shared" si="7"/>
        <v>0</v>
      </c>
      <c r="J49" s="17"/>
      <c r="K49" s="18"/>
      <c r="L49" s="16"/>
      <c r="M49" s="17"/>
      <c r="N49" s="18">
        <f t="shared" si="8"/>
        <v>0</v>
      </c>
      <c r="O49" s="19"/>
      <c r="P49" s="18">
        <v>0</v>
      </c>
      <c r="Q49" s="16"/>
      <c r="R49" s="17"/>
      <c r="S49" s="18">
        <v>0</v>
      </c>
      <c r="T49" s="19"/>
      <c r="U49" s="18">
        <v>0</v>
      </c>
      <c r="V49" s="16"/>
      <c r="W49" s="17"/>
      <c r="X49" s="18">
        <f t="shared" si="9"/>
        <v>0</v>
      </c>
      <c r="Y49" s="19"/>
      <c r="Z49" s="19"/>
      <c r="AA49" s="18">
        <f t="shared" si="10"/>
        <v>0</v>
      </c>
      <c r="AB49" s="20">
        <f t="shared" si="11"/>
        <v>0</v>
      </c>
      <c r="AC49" s="5"/>
      <c r="AD49" s="8"/>
      <c r="AF49" s="6"/>
      <c r="AG49" s="7"/>
      <c r="AJ49" s="33"/>
      <c r="AK49" s="35"/>
      <c r="AL49" s="37"/>
    </row>
    <row r="50" spans="1:38" ht="17.25" customHeight="1">
      <c r="A50" s="25"/>
      <c r="B50" s="26"/>
      <c r="C50" s="14"/>
      <c r="D50" s="31"/>
      <c r="E50" s="14"/>
      <c r="F50" s="15" t="str">
        <f t="shared" si="6"/>
        <v xml:space="preserve">S/F  </v>
      </c>
      <c r="G50" s="16"/>
      <c r="H50" s="17">
        <v>21</v>
      </c>
      <c r="I50" s="18">
        <f t="shared" si="7"/>
        <v>0</v>
      </c>
      <c r="J50" s="17"/>
      <c r="K50" s="18"/>
      <c r="L50" s="16"/>
      <c r="M50" s="17"/>
      <c r="N50" s="18">
        <f t="shared" si="8"/>
        <v>0</v>
      </c>
      <c r="O50" s="19"/>
      <c r="P50" s="18">
        <v>0</v>
      </c>
      <c r="Q50" s="16"/>
      <c r="R50" s="17"/>
      <c r="S50" s="18">
        <v>0</v>
      </c>
      <c r="T50" s="19"/>
      <c r="U50" s="18">
        <v>0</v>
      </c>
      <c r="V50" s="16"/>
      <c r="W50" s="17"/>
      <c r="X50" s="18">
        <f t="shared" si="9"/>
        <v>0</v>
      </c>
      <c r="Y50" s="19"/>
      <c r="Z50" s="19"/>
      <c r="AA50" s="18">
        <f t="shared" si="10"/>
        <v>0</v>
      </c>
      <c r="AB50" s="20">
        <f t="shared" si="11"/>
        <v>0</v>
      </c>
      <c r="AC50" s="5"/>
      <c r="AD50" s="8"/>
      <c r="AF50" s="6"/>
      <c r="AG50" s="7"/>
      <c r="AJ50" s="33"/>
      <c r="AK50" s="35"/>
      <c r="AL50" s="37"/>
    </row>
    <row r="51" spans="1:38" ht="17.25" customHeight="1">
      <c r="A51" s="25"/>
      <c r="B51" s="26"/>
      <c r="C51" s="14"/>
      <c r="D51" s="31"/>
      <c r="E51" s="14"/>
      <c r="F51" s="15" t="str">
        <f t="shared" si="6"/>
        <v xml:space="preserve">S/F  </v>
      </c>
      <c r="G51" s="16"/>
      <c r="H51" s="17">
        <v>21</v>
      </c>
      <c r="I51" s="18">
        <f t="shared" si="7"/>
        <v>0</v>
      </c>
      <c r="J51" s="17"/>
      <c r="K51" s="18"/>
      <c r="L51" s="16"/>
      <c r="M51" s="17"/>
      <c r="N51" s="18">
        <f t="shared" si="8"/>
        <v>0</v>
      </c>
      <c r="O51" s="19"/>
      <c r="P51" s="18">
        <v>0</v>
      </c>
      <c r="Q51" s="16"/>
      <c r="R51" s="17"/>
      <c r="S51" s="18">
        <v>0</v>
      </c>
      <c r="T51" s="19"/>
      <c r="U51" s="18">
        <v>0</v>
      </c>
      <c r="V51" s="16"/>
      <c r="W51" s="17"/>
      <c r="X51" s="18">
        <f t="shared" si="9"/>
        <v>0</v>
      </c>
      <c r="Y51" s="19"/>
      <c r="Z51" s="19"/>
      <c r="AA51" s="18">
        <f t="shared" si="10"/>
        <v>0</v>
      </c>
      <c r="AB51" s="20">
        <f t="shared" si="11"/>
        <v>0</v>
      </c>
      <c r="AC51" s="5"/>
      <c r="AD51" s="8"/>
      <c r="AF51" s="6"/>
      <c r="AG51" s="7"/>
      <c r="AJ51" s="33"/>
      <c r="AK51" s="35"/>
      <c r="AL51" s="37"/>
    </row>
    <row r="52" spans="1:38" ht="17.25" customHeight="1">
      <c r="A52" s="25"/>
      <c r="B52" s="26"/>
      <c r="C52" s="14"/>
      <c r="D52" s="31"/>
      <c r="E52" s="14"/>
      <c r="F52" s="15" t="str">
        <f t="shared" si="6"/>
        <v xml:space="preserve">S/F  </v>
      </c>
      <c r="G52" s="16"/>
      <c r="H52" s="17">
        <v>21</v>
      </c>
      <c r="I52" s="18">
        <f t="shared" si="7"/>
        <v>0</v>
      </c>
      <c r="J52" s="17"/>
      <c r="K52" s="18"/>
      <c r="L52" s="16"/>
      <c r="M52" s="17"/>
      <c r="N52" s="18">
        <f t="shared" si="8"/>
        <v>0</v>
      </c>
      <c r="O52" s="19"/>
      <c r="P52" s="18">
        <v>0</v>
      </c>
      <c r="Q52" s="16"/>
      <c r="R52" s="17"/>
      <c r="S52" s="18">
        <v>0</v>
      </c>
      <c r="T52" s="19"/>
      <c r="U52" s="18">
        <v>0</v>
      </c>
      <c r="V52" s="16"/>
      <c r="W52" s="17"/>
      <c r="X52" s="18">
        <f t="shared" si="9"/>
        <v>0</v>
      </c>
      <c r="Y52" s="19"/>
      <c r="Z52" s="19"/>
      <c r="AA52" s="18">
        <f t="shared" si="10"/>
        <v>0</v>
      </c>
      <c r="AB52" s="20">
        <f t="shared" si="11"/>
        <v>0</v>
      </c>
      <c r="AC52" s="5"/>
      <c r="AD52" s="8"/>
      <c r="AF52" s="6"/>
      <c r="AG52" s="7"/>
      <c r="AJ52" s="33"/>
      <c r="AK52" s="35"/>
      <c r="AL52" s="37"/>
    </row>
    <row r="53" spans="1:38" ht="17.25" customHeight="1">
      <c r="A53" s="25"/>
      <c r="B53" s="26"/>
      <c r="C53" s="14"/>
      <c r="D53" s="31"/>
      <c r="E53" s="14"/>
      <c r="F53" s="15" t="str">
        <f t="shared" si="6"/>
        <v xml:space="preserve">S/F  </v>
      </c>
      <c r="G53" s="16"/>
      <c r="H53" s="17">
        <v>21</v>
      </c>
      <c r="I53" s="18">
        <f t="shared" si="7"/>
        <v>0</v>
      </c>
      <c r="J53" s="17"/>
      <c r="K53" s="18"/>
      <c r="L53" s="16"/>
      <c r="M53" s="17"/>
      <c r="N53" s="18">
        <f t="shared" si="8"/>
        <v>0</v>
      </c>
      <c r="O53" s="19"/>
      <c r="P53" s="18">
        <v>0</v>
      </c>
      <c r="Q53" s="16"/>
      <c r="R53" s="17"/>
      <c r="S53" s="18">
        <v>0</v>
      </c>
      <c r="T53" s="19"/>
      <c r="U53" s="18">
        <v>0</v>
      </c>
      <c r="V53" s="16"/>
      <c r="W53" s="17"/>
      <c r="X53" s="18">
        <f t="shared" si="9"/>
        <v>0</v>
      </c>
      <c r="Y53" s="19"/>
      <c r="Z53" s="19"/>
      <c r="AA53" s="18">
        <f t="shared" si="10"/>
        <v>0</v>
      </c>
      <c r="AB53" s="20">
        <f t="shared" si="11"/>
        <v>0</v>
      </c>
      <c r="AC53" s="5"/>
      <c r="AD53" s="8"/>
      <c r="AF53" s="6"/>
      <c r="AG53" s="7"/>
      <c r="AJ53" s="33"/>
      <c r="AK53" s="35"/>
      <c r="AL53" s="38"/>
    </row>
    <row r="54" spans="1:38" ht="17.25" customHeight="1">
      <c r="A54" s="25"/>
      <c r="B54" s="26"/>
      <c r="C54" s="14"/>
      <c r="D54" s="31"/>
      <c r="E54" s="14"/>
      <c r="F54" s="15" t="str">
        <f t="shared" si="6"/>
        <v xml:space="preserve">S/F  </v>
      </c>
      <c r="G54" s="16"/>
      <c r="H54" s="17">
        <v>21</v>
      </c>
      <c r="I54" s="18">
        <f t="shared" si="7"/>
        <v>0</v>
      </c>
      <c r="J54" s="17"/>
      <c r="K54" s="18"/>
      <c r="L54" s="16"/>
      <c r="M54" s="17"/>
      <c r="N54" s="18">
        <f t="shared" si="8"/>
        <v>0</v>
      </c>
      <c r="O54" s="19"/>
      <c r="P54" s="18">
        <v>0</v>
      </c>
      <c r="Q54" s="16"/>
      <c r="R54" s="17"/>
      <c r="S54" s="18">
        <v>0</v>
      </c>
      <c r="T54" s="19"/>
      <c r="U54" s="18">
        <v>0</v>
      </c>
      <c r="V54" s="16"/>
      <c r="W54" s="17"/>
      <c r="X54" s="18">
        <f t="shared" si="9"/>
        <v>0</v>
      </c>
      <c r="Y54" s="19"/>
      <c r="Z54" s="19"/>
      <c r="AA54" s="18">
        <f t="shared" si="10"/>
        <v>0</v>
      </c>
      <c r="AB54" s="20">
        <f t="shared" si="11"/>
        <v>0</v>
      </c>
      <c r="AC54" s="5"/>
      <c r="AD54" s="8"/>
      <c r="AF54" s="6"/>
      <c r="AG54" s="7"/>
      <c r="AJ54" s="33"/>
      <c r="AK54" s="35"/>
      <c r="AL54" s="37"/>
    </row>
    <row r="55" spans="1:38" ht="17.25" customHeight="1">
      <c r="A55" s="25"/>
      <c r="B55" s="26"/>
      <c r="C55" s="14"/>
      <c r="D55" s="31"/>
      <c r="E55" s="14"/>
      <c r="F55" s="15" t="str">
        <f t="shared" si="6"/>
        <v xml:space="preserve">S/F  </v>
      </c>
      <c r="G55" s="16"/>
      <c r="H55" s="17">
        <v>21</v>
      </c>
      <c r="I55" s="18">
        <f t="shared" si="7"/>
        <v>0</v>
      </c>
      <c r="J55" s="17"/>
      <c r="K55" s="18"/>
      <c r="L55" s="16"/>
      <c r="M55" s="17"/>
      <c r="N55" s="18">
        <f t="shared" si="8"/>
        <v>0</v>
      </c>
      <c r="O55" s="19"/>
      <c r="P55" s="18">
        <v>0</v>
      </c>
      <c r="Q55" s="16"/>
      <c r="R55" s="17"/>
      <c r="S55" s="18">
        <v>0</v>
      </c>
      <c r="T55" s="19"/>
      <c r="U55" s="18">
        <v>0</v>
      </c>
      <c r="V55" s="16"/>
      <c r="W55" s="17"/>
      <c r="X55" s="18">
        <f t="shared" si="9"/>
        <v>0</v>
      </c>
      <c r="Y55" s="19"/>
      <c r="Z55" s="19"/>
      <c r="AA55" s="18">
        <f t="shared" si="10"/>
        <v>0</v>
      </c>
      <c r="AB55" s="20">
        <f t="shared" si="11"/>
        <v>0</v>
      </c>
      <c r="AC55" s="5"/>
      <c r="AD55" s="8"/>
      <c r="AF55" s="6"/>
      <c r="AG55" s="7"/>
      <c r="AJ55" s="33"/>
      <c r="AK55" s="35"/>
      <c r="AL55" s="37"/>
    </row>
    <row r="56" spans="1:38" ht="17.25" customHeight="1">
      <c r="A56" s="25"/>
      <c r="B56" s="26"/>
      <c r="C56" s="14"/>
      <c r="D56" s="31"/>
      <c r="E56" s="14"/>
      <c r="F56" s="15" t="str">
        <f t="shared" si="6"/>
        <v xml:space="preserve">S/F  </v>
      </c>
      <c r="G56" s="16"/>
      <c r="H56" s="17">
        <v>21</v>
      </c>
      <c r="I56" s="18">
        <f t="shared" si="7"/>
        <v>0</v>
      </c>
      <c r="J56" s="17"/>
      <c r="K56" s="18"/>
      <c r="L56" s="16"/>
      <c r="M56" s="17"/>
      <c r="N56" s="18">
        <f t="shared" si="8"/>
        <v>0</v>
      </c>
      <c r="O56" s="19"/>
      <c r="P56" s="18">
        <v>0</v>
      </c>
      <c r="Q56" s="16"/>
      <c r="R56" s="17"/>
      <c r="S56" s="18">
        <v>0</v>
      </c>
      <c r="T56" s="19"/>
      <c r="U56" s="18">
        <v>0</v>
      </c>
      <c r="V56" s="16"/>
      <c r="W56" s="17"/>
      <c r="X56" s="18">
        <f t="shared" si="9"/>
        <v>0</v>
      </c>
      <c r="Y56" s="19"/>
      <c r="Z56" s="19"/>
      <c r="AA56" s="18">
        <f t="shared" si="10"/>
        <v>0</v>
      </c>
      <c r="AB56" s="20">
        <f t="shared" si="11"/>
        <v>0</v>
      </c>
      <c r="AC56" s="5"/>
      <c r="AD56" s="8"/>
      <c r="AF56" s="6"/>
      <c r="AG56" s="7"/>
      <c r="AJ56" s="33"/>
      <c r="AK56" s="35"/>
      <c r="AL56" s="38"/>
    </row>
    <row r="57" spans="1:38" ht="17.25" customHeight="1">
      <c r="A57" s="25"/>
      <c r="B57" s="26"/>
      <c r="C57" s="14"/>
      <c r="D57" s="31"/>
      <c r="E57" s="14"/>
      <c r="F57" s="15" t="str">
        <f t="shared" si="6"/>
        <v xml:space="preserve">S/F  </v>
      </c>
      <c r="G57" s="16"/>
      <c r="H57" s="17">
        <v>21</v>
      </c>
      <c r="I57" s="18">
        <f t="shared" si="7"/>
        <v>0</v>
      </c>
      <c r="J57" s="17"/>
      <c r="K57" s="18"/>
      <c r="L57" s="16"/>
      <c r="M57" s="17"/>
      <c r="N57" s="18">
        <f t="shared" si="8"/>
        <v>0</v>
      </c>
      <c r="O57" s="19"/>
      <c r="P57" s="18">
        <v>0</v>
      </c>
      <c r="Q57" s="16"/>
      <c r="R57" s="17"/>
      <c r="S57" s="18">
        <v>0</v>
      </c>
      <c r="T57" s="19"/>
      <c r="U57" s="18">
        <v>0</v>
      </c>
      <c r="V57" s="16"/>
      <c r="W57" s="17"/>
      <c r="X57" s="18">
        <f t="shared" si="9"/>
        <v>0</v>
      </c>
      <c r="Y57" s="19"/>
      <c r="Z57" s="19"/>
      <c r="AA57" s="18">
        <f t="shared" si="10"/>
        <v>0</v>
      </c>
      <c r="AB57" s="20">
        <f t="shared" si="11"/>
        <v>0</v>
      </c>
      <c r="AC57" s="5"/>
      <c r="AD57" s="8"/>
      <c r="AF57" s="6"/>
      <c r="AG57" s="7"/>
      <c r="AJ57" s="33"/>
      <c r="AK57" s="35"/>
      <c r="AL57" s="37"/>
    </row>
    <row r="58" spans="1:38" ht="17.25" customHeight="1">
      <c r="A58" s="25"/>
      <c r="B58" s="26"/>
      <c r="C58" s="14"/>
      <c r="D58" s="31"/>
      <c r="E58" s="14"/>
      <c r="F58" s="15" t="str">
        <f t="shared" si="6"/>
        <v xml:space="preserve">S/F  </v>
      </c>
      <c r="G58" s="16"/>
      <c r="H58" s="17">
        <v>21</v>
      </c>
      <c r="I58" s="18">
        <f t="shared" si="7"/>
        <v>0</v>
      </c>
      <c r="J58" s="17"/>
      <c r="K58" s="18"/>
      <c r="L58" s="16"/>
      <c r="M58" s="17"/>
      <c r="N58" s="18">
        <f t="shared" si="8"/>
        <v>0</v>
      </c>
      <c r="O58" s="19"/>
      <c r="P58" s="18">
        <v>0</v>
      </c>
      <c r="Q58" s="16"/>
      <c r="R58" s="17"/>
      <c r="S58" s="18">
        <v>0</v>
      </c>
      <c r="T58" s="19"/>
      <c r="U58" s="18">
        <v>0</v>
      </c>
      <c r="V58" s="16"/>
      <c r="W58" s="17"/>
      <c r="X58" s="18">
        <f t="shared" si="9"/>
        <v>0</v>
      </c>
      <c r="Y58" s="19"/>
      <c r="Z58" s="19"/>
      <c r="AA58" s="18">
        <f t="shared" si="10"/>
        <v>0</v>
      </c>
      <c r="AB58" s="20">
        <f t="shared" si="11"/>
        <v>0</v>
      </c>
      <c r="AC58" s="5"/>
      <c r="AD58" s="8"/>
      <c r="AF58" s="6"/>
      <c r="AG58" s="7"/>
      <c r="AJ58" s="33"/>
      <c r="AK58" s="35"/>
      <c r="AL58" s="37"/>
    </row>
    <row r="59" spans="1:38" ht="17.25" customHeight="1">
      <c r="A59" s="25"/>
      <c r="B59" s="26"/>
      <c r="C59" s="14"/>
      <c r="D59" s="31"/>
      <c r="E59" s="14"/>
      <c r="F59" s="15" t="str">
        <f t="shared" si="6"/>
        <v xml:space="preserve">S/F  </v>
      </c>
      <c r="G59" s="16"/>
      <c r="H59" s="17">
        <v>21</v>
      </c>
      <c r="I59" s="18">
        <f t="shared" si="7"/>
        <v>0</v>
      </c>
      <c r="J59" s="17"/>
      <c r="K59" s="18"/>
      <c r="L59" s="16"/>
      <c r="M59" s="17"/>
      <c r="N59" s="18">
        <f t="shared" si="8"/>
        <v>0</v>
      </c>
      <c r="O59" s="19"/>
      <c r="P59" s="18">
        <v>0</v>
      </c>
      <c r="Q59" s="16"/>
      <c r="R59" s="17"/>
      <c r="S59" s="18">
        <v>0</v>
      </c>
      <c r="T59" s="19"/>
      <c r="U59" s="18">
        <v>0</v>
      </c>
      <c r="V59" s="16"/>
      <c r="W59" s="17"/>
      <c r="X59" s="18">
        <f t="shared" si="9"/>
        <v>0</v>
      </c>
      <c r="Y59" s="19"/>
      <c r="Z59" s="19"/>
      <c r="AA59" s="18">
        <f t="shared" si="10"/>
        <v>0</v>
      </c>
      <c r="AB59" s="20">
        <f t="shared" si="11"/>
        <v>0</v>
      </c>
      <c r="AC59" s="5"/>
      <c r="AD59" s="8"/>
      <c r="AF59" s="6"/>
      <c r="AG59" s="7"/>
      <c r="AJ59" s="33"/>
      <c r="AK59" s="35"/>
      <c r="AL59" s="37"/>
    </row>
    <row r="60" spans="1:38" ht="17.25" customHeight="1">
      <c r="A60" s="25"/>
      <c r="B60" s="26"/>
      <c r="C60" s="14"/>
      <c r="D60" s="31"/>
      <c r="E60" s="14"/>
      <c r="F60" s="15" t="str">
        <f t="shared" si="6"/>
        <v xml:space="preserve">S/F  </v>
      </c>
      <c r="G60" s="16"/>
      <c r="H60" s="17">
        <v>21</v>
      </c>
      <c r="I60" s="18">
        <f t="shared" si="7"/>
        <v>0</v>
      </c>
      <c r="J60" s="17"/>
      <c r="K60" s="18"/>
      <c r="L60" s="16"/>
      <c r="M60" s="17"/>
      <c r="N60" s="18">
        <f t="shared" si="8"/>
        <v>0</v>
      </c>
      <c r="O60" s="19"/>
      <c r="P60" s="18">
        <v>0</v>
      </c>
      <c r="Q60" s="16"/>
      <c r="R60" s="17"/>
      <c r="S60" s="18">
        <v>0</v>
      </c>
      <c r="T60" s="19"/>
      <c r="U60" s="18">
        <v>0</v>
      </c>
      <c r="V60" s="16"/>
      <c r="W60" s="17"/>
      <c r="X60" s="18">
        <f t="shared" si="9"/>
        <v>0</v>
      </c>
      <c r="Y60" s="19"/>
      <c r="Z60" s="19"/>
      <c r="AA60" s="18">
        <f t="shared" si="10"/>
        <v>0</v>
      </c>
      <c r="AB60" s="20">
        <f t="shared" si="11"/>
        <v>0</v>
      </c>
      <c r="AC60" s="5"/>
      <c r="AD60" s="8"/>
      <c r="AF60" s="6"/>
      <c r="AG60" s="7"/>
      <c r="AJ60" s="33"/>
      <c r="AK60" s="35"/>
      <c r="AL60" s="37"/>
    </row>
    <row r="61" spans="1:38" ht="17.25" customHeight="1">
      <c r="A61" s="25"/>
      <c r="B61" s="26"/>
      <c r="C61" s="14"/>
      <c r="D61" s="31"/>
      <c r="E61" s="14"/>
      <c r="F61" s="15" t="str">
        <f t="shared" si="6"/>
        <v xml:space="preserve">S/F  </v>
      </c>
      <c r="G61" s="16"/>
      <c r="H61" s="17">
        <v>21</v>
      </c>
      <c r="I61" s="18">
        <f t="shared" si="7"/>
        <v>0</v>
      </c>
      <c r="J61" s="17"/>
      <c r="K61" s="18"/>
      <c r="L61" s="16"/>
      <c r="M61" s="17"/>
      <c r="N61" s="18">
        <f t="shared" si="8"/>
        <v>0</v>
      </c>
      <c r="O61" s="19"/>
      <c r="P61" s="18">
        <v>0</v>
      </c>
      <c r="Q61" s="16"/>
      <c r="R61" s="17"/>
      <c r="S61" s="18">
        <v>0</v>
      </c>
      <c r="T61" s="19"/>
      <c r="U61" s="18">
        <v>0</v>
      </c>
      <c r="V61" s="16"/>
      <c r="W61" s="17"/>
      <c r="X61" s="18">
        <f t="shared" si="9"/>
        <v>0</v>
      </c>
      <c r="Y61" s="19"/>
      <c r="Z61" s="19"/>
      <c r="AA61" s="18">
        <f t="shared" si="10"/>
        <v>0</v>
      </c>
      <c r="AB61" s="20">
        <f t="shared" si="11"/>
        <v>0</v>
      </c>
      <c r="AC61" s="5"/>
      <c r="AD61" s="8"/>
      <c r="AF61" s="6"/>
      <c r="AG61" s="7"/>
      <c r="AJ61" s="33"/>
      <c r="AK61" s="35"/>
      <c r="AL61" s="37"/>
    </row>
    <row r="62" spans="1:38" ht="17.25" customHeight="1">
      <c r="A62" s="25"/>
      <c r="B62" s="26"/>
      <c r="C62" s="14"/>
      <c r="D62" s="31"/>
      <c r="E62" s="14"/>
      <c r="F62" s="15" t="str">
        <f t="shared" si="6"/>
        <v xml:space="preserve">S/F  </v>
      </c>
      <c r="G62" s="16"/>
      <c r="H62" s="17">
        <v>21</v>
      </c>
      <c r="I62" s="18">
        <f t="shared" si="7"/>
        <v>0</v>
      </c>
      <c r="J62" s="17"/>
      <c r="K62" s="18"/>
      <c r="L62" s="16"/>
      <c r="M62" s="17"/>
      <c r="N62" s="18">
        <f t="shared" si="8"/>
        <v>0</v>
      </c>
      <c r="O62" s="19"/>
      <c r="P62" s="18">
        <v>0</v>
      </c>
      <c r="Q62" s="16"/>
      <c r="R62" s="17"/>
      <c r="S62" s="18">
        <v>0</v>
      </c>
      <c r="T62" s="19"/>
      <c r="U62" s="18">
        <v>0</v>
      </c>
      <c r="V62" s="16"/>
      <c r="W62" s="17"/>
      <c r="X62" s="18">
        <f t="shared" si="9"/>
        <v>0</v>
      </c>
      <c r="Y62" s="19"/>
      <c r="Z62" s="19"/>
      <c r="AA62" s="18">
        <f t="shared" si="10"/>
        <v>0</v>
      </c>
      <c r="AB62" s="20">
        <f t="shared" si="11"/>
        <v>0</v>
      </c>
      <c r="AC62" s="5"/>
      <c r="AD62" s="8"/>
      <c r="AF62" s="6"/>
      <c r="AG62" s="7"/>
      <c r="AJ62" s="33"/>
      <c r="AK62" s="35"/>
      <c r="AL62" s="37"/>
    </row>
    <row r="63" spans="1:38" ht="17.25" customHeight="1">
      <c r="A63" s="25"/>
      <c r="B63" s="26"/>
      <c r="C63" s="14"/>
      <c r="D63" s="31"/>
      <c r="E63" s="14"/>
      <c r="F63" s="15" t="str">
        <f t="shared" si="6"/>
        <v xml:space="preserve">S/F  </v>
      </c>
      <c r="G63" s="16"/>
      <c r="H63" s="17">
        <v>21</v>
      </c>
      <c r="I63" s="18">
        <f t="shared" si="7"/>
        <v>0</v>
      </c>
      <c r="J63" s="17"/>
      <c r="K63" s="18"/>
      <c r="L63" s="16"/>
      <c r="M63" s="17"/>
      <c r="N63" s="18">
        <f t="shared" si="8"/>
        <v>0</v>
      </c>
      <c r="O63" s="19"/>
      <c r="P63" s="18">
        <v>0</v>
      </c>
      <c r="Q63" s="16"/>
      <c r="R63" s="17"/>
      <c r="S63" s="18">
        <v>0</v>
      </c>
      <c r="T63" s="19"/>
      <c r="U63" s="18">
        <v>0</v>
      </c>
      <c r="V63" s="16"/>
      <c r="W63" s="17"/>
      <c r="X63" s="18">
        <f t="shared" si="9"/>
        <v>0</v>
      </c>
      <c r="Y63" s="19"/>
      <c r="Z63" s="19"/>
      <c r="AA63" s="18">
        <f t="shared" si="10"/>
        <v>0</v>
      </c>
      <c r="AB63" s="20">
        <f t="shared" si="11"/>
        <v>0</v>
      </c>
      <c r="AC63" s="5"/>
      <c r="AD63" s="8"/>
      <c r="AF63" s="6"/>
      <c r="AG63" s="7"/>
      <c r="AJ63" s="33"/>
      <c r="AK63" s="35"/>
      <c r="AL63" s="37"/>
    </row>
    <row r="64" spans="1:38" ht="17.25" customHeight="1">
      <c r="A64" s="25"/>
      <c r="B64" s="26"/>
      <c r="C64" s="14"/>
      <c r="D64" s="31"/>
      <c r="E64" s="14"/>
      <c r="F64" s="15" t="str">
        <f t="shared" si="6"/>
        <v xml:space="preserve">S/F  </v>
      </c>
      <c r="G64" s="16"/>
      <c r="H64" s="17">
        <v>21</v>
      </c>
      <c r="I64" s="18">
        <f t="shared" si="7"/>
        <v>0</v>
      </c>
      <c r="J64" s="17"/>
      <c r="K64" s="18"/>
      <c r="L64" s="16"/>
      <c r="M64" s="17"/>
      <c r="N64" s="18">
        <f t="shared" si="8"/>
        <v>0</v>
      </c>
      <c r="O64" s="19"/>
      <c r="P64" s="18">
        <v>0</v>
      </c>
      <c r="Q64" s="16"/>
      <c r="R64" s="17"/>
      <c r="S64" s="18">
        <v>0</v>
      </c>
      <c r="T64" s="19"/>
      <c r="U64" s="18">
        <v>0</v>
      </c>
      <c r="V64" s="16"/>
      <c r="W64" s="17"/>
      <c r="X64" s="18">
        <f t="shared" si="9"/>
        <v>0</v>
      </c>
      <c r="Y64" s="19"/>
      <c r="Z64" s="19"/>
      <c r="AA64" s="18">
        <f t="shared" si="10"/>
        <v>0</v>
      </c>
      <c r="AB64" s="20">
        <f t="shared" si="11"/>
        <v>0</v>
      </c>
      <c r="AC64" s="5"/>
      <c r="AD64" s="8"/>
      <c r="AF64" s="6"/>
      <c r="AG64" s="7"/>
      <c r="AJ64" s="33"/>
      <c r="AK64" s="35"/>
      <c r="AL64" s="37"/>
    </row>
    <row r="65" spans="1:38" ht="17.25" customHeight="1">
      <c r="A65" s="25"/>
      <c r="B65" s="26"/>
      <c r="C65" s="14"/>
      <c r="D65" s="31"/>
      <c r="E65" s="14"/>
      <c r="F65" s="15" t="str">
        <f t="shared" si="6"/>
        <v xml:space="preserve">S/F  </v>
      </c>
      <c r="G65" s="16"/>
      <c r="H65" s="17">
        <v>21</v>
      </c>
      <c r="I65" s="18">
        <f t="shared" si="7"/>
        <v>0</v>
      </c>
      <c r="J65" s="17"/>
      <c r="K65" s="18"/>
      <c r="L65" s="16"/>
      <c r="M65" s="17"/>
      <c r="N65" s="18">
        <f t="shared" si="8"/>
        <v>0</v>
      </c>
      <c r="O65" s="19"/>
      <c r="P65" s="18">
        <v>0</v>
      </c>
      <c r="Q65" s="16"/>
      <c r="R65" s="17"/>
      <c r="S65" s="18">
        <v>0</v>
      </c>
      <c r="T65" s="19"/>
      <c r="U65" s="18">
        <v>0</v>
      </c>
      <c r="V65" s="16"/>
      <c r="W65" s="17"/>
      <c r="X65" s="18">
        <f t="shared" si="9"/>
        <v>0</v>
      </c>
      <c r="Y65" s="19"/>
      <c r="Z65" s="19"/>
      <c r="AA65" s="18">
        <f t="shared" si="10"/>
        <v>0</v>
      </c>
      <c r="AB65" s="20">
        <f t="shared" si="11"/>
        <v>0</v>
      </c>
      <c r="AC65" s="5"/>
      <c r="AD65" s="8"/>
      <c r="AF65" s="6"/>
      <c r="AG65" s="7"/>
      <c r="AJ65" s="33"/>
      <c r="AK65" s="35"/>
      <c r="AL65" s="37"/>
    </row>
    <row r="66" spans="1:38" ht="17.25" customHeight="1">
      <c r="A66" s="25"/>
      <c r="B66" s="26"/>
      <c r="C66" s="14"/>
      <c r="D66" s="31"/>
      <c r="E66" s="14"/>
      <c r="F66" s="15" t="str">
        <f t="shared" ref="F66:F97" si="12">"S/F "&amp;B66&amp;" "&amp;E66</f>
        <v xml:space="preserve">S/F  </v>
      </c>
      <c r="G66" s="16"/>
      <c r="H66" s="17">
        <v>21</v>
      </c>
      <c r="I66" s="18">
        <f t="shared" ref="I66:I97" si="13">+IF(G66&lt;&gt;0,G66*H66/100,0)</f>
        <v>0</v>
      </c>
      <c r="J66" s="17"/>
      <c r="K66" s="18"/>
      <c r="L66" s="16"/>
      <c r="M66" s="17"/>
      <c r="N66" s="18">
        <f t="shared" ref="N66:N97" si="14">+IF(L66&lt;&gt;0,L66*M66/100,0)</f>
        <v>0</v>
      </c>
      <c r="O66" s="19"/>
      <c r="P66" s="18">
        <v>0</v>
      </c>
      <c r="Q66" s="16"/>
      <c r="R66" s="17"/>
      <c r="S66" s="18">
        <v>0</v>
      </c>
      <c r="T66" s="19"/>
      <c r="U66" s="18">
        <v>0</v>
      </c>
      <c r="V66" s="16"/>
      <c r="W66" s="17"/>
      <c r="X66" s="18">
        <f t="shared" ref="X66:X97" si="15">+IF(W66&lt;&gt;0,V66*W66/100,0)</f>
        <v>0</v>
      </c>
      <c r="Y66" s="19"/>
      <c r="Z66" s="19"/>
      <c r="AA66" s="18">
        <f t="shared" ref="AA66:AA97" si="16">+IF(Z66&lt;&gt;0,Y66*Z66/100,0)</f>
        <v>0</v>
      </c>
      <c r="AB66" s="20">
        <f t="shared" ref="AB66:AB97" si="17">+G66+I66+K66+L66+N66+P66+Q66+S66+U66-X66-AA66</f>
        <v>0</v>
      </c>
      <c r="AC66" s="5"/>
      <c r="AD66" s="8"/>
      <c r="AF66" s="6"/>
      <c r="AG66" s="7"/>
      <c r="AJ66" s="33"/>
      <c r="AK66" s="35"/>
      <c r="AL66" s="37"/>
    </row>
    <row r="67" spans="1:38" ht="17.25" customHeight="1">
      <c r="A67" s="25"/>
      <c r="B67" s="26"/>
      <c r="C67" s="14"/>
      <c r="D67" s="31"/>
      <c r="E67" s="14"/>
      <c r="F67" s="15" t="str">
        <f t="shared" si="12"/>
        <v xml:space="preserve">S/F  </v>
      </c>
      <c r="G67" s="16"/>
      <c r="H67" s="17">
        <v>21</v>
      </c>
      <c r="I67" s="18">
        <f t="shared" si="13"/>
        <v>0</v>
      </c>
      <c r="J67" s="17"/>
      <c r="K67" s="18"/>
      <c r="L67" s="16"/>
      <c r="M67" s="17"/>
      <c r="N67" s="18">
        <f t="shared" si="14"/>
        <v>0</v>
      </c>
      <c r="O67" s="19"/>
      <c r="P67" s="18">
        <v>0</v>
      </c>
      <c r="Q67" s="16"/>
      <c r="R67" s="17"/>
      <c r="S67" s="18">
        <v>0</v>
      </c>
      <c r="T67" s="19"/>
      <c r="U67" s="18">
        <v>0</v>
      </c>
      <c r="V67" s="16"/>
      <c r="W67" s="17"/>
      <c r="X67" s="18">
        <f t="shared" si="15"/>
        <v>0</v>
      </c>
      <c r="Y67" s="19"/>
      <c r="Z67" s="19"/>
      <c r="AA67" s="18">
        <f t="shared" si="16"/>
        <v>0</v>
      </c>
      <c r="AB67" s="20">
        <f t="shared" si="17"/>
        <v>0</v>
      </c>
      <c r="AC67" s="5"/>
      <c r="AD67" s="8"/>
      <c r="AF67" s="6"/>
      <c r="AG67" s="7"/>
      <c r="AJ67" s="33"/>
      <c r="AK67" s="35"/>
      <c r="AL67" s="37"/>
    </row>
    <row r="68" spans="1:38" ht="17.25" customHeight="1">
      <c r="A68" s="25"/>
      <c r="B68" s="26"/>
      <c r="C68" s="14"/>
      <c r="D68" s="31"/>
      <c r="E68" s="14"/>
      <c r="F68" s="15" t="str">
        <f t="shared" si="12"/>
        <v xml:space="preserve">S/F  </v>
      </c>
      <c r="G68" s="16"/>
      <c r="H68" s="17">
        <v>21</v>
      </c>
      <c r="I68" s="18">
        <f t="shared" si="13"/>
        <v>0</v>
      </c>
      <c r="J68" s="17"/>
      <c r="K68" s="18"/>
      <c r="L68" s="16"/>
      <c r="M68" s="17"/>
      <c r="N68" s="18">
        <f t="shared" si="14"/>
        <v>0</v>
      </c>
      <c r="O68" s="19"/>
      <c r="P68" s="18">
        <v>0</v>
      </c>
      <c r="Q68" s="16"/>
      <c r="R68" s="17"/>
      <c r="S68" s="18">
        <v>0</v>
      </c>
      <c r="T68" s="19"/>
      <c r="U68" s="18">
        <v>0</v>
      </c>
      <c r="V68" s="16"/>
      <c r="W68" s="17"/>
      <c r="X68" s="18">
        <f t="shared" si="15"/>
        <v>0</v>
      </c>
      <c r="Y68" s="19"/>
      <c r="Z68" s="19"/>
      <c r="AA68" s="18">
        <f t="shared" si="16"/>
        <v>0</v>
      </c>
      <c r="AB68" s="20">
        <f t="shared" si="17"/>
        <v>0</v>
      </c>
      <c r="AC68" s="5"/>
      <c r="AD68" s="8"/>
      <c r="AF68" s="6"/>
      <c r="AG68" s="7"/>
      <c r="AJ68" s="33"/>
      <c r="AK68" s="35"/>
      <c r="AL68" s="37"/>
    </row>
    <row r="69" spans="1:38" ht="17.25" customHeight="1">
      <c r="A69" s="25"/>
      <c r="B69" s="26"/>
      <c r="C69" s="14"/>
      <c r="D69" s="31"/>
      <c r="E69" s="14"/>
      <c r="F69" s="15" t="str">
        <f t="shared" si="12"/>
        <v xml:space="preserve">S/F  </v>
      </c>
      <c r="G69" s="16"/>
      <c r="H69" s="17">
        <v>10</v>
      </c>
      <c r="I69" s="18">
        <f t="shared" si="13"/>
        <v>0</v>
      </c>
      <c r="J69" s="17"/>
      <c r="K69" s="18"/>
      <c r="L69" s="16"/>
      <c r="M69" s="17"/>
      <c r="N69" s="18">
        <f t="shared" si="14"/>
        <v>0</v>
      </c>
      <c r="O69" s="19"/>
      <c r="P69" s="18">
        <v>0</v>
      </c>
      <c r="Q69" s="16"/>
      <c r="R69" s="17"/>
      <c r="S69" s="18">
        <v>0</v>
      </c>
      <c r="T69" s="19"/>
      <c r="U69" s="18">
        <v>0</v>
      </c>
      <c r="V69" s="16"/>
      <c r="W69" s="17"/>
      <c r="X69" s="18">
        <f t="shared" si="15"/>
        <v>0</v>
      </c>
      <c r="Y69" s="19"/>
      <c r="Z69" s="19"/>
      <c r="AA69" s="18">
        <f t="shared" si="16"/>
        <v>0</v>
      </c>
      <c r="AB69" s="20">
        <f t="shared" si="17"/>
        <v>0</v>
      </c>
      <c r="AC69" s="5"/>
      <c r="AD69" s="8"/>
      <c r="AF69" s="6"/>
      <c r="AG69" s="7"/>
      <c r="AJ69" s="33"/>
      <c r="AK69" s="35"/>
      <c r="AL69" s="37"/>
    </row>
    <row r="70" spans="1:38" ht="17.25" customHeight="1">
      <c r="A70" s="25"/>
      <c r="B70" s="26"/>
      <c r="C70" s="14"/>
      <c r="D70" s="31"/>
      <c r="E70" s="14"/>
      <c r="F70" s="15" t="str">
        <f t="shared" si="12"/>
        <v xml:space="preserve">S/F  </v>
      </c>
      <c r="G70" s="16"/>
      <c r="H70" s="17">
        <v>21</v>
      </c>
      <c r="I70" s="18">
        <f t="shared" si="13"/>
        <v>0</v>
      </c>
      <c r="J70" s="17"/>
      <c r="K70" s="18"/>
      <c r="L70" s="16"/>
      <c r="M70" s="17"/>
      <c r="N70" s="18">
        <f t="shared" si="14"/>
        <v>0</v>
      </c>
      <c r="O70" s="19"/>
      <c r="P70" s="18">
        <v>0</v>
      </c>
      <c r="Q70" s="16"/>
      <c r="R70" s="17"/>
      <c r="S70" s="18">
        <v>0</v>
      </c>
      <c r="T70" s="19"/>
      <c r="U70" s="18">
        <v>0</v>
      </c>
      <c r="V70" s="16"/>
      <c r="W70" s="17"/>
      <c r="X70" s="18">
        <f t="shared" si="15"/>
        <v>0</v>
      </c>
      <c r="Y70" s="19"/>
      <c r="Z70" s="19"/>
      <c r="AA70" s="18">
        <f t="shared" si="16"/>
        <v>0</v>
      </c>
      <c r="AB70" s="20">
        <f t="shared" si="17"/>
        <v>0</v>
      </c>
      <c r="AC70" s="5"/>
      <c r="AD70" s="8"/>
      <c r="AF70" s="6"/>
      <c r="AG70" s="7"/>
      <c r="AJ70" s="33"/>
      <c r="AK70" s="35"/>
      <c r="AL70" s="37"/>
    </row>
    <row r="71" spans="1:38" ht="17.25" customHeight="1">
      <c r="A71" s="25"/>
      <c r="B71" s="26"/>
      <c r="C71" s="14"/>
      <c r="D71" s="31"/>
      <c r="E71" s="14"/>
      <c r="F71" s="15" t="str">
        <f t="shared" si="12"/>
        <v xml:space="preserve">S/F  </v>
      </c>
      <c r="G71" s="16"/>
      <c r="H71" s="17">
        <v>21</v>
      </c>
      <c r="I71" s="18">
        <f t="shared" si="13"/>
        <v>0</v>
      </c>
      <c r="J71" s="17"/>
      <c r="K71" s="18"/>
      <c r="L71" s="16"/>
      <c r="M71" s="17"/>
      <c r="N71" s="18">
        <f t="shared" si="14"/>
        <v>0</v>
      </c>
      <c r="O71" s="19"/>
      <c r="P71" s="18">
        <v>0</v>
      </c>
      <c r="Q71" s="16"/>
      <c r="R71" s="17"/>
      <c r="S71" s="18">
        <v>0</v>
      </c>
      <c r="T71" s="19"/>
      <c r="U71" s="18">
        <v>0</v>
      </c>
      <c r="V71" s="16"/>
      <c r="W71" s="17"/>
      <c r="X71" s="18">
        <f t="shared" si="15"/>
        <v>0</v>
      </c>
      <c r="Y71" s="19"/>
      <c r="Z71" s="19"/>
      <c r="AA71" s="18">
        <f t="shared" si="16"/>
        <v>0</v>
      </c>
      <c r="AB71" s="20">
        <f t="shared" si="17"/>
        <v>0</v>
      </c>
      <c r="AC71" s="5"/>
      <c r="AD71" s="8"/>
      <c r="AF71" s="6"/>
      <c r="AG71" s="7"/>
      <c r="AJ71" s="33"/>
      <c r="AK71" s="35"/>
      <c r="AL71" s="37"/>
    </row>
    <row r="72" spans="1:38" ht="17.25" customHeight="1">
      <c r="A72" s="25"/>
      <c r="B72" s="26"/>
      <c r="C72" s="14"/>
      <c r="D72" s="31"/>
      <c r="E72" s="14"/>
      <c r="F72" s="15" t="str">
        <f t="shared" si="12"/>
        <v xml:space="preserve">S/F  </v>
      </c>
      <c r="G72" s="16"/>
      <c r="H72" s="17">
        <v>21</v>
      </c>
      <c r="I72" s="18">
        <f t="shared" si="13"/>
        <v>0</v>
      </c>
      <c r="J72" s="17"/>
      <c r="K72" s="18"/>
      <c r="L72" s="16"/>
      <c r="M72" s="17"/>
      <c r="N72" s="18">
        <f t="shared" si="14"/>
        <v>0</v>
      </c>
      <c r="O72" s="19"/>
      <c r="P72" s="18">
        <v>0</v>
      </c>
      <c r="Q72" s="16"/>
      <c r="R72" s="17"/>
      <c r="S72" s="18">
        <v>0</v>
      </c>
      <c r="T72" s="19"/>
      <c r="U72" s="18">
        <v>0</v>
      </c>
      <c r="V72" s="16"/>
      <c r="W72" s="17"/>
      <c r="X72" s="18">
        <f t="shared" si="15"/>
        <v>0</v>
      </c>
      <c r="Y72" s="19"/>
      <c r="Z72" s="19"/>
      <c r="AA72" s="18">
        <f t="shared" si="16"/>
        <v>0</v>
      </c>
      <c r="AB72" s="20">
        <f t="shared" si="17"/>
        <v>0</v>
      </c>
      <c r="AC72" s="5"/>
      <c r="AD72" s="8"/>
      <c r="AF72" s="6"/>
      <c r="AG72" s="7"/>
      <c r="AJ72" s="33"/>
      <c r="AK72" s="35"/>
      <c r="AL72" s="37"/>
    </row>
    <row r="73" spans="1:38" ht="17.25" customHeight="1">
      <c r="A73" s="25"/>
      <c r="B73" s="26"/>
      <c r="C73" s="14"/>
      <c r="D73" s="31"/>
      <c r="E73" s="14"/>
      <c r="F73" s="15" t="str">
        <f t="shared" si="12"/>
        <v xml:space="preserve">S/F  </v>
      </c>
      <c r="G73" s="16"/>
      <c r="H73" s="17">
        <v>21</v>
      </c>
      <c r="I73" s="18">
        <f t="shared" si="13"/>
        <v>0</v>
      </c>
      <c r="J73" s="17"/>
      <c r="K73" s="18"/>
      <c r="L73" s="16"/>
      <c r="M73" s="17"/>
      <c r="N73" s="18">
        <f t="shared" si="14"/>
        <v>0</v>
      </c>
      <c r="O73" s="19"/>
      <c r="P73" s="18">
        <v>0</v>
      </c>
      <c r="Q73" s="16"/>
      <c r="R73" s="17"/>
      <c r="S73" s="18">
        <v>0</v>
      </c>
      <c r="T73" s="19"/>
      <c r="U73" s="18">
        <v>0</v>
      </c>
      <c r="V73" s="16"/>
      <c r="W73" s="17"/>
      <c r="X73" s="18">
        <f t="shared" si="15"/>
        <v>0</v>
      </c>
      <c r="Y73" s="19"/>
      <c r="Z73" s="19"/>
      <c r="AA73" s="18">
        <f t="shared" si="16"/>
        <v>0</v>
      </c>
      <c r="AB73" s="20">
        <f t="shared" si="17"/>
        <v>0</v>
      </c>
      <c r="AC73" s="5"/>
      <c r="AD73" s="8"/>
      <c r="AF73" s="6"/>
      <c r="AG73" s="7"/>
      <c r="AJ73" s="33"/>
      <c r="AK73" s="35"/>
      <c r="AL73" s="37"/>
    </row>
    <row r="74" spans="1:38" ht="17.25" customHeight="1">
      <c r="A74" s="25"/>
      <c r="B74" s="26"/>
      <c r="C74" s="14"/>
      <c r="D74" s="31"/>
      <c r="E74" s="14"/>
      <c r="F74" s="15" t="str">
        <f t="shared" si="12"/>
        <v xml:space="preserve">S/F  </v>
      </c>
      <c r="G74" s="16"/>
      <c r="H74" s="17">
        <v>21</v>
      </c>
      <c r="I74" s="18">
        <f t="shared" si="13"/>
        <v>0</v>
      </c>
      <c r="J74" s="17"/>
      <c r="K74" s="18"/>
      <c r="L74" s="16"/>
      <c r="M74" s="17"/>
      <c r="N74" s="18">
        <f t="shared" si="14"/>
        <v>0</v>
      </c>
      <c r="O74" s="19"/>
      <c r="P74" s="18">
        <v>0</v>
      </c>
      <c r="Q74" s="16"/>
      <c r="R74" s="17"/>
      <c r="S74" s="18">
        <v>0</v>
      </c>
      <c r="T74" s="19"/>
      <c r="U74" s="18">
        <v>0</v>
      </c>
      <c r="V74" s="16"/>
      <c r="W74" s="17"/>
      <c r="X74" s="18">
        <f t="shared" si="15"/>
        <v>0</v>
      </c>
      <c r="Y74" s="19"/>
      <c r="Z74" s="19"/>
      <c r="AA74" s="18">
        <f t="shared" si="16"/>
        <v>0</v>
      </c>
      <c r="AB74" s="20">
        <f t="shared" si="17"/>
        <v>0</v>
      </c>
      <c r="AC74" s="5"/>
      <c r="AD74" s="8"/>
      <c r="AF74" s="6"/>
      <c r="AG74" s="7"/>
      <c r="AJ74" s="33"/>
      <c r="AK74" s="35"/>
      <c r="AL74" s="37"/>
    </row>
    <row r="75" spans="1:38" ht="17.25" customHeight="1">
      <c r="A75" s="25"/>
      <c r="B75" s="26"/>
      <c r="C75" s="14"/>
      <c r="D75" s="31"/>
      <c r="E75" s="14"/>
      <c r="F75" s="15" t="str">
        <f t="shared" si="12"/>
        <v xml:space="preserve">S/F  </v>
      </c>
      <c r="G75" s="16"/>
      <c r="H75" s="17">
        <v>21</v>
      </c>
      <c r="I75" s="18">
        <f t="shared" si="13"/>
        <v>0</v>
      </c>
      <c r="J75" s="17"/>
      <c r="K75" s="18"/>
      <c r="L75" s="16"/>
      <c r="M75" s="17"/>
      <c r="N75" s="18">
        <f t="shared" si="14"/>
        <v>0</v>
      </c>
      <c r="O75" s="19"/>
      <c r="P75" s="18">
        <v>0</v>
      </c>
      <c r="Q75" s="16"/>
      <c r="R75" s="17"/>
      <c r="S75" s="18">
        <v>0</v>
      </c>
      <c r="T75" s="19"/>
      <c r="U75" s="18">
        <v>0</v>
      </c>
      <c r="V75" s="16"/>
      <c r="W75" s="17"/>
      <c r="X75" s="18">
        <f t="shared" si="15"/>
        <v>0</v>
      </c>
      <c r="Y75" s="19"/>
      <c r="Z75" s="19"/>
      <c r="AA75" s="18">
        <f t="shared" si="16"/>
        <v>0</v>
      </c>
      <c r="AB75" s="20">
        <f t="shared" si="17"/>
        <v>0</v>
      </c>
      <c r="AC75" s="5"/>
      <c r="AD75" s="8"/>
      <c r="AF75" s="6"/>
      <c r="AG75" s="7"/>
      <c r="AJ75" s="33"/>
      <c r="AK75" s="35"/>
      <c r="AL75" s="37"/>
    </row>
    <row r="76" spans="1:38" ht="17.25" customHeight="1">
      <c r="A76" s="25"/>
      <c r="B76" s="26"/>
      <c r="C76" s="14"/>
      <c r="D76" s="31"/>
      <c r="E76" s="14"/>
      <c r="F76" s="15" t="str">
        <f t="shared" si="12"/>
        <v xml:space="preserve">S/F  </v>
      </c>
      <c r="G76" s="16"/>
      <c r="H76" s="17">
        <v>21</v>
      </c>
      <c r="I76" s="18">
        <f t="shared" si="13"/>
        <v>0</v>
      </c>
      <c r="J76" s="17"/>
      <c r="K76" s="18"/>
      <c r="L76" s="16"/>
      <c r="M76" s="17"/>
      <c r="N76" s="18">
        <f t="shared" si="14"/>
        <v>0</v>
      </c>
      <c r="O76" s="19"/>
      <c r="P76" s="18">
        <v>0</v>
      </c>
      <c r="Q76" s="16"/>
      <c r="R76" s="17"/>
      <c r="S76" s="18">
        <v>0</v>
      </c>
      <c r="T76" s="19"/>
      <c r="U76" s="18">
        <v>0</v>
      </c>
      <c r="V76" s="16"/>
      <c r="W76" s="17"/>
      <c r="X76" s="18">
        <f t="shared" si="15"/>
        <v>0</v>
      </c>
      <c r="Y76" s="19"/>
      <c r="Z76" s="19"/>
      <c r="AA76" s="18">
        <f t="shared" si="16"/>
        <v>0</v>
      </c>
      <c r="AB76" s="20">
        <f t="shared" si="17"/>
        <v>0</v>
      </c>
      <c r="AC76" s="5"/>
      <c r="AD76" s="8"/>
      <c r="AF76" s="6"/>
      <c r="AG76" s="7"/>
      <c r="AJ76" s="33"/>
      <c r="AK76" s="35"/>
      <c r="AL76" s="37"/>
    </row>
    <row r="77" spans="1:38" ht="17.25" customHeight="1">
      <c r="A77" s="25"/>
      <c r="B77" s="26"/>
      <c r="C77" s="14"/>
      <c r="D77" s="31"/>
      <c r="E77" s="14"/>
      <c r="F77" s="15" t="str">
        <f t="shared" si="12"/>
        <v xml:space="preserve">S/F  </v>
      </c>
      <c r="G77" s="16"/>
      <c r="H77" s="17">
        <v>21</v>
      </c>
      <c r="I77" s="18">
        <f t="shared" si="13"/>
        <v>0</v>
      </c>
      <c r="J77" s="17"/>
      <c r="K77" s="18"/>
      <c r="L77" s="16"/>
      <c r="M77" s="17"/>
      <c r="N77" s="18">
        <f t="shared" si="14"/>
        <v>0</v>
      </c>
      <c r="O77" s="19"/>
      <c r="P77" s="18">
        <v>0</v>
      </c>
      <c r="Q77" s="16"/>
      <c r="R77" s="17"/>
      <c r="S77" s="18">
        <v>0</v>
      </c>
      <c r="T77" s="19"/>
      <c r="U77" s="18">
        <v>0</v>
      </c>
      <c r="V77" s="16"/>
      <c r="W77" s="17"/>
      <c r="X77" s="18">
        <f t="shared" si="15"/>
        <v>0</v>
      </c>
      <c r="Y77" s="19"/>
      <c r="Z77" s="19"/>
      <c r="AA77" s="18">
        <f t="shared" si="16"/>
        <v>0</v>
      </c>
      <c r="AB77" s="20">
        <f t="shared" si="17"/>
        <v>0</v>
      </c>
      <c r="AC77" s="5"/>
      <c r="AD77" s="8"/>
      <c r="AF77" s="6"/>
      <c r="AG77" s="7"/>
      <c r="AJ77" s="33"/>
      <c r="AK77" s="35"/>
      <c r="AL77" s="37"/>
    </row>
    <row r="78" spans="1:38" ht="17.25" customHeight="1">
      <c r="A78" s="25"/>
      <c r="B78" s="26"/>
      <c r="C78" s="14"/>
      <c r="D78" s="31"/>
      <c r="E78" s="14"/>
      <c r="F78" s="15" t="str">
        <f t="shared" si="12"/>
        <v xml:space="preserve">S/F  </v>
      </c>
      <c r="G78" s="16"/>
      <c r="H78" s="17">
        <v>21</v>
      </c>
      <c r="I78" s="18">
        <f t="shared" si="13"/>
        <v>0</v>
      </c>
      <c r="J78" s="17"/>
      <c r="K78" s="18"/>
      <c r="L78" s="16"/>
      <c r="M78" s="17"/>
      <c r="N78" s="18">
        <f t="shared" si="14"/>
        <v>0</v>
      </c>
      <c r="O78" s="19"/>
      <c r="P78" s="18">
        <v>0</v>
      </c>
      <c r="Q78" s="16"/>
      <c r="R78" s="17"/>
      <c r="S78" s="18">
        <v>0</v>
      </c>
      <c r="T78" s="19"/>
      <c r="U78" s="18">
        <v>0</v>
      </c>
      <c r="V78" s="16"/>
      <c r="W78" s="17"/>
      <c r="X78" s="18">
        <f t="shared" si="15"/>
        <v>0</v>
      </c>
      <c r="Y78" s="19"/>
      <c r="Z78" s="19"/>
      <c r="AA78" s="18">
        <f t="shared" si="16"/>
        <v>0</v>
      </c>
      <c r="AB78" s="20">
        <f t="shared" si="17"/>
        <v>0</v>
      </c>
      <c r="AC78" s="5"/>
      <c r="AD78" s="8"/>
      <c r="AF78" s="6"/>
      <c r="AG78" s="7"/>
      <c r="AJ78" s="33"/>
      <c r="AK78" s="35"/>
      <c r="AL78" s="37"/>
    </row>
    <row r="79" spans="1:38" ht="17.25" customHeight="1">
      <c r="A79" s="25"/>
      <c r="B79" s="26"/>
      <c r="C79" s="14"/>
      <c r="D79" s="31"/>
      <c r="E79" s="14"/>
      <c r="F79" s="15" t="str">
        <f t="shared" si="12"/>
        <v xml:space="preserve">S/F  </v>
      </c>
      <c r="G79" s="16"/>
      <c r="H79" s="17">
        <v>21</v>
      </c>
      <c r="I79" s="18">
        <f t="shared" si="13"/>
        <v>0</v>
      </c>
      <c r="J79" s="17"/>
      <c r="K79" s="18"/>
      <c r="L79" s="16"/>
      <c r="M79" s="17"/>
      <c r="N79" s="18">
        <f t="shared" si="14"/>
        <v>0</v>
      </c>
      <c r="O79" s="19"/>
      <c r="P79" s="18">
        <v>0</v>
      </c>
      <c r="Q79" s="16"/>
      <c r="R79" s="17"/>
      <c r="S79" s="18">
        <v>0</v>
      </c>
      <c r="T79" s="19"/>
      <c r="U79" s="18">
        <v>0</v>
      </c>
      <c r="V79" s="16"/>
      <c r="W79" s="17"/>
      <c r="X79" s="18">
        <f t="shared" si="15"/>
        <v>0</v>
      </c>
      <c r="Y79" s="19"/>
      <c r="Z79" s="19"/>
      <c r="AA79" s="18">
        <f t="shared" si="16"/>
        <v>0</v>
      </c>
      <c r="AB79" s="20">
        <f t="shared" si="17"/>
        <v>0</v>
      </c>
      <c r="AC79" s="5"/>
      <c r="AD79" s="8"/>
      <c r="AF79" s="6"/>
      <c r="AG79" s="7"/>
      <c r="AJ79" s="33"/>
      <c r="AK79" s="35"/>
      <c r="AL79" s="37"/>
    </row>
    <row r="80" spans="1:38" ht="17.25" customHeight="1">
      <c r="A80" s="25"/>
      <c r="B80" s="26"/>
      <c r="C80" s="14"/>
      <c r="D80" s="31"/>
      <c r="E80" s="14"/>
      <c r="F80" s="15" t="str">
        <f t="shared" si="12"/>
        <v xml:space="preserve">S/F  </v>
      </c>
      <c r="G80" s="16"/>
      <c r="H80" s="17">
        <v>21</v>
      </c>
      <c r="I80" s="18">
        <f t="shared" si="13"/>
        <v>0</v>
      </c>
      <c r="J80" s="17"/>
      <c r="K80" s="18"/>
      <c r="L80" s="16"/>
      <c r="M80" s="17"/>
      <c r="N80" s="18">
        <f t="shared" si="14"/>
        <v>0</v>
      </c>
      <c r="O80" s="19"/>
      <c r="P80" s="18">
        <v>0</v>
      </c>
      <c r="Q80" s="16"/>
      <c r="R80" s="17"/>
      <c r="S80" s="18">
        <v>0</v>
      </c>
      <c r="T80" s="19"/>
      <c r="U80" s="18">
        <v>0</v>
      </c>
      <c r="V80" s="16"/>
      <c r="W80" s="17"/>
      <c r="X80" s="18">
        <f t="shared" si="15"/>
        <v>0</v>
      </c>
      <c r="Y80" s="19"/>
      <c r="Z80" s="19"/>
      <c r="AA80" s="18">
        <f t="shared" si="16"/>
        <v>0</v>
      </c>
      <c r="AB80" s="20">
        <f t="shared" si="17"/>
        <v>0</v>
      </c>
      <c r="AC80" s="5"/>
      <c r="AD80" s="8"/>
      <c r="AF80" s="6"/>
      <c r="AG80" s="7"/>
      <c r="AJ80" s="33"/>
      <c r="AK80" s="35"/>
      <c r="AL80" s="37"/>
    </row>
    <row r="81" spans="1:38" ht="17.25" customHeight="1">
      <c r="A81" s="25"/>
      <c r="B81" s="26"/>
      <c r="C81" s="14"/>
      <c r="D81" s="31"/>
      <c r="E81" s="14"/>
      <c r="F81" s="15" t="str">
        <f t="shared" si="12"/>
        <v xml:space="preserve">S/F  </v>
      </c>
      <c r="G81" s="16"/>
      <c r="H81" s="17">
        <v>21</v>
      </c>
      <c r="I81" s="18">
        <f t="shared" si="13"/>
        <v>0</v>
      </c>
      <c r="J81" s="17"/>
      <c r="K81" s="18"/>
      <c r="L81" s="16"/>
      <c r="M81" s="17"/>
      <c r="N81" s="18">
        <f t="shared" si="14"/>
        <v>0</v>
      </c>
      <c r="O81" s="19"/>
      <c r="P81" s="18">
        <v>0</v>
      </c>
      <c r="Q81" s="16"/>
      <c r="R81" s="17"/>
      <c r="S81" s="18">
        <v>0</v>
      </c>
      <c r="T81" s="19"/>
      <c r="U81" s="18">
        <v>0</v>
      </c>
      <c r="V81" s="16"/>
      <c r="W81" s="17"/>
      <c r="X81" s="18">
        <f t="shared" si="15"/>
        <v>0</v>
      </c>
      <c r="Y81" s="19"/>
      <c r="Z81" s="19"/>
      <c r="AA81" s="18">
        <f t="shared" si="16"/>
        <v>0</v>
      </c>
      <c r="AB81" s="20">
        <f t="shared" si="17"/>
        <v>0</v>
      </c>
      <c r="AC81" s="5"/>
      <c r="AD81" s="8"/>
      <c r="AF81" s="6"/>
      <c r="AG81" s="7"/>
      <c r="AJ81" s="33"/>
      <c r="AK81" s="35"/>
      <c r="AL81" s="37"/>
    </row>
    <row r="82" spans="1:38" ht="17.25" customHeight="1">
      <c r="A82" s="25"/>
      <c r="B82" s="26"/>
      <c r="C82" s="14"/>
      <c r="D82" s="31"/>
      <c r="E82" s="14"/>
      <c r="F82" s="15" t="str">
        <f t="shared" si="12"/>
        <v xml:space="preserve">S/F  </v>
      </c>
      <c r="G82" s="16"/>
      <c r="H82" s="17">
        <v>21</v>
      </c>
      <c r="I82" s="18">
        <f t="shared" si="13"/>
        <v>0</v>
      </c>
      <c r="J82" s="17"/>
      <c r="K82" s="18"/>
      <c r="L82" s="16"/>
      <c r="M82" s="17"/>
      <c r="N82" s="18">
        <f t="shared" si="14"/>
        <v>0</v>
      </c>
      <c r="O82" s="19"/>
      <c r="P82" s="18">
        <v>0</v>
      </c>
      <c r="Q82" s="16"/>
      <c r="R82" s="17"/>
      <c r="S82" s="18">
        <v>0</v>
      </c>
      <c r="T82" s="19"/>
      <c r="U82" s="18">
        <v>0</v>
      </c>
      <c r="V82" s="16"/>
      <c r="W82" s="17"/>
      <c r="X82" s="18">
        <f t="shared" si="15"/>
        <v>0</v>
      </c>
      <c r="Y82" s="19"/>
      <c r="Z82" s="19"/>
      <c r="AA82" s="18">
        <f t="shared" si="16"/>
        <v>0</v>
      </c>
      <c r="AB82" s="20">
        <f t="shared" si="17"/>
        <v>0</v>
      </c>
      <c r="AC82" s="5"/>
      <c r="AD82" s="8"/>
      <c r="AF82" s="6"/>
      <c r="AG82" s="7"/>
      <c r="AJ82" s="33"/>
      <c r="AK82" s="35"/>
      <c r="AL82" s="37"/>
    </row>
    <row r="83" spans="1:38" ht="17.25" customHeight="1">
      <c r="A83" s="25"/>
      <c r="B83" s="26"/>
      <c r="C83" s="14"/>
      <c r="D83" s="31"/>
      <c r="E83" s="14"/>
      <c r="F83" s="15" t="str">
        <f t="shared" si="12"/>
        <v xml:space="preserve">S/F  </v>
      </c>
      <c r="G83" s="16"/>
      <c r="H83" s="17">
        <v>21</v>
      </c>
      <c r="I83" s="18">
        <f t="shared" si="13"/>
        <v>0</v>
      </c>
      <c r="J83" s="17"/>
      <c r="K83" s="18"/>
      <c r="L83" s="16"/>
      <c r="M83" s="17"/>
      <c r="N83" s="18">
        <f t="shared" si="14"/>
        <v>0</v>
      </c>
      <c r="O83" s="19"/>
      <c r="P83" s="18">
        <v>0</v>
      </c>
      <c r="Q83" s="16"/>
      <c r="R83" s="17"/>
      <c r="S83" s="18">
        <v>0</v>
      </c>
      <c r="T83" s="19"/>
      <c r="U83" s="18">
        <v>0</v>
      </c>
      <c r="V83" s="16"/>
      <c r="W83" s="17"/>
      <c r="X83" s="18">
        <f t="shared" si="15"/>
        <v>0</v>
      </c>
      <c r="Y83" s="19"/>
      <c r="Z83" s="19"/>
      <c r="AA83" s="18">
        <f t="shared" si="16"/>
        <v>0</v>
      </c>
      <c r="AB83" s="20">
        <f t="shared" si="17"/>
        <v>0</v>
      </c>
      <c r="AC83" s="5"/>
      <c r="AD83" s="8"/>
      <c r="AF83" s="6"/>
      <c r="AG83" s="7"/>
      <c r="AJ83" s="33"/>
      <c r="AK83" s="35"/>
      <c r="AL83" s="37"/>
    </row>
    <row r="84" spans="1:38" ht="17.25" customHeight="1">
      <c r="A84" s="25"/>
      <c r="B84" s="26"/>
      <c r="C84" s="14"/>
      <c r="D84" s="31"/>
      <c r="E84" s="14"/>
      <c r="F84" s="15" t="str">
        <f t="shared" si="12"/>
        <v xml:space="preserve">S/F  </v>
      </c>
      <c r="G84" s="16"/>
      <c r="H84" s="17">
        <v>21</v>
      </c>
      <c r="I84" s="18">
        <f t="shared" si="13"/>
        <v>0</v>
      </c>
      <c r="J84" s="17"/>
      <c r="K84" s="18"/>
      <c r="L84" s="16"/>
      <c r="M84" s="17"/>
      <c r="N84" s="18">
        <f t="shared" si="14"/>
        <v>0</v>
      </c>
      <c r="O84" s="19"/>
      <c r="P84" s="18">
        <v>0</v>
      </c>
      <c r="Q84" s="16"/>
      <c r="R84" s="17"/>
      <c r="S84" s="18">
        <v>0</v>
      </c>
      <c r="T84" s="19"/>
      <c r="U84" s="18">
        <v>0</v>
      </c>
      <c r="V84" s="16"/>
      <c r="W84" s="17"/>
      <c r="X84" s="18">
        <f t="shared" si="15"/>
        <v>0</v>
      </c>
      <c r="Y84" s="19"/>
      <c r="Z84" s="19"/>
      <c r="AA84" s="18">
        <f t="shared" si="16"/>
        <v>0</v>
      </c>
      <c r="AB84" s="20">
        <f t="shared" si="17"/>
        <v>0</v>
      </c>
      <c r="AC84" s="5"/>
      <c r="AD84" s="8"/>
      <c r="AF84" s="6"/>
      <c r="AG84" s="7"/>
      <c r="AJ84" s="33"/>
      <c r="AK84" s="35"/>
      <c r="AL84" s="37"/>
    </row>
    <row r="85" spans="1:38" ht="17.25" customHeight="1">
      <c r="A85" s="25"/>
      <c r="B85" s="26"/>
      <c r="C85" s="14"/>
      <c r="D85" s="31"/>
      <c r="E85" s="14"/>
      <c r="F85" s="15" t="str">
        <f t="shared" si="12"/>
        <v xml:space="preserve">S/F  </v>
      </c>
      <c r="G85" s="16"/>
      <c r="H85" s="17">
        <v>21</v>
      </c>
      <c r="I85" s="18">
        <f t="shared" si="13"/>
        <v>0</v>
      </c>
      <c r="J85" s="17"/>
      <c r="K85" s="18"/>
      <c r="L85" s="16"/>
      <c r="M85" s="17"/>
      <c r="N85" s="18">
        <f t="shared" si="14"/>
        <v>0</v>
      </c>
      <c r="O85" s="19"/>
      <c r="P85" s="18">
        <v>0</v>
      </c>
      <c r="Q85" s="16"/>
      <c r="R85" s="17"/>
      <c r="S85" s="18">
        <v>0</v>
      </c>
      <c r="T85" s="19"/>
      <c r="U85" s="18">
        <v>0</v>
      </c>
      <c r="V85" s="16"/>
      <c r="W85" s="17"/>
      <c r="X85" s="18">
        <f t="shared" si="15"/>
        <v>0</v>
      </c>
      <c r="Y85" s="19"/>
      <c r="Z85" s="19"/>
      <c r="AA85" s="18">
        <f t="shared" si="16"/>
        <v>0</v>
      </c>
      <c r="AB85" s="20">
        <f t="shared" si="17"/>
        <v>0</v>
      </c>
      <c r="AC85" s="5"/>
      <c r="AD85" s="8"/>
      <c r="AF85" s="6"/>
      <c r="AG85" s="7"/>
      <c r="AJ85" s="33"/>
      <c r="AK85" s="35"/>
      <c r="AL85" s="37"/>
    </row>
    <row r="86" spans="1:38" ht="17.25" customHeight="1">
      <c r="A86" s="25"/>
      <c r="B86" s="26"/>
      <c r="C86" s="14"/>
      <c r="D86" s="31"/>
      <c r="E86" s="14"/>
      <c r="F86" s="15" t="str">
        <f t="shared" si="12"/>
        <v xml:space="preserve">S/F  </v>
      </c>
      <c r="G86" s="16"/>
      <c r="H86" s="17">
        <v>21</v>
      </c>
      <c r="I86" s="18">
        <f t="shared" si="13"/>
        <v>0</v>
      </c>
      <c r="J86" s="17"/>
      <c r="K86" s="18"/>
      <c r="L86" s="16"/>
      <c r="M86" s="17"/>
      <c r="N86" s="18">
        <f t="shared" si="14"/>
        <v>0</v>
      </c>
      <c r="O86" s="19"/>
      <c r="P86" s="18">
        <v>0</v>
      </c>
      <c r="Q86" s="16"/>
      <c r="R86" s="17"/>
      <c r="S86" s="18">
        <v>0</v>
      </c>
      <c r="T86" s="19"/>
      <c r="U86" s="18">
        <v>0</v>
      </c>
      <c r="V86" s="16"/>
      <c r="W86" s="17"/>
      <c r="X86" s="18">
        <f t="shared" si="15"/>
        <v>0</v>
      </c>
      <c r="Y86" s="19"/>
      <c r="Z86" s="19"/>
      <c r="AA86" s="18">
        <f t="shared" si="16"/>
        <v>0</v>
      </c>
      <c r="AB86" s="20">
        <f t="shared" si="17"/>
        <v>0</v>
      </c>
      <c r="AC86" s="5"/>
      <c r="AD86" s="8"/>
      <c r="AF86" s="6"/>
      <c r="AG86" s="7"/>
      <c r="AJ86" s="33"/>
      <c r="AK86" s="35"/>
      <c r="AL86" s="38"/>
    </row>
    <row r="87" spans="1:38" ht="17.25" customHeight="1">
      <c r="A87" s="25"/>
      <c r="B87" s="26"/>
      <c r="C87" s="14"/>
      <c r="D87" s="31"/>
      <c r="E87" s="14"/>
      <c r="F87" s="15" t="str">
        <f t="shared" si="12"/>
        <v xml:space="preserve">S/F  </v>
      </c>
      <c r="G87" s="16"/>
      <c r="H87" s="17">
        <v>21</v>
      </c>
      <c r="I87" s="18">
        <f t="shared" si="13"/>
        <v>0</v>
      </c>
      <c r="J87" s="17"/>
      <c r="K87" s="18"/>
      <c r="L87" s="16"/>
      <c r="M87" s="17"/>
      <c r="N87" s="18">
        <f t="shared" si="14"/>
        <v>0</v>
      </c>
      <c r="O87" s="19"/>
      <c r="P87" s="18">
        <v>0</v>
      </c>
      <c r="Q87" s="16"/>
      <c r="R87" s="17"/>
      <c r="S87" s="18">
        <v>0</v>
      </c>
      <c r="T87" s="19"/>
      <c r="U87" s="18">
        <v>0</v>
      </c>
      <c r="V87" s="16"/>
      <c r="W87" s="17"/>
      <c r="X87" s="18">
        <f t="shared" si="15"/>
        <v>0</v>
      </c>
      <c r="Y87" s="19"/>
      <c r="Z87" s="19"/>
      <c r="AA87" s="18">
        <f t="shared" si="16"/>
        <v>0</v>
      </c>
      <c r="AB87" s="20">
        <f t="shared" si="17"/>
        <v>0</v>
      </c>
      <c r="AC87" s="5"/>
      <c r="AD87" s="8"/>
      <c r="AF87" s="6"/>
      <c r="AG87" s="7"/>
      <c r="AJ87" s="33"/>
      <c r="AK87" s="35"/>
      <c r="AL87" s="37"/>
    </row>
    <row r="88" spans="1:38" ht="17.25" customHeight="1">
      <c r="A88" s="25"/>
      <c r="B88" s="26"/>
      <c r="C88" s="14"/>
      <c r="D88" s="31"/>
      <c r="E88" s="14"/>
      <c r="F88" s="15" t="str">
        <f t="shared" si="12"/>
        <v xml:space="preserve">S/F  </v>
      </c>
      <c r="G88" s="16"/>
      <c r="H88" s="17">
        <v>21</v>
      </c>
      <c r="I88" s="18">
        <f t="shared" si="13"/>
        <v>0</v>
      </c>
      <c r="J88" s="17"/>
      <c r="K88" s="18"/>
      <c r="L88" s="16"/>
      <c r="M88" s="17"/>
      <c r="N88" s="18">
        <f t="shared" si="14"/>
        <v>0</v>
      </c>
      <c r="O88" s="19"/>
      <c r="P88" s="18">
        <v>0</v>
      </c>
      <c r="Q88" s="16"/>
      <c r="R88" s="17"/>
      <c r="S88" s="18">
        <v>0</v>
      </c>
      <c r="T88" s="19"/>
      <c r="U88" s="18">
        <v>0</v>
      </c>
      <c r="V88" s="16"/>
      <c r="W88" s="17"/>
      <c r="X88" s="18">
        <f t="shared" si="15"/>
        <v>0</v>
      </c>
      <c r="Y88" s="19"/>
      <c r="Z88" s="19"/>
      <c r="AA88" s="18">
        <f t="shared" si="16"/>
        <v>0</v>
      </c>
      <c r="AB88" s="20">
        <f t="shared" si="17"/>
        <v>0</v>
      </c>
      <c r="AC88" s="5"/>
      <c r="AD88" s="8"/>
      <c r="AF88" s="6"/>
      <c r="AG88" s="7"/>
      <c r="AJ88" s="33"/>
      <c r="AK88" s="35"/>
      <c r="AL88" s="37"/>
    </row>
    <row r="89" spans="1:38" ht="17.25" customHeight="1">
      <c r="A89" s="25"/>
      <c r="B89" s="26"/>
      <c r="C89" s="14"/>
      <c r="D89" s="31"/>
      <c r="E89" s="14"/>
      <c r="F89" s="15" t="str">
        <f t="shared" si="12"/>
        <v xml:space="preserve">S/F  </v>
      </c>
      <c r="G89" s="16"/>
      <c r="H89" s="17">
        <v>21</v>
      </c>
      <c r="I89" s="18">
        <f t="shared" si="13"/>
        <v>0</v>
      </c>
      <c r="J89" s="17"/>
      <c r="K89" s="18"/>
      <c r="L89" s="16"/>
      <c r="M89" s="17"/>
      <c r="N89" s="18">
        <f t="shared" si="14"/>
        <v>0</v>
      </c>
      <c r="O89" s="19"/>
      <c r="P89" s="18">
        <v>0</v>
      </c>
      <c r="Q89" s="16"/>
      <c r="R89" s="17"/>
      <c r="S89" s="18">
        <v>0</v>
      </c>
      <c r="T89" s="19"/>
      <c r="U89" s="18">
        <v>0</v>
      </c>
      <c r="V89" s="16"/>
      <c r="W89" s="17"/>
      <c r="X89" s="18">
        <f t="shared" si="15"/>
        <v>0</v>
      </c>
      <c r="Y89" s="19"/>
      <c r="Z89" s="19"/>
      <c r="AA89" s="18">
        <f t="shared" si="16"/>
        <v>0</v>
      </c>
      <c r="AB89" s="20">
        <f t="shared" si="17"/>
        <v>0</v>
      </c>
      <c r="AC89" s="5"/>
      <c r="AD89" s="8"/>
      <c r="AF89" s="6"/>
      <c r="AG89" s="7"/>
      <c r="AJ89" s="33"/>
      <c r="AK89" s="35"/>
      <c r="AL89" s="37"/>
    </row>
    <row r="90" spans="1:38" ht="17.25" customHeight="1">
      <c r="A90" s="25"/>
      <c r="B90" s="26"/>
      <c r="C90" s="14"/>
      <c r="D90" s="31"/>
      <c r="E90" s="14"/>
      <c r="F90" s="15" t="str">
        <f t="shared" si="12"/>
        <v xml:space="preserve">S/F  </v>
      </c>
      <c r="G90" s="16"/>
      <c r="H90" s="17">
        <v>21</v>
      </c>
      <c r="I90" s="18">
        <f t="shared" si="13"/>
        <v>0</v>
      </c>
      <c r="J90" s="17"/>
      <c r="K90" s="18"/>
      <c r="L90" s="16"/>
      <c r="M90" s="17"/>
      <c r="N90" s="18">
        <f t="shared" si="14"/>
        <v>0</v>
      </c>
      <c r="O90" s="19"/>
      <c r="P90" s="18">
        <v>0</v>
      </c>
      <c r="Q90" s="16"/>
      <c r="R90" s="17"/>
      <c r="S90" s="18">
        <v>0</v>
      </c>
      <c r="T90" s="19"/>
      <c r="U90" s="18">
        <v>0</v>
      </c>
      <c r="V90" s="16"/>
      <c r="W90" s="17"/>
      <c r="X90" s="18">
        <f t="shared" si="15"/>
        <v>0</v>
      </c>
      <c r="Y90" s="19"/>
      <c r="Z90" s="19"/>
      <c r="AA90" s="18">
        <f t="shared" si="16"/>
        <v>0</v>
      </c>
      <c r="AB90" s="20">
        <f t="shared" si="17"/>
        <v>0</v>
      </c>
      <c r="AC90" s="5"/>
      <c r="AD90" s="8"/>
      <c r="AF90" s="6"/>
      <c r="AG90" s="7"/>
      <c r="AJ90" s="33"/>
      <c r="AK90" s="35"/>
      <c r="AL90" s="37"/>
    </row>
    <row r="91" spans="1:38" ht="17.25" customHeight="1">
      <c r="A91" s="25"/>
      <c r="B91" s="26"/>
      <c r="C91" s="14"/>
      <c r="D91" s="31"/>
      <c r="E91" s="14"/>
      <c r="F91" s="15" t="str">
        <f t="shared" si="12"/>
        <v xml:space="preserve">S/F  </v>
      </c>
      <c r="G91" s="16"/>
      <c r="H91" s="17">
        <v>21</v>
      </c>
      <c r="I91" s="18">
        <f t="shared" si="13"/>
        <v>0</v>
      </c>
      <c r="J91" s="17"/>
      <c r="K91" s="18"/>
      <c r="L91" s="16"/>
      <c r="M91" s="17"/>
      <c r="N91" s="18">
        <f t="shared" si="14"/>
        <v>0</v>
      </c>
      <c r="O91" s="19"/>
      <c r="P91" s="18">
        <v>0</v>
      </c>
      <c r="Q91" s="16"/>
      <c r="R91" s="17"/>
      <c r="S91" s="18">
        <v>0</v>
      </c>
      <c r="T91" s="19"/>
      <c r="U91" s="18">
        <v>0</v>
      </c>
      <c r="V91" s="16"/>
      <c r="W91" s="17"/>
      <c r="X91" s="18">
        <f t="shared" si="15"/>
        <v>0</v>
      </c>
      <c r="Y91" s="19"/>
      <c r="Z91" s="19"/>
      <c r="AA91" s="18">
        <f t="shared" si="16"/>
        <v>0</v>
      </c>
      <c r="AB91" s="20">
        <f t="shared" si="17"/>
        <v>0</v>
      </c>
      <c r="AC91" s="5"/>
      <c r="AD91" s="8"/>
      <c r="AF91" s="6"/>
      <c r="AG91" s="7"/>
      <c r="AJ91" s="33"/>
      <c r="AK91" s="35"/>
      <c r="AL91" s="37"/>
    </row>
    <row r="92" spans="1:38" ht="17.25" customHeight="1">
      <c r="A92" s="25"/>
      <c r="B92" s="26"/>
      <c r="C92" s="14"/>
      <c r="D92" s="31"/>
      <c r="E92" s="14"/>
      <c r="F92" s="15" t="str">
        <f t="shared" si="12"/>
        <v xml:space="preserve">S/F  </v>
      </c>
      <c r="G92" s="16"/>
      <c r="H92" s="17">
        <v>21</v>
      </c>
      <c r="I92" s="18">
        <f t="shared" si="13"/>
        <v>0</v>
      </c>
      <c r="J92" s="17"/>
      <c r="K92" s="18"/>
      <c r="L92" s="16"/>
      <c r="M92" s="17"/>
      <c r="N92" s="18">
        <f t="shared" si="14"/>
        <v>0</v>
      </c>
      <c r="O92" s="19"/>
      <c r="P92" s="18">
        <v>0</v>
      </c>
      <c r="Q92" s="16"/>
      <c r="R92" s="17"/>
      <c r="S92" s="18">
        <v>0</v>
      </c>
      <c r="T92" s="19"/>
      <c r="U92" s="18">
        <v>0</v>
      </c>
      <c r="V92" s="16"/>
      <c r="W92" s="17"/>
      <c r="X92" s="18">
        <f t="shared" si="15"/>
        <v>0</v>
      </c>
      <c r="Y92" s="19"/>
      <c r="Z92" s="19"/>
      <c r="AA92" s="18">
        <f t="shared" si="16"/>
        <v>0</v>
      </c>
      <c r="AB92" s="20">
        <f t="shared" si="17"/>
        <v>0</v>
      </c>
      <c r="AC92" s="5"/>
      <c r="AD92" s="8"/>
      <c r="AF92" s="6"/>
      <c r="AG92" s="7"/>
      <c r="AJ92" s="33"/>
      <c r="AK92" s="35"/>
      <c r="AL92" s="37"/>
    </row>
    <row r="93" spans="1:38" ht="17.25" customHeight="1">
      <c r="A93" s="25"/>
      <c r="B93" s="26"/>
      <c r="C93" s="14"/>
      <c r="D93" s="31"/>
      <c r="E93" s="14"/>
      <c r="F93" s="15" t="str">
        <f t="shared" si="12"/>
        <v xml:space="preserve">S/F  </v>
      </c>
      <c r="G93" s="16"/>
      <c r="H93" s="17">
        <v>21</v>
      </c>
      <c r="I93" s="18">
        <f t="shared" si="13"/>
        <v>0</v>
      </c>
      <c r="J93" s="17"/>
      <c r="K93" s="18"/>
      <c r="L93" s="16"/>
      <c r="M93" s="17"/>
      <c r="N93" s="18">
        <f t="shared" si="14"/>
        <v>0</v>
      </c>
      <c r="O93" s="19"/>
      <c r="P93" s="18">
        <v>0</v>
      </c>
      <c r="Q93" s="16"/>
      <c r="R93" s="17"/>
      <c r="S93" s="18">
        <v>0</v>
      </c>
      <c r="T93" s="19"/>
      <c r="U93" s="18">
        <v>0</v>
      </c>
      <c r="V93" s="16"/>
      <c r="W93" s="17"/>
      <c r="X93" s="18">
        <f t="shared" si="15"/>
        <v>0</v>
      </c>
      <c r="Y93" s="19"/>
      <c r="Z93" s="19"/>
      <c r="AA93" s="18">
        <f t="shared" si="16"/>
        <v>0</v>
      </c>
      <c r="AB93" s="20">
        <f t="shared" si="17"/>
        <v>0</v>
      </c>
      <c r="AC93" s="5"/>
      <c r="AD93" s="8"/>
      <c r="AF93" s="6"/>
      <c r="AG93" s="7"/>
      <c r="AJ93" s="33"/>
      <c r="AK93" s="35"/>
      <c r="AL93" s="37"/>
    </row>
    <row r="94" spans="1:38" ht="17.25" customHeight="1">
      <c r="A94" s="25"/>
      <c r="B94" s="26"/>
      <c r="C94" s="14"/>
      <c r="D94" s="31"/>
      <c r="E94" s="14"/>
      <c r="F94" s="15" t="str">
        <f t="shared" si="12"/>
        <v xml:space="preserve">S/F  </v>
      </c>
      <c r="G94" s="16"/>
      <c r="H94" s="17">
        <v>21</v>
      </c>
      <c r="I94" s="18">
        <f t="shared" si="13"/>
        <v>0</v>
      </c>
      <c r="J94" s="17"/>
      <c r="K94" s="18"/>
      <c r="L94" s="16"/>
      <c r="M94" s="17"/>
      <c r="N94" s="18">
        <f t="shared" si="14"/>
        <v>0</v>
      </c>
      <c r="O94" s="19"/>
      <c r="P94" s="18">
        <v>0</v>
      </c>
      <c r="Q94" s="16"/>
      <c r="R94" s="17"/>
      <c r="S94" s="18">
        <v>0</v>
      </c>
      <c r="T94" s="19"/>
      <c r="U94" s="18">
        <v>0</v>
      </c>
      <c r="V94" s="16"/>
      <c r="W94" s="17"/>
      <c r="X94" s="18">
        <f t="shared" si="15"/>
        <v>0</v>
      </c>
      <c r="Y94" s="19"/>
      <c r="Z94" s="19"/>
      <c r="AA94" s="18">
        <f t="shared" si="16"/>
        <v>0</v>
      </c>
      <c r="AB94" s="20">
        <f t="shared" si="17"/>
        <v>0</v>
      </c>
      <c r="AC94" s="5"/>
      <c r="AD94" s="8"/>
      <c r="AF94" s="6"/>
      <c r="AG94" s="7"/>
      <c r="AJ94" s="33"/>
      <c r="AK94" s="35"/>
      <c r="AL94" s="37"/>
    </row>
    <row r="95" spans="1:38" ht="17.25" customHeight="1">
      <c r="A95" s="25"/>
      <c r="B95" s="26"/>
      <c r="C95" s="14"/>
      <c r="D95" s="31"/>
      <c r="E95" s="14"/>
      <c r="F95" s="15" t="str">
        <f t="shared" si="12"/>
        <v xml:space="preserve">S/F  </v>
      </c>
      <c r="G95" s="16"/>
      <c r="H95" s="17">
        <v>21</v>
      </c>
      <c r="I95" s="18">
        <f t="shared" si="13"/>
        <v>0</v>
      </c>
      <c r="J95" s="17"/>
      <c r="K95" s="18"/>
      <c r="L95" s="16"/>
      <c r="M95" s="17"/>
      <c r="N95" s="18">
        <f t="shared" si="14"/>
        <v>0</v>
      </c>
      <c r="O95" s="19"/>
      <c r="P95" s="18">
        <v>0</v>
      </c>
      <c r="Q95" s="16"/>
      <c r="R95" s="17"/>
      <c r="S95" s="18">
        <v>0</v>
      </c>
      <c r="T95" s="19"/>
      <c r="U95" s="18">
        <v>0</v>
      </c>
      <c r="V95" s="16"/>
      <c r="W95" s="17"/>
      <c r="X95" s="18">
        <f t="shared" si="15"/>
        <v>0</v>
      </c>
      <c r="Y95" s="19"/>
      <c r="Z95" s="19"/>
      <c r="AA95" s="18">
        <f t="shared" si="16"/>
        <v>0</v>
      </c>
      <c r="AB95" s="20">
        <f t="shared" si="17"/>
        <v>0</v>
      </c>
      <c r="AC95" s="5"/>
      <c r="AD95" s="8"/>
      <c r="AF95" s="6"/>
      <c r="AG95" s="7"/>
      <c r="AJ95" s="33"/>
      <c r="AK95" s="35"/>
      <c r="AL95" s="37"/>
    </row>
    <row r="96" spans="1:38" ht="17.25" customHeight="1">
      <c r="A96" s="25"/>
      <c r="B96" s="26"/>
      <c r="C96" s="14"/>
      <c r="D96" s="31"/>
      <c r="E96" s="14"/>
      <c r="F96" s="15" t="str">
        <f t="shared" si="12"/>
        <v xml:space="preserve">S/F  </v>
      </c>
      <c r="G96" s="16"/>
      <c r="H96" s="17">
        <v>21</v>
      </c>
      <c r="I96" s="18">
        <f t="shared" si="13"/>
        <v>0</v>
      </c>
      <c r="J96" s="17"/>
      <c r="K96" s="18"/>
      <c r="L96" s="16"/>
      <c r="M96" s="17"/>
      <c r="N96" s="18">
        <f t="shared" si="14"/>
        <v>0</v>
      </c>
      <c r="O96" s="19"/>
      <c r="P96" s="18">
        <v>0</v>
      </c>
      <c r="Q96" s="16"/>
      <c r="R96" s="17"/>
      <c r="S96" s="18">
        <v>0</v>
      </c>
      <c r="T96" s="19"/>
      <c r="U96" s="18">
        <v>0</v>
      </c>
      <c r="V96" s="16"/>
      <c r="W96" s="17"/>
      <c r="X96" s="18">
        <f t="shared" si="15"/>
        <v>0</v>
      </c>
      <c r="Y96" s="19"/>
      <c r="Z96" s="19"/>
      <c r="AA96" s="18">
        <f t="shared" si="16"/>
        <v>0</v>
      </c>
      <c r="AB96" s="20">
        <f t="shared" si="17"/>
        <v>0</v>
      </c>
      <c r="AC96" s="5"/>
      <c r="AD96" s="8"/>
      <c r="AF96" s="6"/>
      <c r="AG96" s="7"/>
      <c r="AJ96" s="33"/>
      <c r="AK96" s="35"/>
      <c r="AL96" s="37"/>
    </row>
    <row r="97" spans="1:38" ht="17.25" customHeight="1">
      <c r="A97" s="25"/>
      <c r="B97" s="26"/>
      <c r="C97" s="14"/>
      <c r="D97" s="31"/>
      <c r="E97" s="14"/>
      <c r="F97" s="15" t="str">
        <f t="shared" si="12"/>
        <v xml:space="preserve">S/F  </v>
      </c>
      <c r="G97" s="16"/>
      <c r="H97" s="17">
        <v>21</v>
      </c>
      <c r="I97" s="18">
        <f t="shared" si="13"/>
        <v>0</v>
      </c>
      <c r="J97" s="17"/>
      <c r="K97" s="18"/>
      <c r="L97" s="16"/>
      <c r="M97" s="17"/>
      <c r="N97" s="18">
        <f t="shared" si="14"/>
        <v>0</v>
      </c>
      <c r="O97" s="19"/>
      <c r="P97" s="18">
        <v>0</v>
      </c>
      <c r="Q97" s="16"/>
      <c r="R97" s="17"/>
      <c r="S97" s="18">
        <v>0</v>
      </c>
      <c r="T97" s="19"/>
      <c r="U97" s="18">
        <v>0</v>
      </c>
      <c r="V97" s="16"/>
      <c r="W97" s="17"/>
      <c r="X97" s="18">
        <f t="shared" si="15"/>
        <v>0</v>
      </c>
      <c r="Y97" s="19"/>
      <c r="Z97" s="19"/>
      <c r="AA97" s="18">
        <f t="shared" si="16"/>
        <v>0</v>
      </c>
      <c r="AB97" s="20">
        <f t="shared" si="17"/>
        <v>0</v>
      </c>
      <c r="AC97" s="5"/>
      <c r="AD97" s="8"/>
      <c r="AF97" s="6"/>
      <c r="AG97" s="7"/>
      <c r="AJ97" s="33"/>
      <c r="AK97" s="35"/>
      <c r="AL97" s="37"/>
    </row>
    <row r="98" spans="1:38" ht="17.25" customHeight="1">
      <c r="A98" s="25"/>
      <c r="B98" s="26"/>
      <c r="C98" s="14"/>
      <c r="D98" s="31"/>
      <c r="E98" s="14"/>
      <c r="F98" s="15" t="str">
        <f t="shared" ref="F98:F129" si="18">"S/F "&amp;B98&amp;" "&amp;E98</f>
        <v xml:space="preserve">S/F  </v>
      </c>
      <c r="G98" s="16"/>
      <c r="H98" s="17">
        <v>21</v>
      </c>
      <c r="I98" s="18">
        <f t="shared" ref="I98:I129" si="19">+IF(G98&lt;&gt;0,G98*H98/100,0)</f>
        <v>0</v>
      </c>
      <c r="J98" s="17"/>
      <c r="K98" s="18"/>
      <c r="L98" s="16"/>
      <c r="M98" s="17"/>
      <c r="N98" s="18">
        <f t="shared" ref="N98:N129" si="20">+IF(L98&lt;&gt;0,L98*M98/100,0)</f>
        <v>0</v>
      </c>
      <c r="O98" s="19"/>
      <c r="P98" s="18">
        <v>0</v>
      </c>
      <c r="Q98" s="16"/>
      <c r="R98" s="17"/>
      <c r="S98" s="18">
        <v>0</v>
      </c>
      <c r="T98" s="19"/>
      <c r="U98" s="18">
        <v>0</v>
      </c>
      <c r="V98" s="16"/>
      <c r="W98" s="17"/>
      <c r="X98" s="18">
        <f t="shared" ref="X98:X129" si="21">+IF(W98&lt;&gt;0,V98*W98/100,0)</f>
        <v>0</v>
      </c>
      <c r="Y98" s="19"/>
      <c r="Z98" s="19"/>
      <c r="AA98" s="18">
        <f t="shared" ref="AA98:AA129" si="22">+IF(Z98&lt;&gt;0,Y98*Z98/100,0)</f>
        <v>0</v>
      </c>
      <c r="AB98" s="20">
        <f t="shared" ref="AB98:AB129" si="23">+G98+I98+K98+L98+N98+P98+Q98+S98+U98-X98-AA98</f>
        <v>0</v>
      </c>
      <c r="AC98" s="5"/>
      <c r="AD98" s="8"/>
      <c r="AF98" s="6"/>
      <c r="AG98" s="7"/>
      <c r="AJ98" s="33"/>
      <c r="AK98" s="35"/>
      <c r="AL98" s="37"/>
    </row>
    <row r="99" spans="1:38" ht="17.25" customHeight="1">
      <c r="A99" s="25"/>
      <c r="B99" s="26"/>
      <c r="C99" s="14"/>
      <c r="D99" s="31"/>
      <c r="E99" s="14"/>
      <c r="F99" s="15" t="str">
        <f t="shared" si="18"/>
        <v xml:space="preserve">S/F  </v>
      </c>
      <c r="G99" s="16"/>
      <c r="H99" s="17">
        <v>21</v>
      </c>
      <c r="I99" s="18">
        <f t="shared" si="19"/>
        <v>0</v>
      </c>
      <c r="J99" s="17"/>
      <c r="K99" s="18"/>
      <c r="L99" s="16"/>
      <c r="M99" s="17"/>
      <c r="N99" s="18">
        <f t="shared" si="20"/>
        <v>0</v>
      </c>
      <c r="O99" s="19"/>
      <c r="P99" s="18">
        <v>0</v>
      </c>
      <c r="Q99" s="16"/>
      <c r="R99" s="17"/>
      <c r="S99" s="18">
        <v>0</v>
      </c>
      <c r="T99" s="19"/>
      <c r="U99" s="18">
        <v>0</v>
      </c>
      <c r="V99" s="16"/>
      <c r="W99" s="17"/>
      <c r="X99" s="18">
        <f t="shared" si="21"/>
        <v>0</v>
      </c>
      <c r="Y99" s="19"/>
      <c r="Z99" s="19"/>
      <c r="AA99" s="18">
        <f t="shared" si="22"/>
        <v>0</v>
      </c>
      <c r="AB99" s="20">
        <f t="shared" si="23"/>
        <v>0</v>
      </c>
      <c r="AC99" s="5"/>
      <c r="AD99" s="8"/>
      <c r="AF99" s="6"/>
      <c r="AG99" s="7"/>
      <c r="AJ99" s="33"/>
      <c r="AK99" s="35"/>
      <c r="AL99" s="37"/>
    </row>
    <row r="100" spans="1:38" ht="17.25" customHeight="1">
      <c r="A100" s="25"/>
      <c r="B100" s="26"/>
      <c r="C100" s="14"/>
      <c r="D100" s="31"/>
      <c r="E100" s="14"/>
      <c r="F100" s="15" t="str">
        <f t="shared" si="18"/>
        <v xml:space="preserve">S/F  </v>
      </c>
      <c r="G100" s="16"/>
      <c r="H100" s="17">
        <v>21</v>
      </c>
      <c r="I100" s="18">
        <f t="shared" si="19"/>
        <v>0</v>
      </c>
      <c r="J100" s="17"/>
      <c r="K100" s="18"/>
      <c r="L100" s="16"/>
      <c r="M100" s="17"/>
      <c r="N100" s="18">
        <f t="shared" si="20"/>
        <v>0</v>
      </c>
      <c r="O100" s="19"/>
      <c r="P100" s="18">
        <v>0</v>
      </c>
      <c r="Q100" s="16"/>
      <c r="R100" s="17"/>
      <c r="S100" s="18">
        <v>0</v>
      </c>
      <c r="T100" s="19"/>
      <c r="U100" s="18">
        <v>0</v>
      </c>
      <c r="V100" s="16"/>
      <c r="W100" s="17"/>
      <c r="X100" s="18">
        <f t="shared" si="21"/>
        <v>0</v>
      </c>
      <c r="Y100" s="19"/>
      <c r="Z100" s="19"/>
      <c r="AA100" s="18">
        <f t="shared" si="22"/>
        <v>0</v>
      </c>
      <c r="AB100" s="20">
        <f t="shared" si="23"/>
        <v>0</v>
      </c>
      <c r="AC100" s="5"/>
      <c r="AD100" s="8"/>
      <c r="AF100" s="6"/>
      <c r="AG100" s="7"/>
      <c r="AJ100" s="33"/>
      <c r="AK100" s="35"/>
      <c r="AL100" s="37"/>
    </row>
    <row r="101" spans="1:38" ht="17.25" customHeight="1">
      <c r="A101" s="25"/>
      <c r="B101" s="26"/>
      <c r="C101" s="14"/>
      <c r="D101" s="31"/>
      <c r="E101" s="14"/>
      <c r="F101" s="15" t="str">
        <f t="shared" si="18"/>
        <v xml:space="preserve">S/F  </v>
      </c>
      <c r="G101" s="16"/>
      <c r="H101" s="17">
        <v>21</v>
      </c>
      <c r="I101" s="18">
        <f t="shared" si="19"/>
        <v>0</v>
      </c>
      <c r="J101" s="17"/>
      <c r="K101" s="18"/>
      <c r="L101" s="16"/>
      <c r="M101" s="17"/>
      <c r="N101" s="18">
        <f t="shared" si="20"/>
        <v>0</v>
      </c>
      <c r="O101" s="19"/>
      <c r="P101" s="18">
        <v>0</v>
      </c>
      <c r="Q101" s="16"/>
      <c r="R101" s="17"/>
      <c r="S101" s="18">
        <v>0</v>
      </c>
      <c r="T101" s="19"/>
      <c r="U101" s="18">
        <v>0</v>
      </c>
      <c r="V101" s="16"/>
      <c r="W101" s="17"/>
      <c r="X101" s="18">
        <f t="shared" si="21"/>
        <v>0</v>
      </c>
      <c r="Y101" s="19"/>
      <c r="Z101" s="19"/>
      <c r="AA101" s="18">
        <f t="shared" si="22"/>
        <v>0</v>
      </c>
      <c r="AB101" s="20">
        <f t="shared" si="23"/>
        <v>0</v>
      </c>
      <c r="AC101" s="5"/>
      <c r="AD101" s="8"/>
      <c r="AF101" s="6"/>
      <c r="AG101" s="7"/>
      <c r="AJ101" s="33"/>
      <c r="AK101" s="35"/>
      <c r="AL101" s="37"/>
    </row>
    <row r="102" spans="1:38" ht="17.25" customHeight="1">
      <c r="A102" s="25"/>
      <c r="B102" s="26"/>
      <c r="C102" s="14"/>
      <c r="D102" s="31"/>
      <c r="E102" s="14"/>
      <c r="F102" s="15" t="str">
        <f t="shared" si="18"/>
        <v xml:space="preserve">S/F  </v>
      </c>
      <c r="G102" s="16"/>
      <c r="H102" s="17">
        <v>21</v>
      </c>
      <c r="I102" s="18">
        <f t="shared" si="19"/>
        <v>0</v>
      </c>
      <c r="J102" s="17"/>
      <c r="K102" s="18"/>
      <c r="L102" s="16"/>
      <c r="M102" s="17"/>
      <c r="N102" s="18">
        <f t="shared" si="20"/>
        <v>0</v>
      </c>
      <c r="O102" s="19"/>
      <c r="P102" s="18">
        <v>0</v>
      </c>
      <c r="Q102" s="16"/>
      <c r="R102" s="17"/>
      <c r="S102" s="18">
        <v>0</v>
      </c>
      <c r="T102" s="19"/>
      <c r="U102" s="18">
        <v>0</v>
      </c>
      <c r="V102" s="16"/>
      <c r="W102" s="17"/>
      <c r="X102" s="18">
        <f t="shared" si="21"/>
        <v>0</v>
      </c>
      <c r="Y102" s="19"/>
      <c r="Z102" s="19"/>
      <c r="AA102" s="18">
        <f t="shared" si="22"/>
        <v>0</v>
      </c>
      <c r="AB102" s="20">
        <f t="shared" si="23"/>
        <v>0</v>
      </c>
      <c r="AC102" s="5"/>
      <c r="AD102" s="8"/>
      <c r="AF102" s="6"/>
      <c r="AG102" s="7"/>
      <c r="AJ102" s="33"/>
      <c r="AK102" s="35"/>
      <c r="AL102" s="37"/>
    </row>
    <row r="103" spans="1:38" ht="17.25" customHeight="1">
      <c r="A103" s="25"/>
      <c r="B103" s="26"/>
      <c r="C103" s="14"/>
      <c r="D103" s="31"/>
      <c r="E103" s="14"/>
      <c r="F103" s="15" t="str">
        <f t="shared" si="18"/>
        <v xml:space="preserve">S/F  </v>
      </c>
      <c r="G103" s="16"/>
      <c r="H103" s="17">
        <v>21</v>
      </c>
      <c r="I103" s="18">
        <f t="shared" si="19"/>
        <v>0</v>
      </c>
      <c r="J103" s="17"/>
      <c r="K103" s="18"/>
      <c r="L103" s="16"/>
      <c r="M103" s="17"/>
      <c r="N103" s="18">
        <f t="shared" si="20"/>
        <v>0</v>
      </c>
      <c r="O103" s="19"/>
      <c r="P103" s="18">
        <v>0</v>
      </c>
      <c r="Q103" s="16"/>
      <c r="R103" s="17"/>
      <c r="S103" s="18">
        <v>0</v>
      </c>
      <c r="T103" s="19"/>
      <c r="U103" s="18">
        <v>0</v>
      </c>
      <c r="V103" s="16"/>
      <c r="W103" s="17"/>
      <c r="X103" s="18">
        <f t="shared" si="21"/>
        <v>0</v>
      </c>
      <c r="Y103" s="19"/>
      <c r="Z103" s="19"/>
      <c r="AA103" s="18">
        <f t="shared" si="22"/>
        <v>0</v>
      </c>
      <c r="AB103" s="20">
        <f t="shared" si="23"/>
        <v>0</v>
      </c>
      <c r="AC103" s="5"/>
      <c r="AD103" s="8"/>
      <c r="AF103" s="6"/>
      <c r="AG103" s="7"/>
      <c r="AJ103" s="33"/>
      <c r="AK103" s="35"/>
      <c r="AL103" s="37"/>
    </row>
    <row r="104" spans="1:38" ht="17.25" customHeight="1">
      <c r="A104" s="25"/>
      <c r="B104" s="26"/>
      <c r="C104" s="14"/>
      <c r="D104" s="31"/>
      <c r="E104" s="14"/>
      <c r="F104" s="15" t="str">
        <f t="shared" si="18"/>
        <v xml:space="preserve">S/F  </v>
      </c>
      <c r="G104" s="16"/>
      <c r="H104" s="17">
        <v>21</v>
      </c>
      <c r="I104" s="18">
        <f t="shared" si="19"/>
        <v>0</v>
      </c>
      <c r="J104" s="17"/>
      <c r="K104" s="18"/>
      <c r="L104" s="16"/>
      <c r="M104" s="17"/>
      <c r="N104" s="18">
        <f t="shared" si="20"/>
        <v>0</v>
      </c>
      <c r="O104" s="19"/>
      <c r="P104" s="18">
        <v>0</v>
      </c>
      <c r="Q104" s="16"/>
      <c r="R104" s="17"/>
      <c r="S104" s="18">
        <v>0</v>
      </c>
      <c r="T104" s="19"/>
      <c r="U104" s="18">
        <v>0</v>
      </c>
      <c r="V104" s="16"/>
      <c r="W104" s="17"/>
      <c r="X104" s="18">
        <f t="shared" si="21"/>
        <v>0</v>
      </c>
      <c r="Y104" s="19"/>
      <c r="Z104" s="19"/>
      <c r="AA104" s="18">
        <f t="shared" si="22"/>
        <v>0</v>
      </c>
      <c r="AB104" s="20">
        <f t="shared" si="23"/>
        <v>0</v>
      </c>
      <c r="AC104" s="5"/>
      <c r="AD104" s="8"/>
      <c r="AF104" s="6"/>
      <c r="AG104" s="7"/>
      <c r="AJ104" s="33"/>
      <c r="AK104" s="35"/>
      <c r="AL104" s="37"/>
    </row>
    <row r="105" spans="1:38" ht="17.25" customHeight="1">
      <c r="A105" s="25"/>
      <c r="B105" s="26"/>
      <c r="C105" s="14"/>
      <c r="D105" s="31"/>
      <c r="E105" s="14"/>
      <c r="F105" s="15" t="str">
        <f t="shared" si="18"/>
        <v xml:space="preserve">S/F  </v>
      </c>
      <c r="G105" s="16"/>
      <c r="H105" s="17">
        <v>21</v>
      </c>
      <c r="I105" s="18">
        <f t="shared" si="19"/>
        <v>0</v>
      </c>
      <c r="J105" s="17"/>
      <c r="K105" s="18"/>
      <c r="L105" s="16"/>
      <c r="M105" s="17"/>
      <c r="N105" s="18">
        <f t="shared" si="20"/>
        <v>0</v>
      </c>
      <c r="O105" s="19"/>
      <c r="P105" s="18">
        <v>0</v>
      </c>
      <c r="Q105" s="16"/>
      <c r="R105" s="17"/>
      <c r="S105" s="18">
        <v>0</v>
      </c>
      <c r="T105" s="19"/>
      <c r="U105" s="18">
        <v>0</v>
      </c>
      <c r="V105" s="16"/>
      <c r="W105" s="17"/>
      <c r="X105" s="18">
        <f t="shared" si="21"/>
        <v>0</v>
      </c>
      <c r="Y105" s="19"/>
      <c r="Z105" s="19"/>
      <c r="AA105" s="18">
        <f t="shared" si="22"/>
        <v>0</v>
      </c>
      <c r="AB105" s="20">
        <f t="shared" si="23"/>
        <v>0</v>
      </c>
      <c r="AC105" s="5"/>
      <c r="AD105" s="8"/>
      <c r="AF105" s="6"/>
      <c r="AG105" s="7"/>
      <c r="AJ105" s="33"/>
      <c r="AK105" s="35"/>
      <c r="AL105" s="37"/>
    </row>
    <row r="106" spans="1:38" ht="17.25" customHeight="1">
      <c r="A106" s="25"/>
      <c r="B106" s="26"/>
      <c r="C106" s="14"/>
      <c r="D106" s="31"/>
      <c r="E106" s="14"/>
      <c r="F106" s="15" t="str">
        <f t="shared" si="18"/>
        <v xml:space="preserve">S/F  </v>
      </c>
      <c r="G106" s="16"/>
      <c r="H106" s="17">
        <v>21</v>
      </c>
      <c r="I106" s="18">
        <f t="shared" si="19"/>
        <v>0</v>
      </c>
      <c r="J106" s="17"/>
      <c r="K106" s="18"/>
      <c r="L106" s="16"/>
      <c r="M106" s="17"/>
      <c r="N106" s="18">
        <f t="shared" si="20"/>
        <v>0</v>
      </c>
      <c r="O106" s="19"/>
      <c r="P106" s="18">
        <v>0</v>
      </c>
      <c r="Q106" s="16"/>
      <c r="R106" s="17"/>
      <c r="S106" s="18">
        <v>0</v>
      </c>
      <c r="T106" s="19"/>
      <c r="U106" s="18">
        <v>0</v>
      </c>
      <c r="V106" s="16"/>
      <c r="W106" s="17"/>
      <c r="X106" s="18">
        <f t="shared" si="21"/>
        <v>0</v>
      </c>
      <c r="Y106" s="19"/>
      <c r="Z106" s="19"/>
      <c r="AA106" s="18">
        <f t="shared" si="22"/>
        <v>0</v>
      </c>
      <c r="AB106" s="20">
        <f t="shared" si="23"/>
        <v>0</v>
      </c>
      <c r="AC106" s="5"/>
      <c r="AD106" s="8"/>
      <c r="AF106" s="6"/>
      <c r="AG106" s="7"/>
      <c r="AJ106" s="33"/>
      <c r="AK106" s="35"/>
      <c r="AL106" s="37"/>
    </row>
    <row r="107" spans="1:38" ht="17.25" customHeight="1">
      <c r="A107" s="25"/>
      <c r="B107" s="26"/>
      <c r="C107" s="14"/>
      <c r="D107" s="31"/>
      <c r="E107" s="14"/>
      <c r="F107" s="15" t="str">
        <f t="shared" si="18"/>
        <v xml:space="preserve">S/F  </v>
      </c>
      <c r="G107" s="16"/>
      <c r="H107" s="17">
        <v>21</v>
      </c>
      <c r="I107" s="18">
        <f t="shared" si="19"/>
        <v>0</v>
      </c>
      <c r="J107" s="17"/>
      <c r="K107" s="18"/>
      <c r="L107" s="16"/>
      <c r="M107" s="17"/>
      <c r="N107" s="18">
        <f t="shared" si="20"/>
        <v>0</v>
      </c>
      <c r="O107" s="19"/>
      <c r="P107" s="18">
        <v>0</v>
      </c>
      <c r="Q107" s="16"/>
      <c r="R107" s="17"/>
      <c r="S107" s="18">
        <v>0</v>
      </c>
      <c r="T107" s="19"/>
      <c r="U107" s="18">
        <v>0</v>
      </c>
      <c r="V107" s="16"/>
      <c r="W107" s="17"/>
      <c r="X107" s="18">
        <f t="shared" si="21"/>
        <v>0</v>
      </c>
      <c r="Y107" s="19"/>
      <c r="Z107" s="19"/>
      <c r="AA107" s="18">
        <f t="shared" si="22"/>
        <v>0</v>
      </c>
      <c r="AB107" s="20">
        <f t="shared" si="23"/>
        <v>0</v>
      </c>
      <c r="AC107" s="5"/>
      <c r="AD107" s="8"/>
      <c r="AF107" s="6"/>
      <c r="AG107" s="7"/>
      <c r="AJ107" s="33"/>
      <c r="AK107" s="35"/>
      <c r="AL107" s="37"/>
    </row>
    <row r="108" spans="1:38" ht="17.25" customHeight="1">
      <c r="A108" s="25"/>
      <c r="B108" s="26"/>
      <c r="C108" s="14"/>
      <c r="D108" s="31"/>
      <c r="E108" s="14"/>
      <c r="F108" s="15" t="str">
        <f t="shared" si="18"/>
        <v xml:space="preserve">S/F  </v>
      </c>
      <c r="G108" s="16"/>
      <c r="H108" s="17">
        <v>21</v>
      </c>
      <c r="I108" s="18">
        <f t="shared" si="19"/>
        <v>0</v>
      </c>
      <c r="J108" s="17"/>
      <c r="K108" s="18"/>
      <c r="L108" s="16"/>
      <c r="M108" s="17"/>
      <c r="N108" s="18">
        <f t="shared" si="20"/>
        <v>0</v>
      </c>
      <c r="O108" s="19"/>
      <c r="P108" s="18">
        <v>0</v>
      </c>
      <c r="Q108" s="16"/>
      <c r="R108" s="17"/>
      <c r="S108" s="18">
        <v>0</v>
      </c>
      <c r="T108" s="19"/>
      <c r="U108" s="18">
        <v>0</v>
      </c>
      <c r="V108" s="16"/>
      <c r="W108" s="17"/>
      <c r="X108" s="18">
        <f t="shared" si="21"/>
        <v>0</v>
      </c>
      <c r="Y108" s="19"/>
      <c r="Z108" s="19"/>
      <c r="AA108" s="18">
        <f t="shared" si="22"/>
        <v>0</v>
      </c>
      <c r="AB108" s="20">
        <f t="shared" si="23"/>
        <v>0</v>
      </c>
      <c r="AC108" s="5"/>
      <c r="AD108" s="8"/>
      <c r="AF108" s="6"/>
      <c r="AG108" s="7"/>
      <c r="AJ108" s="33"/>
      <c r="AK108" s="35"/>
      <c r="AL108" s="37"/>
    </row>
    <row r="109" spans="1:38" ht="17.25" customHeight="1">
      <c r="A109" s="25"/>
      <c r="B109" s="26"/>
      <c r="C109" s="14"/>
      <c r="D109" s="31"/>
      <c r="E109" s="14"/>
      <c r="F109" s="15" t="str">
        <f t="shared" si="18"/>
        <v xml:space="preserve">S/F  </v>
      </c>
      <c r="G109" s="16"/>
      <c r="H109" s="17">
        <v>21</v>
      </c>
      <c r="I109" s="18">
        <f t="shared" si="19"/>
        <v>0</v>
      </c>
      <c r="J109" s="17"/>
      <c r="K109" s="18"/>
      <c r="L109" s="16"/>
      <c r="M109" s="17"/>
      <c r="N109" s="18">
        <f t="shared" si="20"/>
        <v>0</v>
      </c>
      <c r="O109" s="19"/>
      <c r="P109" s="18">
        <v>0</v>
      </c>
      <c r="Q109" s="16"/>
      <c r="R109" s="17"/>
      <c r="S109" s="18">
        <v>0</v>
      </c>
      <c r="T109" s="19"/>
      <c r="U109" s="18">
        <v>0</v>
      </c>
      <c r="V109" s="16"/>
      <c r="W109" s="17"/>
      <c r="X109" s="18">
        <f t="shared" si="21"/>
        <v>0</v>
      </c>
      <c r="Y109" s="19"/>
      <c r="Z109" s="19"/>
      <c r="AA109" s="18">
        <f t="shared" si="22"/>
        <v>0</v>
      </c>
      <c r="AB109" s="20">
        <f t="shared" si="23"/>
        <v>0</v>
      </c>
      <c r="AC109" s="5"/>
      <c r="AD109" s="8"/>
      <c r="AF109" s="6"/>
      <c r="AG109" s="7"/>
      <c r="AJ109" s="33"/>
      <c r="AK109" s="35"/>
      <c r="AL109" s="37"/>
    </row>
    <row r="110" spans="1:38" ht="17.25" customHeight="1">
      <c r="A110" s="25"/>
      <c r="B110" s="26"/>
      <c r="C110" s="14"/>
      <c r="D110" s="31"/>
      <c r="E110" s="14"/>
      <c r="F110" s="15" t="str">
        <f t="shared" si="18"/>
        <v xml:space="preserve">S/F  </v>
      </c>
      <c r="G110" s="16"/>
      <c r="H110" s="17">
        <v>21</v>
      </c>
      <c r="I110" s="18">
        <f t="shared" si="19"/>
        <v>0</v>
      </c>
      <c r="J110" s="17"/>
      <c r="K110" s="18"/>
      <c r="L110" s="16"/>
      <c r="M110" s="17"/>
      <c r="N110" s="18">
        <f t="shared" si="20"/>
        <v>0</v>
      </c>
      <c r="O110" s="19"/>
      <c r="P110" s="18">
        <v>0</v>
      </c>
      <c r="Q110" s="16"/>
      <c r="R110" s="17"/>
      <c r="S110" s="18">
        <v>0</v>
      </c>
      <c r="T110" s="19"/>
      <c r="U110" s="18">
        <v>0</v>
      </c>
      <c r="V110" s="16"/>
      <c r="W110" s="17"/>
      <c r="X110" s="18">
        <f t="shared" si="21"/>
        <v>0</v>
      </c>
      <c r="Y110" s="19"/>
      <c r="Z110" s="19"/>
      <c r="AA110" s="18">
        <f t="shared" si="22"/>
        <v>0</v>
      </c>
      <c r="AB110" s="20">
        <f t="shared" si="23"/>
        <v>0</v>
      </c>
      <c r="AC110" s="5"/>
      <c r="AD110" s="8"/>
      <c r="AF110" s="6"/>
      <c r="AG110" s="7"/>
      <c r="AJ110" s="33"/>
      <c r="AK110" s="35"/>
      <c r="AL110" s="37"/>
    </row>
    <row r="111" spans="1:38" ht="17.25" customHeight="1">
      <c r="A111" s="25"/>
      <c r="B111" s="26"/>
      <c r="C111" s="14"/>
      <c r="D111" s="31"/>
      <c r="E111" s="14"/>
      <c r="F111" s="15" t="str">
        <f t="shared" si="18"/>
        <v xml:space="preserve">S/F  </v>
      </c>
      <c r="G111" s="16"/>
      <c r="H111" s="17">
        <v>21</v>
      </c>
      <c r="I111" s="18">
        <f t="shared" si="19"/>
        <v>0</v>
      </c>
      <c r="J111" s="17"/>
      <c r="K111" s="18"/>
      <c r="L111" s="16"/>
      <c r="M111" s="17"/>
      <c r="N111" s="18">
        <f t="shared" si="20"/>
        <v>0</v>
      </c>
      <c r="O111" s="19"/>
      <c r="P111" s="18">
        <v>0</v>
      </c>
      <c r="Q111" s="16"/>
      <c r="R111" s="17"/>
      <c r="S111" s="18">
        <v>0</v>
      </c>
      <c r="T111" s="19"/>
      <c r="U111" s="18">
        <v>0</v>
      </c>
      <c r="V111" s="16"/>
      <c r="W111" s="17"/>
      <c r="X111" s="18">
        <f t="shared" si="21"/>
        <v>0</v>
      </c>
      <c r="Y111" s="19"/>
      <c r="Z111" s="19"/>
      <c r="AA111" s="18">
        <f t="shared" si="22"/>
        <v>0</v>
      </c>
      <c r="AB111" s="20">
        <f t="shared" si="23"/>
        <v>0</v>
      </c>
      <c r="AC111" s="5"/>
      <c r="AD111" s="8"/>
      <c r="AF111" s="6"/>
      <c r="AG111" s="7"/>
      <c r="AJ111" s="33"/>
      <c r="AK111" s="35"/>
      <c r="AL111" s="37"/>
    </row>
    <row r="112" spans="1:38" ht="17.25" customHeight="1">
      <c r="A112" s="25"/>
      <c r="B112" s="26"/>
      <c r="C112" s="14"/>
      <c r="D112" s="31"/>
      <c r="E112" s="14"/>
      <c r="F112" s="15" t="str">
        <f t="shared" si="18"/>
        <v xml:space="preserve">S/F  </v>
      </c>
      <c r="G112" s="16"/>
      <c r="H112" s="17">
        <v>21</v>
      </c>
      <c r="I112" s="18">
        <f t="shared" si="19"/>
        <v>0</v>
      </c>
      <c r="J112" s="17"/>
      <c r="K112" s="18"/>
      <c r="L112" s="16"/>
      <c r="M112" s="17"/>
      <c r="N112" s="18">
        <f t="shared" si="20"/>
        <v>0</v>
      </c>
      <c r="O112" s="19"/>
      <c r="P112" s="18">
        <v>0</v>
      </c>
      <c r="Q112" s="16"/>
      <c r="R112" s="17"/>
      <c r="S112" s="18">
        <v>0</v>
      </c>
      <c r="T112" s="19"/>
      <c r="U112" s="18">
        <v>0</v>
      </c>
      <c r="V112" s="16"/>
      <c r="W112" s="17"/>
      <c r="X112" s="18">
        <f t="shared" si="21"/>
        <v>0</v>
      </c>
      <c r="Y112" s="19"/>
      <c r="Z112" s="19"/>
      <c r="AA112" s="18">
        <f t="shared" si="22"/>
        <v>0</v>
      </c>
      <c r="AB112" s="20">
        <f t="shared" si="23"/>
        <v>0</v>
      </c>
      <c r="AC112" s="5"/>
      <c r="AD112" s="8"/>
      <c r="AF112" s="6"/>
      <c r="AG112" s="7"/>
      <c r="AJ112" s="33"/>
      <c r="AK112" s="35"/>
      <c r="AL112" s="37"/>
    </row>
    <row r="113" spans="1:38" ht="17.25" customHeight="1">
      <c r="A113" s="25"/>
      <c r="B113" s="26"/>
      <c r="C113" s="14"/>
      <c r="D113" s="31"/>
      <c r="E113" s="14"/>
      <c r="F113" s="15" t="str">
        <f t="shared" si="18"/>
        <v xml:space="preserve">S/F  </v>
      </c>
      <c r="G113" s="16"/>
      <c r="H113" s="17">
        <v>21</v>
      </c>
      <c r="I113" s="18">
        <f t="shared" si="19"/>
        <v>0</v>
      </c>
      <c r="J113" s="17"/>
      <c r="K113" s="18"/>
      <c r="L113" s="16"/>
      <c r="M113" s="17"/>
      <c r="N113" s="18">
        <f t="shared" si="20"/>
        <v>0</v>
      </c>
      <c r="O113" s="19"/>
      <c r="P113" s="18">
        <v>0</v>
      </c>
      <c r="Q113" s="16"/>
      <c r="R113" s="17"/>
      <c r="S113" s="18">
        <v>0</v>
      </c>
      <c r="T113" s="19"/>
      <c r="U113" s="18">
        <v>0</v>
      </c>
      <c r="V113" s="16"/>
      <c r="W113" s="17"/>
      <c r="X113" s="18">
        <f t="shared" si="21"/>
        <v>0</v>
      </c>
      <c r="Y113" s="19"/>
      <c r="Z113" s="19"/>
      <c r="AA113" s="18">
        <f t="shared" si="22"/>
        <v>0</v>
      </c>
      <c r="AB113" s="20">
        <f t="shared" si="23"/>
        <v>0</v>
      </c>
      <c r="AC113" s="5"/>
      <c r="AD113" s="8"/>
      <c r="AF113" s="6"/>
      <c r="AG113" s="7"/>
      <c r="AJ113" s="33"/>
      <c r="AK113" s="35"/>
      <c r="AL113" s="37"/>
    </row>
    <row r="114" spans="1:38" ht="17.25" customHeight="1">
      <c r="A114" s="25"/>
      <c r="B114" s="26"/>
      <c r="C114" s="14"/>
      <c r="D114" s="31"/>
      <c r="E114" s="14"/>
      <c r="F114" s="15" t="str">
        <f t="shared" si="18"/>
        <v xml:space="preserve">S/F  </v>
      </c>
      <c r="G114" s="16"/>
      <c r="H114" s="17">
        <v>21</v>
      </c>
      <c r="I114" s="18">
        <f t="shared" si="19"/>
        <v>0</v>
      </c>
      <c r="J114" s="17"/>
      <c r="K114" s="18"/>
      <c r="L114" s="16"/>
      <c r="M114" s="17"/>
      <c r="N114" s="18">
        <f t="shared" si="20"/>
        <v>0</v>
      </c>
      <c r="O114" s="19"/>
      <c r="P114" s="18">
        <v>0</v>
      </c>
      <c r="Q114" s="16"/>
      <c r="R114" s="17"/>
      <c r="S114" s="18">
        <v>0</v>
      </c>
      <c r="T114" s="19"/>
      <c r="U114" s="18">
        <v>0</v>
      </c>
      <c r="V114" s="16"/>
      <c r="W114" s="17"/>
      <c r="X114" s="18">
        <f t="shared" si="21"/>
        <v>0</v>
      </c>
      <c r="Y114" s="19"/>
      <c r="Z114" s="19"/>
      <c r="AA114" s="18">
        <f t="shared" si="22"/>
        <v>0</v>
      </c>
      <c r="AB114" s="20">
        <f t="shared" si="23"/>
        <v>0</v>
      </c>
      <c r="AC114" s="5"/>
      <c r="AD114" s="8"/>
      <c r="AF114" s="6"/>
      <c r="AG114" s="7"/>
      <c r="AJ114" s="33"/>
      <c r="AK114" s="35"/>
      <c r="AL114" s="37"/>
    </row>
    <row r="115" spans="1:38" ht="17.25" customHeight="1">
      <c r="A115" s="25"/>
      <c r="B115" s="26"/>
      <c r="C115" s="14"/>
      <c r="D115" s="31"/>
      <c r="E115" s="14"/>
      <c r="F115" s="15" t="str">
        <f t="shared" si="18"/>
        <v xml:space="preserve">S/F  </v>
      </c>
      <c r="G115" s="16"/>
      <c r="H115" s="17">
        <v>21</v>
      </c>
      <c r="I115" s="18">
        <f t="shared" si="19"/>
        <v>0</v>
      </c>
      <c r="J115" s="17"/>
      <c r="K115" s="18"/>
      <c r="L115" s="16"/>
      <c r="M115" s="17"/>
      <c r="N115" s="18">
        <f t="shared" si="20"/>
        <v>0</v>
      </c>
      <c r="O115" s="19"/>
      <c r="P115" s="18">
        <v>0</v>
      </c>
      <c r="Q115" s="16"/>
      <c r="R115" s="17"/>
      <c r="S115" s="18">
        <v>0</v>
      </c>
      <c r="T115" s="19"/>
      <c r="U115" s="18">
        <v>0</v>
      </c>
      <c r="V115" s="16"/>
      <c r="W115" s="17"/>
      <c r="X115" s="18">
        <f t="shared" si="21"/>
        <v>0</v>
      </c>
      <c r="Y115" s="19"/>
      <c r="Z115" s="19"/>
      <c r="AA115" s="18">
        <f t="shared" si="22"/>
        <v>0</v>
      </c>
      <c r="AB115" s="20">
        <f t="shared" si="23"/>
        <v>0</v>
      </c>
      <c r="AC115" s="5"/>
      <c r="AD115" s="8"/>
      <c r="AF115" s="6"/>
      <c r="AG115" s="7"/>
      <c r="AJ115" s="33"/>
      <c r="AK115" s="35"/>
      <c r="AL115" s="37"/>
    </row>
    <row r="116" spans="1:38" ht="17.25" customHeight="1">
      <c r="A116" s="25"/>
      <c r="B116" s="26"/>
      <c r="C116" s="14"/>
      <c r="D116" s="31"/>
      <c r="E116" s="14"/>
      <c r="F116" s="15" t="str">
        <f t="shared" si="18"/>
        <v xml:space="preserve">S/F  </v>
      </c>
      <c r="G116" s="16"/>
      <c r="H116" s="17">
        <v>21</v>
      </c>
      <c r="I116" s="18">
        <f t="shared" si="19"/>
        <v>0</v>
      </c>
      <c r="J116" s="17"/>
      <c r="K116" s="18"/>
      <c r="L116" s="16"/>
      <c r="M116" s="17"/>
      <c r="N116" s="18">
        <f t="shared" si="20"/>
        <v>0</v>
      </c>
      <c r="O116" s="19"/>
      <c r="P116" s="18">
        <v>0</v>
      </c>
      <c r="Q116" s="16"/>
      <c r="R116" s="17"/>
      <c r="S116" s="18">
        <v>0</v>
      </c>
      <c r="T116" s="19"/>
      <c r="U116" s="18">
        <v>0</v>
      </c>
      <c r="V116" s="16"/>
      <c r="W116" s="17"/>
      <c r="X116" s="18">
        <f t="shared" si="21"/>
        <v>0</v>
      </c>
      <c r="Y116" s="19"/>
      <c r="Z116" s="19"/>
      <c r="AA116" s="18">
        <f t="shared" si="22"/>
        <v>0</v>
      </c>
      <c r="AB116" s="20">
        <f t="shared" si="23"/>
        <v>0</v>
      </c>
      <c r="AC116" s="5"/>
      <c r="AD116" s="8"/>
      <c r="AF116" s="6"/>
      <c r="AG116" s="7"/>
      <c r="AJ116" s="33"/>
      <c r="AK116" s="35"/>
      <c r="AL116" s="37"/>
    </row>
    <row r="117" spans="1:38" ht="17.25" customHeight="1">
      <c r="A117" s="25"/>
      <c r="B117" s="26"/>
      <c r="C117" s="14"/>
      <c r="D117" s="31"/>
      <c r="E117" s="14"/>
      <c r="F117" s="15" t="str">
        <f t="shared" si="18"/>
        <v xml:space="preserve">S/F  </v>
      </c>
      <c r="G117" s="16"/>
      <c r="H117" s="17">
        <v>21</v>
      </c>
      <c r="I117" s="18">
        <f t="shared" si="19"/>
        <v>0</v>
      </c>
      <c r="J117" s="17"/>
      <c r="K117" s="18"/>
      <c r="L117" s="16"/>
      <c r="M117" s="17"/>
      <c r="N117" s="18">
        <f t="shared" si="20"/>
        <v>0</v>
      </c>
      <c r="O117" s="19"/>
      <c r="P117" s="18">
        <f>+IF(L117&lt;&gt;0,L117*O117/100,0)</f>
        <v>0</v>
      </c>
      <c r="Q117" s="16"/>
      <c r="R117" s="17"/>
      <c r="S117" s="18">
        <f>+IF(Q117&lt;&gt;0,Q117*R117/100,0)</f>
        <v>0</v>
      </c>
      <c r="T117" s="19"/>
      <c r="U117" s="18">
        <f>+IF(Q117&lt;&gt;0,Q117*T117/100,0)</f>
        <v>0</v>
      </c>
      <c r="V117" s="19"/>
      <c r="W117" s="19"/>
      <c r="X117" s="18">
        <f t="shared" si="21"/>
        <v>0</v>
      </c>
      <c r="Y117" s="19"/>
      <c r="Z117" s="19"/>
      <c r="AA117" s="18">
        <f t="shared" si="22"/>
        <v>0</v>
      </c>
      <c r="AB117" s="20">
        <f t="shared" si="23"/>
        <v>0</v>
      </c>
      <c r="AC117" s="5"/>
      <c r="AD117" s="8"/>
      <c r="AF117" s="6"/>
      <c r="AG117" s="7"/>
      <c r="AJ117" s="33"/>
      <c r="AK117" s="35"/>
      <c r="AL117" s="37"/>
    </row>
    <row r="118" spans="1:38" ht="17.25" customHeight="1">
      <c r="A118" s="25"/>
      <c r="B118" s="26"/>
      <c r="C118" s="14"/>
      <c r="D118" s="31"/>
      <c r="E118" s="14"/>
      <c r="F118" s="15" t="str">
        <f t="shared" si="18"/>
        <v xml:space="preserve">S/F  </v>
      </c>
      <c r="G118" s="16"/>
      <c r="H118" s="17">
        <v>21</v>
      </c>
      <c r="I118" s="18">
        <f t="shared" si="19"/>
        <v>0</v>
      </c>
      <c r="J118" s="17"/>
      <c r="K118" s="18"/>
      <c r="L118" s="16"/>
      <c r="M118" s="17"/>
      <c r="N118" s="18">
        <f t="shared" si="20"/>
        <v>0</v>
      </c>
      <c r="O118" s="19"/>
      <c r="P118" s="18">
        <f>+IF(L118&lt;&gt;0,L118*O118/100,0)</f>
        <v>0</v>
      </c>
      <c r="Q118" s="16"/>
      <c r="R118" s="17"/>
      <c r="S118" s="18">
        <f>+IF(Q118&lt;&gt;0,Q118*R118/100,0)</f>
        <v>0</v>
      </c>
      <c r="T118" s="19"/>
      <c r="U118" s="18">
        <f>+IF(Q118&lt;&gt;0,Q118*T118/100,0)</f>
        <v>0</v>
      </c>
      <c r="V118" s="19"/>
      <c r="W118" s="19"/>
      <c r="X118" s="18">
        <f t="shared" si="21"/>
        <v>0</v>
      </c>
      <c r="Y118" s="19"/>
      <c r="Z118" s="19"/>
      <c r="AA118" s="18">
        <f t="shared" si="22"/>
        <v>0</v>
      </c>
      <c r="AB118" s="20">
        <f t="shared" si="23"/>
        <v>0</v>
      </c>
      <c r="AC118" s="5"/>
      <c r="AD118" s="8"/>
      <c r="AF118" s="6"/>
      <c r="AG118" s="7"/>
      <c r="AJ118" s="33"/>
      <c r="AK118" s="35"/>
      <c r="AL118" s="37"/>
    </row>
    <row r="119" spans="1:38" ht="17.25" customHeight="1">
      <c r="A119" s="25"/>
      <c r="B119" s="26"/>
      <c r="C119" s="14"/>
      <c r="D119" s="31"/>
      <c r="E119" s="14"/>
      <c r="F119" s="15" t="str">
        <f t="shared" si="18"/>
        <v xml:space="preserve">S/F  </v>
      </c>
      <c r="G119" s="16"/>
      <c r="H119" s="17">
        <v>21</v>
      </c>
      <c r="I119" s="18">
        <f t="shared" si="19"/>
        <v>0</v>
      </c>
      <c r="J119" s="17"/>
      <c r="K119" s="18"/>
      <c r="L119" s="16"/>
      <c r="M119" s="17"/>
      <c r="N119" s="18">
        <f t="shared" si="20"/>
        <v>0</v>
      </c>
      <c r="O119" s="19"/>
      <c r="P119" s="18">
        <v>0</v>
      </c>
      <c r="Q119" s="16"/>
      <c r="R119" s="17"/>
      <c r="S119" s="18">
        <v>0</v>
      </c>
      <c r="T119" s="19"/>
      <c r="U119" s="18">
        <v>0</v>
      </c>
      <c r="V119" s="16"/>
      <c r="W119" s="17"/>
      <c r="X119" s="18">
        <f t="shared" si="21"/>
        <v>0</v>
      </c>
      <c r="Y119" s="19"/>
      <c r="Z119" s="19"/>
      <c r="AA119" s="18">
        <f t="shared" si="22"/>
        <v>0</v>
      </c>
      <c r="AB119" s="20">
        <f t="shared" si="23"/>
        <v>0</v>
      </c>
      <c r="AC119" s="5"/>
      <c r="AD119" s="8"/>
      <c r="AF119" s="6"/>
      <c r="AG119" s="7"/>
      <c r="AJ119" s="33"/>
      <c r="AK119" s="35"/>
      <c r="AL119" s="38"/>
    </row>
    <row r="120" spans="1:38" ht="17.25" customHeight="1">
      <c r="A120" s="25"/>
      <c r="B120" s="26"/>
      <c r="C120" s="14"/>
      <c r="D120" s="31"/>
      <c r="E120" s="14"/>
      <c r="F120" s="15" t="str">
        <f t="shared" si="18"/>
        <v xml:space="preserve">S/F  </v>
      </c>
      <c r="G120" s="16"/>
      <c r="H120" s="17">
        <v>21</v>
      </c>
      <c r="I120" s="18">
        <f t="shared" si="19"/>
        <v>0</v>
      </c>
      <c r="J120" s="17"/>
      <c r="K120" s="18"/>
      <c r="L120" s="16"/>
      <c r="M120" s="17"/>
      <c r="N120" s="18">
        <f t="shared" si="20"/>
        <v>0</v>
      </c>
      <c r="O120" s="19"/>
      <c r="P120" s="18">
        <v>0</v>
      </c>
      <c r="Q120" s="16"/>
      <c r="R120" s="17"/>
      <c r="S120" s="18">
        <v>0</v>
      </c>
      <c r="T120" s="19"/>
      <c r="U120" s="18">
        <v>0</v>
      </c>
      <c r="V120" s="16"/>
      <c r="W120" s="17"/>
      <c r="X120" s="18">
        <f t="shared" si="21"/>
        <v>0</v>
      </c>
      <c r="Y120" s="19"/>
      <c r="Z120" s="19"/>
      <c r="AA120" s="18">
        <f t="shared" si="22"/>
        <v>0</v>
      </c>
      <c r="AB120" s="20">
        <f t="shared" si="23"/>
        <v>0</v>
      </c>
      <c r="AC120" s="5"/>
      <c r="AD120" s="8"/>
      <c r="AF120" s="6"/>
      <c r="AG120" s="7"/>
      <c r="AJ120" s="33"/>
      <c r="AK120" s="35"/>
      <c r="AL120" s="37"/>
    </row>
    <row r="121" spans="1:38" ht="17.25" customHeight="1">
      <c r="A121" s="25"/>
      <c r="B121" s="26"/>
      <c r="C121" s="14"/>
      <c r="D121" s="31"/>
      <c r="E121" s="14"/>
      <c r="F121" s="15" t="str">
        <f t="shared" si="18"/>
        <v xml:space="preserve">S/F  </v>
      </c>
      <c r="G121" s="16"/>
      <c r="H121" s="17">
        <v>21</v>
      </c>
      <c r="I121" s="18">
        <f t="shared" si="19"/>
        <v>0</v>
      </c>
      <c r="J121" s="17"/>
      <c r="K121" s="18"/>
      <c r="L121" s="16"/>
      <c r="M121" s="17"/>
      <c r="N121" s="18">
        <f t="shared" si="20"/>
        <v>0</v>
      </c>
      <c r="O121" s="19"/>
      <c r="P121" s="18">
        <v>0</v>
      </c>
      <c r="Q121" s="16"/>
      <c r="R121" s="17"/>
      <c r="S121" s="18">
        <v>0</v>
      </c>
      <c r="T121" s="19"/>
      <c r="U121" s="18">
        <v>0</v>
      </c>
      <c r="V121" s="16"/>
      <c r="W121" s="17"/>
      <c r="X121" s="18">
        <f t="shared" si="21"/>
        <v>0</v>
      </c>
      <c r="Y121" s="19"/>
      <c r="Z121" s="19"/>
      <c r="AA121" s="18">
        <f t="shared" si="22"/>
        <v>0</v>
      </c>
      <c r="AB121" s="20">
        <f t="shared" si="23"/>
        <v>0</v>
      </c>
      <c r="AC121" s="5"/>
      <c r="AD121" s="8"/>
      <c r="AF121" s="6"/>
      <c r="AG121" s="7"/>
      <c r="AJ121" s="33"/>
      <c r="AK121" s="35"/>
      <c r="AL121" s="37"/>
    </row>
    <row r="122" spans="1:38" ht="17.25" customHeight="1">
      <c r="A122" s="25"/>
      <c r="B122" s="26"/>
      <c r="C122" s="14"/>
      <c r="D122" s="31"/>
      <c r="E122" s="14"/>
      <c r="F122" s="15" t="str">
        <f t="shared" si="18"/>
        <v xml:space="preserve">S/F  </v>
      </c>
      <c r="G122" s="16"/>
      <c r="H122" s="17">
        <v>21</v>
      </c>
      <c r="I122" s="18">
        <f t="shared" si="19"/>
        <v>0</v>
      </c>
      <c r="J122" s="17"/>
      <c r="K122" s="18"/>
      <c r="L122" s="16"/>
      <c r="M122" s="17"/>
      <c r="N122" s="18">
        <f t="shared" si="20"/>
        <v>0</v>
      </c>
      <c r="O122" s="19"/>
      <c r="P122" s="18">
        <v>0</v>
      </c>
      <c r="Q122" s="16"/>
      <c r="R122" s="17"/>
      <c r="S122" s="18">
        <v>0</v>
      </c>
      <c r="T122" s="19"/>
      <c r="U122" s="18">
        <v>0</v>
      </c>
      <c r="V122" s="16"/>
      <c r="W122" s="17"/>
      <c r="X122" s="18">
        <f t="shared" si="21"/>
        <v>0</v>
      </c>
      <c r="Y122" s="19"/>
      <c r="Z122" s="19"/>
      <c r="AA122" s="18">
        <f t="shared" si="22"/>
        <v>0</v>
      </c>
      <c r="AB122" s="20">
        <f t="shared" si="23"/>
        <v>0</v>
      </c>
      <c r="AC122" s="5"/>
      <c r="AD122" s="8"/>
      <c r="AF122" s="6"/>
      <c r="AG122" s="7"/>
      <c r="AJ122" s="33"/>
      <c r="AK122" s="35"/>
      <c r="AL122" s="37"/>
    </row>
    <row r="123" spans="1:38" ht="17.25" customHeight="1">
      <c r="A123" s="25"/>
      <c r="B123" s="26"/>
      <c r="C123" s="14"/>
      <c r="D123" s="31"/>
      <c r="E123" s="14"/>
      <c r="F123" s="15" t="str">
        <f t="shared" si="18"/>
        <v xml:space="preserve">S/F  </v>
      </c>
      <c r="G123" s="16"/>
      <c r="H123" s="17">
        <v>21</v>
      </c>
      <c r="I123" s="18">
        <f t="shared" si="19"/>
        <v>0</v>
      </c>
      <c r="J123" s="17"/>
      <c r="K123" s="18"/>
      <c r="L123" s="16"/>
      <c r="M123" s="17"/>
      <c r="N123" s="18">
        <f t="shared" si="20"/>
        <v>0</v>
      </c>
      <c r="O123" s="19"/>
      <c r="P123" s="18">
        <v>0</v>
      </c>
      <c r="Q123" s="16"/>
      <c r="R123" s="17"/>
      <c r="S123" s="18">
        <v>0</v>
      </c>
      <c r="T123" s="19"/>
      <c r="U123" s="18">
        <v>0</v>
      </c>
      <c r="V123" s="16"/>
      <c r="W123" s="17"/>
      <c r="X123" s="18">
        <f t="shared" si="21"/>
        <v>0</v>
      </c>
      <c r="Y123" s="19"/>
      <c r="Z123" s="19"/>
      <c r="AA123" s="18">
        <f t="shared" si="22"/>
        <v>0</v>
      </c>
      <c r="AB123" s="20">
        <f t="shared" si="23"/>
        <v>0</v>
      </c>
      <c r="AC123" s="5"/>
      <c r="AD123" s="8"/>
      <c r="AF123" s="6"/>
      <c r="AG123" s="7"/>
      <c r="AJ123" s="33"/>
      <c r="AK123" s="35"/>
      <c r="AL123" s="37"/>
    </row>
    <row r="124" spans="1:38" ht="17.25" customHeight="1">
      <c r="A124" s="25"/>
      <c r="B124" s="26"/>
      <c r="C124" s="14"/>
      <c r="D124" s="31"/>
      <c r="E124" s="14"/>
      <c r="F124" s="15" t="str">
        <f t="shared" si="18"/>
        <v xml:space="preserve">S/F  </v>
      </c>
      <c r="G124" s="16"/>
      <c r="H124" s="17">
        <v>21</v>
      </c>
      <c r="I124" s="18">
        <f t="shared" si="19"/>
        <v>0</v>
      </c>
      <c r="J124" s="17"/>
      <c r="K124" s="18"/>
      <c r="L124" s="16"/>
      <c r="M124" s="17"/>
      <c r="N124" s="18">
        <f t="shared" si="20"/>
        <v>0</v>
      </c>
      <c r="O124" s="19"/>
      <c r="P124" s="18">
        <v>0</v>
      </c>
      <c r="Q124" s="16"/>
      <c r="R124" s="17"/>
      <c r="S124" s="18">
        <v>0</v>
      </c>
      <c r="T124" s="19"/>
      <c r="U124" s="18">
        <v>0</v>
      </c>
      <c r="V124" s="16"/>
      <c r="W124" s="17"/>
      <c r="X124" s="18">
        <f t="shared" si="21"/>
        <v>0</v>
      </c>
      <c r="Y124" s="19"/>
      <c r="Z124" s="19"/>
      <c r="AA124" s="18">
        <f t="shared" si="22"/>
        <v>0</v>
      </c>
      <c r="AB124" s="20">
        <f t="shared" si="23"/>
        <v>0</v>
      </c>
      <c r="AC124" s="5"/>
      <c r="AD124" s="8"/>
      <c r="AF124" s="6"/>
      <c r="AG124" s="7"/>
      <c r="AJ124" s="33"/>
      <c r="AK124" s="35"/>
      <c r="AL124" s="37"/>
    </row>
    <row r="125" spans="1:38" ht="17.25" customHeight="1">
      <c r="A125" s="25"/>
      <c r="B125" s="26"/>
      <c r="C125" s="14"/>
      <c r="D125" s="31"/>
      <c r="E125" s="14"/>
      <c r="F125" s="15" t="str">
        <f t="shared" si="18"/>
        <v xml:space="preserve">S/F  </v>
      </c>
      <c r="G125" s="16"/>
      <c r="H125" s="17">
        <v>21</v>
      </c>
      <c r="I125" s="18">
        <f t="shared" si="19"/>
        <v>0</v>
      </c>
      <c r="J125" s="17"/>
      <c r="K125" s="18"/>
      <c r="L125" s="16"/>
      <c r="M125" s="17"/>
      <c r="N125" s="18">
        <f t="shared" si="20"/>
        <v>0</v>
      </c>
      <c r="O125" s="19"/>
      <c r="P125" s="18">
        <v>0</v>
      </c>
      <c r="Q125" s="16"/>
      <c r="R125" s="17"/>
      <c r="S125" s="18">
        <v>0</v>
      </c>
      <c r="T125" s="19"/>
      <c r="U125" s="18">
        <v>0</v>
      </c>
      <c r="V125" s="16"/>
      <c r="W125" s="17"/>
      <c r="X125" s="18">
        <f t="shared" si="21"/>
        <v>0</v>
      </c>
      <c r="Y125" s="19"/>
      <c r="Z125" s="19"/>
      <c r="AA125" s="18">
        <f t="shared" si="22"/>
        <v>0</v>
      </c>
      <c r="AB125" s="20">
        <f t="shared" si="23"/>
        <v>0</v>
      </c>
      <c r="AC125" s="5"/>
      <c r="AD125" s="8"/>
      <c r="AF125" s="6"/>
      <c r="AG125" s="7"/>
      <c r="AJ125" s="33"/>
      <c r="AK125" s="35"/>
      <c r="AL125" s="37"/>
    </row>
    <row r="126" spans="1:38" ht="17.25" customHeight="1">
      <c r="A126" s="25"/>
      <c r="B126" s="26"/>
      <c r="C126" s="14"/>
      <c r="D126" s="31"/>
      <c r="E126" s="14"/>
      <c r="F126" s="15" t="str">
        <f t="shared" si="18"/>
        <v xml:space="preserve">S/F  </v>
      </c>
      <c r="G126" s="16"/>
      <c r="H126" s="17">
        <v>21</v>
      </c>
      <c r="I126" s="18">
        <f t="shared" si="19"/>
        <v>0</v>
      </c>
      <c r="J126" s="17"/>
      <c r="K126" s="18"/>
      <c r="L126" s="16"/>
      <c r="M126" s="17"/>
      <c r="N126" s="18">
        <f t="shared" si="20"/>
        <v>0</v>
      </c>
      <c r="O126" s="19"/>
      <c r="P126" s="18">
        <v>0</v>
      </c>
      <c r="Q126" s="16"/>
      <c r="R126" s="17"/>
      <c r="S126" s="18">
        <v>0</v>
      </c>
      <c r="T126" s="19"/>
      <c r="U126" s="18">
        <v>0</v>
      </c>
      <c r="V126" s="16"/>
      <c r="W126" s="17"/>
      <c r="X126" s="18">
        <f t="shared" si="21"/>
        <v>0</v>
      </c>
      <c r="Y126" s="19"/>
      <c r="Z126" s="19"/>
      <c r="AA126" s="18">
        <f t="shared" si="22"/>
        <v>0</v>
      </c>
      <c r="AB126" s="20">
        <f t="shared" si="23"/>
        <v>0</v>
      </c>
      <c r="AC126" s="5"/>
      <c r="AD126" s="8"/>
      <c r="AF126" s="6"/>
      <c r="AG126" s="7"/>
      <c r="AJ126" s="33"/>
      <c r="AK126" s="35"/>
      <c r="AL126" s="37"/>
    </row>
    <row r="127" spans="1:38" ht="17.25" customHeight="1">
      <c r="A127" s="25"/>
      <c r="B127" s="26"/>
      <c r="C127" s="14"/>
      <c r="D127" s="31"/>
      <c r="E127" s="14"/>
      <c r="F127" s="15" t="str">
        <f t="shared" si="18"/>
        <v xml:space="preserve">S/F  </v>
      </c>
      <c r="G127" s="16"/>
      <c r="H127" s="17">
        <v>21</v>
      </c>
      <c r="I127" s="18">
        <f t="shared" si="19"/>
        <v>0</v>
      </c>
      <c r="J127" s="17"/>
      <c r="K127" s="18"/>
      <c r="L127" s="16"/>
      <c r="M127" s="17"/>
      <c r="N127" s="18">
        <f t="shared" si="20"/>
        <v>0</v>
      </c>
      <c r="O127" s="19"/>
      <c r="P127" s="18">
        <v>0</v>
      </c>
      <c r="Q127" s="16"/>
      <c r="R127" s="17"/>
      <c r="S127" s="18">
        <v>0</v>
      </c>
      <c r="T127" s="19"/>
      <c r="U127" s="18">
        <v>0</v>
      </c>
      <c r="V127" s="16"/>
      <c r="W127" s="17"/>
      <c r="X127" s="18">
        <f t="shared" si="21"/>
        <v>0</v>
      </c>
      <c r="Y127" s="19"/>
      <c r="Z127" s="19"/>
      <c r="AA127" s="18">
        <f t="shared" si="22"/>
        <v>0</v>
      </c>
      <c r="AB127" s="20">
        <f t="shared" si="23"/>
        <v>0</v>
      </c>
      <c r="AC127" s="5"/>
      <c r="AD127" s="8"/>
      <c r="AF127" s="6"/>
      <c r="AG127" s="7"/>
      <c r="AJ127" s="33"/>
      <c r="AK127" s="35"/>
      <c r="AL127" s="37"/>
    </row>
    <row r="128" spans="1:38" ht="17.25" customHeight="1">
      <c r="A128" s="25"/>
      <c r="B128" s="26"/>
      <c r="C128" s="14"/>
      <c r="D128" s="31"/>
      <c r="E128" s="14"/>
      <c r="F128" s="15" t="str">
        <f t="shared" si="18"/>
        <v xml:space="preserve">S/F  </v>
      </c>
      <c r="G128" s="16"/>
      <c r="H128" s="17">
        <v>21</v>
      </c>
      <c r="I128" s="18">
        <f t="shared" si="19"/>
        <v>0</v>
      </c>
      <c r="J128" s="17"/>
      <c r="K128" s="18"/>
      <c r="L128" s="16"/>
      <c r="M128" s="17"/>
      <c r="N128" s="18">
        <f t="shared" si="20"/>
        <v>0</v>
      </c>
      <c r="O128" s="19"/>
      <c r="P128" s="18">
        <f>+IF(L128&lt;&gt;0,L128*O128/100,0)</f>
        <v>0</v>
      </c>
      <c r="Q128" s="16"/>
      <c r="R128" s="17"/>
      <c r="S128" s="18">
        <f>+IF(Q128&lt;&gt;0,Q128*R128/100,0)</f>
        <v>0</v>
      </c>
      <c r="T128" s="19"/>
      <c r="U128" s="18">
        <f>+IF(Q128&lt;&gt;0,Q128*T128/100,0)</f>
        <v>0</v>
      </c>
      <c r="V128" s="19"/>
      <c r="W128" s="19"/>
      <c r="X128" s="18">
        <f t="shared" si="21"/>
        <v>0</v>
      </c>
      <c r="Y128" s="19"/>
      <c r="Z128" s="19"/>
      <c r="AA128" s="18">
        <f t="shared" si="22"/>
        <v>0</v>
      </c>
      <c r="AB128" s="20">
        <f t="shared" si="23"/>
        <v>0</v>
      </c>
      <c r="AC128" s="5"/>
      <c r="AD128" s="8"/>
      <c r="AF128" s="6"/>
      <c r="AG128" s="7"/>
      <c r="AJ128" s="33"/>
      <c r="AK128" s="35"/>
      <c r="AL128" s="37"/>
    </row>
    <row r="129" spans="1:38" ht="17.25" customHeight="1">
      <c r="A129" s="25"/>
      <c r="B129" s="26"/>
      <c r="C129" s="14"/>
      <c r="D129" s="31"/>
      <c r="E129" s="14"/>
      <c r="F129" s="15" t="str">
        <f t="shared" si="18"/>
        <v xml:space="preserve">S/F  </v>
      </c>
      <c r="G129" s="16"/>
      <c r="H129" s="17">
        <v>21</v>
      </c>
      <c r="I129" s="18">
        <f t="shared" si="19"/>
        <v>0</v>
      </c>
      <c r="J129" s="17"/>
      <c r="K129" s="18"/>
      <c r="L129" s="16"/>
      <c r="M129" s="17"/>
      <c r="N129" s="18">
        <f t="shared" si="20"/>
        <v>0</v>
      </c>
      <c r="O129" s="19"/>
      <c r="P129" s="18">
        <v>0</v>
      </c>
      <c r="Q129" s="16"/>
      <c r="R129" s="17"/>
      <c r="S129" s="18">
        <v>0</v>
      </c>
      <c r="T129" s="19"/>
      <c r="U129" s="18">
        <v>0</v>
      </c>
      <c r="V129" s="16"/>
      <c r="W129" s="17"/>
      <c r="X129" s="18">
        <f t="shared" si="21"/>
        <v>0</v>
      </c>
      <c r="Y129" s="19"/>
      <c r="Z129" s="19"/>
      <c r="AA129" s="18">
        <f t="shared" si="22"/>
        <v>0</v>
      </c>
      <c r="AB129" s="20">
        <f t="shared" si="23"/>
        <v>0</v>
      </c>
      <c r="AC129" s="5"/>
      <c r="AD129" s="8"/>
      <c r="AF129" s="6"/>
      <c r="AG129" s="7"/>
      <c r="AJ129" s="33"/>
      <c r="AK129" s="35"/>
      <c r="AL129" s="38"/>
    </row>
    <row r="130" spans="1:38" ht="17.25" customHeight="1">
      <c r="A130" s="25"/>
      <c r="B130" s="26"/>
      <c r="C130" s="14"/>
      <c r="D130" s="31"/>
      <c r="E130" s="14"/>
      <c r="F130" s="15" t="str">
        <f t="shared" ref="F130:F155" si="24">"S/F "&amp;B130&amp;" "&amp;E130</f>
        <v xml:space="preserve">S/F  </v>
      </c>
      <c r="G130" s="16"/>
      <c r="H130" s="17">
        <v>21</v>
      </c>
      <c r="I130" s="18">
        <f t="shared" ref="I130:I155" si="25">+IF(G130&lt;&gt;0,G130*H130/100,0)</f>
        <v>0</v>
      </c>
      <c r="J130" s="17"/>
      <c r="K130" s="18"/>
      <c r="L130" s="16"/>
      <c r="M130" s="17"/>
      <c r="N130" s="18">
        <f t="shared" ref="N130:N155" si="26">+IF(L130&lt;&gt;0,L130*M130/100,0)</f>
        <v>0</v>
      </c>
      <c r="O130" s="19"/>
      <c r="P130" s="18">
        <v>0</v>
      </c>
      <c r="Q130" s="16"/>
      <c r="R130" s="17"/>
      <c r="S130" s="18">
        <v>0</v>
      </c>
      <c r="T130" s="19"/>
      <c r="U130" s="18">
        <v>0</v>
      </c>
      <c r="V130" s="16"/>
      <c r="W130" s="17"/>
      <c r="X130" s="18">
        <f t="shared" ref="X130:X155" si="27">+IF(W130&lt;&gt;0,V130*W130/100,0)</f>
        <v>0</v>
      </c>
      <c r="Y130" s="19"/>
      <c r="Z130" s="19"/>
      <c r="AA130" s="18">
        <f t="shared" ref="AA130:AA155" si="28">+IF(Z130&lt;&gt;0,Y130*Z130/100,0)</f>
        <v>0</v>
      </c>
      <c r="AB130" s="20">
        <f t="shared" ref="AB130:AB155" si="29">+G130+I130+K130+L130+N130+P130+Q130+S130+U130-X130-AA130</f>
        <v>0</v>
      </c>
      <c r="AC130" s="5"/>
      <c r="AD130" s="8"/>
      <c r="AF130" s="6"/>
      <c r="AG130" s="7"/>
      <c r="AJ130" s="33"/>
      <c r="AK130" s="35"/>
      <c r="AL130" s="37"/>
    </row>
    <row r="131" spans="1:38" ht="17.25" customHeight="1">
      <c r="A131" s="25"/>
      <c r="B131" s="26"/>
      <c r="C131" s="14"/>
      <c r="D131" s="31"/>
      <c r="E131" s="14"/>
      <c r="F131" s="15" t="str">
        <f t="shared" si="24"/>
        <v xml:space="preserve">S/F  </v>
      </c>
      <c r="G131" s="16"/>
      <c r="H131" s="17">
        <v>21</v>
      </c>
      <c r="I131" s="18">
        <f t="shared" si="25"/>
        <v>0</v>
      </c>
      <c r="J131" s="17"/>
      <c r="K131" s="18"/>
      <c r="L131" s="16"/>
      <c r="M131" s="17"/>
      <c r="N131" s="18">
        <f t="shared" si="26"/>
        <v>0</v>
      </c>
      <c r="O131" s="19"/>
      <c r="P131" s="18">
        <f>+IF(L131&lt;&gt;0,L131*O131/100,0)</f>
        <v>0</v>
      </c>
      <c r="Q131" s="16"/>
      <c r="R131" s="17"/>
      <c r="S131" s="18">
        <f>+IF(Q131&lt;&gt;0,Q131*R131/100,0)</f>
        <v>0</v>
      </c>
      <c r="T131" s="19"/>
      <c r="U131" s="18">
        <f>+IF(Q131&lt;&gt;0,Q131*T131/100,0)</f>
        <v>0</v>
      </c>
      <c r="V131" s="19"/>
      <c r="W131" s="19"/>
      <c r="X131" s="18">
        <f t="shared" si="27"/>
        <v>0</v>
      </c>
      <c r="Y131" s="19"/>
      <c r="Z131" s="19"/>
      <c r="AA131" s="18">
        <f t="shared" si="28"/>
        <v>0</v>
      </c>
      <c r="AB131" s="20">
        <f t="shared" si="29"/>
        <v>0</v>
      </c>
      <c r="AC131" s="5"/>
      <c r="AD131" s="2"/>
      <c r="AF131" s="6"/>
      <c r="AG131" s="7"/>
      <c r="AJ131" s="33"/>
      <c r="AK131" s="35"/>
      <c r="AL131" s="37"/>
    </row>
    <row r="132" spans="1:38" ht="17.25" customHeight="1">
      <c r="A132" s="25"/>
      <c r="B132" s="26"/>
      <c r="C132" s="14"/>
      <c r="D132" s="31"/>
      <c r="E132" s="14"/>
      <c r="F132" s="15" t="str">
        <f t="shared" si="24"/>
        <v xml:space="preserve">S/F  </v>
      </c>
      <c r="G132" s="16"/>
      <c r="H132" s="17">
        <v>21</v>
      </c>
      <c r="I132" s="18">
        <f t="shared" si="25"/>
        <v>0</v>
      </c>
      <c r="J132" s="17"/>
      <c r="K132" s="18"/>
      <c r="L132" s="16"/>
      <c r="M132" s="17"/>
      <c r="N132" s="18">
        <f t="shared" si="26"/>
        <v>0</v>
      </c>
      <c r="O132" s="19"/>
      <c r="P132" s="18">
        <v>0</v>
      </c>
      <c r="Q132" s="16"/>
      <c r="R132" s="17"/>
      <c r="S132" s="18">
        <v>0</v>
      </c>
      <c r="T132" s="19"/>
      <c r="U132" s="18">
        <v>0</v>
      </c>
      <c r="V132" s="16"/>
      <c r="W132" s="17"/>
      <c r="X132" s="18">
        <f t="shared" si="27"/>
        <v>0</v>
      </c>
      <c r="Y132" s="19"/>
      <c r="Z132" s="19"/>
      <c r="AA132" s="18">
        <f t="shared" si="28"/>
        <v>0</v>
      </c>
      <c r="AB132" s="20">
        <f t="shared" si="29"/>
        <v>0</v>
      </c>
      <c r="AC132" s="5"/>
      <c r="AD132" s="8"/>
      <c r="AF132" s="6"/>
      <c r="AG132" s="7"/>
      <c r="AJ132" s="33"/>
      <c r="AK132" s="35"/>
      <c r="AL132" s="37"/>
    </row>
    <row r="133" spans="1:38" ht="17.25" customHeight="1">
      <c r="A133" s="25"/>
      <c r="B133" s="26"/>
      <c r="C133" s="14"/>
      <c r="D133" s="31"/>
      <c r="E133" s="14"/>
      <c r="F133" s="15" t="str">
        <f t="shared" si="24"/>
        <v xml:space="preserve">S/F  </v>
      </c>
      <c r="G133" s="16"/>
      <c r="H133" s="17">
        <v>21</v>
      </c>
      <c r="I133" s="18">
        <f t="shared" si="25"/>
        <v>0</v>
      </c>
      <c r="J133" s="17"/>
      <c r="K133" s="18"/>
      <c r="L133" s="16"/>
      <c r="M133" s="17"/>
      <c r="N133" s="18">
        <f t="shared" si="26"/>
        <v>0</v>
      </c>
      <c r="O133" s="19"/>
      <c r="P133" s="18">
        <f>+IF(L133&lt;&gt;0,L133*O133/100,0)</f>
        <v>0</v>
      </c>
      <c r="Q133" s="16"/>
      <c r="R133" s="17"/>
      <c r="S133" s="18">
        <f>+IF(Q133&lt;&gt;0,Q133*R133/100,0)</f>
        <v>0</v>
      </c>
      <c r="T133" s="19"/>
      <c r="U133" s="18">
        <f>+IF(Q133&lt;&gt;0,Q133*T133/100,0)</f>
        <v>0</v>
      </c>
      <c r="V133" s="19"/>
      <c r="W133" s="19"/>
      <c r="X133" s="18">
        <f t="shared" si="27"/>
        <v>0</v>
      </c>
      <c r="Y133" s="19"/>
      <c r="Z133" s="19"/>
      <c r="AA133" s="18">
        <f t="shared" si="28"/>
        <v>0</v>
      </c>
      <c r="AB133" s="20">
        <f t="shared" si="29"/>
        <v>0</v>
      </c>
      <c r="AC133" s="5"/>
      <c r="AD133" s="8"/>
      <c r="AF133" s="6"/>
      <c r="AG133" s="7"/>
      <c r="AJ133" s="33"/>
      <c r="AK133" s="35"/>
      <c r="AL133" s="37"/>
    </row>
    <row r="134" spans="1:38" ht="17.25" customHeight="1">
      <c r="A134" s="25"/>
      <c r="B134" s="26"/>
      <c r="C134" s="14"/>
      <c r="D134" s="31"/>
      <c r="E134" s="14"/>
      <c r="F134" s="15" t="str">
        <f t="shared" si="24"/>
        <v xml:space="preserve">S/F  </v>
      </c>
      <c r="G134" s="16"/>
      <c r="H134" s="17">
        <v>21</v>
      </c>
      <c r="I134" s="18">
        <f t="shared" si="25"/>
        <v>0</v>
      </c>
      <c r="J134" s="17"/>
      <c r="K134" s="18"/>
      <c r="L134" s="16"/>
      <c r="M134" s="17"/>
      <c r="N134" s="18">
        <f t="shared" si="26"/>
        <v>0</v>
      </c>
      <c r="O134" s="19"/>
      <c r="P134" s="18">
        <v>0</v>
      </c>
      <c r="Q134" s="16"/>
      <c r="R134" s="17"/>
      <c r="S134" s="18">
        <v>0</v>
      </c>
      <c r="T134" s="19"/>
      <c r="U134" s="18">
        <v>0</v>
      </c>
      <c r="V134" s="16"/>
      <c r="W134" s="17"/>
      <c r="X134" s="18">
        <f t="shared" si="27"/>
        <v>0</v>
      </c>
      <c r="Y134" s="19"/>
      <c r="Z134" s="19"/>
      <c r="AA134" s="18">
        <f t="shared" si="28"/>
        <v>0</v>
      </c>
      <c r="AB134" s="20">
        <f t="shared" si="29"/>
        <v>0</v>
      </c>
      <c r="AC134" s="5"/>
      <c r="AD134" s="8"/>
      <c r="AF134" s="6"/>
      <c r="AG134" s="7"/>
      <c r="AJ134" s="33"/>
      <c r="AK134" s="35"/>
      <c r="AL134" s="37"/>
    </row>
    <row r="135" spans="1:38" ht="17.25" customHeight="1">
      <c r="A135" s="25"/>
      <c r="B135" s="26"/>
      <c r="C135" s="14"/>
      <c r="D135" s="31"/>
      <c r="E135" s="14"/>
      <c r="F135" s="15" t="str">
        <f t="shared" si="24"/>
        <v xml:space="preserve">S/F  </v>
      </c>
      <c r="G135" s="16"/>
      <c r="H135" s="17">
        <v>21</v>
      </c>
      <c r="I135" s="18">
        <f t="shared" si="25"/>
        <v>0</v>
      </c>
      <c r="J135" s="17"/>
      <c r="K135" s="18"/>
      <c r="L135" s="16"/>
      <c r="M135" s="17"/>
      <c r="N135" s="18">
        <f t="shared" si="26"/>
        <v>0</v>
      </c>
      <c r="O135" s="19"/>
      <c r="P135" s="18">
        <v>0</v>
      </c>
      <c r="Q135" s="16"/>
      <c r="R135" s="17"/>
      <c r="S135" s="18">
        <v>0</v>
      </c>
      <c r="T135" s="19"/>
      <c r="U135" s="18">
        <v>0</v>
      </c>
      <c r="V135" s="16"/>
      <c r="W135" s="17"/>
      <c r="X135" s="18">
        <f t="shared" si="27"/>
        <v>0</v>
      </c>
      <c r="Y135" s="19"/>
      <c r="Z135" s="19"/>
      <c r="AA135" s="18">
        <f t="shared" si="28"/>
        <v>0</v>
      </c>
      <c r="AB135" s="20">
        <f t="shared" si="29"/>
        <v>0</v>
      </c>
      <c r="AC135" s="5"/>
      <c r="AD135" s="8"/>
      <c r="AF135" s="6"/>
      <c r="AG135" s="7"/>
      <c r="AJ135" s="33"/>
      <c r="AK135" s="35"/>
      <c r="AL135" s="37"/>
    </row>
    <row r="136" spans="1:38" ht="17.25" customHeight="1">
      <c r="A136" s="25"/>
      <c r="B136" s="26"/>
      <c r="C136" s="14"/>
      <c r="D136" s="31"/>
      <c r="E136" s="14"/>
      <c r="F136" s="15" t="str">
        <f t="shared" si="24"/>
        <v xml:space="preserve">S/F  </v>
      </c>
      <c r="G136" s="16"/>
      <c r="H136" s="17">
        <v>21</v>
      </c>
      <c r="I136" s="18">
        <f t="shared" si="25"/>
        <v>0</v>
      </c>
      <c r="J136" s="17"/>
      <c r="K136" s="18"/>
      <c r="L136" s="16"/>
      <c r="M136" s="17"/>
      <c r="N136" s="18">
        <f t="shared" si="26"/>
        <v>0</v>
      </c>
      <c r="O136" s="19"/>
      <c r="P136" s="18">
        <v>0</v>
      </c>
      <c r="Q136" s="16"/>
      <c r="R136" s="17"/>
      <c r="S136" s="18">
        <v>0</v>
      </c>
      <c r="T136" s="19"/>
      <c r="U136" s="18">
        <v>0</v>
      </c>
      <c r="V136" s="16"/>
      <c r="W136" s="17"/>
      <c r="X136" s="18">
        <f t="shared" si="27"/>
        <v>0</v>
      </c>
      <c r="Y136" s="19"/>
      <c r="Z136" s="19"/>
      <c r="AA136" s="18">
        <f t="shared" si="28"/>
        <v>0</v>
      </c>
      <c r="AB136" s="20">
        <f t="shared" si="29"/>
        <v>0</v>
      </c>
      <c r="AC136" s="5"/>
      <c r="AD136" s="8"/>
      <c r="AF136" s="6"/>
      <c r="AG136" s="7"/>
      <c r="AJ136" s="33"/>
      <c r="AK136" s="35"/>
      <c r="AL136" s="37"/>
    </row>
    <row r="137" spans="1:38" ht="17.25" customHeight="1">
      <c r="A137" s="25"/>
      <c r="B137" s="26"/>
      <c r="C137" s="14"/>
      <c r="D137" s="31"/>
      <c r="E137" s="14"/>
      <c r="F137" s="15" t="str">
        <f t="shared" si="24"/>
        <v xml:space="preserve">S/F  </v>
      </c>
      <c r="G137" s="16"/>
      <c r="H137" s="17">
        <v>21</v>
      </c>
      <c r="I137" s="18">
        <f t="shared" si="25"/>
        <v>0</v>
      </c>
      <c r="J137" s="17"/>
      <c r="K137" s="18"/>
      <c r="L137" s="16"/>
      <c r="M137" s="17"/>
      <c r="N137" s="18">
        <f t="shared" si="26"/>
        <v>0</v>
      </c>
      <c r="O137" s="19"/>
      <c r="P137" s="18">
        <v>0</v>
      </c>
      <c r="Q137" s="16"/>
      <c r="R137" s="17"/>
      <c r="S137" s="18">
        <v>0</v>
      </c>
      <c r="T137" s="19"/>
      <c r="U137" s="18">
        <v>0</v>
      </c>
      <c r="V137" s="16"/>
      <c r="W137" s="17"/>
      <c r="X137" s="18">
        <f t="shared" si="27"/>
        <v>0</v>
      </c>
      <c r="Y137" s="19"/>
      <c r="Z137" s="19"/>
      <c r="AA137" s="18">
        <f t="shared" si="28"/>
        <v>0</v>
      </c>
      <c r="AB137" s="20">
        <f t="shared" si="29"/>
        <v>0</v>
      </c>
      <c r="AC137" s="5"/>
      <c r="AD137" s="8"/>
      <c r="AF137" s="6"/>
      <c r="AG137" s="7"/>
      <c r="AJ137" s="33"/>
      <c r="AK137" s="35"/>
      <c r="AL137" s="37"/>
    </row>
    <row r="138" spans="1:38" ht="17.25" customHeight="1">
      <c r="A138" s="25"/>
      <c r="B138" s="26"/>
      <c r="C138" s="14"/>
      <c r="D138" s="31"/>
      <c r="E138" s="14"/>
      <c r="F138" s="15" t="str">
        <f t="shared" si="24"/>
        <v xml:space="preserve">S/F  </v>
      </c>
      <c r="G138" s="16"/>
      <c r="H138" s="17">
        <v>21</v>
      </c>
      <c r="I138" s="18">
        <f t="shared" si="25"/>
        <v>0</v>
      </c>
      <c r="J138" s="17"/>
      <c r="K138" s="18"/>
      <c r="L138" s="16"/>
      <c r="M138" s="17"/>
      <c r="N138" s="18">
        <f t="shared" si="26"/>
        <v>0</v>
      </c>
      <c r="O138" s="19"/>
      <c r="P138" s="18">
        <v>0</v>
      </c>
      <c r="Q138" s="16"/>
      <c r="R138" s="17"/>
      <c r="S138" s="18">
        <v>0</v>
      </c>
      <c r="T138" s="19"/>
      <c r="U138" s="18">
        <v>0</v>
      </c>
      <c r="V138" s="16"/>
      <c r="W138" s="17"/>
      <c r="X138" s="18">
        <f t="shared" si="27"/>
        <v>0</v>
      </c>
      <c r="Y138" s="19"/>
      <c r="Z138" s="19"/>
      <c r="AA138" s="18">
        <f t="shared" si="28"/>
        <v>0</v>
      </c>
      <c r="AB138" s="20">
        <f t="shared" si="29"/>
        <v>0</v>
      </c>
      <c r="AC138" s="5"/>
      <c r="AD138" s="8"/>
      <c r="AF138" s="6"/>
      <c r="AG138" s="7"/>
      <c r="AJ138" s="33"/>
      <c r="AK138" s="35"/>
      <c r="AL138" s="37"/>
    </row>
    <row r="139" spans="1:38" ht="17.25" customHeight="1">
      <c r="A139" s="25"/>
      <c r="B139" s="26"/>
      <c r="C139" s="14"/>
      <c r="D139" s="31"/>
      <c r="E139" s="14"/>
      <c r="F139" s="15" t="str">
        <f t="shared" si="24"/>
        <v xml:space="preserve">S/F  </v>
      </c>
      <c r="G139" s="16"/>
      <c r="H139" s="17">
        <v>21</v>
      </c>
      <c r="I139" s="18">
        <f t="shared" si="25"/>
        <v>0</v>
      </c>
      <c r="J139" s="17"/>
      <c r="K139" s="18"/>
      <c r="L139" s="16"/>
      <c r="M139" s="17"/>
      <c r="N139" s="18">
        <f t="shared" si="26"/>
        <v>0</v>
      </c>
      <c r="O139" s="19"/>
      <c r="P139" s="18">
        <v>0</v>
      </c>
      <c r="Q139" s="16"/>
      <c r="R139" s="17"/>
      <c r="S139" s="18">
        <v>0</v>
      </c>
      <c r="T139" s="19"/>
      <c r="U139" s="18">
        <v>0</v>
      </c>
      <c r="V139" s="16"/>
      <c r="W139" s="17"/>
      <c r="X139" s="18">
        <f t="shared" si="27"/>
        <v>0</v>
      </c>
      <c r="Y139" s="19"/>
      <c r="Z139" s="19"/>
      <c r="AA139" s="18">
        <f t="shared" si="28"/>
        <v>0</v>
      </c>
      <c r="AB139" s="20">
        <f t="shared" si="29"/>
        <v>0</v>
      </c>
      <c r="AC139" s="5"/>
      <c r="AD139" s="8"/>
      <c r="AF139" s="6"/>
      <c r="AG139" s="7"/>
      <c r="AJ139" s="33"/>
      <c r="AK139" s="35"/>
      <c r="AL139" s="37"/>
    </row>
    <row r="140" spans="1:38" ht="17.25" customHeight="1">
      <c r="A140" s="25"/>
      <c r="B140" s="26"/>
      <c r="C140" s="14"/>
      <c r="D140" s="31"/>
      <c r="E140" s="14"/>
      <c r="F140" s="15" t="str">
        <f t="shared" si="24"/>
        <v xml:space="preserve">S/F  </v>
      </c>
      <c r="G140" s="16"/>
      <c r="H140" s="17">
        <v>21</v>
      </c>
      <c r="I140" s="18">
        <f t="shared" si="25"/>
        <v>0</v>
      </c>
      <c r="J140" s="17"/>
      <c r="K140" s="18"/>
      <c r="L140" s="16"/>
      <c r="M140" s="17"/>
      <c r="N140" s="18">
        <f t="shared" si="26"/>
        <v>0</v>
      </c>
      <c r="O140" s="19"/>
      <c r="P140" s="18">
        <v>0</v>
      </c>
      <c r="Q140" s="16"/>
      <c r="R140" s="17"/>
      <c r="S140" s="18">
        <v>0</v>
      </c>
      <c r="T140" s="19"/>
      <c r="U140" s="18">
        <v>0</v>
      </c>
      <c r="V140" s="16"/>
      <c r="W140" s="17"/>
      <c r="X140" s="18">
        <f t="shared" si="27"/>
        <v>0</v>
      </c>
      <c r="Y140" s="19"/>
      <c r="Z140" s="19"/>
      <c r="AA140" s="18">
        <f t="shared" si="28"/>
        <v>0</v>
      </c>
      <c r="AB140" s="20">
        <f t="shared" si="29"/>
        <v>0</v>
      </c>
      <c r="AC140" s="5"/>
      <c r="AD140" s="8"/>
      <c r="AF140" s="6"/>
      <c r="AG140" s="7"/>
      <c r="AJ140" s="33"/>
      <c r="AK140" s="35"/>
      <c r="AL140" s="37"/>
    </row>
    <row r="141" spans="1:38" ht="17.25" customHeight="1">
      <c r="A141" s="25"/>
      <c r="B141" s="26"/>
      <c r="C141" s="14"/>
      <c r="D141" s="31"/>
      <c r="E141" s="14"/>
      <c r="F141" s="15" t="str">
        <f t="shared" si="24"/>
        <v xml:space="preserve">S/F  </v>
      </c>
      <c r="G141" s="16"/>
      <c r="H141" s="17">
        <v>21</v>
      </c>
      <c r="I141" s="18">
        <f t="shared" si="25"/>
        <v>0</v>
      </c>
      <c r="J141" s="17"/>
      <c r="K141" s="18"/>
      <c r="L141" s="16"/>
      <c r="M141" s="17"/>
      <c r="N141" s="18">
        <f t="shared" si="26"/>
        <v>0</v>
      </c>
      <c r="O141" s="19"/>
      <c r="P141" s="18">
        <v>0</v>
      </c>
      <c r="Q141" s="16"/>
      <c r="R141" s="17"/>
      <c r="S141" s="18">
        <v>0</v>
      </c>
      <c r="T141" s="19"/>
      <c r="U141" s="18">
        <v>0</v>
      </c>
      <c r="V141" s="16"/>
      <c r="W141" s="17"/>
      <c r="X141" s="18">
        <f t="shared" si="27"/>
        <v>0</v>
      </c>
      <c r="Y141" s="19"/>
      <c r="Z141" s="19"/>
      <c r="AA141" s="18">
        <f t="shared" si="28"/>
        <v>0</v>
      </c>
      <c r="AB141" s="20">
        <f t="shared" si="29"/>
        <v>0</v>
      </c>
      <c r="AC141" s="5"/>
      <c r="AD141" s="8"/>
      <c r="AF141" s="6"/>
      <c r="AG141" s="7"/>
      <c r="AJ141" s="33"/>
      <c r="AK141" s="35"/>
      <c r="AL141" s="37"/>
    </row>
    <row r="142" spans="1:38" ht="17.25" customHeight="1">
      <c r="A142" s="25"/>
      <c r="B142" s="26"/>
      <c r="C142" s="14"/>
      <c r="D142" s="31"/>
      <c r="E142" s="14"/>
      <c r="F142" s="15" t="str">
        <f t="shared" si="24"/>
        <v xml:space="preserve">S/F  </v>
      </c>
      <c r="G142" s="16"/>
      <c r="H142" s="17">
        <v>21</v>
      </c>
      <c r="I142" s="18">
        <f t="shared" si="25"/>
        <v>0</v>
      </c>
      <c r="J142" s="17"/>
      <c r="K142" s="18"/>
      <c r="L142" s="16"/>
      <c r="M142" s="17"/>
      <c r="N142" s="18">
        <f t="shared" si="26"/>
        <v>0</v>
      </c>
      <c r="O142" s="19"/>
      <c r="P142" s="18">
        <v>0</v>
      </c>
      <c r="Q142" s="16"/>
      <c r="R142" s="17"/>
      <c r="S142" s="18">
        <v>0</v>
      </c>
      <c r="T142" s="19"/>
      <c r="U142" s="18">
        <v>0</v>
      </c>
      <c r="V142" s="16"/>
      <c r="W142" s="17"/>
      <c r="X142" s="18">
        <f t="shared" si="27"/>
        <v>0</v>
      </c>
      <c r="Y142" s="19"/>
      <c r="Z142" s="19"/>
      <c r="AA142" s="18">
        <f t="shared" si="28"/>
        <v>0</v>
      </c>
      <c r="AB142" s="20">
        <f t="shared" si="29"/>
        <v>0</v>
      </c>
      <c r="AC142" s="5"/>
      <c r="AD142" s="8"/>
      <c r="AF142" s="6"/>
      <c r="AG142" s="7"/>
      <c r="AJ142" s="33"/>
      <c r="AK142" s="35"/>
      <c r="AL142" s="37"/>
    </row>
    <row r="143" spans="1:38" ht="17.25" customHeight="1">
      <c r="A143" s="25"/>
      <c r="B143" s="26"/>
      <c r="C143" s="14"/>
      <c r="D143" s="31"/>
      <c r="E143" s="14"/>
      <c r="F143" s="15" t="str">
        <f t="shared" si="24"/>
        <v xml:space="preserve">S/F  </v>
      </c>
      <c r="G143" s="16"/>
      <c r="H143" s="17">
        <v>21</v>
      </c>
      <c r="I143" s="18">
        <f t="shared" si="25"/>
        <v>0</v>
      </c>
      <c r="J143" s="17"/>
      <c r="K143" s="18"/>
      <c r="L143" s="16"/>
      <c r="M143" s="17"/>
      <c r="N143" s="18">
        <f t="shared" si="26"/>
        <v>0</v>
      </c>
      <c r="O143" s="19"/>
      <c r="P143" s="18">
        <v>0</v>
      </c>
      <c r="Q143" s="16"/>
      <c r="R143" s="17"/>
      <c r="S143" s="18">
        <v>0</v>
      </c>
      <c r="T143" s="19"/>
      <c r="U143" s="18">
        <v>0</v>
      </c>
      <c r="V143" s="16"/>
      <c r="W143" s="17"/>
      <c r="X143" s="18">
        <f t="shared" si="27"/>
        <v>0</v>
      </c>
      <c r="Y143" s="19"/>
      <c r="Z143" s="19"/>
      <c r="AA143" s="18">
        <f t="shared" si="28"/>
        <v>0</v>
      </c>
      <c r="AB143" s="20">
        <f t="shared" si="29"/>
        <v>0</v>
      </c>
      <c r="AC143" s="5"/>
      <c r="AD143" s="8"/>
      <c r="AF143" s="6"/>
      <c r="AG143" s="7"/>
      <c r="AJ143" s="33"/>
      <c r="AK143" s="35"/>
      <c r="AL143" s="38"/>
    </row>
    <row r="144" spans="1:38" ht="17.25" customHeight="1">
      <c r="A144" s="25"/>
      <c r="B144" s="26"/>
      <c r="C144" s="14"/>
      <c r="D144" s="31"/>
      <c r="E144" s="14"/>
      <c r="F144" s="15" t="str">
        <f t="shared" si="24"/>
        <v xml:space="preserve">S/F  </v>
      </c>
      <c r="G144" s="16"/>
      <c r="H144" s="17">
        <v>21</v>
      </c>
      <c r="I144" s="18">
        <f t="shared" si="25"/>
        <v>0</v>
      </c>
      <c r="J144" s="17"/>
      <c r="K144" s="18"/>
      <c r="L144" s="16"/>
      <c r="M144" s="17"/>
      <c r="N144" s="18">
        <f t="shared" si="26"/>
        <v>0</v>
      </c>
      <c r="O144" s="19"/>
      <c r="P144" s="18">
        <v>0</v>
      </c>
      <c r="Q144" s="16"/>
      <c r="R144" s="17"/>
      <c r="S144" s="18">
        <v>0</v>
      </c>
      <c r="T144" s="19"/>
      <c r="U144" s="18">
        <v>0</v>
      </c>
      <c r="V144" s="16"/>
      <c r="W144" s="17"/>
      <c r="X144" s="18">
        <f t="shared" si="27"/>
        <v>0</v>
      </c>
      <c r="Y144" s="19"/>
      <c r="Z144" s="19"/>
      <c r="AA144" s="18">
        <f t="shared" si="28"/>
        <v>0</v>
      </c>
      <c r="AB144" s="20">
        <f t="shared" si="29"/>
        <v>0</v>
      </c>
      <c r="AC144" s="5"/>
      <c r="AD144" s="8"/>
      <c r="AF144" s="6"/>
      <c r="AG144" s="7"/>
      <c r="AJ144" s="33"/>
      <c r="AK144" s="35"/>
      <c r="AL144" s="37"/>
    </row>
    <row r="145" spans="1:38" ht="17.25" customHeight="1">
      <c r="A145" s="25"/>
      <c r="B145" s="26"/>
      <c r="C145" s="14"/>
      <c r="D145" s="31"/>
      <c r="E145" s="63"/>
      <c r="F145" s="15" t="str">
        <f t="shared" si="24"/>
        <v xml:space="preserve">S/F  </v>
      </c>
      <c r="G145" s="16"/>
      <c r="H145" s="17">
        <v>21</v>
      </c>
      <c r="I145" s="18">
        <f t="shared" si="25"/>
        <v>0</v>
      </c>
      <c r="J145" s="17"/>
      <c r="K145" s="18"/>
      <c r="L145" s="16"/>
      <c r="M145" s="17"/>
      <c r="N145" s="18">
        <f t="shared" si="26"/>
        <v>0</v>
      </c>
      <c r="O145" s="19"/>
      <c r="P145" s="18">
        <v>0</v>
      </c>
      <c r="Q145" s="16"/>
      <c r="R145" s="17"/>
      <c r="S145" s="18">
        <v>0</v>
      </c>
      <c r="T145" s="19"/>
      <c r="U145" s="18">
        <v>0</v>
      </c>
      <c r="V145" s="16"/>
      <c r="W145" s="17"/>
      <c r="X145" s="18">
        <f t="shared" si="27"/>
        <v>0</v>
      </c>
      <c r="Y145" s="19"/>
      <c r="Z145" s="19"/>
      <c r="AA145" s="18">
        <f t="shared" si="28"/>
        <v>0</v>
      </c>
      <c r="AB145" s="20">
        <f t="shared" si="29"/>
        <v>0</v>
      </c>
      <c r="AC145" s="5"/>
      <c r="AD145" s="8"/>
      <c r="AF145" s="6"/>
      <c r="AG145" s="7"/>
      <c r="AJ145" s="33"/>
      <c r="AK145" s="35"/>
      <c r="AL145" s="38"/>
    </row>
    <row r="146" spans="1:38" ht="17.25" customHeight="1">
      <c r="A146" s="25"/>
      <c r="B146" s="26"/>
      <c r="C146" s="14"/>
      <c r="D146" s="31"/>
      <c r="E146" s="14"/>
      <c r="F146" s="15" t="str">
        <f t="shared" si="24"/>
        <v xml:space="preserve">S/F  </v>
      </c>
      <c r="G146" s="16"/>
      <c r="H146" s="17">
        <v>21</v>
      </c>
      <c r="I146" s="18">
        <f t="shared" si="25"/>
        <v>0</v>
      </c>
      <c r="J146" s="17"/>
      <c r="K146" s="18"/>
      <c r="L146" s="16"/>
      <c r="M146" s="17"/>
      <c r="N146" s="18">
        <f t="shared" si="26"/>
        <v>0</v>
      </c>
      <c r="O146" s="19"/>
      <c r="P146" s="18">
        <v>0</v>
      </c>
      <c r="Q146" s="16"/>
      <c r="R146" s="17"/>
      <c r="S146" s="18">
        <v>0</v>
      </c>
      <c r="T146" s="19"/>
      <c r="U146" s="18">
        <v>0</v>
      </c>
      <c r="V146" s="16"/>
      <c r="W146" s="17"/>
      <c r="X146" s="18">
        <f t="shared" si="27"/>
        <v>0</v>
      </c>
      <c r="Y146" s="19"/>
      <c r="Z146" s="19"/>
      <c r="AA146" s="18">
        <f t="shared" si="28"/>
        <v>0</v>
      </c>
      <c r="AB146" s="20">
        <f t="shared" si="29"/>
        <v>0</v>
      </c>
      <c r="AC146" s="5"/>
      <c r="AD146" s="8"/>
      <c r="AF146" s="6"/>
      <c r="AG146" s="7"/>
      <c r="AJ146" s="33"/>
      <c r="AK146" s="35"/>
      <c r="AL146" s="37"/>
    </row>
    <row r="147" spans="1:38" ht="17.25" customHeight="1">
      <c r="A147" s="25"/>
      <c r="B147" s="26"/>
      <c r="C147" s="14"/>
      <c r="D147" s="31"/>
      <c r="E147" s="14"/>
      <c r="F147" s="15" t="str">
        <f t="shared" si="24"/>
        <v xml:space="preserve">S/F  </v>
      </c>
      <c r="G147" s="16"/>
      <c r="H147" s="17">
        <v>21</v>
      </c>
      <c r="I147" s="18">
        <f t="shared" si="25"/>
        <v>0</v>
      </c>
      <c r="J147" s="17"/>
      <c r="K147" s="18"/>
      <c r="L147" s="16"/>
      <c r="M147" s="17"/>
      <c r="N147" s="18">
        <f t="shared" si="26"/>
        <v>0</v>
      </c>
      <c r="O147" s="19"/>
      <c r="P147" s="18">
        <v>0</v>
      </c>
      <c r="Q147" s="16"/>
      <c r="R147" s="17"/>
      <c r="S147" s="18">
        <v>0</v>
      </c>
      <c r="T147" s="19"/>
      <c r="U147" s="18">
        <v>0</v>
      </c>
      <c r="V147" s="16"/>
      <c r="W147" s="17"/>
      <c r="X147" s="18">
        <f t="shared" si="27"/>
        <v>0</v>
      </c>
      <c r="Y147" s="19"/>
      <c r="Z147" s="19"/>
      <c r="AA147" s="18">
        <f t="shared" si="28"/>
        <v>0</v>
      </c>
      <c r="AB147" s="20">
        <f t="shared" si="29"/>
        <v>0</v>
      </c>
      <c r="AC147" s="5"/>
      <c r="AD147" s="8"/>
      <c r="AF147" s="6"/>
      <c r="AG147" s="7"/>
      <c r="AJ147" s="33"/>
      <c r="AK147" s="35"/>
      <c r="AL147" s="37"/>
    </row>
    <row r="148" spans="1:38" ht="17.25" customHeight="1">
      <c r="A148" s="25"/>
      <c r="B148" s="26"/>
      <c r="C148" s="14"/>
      <c r="D148" s="31"/>
      <c r="E148" s="14"/>
      <c r="F148" s="15" t="str">
        <f t="shared" si="24"/>
        <v xml:space="preserve">S/F  </v>
      </c>
      <c r="G148" s="16"/>
      <c r="H148" s="17">
        <v>21</v>
      </c>
      <c r="I148" s="18">
        <f t="shared" si="25"/>
        <v>0</v>
      </c>
      <c r="J148" s="17"/>
      <c r="K148" s="18"/>
      <c r="L148" s="16"/>
      <c r="M148" s="17"/>
      <c r="N148" s="18">
        <f t="shared" si="26"/>
        <v>0</v>
      </c>
      <c r="O148" s="19"/>
      <c r="P148" s="18">
        <v>0</v>
      </c>
      <c r="Q148" s="16"/>
      <c r="R148" s="17"/>
      <c r="S148" s="18">
        <v>0</v>
      </c>
      <c r="T148" s="19"/>
      <c r="U148" s="18">
        <v>0</v>
      </c>
      <c r="V148" s="16"/>
      <c r="W148" s="17"/>
      <c r="X148" s="18">
        <f t="shared" si="27"/>
        <v>0</v>
      </c>
      <c r="Y148" s="19"/>
      <c r="Z148" s="19"/>
      <c r="AA148" s="18">
        <f t="shared" si="28"/>
        <v>0</v>
      </c>
      <c r="AB148" s="20">
        <f t="shared" si="29"/>
        <v>0</v>
      </c>
      <c r="AC148" s="5"/>
      <c r="AD148" s="8"/>
      <c r="AF148" s="6"/>
      <c r="AG148" s="7"/>
      <c r="AJ148" s="33"/>
      <c r="AK148" s="35"/>
      <c r="AL148" s="37"/>
    </row>
    <row r="149" spans="1:38" ht="17.25" customHeight="1">
      <c r="A149" s="25"/>
      <c r="B149" s="26"/>
      <c r="C149" s="14"/>
      <c r="D149" s="31"/>
      <c r="E149" s="14"/>
      <c r="F149" s="15" t="str">
        <f t="shared" si="24"/>
        <v xml:space="preserve">S/F  </v>
      </c>
      <c r="G149" s="16"/>
      <c r="H149" s="17">
        <v>21</v>
      </c>
      <c r="I149" s="18">
        <f t="shared" si="25"/>
        <v>0</v>
      </c>
      <c r="J149" s="17"/>
      <c r="K149" s="18"/>
      <c r="L149" s="16"/>
      <c r="M149" s="17"/>
      <c r="N149" s="18">
        <f t="shared" si="26"/>
        <v>0</v>
      </c>
      <c r="O149" s="19"/>
      <c r="P149" s="18">
        <v>0</v>
      </c>
      <c r="Q149" s="16"/>
      <c r="R149" s="17"/>
      <c r="S149" s="18">
        <v>0</v>
      </c>
      <c r="T149" s="19"/>
      <c r="U149" s="18">
        <v>0</v>
      </c>
      <c r="V149" s="16"/>
      <c r="W149" s="17"/>
      <c r="X149" s="18">
        <f t="shared" si="27"/>
        <v>0</v>
      </c>
      <c r="Y149" s="19"/>
      <c r="Z149" s="19"/>
      <c r="AA149" s="18">
        <f t="shared" si="28"/>
        <v>0</v>
      </c>
      <c r="AB149" s="20">
        <f t="shared" si="29"/>
        <v>0</v>
      </c>
      <c r="AC149" s="5"/>
      <c r="AD149" s="8"/>
      <c r="AF149" s="6"/>
      <c r="AG149" s="7"/>
      <c r="AJ149" s="33"/>
      <c r="AK149" s="35"/>
      <c r="AL149" s="37"/>
    </row>
    <row r="150" spans="1:38" ht="17.25" customHeight="1">
      <c r="A150" s="25"/>
      <c r="B150" s="26"/>
      <c r="C150" s="14"/>
      <c r="D150" s="31"/>
      <c r="E150" s="14"/>
      <c r="F150" s="15" t="str">
        <f t="shared" si="24"/>
        <v xml:space="preserve">S/F  </v>
      </c>
      <c r="G150" s="16"/>
      <c r="H150" s="17">
        <v>21</v>
      </c>
      <c r="I150" s="18">
        <f t="shared" si="25"/>
        <v>0</v>
      </c>
      <c r="J150" s="17"/>
      <c r="K150" s="18"/>
      <c r="L150" s="16"/>
      <c r="M150" s="17"/>
      <c r="N150" s="18">
        <f t="shared" si="26"/>
        <v>0</v>
      </c>
      <c r="O150" s="19"/>
      <c r="P150" s="18">
        <v>0</v>
      </c>
      <c r="Q150" s="16"/>
      <c r="R150" s="17"/>
      <c r="S150" s="18">
        <v>0</v>
      </c>
      <c r="T150" s="19"/>
      <c r="U150" s="18">
        <v>0</v>
      </c>
      <c r="V150" s="16"/>
      <c r="W150" s="17"/>
      <c r="X150" s="18">
        <f t="shared" si="27"/>
        <v>0</v>
      </c>
      <c r="Y150" s="19"/>
      <c r="Z150" s="19"/>
      <c r="AA150" s="18">
        <f t="shared" si="28"/>
        <v>0</v>
      </c>
      <c r="AB150" s="20">
        <f t="shared" si="29"/>
        <v>0</v>
      </c>
      <c r="AC150" s="5"/>
      <c r="AD150" s="8"/>
      <c r="AF150" s="6"/>
      <c r="AG150" s="7"/>
      <c r="AJ150" s="33"/>
      <c r="AK150" s="35"/>
      <c r="AL150" s="37"/>
    </row>
    <row r="151" spans="1:38" ht="17.25" customHeight="1">
      <c r="A151" s="25"/>
      <c r="B151" s="26"/>
      <c r="C151" s="14"/>
      <c r="D151" s="31"/>
      <c r="E151" s="14"/>
      <c r="F151" s="15" t="str">
        <f t="shared" si="24"/>
        <v xml:space="preserve">S/F  </v>
      </c>
      <c r="G151" s="16"/>
      <c r="H151" s="17">
        <v>21</v>
      </c>
      <c r="I151" s="18">
        <f t="shared" si="25"/>
        <v>0</v>
      </c>
      <c r="J151" s="17"/>
      <c r="K151" s="18"/>
      <c r="L151" s="16"/>
      <c r="M151" s="17"/>
      <c r="N151" s="18">
        <f t="shared" si="26"/>
        <v>0</v>
      </c>
      <c r="O151" s="19"/>
      <c r="P151" s="18">
        <v>0</v>
      </c>
      <c r="Q151" s="16"/>
      <c r="R151" s="17"/>
      <c r="S151" s="18">
        <v>0</v>
      </c>
      <c r="T151" s="19"/>
      <c r="U151" s="18">
        <v>0</v>
      </c>
      <c r="V151" s="16"/>
      <c r="W151" s="17"/>
      <c r="X151" s="18">
        <f t="shared" si="27"/>
        <v>0</v>
      </c>
      <c r="Y151" s="19"/>
      <c r="Z151" s="19"/>
      <c r="AA151" s="18">
        <f t="shared" si="28"/>
        <v>0</v>
      </c>
      <c r="AB151" s="20">
        <f t="shared" si="29"/>
        <v>0</v>
      </c>
      <c r="AC151" s="5"/>
      <c r="AD151" s="8"/>
      <c r="AF151" s="6"/>
      <c r="AG151" s="7"/>
      <c r="AJ151" s="33"/>
      <c r="AK151" s="35"/>
      <c r="AL151" s="37"/>
    </row>
    <row r="152" spans="1:38" ht="17.25" customHeight="1">
      <c r="A152" s="25"/>
      <c r="B152" s="26"/>
      <c r="C152" s="14"/>
      <c r="D152" s="31"/>
      <c r="E152" s="14"/>
      <c r="F152" s="15" t="str">
        <f t="shared" si="24"/>
        <v xml:space="preserve">S/F  </v>
      </c>
      <c r="G152" s="16"/>
      <c r="H152" s="17">
        <v>21</v>
      </c>
      <c r="I152" s="18">
        <f t="shared" si="25"/>
        <v>0</v>
      </c>
      <c r="J152" s="17"/>
      <c r="K152" s="18"/>
      <c r="L152" s="16"/>
      <c r="M152" s="17"/>
      <c r="N152" s="18">
        <f t="shared" si="26"/>
        <v>0</v>
      </c>
      <c r="O152" s="19"/>
      <c r="P152" s="18">
        <v>0</v>
      </c>
      <c r="Q152" s="16"/>
      <c r="R152" s="17"/>
      <c r="S152" s="18">
        <v>0</v>
      </c>
      <c r="T152" s="19"/>
      <c r="U152" s="18">
        <v>0</v>
      </c>
      <c r="V152" s="16"/>
      <c r="W152" s="17"/>
      <c r="X152" s="18">
        <f t="shared" si="27"/>
        <v>0</v>
      </c>
      <c r="Y152" s="19"/>
      <c r="Z152" s="19"/>
      <c r="AA152" s="18">
        <f t="shared" si="28"/>
        <v>0</v>
      </c>
      <c r="AB152" s="20">
        <f t="shared" si="29"/>
        <v>0</v>
      </c>
      <c r="AC152" s="5"/>
      <c r="AD152" s="8"/>
      <c r="AF152" s="6"/>
      <c r="AG152" s="7"/>
      <c r="AJ152" s="33"/>
      <c r="AK152" s="35"/>
      <c r="AL152" s="37"/>
    </row>
    <row r="153" spans="1:38" ht="17.25" customHeight="1">
      <c r="A153" s="25"/>
      <c r="B153" s="26"/>
      <c r="C153" s="14"/>
      <c r="D153" s="31"/>
      <c r="E153" s="14"/>
      <c r="F153" s="15" t="str">
        <f t="shared" si="24"/>
        <v xml:space="preserve">S/F  </v>
      </c>
      <c r="G153" s="57"/>
      <c r="H153" s="17">
        <v>21</v>
      </c>
      <c r="I153" s="18">
        <f t="shared" si="25"/>
        <v>0</v>
      </c>
      <c r="J153" s="17"/>
      <c r="K153" s="18"/>
      <c r="L153" s="16"/>
      <c r="M153" s="17"/>
      <c r="N153" s="18">
        <f t="shared" si="26"/>
        <v>0</v>
      </c>
      <c r="O153" s="19"/>
      <c r="P153" s="18">
        <v>0</v>
      </c>
      <c r="Q153" s="16"/>
      <c r="R153" s="17"/>
      <c r="S153" s="18">
        <v>0</v>
      </c>
      <c r="T153" s="19"/>
      <c r="U153" s="18">
        <v>0</v>
      </c>
      <c r="V153" s="16"/>
      <c r="W153" s="17"/>
      <c r="X153" s="18">
        <f t="shared" si="27"/>
        <v>0</v>
      </c>
      <c r="Y153" s="19"/>
      <c r="Z153" s="19"/>
      <c r="AA153" s="18">
        <f t="shared" si="28"/>
        <v>0</v>
      </c>
      <c r="AB153" s="20">
        <f t="shared" si="29"/>
        <v>0</v>
      </c>
      <c r="AC153" s="5"/>
      <c r="AD153" s="8"/>
      <c r="AF153" s="6"/>
      <c r="AG153" s="7"/>
      <c r="AJ153" s="33"/>
      <c r="AK153" s="35"/>
      <c r="AL153" s="37"/>
    </row>
    <row r="154" spans="1:38" ht="17.25" customHeight="1">
      <c r="A154" s="25"/>
      <c r="B154" s="26"/>
      <c r="C154" s="14"/>
      <c r="D154" s="31"/>
      <c r="E154" s="14"/>
      <c r="F154" s="15" t="str">
        <f t="shared" si="24"/>
        <v xml:space="preserve">S/F  </v>
      </c>
      <c r="G154" s="16"/>
      <c r="H154" s="17">
        <v>21</v>
      </c>
      <c r="I154" s="18">
        <f t="shared" si="25"/>
        <v>0</v>
      </c>
      <c r="J154" s="17"/>
      <c r="K154" s="18"/>
      <c r="L154" s="16"/>
      <c r="M154" s="17"/>
      <c r="N154" s="18">
        <f t="shared" si="26"/>
        <v>0</v>
      </c>
      <c r="O154" s="19"/>
      <c r="P154" s="18">
        <v>0</v>
      </c>
      <c r="Q154" s="16"/>
      <c r="R154" s="17"/>
      <c r="S154" s="18">
        <v>0</v>
      </c>
      <c r="T154" s="19"/>
      <c r="U154" s="18">
        <v>0</v>
      </c>
      <c r="V154" s="16"/>
      <c r="W154" s="17"/>
      <c r="X154" s="18">
        <f t="shared" si="27"/>
        <v>0</v>
      </c>
      <c r="Y154" s="19"/>
      <c r="Z154" s="19"/>
      <c r="AA154" s="18">
        <f t="shared" si="28"/>
        <v>0</v>
      </c>
      <c r="AB154" s="20">
        <f t="shared" si="29"/>
        <v>0</v>
      </c>
      <c r="AC154" s="5"/>
      <c r="AD154" s="8"/>
      <c r="AF154" s="6"/>
      <c r="AG154" s="7"/>
      <c r="AJ154" s="33"/>
      <c r="AK154" s="35"/>
      <c r="AL154" s="37"/>
    </row>
    <row r="155" spans="1:38" ht="17.25" customHeight="1">
      <c r="A155" s="25"/>
      <c r="B155" s="26"/>
      <c r="C155" s="14"/>
      <c r="D155" s="31"/>
      <c r="E155" s="14"/>
      <c r="F155" s="15" t="str">
        <f t="shared" si="24"/>
        <v xml:space="preserve">S/F  </v>
      </c>
      <c r="G155" s="16"/>
      <c r="H155" s="17">
        <v>21</v>
      </c>
      <c r="I155" s="18">
        <f t="shared" si="25"/>
        <v>0</v>
      </c>
      <c r="J155" s="17"/>
      <c r="K155" s="18"/>
      <c r="L155" s="16"/>
      <c r="M155" s="17"/>
      <c r="N155" s="18">
        <f t="shared" si="26"/>
        <v>0</v>
      </c>
      <c r="O155" s="19"/>
      <c r="P155" s="18">
        <v>0</v>
      </c>
      <c r="Q155" s="16"/>
      <c r="R155" s="17"/>
      <c r="S155" s="18">
        <v>0</v>
      </c>
      <c r="T155" s="19"/>
      <c r="U155" s="18">
        <v>0</v>
      </c>
      <c r="V155" s="16"/>
      <c r="W155" s="17"/>
      <c r="X155" s="18">
        <f t="shared" si="27"/>
        <v>0</v>
      </c>
      <c r="Y155" s="19"/>
      <c r="Z155" s="19"/>
      <c r="AA155" s="18">
        <f t="shared" si="28"/>
        <v>0</v>
      </c>
      <c r="AB155" s="20">
        <f t="shared" si="29"/>
        <v>0</v>
      </c>
      <c r="AC155" s="5"/>
      <c r="AD155" s="8"/>
      <c r="AF155" s="6"/>
      <c r="AG155" s="7"/>
      <c r="AJ155" s="33"/>
      <c r="AK155" s="35"/>
      <c r="AL155" s="37"/>
    </row>
    <row r="157" spans="1:38" ht="17.25" customHeight="1">
      <c r="F157" s="56" t="s">
        <v>38</v>
      </c>
      <c r="G157" s="58">
        <f>SUM(G2:G156)</f>
        <v>0</v>
      </c>
      <c r="X157" s="52" t="s">
        <v>39</v>
      </c>
      <c r="AB157" s="48">
        <f>SUM(AB2:AB156)</f>
        <v>0</v>
      </c>
    </row>
  </sheetData>
  <sortState xmlns:xlrd2="http://schemas.microsoft.com/office/spreadsheetml/2017/richdata2" ref="A2:AL155">
    <sortCondition ref="A2:A155"/>
    <sortCondition ref="B2:B155"/>
    <sortCondition ref="D2:D155"/>
  </sortState>
  <dataValidations count="1">
    <dataValidation type="textLength" errorStyle="warning" allowBlank="1" showInputMessage="1" showErrorMessage="1" error="Contamar le informa de que el código introducido debe contener únicamente 8 dígitos._x000a__x000a_" sqref="AC2:AC155" xr:uid="{00000000-0002-0000-0400-000000000000}">
      <formula1>8</formula1>
      <formula2>8</formula2>
    </dataValidation>
  </dataValidations>
  <pageMargins left="0.7" right="0.7" top="0.75" bottom="0.75" header="0.3" footer="0.3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Hoja6">
    <pageSetUpPr fitToPage="1"/>
  </sheetPr>
  <dimension ref="A1:AL145"/>
  <sheetViews>
    <sheetView zoomScale="70" zoomScaleNormal="70" zoomScalePageLayoutView="80" workbookViewId="0">
      <pane ySplit="1" topLeftCell="A2" activePane="bottomLeft" state="frozen"/>
      <selection pane="bottomLeft" activeCell="AJ2" sqref="AJ2:AL143"/>
    </sheetView>
  </sheetViews>
  <sheetFormatPr baseColWidth="10" defaultColWidth="11.42578125" defaultRowHeight="17.25" customHeight="1"/>
  <cols>
    <col min="1" max="1" width="12.85546875" style="29" bestFit="1" customWidth="1"/>
    <col min="2" max="2" width="16.42578125" style="30" customWidth="1"/>
    <col min="3" max="3" width="13.42578125" style="4" hidden="1" customWidth="1"/>
    <col min="4" max="4" width="15.85546875" style="3" bestFit="1" customWidth="1"/>
    <col min="5" max="5" width="49.42578125" style="4" bestFit="1" customWidth="1"/>
    <col min="6" max="6" width="66" style="4" bestFit="1" customWidth="1"/>
    <col min="7" max="7" width="11.5703125" bestFit="1" customWidth="1"/>
    <col min="8" max="8" width="7.7109375" customWidth="1"/>
    <col min="9" max="9" width="11.42578125" bestFit="1" customWidth="1"/>
    <col min="10" max="10" width="6.7109375" hidden="1" customWidth="1"/>
    <col min="11" max="11" width="11.7109375" hidden="1" customWidth="1"/>
    <col min="12" max="13" width="6.7109375" bestFit="1" customWidth="1"/>
    <col min="14" max="14" width="8.42578125" bestFit="1" customWidth="1"/>
    <col min="15" max="15" width="8.140625" hidden="1" customWidth="1"/>
    <col min="16" max="16" width="12.42578125" hidden="1" customWidth="1"/>
    <col min="17" max="18" width="6.7109375" hidden="1" customWidth="1"/>
    <col min="19" max="19" width="8.42578125" hidden="1" customWidth="1"/>
    <col min="20" max="20" width="7.7109375" hidden="1" customWidth="1"/>
    <col min="21" max="21" width="10.42578125" hidden="1" customWidth="1"/>
    <col min="22" max="22" width="11.7109375" customWidth="1"/>
    <col min="23" max="23" width="6.140625" customWidth="1"/>
    <col min="24" max="24" width="16.42578125" bestFit="1" customWidth="1"/>
    <col min="25" max="25" width="11.7109375" hidden="1" customWidth="1"/>
    <col min="26" max="26" width="5.42578125" hidden="1" customWidth="1"/>
    <col min="27" max="27" width="8.42578125" hidden="1" customWidth="1"/>
    <col min="28" max="28" width="12.7109375" bestFit="1" customWidth="1"/>
    <col min="29" max="29" width="14.7109375" hidden="1" customWidth="1"/>
    <col min="30" max="30" width="16.140625" hidden="1" customWidth="1"/>
    <col min="31" max="31" width="16.140625" style="3" hidden="1" customWidth="1"/>
    <col min="32" max="32" width="4.42578125" style="3" hidden="1" customWidth="1"/>
    <col min="33" max="33" width="9.85546875" style="3" hidden="1" customWidth="1"/>
    <col min="34" max="34" width="12" style="4" hidden="1" customWidth="1"/>
    <col min="35" max="35" width="15.42578125" hidden="1" customWidth="1"/>
    <col min="36" max="36" width="26.42578125" bestFit="1" customWidth="1"/>
    <col min="37" max="37" width="21.42578125" bestFit="1" customWidth="1"/>
    <col min="38" max="38" width="14.140625" style="44" customWidth="1"/>
  </cols>
  <sheetData>
    <row r="1" spans="1:38" s="1" customFormat="1" ht="38.25" customHeight="1">
      <c r="A1" s="21" t="s">
        <v>5</v>
      </c>
      <c r="B1" s="22" t="s">
        <v>9</v>
      </c>
      <c r="C1" s="22" t="s">
        <v>6</v>
      </c>
      <c r="D1" s="22" t="s">
        <v>8</v>
      </c>
      <c r="E1" s="22" t="s">
        <v>3</v>
      </c>
      <c r="F1" s="22" t="s">
        <v>10</v>
      </c>
      <c r="G1" s="21" t="s">
        <v>7</v>
      </c>
      <c r="H1" s="21" t="s">
        <v>0</v>
      </c>
      <c r="I1" s="21" t="s">
        <v>1</v>
      </c>
      <c r="J1" s="21" t="s">
        <v>23</v>
      </c>
      <c r="K1" s="21" t="s">
        <v>24</v>
      </c>
      <c r="L1" s="21" t="s">
        <v>19</v>
      </c>
      <c r="M1" s="21" t="s">
        <v>15</v>
      </c>
      <c r="N1" s="21" t="s">
        <v>16</v>
      </c>
      <c r="O1" s="21" t="s">
        <v>25</v>
      </c>
      <c r="P1" s="21" t="s">
        <v>26</v>
      </c>
      <c r="Q1" s="21" t="s">
        <v>20</v>
      </c>
      <c r="R1" s="21" t="s">
        <v>17</v>
      </c>
      <c r="S1" s="21" t="s">
        <v>18</v>
      </c>
      <c r="T1" s="21" t="s">
        <v>28</v>
      </c>
      <c r="U1" s="21" t="s">
        <v>27</v>
      </c>
      <c r="V1" s="21" t="s">
        <v>2</v>
      </c>
      <c r="W1" s="21" t="s">
        <v>30</v>
      </c>
      <c r="X1" s="21" t="s">
        <v>32</v>
      </c>
      <c r="Y1" s="21" t="s">
        <v>29</v>
      </c>
      <c r="Z1" s="21" t="s">
        <v>31</v>
      </c>
      <c r="AA1" s="21" t="s">
        <v>33</v>
      </c>
      <c r="AB1" s="21" t="s">
        <v>34</v>
      </c>
      <c r="AC1" s="22" t="s">
        <v>11</v>
      </c>
      <c r="AD1" s="22" t="s">
        <v>21</v>
      </c>
      <c r="AE1" s="22" t="s">
        <v>22</v>
      </c>
      <c r="AF1" s="22" t="s">
        <v>4</v>
      </c>
      <c r="AG1" s="22" t="s">
        <v>12</v>
      </c>
      <c r="AH1" s="23" t="s">
        <v>13</v>
      </c>
      <c r="AI1" s="24" t="s">
        <v>14</v>
      </c>
      <c r="AJ1" s="32" t="s">
        <v>37</v>
      </c>
      <c r="AK1" s="34" t="s">
        <v>35</v>
      </c>
      <c r="AL1" s="62" t="s">
        <v>36</v>
      </c>
    </row>
    <row r="2" spans="1:38" ht="17.25" customHeight="1">
      <c r="A2" s="25"/>
      <c r="B2" s="26"/>
      <c r="C2" s="14"/>
      <c r="D2" s="31"/>
      <c r="E2" s="14"/>
      <c r="F2" s="15" t="str">
        <f t="shared" ref="F2:F33" si="0">"S/F "&amp;B2&amp;" "&amp;E2</f>
        <v xml:space="preserve">S/F  </v>
      </c>
      <c r="G2" s="16"/>
      <c r="H2" s="17">
        <v>21</v>
      </c>
      <c r="I2" s="18">
        <f t="shared" ref="I2:I33" si="1">+IF(G2&lt;&gt;0,G2*H2/100,0)</f>
        <v>0</v>
      </c>
      <c r="J2" s="17"/>
      <c r="K2" s="18"/>
      <c r="L2" s="16"/>
      <c r="M2" s="17"/>
      <c r="N2" s="18">
        <f t="shared" ref="N2:N33" si="2">+IF(L2&lt;&gt;0,L2*M2/100,0)</f>
        <v>0</v>
      </c>
      <c r="O2" s="19"/>
      <c r="P2" s="18">
        <v>0</v>
      </c>
      <c r="Q2" s="16"/>
      <c r="R2" s="17"/>
      <c r="S2" s="18">
        <v>0</v>
      </c>
      <c r="T2" s="19"/>
      <c r="U2" s="18">
        <v>0</v>
      </c>
      <c r="V2" s="16"/>
      <c r="W2" s="17"/>
      <c r="X2" s="18">
        <f t="shared" ref="X2:X33" si="3">+IF(W2&lt;&gt;0,V2*W2/100,0)</f>
        <v>0</v>
      </c>
      <c r="Y2" s="19"/>
      <c r="Z2" s="19"/>
      <c r="AA2" s="18">
        <f t="shared" ref="AA2:AA33" si="4">+IF(Z2&lt;&gt;0,Y2*Z2/100,0)</f>
        <v>0</v>
      </c>
      <c r="AB2" s="20">
        <f t="shared" ref="AB2:AB33" si="5">+G2+I2+K2+L2+N2+P2+Q2+S2+U2-X2-AA2</f>
        <v>0</v>
      </c>
      <c r="AC2" s="5"/>
      <c r="AD2" s="8"/>
      <c r="AF2" s="6"/>
      <c r="AG2" s="7"/>
      <c r="AJ2" s="33"/>
      <c r="AK2" s="35"/>
      <c r="AL2" s="38"/>
    </row>
    <row r="3" spans="1:38" ht="17.25" customHeight="1">
      <c r="A3" s="25"/>
      <c r="B3" s="26"/>
      <c r="C3" s="14"/>
      <c r="D3" s="31"/>
      <c r="E3" s="14"/>
      <c r="F3" s="15" t="str">
        <f t="shared" si="0"/>
        <v xml:space="preserve">S/F  </v>
      </c>
      <c r="G3" s="16"/>
      <c r="H3" s="17">
        <v>21</v>
      </c>
      <c r="I3" s="18">
        <f t="shared" si="1"/>
        <v>0</v>
      </c>
      <c r="J3" s="17"/>
      <c r="K3" s="18"/>
      <c r="L3" s="16"/>
      <c r="M3" s="17"/>
      <c r="N3" s="18">
        <f t="shared" si="2"/>
        <v>0</v>
      </c>
      <c r="O3" s="19"/>
      <c r="P3" s="18">
        <v>0</v>
      </c>
      <c r="Q3" s="16"/>
      <c r="R3" s="17"/>
      <c r="S3" s="18">
        <v>0</v>
      </c>
      <c r="T3" s="19"/>
      <c r="U3" s="18">
        <v>0</v>
      </c>
      <c r="V3" s="16"/>
      <c r="W3" s="17"/>
      <c r="X3" s="18">
        <f t="shared" si="3"/>
        <v>0</v>
      </c>
      <c r="Y3" s="19"/>
      <c r="Z3" s="19"/>
      <c r="AA3" s="18">
        <f t="shared" si="4"/>
        <v>0</v>
      </c>
      <c r="AB3" s="20">
        <f t="shared" si="5"/>
        <v>0</v>
      </c>
      <c r="AC3" s="5"/>
      <c r="AD3" s="8"/>
      <c r="AF3" s="6"/>
      <c r="AG3" s="7"/>
      <c r="AJ3" s="33"/>
      <c r="AK3" s="35"/>
      <c r="AL3" s="38"/>
    </row>
    <row r="4" spans="1:38" ht="17.25" customHeight="1">
      <c r="A4" s="25"/>
      <c r="B4" s="26"/>
      <c r="C4" s="14"/>
      <c r="D4" s="31"/>
      <c r="E4" s="14"/>
      <c r="F4" s="15" t="str">
        <f t="shared" si="0"/>
        <v xml:space="preserve">S/F  </v>
      </c>
      <c r="G4" s="16"/>
      <c r="H4" s="17">
        <v>21</v>
      </c>
      <c r="I4" s="18">
        <f t="shared" si="1"/>
        <v>0</v>
      </c>
      <c r="J4" s="17"/>
      <c r="K4" s="18"/>
      <c r="L4" s="16"/>
      <c r="M4" s="17"/>
      <c r="N4" s="18">
        <f t="shared" si="2"/>
        <v>0</v>
      </c>
      <c r="O4" s="19"/>
      <c r="P4" s="18">
        <v>0</v>
      </c>
      <c r="Q4" s="16"/>
      <c r="R4" s="17"/>
      <c r="S4" s="18">
        <v>0</v>
      </c>
      <c r="T4" s="19"/>
      <c r="U4" s="18">
        <v>0</v>
      </c>
      <c r="V4" s="16"/>
      <c r="W4" s="17"/>
      <c r="X4" s="18">
        <f t="shared" si="3"/>
        <v>0</v>
      </c>
      <c r="Y4" s="19"/>
      <c r="Z4" s="19"/>
      <c r="AA4" s="18">
        <f t="shared" si="4"/>
        <v>0</v>
      </c>
      <c r="AB4" s="20">
        <f t="shared" si="5"/>
        <v>0</v>
      </c>
      <c r="AC4" s="5"/>
      <c r="AD4" s="8"/>
      <c r="AF4" s="6"/>
      <c r="AG4" s="7"/>
      <c r="AJ4" s="33"/>
      <c r="AK4" s="35"/>
      <c r="AL4" s="38"/>
    </row>
    <row r="5" spans="1:38" ht="17.25" customHeight="1">
      <c r="A5" s="25"/>
      <c r="B5" s="26"/>
      <c r="C5" s="14"/>
      <c r="D5" s="31"/>
      <c r="E5" s="14"/>
      <c r="F5" s="15" t="str">
        <f t="shared" si="0"/>
        <v xml:space="preserve">S/F  </v>
      </c>
      <c r="G5" s="16"/>
      <c r="H5" s="17">
        <v>21</v>
      </c>
      <c r="I5" s="18">
        <f t="shared" si="1"/>
        <v>0</v>
      </c>
      <c r="J5" s="17"/>
      <c r="K5" s="18"/>
      <c r="L5" s="16"/>
      <c r="M5" s="17"/>
      <c r="N5" s="18">
        <f t="shared" si="2"/>
        <v>0</v>
      </c>
      <c r="O5" s="19"/>
      <c r="P5" s="18">
        <v>0</v>
      </c>
      <c r="Q5" s="16"/>
      <c r="R5" s="17"/>
      <c r="S5" s="18">
        <v>0</v>
      </c>
      <c r="T5" s="19"/>
      <c r="U5" s="18">
        <v>0</v>
      </c>
      <c r="V5" s="16"/>
      <c r="W5" s="17"/>
      <c r="X5" s="18">
        <f t="shared" si="3"/>
        <v>0</v>
      </c>
      <c r="Y5" s="19"/>
      <c r="Z5" s="19"/>
      <c r="AA5" s="18">
        <f t="shared" si="4"/>
        <v>0</v>
      </c>
      <c r="AB5" s="20">
        <f t="shared" si="5"/>
        <v>0</v>
      </c>
      <c r="AC5" s="5"/>
      <c r="AD5" s="8"/>
      <c r="AF5" s="6"/>
      <c r="AG5" s="7"/>
      <c r="AJ5" s="33"/>
      <c r="AK5" s="35"/>
      <c r="AL5" s="38"/>
    </row>
    <row r="6" spans="1:38" ht="17.25" customHeight="1">
      <c r="A6" s="25"/>
      <c r="B6" s="26"/>
      <c r="C6" s="14"/>
      <c r="D6" s="31"/>
      <c r="E6" s="14"/>
      <c r="F6" s="15" t="str">
        <f t="shared" si="0"/>
        <v xml:space="preserve">S/F  </v>
      </c>
      <c r="G6" s="16"/>
      <c r="H6" s="17">
        <v>21</v>
      </c>
      <c r="I6" s="18">
        <f t="shared" si="1"/>
        <v>0</v>
      </c>
      <c r="J6" s="17"/>
      <c r="K6" s="18"/>
      <c r="L6" s="16"/>
      <c r="M6" s="17"/>
      <c r="N6" s="18">
        <f t="shared" si="2"/>
        <v>0</v>
      </c>
      <c r="O6" s="19"/>
      <c r="P6" s="18">
        <v>0</v>
      </c>
      <c r="Q6" s="16"/>
      <c r="R6" s="17"/>
      <c r="S6" s="18">
        <v>0</v>
      </c>
      <c r="T6" s="19"/>
      <c r="U6" s="18">
        <v>0</v>
      </c>
      <c r="V6" s="16"/>
      <c r="W6" s="17"/>
      <c r="X6" s="18">
        <f t="shared" si="3"/>
        <v>0</v>
      </c>
      <c r="Y6" s="19"/>
      <c r="Z6" s="19"/>
      <c r="AA6" s="18">
        <f t="shared" si="4"/>
        <v>0</v>
      </c>
      <c r="AB6" s="20">
        <f t="shared" si="5"/>
        <v>0</v>
      </c>
      <c r="AC6" s="5"/>
      <c r="AD6" s="8"/>
      <c r="AF6" s="6"/>
      <c r="AG6" s="7"/>
      <c r="AJ6" s="33"/>
      <c r="AK6" s="35"/>
      <c r="AL6" s="38"/>
    </row>
    <row r="7" spans="1:38" ht="17.25" customHeight="1">
      <c r="A7" s="25"/>
      <c r="B7" s="26"/>
      <c r="C7" s="14"/>
      <c r="D7" s="31"/>
      <c r="E7" s="14"/>
      <c r="F7" s="15" t="str">
        <f t="shared" si="0"/>
        <v xml:space="preserve">S/F  </v>
      </c>
      <c r="G7" s="16"/>
      <c r="H7" s="17">
        <v>21</v>
      </c>
      <c r="I7" s="18">
        <f t="shared" si="1"/>
        <v>0</v>
      </c>
      <c r="J7" s="17"/>
      <c r="K7" s="18"/>
      <c r="L7" s="16"/>
      <c r="M7" s="17"/>
      <c r="N7" s="18">
        <f t="shared" si="2"/>
        <v>0</v>
      </c>
      <c r="O7" s="19"/>
      <c r="P7" s="18">
        <v>0</v>
      </c>
      <c r="Q7" s="16"/>
      <c r="R7" s="17"/>
      <c r="S7" s="18">
        <v>0</v>
      </c>
      <c r="T7" s="19"/>
      <c r="U7" s="18">
        <v>0</v>
      </c>
      <c r="V7" s="16"/>
      <c r="W7" s="17"/>
      <c r="X7" s="18">
        <f t="shared" si="3"/>
        <v>0</v>
      </c>
      <c r="Y7" s="19"/>
      <c r="Z7" s="19"/>
      <c r="AA7" s="18">
        <f t="shared" si="4"/>
        <v>0</v>
      </c>
      <c r="AB7" s="20">
        <f t="shared" si="5"/>
        <v>0</v>
      </c>
      <c r="AC7" s="5"/>
      <c r="AD7" s="8"/>
      <c r="AF7" s="6"/>
      <c r="AG7" s="7"/>
      <c r="AJ7" s="33"/>
      <c r="AK7" s="35"/>
      <c r="AL7" s="38"/>
    </row>
    <row r="8" spans="1:38" ht="17.25" customHeight="1">
      <c r="A8" s="25"/>
      <c r="B8" s="26"/>
      <c r="C8" s="14"/>
      <c r="D8" s="31"/>
      <c r="E8" s="14"/>
      <c r="F8" s="15" t="str">
        <f t="shared" si="0"/>
        <v xml:space="preserve">S/F  </v>
      </c>
      <c r="G8" s="16"/>
      <c r="H8" s="17">
        <v>21</v>
      </c>
      <c r="I8" s="18">
        <f t="shared" si="1"/>
        <v>0</v>
      </c>
      <c r="J8" s="17"/>
      <c r="K8" s="18"/>
      <c r="L8" s="16"/>
      <c r="M8" s="17"/>
      <c r="N8" s="18">
        <f t="shared" si="2"/>
        <v>0</v>
      </c>
      <c r="O8" s="19"/>
      <c r="P8" s="18">
        <v>0</v>
      </c>
      <c r="Q8" s="16"/>
      <c r="R8" s="17"/>
      <c r="S8" s="18">
        <v>0</v>
      </c>
      <c r="T8" s="19"/>
      <c r="U8" s="18">
        <v>0</v>
      </c>
      <c r="V8" s="16"/>
      <c r="W8" s="17"/>
      <c r="X8" s="18">
        <f t="shared" si="3"/>
        <v>0</v>
      </c>
      <c r="Y8" s="19"/>
      <c r="Z8" s="19"/>
      <c r="AA8" s="18">
        <f t="shared" si="4"/>
        <v>0</v>
      </c>
      <c r="AB8" s="20">
        <f t="shared" si="5"/>
        <v>0</v>
      </c>
      <c r="AC8" s="5"/>
      <c r="AD8" s="8"/>
      <c r="AF8" s="6"/>
      <c r="AG8" s="7"/>
      <c r="AJ8" s="33"/>
      <c r="AK8" s="35"/>
      <c r="AL8" s="38"/>
    </row>
    <row r="9" spans="1:38" ht="17.25" customHeight="1">
      <c r="A9" s="25"/>
      <c r="B9" s="26"/>
      <c r="C9" s="14"/>
      <c r="D9" s="31"/>
      <c r="E9" s="14"/>
      <c r="F9" s="15" t="str">
        <f t="shared" si="0"/>
        <v xml:space="preserve">S/F  </v>
      </c>
      <c r="G9" s="16"/>
      <c r="H9" s="17">
        <v>21</v>
      </c>
      <c r="I9" s="18">
        <f t="shared" si="1"/>
        <v>0</v>
      </c>
      <c r="J9" s="17"/>
      <c r="K9" s="18"/>
      <c r="L9" s="16"/>
      <c r="M9" s="17"/>
      <c r="N9" s="18">
        <f t="shared" si="2"/>
        <v>0</v>
      </c>
      <c r="O9" s="19"/>
      <c r="P9" s="18">
        <v>0</v>
      </c>
      <c r="Q9" s="16"/>
      <c r="R9" s="17"/>
      <c r="S9" s="18">
        <v>0</v>
      </c>
      <c r="T9" s="19"/>
      <c r="U9" s="18">
        <v>0</v>
      </c>
      <c r="V9" s="16"/>
      <c r="W9" s="17"/>
      <c r="X9" s="18">
        <f t="shared" si="3"/>
        <v>0</v>
      </c>
      <c r="Y9" s="19"/>
      <c r="Z9" s="19"/>
      <c r="AA9" s="18">
        <f t="shared" si="4"/>
        <v>0</v>
      </c>
      <c r="AB9" s="20">
        <f t="shared" si="5"/>
        <v>0</v>
      </c>
      <c r="AC9" s="5"/>
      <c r="AD9" s="8"/>
      <c r="AF9" s="6"/>
      <c r="AG9" s="7"/>
      <c r="AJ9" s="33"/>
      <c r="AK9" s="35"/>
      <c r="AL9" s="38"/>
    </row>
    <row r="10" spans="1:38" ht="17.25" customHeight="1">
      <c r="A10" s="25"/>
      <c r="B10" s="26"/>
      <c r="C10" s="14"/>
      <c r="D10" s="31"/>
      <c r="E10" s="14"/>
      <c r="F10" s="15" t="str">
        <f t="shared" si="0"/>
        <v xml:space="preserve">S/F  </v>
      </c>
      <c r="G10" s="16"/>
      <c r="H10" s="17">
        <v>21</v>
      </c>
      <c r="I10" s="18">
        <f t="shared" si="1"/>
        <v>0</v>
      </c>
      <c r="J10" s="17"/>
      <c r="K10" s="18">
        <f>+IF(G10&lt;&gt;0,G10*J10/100,0)</f>
        <v>0</v>
      </c>
      <c r="L10" s="16"/>
      <c r="M10" s="17"/>
      <c r="N10" s="18">
        <f t="shared" si="2"/>
        <v>0</v>
      </c>
      <c r="O10" s="19"/>
      <c r="P10" s="18">
        <f>+IF(L10&lt;&gt;0,L10*O10/100,0)</f>
        <v>0</v>
      </c>
      <c r="Q10" s="16"/>
      <c r="R10" s="17"/>
      <c r="S10" s="18">
        <f>+IF(Q10&lt;&gt;0,Q10*R10/100,0)</f>
        <v>0</v>
      </c>
      <c r="T10" s="19"/>
      <c r="U10" s="18">
        <f>+IF(Q10&lt;&gt;0,Q10*T10/100,0)</f>
        <v>0</v>
      </c>
      <c r="V10" s="19"/>
      <c r="W10" s="19"/>
      <c r="X10" s="18">
        <f t="shared" si="3"/>
        <v>0</v>
      </c>
      <c r="Y10" s="19"/>
      <c r="Z10" s="19"/>
      <c r="AA10" s="18">
        <f t="shared" si="4"/>
        <v>0</v>
      </c>
      <c r="AB10" s="20">
        <f t="shared" si="5"/>
        <v>0</v>
      </c>
      <c r="AC10" s="5"/>
      <c r="AD10" s="2"/>
      <c r="AF10" s="6"/>
      <c r="AG10" s="7"/>
      <c r="AJ10" s="33"/>
      <c r="AK10" s="35"/>
      <c r="AL10" s="38"/>
    </row>
    <row r="11" spans="1:38" ht="17.25" customHeight="1">
      <c r="A11" s="25"/>
      <c r="B11" s="26"/>
      <c r="C11" s="14"/>
      <c r="D11" s="31"/>
      <c r="E11" s="14"/>
      <c r="F11" s="15" t="str">
        <f t="shared" si="0"/>
        <v xml:space="preserve">S/F  </v>
      </c>
      <c r="G11" s="16"/>
      <c r="H11" s="17">
        <v>21</v>
      </c>
      <c r="I11" s="18">
        <f t="shared" si="1"/>
        <v>0</v>
      </c>
      <c r="J11" s="17"/>
      <c r="K11" s="18"/>
      <c r="L11" s="16"/>
      <c r="M11" s="17"/>
      <c r="N11" s="18">
        <f t="shared" si="2"/>
        <v>0</v>
      </c>
      <c r="O11" s="19"/>
      <c r="P11" s="18">
        <v>0</v>
      </c>
      <c r="Q11" s="16"/>
      <c r="R11" s="17"/>
      <c r="S11" s="18">
        <v>0</v>
      </c>
      <c r="T11" s="19"/>
      <c r="U11" s="18">
        <v>0</v>
      </c>
      <c r="V11" s="16"/>
      <c r="W11" s="17"/>
      <c r="X11" s="18">
        <f t="shared" si="3"/>
        <v>0</v>
      </c>
      <c r="Y11" s="19"/>
      <c r="Z11" s="19"/>
      <c r="AA11" s="18">
        <f t="shared" si="4"/>
        <v>0</v>
      </c>
      <c r="AB11" s="20">
        <f t="shared" si="5"/>
        <v>0</v>
      </c>
      <c r="AC11" s="5"/>
      <c r="AD11" s="8"/>
      <c r="AF11" s="6"/>
      <c r="AG11" s="7"/>
      <c r="AJ11" s="33"/>
      <c r="AK11" s="35"/>
      <c r="AL11" s="38"/>
    </row>
    <row r="12" spans="1:38" ht="17.25" customHeight="1">
      <c r="A12" s="25"/>
      <c r="B12" s="26"/>
      <c r="C12" s="14"/>
      <c r="D12" s="31"/>
      <c r="E12" s="14"/>
      <c r="F12" s="15" t="str">
        <f t="shared" si="0"/>
        <v xml:space="preserve">S/F  </v>
      </c>
      <c r="G12" s="16"/>
      <c r="H12" s="17">
        <v>21</v>
      </c>
      <c r="I12" s="18">
        <f t="shared" si="1"/>
        <v>0</v>
      </c>
      <c r="J12" s="17"/>
      <c r="K12" s="18"/>
      <c r="L12" s="16"/>
      <c r="M12" s="17"/>
      <c r="N12" s="18">
        <f t="shared" si="2"/>
        <v>0</v>
      </c>
      <c r="O12" s="19"/>
      <c r="P12" s="18">
        <v>0</v>
      </c>
      <c r="Q12" s="16"/>
      <c r="R12" s="17"/>
      <c r="S12" s="18">
        <v>0</v>
      </c>
      <c r="T12" s="19"/>
      <c r="U12" s="18">
        <v>0</v>
      </c>
      <c r="V12" s="16"/>
      <c r="W12" s="17"/>
      <c r="X12" s="18">
        <f t="shared" si="3"/>
        <v>0</v>
      </c>
      <c r="Y12" s="19"/>
      <c r="Z12" s="19"/>
      <c r="AA12" s="18">
        <f t="shared" si="4"/>
        <v>0</v>
      </c>
      <c r="AB12" s="20">
        <f t="shared" si="5"/>
        <v>0</v>
      </c>
      <c r="AC12" s="5"/>
      <c r="AD12" s="8"/>
      <c r="AF12" s="6"/>
      <c r="AG12" s="7"/>
      <c r="AJ12" s="33"/>
      <c r="AK12" s="35"/>
      <c r="AL12" s="38"/>
    </row>
    <row r="13" spans="1:38" ht="17.25" customHeight="1">
      <c r="A13" s="25"/>
      <c r="B13" s="26"/>
      <c r="C13" s="14"/>
      <c r="D13" s="31"/>
      <c r="E13" s="14"/>
      <c r="F13" s="15" t="str">
        <f t="shared" si="0"/>
        <v xml:space="preserve">S/F  </v>
      </c>
      <c r="G13" s="16"/>
      <c r="H13" s="17">
        <v>21</v>
      </c>
      <c r="I13" s="18">
        <f t="shared" si="1"/>
        <v>0</v>
      </c>
      <c r="J13" s="17"/>
      <c r="K13" s="18"/>
      <c r="L13" s="16"/>
      <c r="M13" s="17"/>
      <c r="N13" s="18">
        <f t="shared" si="2"/>
        <v>0</v>
      </c>
      <c r="O13" s="19"/>
      <c r="P13" s="18">
        <v>0</v>
      </c>
      <c r="Q13" s="16"/>
      <c r="R13" s="17"/>
      <c r="S13" s="18">
        <v>0</v>
      </c>
      <c r="T13" s="19"/>
      <c r="U13" s="18">
        <v>0</v>
      </c>
      <c r="V13" s="16"/>
      <c r="W13" s="17"/>
      <c r="X13" s="18">
        <f t="shared" si="3"/>
        <v>0</v>
      </c>
      <c r="Y13" s="19"/>
      <c r="Z13" s="19"/>
      <c r="AA13" s="18">
        <f t="shared" si="4"/>
        <v>0</v>
      </c>
      <c r="AB13" s="20">
        <f t="shared" si="5"/>
        <v>0</v>
      </c>
      <c r="AC13" s="5"/>
      <c r="AD13" s="8"/>
      <c r="AF13" s="6"/>
      <c r="AG13" s="7"/>
      <c r="AJ13" s="33"/>
      <c r="AK13" s="35"/>
      <c r="AL13" s="38"/>
    </row>
    <row r="14" spans="1:38" ht="17.25" customHeight="1">
      <c r="A14" s="25"/>
      <c r="B14" s="26"/>
      <c r="C14" s="14"/>
      <c r="D14" s="31"/>
      <c r="E14" s="14"/>
      <c r="F14" s="15" t="str">
        <f t="shared" si="0"/>
        <v xml:space="preserve">S/F  </v>
      </c>
      <c r="G14" s="16"/>
      <c r="H14" s="17">
        <v>21</v>
      </c>
      <c r="I14" s="18">
        <f t="shared" si="1"/>
        <v>0</v>
      </c>
      <c r="J14" s="17"/>
      <c r="K14" s="18"/>
      <c r="L14" s="16"/>
      <c r="M14" s="17"/>
      <c r="N14" s="18">
        <f t="shared" si="2"/>
        <v>0</v>
      </c>
      <c r="O14" s="19"/>
      <c r="P14" s="18">
        <v>0</v>
      </c>
      <c r="Q14" s="16"/>
      <c r="R14" s="17"/>
      <c r="S14" s="18">
        <v>0</v>
      </c>
      <c r="T14" s="19"/>
      <c r="U14" s="18">
        <v>0</v>
      </c>
      <c r="V14" s="16"/>
      <c r="W14" s="17"/>
      <c r="X14" s="18">
        <f t="shared" si="3"/>
        <v>0</v>
      </c>
      <c r="Y14" s="19"/>
      <c r="Z14" s="19"/>
      <c r="AA14" s="18">
        <f t="shared" si="4"/>
        <v>0</v>
      </c>
      <c r="AB14" s="20">
        <f t="shared" si="5"/>
        <v>0</v>
      </c>
      <c r="AC14" s="5"/>
      <c r="AD14" s="8"/>
      <c r="AF14" s="6"/>
      <c r="AG14" s="7"/>
      <c r="AJ14" s="33"/>
      <c r="AK14" s="35"/>
      <c r="AL14" s="38"/>
    </row>
    <row r="15" spans="1:38" ht="17.25" customHeight="1">
      <c r="A15" s="25"/>
      <c r="B15" s="26"/>
      <c r="C15" s="14"/>
      <c r="D15" s="31"/>
      <c r="E15" s="14"/>
      <c r="F15" s="15" t="str">
        <f t="shared" si="0"/>
        <v xml:space="preserve">S/F  </v>
      </c>
      <c r="G15" s="16"/>
      <c r="H15" s="17">
        <v>21</v>
      </c>
      <c r="I15" s="18">
        <f t="shared" si="1"/>
        <v>0</v>
      </c>
      <c r="J15" s="17"/>
      <c r="K15" s="18"/>
      <c r="L15" s="16"/>
      <c r="M15" s="17"/>
      <c r="N15" s="18">
        <f t="shared" si="2"/>
        <v>0</v>
      </c>
      <c r="O15" s="19"/>
      <c r="P15" s="18">
        <v>0</v>
      </c>
      <c r="Q15" s="16"/>
      <c r="R15" s="17"/>
      <c r="S15" s="18">
        <v>0</v>
      </c>
      <c r="T15" s="19"/>
      <c r="U15" s="18">
        <v>0</v>
      </c>
      <c r="V15" s="16"/>
      <c r="W15" s="17"/>
      <c r="X15" s="18">
        <f t="shared" si="3"/>
        <v>0</v>
      </c>
      <c r="Y15" s="19"/>
      <c r="Z15" s="19"/>
      <c r="AA15" s="18">
        <f t="shared" si="4"/>
        <v>0</v>
      </c>
      <c r="AB15" s="20">
        <f t="shared" si="5"/>
        <v>0</v>
      </c>
      <c r="AC15" s="5"/>
      <c r="AD15" s="8"/>
      <c r="AF15" s="6"/>
      <c r="AG15" s="7"/>
      <c r="AJ15" s="33"/>
      <c r="AK15" s="35"/>
      <c r="AL15" s="38"/>
    </row>
    <row r="16" spans="1:38" ht="17.25" customHeight="1">
      <c r="A16" s="25"/>
      <c r="B16" s="26"/>
      <c r="C16" s="14"/>
      <c r="D16" s="31"/>
      <c r="E16" s="14"/>
      <c r="F16" s="15" t="str">
        <f t="shared" si="0"/>
        <v xml:space="preserve">S/F  </v>
      </c>
      <c r="G16" s="16"/>
      <c r="H16" s="17">
        <v>21</v>
      </c>
      <c r="I16" s="18">
        <f t="shared" si="1"/>
        <v>0</v>
      </c>
      <c r="J16" s="17"/>
      <c r="K16" s="18"/>
      <c r="L16" s="16"/>
      <c r="M16" s="17"/>
      <c r="N16" s="18">
        <f t="shared" si="2"/>
        <v>0</v>
      </c>
      <c r="O16" s="19"/>
      <c r="P16" s="18">
        <v>0</v>
      </c>
      <c r="Q16" s="16"/>
      <c r="R16" s="17"/>
      <c r="S16" s="18">
        <v>0</v>
      </c>
      <c r="T16" s="19"/>
      <c r="U16" s="18">
        <v>0</v>
      </c>
      <c r="V16" s="16"/>
      <c r="W16" s="17"/>
      <c r="X16" s="18">
        <f t="shared" si="3"/>
        <v>0</v>
      </c>
      <c r="Y16" s="19"/>
      <c r="Z16" s="19"/>
      <c r="AA16" s="18">
        <f t="shared" si="4"/>
        <v>0</v>
      </c>
      <c r="AB16" s="20">
        <f t="shared" si="5"/>
        <v>0</v>
      </c>
      <c r="AC16" s="5"/>
      <c r="AD16" s="8"/>
      <c r="AF16" s="6"/>
      <c r="AG16" s="7"/>
      <c r="AJ16" s="33"/>
      <c r="AK16" s="35"/>
      <c r="AL16" s="38"/>
    </row>
    <row r="17" spans="1:38" ht="17.25" customHeight="1">
      <c r="A17" s="25"/>
      <c r="B17" s="26"/>
      <c r="C17" s="14"/>
      <c r="D17" s="31"/>
      <c r="E17" s="14"/>
      <c r="F17" s="15" t="str">
        <f t="shared" si="0"/>
        <v xml:space="preserve">S/F  </v>
      </c>
      <c r="G17" s="16"/>
      <c r="H17" s="17">
        <v>21</v>
      </c>
      <c r="I17" s="18">
        <f t="shared" si="1"/>
        <v>0</v>
      </c>
      <c r="J17" s="17"/>
      <c r="K17" s="18"/>
      <c r="L17" s="16"/>
      <c r="M17" s="17"/>
      <c r="N17" s="18">
        <f t="shared" si="2"/>
        <v>0</v>
      </c>
      <c r="O17" s="19"/>
      <c r="P17" s="18">
        <v>0</v>
      </c>
      <c r="Q17" s="16"/>
      <c r="R17" s="17"/>
      <c r="S17" s="18">
        <v>0</v>
      </c>
      <c r="T17" s="19"/>
      <c r="U17" s="18">
        <v>0</v>
      </c>
      <c r="V17" s="16"/>
      <c r="W17" s="17"/>
      <c r="X17" s="18">
        <f t="shared" si="3"/>
        <v>0</v>
      </c>
      <c r="Y17" s="19"/>
      <c r="Z17" s="19"/>
      <c r="AA17" s="18">
        <f t="shared" si="4"/>
        <v>0</v>
      </c>
      <c r="AB17" s="20">
        <f t="shared" si="5"/>
        <v>0</v>
      </c>
      <c r="AC17" s="5"/>
      <c r="AD17" s="8"/>
      <c r="AF17" s="6"/>
      <c r="AG17" s="7"/>
      <c r="AJ17" s="33"/>
      <c r="AK17" s="35"/>
      <c r="AL17" s="38"/>
    </row>
    <row r="18" spans="1:38" ht="17.25" customHeight="1">
      <c r="A18" s="25"/>
      <c r="B18" s="26"/>
      <c r="C18" s="14"/>
      <c r="D18" s="31"/>
      <c r="E18" s="14"/>
      <c r="F18" s="15" t="str">
        <f t="shared" si="0"/>
        <v xml:space="preserve">S/F  </v>
      </c>
      <c r="G18" s="16"/>
      <c r="H18" s="17">
        <v>21</v>
      </c>
      <c r="I18" s="18">
        <f t="shared" si="1"/>
        <v>0</v>
      </c>
      <c r="J18" s="17"/>
      <c r="K18" s="18"/>
      <c r="L18" s="16"/>
      <c r="M18" s="17"/>
      <c r="N18" s="18">
        <f t="shared" si="2"/>
        <v>0</v>
      </c>
      <c r="O18" s="19"/>
      <c r="P18" s="18">
        <v>0</v>
      </c>
      <c r="Q18" s="16"/>
      <c r="R18" s="17"/>
      <c r="S18" s="18">
        <v>0</v>
      </c>
      <c r="T18" s="19"/>
      <c r="U18" s="18">
        <v>0</v>
      </c>
      <c r="V18" s="16"/>
      <c r="W18" s="17"/>
      <c r="X18" s="18">
        <f t="shared" si="3"/>
        <v>0</v>
      </c>
      <c r="Y18" s="19"/>
      <c r="Z18" s="19"/>
      <c r="AA18" s="18">
        <f t="shared" si="4"/>
        <v>0</v>
      </c>
      <c r="AB18" s="20">
        <f t="shared" si="5"/>
        <v>0</v>
      </c>
      <c r="AC18" s="5"/>
      <c r="AD18" s="8"/>
      <c r="AF18" s="6"/>
      <c r="AG18" s="7"/>
      <c r="AJ18" s="33"/>
      <c r="AK18" s="35"/>
      <c r="AL18" s="38"/>
    </row>
    <row r="19" spans="1:38" ht="17.25" customHeight="1">
      <c r="A19" s="25"/>
      <c r="B19" s="26"/>
      <c r="C19" s="14"/>
      <c r="D19" s="31"/>
      <c r="E19" s="14"/>
      <c r="F19" s="15" t="str">
        <f t="shared" si="0"/>
        <v xml:space="preserve">S/F  </v>
      </c>
      <c r="G19" s="16"/>
      <c r="H19" s="17">
        <v>21</v>
      </c>
      <c r="I19" s="18">
        <f t="shared" si="1"/>
        <v>0</v>
      </c>
      <c r="J19" s="17"/>
      <c r="K19" s="18"/>
      <c r="L19" s="16"/>
      <c r="M19" s="17"/>
      <c r="N19" s="18">
        <f t="shared" si="2"/>
        <v>0</v>
      </c>
      <c r="O19" s="19"/>
      <c r="P19" s="18">
        <v>0</v>
      </c>
      <c r="Q19" s="16"/>
      <c r="R19" s="17"/>
      <c r="S19" s="18">
        <v>0</v>
      </c>
      <c r="T19" s="19"/>
      <c r="U19" s="18">
        <v>0</v>
      </c>
      <c r="V19" s="16"/>
      <c r="W19" s="17"/>
      <c r="X19" s="18">
        <f t="shared" si="3"/>
        <v>0</v>
      </c>
      <c r="Y19" s="19"/>
      <c r="Z19" s="19"/>
      <c r="AA19" s="18">
        <f t="shared" si="4"/>
        <v>0</v>
      </c>
      <c r="AB19" s="20">
        <f t="shared" si="5"/>
        <v>0</v>
      </c>
      <c r="AC19" s="5"/>
      <c r="AD19" s="8"/>
      <c r="AF19" s="6"/>
      <c r="AG19" s="7"/>
      <c r="AJ19" s="33"/>
      <c r="AK19" s="35"/>
      <c r="AL19" s="38"/>
    </row>
    <row r="20" spans="1:38" ht="17.25" customHeight="1">
      <c r="A20" s="25"/>
      <c r="B20" s="26"/>
      <c r="C20" s="14"/>
      <c r="D20" s="31"/>
      <c r="E20" s="14"/>
      <c r="F20" s="15" t="str">
        <f t="shared" si="0"/>
        <v xml:space="preserve">S/F  </v>
      </c>
      <c r="G20" s="16"/>
      <c r="H20" s="17">
        <v>21</v>
      </c>
      <c r="I20" s="18">
        <f t="shared" si="1"/>
        <v>0</v>
      </c>
      <c r="J20" s="17"/>
      <c r="K20" s="18"/>
      <c r="L20" s="16"/>
      <c r="M20" s="17"/>
      <c r="N20" s="18">
        <f t="shared" si="2"/>
        <v>0</v>
      </c>
      <c r="O20" s="19"/>
      <c r="P20" s="18">
        <v>0</v>
      </c>
      <c r="Q20" s="16"/>
      <c r="R20" s="17"/>
      <c r="S20" s="18">
        <v>0</v>
      </c>
      <c r="T20" s="19"/>
      <c r="U20" s="18">
        <v>0</v>
      </c>
      <c r="V20" s="16"/>
      <c r="W20" s="17"/>
      <c r="X20" s="18">
        <f t="shared" si="3"/>
        <v>0</v>
      </c>
      <c r="Y20" s="19"/>
      <c r="Z20" s="19"/>
      <c r="AA20" s="18">
        <f t="shared" si="4"/>
        <v>0</v>
      </c>
      <c r="AB20" s="20">
        <f t="shared" si="5"/>
        <v>0</v>
      </c>
      <c r="AC20" s="5"/>
      <c r="AD20" s="8"/>
      <c r="AF20" s="6"/>
      <c r="AG20" s="7"/>
      <c r="AJ20" s="33"/>
      <c r="AK20" s="35"/>
      <c r="AL20" s="38"/>
    </row>
    <row r="21" spans="1:38" ht="17.25" customHeight="1">
      <c r="A21" s="25"/>
      <c r="B21" s="26"/>
      <c r="C21" s="14"/>
      <c r="D21" s="31"/>
      <c r="E21" s="14"/>
      <c r="F21" s="15" t="str">
        <f t="shared" si="0"/>
        <v xml:space="preserve">S/F  </v>
      </c>
      <c r="G21" s="16"/>
      <c r="H21" s="17">
        <v>21</v>
      </c>
      <c r="I21" s="18">
        <f t="shared" si="1"/>
        <v>0</v>
      </c>
      <c r="J21" s="17"/>
      <c r="K21" s="18"/>
      <c r="L21" s="16"/>
      <c r="M21" s="17"/>
      <c r="N21" s="18">
        <f t="shared" si="2"/>
        <v>0</v>
      </c>
      <c r="O21" s="19"/>
      <c r="P21" s="18">
        <v>0</v>
      </c>
      <c r="Q21" s="16"/>
      <c r="R21" s="17"/>
      <c r="S21" s="18">
        <v>0</v>
      </c>
      <c r="T21" s="19"/>
      <c r="U21" s="18">
        <v>0</v>
      </c>
      <c r="V21" s="16"/>
      <c r="W21" s="17"/>
      <c r="X21" s="18">
        <f t="shared" si="3"/>
        <v>0</v>
      </c>
      <c r="Y21" s="19"/>
      <c r="Z21" s="19"/>
      <c r="AA21" s="18">
        <f t="shared" si="4"/>
        <v>0</v>
      </c>
      <c r="AB21" s="20">
        <f t="shared" si="5"/>
        <v>0</v>
      </c>
      <c r="AC21" s="5"/>
      <c r="AD21" s="8"/>
      <c r="AF21" s="6"/>
      <c r="AG21" s="7"/>
      <c r="AJ21" s="33"/>
      <c r="AK21" s="35"/>
      <c r="AL21" s="38"/>
    </row>
    <row r="22" spans="1:38" ht="17.25" customHeight="1">
      <c r="A22" s="25"/>
      <c r="B22" s="26"/>
      <c r="C22" s="14"/>
      <c r="D22" s="31"/>
      <c r="E22" s="14"/>
      <c r="F22" s="15" t="str">
        <f t="shared" si="0"/>
        <v xml:space="preserve">S/F  </v>
      </c>
      <c r="G22" s="16"/>
      <c r="H22" s="17">
        <v>21</v>
      </c>
      <c r="I22" s="18">
        <f t="shared" si="1"/>
        <v>0</v>
      </c>
      <c r="J22" s="17"/>
      <c r="K22" s="18"/>
      <c r="L22" s="16"/>
      <c r="M22" s="17"/>
      <c r="N22" s="18">
        <f t="shared" si="2"/>
        <v>0</v>
      </c>
      <c r="O22" s="19"/>
      <c r="P22" s="18">
        <v>0</v>
      </c>
      <c r="Q22" s="16"/>
      <c r="R22" s="17"/>
      <c r="S22" s="18">
        <v>0</v>
      </c>
      <c r="T22" s="19"/>
      <c r="U22" s="18">
        <v>0</v>
      </c>
      <c r="V22" s="16"/>
      <c r="W22" s="17"/>
      <c r="X22" s="18">
        <f t="shared" si="3"/>
        <v>0</v>
      </c>
      <c r="Y22" s="19"/>
      <c r="Z22" s="19"/>
      <c r="AA22" s="18">
        <f t="shared" si="4"/>
        <v>0</v>
      </c>
      <c r="AB22" s="20">
        <f t="shared" si="5"/>
        <v>0</v>
      </c>
      <c r="AC22" s="5"/>
      <c r="AD22" s="8"/>
      <c r="AF22" s="6"/>
      <c r="AG22" s="7"/>
      <c r="AJ22" s="33"/>
      <c r="AK22" s="35"/>
      <c r="AL22" s="38"/>
    </row>
    <row r="23" spans="1:38" ht="17.25" customHeight="1">
      <c r="A23" s="25"/>
      <c r="B23" s="26"/>
      <c r="C23" s="14"/>
      <c r="D23" s="31"/>
      <c r="E23" s="14"/>
      <c r="F23" s="15" t="str">
        <f t="shared" si="0"/>
        <v xml:space="preserve">S/F  </v>
      </c>
      <c r="G23" s="16"/>
      <c r="H23" s="17">
        <v>21</v>
      </c>
      <c r="I23" s="18">
        <f t="shared" si="1"/>
        <v>0</v>
      </c>
      <c r="J23" s="17"/>
      <c r="K23" s="18"/>
      <c r="L23" s="16"/>
      <c r="M23" s="17"/>
      <c r="N23" s="18">
        <f t="shared" si="2"/>
        <v>0</v>
      </c>
      <c r="O23" s="19"/>
      <c r="P23" s="18">
        <v>0</v>
      </c>
      <c r="Q23" s="16"/>
      <c r="R23" s="17"/>
      <c r="S23" s="18">
        <v>0</v>
      </c>
      <c r="T23" s="19"/>
      <c r="U23" s="18">
        <v>0</v>
      </c>
      <c r="V23" s="16"/>
      <c r="W23" s="17"/>
      <c r="X23" s="18">
        <f t="shared" si="3"/>
        <v>0</v>
      </c>
      <c r="Y23" s="19"/>
      <c r="Z23" s="19"/>
      <c r="AA23" s="18">
        <f t="shared" si="4"/>
        <v>0</v>
      </c>
      <c r="AB23" s="20">
        <f t="shared" si="5"/>
        <v>0</v>
      </c>
      <c r="AC23" s="5"/>
      <c r="AD23" s="8"/>
      <c r="AF23" s="6"/>
      <c r="AG23" s="7"/>
      <c r="AJ23" s="33"/>
      <c r="AK23" s="35"/>
      <c r="AL23" s="38"/>
    </row>
    <row r="24" spans="1:38" ht="17.25" customHeight="1">
      <c r="A24" s="25"/>
      <c r="B24" s="26"/>
      <c r="C24" s="14"/>
      <c r="D24" s="31"/>
      <c r="E24" s="14"/>
      <c r="F24" s="15" t="str">
        <f t="shared" si="0"/>
        <v xml:space="preserve">S/F  </v>
      </c>
      <c r="G24" s="16"/>
      <c r="H24" s="17">
        <v>21</v>
      </c>
      <c r="I24" s="18">
        <f t="shared" si="1"/>
        <v>0</v>
      </c>
      <c r="J24" s="17"/>
      <c r="K24" s="18"/>
      <c r="L24" s="16"/>
      <c r="M24" s="17"/>
      <c r="N24" s="18">
        <f t="shared" si="2"/>
        <v>0</v>
      </c>
      <c r="O24" s="19"/>
      <c r="P24" s="18">
        <v>0</v>
      </c>
      <c r="Q24" s="16"/>
      <c r="R24" s="17"/>
      <c r="S24" s="18">
        <v>0</v>
      </c>
      <c r="T24" s="19"/>
      <c r="U24" s="18">
        <v>0</v>
      </c>
      <c r="V24" s="16"/>
      <c r="W24" s="17"/>
      <c r="X24" s="18">
        <f t="shared" si="3"/>
        <v>0</v>
      </c>
      <c r="Y24" s="19"/>
      <c r="Z24" s="19"/>
      <c r="AA24" s="18">
        <f t="shared" si="4"/>
        <v>0</v>
      </c>
      <c r="AB24" s="20">
        <f t="shared" si="5"/>
        <v>0</v>
      </c>
      <c r="AC24" s="5"/>
      <c r="AD24" s="8"/>
      <c r="AF24" s="6"/>
      <c r="AG24" s="7"/>
      <c r="AJ24" s="33"/>
      <c r="AK24" s="35"/>
      <c r="AL24" s="38"/>
    </row>
    <row r="25" spans="1:38" ht="17.25" customHeight="1">
      <c r="A25" s="25"/>
      <c r="B25" s="26"/>
      <c r="C25" s="14"/>
      <c r="D25" s="31"/>
      <c r="E25" s="14"/>
      <c r="F25" s="15" t="str">
        <f t="shared" si="0"/>
        <v xml:space="preserve">S/F  </v>
      </c>
      <c r="G25" s="16"/>
      <c r="H25" s="17">
        <v>21</v>
      </c>
      <c r="I25" s="18">
        <f t="shared" si="1"/>
        <v>0</v>
      </c>
      <c r="J25" s="17"/>
      <c r="K25" s="18"/>
      <c r="L25" s="16"/>
      <c r="M25" s="17"/>
      <c r="N25" s="18">
        <f t="shared" si="2"/>
        <v>0</v>
      </c>
      <c r="O25" s="19"/>
      <c r="P25" s="18">
        <v>0</v>
      </c>
      <c r="Q25" s="16"/>
      <c r="R25" s="17"/>
      <c r="S25" s="18">
        <v>0</v>
      </c>
      <c r="T25" s="19"/>
      <c r="U25" s="18">
        <v>0</v>
      </c>
      <c r="V25" s="16"/>
      <c r="W25" s="17"/>
      <c r="X25" s="18">
        <f t="shared" si="3"/>
        <v>0</v>
      </c>
      <c r="Y25" s="19"/>
      <c r="Z25" s="19"/>
      <c r="AA25" s="18">
        <f t="shared" si="4"/>
        <v>0</v>
      </c>
      <c r="AB25" s="20">
        <f t="shared" si="5"/>
        <v>0</v>
      </c>
      <c r="AC25" s="5"/>
      <c r="AD25" s="8"/>
      <c r="AF25" s="6"/>
      <c r="AG25" s="7"/>
      <c r="AJ25" s="33"/>
      <c r="AK25" s="35"/>
      <c r="AL25" s="38"/>
    </row>
    <row r="26" spans="1:38" ht="17.25" customHeight="1">
      <c r="A26" s="25"/>
      <c r="B26" s="26"/>
      <c r="C26" s="14"/>
      <c r="D26" s="31"/>
      <c r="E26" s="14"/>
      <c r="F26" s="15" t="str">
        <f t="shared" si="0"/>
        <v xml:space="preserve">S/F  </v>
      </c>
      <c r="G26" s="16"/>
      <c r="H26" s="17">
        <v>21</v>
      </c>
      <c r="I26" s="18">
        <f t="shared" si="1"/>
        <v>0</v>
      </c>
      <c r="J26" s="17"/>
      <c r="K26" s="18"/>
      <c r="L26" s="16"/>
      <c r="M26" s="17"/>
      <c r="N26" s="18">
        <f t="shared" si="2"/>
        <v>0</v>
      </c>
      <c r="O26" s="19"/>
      <c r="P26" s="18">
        <v>0</v>
      </c>
      <c r="Q26" s="16"/>
      <c r="R26" s="17"/>
      <c r="S26" s="18">
        <v>0</v>
      </c>
      <c r="T26" s="19"/>
      <c r="U26" s="18">
        <v>0</v>
      </c>
      <c r="V26" s="16"/>
      <c r="W26" s="17"/>
      <c r="X26" s="18">
        <f t="shared" si="3"/>
        <v>0</v>
      </c>
      <c r="Y26" s="19"/>
      <c r="Z26" s="19"/>
      <c r="AA26" s="18">
        <f t="shared" si="4"/>
        <v>0</v>
      </c>
      <c r="AB26" s="20">
        <f t="shared" si="5"/>
        <v>0</v>
      </c>
      <c r="AC26" s="5"/>
      <c r="AD26" s="8"/>
      <c r="AF26" s="6"/>
      <c r="AG26" s="7"/>
      <c r="AJ26" s="39"/>
      <c r="AK26" s="35"/>
      <c r="AL26" s="38"/>
    </row>
    <row r="27" spans="1:38" ht="17.25" customHeight="1">
      <c r="A27" s="25"/>
      <c r="B27" s="26"/>
      <c r="C27" s="14"/>
      <c r="D27" s="31"/>
      <c r="E27" s="14"/>
      <c r="F27" s="15" t="str">
        <f t="shared" si="0"/>
        <v xml:space="preserve">S/F  </v>
      </c>
      <c r="G27" s="16"/>
      <c r="H27" s="17">
        <v>21</v>
      </c>
      <c r="I27" s="18">
        <f t="shared" si="1"/>
        <v>0</v>
      </c>
      <c r="J27" s="17"/>
      <c r="K27" s="18"/>
      <c r="L27" s="16"/>
      <c r="M27" s="17"/>
      <c r="N27" s="18">
        <f t="shared" si="2"/>
        <v>0</v>
      </c>
      <c r="O27" s="19"/>
      <c r="P27" s="18">
        <v>0</v>
      </c>
      <c r="Q27" s="16"/>
      <c r="R27" s="17"/>
      <c r="S27" s="18">
        <v>0</v>
      </c>
      <c r="T27" s="19"/>
      <c r="U27" s="18">
        <v>0</v>
      </c>
      <c r="V27" s="16"/>
      <c r="W27" s="17"/>
      <c r="X27" s="18">
        <f t="shared" si="3"/>
        <v>0</v>
      </c>
      <c r="Y27" s="19"/>
      <c r="Z27" s="19"/>
      <c r="AA27" s="18">
        <f t="shared" si="4"/>
        <v>0</v>
      </c>
      <c r="AB27" s="20">
        <f t="shared" si="5"/>
        <v>0</v>
      </c>
      <c r="AC27" s="5"/>
      <c r="AD27" s="8"/>
      <c r="AF27" s="6"/>
      <c r="AG27" s="7"/>
      <c r="AJ27" s="33"/>
      <c r="AK27" s="35"/>
      <c r="AL27" s="38"/>
    </row>
    <row r="28" spans="1:38" ht="17.25" customHeight="1">
      <c r="A28" s="25"/>
      <c r="B28" s="26"/>
      <c r="C28" s="14"/>
      <c r="D28" s="31"/>
      <c r="E28" s="14"/>
      <c r="F28" s="15" t="str">
        <f t="shared" si="0"/>
        <v xml:space="preserve">S/F  </v>
      </c>
      <c r="G28" s="16"/>
      <c r="H28" s="17">
        <v>21</v>
      </c>
      <c r="I28" s="18">
        <f t="shared" si="1"/>
        <v>0</v>
      </c>
      <c r="J28" s="17"/>
      <c r="K28" s="18"/>
      <c r="L28" s="16"/>
      <c r="M28" s="17"/>
      <c r="N28" s="18">
        <f t="shared" si="2"/>
        <v>0</v>
      </c>
      <c r="O28" s="19"/>
      <c r="P28" s="18">
        <v>0</v>
      </c>
      <c r="Q28" s="16"/>
      <c r="R28" s="17"/>
      <c r="S28" s="18">
        <v>0</v>
      </c>
      <c r="T28" s="19"/>
      <c r="U28" s="18">
        <v>0</v>
      </c>
      <c r="V28" s="16"/>
      <c r="W28" s="17"/>
      <c r="X28" s="18">
        <f t="shared" si="3"/>
        <v>0</v>
      </c>
      <c r="Y28" s="19"/>
      <c r="Z28" s="19"/>
      <c r="AA28" s="18">
        <f t="shared" si="4"/>
        <v>0</v>
      </c>
      <c r="AB28" s="20">
        <f t="shared" si="5"/>
        <v>0</v>
      </c>
      <c r="AC28" s="5"/>
      <c r="AD28" s="8"/>
      <c r="AF28" s="6"/>
      <c r="AG28" s="7"/>
      <c r="AJ28" s="33"/>
      <c r="AK28" s="35"/>
      <c r="AL28" s="38"/>
    </row>
    <row r="29" spans="1:38" ht="17.25" customHeight="1">
      <c r="A29" s="25"/>
      <c r="B29" s="26"/>
      <c r="C29" s="14"/>
      <c r="D29" s="31"/>
      <c r="E29" s="14"/>
      <c r="F29" s="15" t="str">
        <f t="shared" si="0"/>
        <v xml:space="preserve">S/F  </v>
      </c>
      <c r="G29" s="16"/>
      <c r="H29" s="17">
        <v>21</v>
      </c>
      <c r="I29" s="18">
        <f t="shared" si="1"/>
        <v>0</v>
      </c>
      <c r="J29" s="17"/>
      <c r="K29" s="18"/>
      <c r="L29" s="16"/>
      <c r="M29" s="17"/>
      <c r="N29" s="18">
        <f t="shared" si="2"/>
        <v>0</v>
      </c>
      <c r="O29" s="19"/>
      <c r="P29" s="18">
        <v>0</v>
      </c>
      <c r="Q29" s="16"/>
      <c r="R29" s="17"/>
      <c r="S29" s="18">
        <v>0</v>
      </c>
      <c r="T29" s="19"/>
      <c r="U29" s="18">
        <v>0</v>
      </c>
      <c r="V29" s="16"/>
      <c r="W29" s="17"/>
      <c r="X29" s="18">
        <f t="shared" si="3"/>
        <v>0</v>
      </c>
      <c r="Y29" s="19"/>
      <c r="Z29" s="19"/>
      <c r="AA29" s="18">
        <f t="shared" si="4"/>
        <v>0</v>
      </c>
      <c r="AB29" s="20">
        <f t="shared" si="5"/>
        <v>0</v>
      </c>
      <c r="AC29" s="5"/>
      <c r="AD29" s="8"/>
      <c r="AF29" s="6"/>
      <c r="AG29" s="7"/>
      <c r="AJ29" s="33"/>
      <c r="AK29" s="35"/>
      <c r="AL29" s="38"/>
    </row>
    <row r="30" spans="1:38" ht="17.25" customHeight="1">
      <c r="A30" s="25"/>
      <c r="B30" s="26"/>
      <c r="C30" s="14"/>
      <c r="D30" s="31"/>
      <c r="E30" s="14"/>
      <c r="F30" s="15" t="str">
        <f t="shared" si="0"/>
        <v xml:space="preserve">S/F  </v>
      </c>
      <c r="G30" s="16"/>
      <c r="H30" s="17">
        <v>21</v>
      </c>
      <c r="I30" s="18">
        <f t="shared" si="1"/>
        <v>0</v>
      </c>
      <c r="J30" s="17"/>
      <c r="K30" s="18"/>
      <c r="L30" s="16"/>
      <c r="M30" s="17"/>
      <c r="N30" s="18">
        <f t="shared" si="2"/>
        <v>0</v>
      </c>
      <c r="O30" s="19"/>
      <c r="P30" s="18">
        <v>0</v>
      </c>
      <c r="Q30" s="16"/>
      <c r="R30" s="17"/>
      <c r="S30" s="18">
        <v>0</v>
      </c>
      <c r="T30" s="19"/>
      <c r="U30" s="18">
        <v>0</v>
      </c>
      <c r="V30" s="16"/>
      <c r="W30" s="17"/>
      <c r="X30" s="18">
        <f t="shared" si="3"/>
        <v>0</v>
      </c>
      <c r="Y30" s="19"/>
      <c r="Z30" s="19"/>
      <c r="AA30" s="18">
        <f t="shared" si="4"/>
        <v>0</v>
      </c>
      <c r="AB30" s="20">
        <f t="shared" si="5"/>
        <v>0</v>
      </c>
      <c r="AC30" s="5"/>
      <c r="AD30" s="8"/>
      <c r="AF30" s="6"/>
      <c r="AG30" s="7"/>
      <c r="AJ30" s="33"/>
      <c r="AK30" s="35"/>
      <c r="AL30" s="38"/>
    </row>
    <row r="31" spans="1:38" ht="17.25" customHeight="1">
      <c r="A31" s="25"/>
      <c r="B31" s="26"/>
      <c r="C31" s="14"/>
      <c r="D31" s="31"/>
      <c r="E31" s="14"/>
      <c r="F31" s="15" t="str">
        <f t="shared" si="0"/>
        <v xml:space="preserve">S/F  </v>
      </c>
      <c r="G31" s="16"/>
      <c r="H31" s="17">
        <v>21</v>
      </c>
      <c r="I31" s="18">
        <f t="shared" si="1"/>
        <v>0</v>
      </c>
      <c r="J31" s="17"/>
      <c r="K31" s="18"/>
      <c r="L31" s="16"/>
      <c r="M31" s="17"/>
      <c r="N31" s="18">
        <f t="shared" si="2"/>
        <v>0</v>
      </c>
      <c r="O31" s="19"/>
      <c r="P31" s="18">
        <v>0</v>
      </c>
      <c r="Q31" s="16"/>
      <c r="R31" s="17"/>
      <c r="S31" s="18">
        <v>0</v>
      </c>
      <c r="T31" s="19"/>
      <c r="U31" s="18">
        <v>0</v>
      </c>
      <c r="V31" s="16"/>
      <c r="W31" s="17"/>
      <c r="X31" s="18">
        <f t="shared" si="3"/>
        <v>0</v>
      </c>
      <c r="Y31" s="19"/>
      <c r="Z31" s="19"/>
      <c r="AA31" s="18">
        <f t="shared" si="4"/>
        <v>0</v>
      </c>
      <c r="AB31" s="20">
        <f t="shared" si="5"/>
        <v>0</v>
      </c>
      <c r="AC31" s="5"/>
      <c r="AD31" s="8"/>
      <c r="AF31" s="6"/>
      <c r="AG31" s="7"/>
      <c r="AJ31" s="33"/>
      <c r="AK31" s="35"/>
      <c r="AL31" s="38"/>
    </row>
    <row r="32" spans="1:38" ht="17.25" customHeight="1">
      <c r="A32" s="25"/>
      <c r="B32" s="26"/>
      <c r="C32" s="14"/>
      <c r="D32" s="31"/>
      <c r="E32" s="14"/>
      <c r="F32" s="15" t="str">
        <f t="shared" si="0"/>
        <v xml:space="preserve">S/F  </v>
      </c>
      <c r="G32" s="16"/>
      <c r="H32" s="17">
        <v>21</v>
      </c>
      <c r="I32" s="18">
        <f t="shared" si="1"/>
        <v>0</v>
      </c>
      <c r="J32" s="17"/>
      <c r="K32" s="18"/>
      <c r="L32" s="16"/>
      <c r="M32" s="17"/>
      <c r="N32" s="18">
        <f t="shared" si="2"/>
        <v>0</v>
      </c>
      <c r="O32" s="19"/>
      <c r="P32" s="18">
        <v>0</v>
      </c>
      <c r="Q32" s="16"/>
      <c r="R32" s="17"/>
      <c r="S32" s="18">
        <v>0</v>
      </c>
      <c r="T32" s="19"/>
      <c r="U32" s="18">
        <v>0</v>
      </c>
      <c r="V32" s="16"/>
      <c r="W32" s="17"/>
      <c r="X32" s="18">
        <f t="shared" si="3"/>
        <v>0</v>
      </c>
      <c r="Y32" s="19"/>
      <c r="Z32" s="19"/>
      <c r="AA32" s="18">
        <f t="shared" si="4"/>
        <v>0</v>
      </c>
      <c r="AB32" s="20">
        <f t="shared" si="5"/>
        <v>0</v>
      </c>
      <c r="AC32" s="5"/>
      <c r="AD32" s="8"/>
      <c r="AF32" s="6"/>
      <c r="AG32" s="7"/>
      <c r="AJ32" s="33"/>
      <c r="AK32" s="35"/>
      <c r="AL32" s="38"/>
    </row>
    <row r="33" spans="1:38" ht="17.25" customHeight="1">
      <c r="A33" s="25"/>
      <c r="B33" s="26"/>
      <c r="C33" s="14"/>
      <c r="D33" s="31"/>
      <c r="E33" s="14"/>
      <c r="F33" s="15" t="str">
        <f t="shared" si="0"/>
        <v xml:space="preserve">S/F  </v>
      </c>
      <c r="G33" s="16"/>
      <c r="H33" s="17">
        <v>21</v>
      </c>
      <c r="I33" s="18">
        <f t="shared" si="1"/>
        <v>0</v>
      </c>
      <c r="J33" s="17"/>
      <c r="K33" s="18"/>
      <c r="L33" s="16"/>
      <c r="M33" s="17"/>
      <c r="N33" s="18">
        <f t="shared" si="2"/>
        <v>0</v>
      </c>
      <c r="O33" s="19"/>
      <c r="P33" s="18">
        <v>0</v>
      </c>
      <c r="Q33" s="16"/>
      <c r="R33" s="17"/>
      <c r="S33" s="18">
        <v>0</v>
      </c>
      <c r="T33" s="19"/>
      <c r="U33" s="18">
        <v>0</v>
      </c>
      <c r="V33" s="16"/>
      <c r="W33" s="17"/>
      <c r="X33" s="18">
        <f t="shared" si="3"/>
        <v>0</v>
      </c>
      <c r="Y33" s="19"/>
      <c r="Z33" s="19"/>
      <c r="AA33" s="18">
        <f t="shared" si="4"/>
        <v>0</v>
      </c>
      <c r="AB33" s="20">
        <f t="shared" si="5"/>
        <v>0</v>
      </c>
      <c r="AC33" s="5"/>
      <c r="AD33" s="8"/>
      <c r="AF33" s="6"/>
      <c r="AG33" s="7"/>
      <c r="AJ33" s="33"/>
      <c r="AK33" s="35"/>
      <c r="AL33" s="38"/>
    </row>
    <row r="34" spans="1:38" ht="17.25" customHeight="1">
      <c r="A34" s="25"/>
      <c r="B34" s="26"/>
      <c r="C34" s="14"/>
      <c r="D34" s="31"/>
      <c r="E34" s="14"/>
      <c r="F34" s="15" t="str">
        <f t="shared" ref="F34:F65" si="6">"S/F "&amp;B34&amp;" "&amp;E34</f>
        <v xml:space="preserve">S/F  </v>
      </c>
      <c r="G34" s="16"/>
      <c r="H34" s="17">
        <v>21</v>
      </c>
      <c r="I34" s="18">
        <f t="shared" ref="I34:I65" si="7">+IF(G34&lt;&gt;0,G34*H34/100,0)</f>
        <v>0</v>
      </c>
      <c r="J34" s="17"/>
      <c r="K34" s="18"/>
      <c r="L34" s="16"/>
      <c r="M34" s="17"/>
      <c r="N34" s="18">
        <f t="shared" ref="N34:N65" si="8">+IF(L34&lt;&gt;0,L34*M34/100,0)</f>
        <v>0</v>
      </c>
      <c r="O34" s="19"/>
      <c r="P34" s="18">
        <v>0</v>
      </c>
      <c r="Q34" s="16"/>
      <c r="R34" s="17"/>
      <c r="S34" s="18">
        <v>0</v>
      </c>
      <c r="T34" s="19"/>
      <c r="U34" s="18">
        <v>0</v>
      </c>
      <c r="V34" s="16"/>
      <c r="W34" s="17"/>
      <c r="X34" s="18">
        <f t="shared" ref="X34:X65" si="9">+IF(W34&lt;&gt;0,V34*W34/100,0)</f>
        <v>0</v>
      </c>
      <c r="Y34" s="19"/>
      <c r="Z34" s="19"/>
      <c r="AA34" s="18">
        <f t="shared" ref="AA34:AA65" si="10">+IF(Z34&lt;&gt;0,Y34*Z34/100,0)</f>
        <v>0</v>
      </c>
      <c r="AB34" s="20">
        <f t="shared" ref="AB34:AB65" si="11">+G34+I34+K34+L34+N34+P34+Q34+S34+U34-X34-AA34</f>
        <v>0</v>
      </c>
      <c r="AC34" s="5"/>
      <c r="AD34" s="8"/>
      <c r="AF34" s="6"/>
      <c r="AG34" s="7"/>
      <c r="AJ34" s="33"/>
      <c r="AK34" s="35"/>
      <c r="AL34" s="38"/>
    </row>
    <row r="35" spans="1:38" ht="17.25" customHeight="1">
      <c r="A35" s="25"/>
      <c r="B35" s="26"/>
      <c r="C35" s="14"/>
      <c r="D35" s="31"/>
      <c r="E35" s="14"/>
      <c r="F35" s="15" t="str">
        <f t="shared" si="6"/>
        <v xml:space="preserve">S/F  </v>
      </c>
      <c r="G35" s="16"/>
      <c r="H35" s="17">
        <v>21</v>
      </c>
      <c r="I35" s="18">
        <f t="shared" si="7"/>
        <v>0</v>
      </c>
      <c r="J35" s="17"/>
      <c r="K35" s="18"/>
      <c r="L35" s="16"/>
      <c r="M35" s="17"/>
      <c r="N35" s="18">
        <f t="shared" si="8"/>
        <v>0</v>
      </c>
      <c r="O35" s="19"/>
      <c r="P35" s="18">
        <v>0</v>
      </c>
      <c r="Q35" s="16"/>
      <c r="R35" s="17"/>
      <c r="S35" s="18">
        <v>0</v>
      </c>
      <c r="T35" s="19"/>
      <c r="U35" s="18">
        <v>0</v>
      </c>
      <c r="V35" s="16"/>
      <c r="W35" s="17"/>
      <c r="X35" s="18">
        <f t="shared" si="9"/>
        <v>0</v>
      </c>
      <c r="Y35" s="19"/>
      <c r="Z35" s="19"/>
      <c r="AA35" s="18">
        <f t="shared" si="10"/>
        <v>0</v>
      </c>
      <c r="AB35" s="20">
        <f t="shared" si="11"/>
        <v>0</v>
      </c>
      <c r="AC35" s="5"/>
      <c r="AD35" s="8"/>
      <c r="AF35" s="6"/>
      <c r="AG35" s="7"/>
      <c r="AJ35" s="33"/>
      <c r="AK35" s="35"/>
      <c r="AL35" s="38"/>
    </row>
    <row r="36" spans="1:38" ht="17.25" customHeight="1">
      <c r="A36" s="25"/>
      <c r="B36" s="26"/>
      <c r="C36" s="14"/>
      <c r="D36" s="31"/>
      <c r="E36" s="14"/>
      <c r="F36" s="15" t="str">
        <f t="shared" si="6"/>
        <v xml:space="preserve">S/F  </v>
      </c>
      <c r="G36" s="16"/>
      <c r="H36" s="17">
        <v>21</v>
      </c>
      <c r="I36" s="18">
        <f t="shared" si="7"/>
        <v>0</v>
      </c>
      <c r="J36" s="17"/>
      <c r="K36" s="18"/>
      <c r="L36" s="16"/>
      <c r="M36" s="17"/>
      <c r="N36" s="18">
        <f t="shared" si="8"/>
        <v>0</v>
      </c>
      <c r="O36" s="19"/>
      <c r="P36" s="18">
        <v>0</v>
      </c>
      <c r="Q36" s="16"/>
      <c r="R36" s="17"/>
      <c r="S36" s="18">
        <v>0</v>
      </c>
      <c r="T36" s="19"/>
      <c r="U36" s="18">
        <v>0</v>
      </c>
      <c r="V36" s="16"/>
      <c r="W36" s="17"/>
      <c r="X36" s="18">
        <f t="shared" si="9"/>
        <v>0</v>
      </c>
      <c r="Y36" s="19"/>
      <c r="Z36" s="19"/>
      <c r="AA36" s="18">
        <f t="shared" si="10"/>
        <v>0</v>
      </c>
      <c r="AB36" s="20">
        <f t="shared" si="11"/>
        <v>0</v>
      </c>
      <c r="AC36" s="5"/>
      <c r="AD36" s="8"/>
      <c r="AF36" s="6"/>
      <c r="AG36" s="7"/>
      <c r="AJ36" s="33"/>
      <c r="AK36" s="35"/>
      <c r="AL36" s="38"/>
    </row>
    <row r="37" spans="1:38" ht="17.25" customHeight="1">
      <c r="A37" s="25"/>
      <c r="B37" s="26"/>
      <c r="C37" s="14"/>
      <c r="D37" s="31"/>
      <c r="E37" s="14"/>
      <c r="F37" s="15" t="str">
        <f t="shared" si="6"/>
        <v xml:space="preserve">S/F  </v>
      </c>
      <c r="G37" s="16"/>
      <c r="H37" s="17">
        <v>21</v>
      </c>
      <c r="I37" s="18">
        <f t="shared" si="7"/>
        <v>0</v>
      </c>
      <c r="J37" s="17"/>
      <c r="K37" s="18"/>
      <c r="L37" s="16"/>
      <c r="M37" s="17"/>
      <c r="N37" s="18">
        <f t="shared" si="8"/>
        <v>0</v>
      </c>
      <c r="O37" s="19"/>
      <c r="P37" s="18">
        <v>0</v>
      </c>
      <c r="Q37" s="16"/>
      <c r="R37" s="17"/>
      <c r="S37" s="18">
        <v>0</v>
      </c>
      <c r="T37" s="19"/>
      <c r="U37" s="18">
        <v>0</v>
      </c>
      <c r="V37" s="19"/>
      <c r="W37" s="19"/>
      <c r="X37" s="18">
        <f t="shared" si="9"/>
        <v>0</v>
      </c>
      <c r="Y37" s="19"/>
      <c r="Z37" s="19"/>
      <c r="AA37" s="18">
        <f t="shared" si="10"/>
        <v>0</v>
      </c>
      <c r="AB37" s="20">
        <f t="shared" si="11"/>
        <v>0</v>
      </c>
      <c r="AC37" s="5"/>
      <c r="AD37" s="2"/>
      <c r="AF37" s="6"/>
      <c r="AG37" s="7"/>
      <c r="AJ37" s="33"/>
      <c r="AK37" s="35"/>
      <c r="AL37" s="38"/>
    </row>
    <row r="38" spans="1:38" ht="17.25" customHeight="1">
      <c r="A38" s="25"/>
      <c r="B38" s="26"/>
      <c r="C38" s="14"/>
      <c r="D38" s="31"/>
      <c r="E38" s="14"/>
      <c r="F38" s="15" t="str">
        <f t="shared" si="6"/>
        <v xml:space="preserve">S/F  </v>
      </c>
      <c r="G38" s="16"/>
      <c r="H38" s="17">
        <v>21</v>
      </c>
      <c r="I38" s="18">
        <f t="shared" si="7"/>
        <v>0</v>
      </c>
      <c r="J38" s="17"/>
      <c r="K38" s="18"/>
      <c r="L38" s="16"/>
      <c r="M38" s="17"/>
      <c r="N38" s="18">
        <f t="shared" si="8"/>
        <v>0</v>
      </c>
      <c r="O38" s="19"/>
      <c r="P38" s="18">
        <v>0</v>
      </c>
      <c r="Q38" s="16"/>
      <c r="R38" s="17"/>
      <c r="S38" s="18">
        <v>0</v>
      </c>
      <c r="T38" s="19"/>
      <c r="U38" s="18">
        <v>0</v>
      </c>
      <c r="V38" s="16"/>
      <c r="W38" s="17"/>
      <c r="X38" s="18">
        <f t="shared" si="9"/>
        <v>0</v>
      </c>
      <c r="Y38" s="19"/>
      <c r="Z38" s="19"/>
      <c r="AA38" s="18">
        <f t="shared" si="10"/>
        <v>0</v>
      </c>
      <c r="AB38" s="20">
        <f t="shared" si="11"/>
        <v>0</v>
      </c>
      <c r="AC38" s="5"/>
      <c r="AD38" s="8"/>
      <c r="AF38" s="6"/>
      <c r="AG38" s="7"/>
      <c r="AJ38" s="33"/>
      <c r="AK38" s="35"/>
      <c r="AL38" s="38"/>
    </row>
    <row r="39" spans="1:38" ht="17.25" customHeight="1">
      <c r="A39" s="25"/>
      <c r="B39" s="26"/>
      <c r="C39" s="14"/>
      <c r="D39" s="31"/>
      <c r="E39" s="14"/>
      <c r="F39" s="15" t="str">
        <f t="shared" si="6"/>
        <v xml:space="preserve">S/F  </v>
      </c>
      <c r="G39" s="16"/>
      <c r="H39" s="17">
        <v>21</v>
      </c>
      <c r="I39" s="18">
        <f t="shared" si="7"/>
        <v>0</v>
      </c>
      <c r="J39" s="17"/>
      <c r="K39" s="18"/>
      <c r="L39" s="16"/>
      <c r="M39" s="17"/>
      <c r="N39" s="18">
        <f t="shared" si="8"/>
        <v>0</v>
      </c>
      <c r="O39" s="19"/>
      <c r="P39" s="18">
        <v>0</v>
      </c>
      <c r="Q39" s="16"/>
      <c r="R39" s="17"/>
      <c r="S39" s="18">
        <v>0</v>
      </c>
      <c r="T39" s="19"/>
      <c r="U39" s="18">
        <v>0</v>
      </c>
      <c r="V39" s="16"/>
      <c r="W39" s="17"/>
      <c r="X39" s="18">
        <f t="shared" si="9"/>
        <v>0</v>
      </c>
      <c r="Y39" s="19"/>
      <c r="Z39" s="19"/>
      <c r="AA39" s="18">
        <f t="shared" si="10"/>
        <v>0</v>
      </c>
      <c r="AB39" s="20">
        <f t="shared" si="11"/>
        <v>0</v>
      </c>
      <c r="AC39" s="5"/>
      <c r="AD39" s="8"/>
      <c r="AF39" s="6"/>
      <c r="AG39" s="7"/>
      <c r="AJ39" s="33"/>
      <c r="AK39" s="35"/>
      <c r="AL39" s="38"/>
    </row>
    <row r="40" spans="1:38" ht="17.25" customHeight="1">
      <c r="A40" s="25"/>
      <c r="B40" s="26"/>
      <c r="C40" s="14"/>
      <c r="D40" s="31"/>
      <c r="E40" s="14"/>
      <c r="F40" s="15" t="str">
        <f t="shared" si="6"/>
        <v xml:space="preserve">S/F  </v>
      </c>
      <c r="G40" s="16"/>
      <c r="H40" s="17">
        <v>21</v>
      </c>
      <c r="I40" s="18">
        <f t="shared" si="7"/>
        <v>0</v>
      </c>
      <c r="J40" s="17"/>
      <c r="K40" s="18"/>
      <c r="L40" s="16"/>
      <c r="M40" s="17"/>
      <c r="N40" s="18">
        <f t="shared" si="8"/>
        <v>0</v>
      </c>
      <c r="O40" s="19"/>
      <c r="P40" s="18">
        <v>0</v>
      </c>
      <c r="Q40" s="16"/>
      <c r="R40" s="17"/>
      <c r="S40" s="18">
        <v>0</v>
      </c>
      <c r="T40" s="19"/>
      <c r="U40" s="18">
        <v>0</v>
      </c>
      <c r="V40" s="16"/>
      <c r="W40" s="17"/>
      <c r="X40" s="18">
        <f t="shared" si="9"/>
        <v>0</v>
      </c>
      <c r="Y40" s="19"/>
      <c r="Z40" s="19"/>
      <c r="AA40" s="18">
        <f t="shared" si="10"/>
        <v>0</v>
      </c>
      <c r="AB40" s="20">
        <f t="shared" si="11"/>
        <v>0</v>
      </c>
      <c r="AC40" s="5"/>
      <c r="AD40" s="8"/>
      <c r="AF40" s="6"/>
      <c r="AG40" s="7"/>
      <c r="AJ40" s="33"/>
      <c r="AK40" s="35"/>
      <c r="AL40" s="38"/>
    </row>
    <row r="41" spans="1:38" ht="17.25" customHeight="1">
      <c r="A41" s="25"/>
      <c r="B41" s="26"/>
      <c r="C41" s="14"/>
      <c r="D41" s="31"/>
      <c r="E41" s="14"/>
      <c r="F41" s="15" t="str">
        <f t="shared" si="6"/>
        <v xml:space="preserve">S/F  </v>
      </c>
      <c r="G41" s="16"/>
      <c r="H41" s="17">
        <v>21</v>
      </c>
      <c r="I41" s="18">
        <f t="shared" si="7"/>
        <v>0</v>
      </c>
      <c r="J41" s="17"/>
      <c r="K41" s="18"/>
      <c r="L41" s="16"/>
      <c r="M41" s="17"/>
      <c r="N41" s="18">
        <f t="shared" si="8"/>
        <v>0</v>
      </c>
      <c r="O41" s="19"/>
      <c r="P41" s="18">
        <v>0</v>
      </c>
      <c r="Q41" s="16"/>
      <c r="R41" s="17"/>
      <c r="S41" s="18">
        <v>0</v>
      </c>
      <c r="T41" s="19"/>
      <c r="U41" s="18">
        <v>0</v>
      </c>
      <c r="V41" s="16"/>
      <c r="W41" s="17"/>
      <c r="X41" s="18">
        <f t="shared" si="9"/>
        <v>0</v>
      </c>
      <c r="Y41" s="19"/>
      <c r="Z41" s="19"/>
      <c r="AA41" s="18">
        <f t="shared" si="10"/>
        <v>0</v>
      </c>
      <c r="AB41" s="20">
        <f t="shared" si="11"/>
        <v>0</v>
      </c>
      <c r="AC41" s="5"/>
      <c r="AD41" s="8"/>
      <c r="AF41" s="6"/>
      <c r="AG41" s="7"/>
      <c r="AJ41" s="33"/>
      <c r="AK41" s="35"/>
      <c r="AL41" s="38"/>
    </row>
    <row r="42" spans="1:38" ht="17.25" customHeight="1">
      <c r="A42" s="25"/>
      <c r="B42" s="26"/>
      <c r="C42" s="14"/>
      <c r="D42" s="31"/>
      <c r="E42" s="14"/>
      <c r="F42" s="15" t="str">
        <f t="shared" si="6"/>
        <v xml:space="preserve">S/F  </v>
      </c>
      <c r="G42" s="16"/>
      <c r="H42" s="17">
        <v>21</v>
      </c>
      <c r="I42" s="18">
        <f t="shared" si="7"/>
        <v>0</v>
      </c>
      <c r="J42" s="17"/>
      <c r="K42" s="18"/>
      <c r="L42" s="16"/>
      <c r="M42" s="17"/>
      <c r="N42" s="18">
        <f t="shared" si="8"/>
        <v>0</v>
      </c>
      <c r="O42" s="19"/>
      <c r="P42" s="18">
        <v>0</v>
      </c>
      <c r="Q42" s="16"/>
      <c r="R42" s="17"/>
      <c r="S42" s="18">
        <v>0</v>
      </c>
      <c r="T42" s="19"/>
      <c r="U42" s="18">
        <v>0</v>
      </c>
      <c r="V42" s="16"/>
      <c r="W42" s="17"/>
      <c r="X42" s="18">
        <f t="shared" si="9"/>
        <v>0</v>
      </c>
      <c r="Y42" s="19"/>
      <c r="Z42" s="19"/>
      <c r="AA42" s="18">
        <f t="shared" si="10"/>
        <v>0</v>
      </c>
      <c r="AB42" s="20">
        <f t="shared" si="11"/>
        <v>0</v>
      </c>
      <c r="AC42" s="5"/>
      <c r="AD42" s="8"/>
      <c r="AF42" s="6"/>
      <c r="AG42" s="7"/>
      <c r="AJ42" s="33"/>
      <c r="AK42" s="35"/>
      <c r="AL42" s="38"/>
    </row>
    <row r="43" spans="1:38" ht="17.25" customHeight="1">
      <c r="A43" s="25"/>
      <c r="B43" s="26"/>
      <c r="C43" s="14"/>
      <c r="D43" s="31"/>
      <c r="E43" s="14"/>
      <c r="F43" s="15" t="str">
        <f t="shared" si="6"/>
        <v xml:space="preserve">S/F  </v>
      </c>
      <c r="G43" s="16"/>
      <c r="H43" s="17">
        <v>21</v>
      </c>
      <c r="I43" s="18">
        <f t="shared" si="7"/>
        <v>0</v>
      </c>
      <c r="J43" s="17"/>
      <c r="K43" s="18"/>
      <c r="L43" s="16"/>
      <c r="M43" s="17"/>
      <c r="N43" s="18">
        <f t="shared" si="8"/>
        <v>0</v>
      </c>
      <c r="O43" s="19"/>
      <c r="P43" s="18">
        <v>0</v>
      </c>
      <c r="Q43" s="16"/>
      <c r="R43" s="17"/>
      <c r="S43" s="18">
        <v>0</v>
      </c>
      <c r="T43" s="19"/>
      <c r="U43" s="18">
        <v>0</v>
      </c>
      <c r="V43" s="16"/>
      <c r="W43" s="17"/>
      <c r="X43" s="18">
        <f t="shared" si="9"/>
        <v>0</v>
      </c>
      <c r="Y43" s="19"/>
      <c r="Z43" s="19"/>
      <c r="AA43" s="18">
        <f t="shared" si="10"/>
        <v>0</v>
      </c>
      <c r="AB43" s="20">
        <f t="shared" si="11"/>
        <v>0</v>
      </c>
      <c r="AC43" s="5"/>
      <c r="AD43" s="8"/>
      <c r="AF43" s="6"/>
      <c r="AG43" s="7"/>
      <c r="AJ43" s="33"/>
      <c r="AK43" s="35"/>
      <c r="AL43" s="38"/>
    </row>
    <row r="44" spans="1:38" ht="17.25" customHeight="1">
      <c r="A44" s="25"/>
      <c r="B44" s="26"/>
      <c r="C44" s="14"/>
      <c r="D44" s="31"/>
      <c r="E44" s="14"/>
      <c r="F44" s="15" t="str">
        <f t="shared" si="6"/>
        <v xml:space="preserve">S/F  </v>
      </c>
      <c r="G44" s="16"/>
      <c r="H44" s="17">
        <v>21</v>
      </c>
      <c r="I44" s="18">
        <f t="shared" si="7"/>
        <v>0</v>
      </c>
      <c r="J44" s="17"/>
      <c r="K44" s="18"/>
      <c r="L44" s="16"/>
      <c r="M44" s="17"/>
      <c r="N44" s="18">
        <f t="shared" si="8"/>
        <v>0</v>
      </c>
      <c r="O44" s="19"/>
      <c r="P44" s="18">
        <v>0</v>
      </c>
      <c r="Q44" s="16"/>
      <c r="R44" s="17"/>
      <c r="S44" s="18">
        <v>0</v>
      </c>
      <c r="T44" s="19"/>
      <c r="U44" s="18">
        <v>0</v>
      </c>
      <c r="V44" s="16"/>
      <c r="W44" s="17"/>
      <c r="X44" s="18">
        <f t="shared" si="9"/>
        <v>0</v>
      </c>
      <c r="Y44" s="19"/>
      <c r="Z44" s="19"/>
      <c r="AA44" s="18">
        <f t="shared" si="10"/>
        <v>0</v>
      </c>
      <c r="AB44" s="20">
        <f t="shared" si="11"/>
        <v>0</v>
      </c>
      <c r="AC44" s="5"/>
      <c r="AD44" s="8"/>
      <c r="AF44" s="6"/>
      <c r="AG44" s="7"/>
      <c r="AJ44" s="33"/>
      <c r="AK44" s="35"/>
      <c r="AL44" s="38"/>
    </row>
    <row r="45" spans="1:38" ht="17.25" customHeight="1">
      <c r="A45" s="25"/>
      <c r="B45" s="26"/>
      <c r="C45" s="14"/>
      <c r="D45" s="31"/>
      <c r="E45" s="14"/>
      <c r="F45" s="15" t="str">
        <f t="shared" si="6"/>
        <v xml:space="preserve">S/F  </v>
      </c>
      <c r="G45" s="16"/>
      <c r="H45" s="17">
        <v>21</v>
      </c>
      <c r="I45" s="18">
        <f t="shared" si="7"/>
        <v>0</v>
      </c>
      <c r="J45" s="17"/>
      <c r="K45" s="18"/>
      <c r="L45" s="16"/>
      <c r="M45" s="17"/>
      <c r="N45" s="18">
        <f t="shared" si="8"/>
        <v>0</v>
      </c>
      <c r="O45" s="19"/>
      <c r="P45" s="18">
        <v>0</v>
      </c>
      <c r="Q45" s="16"/>
      <c r="R45" s="17"/>
      <c r="S45" s="18">
        <v>0</v>
      </c>
      <c r="T45" s="19"/>
      <c r="U45" s="18">
        <v>0</v>
      </c>
      <c r="V45" s="16"/>
      <c r="W45" s="17"/>
      <c r="X45" s="18">
        <f t="shared" si="9"/>
        <v>0</v>
      </c>
      <c r="Y45" s="19"/>
      <c r="Z45" s="19"/>
      <c r="AA45" s="18">
        <f t="shared" si="10"/>
        <v>0</v>
      </c>
      <c r="AB45" s="20">
        <f t="shared" si="11"/>
        <v>0</v>
      </c>
      <c r="AC45" s="5"/>
      <c r="AD45" s="8"/>
      <c r="AF45" s="6"/>
      <c r="AG45" s="7"/>
      <c r="AJ45" s="33"/>
      <c r="AK45" s="35"/>
      <c r="AL45" s="38"/>
    </row>
    <row r="46" spans="1:38" ht="17.25" customHeight="1">
      <c r="A46" s="25"/>
      <c r="B46" s="26"/>
      <c r="C46" s="14"/>
      <c r="D46" s="31"/>
      <c r="E46" s="14"/>
      <c r="F46" s="15" t="str">
        <f t="shared" si="6"/>
        <v xml:space="preserve">S/F  </v>
      </c>
      <c r="G46" s="16"/>
      <c r="H46" s="17">
        <v>21</v>
      </c>
      <c r="I46" s="18">
        <f t="shared" si="7"/>
        <v>0</v>
      </c>
      <c r="J46" s="17"/>
      <c r="K46" s="18"/>
      <c r="L46" s="16"/>
      <c r="M46" s="17"/>
      <c r="N46" s="18">
        <f t="shared" si="8"/>
        <v>0</v>
      </c>
      <c r="O46" s="19"/>
      <c r="P46" s="18">
        <v>0</v>
      </c>
      <c r="Q46" s="16"/>
      <c r="R46" s="17"/>
      <c r="S46" s="18">
        <v>0</v>
      </c>
      <c r="T46" s="19"/>
      <c r="U46" s="18">
        <v>0</v>
      </c>
      <c r="V46" s="16"/>
      <c r="W46" s="17"/>
      <c r="X46" s="18">
        <f t="shared" si="9"/>
        <v>0</v>
      </c>
      <c r="Y46" s="19"/>
      <c r="Z46" s="19"/>
      <c r="AA46" s="18">
        <f t="shared" si="10"/>
        <v>0</v>
      </c>
      <c r="AB46" s="20">
        <f t="shared" si="11"/>
        <v>0</v>
      </c>
      <c r="AC46" s="5"/>
      <c r="AD46" s="8"/>
      <c r="AF46" s="6"/>
      <c r="AG46" s="7"/>
      <c r="AJ46" s="33"/>
      <c r="AK46" s="35"/>
      <c r="AL46" s="38"/>
    </row>
    <row r="47" spans="1:38" ht="17.25" customHeight="1">
      <c r="A47" s="25"/>
      <c r="B47" s="26"/>
      <c r="C47" s="14"/>
      <c r="D47" s="31"/>
      <c r="E47" s="14"/>
      <c r="F47" s="15" t="str">
        <f t="shared" si="6"/>
        <v xml:space="preserve">S/F  </v>
      </c>
      <c r="G47" s="16"/>
      <c r="H47" s="17">
        <v>21</v>
      </c>
      <c r="I47" s="18">
        <f t="shared" si="7"/>
        <v>0</v>
      </c>
      <c r="J47" s="17"/>
      <c r="K47" s="18"/>
      <c r="L47" s="16"/>
      <c r="M47" s="17"/>
      <c r="N47" s="18">
        <f t="shared" si="8"/>
        <v>0</v>
      </c>
      <c r="O47" s="19"/>
      <c r="P47" s="18">
        <v>0</v>
      </c>
      <c r="Q47" s="16"/>
      <c r="R47" s="17"/>
      <c r="S47" s="18">
        <v>0</v>
      </c>
      <c r="T47" s="19"/>
      <c r="U47" s="18">
        <v>0</v>
      </c>
      <c r="V47" s="16"/>
      <c r="W47" s="17"/>
      <c r="X47" s="18">
        <f t="shared" si="9"/>
        <v>0</v>
      </c>
      <c r="Y47" s="19"/>
      <c r="Z47" s="19"/>
      <c r="AA47" s="18">
        <f t="shared" si="10"/>
        <v>0</v>
      </c>
      <c r="AB47" s="20">
        <f t="shared" si="11"/>
        <v>0</v>
      </c>
      <c r="AC47" s="5"/>
      <c r="AD47" s="8"/>
      <c r="AF47" s="6"/>
      <c r="AG47" s="7"/>
      <c r="AJ47" s="33"/>
      <c r="AK47" s="35"/>
      <c r="AL47" s="38"/>
    </row>
    <row r="48" spans="1:38" ht="17.25" customHeight="1">
      <c r="A48" s="25"/>
      <c r="B48" s="26"/>
      <c r="C48" s="14"/>
      <c r="D48" s="31"/>
      <c r="E48" s="14"/>
      <c r="F48" s="15" t="str">
        <f t="shared" si="6"/>
        <v xml:space="preserve">S/F  </v>
      </c>
      <c r="G48" s="16"/>
      <c r="H48" s="17">
        <v>21</v>
      </c>
      <c r="I48" s="18">
        <f t="shared" si="7"/>
        <v>0</v>
      </c>
      <c r="J48" s="17"/>
      <c r="K48" s="18"/>
      <c r="L48" s="16"/>
      <c r="M48" s="17"/>
      <c r="N48" s="18">
        <f t="shared" si="8"/>
        <v>0</v>
      </c>
      <c r="O48" s="19"/>
      <c r="P48" s="18">
        <v>0</v>
      </c>
      <c r="Q48" s="16"/>
      <c r="R48" s="17"/>
      <c r="S48" s="18">
        <v>0</v>
      </c>
      <c r="T48" s="19"/>
      <c r="U48" s="18">
        <v>0</v>
      </c>
      <c r="V48" s="16"/>
      <c r="W48" s="17"/>
      <c r="X48" s="18">
        <f t="shared" si="9"/>
        <v>0</v>
      </c>
      <c r="Y48" s="19"/>
      <c r="Z48" s="19"/>
      <c r="AA48" s="18">
        <f t="shared" si="10"/>
        <v>0</v>
      </c>
      <c r="AB48" s="20">
        <f t="shared" si="11"/>
        <v>0</v>
      </c>
      <c r="AC48" s="5"/>
      <c r="AD48" s="8"/>
      <c r="AF48" s="6"/>
      <c r="AG48" s="7"/>
      <c r="AJ48" s="33"/>
      <c r="AK48" s="35"/>
      <c r="AL48" s="38"/>
    </row>
    <row r="49" spans="1:38" ht="17.25" customHeight="1">
      <c r="A49" s="25"/>
      <c r="B49" s="26"/>
      <c r="C49" s="14"/>
      <c r="D49" s="31"/>
      <c r="E49" s="14"/>
      <c r="F49" s="15" t="str">
        <f t="shared" si="6"/>
        <v xml:space="preserve">S/F  </v>
      </c>
      <c r="G49" s="16"/>
      <c r="H49" s="17">
        <v>21</v>
      </c>
      <c r="I49" s="18">
        <f t="shared" si="7"/>
        <v>0</v>
      </c>
      <c r="J49" s="17"/>
      <c r="K49" s="18"/>
      <c r="L49" s="16"/>
      <c r="M49" s="17"/>
      <c r="N49" s="18">
        <f t="shared" si="8"/>
        <v>0</v>
      </c>
      <c r="O49" s="19"/>
      <c r="P49" s="18">
        <v>0</v>
      </c>
      <c r="Q49" s="16"/>
      <c r="R49" s="17"/>
      <c r="S49" s="18">
        <v>0</v>
      </c>
      <c r="T49" s="19"/>
      <c r="U49" s="18">
        <v>0</v>
      </c>
      <c r="V49" s="16"/>
      <c r="W49" s="17"/>
      <c r="X49" s="18">
        <f t="shared" si="9"/>
        <v>0</v>
      </c>
      <c r="Y49" s="19"/>
      <c r="Z49" s="19"/>
      <c r="AA49" s="18">
        <f t="shared" si="10"/>
        <v>0</v>
      </c>
      <c r="AB49" s="20">
        <f t="shared" si="11"/>
        <v>0</v>
      </c>
      <c r="AC49" s="5"/>
      <c r="AD49" s="8"/>
      <c r="AF49" s="6"/>
      <c r="AG49" s="7"/>
      <c r="AJ49" s="33"/>
      <c r="AK49" s="35"/>
      <c r="AL49" s="38"/>
    </row>
    <row r="50" spans="1:38" ht="17.25" customHeight="1">
      <c r="A50" s="25"/>
      <c r="B50" s="26"/>
      <c r="C50" s="14"/>
      <c r="D50" s="31"/>
      <c r="E50" s="14"/>
      <c r="F50" s="15" t="str">
        <f t="shared" si="6"/>
        <v xml:space="preserve">S/F  </v>
      </c>
      <c r="G50" s="16"/>
      <c r="H50" s="17">
        <v>21</v>
      </c>
      <c r="I50" s="18">
        <f t="shared" si="7"/>
        <v>0</v>
      </c>
      <c r="J50" s="17"/>
      <c r="K50" s="18"/>
      <c r="L50" s="16"/>
      <c r="M50" s="17"/>
      <c r="N50" s="18">
        <f t="shared" si="8"/>
        <v>0</v>
      </c>
      <c r="O50" s="19"/>
      <c r="P50" s="18">
        <v>0</v>
      </c>
      <c r="Q50" s="16"/>
      <c r="R50" s="17"/>
      <c r="S50" s="18">
        <v>0</v>
      </c>
      <c r="T50" s="19"/>
      <c r="U50" s="18">
        <v>0</v>
      </c>
      <c r="V50" s="16"/>
      <c r="W50" s="17"/>
      <c r="X50" s="18">
        <f t="shared" si="9"/>
        <v>0</v>
      </c>
      <c r="Y50" s="19"/>
      <c r="Z50" s="19"/>
      <c r="AA50" s="18">
        <f t="shared" si="10"/>
        <v>0</v>
      </c>
      <c r="AB50" s="20">
        <f t="shared" si="11"/>
        <v>0</v>
      </c>
      <c r="AC50" s="5"/>
      <c r="AD50" s="8"/>
      <c r="AF50" s="6"/>
      <c r="AG50" s="7"/>
      <c r="AJ50" s="33"/>
      <c r="AK50" s="35"/>
      <c r="AL50" s="38"/>
    </row>
    <row r="51" spans="1:38" ht="17.25" customHeight="1">
      <c r="A51" s="25"/>
      <c r="B51" s="26"/>
      <c r="C51" s="14"/>
      <c r="D51" s="31"/>
      <c r="E51" s="14"/>
      <c r="F51" s="15" t="str">
        <f t="shared" si="6"/>
        <v xml:space="preserve">S/F  </v>
      </c>
      <c r="G51" s="16"/>
      <c r="H51" s="17">
        <v>21</v>
      </c>
      <c r="I51" s="18">
        <f t="shared" si="7"/>
        <v>0</v>
      </c>
      <c r="J51" s="17"/>
      <c r="K51" s="18"/>
      <c r="L51" s="16"/>
      <c r="M51" s="17"/>
      <c r="N51" s="18">
        <f t="shared" si="8"/>
        <v>0</v>
      </c>
      <c r="O51" s="19"/>
      <c r="P51" s="18">
        <v>0</v>
      </c>
      <c r="Q51" s="16"/>
      <c r="R51" s="17"/>
      <c r="S51" s="18">
        <v>0</v>
      </c>
      <c r="T51" s="19"/>
      <c r="U51" s="18">
        <v>0</v>
      </c>
      <c r="V51" s="16"/>
      <c r="W51" s="17"/>
      <c r="X51" s="18">
        <f t="shared" si="9"/>
        <v>0</v>
      </c>
      <c r="Y51" s="19"/>
      <c r="Z51" s="19"/>
      <c r="AA51" s="18">
        <f t="shared" si="10"/>
        <v>0</v>
      </c>
      <c r="AB51" s="20">
        <f t="shared" si="11"/>
        <v>0</v>
      </c>
      <c r="AC51" s="5"/>
      <c r="AD51" s="8"/>
      <c r="AF51" s="6"/>
      <c r="AG51" s="7"/>
      <c r="AJ51" s="33"/>
      <c r="AK51" s="35"/>
      <c r="AL51" s="38"/>
    </row>
    <row r="52" spans="1:38" ht="17.25" customHeight="1">
      <c r="A52" s="25"/>
      <c r="B52" s="26"/>
      <c r="C52" s="14"/>
      <c r="D52" s="31"/>
      <c r="E52" s="14"/>
      <c r="F52" s="15" t="str">
        <f t="shared" si="6"/>
        <v xml:space="preserve">S/F  </v>
      </c>
      <c r="G52" s="16"/>
      <c r="H52" s="17">
        <v>21</v>
      </c>
      <c r="I52" s="18">
        <f t="shared" si="7"/>
        <v>0</v>
      </c>
      <c r="J52" s="17"/>
      <c r="K52" s="18"/>
      <c r="L52" s="16"/>
      <c r="M52" s="17"/>
      <c r="N52" s="18">
        <f t="shared" si="8"/>
        <v>0</v>
      </c>
      <c r="O52" s="19"/>
      <c r="P52" s="18">
        <v>0</v>
      </c>
      <c r="Q52" s="16"/>
      <c r="R52" s="17"/>
      <c r="S52" s="18">
        <v>0</v>
      </c>
      <c r="T52" s="19"/>
      <c r="U52" s="18">
        <v>0</v>
      </c>
      <c r="V52" s="16"/>
      <c r="W52" s="17"/>
      <c r="X52" s="18">
        <f t="shared" si="9"/>
        <v>0</v>
      </c>
      <c r="Y52" s="19"/>
      <c r="Z52" s="19"/>
      <c r="AA52" s="18">
        <f t="shared" si="10"/>
        <v>0</v>
      </c>
      <c r="AB52" s="20">
        <f t="shared" si="11"/>
        <v>0</v>
      </c>
      <c r="AC52" s="5"/>
      <c r="AD52" s="8"/>
      <c r="AF52" s="6"/>
      <c r="AG52" s="7"/>
      <c r="AJ52" s="33"/>
      <c r="AK52" s="35"/>
      <c r="AL52" s="38"/>
    </row>
    <row r="53" spans="1:38" ht="17.25" customHeight="1">
      <c r="A53" s="25"/>
      <c r="B53" s="26"/>
      <c r="C53" s="14"/>
      <c r="D53" s="31"/>
      <c r="E53" s="14"/>
      <c r="F53" s="15" t="str">
        <f t="shared" si="6"/>
        <v xml:space="preserve">S/F  </v>
      </c>
      <c r="G53" s="16"/>
      <c r="H53" s="17">
        <v>21</v>
      </c>
      <c r="I53" s="18">
        <f t="shared" si="7"/>
        <v>0</v>
      </c>
      <c r="J53" s="17"/>
      <c r="K53" s="18"/>
      <c r="L53" s="16"/>
      <c r="M53" s="17"/>
      <c r="N53" s="18">
        <f t="shared" si="8"/>
        <v>0</v>
      </c>
      <c r="O53" s="19"/>
      <c r="P53" s="18">
        <v>0</v>
      </c>
      <c r="Q53" s="16"/>
      <c r="R53" s="17"/>
      <c r="S53" s="18">
        <v>0</v>
      </c>
      <c r="T53" s="19"/>
      <c r="U53" s="18">
        <v>0</v>
      </c>
      <c r="V53" s="16"/>
      <c r="W53" s="17"/>
      <c r="X53" s="18">
        <f t="shared" si="9"/>
        <v>0</v>
      </c>
      <c r="Y53" s="19"/>
      <c r="Z53" s="19"/>
      <c r="AA53" s="18">
        <f t="shared" si="10"/>
        <v>0</v>
      </c>
      <c r="AB53" s="20">
        <f t="shared" si="11"/>
        <v>0</v>
      </c>
      <c r="AC53" s="5"/>
      <c r="AD53" s="8"/>
      <c r="AF53" s="6"/>
      <c r="AG53" s="7"/>
      <c r="AJ53" s="33"/>
      <c r="AK53" s="35"/>
      <c r="AL53" s="38"/>
    </row>
    <row r="54" spans="1:38" ht="17.25" customHeight="1">
      <c r="A54" s="25"/>
      <c r="B54" s="26"/>
      <c r="C54" s="14"/>
      <c r="D54" s="31"/>
      <c r="E54" s="14"/>
      <c r="F54" s="15" t="str">
        <f t="shared" si="6"/>
        <v xml:space="preserve">S/F  </v>
      </c>
      <c r="G54" s="16"/>
      <c r="H54" s="17">
        <v>21</v>
      </c>
      <c r="I54" s="18">
        <f t="shared" si="7"/>
        <v>0</v>
      </c>
      <c r="J54" s="17"/>
      <c r="K54" s="18"/>
      <c r="L54" s="16"/>
      <c r="M54" s="17"/>
      <c r="N54" s="18">
        <f t="shared" si="8"/>
        <v>0</v>
      </c>
      <c r="O54" s="19"/>
      <c r="P54" s="18">
        <v>0</v>
      </c>
      <c r="Q54" s="16"/>
      <c r="R54" s="17"/>
      <c r="S54" s="18">
        <v>0</v>
      </c>
      <c r="T54" s="19"/>
      <c r="U54" s="18">
        <v>0</v>
      </c>
      <c r="V54" s="16"/>
      <c r="W54" s="17"/>
      <c r="X54" s="18">
        <f t="shared" si="9"/>
        <v>0</v>
      </c>
      <c r="Y54" s="19"/>
      <c r="Z54" s="19"/>
      <c r="AA54" s="18">
        <f t="shared" si="10"/>
        <v>0</v>
      </c>
      <c r="AB54" s="20">
        <f t="shared" si="11"/>
        <v>0</v>
      </c>
      <c r="AC54" s="5"/>
      <c r="AD54" s="8"/>
      <c r="AF54" s="6"/>
      <c r="AG54" s="7"/>
      <c r="AJ54" s="33"/>
      <c r="AK54" s="35"/>
      <c r="AL54" s="38"/>
    </row>
    <row r="55" spans="1:38" ht="17.25" customHeight="1">
      <c r="A55" s="25"/>
      <c r="B55" s="26"/>
      <c r="C55" s="14"/>
      <c r="D55" s="31"/>
      <c r="E55" s="14"/>
      <c r="F55" s="15" t="str">
        <f t="shared" si="6"/>
        <v xml:space="preserve">S/F  </v>
      </c>
      <c r="G55" s="16"/>
      <c r="H55" s="17">
        <v>21</v>
      </c>
      <c r="I55" s="18">
        <f t="shared" si="7"/>
        <v>0</v>
      </c>
      <c r="J55" s="17"/>
      <c r="K55" s="18"/>
      <c r="L55" s="16"/>
      <c r="M55" s="17"/>
      <c r="N55" s="18">
        <f t="shared" si="8"/>
        <v>0</v>
      </c>
      <c r="O55" s="19"/>
      <c r="P55" s="18">
        <v>0</v>
      </c>
      <c r="Q55" s="16"/>
      <c r="R55" s="17"/>
      <c r="S55" s="18">
        <v>0</v>
      </c>
      <c r="T55" s="19"/>
      <c r="U55" s="18">
        <v>0</v>
      </c>
      <c r="V55" s="16"/>
      <c r="W55" s="17"/>
      <c r="X55" s="18">
        <f t="shared" si="9"/>
        <v>0</v>
      </c>
      <c r="Y55" s="19"/>
      <c r="Z55" s="19"/>
      <c r="AA55" s="18">
        <f t="shared" si="10"/>
        <v>0</v>
      </c>
      <c r="AB55" s="20">
        <f t="shared" si="11"/>
        <v>0</v>
      </c>
      <c r="AC55" s="5"/>
      <c r="AD55" s="8"/>
      <c r="AF55" s="6"/>
      <c r="AG55" s="7"/>
      <c r="AJ55" s="33"/>
      <c r="AK55" s="35"/>
      <c r="AL55" s="38"/>
    </row>
    <row r="56" spans="1:38" ht="17.25" customHeight="1">
      <c r="A56" s="25"/>
      <c r="B56" s="26"/>
      <c r="C56" s="14"/>
      <c r="D56" s="31"/>
      <c r="E56" s="14"/>
      <c r="F56" s="15" t="str">
        <f t="shared" si="6"/>
        <v xml:space="preserve">S/F  </v>
      </c>
      <c r="G56" s="16"/>
      <c r="H56" s="17">
        <v>21</v>
      </c>
      <c r="I56" s="18">
        <f t="shared" si="7"/>
        <v>0</v>
      </c>
      <c r="J56" s="17"/>
      <c r="K56" s="18"/>
      <c r="L56" s="16"/>
      <c r="M56" s="17"/>
      <c r="N56" s="18">
        <f t="shared" si="8"/>
        <v>0</v>
      </c>
      <c r="O56" s="19"/>
      <c r="P56" s="18">
        <v>0</v>
      </c>
      <c r="Q56" s="16"/>
      <c r="R56" s="17"/>
      <c r="S56" s="18">
        <v>0</v>
      </c>
      <c r="T56" s="19"/>
      <c r="U56" s="18">
        <v>0</v>
      </c>
      <c r="V56" s="16"/>
      <c r="W56" s="17"/>
      <c r="X56" s="18">
        <f t="shared" si="9"/>
        <v>0</v>
      </c>
      <c r="Y56" s="19"/>
      <c r="Z56" s="19"/>
      <c r="AA56" s="18">
        <f t="shared" si="10"/>
        <v>0</v>
      </c>
      <c r="AB56" s="20">
        <f t="shared" si="11"/>
        <v>0</v>
      </c>
      <c r="AC56" s="5"/>
      <c r="AD56" s="8"/>
      <c r="AF56" s="6"/>
      <c r="AG56" s="7"/>
      <c r="AJ56" s="33"/>
      <c r="AK56" s="35"/>
      <c r="AL56" s="38"/>
    </row>
    <row r="57" spans="1:38" ht="17.25" customHeight="1">
      <c r="A57" s="25"/>
      <c r="B57" s="26"/>
      <c r="C57" s="14"/>
      <c r="D57" s="31"/>
      <c r="E57" s="14"/>
      <c r="F57" s="15" t="str">
        <f t="shared" si="6"/>
        <v xml:space="preserve">S/F  </v>
      </c>
      <c r="G57" s="16"/>
      <c r="H57" s="17">
        <v>21</v>
      </c>
      <c r="I57" s="18">
        <f t="shared" si="7"/>
        <v>0</v>
      </c>
      <c r="J57" s="17"/>
      <c r="K57" s="18"/>
      <c r="L57" s="16"/>
      <c r="M57" s="17"/>
      <c r="N57" s="18">
        <f t="shared" si="8"/>
        <v>0</v>
      </c>
      <c r="O57" s="19"/>
      <c r="P57" s="18">
        <v>0</v>
      </c>
      <c r="Q57" s="16"/>
      <c r="R57" s="17"/>
      <c r="S57" s="18">
        <v>0</v>
      </c>
      <c r="T57" s="19"/>
      <c r="U57" s="18">
        <v>0</v>
      </c>
      <c r="V57" s="16"/>
      <c r="W57" s="17"/>
      <c r="X57" s="18">
        <f t="shared" si="9"/>
        <v>0</v>
      </c>
      <c r="Y57" s="19"/>
      <c r="Z57" s="19"/>
      <c r="AA57" s="18">
        <f t="shared" si="10"/>
        <v>0</v>
      </c>
      <c r="AB57" s="20">
        <f t="shared" si="11"/>
        <v>0</v>
      </c>
      <c r="AC57" s="5"/>
      <c r="AD57" s="8"/>
      <c r="AF57" s="6"/>
      <c r="AG57" s="7"/>
      <c r="AJ57" s="33"/>
      <c r="AK57" s="35"/>
      <c r="AL57" s="38"/>
    </row>
    <row r="58" spans="1:38" ht="17.25" customHeight="1">
      <c r="A58" s="25"/>
      <c r="B58" s="26"/>
      <c r="C58" s="14"/>
      <c r="D58" s="31"/>
      <c r="E58" s="14"/>
      <c r="F58" s="15" t="str">
        <f t="shared" si="6"/>
        <v xml:space="preserve">S/F  </v>
      </c>
      <c r="G58" s="16"/>
      <c r="H58" s="17">
        <v>21</v>
      </c>
      <c r="I58" s="18">
        <f t="shared" si="7"/>
        <v>0</v>
      </c>
      <c r="J58" s="17"/>
      <c r="K58" s="18"/>
      <c r="L58" s="16"/>
      <c r="M58" s="17"/>
      <c r="N58" s="18">
        <f t="shared" si="8"/>
        <v>0</v>
      </c>
      <c r="O58" s="19"/>
      <c r="P58" s="18">
        <v>0</v>
      </c>
      <c r="Q58" s="16"/>
      <c r="R58" s="17"/>
      <c r="S58" s="18">
        <v>0</v>
      </c>
      <c r="T58" s="19"/>
      <c r="U58" s="18">
        <v>0</v>
      </c>
      <c r="V58" s="16"/>
      <c r="W58" s="17"/>
      <c r="X58" s="18">
        <f t="shared" si="9"/>
        <v>0</v>
      </c>
      <c r="Y58" s="19"/>
      <c r="Z58" s="19"/>
      <c r="AA58" s="18">
        <f t="shared" si="10"/>
        <v>0</v>
      </c>
      <c r="AB58" s="20">
        <f t="shared" si="11"/>
        <v>0</v>
      </c>
      <c r="AC58" s="5"/>
      <c r="AD58" s="8"/>
      <c r="AF58" s="6"/>
      <c r="AG58" s="7"/>
      <c r="AJ58" s="33"/>
      <c r="AK58" s="35"/>
      <c r="AL58" s="38"/>
    </row>
    <row r="59" spans="1:38" ht="17.25" customHeight="1">
      <c r="A59" s="25"/>
      <c r="B59" s="26"/>
      <c r="C59" s="14"/>
      <c r="D59" s="31"/>
      <c r="E59" s="14"/>
      <c r="F59" s="15" t="str">
        <f t="shared" si="6"/>
        <v xml:space="preserve">S/F  </v>
      </c>
      <c r="G59" s="16"/>
      <c r="H59" s="17">
        <v>21</v>
      </c>
      <c r="I59" s="18">
        <f t="shared" si="7"/>
        <v>0</v>
      </c>
      <c r="J59" s="17"/>
      <c r="K59" s="18"/>
      <c r="L59" s="16"/>
      <c r="M59" s="17"/>
      <c r="N59" s="18">
        <f t="shared" si="8"/>
        <v>0</v>
      </c>
      <c r="O59" s="19"/>
      <c r="P59" s="18">
        <v>0</v>
      </c>
      <c r="Q59" s="16"/>
      <c r="R59" s="17"/>
      <c r="S59" s="18">
        <v>0</v>
      </c>
      <c r="T59" s="19"/>
      <c r="U59" s="18">
        <v>0</v>
      </c>
      <c r="V59" s="16"/>
      <c r="W59" s="17"/>
      <c r="X59" s="18">
        <f t="shared" si="9"/>
        <v>0</v>
      </c>
      <c r="Y59" s="19"/>
      <c r="Z59" s="19"/>
      <c r="AA59" s="18">
        <f t="shared" si="10"/>
        <v>0</v>
      </c>
      <c r="AB59" s="20">
        <f t="shared" si="11"/>
        <v>0</v>
      </c>
      <c r="AC59" s="5"/>
      <c r="AD59" s="8"/>
      <c r="AF59" s="6"/>
      <c r="AG59" s="7"/>
      <c r="AJ59" s="33"/>
      <c r="AK59" s="35"/>
      <c r="AL59" s="38"/>
    </row>
    <row r="60" spans="1:38" ht="17.25" customHeight="1">
      <c r="A60" s="25"/>
      <c r="B60" s="26"/>
      <c r="C60" s="14"/>
      <c r="D60" s="31"/>
      <c r="E60" s="14"/>
      <c r="F60" s="15" t="str">
        <f t="shared" si="6"/>
        <v xml:space="preserve">S/F  </v>
      </c>
      <c r="G60" s="16"/>
      <c r="H60" s="17">
        <v>21</v>
      </c>
      <c r="I60" s="18">
        <f t="shared" si="7"/>
        <v>0</v>
      </c>
      <c r="J60" s="17"/>
      <c r="K60" s="18"/>
      <c r="L60" s="16"/>
      <c r="M60" s="17"/>
      <c r="N60" s="18">
        <f t="shared" si="8"/>
        <v>0</v>
      </c>
      <c r="O60" s="19"/>
      <c r="P60" s="18">
        <v>0</v>
      </c>
      <c r="Q60" s="16"/>
      <c r="R60" s="17"/>
      <c r="S60" s="18">
        <v>0</v>
      </c>
      <c r="T60" s="19"/>
      <c r="U60" s="18">
        <v>0</v>
      </c>
      <c r="V60" s="16"/>
      <c r="W60" s="17"/>
      <c r="X60" s="18">
        <f t="shared" si="9"/>
        <v>0</v>
      </c>
      <c r="Y60" s="19"/>
      <c r="Z60" s="19"/>
      <c r="AA60" s="18">
        <f t="shared" si="10"/>
        <v>0</v>
      </c>
      <c r="AB60" s="20">
        <f t="shared" si="11"/>
        <v>0</v>
      </c>
      <c r="AC60" s="5"/>
      <c r="AD60" s="8"/>
      <c r="AF60" s="6"/>
      <c r="AG60" s="7"/>
      <c r="AJ60" s="33"/>
      <c r="AK60" s="35"/>
      <c r="AL60" s="38"/>
    </row>
    <row r="61" spans="1:38" ht="17.25" customHeight="1">
      <c r="A61" s="25"/>
      <c r="B61" s="26"/>
      <c r="C61" s="14"/>
      <c r="D61" s="31"/>
      <c r="E61" s="14"/>
      <c r="F61" s="15" t="str">
        <f t="shared" si="6"/>
        <v xml:space="preserve">S/F  </v>
      </c>
      <c r="G61" s="16"/>
      <c r="H61" s="17">
        <v>21</v>
      </c>
      <c r="I61" s="18">
        <f t="shared" si="7"/>
        <v>0</v>
      </c>
      <c r="J61" s="17"/>
      <c r="K61" s="18"/>
      <c r="L61" s="16"/>
      <c r="M61" s="17"/>
      <c r="N61" s="18">
        <f t="shared" si="8"/>
        <v>0</v>
      </c>
      <c r="O61" s="19"/>
      <c r="P61" s="18">
        <v>0</v>
      </c>
      <c r="Q61" s="16"/>
      <c r="R61" s="17"/>
      <c r="S61" s="18">
        <v>0</v>
      </c>
      <c r="T61" s="19"/>
      <c r="U61" s="18">
        <v>0</v>
      </c>
      <c r="V61" s="16"/>
      <c r="W61" s="17"/>
      <c r="X61" s="18">
        <f t="shared" si="9"/>
        <v>0</v>
      </c>
      <c r="Y61" s="19"/>
      <c r="Z61" s="19"/>
      <c r="AA61" s="18">
        <f t="shared" si="10"/>
        <v>0</v>
      </c>
      <c r="AB61" s="20">
        <f t="shared" si="11"/>
        <v>0</v>
      </c>
      <c r="AC61" s="5"/>
      <c r="AD61" s="8"/>
      <c r="AF61" s="6"/>
      <c r="AG61" s="7"/>
      <c r="AJ61" s="33"/>
      <c r="AK61" s="35"/>
      <c r="AL61" s="38"/>
    </row>
    <row r="62" spans="1:38" ht="17.25" customHeight="1">
      <c r="A62" s="25"/>
      <c r="B62" s="26"/>
      <c r="C62" s="14"/>
      <c r="D62" s="31"/>
      <c r="E62" s="14"/>
      <c r="F62" s="15" t="str">
        <f t="shared" si="6"/>
        <v xml:space="preserve">S/F  </v>
      </c>
      <c r="G62" s="16"/>
      <c r="H62" s="17">
        <v>21</v>
      </c>
      <c r="I62" s="18">
        <f t="shared" si="7"/>
        <v>0</v>
      </c>
      <c r="J62" s="17"/>
      <c r="K62" s="18"/>
      <c r="L62" s="16"/>
      <c r="M62" s="17"/>
      <c r="N62" s="18">
        <f t="shared" si="8"/>
        <v>0</v>
      </c>
      <c r="O62" s="19"/>
      <c r="P62" s="18">
        <v>0</v>
      </c>
      <c r="Q62" s="16"/>
      <c r="R62" s="17"/>
      <c r="S62" s="18">
        <v>0</v>
      </c>
      <c r="T62" s="19"/>
      <c r="U62" s="18">
        <v>0</v>
      </c>
      <c r="V62" s="16"/>
      <c r="W62" s="17"/>
      <c r="X62" s="18">
        <f t="shared" si="9"/>
        <v>0</v>
      </c>
      <c r="Y62" s="19"/>
      <c r="Z62" s="19"/>
      <c r="AA62" s="18">
        <f t="shared" si="10"/>
        <v>0</v>
      </c>
      <c r="AB62" s="20">
        <f t="shared" si="11"/>
        <v>0</v>
      </c>
      <c r="AC62" s="5"/>
      <c r="AD62" s="8"/>
      <c r="AF62" s="6"/>
      <c r="AG62" s="7"/>
      <c r="AJ62" s="33"/>
      <c r="AK62" s="35"/>
      <c r="AL62" s="38"/>
    </row>
    <row r="63" spans="1:38" ht="17.25" customHeight="1">
      <c r="A63" s="25"/>
      <c r="B63" s="26"/>
      <c r="C63" s="14"/>
      <c r="D63" s="31"/>
      <c r="E63" s="14"/>
      <c r="F63" s="15" t="str">
        <f t="shared" si="6"/>
        <v xml:space="preserve">S/F  </v>
      </c>
      <c r="G63" s="16"/>
      <c r="H63" s="17">
        <v>21</v>
      </c>
      <c r="I63" s="18">
        <f t="shared" si="7"/>
        <v>0</v>
      </c>
      <c r="J63" s="17"/>
      <c r="K63" s="18"/>
      <c r="L63" s="16"/>
      <c r="M63" s="17"/>
      <c r="N63" s="18">
        <f t="shared" si="8"/>
        <v>0</v>
      </c>
      <c r="O63" s="19"/>
      <c r="P63" s="18">
        <v>0</v>
      </c>
      <c r="Q63" s="16"/>
      <c r="R63" s="17"/>
      <c r="S63" s="18">
        <v>0</v>
      </c>
      <c r="T63" s="19"/>
      <c r="U63" s="18">
        <v>0</v>
      </c>
      <c r="V63" s="16"/>
      <c r="W63" s="17"/>
      <c r="X63" s="18">
        <f t="shared" si="9"/>
        <v>0</v>
      </c>
      <c r="Y63" s="19"/>
      <c r="Z63" s="19"/>
      <c r="AA63" s="18">
        <f t="shared" si="10"/>
        <v>0</v>
      </c>
      <c r="AB63" s="20">
        <f t="shared" si="11"/>
        <v>0</v>
      </c>
      <c r="AC63" s="5"/>
      <c r="AD63" s="8"/>
      <c r="AF63" s="6"/>
      <c r="AG63" s="7"/>
      <c r="AJ63" s="33"/>
      <c r="AK63" s="35"/>
      <c r="AL63" s="38"/>
    </row>
    <row r="64" spans="1:38" ht="17.25" customHeight="1">
      <c r="A64" s="25"/>
      <c r="B64" s="26"/>
      <c r="C64" s="14"/>
      <c r="D64" s="31"/>
      <c r="E64" s="14"/>
      <c r="F64" s="15" t="str">
        <f t="shared" si="6"/>
        <v xml:space="preserve">S/F  </v>
      </c>
      <c r="G64" s="16"/>
      <c r="H64" s="17">
        <v>21</v>
      </c>
      <c r="I64" s="18">
        <f t="shared" si="7"/>
        <v>0</v>
      </c>
      <c r="J64" s="17"/>
      <c r="K64" s="18"/>
      <c r="L64" s="16"/>
      <c r="M64" s="17"/>
      <c r="N64" s="18">
        <f t="shared" si="8"/>
        <v>0</v>
      </c>
      <c r="O64" s="19"/>
      <c r="P64" s="18">
        <v>0</v>
      </c>
      <c r="Q64" s="16"/>
      <c r="R64" s="17"/>
      <c r="S64" s="18">
        <v>0</v>
      </c>
      <c r="T64" s="19"/>
      <c r="U64" s="18">
        <v>0</v>
      </c>
      <c r="V64" s="16"/>
      <c r="W64" s="17"/>
      <c r="X64" s="18">
        <f t="shared" si="9"/>
        <v>0</v>
      </c>
      <c r="Y64" s="19"/>
      <c r="Z64" s="19"/>
      <c r="AA64" s="18">
        <f t="shared" si="10"/>
        <v>0</v>
      </c>
      <c r="AB64" s="20">
        <f t="shared" si="11"/>
        <v>0</v>
      </c>
      <c r="AC64" s="5"/>
      <c r="AD64" s="8"/>
      <c r="AF64" s="6"/>
      <c r="AG64" s="7"/>
      <c r="AJ64" s="33"/>
      <c r="AK64" s="35"/>
      <c r="AL64" s="38"/>
    </row>
    <row r="65" spans="1:38" ht="17.25" customHeight="1">
      <c r="A65" s="25"/>
      <c r="B65" s="26"/>
      <c r="C65" s="14"/>
      <c r="D65" s="31"/>
      <c r="E65" s="14"/>
      <c r="F65" s="15" t="str">
        <f t="shared" si="6"/>
        <v xml:space="preserve">S/F  </v>
      </c>
      <c r="G65" s="16"/>
      <c r="H65" s="17">
        <v>21</v>
      </c>
      <c r="I65" s="18">
        <f t="shared" si="7"/>
        <v>0</v>
      </c>
      <c r="J65" s="17"/>
      <c r="K65" s="18"/>
      <c r="L65" s="16"/>
      <c r="M65" s="17"/>
      <c r="N65" s="18">
        <f t="shared" si="8"/>
        <v>0</v>
      </c>
      <c r="O65" s="19"/>
      <c r="P65" s="18">
        <v>0</v>
      </c>
      <c r="Q65" s="16"/>
      <c r="R65" s="17"/>
      <c r="S65" s="18">
        <v>0</v>
      </c>
      <c r="T65" s="19"/>
      <c r="U65" s="18">
        <v>0</v>
      </c>
      <c r="V65" s="16"/>
      <c r="W65" s="17"/>
      <c r="X65" s="18">
        <f t="shared" si="9"/>
        <v>0</v>
      </c>
      <c r="Y65" s="19"/>
      <c r="Z65" s="19"/>
      <c r="AA65" s="18">
        <f t="shared" si="10"/>
        <v>0</v>
      </c>
      <c r="AB65" s="20">
        <f t="shared" si="11"/>
        <v>0</v>
      </c>
      <c r="AC65" s="5"/>
      <c r="AD65" s="8"/>
      <c r="AF65" s="6"/>
      <c r="AG65" s="7"/>
      <c r="AJ65" s="33"/>
      <c r="AK65" s="35"/>
      <c r="AL65" s="38"/>
    </row>
    <row r="66" spans="1:38" ht="17.25" customHeight="1">
      <c r="A66" s="25"/>
      <c r="B66" s="26"/>
      <c r="C66" s="14"/>
      <c r="D66" s="31"/>
      <c r="E66" s="14"/>
      <c r="F66" s="15" t="str">
        <f t="shared" ref="F66:F97" si="12">"S/F "&amp;B66&amp;" "&amp;E66</f>
        <v xml:space="preserve">S/F  </v>
      </c>
      <c r="G66" s="16"/>
      <c r="H66" s="17">
        <v>21</v>
      </c>
      <c r="I66" s="18">
        <f t="shared" ref="I66:I97" si="13">+IF(G66&lt;&gt;0,G66*H66/100,0)</f>
        <v>0</v>
      </c>
      <c r="J66" s="17"/>
      <c r="K66" s="18"/>
      <c r="L66" s="16"/>
      <c r="M66" s="17"/>
      <c r="N66" s="18">
        <f t="shared" ref="N66:N97" si="14">+IF(L66&lt;&gt;0,L66*M66/100,0)</f>
        <v>0</v>
      </c>
      <c r="O66" s="19"/>
      <c r="P66" s="18">
        <v>0</v>
      </c>
      <c r="Q66" s="16"/>
      <c r="R66" s="17"/>
      <c r="S66" s="18">
        <v>0</v>
      </c>
      <c r="T66" s="19"/>
      <c r="U66" s="18">
        <v>0</v>
      </c>
      <c r="V66" s="16"/>
      <c r="W66" s="17"/>
      <c r="X66" s="18">
        <f t="shared" ref="X66:X97" si="15">+IF(W66&lt;&gt;0,V66*W66/100,0)</f>
        <v>0</v>
      </c>
      <c r="Y66" s="19"/>
      <c r="Z66" s="19"/>
      <c r="AA66" s="18">
        <f t="shared" ref="AA66:AA97" si="16">+IF(Z66&lt;&gt;0,Y66*Z66/100,0)</f>
        <v>0</v>
      </c>
      <c r="AB66" s="20">
        <f t="shared" ref="AB66:AB97" si="17">+G66+I66+K66+L66+N66+P66+Q66+S66+U66-X66-AA66</f>
        <v>0</v>
      </c>
      <c r="AC66" s="5"/>
      <c r="AD66" s="8"/>
      <c r="AF66" s="6"/>
      <c r="AG66" s="7"/>
      <c r="AJ66" s="33"/>
      <c r="AK66" s="35"/>
      <c r="AL66" s="38"/>
    </row>
    <row r="67" spans="1:38" ht="17.25" customHeight="1">
      <c r="A67" s="25"/>
      <c r="B67" s="26"/>
      <c r="C67" s="14"/>
      <c r="D67" s="31"/>
      <c r="E67" s="14"/>
      <c r="F67" s="15" t="str">
        <f t="shared" si="12"/>
        <v xml:space="preserve">S/F  </v>
      </c>
      <c r="G67" s="16"/>
      <c r="H67" s="17">
        <v>21</v>
      </c>
      <c r="I67" s="18">
        <f t="shared" si="13"/>
        <v>0</v>
      </c>
      <c r="J67" s="17"/>
      <c r="K67" s="18"/>
      <c r="L67" s="16"/>
      <c r="M67" s="17"/>
      <c r="N67" s="18">
        <f t="shared" si="14"/>
        <v>0</v>
      </c>
      <c r="O67" s="19"/>
      <c r="P67" s="18">
        <v>0</v>
      </c>
      <c r="Q67" s="16"/>
      <c r="R67" s="17"/>
      <c r="S67" s="18">
        <v>0</v>
      </c>
      <c r="T67" s="19"/>
      <c r="U67" s="18">
        <v>0</v>
      </c>
      <c r="V67" s="16"/>
      <c r="W67" s="17"/>
      <c r="X67" s="18">
        <f t="shared" si="15"/>
        <v>0</v>
      </c>
      <c r="Y67" s="19"/>
      <c r="Z67" s="19"/>
      <c r="AA67" s="18">
        <f t="shared" si="16"/>
        <v>0</v>
      </c>
      <c r="AB67" s="20">
        <f t="shared" si="17"/>
        <v>0</v>
      </c>
      <c r="AC67" s="5"/>
      <c r="AD67" s="8"/>
      <c r="AF67" s="6"/>
      <c r="AG67" s="7"/>
      <c r="AJ67" s="33"/>
      <c r="AK67" s="35"/>
      <c r="AL67" s="38"/>
    </row>
    <row r="68" spans="1:38" ht="17.25" customHeight="1">
      <c r="A68" s="25"/>
      <c r="B68" s="26"/>
      <c r="C68" s="14"/>
      <c r="D68" s="31"/>
      <c r="E68" s="14"/>
      <c r="F68" s="15" t="str">
        <f t="shared" si="12"/>
        <v xml:space="preserve">S/F  </v>
      </c>
      <c r="G68" s="16"/>
      <c r="H68" s="17">
        <v>21</v>
      </c>
      <c r="I68" s="18">
        <f t="shared" si="13"/>
        <v>0</v>
      </c>
      <c r="J68" s="17"/>
      <c r="K68" s="18"/>
      <c r="L68" s="16"/>
      <c r="M68" s="17"/>
      <c r="N68" s="18">
        <f t="shared" si="14"/>
        <v>0</v>
      </c>
      <c r="O68" s="19"/>
      <c r="P68" s="18">
        <v>0</v>
      </c>
      <c r="Q68" s="16"/>
      <c r="R68" s="17"/>
      <c r="S68" s="18">
        <v>0</v>
      </c>
      <c r="T68" s="19"/>
      <c r="U68" s="18">
        <v>0</v>
      </c>
      <c r="V68" s="16"/>
      <c r="W68" s="17"/>
      <c r="X68" s="18">
        <f t="shared" si="15"/>
        <v>0</v>
      </c>
      <c r="Y68" s="19"/>
      <c r="Z68" s="19"/>
      <c r="AA68" s="18">
        <f t="shared" si="16"/>
        <v>0</v>
      </c>
      <c r="AB68" s="20">
        <f t="shared" si="17"/>
        <v>0</v>
      </c>
      <c r="AC68" s="5"/>
      <c r="AD68" s="8"/>
      <c r="AF68" s="6"/>
      <c r="AG68" s="7"/>
      <c r="AJ68" s="33"/>
      <c r="AK68" s="35"/>
      <c r="AL68" s="38"/>
    </row>
    <row r="69" spans="1:38" ht="17.25" customHeight="1">
      <c r="A69" s="25"/>
      <c r="B69" s="26"/>
      <c r="C69" s="14"/>
      <c r="D69" s="31"/>
      <c r="E69" s="14"/>
      <c r="F69" s="15" t="str">
        <f t="shared" si="12"/>
        <v xml:space="preserve">S/F  </v>
      </c>
      <c r="G69" s="16"/>
      <c r="H69" s="17">
        <v>21</v>
      </c>
      <c r="I69" s="18">
        <f t="shared" si="13"/>
        <v>0</v>
      </c>
      <c r="J69" s="17"/>
      <c r="K69" s="18"/>
      <c r="L69" s="16"/>
      <c r="M69" s="17"/>
      <c r="N69" s="18">
        <f t="shared" si="14"/>
        <v>0</v>
      </c>
      <c r="O69" s="19"/>
      <c r="P69" s="18">
        <v>0</v>
      </c>
      <c r="Q69" s="16"/>
      <c r="R69" s="17"/>
      <c r="S69" s="18">
        <v>0</v>
      </c>
      <c r="T69" s="19"/>
      <c r="U69" s="18">
        <v>0</v>
      </c>
      <c r="V69" s="16"/>
      <c r="W69" s="17"/>
      <c r="X69" s="18">
        <f t="shared" si="15"/>
        <v>0</v>
      </c>
      <c r="Y69" s="19"/>
      <c r="Z69" s="19"/>
      <c r="AA69" s="18">
        <f t="shared" si="16"/>
        <v>0</v>
      </c>
      <c r="AB69" s="20">
        <f t="shared" si="17"/>
        <v>0</v>
      </c>
      <c r="AC69" s="5"/>
      <c r="AD69" s="8"/>
      <c r="AF69" s="6"/>
      <c r="AG69" s="7"/>
      <c r="AJ69" s="33"/>
      <c r="AK69" s="35"/>
      <c r="AL69" s="38"/>
    </row>
    <row r="70" spans="1:38" ht="17.25" customHeight="1">
      <c r="A70" s="25"/>
      <c r="B70" s="26"/>
      <c r="C70" s="14"/>
      <c r="D70" s="31"/>
      <c r="E70" s="14"/>
      <c r="F70" s="15" t="str">
        <f t="shared" si="12"/>
        <v xml:space="preserve">S/F  </v>
      </c>
      <c r="G70" s="16"/>
      <c r="H70" s="17">
        <v>21</v>
      </c>
      <c r="I70" s="18">
        <f t="shared" si="13"/>
        <v>0</v>
      </c>
      <c r="J70" s="17"/>
      <c r="K70" s="18"/>
      <c r="L70" s="16"/>
      <c r="M70" s="17"/>
      <c r="N70" s="18">
        <f t="shared" si="14"/>
        <v>0</v>
      </c>
      <c r="O70" s="19"/>
      <c r="P70" s="18">
        <v>0</v>
      </c>
      <c r="Q70" s="16"/>
      <c r="R70" s="17"/>
      <c r="S70" s="18">
        <v>0</v>
      </c>
      <c r="T70" s="19"/>
      <c r="U70" s="18">
        <v>0</v>
      </c>
      <c r="V70" s="16"/>
      <c r="W70" s="17"/>
      <c r="X70" s="18">
        <f t="shared" si="15"/>
        <v>0</v>
      </c>
      <c r="Y70" s="19"/>
      <c r="Z70" s="19"/>
      <c r="AA70" s="18">
        <f t="shared" si="16"/>
        <v>0</v>
      </c>
      <c r="AB70" s="20">
        <f t="shared" si="17"/>
        <v>0</v>
      </c>
      <c r="AC70" s="5"/>
      <c r="AD70" s="8"/>
      <c r="AF70" s="6"/>
      <c r="AG70" s="7"/>
      <c r="AJ70" s="33"/>
      <c r="AK70" s="35"/>
      <c r="AL70" s="38"/>
    </row>
    <row r="71" spans="1:38" ht="17.25" customHeight="1">
      <c r="A71" s="25"/>
      <c r="B71" s="26"/>
      <c r="C71" s="14"/>
      <c r="D71" s="31"/>
      <c r="E71" s="14"/>
      <c r="F71" s="15" t="str">
        <f t="shared" si="12"/>
        <v xml:space="preserve">S/F  </v>
      </c>
      <c r="G71" s="16"/>
      <c r="H71" s="17">
        <v>21</v>
      </c>
      <c r="I71" s="18">
        <f t="shared" si="13"/>
        <v>0</v>
      </c>
      <c r="J71" s="17"/>
      <c r="K71" s="18"/>
      <c r="L71" s="16"/>
      <c r="M71" s="17"/>
      <c r="N71" s="18">
        <f t="shared" si="14"/>
        <v>0</v>
      </c>
      <c r="O71" s="19"/>
      <c r="P71" s="18">
        <v>0</v>
      </c>
      <c r="Q71" s="16"/>
      <c r="R71" s="17"/>
      <c r="S71" s="18">
        <v>0</v>
      </c>
      <c r="T71" s="19"/>
      <c r="U71" s="18">
        <v>0</v>
      </c>
      <c r="V71" s="16"/>
      <c r="W71" s="17"/>
      <c r="X71" s="18">
        <f t="shared" si="15"/>
        <v>0</v>
      </c>
      <c r="Y71" s="19"/>
      <c r="Z71" s="19"/>
      <c r="AA71" s="18">
        <f t="shared" si="16"/>
        <v>0</v>
      </c>
      <c r="AB71" s="20">
        <f t="shared" si="17"/>
        <v>0</v>
      </c>
      <c r="AC71" s="5"/>
      <c r="AD71" s="8"/>
      <c r="AF71" s="6"/>
      <c r="AG71" s="7"/>
      <c r="AJ71" s="33"/>
      <c r="AK71" s="35"/>
      <c r="AL71" s="38"/>
    </row>
    <row r="72" spans="1:38" ht="17.25" customHeight="1">
      <c r="A72" s="25"/>
      <c r="B72" s="26"/>
      <c r="C72" s="14"/>
      <c r="D72" s="31"/>
      <c r="E72" s="14"/>
      <c r="F72" s="15" t="str">
        <f t="shared" si="12"/>
        <v xml:space="preserve">S/F  </v>
      </c>
      <c r="G72" s="16"/>
      <c r="H72" s="17">
        <v>21</v>
      </c>
      <c r="I72" s="18">
        <f t="shared" si="13"/>
        <v>0</v>
      </c>
      <c r="J72" s="17"/>
      <c r="K72" s="18"/>
      <c r="L72" s="16"/>
      <c r="M72" s="17"/>
      <c r="N72" s="18">
        <f t="shared" si="14"/>
        <v>0</v>
      </c>
      <c r="O72" s="19"/>
      <c r="P72" s="18">
        <v>0</v>
      </c>
      <c r="Q72" s="16"/>
      <c r="R72" s="17"/>
      <c r="S72" s="18">
        <v>0</v>
      </c>
      <c r="T72" s="19"/>
      <c r="U72" s="18">
        <v>0</v>
      </c>
      <c r="V72" s="16"/>
      <c r="W72" s="17"/>
      <c r="X72" s="18">
        <f t="shared" si="15"/>
        <v>0</v>
      </c>
      <c r="Y72" s="19"/>
      <c r="Z72" s="19"/>
      <c r="AA72" s="18">
        <f t="shared" si="16"/>
        <v>0</v>
      </c>
      <c r="AB72" s="20">
        <f t="shared" si="17"/>
        <v>0</v>
      </c>
      <c r="AC72" s="5"/>
      <c r="AD72" s="8"/>
      <c r="AF72" s="6"/>
      <c r="AG72" s="7"/>
      <c r="AJ72" s="33"/>
      <c r="AK72" s="35"/>
      <c r="AL72" s="38"/>
    </row>
    <row r="73" spans="1:38" ht="17.25" customHeight="1">
      <c r="A73" s="25"/>
      <c r="B73" s="26"/>
      <c r="C73" s="14"/>
      <c r="D73" s="31"/>
      <c r="E73" s="14"/>
      <c r="F73" s="15" t="str">
        <f t="shared" si="12"/>
        <v xml:space="preserve">S/F  </v>
      </c>
      <c r="G73" s="16"/>
      <c r="H73" s="17">
        <v>21</v>
      </c>
      <c r="I73" s="18">
        <f t="shared" si="13"/>
        <v>0</v>
      </c>
      <c r="J73" s="17"/>
      <c r="K73" s="18"/>
      <c r="L73" s="16"/>
      <c r="M73" s="17"/>
      <c r="N73" s="18">
        <f t="shared" si="14"/>
        <v>0</v>
      </c>
      <c r="O73" s="19"/>
      <c r="P73" s="18">
        <v>0</v>
      </c>
      <c r="Q73" s="16"/>
      <c r="R73" s="17"/>
      <c r="S73" s="18">
        <v>0</v>
      </c>
      <c r="T73" s="19"/>
      <c r="U73" s="18">
        <v>0</v>
      </c>
      <c r="V73" s="16"/>
      <c r="W73" s="17"/>
      <c r="X73" s="18">
        <f t="shared" si="15"/>
        <v>0</v>
      </c>
      <c r="Y73" s="19"/>
      <c r="Z73" s="19"/>
      <c r="AA73" s="18">
        <f t="shared" si="16"/>
        <v>0</v>
      </c>
      <c r="AB73" s="20">
        <f t="shared" si="17"/>
        <v>0</v>
      </c>
      <c r="AC73" s="5"/>
      <c r="AD73" s="8"/>
      <c r="AF73" s="6"/>
      <c r="AG73" s="7"/>
      <c r="AJ73" s="33"/>
      <c r="AK73" s="35"/>
      <c r="AL73" s="38"/>
    </row>
    <row r="74" spans="1:38" ht="17.25" customHeight="1">
      <c r="A74" s="25"/>
      <c r="B74" s="26"/>
      <c r="C74" s="14"/>
      <c r="D74" s="31"/>
      <c r="E74" s="14"/>
      <c r="F74" s="15" t="str">
        <f t="shared" si="12"/>
        <v xml:space="preserve">S/F  </v>
      </c>
      <c r="G74" s="16"/>
      <c r="H74" s="17">
        <v>21</v>
      </c>
      <c r="I74" s="18">
        <f t="shared" si="13"/>
        <v>0</v>
      </c>
      <c r="J74" s="17"/>
      <c r="K74" s="18"/>
      <c r="L74" s="16"/>
      <c r="M74" s="17"/>
      <c r="N74" s="18">
        <f t="shared" si="14"/>
        <v>0</v>
      </c>
      <c r="O74" s="19"/>
      <c r="P74" s="18">
        <v>0</v>
      </c>
      <c r="Q74" s="16"/>
      <c r="R74" s="17"/>
      <c r="S74" s="18">
        <v>0</v>
      </c>
      <c r="T74" s="19"/>
      <c r="U74" s="18">
        <v>0</v>
      </c>
      <c r="V74" s="16"/>
      <c r="W74" s="17"/>
      <c r="X74" s="18">
        <f t="shared" si="15"/>
        <v>0</v>
      </c>
      <c r="Y74" s="19"/>
      <c r="Z74" s="19"/>
      <c r="AA74" s="18">
        <f t="shared" si="16"/>
        <v>0</v>
      </c>
      <c r="AB74" s="20">
        <f t="shared" si="17"/>
        <v>0</v>
      </c>
      <c r="AC74" s="5"/>
      <c r="AD74" s="8"/>
      <c r="AF74" s="6"/>
      <c r="AG74" s="7"/>
      <c r="AJ74" s="33"/>
      <c r="AK74" s="35"/>
      <c r="AL74" s="38"/>
    </row>
    <row r="75" spans="1:38" ht="17.25" customHeight="1">
      <c r="A75" s="25"/>
      <c r="B75" s="26"/>
      <c r="C75" s="14"/>
      <c r="D75" s="31"/>
      <c r="E75" s="14"/>
      <c r="F75" s="15" t="str">
        <f t="shared" si="12"/>
        <v xml:space="preserve">S/F  </v>
      </c>
      <c r="G75" s="16"/>
      <c r="H75" s="17">
        <v>21</v>
      </c>
      <c r="I75" s="18">
        <f t="shared" si="13"/>
        <v>0</v>
      </c>
      <c r="J75" s="17"/>
      <c r="K75" s="18"/>
      <c r="L75" s="16"/>
      <c r="M75" s="17"/>
      <c r="N75" s="18">
        <f t="shared" si="14"/>
        <v>0</v>
      </c>
      <c r="O75" s="19"/>
      <c r="P75" s="18">
        <v>0</v>
      </c>
      <c r="Q75" s="16"/>
      <c r="R75" s="17"/>
      <c r="S75" s="18">
        <v>0</v>
      </c>
      <c r="T75" s="19"/>
      <c r="U75" s="18">
        <v>0</v>
      </c>
      <c r="V75" s="16"/>
      <c r="W75" s="17"/>
      <c r="X75" s="18">
        <f t="shared" si="15"/>
        <v>0</v>
      </c>
      <c r="Y75" s="19"/>
      <c r="Z75" s="19"/>
      <c r="AA75" s="18">
        <f t="shared" si="16"/>
        <v>0</v>
      </c>
      <c r="AB75" s="20">
        <f t="shared" si="17"/>
        <v>0</v>
      </c>
      <c r="AC75" s="5"/>
      <c r="AD75" s="8"/>
      <c r="AF75" s="6"/>
      <c r="AG75" s="7"/>
      <c r="AJ75" s="33"/>
      <c r="AK75" s="35"/>
      <c r="AL75" s="38"/>
    </row>
    <row r="76" spans="1:38" ht="17.25" customHeight="1">
      <c r="A76" s="25"/>
      <c r="B76" s="26"/>
      <c r="C76" s="14"/>
      <c r="D76" s="31"/>
      <c r="E76" s="14"/>
      <c r="F76" s="15" t="str">
        <f t="shared" si="12"/>
        <v xml:space="preserve">S/F  </v>
      </c>
      <c r="G76" s="16"/>
      <c r="H76" s="17">
        <v>21</v>
      </c>
      <c r="I76" s="18">
        <f t="shared" si="13"/>
        <v>0</v>
      </c>
      <c r="J76" s="17"/>
      <c r="K76" s="18"/>
      <c r="L76" s="16"/>
      <c r="M76" s="17"/>
      <c r="N76" s="18">
        <f t="shared" si="14"/>
        <v>0</v>
      </c>
      <c r="O76" s="19"/>
      <c r="P76" s="18">
        <v>0</v>
      </c>
      <c r="Q76" s="16"/>
      <c r="R76" s="17"/>
      <c r="S76" s="18">
        <v>0</v>
      </c>
      <c r="T76" s="19"/>
      <c r="U76" s="18">
        <v>0</v>
      </c>
      <c r="V76" s="16"/>
      <c r="W76" s="17"/>
      <c r="X76" s="18">
        <f t="shared" si="15"/>
        <v>0</v>
      </c>
      <c r="Y76" s="19"/>
      <c r="Z76" s="19"/>
      <c r="AA76" s="18">
        <f t="shared" si="16"/>
        <v>0</v>
      </c>
      <c r="AB76" s="20">
        <f t="shared" si="17"/>
        <v>0</v>
      </c>
      <c r="AC76" s="5"/>
      <c r="AD76" s="8"/>
      <c r="AF76" s="6"/>
      <c r="AG76" s="7"/>
      <c r="AJ76" s="33"/>
      <c r="AK76" s="35"/>
      <c r="AL76" s="38"/>
    </row>
    <row r="77" spans="1:38" ht="17.25" customHeight="1">
      <c r="A77" s="25"/>
      <c r="B77" s="26"/>
      <c r="C77" s="14"/>
      <c r="D77" s="31"/>
      <c r="E77" s="14"/>
      <c r="F77" s="15" t="str">
        <f t="shared" si="12"/>
        <v xml:space="preserve">S/F  </v>
      </c>
      <c r="G77" s="16"/>
      <c r="H77" s="17">
        <v>21</v>
      </c>
      <c r="I77" s="18">
        <f t="shared" si="13"/>
        <v>0</v>
      </c>
      <c r="J77" s="17"/>
      <c r="K77" s="18"/>
      <c r="L77" s="16"/>
      <c r="M77" s="17"/>
      <c r="N77" s="18">
        <f t="shared" si="14"/>
        <v>0</v>
      </c>
      <c r="O77" s="19"/>
      <c r="P77" s="18">
        <v>0</v>
      </c>
      <c r="Q77" s="16"/>
      <c r="R77" s="17"/>
      <c r="S77" s="18">
        <v>0</v>
      </c>
      <c r="T77" s="19"/>
      <c r="U77" s="18">
        <v>0</v>
      </c>
      <c r="V77" s="16"/>
      <c r="W77" s="17"/>
      <c r="X77" s="18">
        <f t="shared" si="15"/>
        <v>0</v>
      </c>
      <c r="Y77" s="19"/>
      <c r="Z77" s="19"/>
      <c r="AA77" s="18">
        <f t="shared" si="16"/>
        <v>0</v>
      </c>
      <c r="AB77" s="20">
        <f t="shared" si="17"/>
        <v>0</v>
      </c>
      <c r="AC77" s="5"/>
      <c r="AD77" s="8"/>
      <c r="AF77" s="6"/>
      <c r="AG77" s="7"/>
      <c r="AJ77" s="33"/>
      <c r="AK77" s="35"/>
      <c r="AL77" s="38"/>
    </row>
    <row r="78" spans="1:38" ht="17.25" customHeight="1">
      <c r="A78" s="25"/>
      <c r="B78" s="26"/>
      <c r="C78" s="14"/>
      <c r="D78" s="31"/>
      <c r="E78" s="14"/>
      <c r="F78" s="15" t="str">
        <f t="shared" si="12"/>
        <v xml:space="preserve">S/F  </v>
      </c>
      <c r="G78" s="16"/>
      <c r="H78" s="17">
        <v>21</v>
      </c>
      <c r="I78" s="18">
        <f t="shared" si="13"/>
        <v>0</v>
      </c>
      <c r="J78" s="17"/>
      <c r="K78" s="18"/>
      <c r="L78" s="16"/>
      <c r="M78" s="17"/>
      <c r="N78" s="18">
        <f t="shared" si="14"/>
        <v>0</v>
      </c>
      <c r="O78" s="19"/>
      <c r="P78" s="18">
        <v>0</v>
      </c>
      <c r="Q78" s="16"/>
      <c r="R78" s="17"/>
      <c r="S78" s="18">
        <v>0</v>
      </c>
      <c r="T78" s="19"/>
      <c r="U78" s="18">
        <v>0</v>
      </c>
      <c r="V78" s="16"/>
      <c r="W78" s="17"/>
      <c r="X78" s="18">
        <f t="shared" si="15"/>
        <v>0</v>
      </c>
      <c r="Y78" s="19"/>
      <c r="Z78" s="19"/>
      <c r="AA78" s="18">
        <f t="shared" si="16"/>
        <v>0</v>
      </c>
      <c r="AB78" s="20">
        <f t="shared" si="17"/>
        <v>0</v>
      </c>
      <c r="AC78" s="5"/>
      <c r="AD78" s="8"/>
      <c r="AF78" s="6"/>
      <c r="AG78" s="7"/>
      <c r="AJ78" s="33"/>
      <c r="AK78" s="35"/>
      <c r="AL78" s="38"/>
    </row>
    <row r="79" spans="1:38" ht="17.25" customHeight="1">
      <c r="A79" s="25"/>
      <c r="B79" s="26"/>
      <c r="C79" s="14"/>
      <c r="D79" s="31"/>
      <c r="E79" s="14"/>
      <c r="F79" s="15" t="str">
        <f t="shared" si="12"/>
        <v xml:space="preserve">S/F  </v>
      </c>
      <c r="G79" s="16"/>
      <c r="H79" s="17">
        <v>21</v>
      </c>
      <c r="I79" s="18">
        <f t="shared" si="13"/>
        <v>0</v>
      </c>
      <c r="J79" s="17"/>
      <c r="K79" s="18"/>
      <c r="L79" s="16"/>
      <c r="M79" s="17"/>
      <c r="N79" s="18">
        <f t="shared" si="14"/>
        <v>0</v>
      </c>
      <c r="O79" s="19"/>
      <c r="P79" s="18">
        <v>0</v>
      </c>
      <c r="Q79" s="16"/>
      <c r="R79" s="17"/>
      <c r="S79" s="18">
        <v>0</v>
      </c>
      <c r="T79" s="19"/>
      <c r="U79" s="18">
        <v>0</v>
      </c>
      <c r="V79" s="16"/>
      <c r="W79" s="17"/>
      <c r="X79" s="18">
        <f t="shared" si="15"/>
        <v>0</v>
      </c>
      <c r="Y79" s="19"/>
      <c r="Z79" s="19"/>
      <c r="AA79" s="18">
        <f t="shared" si="16"/>
        <v>0</v>
      </c>
      <c r="AB79" s="20">
        <f t="shared" si="17"/>
        <v>0</v>
      </c>
      <c r="AC79" s="5"/>
      <c r="AD79" s="8"/>
      <c r="AF79" s="6"/>
      <c r="AG79" s="7"/>
      <c r="AJ79" s="33"/>
      <c r="AK79" s="35"/>
      <c r="AL79" s="38"/>
    </row>
    <row r="80" spans="1:38" ht="17.25" customHeight="1">
      <c r="A80" s="25"/>
      <c r="B80" s="26"/>
      <c r="C80" s="14"/>
      <c r="D80" s="31"/>
      <c r="E80" s="14"/>
      <c r="F80" s="15" t="str">
        <f t="shared" si="12"/>
        <v xml:space="preserve">S/F  </v>
      </c>
      <c r="G80" s="16"/>
      <c r="H80" s="17">
        <v>21</v>
      </c>
      <c r="I80" s="18">
        <f t="shared" si="13"/>
        <v>0</v>
      </c>
      <c r="J80" s="17"/>
      <c r="K80" s="18"/>
      <c r="L80" s="16"/>
      <c r="M80" s="17"/>
      <c r="N80" s="18">
        <f t="shared" si="14"/>
        <v>0</v>
      </c>
      <c r="O80" s="19"/>
      <c r="P80" s="18">
        <v>0</v>
      </c>
      <c r="Q80" s="16"/>
      <c r="R80" s="17"/>
      <c r="S80" s="18">
        <v>0</v>
      </c>
      <c r="T80" s="19"/>
      <c r="U80" s="18">
        <v>0</v>
      </c>
      <c r="V80" s="16"/>
      <c r="W80" s="17"/>
      <c r="X80" s="18">
        <f t="shared" si="15"/>
        <v>0</v>
      </c>
      <c r="Y80" s="19"/>
      <c r="Z80" s="19"/>
      <c r="AA80" s="18">
        <f t="shared" si="16"/>
        <v>0</v>
      </c>
      <c r="AB80" s="20">
        <f t="shared" si="17"/>
        <v>0</v>
      </c>
      <c r="AC80" s="5"/>
      <c r="AD80" s="8"/>
      <c r="AF80" s="6"/>
      <c r="AG80" s="7"/>
      <c r="AJ80" s="33"/>
      <c r="AK80" s="35"/>
      <c r="AL80" s="38"/>
    </row>
    <row r="81" spans="1:38" ht="17.25" customHeight="1">
      <c r="A81" s="25"/>
      <c r="B81" s="26"/>
      <c r="C81" s="14"/>
      <c r="D81" s="31"/>
      <c r="E81" s="14"/>
      <c r="F81" s="15" t="str">
        <f t="shared" si="12"/>
        <v xml:space="preserve">S/F  </v>
      </c>
      <c r="G81" s="16"/>
      <c r="H81" s="17">
        <v>21</v>
      </c>
      <c r="I81" s="18">
        <f t="shared" si="13"/>
        <v>0</v>
      </c>
      <c r="J81" s="17"/>
      <c r="K81" s="18"/>
      <c r="L81" s="16"/>
      <c r="M81" s="17"/>
      <c r="N81" s="18">
        <f t="shared" si="14"/>
        <v>0</v>
      </c>
      <c r="O81" s="19"/>
      <c r="P81" s="18">
        <v>0</v>
      </c>
      <c r="Q81" s="16"/>
      <c r="R81" s="17"/>
      <c r="S81" s="18">
        <v>0</v>
      </c>
      <c r="T81" s="19"/>
      <c r="U81" s="18">
        <v>0</v>
      </c>
      <c r="V81" s="16"/>
      <c r="W81" s="17"/>
      <c r="X81" s="18">
        <f t="shared" si="15"/>
        <v>0</v>
      </c>
      <c r="Y81" s="19"/>
      <c r="Z81" s="19"/>
      <c r="AA81" s="18">
        <f t="shared" si="16"/>
        <v>0</v>
      </c>
      <c r="AB81" s="20">
        <f t="shared" si="17"/>
        <v>0</v>
      </c>
      <c r="AC81" s="5"/>
      <c r="AD81" s="8"/>
      <c r="AF81" s="6"/>
      <c r="AG81" s="7"/>
      <c r="AJ81" s="33"/>
      <c r="AK81" s="35"/>
      <c r="AL81" s="38"/>
    </row>
    <row r="82" spans="1:38" ht="17.25" customHeight="1">
      <c r="A82" s="25"/>
      <c r="B82" s="26"/>
      <c r="C82" s="14"/>
      <c r="D82" s="31"/>
      <c r="E82" s="14"/>
      <c r="F82" s="15" t="str">
        <f t="shared" si="12"/>
        <v xml:space="preserve">S/F  </v>
      </c>
      <c r="G82" s="16"/>
      <c r="H82" s="17">
        <v>21</v>
      </c>
      <c r="I82" s="18">
        <f t="shared" si="13"/>
        <v>0</v>
      </c>
      <c r="J82" s="17"/>
      <c r="K82" s="18"/>
      <c r="L82" s="16"/>
      <c r="M82" s="17"/>
      <c r="N82" s="18">
        <f t="shared" si="14"/>
        <v>0</v>
      </c>
      <c r="O82" s="19"/>
      <c r="P82" s="18">
        <v>0</v>
      </c>
      <c r="Q82" s="16"/>
      <c r="R82" s="17"/>
      <c r="S82" s="18">
        <v>0</v>
      </c>
      <c r="T82" s="19"/>
      <c r="U82" s="18">
        <v>0</v>
      </c>
      <c r="V82" s="16"/>
      <c r="W82" s="17"/>
      <c r="X82" s="18">
        <f t="shared" si="15"/>
        <v>0</v>
      </c>
      <c r="Y82" s="19"/>
      <c r="Z82" s="19"/>
      <c r="AA82" s="18">
        <f t="shared" si="16"/>
        <v>0</v>
      </c>
      <c r="AB82" s="20">
        <f t="shared" si="17"/>
        <v>0</v>
      </c>
      <c r="AC82" s="5"/>
      <c r="AD82" s="8"/>
      <c r="AF82" s="6"/>
      <c r="AG82" s="7"/>
      <c r="AJ82" s="33"/>
      <c r="AK82" s="35"/>
      <c r="AL82" s="38"/>
    </row>
    <row r="83" spans="1:38" ht="17.25" customHeight="1">
      <c r="A83" s="25"/>
      <c r="B83" s="26"/>
      <c r="C83" s="14"/>
      <c r="D83" s="31"/>
      <c r="E83" s="14"/>
      <c r="F83" s="15" t="str">
        <f t="shared" si="12"/>
        <v xml:space="preserve">S/F  </v>
      </c>
      <c r="G83" s="16"/>
      <c r="H83" s="17">
        <v>21</v>
      </c>
      <c r="I83" s="18">
        <f t="shared" si="13"/>
        <v>0</v>
      </c>
      <c r="J83" s="17"/>
      <c r="K83" s="18"/>
      <c r="L83" s="16"/>
      <c r="M83" s="17"/>
      <c r="N83" s="18">
        <f t="shared" si="14"/>
        <v>0</v>
      </c>
      <c r="O83" s="19"/>
      <c r="P83" s="18">
        <v>0</v>
      </c>
      <c r="Q83" s="16"/>
      <c r="R83" s="17"/>
      <c r="S83" s="18">
        <v>0</v>
      </c>
      <c r="T83" s="19"/>
      <c r="U83" s="18">
        <v>0</v>
      </c>
      <c r="V83" s="16"/>
      <c r="W83" s="17"/>
      <c r="X83" s="18">
        <f t="shared" si="15"/>
        <v>0</v>
      </c>
      <c r="Y83" s="19"/>
      <c r="Z83" s="19"/>
      <c r="AA83" s="18">
        <f t="shared" si="16"/>
        <v>0</v>
      </c>
      <c r="AB83" s="20">
        <f t="shared" si="17"/>
        <v>0</v>
      </c>
      <c r="AC83" s="5"/>
      <c r="AD83" s="8"/>
      <c r="AF83" s="6"/>
      <c r="AG83" s="7"/>
      <c r="AJ83" s="33"/>
      <c r="AK83" s="35"/>
      <c r="AL83" s="38"/>
    </row>
    <row r="84" spans="1:38" ht="17.25" customHeight="1">
      <c r="A84" s="25"/>
      <c r="B84" s="26"/>
      <c r="C84" s="14"/>
      <c r="D84" s="31"/>
      <c r="E84" s="14"/>
      <c r="F84" s="15" t="str">
        <f t="shared" si="12"/>
        <v xml:space="preserve">S/F  </v>
      </c>
      <c r="G84" s="16"/>
      <c r="H84" s="17">
        <v>21</v>
      </c>
      <c r="I84" s="18">
        <f t="shared" si="13"/>
        <v>0</v>
      </c>
      <c r="J84" s="17"/>
      <c r="K84" s="18"/>
      <c r="L84" s="16"/>
      <c r="M84" s="17"/>
      <c r="N84" s="18">
        <f t="shared" si="14"/>
        <v>0</v>
      </c>
      <c r="O84" s="19"/>
      <c r="P84" s="18">
        <v>0</v>
      </c>
      <c r="Q84" s="16"/>
      <c r="R84" s="17"/>
      <c r="S84" s="18">
        <v>0</v>
      </c>
      <c r="T84" s="19"/>
      <c r="U84" s="18">
        <v>0</v>
      </c>
      <c r="V84" s="16"/>
      <c r="W84" s="17"/>
      <c r="X84" s="18">
        <f t="shared" si="15"/>
        <v>0</v>
      </c>
      <c r="Y84" s="19"/>
      <c r="Z84" s="19"/>
      <c r="AA84" s="18">
        <f t="shared" si="16"/>
        <v>0</v>
      </c>
      <c r="AB84" s="20">
        <f t="shared" si="17"/>
        <v>0</v>
      </c>
      <c r="AC84" s="5"/>
      <c r="AD84" s="8"/>
      <c r="AF84" s="6"/>
      <c r="AG84" s="7"/>
      <c r="AJ84" s="33"/>
      <c r="AK84" s="35"/>
      <c r="AL84" s="38"/>
    </row>
    <row r="85" spans="1:38" ht="17.25" customHeight="1">
      <c r="A85" s="25"/>
      <c r="B85" s="26"/>
      <c r="C85" s="14"/>
      <c r="D85" s="31"/>
      <c r="E85" s="14"/>
      <c r="F85" s="15" t="str">
        <f t="shared" si="12"/>
        <v xml:space="preserve">S/F  </v>
      </c>
      <c r="G85" s="16"/>
      <c r="H85" s="17">
        <v>21</v>
      </c>
      <c r="I85" s="18">
        <f t="shared" si="13"/>
        <v>0</v>
      </c>
      <c r="J85" s="17"/>
      <c r="K85" s="18"/>
      <c r="L85" s="16"/>
      <c r="M85" s="17"/>
      <c r="N85" s="18">
        <f t="shared" si="14"/>
        <v>0</v>
      </c>
      <c r="O85" s="19"/>
      <c r="P85" s="18">
        <v>0</v>
      </c>
      <c r="Q85" s="16"/>
      <c r="R85" s="17"/>
      <c r="S85" s="18">
        <v>0</v>
      </c>
      <c r="T85" s="19"/>
      <c r="U85" s="18">
        <v>0</v>
      </c>
      <c r="V85" s="16"/>
      <c r="W85" s="17"/>
      <c r="X85" s="18">
        <f t="shared" si="15"/>
        <v>0</v>
      </c>
      <c r="Y85" s="19"/>
      <c r="Z85" s="19"/>
      <c r="AA85" s="18">
        <f t="shared" si="16"/>
        <v>0</v>
      </c>
      <c r="AB85" s="20">
        <f t="shared" si="17"/>
        <v>0</v>
      </c>
      <c r="AC85" s="5"/>
      <c r="AD85" s="8"/>
      <c r="AF85" s="6"/>
      <c r="AG85" s="7"/>
      <c r="AJ85" s="33"/>
      <c r="AK85" s="35"/>
      <c r="AL85" s="38"/>
    </row>
    <row r="86" spans="1:38" ht="17.25" customHeight="1">
      <c r="A86" s="25"/>
      <c r="B86" s="26"/>
      <c r="C86" s="14"/>
      <c r="D86" s="31"/>
      <c r="E86" s="14"/>
      <c r="F86" s="15" t="str">
        <f t="shared" si="12"/>
        <v xml:space="preserve">S/F  </v>
      </c>
      <c r="G86" s="16"/>
      <c r="H86" s="17">
        <v>21</v>
      </c>
      <c r="I86" s="18">
        <f t="shared" si="13"/>
        <v>0</v>
      </c>
      <c r="J86" s="17"/>
      <c r="K86" s="18"/>
      <c r="L86" s="16"/>
      <c r="M86" s="17"/>
      <c r="N86" s="18">
        <f t="shared" si="14"/>
        <v>0</v>
      </c>
      <c r="O86" s="19"/>
      <c r="P86" s="18">
        <v>0</v>
      </c>
      <c r="Q86" s="16"/>
      <c r="R86" s="17"/>
      <c r="S86" s="18">
        <v>0</v>
      </c>
      <c r="T86" s="19"/>
      <c r="U86" s="18">
        <v>0</v>
      </c>
      <c r="V86" s="16"/>
      <c r="W86" s="17"/>
      <c r="X86" s="18">
        <f t="shared" si="15"/>
        <v>0</v>
      </c>
      <c r="Y86" s="19"/>
      <c r="Z86" s="19"/>
      <c r="AA86" s="18">
        <f t="shared" si="16"/>
        <v>0</v>
      </c>
      <c r="AB86" s="20">
        <f t="shared" si="17"/>
        <v>0</v>
      </c>
      <c r="AC86" s="5"/>
      <c r="AD86" s="8"/>
      <c r="AF86" s="6"/>
      <c r="AG86" s="7"/>
      <c r="AJ86" s="33"/>
      <c r="AK86" s="35"/>
      <c r="AL86" s="38"/>
    </row>
    <row r="87" spans="1:38" ht="17.25" customHeight="1">
      <c r="A87" s="25"/>
      <c r="B87" s="26"/>
      <c r="C87" s="14"/>
      <c r="D87" s="31"/>
      <c r="E87" s="14"/>
      <c r="F87" s="15" t="str">
        <f t="shared" si="12"/>
        <v xml:space="preserve">S/F  </v>
      </c>
      <c r="G87" s="16"/>
      <c r="H87" s="17">
        <v>21</v>
      </c>
      <c r="I87" s="18">
        <f t="shared" si="13"/>
        <v>0</v>
      </c>
      <c r="J87" s="17"/>
      <c r="K87" s="18"/>
      <c r="L87" s="16"/>
      <c r="M87" s="17"/>
      <c r="N87" s="18">
        <f t="shared" si="14"/>
        <v>0</v>
      </c>
      <c r="O87" s="19"/>
      <c r="P87" s="18">
        <v>0</v>
      </c>
      <c r="Q87" s="16"/>
      <c r="R87" s="17"/>
      <c r="S87" s="18">
        <v>0</v>
      </c>
      <c r="T87" s="19"/>
      <c r="U87" s="18">
        <v>0</v>
      </c>
      <c r="V87" s="16"/>
      <c r="W87" s="17"/>
      <c r="X87" s="18">
        <f t="shared" si="15"/>
        <v>0</v>
      </c>
      <c r="Y87" s="19"/>
      <c r="Z87" s="19"/>
      <c r="AA87" s="18">
        <f t="shared" si="16"/>
        <v>0</v>
      </c>
      <c r="AB87" s="20">
        <f t="shared" si="17"/>
        <v>0</v>
      </c>
      <c r="AC87" s="5"/>
      <c r="AD87" s="8"/>
      <c r="AF87" s="6"/>
      <c r="AG87" s="7"/>
      <c r="AJ87" s="33"/>
      <c r="AK87" s="35"/>
      <c r="AL87" s="38"/>
    </row>
    <row r="88" spans="1:38" ht="17.25" customHeight="1">
      <c r="A88" s="25"/>
      <c r="B88" s="26"/>
      <c r="C88" s="14"/>
      <c r="D88" s="31"/>
      <c r="E88" s="14"/>
      <c r="F88" s="15" t="str">
        <f t="shared" si="12"/>
        <v xml:space="preserve">S/F  </v>
      </c>
      <c r="G88" s="16"/>
      <c r="H88" s="17">
        <v>21</v>
      </c>
      <c r="I88" s="18">
        <f t="shared" si="13"/>
        <v>0</v>
      </c>
      <c r="J88" s="17"/>
      <c r="K88" s="18"/>
      <c r="L88" s="16"/>
      <c r="M88" s="17"/>
      <c r="N88" s="18">
        <f t="shared" si="14"/>
        <v>0</v>
      </c>
      <c r="O88" s="19"/>
      <c r="P88" s="18">
        <v>0</v>
      </c>
      <c r="Q88" s="16"/>
      <c r="R88" s="17"/>
      <c r="S88" s="18">
        <v>0</v>
      </c>
      <c r="T88" s="19"/>
      <c r="U88" s="18">
        <v>0</v>
      </c>
      <c r="V88" s="16"/>
      <c r="W88" s="17"/>
      <c r="X88" s="18">
        <f t="shared" si="15"/>
        <v>0</v>
      </c>
      <c r="Y88" s="19"/>
      <c r="Z88" s="19"/>
      <c r="AA88" s="18">
        <f t="shared" si="16"/>
        <v>0</v>
      </c>
      <c r="AB88" s="20">
        <f t="shared" si="17"/>
        <v>0</v>
      </c>
      <c r="AC88" s="5"/>
      <c r="AD88" s="8"/>
      <c r="AF88" s="6"/>
      <c r="AG88" s="7"/>
      <c r="AJ88" s="33"/>
      <c r="AK88" s="35"/>
      <c r="AL88" s="38"/>
    </row>
    <row r="89" spans="1:38" ht="17.25" customHeight="1">
      <c r="A89" s="25"/>
      <c r="B89" s="26"/>
      <c r="C89" s="14"/>
      <c r="D89" s="31"/>
      <c r="E89" s="14"/>
      <c r="F89" s="15" t="str">
        <f t="shared" si="12"/>
        <v xml:space="preserve">S/F  </v>
      </c>
      <c r="G89" s="16"/>
      <c r="H89" s="17">
        <v>21</v>
      </c>
      <c r="I89" s="18">
        <f t="shared" si="13"/>
        <v>0</v>
      </c>
      <c r="J89" s="17"/>
      <c r="K89" s="18"/>
      <c r="L89" s="16"/>
      <c r="M89" s="17"/>
      <c r="N89" s="18">
        <f t="shared" si="14"/>
        <v>0</v>
      </c>
      <c r="O89" s="19"/>
      <c r="P89" s="18">
        <v>0</v>
      </c>
      <c r="Q89" s="16"/>
      <c r="R89" s="17"/>
      <c r="S89" s="18">
        <v>0</v>
      </c>
      <c r="T89" s="19"/>
      <c r="U89" s="18">
        <v>0</v>
      </c>
      <c r="V89" s="16"/>
      <c r="W89" s="17"/>
      <c r="X89" s="18">
        <f t="shared" si="15"/>
        <v>0</v>
      </c>
      <c r="Y89" s="19"/>
      <c r="Z89" s="19"/>
      <c r="AA89" s="18">
        <f t="shared" si="16"/>
        <v>0</v>
      </c>
      <c r="AB89" s="20">
        <f t="shared" si="17"/>
        <v>0</v>
      </c>
      <c r="AC89" s="5"/>
      <c r="AD89" s="8"/>
      <c r="AF89" s="6"/>
      <c r="AG89" s="7"/>
      <c r="AJ89" s="33"/>
      <c r="AK89" s="35"/>
      <c r="AL89" s="38"/>
    </row>
    <row r="90" spans="1:38" ht="17.25" customHeight="1">
      <c r="A90" s="25"/>
      <c r="B90" s="26"/>
      <c r="C90" s="14"/>
      <c r="D90" s="31"/>
      <c r="E90" s="14"/>
      <c r="F90" s="15" t="str">
        <f t="shared" si="12"/>
        <v xml:space="preserve">S/F  </v>
      </c>
      <c r="G90" s="16"/>
      <c r="H90" s="17">
        <v>21</v>
      </c>
      <c r="I90" s="18">
        <f t="shared" si="13"/>
        <v>0</v>
      </c>
      <c r="J90" s="17"/>
      <c r="K90" s="18"/>
      <c r="L90" s="16"/>
      <c r="M90" s="17"/>
      <c r="N90" s="18">
        <f t="shared" si="14"/>
        <v>0</v>
      </c>
      <c r="O90" s="19"/>
      <c r="P90" s="18">
        <v>0</v>
      </c>
      <c r="Q90" s="16"/>
      <c r="R90" s="17"/>
      <c r="S90" s="18">
        <v>0</v>
      </c>
      <c r="T90" s="19"/>
      <c r="U90" s="18">
        <v>0</v>
      </c>
      <c r="V90" s="16"/>
      <c r="W90" s="17"/>
      <c r="X90" s="18">
        <f t="shared" si="15"/>
        <v>0</v>
      </c>
      <c r="Y90" s="19"/>
      <c r="Z90" s="19"/>
      <c r="AA90" s="18">
        <f t="shared" si="16"/>
        <v>0</v>
      </c>
      <c r="AB90" s="20">
        <f t="shared" si="17"/>
        <v>0</v>
      </c>
      <c r="AC90" s="5"/>
      <c r="AD90" s="8"/>
      <c r="AF90" s="6"/>
      <c r="AG90" s="7"/>
      <c r="AJ90" s="33"/>
      <c r="AK90" s="35"/>
      <c r="AL90" s="38"/>
    </row>
    <row r="91" spans="1:38" ht="17.25" customHeight="1">
      <c r="A91" s="25"/>
      <c r="B91" s="26"/>
      <c r="C91" s="14"/>
      <c r="D91" s="31"/>
      <c r="E91" s="14"/>
      <c r="F91" s="15" t="str">
        <f t="shared" si="12"/>
        <v xml:space="preserve">S/F  </v>
      </c>
      <c r="G91" s="16"/>
      <c r="H91" s="17">
        <v>21</v>
      </c>
      <c r="I91" s="18">
        <f t="shared" si="13"/>
        <v>0</v>
      </c>
      <c r="J91" s="17"/>
      <c r="K91" s="18"/>
      <c r="L91" s="16"/>
      <c r="M91" s="17"/>
      <c r="N91" s="18">
        <f t="shared" si="14"/>
        <v>0</v>
      </c>
      <c r="O91" s="19"/>
      <c r="P91" s="18">
        <v>0</v>
      </c>
      <c r="Q91" s="16"/>
      <c r="R91" s="17"/>
      <c r="S91" s="18">
        <v>0</v>
      </c>
      <c r="T91" s="19"/>
      <c r="U91" s="18">
        <v>0</v>
      </c>
      <c r="V91" s="16"/>
      <c r="W91" s="17"/>
      <c r="X91" s="18">
        <f t="shared" si="15"/>
        <v>0</v>
      </c>
      <c r="Y91" s="19"/>
      <c r="Z91" s="19"/>
      <c r="AA91" s="18">
        <f t="shared" si="16"/>
        <v>0</v>
      </c>
      <c r="AB91" s="20">
        <f t="shared" si="17"/>
        <v>0</v>
      </c>
      <c r="AC91" s="5"/>
      <c r="AD91" s="8"/>
      <c r="AF91" s="6"/>
      <c r="AG91" s="7"/>
      <c r="AJ91" s="33"/>
      <c r="AK91" s="35"/>
      <c r="AL91" s="38"/>
    </row>
    <row r="92" spans="1:38" ht="17.25" customHeight="1">
      <c r="A92" s="25"/>
      <c r="B92" s="26"/>
      <c r="C92" s="14"/>
      <c r="D92" s="31"/>
      <c r="E92" s="14"/>
      <c r="F92" s="15" t="str">
        <f t="shared" si="12"/>
        <v xml:space="preserve">S/F  </v>
      </c>
      <c r="G92" s="16"/>
      <c r="H92" s="17">
        <v>21</v>
      </c>
      <c r="I92" s="18">
        <f t="shared" si="13"/>
        <v>0</v>
      </c>
      <c r="J92" s="17"/>
      <c r="K92" s="18"/>
      <c r="L92" s="16"/>
      <c r="M92" s="17"/>
      <c r="N92" s="18">
        <f t="shared" si="14"/>
        <v>0</v>
      </c>
      <c r="O92" s="19"/>
      <c r="P92" s="18">
        <v>0</v>
      </c>
      <c r="Q92" s="16"/>
      <c r="R92" s="17"/>
      <c r="S92" s="18">
        <v>0</v>
      </c>
      <c r="T92" s="19"/>
      <c r="U92" s="18">
        <v>0</v>
      </c>
      <c r="V92" s="16"/>
      <c r="W92" s="17"/>
      <c r="X92" s="18">
        <f t="shared" si="15"/>
        <v>0</v>
      </c>
      <c r="Y92" s="19"/>
      <c r="Z92" s="19"/>
      <c r="AA92" s="18">
        <f t="shared" si="16"/>
        <v>0</v>
      </c>
      <c r="AB92" s="20">
        <f t="shared" si="17"/>
        <v>0</v>
      </c>
      <c r="AC92" s="5"/>
      <c r="AD92" s="8"/>
      <c r="AF92" s="6"/>
      <c r="AG92" s="7"/>
      <c r="AJ92" s="33"/>
      <c r="AK92" s="35"/>
      <c r="AL92" s="38"/>
    </row>
    <row r="93" spans="1:38" ht="17.25" customHeight="1">
      <c r="A93" s="25"/>
      <c r="B93" s="26"/>
      <c r="C93" s="14"/>
      <c r="D93" s="31"/>
      <c r="E93" s="14"/>
      <c r="F93" s="15" t="str">
        <f t="shared" si="12"/>
        <v xml:space="preserve">S/F  </v>
      </c>
      <c r="G93" s="16"/>
      <c r="H93" s="17">
        <v>21</v>
      </c>
      <c r="I93" s="18">
        <f t="shared" si="13"/>
        <v>0</v>
      </c>
      <c r="J93" s="17"/>
      <c r="K93" s="18"/>
      <c r="L93" s="16"/>
      <c r="M93" s="17"/>
      <c r="N93" s="18">
        <f t="shared" si="14"/>
        <v>0</v>
      </c>
      <c r="O93" s="19"/>
      <c r="P93" s="18">
        <v>0</v>
      </c>
      <c r="Q93" s="16"/>
      <c r="R93" s="17"/>
      <c r="S93" s="18">
        <v>0</v>
      </c>
      <c r="T93" s="19"/>
      <c r="U93" s="18">
        <v>0</v>
      </c>
      <c r="V93" s="16"/>
      <c r="W93" s="17"/>
      <c r="X93" s="18">
        <f t="shared" si="15"/>
        <v>0</v>
      </c>
      <c r="Y93" s="19"/>
      <c r="Z93" s="19"/>
      <c r="AA93" s="18">
        <f t="shared" si="16"/>
        <v>0</v>
      </c>
      <c r="AB93" s="20">
        <f t="shared" si="17"/>
        <v>0</v>
      </c>
      <c r="AC93" s="5"/>
      <c r="AD93" s="8"/>
      <c r="AF93" s="6"/>
      <c r="AG93" s="7"/>
      <c r="AJ93" s="33"/>
      <c r="AK93" s="35"/>
      <c r="AL93" s="38"/>
    </row>
    <row r="94" spans="1:38" ht="17.25" customHeight="1">
      <c r="A94" s="25"/>
      <c r="B94" s="26"/>
      <c r="C94" s="14"/>
      <c r="D94" s="31"/>
      <c r="E94" s="14"/>
      <c r="F94" s="15" t="str">
        <f t="shared" si="12"/>
        <v xml:space="preserve">S/F  </v>
      </c>
      <c r="G94" s="16"/>
      <c r="H94" s="17">
        <v>21</v>
      </c>
      <c r="I94" s="18">
        <f t="shared" si="13"/>
        <v>0</v>
      </c>
      <c r="J94" s="17"/>
      <c r="K94" s="18"/>
      <c r="L94" s="16"/>
      <c r="M94" s="17"/>
      <c r="N94" s="18">
        <f t="shared" si="14"/>
        <v>0</v>
      </c>
      <c r="O94" s="19"/>
      <c r="P94" s="18">
        <v>0</v>
      </c>
      <c r="Q94" s="16"/>
      <c r="R94" s="17"/>
      <c r="S94" s="18">
        <v>0</v>
      </c>
      <c r="T94" s="19"/>
      <c r="U94" s="18">
        <v>0</v>
      </c>
      <c r="V94" s="16"/>
      <c r="W94" s="17"/>
      <c r="X94" s="18">
        <f t="shared" si="15"/>
        <v>0</v>
      </c>
      <c r="Y94" s="19"/>
      <c r="Z94" s="19"/>
      <c r="AA94" s="18">
        <f t="shared" si="16"/>
        <v>0</v>
      </c>
      <c r="AB94" s="20">
        <f t="shared" si="17"/>
        <v>0</v>
      </c>
      <c r="AC94" s="5"/>
      <c r="AD94" s="8"/>
      <c r="AF94" s="6"/>
      <c r="AG94" s="7"/>
      <c r="AJ94" s="33"/>
      <c r="AK94" s="35"/>
      <c r="AL94" s="38"/>
    </row>
    <row r="95" spans="1:38" ht="17.25" customHeight="1">
      <c r="A95" s="25"/>
      <c r="B95" s="26"/>
      <c r="C95" s="14"/>
      <c r="D95" s="31"/>
      <c r="E95" s="14"/>
      <c r="F95" s="15" t="str">
        <f t="shared" si="12"/>
        <v xml:space="preserve">S/F  </v>
      </c>
      <c r="G95" s="16"/>
      <c r="H95" s="17">
        <v>21</v>
      </c>
      <c r="I95" s="18">
        <f t="shared" si="13"/>
        <v>0</v>
      </c>
      <c r="J95" s="17"/>
      <c r="K95" s="18"/>
      <c r="L95" s="16"/>
      <c r="M95" s="17"/>
      <c r="N95" s="18">
        <f t="shared" si="14"/>
        <v>0</v>
      </c>
      <c r="O95" s="19"/>
      <c r="P95" s="18">
        <v>0</v>
      </c>
      <c r="Q95" s="16"/>
      <c r="R95" s="17"/>
      <c r="S95" s="18">
        <v>0</v>
      </c>
      <c r="T95" s="19"/>
      <c r="U95" s="18">
        <v>0</v>
      </c>
      <c r="V95" s="16"/>
      <c r="W95" s="17"/>
      <c r="X95" s="18">
        <f t="shared" si="15"/>
        <v>0</v>
      </c>
      <c r="Y95" s="19"/>
      <c r="Z95" s="19"/>
      <c r="AA95" s="18">
        <f t="shared" si="16"/>
        <v>0</v>
      </c>
      <c r="AB95" s="20">
        <f t="shared" si="17"/>
        <v>0</v>
      </c>
      <c r="AC95" s="5"/>
      <c r="AD95" s="8"/>
      <c r="AF95" s="6"/>
      <c r="AG95" s="7"/>
      <c r="AJ95" s="33"/>
      <c r="AK95" s="35"/>
      <c r="AL95" s="38"/>
    </row>
    <row r="96" spans="1:38" ht="17.25" customHeight="1">
      <c r="A96" s="25"/>
      <c r="B96" s="26"/>
      <c r="C96" s="14"/>
      <c r="D96" s="31"/>
      <c r="E96" s="14"/>
      <c r="F96" s="15" t="str">
        <f t="shared" si="12"/>
        <v xml:space="preserve">S/F  </v>
      </c>
      <c r="G96" s="16"/>
      <c r="H96" s="17">
        <v>21</v>
      </c>
      <c r="I96" s="18">
        <f t="shared" si="13"/>
        <v>0</v>
      </c>
      <c r="J96" s="17"/>
      <c r="K96" s="18"/>
      <c r="L96" s="16"/>
      <c r="M96" s="17"/>
      <c r="N96" s="18">
        <f t="shared" si="14"/>
        <v>0</v>
      </c>
      <c r="O96" s="19"/>
      <c r="P96" s="18">
        <v>0</v>
      </c>
      <c r="Q96" s="16"/>
      <c r="R96" s="17"/>
      <c r="S96" s="18">
        <v>0</v>
      </c>
      <c r="T96" s="19"/>
      <c r="U96" s="18">
        <v>0</v>
      </c>
      <c r="V96" s="16"/>
      <c r="W96" s="17"/>
      <c r="X96" s="18">
        <f t="shared" si="15"/>
        <v>0</v>
      </c>
      <c r="Y96" s="19"/>
      <c r="Z96" s="19"/>
      <c r="AA96" s="18">
        <f t="shared" si="16"/>
        <v>0</v>
      </c>
      <c r="AB96" s="20">
        <f t="shared" si="17"/>
        <v>0</v>
      </c>
      <c r="AC96" s="5"/>
      <c r="AD96" s="8"/>
      <c r="AF96" s="6"/>
      <c r="AG96" s="7"/>
      <c r="AJ96" s="33"/>
      <c r="AK96" s="35"/>
      <c r="AL96" s="38"/>
    </row>
    <row r="97" spans="1:38" ht="17.25" customHeight="1">
      <c r="A97" s="25"/>
      <c r="B97" s="26"/>
      <c r="C97" s="14"/>
      <c r="D97" s="31"/>
      <c r="E97" s="14"/>
      <c r="F97" s="15" t="str">
        <f t="shared" si="12"/>
        <v xml:space="preserve">S/F  </v>
      </c>
      <c r="G97" s="16"/>
      <c r="H97" s="17">
        <v>21</v>
      </c>
      <c r="I97" s="18">
        <f t="shared" si="13"/>
        <v>0</v>
      </c>
      <c r="J97" s="17"/>
      <c r="K97" s="18"/>
      <c r="L97" s="16"/>
      <c r="M97" s="17"/>
      <c r="N97" s="18">
        <f t="shared" si="14"/>
        <v>0</v>
      </c>
      <c r="O97" s="19"/>
      <c r="P97" s="18">
        <v>0</v>
      </c>
      <c r="Q97" s="16"/>
      <c r="R97" s="17"/>
      <c r="S97" s="18">
        <v>0</v>
      </c>
      <c r="T97" s="19"/>
      <c r="U97" s="18">
        <v>0</v>
      </c>
      <c r="V97" s="16"/>
      <c r="W97" s="17"/>
      <c r="X97" s="18">
        <f t="shared" si="15"/>
        <v>0</v>
      </c>
      <c r="Y97" s="19"/>
      <c r="Z97" s="19"/>
      <c r="AA97" s="18">
        <f t="shared" si="16"/>
        <v>0</v>
      </c>
      <c r="AB97" s="20">
        <f t="shared" si="17"/>
        <v>0</v>
      </c>
      <c r="AC97" s="5"/>
      <c r="AD97" s="8"/>
      <c r="AF97" s="6"/>
      <c r="AG97" s="7"/>
      <c r="AJ97" s="33"/>
      <c r="AK97" s="35"/>
      <c r="AL97" s="38"/>
    </row>
    <row r="98" spans="1:38" ht="17.25" customHeight="1">
      <c r="A98" s="25"/>
      <c r="B98" s="26"/>
      <c r="C98" s="14"/>
      <c r="D98" s="31"/>
      <c r="E98" s="14"/>
      <c r="F98" s="15" t="str">
        <f t="shared" ref="F98:F129" si="18">"S/F "&amp;B98&amp;" "&amp;E98</f>
        <v xml:space="preserve">S/F  </v>
      </c>
      <c r="G98" s="16"/>
      <c r="H98" s="17">
        <v>21</v>
      </c>
      <c r="I98" s="18">
        <f t="shared" ref="I98:I129" si="19">+IF(G98&lt;&gt;0,G98*H98/100,0)</f>
        <v>0</v>
      </c>
      <c r="J98" s="17"/>
      <c r="K98" s="18"/>
      <c r="L98" s="16"/>
      <c r="M98" s="17"/>
      <c r="N98" s="18">
        <f t="shared" ref="N98:N129" si="20">+IF(L98&lt;&gt;0,L98*M98/100,0)</f>
        <v>0</v>
      </c>
      <c r="O98" s="19"/>
      <c r="P98" s="18">
        <v>0</v>
      </c>
      <c r="Q98" s="16"/>
      <c r="R98" s="17"/>
      <c r="S98" s="18">
        <v>0</v>
      </c>
      <c r="T98" s="19"/>
      <c r="U98" s="18">
        <v>0</v>
      </c>
      <c r="V98" s="16"/>
      <c r="W98" s="17"/>
      <c r="X98" s="18">
        <f t="shared" ref="X98:X129" si="21">+IF(W98&lt;&gt;0,V98*W98/100,0)</f>
        <v>0</v>
      </c>
      <c r="Y98" s="19"/>
      <c r="Z98" s="19"/>
      <c r="AA98" s="18">
        <f t="shared" ref="AA98:AA129" si="22">+IF(Z98&lt;&gt;0,Y98*Z98/100,0)</f>
        <v>0</v>
      </c>
      <c r="AB98" s="20">
        <f t="shared" ref="AB98:AB129" si="23">+G98+I98+K98+L98+N98+P98+Q98+S98+U98-X98-AA98</f>
        <v>0</v>
      </c>
      <c r="AC98" s="5"/>
      <c r="AD98" s="8"/>
      <c r="AF98" s="6"/>
      <c r="AG98" s="7"/>
      <c r="AJ98" s="33"/>
      <c r="AK98" s="35"/>
      <c r="AL98" s="38"/>
    </row>
    <row r="99" spans="1:38" ht="17.25" customHeight="1">
      <c r="A99" s="25"/>
      <c r="B99" s="26"/>
      <c r="C99" s="14"/>
      <c r="D99" s="31"/>
      <c r="E99" s="14"/>
      <c r="F99" s="15" t="str">
        <f t="shared" si="18"/>
        <v xml:space="preserve">S/F  </v>
      </c>
      <c r="G99" s="16"/>
      <c r="H99" s="17">
        <v>21</v>
      </c>
      <c r="I99" s="18">
        <f t="shared" si="19"/>
        <v>0</v>
      </c>
      <c r="J99" s="17"/>
      <c r="K99" s="18"/>
      <c r="L99" s="16"/>
      <c r="M99" s="17"/>
      <c r="N99" s="18">
        <f t="shared" si="20"/>
        <v>0</v>
      </c>
      <c r="O99" s="19"/>
      <c r="P99" s="18">
        <v>0</v>
      </c>
      <c r="Q99" s="16"/>
      <c r="R99" s="17"/>
      <c r="S99" s="18">
        <v>0</v>
      </c>
      <c r="T99" s="19"/>
      <c r="U99" s="18">
        <v>0</v>
      </c>
      <c r="V99" s="16"/>
      <c r="W99" s="17"/>
      <c r="X99" s="18">
        <f t="shared" si="21"/>
        <v>0</v>
      </c>
      <c r="Y99" s="19"/>
      <c r="Z99" s="19"/>
      <c r="AA99" s="18">
        <f t="shared" si="22"/>
        <v>0</v>
      </c>
      <c r="AB99" s="20">
        <f t="shared" si="23"/>
        <v>0</v>
      </c>
      <c r="AC99" s="5"/>
      <c r="AD99" s="8"/>
      <c r="AF99" s="6"/>
      <c r="AG99" s="7"/>
      <c r="AJ99" s="33"/>
      <c r="AK99" s="35"/>
      <c r="AL99" s="38"/>
    </row>
    <row r="100" spans="1:38" ht="17.25" customHeight="1">
      <c r="A100" s="25"/>
      <c r="B100" s="26"/>
      <c r="C100" s="14"/>
      <c r="D100" s="31"/>
      <c r="E100" s="14"/>
      <c r="F100" s="15" t="str">
        <f t="shared" si="18"/>
        <v xml:space="preserve">S/F  </v>
      </c>
      <c r="G100" s="16"/>
      <c r="H100" s="17">
        <v>21</v>
      </c>
      <c r="I100" s="18">
        <f t="shared" si="19"/>
        <v>0</v>
      </c>
      <c r="J100" s="17"/>
      <c r="K100" s="18"/>
      <c r="L100" s="16"/>
      <c r="M100" s="17"/>
      <c r="N100" s="18">
        <f t="shared" si="20"/>
        <v>0</v>
      </c>
      <c r="O100" s="19"/>
      <c r="P100" s="18">
        <v>0</v>
      </c>
      <c r="Q100" s="16"/>
      <c r="R100" s="17"/>
      <c r="S100" s="18">
        <v>0</v>
      </c>
      <c r="T100" s="19"/>
      <c r="U100" s="18">
        <v>0</v>
      </c>
      <c r="V100" s="16"/>
      <c r="W100" s="17"/>
      <c r="X100" s="18">
        <f t="shared" si="21"/>
        <v>0</v>
      </c>
      <c r="Y100" s="19"/>
      <c r="Z100" s="19"/>
      <c r="AA100" s="18">
        <f t="shared" si="22"/>
        <v>0</v>
      </c>
      <c r="AB100" s="20">
        <f t="shared" si="23"/>
        <v>0</v>
      </c>
      <c r="AC100" s="5"/>
      <c r="AD100" s="8"/>
      <c r="AF100" s="6"/>
      <c r="AG100" s="7"/>
      <c r="AJ100" s="33"/>
      <c r="AK100" s="35"/>
      <c r="AL100" s="38"/>
    </row>
    <row r="101" spans="1:38" ht="17.25" customHeight="1">
      <c r="A101" s="25"/>
      <c r="B101" s="26"/>
      <c r="C101" s="14"/>
      <c r="D101" s="31"/>
      <c r="E101" s="14"/>
      <c r="F101" s="15" t="str">
        <f t="shared" si="18"/>
        <v xml:space="preserve">S/F  </v>
      </c>
      <c r="G101" s="16"/>
      <c r="H101" s="17">
        <v>21</v>
      </c>
      <c r="I101" s="18">
        <f t="shared" si="19"/>
        <v>0</v>
      </c>
      <c r="J101" s="17"/>
      <c r="K101" s="18"/>
      <c r="L101" s="16"/>
      <c r="M101" s="17"/>
      <c r="N101" s="18">
        <f t="shared" si="20"/>
        <v>0</v>
      </c>
      <c r="O101" s="19"/>
      <c r="P101" s="18">
        <v>0</v>
      </c>
      <c r="Q101" s="16"/>
      <c r="R101" s="17"/>
      <c r="S101" s="18">
        <v>0</v>
      </c>
      <c r="T101" s="19"/>
      <c r="U101" s="18">
        <v>0</v>
      </c>
      <c r="V101" s="16"/>
      <c r="W101" s="17"/>
      <c r="X101" s="18">
        <f t="shared" si="21"/>
        <v>0</v>
      </c>
      <c r="Y101" s="19"/>
      <c r="Z101" s="19"/>
      <c r="AA101" s="18">
        <f t="shared" si="22"/>
        <v>0</v>
      </c>
      <c r="AB101" s="20">
        <f t="shared" si="23"/>
        <v>0</v>
      </c>
      <c r="AC101" s="5"/>
      <c r="AD101" s="8"/>
      <c r="AF101" s="6"/>
      <c r="AG101" s="7"/>
      <c r="AJ101" s="33"/>
      <c r="AK101" s="35"/>
      <c r="AL101" s="38"/>
    </row>
    <row r="102" spans="1:38" ht="17.25" customHeight="1">
      <c r="A102" s="25"/>
      <c r="B102" s="26"/>
      <c r="C102" s="14"/>
      <c r="D102" s="31"/>
      <c r="E102" s="14"/>
      <c r="F102" s="15" t="str">
        <f t="shared" si="18"/>
        <v xml:space="preserve">S/F  </v>
      </c>
      <c r="G102" s="16"/>
      <c r="H102" s="17">
        <v>21</v>
      </c>
      <c r="I102" s="18">
        <f t="shared" si="19"/>
        <v>0</v>
      </c>
      <c r="J102" s="17"/>
      <c r="K102" s="18"/>
      <c r="L102" s="16"/>
      <c r="M102" s="17"/>
      <c r="N102" s="18">
        <f t="shared" si="20"/>
        <v>0</v>
      </c>
      <c r="O102" s="19"/>
      <c r="P102" s="18">
        <v>0</v>
      </c>
      <c r="Q102" s="16"/>
      <c r="R102" s="17"/>
      <c r="S102" s="18">
        <v>0</v>
      </c>
      <c r="T102" s="19"/>
      <c r="U102" s="18">
        <v>0</v>
      </c>
      <c r="V102" s="16"/>
      <c r="W102" s="17"/>
      <c r="X102" s="18">
        <f t="shared" si="21"/>
        <v>0</v>
      </c>
      <c r="Y102" s="19"/>
      <c r="Z102" s="19"/>
      <c r="AA102" s="18">
        <f t="shared" si="22"/>
        <v>0</v>
      </c>
      <c r="AB102" s="20">
        <f t="shared" si="23"/>
        <v>0</v>
      </c>
      <c r="AC102" s="5"/>
      <c r="AD102" s="8"/>
      <c r="AF102" s="6"/>
      <c r="AG102" s="7"/>
      <c r="AJ102" s="33"/>
      <c r="AK102" s="35"/>
      <c r="AL102" s="38"/>
    </row>
    <row r="103" spans="1:38" ht="17.25" customHeight="1">
      <c r="A103" s="25"/>
      <c r="B103" s="26"/>
      <c r="C103" s="14"/>
      <c r="D103" s="31"/>
      <c r="E103" s="14"/>
      <c r="F103" s="15" t="str">
        <f t="shared" si="18"/>
        <v xml:space="preserve">S/F  </v>
      </c>
      <c r="G103" s="16"/>
      <c r="H103" s="17">
        <v>21</v>
      </c>
      <c r="I103" s="18">
        <f t="shared" si="19"/>
        <v>0</v>
      </c>
      <c r="J103" s="17"/>
      <c r="K103" s="18"/>
      <c r="L103" s="16"/>
      <c r="M103" s="17"/>
      <c r="N103" s="18">
        <f t="shared" si="20"/>
        <v>0</v>
      </c>
      <c r="O103" s="19"/>
      <c r="P103" s="18">
        <v>0</v>
      </c>
      <c r="Q103" s="16"/>
      <c r="R103" s="17"/>
      <c r="S103" s="18">
        <v>0</v>
      </c>
      <c r="T103" s="19"/>
      <c r="U103" s="18">
        <v>0</v>
      </c>
      <c r="V103" s="16"/>
      <c r="W103" s="17"/>
      <c r="X103" s="18">
        <f t="shared" si="21"/>
        <v>0</v>
      </c>
      <c r="Y103" s="19"/>
      <c r="Z103" s="19"/>
      <c r="AA103" s="18">
        <f t="shared" si="22"/>
        <v>0</v>
      </c>
      <c r="AB103" s="20">
        <f t="shared" si="23"/>
        <v>0</v>
      </c>
      <c r="AC103" s="5"/>
      <c r="AD103" s="8"/>
      <c r="AF103" s="6"/>
      <c r="AG103" s="7"/>
      <c r="AJ103" s="33"/>
      <c r="AK103" s="35"/>
      <c r="AL103" s="38"/>
    </row>
    <row r="104" spans="1:38" ht="17.25" customHeight="1">
      <c r="A104" s="25"/>
      <c r="B104" s="26"/>
      <c r="C104" s="14"/>
      <c r="D104" s="31"/>
      <c r="E104" s="14"/>
      <c r="F104" s="15" t="str">
        <f t="shared" si="18"/>
        <v xml:space="preserve">S/F  </v>
      </c>
      <c r="G104" s="16"/>
      <c r="H104" s="17">
        <v>21</v>
      </c>
      <c r="I104" s="18">
        <f t="shared" si="19"/>
        <v>0</v>
      </c>
      <c r="J104" s="17"/>
      <c r="K104" s="18"/>
      <c r="L104" s="16"/>
      <c r="M104" s="17"/>
      <c r="N104" s="18">
        <f t="shared" si="20"/>
        <v>0</v>
      </c>
      <c r="O104" s="19"/>
      <c r="P104" s="18">
        <v>0</v>
      </c>
      <c r="Q104" s="16"/>
      <c r="R104" s="17"/>
      <c r="S104" s="18">
        <v>0</v>
      </c>
      <c r="T104" s="19"/>
      <c r="U104" s="18">
        <v>0</v>
      </c>
      <c r="V104" s="16"/>
      <c r="W104" s="17"/>
      <c r="X104" s="18">
        <f t="shared" si="21"/>
        <v>0</v>
      </c>
      <c r="Y104" s="19"/>
      <c r="Z104" s="19"/>
      <c r="AA104" s="18">
        <f t="shared" si="22"/>
        <v>0</v>
      </c>
      <c r="AB104" s="20">
        <f t="shared" si="23"/>
        <v>0</v>
      </c>
      <c r="AC104" s="5"/>
      <c r="AD104" s="8"/>
      <c r="AF104" s="6"/>
      <c r="AG104" s="7"/>
      <c r="AJ104" s="33"/>
      <c r="AK104" s="35"/>
      <c r="AL104" s="38"/>
    </row>
    <row r="105" spans="1:38" ht="17.25" customHeight="1">
      <c r="A105" s="25"/>
      <c r="B105" s="26"/>
      <c r="C105" s="14"/>
      <c r="D105" s="31"/>
      <c r="E105" s="14"/>
      <c r="F105" s="15" t="str">
        <f t="shared" si="18"/>
        <v xml:space="preserve">S/F  </v>
      </c>
      <c r="G105" s="16"/>
      <c r="H105" s="17">
        <v>21</v>
      </c>
      <c r="I105" s="18">
        <f t="shared" si="19"/>
        <v>0</v>
      </c>
      <c r="J105" s="17"/>
      <c r="K105" s="18"/>
      <c r="L105" s="16"/>
      <c r="M105" s="17"/>
      <c r="N105" s="18">
        <f t="shared" si="20"/>
        <v>0</v>
      </c>
      <c r="O105" s="19"/>
      <c r="P105" s="18">
        <v>0</v>
      </c>
      <c r="Q105" s="16"/>
      <c r="R105" s="17"/>
      <c r="S105" s="18">
        <v>0</v>
      </c>
      <c r="T105" s="19"/>
      <c r="U105" s="18">
        <v>0</v>
      </c>
      <c r="V105" s="16"/>
      <c r="W105" s="17"/>
      <c r="X105" s="18">
        <f t="shared" si="21"/>
        <v>0</v>
      </c>
      <c r="Y105" s="19"/>
      <c r="Z105" s="19"/>
      <c r="AA105" s="18">
        <f t="shared" si="22"/>
        <v>0</v>
      </c>
      <c r="AB105" s="20">
        <f t="shared" si="23"/>
        <v>0</v>
      </c>
      <c r="AC105" s="5"/>
      <c r="AD105" s="8"/>
      <c r="AF105" s="6"/>
      <c r="AG105" s="7"/>
      <c r="AJ105" s="33"/>
      <c r="AK105" s="35"/>
      <c r="AL105" s="38"/>
    </row>
    <row r="106" spans="1:38" ht="17.25" customHeight="1">
      <c r="A106" s="25"/>
      <c r="B106" s="26"/>
      <c r="C106" s="14"/>
      <c r="D106" s="31"/>
      <c r="E106" s="14"/>
      <c r="F106" s="15" t="str">
        <f t="shared" si="18"/>
        <v xml:space="preserve">S/F  </v>
      </c>
      <c r="G106" s="16"/>
      <c r="H106" s="17">
        <v>21</v>
      </c>
      <c r="I106" s="18">
        <f t="shared" si="19"/>
        <v>0</v>
      </c>
      <c r="J106" s="17"/>
      <c r="K106" s="18"/>
      <c r="L106" s="16"/>
      <c r="M106" s="17"/>
      <c r="N106" s="18">
        <f t="shared" si="20"/>
        <v>0</v>
      </c>
      <c r="O106" s="19"/>
      <c r="P106" s="18">
        <v>0</v>
      </c>
      <c r="Q106" s="16"/>
      <c r="R106" s="17"/>
      <c r="S106" s="18">
        <v>0</v>
      </c>
      <c r="T106" s="19"/>
      <c r="U106" s="18">
        <v>0</v>
      </c>
      <c r="V106" s="16"/>
      <c r="W106" s="17"/>
      <c r="X106" s="18">
        <f t="shared" si="21"/>
        <v>0</v>
      </c>
      <c r="Y106" s="19"/>
      <c r="Z106" s="19"/>
      <c r="AA106" s="18">
        <f t="shared" si="22"/>
        <v>0</v>
      </c>
      <c r="AB106" s="20">
        <f t="shared" si="23"/>
        <v>0</v>
      </c>
      <c r="AC106" s="5"/>
      <c r="AD106" s="8"/>
      <c r="AF106" s="6"/>
      <c r="AG106" s="7"/>
      <c r="AJ106" s="33"/>
      <c r="AK106" s="35"/>
      <c r="AL106" s="38"/>
    </row>
    <row r="107" spans="1:38" ht="17.25" customHeight="1">
      <c r="A107" s="25"/>
      <c r="B107" s="26"/>
      <c r="C107" s="14"/>
      <c r="D107" s="31"/>
      <c r="E107" s="14"/>
      <c r="F107" s="15" t="str">
        <f t="shared" si="18"/>
        <v xml:space="preserve">S/F  </v>
      </c>
      <c r="G107" s="16"/>
      <c r="H107" s="17">
        <v>21</v>
      </c>
      <c r="I107" s="18">
        <f t="shared" si="19"/>
        <v>0</v>
      </c>
      <c r="J107" s="17"/>
      <c r="K107" s="18"/>
      <c r="L107" s="16"/>
      <c r="M107" s="17"/>
      <c r="N107" s="18">
        <f t="shared" si="20"/>
        <v>0</v>
      </c>
      <c r="O107" s="19"/>
      <c r="P107" s="18">
        <v>0</v>
      </c>
      <c r="Q107" s="16"/>
      <c r="R107" s="17"/>
      <c r="S107" s="18">
        <v>0</v>
      </c>
      <c r="T107" s="19"/>
      <c r="U107" s="18">
        <v>0</v>
      </c>
      <c r="V107" s="16"/>
      <c r="W107" s="17"/>
      <c r="X107" s="18">
        <f t="shared" si="21"/>
        <v>0</v>
      </c>
      <c r="Y107" s="19"/>
      <c r="Z107" s="19"/>
      <c r="AA107" s="18">
        <f t="shared" si="22"/>
        <v>0</v>
      </c>
      <c r="AB107" s="20">
        <f t="shared" si="23"/>
        <v>0</v>
      </c>
      <c r="AC107" s="5"/>
      <c r="AD107" s="8"/>
      <c r="AF107" s="6"/>
      <c r="AG107" s="7"/>
      <c r="AJ107" s="33"/>
      <c r="AK107" s="35"/>
      <c r="AL107" s="38"/>
    </row>
    <row r="108" spans="1:38" ht="17.25" customHeight="1">
      <c r="A108" s="25"/>
      <c r="B108" s="26"/>
      <c r="C108" s="14"/>
      <c r="D108" s="31"/>
      <c r="E108" s="14"/>
      <c r="F108" s="15" t="str">
        <f t="shared" si="18"/>
        <v xml:space="preserve">S/F  </v>
      </c>
      <c r="G108" s="16"/>
      <c r="H108" s="17">
        <v>21</v>
      </c>
      <c r="I108" s="18">
        <f t="shared" si="19"/>
        <v>0</v>
      </c>
      <c r="J108" s="17"/>
      <c r="K108" s="18"/>
      <c r="L108" s="16"/>
      <c r="M108" s="17"/>
      <c r="N108" s="18">
        <f t="shared" si="20"/>
        <v>0</v>
      </c>
      <c r="O108" s="19"/>
      <c r="P108" s="18">
        <v>0</v>
      </c>
      <c r="Q108" s="16"/>
      <c r="R108" s="17"/>
      <c r="S108" s="18">
        <v>0</v>
      </c>
      <c r="T108" s="19"/>
      <c r="U108" s="18">
        <v>0</v>
      </c>
      <c r="V108" s="16"/>
      <c r="W108" s="17"/>
      <c r="X108" s="18">
        <f t="shared" si="21"/>
        <v>0</v>
      </c>
      <c r="Y108" s="19"/>
      <c r="Z108" s="19"/>
      <c r="AA108" s="18">
        <f t="shared" si="22"/>
        <v>0</v>
      </c>
      <c r="AB108" s="20">
        <f t="shared" si="23"/>
        <v>0</v>
      </c>
      <c r="AC108" s="5"/>
      <c r="AD108" s="8"/>
      <c r="AF108" s="6"/>
      <c r="AG108" s="7"/>
      <c r="AJ108" s="33"/>
      <c r="AK108" s="35"/>
      <c r="AL108" s="38"/>
    </row>
    <row r="109" spans="1:38" ht="17.25" customHeight="1">
      <c r="A109" s="25"/>
      <c r="B109" s="26"/>
      <c r="C109" s="14"/>
      <c r="D109" s="31"/>
      <c r="E109" s="14"/>
      <c r="F109" s="15" t="str">
        <f t="shared" si="18"/>
        <v xml:space="preserve">S/F  </v>
      </c>
      <c r="G109" s="16"/>
      <c r="H109" s="17">
        <v>21</v>
      </c>
      <c r="I109" s="18">
        <f t="shared" si="19"/>
        <v>0</v>
      </c>
      <c r="J109" s="17"/>
      <c r="K109" s="18"/>
      <c r="L109" s="16"/>
      <c r="M109" s="17"/>
      <c r="N109" s="18">
        <f t="shared" si="20"/>
        <v>0</v>
      </c>
      <c r="O109" s="19"/>
      <c r="P109" s="18">
        <v>0</v>
      </c>
      <c r="Q109" s="16"/>
      <c r="R109" s="17"/>
      <c r="S109" s="18">
        <v>0</v>
      </c>
      <c r="T109" s="19"/>
      <c r="U109" s="18">
        <v>0</v>
      </c>
      <c r="V109" s="16"/>
      <c r="W109" s="17"/>
      <c r="X109" s="18">
        <f t="shared" si="21"/>
        <v>0</v>
      </c>
      <c r="Y109" s="19"/>
      <c r="Z109" s="19"/>
      <c r="AA109" s="18">
        <f t="shared" si="22"/>
        <v>0</v>
      </c>
      <c r="AB109" s="20">
        <f t="shared" si="23"/>
        <v>0</v>
      </c>
      <c r="AC109" s="5"/>
      <c r="AD109" s="8"/>
      <c r="AF109" s="6"/>
      <c r="AG109" s="7"/>
      <c r="AJ109" s="33"/>
      <c r="AK109" s="35"/>
      <c r="AL109" s="38"/>
    </row>
    <row r="110" spans="1:38" ht="17.25" customHeight="1">
      <c r="A110" s="25"/>
      <c r="B110" s="26"/>
      <c r="C110" s="14"/>
      <c r="D110" s="31"/>
      <c r="E110" s="14"/>
      <c r="F110" s="15" t="str">
        <f t="shared" si="18"/>
        <v xml:space="preserve">S/F  </v>
      </c>
      <c r="G110" s="16"/>
      <c r="H110" s="17">
        <v>21</v>
      </c>
      <c r="I110" s="18">
        <f t="shared" si="19"/>
        <v>0</v>
      </c>
      <c r="J110" s="17"/>
      <c r="K110" s="18"/>
      <c r="L110" s="16"/>
      <c r="M110" s="17"/>
      <c r="N110" s="18">
        <f t="shared" si="20"/>
        <v>0</v>
      </c>
      <c r="O110" s="19"/>
      <c r="P110" s="18">
        <v>0</v>
      </c>
      <c r="Q110" s="16"/>
      <c r="R110" s="17"/>
      <c r="S110" s="18">
        <v>0</v>
      </c>
      <c r="T110" s="19"/>
      <c r="U110" s="18">
        <v>0</v>
      </c>
      <c r="V110" s="16"/>
      <c r="W110" s="17"/>
      <c r="X110" s="18">
        <f t="shared" si="21"/>
        <v>0</v>
      </c>
      <c r="Y110" s="19"/>
      <c r="Z110" s="19"/>
      <c r="AA110" s="18">
        <f t="shared" si="22"/>
        <v>0</v>
      </c>
      <c r="AB110" s="20">
        <f t="shared" si="23"/>
        <v>0</v>
      </c>
      <c r="AC110" s="5"/>
      <c r="AD110" s="8"/>
      <c r="AF110" s="6"/>
      <c r="AG110" s="7"/>
      <c r="AJ110" s="33"/>
      <c r="AK110" s="35"/>
      <c r="AL110" s="38"/>
    </row>
    <row r="111" spans="1:38" ht="17.25" customHeight="1">
      <c r="A111" s="25"/>
      <c r="B111" s="26"/>
      <c r="C111" s="14"/>
      <c r="D111" s="31"/>
      <c r="E111" s="14"/>
      <c r="F111" s="15" t="str">
        <f t="shared" si="18"/>
        <v xml:space="preserve">S/F  </v>
      </c>
      <c r="G111" s="16"/>
      <c r="H111" s="17">
        <v>21</v>
      </c>
      <c r="I111" s="18">
        <f t="shared" si="19"/>
        <v>0</v>
      </c>
      <c r="J111" s="17"/>
      <c r="K111" s="18"/>
      <c r="L111" s="16"/>
      <c r="M111" s="17"/>
      <c r="N111" s="18">
        <f t="shared" si="20"/>
        <v>0</v>
      </c>
      <c r="O111" s="19"/>
      <c r="P111" s="18">
        <v>0</v>
      </c>
      <c r="Q111" s="16"/>
      <c r="R111" s="17"/>
      <c r="S111" s="18">
        <v>0</v>
      </c>
      <c r="T111" s="19"/>
      <c r="U111" s="18">
        <v>0</v>
      </c>
      <c r="V111" s="16"/>
      <c r="W111" s="17"/>
      <c r="X111" s="18">
        <f t="shared" si="21"/>
        <v>0</v>
      </c>
      <c r="Y111" s="19"/>
      <c r="Z111" s="19"/>
      <c r="AA111" s="18">
        <f t="shared" si="22"/>
        <v>0</v>
      </c>
      <c r="AB111" s="20">
        <f t="shared" si="23"/>
        <v>0</v>
      </c>
      <c r="AC111" s="5"/>
      <c r="AD111" s="8"/>
      <c r="AF111" s="6"/>
      <c r="AG111" s="7"/>
      <c r="AJ111" s="33"/>
      <c r="AK111" s="35"/>
      <c r="AL111" s="38"/>
    </row>
    <row r="112" spans="1:38" ht="17.25" customHeight="1">
      <c r="A112" s="25"/>
      <c r="B112" s="26"/>
      <c r="C112" s="14"/>
      <c r="D112" s="31"/>
      <c r="E112" s="14"/>
      <c r="F112" s="15" t="str">
        <f t="shared" si="18"/>
        <v xml:space="preserve">S/F  </v>
      </c>
      <c r="G112" s="16"/>
      <c r="H112" s="17">
        <v>21</v>
      </c>
      <c r="I112" s="18">
        <f t="shared" si="19"/>
        <v>0</v>
      </c>
      <c r="J112" s="17"/>
      <c r="K112" s="18"/>
      <c r="L112" s="16"/>
      <c r="M112" s="17"/>
      <c r="N112" s="18">
        <f t="shared" si="20"/>
        <v>0</v>
      </c>
      <c r="O112" s="19"/>
      <c r="P112" s="18">
        <v>0</v>
      </c>
      <c r="Q112" s="16"/>
      <c r="R112" s="17"/>
      <c r="S112" s="18">
        <v>0</v>
      </c>
      <c r="T112" s="19"/>
      <c r="U112" s="18">
        <v>0</v>
      </c>
      <c r="V112" s="16"/>
      <c r="W112" s="17"/>
      <c r="X112" s="18">
        <f t="shared" si="21"/>
        <v>0</v>
      </c>
      <c r="Y112" s="19"/>
      <c r="Z112" s="19"/>
      <c r="AA112" s="18">
        <f t="shared" si="22"/>
        <v>0</v>
      </c>
      <c r="AB112" s="20">
        <f t="shared" si="23"/>
        <v>0</v>
      </c>
      <c r="AC112" s="5"/>
      <c r="AD112" s="8"/>
      <c r="AF112" s="6"/>
      <c r="AG112" s="7"/>
      <c r="AJ112" s="33"/>
      <c r="AK112" s="35"/>
      <c r="AL112" s="38"/>
    </row>
    <row r="113" spans="1:38" ht="17.25" customHeight="1">
      <c r="A113" s="25"/>
      <c r="B113" s="26"/>
      <c r="C113" s="14"/>
      <c r="D113" s="31"/>
      <c r="E113" s="14"/>
      <c r="F113" s="15" t="str">
        <f t="shared" si="18"/>
        <v xml:space="preserve">S/F  </v>
      </c>
      <c r="G113" s="16"/>
      <c r="H113" s="17">
        <v>21</v>
      </c>
      <c r="I113" s="18">
        <f t="shared" si="19"/>
        <v>0</v>
      </c>
      <c r="J113" s="17"/>
      <c r="K113" s="18"/>
      <c r="L113" s="16"/>
      <c r="M113" s="17"/>
      <c r="N113" s="18">
        <f t="shared" si="20"/>
        <v>0</v>
      </c>
      <c r="O113" s="19"/>
      <c r="P113" s="18">
        <v>0</v>
      </c>
      <c r="Q113" s="16"/>
      <c r="R113" s="17"/>
      <c r="S113" s="18">
        <v>0</v>
      </c>
      <c r="T113" s="19"/>
      <c r="U113" s="18">
        <v>0</v>
      </c>
      <c r="V113" s="16"/>
      <c r="W113" s="17"/>
      <c r="X113" s="18">
        <f t="shared" si="21"/>
        <v>0</v>
      </c>
      <c r="Y113" s="19"/>
      <c r="Z113" s="19"/>
      <c r="AA113" s="18">
        <f t="shared" si="22"/>
        <v>0</v>
      </c>
      <c r="AB113" s="20">
        <f t="shared" si="23"/>
        <v>0</v>
      </c>
      <c r="AC113" s="5"/>
      <c r="AD113" s="8"/>
      <c r="AF113" s="6"/>
      <c r="AG113" s="7"/>
      <c r="AJ113" s="33"/>
      <c r="AK113" s="35"/>
      <c r="AL113" s="38"/>
    </row>
    <row r="114" spans="1:38" ht="17.25" customHeight="1">
      <c r="A114" s="25"/>
      <c r="B114" s="26"/>
      <c r="C114" s="14"/>
      <c r="D114" s="31"/>
      <c r="E114" s="14"/>
      <c r="F114" s="15" t="str">
        <f t="shared" si="18"/>
        <v xml:space="preserve">S/F  </v>
      </c>
      <c r="G114" s="16"/>
      <c r="H114" s="17">
        <v>21</v>
      </c>
      <c r="I114" s="18">
        <f t="shared" si="19"/>
        <v>0</v>
      </c>
      <c r="J114" s="17"/>
      <c r="K114" s="18"/>
      <c r="L114" s="16"/>
      <c r="M114" s="17"/>
      <c r="N114" s="18">
        <f t="shared" si="20"/>
        <v>0</v>
      </c>
      <c r="O114" s="19"/>
      <c r="P114" s="18">
        <v>0</v>
      </c>
      <c r="Q114" s="16"/>
      <c r="R114" s="17"/>
      <c r="S114" s="18">
        <v>0</v>
      </c>
      <c r="T114" s="19"/>
      <c r="U114" s="18">
        <v>0</v>
      </c>
      <c r="V114" s="16"/>
      <c r="W114" s="17"/>
      <c r="X114" s="18">
        <f t="shared" si="21"/>
        <v>0</v>
      </c>
      <c r="Y114" s="19"/>
      <c r="Z114" s="19"/>
      <c r="AA114" s="18">
        <f t="shared" si="22"/>
        <v>0</v>
      </c>
      <c r="AB114" s="20">
        <f t="shared" si="23"/>
        <v>0</v>
      </c>
      <c r="AC114" s="5"/>
      <c r="AD114" s="8"/>
      <c r="AF114" s="6"/>
      <c r="AG114" s="7"/>
      <c r="AJ114" s="33"/>
      <c r="AK114" s="35"/>
      <c r="AL114" s="38"/>
    </row>
    <row r="115" spans="1:38" ht="17.25" customHeight="1">
      <c r="A115" s="25"/>
      <c r="B115" s="26"/>
      <c r="C115" s="14"/>
      <c r="D115" s="31"/>
      <c r="E115" s="14"/>
      <c r="F115" s="15" t="str">
        <f t="shared" si="18"/>
        <v xml:space="preserve">S/F  </v>
      </c>
      <c r="G115" s="16"/>
      <c r="H115" s="17">
        <v>21</v>
      </c>
      <c r="I115" s="18">
        <f t="shared" si="19"/>
        <v>0</v>
      </c>
      <c r="J115" s="17"/>
      <c r="K115" s="18"/>
      <c r="L115" s="16"/>
      <c r="M115" s="17"/>
      <c r="N115" s="18">
        <f t="shared" si="20"/>
        <v>0</v>
      </c>
      <c r="O115" s="19"/>
      <c r="P115" s="18">
        <v>0</v>
      </c>
      <c r="Q115" s="16"/>
      <c r="R115" s="17"/>
      <c r="S115" s="18">
        <v>0</v>
      </c>
      <c r="T115" s="19"/>
      <c r="U115" s="18">
        <v>0</v>
      </c>
      <c r="V115" s="16"/>
      <c r="W115" s="17"/>
      <c r="X115" s="18">
        <f t="shared" si="21"/>
        <v>0</v>
      </c>
      <c r="Y115" s="19"/>
      <c r="Z115" s="19"/>
      <c r="AA115" s="18">
        <f t="shared" si="22"/>
        <v>0</v>
      </c>
      <c r="AB115" s="20">
        <f t="shared" si="23"/>
        <v>0</v>
      </c>
      <c r="AC115" s="5"/>
      <c r="AD115" s="8"/>
      <c r="AF115" s="6"/>
      <c r="AG115" s="7"/>
      <c r="AJ115" s="33"/>
      <c r="AK115" s="35"/>
      <c r="AL115" s="38"/>
    </row>
    <row r="116" spans="1:38" ht="17.25" customHeight="1">
      <c r="A116" s="25"/>
      <c r="B116" s="26"/>
      <c r="C116" s="14"/>
      <c r="D116" s="31"/>
      <c r="E116" s="14"/>
      <c r="F116" s="15" t="str">
        <f t="shared" si="18"/>
        <v xml:space="preserve">S/F  </v>
      </c>
      <c r="G116" s="16"/>
      <c r="H116" s="17">
        <v>21</v>
      </c>
      <c r="I116" s="18">
        <f t="shared" si="19"/>
        <v>0</v>
      </c>
      <c r="J116" s="17"/>
      <c r="K116" s="18"/>
      <c r="L116" s="16"/>
      <c r="M116" s="17"/>
      <c r="N116" s="18">
        <f t="shared" si="20"/>
        <v>0</v>
      </c>
      <c r="O116" s="19"/>
      <c r="P116" s="18">
        <v>0</v>
      </c>
      <c r="Q116" s="16"/>
      <c r="R116" s="17"/>
      <c r="S116" s="18">
        <v>0</v>
      </c>
      <c r="T116" s="19"/>
      <c r="U116" s="18">
        <v>0</v>
      </c>
      <c r="V116" s="16"/>
      <c r="W116" s="17"/>
      <c r="X116" s="18">
        <f t="shared" si="21"/>
        <v>0</v>
      </c>
      <c r="Y116" s="19"/>
      <c r="Z116" s="19"/>
      <c r="AA116" s="18">
        <f t="shared" si="22"/>
        <v>0</v>
      </c>
      <c r="AB116" s="20">
        <f t="shared" si="23"/>
        <v>0</v>
      </c>
      <c r="AC116" s="5"/>
      <c r="AD116" s="8"/>
      <c r="AF116" s="6"/>
      <c r="AG116" s="7"/>
      <c r="AJ116" s="33"/>
      <c r="AK116" s="35"/>
      <c r="AL116" s="38"/>
    </row>
    <row r="117" spans="1:38" ht="17.25" customHeight="1">
      <c r="A117" s="25"/>
      <c r="B117" s="26"/>
      <c r="C117" s="14"/>
      <c r="D117" s="31"/>
      <c r="E117" s="14"/>
      <c r="F117" s="15" t="str">
        <f t="shared" si="18"/>
        <v xml:space="preserve">S/F  </v>
      </c>
      <c r="G117" s="16"/>
      <c r="H117" s="17">
        <v>21</v>
      </c>
      <c r="I117" s="18">
        <f t="shared" si="19"/>
        <v>0</v>
      </c>
      <c r="J117" s="17"/>
      <c r="K117" s="18"/>
      <c r="L117" s="16"/>
      <c r="M117" s="17"/>
      <c r="N117" s="18">
        <f t="shared" si="20"/>
        <v>0</v>
      </c>
      <c r="O117" s="19"/>
      <c r="P117" s="18">
        <v>0</v>
      </c>
      <c r="Q117" s="16"/>
      <c r="R117" s="17"/>
      <c r="S117" s="18">
        <v>0</v>
      </c>
      <c r="T117" s="19"/>
      <c r="U117" s="18">
        <v>0</v>
      </c>
      <c r="V117" s="16"/>
      <c r="W117" s="17"/>
      <c r="X117" s="18">
        <f t="shared" si="21"/>
        <v>0</v>
      </c>
      <c r="Y117" s="19"/>
      <c r="Z117" s="19"/>
      <c r="AA117" s="18">
        <f t="shared" si="22"/>
        <v>0</v>
      </c>
      <c r="AB117" s="20">
        <f t="shared" si="23"/>
        <v>0</v>
      </c>
      <c r="AC117" s="5"/>
      <c r="AD117" s="8"/>
      <c r="AF117" s="6"/>
      <c r="AG117" s="7"/>
      <c r="AJ117" s="33"/>
      <c r="AK117" s="35"/>
      <c r="AL117" s="38"/>
    </row>
    <row r="118" spans="1:38" ht="17.25" customHeight="1">
      <c r="A118" s="25"/>
      <c r="B118" s="26"/>
      <c r="C118" s="14"/>
      <c r="D118" s="31"/>
      <c r="E118" s="14"/>
      <c r="F118" s="15" t="str">
        <f t="shared" si="18"/>
        <v xml:space="preserve">S/F  </v>
      </c>
      <c r="G118" s="16"/>
      <c r="H118" s="17">
        <v>21</v>
      </c>
      <c r="I118" s="18">
        <f t="shared" si="19"/>
        <v>0</v>
      </c>
      <c r="J118" s="17"/>
      <c r="K118" s="18"/>
      <c r="L118" s="16"/>
      <c r="M118" s="17"/>
      <c r="N118" s="18">
        <f t="shared" si="20"/>
        <v>0</v>
      </c>
      <c r="O118" s="19"/>
      <c r="P118" s="18">
        <v>0</v>
      </c>
      <c r="Q118" s="16"/>
      <c r="R118" s="17"/>
      <c r="S118" s="18">
        <v>0</v>
      </c>
      <c r="T118" s="19"/>
      <c r="U118" s="18">
        <v>0</v>
      </c>
      <c r="V118" s="16"/>
      <c r="W118" s="17"/>
      <c r="X118" s="18">
        <f t="shared" si="21"/>
        <v>0</v>
      </c>
      <c r="Y118" s="19"/>
      <c r="Z118" s="19"/>
      <c r="AA118" s="18">
        <f t="shared" si="22"/>
        <v>0</v>
      </c>
      <c r="AB118" s="20">
        <f t="shared" si="23"/>
        <v>0</v>
      </c>
      <c r="AC118" s="5"/>
      <c r="AD118" s="8"/>
      <c r="AF118" s="6"/>
      <c r="AG118" s="7"/>
      <c r="AJ118" s="33"/>
      <c r="AK118" s="35"/>
      <c r="AL118" s="38"/>
    </row>
    <row r="119" spans="1:38" ht="17.25" customHeight="1">
      <c r="A119" s="25"/>
      <c r="B119" s="26"/>
      <c r="C119" s="14"/>
      <c r="D119" s="31"/>
      <c r="E119" s="14"/>
      <c r="F119" s="15" t="str">
        <f t="shared" si="18"/>
        <v xml:space="preserve">S/F  </v>
      </c>
      <c r="G119" s="16"/>
      <c r="H119" s="17">
        <v>21</v>
      </c>
      <c r="I119" s="18">
        <f t="shared" si="19"/>
        <v>0</v>
      </c>
      <c r="J119" s="17"/>
      <c r="K119" s="18"/>
      <c r="L119" s="16"/>
      <c r="M119" s="17"/>
      <c r="N119" s="18">
        <f t="shared" si="20"/>
        <v>0</v>
      </c>
      <c r="O119" s="19"/>
      <c r="P119" s="18">
        <v>0</v>
      </c>
      <c r="Q119" s="16"/>
      <c r="R119" s="17"/>
      <c r="S119" s="18">
        <v>0</v>
      </c>
      <c r="T119" s="19"/>
      <c r="U119" s="18">
        <v>0</v>
      </c>
      <c r="V119" s="16"/>
      <c r="W119" s="17"/>
      <c r="X119" s="18">
        <f t="shared" si="21"/>
        <v>0</v>
      </c>
      <c r="Y119" s="19"/>
      <c r="Z119" s="19"/>
      <c r="AA119" s="18">
        <f t="shared" si="22"/>
        <v>0</v>
      </c>
      <c r="AB119" s="20">
        <f t="shared" si="23"/>
        <v>0</v>
      </c>
      <c r="AC119" s="5"/>
      <c r="AD119" s="8"/>
      <c r="AF119" s="6"/>
      <c r="AG119" s="7"/>
      <c r="AJ119" s="33"/>
      <c r="AK119" s="35"/>
      <c r="AL119" s="38"/>
    </row>
    <row r="120" spans="1:38" ht="17.25" customHeight="1">
      <c r="A120" s="25"/>
      <c r="B120" s="26"/>
      <c r="C120" s="14"/>
      <c r="D120" s="31"/>
      <c r="E120" s="14"/>
      <c r="F120" s="15" t="str">
        <f t="shared" si="18"/>
        <v xml:space="preserve">S/F  </v>
      </c>
      <c r="G120" s="16"/>
      <c r="H120" s="17">
        <v>21</v>
      </c>
      <c r="I120" s="18">
        <f t="shared" si="19"/>
        <v>0</v>
      </c>
      <c r="J120" s="17"/>
      <c r="K120" s="18"/>
      <c r="L120" s="16"/>
      <c r="M120" s="17"/>
      <c r="N120" s="18">
        <f t="shared" si="20"/>
        <v>0</v>
      </c>
      <c r="O120" s="19"/>
      <c r="P120" s="18">
        <v>0</v>
      </c>
      <c r="Q120" s="16"/>
      <c r="R120" s="17"/>
      <c r="S120" s="18">
        <v>0</v>
      </c>
      <c r="T120" s="19"/>
      <c r="U120" s="18">
        <v>0</v>
      </c>
      <c r="V120" s="16"/>
      <c r="W120" s="17"/>
      <c r="X120" s="18">
        <f t="shared" si="21"/>
        <v>0</v>
      </c>
      <c r="Y120" s="19"/>
      <c r="Z120" s="19"/>
      <c r="AA120" s="18">
        <f t="shared" si="22"/>
        <v>0</v>
      </c>
      <c r="AB120" s="20">
        <f t="shared" si="23"/>
        <v>0</v>
      </c>
      <c r="AC120" s="5"/>
      <c r="AD120" s="8"/>
      <c r="AF120" s="6"/>
      <c r="AG120" s="7"/>
      <c r="AJ120" s="39"/>
      <c r="AK120" s="35"/>
      <c r="AL120" s="38"/>
    </row>
    <row r="121" spans="1:38" ht="17.25" customHeight="1">
      <c r="A121" s="25"/>
      <c r="B121" s="26"/>
      <c r="C121" s="14"/>
      <c r="D121" s="31"/>
      <c r="E121" s="14"/>
      <c r="F121" s="15" t="str">
        <f t="shared" si="18"/>
        <v xml:space="preserve">S/F  </v>
      </c>
      <c r="G121" s="16"/>
      <c r="H121" s="17">
        <v>21</v>
      </c>
      <c r="I121" s="18">
        <f t="shared" si="19"/>
        <v>0</v>
      </c>
      <c r="J121" s="17"/>
      <c r="K121" s="18"/>
      <c r="L121" s="16"/>
      <c r="M121" s="17"/>
      <c r="N121" s="18">
        <f t="shared" si="20"/>
        <v>0</v>
      </c>
      <c r="O121" s="19"/>
      <c r="P121" s="18">
        <v>0</v>
      </c>
      <c r="Q121" s="16"/>
      <c r="R121" s="17"/>
      <c r="S121" s="18">
        <v>0</v>
      </c>
      <c r="T121" s="19"/>
      <c r="U121" s="18">
        <v>0</v>
      </c>
      <c r="V121" s="16"/>
      <c r="W121" s="17"/>
      <c r="X121" s="18">
        <f t="shared" si="21"/>
        <v>0</v>
      </c>
      <c r="Y121" s="19"/>
      <c r="Z121" s="19"/>
      <c r="AA121" s="18">
        <f t="shared" si="22"/>
        <v>0</v>
      </c>
      <c r="AB121" s="20">
        <f t="shared" si="23"/>
        <v>0</v>
      </c>
      <c r="AC121" s="5"/>
      <c r="AD121" s="8"/>
      <c r="AF121" s="6"/>
      <c r="AG121" s="7"/>
      <c r="AJ121" s="33"/>
      <c r="AK121" s="35"/>
      <c r="AL121" s="38"/>
    </row>
    <row r="122" spans="1:38" ht="17.25" customHeight="1">
      <c r="A122" s="25"/>
      <c r="B122" s="26"/>
      <c r="C122" s="14"/>
      <c r="D122" s="31"/>
      <c r="E122" s="14"/>
      <c r="F122" s="15" t="str">
        <f t="shared" si="18"/>
        <v xml:space="preserve">S/F  </v>
      </c>
      <c r="G122" s="16"/>
      <c r="H122" s="17">
        <v>21</v>
      </c>
      <c r="I122" s="18">
        <f t="shared" si="19"/>
        <v>0</v>
      </c>
      <c r="J122" s="17"/>
      <c r="K122" s="18"/>
      <c r="L122" s="16"/>
      <c r="M122" s="17"/>
      <c r="N122" s="18">
        <f t="shared" si="20"/>
        <v>0</v>
      </c>
      <c r="O122" s="19"/>
      <c r="P122" s="18">
        <v>0</v>
      </c>
      <c r="Q122" s="16"/>
      <c r="R122" s="17"/>
      <c r="S122" s="18">
        <v>0</v>
      </c>
      <c r="T122" s="19"/>
      <c r="U122" s="18">
        <v>0</v>
      </c>
      <c r="V122" s="16"/>
      <c r="W122" s="17"/>
      <c r="X122" s="18">
        <f t="shared" si="21"/>
        <v>0</v>
      </c>
      <c r="Y122" s="19"/>
      <c r="Z122" s="19"/>
      <c r="AA122" s="18">
        <f t="shared" si="22"/>
        <v>0</v>
      </c>
      <c r="AB122" s="20">
        <f t="shared" si="23"/>
        <v>0</v>
      </c>
      <c r="AC122" s="5"/>
      <c r="AD122" s="8"/>
      <c r="AF122" s="6"/>
      <c r="AG122" s="7"/>
      <c r="AJ122" s="33"/>
      <c r="AK122" s="35"/>
      <c r="AL122" s="38"/>
    </row>
    <row r="123" spans="1:38" ht="17.25" customHeight="1">
      <c r="A123" s="25"/>
      <c r="B123" s="26"/>
      <c r="C123" s="14"/>
      <c r="D123" s="31"/>
      <c r="E123" s="14"/>
      <c r="F123" s="15" t="str">
        <f t="shared" si="18"/>
        <v xml:space="preserve">S/F  </v>
      </c>
      <c r="G123" s="16"/>
      <c r="H123" s="17">
        <v>21</v>
      </c>
      <c r="I123" s="18">
        <f t="shared" si="19"/>
        <v>0</v>
      </c>
      <c r="J123" s="17"/>
      <c r="K123" s="18"/>
      <c r="L123" s="16"/>
      <c r="M123" s="17"/>
      <c r="N123" s="18">
        <f t="shared" si="20"/>
        <v>0</v>
      </c>
      <c r="O123" s="19"/>
      <c r="P123" s="18">
        <v>0</v>
      </c>
      <c r="Q123" s="16"/>
      <c r="R123" s="17"/>
      <c r="S123" s="18">
        <v>0</v>
      </c>
      <c r="T123" s="19"/>
      <c r="U123" s="18">
        <v>0</v>
      </c>
      <c r="V123" s="16"/>
      <c r="W123" s="17"/>
      <c r="X123" s="18">
        <f t="shared" si="21"/>
        <v>0</v>
      </c>
      <c r="Y123" s="19"/>
      <c r="Z123" s="19"/>
      <c r="AA123" s="18">
        <f t="shared" si="22"/>
        <v>0</v>
      </c>
      <c r="AB123" s="20">
        <f t="shared" si="23"/>
        <v>0</v>
      </c>
      <c r="AC123" s="5"/>
      <c r="AD123" s="8"/>
      <c r="AF123" s="6"/>
      <c r="AG123" s="7"/>
      <c r="AJ123" s="33"/>
      <c r="AK123" s="35"/>
      <c r="AL123" s="38"/>
    </row>
    <row r="124" spans="1:38" ht="17.25" customHeight="1">
      <c r="A124" s="25"/>
      <c r="B124" s="26"/>
      <c r="C124" s="14"/>
      <c r="D124" s="31"/>
      <c r="E124" s="14"/>
      <c r="F124" s="15" t="str">
        <f t="shared" si="18"/>
        <v xml:space="preserve">S/F  </v>
      </c>
      <c r="G124" s="16"/>
      <c r="H124" s="17">
        <v>21</v>
      </c>
      <c r="I124" s="18">
        <f t="shared" si="19"/>
        <v>0</v>
      </c>
      <c r="J124" s="17"/>
      <c r="K124" s="18"/>
      <c r="L124" s="16"/>
      <c r="M124" s="17"/>
      <c r="N124" s="18">
        <f t="shared" si="20"/>
        <v>0</v>
      </c>
      <c r="O124" s="19"/>
      <c r="P124" s="18">
        <v>0</v>
      </c>
      <c r="Q124" s="16"/>
      <c r="R124" s="17"/>
      <c r="S124" s="18">
        <v>0</v>
      </c>
      <c r="T124" s="19"/>
      <c r="U124" s="18">
        <v>0</v>
      </c>
      <c r="V124" s="16"/>
      <c r="W124" s="17"/>
      <c r="X124" s="18">
        <f t="shared" si="21"/>
        <v>0</v>
      </c>
      <c r="Y124" s="19"/>
      <c r="Z124" s="19"/>
      <c r="AA124" s="18">
        <f t="shared" si="22"/>
        <v>0</v>
      </c>
      <c r="AB124" s="20">
        <f t="shared" si="23"/>
        <v>0</v>
      </c>
      <c r="AC124" s="5"/>
      <c r="AD124" s="8"/>
      <c r="AF124" s="6"/>
      <c r="AG124" s="7"/>
      <c r="AJ124" s="33"/>
      <c r="AK124" s="35"/>
      <c r="AL124" s="38"/>
    </row>
    <row r="125" spans="1:38" ht="17.25" customHeight="1">
      <c r="A125" s="25"/>
      <c r="B125" s="26"/>
      <c r="C125" s="14"/>
      <c r="D125" s="31"/>
      <c r="E125" s="14"/>
      <c r="F125" s="15" t="str">
        <f t="shared" si="18"/>
        <v xml:space="preserve">S/F  </v>
      </c>
      <c r="G125" s="16"/>
      <c r="H125" s="17">
        <v>21</v>
      </c>
      <c r="I125" s="18">
        <f t="shared" si="19"/>
        <v>0</v>
      </c>
      <c r="J125" s="17"/>
      <c r="K125" s="18"/>
      <c r="L125" s="16"/>
      <c r="M125" s="17"/>
      <c r="N125" s="18">
        <f t="shared" si="20"/>
        <v>0</v>
      </c>
      <c r="O125" s="19"/>
      <c r="P125" s="18">
        <v>0</v>
      </c>
      <c r="Q125" s="16"/>
      <c r="R125" s="17"/>
      <c r="S125" s="18">
        <v>0</v>
      </c>
      <c r="T125" s="19"/>
      <c r="U125" s="18">
        <v>0</v>
      </c>
      <c r="V125" s="16"/>
      <c r="W125" s="17"/>
      <c r="X125" s="18">
        <f t="shared" si="21"/>
        <v>0</v>
      </c>
      <c r="Y125" s="19"/>
      <c r="Z125" s="19"/>
      <c r="AA125" s="18">
        <f t="shared" si="22"/>
        <v>0</v>
      </c>
      <c r="AB125" s="20">
        <f t="shared" si="23"/>
        <v>0</v>
      </c>
      <c r="AC125" s="5"/>
      <c r="AD125" s="8"/>
      <c r="AF125" s="6"/>
      <c r="AG125" s="7"/>
      <c r="AJ125" s="33"/>
      <c r="AK125" s="35"/>
      <c r="AL125" s="38"/>
    </row>
    <row r="126" spans="1:38" ht="17.25" customHeight="1">
      <c r="A126" s="25"/>
      <c r="B126" s="26"/>
      <c r="C126" s="14"/>
      <c r="D126" s="31"/>
      <c r="E126" s="14"/>
      <c r="F126" s="15" t="str">
        <f t="shared" si="18"/>
        <v xml:space="preserve">S/F  </v>
      </c>
      <c r="G126" s="16"/>
      <c r="H126" s="17">
        <v>21</v>
      </c>
      <c r="I126" s="18">
        <f t="shared" si="19"/>
        <v>0</v>
      </c>
      <c r="J126" s="17"/>
      <c r="K126" s="18"/>
      <c r="L126" s="16"/>
      <c r="M126" s="17"/>
      <c r="N126" s="18">
        <f t="shared" si="20"/>
        <v>0</v>
      </c>
      <c r="O126" s="19"/>
      <c r="P126" s="18">
        <v>0</v>
      </c>
      <c r="Q126" s="16"/>
      <c r="R126" s="17"/>
      <c r="S126" s="18">
        <v>0</v>
      </c>
      <c r="T126" s="19"/>
      <c r="U126" s="18">
        <v>0</v>
      </c>
      <c r="V126" s="16"/>
      <c r="W126" s="17"/>
      <c r="X126" s="18">
        <f t="shared" si="21"/>
        <v>0</v>
      </c>
      <c r="Y126" s="19"/>
      <c r="Z126" s="19"/>
      <c r="AA126" s="18">
        <f t="shared" si="22"/>
        <v>0</v>
      </c>
      <c r="AB126" s="20">
        <f t="shared" si="23"/>
        <v>0</v>
      </c>
      <c r="AC126" s="5"/>
      <c r="AD126" s="8"/>
      <c r="AF126" s="6"/>
      <c r="AG126" s="7"/>
      <c r="AJ126" s="33"/>
      <c r="AK126" s="35"/>
      <c r="AL126" s="38"/>
    </row>
    <row r="127" spans="1:38" ht="17.25" customHeight="1">
      <c r="A127" s="25"/>
      <c r="B127" s="26"/>
      <c r="C127" s="14"/>
      <c r="D127" s="31"/>
      <c r="E127" s="14"/>
      <c r="F127" s="15" t="str">
        <f t="shared" si="18"/>
        <v xml:space="preserve">S/F  </v>
      </c>
      <c r="G127" s="16"/>
      <c r="H127" s="17">
        <v>21</v>
      </c>
      <c r="I127" s="18">
        <f t="shared" si="19"/>
        <v>0</v>
      </c>
      <c r="J127" s="17"/>
      <c r="K127" s="18"/>
      <c r="L127" s="16"/>
      <c r="M127" s="17"/>
      <c r="N127" s="18">
        <f t="shared" si="20"/>
        <v>0</v>
      </c>
      <c r="O127" s="19"/>
      <c r="P127" s="18">
        <v>0</v>
      </c>
      <c r="Q127" s="16"/>
      <c r="R127" s="17"/>
      <c r="S127" s="18">
        <v>0</v>
      </c>
      <c r="T127" s="19"/>
      <c r="U127" s="18">
        <v>0</v>
      </c>
      <c r="V127" s="16"/>
      <c r="W127" s="17"/>
      <c r="X127" s="18">
        <f t="shared" si="21"/>
        <v>0</v>
      </c>
      <c r="Y127" s="19"/>
      <c r="Z127" s="19"/>
      <c r="AA127" s="18">
        <f t="shared" si="22"/>
        <v>0</v>
      </c>
      <c r="AB127" s="20">
        <f t="shared" si="23"/>
        <v>0</v>
      </c>
      <c r="AC127" s="5"/>
      <c r="AD127" s="8"/>
      <c r="AF127" s="6"/>
      <c r="AG127" s="7"/>
      <c r="AJ127" s="33"/>
      <c r="AK127" s="35"/>
      <c r="AL127" s="38"/>
    </row>
    <row r="128" spans="1:38" ht="17.25" customHeight="1">
      <c r="A128" s="25"/>
      <c r="B128" s="26"/>
      <c r="C128" s="14"/>
      <c r="D128" s="31"/>
      <c r="E128" s="14"/>
      <c r="F128" s="15" t="str">
        <f t="shared" si="18"/>
        <v xml:space="preserve">S/F  </v>
      </c>
      <c r="G128" s="16"/>
      <c r="H128" s="17">
        <v>21</v>
      </c>
      <c r="I128" s="18">
        <f t="shared" si="19"/>
        <v>0</v>
      </c>
      <c r="J128" s="17"/>
      <c r="K128" s="18"/>
      <c r="L128" s="16"/>
      <c r="M128" s="17"/>
      <c r="N128" s="18">
        <f t="shared" si="20"/>
        <v>0</v>
      </c>
      <c r="O128" s="19"/>
      <c r="P128" s="18">
        <v>0</v>
      </c>
      <c r="Q128" s="16"/>
      <c r="R128" s="17"/>
      <c r="S128" s="18">
        <v>0</v>
      </c>
      <c r="T128" s="19"/>
      <c r="U128" s="18">
        <v>0</v>
      </c>
      <c r="V128" s="16"/>
      <c r="W128" s="17"/>
      <c r="X128" s="18">
        <f t="shared" si="21"/>
        <v>0</v>
      </c>
      <c r="Y128" s="19"/>
      <c r="Z128" s="19"/>
      <c r="AA128" s="18">
        <f t="shared" si="22"/>
        <v>0</v>
      </c>
      <c r="AB128" s="20">
        <f t="shared" si="23"/>
        <v>0</v>
      </c>
      <c r="AC128" s="5"/>
      <c r="AD128" s="8"/>
      <c r="AF128" s="6"/>
      <c r="AG128" s="7"/>
      <c r="AJ128" s="33"/>
      <c r="AK128" s="35"/>
      <c r="AL128" s="38"/>
    </row>
    <row r="129" spans="1:38" ht="17.25" customHeight="1">
      <c r="A129" s="25"/>
      <c r="B129" s="26"/>
      <c r="C129" s="14"/>
      <c r="D129" s="31"/>
      <c r="E129" s="14"/>
      <c r="F129" s="15" t="str">
        <f t="shared" si="18"/>
        <v xml:space="preserve">S/F  </v>
      </c>
      <c r="G129" s="16"/>
      <c r="H129" s="17">
        <v>21</v>
      </c>
      <c r="I129" s="18">
        <f t="shared" si="19"/>
        <v>0</v>
      </c>
      <c r="J129" s="17"/>
      <c r="K129" s="18"/>
      <c r="L129" s="16"/>
      <c r="M129" s="17"/>
      <c r="N129" s="18">
        <f t="shared" si="20"/>
        <v>0</v>
      </c>
      <c r="O129" s="19"/>
      <c r="P129" s="18">
        <v>0</v>
      </c>
      <c r="Q129" s="16"/>
      <c r="R129" s="17"/>
      <c r="S129" s="18">
        <v>0</v>
      </c>
      <c r="T129" s="19"/>
      <c r="U129" s="18">
        <v>0</v>
      </c>
      <c r="V129" s="16"/>
      <c r="W129" s="17"/>
      <c r="X129" s="18">
        <f t="shared" si="21"/>
        <v>0</v>
      </c>
      <c r="Y129" s="19"/>
      <c r="Z129" s="19"/>
      <c r="AA129" s="18">
        <f t="shared" si="22"/>
        <v>0</v>
      </c>
      <c r="AB129" s="20">
        <f t="shared" si="23"/>
        <v>0</v>
      </c>
      <c r="AC129" s="5"/>
      <c r="AD129" s="8"/>
      <c r="AF129" s="6"/>
      <c r="AG129" s="7"/>
      <c r="AJ129" s="33"/>
      <c r="AK129" s="35"/>
      <c r="AL129" s="38"/>
    </row>
    <row r="130" spans="1:38" ht="17.25" customHeight="1">
      <c r="A130" s="25"/>
      <c r="B130" s="26"/>
      <c r="C130" s="14"/>
      <c r="D130" s="31"/>
      <c r="E130" s="14"/>
      <c r="F130" s="15" t="str">
        <f t="shared" ref="F130:F143" si="24">"S/F "&amp;B130&amp;" "&amp;E130</f>
        <v xml:space="preserve">S/F  </v>
      </c>
      <c r="G130" s="16"/>
      <c r="H130" s="17">
        <v>21</v>
      </c>
      <c r="I130" s="18">
        <f t="shared" ref="I130:I143" si="25">+IF(G130&lt;&gt;0,G130*H130/100,0)</f>
        <v>0</v>
      </c>
      <c r="J130" s="17"/>
      <c r="K130" s="18"/>
      <c r="L130" s="16"/>
      <c r="M130" s="17"/>
      <c r="N130" s="18">
        <f t="shared" ref="N130:N143" si="26">+IF(L130&lt;&gt;0,L130*M130/100,0)</f>
        <v>0</v>
      </c>
      <c r="O130" s="19"/>
      <c r="P130" s="18">
        <v>0</v>
      </c>
      <c r="Q130" s="16"/>
      <c r="R130" s="17"/>
      <c r="S130" s="18">
        <v>0</v>
      </c>
      <c r="T130" s="19"/>
      <c r="U130" s="18">
        <v>0</v>
      </c>
      <c r="V130" s="16"/>
      <c r="W130" s="17"/>
      <c r="X130" s="18">
        <f t="shared" ref="X130:X143" si="27">+IF(W130&lt;&gt;0,V130*W130/100,0)</f>
        <v>0</v>
      </c>
      <c r="Y130" s="19"/>
      <c r="Z130" s="19"/>
      <c r="AA130" s="18">
        <f t="shared" ref="AA130:AA143" si="28">+IF(Z130&lt;&gt;0,Y130*Z130/100,0)</f>
        <v>0</v>
      </c>
      <c r="AB130" s="20">
        <f t="shared" ref="AB130:AB143" si="29">+G130+I130+K130+L130+N130+P130+Q130+S130+U130-X130-AA130</f>
        <v>0</v>
      </c>
      <c r="AC130" s="5"/>
      <c r="AD130" s="8"/>
      <c r="AF130" s="6"/>
      <c r="AG130" s="7"/>
      <c r="AJ130" s="33"/>
      <c r="AK130" s="35"/>
      <c r="AL130" s="38"/>
    </row>
    <row r="131" spans="1:38" ht="17.25" customHeight="1">
      <c r="A131" s="25"/>
      <c r="B131" s="26"/>
      <c r="C131" s="14"/>
      <c r="D131" s="31"/>
      <c r="E131" s="14"/>
      <c r="F131" s="15" t="str">
        <f t="shared" si="24"/>
        <v xml:space="preserve">S/F  </v>
      </c>
      <c r="G131" s="16"/>
      <c r="H131" s="17">
        <v>21</v>
      </c>
      <c r="I131" s="18">
        <f t="shared" si="25"/>
        <v>0</v>
      </c>
      <c r="J131" s="17"/>
      <c r="K131" s="18"/>
      <c r="L131" s="16"/>
      <c r="M131" s="17"/>
      <c r="N131" s="18">
        <f t="shared" si="26"/>
        <v>0</v>
      </c>
      <c r="O131" s="19"/>
      <c r="P131" s="18">
        <v>0</v>
      </c>
      <c r="Q131" s="16"/>
      <c r="R131" s="17"/>
      <c r="S131" s="18">
        <v>0</v>
      </c>
      <c r="T131" s="19"/>
      <c r="U131" s="18">
        <v>0</v>
      </c>
      <c r="V131" s="16"/>
      <c r="W131" s="17"/>
      <c r="X131" s="18">
        <f t="shared" si="27"/>
        <v>0</v>
      </c>
      <c r="Y131" s="19"/>
      <c r="Z131" s="19"/>
      <c r="AA131" s="18">
        <f t="shared" si="28"/>
        <v>0</v>
      </c>
      <c r="AB131" s="20">
        <f t="shared" si="29"/>
        <v>0</v>
      </c>
      <c r="AC131" s="5"/>
      <c r="AD131" s="8"/>
      <c r="AF131" s="6"/>
      <c r="AG131" s="7"/>
      <c r="AJ131" s="33"/>
      <c r="AK131" s="35"/>
      <c r="AL131" s="38"/>
    </row>
    <row r="132" spans="1:38" ht="17.25" customHeight="1">
      <c r="A132" s="25"/>
      <c r="B132" s="26"/>
      <c r="C132" s="14"/>
      <c r="D132" s="31"/>
      <c r="E132" s="14"/>
      <c r="F132" s="15" t="str">
        <f t="shared" si="24"/>
        <v xml:space="preserve">S/F  </v>
      </c>
      <c r="G132" s="16"/>
      <c r="H132" s="17">
        <v>21</v>
      </c>
      <c r="I132" s="18">
        <f t="shared" si="25"/>
        <v>0</v>
      </c>
      <c r="J132" s="17"/>
      <c r="K132" s="18"/>
      <c r="L132" s="16"/>
      <c r="M132" s="17"/>
      <c r="N132" s="18">
        <f t="shared" si="26"/>
        <v>0</v>
      </c>
      <c r="O132" s="19"/>
      <c r="P132" s="18">
        <v>0</v>
      </c>
      <c r="Q132" s="16"/>
      <c r="R132" s="17"/>
      <c r="S132" s="18">
        <v>0</v>
      </c>
      <c r="T132" s="19"/>
      <c r="U132" s="18">
        <v>0</v>
      </c>
      <c r="V132" s="16"/>
      <c r="W132" s="17"/>
      <c r="X132" s="18">
        <f t="shared" si="27"/>
        <v>0</v>
      </c>
      <c r="Y132" s="19"/>
      <c r="Z132" s="19"/>
      <c r="AA132" s="18">
        <f t="shared" si="28"/>
        <v>0</v>
      </c>
      <c r="AB132" s="20">
        <f t="shared" si="29"/>
        <v>0</v>
      </c>
      <c r="AC132" s="5"/>
      <c r="AD132" s="8"/>
      <c r="AF132" s="6"/>
      <c r="AG132" s="7"/>
      <c r="AJ132" s="33"/>
      <c r="AK132" s="35"/>
      <c r="AL132" s="38"/>
    </row>
    <row r="133" spans="1:38" ht="17.25" customHeight="1">
      <c r="A133" s="25"/>
      <c r="B133" s="26"/>
      <c r="C133" s="14"/>
      <c r="D133" s="31"/>
      <c r="E133" s="14"/>
      <c r="F133" s="15" t="str">
        <f t="shared" si="24"/>
        <v xml:space="preserve">S/F  </v>
      </c>
      <c r="G133" s="16"/>
      <c r="H133" s="17">
        <v>21</v>
      </c>
      <c r="I133" s="18">
        <f t="shared" si="25"/>
        <v>0</v>
      </c>
      <c r="J133" s="17"/>
      <c r="K133" s="18"/>
      <c r="L133" s="16"/>
      <c r="M133" s="17"/>
      <c r="N133" s="18">
        <f t="shared" si="26"/>
        <v>0</v>
      </c>
      <c r="O133" s="19"/>
      <c r="P133" s="18">
        <v>0</v>
      </c>
      <c r="Q133" s="16"/>
      <c r="R133" s="17"/>
      <c r="S133" s="18">
        <v>0</v>
      </c>
      <c r="T133" s="19"/>
      <c r="U133" s="18">
        <v>0</v>
      </c>
      <c r="V133" s="16"/>
      <c r="W133" s="17"/>
      <c r="X133" s="18">
        <f t="shared" si="27"/>
        <v>0</v>
      </c>
      <c r="Y133" s="19"/>
      <c r="Z133" s="19"/>
      <c r="AA133" s="18">
        <f t="shared" si="28"/>
        <v>0</v>
      </c>
      <c r="AB133" s="20">
        <f t="shared" si="29"/>
        <v>0</v>
      </c>
      <c r="AC133" s="5"/>
      <c r="AD133" s="8"/>
      <c r="AF133" s="6"/>
      <c r="AG133" s="7"/>
      <c r="AJ133" s="33"/>
      <c r="AK133" s="35"/>
      <c r="AL133" s="38"/>
    </row>
    <row r="134" spans="1:38" ht="17.25" customHeight="1">
      <c r="A134" s="25"/>
      <c r="B134" s="26"/>
      <c r="C134" s="14"/>
      <c r="D134" s="31"/>
      <c r="E134" s="14"/>
      <c r="F134" s="15" t="str">
        <f t="shared" si="24"/>
        <v xml:space="preserve">S/F  </v>
      </c>
      <c r="G134" s="16"/>
      <c r="H134" s="17">
        <v>21</v>
      </c>
      <c r="I134" s="18">
        <f t="shared" si="25"/>
        <v>0</v>
      </c>
      <c r="J134" s="17"/>
      <c r="K134" s="18"/>
      <c r="L134" s="16"/>
      <c r="M134" s="17"/>
      <c r="N134" s="18">
        <f t="shared" si="26"/>
        <v>0</v>
      </c>
      <c r="O134" s="19"/>
      <c r="P134" s="18">
        <v>0</v>
      </c>
      <c r="Q134" s="16"/>
      <c r="R134" s="17"/>
      <c r="S134" s="18">
        <v>0</v>
      </c>
      <c r="T134" s="19"/>
      <c r="U134" s="18">
        <v>0</v>
      </c>
      <c r="V134" s="16"/>
      <c r="W134" s="17"/>
      <c r="X134" s="18">
        <f t="shared" si="27"/>
        <v>0</v>
      </c>
      <c r="Y134" s="19"/>
      <c r="Z134" s="19"/>
      <c r="AA134" s="18">
        <f t="shared" si="28"/>
        <v>0</v>
      </c>
      <c r="AB134" s="20">
        <f t="shared" si="29"/>
        <v>0</v>
      </c>
      <c r="AC134" s="5"/>
      <c r="AD134" s="8"/>
      <c r="AF134" s="6"/>
      <c r="AG134" s="7"/>
      <c r="AJ134" s="33"/>
      <c r="AK134" s="35"/>
      <c r="AL134" s="38"/>
    </row>
    <row r="135" spans="1:38" ht="17.25" customHeight="1">
      <c r="A135" s="25"/>
      <c r="B135" s="26"/>
      <c r="C135" s="14"/>
      <c r="D135" s="31"/>
      <c r="E135" s="14"/>
      <c r="F135" s="15" t="str">
        <f t="shared" si="24"/>
        <v xml:space="preserve">S/F  </v>
      </c>
      <c r="G135" s="16"/>
      <c r="H135" s="17">
        <v>21</v>
      </c>
      <c r="I135" s="18">
        <f t="shared" si="25"/>
        <v>0</v>
      </c>
      <c r="J135" s="17"/>
      <c r="K135" s="18"/>
      <c r="L135" s="16"/>
      <c r="M135" s="17"/>
      <c r="N135" s="18">
        <f t="shared" si="26"/>
        <v>0</v>
      </c>
      <c r="O135" s="19"/>
      <c r="P135" s="18">
        <v>0</v>
      </c>
      <c r="Q135" s="16"/>
      <c r="R135" s="17"/>
      <c r="S135" s="18">
        <v>0</v>
      </c>
      <c r="T135" s="19"/>
      <c r="U135" s="18">
        <v>0</v>
      </c>
      <c r="V135" s="16"/>
      <c r="W135" s="17"/>
      <c r="X135" s="18">
        <f t="shared" si="27"/>
        <v>0</v>
      </c>
      <c r="Y135" s="19"/>
      <c r="Z135" s="19"/>
      <c r="AA135" s="18">
        <f t="shared" si="28"/>
        <v>0</v>
      </c>
      <c r="AB135" s="20">
        <f t="shared" si="29"/>
        <v>0</v>
      </c>
      <c r="AC135" s="5"/>
      <c r="AD135" s="8"/>
      <c r="AF135" s="6"/>
      <c r="AG135" s="7"/>
      <c r="AJ135" s="33"/>
      <c r="AK135" s="35"/>
      <c r="AL135" s="38"/>
    </row>
    <row r="136" spans="1:38" ht="17.25" customHeight="1">
      <c r="A136" s="25"/>
      <c r="B136" s="26"/>
      <c r="C136" s="14"/>
      <c r="D136" s="31"/>
      <c r="E136" s="14"/>
      <c r="F136" s="15" t="str">
        <f t="shared" si="24"/>
        <v xml:space="preserve">S/F  </v>
      </c>
      <c r="G136" s="16"/>
      <c r="H136" s="17">
        <v>21</v>
      </c>
      <c r="I136" s="18">
        <f t="shared" si="25"/>
        <v>0</v>
      </c>
      <c r="J136" s="17"/>
      <c r="K136" s="18"/>
      <c r="L136" s="16"/>
      <c r="M136" s="17"/>
      <c r="N136" s="18">
        <f t="shared" si="26"/>
        <v>0</v>
      </c>
      <c r="O136" s="19"/>
      <c r="P136" s="18">
        <v>0</v>
      </c>
      <c r="Q136" s="16"/>
      <c r="R136" s="17"/>
      <c r="S136" s="18">
        <v>0</v>
      </c>
      <c r="T136" s="19"/>
      <c r="U136" s="18">
        <v>0</v>
      </c>
      <c r="V136" s="16"/>
      <c r="W136" s="17"/>
      <c r="X136" s="18">
        <f t="shared" si="27"/>
        <v>0</v>
      </c>
      <c r="Y136" s="19"/>
      <c r="Z136" s="19"/>
      <c r="AA136" s="18">
        <f t="shared" si="28"/>
        <v>0</v>
      </c>
      <c r="AB136" s="20">
        <f t="shared" si="29"/>
        <v>0</v>
      </c>
      <c r="AC136" s="5"/>
      <c r="AD136" s="8"/>
      <c r="AF136" s="6"/>
      <c r="AG136" s="7"/>
      <c r="AJ136" s="33"/>
      <c r="AK136" s="35"/>
      <c r="AL136" s="38"/>
    </row>
    <row r="137" spans="1:38" ht="17.25" customHeight="1">
      <c r="A137" s="25"/>
      <c r="B137" s="26"/>
      <c r="C137" s="14"/>
      <c r="D137" s="31"/>
      <c r="E137" s="14"/>
      <c r="F137" s="15" t="str">
        <f t="shared" si="24"/>
        <v xml:space="preserve">S/F  </v>
      </c>
      <c r="G137" s="16"/>
      <c r="H137" s="17">
        <v>21</v>
      </c>
      <c r="I137" s="18">
        <f t="shared" si="25"/>
        <v>0</v>
      </c>
      <c r="J137" s="17"/>
      <c r="K137" s="18"/>
      <c r="L137" s="16"/>
      <c r="M137" s="17"/>
      <c r="N137" s="18">
        <f t="shared" si="26"/>
        <v>0</v>
      </c>
      <c r="O137" s="19"/>
      <c r="P137" s="18">
        <v>0</v>
      </c>
      <c r="Q137" s="16"/>
      <c r="R137" s="17"/>
      <c r="S137" s="18">
        <v>0</v>
      </c>
      <c r="T137" s="19"/>
      <c r="U137" s="18">
        <v>0</v>
      </c>
      <c r="V137" s="16"/>
      <c r="W137" s="17"/>
      <c r="X137" s="18">
        <f t="shared" si="27"/>
        <v>0</v>
      </c>
      <c r="Y137" s="19"/>
      <c r="Z137" s="19"/>
      <c r="AA137" s="18">
        <f t="shared" si="28"/>
        <v>0</v>
      </c>
      <c r="AB137" s="20">
        <f t="shared" si="29"/>
        <v>0</v>
      </c>
      <c r="AC137" s="5"/>
      <c r="AD137" s="8"/>
      <c r="AF137" s="6"/>
      <c r="AG137" s="7"/>
      <c r="AJ137" s="33"/>
      <c r="AK137" s="35"/>
      <c r="AL137" s="38"/>
    </row>
    <row r="138" spans="1:38" ht="17.25" customHeight="1">
      <c r="A138" s="25"/>
      <c r="B138" s="26"/>
      <c r="C138" s="14"/>
      <c r="D138" s="31"/>
      <c r="E138" s="14"/>
      <c r="F138" s="15" t="str">
        <f t="shared" si="24"/>
        <v xml:space="preserve">S/F  </v>
      </c>
      <c r="G138" s="16"/>
      <c r="H138" s="17">
        <v>21</v>
      </c>
      <c r="I138" s="18">
        <f t="shared" si="25"/>
        <v>0</v>
      </c>
      <c r="J138" s="17"/>
      <c r="K138" s="18"/>
      <c r="L138" s="16"/>
      <c r="M138" s="17"/>
      <c r="N138" s="18">
        <f t="shared" si="26"/>
        <v>0</v>
      </c>
      <c r="O138" s="19"/>
      <c r="P138" s="18">
        <v>0</v>
      </c>
      <c r="Q138" s="16"/>
      <c r="R138" s="17"/>
      <c r="S138" s="18">
        <v>0</v>
      </c>
      <c r="T138" s="19"/>
      <c r="U138" s="18">
        <v>0</v>
      </c>
      <c r="V138" s="16"/>
      <c r="W138" s="17"/>
      <c r="X138" s="18">
        <f t="shared" si="27"/>
        <v>0</v>
      </c>
      <c r="Y138" s="19"/>
      <c r="Z138" s="19"/>
      <c r="AA138" s="18">
        <f t="shared" si="28"/>
        <v>0</v>
      </c>
      <c r="AB138" s="20">
        <f t="shared" si="29"/>
        <v>0</v>
      </c>
      <c r="AC138" s="5"/>
      <c r="AD138" s="8"/>
      <c r="AF138" s="6"/>
      <c r="AG138" s="7"/>
      <c r="AJ138" s="33"/>
      <c r="AK138" s="35"/>
      <c r="AL138" s="38"/>
    </row>
    <row r="139" spans="1:38" ht="17.25" customHeight="1">
      <c r="A139" s="25"/>
      <c r="B139" s="26"/>
      <c r="C139" s="14"/>
      <c r="D139" s="31"/>
      <c r="E139" s="14"/>
      <c r="F139" s="15" t="str">
        <f t="shared" si="24"/>
        <v xml:space="preserve">S/F  </v>
      </c>
      <c r="G139" s="16"/>
      <c r="H139" s="17">
        <v>21</v>
      </c>
      <c r="I139" s="18">
        <f t="shared" si="25"/>
        <v>0</v>
      </c>
      <c r="J139" s="17"/>
      <c r="K139" s="18"/>
      <c r="L139" s="16"/>
      <c r="M139" s="17"/>
      <c r="N139" s="18">
        <f t="shared" si="26"/>
        <v>0</v>
      </c>
      <c r="O139" s="19"/>
      <c r="P139" s="18">
        <v>0</v>
      </c>
      <c r="Q139" s="16"/>
      <c r="R139" s="17"/>
      <c r="S139" s="18">
        <v>0</v>
      </c>
      <c r="T139" s="19"/>
      <c r="U139" s="18">
        <v>0</v>
      </c>
      <c r="V139" s="16"/>
      <c r="W139" s="17"/>
      <c r="X139" s="18">
        <f t="shared" si="27"/>
        <v>0</v>
      </c>
      <c r="Y139" s="19"/>
      <c r="Z139" s="19"/>
      <c r="AA139" s="18">
        <f t="shared" si="28"/>
        <v>0</v>
      </c>
      <c r="AB139" s="20">
        <f t="shared" si="29"/>
        <v>0</v>
      </c>
      <c r="AC139" s="5"/>
      <c r="AD139" s="8"/>
      <c r="AF139" s="6"/>
      <c r="AG139" s="7"/>
      <c r="AJ139" s="33"/>
      <c r="AK139" s="35"/>
      <c r="AL139" s="38"/>
    </row>
    <row r="140" spans="1:38" ht="17.25" customHeight="1">
      <c r="A140" s="25"/>
      <c r="B140" s="26"/>
      <c r="C140" s="14"/>
      <c r="D140" s="31"/>
      <c r="E140" s="14"/>
      <c r="F140" s="15" t="str">
        <f t="shared" si="24"/>
        <v xml:space="preserve">S/F  </v>
      </c>
      <c r="G140" s="16"/>
      <c r="H140" s="17">
        <v>21</v>
      </c>
      <c r="I140" s="18">
        <f t="shared" si="25"/>
        <v>0</v>
      </c>
      <c r="J140" s="17"/>
      <c r="K140" s="18"/>
      <c r="L140" s="16"/>
      <c r="M140" s="17"/>
      <c r="N140" s="18">
        <f t="shared" si="26"/>
        <v>0</v>
      </c>
      <c r="O140" s="19"/>
      <c r="P140" s="18">
        <v>0</v>
      </c>
      <c r="Q140" s="16"/>
      <c r="R140" s="17"/>
      <c r="S140" s="18">
        <v>0</v>
      </c>
      <c r="T140" s="19"/>
      <c r="U140" s="18">
        <v>0</v>
      </c>
      <c r="V140" s="16"/>
      <c r="W140" s="17"/>
      <c r="X140" s="18">
        <f t="shared" si="27"/>
        <v>0</v>
      </c>
      <c r="Y140" s="19"/>
      <c r="Z140" s="19"/>
      <c r="AA140" s="18">
        <f t="shared" si="28"/>
        <v>0</v>
      </c>
      <c r="AB140" s="20">
        <f t="shared" si="29"/>
        <v>0</v>
      </c>
      <c r="AC140" s="5"/>
      <c r="AD140" s="8"/>
      <c r="AF140" s="6"/>
      <c r="AG140" s="7"/>
      <c r="AJ140" s="33"/>
      <c r="AK140" s="35"/>
      <c r="AL140" s="38"/>
    </row>
    <row r="141" spans="1:38" ht="17.25" customHeight="1">
      <c r="A141" s="25"/>
      <c r="B141" s="26"/>
      <c r="C141" s="14"/>
      <c r="D141" s="31"/>
      <c r="E141" s="14"/>
      <c r="F141" s="15" t="str">
        <f t="shared" si="24"/>
        <v xml:space="preserve">S/F  </v>
      </c>
      <c r="G141" s="16"/>
      <c r="H141" s="17">
        <v>21</v>
      </c>
      <c r="I141" s="18">
        <f t="shared" si="25"/>
        <v>0</v>
      </c>
      <c r="J141" s="17"/>
      <c r="K141" s="18"/>
      <c r="L141" s="16"/>
      <c r="M141" s="17"/>
      <c r="N141" s="18">
        <f t="shared" si="26"/>
        <v>0</v>
      </c>
      <c r="O141" s="19"/>
      <c r="P141" s="18">
        <v>0</v>
      </c>
      <c r="Q141" s="16"/>
      <c r="R141" s="17"/>
      <c r="S141" s="18">
        <v>0</v>
      </c>
      <c r="T141" s="19"/>
      <c r="U141" s="18">
        <v>0</v>
      </c>
      <c r="V141" s="16"/>
      <c r="W141" s="17"/>
      <c r="X141" s="18">
        <f t="shared" si="27"/>
        <v>0</v>
      </c>
      <c r="Y141" s="19"/>
      <c r="Z141" s="19"/>
      <c r="AA141" s="18">
        <f t="shared" si="28"/>
        <v>0</v>
      </c>
      <c r="AB141" s="20">
        <f t="shared" si="29"/>
        <v>0</v>
      </c>
      <c r="AC141" s="5"/>
      <c r="AD141" s="8"/>
      <c r="AF141" s="6"/>
      <c r="AG141" s="7"/>
      <c r="AJ141" s="33"/>
      <c r="AK141" s="35"/>
      <c r="AL141" s="38"/>
    </row>
    <row r="142" spans="1:38" ht="17.25" customHeight="1">
      <c r="A142" s="25"/>
      <c r="B142" s="26"/>
      <c r="C142" s="14"/>
      <c r="D142" s="31"/>
      <c r="E142" s="14"/>
      <c r="F142" s="15" t="str">
        <f t="shared" si="24"/>
        <v xml:space="preserve">S/F  </v>
      </c>
      <c r="G142" s="16"/>
      <c r="H142" s="17">
        <v>21</v>
      </c>
      <c r="I142" s="18">
        <f t="shared" si="25"/>
        <v>0</v>
      </c>
      <c r="J142" s="17"/>
      <c r="K142" s="18"/>
      <c r="L142" s="16"/>
      <c r="M142" s="17"/>
      <c r="N142" s="18">
        <f t="shared" si="26"/>
        <v>0</v>
      </c>
      <c r="O142" s="19"/>
      <c r="P142" s="18">
        <v>0</v>
      </c>
      <c r="Q142" s="16"/>
      <c r="R142" s="17"/>
      <c r="S142" s="18">
        <v>0</v>
      </c>
      <c r="T142" s="19"/>
      <c r="U142" s="18">
        <v>0</v>
      </c>
      <c r="V142" s="16"/>
      <c r="W142" s="17"/>
      <c r="X142" s="18">
        <f t="shared" si="27"/>
        <v>0</v>
      </c>
      <c r="Y142" s="19"/>
      <c r="Z142" s="19"/>
      <c r="AA142" s="18">
        <f t="shared" si="28"/>
        <v>0</v>
      </c>
      <c r="AB142" s="20">
        <f t="shared" si="29"/>
        <v>0</v>
      </c>
      <c r="AC142" s="5"/>
      <c r="AD142" s="8"/>
      <c r="AF142" s="6"/>
      <c r="AG142" s="7"/>
      <c r="AJ142" s="33"/>
      <c r="AK142" s="35"/>
      <c r="AL142" s="38"/>
    </row>
    <row r="143" spans="1:38" ht="17.25" customHeight="1">
      <c r="A143" s="25"/>
      <c r="B143" s="26"/>
      <c r="C143" s="14"/>
      <c r="D143" s="31"/>
      <c r="E143" s="14"/>
      <c r="F143" s="15" t="str">
        <f t="shared" si="24"/>
        <v xml:space="preserve">S/F  </v>
      </c>
      <c r="G143" s="16"/>
      <c r="H143" s="17">
        <v>21</v>
      </c>
      <c r="I143" s="18">
        <f t="shared" si="25"/>
        <v>0</v>
      </c>
      <c r="J143" s="17"/>
      <c r="K143" s="18"/>
      <c r="L143" s="16"/>
      <c r="M143" s="17"/>
      <c r="N143" s="18">
        <f t="shared" si="26"/>
        <v>0</v>
      </c>
      <c r="O143" s="19"/>
      <c r="P143" s="18">
        <v>0</v>
      </c>
      <c r="Q143" s="16"/>
      <c r="R143" s="17"/>
      <c r="S143" s="18">
        <v>0</v>
      </c>
      <c r="T143" s="19"/>
      <c r="U143" s="18">
        <v>0</v>
      </c>
      <c r="V143" s="16"/>
      <c r="W143" s="17"/>
      <c r="X143" s="18">
        <f t="shared" si="27"/>
        <v>0</v>
      </c>
      <c r="Y143" s="19"/>
      <c r="Z143" s="19"/>
      <c r="AA143" s="18">
        <f t="shared" si="28"/>
        <v>0</v>
      </c>
      <c r="AB143" s="20">
        <f t="shared" si="29"/>
        <v>0</v>
      </c>
      <c r="AC143" s="5"/>
      <c r="AD143" s="8"/>
      <c r="AF143" s="6"/>
      <c r="AG143" s="7"/>
      <c r="AJ143" s="33"/>
      <c r="AK143" s="35"/>
      <c r="AL143" s="38"/>
    </row>
    <row r="144" spans="1:38" ht="17.25" customHeight="1">
      <c r="A144" s="27"/>
      <c r="B144" s="28"/>
      <c r="F144" s="9"/>
      <c r="G144" s="9"/>
      <c r="H144" s="10"/>
      <c r="I144" s="9"/>
      <c r="J144" s="10"/>
      <c r="K144" s="9"/>
      <c r="L144" s="11"/>
      <c r="V144" s="12"/>
      <c r="W144" s="13"/>
      <c r="X144" s="12"/>
      <c r="AB144" s="12"/>
      <c r="AC144" s="5"/>
      <c r="AD144" s="2"/>
      <c r="AF144" s="2"/>
    </row>
    <row r="145" spans="1:32" ht="17.25" customHeight="1">
      <c r="A145" s="27"/>
      <c r="B145" s="28"/>
      <c r="F145" s="59" t="s">
        <v>38</v>
      </c>
      <c r="G145" s="58">
        <f>SUM(G2:G144)</f>
        <v>0</v>
      </c>
      <c r="H145" s="10"/>
      <c r="I145" s="9"/>
      <c r="J145" s="10"/>
      <c r="K145" s="9"/>
      <c r="L145" s="11"/>
      <c r="V145" s="12"/>
      <c r="W145" s="13"/>
      <c r="X145" s="61" t="s">
        <v>39</v>
      </c>
      <c r="AB145" s="60">
        <f>SUM(AB2:AB144)</f>
        <v>0</v>
      </c>
      <c r="AC145" s="5"/>
      <c r="AD145" s="2"/>
      <c r="AF145" s="2"/>
    </row>
  </sheetData>
  <sortState xmlns:xlrd2="http://schemas.microsoft.com/office/spreadsheetml/2017/richdata2" ref="A2:AL143">
    <sortCondition ref="A2:A143"/>
    <sortCondition ref="B2:B143"/>
    <sortCondition ref="E2:E143"/>
  </sortState>
  <dataValidations count="1">
    <dataValidation type="textLength" errorStyle="warning" allowBlank="1" showInputMessage="1" showErrorMessage="1" error="Contamar le informa de que el código introducido debe contener únicamente 8 dígitos._x000a__x000a_" sqref="AC2:AC143" xr:uid="{00000000-0002-0000-0500-000000000000}">
      <formula1>8</formula1>
      <formula2>8</formula2>
    </dataValidation>
  </dataValidations>
  <pageMargins left="0.7" right="0.7" top="0.75" bottom="0.75" header="0.3" footer="0.3"/>
  <pageSetup paperSize="9" orientation="portrait"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Hoja7">
    <pageSetUpPr fitToPage="1"/>
  </sheetPr>
  <dimension ref="A1:AL215"/>
  <sheetViews>
    <sheetView zoomScale="70" zoomScaleNormal="70" zoomScalePageLayoutView="80" workbookViewId="0">
      <pane ySplit="1" topLeftCell="A2" activePane="bottomLeft" state="frozen"/>
      <selection pane="bottomLeft" activeCell="A155" sqref="A155:XFD156"/>
    </sheetView>
  </sheetViews>
  <sheetFormatPr baseColWidth="10" defaultColWidth="11.42578125" defaultRowHeight="15"/>
  <cols>
    <col min="1" max="1" width="12.85546875" style="29" bestFit="1" customWidth="1"/>
    <col min="2" max="2" width="20.42578125" style="30" bestFit="1" customWidth="1"/>
    <col min="3" max="3" width="13.42578125" style="4" hidden="1" customWidth="1"/>
    <col min="4" max="4" width="15.85546875" style="3" bestFit="1" customWidth="1"/>
    <col min="5" max="5" width="49.42578125" style="4" bestFit="1" customWidth="1"/>
    <col min="6" max="6" width="66" style="4" bestFit="1" customWidth="1"/>
    <col min="7" max="7" width="10.85546875" customWidth="1"/>
    <col min="8" max="8" width="7.7109375" customWidth="1"/>
    <col min="9" max="9" width="12.85546875" bestFit="1" customWidth="1"/>
    <col min="10" max="10" width="6.7109375" hidden="1" customWidth="1"/>
    <col min="11" max="11" width="11.7109375" hidden="1" customWidth="1"/>
    <col min="12" max="12" width="8.140625" bestFit="1" customWidth="1"/>
    <col min="13" max="13" width="6.7109375" bestFit="1" customWidth="1"/>
    <col min="14" max="14" width="8.42578125" bestFit="1" customWidth="1"/>
    <col min="15" max="15" width="8.140625" hidden="1" customWidth="1"/>
    <col min="16" max="16" width="12.42578125" hidden="1" customWidth="1"/>
    <col min="17" max="18" width="6.7109375" hidden="1" customWidth="1"/>
    <col min="19" max="19" width="8.42578125" hidden="1" customWidth="1"/>
    <col min="20" max="20" width="7.7109375" hidden="1" customWidth="1"/>
    <col min="21" max="21" width="10.42578125" hidden="1" customWidth="1"/>
    <col min="22" max="22" width="11.7109375" customWidth="1"/>
    <col min="23" max="23" width="6.140625" customWidth="1"/>
    <col min="24" max="24" width="13.28515625" customWidth="1"/>
    <col min="25" max="25" width="11.7109375" hidden="1" customWidth="1"/>
    <col min="26" max="26" width="5.42578125" hidden="1" customWidth="1"/>
    <col min="27" max="27" width="8.42578125" hidden="1" customWidth="1"/>
    <col min="28" max="28" width="12.7109375" bestFit="1" customWidth="1"/>
    <col min="29" max="29" width="14.7109375" hidden="1" customWidth="1"/>
    <col min="30" max="30" width="16.140625" hidden="1" customWidth="1"/>
    <col min="31" max="31" width="16.140625" style="3" hidden="1" customWidth="1"/>
    <col min="32" max="32" width="4.42578125" style="3" hidden="1" customWidth="1"/>
    <col min="33" max="33" width="9.85546875" style="3" hidden="1" customWidth="1"/>
    <col min="34" max="34" width="12" style="4" hidden="1" customWidth="1"/>
    <col min="35" max="35" width="15.42578125" hidden="1" customWidth="1"/>
    <col min="36" max="36" width="26.42578125" bestFit="1" customWidth="1"/>
    <col min="37" max="37" width="21.42578125" bestFit="1" customWidth="1"/>
    <col min="38" max="38" width="14.140625" style="44" customWidth="1"/>
  </cols>
  <sheetData>
    <row r="1" spans="1:38" s="1" customFormat="1" ht="38.25" customHeight="1">
      <c r="A1" s="21" t="s">
        <v>5</v>
      </c>
      <c r="B1" s="22" t="s">
        <v>9</v>
      </c>
      <c r="C1" s="22" t="s">
        <v>6</v>
      </c>
      <c r="D1" s="22" t="s">
        <v>8</v>
      </c>
      <c r="E1" s="22" t="s">
        <v>3</v>
      </c>
      <c r="F1" s="22" t="s">
        <v>10</v>
      </c>
      <c r="G1" s="21" t="s">
        <v>7</v>
      </c>
      <c r="H1" s="21" t="s">
        <v>0</v>
      </c>
      <c r="I1" s="21" t="s">
        <v>1</v>
      </c>
      <c r="J1" s="21" t="s">
        <v>23</v>
      </c>
      <c r="K1" s="21" t="s">
        <v>24</v>
      </c>
      <c r="L1" s="21" t="s">
        <v>19</v>
      </c>
      <c r="M1" s="21" t="s">
        <v>15</v>
      </c>
      <c r="N1" s="21" t="s">
        <v>16</v>
      </c>
      <c r="O1" s="21" t="s">
        <v>25</v>
      </c>
      <c r="P1" s="21" t="s">
        <v>26</v>
      </c>
      <c r="Q1" s="21" t="s">
        <v>20</v>
      </c>
      <c r="R1" s="21" t="s">
        <v>17</v>
      </c>
      <c r="S1" s="21" t="s">
        <v>18</v>
      </c>
      <c r="T1" s="21" t="s">
        <v>28</v>
      </c>
      <c r="U1" s="21" t="s">
        <v>27</v>
      </c>
      <c r="V1" s="21" t="s">
        <v>2</v>
      </c>
      <c r="W1" s="21" t="s">
        <v>30</v>
      </c>
      <c r="X1" s="21" t="s">
        <v>32</v>
      </c>
      <c r="Y1" s="21" t="s">
        <v>29</v>
      </c>
      <c r="Z1" s="21" t="s">
        <v>31</v>
      </c>
      <c r="AA1" s="21" t="s">
        <v>33</v>
      </c>
      <c r="AB1" s="21" t="s">
        <v>34</v>
      </c>
      <c r="AC1" s="22" t="s">
        <v>11</v>
      </c>
      <c r="AD1" s="22" t="s">
        <v>21</v>
      </c>
      <c r="AE1" s="22" t="s">
        <v>22</v>
      </c>
      <c r="AF1" s="22" t="s">
        <v>4</v>
      </c>
      <c r="AG1" s="22" t="s">
        <v>12</v>
      </c>
      <c r="AH1" s="23" t="s">
        <v>13</v>
      </c>
      <c r="AI1" s="24" t="s">
        <v>14</v>
      </c>
      <c r="AJ1" s="32" t="s">
        <v>37</v>
      </c>
      <c r="AK1" s="34" t="s">
        <v>35</v>
      </c>
      <c r="AL1" s="62" t="s">
        <v>36</v>
      </c>
    </row>
    <row r="2" spans="1:38" ht="17.25" customHeight="1">
      <c r="A2" s="25"/>
      <c r="B2" s="26"/>
      <c r="C2" s="14"/>
      <c r="D2" s="31"/>
      <c r="E2" s="14"/>
      <c r="F2" s="15" t="str">
        <f t="shared" ref="F2:F33" si="0">"S/F "&amp;B2&amp;" "&amp;E2</f>
        <v xml:space="preserve">S/F  </v>
      </c>
      <c r="G2" s="16"/>
      <c r="H2" s="17">
        <v>21</v>
      </c>
      <c r="I2" s="18">
        <f t="shared" ref="I2:I33" si="1">+IF(G2&lt;&gt;0,G2*H2/100,0)</f>
        <v>0</v>
      </c>
      <c r="J2" s="17"/>
      <c r="K2" s="18"/>
      <c r="L2" s="16"/>
      <c r="M2" s="17"/>
      <c r="N2" s="18">
        <f t="shared" ref="N2:N33" si="2">+IF(L2&lt;&gt;0,L2*M2/100,0)</f>
        <v>0</v>
      </c>
      <c r="O2" s="19"/>
      <c r="P2" s="18">
        <v>0</v>
      </c>
      <c r="Q2" s="16"/>
      <c r="R2" s="17"/>
      <c r="S2" s="18">
        <v>0</v>
      </c>
      <c r="T2" s="19"/>
      <c r="U2" s="18">
        <v>0</v>
      </c>
      <c r="V2" s="16"/>
      <c r="W2" s="17"/>
      <c r="X2" s="18">
        <f t="shared" ref="X2:X33" si="3">+IF(W2&lt;&gt;0,V2*W2/100,0)</f>
        <v>0</v>
      </c>
      <c r="Y2" s="19"/>
      <c r="Z2" s="19"/>
      <c r="AA2" s="18">
        <f t="shared" ref="AA2:AA33" si="4">+IF(Z2&lt;&gt;0,Y2*Z2/100,0)</f>
        <v>0</v>
      </c>
      <c r="AB2" s="20">
        <f t="shared" ref="AB2:AB33" si="5">+G2+I2+K2+L2+N2+P2+Q2+S2+U2-X2-AA2</f>
        <v>0</v>
      </c>
      <c r="AC2" s="5"/>
      <c r="AD2" s="8"/>
      <c r="AF2" s="6"/>
      <c r="AG2" s="7"/>
      <c r="AJ2" s="33"/>
      <c r="AK2" s="35"/>
      <c r="AL2" s="38"/>
    </row>
    <row r="3" spans="1:38" ht="17.25" customHeight="1">
      <c r="A3" s="25"/>
      <c r="B3" s="26"/>
      <c r="C3" s="14"/>
      <c r="D3" s="31"/>
      <c r="E3" s="14"/>
      <c r="F3" s="15" t="str">
        <f t="shared" si="0"/>
        <v xml:space="preserve">S/F  </v>
      </c>
      <c r="G3" s="16"/>
      <c r="H3" s="17">
        <v>21</v>
      </c>
      <c r="I3" s="18">
        <f t="shared" si="1"/>
        <v>0</v>
      </c>
      <c r="J3" s="17"/>
      <c r="K3" s="18"/>
      <c r="L3" s="16"/>
      <c r="M3" s="17"/>
      <c r="N3" s="18">
        <f t="shared" si="2"/>
        <v>0</v>
      </c>
      <c r="O3" s="19"/>
      <c r="P3" s="18">
        <v>0</v>
      </c>
      <c r="Q3" s="16"/>
      <c r="R3" s="17"/>
      <c r="S3" s="18">
        <v>0</v>
      </c>
      <c r="T3" s="19"/>
      <c r="U3" s="18">
        <v>0</v>
      </c>
      <c r="V3" s="16"/>
      <c r="W3" s="17"/>
      <c r="X3" s="18">
        <f t="shared" si="3"/>
        <v>0</v>
      </c>
      <c r="Y3" s="19"/>
      <c r="Z3" s="19"/>
      <c r="AA3" s="18">
        <f t="shared" si="4"/>
        <v>0</v>
      </c>
      <c r="AB3" s="20">
        <f t="shared" si="5"/>
        <v>0</v>
      </c>
      <c r="AC3" s="5"/>
      <c r="AD3" s="8"/>
      <c r="AF3" s="6"/>
      <c r="AG3" s="7"/>
      <c r="AJ3" s="33"/>
      <c r="AK3" s="35"/>
      <c r="AL3" s="38"/>
    </row>
    <row r="4" spans="1:38" ht="17.25" customHeight="1">
      <c r="A4" s="25"/>
      <c r="B4" s="26"/>
      <c r="C4" s="14"/>
      <c r="D4" s="31"/>
      <c r="E4" s="14"/>
      <c r="F4" s="15" t="str">
        <f t="shared" si="0"/>
        <v xml:space="preserve">S/F  </v>
      </c>
      <c r="G4" s="16"/>
      <c r="H4" s="17">
        <v>21</v>
      </c>
      <c r="I4" s="18">
        <f t="shared" si="1"/>
        <v>0</v>
      </c>
      <c r="J4" s="17"/>
      <c r="K4" s="18"/>
      <c r="L4" s="16"/>
      <c r="M4" s="17"/>
      <c r="N4" s="18">
        <f t="shared" si="2"/>
        <v>0</v>
      </c>
      <c r="O4" s="19"/>
      <c r="P4" s="18">
        <v>0</v>
      </c>
      <c r="Q4" s="16"/>
      <c r="R4" s="17"/>
      <c r="S4" s="18">
        <v>0</v>
      </c>
      <c r="T4" s="19"/>
      <c r="U4" s="18">
        <v>0</v>
      </c>
      <c r="V4" s="16"/>
      <c r="W4" s="17"/>
      <c r="X4" s="18">
        <f t="shared" si="3"/>
        <v>0</v>
      </c>
      <c r="Y4" s="19"/>
      <c r="Z4" s="19"/>
      <c r="AA4" s="18">
        <f t="shared" si="4"/>
        <v>0</v>
      </c>
      <c r="AB4" s="20">
        <f t="shared" si="5"/>
        <v>0</v>
      </c>
      <c r="AC4" s="5"/>
      <c r="AD4" s="8"/>
      <c r="AF4" s="6"/>
      <c r="AG4" s="7"/>
      <c r="AJ4" s="33"/>
      <c r="AK4" s="35"/>
      <c r="AL4" s="38"/>
    </row>
    <row r="5" spans="1:38" ht="17.25" customHeight="1">
      <c r="A5" s="25"/>
      <c r="B5" s="26"/>
      <c r="C5" s="14"/>
      <c r="D5" s="31"/>
      <c r="E5" s="14"/>
      <c r="F5" s="15" t="str">
        <f t="shared" si="0"/>
        <v xml:space="preserve">S/F  </v>
      </c>
      <c r="G5" s="16"/>
      <c r="H5" s="17">
        <v>21</v>
      </c>
      <c r="I5" s="18">
        <f t="shared" si="1"/>
        <v>0</v>
      </c>
      <c r="J5" s="17"/>
      <c r="K5" s="18"/>
      <c r="L5" s="16"/>
      <c r="M5" s="17"/>
      <c r="N5" s="18">
        <f t="shared" si="2"/>
        <v>0</v>
      </c>
      <c r="O5" s="19"/>
      <c r="P5" s="18">
        <v>0</v>
      </c>
      <c r="Q5" s="16"/>
      <c r="R5" s="17"/>
      <c r="S5" s="18">
        <v>0</v>
      </c>
      <c r="T5" s="19"/>
      <c r="U5" s="18">
        <v>0</v>
      </c>
      <c r="V5" s="16"/>
      <c r="W5" s="17"/>
      <c r="X5" s="18">
        <f t="shared" si="3"/>
        <v>0</v>
      </c>
      <c r="Y5" s="19"/>
      <c r="Z5" s="19"/>
      <c r="AA5" s="18">
        <f t="shared" si="4"/>
        <v>0</v>
      </c>
      <c r="AB5" s="20">
        <f t="shared" si="5"/>
        <v>0</v>
      </c>
      <c r="AC5" s="5"/>
      <c r="AD5" s="8"/>
      <c r="AF5" s="6"/>
      <c r="AG5" s="7"/>
      <c r="AJ5" s="33"/>
      <c r="AK5" s="35"/>
      <c r="AL5" s="38"/>
    </row>
    <row r="6" spans="1:38" ht="17.25" customHeight="1">
      <c r="A6" s="25"/>
      <c r="B6" s="26"/>
      <c r="C6" s="14"/>
      <c r="D6" s="31"/>
      <c r="E6" s="14"/>
      <c r="F6" s="15" t="str">
        <f t="shared" si="0"/>
        <v xml:space="preserve">S/F  </v>
      </c>
      <c r="G6" s="16"/>
      <c r="H6" s="17">
        <v>21</v>
      </c>
      <c r="I6" s="18">
        <f t="shared" si="1"/>
        <v>0</v>
      </c>
      <c r="J6" s="17"/>
      <c r="K6" s="18"/>
      <c r="L6" s="16"/>
      <c r="M6" s="17"/>
      <c r="N6" s="18">
        <f t="shared" si="2"/>
        <v>0</v>
      </c>
      <c r="O6" s="19"/>
      <c r="P6" s="18">
        <v>0</v>
      </c>
      <c r="Q6" s="16"/>
      <c r="R6" s="17"/>
      <c r="S6" s="18">
        <v>0</v>
      </c>
      <c r="T6" s="19"/>
      <c r="U6" s="18">
        <v>0</v>
      </c>
      <c r="V6" s="16"/>
      <c r="W6" s="17"/>
      <c r="X6" s="18">
        <f t="shared" si="3"/>
        <v>0</v>
      </c>
      <c r="Y6" s="19"/>
      <c r="Z6" s="19"/>
      <c r="AA6" s="18">
        <f t="shared" si="4"/>
        <v>0</v>
      </c>
      <c r="AB6" s="20">
        <f t="shared" si="5"/>
        <v>0</v>
      </c>
      <c r="AC6" s="5"/>
      <c r="AD6" s="8"/>
      <c r="AF6" s="6"/>
      <c r="AG6" s="7"/>
      <c r="AJ6" s="33"/>
      <c r="AK6" s="35"/>
      <c r="AL6" s="38"/>
    </row>
    <row r="7" spans="1:38" ht="17.25" customHeight="1">
      <c r="A7" s="25"/>
      <c r="B7" s="26"/>
      <c r="C7" s="14"/>
      <c r="D7" s="31"/>
      <c r="E7" s="14"/>
      <c r="F7" s="15" t="str">
        <f t="shared" si="0"/>
        <v xml:space="preserve">S/F  </v>
      </c>
      <c r="G7" s="16"/>
      <c r="H7" s="17">
        <v>21</v>
      </c>
      <c r="I7" s="18">
        <f t="shared" si="1"/>
        <v>0</v>
      </c>
      <c r="J7" s="17"/>
      <c r="K7" s="18"/>
      <c r="L7" s="16"/>
      <c r="M7" s="17"/>
      <c r="N7" s="18">
        <f t="shared" si="2"/>
        <v>0</v>
      </c>
      <c r="O7" s="19"/>
      <c r="P7" s="18">
        <v>0</v>
      </c>
      <c r="Q7" s="16"/>
      <c r="R7" s="17"/>
      <c r="S7" s="18">
        <v>0</v>
      </c>
      <c r="T7" s="19"/>
      <c r="U7" s="18">
        <v>0</v>
      </c>
      <c r="V7" s="16"/>
      <c r="W7" s="17"/>
      <c r="X7" s="18">
        <f t="shared" si="3"/>
        <v>0</v>
      </c>
      <c r="Y7" s="19"/>
      <c r="Z7" s="19"/>
      <c r="AA7" s="18">
        <f t="shared" si="4"/>
        <v>0</v>
      </c>
      <c r="AB7" s="20">
        <f t="shared" si="5"/>
        <v>0</v>
      </c>
      <c r="AC7" s="5"/>
      <c r="AD7" s="8"/>
      <c r="AF7" s="6"/>
      <c r="AG7" s="7"/>
      <c r="AJ7" s="33"/>
      <c r="AK7" s="35"/>
      <c r="AL7" s="38"/>
    </row>
    <row r="8" spans="1:38" ht="17.25" customHeight="1">
      <c r="A8" s="25"/>
      <c r="B8" s="26"/>
      <c r="C8" s="14"/>
      <c r="D8" s="31"/>
      <c r="E8" s="14"/>
      <c r="F8" s="15" t="str">
        <f t="shared" si="0"/>
        <v xml:space="preserve">S/F  </v>
      </c>
      <c r="G8" s="16"/>
      <c r="H8" s="17">
        <v>21</v>
      </c>
      <c r="I8" s="18">
        <f t="shared" si="1"/>
        <v>0</v>
      </c>
      <c r="J8" s="17"/>
      <c r="K8" s="18"/>
      <c r="L8" s="16"/>
      <c r="M8" s="17"/>
      <c r="N8" s="18">
        <f t="shared" si="2"/>
        <v>0</v>
      </c>
      <c r="O8" s="19"/>
      <c r="P8" s="18">
        <v>0</v>
      </c>
      <c r="Q8" s="16"/>
      <c r="R8" s="17"/>
      <c r="S8" s="18">
        <v>0</v>
      </c>
      <c r="T8" s="19"/>
      <c r="U8" s="18">
        <v>0</v>
      </c>
      <c r="V8" s="16"/>
      <c r="W8" s="17"/>
      <c r="X8" s="18">
        <f t="shared" si="3"/>
        <v>0</v>
      </c>
      <c r="Y8" s="19"/>
      <c r="Z8" s="19"/>
      <c r="AA8" s="18">
        <f t="shared" si="4"/>
        <v>0</v>
      </c>
      <c r="AB8" s="20">
        <f t="shared" si="5"/>
        <v>0</v>
      </c>
      <c r="AC8" s="5"/>
      <c r="AD8" s="8"/>
      <c r="AF8" s="6"/>
      <c r="AG8" s="7"/>
      <c r="AJ8" s="33"/>
      <c r="AK8" s="35"/>
      <c r="AL8" s="38"/>
    </row>
    <row r="9" spans="1:38" ht="17.25" customHeight="1">
      <c r="A9" s="25"/>
      <c r="B9" s="26"/>
      <c r="C9" s="14"/>
      <c r="D9" s="31"/>
      <c r="E9" s="14"/>
      <c r="F9" s="15" t="str">
        <f t="shared" si="0"/>
        <v xml:space="preserve">S/F  </v>
      </c>
      <c r="G9" s="16"/>
      <c r="H9" s="17">
        <v>21</v>
      </c>
      <c r="I9" s="18">
        <f t="shared" si="1"/>
        <v>0</v>
      </c>
      <c r="J9" s="17"/>
      <c r="K9" s="18"/>
      <c r="L9" s="16"/>
      <c r="M9" s="17"/>
      <c r="N9" s="18">
        <f t="shared" si="2"/>
        <v>0</v>
      </c>
      <c r="O9" s="19"/>
      <c r="P9" s="18">
        <v>0</v>
      </c>
      <c r="Q9" s="16"/>
      <c r="R9" s="17"/>
      <c r="S9" s="18">
        <v>0</v>
      </c>
      <c r="T9" s="19"/>
      <c r="U9" s="18">
        <v>0</v>
      </c>
      <c r="V9" s="16"/>
      <c r="W9" s="17"/>
      <c r="X9" s="18">
        <f t="shared" si="3"/>
        <v>0</v>
      </c>
      <c r="Y9" s="19"/>
      <c r="Z9" s="19"/>
      <c r="AA9" s="18">
        <f t="shared" si="4"/>
        <v>0</v>
      </c>
      <c r="AB9" s="20">
        <f t="shared" si="5"/>
        <v>0</v>
      </c>
      <c r="AC9" s="5"/>
      <c r="AD9" s="8"/>
      <c r="AF9" s="6"/>
      <c r="AG9" s="7"/>
      <c r="AJ9" s="33"/>
      <c r="AK9" s="35"/>
      <c r="AL9" s="38"/>
    </row>
    <row r="10" spans="1:38" ht="17.25" customHeight="1">
      <c r="A10" s="25"/>
      <c r="B10" s="26"/>
      <c r="C10" s="14"/>
      <c r="D10" s="31"/>
      <c r="E10" s="14"/>
      <c r="F10" s="15" t="str">
        <f t="shared" si="0"/>
        <v xml:space="preserve">S/F  </v>
      </c>
      <c r="G10" s="16"/>
      <c r="H10" s="17">
        <v>21</v>
      </c>
      <c r="I10" s="18">
        <f t="shared" si="1"/>
        <v>0</v>
      </c>
      <c r="J10" s="17"/>
      <c r="K10" s="18"/>
      <c r="L10" s="16"/>
      <c r="M10" s="17"/>
      <c r="N10" s="18">
        <f t="shared" si="2"/>
        <v>0</v>
      </c>
      <c r="O10" s="19"/>
      <c r="P10" s="18">
        <v>0</v>
      </c>
      <c r="Q10" s="16"/>
      <c r="R10" s="17"/>
      <c r="S10" s="18">
        <v>0</v>
      </c>
      <c r="T10" s="19"/>
      <c r="U10" s="18">
        <v>0</v>
      </c>
      <c r="V10" s="16"/>
      <c r="W10" s="17"/>
      <c r="X10" s="18">
        <f t="shared" si="3"/>
        <v>0</v>
      </c>
      <c r="Y10" s="19"/>
      <c r="Z10" s="19"/>
      <c r="AA10" s="18">
        <f t="shared" si="4"/>
        <v>0</v>
      </c>
      <c r="AB10" s="20">
        <f t="shared" si="5"/>
        <v>0</v>
      </c>
      <c r="AC10" s="5"/>
      <c r="AD10" s="8"/>
      <c r="AF10" s="6"/>
      <c r="AG10" s="7"/>
      <c r="AJ10" s="33"/>
      <c r="AK10" s="35"/>
      <c r="AL10" s="38"/>
    </row>
    <row r="11" spans="1:38" ht="17.25" customHeight="1">
      <c r="A11" s="25"/>
      <c r="B11" s="26"/>
      <c r="C11" s="14"/>
      <c r="D11" s="31"/>
      <c r="E11" s="14"/>
      <c r="F11" s="15" t="str">
        <f t="shared" si="0"/>
        <v xml:space="preserve">S/F  </v>
      </c>
      <c r="G11" s="16"/>
      <c r="H11" s="17">
        <v>21</v>
      </c>
      <c r="I11" s="18">
        <f t="shared" si="1"/>
        <v>0</v>
      </c>
      <c r="J11" s="17"/>
      <c r="K11" s="18"/>
      <c r="L11" s="16"/>
      <c r="M11" s="17"/>
      <c r="N11" s="18">
        <f t="shared" si="2"/>
        <v>0</v>
      </c>
      <c r="O11" s="19"/>
      <c r="P11" s="18">
        <v>0</v>
      </c>
      <c r="Q11" s="16"/>
      <c r="R11" s="17"/>
      <c r="S11" s="18">
        <v>0</v>
      </c>
      <c r="T11" s="19"/>
      <c r="U11" s="18">
        <v>0</v>
      </c>
      <c r="V11" s="16"/>
      <c r="W11" s="17"/>
      <c r="X11" s="18">
        <f t="shared" si="3"/>
        <v>0</v>
      </c>
      <c r="Y11" s="19"/>
      <c r="Z11" s="19"/>
      <c r="AA11" s="18">
        <f t="shared" si="4"/>
        <v>0</v>
      </c>
      <c r="AB11" s="20">
        <f t="shared" si="5"/>
        <v>0</v>
      </c>
      <c r="AC11" s="5"/>
      <c r="AD11" s="8"/>
      <c r="AF11" s="6"/>
      <c r="AG11" s="7"/>
      <c r="AJ11" s="33"/>
      <c r="AK11" s="35"/>
      <c r="AL11" s="38"/>
    </row>
    <row r="12" spans="1:38" ht="17.25" customHeight="1">
      <c r="A12" s="25"/>
      <c r="B12" s="26"/>
      <c r="C12" s="14"/>
      <c r="D12" s="31"/>
      <c r="E12" s="14"/>
      <c r="F12" s="15" t="str">
        <f t="shared" si="0"/>
        <v xml:space="preserve">S/F  </v>
      </c>
      <c r="G12" s="16"/>
      <c r="H12" s="17">
        <v>21</v>
      </c>
      <c r="I12" s="18">
        <f t="shared" si="1"/>
        <v>0</v>
      </c>
      <c r="J12" s="17"/>
      <c r="K12" s="18"/>
      <c r="L12" s="16"/>
      <c r="M12" s="17"/>
      <c r="N12" s="18">
        <f t="shared" si="2"/>
        <v>0</v>
      </c>
      <c r="O12" s="19"/>
      <c r="P12" s="18">
        <v>0</v>
      </c>
      <c r="Q12" s="16"/>
      <c r="R12" s="17"/>
      <c r="S12" s="18">
        <v>0</v>
      </c>
      <c r="T12" s="19"/>
      <c r="U12" s="18">
        <v>0</v>
      </c>
      <c r="V12" s="16"/>
      <c r="W12" s="17"/>
      <c r="X12" s="18">
        <f t="shared" si="3"/>
        <v>0</v>
      </c>
      <c r="Y12" s="19"/>
      <c r="Z12" s="19"/>
      <c r="AA12" s="18">
        <f t="shared" si="4"/>
        <v>0</v>
      </c>
      <c r="AB12" s="20">
        <f t="shared" si="5"/>
        <v>0</v>
      </c>
      <c r="AC12" s="5"/>
      <c r="AD12" s="8"/>
      <c r="AF12" s="6"/>
      <c r="AG12" s="7"/>
      <c r="AJ12" s="33"/>
      <c r="AK12" s="35"/>
      <c r="AL12" s="38"/>
    </row>
    <row r="13" spans="1:38" ht="17.25" customHeight="1">
      <c r="A13" s="25"/>
      <c r="B13" s="26"/>
      <c r="C13" s="14"/>
      <c r="D13" s="31"/>
      <c r="E13" s="14"/>
      <c r="F13" s="15" t="str">
        <f t="shared" si="0"/>
        <v xml:space="preserve">S/F  </v>
      </c>
      <c r="G13" s="16"/>
      <c r="H13" s="17">
        <v>21</v>
      </c>
      <c r="I13" s="18">
        <f t="shared" si="1"/>
        <v>0</v>
      </c>
      <c r="J13" s="17"/>
      <c r="K13" s="18"/>
      <c r="L13" s="16"/>
      <c r="M13" s="17"/>
      <c r="N13" s="18">
        <f t="shared" si="2"/>
        <v>0</v>
      </c>
      <c r="O13" s="19"/>
      <c r="P13" s="18">
        <v>0</v>
      </c>
      <c r="Q13" s="16"/>
      <c r="R13" s="17"/>
      <c r="S13" s="18">
        <v>0</v>
      </c>
      <c r="T13" s="19"/>
      <c r="U13" s="18">
        <v>0</v>
      </c>
      <c r="V13" s="16"/>
      <c r="W13" s="17"/>
      <c r="X13" s="18">
        <f t="shared" si="3"/>
        <v>0</v>
      </c>
      <c r="Y13" s="19"/>
      <c r="Z13" s="19"/>
      <c r="AA13" s="18">
        <f t="shared" si="4"/>
        <v>0</v>
      </c>
      <c r="AB13" s="20">
        <f t="shared" si="5"/>
        <v>0</v>
      </c>
      <c r="AC13" s="5"/>
      <c r="AD13" s="8"/>
      <c r="AF13" s="6"/>
      <c r="AG13" s="7"/>
      <c r="AJ13" s="33"/>
      <c r="AK13" s="35"/>
      <c r="AL13" s="38"/>
    </row>
    <row r="14" spans="1:38" ht="17.25" customHeight="1">
      <c r="A14" s="25"/>
      <c r="B14" s="26"/>
      <c r="C14" s="14"/>
      <c r="D14" s="31"/>
      <c r="E14" s="14"/>
      <c r="F14" s="15" t="str">
        <f t="shared" si="0"/>
        <v xml:space="preserve">S/F  </v>
      </c>
      <c r="G14" s="16"/>
      <c r="H14" s="17">
        <v>21</v>
      </c>
      <c r="I14" s="18">
        <f t="shared" si="1"/>
        <v>0</v>
      </c>
      <c r="J14" s="17"/>
      <c r="K14" s="18"/>
      <c r="L14" s="16"/>
      <c r="M14" s="17"/>
      <c r="N14" s="18">
        <f t="shared" si="2"/>
        <v>0</v>
      </c>
      <c r="O14" s="19"/>
      <c r="P14" s="18">
        <v>0</v>
      </c>
      <c r="Q14" s="16"/>
      <c r="R14" s="17"/>
      <c r="S14" s="18">
        <v>0</v>
      </c>
      <c r="T14" s="19"/>
      <c r="U14" s="18">
        <v>0</v>
      </c>
      <c r="V14" s="16"/>
      <c r="W14" s="17"/>
      <c r="X14" s="18">
        <f t="shared" si="3"/>
        <v>0</v>
      </c>
      <c r="Y14" s="19"/>
      <c r="Z14" s="19"/>
      <c r="AA14" s="18">
        <f t="shared" si="4"/>
        <v>0</v>
      </c>
      <c r="AB14" s="20">
        <f t="shared" si="5"/>
        <v>0</v>
      </c>
      <c r="AC14" s="5"/>
      <c r="AD14" s="8"/>
      <c r="AF14" s="6"/>
      <c r="AG14" s="7"/>
      <c r="AJ14" s="33"/>
      <c r="AK14" s="35"/>
      <c r="AL14" s="38"/>
    </row>
    <row r="15" spans="1:38" ht="17.25" customHeight="1">
      <c r="A15" s="25"/>
      <c r="B15" s="26"/>
      <c r="C15" s="14"/>
      <c r="D15" s="31"/>
      <c r="E15" s="14"/>
      <c r="F15" s="15" t="str">
        <f t="shared" si="0"/>
        <v xml:space="preserve">S/F  </v>
      </c>
      <c r="G15" s="16"/>
      <c r="H15" s="17">
        <v>21</v>
      </c>
      <c r="I15" s="18">
        <f t="shared" si="1"/>
        <v>0</v>
      </c>
      <c r="J15" s="17"/>
      <c r="K15" s="18"/>
      <c r="L15" s="16"/>
      <c r="M15" s="17"/>
      <c r="N15" s="18">
        <f t="shared" si="2"/>
        <v>0</v>
      </c>
      <c r="O15" s="19"/>
      <c r="P15" s="18">
        <v>0</v>
      </c>
      <c r="Q15" s="16"/>
      <c r="R15" s="17"/>
      <c r="S15" s="18">
        <v>0</v>
      </c>
      <c r="T15" s="19"/>
      <c r="U15" s="18">
        <v>0</v>
      </c>
      <c r="V15" s="16"/>
      <c r="W15" s="17"/>
      <c r="X15" s="18">
        <f t="shared" si="3"/>
        <v>0</v>
      </c>
      <c r="Y15" s="19"/>
      <c r="Z15" s="19"/>
      <c r="AA15" s="18">
        <f t="shared" si="4"/>
        <v>0</v>
      </c>
      <c r="AB15" s="20">
        <f t="shared" si="5"/>
        <v>0</v>
      </c>
      <c r="AC15" s="5"/>
      <c r="AD15" s="8"/>
      <c r="AF15" s="6"/>
      <c r="AG15" s="7"/>
      <c r="AJ15" s="33"/>
      <c r="AK15" s="35"/>
      <c r="AL15" s="38"/>
    </row>
    <row r="16" spans="1:38" ht="17.25" customHeight="1">
      <c r="A16" s="25"/>
      <c r="B16" s="26"/>
      <c r="C16" s="14"/>
      <c r="D16" s="31"/>
      <c r="E16" s="14"/>
      <c r="F16" s="15" t="str">
        <f t="shared" si="0"/>
        <v xml:space="preserve">S/F  </v>
      </c>
      <c r="G16" s="16"/>
      <c r="H16" s="17">
        <v>21</v>
      </c>
      <c r="I16" s="18">
        <f t="shared" si="1"/>
        <v>0</v>
      </c>
      <c r="J16" s="17"/>
      <c r="K16" s="18"/>
      <c r="L16" s="16"/>
      <c r="M16" s="17"/>
      <c r="N16" s="18">
        <f t="shared" si="2"/>
        <v>0</v>
      </c>
      <c r="O16" s="19"/>
      <c r="P16" s="18">
        <v>0</v>
      </c>
      <c r="Q16" s="16"/>
      <c r="R16" s="17"/>
      <c r="S16" s="18">
        <v>0</v>
      </c>
      <c r="T16" s="19"/>
      <c r="U16" s="18">
        <v>0</v>
      </c>
      <c r="V16" s="16"/>
      <c r="W16" s="17"/>
      <c r="X16" s="18">
        <f t="shared" si="3"/>
        <v>0</v>
      </c>
      <c r="Y16" s="19"/>
      <c r="Z16" s="19"/>
      <c r="AA16" s="18">
        <f t="shared" si="4"/>
        <v>0</v>
      </c>
      <c r="AB16" s="20">
        <f t="shared" si="5"/>
        <v>0</v>
      </c>
      <c r="AC16" s="5"/>
      <c r="AD16" s="8"/>
      <c r="AF16" s="6"/>
      <c r="AG16" s="7"/>
      <c r="AJ16" s="33"/>
      <c r="AK16" s="35"/>
      <c r="AL16" s="38"/>
    </row>
    <row r="17" spans="1:38" ht="17.25" customHeight="1">
      <c r="A17" s="25"/>
      <c r="B17" s="26"/>
      <c r="C17" s="14"/>
      <c r="D17" s="31"/>
      <c r="E17" s="14"/>
      <c r="F17" s="15" t="str">
        <f t="shared" si="0"/>
        <v xml:space="preserve">S/F  </v>
      </c>
      <c r="G17" s="16"/>
      <c r="H17" s="17">
        <v>21</v>
      </c>
      <c r="I17" s="18">
        <f t="shared" si="1"/>
        <v>0</v>
      </c>
      <c r="J17" s="17"/>
      <c r="K17" s="18"/>
      <c r="L17" s="16"/>
      <c r="M17" s="17"/>
      <c r="N17" s="18">
        <f t="shared" si="2"/>
        <v>0</v>
      </c>
      <c r="O17" s="19"/>
      <c r="P17" s="18">
        <v>0</v>
      </c>
      <c r="Q17" s="16"/>
      <c r="R17" s="17"/>
      <c r="S17" s="18">
        <v>0</v>
      </c>
      <c r="T17" s="19"/>
      <c r="U17" s="18">
        <v>0</v>
      </c>
      <c r="V17" s="16"/>
      <c r="W17" s="17"/>
      <c r="X17" s="18">
        <f t="shared" si="3"/>
        <v>0</v>
      </c>
      <c r="Y17" s="19"/>
      <c r="Z17" s="19"/>
      <c r="AA17" s="18">
        <f t="shared" si="4"/>
        <v>0</v>
      </c>
      <c r="AB17" s="20">
        <f t="shared" si="5"/>
        <v>0</v>
      </c>
      <c r="AC17" s="5"/>
      <c r="AD17" s="8"/>
      <c r="AF17" s="6"/>
      <c r="AG17" s="7"/>
      <c r="AJ17" s="33"/>
      <c r="AK17" s="35"/>
      <c r="AL17" s="38"/>
    </row>
    <row r="18" spans="1:38" ht="17.25" customHeight="1">
      <c r="A18" s="25"/>
      <c r="B18" s="26"/>
      <c r="C18" s="14"/>
      <c r="D18" s="31"/>
      <c r="E18" s="63"/>
      <c r="F18" s="15" t="str">
        <f t="shared" si="0"/>
        <v xml:space="preserve">S/F  </v>
      </c>
      <c r="G18" s="16"/>
      <c r="H18" s="17">
        <v>21</v>
      </c>
      <c r="I18" s="18">
        <f t="shared" si="1"/>
        <v>0</v>
      </c>
      <c r="J18" s="17"/>
      <c r="K18" s="18"/>
      <c r="L18" s="16"/>
      <c r="M18" s="17"/>
      <c r="N18" s="18">
        <f t="shared" si="2"/>
        <v>0</v>
      </c>
      <c r="O18" s="19"/>
      <c r="P18" s="18">
        <v>0</v>
      </c>
      <c r="Q18" s="16"/>
      <c r="R18" s="17"/>
      <c r="S18" s="18">
        <v>0</v>
      </c>
      <c r="T18" s="19"/>
      <c r="U18" s="18">
        <v>0</v>
      </c>
      <c r="V18" s="16"/>
      <c r="W18" s="17"/>
      <c r="X18" s="18">
        <f t="shared" si="3"/>
        <v>0</v>
      </c>
      <c r="Y18" s="19"/>
      <c r="Z18" s="19"/>
      <c r="AA18" s="18">
        <f t="shared" si="4"/>
        <v>0</v>
      </c>
      <c r="AB18" s="20">
        <f t="shared" si="5"/>
        <v>0</v>
      </c>
      <c r="AC18" s="5"/>
      <c r="AD18" s="8"/>
      <c r="AF18" s="6"/>
      <c r="AG18" s="7"/>
      <c r="AJ18" s="33"/>
      <c r="AK18" s="35"/>
      <c r="AL18" s="38"/>
    </row>
    <row r="19" spans="1:38" ht="17.25" customHeight="1">
      <c r="A19" s="25"/>
      <c r="B19" s="26"/>
      <c r="C19" s="14"/>
      <c r="D19" s="31"/>
      <c r="E19" s="14"/>
      <c r="F19" s="15" t="str">
        <f t="shared" si="0"/>
        <v xml:space="preserve">S/F  </v>
      </c>
      <c r="G19" s="16"/>
      <c r="H19" s="17">
        <v>21</v>
      </c>
      <c r="I19" s="18">
        <f t="shared" si="1"/>
        <v>0</v>
      </c>
      <c r="J19" s="17"/>
      <c r="K19" s="18"/>
      <c r="L19" s="16"/>
      <c r="M19" s="17"/>
      <c r="N19" s="18">
        <f t="shared" si="2"/>
        <v>0</v>
      </c>
      <c r="O19" s="19"/>
      <c r="P19" s="18">
        <v>0</v>
      </c>
      <c r="Q19" s="16"/>
      <c r="R19" s="17"/>
      <c r="S19" s="18">
        <v>0</v>
      </c>
      <c r="T19" s="19"/>
      <c r="U19" s="18">
        <v>0</v>
      </c>
      <c r="V19" s="16"/>
      <c r="W19" s="17"/>
      <c r="X19" s="18">
        <f t="shared" si="3"/>
        <v>0</v>
      </c>
      <c r="Y19" s="19"/>
      <c r="Z19" s="19"/>
      <c r="AA19" s="18">
        <f t="shared" si="4"/>
        <v>0</v>
      </c>
      <c r="AB19" s="20">
        <f t="shared" si="5"/>
        <v>0</v>
      </c>
      <c r="AC19" s="5"/>
      <c r="AD19" s="8"/>
      <c r="AF19" s="6"/>
      <c r="AG19" s="7"/>
      <c r="AJ19" s="33"/>
      <c r="AK19" s="35"/>
      <c r="AL19" s="38"/>
    </row>
    <row r="20" spans="1:38" ht="17.25" customHeight="1">
      <c r="A20" s="25"/>
      <c r="B20" s="26"/>
      <c r="C20" s="14"/>
      <c r="D20" s="31"/>
      <c r="E20" s="14"/>
      <c r="F20" s="15" t="str">
        <f t="shared" si="0"/>
        <v xml:space="preserve">S/F  </v>
      </c>
      <c r="G20" s="16"/>
      <c r="H20" s="17">
        <v>21</v>
      </c>
      <c r="I20" s="18">
        <f t="shared" si="1"/>
        <v>0</v>
      </c>
      <c r="J20" s="17"/>
      <c r="K20" s="18"/>
      <c r="L20" s="16"/>
      <c r="M20" s="17"/>
      <c r="N20" s="18">
        <f t="shared" si="2"/>
        <v>0</v>
      </c>
      <c r="O20" s="19"/>
      <c r="P20" s="18">
        <v>0</v>
      </c>
      <c r="Q20" s="16"/>
      <c r="R20" s="17"/>
      <c r="S20" s="18">
        <v>0</v>
      </c>
      <c r="T20" s="19"/>
      <c r="U20" s="18">
        <v>0</v>
      </c>
      <c r="V20" s="16"/>
      <c r="W20" s="17"/>
      <c r="X20" s="18">
        <f t="shared" si="3"/>
        <v>0</v>
      </c>
      <c r="Y20" s="19"/>
      <c r="Z20" s="19"/>
      <c r="AA20" s="18">
        <f t="shared" si="4"/>
        <v>0</v>
      </c>
      <c r="AB20" s="20">
        <f t="shared" si="5"/>
        <v>0</v>
      </c>
      <c r="AC20" s="5"/>
      <c r="AD20" s="8"/>
      <c r="AF20" s="6"/>
      <c r="AG20" s="7"/>
      <c r="AJ20" s="33"/>
      <c r="AK20" s="35"/>
      <c r="AL20" s="38"/>
    </row>
    <row r="21" spans="1:38" ht="17.25" customHeight="1">
      <c r="A21" s="25"/>
      <c r="B21" s="26"/>
      <c r="C21" s="14"/>
      <c r="D21" s="31"/>
      <c r="E21" s="14"/>
      <c r="F21" s="15" t="str">
        <f t="shared" si="0"/>
        <v xml:space="preserve">S/F  </v>
      </c>
      <c r="G21" s="16"/>
      <c r="H21" s="17">
        <v>21</v>
      </c>
      <c r="I21" s="18">
        <f t="shared" si="1"/>
        <v>0</v>
      </c>
      <c r="J21" s="17"/>
      <c r="K21" s="18"/>
      <c r="L21" s="16"/>
      <c r="M21" s="17"/>
      <c r="N21" s="18">
        <f t="shared" si="2"/>
        <v>0</v>
      </c>
      <c r="O21" s="19"/>
      <c r="P21" s="18">
        <v>0</v>
      </c>
      <c r="Q21" s="16"/>
      <c r="R21" s="17"/>
      <c r="S21" s="18">
        <v>0</v>
      </c>
      <c r="T21" s="19"/>
      <c r="U21" s="18">
        <v>0</v>
      </c>
      <c r="V21" s="16"/>
      <c r="W21" s="17"/>
      <c r="X21" s="18">
        <f t="shared" si="3"/>
        <v>0</v>
      </c>
      <c r="Y21" s="19"/>
      <c r="Z21" s="19"/>
      <c r="AA21" s="18">
        <f t="shared" si="4"/>
        <v>0</v>
      </c>
      <c r="AB21" s="20">
        <f t="shared" si="5"/>
        <v>0</v>
      </c>
      <c r="AC21" s="5"/>
      <c r="AD21" s="8"/>
      <c r="AF21" s="6"/>
      <c r="AG21" s="7"/>
      <c r="AJ21" s="33"/>
      <c r="AK21" s="35"/>
      <c r="AL21" s="38"/>
    </row>
    <row r="22" spans="1:38" ht="17.25" customHeight="1">
      <c r="A22" s="25"/>
      <c r="B22" s="26"/>
      <c r="C22" s="14"/>
      <c r="D22" s="31"/>
      <c r="E22" s="14"/>
      <c r="F22" s="15" t="str">
        <f t="shared" si="0"/>
        <v xml:space="preserve">S/F  </v>
      </c>
      <c r="G22" s="16"/>
      <c r="H22" s="17">
        <v>21</v>
      </c>
      <c r="I22" s="18">
        <f t="shared" si="1"/>
        <v>0</v>
      </c>
      <c r="J22" s="17"/>
      <c r="K22" s="18"/>
      <c r="L22" s="16"/>
      <c r="M22" s="17"/>
      <c r="N22" s="18">
        <f t="shared" si="2"/>
        <v>0</v>
      </c>
      <c r="O22" s="19"/>
      <c r="P22" s="18">
        <v>0</v>
      </c>
      <c r="Q22" s="16"/>
      <c r="R22" s="17"/>
      <c r="S22" s="18">
        <v>0</v>
      </c>
      <c r="T22" s="19"/>
      <c r="U22" s="18">
        <v>0</v>
      </c>
      <c r="V22" s="16"/>
      <c r="W22" s="17"/>
      <c r="X22" s="18">
        <f t="shared" si="3"/>
        <v>0</v>
      </c>
      <c r="Y22" s="19"/>
      <c r="Z22" s="19"/>
      <c r="AA22" s="18">
        <f t="shared" si="4"/>
        <v>0</v>
      </c>
      <c r="AB22" s="20">
        <f t="shared" si="5"/>
        <v>0</v>
      </c>
      <c r="AC22" s="5"/>
      <c r="AD22" s="8"/>
      <c r="AF22" s="6"/>
      <c r="AG22" s="7"/>
      <c r="AJ22" s="33"/>
      <c r="AK22" s="35"/>
      <c r="AL22" s="38"/>
    </row>
    <row r="23" spans="1:38" ht="17.25" customHeight="1">
      <c r="A23" s="25"/>
      <c r="B23" s="26"/>
      <c r="C23" s="14"/>
      <c r="D23" s="31"/>
      <c r="E23" s="14"/>
      <c r="F23" s="15" t="str">
        <f t="shared" si="0"/>
        <v xml:space="preserve">S/F  </v>
      </c>
      <c r="G23" s="16"/>
      <c r="H23" s="17">
        <v>21</v>
      </c>
      <c r="I23" s="18">
        <f t="shared" si="1"/>
        <v>0</v>
      </c>
      <c r="J23" s="17"/>
      <c r="K23" s="18"/>
      <c r="L23" s="16"/>
      <c r="M23" s="17"/>
      <c r="N23" s="18">
        <f t="shared" si="2"/>
        <v>0</v>
      </c>
      <c r="O23" s="19"/>
      <c r="P23" s="18">
        <v>0</v>
      </c>
      <c r="Q23" s="16"/>
      <c r="R23" s="17"/>
      <c r="S23" s="18">
        <v>0</v>
      </c>
      <c r="T23" s="19"/>
      <c r="U23" s="18">
        <v>0</v>
      </c>
      <c r="V23" s="16"/>
      <c r="W23" s="17"/>
      <c r="X23" s="18">
        <f t="shared" si="3"/>
        <v>0</v>
      </c>
      <c r="Y23" s="19"/>
      <c r="Z23" s="19"/>
      <c r="AA23" s="18">
        <f t="shared" si="4"/>
        <v>0</v>
      </c>
      <c r="AB23" s="20">
        <f t="shared" si="5"/>
        <v>0</v>
      </c>
      <c r="AC23" s="5"/>
      <c r="AD23" s="8"/>
      <c r="AF23" s="6"/>
      <c r="AG23" s="7"/>
      <c r="AJ23" s="33"/>
      <c r="AK23" s="35"/>
      <c r="AL23" s="38"/>
    </row>
    <row r="24" spans="1:38" ht="17.25" customHeight="1">
      <c r="A24" s="25"/>
      <c r="B24" s="26"/>
      <c r="C24" s="14"/>
      <c r="D24" s="31"/>
      <c r="E24" s="14"/>
      <c r="F24" s="15" t="str">
        <f t="shared" si="0"/>
        <v xml:space="preserve">S/F  </v>
      </c>
      <c r="G24" s="16"/>
      <c r="H24" s="17">
        <v>21</v>
      </c>
      <c r="I24" s="18">
        <f t="shared" si="1"/>
        <v>0</v>
      </c>
      <c r="J24" s="17"/>
      <c r="K24" s="18"/>
      <c r="L24" s="16"/>
      <c r="M24" s="17"/>
      <c r="N24" s="18">
        <f t="shared" si="2"/>
        <v>0</v>
      </c>
      <c r="O24" s="19"/>
      <c r="P24" s="18">
        <v>0</v>
      </c>
      <c r="Q24" s="16"/>
      <c r="R24" s="17"/>
      <c r="S24" s="18">
        <v>0</v>
      </c>
      <c r="T24" s="19"/>
      <c r="U24" s="18">
        <v>0</v>
      </c>
      <c r="V24" s="16"/>
      <c r="W24" s="17"/>
      <c r="X24" s="18">
        <f t="shared" si="3"/>
        <v>0</v>
      </c>
      <c r="Y24" s="19"/>
      <c r="Z24" s="19"/>
      <c r="AA24" s="18">
        <f t="shared" si="4"/>
        <v>0</v>
      </c>
      <c r="AB24" s="20">
        <f t="shared" si="5"/>
        <v>0</v>
      </c>
      <c r="AC24" s="5"/>
      <c r="AD24" s="8"/>
      <c r="AF24" s="6"/>
      <c r="AG24" s="7"/>
      <c r="AJ24" s="33"/>
      <c r="AK24" s="35"/>
      <c r="AL24" s="38"/>
    </row>
    <row r="25" spans="1:38" ht="17.25" customHeight="1">
      <c r="A25" s="25"/>
      <c r="B25" s="26"/>
      <c r="C25" s="14"/>
      <c r="D25" s="31"/>
      <c r="E25" s="14"/>
      <c r="F25" s="15" t="str">
        <f t="shared" si="0"/>
        <v xml:space="preserve">S/F  </v>
      </c>
      <c r="G25" s="16"/>
      <c r="H25" s="17">
        <v>21</v>
      </c>
      <c r="I25" s="18">
        <f t="shared" si="1"/>
        <v>0</v>
      </c>
      <c r="J25" s="17"/>
      <c r="K25" s="18"/>
      <c r="L25" s="16"/>
      <c r="M25" s="17"/>
      <c r="N25" s="18">
        <f t="shared" si="2"/>
        <v>0</v>
      </c>
      <c r="O25" s="19"/>
      <c r="P25" s="18">
        <v>0</v>
      </c>
      <c r="Q25" s="16"/>
      <c r="R25" s="17"/>
      <c r="S25" s="18">
        <v>0</v>
      </c>
      <c r="T25" s="19"/>
      <c r="U25" s="18">
        <v>0</v>
      </c>
      <c r="V25" s="16"/>
      <c r="W25" s="17"/>
      <c r="X25" s="18">
        <f t="shared" si="3"/>
        <v>0</v>
      </c>
      <c r="Y25" s="19"/>
      <c r="Z25" s="19"/>
      <c r="AA25" s="18">
        <f t="shared" si="4"/>
        <v>0</v>
      </c>
      <c r="AB25" s="20">
        <f t="shared" si="5"/>
        <v>0</v>
      </c>
      <c r="AC25" s="5"/>
      <c r="AD25" s="8"/>
      <c r="AF25" s="6"/>
      <c r="AG25" s="7"/>
      <c r="AJ25" s="33"/>
      <c r="AK25" s="35"/>
      <c r="AL25" s="38"/>
    </row>
    <row r="26" spans="1:38" ht="17.25" customHeight="1">
      <c r="A26" s="25"/>
      <c r="B26" s="26"/>
      <c r="C26" s="14"/>
      <c r="D26" s="31"/>
      <c r="E26" s="14"/>
      <c r="F26" s="15" t="str">
        <f t="shared" si="0"/>
        <v xml:space="preserve">S/F  </v>
      </c>
      <c r="G26" s="16"/>
      <c r="H26" s="17">
        <v>21</v>
      </c>
      <c r="I26" s="18">
        <f t="shared" si="1"/>
        <v>0</v>
      </c>
      <c r="J26" s="17"/>
      <c r="K26" s="18"/>
      <c r="L26" s="16"/>
      <c r="M26" s="17"/>
      <c r="N26" s="18">
        <f t="shared" si="2"/>
        <v>0</v>
      </c>
      <c r="O26" s="19"/>
      <c r="P26" s="18">
        <v>0</v>
      </c>
      <c r="Q26" s="16"/>
      <c r="R26" s="17"/>
      <c r="S26" s="18">
        <v>0</v>
      </c>
      <c r="T26" s="19"/>
      <c r="U26" s="18">
        <v>0</v>
      </c>
      <c r="V26" s="16"/>
      <c r="W26" s="17"/>
      <c r="X26" s="18">
        <f t="shared" si="3"/>
        <v>0</v>
      </c>
      <c r="Y26" s="19"/>
      <c r="Z26" s="19"/>
      <c r="AA26" s="18">
        <f t="shared" si="4"/>
        <v>0</v>
      </c>
      <c r="AB26" s="20">
        <f t="shared" si="5"/>
        <v>0</v>
      </c>
      <c r="AC26" s="5"/>
      <c r="AD26" s="8"/>
      <c r="AF26" s="6"/>
      <c r="AG26" s="7"/>
      <c r="AJ26" s="33"/>
      <c r="AK26" s="35"/>
      <c r="AL26" s="38"/>
    </row>
    <row r="27" spans="1:38" ht="17.25" customHeight="1">
      <c r="A27" s="25"/>
      <c r="B27" s="26"/>
      <c r="C27" s="14"/>
      <c r="D27" s="31"/>
      <c r="E27" s="14"/>
      <c r="F27" s="15" t="str">
        <f t="shared" si="0"/>
        <v xml:space="preserve">S/F  </v>
      </c>
      <c r="G27" s="16"/>
      <c r="H27" s="17">
        <v>21</v>
      </c>
      <c r="I27" s="18">
        <f t="shared" si="1"/>
        <v>0</v>
      </c>
      <c r="J27" s="17"/>
      <c r="K27" s="18"/>
      <c r="L27" s="16"/>
      <c r="M27" s="17"/>
      <c r="N27" s="18">
        <f t="shared" si="2"/>
        <v>0</v>
      </c>
      <c r="O27" s="19"/>
      <c r="P27" s="18">
        <v>0</v>
      </c>
      <c r="Q27" s="16"/>
      <c r="R27" s="17"/>
      <c r="S27" s="18">
        <v>0</v>
      </c>
      <c r="T27" s="19"/>
      <c r="U27" s="18">
        <v>0</v>
      </c>
      <c r="V27" s="16"/>
      <c r="W27" s="17"/>
      <c r="X27" s="18">
        <f t="shared" si="3"/>
        <v>0</v>
      </c>
      <c r="Y27" s="19"/>
      <c r="Z27" s="19"/>
      <c r="AA27" s="18">
        <f t="shared" si="4"/>
        <v>0</v>
      </c>
      <c r="AB27" s="20">
        <f t="shared" si="5"/>
        <v>0</v>
      </c>
      <c r="AC27" s="5"/>
      <c r="AD27" s="8"/>
      <c r="AF27" s="6"/>
      <c r="AG27" s="7"/>
      <c r="AJ27" s="33"/>
      <c r="AK27" s="35"/>
      <c r="AL27" s="38"/>
    </row>
    <row r="28" spans="1:38" ht="17.25" customHeight="1">
      <c r="A28" s="25"/>
      <c r="B28" s="26"/>
      <c r="C28" s="14"/>
      <c r="D28" s="31"/>
      <c r="E28" s="14"/>
      <c r="F28" s="15" t="str">
        <f t="shared" si="0"/>
        <v xml:space="preserve">S/F  </v>
      </c>
      <c r="G28" s="16"/>
      <c r="H28" s="17">
        <v>21</v>
      </c>
      <c r="I28" s="18">
        <f t="shared" si="1"/>
        <v>0</v>
      </c>
      <c r="J28" s="17"/>
      <c r="K28" s="18"/>
      <c r="L28" s="16"/>
      <c r="M28" s="17"/>
      <c r="N28" s="18">
        <f t="shared" si="2"/>
        <v>0</v>
      </c>
      <c r="O28" s="19"/>
      <c r="P28" s="18">
        <v>0</v>
      </c>
      <c r="Q28" s="16"/>
      <c r="R28" s="17"/>
      <c r="S28" s="18">
        <v>0</v>
      </c>
      <c r="T28" s="19"/>
      <c r="U28" s="18">
        <v>0</v>
      </c>
      <c r="V28" s="16"/>
      <c r="W28" s="17"/>
      <c r="X28" s="18">
        <f t="shared" si="3"/>
        <v>0</v>
      </c>
      <c r="Y28" s="19"/>
      <c r="Z28" s="19"/>
      <c r="AA28" s="18">
        <f t="shared" si="4"/>
        <v>0</v>
      </c>
      <c r="AB28" s="20">
        <f t="shared" si="5"/>
        <v>0</v>
      </c>
      <c r="AC28" s="5"/>
      <c r="AD28" s="8"/>
      <c r="AF28" s="6"/>
      <c r="AG28" s="7"/>
      <c r="AJ28" s="33"/>
      <c r="AK28" s="35"/>
      <c r="AL28" s="38"/>
    </row>
    <row r="29" spans="1:38" ht="17.25" customHeight="1">
      <c r="A29" s="25"/>
      <c r="B29" s="26"/>
      <c r="C29" s="14"/>
      <c r="D29" s="31"/>
      <c r="E29" s="14"/>
      <c r="F29" s="15" t="str">
        <f t="shared" si="0"/>
        <v xml:space="preserve">S/F  </v>
      </c>
      <c r="G29" s="16"/>
      <c r="H29" s="17">
        <v>21</v>
      </c>
      <c r="I29" s="18">
        <f t="shared" si="1"/>
        <v>0</v>
      </c>
      <c r="J29" s="17"/>
      <c r="K29" s="18"/>
      <c r="L29" s="16"/>
      <c r="M29" s="17"/>
      <c r="N29" s="18">
        <f t="shared" si="2"/>
        <v>0</v>
      </c>
      <c r="O29" s="19"/>
      <c r="P29" s="18">
        <v>0</v>
      </c>
      <c r="Q29" s="16"/>
      <c r="R29" s="17"/>
      <c r="S29" s="18">
        <v>0</v>
      </c>
      <c r="T29" s="19"/>
      <c r="U29" s="18">
        <v>0</v>
      </c>
      <c r="V29" s="16"/>
      <c r="W29" s="17"/>
      <c r="X29" s="18">
        <f t="shared" si="3"/>
        <v>0</v>
      </c>
      <c r="Y29" s="19"/>
      <c r="Z29" s="19"/>
      <c r="AA29" s="18">
        <f t="shared" si="4"/>
        <v>0</v>
      </c>
      <c r="AB29" s="20">
        <f t="shared" si="5"/>
        <v>0</v>
      </c>
      <c r="AC29" s="5"/>
      <c r="AD29" s="8"/>
      <c r="AF29" s="6"/>
      <c r="AG29" s="7"/>
      <c r="AJ29" s="33"/>
      <c r="AK29" s="35"/>
      <c r="AL29" s="38"/>
    </row>
    <row r="30" spans="1:38" ht="17.25" customHeight="1">
      <c r="A30" s="25"/>
      <c r="B30" s="26"/>
      <c r="C30" s="14"/>
      <c r="D30" s="31"/>
      <c r="E30" s="14"/>
      <c r="F30" s="15" t="str">
        <f t="shared" si="0"/>
        <v xml:space="preserve">S/F  </v>
      </c>
      <c r="G30" s="16"/>
      <c r="H30" s="17">
        <v>21</v>
      </c>
      <c r="I30" s="18">
        <f t="shared" si="1"/>
        <v>0</v>
      </c>
      <c r="J30" s="17"/>
      <c r="K30" s="18"/>
      <c r="L30" s="16"/>
      <c r="M30" s="17"/>
      <c r="N30" s="18">
        <f t="shared" si="2"/>
        <v>0</v>
      </c>
      <c r="O30" s="19"/>
      <c r="P30" s="18">
        <v>0</v>
      </c>
      <c r="Q30" s="16"/>
      <c r="R30" s="17"/>
      <c r="S30" s="18">
        <v>0</v>
      </c>
      <c r="T30" s="19"/>
      <c r="U30" s="18">
        <v>0</v>
      </c>
      <c r="V30" s="16"/>
      <c r="W30" s="17"/>
      <c r="X30" s="18">
        <f t="shared" si="3"/>
        <v>0</v>
      </c>
      <c r="Y30" s="19"/>
      <c r="Z30" s="19"/>
      <c r="AA30" s="18">
        <f t="shared" si="4"/>
        <v>0</v>
      </c>
      <c r="AB30" s="20">
        <f t="shared" si="5"/>
        <v>0</v>
      </c>
      <c r="AC30" s="5"/>
      <c r="AD30" s="8"/>
      <c r="AF30" s="6"/>
      <c r="AG30" s="7"/>
      <c r="AJ30" s="33"/>
      <c r="AK30" s="35"/>
      <c r="AL30" s="38"/>
    </row>
    <row r="31" spans="1:38" ht="17.25" customHeight="1">
      <c r="A31" s="25"/>
      <c r="B31" s="26"/>
      <c r="C31" s="14"/>
      <c r="D31" s="31"/>
      <c r="E31" s="14"/>
      <c r="F31" s="15" t="str">
        <f t="shared" si="0"/>
        <v xml:space="preserve">S/F  </v>
      </c>
      <c r="G31" s="16"/>
      <c r="H31" s="17">
        <v>21</v>
      </c>
      <c r="I31" s="18">
        <f t="shared" si="1"/>
        <v>0</v>
      </c>
      <c r="J31" s="17"/>
      <c r="K31" s="18"/>
      <c r="L31" s="16"/>
      <c r="M31" s="17"/>
      <c r="N31" s="18">
        <f t="shared" si="2"/>
        <v>0</v>
      </c>
      <c r="O31" s="19"/>
      <c r="P31" s="18">
        <v>0</v>
      </c>
      <c r="Q31" s="16"/>
      <c r="R31" s="17"/>
      <c r="S31" s="18">
        <v>0</v>
      </c>
      <c r="T31" s="19"/>
      <c r="U31" s="18">
        <v>0</v>
      </c>
      <c r="V31" s="16"/>
      <c r="W31" s="17"/>
      <c r="X31" s="18">
        <f t="shared" si="3"/>
        <v>0</v>
      </c>
      <c r="Y31" s="19"/>
      <c r="Z31" s="19"/>
      <c r="AA31" s="18">
        <f t="shared" si="4"/>
        <v>0</v>
      </c>
      <c r="AB31" s="20">
        <f t="shared" si="5"/>
        <v>0</v>
      </c>
      <c r="AC31" s="5"/>
      <c r="AD31" s="8"/>
      <c r="AF31" s="6"/>
      <c r="AG31" s="7"/>
      <c r="AJ31" s="33"/>
      <c r="AK31" s="35"/>
      <c r="AL31" s="38"/>
    </row>
    <row r="32" spans="1:38" ht="17.25" customHeight="1">
      <c r="A32" s="25"/>
      <c r="B32" s="26"/>
      <c r="C32" s="14"/>
      <c r="D32" s="31"/>
      <c r="E32" s="14"/>
      <c r="F32" s="15" t="str">
        <f t="shared" si="0"/>
        <v xml:space="preserve">S/F  </v>
      </c>
      <c r="G32" s="16"/>
      <c r="H32" s="17">
        <v>21</v>
      </c>
      <c r="I32" s="18">
        <f t="shared" si="1"/>
        <v>0</v>
      </c>
      <c r="J32" s="17"/>
      <c r="K32" s="18"/>
      <c r="L32" s="16"/>
      <c r="M32" s="17"/>
      <c r="N32" s="18">
        <f t="shared" si="2"/>
        <v>0</v>
      </c>
      <c r="O32" s="19"/>
      <c r="P32" s="18">
        <v>0</v>
      </c>
      <c r="Q32" s="16"/>
      <c r="R32" s="17"/>
      <c r="S32" s="18">
        <v>0</v>
      </c>
      <c r="T32" s="19"/>
      <c r="U32" s="18">
        <v>0</v>
      </c>
      <c r="V32" s="16"/>
      <c r="W32" s="17"/>
      <c r="X32" s="18">
        <f t="shared" si="3"/>
        <v>0</v>
      </c>
      <c r="Y32" s="19"/>
      <c r="Z32" s="19"/>
      <c r="AA32" s="18">
        <f t="shared" si="4"/>
        <v>0</v>
      </c>
      <c r="AB32" s="20">
        <f t="shared" si="5"/>
        <v>0</v>
      </c>
      <c r="AC32" s="5"/>
      <c r="AD32" s="8"/>
      <c r="AF32" s="6"/>
      <c r="AG32" s="7"/>
      <c r="AJ32" s="33"/>
      <c r="AK32" s="35"/>
      <c r="AL32" s="38"/>
    </row>
    <row r="33" spans="1:38" ht="17.25" customHeight="1">
      <c r="A33" s="25"/>
      <c r="B33" s="26"/>
      <c r="C33" s="14"/>
      <c r="D33" s="31"/>
      <c r="E33" s="14"/>
      <c r="F33" s="15" t="str">
        <f t="shared" si="0"/>
        <v xml:space="preserve">S/F  </v>
      </c>
      <c r="G33" s="16"/>
      <c r="H33" s="17">
        <v>21</v>
      </c>
      <c r="I33" s="18">
        <f t="shared" si="1"/>
        <v>0</v>
      </c>
      <c r="J33" s="17"/>
      <c r="K33" s="18"/>
      <c r="L33" s="16"/>
      <c r="M33" s="17"/>
      <c r="N33" s="18">
        <f t="shared" si="2"/>
        <v>0</v>
      </c>
      <c r="O33" s="19"/>
      <c r="P33" s="18">
        <v>0</v>
      </c>
      <c r="Q33" s="16"/>
      <c r="R33" s="17"/>
      <c r="S33" s="18">
        <v>0</v>
      </c>
      <c r="T33" s="19"/>
      <c r="U33" s="18">
        <v>0</v>
      </c>
      <c r="V33" s="16"/>
      <c r="W33" s="17"/>
      <c r="X33" s="18">
        <f t="shared" si="3"/>
        <v>0</v>
      </c>
      <c r="Y33" s="19"/>
      <c r="Z33" s="19"/>
      <c r="AA33" s="18">
        <f t="shared" si="4"/>
        <v>0</v>
      </c>
      <c r="AB33" s="20">
        <f t="shared" si="5"/>
        <v>0</v>
      </c>
      <c r="AC33" s="5"/>
      <c r="AD33" s="8"/>
      <c r="AF33" s="6"/>
      <c r="AG33" s="7"/>
      <c r="AJ33" s="33"/>
      <c r="AK33" s="35"/>
      <c r="AL33" s="38"/>
    </row>
    <row r="34" spans="1:38" ht="17.25" customHeight="1">
      <c r="A34" s="25"/>
      <c r="B34" s="26"/>
      <c r="C34" s="14"/>
      <c r="D34" s="31"/>
      <c r="E34" s="14"/>
      <c r="F34" s="15" t="str">
        <f t="shared" ref="F34:F65" si="6">"S/F "&amp;B34&amp;" "&amp;E34</f>
        <v xml:space="preserve">S/F  </v>
      </c>
      <c r="G34" s="16"/>
      <c r="H34" s="17">
        <v>21</v>
      </c>
      <c r="I34" s="18">
        <f t="shared" ref="I34:I65" si="7">+IF(G34&lt;&gt;0,G34*H34/100,0)</f>
        <v>0</v>
      </c>
      <c r="J34" s="17"/>
      <c r="K34" s="18"/>
      <c r="L34" s="16"/>
      <c r="M34" s="17"/>
      <c r="N34" s="18">
        <f t="shared" ref="N34:N65" si="8">+IF(L34&lt;&gt;0,L34*M34/100,0)</f>
        <v>0</v>
      </c>
      <c r="O34" s="19"/>
      <c r="P34" s="18">
        <v>0</v>
      </c>
      <c r="Q34" s="16"/>
      <c r="R34" s="17"/>
      <c r="S34" s="18">
        <v>0</v>
      </c>
      <c r="T34" s="19"/>
      <c r="U34" s="18">
        <v>0</v>
      </c>
      <c r="V34" s="16"/>
      <c r="W34" s="17"/>
      <c r="X34" s="18">
        <f t="shared" ref="X34:X65" si="9">+IF(W34&lt;&gt;0,V34*W34/100,0)</f>
        <v>0</v>
      </c>
      <c r="Y34" s="19"/>
      <c r="Z34" s="19"/>
      <c r="AA34" s="18">
        <f t="shared" ref="AA34:AA65" si="10">+IF(Z34&lt;&gt;0,Y34*Z34/100,0)</f>
        <v>0</v>
      </c>
      <c r="AB34" s="20">
        <f t="shared" ref="AB34:AB65" si="11">+G34+I34+K34+L34+N34+P34+Q34+S34+U34-X34-AA34</f>
        <v>0</v>
      </c>
      <c r="AC34" s="5"/>
      <c r="AD34" s="8"/>
      <c r="AF34" s="6"/>
      <c r="AG34" s="7"/>
      <c r="AJ34" s="33"/>
      <c r="AK34" s="35"/>
      <c r="AL34" s="38"/>
    </row>
    <row r="35" spans="1:38" ht="17.25" customHeight="1">
      <c r="A35" s="25"/>
      <c r="B35" s="26"/>
      <c r="C35" s="14"/>
      <c r="D35" s="31"/>
      <c r="E35" s="14"/>
      <c r="F35" s="15" t="str">
        <f t="shared" si="6"/>
        <v xml:space="preserve">S/F  </v>
      </c>
      <c r="G35" s="16"/>
      <c r="H35" s="17">
        <v>21</v>
      </c>
      <c r="I35" s="18">
        <f t="shared" si="7"/>
        <v>0</v>
      </c>
      <c r="J35" s="17"/>
      <c r="K35" s="18"/>
      <c r="L35" s="16"/>
      <c r="M35" s="17"/>
      <c r="N35" s="18">
        <f t="shared" si="8"/>
        <v>0</v>
      </c>
      <c r="O35" s="19"/>
      <c r="P35" s="18">
        <v>0</v>
      </c>
      <c r="Q35" s="16"/>
      <c r="R35" s="17"/>
      <c r="S35" s="18">
        <v>0</v>
      </c>
      <c r="T35" s="19"/>
      <c r="U35" s="18">
        <v>0</v>
      </c>
      <c r="V35" s="16"/>
      <c r="W35" s="17"/>
      <c r="X35" s="18">
        <f t="shared" si="9"/>
        <v>0</v>
      </c>
      <c r="Y35" s="19"/>
      <c r="Z35" s="19"/>
      <c r="AA35" s="18">
        <f t="shared" si="10"/>
        <v>0</v>
      </c>
      <c r="AB35" s="20">
        <f t="shared" si="11"/>
        <v>0</v>
      </c>
      <c r="AC35" s="5"/>
      <c r="AD35" s="8"/>
      <c r="AF35" s="6"/>
      <c r="AG35" s="7"/>
      <c r="AJ35" s="33"/>
      <c r="AK35" s="35"/>
      <c r="AL35" s="38"/>
    </row>
    <row r="36" spans="1:38" ht="17.25" customHeight="1">
      <c r="A36" s="25"/>
      <c r="B36" s="26"/>
      <c r="C36" s="14"/>
      <c r="D36" s="31"/>
      <c r="E36" s="14"/>
      <c r="F36" s="15" t="str">
        <f t="shared" si="6"/>
        <v xml:space="preserve">S/F  </v>
      </c>
      <c r="G36" s="16"/>
      <c r="H36" s="17">
        <v>21</v>
      </c>
      <c r="I36" s="18">
        <f t="shared" si="7"/>
        <v>0</v>
      </c>
      <c r="J36" s="17"/>
      <c r="K36" s="18"/>
      <c r="L36" s="16"/>
      <c r="M36" s="17"/>
      <c r="N36" s="18">
        <f t="shared" si="8"/>
        <v>0</v>
      </c>
      <c r="O36" s="19"/>
      <c r="P36" s="18">
        <v>0</v>
      </c>
      <c r="Q36" s="16"/>
      <c r="R36" s="17"/>
      <c r="S36" s="18">
        <v>0</v>
      </c>
      <c r="T36" s="19"/>
      <c r="U36" s="18">
        <v>0</v>
      </c>
      <c r="V36" s="16"/>
      <c r="W36" s="17"/>
      <c r="X36" s="18">
        <f t="shared" si="9"/>
        <v>0</v>
      </c>
      <c r="Y36" s="19"/>
      <c r="Z36" s="19"/>
      <c r="AA36" s="18">
        <f t="shared" si="10"/>
        <v>0</v>
      </c>
      <c r="AB36" s="20">
        <f t="shared" si="11"/>
        <v>0</v>
      </c>
      <c r="AC36" s="5"/>
      <c r="AD36" s="8"/>
      <c r="AF36" s="6"/>
      <c r="AG36" s="7"/>
      <c r="AJ36" s="33"/>
      <c r="AK36" s="35"/>
      <c r="AL36" s="38"/>
    </row>
    <row r="37" spans="1:38" ht="17.25" customHeight="1">
      <c r="A37" s="25"/>
      <c r="B37" s="26"/>
      <c r="C37" s="14"/>
      <c r="D37" s="31"/>
      <c r="E37" s="14"/>
      <c r="F37" s="15" t="str">
        <f t="shared" si="6"/>
        <v xml:space="preserve">S/F  </v>
      </c>
      <c r="G37" s="16"/>
      <c r="H37" s="17">
        <v>21</v>
      </c>
      <c r="I37" s="18">
        <f t="shared" si="7"/>
        <v>0</v>
      </c>
      <c r="J37" s="17"/>
      <c r="K37" s="18"/>
      <c r="L37" s="16"/>
      <c r="M37" s="17"/>
      <c r="N37" s="18">
        <f t="shared" si="8"/>
        <v>0</v>
      </c>
      <c r="O37" s="19"/>
      <c r="P37" s="18">
        <v>0</v>
      </c>
      <c r="Q37" s="16"/>
      <c r="R37" s="17"/>
      <c r="S37" s="18">
        <v>0</v>
      </c>
      <c r="T37" s="19"/>
      <c r="U37" s="18">
        <v>0</v>
      </c>
      <c r="V37" s="16"/>
      <c r="W37" s="17"/>
      <c r="X37" s="18">
        <f t="shared" si="9"/>
        <v>0</v>
      </c>
      <c r="Y37" s="19"/>
      <c r="Z37" s="19"/>
      <c r="AA37" s="18">
        <f t="shared" si="10"/>
        <v>0</v>
      </c>
      <c r="AB37" s="20">
        <f t="shared" si="11"/>
        <v>0</v>
      </c>
      <c r="AC37" s="5"/>
      <c r="AD37" s="8"/>
      <c r="AF37" s="6"/>
      <c r="AG37" s="7"/>
      <c r="AJ37" s="33"/>
      <c r="AK37" s="35"/>
      <c r="AL37" s="38"/>
    </row>
    <row r="38" spans="1:38" ht="17.25" customHeight="1">
      <c r="A38" s="25"/>
      <c r="B38" s="26"/>
      <c r="C38" s="14"/>
      <c r="D38" s="31"/>
      <c r="E38" s="14"/>
      <c r="F38" s="15" t="str">
        <f t="shared" si="6"/>
        <v xml:space="preserve">S/F  </v>
      </c>
      <c r="G38" s="16"/>
      <c r="H38" s="17">
        <v>21</v>
      </c>
      <c r="I38" s="18">
        <f t="shared" si="7"/>
        <v>0</v>
      </c>
      <c r="J38" s="17"/>
      <c r="K38" s="18"/>
      <c r="L38" s="16"/>
      <c r="M38" s="17"/>
      <c r="N38" s="18">
        <f t="shared" si="8"/>
        <v>0</v>
      </c>
      <c r="O38" s="19"/>
      <c r="P38" s="18">
        <v>0</v>
      </c>
      <c r="Q38" s="16"/>
      <c r="R38" s="17"/>
      <c r="S38" s="18">
        <v>0</v>
      </c>
      <c r="T38" s="19"/>
      <c r="U38" s="18">
        <v>0</v>
      </c>
      <c r="V38" s="16"/>
      <c r="W38" s="17"/>
      <c r="X38" s="18">
        <f t="shared" si="9"/>
        <v>0</v>
      </c>
      <c r="Y38" s="19"/>
      <c r="Z38" s="19"/>
      <c r="AA38" s="18">
        <f t="shared" si="10"/>
        <v>0</v>
      </c>
      <c r="AB38" s="20">
        <f t="shared" si="11"/>
        <v>0</v>
      </c>
      <c r="AC38" s="5"/>
      <c r="AD38" s="8"/>
      <c r="AF38" s="6"/>
      <c r="AG38" s="7"/>
      <c r="AJ38" s="33"/>
      <c r="AK38" s="35"/>
      <c r="AL38" s="38"/>
    </row>
    <row r="39" spans="1:38" ht="17.25" customHeight="1">
      <c r="A39" s="25"/>
      <c r="B39" s="26"/>
      <c r="C39" s="14"/>
      <c r="D39" s="31"/>
      <c r="E39" s="14"/>
      <c r="F39" s="15" t="str">
        <f t="shared" si="6"/>
        <v xml:space="preserve">S/F  </v>
      </c>
      <c r="G39" s="16"/>
      <c r="H39" s="17">
        <v>21</v>
      </c>
      <c r="I39" s="18">
        <f t="shared" si="7"/>
        <v>0</v>
      </c>
      <c r="J39" s="17"/>
      <c r="K39" s="18"/>
      <c r="L39" s="16"/>
      <c r="M39" s="17"/>
      <c r="N39" s="18">
        <f t="shared" si="8"/>
        <v>0</v>
      </c>
      <c r="O39" s="19"/>
      <c r="P39" s="18">
        <v>0</v>
      </c>
      <c r="Q39" s="16"/>
      <c r="R39" s="17"/>
      <c r="S39" s="18">
        <v>0</v>
      </c>
      <c r="T39" s="19"/>
      <c r="U39" s="18">
        <v>0</v>
      </c>
      <c r="V39" s="16"/>
      <c r="W39" s="17"/>
      <c r="X39" s="18">
        <f t="shared" si="9"/>
        <v>0</v>
      </c>
      <c r="Y39" s="19"/>
      <c r="Z39" s="19"/>
      <c r="AA39" s="18">
        <f t="shared" si="10"/>
        <v>0</v>
      </c>
      <c r="AB39" s="20">
        <f t="shared" si="11"/>
        <v>0</v>
      </c>
      <c r="AC39" s="5"/>
      <c r="AD39" s="8"/>
      <c r="AF39" s="6"/>
      <c r="AG39" s="7"/>
      <c r="AJ39" s="33"/>
      <c r="AK39" s="35"/>
      <c r="AL39" s="38"/>
    </row>
    <row r="40" spans="1:38" ht="17.25" customHeight="1">
      <c r="A40" s="25"/>
      <c r="B40" s="26"/>
      <c r="C40" s="14"/>
      <c r="D40" s="31"/>
      <c r="E40" s="14"/>
      <c r="F40" s="15" t="str">
        <f t="shared" si="6"/>
        <v xml:space="preserve">S/F  </v>
      </c>
      <c r="G40" s="16"/>
      <c r="H40" s="17">
        <v>21</v>
      </c>
      <c r="I40" s="18">
        <f t="shared" si="7"/>
        <v>0</v>
      </c>
      <c r="J40" s="17"/>
      <c r="K40" s="18"/>
      <c r="L40" s="16"/>
      <c r="M40" s="17"/>
      <c r="N40" s="18">
        <f t="shared" si="8"/>
        <v>0</v>
      </c>
      <c r="O40" s="19"/>
      <c r="P40" s="18">
        <v>0</v>
      </c>
      <c r="Q40" s="16"/>
      <c r="R40" s="17"/>
      <c r="S40" s="18">
        <v>0</v>
      </c>
      <c r="T40" s="19"/>
      <c r="U40" s="18">
        <v>0</v>
      </c>
      <c r="V40" s="16"/>
      <c r="W40" s="17"/>
      <c r="X40" s="18">
        <f t="shared" si="9"/>
        <v>0</v>
      </c>
      <c r="Y40" s="19"/>
      <c r="Z40" s="19"/>
      <c r="AA40" s="18">
        <f t="shared" si="10"/>
        <v>0</v>
      </c>
      <c r="AB40" s="20">
        <f t="shared" si="11"/>
        <v>0</v>
      </c>
      <c r="AC40" s="5"/>
      <c r="AD40" s="8"/>
      <c r="AF40" s="6"/>
      <c r="AG40" s="7"/>
      <c r="AJ40" s="33"/>
      <c r="AK40" s="35"/>
      <c r="AL40" s="38"/>
    </row>
    <row r="41" spans="1:38" ht="17.25" customHeight="1">
      <c r="A41" s="25"/>
      <c r="B41" s="26"/>
      <c r="C41" s="14"/>
      <c r="D41" s="31"/>
      <c r="E41" s="14"/>
      <c r="F41" s="15" t="str">
        <f t="shared" si="6"/>
        <v xml:space="preserve">S/F  </v>
      </c>
      <c r="G41" s="16"/>
      <c r="H41" s="17">
        <v>21</v>
      </c>
      <c r="I41" s="18">
        <f t="shared" si="7"/>
        <v>0</v>
      </c>
      <c r="J41" s="17"/>
      <c r="K41" s="18"/>
      <c r="L41" s="16"/>
      <c r="M41" s="17"/>
      <c r="N41" s="18">
        <f t="shared" si="8"/>
        <v>0</v>
      </c>
      <c r="O41" s="19"/>
      <c r="P41" s="18">
        <v>0</v>
      </c>
      <c r="Q41" s="16"/>
      <c r="R41" s="17"/>
      <c r="S41" s="18">
        <v>0</v>
      </c>
      <c r="T41" s="19"/>
      <c r="U41" s="18">
        <v>0</v>
      </c>
      <c r="V41" s="16"/>
      <c r="W41" s="17"/>
      <c r="X41" s="18">
        <f t="shared" si="9"/>
        <v>0</v>
      </c>
      <c r="Y41" s="19"/>
      <c r="Z41" s="19"/>
      <c r="AA41" s="18">
        <f t="shared" si="10"/>
        <v>0</v>
      </c>
      <c r="AB41" s="20">
        <f t="shared" si="11"/>
        <v>0</v>
      </c>
      <c r="AC41" s="5"/>
      <c r="AD41" s="8"/>
      <c r="AF41" s="6"/>
      <c r="AG41" s="7"/>
      <c r="AJ41" s="33"/>
      <c r="AK41" s="35"/>
      <c r="AL41" s="38"/>
    </row>
    <row r="42" spans="1:38" ht="17.25" customHeight="1">
      <c r="A42" s="25"/>
      <c r="B42" s="26"/>
      <c r="C42" s="14"/>
      <c r="D42" s="31"/>
      <c r="E42" s="14"/>
      <c r="F42" s="15" t="str">
        <f t="shared" si="6"/>
        <v xml:space="preserve">S/F  </v>
      </c>
      <c r="G42" s="16"/>
      <c r="H42" s="17">
        <v>21</v>
      </c>
      <c r="I42" s="18">
        <f t="shared" si="7"/>
        <v>0</v>
      </c>
      <c r="J42" s="17"/>
      <c r="K42" s="18"/>
      <c r="L42" s="16"/>
      <c r="M42" s="17"/>
      <c r="N42" s="18">
        <f t="shared" si="8"/>
        <v>0</v>
      </c>
      <c r="O42" s="19"/>
      <c r="P42" s="18">
        <v>0</v>
      </c>
      <c r="Q42" s="16"/>
      <c r="R42" s="17"/>
      <c r="S42" s="18">
        <v>0</v>
      </c>
      <c r="T42" s="19"/>
      <c r="U42" s="18">
        <v>0</v>
      </c>
      <c r="V42" s="16"/>
      <c r="W42" s="17"/>
      <c r="X42" s="18">
        <f t="shared" si="9"/>
        <v>0</v>
      </c>
      <c r="Y42" s="19"/>
      <c r="Z42" s="19"/>
      <c r="AA42" s="18">
        <f t="shared" si="10"/>
        <v>0</v>
      </c>
      <c r="AB42" s="20">
        <f t="shared" si="11"/>
        <v>0</v>
      </c>
      <c r="AC42" s="5"/>
      <c r="AD42" s="8"/>
      <c r="AF42" s="6"/>
      <c r="AG42" s="7"/>
      <c r="AJ42" s="33"/>
      <c r="AK42" s="35"/>
      <c r="AL42" s="38"/>
    </row>
    <row r="43" spans="1:38" ht="17.25" customHeight="1">
      <c r="A43" s="25"/>
      <c r="B43" s="26"/>
      <c r="C43" s="14"/>
      <c r="D43" s="31"/>
      <c r="E43" s="14"/>
      <c r="F43" s="15" t="str">
        <f t="shared" si="6"/>
        <v xml:space="preserve">S/F  </v>
      </c>
      <c r="G43" s="16"/>
      <c r="H43" s="17">
        <v>21</v>
      </c>
      <c r="I43" s="18">
        <f t="shared" si="7"/>
        <v>0</v>
      </c>
      <c r="J43" s="17"/>
      <c r="K43" s="18"/>
      <c r="L43" s="16"/>
      <c r="M43" s="17"/>
      <c r="N43" s="18">
        <f t="shared" si="8"/>
        <v>0</v>
      </c>
      <c r="O43" s="19"/>
      <c r="P43" s="18">
        <v>0</v>
      </c>
      <c r="Q43" s="16"/>
      <c r="R43" s="17"/>
      <c r="S43" s="18">
        <v>0</v>
      </c>
      <c r="T43" s="19"/>
      <c r="U43" s="18">
        <v>0</v>
      </c>
      <c r="V43" s="16"/>
      <c r="W43" s="17"/>
      <c r="X43" s="18">
        <f t="shared" si="9"/>
        <v>0</v>
      </c>
      <c r="Y43" s="19"/>
      <c r="Z43" s="19"/>
      <c r="AA43" s="18">
        <f t="shared" si="10"/>
        <v>0</v>
      </c>
      <c r="AB43" s="20">
        <f t="shared" si="11"/>
        <v>0</v>
      </c>
      <c r="AC43" s="5"/>
      <c r="AD43" s="8"/>
      <c r="AF43" s="6"/>
      <c r="AG43" s="7"/>
      <c r="AJ43" s="33"/>
      <c r="AK43" s="35"/>
      <c r="AL43" s="38"/>
    </row>
    <row r="44" spans="1:38" ht="17.25" customHeight="1">
      <c r="A44" s="25"/>
      <c r="B44" s="26"/>
      <c r="C44" s="14"/>
      <c r="D44" s="31"/>
      <c r="E44" s="14"/>
      <c r="F44" s="15" t="str">
        <f t="shared" si="6"/>
        <v xml:space="preserve">S/F  </v>
      </c>
      <c r="G44" s="16"/>
      <c r="H44" s="17">
        <v>21</v>
      </c>
      <c r="I44" s="18">
        <f t="shared" si="7"/>
        <v>0</v>
      </c>
      <c r="J44" s="17"/>
      <c r="K44" s="18"/>
      <c r="L44" s="16"/>
      <c r="M44" s="17"/>
      <c r="N44" s="18">
        <f t="shared" si="8"/>
        <v>0</v>
      </c>
      <c r="O44" s="19"/>
      <c r="P44" s="18">
        <v>0</v>
      </c>
      <c r="Q44" s="16"/>
      <c r="R44" s="17"/>
      <c r="S44" s="18">
        <v>0</v>
      </c>
      <c r="T44" s="19"/>
      <c r="U44" s="18">
        <v>0</v>
      </c>
      <c r="V44" s="16"/>
      <c r="W44" s="17"/>
      <c r="X44" s="18">
        <f t="shared" si="9"/>
        <v>0</v>
      </c>
      <c r="Y44" s="19"/>
      <c r="Z44" s="19"/>
      <c r="AA44" s="18">
        <f t="shared" si="10"/>
        <v>0</v>
      </c>
      <c r="AB44" s="20">
        <f t="shared" si="11"/>
        <v>0</v>
      </c>
      <c r="AC44" s="5"/>
      <c r="AD44" s="8"/>
      <c r="AF44" s="6"/>
      <c r="AG44" s="7"/>
      <c r="AJ44" s="33"/>
      <c r="AK44" s="35"/>
      <c r="AL44" s="38"/>
    </row>
    <row r="45" spans="1:38" ht="17.25" customHeight="1">
      <c r="A45" s="25"/>
      <c r="B45" s="26"/>
      <c r="C45" s="14"/>
      <c r="D45" s="31"/>
      <c r="E45" s="14"/>
      <c r="F45" s="15" t="str">
        <f t="shared" si="6"/>
        <v xml:space="preserve">S/F  </v>
      </c>
      <c r="G45" s="16"/>
      <c r="H45" s="17">
        <v>21</v>
      </c>
      <c r="I45" s="18">
        <f t="shared" si="7"/>
        <v>0</v>
      </c>
      <c r="J45" s="17"/>
      <c r="K45" s="18"/>
      <c r="L45" s="16"/>
      <c r="M45" s="17"/>
      <c r="N45" s="18">
        <f t="shared" si="8"/>
        <v>0</v>
      </c>
      <c r="O45" s="19"/>
      <c r="P45" s="18">
        <v>0</v>
      </c>
      <c r="Q45" s="16"/>
      <c r="R45" s="17"/>
      <c r="S45" s="18">
        <v>0</v>
      </c>
      <c r="T45" s="19"/>
      <c r="U45" s="18">
        <v>0</v>
      </c>
      <c r="V45" s="16"/>
      <c r="W45" s="17"/>
      <c r="X45" s="18">
        <f t="shared" si="9"/>
        <v>0</v>
      </c>
      <c r="Y45" s="19"/>
      <c r="Z45" s="19"/>
      <c r="AA45" s="18">
        <f t="shared" si="10"/>
        <v>0</v>
      </c>
      <c r="AB45" s="20">
        <f t="shared" si="11"/>
        <v>0</v>
      </c>
      <c r="AC45" s="5"/>
      <c r="AD45" s="8"/>
      <c r="AF45" s="6"/>
      <c r="AG45" s="7"/>
      <c r="AJ45" s="33"/>
      <c r="AK45" s="35"/>
      <c r="AL45" s="38"/>
    </row>
    <row r="46" spans="1:38" ht="17.25" customHeight="1">
      <c r="A46" s="25"/>
      <c r="B46" s="26"/>
      <c r="C46" s="14"/>
      <c r="D46" s="31"/>
      <c r="E46" s="14"/>
      <c r="F46" s="15" t="str">
        <f t="shared" si="6"/>
        <v xml:space="preserve">S/F  </v>
      </c>
      <c r="G46" s="16"/>
      <c r="H46" s="17">
        <v>21</v>
      </c>
      <c r="I46" s="18">
        <f t="shared" si="7"/>
        <v>0</v>
      </c>
      <c r="J46" s="17"/>
      <c r="K46" s="18"/>
      <c r="L46" s="16"/>
      <c r="M46" s="17"/>
      <c r="N46" s="18">
        <f t="shared" si="8"/>
        <v>0</v>
      </c>
      <c r="O46" s="19"/>
      <c r="P46" s="18">
        <v>0</v>
      </c>
      <c r="Q46" s="16"/>
      <c r="R46" s="17"/>
      <c r="S46" s="18">
        <v>0</v>
      </c>
      <c r="T46" s="19"/>
      <c r="U46" s="18">
        <v>0</v>
      </c>
      <c r="V46" s="16"/>
      <c r="W46" s="17"/>
      <c r="X46" s="18">
        <f t="shared" si="9"/>
        <v>0</v>
      </c>
      <c r="Y46" s="19"/>
      <c r="Z46" s="19"/>
      <c r="AA46" s="18">
        <f t="shared" si="10"/>
        <v>0</v>
      </c>
      <c r="AB46" s="20">
        <f t="shared" si="11"/>
        <v>0</v>
      </c>
      <c r="AC46" s="5"/>
      <c r="AD46" s="8"/>
      <c r="AF46" s="6"/>
      <c r="AG46" s="7"/>
      <c r="AJ46" s="33"/>
      <c r="AK46" s="35"/>
      <c r="AL46" s="38"/>
    </row>
    <row r="47" spans="1:38" ht="17.25" customHeight="1">
      <c r="A47" s="25"/>
      <c r="B47" s="26"/>
      <c r="C47" s="14"/>
      <c r="D47" s="31"/>
      <c r="E47" s="14"/>
      <c r="F47" s="15" t="str">
        <f t="shared" si="6"/>
        <v xml:space="preserve">S/F  </v>
      </c>
      <c r="G47" s="16"/>
      <c r="H47" s="17">
        <v>21</v>
      </c>
      <c r="I47" s="18">
        <f t="shared" si="7"/>
        <v>0</v>
      </c>
      <c r="J47" s="17"/>
      <c r="K47" s="18"/>
      <c r="L47" s="16"/>
      <c r="M47" s="17"/>
      <c r="N47" s="18">
        <f t="shared" si="8"/>
        <v>0</v>
      </c>
      <c r="O47" s="19"/>
      <c r="P47" s="18">
        <v>0</v>
      </c>
      <c r="Q47" s="16"/>
      <c r="R47" s="17"/>
      <c r="S47" s="18">
        <v>0</v>
      </c>
      <c r="T47" s="19"/>
      <c r="U47" s="18">
        <v>0</v>
      </c>
      <c r="V47" s="16"/>
      <c r="W47" s="17"/>
      <c r="X47" s="18">
        <f t="shared" si="9"/>
        <v>0</v>
      </c>
      <c r="Y47" s="19"/>
      <c r="Z47" s="19"/>
      <c r="AA47" s="18">
        <f t="shared" si="10"/>
        <v>0</v>
      </c>
      <c r="AB47" s="20">
        <f t="shared" si="11"/>
        <v>0</v>
      </c>
      <c r="AC47" s="5"/>
      <c r="AD47" s="8"/>
      <c r="AF47" s="6"/>
      <c r="AG47" s="7"/>
      <c r="AJ47" s="33"/>
      <c r="AK47" s="35"/>
      <c r="AL47" s="38"/>
    </row>
    <row r="48" spans="1:38" ht="17.25" customHeight="1">
      <c r="A48" s="25"/>
      <c r="B48" s="26"/>
      <c r="C48" s="14"/>
      <c r="D48" s="31"/>
      <c r="E48" s="14"/>
      <c r="F48" s="15" t="str">
        <f t="shared" si="6"/>
        <v xml:space="preserve">S/F  </v>
      </c>
      <c r="G48" s="16"/>
      <c r="H48" s="17">
        <v>21</v>
      </c>
      <c r="I48" s="18">
        <f t="shared" si="7"/>
        <v>0</v>
      </c>
      <c r="J48" s="17"/>
      <c r="K48" s="18"/>
      <c r="L48" s="16"/>
      <c r="M48" s="17"/>
      <c r="N48" s="18">
        <f t="shared" si="8"/>
        <v>0</v>
      </c>
      <c r="O48" s="19"/>
      <c r="P48" s="18">
        <v>0</v>
      </c>
      <c r="Q48" s="16"/>
      <c r="R48" s="17"/>
      <c r="S48" s="18">
        <v>0</v>
      </c>
      <c r="T48" s="19"/>
      <c r="U48" s="18">
        <v>0</v>
      </c>
      <c r="V48" s="16"/>
      <c r="W48" s="17"/>
      <c r="X48" s="18">
        <f t="shared" si="9"/>
        <v>0</v>
      </c>
      <c r="Y48" s="19"/>
      <c r="Z48" s="19"/>
      <c r="AA48" s="18">
        <f t="shared" si="10"/>
        <v>0</v>
      </c>
      <c r="AB48" s="20">
        <f t="shared" si="11"/>
        <v>0</v>
      </c>
      <c r="AC48" s="5"/>
      <c r="AD48" s="8"/>
      <c r="AF48" s="6"/>
      <c r="AG48" s="7"/>
      <c r="AJ48" s="33"/>
      <c r="AK48" s="35"/>
      <c r="AL48" s="38"/>
    </row>
    <row r="49" spans="1:38" ht="17.25" customHeight="1">
      <c r="A49" s="25"/>
      <c r="B49" s="26"/>
      <c r="C49" s="14"/>
      <c r="D49" s="31"/>
      <c r="E49" s="14"/>
      <c r="F49" s="15" t="str">
        <f t="shared" si="6"/>
        <v xml:space="preserve">S/F  </v>
      </c>
      <c r="G49" s="16"/>
      <c r="H49" s="17">
        <v>21</v>
      </c>
      <c r="I49" s="18">
        <f t="shared" si="7"/>
        <v>0</v>
      </c>
      <c r="J49" s="17"/>
      <c r="K49" s="18"/>
      <c r="L49" s="16"/>
      <c r="M49" s="17"/>
      <c r="N49" s="18">
        <f t="shared" si="8"/>
        <v>0</v>
      </c>
      <c r="O49" s="19"/>
      <c r="P49" s="18">
        <v>0</v>
      </c>
      <c r="Q49" s="16"/>
      <c r="R49" s="17"/>
      <c r="S49" s="18">
        <v>0</v>
      </c>
      <c r="T49" s="19"/>
      <c r="U49" s="18">
        <v>0</v>
      </c>
      <c r="V49" s="16"/>
      <c r="W49" s="17"/>
      <c r="X49" s="18">
        <f t="shared" si="9"/>
        <v>0</v>
      </c>
      <c r="Y49" s="19"/>
      <c r="Z49" s="19"/>
      <c r="AA49" s="18">
        <f t="shared" si="10"/>
        <v>0</v>
      </c>
      <c r="AB49" s="20">
        <f t="shared" si="11"/>
        <v>0</v>
      </c>
      <c r="AC49" s="5"/>
      <c r="AD49" s="8"/>
      <c r="AF49" s="6"/>
      <c r="AG49" s="7"/>
      <c r="AJ49" s="33"/>
      <c r="AK49" s="35"/>
      <c r="AL49" s="38"/>
    </row>
    <row r="50" spans="1:38" ht="17.25" customHeight="1">
      <c r="A50" s="25"/>
      <c r="B50" s="26"/>
      <c r="C50" s="14"/>
      <c r="D50" s="31"/>
      <c r="E50" s="14"/>
      <c r="F50" s="15" t="str">
        <f t="shared" si="6"/>
        <v xml:space="preserve">S/F  </v>
      </c>
      <c r="G50" s="16"/>
      <c r="H50" s="17">
        <v>21</v>
      </c>
      <c r="I50" s="18">
        <f t="shared" si="7"/>
        <v>0</v>
      </c>
      <c r="J50" s="17"/>
      <c r="K50" s="18"/>
      <c r="L50" s="16"/>
      <c r="M50" s="17"/>
      <c r="N50" s="18">
        <f t="shared" si="8"/>
        <v>0</v>
      </c>
      <c r="O50" s="19"/>
      <c r="P50" s="18">
        <v>0</v>
      </c>
      <c r="Q50" s="16"/>
      <c r="R50" s="17"/>
      <c r="S50" s="18">
        <v>0</v>
      </c>
      <c r="T50" s="19"/>
      <c r="U50" s="18">
        <v>0</v>
      </c>
      <c r="V50" s="16"/>
      <c r="W50" s="17"/>
      <c r="X50" s="18">
        <f t="shared" si="9"/>
        <v>0</v>
      </c>
      <c r="Y50" s="19"/>
      <c r="Z50" s="19"/>
      <c r="AA50" s="18">
        <f t="shared" si="10"/>
        <v>0</v>
      </c>
      <c r="AB50" s="20">
        <f t="shared" si="11"/>
        <v>0</v>
      </c>
      <c r="AC50" s="5"/>
      <c r="AD50" s="8"/>
      <c r="AF50" s="6"/>
      <c r="AG50" s="7"/>
      <c r="AJ50" s="33"/>
      <c r="AK50" s="35"/>
      <c r="AL50" s="38"/>
    </row>
    <row r="51" spans="1:38" ht="17.25" customHeight="1">
      <c r="A51" s="25"/>
      <c r="B51" s="26"/>
      <c r="C51" s="14"/>
      <c r="D51" s="31"/>
      <c r="E51" s="14"/>
      <c r="F51" s="15" t="str">
        <f t="shared" si="6"/>
        <v xml:space="preserve">S/F  </v>
      </c>
      <c r="G51" s="16"/>
      <c r="H51" s="17">
        <v>21</v>
      </c>
      <c r="I51" s="18">
        <f t="shared" si="7"/>
        <v>0</v>
      </c>
      <c r="J51" s="17"/>
      <c r="K51" s="18"/>
      <c r="L51" s="16"/>
      <c r="M51" s="17"/>
      <c r="N51" s="18">
        <f t="shared" si="8"/>
        <v>0</v>
      </c>
      <c r="O51" s="19"/>
      <c r="P51" s="18">
        <v>0</v>
      </c>
      <c r="Q51" s="16"/>
      <c r="R51" s="17"/>
      <c r="S51" s="18">
        <v>0</v>
      </c>
      <c r="T51" s="19"/>
      <c r="U51" s="18">
        <v>0</v>
      </c>
      <c r="V51" s="16"/>
      <c r="W51" s="17"/>
      <c r="X51" s="18">
        <f t="shared" si="9"/>
        <v>0</v>
      </c>
      <c r="Y51" s="19"/>
      <c r="Z51" s="19"/>
      <c r="AA51" s="18">
        <f t="shared" si="10"/>
        <v>0</v>
      </c>
      <c r="AB51" s="20">
        <f t="shared" si="11"/>
        <v>0</v>
      </c>
      <c r="AC51" s="5"/>
      <c r="AD51" s="8"/>
      <c r="AF51" s="6"/>
      <c r="AG51" s="7"/>
      <c r="AJ51" s="33"/>
      <c r="AK51" s="35"/>
      <c r="AL51" s="38"/>
    </row>
    <row r="52" spans="1:38" ht="17.25" customHeight="1">
      <c r="A52" s="25"/>
      <c r="B52" s="26"/>
      <c r="C52" s="14"/>
      <c r="D52" s="31"/>
      <c r="E52" s="14"/>
      <c r="F52" s="15" t="str">
        <f t="shared" si="6"/>
        <v xml:space="preserve">S/F  </v>
      </c>
      <c r="G52" s="16"/>
      <c r="H52" s="17">
        <v>21</v>
      </c>
      <c r="I52" s="18">
        <f t="shared" si="7"/>
        <v>0</v>
      </c>
      <c r="J52" s="17"/>
      <c r="K52" s="18"/>
      <c r="L52" s="16"/>
      <c r="M52" s="17"/>
      <c r="N52" s="18">
        <f t="shared" si="8"/>
        <v>0</v>
      </c>
      <c r="O52" s="19"/>
      <c r="P52" s="18">
        <v>0</v>
      </c>
      <c r="Q52" s="16"/>
      <c r="R52" s="17"/>
      <c r="S52" s="18">
        <v>0</v>
      </c>
      <c r="T52" s="19"/>
      <c r="U52" s="18">
        <v>0</v>
      </c>
      <c r="V52" s="16"/>
      <c r="W52" s="17"/>
      <c r="X52" s="18">
        <f t="shared" si="9"/>
        <v>0</v>
      </c>
      <c r="Y52" s="19"/>
      <c r="Z52" s="19"/>
      <c r="AA52" s="18">
        <f t="shared" si="10"/>
        <v>0</v>
      </c>
      <c r="AB52" s="20">
        <f t="shared" si="11"/>
        <v>0</v>
      </c>
      <c r="AC52" s="5"/>
      <c r="AD52" s="8"/>
      <c r="AF52" s="6"/>
      <c r="AG52" s="7"/>
      <c r="AJ52" s="33"/>
      <c r="AK52" s="35"/>
      <c r="AL52" s="38"/>
    </row>
    <row r="53" spans="1:38" ht="17.25" customHeight="1">
      <c r="A53" s="25"/>
      <c r="B53" s="26"/>
      <c r="C53" s="14"/>
      <c r="D53" s="31"/>
      <c r="E53" s="14"/>
      <c r="F53" s="15" t="str">
        <f t="shared" si="6"/>
        <v xml:space="preserve">S/F  </v>
      </c>
      <c r="G53" s="16"/>
      <c r="H53" s="17">
        <v>21</v>
      </c>
      <c r="I53" s="18">
        <f t="shared" si="7"/>
        <v>0</v>
      </c>
      <c r="J53" s="17"/>
      <c r="K53" s="18"/>
      <c r="L53" s="16"/>
      <c r="M53" s="17"/>
      <c r="N53" s="18">
        <f t="shared" si="8"/>
        <v>0</v>
      </c>
      <c r="O53" s="19"/>
      <c r="P53" s="18">
        <v>0</v>
      </c>
      <c r="Q53" s="16"/>
      <c r="R53" s="17"/>
      <c r="S53" s="18">
        <v>0</v>
      </c>
      <c r="T53" s="19"/>
      <c r="U53" s="18">
        <v>0</v>
      </c>
      <c r="V53" s="16"/>
      <c r="W53" s="17"/>
      <c r="X53" s="18">
        <f t="shared" si="9"/>
        <v>0</v>
      </c>
      <c r="Y53" s="19"/>
      <c r="Z53" s="19"/>
      <c r="AA53" s="18">
        <f t="shared" si="10"/>
        <v>0</v>
      </c>
      <c r="AB53" s="20">
        <f t="shared" si="11"/>
        <v>0</v>
      </c>
      <c r="AC53" s="5"/>
      <c r="AD53" s="8"/>
      <c r="AF53" s="6"/>
      <c r="AG53" s="7"/>
      <c r="AJ53" s="33"/>
      <c r="AK53" s="35"/>
      <c r="AL53" s="38"/>
    </row>
    <row r="54" spans="1:38" ht="17.25" customHeight="1">
      <c r="A54" s="25"/>
      <c r="B54" s="26"/>
      <c r="C54" s="14"/>
      <c r="D54" s="31"/>
      <c r="E54" s="14"/>
      <c r="F54" s="15" t="str">
        <f t="shared" si="6"/>
        <v xml:space="preserve">S/F  </v>
      </c>
      <c r="G54" s="16"/>
      <c r="H54" s="17">
        <v>21</v>
      </c>
      <c r="I54" s="18">
        <f t="shared" si="7"/>
        <v>0</v>
      </c>
      <c r="J54" s="17"/>
      <c r="K54" s="18"/>
      <c r="L54" s="16"/>
      <c r="M54" s="17"/>
      <c r="N54" s="18">
        <f t="shared" si="8"/>
        <v>0</v>
      </c>
      <c r="O54" s="19"/>
      <c r="P54" s="18">
        <v>0</v>
      </c>
      <c r="Q54" s="16"/>
      <c r="R54" s="17"/>
      <c r="S54" s="18">
        <v>0</v>
      </c>
      <c r="T54" s="19"/>
      <c r="U54" s="18">
        <v>0</v>
      </c>
      <c r="V54" s="16"/>
      <c r="W54" s="17"/>
      <c r="X54" s="18">
        <f t="shared" si="9"/>
        <v>0</v>
      </c>
      <c r="Y54" s="19"/>
      <c r="Z54" s="19"/>
      <c r="AA54" s="18">
        <f t="shared" si="10"/>
        <v>0</v>
      </c>
      <c r="AB54" s="20">
        <f t="shared" si="11"/>
        <v>0</v>
      </c>
      <c r="AC54" s="5"/>
      <c r="AD54" s="8"/>
      <c r="AF54" s="6"/>
      <c r="AG54" s="7"/>
      <c r="AJ54" s="33"/>
      <c r="AK54" s="35"/>
      <c r="AL54" s="38"/>
    </row>
    <row r="55" spans="1:38" ht="17.25" customHeight="1">
      <c r="A55" s="25"/>
      <c r="B55" s="26"/>
      <c r="C55" s="14"/>
      <c r="D55" s="31"/>
      <c r="E55" s="14"/>
      <c r="F55" s="15" t="str">
        <f t="shared" si="6"/>
        <v xml:space="preserve">S/F  </v>
      </c>
      <c r="G55" s="16"/>
      <c r="H55" s="17">
        <v>21</v>
      </c>
      <c r="I55" s="18">
        <f t="shared" si="7"/>
        <v>0</v>
      </c>
      <c r="J55" s="17"/>
      <c r="K55" s="18"/>
      <c r="L55" s="16"/>
      <c r="M55" s="17"/>
      <c r="N55" s="18">
        <f t="shared" si="8"/>
        <v>0</v>
      </c>
      <c r="O55" s="19"/>
      <c r="P55" s="18">
        <v>0</v>
      </c>
      <c r="Q55" s="16"/>
      <c r="R55" s="17"/>
      <c r="S55" s="18">
        <v>0</v>
      </c>
      <c r="T55" s="19"/>
      <c r="U55" s="18">
        <v>0</v>
      </c>
      <c r="V55" s="16"/>
      <c r="W55" s="17"/>
      <c r="X55" s="18">
        <f t="shared" si="9"/>
        <v>0</v>
      </c>
      <c r="Y55" s="19"/>
      <c r="Z55" s="19"/>
      <c r="AA55" s="18">
        <f t="shared" si="10"/>
        <v>0</v>
      </c>
      <c r="AB55" s="20">
        <f t="shared" si="11"/>
        <v>0</v>
      </c>
      <c r="AC55" s="5"/>
      <c r="AD55" s="8"/>
      <c r="AF55" s="6"/>
      <c r="AG55" s="7"/>
      <c r="AJ55" s="33"/>
      <c r="AK55" s="35"/>
      <c r="AL55" s="38"/>
    </row>
    <row r="56" spans="1:38" ht="17.25" customHeight="1">
      <c r="A56" s="25"/>
      <c r="B56" s="26"/>
      <c r="C56" s="14"/>
      <c r="D56" s="31"/>
      <c r="E56" s="14"/>
      <c r="F56" s="15" t="str">
        <f t="shared" si="6"/>
        <v xml:space="preserve">S/F  </v>
      </c>
      <c r="G56" s="16"/>
      <c r="H56" s="17">
        <v>21</v>
      </c>
      <c r="I56" s="18">
        <f t="shared" si="7"/>
        <v>0</v>
      </c>
      <c r="J56" s="17"/>
      <c r="K56" s="18"/>
      <c r="L56" s="16"/>
      <c r="M56" s="17"/>
      <c r="N56" s="18">
        <f t="shared" si="8"/>
        <v>0</v>
      </c>
      <c r="O56" s="19"/>
      <c r="P56" s="18">
        <v>0</v>
      </c>
      <c r="Q56" s="16"/>
      <c r="R56" s="17"/>
      <c r="S56" s="18">
        <v>0</v>
      </c>
      <c r="T56" s="19"/>
      <c r="U56" s="18">
        <v>0</v>
      </c>
      <c r="V56" s="16"/>
      <c r="W56" s="17"/>
      <c r="X56" s="18">
        <f t="shared" si="9"/>
        <v>0</v>
      </c>
      <c r="Y56" s="19"/>
      <c r="Z56" s="19"/>
      <c r="AA56" s="18">
        <f t="shared" si="10"/>
        <v>0</v>
      </c>
      <c r="AB56" s="20">
        <f t="shared" si="11"/>
        <v>0</v>
      </c>
      <c r="AC56" s="5"/>
      <c r="AD56" s="8"/>
      <c r="AF56" s="6"/>
      <c r="AG56" s="7"/>
      <c r="AJ56" s="33"/>
      <c r="AK56" s="35"/>
      <c r="AL56" s="38"/>
    </row>
    <row r="57" spans="1:38" ht="17.25" customHeight="1">
      <c r="A57" s="25"/>
      <c r="B57" s="26"/>
      <c r="C57" s="14"/>
      <c r="D57" s="31"/>
      <c r="E57" s="14"/>
      <c r="F57" s="15" t="str">
        <f t="shared" si="6"/>
        <v xml:space="preserve">S/F  </v>
      </c>
      <c r="G57" s="16"/>
      <c r="H57" s="17">
        <v>21</v>
      </c>
      <c r="I57" s="18">
        <f t="shared" si="7"/>
        <v>0</v>
      </c>
      <c r="J57" s="17"/>
      <c r="K57" s="18"/>
      <c r="L57" s="16"/>
      <c r="M57" s="17"/>
      <c r="N57" s="18">
        <f t="shared" si="8"/>
        <v>0</v>
      </c>
      <c r="O57" s="19"/>
      <c r="P57" s="18">
        <v>0</v>
      </c>
      <c r="Q57" s="16"/>
      <c r="R57" s="17"/>
      <c r="S57" s="18">
        <v>0</v>
      </c>
      <c r="T57" s="19"/>
      <c r="U57" s="18">
        <v>0</v>
      </c>
      <c r="V57" s="16"/>
      <c r="W57" s="17"/>
      <c r="X57" s="18">
        <f t="shared" si="9"/>
        <v>0</v>
      </c>
      <c r="Y57" s="19"/>
      <c r="Z57" s="19"/>
      <c r="AA57" s="18">
        <f t="shared" si="10"/>
        <v>0</v>
      </c>
      <c r="AB57" s="20">
        <f t="shared" si="11"/>
        <v>0</v>
      </c>
      <c r="AC57" s="5"/>
      <c r="AD57" s="8"/>
      <c r="AF57" s="6"/>
      <c r="AG57" s="7"/>
      <c r="AJ57" s="33"/>
      <c r="AK57" s="35"/>
      <c r="AL57" s="38"/>
    </row>
    <row r="58" spans="1:38" ht="17.25" customHeight="1">
      <c r="A58" s="25"/>
      <c r="B58" s="26"/>
      <c r="C58" s="14"/>
      <c r="D58" s="31"/>
      <c r="E58" s="14"/>
      <c r="F58" s="15" t="str">
        <f t="shared" si="6"/>
        <v xml:space="preserve">S/F  </v>
      </c>
      <c r="G58" s="16"/>
      <c r="H58" s="17">
        <v>21</v>
      </c>
      <c r="I58" s="18">
        <f t="shared" si="7"/>
        <v>0</v>
      </c>
      <c r="J58" s="17"/>
      <c r="K58" s="18"/>
      <c r="L58" s="16"/>
      <c r="M58" s="17"/>
      <c r="N58" s="18">
        <f t="shared" si="8"/>
        <v>0</v>
      </c>
      <c r="O58" s="19"/>
      <c r="P58" s="18">
        <v>0</v>
      </c>
      <c r="Q58" s="16"/>
      <c r="R58" s="17"/>
      <c r="S58" s="18">
        <v>0</v>
      </c>
      <c r="T58" s="19"/>
      <c r="U58" s="18">
        <v>0</v>
      </c>
      <c r="V58" s="16"/>
      <c r="W58" s="17"/>
      <c r="X58" s="18">
        <f t="shared" si="9"/>
        <v>0</v>
      </c>
      <c r="Y58" s="19"/>
      <c r="Z58" s="19"/>
      <c r="AA58" s="18">
        <f t="shared" si="10"/>
        <v>0</v>
      </c>
      <c r="AB58" s="20">
        <f t="shared" si="11"/>
        <v>0</v>
      </c>
      <c r="AC58" s="5"/>
      <c r="AD58" s="8"/>
      <c r="AF58" s="6"/>
      <c r="AG58" s="7"/>
      <c r="AJ58" s="33"/>
      <c r="AK58" s="35"/>
      <c r="AL58" s="38"/>
    </row>
    <row r="59" spans="1:38" ht="17.25" customHeight="1">
      <c r="A59" s="25"/>
      <c r="B59" s="26"/>
      <c r="C59" s="14"/>
      <c r="D59" s="31"/>
      <c r="E59" s="14"/>
      <c r="F59" s="15" t="str">
        <f t="shared" si="6"/>
        <v xml:space="preserve">S/F  </v>
      </c>
      <c r="G59" s="16"/>
      <c r="H59" s="17">
        <v>21</v>
      </c>
      <c r="I59" s="18">
        <f t="shared" si="7"/>
        <v>0</v>
      </c>
      <c r="J59" s="17"/>
      <c r="K59" s="18"/>
      <c r="L59" s="16"/>
      <c r="M59" s="17"/>
      <c r="N59" s="18">
        <f t="shared" si="8"/>
        <v>0</v>
      </c>
      <c r="O59" s="19"/>
      <c r="P59" s="18">
        <v>0</v>
      </c>
      <c r="Q59" s="16"/>
      <c r="R59" s="17"/>
      <c r="S59" s="18">
        <v>0</v>
      </c>
      <c r="T59" s="19"/>
      <c r="U59" s="18">
        <v>0</v>
      </c>
      <c r="V59" s="16"/>
      <c r="W59" s="17"/>
      <c r="X59" s="18">
        <f t="shared" si="9"/>
        <v>0</v>
      </c>
      <c r="Y59" s="19"/>
      <c r="Z59" s="19"/>
      <c r="AA59" s="18">
        <f t="shared" si="10"/>
        <v>0</v>
      </c>
      <c r="AB59" s="20">
        <f t="shared" si="11"/>
        <v>0</v>
      </c>
      <c r="AC59" s="5"/>
      <c r="AD59" s="8"/>
      <c r="AF59" s="6"/>
      <c r="AG59" s="7"/>
      <c r="AJ59" s="33"/>
      <c r="AK59" s="35"/>
      <c r="AL59" s="38"/>
    </row>
    <row r="60" spans="1:38" ht="17.25" customHeight="1">
      <c r="A60" s="25"/>
      <c r="B60" s="26"/>
      <c r="C60" s="14"/>
      <c r="D60" s="31"/>
      <c r="E60" s="14"/>
      <c r="F60" s="15" t="str">
        <f t="shared" si="6"/>
        <v xml:space="preserve">S/F  </v>
      </c>
      <c r="G60" s="16"/>
      <c r="H60" s="17">
        <v>21</v>
      </c>
      <c r="I60" s="18">
        <f t="shared" si="7"/>
        <v>0</v>
      </c>
      <c r="J60" s="17"/>
      <c r="K60" s="18"/>
      <c r="L60" s="16"/>
      <c r="M60" s="17"/>
      <c r="N60" s="18">
        <f t="shared" si="8"/>
        <v>0</v>
      </c>
      <c r="O60" s="19"/>
      <c r="P60" s="18">
        <v>0</v>
      </c>
      <c r="Q60" s="16"/>
      <c r="R60" s="17"/>
      <c r="S60" s="18">
        <v>0</v>
      </c>
      <c r="T60" s="19"/>
      <c r="U60" s="18">
        <v>0</v>
      </c>
      <c r="V60" s="16"/>
      <c r="W60" s="17"/>
      <c r="X60" s="18">
        <f t="shared" si="9"/>
        <v>0</v>
      </c>
      <c r="Y60" s="19"/>
      <c r="Z60" s="19"/>
      <c r="AA60" s="18">
        <f t="shared" si="10"/>
        <v>0</v>
      </c>
      <c r="AB60" s="20">
        <f t="shared" si="11"/>
        <v>0</v>
      </c>
      <c r="AC60" s="5"/>
      <c r="AD60" s="8"/>
      <c r="AF60" s="6"/>
      <c r="AG60" s="7"/>
      <c r="AJ60" s="33"/>
      <c r="AK60" s="35"/>
      <c r="AL60" s="38"/>
    </row>
    <row r="61" spans="1:38" ht="17.25" customHeight="1">
      <c r="A61" s="25"/>
      <c r="B61" s="26"/>
      <c r="C61" s="14"/>
      <c r="D61" s="31"/>
      <c r="E61" s="14"/>
      <c r="F61" s="15" t="str">
        <f t="shared" si="6"/>
        <v xml:space="preserve">S/F  </v>
      </c>
      <c r="G61" s="16"/>
      <c r="H61" s="17">
        <v>21</v>
      </c>
      <c r="I61" s="18">
        <f t="shared" si="7"/>
        <v>0</v>
      </c>
      <c r="J61" s="17"/>
      <c r="K61" s="18"/>
      <c r="L61" s="16"/>
      <c r="M61" s="17"/>
      <c r="N61" s="18">
        <f t="shared" si="8"/>
        <v>0</v>
      </c>
      <c r="O61" s="19"/>
      <c r="P61" s="18">
        <v>0</v>
      </c>
      <c r="Q61" s="16"/>
      <c r="R61" s="17"/>
      <c r="S61" s="18">
        <v>0</v>
      </c>
      <c r="T61" s="19"/>
      <c r="U61" s="18">
        <v>0</v>
      </c>
      <c r="V61" s="16"/>
      <c r="W61" s="17"/>
      <c r="X61" s="18">
        <f t="shared" si="9"/>
        <v>0</v>
      </c>
      <c r="Y61" s="19"/>
      <c r="Z61" s="19"/>
      <c r="AA61" s="18">
        <f t="shared" si="10"/>
        <v>0</v>
      </c>
      <c r="AB61" s="20">
        <f t="shared" si="11"/>
        <v>0</v>
      </c>
      <c r="AC61" s="5"/>
      <c r="AD61" s="8"/>
      <c r="AF61" s="6"/>
      <c r="AG61" s="7"/>
      <c r="AJ61" s="33"/>
      <c r="AK61" s="35"/>
      <c r="AL61" s="38"/>
    </row>
    <row r="62" spans="1:38" ht="17.25" customHeight="1">
      <c r="A62" s="25"/>
      <c r="B62" s="26"/>
      <c r="C62" s="14"/>
      <c r="D62" s="31"/>
      <c r="E62" s="14"/>
      <c r="F62" s="15" t="str">
        <f t="shared" si="6"/>
        <v xml:space="preserve">S/F  </v>
      </c>
      <c r="G62" s="16"/>
      <c r="H62" s="17">
        <v>21</v>
      </c>
      <c r="I62" s="18">
        <f t="shared" si="7"/>
        <v>0</v>
      </c>
      <c r="J62" s="17"/>
      <c r="K62" s="18"/>
      <c r="L62" s="16"/>
      <c r="M62" s="17"/>
      <c r="N62" s="18">
        <f t="shared" si="8"/>
        <v>0</v>
      </c>
      <c r="O62" s="19"/>
      <c r="P62" s="18">
        <v>0</v>
      </c>
      <c r="Q62" s="16"/>
      <c r="R62" s="17"/>
      <c r="S62" s="18">
        <v>0</v>
      </c>
      <c r="T62" s="19"/>
      <c r="U62" s="18">
        <v>0</v>
      </c>
      <c r="V62" s="16"/>
      <c r="W62" s="17"/>
      <c r="X62" s="18">
        <f t="shared" si="9"/>
        <v>0</v>
      </c>
      <c r="Y62" s="19"/>
      <c r="Z62" s="19"/>
      <c r="AA62" s="18">
        <f t="shared" si="10"/>
        <v>0</v>
      </c>
      <c r="AB62" s="20">
        <f t="shared" si="11"/>
        <v>0</v>
      </c>
      <c r="AC62" s="5"/>
      <c r="AD62" s="8"/>
      <c r="AF62" s="6"/>
      <c r="AG62" s="7"/>
      <c r="AJ62" s="33"/>
      <c r="AK62" s="35"/>
      <c r="AL62" s="38"/>
    </row>
    <row r="63" spans="1:38" ht="17.25" customHeight="1">
      <c r="A63" s="25"/>
      <c r="B63" s="26"/>
      <c r="C63" s="14"/>
      <c r="D63" s="31"/>
      <c r="E63" s="14"/>
      <c r="F63" s="15" t="str">
        <f t="shared" si="6"/>
        <v xml:space="preserve">S/F  </v>
      </c>
      <c r="G63" s="16"/>
      <c r="H63" s="17">
        <v>21</v>
      </c>
      <c r="I63" s="18">
        <f t="shared" si="7"/>
        <v>0</v>
      </c>
      <c r="J63" s="17"/>
      <c r="K63" s="18"/>
      <c r="L63" s="16"/>
      <c r="M63" s="17"/>
      <c r="N63" s="18">
        <f t="shared" si="8"/>
        <v>0</v>
      </c>
      <c r="O63" s="19"/>
      <c r="P63" s="18">
        <v>0</v>
      </c>
      <c r="Q63" s="16"/>
      <c r="R63" s="17"/>
      <c r="S63" s="18">
        <v>0</v>
      </c>
      <c r="T63" s="19"/>
      <c r="U63" s="18">
        <v>0</v>
      </c>
      <c r="V63" s="16"/>
      <c r="W63" s="17"/>
      <c r="X63" s="18">
        <f t="shared" si="9"/>
        <v>0</v>
      </c>
      <c r="Y63" s="19"/>
      <c r="Z63" s="19"/>
      <c r="AA63" s="18">
        <f t="shared" si="10"/>
        <v>0</v>
      </c>
      <c r="AB63" s="20">
        <f t="shared" si="11"/>
        <v>0</v>
      </c>
      <c r="AC63" s="5"/>
      <c r="AD63" s="8"/>
      <c r="AF63" s="6"/>
      <c r="AG63" s="7"/>
      <c r="AJ63" s="33"/>
      <c r="AK63" s="35"/>
      <c r="AL63" s="38"/>
    </row>
    <row r="64" spans="1:38" ht="17.25" customHeight="1">
      <c r="A64" s="25"/>
      <c r="B64" s="26"/>
      <c r="C64" s="14"/>
      <c r="D64" s="31"/>
      <c r="E64" s="14"/>
      <c r="F64" s="15" t="str">
        <f t="shared" si="6"/>
        <v xml:space="preserve">S/F  </v>
      </c>
      <c r="G64" s="16"/>
      <c r="H64" s="17">
        <v>21</v>
      </c>
      <c r="I64" s="18">
        <f t="shared" si="7"/>
        <v>0</v>
      </c>
      <c r="J64" s="17"/>
      <c r="K64" s="18"/>
      <c r="L64" s="16"/>
      <c r="M64" s="17"/>
      <c r="N64" s="18">
        <f t="shared" si="8"/>
        <v>0</v>
      </c>
      <c r="O64" s="19"/>
      <c r="P64" s="18">
        <v>0</v>
      </c>
      <c r="Q64" s="16"/>
      <c r="R64" s="17"/>
      <c r="S64" s="18">
        <v>0</v>
      </c>
      <c r="T64" s="19"/>
      <c r="U64" s="18">
        <v>0</v>
      </c>
      <c r="V64" s="16"/>
      <c r="W64" s="17"/>
      <c r="X64" s="18">
        <f t="shared" si="9"/>
        <v>0</v>
      </c>
      <c r="Y64" s="19"/>
      <c r="Z64" s="19"/>
      <c r="AA64" s="18">
        <f t="shared" si="10"/>
        <v>0</v>
      </c>
      <c r="AB64" s="20">
        <f t="shared" si="11"/>
        <v>0</v>
      </c>
      <c r="AC64" s="5"/>
      <c r="AD64" s="8"/>
      <c r="AF64" s="6"/>
      <c r="AG64" s="7"/>
      <c r="AJ64" s="33"/>
      <c r="AK64" s="35"/>
      <c r="AL64" s="38"/>
    </row>
    <row r="65" spans="1:38" ht="17.25" customHeight="1">
      <c r="A65" s="25"/>
      <c r="B65" s="26"/>
      <c r="C65" s="14"/>
      <c r="D65" s="31"/>
      <c r="E65" s="14"/>
      <c r="F65" s="15" t="str">
        <f t="shared" si="6"/>
        <v xml:space="preserve">S/F  </v>
      </c>
      <c r="G65" s="16"/>
      <c r="H65" s="17">
        <v>21</v>
      </c>
      <c r="I65" s="18">
        <f t="shared" si="7"/>
        <v>0</v>
      </c>
      <c r="J65" s="17"/>
      <c r="K65" s="18"/>
      <c r="L65" s="16"/>
      <c r="M65" s="17"/>
      <c r="N65" s="18">
        <f t="shared" si="8"/>
        <v>0</v>
      </c>
      <c r="O65" s="19"/>
      <c r="P65" s="18">
        <v>0</v>
      </c>
      <c r="Q65" s="16"/>
      <c r="R65" s="17"/>
      <c r="S65" s="18">
        <v>0</v>
      </c>
      <c r="T65" s="19"/>
      <c r="U65" s="18">
        <v>0</v>
      </c>
      <c r="V65" s="16"/>
      <c r="W65" s="17"/>
      <c r="X65" s="18">
        <f t="shared" si="9"/>
        <v>0</v>
      </c>
      <c r="Y65" s="19"/>
      <c r="Z65" s="19"/>
      <c r="AA65" s="18">
        <f t="shared" si="10"/>
        <v>0</v>
      </c>
      <c r="AB65" s="20">
        <f t="shared" si="11"/>
        <v>0</v>
      </c>
      <c r="AC65" s="5"/>
      <c r="AD65" s="8"/>
      <c r="AF65" s="6"/>
      <c r="AG65" s="7"/>
      <c r="AJ65" s="33"/>
      <c r="AK65" s="35"/>
      <c r="AL65" s="38"/>
    </row>
    <row r="66" spans="1:38" ht="17.25" customHeight="1">
      <c r="A66" s="25"/>
      <c r="B66" s="26"/>
      <c r="C66" s="14"/>
      <c r="D66" s="31"/>
      <c r="E66" s="14"/>
      <c r="F66" s="15" t="str">
        <f t="shared" ref="F66:F97" si="12">"S/F "&amp;B66&amp;" "&amp;E66</f>
        <v xml:space="preserve">S/F  </v>
      </c>
      <c r="G66" s="16"/>
      <c r="H66" s="17">
        <v>10</v>
      </c>
      <c r="I66" s="18">
        <f t="shared" ref="I66:I97" si="13">+IF(G66&lt;&gt;0,G66*H66/100,0)</f>
        <v>0</v>
      </c>
      <c r="J66" s="17"/>
      <c r="K66" s="18"/>
      <c r="L66" s="16"/>
      <c r="M66" s="17"/>
      <c r="N66" s="18">
        <f t="shared" ref="N66:N97" si="14">+IF(L66&lt;&gt;0,L66*M66/100,0)</f>
        <v>0</v>
      </c>
      <c r="O66" s="19"/>
      <c r="P66" s="18">
        <v>0</v>
      </c>
      <c r="Q66" s="16"/>
      <c r="R66" s="17"/>
      <c r="S66" s="18">
        <v>0</v>
      </c>
      <c r="T66" s="19"/>
      <c r="U66" s="18">
        <v>0</v>
      </c>
      <c r="V66" s="16"/>
      <c r="W66" s="17"/>
      <c r="X66" s="18">
        <f t="shared" ref="X66:X97" si="15">+IF(W66&lt;&gt;0,V66*W66/100,0)</f>
        <v>0</v>
      </c>
      <c r="Y66" s="19"/>
      <c r="Z66" s="19"/>
      <c r="AA66" s="18">
        <f t="shared" ref="AA66:AA97" si="16">+IF(Z66&lt;&gt;0,Y66*Z66/100,0)</f>
        <v>0</v>
      </c>
      <c r="AB66" s="20">
        <f t="shared" ref="AB66:AB97" si="17">+G66+I66+K66+L66+N66+P66+Q66+S66+U66-X66-AA66</f>
        <v>0</v>
      </c>
      <c r="AC66" s="5"/>
      <c r="AD66" s="8"/>
      <c r="AF66" s="6"/>
      <c r="AG66" s="7"/>
      <c r="AJ66" s="33"/>
      <c r="AK66" s="35"/>
      <c r="AL66" s="38"/>
    </row>
    <row r="67" spans="1:38" ht="17.25" customHeight="1">
      <c r="A67" s="25"/>
      <c r="B67" s="26"/>
      <c r="C67" s="14"/>
      <c r="D67" s="31"/>
      <c r="E67" s="14"/>
      <c r="F67" s="15" t="str">
        <f t="shared" si="12"/>
        <v xml:space="preserve">S/F  </v>
      </c>
      <c r="G67" s="16"/>
      <c r="H67" s="17">
        <v>21</v>
      </c>
      <c r="I67" s="18">
        <f t="shared" si="13"/>
        <v>0</v>
      </c>
      <c r="J67" s="17"/>
      <c r="K67" s="18"/>
      <c r="L67" s="16"/>
      <c r="M67" s="17"/>
      <c r="N67" s="18">
        <f t="shared" si="14"/>
        <v>0</v>
      </c>
      <c r="O67" s="19"/>
      <c r="P67" s="18">
        <v>0</v>
      </c>
      <c r="Q67" s="16"/>
      <c r="R67" s="17"/>
      <c r="S67" s="18">
        <v>0</v>
      </c>
      <c r="T67" s="19"/>
      <c r="U67" s="18">
        <v>0</v>
      </c>
      <c r="V67" s="16"/>
      <c r="W67" s="17"/>
      <c r="X67" s="18">
        <f t="shared" si="15"/>
        <v>0</v>
      </c>
      <c r="Y67" s="19"/>
      <c r="Z67" s="19"/>
      <c r="AA67" s="18">
        <f t="shared" si="16"/>
        <v>0</v>
      </c>
      <c r="AB67" s="20">
        <f t="shared" si="17"/>
        <v>0</v>
      </c>
      <c r="AC67" s="5"/>
      <c r="AD67" s="8"/>
      <c r="AF67" s="6"/>
      <c r="AG67" s="7"/>
      <c r="AJ67" s="33"/>
      <c r="AK67" s="35"/>
      <c r="AL67" s="38"/>
    </row>
    <row r="68" spans="1:38" ht="17.25" customHeight="1">
      <c r="A68" s="25"/>
      <c r="B68" s="26"/>
      <c r="C68" s="14"/>
      <c r="D68" s="31"/>
      <c r="E68" s="14"/>
      <c r="F68" s="15" t="str">
        <f t="shared" si="12"/>
        <v xml:space="preserve">S/F  </v>
      </c>
      <c r="G68" s="16"/>
      <c r="H68" s="17">
        <v>21</v>
      </c>
      <c r="I68" s="18">
        <f t="shared" si="13"/>
        <v>0</v>
      </c>
      <c r="J68" s="17"/>
      <c r="K68" s="18"/>
      <c r="L68" s="16"/>
      <c r="M68" s="17"/>
      <c r="N68" s="18">
        <f t="shared" si="14"/>
        <v>0</v>
      </c>
      <c r="O68" s="19"/>
      <c r="P68" s="18">
        <v>0</v>
      </c>
      <c r="Q68" s="16"/>
      <c r="R68" s="17"/>
      <c r="S68" s="18">
        <v>0</v>
      </c>
      <c r="T68" s="19"/>
      <c r="U68" s="18">
        <v>0</v>
      </c>
      <c r="V68" s="16"/>
      <c r="W68" s="17"/>
      <c r="X68" s="18">
        <f t="shared" si="15"/>
        <v>0</v>
      </c>
      <c r="Y68" s="19"/>
      <c r="Z68" s="19"/>
      <c r="AA68" s="18">
        <f t="shared" si="16"/>
        <v>0</v>
      </c>
      <c r="AB68" s="20">
        <f t="shared" si="17"/>
        <v>0</v>
      </c>
      <c r="AC68" s="5"/>
      <c r="AD68" s="8"/>
      <c r="AF68" s="6"/>
      <c r="AG68" s="7"/>
      <c r="AJ68" s="33"/>
      <c r="AK68" s="35"/>
      <c r="AL68" s="38"/>
    </row>
    <row r="69" spans="1:38" ht="17.25" customHeight="1">
      <c r="A69" s="25"/>
      <c r="B69" s="26"/>
      <c r="C69" s="14"/>
      <c r="D69" s="31"/>
      <c r="E69" s="14"/>
      <c r="F69" s="15" t="str">
        <f t="shared" si="12"/>
        <v xml:space="preserve">S/F  </v>
      </c>
      <c r="G69" s="16"/>
      <c r="H69" s="17">
        <v>21</v>
      </c>
      <c r="I69" s="18">
        <f t="shared" si="13"/>
        <v>0</v>
      </c>
      <c r="J69" s="17"/>
      <c r="K69" s="18"/>
      <c r="L69" s="16"/>
      <c r="M69" s="17"/>
      <c r="N69" s="18">
        <f t="shared" si="14"/>
        <v>0</v>
      </c>
      <c r="O69" s="19"/>
      <c r="P69" s="18">
        <v>0</v>
      </c>
      <c r="Q69" s="16"/>
      <c r="R69" s="17"/>
      <c r="S69" s="18">
        <v>0</v>
      </c>
      <c r="T69" s="19"/>
      <c r="U69" s="18">
        <v>0</v>
      </c>
      <c r="V69" s="16"/>
      <c r="W69" s="17"/>
      <c r="X69" s="18">
        <f t="shared" si="15"/>
        <v>0</v>
      </c>
      <c r="Y69" s="19"/>
      <c r="Z69" s="19"/>
      <c r="AA69" s="18">
        <f t="shared" si="16"/>
        <v>0</v>
      </c>
      <c r="AB69" s="20">
        <f t="shared" si="17"/>
        <v>0</v>
      </c>
      <c r="AC69" s="5"/>
      <c r="AD69" s="8"/>
      <c r="AF69" s="6"/>
      <c r="AG69" s="7"/>
      <c r="AJ69" s="33"/>
      <c r="AK69" s="35"/>
      <c r="AL69" s="38"/>
    </row>
    <row r="70" spans="1:38" ht="17.25" customHeight="1">
      <c r="A70" s="25"/>
      <c r="B70" s="26"/>
      <c r="C70" s="14"/>
      <c r="D70" s="31"/>
      <c r="E70" s="14"/>
      <c r="F70" s="15" t="str">
        <f t="shared" si="12"/>
        <v xml:space="preserve">S/F  </v>
      </c>
      <c r="G70" s="16"/>
      <c r="H70" s="17">
        <v>21</v>
      </c>
      <c r="I70" s="18">
        <f t="shared" si="13"/>
        <v>0</v>
      </c>
      <c r="J70" s="17"/>
      <c r="K70" s="18"/>
      <c r="L70" s="16"/>
      <c r="M70" s="17"/>
      <c r="N70" s="18">
        <f t="shared" si="14"/>
        <v>0</v>
      </c>
      <c r="O70" s="19"/>
      <c r="P70" s="18">
        <v>0</v>
      </c>
      <c r="Q70" s="16"/>
      <c r="R70" s="17"/>
      <c r="S70" s="18">
        <v>0</v>
      </c>
      <c r="T70" s="19"/>
      <c r="U70" s="18">
        <v>0</v>
      </c>
      <c r="V70" s="16"/>
      <c r="W70" s="17"/>
      <c r="X70" s="18">
        <f t="shared" si="15"/>
        <v>0</v>
      </c>
      <c r="Y70" s="19"/>
      <c r="Z70" s="19"/>
      <c r="AA70" s="18">
        <f t="shared" si="16"/>
        <v>0</v>
      </c>
      <c r="AB70" s="20">
        <f t="shared" si="17"/>
        <v>0</v>
      </c>
      <c r="AC70" s="5"/>
      <c r="AD70" s="8"/>
      <c r="AF70" s="6"/>
      <c r="AG70" s="7"/>
      <c r="AJ70" s="33"/>
      <c r="AK70" s="35"/>
      <c r="AL70" s="38"/>
    </row>
    <row r="71" spans="1:38" ht="17.25" customHeight="1">
      <c r="A71" s="25"/>
      <c r="B71" s="26"/>
      <c r="C71" s="14"/>
      <c r="D71" s="31"/>
      <c r="E71" s="14"/>
      <c r="F71" s="15" t="str">
        <f t="shared" si="12"/>
        <v xml:space="preserve">S/F  </v>
      </c>
      <c r="G71" s="16"/>
      <c r="H71" s="17">
        <v>21</v>
      </c>
      <c r="I71" s="18">
        <f t="shared" si="13"/>
        <v>0</v>
      </c>
      <c r="J71" s="17"/>
      <c r="K71" s="18"/>
      <c r="L71" s="16"/>
      <c r="M71" s="17"/>
      <c r="N71" s="18">
        <f t="shared" si="14"/>
        <v>0</v>
      </c>
      <c r="O71" s="19"/>
      <c r="P71" s="18">
        <v>0</v>
      </c>
      <c r="Q71" s="16"/>
      <c r="R71" s="17"/>
      <c r="S71" s="18">
        <v>0</v>
      </c>
      <c r="T71" s="19"/>
      <c r="U71" s="18">
        <v>0</v>
      </c>
      <c r="V71" s="16"/>
      <c r="W71" s="17"/>
      <c r="X71" s="18">
        <f t="shared" si="15"/>
        <v>0</v>
      </c>
      <c r="Y71" s="19"/>
      <c r="Z71" s="19"/>
      <c r="AA71" s="18">
        <f t="shared" si="16"/>
        <v>0</v>
      </c>
      <c r="AB71" s="20">
        <f t="shared" si="17"/>
        <v>0</v>
      </c>
      <c r="AC71" s="5"/>
      <c r="AD71" s="8"/>
      <c r="AF71" s="6"/>
      <c r="AG71" s="7"/>
      <c r="AJ71" s="33"/>
      <c r="AK71" s="35"/>
      <c r="AL71" s="38"/>
    </row>
    <row r="72" spans="1:38" ht="17.25" customHeight="1">
      <c r="A72" s="25"/>
      <c r="B72" s="26"/>
      <c r="C72" s="14"/>
      <c r="D72" s="31"/>
      <c r="E72" s="14"/>
      <c r="F72" s="15" t="str">
        <f t="shared" si="12"/>
        <v xml:space="preserve">S/F  </v>
      </c>
      <c r="G72" s="16"/>
      <c r="H72" s="17">
        <v>21</v>
      </c>
      <c r="I72" s="18">
        <f t="shared" si="13"/>
        <v>0</v>
      </c>
      <c r="J72" s="17"/>
      <c r="K72" s="18"/>
      <c r="L72" s="16"/>
      <c r="M72" s="17"/>
      <c r="N72" s="18">
        <f t="shared" si="14"/>
        <v>0</v>
      </c>
      <c r="O72" s="19"/>
      <c r="P72" s="18">
        <v>0</v>
      </c>
      <c r="Q72" s="16"/>
      <c r="R72" s="17"/>
      <c r="S72" s="18">
        <v>0</v>
      </c>
      <c r="T72" s="19"/>
      <c r="U72" s="18">
        <v>0</v>
      </c>
      <c r="V72" s="16"/>
      <c r="W72" s="17"/>
      <c r="X72" s="18">
        <f t="shared" si="15"/>
        <v>0</v>
      </c>
      <c r="Y72" s="19"/>
      <c r="Z72" s="19"/>
      <c r="AA72" s="18">
        <f t="shared" si="16"/>
        <v>0</v>
      </c>
      <c r="AB72" s="20">
        <f t="shared" si="17"/>
        <v>0</v>
      </c>
      <c r="AC72" s="5"/>
      <c r="AD72" s="8"/>
      <c r="AF72" s="6"/>
      <c r="AG72" s="7"/>
      <c r="AJ72" s="33"/>
      <c r="AK72" s="35"/>
      <c r="AL72" s="38"/>
    </row>
    <row r="73" spans="1:38" ht="17.25" customHeight="1">
      <c r="A73" s="25"/>
      <c r="B73" s="26"/>
      <c r="C73" s="14"/>
      <c r="D73" s="31"/>
      <c r="E73" s="14"/>
      <c r="F73" s="15" t="str">
        <f t="shared" si="12"/>
        <v xml:space="preserve">S/F  </v>
      </c>
      <c r="G73" s="16"/>
      <c r="H73" s="17">
        <v>21</v>
      </c>
      <c r="I73" s="18">
        <f t="shared" si="13"/>
        <v>0</v>
      </c>
      <c r="J73" s="17"/>
      <c r="K73" s="18"/>
      <c r="L73" s="16"/>
      <c r="M73" s="17"/>
      <c r="N73" s="18">
        <f t="shared" si="14"/>
        <v>0</v>
      </c>
      <c r="O73" s="19"/>
      <c r="P73" s="18">
        <v>0</v>
      </c>
      <c r="Q73" s="16"/>
      <c r="R73" s="17"/>
      <c r="S73" s="18">
        <v>0</v>
      </c>
      <c r="T73" s="19"/>
      <c r="U73" s="18">
        <v>0</v>
      </c>
      <c r="V73" s="16"/>
      <c r="W73" s="17"/>
      <c r="X73" s="18">
        <f t="shared" si="15"/>
        <v>0</v>
      </c>
      <c r="Y73" s="19"/>
      <c r="Z73" s="19"/>
      <c r="AA73" s="18">
        <f t="shared" si="16"/>
        <v>0</v>
      </c>
      <c r="AB73" s="20">
        <f t="shared" si="17"/>
        <v>0</v>
      </c>
      <c r="AC73" s="5"/>
      <c r="AD73" s="8"/>
      <c r="AF73" s="6"/>
      <c r="AG73" s="7"/>
      <c r="AJ73" s="33"/>
      <c r="AK73" s="35"/>
      <c r="AL73" s="38"/>
    </row>
    <row r="74" spans="1:38" ht="17.25" customHeight="1">
      <c r="A74" s="25"/>
      <c r="B74" s="26"/>
      <c r="C74" s="14"/>
      <c r="D74" s="31"/>
      <c r="E74" s="14"/>
      <c r="F74" s="15" t="str">
        <f t="shared" si="12"/>
        <v xml:space="preserve">S/F  </v>
      </c>
      <c r="G74" s="16"/>
      <c r="H74" s="17">
        <v>21</v>
      </c>
      <c r="I74" s="18">
        <f t="shared" si="13"/>
        <v>0</v>
      </c>
      <c r="J74" s="17"/>
      <c r="K74" s="18"/>
      <c r="L74" s="16"/>
      <c r="M74" s="17"/>
      <c r="N74" s="18">
        <f t="shared" si="14"/>
        <v>0</v>
      </c>
      <c r="O74" s="19"/>
      <c r="P74" s="18">
        <v>0</v>
      </c>
      <c r="Q74" s="16"/>
      <c r="R74" s="17"/>
      <c r="S74" s="18">
        <v>0</v>
      </c>
      <c r="T74" s="19"/>
      <c r="U74" s="18">
        <v>0</v>
      </c>
      <c r="V74" s="16"/>
      <c r="W74" s="17"/>
      <c r="X74" s="18">
        <f t="shared" si="15"/>
        <v>0</v>
      </c>
      <c r="Y74" s="19"/>
      <c r="Z74" s="19"/>
      <c r="AA74" s="18">
        <f t="shared" si="16"/>
        <v>0</v>
      </c>
      <c r="AB74" s="20">
        <f t="shared" si="17"/>
        <v>0</v>
      </c>
      <c r="AC74" s="5"/>
      <c r="AD74" s="8"/>
      <c r="AF74" s="6"/>
      <c r="AG74" s="7"/>
      <c r="AJ74" s="33"/>
      <c r="AK74" s="35"/>
      <c r="AL74" s="38"/>
    </row>
    <row r="75" spans="1:38" ht="17.25" customHeight="1">
      <c r="A75" s="25"/>
      <c r="B75" s="26"/>
      <c r="C75" s="14"/>
      <c r="D75" s="31"/>
      <c r="E75" s="14"/>
      <c r="F75" s="15" t="str">
        <f t="shared" si="12"/>
        <v xml:space="preserve">S/F  </v>
      </c>
      <c r="G75" s="16"/>
      <c r="H75" s="17">
        <v>21</v>
      </c>
      <c r="I75" s="18">
        <f t="shared" si="13"/>
        <v>0</v>
      </c>
      <c r="J75" s="17"/>
      <c r="K75" s="18"/>
      <c r="L75" s="16"/>
      <c r="M75" s="17"/>
      <c r="N75" s="18">
        <f t="shared" si="14"/>
        <v>0</v>
      </c>
      <c r="O75" s="19"/>
      <c r="P75" s="18">
        <v>0</v>
      </c>
      <c r="Q75" s="16"/>
      <c r="R75" s="17"/>
      <c r="S75" s="18">
        <v>0</v>
      </c>
      <c r="T75" s="19"/>
      <c r="U75" s="18">
        <v>0</v>
      </c>
      <c r="V75" s="16"/>
      <c r="W75" s="17"/>
      <c r="X75" s="18">
        <f t="shared" si="15"/>
        <v>0</v>
      </c>
      <c r="Y75" s="19"/>
      <c r="Z75" s="19"/>
      <c r="AA75" s="18">
        <f t="shared" si="16"/>
        <v>0</v>
      </c>
      <c r="AB75" s="20">
        <f t="shared" si="17"/>
        <v>0</v>
      </c>
      <c r="AC75" s="5"/>
      <c r="AD75" s="8"/>
      <c r="AF75" s="6"/>
      <c r="AG75" s="7"/>
      <c r="AJ75" s="33"/>
      <c r="AK75" s="35"/>
      <c r="AL75" s="38"/>
    </row>
    <row r="76" spans="1:38" ht="17.25" customHeight="1">
      <c r="A76" s="25"/>
      <c r="B76" s="26"/>
      <c r="C76" s="14"/>
      <c r="D76" s="26"/>
      <c r="E76" s="14"/>
      <c r="F76" s="15" t="str">
        <f t="shared" si="12"/>
        <v xml:space="preserve">S/F  </v>
      </c>
      <c r="G76" s="16"/>
      <c r="H76" s="17">
        <v>21</v>
      </c>
      <c r="I76" s="18">
        <f t="shared" si="13"/>
        <v>0</v>
      </c>
      <c r="J76" s="17"/>
      <c r="K76" s="18"/>
      <c r="L76" s="16"/>
      <c r="M76" s="17"/>
      <c r="N76" s="18">
        <f t="shared" si="14"/>
        <v>0</v>
      </c>
      <c r="O76" s="19"/>
      <c r="P76" s="18">
        <v>0</v>
      </c>
      <c r="Q76" s="16"/>
      <c r="R76" s="17"/>
      <c r="S76" s="18">
        <v>0</v>
      </c>
      <c r="T76" s="19"/>
      <c r="U76" s="18">
        <v>0</v>
      </c>
      <c r="V76" s="16"/>
      <c r="W76" s="17"/>
      <c r="X76" s="18">
        <f t="shared" si="15"/>
        <v>0</v>
      </c>
      <c r="Y76" s="19"/>
      <c r="Z76" s="19"/>
      <c r="AA76" s="18">
        <f t="shared" si="16"/>
        <v>0</v>
      </c>
      <c r="AB76" s="20">
        <f t="shared" si="17"/>
        <v>0</v>
      </c>
      <c r="AC76" s="5"/>
      <c r="AD76" s="8"/>
      <c r="AF76" s="6"/>
      <c r="AG76" s="7"/>
      <c r="AJ76" s="33"/>
      <c r="AK76" s="35"/>
      <c r="AL76" s="38"/>
    </row>
    <row r="77" spans="1:38" ht="17.25" customHeight="1">
      <c r="A77" s="25"/>
      <c r="B77" s="26"/>
      <c r="C77" s="14"/>
      <c r="D77" s="31"/>
      <c r="E77" s="14"/>
      <c r="F77" s="15" t="str">
        <f t="shared" si="12"/>
        <v xml:space="preserve">S/F  </v>
      </c>
      <c r="G77" s="16"/>
      <c r="H77" s="17">
        <v>21</v>
      </c>
      <c r="I77" s="18">
        <f t="shared" si="13"/>
        <v>0</v>
      </c>
      <c r="J77" s="17"/>
      <c r="K77" s="18"/>
      <c r="L77" s="16"/>
      <c r="M77" s="17"/>
      <c r="N77" s="18">
        <f t="shared" si="14"/>
        <v>0</v>
      </c>
      <c r="O77" s="19"/>
      <c r="P77" s="18">
        <v>0</v>
      </c>
      <c r="Q77" s="16"/>
      <c r="R77" s="17"/>
      <c r="S77" s="18">
        <v>0</v>
      </c>
      <c r="T77" s="19"/>
      <c r="U77" s="18">
        <v>0</v>
      </c>
      <c r="V77" s="16"/>
      <c r="W77" s="17"/>
      <c r="X77" s="18">
        <f t="shared" si="15"/>
        <v>0</v>
      </c>
      <c r="Y77" s="19"/>
      <c r="Z77" s="19"/>
      <c r="AA77" s="18">
        <f t="shared" si="16"/>
        <v>0</v>
      </c>
      <c r="AB77" s="20">
        <f t="shared" si="17"/>
        <v>0</v>
      </c>
      <c r="AC77" s="5"/>
      <c r="AD77" s="8"/>
      <c r="AF77" s="6"/>
      <c r="AG77" s="7"/>
      <c r="AJ77" s="33"/>
      <c r="AK77" s="35"/>
      <c r="AL77" s="38"/>
    </row>
    <row r="78" spans="1:38" ht="17.25" customHeight="1">
      <c r="A78" s="25"/>
      <c r="B78" s="26"/>
      <c r="C78" s="14"/>
      <c r="D78" s="31"/>
      <c r="E78" s="14"/>
      <c r="F78" s="15" t="str">
        <f t="shared" si="12"/>
        <v xml:space="preserve">S/F  </v>
      </c>
      <c r="G78" s="16"/>
      <c r="H78" s="17">
        <v>21</v>
      </c>
      <c r="I78" s="18">
        <f t="shared" si="13"/>
        <v>0</v>
      </c>
      <c r="J78" s="17"/>
      <c r="K78" s="18"/>
      <c r="L78" s="16"/>
      <c r="M78" s="17"/>
      <c r="N78" s="18">
        <f t="shared" si="14"/>
        <v>0</v>
      </c>
      <c r="O78" s="19"/>
      <c r="P78" s="18">
        <v>0</v>
      </c>
      <c r="Q78" s="16"/>
      <c r="R78" s="17"/>
      <c r="S78" s="18">
        <v>0</v>
      </c>
      <c r="T78" s="19"/>
      <c r="U78" s="18">
        <v>0</v>
      </c>
      <c r="V78" s="16"/>
      <c r="W78" s="17"/>
      <c r="X78" s="18">
        <f t="shared" si="15"/>
        <v>0</v>
      </c>
      <c r="Y78" s="19"/>
      <c r="Z78" s="19"/>
      <c r="AA78" s="18">
        <f t="shared" si="16"/>
        <v>0</v>
      </c>
      <c r="AB78" s="20">
        <f t="shared" si="17"/>
        <v>0</v>
      </c>
      <c r="AC78" s="5"/>
      <c r="AD78" s="8"/>
      <c r="AF78" s="6"/>
      <c r="AG78" s="7"/>
      <c r="AJ78" s="33"/>
      <c r="AK78" s="35"/>
      <c r="AL78" s="38"/>
    </row>
    <row r="79" spans="1:38" ht="17.25" customHeight="1">
      <c r="A79" s="25"/>
      <c r="B79" s="26"/>
      <c r="C79" s="14"/>
      <c r="D79" s="31"/>
      <c r="E79" s="14"/>
      <c r="F79" s="15" t="str">
        <f t="shared" si="12"/>
        <v xml:space="preserve">S/F  </v>
      </c>
      <c r="G79" s="16"/>
      <c r="H79" s="17">
        <v>21</v>
      </c>
      <c r="I79" s="18">
        <f t="shared" si="13"/>
        <v>0</v>
      </c>
      <c r="J79" s="17"/>
      <c r="K79" s="18"/>
      <c r="L79" s="16"/>
      <c r="M79" s="17"/>
      <c r="N79" s="18">
        <f t="shared" si="14"/>
        <v>0</v>
      </c>
      <c r="O79" s="19"/>
      <c r="P79" s="18">
        <v>0</v>
      </c>
      <c r="Q79" s="16"/>
      <c r="R79" s="17"/>
      <c r="S79" s="18">
        <v>0</v>
      </c>
      <c r="T79" s="19"/>
      <c r="U79" s="18">
        <v>0</v>
      </c>
      <c r="V79" s="16"/>
      <c r="W79" s="17"/>
      <c r="X79" s="18">
        <f t="shared" si="15"/>
        <v>0</v>
      </c>
      <c r="Y79" s="19"/>
      <c r="Z79" s="19"/>
      <c r="AA79" s="18">
        <f t="shared" si="16"/>
        <v>0</v>
      </c>
      <c r="AB79" s="20">
        <f t="shared" si="17"/>
        <v>0</v>
      </c>
      <c r="AC79" s="5"/>
      <c r="AD79" s="8"/>
      <c r="AF79" s="6"/>
      <c r="AG79" s="7"/>
      <c r="AJ79" s="33"/>
      <c r="AK79" s="35"/>
      <c r="AL79" s="38"/>
    </row>
    <row r="80" spans="1:38" ht="17.25" customHeight="1">
      <c r="A80" s="25"/>
      <c r="B80" s="26"/>
      <c r="C80" s="14"/>
      <c r="D80" s="31"/>
      <c r="E80" s="14"/>
      <c r="F80" s="15" t="str">
        <f t="shared" si="12"/>
        <v xml:space="preserve">S/F  </v>
      </c>
      <c r="G80" s="16"/>
      <c r="H80" s="17">
        <v>21</v>
      </c>
      <c r="I80" s="18">
        <f t="shared" si="13"/>
        <v>0</v>
      </c>
      <c r="J80" s="17"/>
      <c r="K80" s="18"/>
      <c r="L80" s="16"/>
      <c r="M80" s="17"/>
      <c r="N80" s="18">
        <f t="shared" si="14"/>
        <v>0</v>
      </c>
      <c r="O80" s="19"/>
      <c r="P80" s="18">
        <v>0</v>
      </c>
      <c r="Q80" s="16"/>
      <c r="R80" s="17"/>
      <c r="S80" s="18">
        <v>0</v>
      </c>
      <c r="T80" s="19"/>
      <c r="U80" s="18">
        <v>0</v>
      </c>
      <c r="V80" s="16"/>
      <c r="W80" s="17"/>
      <c r="X80" s="18">
        <f t="shared" si="15"/>
        <v>0</v>
      </c>
      <c r="Y80" s="19"/>
      <c r="Z80" s="19"/>
      <c r="AA80" s="18">
        <f t="shared" si="16"/>
        <v>0</v>
      </c>
      <c r="AB80" s="20">
        <f t="shared" si="17"/>
        <v>0</v>
      </c>
      <c r="AC80" s="5"/>
      <c r="AD80" s="8"/>
      <c r="AF80" s="6"/>
      <c r="AG80" s="7"/>
      <c r="AJ80" s="33"/>
      <c r="AK80" s="35"/>
      <c r="AL80" s="38"/>
    </row>
    <row r="81" spans="1:38" ht="17.25" customHeight="1">
      <c r="A81" s="25"/>
      <c r="B81" s="26"/>
      <c r="C81" s="14"/>
      <c r="D81" s="31"/>
      <c r="E81" s="14"/>
      <c r="F81" s="15" t="str">
        <f t="shared" si="12"/>
        <v xml:space="preserve">S/F  </v>
      </c>
      <c r="G81" s="16"/>
      <c r="H81" s="17">
        <v>21</v>
      </c>
      <c r="I81" s="18">
        <f t="shared" si="13"/>
        <v>0</v>
      </c>
      <c r="J81" s="17"/>
      <c r="K81" s="18"/>
      <c r="L81" s="16"/>
      <c r="M81" s="17"/>
      <c r="N81" s="18">
        <f t="shared" si="14"/>
        <v>0</v>
      </c>
      <c r="O81" s="19"/>
      <c r="P81" s="18">
        <v>0</v>
      </c>
      <c r="Q81" s="16"/>
      <c r="R81" s="17"/>
      <c r="S81" s="18">
        <v>0</v>
      </c>
      <c r="T81" s="19"/>
      <c r="U81" s="18">
        <v>0</v>
      </c>
      <c r="V81" s="16"/>
      <c r="W81" s="17"/>
      <c r="X81" s="18">
        <f t="shared" si="15"/>
        <v>0</v>
      </c>
      <c r="Y81" s="19"/>
      <c r="Z81" s="19"/>
      <c r="AA81" s="18">
        <f t="shared" si="16"/>
        <v>0</v>
      </c>
      <c r="AB81" s="20">
        <f t="shared" si="17"/>
        <v>0</v>
      </c>
      <c r="AC81" s="5"/>
      <c r="AD81" s="8"/>
      <c r="AF81" s="6"/>
      <c r="AG81" s="7"/>
      <c r="AJ81" s="33"/>
      <c r="AK81" s="35"/>
      <c r="AL81" s="38"/>
    </row>
    <row r="82" spans="1:38" ht="17.25" customHeight="1">
      <c r="A82" s="25"/>
      <c r="B82" s="26"/>
      <c r="C82" s="14"/>
      <c r="D82" s="31"/>
      <c r="E82" s="14"/>
      <c r="F82" s="15" t="str">
        <f t="shared" si="12"/>
        <v xml:space="preserve">S/F  </v>
      </c>
      <c r="G82" s="16"/>
      <c r="H82" s="17">
        <v>21</v>
      </c>
      <c r="I82" s="18">
        <f t="shared" si="13"/>
        <v>0</v>
      </c>
      <c r="J82" s="17"/>
      <c r="K82" s="18"/>
      <c r="L82" s="16"/>
      <c r="M82" s="17"/>
      <c r="N82" s="18">
        <f t="shared" si="14"/>
        <v>0</v>
      </c>
      <c r="O82" s="19"/>
      <c r="P82" s="18">
        <v>0</v>
      </c>
      <c r="Q82" s="16"/>
      <c r="R82" s="17"/>
      <c r="S82" s="18">
        <v>0</v>
      </c>
      <c r="T82" s="19"/>
      <c r="U82" s="18">
        <v>0</v>
      </c>
      <c r="V82" s="16"/>
      <c r="W82" s="17"/>
      <c r="X82" s="18">
        <f t="shared" si="15"/>
        <v>0</v>
      </c>
      <c r="Y82" s="19"/>
      <c r="Z82" s="19"/>
      <c r="AA82" s="18">
        <f t="shared" si="16"/>
        <v>0</v>
      </c>
      <c r="AB82" s="20">
        <f t="shared" si="17"/>
        <v>0</v>
      </c>
      <c r="AC82" s="5"/>
      <c r="AD82" s="8"/>
      <c r="AF82" s="6"/>
      <c r="AG82" s="7"/>
      <c r="AJ82" s="33"/>
      <c r="AK82" s="35"/>
      <c r="AL82" s="38"/>
    </row>
    <row r="83" spans="1:38" ht="17.25" customHeight="1">
      <c r="A83" s="25"/>
      <c r="B83" s="26"/>
      <c r="C83" s="14"/>
      <c r="D83" s="31"/>
      <c r="E83" s="14"/>
      <c r="F83" s="15" t="str">
        <f t="shared" si="12"/>
        <v xml:space="preserve">S/F  </v>
      </c>
      <c r="G83" s="16"/>
      <c r="H83" s="17">
        <v>21</v>
      </c>
      <c r="I83" s="18">
        <f t="shared" si="13"/>
        <v>0</v>
      </c>
      <c r="J83" s="17"/>
      <c r="K83" s="18"/>
      <c r="L83" s="16"/>
      <c r="M83" s="17"/>
      <c r="N83" s="18">
        <f t="shared" si="14"/>
        <v>0</v>
      </c>
      <c r="O83" s="19"/>
      <c r="P83" s="18">
        <v>0</v>
      </c>
      <c r="Q83" s="16"/>
      <c r="R83" s="17"/>
      <c r="S83" s="18">
        <v>0</v>
      </c>
      <c r="T83" s="19"/>
      <c r="U83" s="18">
        <v>0</v>
      </c>
      <c r="V83" s="16"/>
      <c r="W83" s="17"/>
      <c r="X83" s="18">
        <f t="shared" si="15"/>
        <v>0</v>
      </c>
      <c r="Y83" s="19"/>
      <c r="Z83" s="19"/>
      <c r="AA83" s="18">
        <f t="shared" si="16"/>
        <v>0</v>
      </c>
      <c r="AB83" s="20">
        <f t="shared" si="17"/>
        <v>0</v>
      </c>
      <c r="AC83" s="5"/>
      <c r="AD83" s="8"/>
      <c r="AF83" s="6"/>
      <c r="AG83" s="7"/>
      <c r="AJ83" s="33"/>
      <c r="AK83" s="35"/>
      <c r="AL83" s="38"/>
    </row>
    <row r="84" spans="1:38" ht="17.25" customHeight="1">
      <c r="A84" s="25"/>
      <c r="B84" s="26"/>
      <c r="C84" s="14"/>
      <c r="D84" s="31"/>
      <c r="E84" s="14"/>
      <c r="F84" s="15" t="str">
        <f t="shared" si="12"/>
        <v xml:space="preserve">S/F  </v>
      </c>
      <c r="G84" s="16"/>
      <c r="H84" s="17">
        <v>21</v>
      </c>
      <c r="I84" s="18">
        <f t="shared" si="13"/>
        <v>0</v>
      </c>
      <c r="J84" s="17"/>
      <c r="K84" s="18"/>
      <c r="L84" s="16"/>
      <c r="M84" s="17"/>
      <c r="N84" s="18">
        <f t="shared" si="14"/>
        <v>0</v>
      </c>
      <c r="O84" s="19"/>
      <c r="P84" s="18">
        <v>0</v>
      </c>
      <c r="Q84" s="16"/>
      <c r="R84" s="17"/>
      <c r="S84" s="18">
        <v>0</v>
      </c>
      <c r="T84" s="19"/>
      <c r="U84" s="18">
        <v>0</v>
      </c>
      <c r="V84" s="16"/>
      <c r="W84" s="17"/>
      <c r="X84" s="18">
        <f t="shared" si="15"/>
        <v>0</v>
      </c>
      <c r="Y84" s="19"/>
      <c r="Z84" s="19"/>
      <c r="AA84" s="18">
        <f t="shared" si="16"/>
        <v>0</v>
      </c>
      <c r="AB84" s="20">
        <f t="shared" si="17"/>
        <v>0</v>
      </c>
      <c r="AC84" s="5"/>
      <c r="AD84" s="8"/>
      <c r="AF84" s="6"/>
      <c r="AG84" s="7"/>
      <c r="AJ84" s="33"/>
      <c r="AK84" s="35"/>
      <c r="AL84" s="38"/>
    </row>
    <row r="85" spans="1:38" ht="17.25" customHeight="1">
      <c r="A85" s="25"/>
      <c r="B85" s="26"/>
      <c r="C85" s="14"/>
      <c r="D85" s="31"/>
      <c r="E85" s="14"/>
      <c r="F85" s="15" t="str">
        <f t="shared" si="12"/>
        <v xml:space="preserve">S/F  </v>
      </c>
      <c r="G85" s="16"/>
      <c r="H85" s="17">
        <v>21</v>
      </c>
      <c r="I85" s="18">
        <f t="shared" si="13"/>
        <v>0</v>
      </c>
      <c r="J85" s="17"/>
      <c r="K85" s="18"/>
      <c r="L85" s="16"/>
      <c r="M85" s="17"/>
      <c r="N85" s="18">
        <f t="shared" si="14"/>
        <v>0</v>
      </c>
      <c r="O85" s="19"/>
      <c r="P85" s="18">
        <v>0</v>
      </c>
      <c r="Q85" s="16"/>
      <c r="R85" s="17"/>
      <c r="S85" s="18">
        <v>0</v>
      </c>
      <c r="T85" s="19"/>
      <c r="U85" s="18">
        <v>0</v>
      </c>
      <c r="V85" s="16"/>
      <c r="W85" s="17"/>
      <c r="X85" s="18">
        <f t="shared" si="15"/>
        <v>0</v>
      </c>
      <c r="Y85" s="19"/>
      <c r="Z85" s="19"/>
      <c r="AA85" s="18">
        <f t="shared" si="16"/>
        <v>0</v>
      </c>
      <c r="AB85" s="20">
        <f t="shared" si="17"/>
        <v>0</v>
      </c>
      <c r="AC85" s="5"/>
      <c r="AD85" s="8"/>
      <c r="AF85" s="6"/>
      <c r="AG85" s="7"/>
      <c r="AJ85" s="33"/>
      <c r="AK85" s="35"/>
      <c r="AL85" s="38"/>
    </row>
    <row r="86" spans="1:38" ht="17.25" customHeight="1">
      <c r="A86" s="25"/>
      <c r="B86" s="26"/>
      <c r="C86" s="14"/>
      <c r="D86" s="31"/>
      <c r="E86" s="14"/>
      <c r="F86" s="15" t="str">
        <f t="shared" si="12"/>
        <v xml:space="preserve">S/F  </v>
      </c>
      <c r="G86" s="16"/>
      <c r="H86" s="17">
        <v>21</v>
      </c>
      <c r="I86" s="18">
        <f t="shared" si="13"/>
        <v>0</v>
      </c>
      <c r="J86" s="17"/>
      <c r="K86" s="18"/>
      <c r="L86" s="16"/>
      <c r="M86" s="17"/>
      <c r="N86" s="18">
        <f t="shared" si="14"/>
        <v>0</v>
      </c>
      <c r="O86" s="19"/>
      <c r="P86" s="18">
        <v>0</v>
      </c>
      <c r="Q86" s="16"/>
      <c r="R86" s="17"/>
      <c r="S86" s="18">
        <v>0</v>
      </c>
      <c r="T86" s="19"/>
      <c r="U86" s="18">
        <v>0</v>
      </c>
      <c r="V86" s="16"/>
      <c r="W86" s="17"/>
      <c r="X86" s="18">
        <f t="shared" si="15"/>
        <v>0</v>
      </c>
      <c r="Y86" s="19"/>
      <c r="Z86" s="19"/>
      <c r="AA86" s="18">
        <f t="shared" si="16"/>
        <v>0</v>
      </c>
      <c r="AB86" s="20">
        <f t="shared" si="17"/>
        <v>0</v>
      </c>
      <c r="AC86" s="5"/>
      <c r="AD86" s="8"/>
      <c r="AF86" s="6"/>
      <c r="AG86" s="7"/>
      <c r="AJ86" s="33"/>
      <c r="AK86" s="35"/>
      <c r="AL86" s="38"/>
    </row>
    <row r="87" spans="1:38" ht="17.25" customHeight="1">
      <c r="A87" s="25"/>
      <c r="B87" s="26"/>
      <c r="C87" s="14"/>
      <c r="D87" s="31"/>
      <c r="E87" s="14"/>
      <c r="F87" s="15" t="str">
        <f t="shared" si="12"/>
        <v xml:space="preserve">S/F  </v>
      </c>
      <c r="G87" s="16"/>
      <c r="H87" s="17">
        <v>21</v>
      </c>
      <c r="I87" s="18">
        <f t="shared" si="13"/>
        <v>0</v>
      </c>
      <c r="J87" s="17"/>
      <c r="K87" s="18"/>
      <c r="L87" s="16"/>
      <c r="M87" s="17"/>
      <c r="N87" s="18">
        <f t="shared" si="14"/>
        <v>0</v>
      </c>
      <c r="O87" s="19"/>
      <c r="P87" s="18">
        <v>0</v>
      </c>
      <c r="Q87" s="16"/>
      <c r="R87" s="17"/>
      <c r="S87" s="18">
        <v>0</v>
      </c>
      <c r="T87" s="19"/>
      <c r="U87" s="18">
        <v>0</v>
      </c>
      <c r="V87" s="16"/>
      <c r="W87" s="17"/>
      <c r="X87" s="18">
        <f t="shared" si="15"/>
        <v>0</v>
      </c>
      <c r="Y87" s="19"/>
      <c r="Z87" s="19"/>
      <c r="AA87" s="18">
        <f t="shared" si="16"/>
        <v>0</v>
      </c>
      <c r="AB87" s="20">
        <f t="shared" si="17"/>
        <v>0</v>
      </c>
      <c r="AC87" s="5"/>
      <c r="AD87" s="8"/>
      <c r="AF87" s="6"/>
      <c r="AG87" s="7"/>
      <c r="AJ87" s="33"/>
      <c r="AK87" s="35"/>
      <c r="AL87" s="38"/>
    </row>
    <row r="88" spans="1:38" ht="17.25" customHeight="1">
      <c r="A88" s="25"/>
      <c r="B88" s="26"/>
      <c r="C88" s="14"/>
      <c r="D88" s="31"/>
      <c r="E88" s="14"/>
      <c r="F88" s="15" t="str">
        <f t="shared" si="12"/>
        <v xml:space="preserve">S/F  </v>
      </c>
      <c r="G88" s="16"/>
      <c r="H88" s="17">
        <v>21</v>
      </c>
      <c r="I88" s="18">
        <f t="shared" si="13"/>
        <v>0</v>
      </c>
      <c r="J88" s="17"/>
      <c r="K88" s="18"/>
      <c r="L88" s="16"/>
      <c r="M88" s="17"/>
      <c r="N88" s="18">
        <f t="shared" si="14"/>
        <v>0</v>
      </c>
      <c r="O88" s="19"/>
      <c r="P88" s="18">
        <v>0</v>
      </c>
      <c r="Q88" s="16"/>
      <c r="R88" s="17"/>
      <c r="S88" s="18">
        <v>0</v>
      </c>
      <c r="T88" s="19"/>
      <c r="U88" s="18">
        <v>0</v>
      </c>
      <c r="V88" s="16"/>
      <c r="W88" s="17"/>
      <c r="X88" s="18">
        <f t="shared" si="15"/>
        <v>0</v>
      </c>
      <c r="Y88" s="19"/>
      <c r="Z88" s="19"/>
      <c r="AA88" s="18">
        <f t="shared" si="16"/>
        <v>0</v>
      </c>
      <c r="AB88" s="20">
        <f t="shared" si="17"/>
        <v>0</v>
      </c>
      <c r="AC88" s="5"/>
      <c r="AD88" s="8"/>
      <c r="AF88" s="6"/>
      <c r="AG88" s="7"/>
      <c r="AJ88" s="33"/>
      <c r="AK88" s="35"/>
      <c r="AL88" s="38"/>
    </row>
    <row r="89" spans="1:38" ht="17.25" customHeight="1">
      <c r="A89" s="25"/>
      <c r="B89" s="26"/>
      <c r="C89" s="14"/>
      <c r="D89" s="31"/>
      <c r="E89" s="14"/>
      <c r="F89" s="15" t="str">
        <f t="shared" si="12"/>
        <v xml:space="preserve">S/F  </v>
      </c>
      <c r="G89" s="16"/>
      <c r="H89" s="17">
        <v>21</v>
      </c>
      <c r="I89" s="18">
        <f t="shared" si="13"/>
        <v>0</v>
      </c>
      <c r="J89" s="17"/>
      <c r="K89" s="18"/>
      <c r="L89" s="16"/>
      <c r="M89" s="17"/>
      <c r="N89" s="18">
        <f t="shared" si="14"/>
        <v>0</v>
      </c>
      <c r="O89" s="19"/>
      <c r="P89" s="18">
        <v>0</v>
      </c>
      <c r="Q89" s="16"/>
      <c r="R89" s="17"/>
      <c r="S89" s="18">
        <v>0</v>
      </c>
      <c r="T89" s="19"/>
      <c r="U89" s="18">
        <v>0</v>
      </c>
      <c r="V89" s="16"/>
      <c r="W89" s="17"/>
      <c r="X89" s="18">
        <f t="shared" si="15"/>
        <v>0</v>
      </c>
      <c r="Y89" s="19"/>
      <c r="Z89" s="19"/>
      <c r="AA89" s="18">
        <f t="shared" si="16"/>
        <v>0</v>
      </c>
      <c r="AB89" s="20">
        <f t="shared" si="17"/>
        <v>0</v>
      </c>
      <c r="AC89" s="5"/>
      <c r="AD89" s="8"/>
      <c r="AF89" s="6"/>
      <c r="AG89" s="7"/>
      <c r="AJ89" s="33"/>
      <c r="AK89" s="35"/>
      <c r="AL89" s="38"/>
    </row>
    <row r="90" spans="1:38" ht="17.25" customHeight="1">
      <c r="A90" s="25"/>
      <c r="B90" s="26"/>
      <c r="C90" s="14"/>
      <c r="D90" s="31"/>
      <c r="E90" s="14"/>
      <c r="F90" s="15" t="str">
        <f t="shared" si="12"/>
        <v xml:space="preserve">S/F  </v>
      </c>
      <c r="G90" s="16"/>
      <c r="H90" s="17">
        <v>21</v>
      </c>
      <c r="I90" s="18">
        <f t="shared" si="13"/>
        <v>0</v>
      </c>
      <c r="J90" s="17"/>
      <c r="K90" s="18"/>
      <c r="L90" s="16"/>
      <c r="M90" s="17"/>
      <c r="N90" s="18">
        <f t="shared" si="14"/>
        <v>0</v>
      </c>
      <c r="O90" s="19"/>
      <c r="P90" s="18">
        <v>0</v>
      </c>
      <c r="Q90" s="16"/>
      <c r="R90" s="17"/>
      <c r="S90" s="18">
        <v>0</v>
      </c>
      <c r="T90" s="19"/>
      <c r="U90" s="18">
        <v>0</v>
      </c>
      <c r="V90" s="16"/>
      <c r="W90" s="17"/>
      <c r="X90" s="18">
        <f t="shared" si="15"/>
        <v>0</v>
      </c>
      <c r="Y90" s="19"/>
      <c r="Z90" s="19"/>
      <c r="AA90" s="18">
        <f t="shared" si="16"/>
        <v>0</v>
      </c>
      <c r="AB90" s="20">
        <f t="shared" si="17"/>
        <v>0</v>
      </c>
      <c r="AC90" s="5"/>
      <c r="AD90" s="8"/>
      <c r="AF90" s="6"/>
      <c r="AG90" s="7"/>
      <c r="AJ90" s="33"/>
      <c r="AK90" s="35"/>
      <c r="AL90" s="38"/>
    </row>
    <row r="91" spans="1:38" ht="17.25" customHeight="1">
      <c r="A91" s="25"/>
      <c r="B91" s="26"/>
      <c r="C91" s="14"/>
      <c r="D91" s="31"/>
      <c r="E91" s="14"/>
      <c r="F91" s="15" t="str">
        <f t="shared" si="12"/>
        <v xml:space="preserve">S/F  </v>
      </c>
      <c r="G91" s="16"/>
      <c r="H91" s="17">
        <v>21</v>
      </c>
      <c r="I91" s="18">
        <f t="shared" si="13"/>
        <v>0</v>
      </c>
      <c r="J91" s="17"/>
      <c r="K91" s="18"/>
      <c r="L91" s="16"/>
      <c r="M91" s="17"/>
      <c r="N91" s="18">
        <f t="shared" si="14"/>
        <v>0</v>
      </c>
      <c r="O91" s="19"/>
      <c r="P91" s="18">
        <v>0</v>
      </c>
      <c r="Q91" s="16"/>
      <c r="R91" s="17"/>
      <c r="S91" s="18">
        <v>0</v>
      </c>
      <c r="T91" s="19"/>
      <c r="U91" s="18">
        <v>0</v>
      </c>
      <c r="V91" s="16"/>
      <c r="W91" s="17"/>
      <c r="X91" s="18">
        <f t="shared" si="15"/>
        <v>0</v>
      </c>
      <c r="Y91" s="19"/>
      <c r="Z91" s="19"/>
      <c r="AA91" s="18">
        <f t="shared" si="16"/>
        <v>0</v>
      </c>
      <c r="AB91" s="20">
        <f t="shared" si="17"/>
        <v>0</v>
      </c>
      <c r="AC91" s="5"/>
      <c r="AD91" s="8"/>
      <c r="AF91" s="6"/>
      <c r="AG91" s="7"/>
      <c r="AJ91" s="33"/>
      <c r="AK91" s="35"/>
      <c r="AL91" s="38"/>
    </row>
    <row r="92" spans="1:38" ht="17.25" customHeight="1">
      <c r="A92" s="25"/>
      <c r="B92" s="26"/>
      <c r="C92" s="14"/>
      <c r="D92" s="31"/>
      <c r="E92" s="14"/>
      <c r="F92" s="15" t="str">
        <f t="shared" si="12"/>
        <v xml:space="preserve">S/F  </v>
      </c>
      <c r="G92" s="16"/>
      <c r="H92" s="17">
        <v>21</v>
      </c>
      <c r="I92" s="18">
        <f t="shared" si="13"/>
        <v>0</v>
      </c>
      <c r="J92" s="17"/>
      <c r="K92" s="18"/>
      <c r="L92" s="16"/>
      <c r="M92" s="17"/>
      <c r="N92" s="18">
        <f t="shared" si="14"/>
        <v>0</v>
      </c>
      <c r="O92" s="19"/>
      <c r="P92" s="18">
        <v>0</v>
      </c>
      <c r="Q92" s="16"/>
      <c r="R92" s="17"/>
      <c r="S92" s="18">
        <v>0</v>
      </c>
      <c r="T92" s="19"/>
      <c r="U92" s="18">
        <v>0</v>
      </c>
      <c r="V92" s="16"/>
      <c r="W92" s="17"/>
      <c r="X92" s="18">
        <f t="shared" si="15"/>
        <v>0</v>
      </c>
      <c r="Y92" s="19"/>
      <c r="Z92" s="19"/>
      <c r="AA92" s="18">
        <f t="shared" si="16"/>
        <v>0</v>
      </c>
      <c r="AB92" s="20">
        <f t="shared" si="17"/>
        <v>0</v>
      </c>
      <c r="AC92" s="5"/>
      <c r="AD92" s="8"/>
      <c r="AF92" s="6"/>
      <c r="AG92" s="7"/>
      <c r="AJ92" s="33"/>
      <c r="AK92" s="35"/>
      <c r="AL92" s="38"/>
    </row>
    <row r="93" spans="1:38" ht="17.25" customHeight="1">
      <c r="A93" s="25"/>
      <c r="B93" s="26"/>
      <c r="C93" s="14"/>
      <c r="D93" s="31"/>
      <c r="E93" s="14"/>
      <c r="F93" s="15" t="str">
        <f t="shared" si="12"/>
        <v xml:space="preserve">S/F  </v>
      </c>
      <c r="G93" s="16"/>
      <c r="H93" s="17">
        <v>21</v>
      </c>
      <c r="I93" s="18">
        <f t="shared" si="13"/>
        <v>0</v>
      </c>
      <c r="J93" s="17"/>
      <c r="K93" s="18"/>
      <c r="L93" s="16"/>
      <c r="M93" s="17"/>
      <c r="N93" s="18">
        <f t="shared" si="14"/>
        <v>0</v>
      </c>
      <c r="O93" s="19"/>
      <c r="P93" s="18">
        <v>0</v>
      </c>
      <c r="Q93" s="16"/>
      <c r="R93" s="17"/>
      <c r="S93" s="18">
        <v>0</v>
      </c>
      <c r="T93" s="19"/>
      <c r="U93" s="18">
        <v>0</v>
      </c>
      <c r="V93" s="16"/>
      <c r="W93" s="17"/>
      <c r="X93" s="18">
        <f t="shared" si="15"/>
        <v>0</v>
      </c>
      <c r="Y93" s="19"/>
      <c r="Z93" s="19"/>
      <c r="AA93" s="18">
        <f t="shared" si="16"/>
        <v>0</v>
      </c>
      <c r="AB93" s="20">
        <f t="shared" si="17"/>
        <v>0</v>
      </c>
      <c r="AC93" s="5"/>
      <c r="AD93" s="8"/>
      <c r="AF93" s="6"/>
      <c r="AG93" s="7"/>
      <c r="AJ93" s="33"/>
      <c r="AK93" s="35"/>
      <c r="AL93" s="38"/>
    </row>
    <row r="94" spans="1:38" ht="17.25" customHeight="1">
      <c r="A94" s="25"/>
      <c r="B94" s="26"/>
      <c r="C94" s="14"/>
      <c r="D94" s="31"/>
      <c r="E94" s="14"/>
      <c r="F94" s="15" t="str">
        <f t="shared" si="12"/>
        <v xml:space="preserve">S/F  </v>
      </c>
      <c r="G94" s="16"/>
      <c r="H94" s="17">
        <v>21</v>
      </c>
      <c r="I94" s="18">
        <f t="shared" si="13"/>
        <v>0</v>
      </c>
      <c r="J94" s="17"/>
      <c r="K94" s="18"/>
      <c r="L94" s="16"/>
      <c r="M94" s="17"/>
      <c r="N94" s="18">
        <f t="shared" si="14"/>
        <v>0</v>
      </c>
      <c r="O94" s="19"/>
      <c r="P94" s="18">
        <v>0</v>
      </c>
      <c r="Q94" s="16"/>
      <c r="R94" s="17"/>
      <c r="S94" s="18">
        <v>0</v>
      </c>
      <c r="T94" s="19"/>
      <c r="U94" s="18">
        <v>0</v>
      </c>
      <c r="V94" s="16"/>
      <c r="W94" s="17"/>
      <c r="X94" s="18">
        <f t="shared" si="15"/>
        <v>0</v>
      </c>
      <c r="Y94" s="19"/>
      <c r="Z94" s="19"/>
      <c r="AA94" s="18">
        <f t="shared" si="16"/>
        <v>0</v>
      </c>
      <c r="AB94" s="20">
        <f t="shared" si="17"/>
        <v>0</v>
      </c>
      <c r="AC94" s="5"/>
      <c r="AD94" s="8"/>
      <c r="AF94" s="6"/>
      <c r="AG94" s="7"/>
      <c r="AJ94" s="33"/>
      <c r="AK94" s="35"/>
      <c r="AL94" s="38"/>
    </row>
    <row r="95" spans="1:38" ht="17.25" customHeight="1">
      <c r="A95" s="25"/>
      <c r="B95" s="26"/>
      <c r="C95" s="14"/>
      <c r="D95" s="31"/>
      <c r="E95" s="14"/>
      <c r="F95" s="15" t="str">
        <f t="shared" si="12"/>
        <v xml:space="preserve">S/F  </v>
      </c>
      <c r="G95" s="16"/>
      <c r="H95" s="17">
        <v>21</v>
      </c>
      <c r="I95" s="18">
        <f t="shared" si="13"/>
        <v>0</v>
      </c>
      <c r="J95" s="17"/>
      <c r="K95" s="18"/>
      <c r="L95" s="16"/>
      <c r="M95" s="17"/>
      <c r="N95" s="18">
        <f t="shared" si="14"/>
        <v>0</v>
      </c>
      <c r="O95" s="19"/>
      <c r="P95" s="18">
        <v>0</v>
      </c>
      <c r="Q95" s="16"/>
      <c r="R95" s="17"/>
      <c r="S95" s="18">
        <v>0</v>
      </c>
      <c r="T95" s="19"/>
      <c r="U95" s="18">
        <v>0</v>
      </c>
      <c r="V95" s="16"/>
      <c r="W95" s="17"/>
      <c r="X95" s="18">
        <f t="shared" si="15"/>
        <v>0</v>
      </c>
      <c r="Y95" s="19"/>
      <c r="Z95" s="19"/>
      <c r="AA95" s="18">
        <f t="shared" si="16"/>
        <v>0</v>
      </c>
      <c r="AB95" s="20">
        <f t="shared" si="17"/>
        <v>0</v>
      </c>
      <c r="AC95" s="5"/>
      <c r="AD95" s="8"/>
      <c r="AF95" s="6"/>
      <c r="AG95" s="7"/>
      <c r="AJ95" s="33"/>
      <c r="AK95" s="35"/>
      <c r="AL95" s="38"/>
    </row>
    <row r="96" spans="1:38" ht="17.25" customHeight="1">
      <c r="A96" s="25"/>
      <c r="B96" s="26"/>
      <c r="C96" s="14"/>
      <c r="D96" s="31"/>
      <c r="E96" s="14"/>
      <c r="F96" s="15" t="str">
        <f t="shared" si="12"/>
        <v xml:space="preserve">S/F  </v>
      </c>
      <c r="G96" s="16"/>
      <c r="H96" s="17">
        <v>21</v>
      </c>
      <c r="I96" s="18">
        <f t="shared" si="13"/>
        <v>0</v>
      </c>
      <c r="J96" s="17"/>
      <c r="K96" s="18"/>
      <c r="L96" s="16"/>
      <c r="M96" s="17"/>
      <c r="N96" s="18">
        <f t="shared" si="14"/>
        <v>0</v>
      </c>
      <c r="O96" s="19"/>
      <c r="P96" s="18">
        <v>0</v>
      </c>
      <c r="Q96" s="16"/>
      <c r="R96" s="17"/>
      <c r="S96" s="18">
        <v>0</v>
      </c>
      <c r="T96" s="19"/>
      <c r="U96" s="18">
        <v>0</v>
      </c>
      <c r="V96" s="16"/>
      <c r="W96" s="17"/>
      <c r="X96" s="18">
        <f t="shared" si="15"/>
        <v>0</v>
      </c>
      <c r="Y96" s="19"/>
      <c r="Z96" s="19"/>
      <c r="AA96" s="18">
        <f t="shared" si="16"/>
        <v>0</v>
      </c>
      <c r="AB96" s="20">
        <f t="shared" si="17"/>
        <v>0</v>
      </c>
      <c r="AC96" s="5"/>
      <c r="AD96" s="8"/>
      <c r="AF96" s="6"/>
      <c r="AG96" s="7"/>
      <c r="AJ96" s="33"/>
      <c r="AK96" s="35"/>
      <c r="AL96" s="38"/>
    </row>
    <row r="97" spans="1:38" ht="17.25" customHeight="1">
      <c r="A97" s="25"/>
      <c r="B97" s="26"/>
      <c r="C97" s="14"/>
      <c r="D97" s="31"/>
      <c r="E97" s="14"/>
      <c r="F97" s="15" t="str">
        <f t="shared" si="12"/>
        <v xml:space="preserve">S/F  </v>
      </c>
      <c r="G97" s="16"/>
      <c r="H97" s="17">
        <v>21</v>
      </c>
      <c r="I97" s="18">
        <f t="shared" si="13"/>
        <v>0</v>
      </c>
      <c r="J97" s="17"/>
      <c r="K97" s="18"/>
      <c r="L97" s="16"/>
      <c r="M97" s="17"/>
      <c r="N97" s="18">
        <f t="shared" si="14"/>
        <v>0</v>
      </c>
      <c r="O97" s="19"/>
      <c r="P97" s="18">
        <v>0</v>
      </c>
      <c r="Q97" s="16"/>
      <c r="R97" s="17"/>
      <c r="S97" s="18">
        <v>0</v>
      </c>
      <c r="T97" s="19"/>
      <c r="U97" s="18">
        <v>0</v>
      </c>
      <c r="V97" s="16"/>
      <c r="W97" s="17"/>
      <c r="X97" s="18">
        <f t="shared" si="15"/>
        <v>0</v>
      </c>
      <c r="Y97" s="19"/>
      <c r="Z97" s="19"/>
      <c r="AA97" s="18">
        <f t="shared" si="16"/>
        <v>0</v>
      </c>
      <c r="AB97" s="20">
        <f t="shared" si="17"/>
        <v>0</v>
      </c>
      <c r="AC97" s="5"/>
      <c r="AD97" s="8"/>
      <c r="AF97" s="6"/>
      <c r="AG97" s="7"/>
      <c r="AJ97" s="33"/>
      <c r="AK97" s="35"/>
      <c r="AL97" s="38"/>
    </row>
    <row r="98" spans="1:38" ht="17.25" customHeight="1">
      <c r="A98" s="25"/>
      <c r="B98" s="26"/>
      <c r="C98" s="14"/>
      <c r="D98" s="31"/>
      <c r="E98" s="14"/>
      <c r="F98" s="15" t="str">
        <f t="shared" ref="F98:F129" si="18">"S/F "&amp;B98&amp;" "&amp;E98</f>
        <v xml:space="preserve">S/F  </v>
      </c>
      <c r="G98" s="16"/>
      <c r="H98" s="17">
        <v>21</v>
      </c>
      <c r="I98" s="18">
        <f t="shared" ref="I98:I129" si="19">+IF(G98&lt;&gt;0,G98*H98/100,0)</f>
        <v>0</v>
      </c>
      <c r="J98" s="17"/>
      <c r="K98" s="18"/>
      <c r="L98" s="16"/>
      <c r="M98" s="17"/>
      <c r="N98" s="18">
        <f t="shared" ref="N98:N129" si="20">+IF(L98&lt;&gt;0,L98*M98/100,0)</f>
        <v>0</v>
      </c>
      <c r="O98" s="19"/>
      <c r="P98" s="18">
        <v>0</v>
      </c>
      <c r="Q98" s="16"/>
      <c r="R98" s="17"/>
      <c r="S98" s="18">
        <v>0</v>
      </c>
      <c r="T98" s="19"/>
      <c r="U98" s="18">
        <v>0</v>
      </c>
      <c r="V98" s="16"/>
      <c r="W98" s="17"/>
      <c r="X98" s="18">
        <f t="shared" ref="X98:X129" si="21">+IF(W98&lt;&gt;0,V98*W98/100,0)</f>
        <v>0</v>
      </c>
      <c r="Y98" s="19"/>
      <c r="Z98" s="19"/>
      <c r="AA98" s="18">
        <f t="shared" ref="AA98:AA129" si="22">+IF(Z98&lt;&gt;0,Y98*Z98/100,0)</f>
        <v>0</v>
      </c>
      <c r="AB98" s="20">
        <f t="shared" ref="AB98:AB129" si="23">+G98+I98+K98+L98+N98+P98+Q98+S98+U98-X98-AA98</f>
        <v>0</v>
      </c>
      <c r="AC98" s="5"/>
      <c r="AD98" s="8"/>
      <c r="AF98" s="6"/>
      <c r="AG98" s="7"/>
      <c r="AJ98" s="33"/>
      <c r="AK98" s="35"/>
      <c r="AL98" s="38"/>
    </row>
    <row r="99" spans="1:38" ht="17.25" customHeight="1">
      <c r="A99" s="25"/>
      <c r="B99" s="26"/>
      <c r="C99" s="14"/>
      <c r="D99" s="31"/>
      <c r="E99" s="14"/>
      <c r="F99" s="15" t="str">
        <f t="shared" si="18"/>
        <v xml:space="preserve">S/F  </v>
      </c>
      <c r="G99" s="16"/>
      <c r="H99" s="17">
        <v>21</v>
      </c>
      <c r="I99" s="18">
        <f t="shared" si="19"/>
        <v>0</v>
      </c>
      <c r="J99" s="17"/>
      <c r="K99" s="18"/>
      <c r="L99" s="16"/>
      <c r="M99" s="17"/>
      <c r="N99" s="18">
        <f t="shared" si="20"/>
        <v>0</v>
      </c>
      <c r="O99" s="19"/>
      <c r="P99" s="18">
        <v>0</v>
      </c>
      <c r="Q99" s="16"/>
      <c r="R99" s="17"/>
      <c r="S99" s="18">
        <v>0</v>
      </c>
      <c r="T99" s="19"/>
      <c r="U99" s="18">
        <v>0</v>
      </c>
      <c r="V99" s="16"/>
      <c r="W99" s="17"/>
      <c r="X99" s="18">
        <f t="shared" si="21"/>
        <v>0</v>
      </c>
      <c r="Y99" s="19"/>
      <c r="Z99" s="19"/>
      <c r="AA99" s="18">
        <f t="shared" si="22"/>
        <v>0</v>
      </c>
      <c r="AB99" s="20">
        <f t="shared" si="23"/>
        <v>0</v>
      </c>
      <c r="AC99" s="5"/>
      <c r="AD99" s="8"/>
      <c r="AF99" s="6"/>
      <c r="AG99" s="7"/>
      <c r="AJ99" s="33"/>
      <c r="AK99" s="35"/>
      <c r="AL99" s="38"/>
    </row>
    <row r="100" spans="1:38" ht="17.25" customHeight="1">
      <c r="A100" s="25"/>
      <c r="B100" s="26"/>
      <c r="C100" s="14"/>
      <c r="D100" s="31"/>
      <c r="E100" s="14"/>
      <c r="F100" s="15" t="str">
        <f t="shared" si="18"/>
        <v xml:space="preserve">S/F  </v>
      </c>
      <c r="G100" s="16"/>
      <c r="H100" s="17">
        <v>21</v>
      </c>
      <c r="I100" s="18">
        <f t="shared" si="19"/>
        <v>0</v>
      </c>
      <c r="J100" s="17"/>
      <c r="K100" s="18"/>
      <c r="L100" s="16"/>
      <c r="M100" s="17"/>
      <c r="N100" s="18">
        <f t="shared" si="20"/>
        <v>0</v>
      </c>
      <c r="O100" s="19"/>
      <c r="P100" s="18">
        <v>0</v>
      </c>
      <c r="Q100" s="16"/>
      <c r="R100" s="17"/>
      <c r="S100" s="18">
        <v>0</v>
      </c>
      <c r="T100" s="19"/>
      <c r="U100" s="18">
        <v>0</v>
      </c>
      <c r="V100" s="16"/>
      <c r="W100" s="17"/>
      <c r="X100" s="18">
        <f t="shared" si="21"/>
        <v>0</v>
      </c>
      <c r="Y100" s="19"/>
      <c r="Z100" s="19"/>
      <c r="AA100" s="18">
        <f t="shared" si="22"/>
        <v>0</v>
      </c>
      <c r="AB100" s="20">
        <f t="shared" si="23"/>
        <v>0</v>
      </c>
      <c r="AC100" s="5"/>
      <c r="AD100" s="8"/>
      <c r="AF100" s="6"/>
      <c r="AG100" s="7"/>
      <c r="AJ100" s="33"/>
      <c r="AK100" s="35"/>
      <c r="AL100" s="38"/>
    </row>
    <row r="101" spans="1:38" ht="17.25" customHeight="1">
      <c r="A101" s="25"/>
      <c r="B101" s="26"/>
      <c r="C101" s="14"/>
      <c r="D101" s="31"/>
      <c r="E101" s="14"/>
      <c r="F101" s="15" t="str">
        <f t="shared" si="18"/>
        <v xml:space="preserve">S/F  </v>
      </c>
      <c r="G101" s="16"/>
      <c r="H101" s="17">
        <v>21</v>
      </c>
      <c r="I101" s="18">
        <f t="shared" si="19"/>
        <v>0</v>
      </c>
      <c r="J101" s="17"/>
      <c r="K101" s="18"/>
      <c r="L101" s="16"/>
      <c r="M101" s="17"/>
      <c r="N101" s="18">
        <f t="shared" si="20"/>
        <v>0</v>
      </c>
      <c r="O101" s="19"/>
      <c r="P101" s="18">
        <v>0</v>
      </c>
      <c r="Q101" s="16"/>
      <c r="R101" s="17"/>
      <c r="S101" s="18">
        <v>0</v>
      </c>
      <c r="T101" s="19"/>
      <c r="U101" s="18">
        <v>0</v>
      </c>
      <c r="V101" s="16"/>
      <c r="W101" s="17"/>
      <c r="X101" s="18">
        <f t="shared" si="21"/>
        <v>0</v>
      </c>
      <c r="Y101" s="19"/>
      <c r="Z101" s="19"/>
      <c r="AA101" s="18">
        <f t="shared" si="22"/>
        <v>0</v>
      </c>
      <c r="AB101" s="20">
        <f t="shared" si="23"/>
        <v>0</v>
      </c>
      <c r="AC101" s="5"/>
      <c r="AD101" s="8"/>
      <c r="AF101" s="6"/>
      <c r="AG101" s="7"/>
      <c r="AJ101" s="33"/>
      <c r="AK101" s="35"/>
      <c r="AL101" s="38"/>
    </row>
    <row r="102" spans="1:38" ht="17.25" customHeight="1">
      <c r="A102" s="25"/>
      <c r="B102" s="26"/>
      <c r="C102" s="14"/>
      <c r="D102" s="31"/>
      <c r="E102" s="14"/>
      <c r="F102" s="15" t="str">
        <f t="shared" si="18"/>
        <v xml:space="preserve">S/F  </v>
      </c>
      <c r="G102" s="16"/>
      <c r="H102" s="17">
        <v>21</v>
      </c>
      <c r="I102" s="18">
        <f t="shared" si="19"/>
        <v>0</v>
      </c>
      <c r="J102" s="17"/>
      <c r="K102" s="18"/>
      <c r="L102" s="16"/>
      <c r="M102" s="17"/>
      <c r="N102" s="18">
        <f t="shared" si="20"/>
        <v>0</v>
      </c>
      <c r="O102" s="19"/>
      <c r="P102" s="18">
        <v>0</v>
      </c>
      <c r="Q102" s="16"/>
      <c r="R102" s="17"/>
      <c r="S102" s="18">
        <v>0</v>
      </c>
      <c r="T102" s="19"/>
      <c r="U102" s="18">
        <v>0</v>
      </c>
      <c r="V102" s="16"/>
      <c r="W102" s="17"/>
      <c r="X102" s="18">
        <f t="shared" si="21"/>
        <v>0</v>
      </c>
      <c r="Y102" s="19"/>
      <c r="Z102" s="19"/>
      <c r="AA102" s="18">
        <f t="shared" si="22"/>
        <v>0</v>
      </c>
      <c r="AB102" s="20">
        <f t="shared" si="23"/>
        <v>0</v>
      </c>
      <c r="AC102" s="5"/>
      <c r="AD102" s="8"/>
      <c r="AF102" s="6"/>
      <c r="AG102" s="7"/>
      <c r="AJ102" s="33"/>
      <c r="AK102" s="35"/>
      <c r="AL102" s="38"/>
    </row>
    <row r="103" spans="1:38" ht="17.25" customHeight="1">
      <c r="A103" s="25"/>
      <c r="B103" s="26"/>
      <c r="C103" s="14"/>
      <c r="D103" s="31"/>
      <c r="E103" s="14"/>
      <c r="F103" s="15" t="str">
        <f t="shared" si="18"/>
        <v xml:space="preserve">S/F  </v>
      </c>
      <c r="G103" s="16"/>
      <c r="H103" s="17">
        <v>21</v>
      </c>
      <c r="I103" s="18">
        <f t="shared" si="19"/>
        <v>0</v>
      </c>
      <c r="J103" s="17"/>
      <c r="K103" s="18"/>
      <c r="L103" s="16"/>
      <c r="M103" s="17"/>
      <c r="N103" s="18">
        <f t="shared" si="20"/>
        <v>0</v>
      </c>
      <c r="O103" s="19"/>
      <c r="P103" s="18">
        <v>0</v>
      </c>
      <c r="Q103" s="16"/>
      <c r="R103" s="17"/>
      <c r="S103" s="18">
        <v>0</v>
      </c>
      <c r="T103" s="19"/>
      <c r="U103" s="18">
        <v>0</v>
      </c>
      <c r="V103" s="16"/>
      <c r="W103" s="17"/>
      <c r="X103" s="18">
        <f t="shared" si="21"/>
        <v>0</v>
      </c>
      <c r="Y103" s="19"/>
      <c r="Z103" s="19"/>
      <c r="AA103" s="18">
        <f t="shared" si="22"/>
        <v>0</v>
      </c>
      <c r="AB103" s="20">
        <f t="shared" si="23"/>
        <v>0</v>
      </c>
      <c r="AC103" s="5"/>
      <c r="AD103" s="8"/>
      <c r="AF103" s="6"/>
      <c r="AG103" s="7"/>
      <c r="AJ103" s="33"/>
      <c r="AK103" s="35"/>
      <c r="AL103" s="38"/>
    </row>
    <row r="104" spans="1:38" ht="17.25" customHeight="1">
      <c r="A104" s="25"/>
      <c r="B104" s="26"/>
      <c r="C104" s="14"/>
      <c r="D104" s="31"/>
      <c r="E104" s="14"/>
      <c r="F104" s="15" t="str">
        <f t="shared" si="18"/>
        <v xml:space="preserve">S/F  </v>
      </c>
      <c r="G104" s="16"/>
      <c r="H104" s="17">
        <v>21</v>
      </c>
      <c r="I104" s="18">
        <f t="shared" si="19"/>
        <v>0</v>
      </c>
      <c r="J104" s="17"/>
      <c r="K104" s="18"/>
      <c r="L104" s="16"/>
      <c r="M104" s="17"/>
      <c r="N104" s="18">
        <f t="shared" si="20"/>
        <v>0</v>
      </c>
      <c r="O104" s="19"/>
      <c r="P104" s="18">
        <v>0</v>
      </c>
      <c r="Q104" s="16"/>
      <c r="R104" s="17"/>
      <c r="S104" s="18">
        <v>0</v>
      </c>
      <c r="T104" s="19"/>
      <c r="U104" s="18">
        <v>0</v>
      </c>
      <c r="V104" s="16"/>
      <c r="W104" s="17"/>
      <c r="X104" s="18">
        <f t="shared" si="21"/>
        <v>0</v>
      </c>
      <c r="Y104" s="19"/>
      <c r="Z104" s="19"/>
      <c r="AA104" s="18">
        <f t="shared" si="22"/>
        <v>0</v>
      </c>
      <c r="AB104" s="20">
        <f t="shared" si="23"/>
        <v>0</v>
      </c>
      <c r="AC104" s="5"/>
      <c r="AD104" s="8"/>
      <c r="AF104" s="6"/>
      <c r="AG104" s="7"/>
      <c r="AJ104" s="33"/>
      <c r="AK104" s="35"/>
      <c r="AL104" s="38"/>
    </row>
    <row r="105" spans="1:38" ht="17.25" customHeight="1">
      <c r="A105" s="25"/>
      <c r="B105" s="26"/>
      <c r="C105" s="14"/>
      <c r="D105" s="31"/>
      <c r="E105" s="14"/>
      <c r="F105" s="15" t="str">
        <f t="shared" si="18"/>
        <v xml:space="preserve">S/F  </v>
      </c>
      <c r="G105" s="16"/>
      <c r="H105" s="17">
        <v>21</v>
      </c>
      <c r="I105" s="18">
        <f t="shared" si="19"/>
        <v>0</v>
      </c>
      <c r="J105" s="17"/>
      <c r="K105" s="18"/>
      <c r="L105" s="16"/>
      <c r="M105" s="17"/>
      <c r="N105" s="18">
        <f t="shared" si="20"/>
        <v>0</v>
      </c>
      <c r="O105" s="19"/>
      <c r="P105" s="18">
        <v>0</v>
      </c>
      <c r="Q105" s="16"/>
      <c r="R105" s="17"/>
      <c r="S105" s="18">
        <v>0</v>
      </c>
      <c r="T105" s="19"/>
      <c r="U105" s="18">
        <v>0</v>
      </c>
      <c r="V105" s="16"/>
      <c r="W105" s="17"/>
      <c r="X105" s="18">
        <f t="shared" si="21"/>
        <v>0</v>
      </c>
      <c r="Y105" s="19"/>
      <c r="Z105" s="19"/>
      <c r="AA105" s="18">
        <f t="shared" si="22"/>
        <v>0</v>
      </c>
      <c r="AB105" s="20">
        <f t="shared" si="23"/>
        <v>0</v>
      </c>
      <c r="AC105" s="5"/>
      <c r="AD105" s="8"/>
      <c r="AF105" s="6"/>
      <c r="AG105" s="7"/>
      <c r="AJ105" s="33"/>
      <c r="AK105" s="35"/>
      <c r="AL105" s="38"/>
    </row>
    <row r="106" spans="1:38" ht="17.25" customHeight="1">
      <c r="A106" s="25"/>
      <c r="B106" s="26"/>
      <c r="C106" s="14"/>
      <c r="D106" s="31"/>
      <c r="E106" s="14"/>
      <c r="F106" s="15" t="str">
        <f t="shared" si="18"/>
        <v xml:space="preserve">S/F  </v>
      </c>
      <c r="G106" s="16"/>
      <c r="H106" s="17">
        <v>21</v>
      </c>
      <c r="I106" s="18">
        <f t="shared" si="19"/>
        <v>0</v>
      </c>
      <c r="J106" s="17"/>
      <c r="K106" s="18"/>
      <c r="L106" s="16"/>
      <c r="M106" s="17"/>
      <c r="N106" s="18">
        <f t="shared" si="20"/>
        <v>0</v>
      </c>
      <c r="O106" s="19"/>
      <c r="P106" s="18">
        <v>0</v>
      </c>
      <c r="Q106" s="16"/>
      <c r="R106" s="17"/>
      <c r="S106" s="18">
        <v>0</v>
      </c>
      <c r="T106" s="19"/>
      <c r="U106" s="18">
        <v>0</v>
      </c>
      <c r="V106" s="16"/>
      <c r="W106" s="17"/>
      <c r="X106" s="18">
        <f t="shared" si="21"/>
        <v>0</v>
      </c>
      <c r="Y106" s="19"/>
      <c r="Z106" s="19"/>
      <c r="AA106" s="18">
        <f t="shared" si="22"/>
        <v>0</v>
      </c>
      <c r="AB106" s="20">
        <f t="shared" si="23"/>
        <v>0</v>
      </c>
      <c r="AC106" s="5"/>
      <c r="AD106" s="8"/>
      <c r="AF106" s="6"/>
      <c r="AG106" s="7"/>
      <c r="AJ106" s="33"/>
      <c r="AK106" s="35"/>
      <c r="AL106" s="38"/>
    </row>
    <row r="107" spans="1:38" ht="17.25" customHeight="1">
      <c r="A107" s="25"/>
      <c r="B107" s="26"/>
      <c r="C107" s="14"/>
      <c r="D107" s="31"/>
      <c r="E107" s="14"/>
      <c r="F107" s="15" t="str">
        <f t="shared" si="18"/>
        <v xml:space="preserve">S/F  </v>
      </c>
      <c r="G107" s="16"/>
      <c r="H107" s="17">
        <v>21</v>
      </c>
      <c r="I107" s="18">
        <f t="shared" si="19"/>
        <v>0</v>
      </c>
      <c r="J107" s="17"/>
      <c r="K107" s="18"/>
      <c r="L107" s="16"/>
      <c r="M107" s="17"/>
      <c r="N107" s="18">
        <f t="shared" si="20"/>
        <v>0</v>
      </c>
      <c r="O107" s="19"/>
      <c r="P107" s="18">
        <v>0</v>
      </c>
      <c r="Q107" s="16"/>
      <c r="R107" s="17"/>
      <c r="S107" s="18">
        <v>0</v>
      </c>
      <c r="T107" s="19"/>
      <c r="U107" s="18">
        <v>0</v>
      </c>
      <c r="V107" s="16"/>
      <c r="W107" s="17"/>
      <c r="X107" s="18">
        <f t="shared" si="21"/>
        <v>0</v>
      </c>
      <c r="Y107" s="19"/>
      <c r="Z107" s="19"/>
      <c r="AA107" s="18">
        <f t="shared" si="22"/>
        <v>0</v>
      </c>
      <c r="AB107" s="20">
        <f t="shared" si="23"/>
        <v>0</v>
      </c>
      <c r="AC107" s="5"/>
      <c r="AD107" s="8"/>
      <c r="AF107" s="6"/>
      <c r="AG107" s="7"/>
      <c r="AJ107" s="33"/>
      <c r="AK107" s="35"/>
      <c r="AL107" s="38"/>
    </row>
    <row r="108" spans="1:38" ht="17.25" customHeight="1">
      <c r="A108" s="25"/>
      <c r="B108" s="26"/>
      <c r="C108" s="14"/>
      <c r="D108" s="31"/>
      <c r="E108" s="14"/>
      <c r="F108" s="15" t="str">
        <f t="shared" si="18"/>
        <v xml:space="preserve">S/F  </v>
      </c>
      <c r="G108" s="16"/>
      <c r="H108" s="17">
        <v>21</v>
      </c>
      <c r="I108" s="18">
        <f t="shared" si="19"/>
        <v>0</v>
      </c>
      <c r="J108" s="17"/>
      <c r="K108" s="18"/>
      <c r="L108" s="16"/>
      <c r="M108" s="17"/>
      <c r="N108" s="18">
        <f t="shared" si="20"/>
        <v>0</v>
      </c>
      <c r="O108" s="19"/>
      <c r="P108" s="18">
        <v>0</v>
      </c>
      <c r="Q108" s="16"/>
      <c r="R108" s="17"/>
      <c r="S108" s="18">
        <v>0</v>
      </c>
      <c r="T108" s="19"/>
      <c r="U108" s="18">
        <v>0</v>
      </c>
      <c r="V108" s="16"/>
      <c r="W108" s="17"/>
      <c r="X108" s="18">
        <f t="shared" si="21"/>
        <v>0</v>
      </c>
      <c r="Y108" s="19"/>
      <c r="Z108" s="19"/>
      <c r="AA108" s="18">
        <f t="shared" si="22"/>
        <v>0</v>
      </c>
      <c r="AB108" s="20">
        <f t="shared" si="23"/>
        <v>0</v>
      </c>
      <c r="AC108" s="5"/>
      <c r="AD108" s="8"/>
      <c r="AF108" s="6"/>
      <c r="AG108" s="7"/>
      <c r="AJ108" s="33"/>
      <c r="AK108" s="35"/>
      <c r="AL108" s="38"/>
    </row>
    <row r="109" spans="1:38" ht="17.25" customHeight="1">
      <c r="A109" s="25"/>
      <c r="B109" s="26"/>
      <c r="C109" s="14"/>
      <c r="D109" s="31"/>
      <c r="E109" s="14"/>
      <c r="F109" s="15" t="str">
        <f t="shared" si="18"/>
        <v xml:space="preserve">S/F  </v>
      </c>
      <c r="G109" s="16"/>
      <c r="H109" s="17">
        <v>21</v>
      </c>
      <c r="I109" s="18">
        <f t="shared" si="19"/>
        <v>0</v>
      </c>
      <c r="J109" s="17"/>
      <c r="K109" s="18"/>
      <c r="L109" s="16"/>
      <c r="M109" s="17"/>
      <c r="N109" s="18">
        <f t="shared" si="20"/>
        <v>0</v>
      </c>
      <c r="O109" s="19"/>
      <c r="P109" s="18">
        <v>0</v>
      </c>
      <c r="Q109" s="16"/>
      <c r="R109" s="17"/>
      <c r="S109" s="18">
        <v>0</v>
      </c>
      <c r="T109" s="19"/>
      <c r="U109" s="18">
        <v>0</v>
      </c>
      <c r="V109" s="16"/>
      <c r="W109" s="17"/>
      <c r="X109" s="18">
        <f t="shared" si="21"/>
        <v>0</v>
      </c>
      <c r="Y109" s="19"/>
      <c r="Z109" s="19"/>
      <c r="AA109" s="18">
        <f t="shared" si="22"/>
        <v>0</v>
      </c>
      <c r="AB109" s="20">
        <f t="shared" si="23"/>
        <v>0</v>
      </c>
      <c r="AC109" s="5"/>
      <c r="AD109" s="8"/>
      <c r="AF109" s="6"/>
      <c r="AG109" s="7"/>
      <c r="AJ109" s="33"/>
      <c r="AK109" s="35"/>
      <c r="AL109" s="38"/>
    </row>
    <row r="110" spans="1:38" ht="17.25" customHeight="1">
      <c r="A110" s="25"/>
      <c r="B110" s="26"/>
      <c r="C110" s="14"/>
      <c r="D110" s="31"/>
      <c r="E110" s="14"/>
      <c r="F110" s="15" t="str">
        <f t="shared" si="18"/>
        <v xml:space="preserve">S/F  </v>
      </c>
      <c r="G110" s="16"/>
      <c r="H110" s="17">
        <v>21</v>
      </c>
      <c r="I110" s="18">
        <f t="shared" si="19"/>
        <v>0</v>
      </c>
      <c r="J110" s="17"/>
      <c r="K110" s="18"/>
      <c r="L110" s="16"/>
      <c r="M110" s="17"/>
      <c r="N110" s="18">
        <f t="shared" si="20"/>
        <v>0</v>
      </c>
      <c r="O110" s="19"/>
      <c r="P110" s="18">
        <v>0</v>
      </c>
      <c r="Q110" s="16"/>
      <c r="R110" s="17"/>
      <c r="S110" s="18">
        <v>0</v>
      </c>
      <c r="T110" s="19"/>
      <c r="U110" s="18">
        <v>0</v>
      </c>
      <c r="V110" s="16"/>
      <c r="W110" s="17"/>
      <c r="X110" s="18">
        <f t="shared" si="21"/>
        <v>0</v>
      </c>
      <c r="Y110" s="19"/>
      <c r="Z110" s="19"/>
      <c r="AA110" s="18">
        <f t="shared" si="22"/>
        <v>0</v>
      </c>
      <c r="AB110" s="20">
        <f t="shared" si="23"/>
        <v>0</v>
      </c>
      <c r="AC110" s="5"/>
      <c r="AD110" s="8"/>
      <c r="AF110" s="6"/>
      <c r="AG110" s="7"/>
      <c r="AJ110" s="33"/>
      <c r="AK110" s="35"/>
      <c r="AL110" s="38"/>
    </row>
    <row r="111" spans="1:38" ht="17.25" customHeight="1">
      <c r="A111" s="25"/>
      <c r="B111" s="26"/>
      <c r="C111" s="14"/>
      <c r="D111" s="31"/>
      <c r="E111" s="14"/>
      <c r="F111" s="15" t="str">
        <f t="shared" si="18"/>
        <v xml:space="preserve">S/F  </v>
      </c>
      <c r="G111" s="16"/>
      <c r="H111" s="17">
        <v>21</v>
      </c>
      <c r="I111" s="18">
        <f t="shared" si="19"/>
        <v>0</v>
      </c>
      <c r="J111" s="17"/>
      <c r="K111" s="18"/>
      <c r="L111" s="16"/>
      <c r="M111" s="17"/>
      <c r="N111" s="18">
        <f t="shared" si="20"/>
        <v>0</v>
      </c>
      <c r="O111" s="19"/>
      <c r="P111" s="18">
        <v>0</v>
      </c>
      <c r="Q111" s="16"/>
      <c r="R111" s="17"/>
      <c r="S111" s="18">
        <v>0</v>
      </c>
      <c r="T111" s="19"/>
      <c r="U111" s="18">
        <v>0</v>
      </c>
      <c r="V111" s="16"/>
      <c r="W111" s="17"/>
      <c r="X111" s="18">
        <f t="shared" si="21"/>
        <v>0</v>
      </c>
      <c r="Y111" s="19"/>
      <c r="Z111" s="19"/>
      <c r="AA111" s="18">
        <f t="shared" si="22"/>
        <v>0</v>
      </c>
      <c r="AB111" s="20">
        <f t="shared" si="23"/>
        <v>0</v>
      </c>
      <c r="AC111" s="5"/>
      <c r="AD111" s="8"/>
      <c r="AF111" s="6"/>
      <c r="AG111" s="7"/>
      <c r="AJ111" s="33"/>
      <c r="AK111" s="35"/>
      <c r="AL111" s="38"/>
    </row>
    <row r="112" spans="1:38" ht="17.25" customHeight="1">
      <c r="A112" s="25"/>
      <c r="B112" s="26"/>
      <c r="C112" s="14"/>
      <c r="D112" s="31"/>
      <c r="E112" s="14"/>
      <c r="F112" s="15" t="str">
        <f t="shared" si="18"/>
        <v xml:space="preserve">S/F  </v>
      </c>
      <c r="G112" s="16"/>
      <c r="H112" s="17">
        <v>21</v>
      </c>
      <c r="I112" s="18">
        <f t="shared" si="19"/>
        <v>0</v>
      </c>
      <c r="J112" s="17"/>
      <c r="K112" s="18"/>
      <c r="L112" s="16"/>
      <c r="M112" s="17"/>
      <c r="N112" s="18">
        <f t="shared" si="20"/>
        <v>0</v>
      </c>
      <c r="O112" s="19"/>
      <c r="P112" s="18">
        <v>0</v>
      </c>
      <c r="Q112" s="16"/>
      <c r="R112" s="17"/>
      <c r="S112" s="18">
        <v>0</v>
      </c>
      <c r="T112" s="19"/>
      <c r="U112" s="18">
        <v>0</v>
      </c>
      <c r="V112" s="16"/>
      <c r="W112" s="17"/>
      <c r="X112" s="18">
        <f t="shared" si="21"/>
        <v>0</v>
      </c>
      <c r="Y112" s="19"/>
      <c r="Z112" s="19"/>
      <c r="AA112" s="18">
        <f t="shared" si="22"/>
        <v>0</v>
      </c>
      <c r="AB112" s="20">
        <f t="shared" si="23"/>
        <v>0</v>
      </c>
      <c r="AC112" s="5"/>
      <c r="AD112" s="8"/>
      <c r="AF112" s="6"/>
      <c r="AG112" s="7"/>
      <c r="AJ112" s="33"/>
      <c r="AK112" s="35"/>
      <c r="AL112" s="38"/>
    </row>
    <row r="113" spans="1:38" ht="17.25" customHeight="1">
      <c r="A113" s="25"/>
      <c r="B113" s="26"/>
      <c r="C113" s="14"/>
      <c r="D113" s="31"/>
      <c r="E113" s="14"/>
      <c r="F113" s="15" t="str">
        <f t="shared" si="18"/>
        <v xml:space="preserve">S/F  </v>
      </c>
      <c r="G113" s="16"/>
      <c r="H113" s="17">
        <v>21</v>
      </c>
      <c r="I113" s="18">
        <f t="shared" si="19"/>
        <v>0</v>
      </c>
      <c r="J113" s="17"/>
      <c r="K113" s="18"/>
      <c r="L113" s="16"/>
      <c r="M113" s="17"/>
      <c r="N113" s="18">
        <f t="shared" si="20"/>
        <v>0</v>
      </c>
      <c r="O113" s="19"/>
      <c r="P113" s="18">
        <v>0</v>
      </c>
      <c r="Q113" s="16"/>
      <c r="R113" s="17"/>
      <c r="S113" s="18">
        <v>0</v>
      </c>
      <c r="T113" s="19"/>
      <c r="U113" s="18">
        <v>0</v>
      </c>
      <c r="V113" s="16"/>
      <c r="W113" s="17"/>
      <c r="X113" s="18">
        <f t="shared" si="21"/>
        <v>0</v>
      </c>
      <c r="Y113" s="19"/>
      <c r="Z113" s="19"/>
      <c r="AA113" s="18">
        <f t="shared" si="22"/>
        <v>0</v>
      </c>
      <c r="AB113" s="20">
        <f t="shared" si="23"/>
        <v>0</v>
      </c>
      <c r="AC113" s="5"/>
      <c r="AD113" s="8"/>
      <c r="AF113" s="6"/>
      <c r="AG113" s="7"/>
      <c r="AJ113" s="33"/>
      <c r="AK113" s="35"/>
      <c r="AL113" s="38"/>
    </row>
    <row r="114" spans="1:38" ht="17.25" customHeight="1">
      <c r="A114" s="25"/>
      <c r="B114" s="26"/>
      <c r="C114" s="14"/>
      <c r="D114" s="31"/>
      <c r="E114" s="14"/>
      <c r="F114" s="15" t="str">
        <f t="shared" si="18"/>
        <v xml:space="preserve">S/F  </v>
      </c>
      <c r="G114" s="16"/>
      <c r="H114" s="17">
        <v>21</v>
      </c>
      <c r="I114" s="18">
        <f t="shared" si="19"/>
        <v>0</v>
      </c>
      <c r="J114" s="17"/>
      <c r="K114" s="18"/>
      <c r="L114" s="16"/>
      <c r="M114" s="17"/>
      <c r="N114" s="18">
        <f t="shared" si="20"/>
        <v>0</v>
      </c>
      <c r="O114" s="19"/>
      <c r="P114" s="18">
        <v>0</v>
      </c>
      <c r="Q114" s="16"/>
      <c r="R114" s="17"/>
      <c r="S114" s="18">
        <v>0</v>
      </c>
      <c r="T114" s="19"/>
      <c r="U114" s="18">
        <v>0</v>
      </c>
      <c r="V114" s="16"/>
      <c r="W114" s="17"/>
      <c r="X114" s="18">
        <f t="shared" si="21"/>
        <v>0</v>
      </c>
      <c r="Y114" s="19"/>
      <c r="Z114" s="19"/>
      <c r="AA114" s="18">
        <f t="shared" si="22"/>
        <v>0</v>
      </c>
      <c r="AB114" s="20">
        <f t="shared" si="23"/>
        <v>0</v>
      </c>
      <c r="AC114" s="5"/>
      <c r="AD114" s="8"/>
      <c r="AF114" s="6"/>
      <c r="AG114" s="7"/>
      <c r="AJ114" s="33"/>
      <c r="AK114" s="35"/>
      <c r="AL114" s="38"/>
    </row>
    <row r="115" spans="1:38" ht="17.25" customHeight="1">
      <c r="A115" s="25"/>
      <c r="B115" s="26"/>
      <c r="C115" s="14"/>
      <c r="D115" s="31"/>
      <c r="E115" s="14"/>
      <c r="F115" s="15" t="str">
        <f t="shared" si="18"/>
        <v xml:space="preserve">S/F  </v>
      </c>
      <c r="G115" s="16"/>
      <c r="H115" s="17">
        <v>21</v>
      </c>
      <c r="I115" s="18">
        <f t="shared" si="19"/>
        <v>0</v>
      </c>
      <c r="J115" s="17"/>
      <c r="K115" s="18"/>
      <c r="L115" s="16"/>
      <c r="M115" s="17"/>
      <c r="N115" s="18">
        <f t="shared" si="20"/>
        <v>0</v>
      </c>
      <c r="O115" s="19"/>
      <c r="P115" s="18">
        <v>0</v>
      </c>
      <c r="Q115" s="16"/>
      <c r="R115" s="17"/>
      <c r="S115" s="18">
        <v>0</v>
      </c>
      <c r="T115" s="19"/>
      <c r="U115" s="18">
        <v>0</v>
      </c>
      <c r="V115" s="16"/>
      <c r="W115" s="17"/>
      <c r="X115" s="18">
        <f t="shared" si="21"/>
        <v>0</v>
      </c>
      <c r="Y115" s="19"/>
      <c r="Z115" s="19"/>
      <c r="AA115" s="18">
        <f t="shared" si="22"/>
        <v>0</v>
      </c>
      <c r="AB115" s="20">
        <f t="shared" si="23"/>
        <v>0</v>
      </c>
      <c r="AC115" s="5"/>
      <c r="AD115" s="8"/>
      <c r="AF115" s="6"/>
      <c r="AG115" s="7"/>
      <c r="AJ115" s="33"/>
      <c r="AK115" s="35"/>
      <c r="AL115" s="38"/>
    </row>
    <row r="116" spans="1:38" ht="17.25" customHeight="1">
      <c r="A116" s="25"/>
      <c r="B116" s="26"/>
      <c r="C116" s="14"/>
      <c r="D116" s="31"/>
      <c r="E116" s="14"/>
      <c r="F116" s="15" t="str">
        <f t="shared" si="18"/>
        <v xml:space="preserve">S/F  </v>
      </c>
      <c r="G116" s="16"/>
      <c r="H116" s="17">
        <v>21</v>
      </c>
      <c r="I116" s="18">
        <f t="shared" si="19"/>
        <v>0</v>
      </c>
      <c r="J116" s="17"/>
      <c r="K116" s="18"/>
      <c r="L116" s="16"/>
      <c r="M116" s="17"/>
      <c r="N116" s="18">
        <f t="shared" si="20"/>
        <v>0</v>
      </c>
      <c r="O116" s="19"/>
      <c r="P116" s="18">
        <v>0</v>
      </c>
      <c r="Q116" s="16"/>
      <c r="R116" s="17"/>
      <c r="S116" s="18">
        <v>0</v>
      </c>
      <c r="T116" s="19"/>
      <c r="U116" s="18">
        <v>0</v>
      </c>
      <c r="V116" s="16"/>
      <c r="W116" s="17"/>
      <c r="X116" s="18">
        <f t="shared" si="21"/>
        <v>0</v>
      </c>
      <c r="Y116" s="19"/>
      <c r="Z116" s="19"/>
      <c r="AA116" s="18">
        <f t="shared" si="22"/>
        <v>0</v>
      </c>
      <c r="AB116" s="20">
        <f t="shared" si="23"/>
        <v>0</v>
      </c>
      <c r="AC116" s="5"/>
      <c r="AD116" s="8"/>
      <c r="AF116" s="6"/>
      <c r="AG116" s="7"/>
      <c r="AJ116" s="33"/>
      <c r="AK116" s="35"/>
      <c r="AL116" s="38"/>
    </row>
    <row r="117" spans="1:38" ht="17.25" customHeight="1">
      <c r="A117" s="25"/>
      <c r="B117" s="26"/>
      <c r="C117" s="14"/>
      <c r="D117" s="31"/>
      <c r="E117" s="14"/>
      <c r="F117" s="15" t="str">
        <f t="shared" si="18"/>
        <v xml:space="preserve">S/F  </v>
      </c>
      <c r="G117" s="16"/>
      <c r="H117" s="17">
        <v>21</v>
      </c>
      <c r="I117" s="18">
        <f t="shared" si="19"/>
        <v>0</v>
      </c>
      <c r="J117" s="17"/>
      <c r="K117" s="18"/>
      <c r="L117" s="16"/>
      <c r="M117" s="17"/>
      <c r="N117" s="18">
        <f t="shared" si="20"/>
        <v>0</v>
      </c>
      <c r="O117" s="19"/>
      <c r="P117" s="18">
        <v>0</v>
      </c>
      <c r="Q117" s="16"/>
      <c r="R117" s="17"/>
      <c r="S117" s="18">
        <v>0</v>
      </c>
      <c r="T117" s="19"/>
      <c r="U117" s="18">
        <v>0</v>
      </c>
      <c r="V117" s="16"/>
      <c r="W117" s="17"/>
      <c r="X117" s="18">
        <f t="shared" si="21"/>
        <v>0</v>
      </c>
      <c r="Y117" s="19"/>
      <c r="Z117" s="19"/>
      <c r="AA117" s="18">
        <f t="shared" si="22"/>
        <v>0</v>
      </c>
      <c r="AB117" s="20">
        <f t="shared" si="23"/>
        <v>0</v>
      </c>
      <c r="AC117" s="5"/>
      <c r="AD117" s="8"/>
      <c r="AF117" s="6"/>
      <c r="AG117" s="7"/>
      <c r="AJ117" s="33"/>
      <c r="AK117" s="35"/>
      <c r="AL117" s="38"/>
    </row>
    <row r="118" spans="1:38" ht="17.25" customHeight="1">
      <c r="A118" s="25"/>
      <c r="B118" s="26"/>
      <c r="C118" s="14"/>
      <c r="D118" s="31"/>
      <c r="E118" s="14"/>
      <c r="F118" s="15" t="str">
        <f t="shared" si="18"/>
        <v xml:space="preserve">S/F  </v>
      </c>
      <c r="G118" s="16"/>
      <c r="H118" s="17">
        <v>21</v>
      </c>
      <c r="I118" s="18">
        <f t="shared" si="19"/>
        <v>0</v>
      </c>
      <c r="J118" s="17"/>
      <c r="K118" s="18"/>
      <c r="L118" s="16"/>
      <c r="M118" s="17"/>
      <c r="N118" s="18">
        <f t="shared" si="20"/>
        <v>0</v>
      </c>
      <c r="O118" s="19"/>
      <c r="P118" s="18">
        <v>0</v>
      </c>
      <c r="Q118" s="16"/>
      <c r="R118" s="17"/>
      <c r="S118" s="18">
        <v>0</v>
      </c>
      <c r="T118" s="19"/>
      <c r="U118" s="18">
        <v>0</v>
      </c>
      <c r="V118" s="16"/>
      <c r="W118" s="17"/>
      <c r="X118" s="18">
        <f t="shared" si="21"/>
        <v>0</v>
      </c>
      <c r="Y118" s="19"/>
      <c r="Z118" s="19"/>
      <c r="AA118" s="18">
        <f t="shared" si="22"/>
        <v>0</v>
      </c>
      <c r="AB118" s="20">
        <f t="shared" si="23"/>
        <v>0</v>
      </c>
      <c r="AC118" s="5"/>
      <c r="AD118" s="8"/>
      <c r="AF118" s="6"/>
      <c r="AG118" s="7"/>
      <c r="AJ118" s="33"/>
      <c r="AK118" s="35"/>
      <c r="AL118" s="38"/>
    </row>
    <row r="119" spans="1:38" ht="17.25" customHeight="1">
      <c r="A119" s="25"/>
      <c r="B119" s="26"/>
      <c r="C119" s="14"/>
      <c r="D119" s="31"/>
      <c r="E119" s="14"/>
      <c r="F119" s="15" t="str">
        <f t="shared" si="18"/>
        <v xml:space="preserve">S/F  </v>
      </c>
      <c r="G119" s="16"/>
      <c r="H119" s="17">
        <v>21</v>
      </c>
      <c r="I119" s="18">
        <f t="shared" si="19"/>
        <v>0</v>
      </c>
      <c r="J119" s="17"/>
      <c r="K119" s="18"/>
      <c r="L119" s="16"/>
      <c r="M119" s="17"/>
      <c r="N119" s="18">
        <f t="shared" si="20"/>
        <v>0</v>
      </c>
      <c r="O119" s="19"/>
      <c r="P119" s="18">
        <v>0</v>
      </c>
      <c r="Q119" s="16"/>
      <c r="R119" s="17"/>
      <c r="S119" s="18">
        <v>0</v>
      </c>
      <c r="T119" s="19"/>
      <c r="U119" s="18">
        <v>0</v>
      </c>
      <c r="V119" s="16"/>
      <c r="W119" s="17"/>
      <c r="X119" s="18">
        <f t="shared" si="21"/>
        <v>0</v>
      </c>
      <c r="Y119" s="19"/>
      <c r="Z119" s="19"/>
      <c r="AA119" s="18">
        <f t="shared" si="22"/>
        <v>0</v>
      </c>
      <c r="AB119" s="20">
        <f t="shared" si="23"/>
        <v>0</v>
      </c>
      <c r="AC119" s="5"/>
      <c r="AD119" s="8"/>
      <c r="AF119" s="6"/>
      <c r="AG119" s="7"/>
      <c r="AJ119" s="33"/>
      <c r="AK119" s="35"/>
      <c r="AL119" s="38"/>
    </row>
    <row r="120" spans="1:38" ht="17.25" customHeight="1">
      <c r="A120" s="25"/>
      <c r="B120" s="26"/>
      <c r="C120" s="14"/>
      <c r="D120" s="31"/>
      <c r="E120" s="14"/>
      <c r="F120" s="15" t="str">
        <f t="shared" si="18"/>
        <v xml:space="preserve">S/F  </v>
      </c>
      <c r="G120" s="16"/>
      <c r="H120" s="17">
        <v>21</v>
      </c>
      <c r="I120" s="18">
        <f t="shared" si="19"/>
        <v>0</v>
      </c>
      <c r="J120" s="17"/>
      <c r="K120" s="18"/>
      <c r="L120" s="16"/>
      <c r="M120" s="17"/>
      <c r="N120" s="18">
        <f t="shared" si="20"/>
        <v>0</v>
      </c>
      <c r="O120" s="19"/>
      <c r="P120" s="18">
        <v>0</v>
      </c>
      <c r="Q120" s="16"/>
      <c r="R120" s="17"/>
      <c r="S120" s="18">
        <v>0</v>
      </c>
      <c r="T120" s="19"/>
      <c r="U120" s="18">
        <v>0</v>
      </c>
      <c r="V120" s="16"/>
      <c r="W120" s="17"/>
      <c r="X120" s="18">
        <f t="shared" si="21"/>
        <v>0</v>
      </c>
      <c r="Y120" s="19"/>
      <c r="Z120" s="19"/>
      <c r="AA120" s="18">
        <f t="shared" si="22"/>
        <v>0</v>
      </c>
      <c r="AB120" s="20">
        <f t="shared" si="23"/>
        <v>0</v>
      </c>
      <c r="AC120" s="5"/>
      <c r="AD120" s="8"/>
      <c r="AF120" s="6"/>
      <c r="AG120" s="7"/>
      <c r="AJ120" s="33"/>
      <c r="AK120" s="35"/>
      <c r="AL120" s="38"/>
    </row>
    <row r="121" spans="1:38" ht="17.25" customHeight="1">
      <c r="A121" s="25"/>
      <c r="B121" s="26"/>
      <c r="C121" s="14"/>
      <c r="D121" s="31"/>
      <c r="E121" s="14"/>
      <c r="F121" s="15" t="str">
        <f t="shared" si="18"/>
        <v xml:space="preserve">S/F  </v>
      </c>
      <c r="G121" s="16"/>
      <c r="H121" s="17">
        <v>21</v>
      </c>
      <c r="I121" s="18">
        <f t="shared" si="19"/>
        <v>0</v>
      </c>
      <c r="J121" s="17"/>
      <c r="K121" s="18"/>
      <c r="L121" s="16"/>
      <c r="M121" s="17"/>
      <c r="N121" s="18">
        <f t="shared" si="20"/>
        <v>0</v>
      </c>
      <c r="O121" s="19"/>
      <c r="P121" s="18">
        <v>0</v>
      </c>
      <c r="Q121" s="16"/>
      <c r="R121" s="17"/>
      <c r="S121" s="18">
        <v>0</v>
      </c>
      <c r="T121" s="19"/>
      <c r="U121" s="18">
        <v>0</v>
      </c>
      <c r="V121" s="16"/>
      <c r="W121" s="17"/>
      <c r="X121" s="18">
        <f t="shared" si="21"/>
        <v>0</v>
      </c>
      <c r="Y121" s="19"/>
      <c r="Z121" s="19"/>
      <c r="AA121" s="18">
        <f t="shared" si="22"/>
        <v>0</v>
      </c>
      <c r="AB121" s="20">
        <f t="shared" si="23"/>
        <v>0</v>
      </c>
      <c r="AC121" s="5"/>
      <c r="AD121" s="8"/>
      <c r="AF121" s="6"/>
      <c r="AG121" s="7"/>
      <c r="AJ121" s="33"/>
      <c r="AK121" s="35"/>
      <c r="AL121" s="38"/>
    </row>
    <row r="122" spans="1:38" ht="17.25" customHeight="1">
      <c r="A122" s="25"/>
      <c r="B122" s="26"/>
      <c r="C122" s="14"/>
      <c r="D122" s="31"/>
      <c r="E122" s="14"/>
      <c r="F122" s="15" t="str">
        <f t="shared" si="18"/>
        <v xml:space="preserve">S/F  </v>
      </c>
      <c r="G122" s="16"/>
      <c r="H122" s="17">
        <v>21</v>
      </c>
      <c r="I122" s="18">
        <f t="shared" si="19"/>
        <v>0</v>
      </c>
      <c r="J122" s="17"/>
      <c r="K122" s="18"/>
      <c r="L122" s="16"/>
      <c r="M122" s="17"/>
      <c r="N122" s="18">
        <f t="shared" si="20"/>
        <v>0</v>
      </c>
      <c r="O122" s="19"/>
      <c r="P122" s="18">
        <v>0</v>
      </c>
      <c r="Q122" s="16"/>
      <c r="R122" s="17"/>
      <c r="S122" s="18">
        <v>0</v>
      </c>
      <c r="T122" s="19"/>
      <c r="U122" s="18">
        <v>0</v>
      </c>
      <c r="V122" s="16"/>
      <c r="W122" s="17"/>
      <c r="X122" s="18">
        <f t="shared" si="21"/>
        <v>0</v>
      </c>
      <c r="Y122" s="19"/>
      <c r="Z122" s="19"/>
      <c r="AA122" s="18">
        <f t="shared" si="22"/>
        <v>0</v>
      </c>
      <c r="AB122" s="20">
        <f t="shared" si="23"/>
        <v>0</v>
      </c>
      <c r="AC122" s="5"/>
      <c r="AD122" s="8"/>
      <c r="AF122" s="6"/>
      <c r="AG122" s="7"/>
      <c r="AJ122" s="33"/>
      <c r="AK122" s="35"/>
      <c r="AL122" s="38"/>
    </row>
    <row r="123" spans="1:38" ht="17.25" customHeight="1">
      <c r="A123" s="25"/>
      <c r="B123" s="26"/>
      <c r="C123" s="14"/>
      <c r="D123" s="31"/>
      <c r="E123" s="14"/>
      <c r="F123" s="15" t="str">
        <f t="shared" si="18"/>
        <v xml:space="preserve">S/F  </v>
      </c>
      <c r="G123" s="16"/>
      <c r="H123" s="17">
        <v>21</v>
      </c>
      <c r="I123" s="18">
        <f t="shared" si="19"/>
        <v>0</v>
      </c>
      <c r="J123" s="17"/>
      <c r="K123" s="18"/>
      <c r="L123" s="16"/>
      <c r="M123" s="17"/>
      <c r="N123" s="18">
        <f t="shared" si="20"/>
        <v>0</v>
      </c>
      <c r="O123" s="19"/>
      <c r="P123" s="18">
        <v>0</v>
      </c>
      <c r="Q123" s="16"/>
      <c r="R123" s="17"/>
      <c r="S123" s="18">
        <v>0</v>
      </c>
      <c r="T123" s="19"/>
      <c r="U123" s="18">
        <v>0</v>
      </c>
      <c r="V123" s="16"/>
      <c r="W123" s="17"/>
      <c r="X123" s="18">
        <f t="shared" si="21"/>
        <v>0</v>
      </c>
      <c r="Y123" s="19"/>
      <c r="Z123" s="19"/>
      <c r="AA123" s="18">
        <f t="shared" si="22"/>
        <v>0</v>
      </c>
      <c r="AB123" s="20">
        <f t="shared" si="23"/>
        <v>0</v>
      </c>
      <c r="AC123" s="5"/>
      <c r="AD123" s="8"/>
      <c r="AF123" s="6"/>
      <c r="AG123" s="7"/>
      <c r="AJ123" s="33"/>
      <c r="AK123" s="35"/>
      <c r="AL123" s="38"/>
    </row>
    <row r="124" spans="1:38" ht="17.25" customHeight="1">
      <c r="A124" s="25"/>
      <c r="B124" s="26"/>
      <c r="C124" s="14"/>
      <c r="D124" s="31"/>
      <c r="E124" s="14"/>
      <c r="F124" s="15" t="str">
        <f t="shared" si="18"/>
        <v xml:space="preserve">S/F  </v>
      </c>
      <c r="G124" s="16"/>
      <c r="H124" s="17">
        <v>21</v>
      </c>
      <c r="I124" s="18">
        <f t="shared" si="19"/>
        <v>0</v>
      </c>
      <c r="J124" s="17"/>
      <c r="K124" s="18"/>
      <c r="L124" s="16"/>
      <c r="M124" s="17"/>
      <c r="N124" s="18">
        <f t="shared" si="20"/>
        <v>0</v>
      </c>
      <c r="O124" s="19"/>
      <c r="P124" s="18">
        <v>0</v>
      </c>
      <c r="Q124" s="16"/>
      <c r="R124" s="17"/>
      <c r="S124" s="18">
        <v>0</v>
      </c>
      <c r="T124" s="19"/>
      <c r="U124" s="18">
        <v>0</v>
      </c>
      <c r="V124" s="16"/>
      <c r="W124" s="17"/>
      <c r="X124" s="18">
        <f t="shared" si="21"/>
        <v>0</v>
      </c>
      <c r="Y124" s="19"/>
      <c r="Z124" s="19"/>
      <c r="AA124" s="18">
        <f t="shared" si="22"/>
        <v>0</v>
      </c>
      <c r="AB124" s="20">
        <f t="shared" si="23"/>
        <v>0</v>
      </c>
      <c r="AC124" s="5"/>
      <c r="AD124" s="8"/>
      <c r="AF124" s="6"/>
      <c r="AG124" s="7"/>
      <c r="AJ124" s="33"/>
      <c r="AK124" s="35"/>
      <c r="AL124" s="38"/>
    </row>
    <row r="125" spans="1:38" ht="17.25" customHeight="1">
      <c r="A125" s="25"/>
      <c r="B125" s="26"/>
      <c r="C125" s="14"/>
      <c r="D125" s="31"/>
      <c r="E125" s="14"/>
      <c r="F125" s="15" t="str">
        <f t="shared" si="18"/>
        <v xml:space="preserve">S/F  </v>
      </c>
      <c r="G125" s="16"/>
      <c r="H125" s="17">
        <v>21</v>
      </c>
      <c r="I125" s="18">
        <f t="shared" si="19"/>
        <v>0</v>
      </c>
      <c r="J125" s="17"/>
      <c r="K125" s="18"/>
      <c r="L125" s="16"/>
      <c r="M125" s="17"/>
      <c r="N125" s="18">
        <f t="shared" si="20"/>
        <v>0</v>
      </c>
      <c r="O125" s="19"/>
      <c r="P125" s="18">
        <v>0</v>
      </c>
      <c r="Q125" s="16"/>
      <c r="R125" s="17"/>
      <c r="S125" s="18">
        <v>0</v>
      </c>
      <c r="T125" s="19"/>
      <c r="U125" s="18">
        <v>0</v>
      </c>
      <c r="V125" s="16"/>
      <c r="W125" s="17"/>
      <c r="X125" s="18">
        <f t="shared" si="21"/>
        <v>0</v>
      </c>
      <c r="Y125" s="19"/>
      <c r="Z125" s="19"/>
      <c r="AA125" s="18">
        <f t="shared" si="22"/>
        <v>0</v>
      </c>
      <c r="AB125" s="20">
        <f t="shared" si="23"/>
        <v>0</v>
      </c>
      <c r="AC125" s="5"/>
      <c r="AD125" s="8"/>
      <c r="AF125" s="6"/>
      <c r="AG125" s="7"/>
      <c r="AJ125" s="33"/>
      <c r="AK125" s="35"/>
      <c r="AL125" s="38"/>
    </row>
    <row r="126" spans="1:38" ht="17.25" customHeight="1">
      <c r="A126" s="25"/>
      <c r="B126" s="26"/>
      <c r="C126" s="14"/>
      <c r="D126" s="31"/>
      <c r="E126" s="14"/>
      <c r="F126" s="15" t="str">
        <f t="shared" si="18"/>
        <v xml:space="preserve">S/F  </v>
      </c>
      <c r="G126" s="16"/>
      <c r="H126" s="17">
        <v>21</v>
      </c>
      <c r="I126" s="18">
        <f t="shared" si="19"/>
        <v>0</v>
      </c>
      <c r="J126" s="17"/>
      <c r="K126" s="18"/>
      <c r="L126" s="16"/>
      <c r="M126" s="17"/>
      <c r="N126" s="18">
        <f t="shared" si="20"/>
        <v>0</v>
      </c>
      <c r="O126" s="19"/>
      <c r="P126" s="18">
        <v>0</v>
      </c>
      <c r="Q126" s="16"/>
      <c r="R126" s="17"/>
      <c r="S126" s="18">
        <v>0</v>
      </c>
      <c r="T126" s="19"/>
      <c r="U126" s="18">
        <v>0</v>
      </c>
      <c r="V126" s="16"/>
      <c r="W126" s="17"/>
      <c r="X126" s="18">
        <f t="shared" si="21"/>
        <v>0</v>
      </c>
      <c r="Y126" s="19"/>
      <c r="Z126" s="19"/>
      <c r="AA126" s="18">
        <f t="shared" si="22"/>
        <v>0</v>
      </c>
      <c r="AB126" s="20">
        <f t="shared" si="23"/>
        <v>0</v>
      </c>
      <c r="AC126" s="5"/>
      <c r="AD126" s="8"/>
      <c r="AF126" s="6"/>
      <c r="AG126" s="7"/>
      <c r="AJ126" s="33"/>
      <c r="AK126" s="35"/>
      <c r="AL126" s="38"/>
    </row>
    <row r="127" spans="1:38" ht="17.25" customHeight="1">
      <c r="A127" s="25"/>
      <c r="B127" s="26"/>
      <c r="C127" s="14"/>
      <c r="D127" s="31"/>
      <c r="E127" s="14"/>
      <c r="F127" s="15" t="str">
        <f t="shared" si="18"/>
        <v xml:space="preserve">S/F  </v>
      </c>
      <c r="G127" s="16"/>
      <c r="H127" s="17">
        <v>21</v>
      </c>
      <c r="I127" s="18">
        <f t="shared" si="19"/>
        <v>0</v>
      </c>
      <c r="J127" s="17"/>
      <c r="K127" s="18"/>
      <c r="L127" s="16"/>
      <c r="M127" s="17"/>
      <c r="N127" s="18">
        <f t="shared" si="20"/>
        <v>0</v>
      </c>
      <c r="O127" s="19"/>
      <c r="P127" s="18">
        <v>0</v>
      </c>
      <c r="Q127" s="16"/>
      <c r="R127" s="17"/>
      <c r="S127" s="18">
        <v>0</v>
      </c>
      <c r="T127" s="19"/>
      <c r="U127" s="18">
        <v>0</v>
      </c>
      <c r="V127" s="16"/>
      <c r="W127" s="17"/>
      <c r="X127" s="18">
        <f t="shared" si="21"/>
        <v>0</v>
      </c>
      <c r="Y127" s="19"/>
      <c r="Z127" s="19"/>
      <c r="AA127" s="18">
        <f t="shared" si="22"/>
        <v>0</v>
      </c>
      <c r="AB127" s="20">
        <f t="shared" si="23"/>
        <v>0</v>
      </c>
      <c r="AC127" s="5"/>
      <c r="AD127" s="8"/>
      <c r="AF127" s="6"/>
      <c r="AG127" s="7"/>
      <c r="AJ127" s="33"/>
      <c r="AK127" s="35"/>
      <c r="AL127" s="38"/>
    </row>
    <row r="128" spans="1:38" ht="17.25" customHeight="1">
      <c r="A128" s="25"/>
      <c r="B128" s="26"/>
      <c r="C128" s="14"/>
      <c r="D128" s="31"/>
      <c r="E128" s="14"/>
      <c r="F128" s="15" t="str">
        <f t="shared" si="18"/>
        <v xml:space="preserve">S/F  </v>
      </c>
      <c r="G128" s="16"/>
      <c r="H128" s="17">
        <v>21</v>
      </c>
      <c r="I128" s="18">
        <f t="shared" si="19"/>
        <v>0</v>
      </c>
      <c r="J128" s="17"/>
      <c r="K128" s="18"/>
      <c r="L128" s="16"/>
      <c r="M128" s="17"/>
      <c r="N128" s="18">
        <f t="shared" si="20"/>
        <v>0</v>
      </c>
      <c r="O128" s="19"/>
      <c r="P128" s="18">
        <v>0</v>
      </c>
      <c r="Q128" s="16"/>
      <c r="R128" s="17"/>
      <c r="S128" s="18">
        <v>0</v>
      </c>
      <c r="T128" s="19"/>
      <c r="U128" s="18">
        <v>0</v>
      </c>
      <c r="V128" s="16"/>
      <c r="W128" s="17"/>
      <c r="X128" s="18">
        <f t="shared" si="21"/>
        <v>0</v>
      </c>
      <c r="Y128" s="19"/>
      <c r="Z128" s="19"/>
      <c r="AA128" s="18">
        <f t="shared" si="22"/>
        <v>0</v>
      </c>
      <c r="AB128" s="20">
        <f t="shared" si="23"/>
        <v>0</v>
      </c>
      <c r="AC128" s="5"/>
      <c r="AD128" s="8"/>
      <c r="AF128" s="6"/>
      <c r="AG128" s="7"/>
      <c r="AJ128" s="33"/>
      <c r="AK128" s="35"/>
      <c r="AL128" s="38"/>
    </row>
    <row r="129" spans="1:38" ht="17.25" customHeight="1">
      <c r="A129" s="25"/>
      <c r="B129" s="26"/>
      <c r="C129" s="14"/>
      <c r="D129" s="31"/>
      <c r="E129" s="14"/>
      <c r="F129" s="15" t="str">
        <f t="shared" si="18"/>
        <v xml:space="preserve">S/F  </v>
      </c>
      <c r="G129" s="16"/>
      <c r="H129" s="17">
        <v>21</v>
      </c>
      <c r="I129" s="18">
        <f t="shared" si="19"/>
        <v>0</v>
      </c>
      <c r="J129" s="17"/>
      <c r="K129" s="18"/>
      <c r="L129" s="16"/>
      <c r="M129" s="17"/>
      <c r="N129" s="18">
        <f t="shared" si="20"/>
        <v>0</v>
      </c>
      <c r="O129" s="19"/>
      <c r="P129" s="18">
        <v>0</v>
      </c>
      <c r="Q129" s="16"/>
      <c r="R129" s="17"/>
      <c r="S129" s="18">
        <v>0</v>
      </c>
      <c r="T129" s="19"/>
      <c r="U129" s="18">
        <v>0</v>
      </c>
      <c r="V129" s="16"/>
      <c r="W129" s="17"/>
      <c r="X129" s="18">
        <f t="shared" si="21"/>
        <v>0</v>
      </c>
      <c r="Y129" s="19"/>
      <c r="Z129" s="19"/>
      <c r="AA129" s="18">
        <f t="shared" si="22"/>
        <v>0</v>
      </c>
      <c r="AB129" s="20">
        <f t="shared" si="23"/>
        <v>0</v>
      </c>
      <c r="AC129" s="5"/>
      <c r="AD129" s="8"/>
      <c r="AF129" s="6"/>
      <c r="AG129" s="7"/>
      <c r="AJ129" s="33"/>
      <c r="AK129" s="35"/>
      <c r="AL129" s="38"/>
    </row>
    <row r="130" spans="1:38" ht="17.25" customHeight="1">
      <c r="A130" s="25"/>
      <c r="B130" s="26"/>
      <c r="C130" s="14"/>
      <c r="D130" s="31"/>
      <c r="E130" s="14"/>
      <c r="F130" s="15" t="str">
        <f t="shared" ref="F130:F153" si="24">"S/F "&amp;B130&amp;" "&amp;E130</f>
        <v xml:space="preserve">S/F  </v>
      </c>
      <c r="G130" s="16"/>
      <c r="H130" s="17">
        <v>21</v>
      </c>
      <c r="I130" s="18">
        <f t="shared" ref="I130:I153" si="25">+IF(G130&lt;&gt;0,G130*H130/100,0)</f>
        <v>0</v>
      </c>
      <c r="J130" s="17"/>
      <c r="K130" s="18"/>
      <c r="L130" s="16"/>
      <c r="M130" s="17"/>
      <c r="N130" s="18">
        <f t="shared" ref="N130:N153" si="26">+IF(L130&lt;&gt;0,L130*M130/100,0)</f>
        <v>0</v>
      </c>
      <c r="O130" s="19"/>
      <c r="P130" s="18">
        <v>0</v>
      </c>
      <c r="Q130" s="16"/>
      <c r="R130" s="17"/>
      <c r="S130" s="18">
        <v>0</v>
      </c>
      <c r="T130" s="19"/>
      <c r="U130" s="18">
        <v>0</v>
      </c>
      <c r="V130" s="16"/>
      <c r="W130" s="17"/>
      <c r="X130" s="18">
        <f t="shared" ref="X130:X153" si="27">+IF(W130&lt;&gt;0,V130*W130/100,0)</f>
        <v>0</v>
      </c>
      <c r="Y130" s="19"/>
      <c r="Z130" s="19"/>
      <c r="AA130" s="18">
        <f t="shared" ref="AA130:AA153" si="28">+IF(Z130&lt;&gt;0,Y130*Z130/100,0)</f>
        <v>0</v>
      </c>
      <c r="AB130" s="20">
        <f t="shared" ref="AB130:AB153" si="29">+G130+I130+K130+L130+N130+P130+Q130+S130+U130-X130-AA130</f>
        <v>0</v>
      </c>
      <c r="AC130" s="5"/>
      <c r="AD130" s="8"/>
      <c r="AF130" s="6"/>
      <c r="AG130" s="7"/>
      <c r="AJ130" s="33"/>
      <c r="AK130" s="35"/>
      <c r="AL130" s="38"/>
    </row>
    <row r="131" spans="1:38" ht="17.25" customHeight="1">
      <c r="A131" s="25"/>
      <c r="B131" s="26"/>
      <c r="C131" s="14"/>
      <c r="D131" s="31"/>
      <c r="E131" s="14"/>
      <c r="F131" s="15" t="str">
        <f t="shared" si="24"/>
        <v xml:space="preserve">S/F  </v>
      </c>
      <c r="G131" s="16"/>
      <c r="H131" s="17">
        <v>21</v>
      </c>
      <c r="I131" s="18">
        <f t="shared" si="25"/>
        <v>0</v>
      </c>
      <c r="J131" s="17"/>
      <c r="K131" s="18"/>
      <c r="L131" s="16"/>
      <c r="M131" s="17"/>
      <c r="N131" s="18">
        <f t="shared" si="26"/>
        <v>0</v>
      </c>
      <c r="O131" s="19"/>
      <c r="P131" s="18">
        <v>0</v>
      </c>
      <c r="Q131" s="16"/>
      <c r="R131" s="17"/>
      <c r="S131" s="18">
        <v>0</v>
      </c>
      <c r="T131" s="19"/>
      <c r="U131" s="18">
        <v>0</v>
      </c>
      <c r="V131" s="16"/>
      <c r="W131" s="17"/>
      <c r="X131" s="18">
        <f t="shared" si="27"/>
        <v>0</v>
      </c>
      <c r="Y131" s="19"/>
      <c r="Z131" s="19"/>
      <c r="AA131" s="18">
        <f t="shared" si="28"/>
        <v>0</v>
      </c>
      <c r="AB131" s="20">
        <f t="shared" si="29"/>
        <v>0</v>
      </c>
      <c r="AC131" s="5"/>
      <c r="AD131" s="8"/>
      <c r="AF131" s="6"/>
      <c r="AG131" s="7"/>
      <c r="AJ131" s="33"/>
      <c r="AK131" s="35"/>
      <c r="AL131" s="38"/>
    </row>
    <row r="132" spans="1:38" ht="17.25" customHeight="1">
      <c r="A132" s="25"/>
      <c r="B132" s="26"/>
      <c r="C132" s="14"/>
      <c r="D132" s="31"/>
      <c r="E132" s="14"/>
      <c r="F132" s="15" t="str">
        <f t="shared" si="24"/>
        <v xml:space="preserve">S/F  </v>
      </c>
      <c r="G132" s="16"/>
      <c r="H132" s="17">
        <v>21</v>
      </c>
      <c r="I132" s="18">
        <f t="shared" si="25"/>
        <v>0</v>
      </c>
      <c r="J132" s="17"/>
      <c r="K132" s="18"/>
      <c r="L132" s="16"/>
      <c r="M132" s="17"/>
      <c r="N132" s="18">
        <f t="shared" si="26"/>
        <v>0</v>
      </c>
      <c r="O132" s="19"/>
      <c r="P132" s="18">
        <v>0</v>
      </c>
      <c r="Q132" s="16"/>
      <c r="R132" s="17"/>
      <c r="S132" s="18">
        <v>0</v>
      </c>
      <c r="T132" s="19"/>
      <c r="U132" s="18">
        <v>0</v>
      </c>
      <c r="V132" s="16"/>
      <c r="W132" s="17"/>
      <c r="X132" s="18">
        <f t="shared" si="27"/>
        <v>0</v>
      </c>
      <c r="Y132" s="19"/>
      <c r="Z132" s="19"/>
      <c r="AA132" s="18">
        <f t="shared" si="28"/>
        <v>0</v>
      </c>
      <c r="AB132" s="20">
        <f t="shared" si="29"/>
        <v>0</v>
      </c>
      <c r="AC132" s="5"/>
      <c r="AD132" s="8"/>
      <c r="AF132" s="6"/>
      <c r="AG132" s="7"/>
      <c r="AJ132" s="33"/>
      <c r="AK132" s="35"/>
      <c r="AL132" s="38"/>
    </row>
    <row r="133" spans="1:38" ht="17.25" customHeight="1">
      <c r="A133" s="25"/>
      <c r="B133" s="26"/>
      <c r="C133" s="14"/>
      <c r="D133" s="31"/>
      <c r="E133" s="14"/>
      <c r="F133" s="15" t="str">
        <f t="shared" si="24"/>
        <v xml:space="preserve">S/F  </v>
      </c>
      <c r="G133" s="16"/>
      <c r="H133" s="17">
        <v>21</v>
      </c>
      <c r="I133" s="18">
        <f t="shared" si="25"/>
        <v>0</v>
      </c>
      <c r="J133" s="17"/>
      <c r="K133" s="18"/>
      <c r="L133" s="16"/>
      <c r="M133" s="17"/>
      <c r="N133" s="18">
        <f t="shared" si="26"/>
        <v>0</v>
      </c>
      <c r="O133" s="19"/>
      <c r="P133" s="18">
        <v>0</v>
      </c>
      <c r="Q133" s="16"/>
      <c r="R133" s="17"/>
      <c r="S133" s="18">
        <v>0</v>
      </c>
      <c r="T133" s="19"/>
      <c r="U133" s="18">
        <v>0</v>
      </c>
      <c r="V133" s="16"/>
      <c r="W133" s="17"/>
      <c r="X133" s="18">
        <f t="shared" si="27"/>
        <v>0</v>
      </c>
      <c r="Y133" s="19"/>
      <c r="Z133" s="19"/>
      <c r="AA133" s="18">
        <f t="shared" si="28"/>
        <v>0</v>
      </c>
      <c r="AB133" s="20">
        <f t="shared" si="29"/>
        <v>0</v>
      </c>
      <c r="AC133" s="5"/>
      <c r="AD133" s="8"/>
      <c r="AF133" s="6"/>
      <c r="AG133" s="7"/>
      <c r="AJ133" s="33"/>
      <c r="AK133" s="35"/>
      <c r="AL133" s="38"/>
    </row>
    <row r="134" spans="1:38" ht="17.25" customHeight="1">
      <c r="A134" s="25"/>
      <c r="B134" s="26"/>
      <c r="C134" s="14"/>
      <c r="D134" s="31"/>
      <c r="E134" s="14"/>
      <c r="F134" s="15" t="str">
        <f t="shared" si="24"/>
        <v xml:space="preserve">S/F  </v>
      </c>
      <c r="G134" s="16"/>
      <c r="H134" s="17">
        <v>21</v>
      </c>
      <c r="I134" s="18">
        <f t="shared" si="25"/>
        <v>0</v>
      </c>
      <c r="J134" s="17"/>
      <c r="K134" s="18"/>
      <c r="L134" s="16"/>
      <c r="M134" s="17"/>
      <c r="N134" s="18">
        <f t="shared" si="26"/>
        <v>0</v>
      </c>
      <c r="O134" s="19"/>
      <c r="P134" s="18">
        <v>0</v>
      </c>
      <c r="Q134" s="16"/>
      <c r="R134" s="17"/>
      <c r="S134" s="18">
        <v>0</v>
      </c>
      <c r="T134" s="19"/>
      <c r="U134" s="18">
        <v>0</v>
      </c>
      <c r="V134" s="16"/>
      <c r="W134" s="17"/>
      <c r="X134" s="18">
        <f t="shared" si="27"/>
        <v>0</v>
      </c>
      <c r="Y134" s="19"/>
      <c r="Z134" s="19"/>
      <c r="AA134" s="18">
        <f t="shared" si="28"/>
        <v>0</v>
      </c>
      <c r="AB134" s="20">
        <f t="shared" si="29"/>
        <v>0</v>
      </c>
      <c r="AC134" s="5"/>
      <c r="AD134" s="8"/>
      <c r="AF134" s="6"/>
      <c r="AG134" s="7"/>
      <c r="AJ134" s="33"/>
      <c r="AK134" s="35"/>
      <c r="AL134" s="38"/>
    </row>
    <row r="135" spans="1:38" ht="17.25" customHeight="1">
      <c r="A135" s="25"/>
      <c r="B135" s="26"/>
      <c r="C135" s="14"/>
      <c r="D135" s="31"/>
      <c r="E135" s="14"/>
      <c r="F135" s="15" t="str">
        <f t="shared" si="24"/>
        <v xml:space="preserve">S/F  </v>
      </c>
      <c r="G135" s="16"/>
      <c r="H135" s="17">
        <v>21</v>
      </c>
      <c r="I135" s="18">
        <f t="shared" si="25"/>
        <v>0</v>
      </c>
      <c r="J135" s="17"/>
      <c r="K135" s="18"/>
      <c r="L135" s="16"/>
      <c r="M135" s="17"/>
      <c r="N135" s="18">
        <f t="shared" si="26"/>
        <v>0</v>
      </c>
      <c r="O135" s="19"/>
      <c r="P135" s="18">
        <v>0</v>
      </c>
      <c r="Q135" s="16"/>
      <c r="R135" s="17"/>
      <c r="S135" s="18">
        <v>0</v>
      </c>
      <c r="T135" s="19"/>
      <c r="U135" s="18">
        <v>0</v>
      </c>
      <c r="V135" s="16"/>
      <c r="W135" s="17"/>
      <c r="X135" s="18">
        <f t="shared" si="27"/>
        <v>0</v>
      </c>
      <c r="Y135" s="19"/>
      <c r="Z135" s="19"/>
      <c r="AA135" s="18">
        <f t="shared" si="28"/>
        <v>0</v>
      </c>
      <c r="AB135" s="20">
        <f t="shared" si="29"/>
        <v>0</v>
      </c>
      <c r="AC135" s="5"/>
      <c r="AD135" s="8"/>
      <c r="AF135" s="6"/>
      <c r="AG135" s="7"/>
      <c r="AJ135" s="33"/>
      <c r="AK135" s="35"/>
      <c r="AL135" s="38"/>
    </row>
    <row r="136" spans="1:38" ht="17.25" customHeight="1">
      <c r="A136" s="25"/>
      <c r="B136" s="26"/>
      <c r="C136" s="14"/>
      <c r="D136" s="31"/>
      <c r="E136" s="14"/>
      <c r="F136" s="15" t="str">
        <f t="shared" si="24"/>
        <v xml:space="preserve">S/F  </v>
      </c>
      <c r="G136" s="16"/>
      <c r="H136" s="17">
        <v>21</v>
      </c>
      <c r="I136" s="18">
        <f t="shared" si="25"/>
        <v>0</v>
      </c>
      <c r="J136" s="17"/>
      <c r="K136" s="18"/>
      <c r="L136" s="16"/>
      <c r="M136" s="17"/>
      <c r="N136" s="18">
        <f t="shared" si="26"/>
        <v>0</v>
      </c>
      <c r="O136" s="19"/>
      <c r="P136" s="18">
        <v>0</v>
      </c>
      <c r="Q136" s="16"/>
      <c r="R136" s="17"/>
      <c r="S136" s="18">
        <v>0</v>
      </c>
      <c r="T136" s="19"/>
      <c r="U136" s="18">
        <v>0</v>
      </c>
      <c r="V136" s="16"/>
      <c r="W136" s="17"/>
      <c r="X136" s="18">
        <f t="shared" si="27"/>
        <v>0</v>
      </c>
      <c r="Y136" s="19"/>
      <c r="Z136" s="19"/>
      <c r="AA136" s="18">
        <f t="shared" si="28"/>
        <v>0</v>
      </c>
      <c r="AB136" s="20">
        <f t="shared" si="29"/>
        <v>0</v>
      </c>
      <c r="AC136" s="5"/>
      <c r="AD136" s="8"/>
      <c r="AF136" s="6"/>
      <c r="AG136" s="7"/>
      <c r="AJ136" s="33"/>
      <c r="AK136" s="35"/>
      <c r="AL136" s="38"/>
    </row>
    <row r="137" spans="1:38" ht="17.25" customHeight="1">
      <c r="A137" s="25"/>
      <c r="B137" s="26"/>
      <c r="C137" s="14"/>
      <c r="D137" s="31"/>
      <c r="E137" s="14"/>
      <c r="F137" s="15" t="str">
        <f t="shared" si="24"/>
        <v xml:space="preserve">S/F  </v>
      </c>
      <c r="G137" s="16"/>
      <c r="H137" s="17">
        <v>21</v>
      </c>
      <c r="I137" s="18">
        <f t="shared" si="25"/>
        <v>0</v>
      </c>
      <c r="J137" s="17"/>
      <c r="K137" s="18"/>
      <c r="L137" s="16"/>
      <c r="M137" s="17"/>
      <c r="N137" s="18">
        <f t="shared" si="26"/>
        <v>0</v>
      </c>
      <c r="O137" s="19"/>
      <c r="P137" s="18">
        <v>0</v>
      </c>
      <c r="Q137" s="16"/>
      <c r="R137" s="17"/>
      <c r="S137" s="18">
        <v>0</v>
      </c>
      <c r="T137" s="19"/>
      <c r="U137" s="18">
        <v>0</v>
      </c>
      <c r="V137" s="16"/>
      <c r="W137" s="17"/>
      <c r="X137" s="18">
        <f t="shared" si="27"/>
        <v>0</v>
      </c>
      <c r="Y137" s="19"/>
      <c r="Z137" s="19"/>
      <c r="AA137" s="18">
        <f t="shared" si="28"/>
        <v>0</v>
      </c>
      <c r="AB137" s="20">
        <f t="shared" si="29"/>
        <v>0</v>
      </c>
      <c r="AC137" s="5"/>
      <c r="AD137" s="8"/>
      <c r="AF137" s="6"/>
      <c r="AG137" s="7"/>
      <c r="AJ137" s="33"/>
      <c r="AK137" s="35"/>
      <c r="AL137" s="38"/>
    </row>
    <row r="138" spans="1:38" ht="17.25" customHeight="1">
      <c r="A138" s="25"/>
      <c r="B138" s="26"/>
      <c r="C138" s="14"/>
      <c r="D138" s="31"/>
      <c r="E138" s="14"/>
      <c r="F138" s="64" t="str">
        <f t="shared" si="24"/>
        <v xml:space="preserve">S/F  </v>
      </c>
      <c r="G138" s="16"/>
      <c r="H138" s="17">
        <v>21</v>
      </c>
      <c r="I138" s="18">
        <f t="shared" si="25"/>
        <v>0</v>
      </c>
      <c r="J138" s="17"/>
      <c r="K138" s="18"/>
      <c r="L138" s="16"/>
      <c r="M138" s="17"/>
      <c r="N138" s="18">
        <f t="shared" si="26"/>
        <v>0</v>
      </c>
      <c r="O138" s="19"/>
      <c r="P138" s="18">
        <v>0</v>
      </c>
      <c r="Q138" s="16"/>
      <c r="R138" s="17"/>
      <c r="S138" s="18">
        <v>0</v>
      </c>
      <c r="T138" s="19"/>
      <c r="U138" s="18">
        <v>0</v>
      </c>
      <c r="V138" s="16"/>
      <c r="W138" s="17"/>
      <c r="X138" s="18">
        <f t="shared" si="27"/>
        <v>0</v>
      </c>
      <c r="Y138" s="19"/>
      <c r="Z138" s="19"/>
      <c r="AA138" s="18">
        <f t="shared" si="28"/>
        <v>0</v>
      </c>
      <c r="AB138" s="20">
        <f t="shared" si="29"/>
        <v>0</v>
      </c>
      <c r="AC138" s="5"/>
      <c r="AD138" s="8"/>
      <c r="AF138" s="6"/>
      <c r="AG138" s="7"/>
      <c r="AJ138" s="33"/>
      <c r="AK138" s="35"/>
      <c r="AL138" s="38"/>
    </row>
    <row r="139" spans="1:38" ht="17.25" customHeight="1">
      <c r="A139" s="25"/>
      <c r="B139" s="26"/>
      <c r="C139" s="14"/>
      <c r="D139" s="31"/>
      <c r="E139" s="14"/>
      <c r="F139" s="15" t="str">
        <f t="shared" si="24"/>
        <v xml:space="preserve">S/F  </v>
      </c>
      <c r="G139" s="16"/>
      <c r="H139" s="17">
        <v>21</v>
      </c>
      <c r="I139" s="18">
        <f t="shared" si="25"/>
        <v>0</v>
      </c>
      <c r="J139" s="17"/>
      <c r="K139" s="18"/>
      <c r="L139" s="16"/>
      <c r="M139" s="17"/>
      <c r="N139" s="18">
        <f t="shared" si="26"/>
        <v>0</v>
      </c>
      <c r="O139" s="19"/>
      <c r="P139" s="18">
        <v>0</v>
      </c>
      <c r="Q139" s="16"/>
      <c r="R139" s="17"/>
      <c r="S139" s="18">
        <v>0</v>
      </c>
      <c r="T139" s="19"/>
      <c r="U139" s="18">
        <v>0</v>
      </c>
      <c r="V139" s="16"/>
      <c r="W139" s="17"/>
      <c r="X139" s="18">
        <f t="shared" si="27"/>
        <v>0</v>
      </c>
      <c r="Y139" s="19"/>
      <c r="Z139" s="19"/>
      <c r="AA139" s="18">
        <f t="shared" si="28"/>
        <v>0</v>
      </c>
      <c r="AB139" s="20">
        <f t="shared" si="29"/>
        <v>0</v>
      </c>
      <c r="AC139" s="5"/>
      <c r="AD139" s="8"/>
      <c r="AF139" s="6"/>
      <c r="AG139" s="7"/>
      <c r="AJ139" s="33"/>
      <c r="AK139" s="35"/>
      <c r="AL139" s="38"/>
    </row>
    <row r="140" spans="1:38" ht="17.25" customHeight="1">
      <c r="A140" s="25"/>
      <c r="B140" s="26"/>
      <c r="C140" s="14"/>
      <c r="D140" s="31"/>
      <c r="E140" s="14"/>
      <c r="F140" s="15" t="str">
        <f t="shared" si="24"/>
        <v xml:space="preserve">S/F  </v>
      </c>
      <c r="G140" s="16"/>
      <c r="H140" s="17">
        <v>21</v>
      </c>
      <c r="I140" s="18">
        <f t="shared" si="25"/>
        <v>0</v>
      </c>
      <c r="J140" s="17"/>
      <c r="K140" s="18"/>
      <c r="L140" s="16"/>
      <c r="M140" s="17"/>
      <c r="N140" s="18">
        <f t="shared" si="26"/>
        <v>0</v>
      </c>
      <c r="O140" s="19"/>
      <c r="P140" s="18">
        <v>0</v>
      </c>
      <c r="Q140" s="16"/>
      <c r="R140" s="17"/>
      <c r="S140" s="18">
        <v>0</v>
      </c>
      <c r="T140" s="19"/>
      <c r="U140" s="18">
        <v>0</v>
      </c>
      <c r="V140" s="16"/>
      <c r="W140" s="17"/>
      <c r="X140" s="18">
        <f t="shared" si="27"/>
        <v>0</v>
      </c>
      <c r="Y140" s="19"/>
      <c r="Z140" s="19"/>
      <c r="AA140" s="18">
        <f t="shared" si="28"/>
        <v>0</v>
      </c>
      <c r="AB140" s="20">
        <f t="shared" si="29"/>
        <v>0</v>
      </c>
      <c r="AC140" s="5"/>
      <c r="AD140" s="8"/>
      <c r="AF140" s="6"/>
      <c r="AG140" s="7"/>
      <c r="AJ140" s="33"/>
      <c r="AK140" s="35"/>
      <c r="AL140" s="38"/>
    </row>
    <row r="141" spans="1:38" ht="17.25" customHeight="1">
      <c r="A141" s="25"/>
      <c r="B141" s="26"/>
      <c r="C141" s="14"/>
      <c r="D141" s="31"/>
      <c r="E141" s="14"/>
      <c r="F141" s="15" t="str">
        <f t="shared" si="24"/>
        <v xml:space="preserve">S/F  </v>
      </c>
      <c r="G141" s="16"/>
      <c r="H141" s="17">
        <v>21</v>
      </c>
      <c r="I141" s="18">
        <f t="shared" si="25"/>
        <v>0</v>
      </c>
      <c r="J141" s="17"/>
      <c r="K141" s="18"/>
      <c r="L141" s="16"/>
      <c r="M141" s="17"/>
      <c r="N141" s="18">
        <f t="shared" si="26"/>
        <v>0</v>
      </c>
      <c r="O141" s="19"/>
      <c r="P141" s="18">
        <v>0</v>
      </c>
      <c r="Q141" s="16"/>
      <c r="R141" s="17"/>
      <c r="S141" s="18">
        <v>0</v>
      </c>
      <c r="T141" s="19"/>
      <c r="U141" s="18">
        <v>0</v>
      </c>
      <c r="V141" s="16"/>
      <c r="W141" s="17"/>
      <c r="X141" s="18">
        <f t="shared" si="27"/>
        <v>0</v>
      </c>
      <c r="Y141" s="19"/>
      <c r="Z141" s="19"/>
      <c r="AA141" s="18">
        <f t="shared" si="28"/>
        <v>0</v>
      </c>
      <c r="AB141" s="20">
        <f t="shared" si="29"/>
        <v>0</v>
      </c>
      <c r="AC141" s="5"/>
      <c r="AD141" s="8"/>
      <c r="AF141" s="6"/>
      <c r="AG141" s="7"/>
      <c r="AJ141" s="33"/>
      <c r="AK141" s="35"/>
      <c r="AL141" s="38"/>
    </row>
    <row r="142" spans="1:38">
      <c r="A142" s="25"/>
      <c r="B142" s="26"/>
      <c r="C142" s="14"/>
      <c r="D142" s="31"/>
      <c r="E142" s="14"/>
      <c r="F142" s="15" t="str">
        <f t="shared" si="24"/>
        <v xml:space="preserve">S/F  </v>
      </c>
      <c r="G142" s="16"/>
      <c r="H142" s="17">
        <v>21</v>
      </c>
      <c r="I142" s="18">
        <f t="shared" si="25"/>
        <v>0</v>
      </c>
      <c r="J142" s="17"/>
      <c r="K142" s="18"/>
      <c r="L142" s="16"/>
      <c r="M142" s="17"/>
      <c r="N142" s="18">
        <f t="shared" si="26"/>
        <v>0</v>
      </c>
      <c r="O142" s="19"/>
      <c r="P142" s="18">
        <v>0</v>
      </c>
      <c r="Q142" s="16"/>
      <c r="R142" s="17"/>
      <c r="S142" s="18">
        <v>0</v>
      </c>
      <c r="T142" s="19"/>
      <c r="U142" s="18">
        <v>0</v>
      </c>
      <c r="V142" s="16"/>
      <c r="W142" s="17"/>
      <c r="X142" s="18">
        <f t="shared" si="27"/>
        <v>0</v>
      </c>
      <c r="Y142" s="19"/>
      <c r="Z142" s="19"/>
      <c r="AA142" s="18">
        <f t="shared" si="28"/>
        <v>0</v>
      </c>
      <c r="AB142" s="20">
        <f t="shared" si="29"/>
        <v>0</v>
      </c>
      <c r="AC142" s="5"/>
      <c r="AD142" s="8"/>
      <c r="AF142" s="6"/>
      <c r="AG142" s="7"/>
      <c r="AJ142" s="33"/>
      <c r="AK142" s="35"/>
      <c r="AL142" s="38"/>
    </row>
    <row r="143" spans="1:38" ht="17.25" customHeight="1">
      <c r="A143" s="25"/>
      <c r="B143" s="26"/>
      <c r="C143" s="14"/>
      <c r="D143" s="31"/>
      <c r="E143" s="14"/>
      <c r="F143" s="15" t="str">
        <f t="shared" si="24"/>
        <v xml:space="preserve">S/F  </v>
      </c>
      <c r="G143" s="16"/>
      <c r="H143" s="17">
        <v>21</v>
      </c>
      <c r="I143" s="18">
        <f t="shared" si="25"/>
        <v>0</v>
      </c>
      <c r="J143" s="17"/>
      <c r="K143" s="18"/>
      <c r="L143" s="16"/>
      <c r="M143" s="17"/>
      <c r="N143" s="18">
        <f t="shared" si="26"/>
        <v>0</v>
      </c>
      <c r="O143" s="19"/>
      <c r="P143" s="18">
        <v>0</v>
      </c>
      <c r="Q143" s="16"/>
      <c r="R143" s="17"/>
      <c r="S143" s="18">
        <v>0</v>
      </c>
      <c r="T143" s="19"/>
      <c r="U143" s="18">
        <v>0</v>
      </c>
      <c r="V143" s="16"/>
      <c r="W143" s="17"/>
      <c r="X143" s="18">
        <f t="shared" si="27"/>
        <v>0</v>
      </c>
      <c r="Y143" s="19"/>
      <c r="Z143" s="19"/>
      <c r="AA143" s="18">
        <f t="shared" si="28"/>
        <v>0</v>
      </c>
      <c r="AB143" s="20">
        <f t="shared" si="29"/>
        <v>0</v>
      </c>
      <c r="AC143" s="5"/>
      <c r="AD143" s="8"/>
      <c r="AF143" s="6"/>
      <c r="AG143" s="7"/>
      <c r="AJ143" s="33"/>
      <c r="AK143" s="35"/>
      <c r="AL143" s="38"/>
    </row>
    <row r="144" spans="1:38" ht="17.25" customHeight="1">
      <c r="A144" s="25"/>
      <c r="B144" s="26"/>
      <c r="C144" s="14"/>
      <c r="D144" s="31"/>
      <c r="E144" s="14"/>
      <c r="F144" s="15" t="str">
        <f t="shared" si="24"/>
        <v xml:space="preserve">S/F  </v>
      </c>
      <c r="G144" s="16"/>
      <c r="H144" s="17">
        <v>21</v>
      </c>
      <c r="I144" s="18">
        <f t="shared" si="25"/>
        <v>0</v>
      </c>
      <c r="J144" s="17"/>
      <c r="K144" s="18"/>
      <c r="L144" s="16"/>
      <c r="M144" s="17"/>
      <c r="N144" s="18">
        <f t="shared" si="26"/>
        <v>0</v>
      </c>
      <c r="O144" s="19"/>
      <c r="P144" s="18">
        <v>0</v>
      </c>
      <c r="Q144" s="16"/>
      <c r="R144" s="17"/>
      <c r="S144" s="18">
        <v>0</v>
      </c>
      <c r="T144" s="19"/>
      <c r="U144" s="18">
        <v>0</v>
      </c>
      <c r="V144" s="16"/>
      <c r="W144" s="17"/>
      <c r="X144" s="18">
        <f t="shared" si="27"/>
        <v>0</v>
      </c>
      <c r="Y144" s="19"/>
      <c r="Z144" s="19"/>
      <c r="AA144" s="18">
        <f t="shared" si="28"/>
        <v>0</v>
      </c>
      <c r="AB144" s="20">
        <f t="shared" si="29"/>
        <v>0</v>
      </c>
      <c r="AC144" s="5"/>
      <c r="AD144" s="8"/>
      <c r="AF144" s="6"/>
      <c r="AG144" s="7"/>
      <c r="AJ144" s="33"/>
      <c r="AK144" s="35"/>
      <c r="AL144" s="38"/>
    </row>
    <row r="145" spans="1:38" ht="17.25" customHeight="1">
      <c r="A145" s="25"/>
      <c r="B145" s="26"/>
      <c r="C145" s="14"/>
      <c r="D145" s="31"/>
      <c r="E145" s="14"/>
      <c r="F145" s="15" t="str">
        <f t="shared" si="24"/>
        <v xml:space="preserve">S/F  </v>
      </c>
      <c r="G145" s="16"/>
      <c r="H145" s="17">
        <v>21</v>
      </c>
      <c r="I145" s="18">
        <f t="shared" si="25"/>
        <v>0</v>
      </c>
      <c r="J145" s="17"/>
      <c r="K145" s="18"/>
      <c r="L145" s="16"/>
      <c r="M145" s="17"/>
      <c r="N145" s="18">
        <f t="shared" si="26"/>
        <v>0</v>
      </c>
      <c r="O145" s="19"/>
      <c r="P145" s="18">
        <v>0</v>
      </c>
      <c r="Q145" s="16"/>
      <c r="R145" s="17"/>
      <c r="S145" s="18">
        <v>0</v>
      </c>
      <c r="T145" s="19"/>
      <c r="U145" s="18">
        <v>0</v>
      </c>
      <c r="V145" s="16"/>
      <c r="W145" s="17"/>
      <c r="X145" s="18">
        <f t="shared" si="27"/>
        <v>0</v>
      </c>
      <c r="Y145" s="19"/>
      <c r="Z145" s="19"/>
      <c r="AA145" s="18">
        <f t="shared" si="28"/>
        <v>0</v>
      </c>
      <c r="AB145" s="20">
        <f t="shared" si="29"/>
        <v>0</v>
      </c>
      <c r="AC145" s="5"/>
      <c r="AD145" s="8"/>
      <c r="AF145" s="6"/>
      <c r="AG145" s="7"/>
      <c r="AJ145" s="33"/>
      <c r="AK145" s="35"/>
      <c r="AL145" s="38"/>
    </row>
    <row r="146" spans="1:38" ht="17.25" customHeight="1">
      <c r="A146" s="25"/>
      <c r="B146" s="26"/>
      <c r="C146" s="14"/>
      <c r="D146" s="31"/>
      <c r="E146" s="14"/>
      <c r="F146" s="15" t="str">
        <f t="shared" si="24"/>
        <v xml:space="preserve">S/F  </v>
      </c>
      <c r="G146" s="16"/>
      <c r="H146" s="17">
        <v>21</v>
      </c>
      <c r="I146" s="18">
        <f t="shared" si="25"/>
        <v>0</v>
      </c>
      <c r="J146" s="17"/>
      <c r="K146" s="18"/>
      <c r="L146" s="16"/>
      <c r="M146" s="17"/>
      <c r="N146" s="18">
        <f t="shared" si="26"/>
        <v>0</v>
      </c>
      <c r="O146" s="19"/>
      <c r="P146" s="18">
        <v>0</v>
      </c>
      <c r="Q146" s="16"/>
      <c r="R146" s="17"/>
      <c r="S146" s="18">
        <v>0</v>
      </c>
      <c r="T146" s="19"/>
      <c r="U146" s="18">
        <v>0</v>
      </c>
      <c r="V146" s="16"/>
      <c r="W146" s="17"/>
      <c r="X146" s="18">
        <f t="shared" si="27"/>
        <v>0</v>
      </c>
      <c r="Y146" s="19"/>
      <c r="Z146" s="19"/>
      <c r="AA146" s="18">
        <f t="shared" si="28"/>
        <v>0</v>
      </c>
      <c r="AB146" s="20">
        <f t="shared" si="29"/>
        <v>0</v>
      </c>
      <c r="AC146" s="5"/>
      <c r="AD146" s="8"/>
      <c r="AF146" s="6"/>
      <c r="AG146" s="7"/>
      <c r="AJ146" s="33"/>
      <c r="AK146" s="35"/>
      <c r="AL146" s="38"/>
    </row>
    <row r="147" spans="1:38" ht="17.25" customHeight="1">
      <c r="A147" s="25"/>
      <c r="B147" s="26"/>
      <c r="C147" s="14"/>
      <c r="D147" s="31"/>
      <c r="E147" s="14"/>
      <c r="F147" s="15" t="str">
        <f t="shared" si="24"/>
        <v xml:space="preserve">S/F  </v>
      </c>
      <c r="G147" s="16"/>
      <c r="H147" s="17">
        <v>21</v>
      </c>
      <c r="I147" s="18">
        <f t="shared" si="25"/>
        <v>0</v>
      </c>
      <c r="J147" s="17"/>
      <c r="K147" s="18"/>
      <c r="L147" s="16"/>
      <c r="M147" s="17"/>
      <c r="N147" s="18">
        <f t="shared" si="26"/>
        <v>0</v>
      </c>
      <c r="O147" s="19"/>
      <c r="P147" s="18">
        <v>0</v>
      </c>
      <c r="Q147" s="16"/>
      <c r="R147" s="17"/>
      <c r="S147" s="18">
        <v>0</v>
      </c>
      <c r="T147" s="19"/>
      <c r="U147" s="18">
        <v>0</v>
      </c>
      <c r="V147" s="16"/>
      <c r="W147" s="17"/>
      <c r="X147" s="18">
        <f t="shared" si="27"/>
        <v>0</v>
      </c>
      <c r="Y147" s="19"/>
      <c r="Z147" s="19"/>
      <c r="AA147" s="18">
        <f t="shared" si="28"/>
        <v>0</v>
      </c>
      <c r="AB147" s="20">
        <f t="shared" si="29"/>
        <v>0</v>
      </c>
      <c r="AC147" s="5"/>
      <c r="AD147" s="8"/>
      <c r="AF147" s="6"/>
      <c r="AG147" s="7"/>
      <c r="AJ147" s="33"/>
      <c r="AK147" s="35"/>
      <c r="AL147" s="38"/>
    </row>
    <row r="148" spans="1:38" ht="17.25" customHeight="1">
      <c r="A148" s="25"/>
      <c r="B148" s="26"/>
      <c r="C148" s="14"/>
      <c r="D148" s="31"/>
      <c r="E148" s="14"/>
      <c r="F148" s="15" t="str">
        <f t="shared" si="24"/>
        <v xml:space="preserve">S/F  </v>
      </c>
      <c r="G148" s="16"/>
      <c r="H148" s="17">
        <v>21</v>
      </c>
      <c r="I148" s="18">
        <f t="shared" si="25"/>
        <v>0</v>
      </c>
      <c r="J148" s="17"/>
      <c r="K148" s="18"/>
      <c r="L148" s="16"/>
      <c r="M148" s="17"/>
      <c r="N148" s="18">
        <f t="shared" si="26"/>
        <v>0</v>
      </c>
      <c r="O148" s="19"/>
      <c r="P148" s="18">
        <v>0</v>
      </c>
      <c r="Q148" s="16"/>
      <c r="R148" s="17"/>
      <c r="S148" s="18">
        <v>0</v>
      </c>
      <c r="T148" s="19"/>
      <c r="U148" s="18">
        <v>0</v>
      </c>
      <c r="V148" s="16"/>
      <c r="W148" s="17"/>
      <c r="X148" s="18">
        <f t="shared" si="27"/>
        <v>0</v>
      </c>
      <c r="Y148" s="19"/>
      <c r="Z148" s="19"/>
      <c r="AA148" s="18">
        <f t="shared" si="28"/>
        <v>0</v>
      </c>
      <c r="AB148" s="20">
        <f t="shared" si="29"/>
        <v>0</v>
      </c>
      <c r="AC148" s="5"/>
      <c r="AD148" s="8"/>
      <c r="AF148" s="6"/>
      <c r="AG148" s="7"/>
      <c r="AJ148" s="33"/>
      <c r="AK148" s="35"/>
      <c r="AL148" s="38"/>
    </row>
    <row r="149" spans="1:38" ht="17.25" customHeight="1">
      <c r="A149" s="25"/>
      <c r="B149" s="26"/>
      <c r="C149" s="14"/>
      <c r="D149" s="31"/>
      <c r="E149" s="14"/>
      <c r="F149" s="15" t="str">
        <f t="shared" si="24"/>
        <v xml:space="preserve">S/F  </v>
      </c>
      <c r="G149" s="16"/>
      <c r="H149" s="17">
        <v>21</v>
      </c>
      <c r="I149" s="18">
        <f t="shared" si="25"/>
        <v>0</v>
      </c>
      <c r="J149" s="17"/>
      <c r="K149" s="18"/>
      <c r="L149" s="16"/>
      <c r="M149" s="17"/>
      <c r="N149" s="18">
        <f t="shared" si="26"/>
        <v>0</v>
      </c>
      <c r="O149" s="19"/>
      <c r="P149" s="18">
        <v>0</v>
      </c>
      <c r="Q149" s="16"/>
      <c r="R149" s="17"/>
      <c r="S149" s="18">
        <v>0</v>
      </c>
      <c r="T149" s="19"/>
      <c r="U149" s="18">
        <v>0</v>
      </c>
      <c r="V149" s="16"/>
      <c r="W149" s="17"/>
      <c r="X149" s="18">
        <f t="shared" si="27"/>
        <v>0</v>
      </c>
      <c r="Y149" s="19"/>
      <c r="Z149" s="19"/>
      <c r="AA149" s="18">
        <f t="shared" si="28"/>
        <v>0</v>
      </c>
      <c r="AB149" s="20">
        <f t="shared" si="29"/>
        <v>0</v>
      </c>
      <c r="AC149" s="5"/>
      <c r="AD149" s="8"/>
      <c r="AF149" s="6"/>
      <c r="AG149" s="7"/>
      <c r="AJ149" s="33"/>
      <c r="AK149" s="35"/>
      <c r="AL149" s="38"/>
    </row>
    <row r="150" spans="1:38" ht="17.25" customHeight="1">
      <c r="A150" s="25"/>
      <c r="B150" s="26"/>
      <c r="C150" s="14"/>
      <c r="D150" s="31"/>
      <c r="E150" s="14"/>
      <c r="F150" s="15" t="str">
        <f t="shared" si="24"/>
        <v xml:space="preserve">S/F  </v>
      </c>
      <c r="G150" s="16"/>
      <c r="H150" s="17">
        <v>21</v>
      </c>
      <c r="I150" s="18">
        <f t="shared" si="25"/>
        <v>0</v>
      </c>
      <c r="J150" s="17"/>
      <c r="K150" s="18"/>
      <c r="L150" s="16"/>
      <c r="M150" s="17"/>
      <c r="N150" s="18">
        <f t="shared" si="26"/>
        <v>0</v>
      </c>
      <c r="O150" s="19"/>
      <c r="P150" s="18">
        <v>0</v>
      </c>
      <c r="Q150" s="16"/>
      <c r="R150" s="17"/>
      <c r="S150" s="18">
        <v>0</v>
      </c>
      <c r="T150" s="19"/>
      <c r="U150" s="18">
        <v>0</v>
      </c>
      <c r="V150" s="16"/>
      <c r="W150" s="17"/>
      <c r="X150" s="18">
        <f t="shared" si="27"/>
        <v>0</v>
      </c>
      <c r="Y150" s="19"/>
      <c r="Z150" s="19"/>
      <c r="AA150" s="18">
        <f t="shared" si="28"/>
        <v>0</v>
      </c>
      <c r="AB150" s="20">
        <f t="shared" si="29"/>
        <v>0</v>
      </c>
      <c r="AC150" s="5"/>
      <c r="AD150" s="8"/>
      <c r="AF150" s="6"/>
      <c r="AG150" s="7"/>
      <c r="AJ150" s="33"/>
      <c r="AK150" s="35"/>
      <c r="AL150" s="38"/>
    </row>
    <row r="151" spans="1:38" ht="17.25" customHeight="1">
      <c r="A151" s="25"/>
      <c r="B151" s="26"/>
      <c r="C151" s="14"/>
      <c r="D151" s="31"/>
      <c r="E151" s="14"/>
      <c r="F151" s="15" t="str">
        <f t="shared" si="24"/>
        <v xml:space="preserve">S/F  </v>
      </c>
      <c r="G151" s="16"/>
      <c r="H151" s="17">
        <v>21</v>
      </c>
      <c r="I151" s="18">
        <f t="shared" si="25"/>
        <v>0</v>
      </c>
      <c r="J151" s="17"/>
      <c r="K151" s="18"/>
      <c r="L151" s="16"/>
      <c r="M151" s="17"/>
      <c r="N151" s="18">
        <f t="shared" si="26"/>
        <v>0</v>
      </c>
      <c r="O151" s="19"/>
      <c r="P151" s="18">
        <v>0</v>
      </c>
      <c r="Q151" s="16"/>
      <c r="R151" s="17"/>
      <c r="S151" s="18">
        <v>0</v>
      </c>
      <c r="T151" s="19"/>
      <c r="U151" s="18">
        <v>0</v>
      </c>
      <c r="V151" s="16"/>
      <c r="W151" s="17"/>
      <c r="X151" s="18">
        <f t="shared" si="27"/>
        <v>0</v>
      </c>
      <c r="Y151" s="19"/>
      <c r="Z151" s="19"/>
      <c r="AA151" s="18">
        <f t="shared" si="28"/>
        <v>0</v>
      </c>
      <c r="AB151" s="20">
        <f t="shared" si="29"/>
        <v>0</v>
      </c>
      <c r="AC151" s="5"/>
      <c r="AD151" s="8"/>
      <c r="AF151" s="6"/>
      <c r="AG151" s="7"/>
      <c r="AJ151" s="33"/>
      <c r="AK151" s="35"/>
      <c r="AL151" s="38"/>
    </row>
    <row r="152" spans="1:38" ht="17.25" customHeight="1">
      <c r="A152" s="25"/>
      <c r="B152" s="26"/>
      <c r="C152" s="14"/>
      <c r="D152" s="31"/>
      <c r="E152" s="14"/>
      <c r="F152" s="15" t="str">
        <f t="shared" si="24"/>
        <v xml:space="preserve">S/F  </v>
      </c>
      <c r="G152" s="16"/>
      <c r="H152" s="17">
        <v>21</v>
      </c>
      <c r="I152" s="18">
        <f t="shared" si="25"/>
        <v>0</v>
      </c>
      <c r="J152" s="17"/>
      <c r="K152" s="18"/>
      <c r="L152" s="16"/>
      <c r="M152" s="17"/>
      <c r="N152" s="18">
        <f t="shared" si="26"/>
        <v>0</v>
      </c>
      <c r="O152" s="19"/>
      <c r="P152" s="18">
        <v>0</v>
      </c>
      <c r="Q152" s="16"/>
      <c r="R152" s="17"/>
      <c r="S152" s="18">
        <v>0</v>
      </c>
      <c r="T152" s="19"/>
      <c r="U152" s="18">
        <v>0</v>
      </c>
      <c r="V152" s="16"/>
      <c r="W152" s="17"/>
      <c r="X152" s="18">
        <f t="shared" si="27"/>
        <v>0</v>
      </c>
      <c r="Y152" s="19"/>
      <c r="Z152" s="19"/>
      <c r="AA152" s="18">
        <f t="shared" si="28"/>
        <v>0</v>
      </c>
      <c r="AB152" s="20">
        <f t="shared" si="29"/>
        <v>0</v>
      </c>
      <c r="AC152" s="5"/>
      <c r="AD152" s="8"/>
      <c r="AF152" s="6"/>
      <c r="AG152" s="7"/>
      <c r="AJ152" s="65"/>
      <c r="AK152" s="35"/>
      <c r="AL152" s="38"/>
    </row>
    <row r="153" spans="1:38" ht="17.25" customHeight="1">
      <c r="A153" s="25"/>
      <c r="B153" s="26"/>
      <c r="C153" s="14"/>
      <c r="D153" s="31"/>
      <c r="E153" s="14"/>
      <c r="F153" s="15" t="str">
        <f t="shared" si="24"/>
        <v xml:space="preserve">S/F  </v>
      </c>
      <c r="G153" s="16"/>
      <c r="H153" s="17">
        <v>21</v>
      </c>
      <c r="I153" s="18">
        <f t="shared" si="25"/>
        <v>0</v>
      </c>
      <c r="J153" s="17"/>
      <c r="K153" s="18"/>
      <c r="L153" s="16"/>
      <c r="M153" s="17"/>
      <c r="N153" s="18">
        <f t="shared" si="26"/>
        <v>0</v>
      </c>
      <c r="O153" s="19"/>
      <c r="P153" s="18">
        <v>0</v>
      </c>
      <c r="Q153" s="16"/>
      <c r="R153" s="17"/>
      <c r="S153" s="18">
        <v>0</v>
      </c>
      <c r="T153" s="19"/>
      <c r="U153" s="18">
        <v>0</v>
      </c>
      <c r="V153" s="16"/>
      <c r="W153" s="17"/>
      <c r="X153" s="18">
        <f t="shared" si="27"/>
        <v>0</v>
      </c>
      <c r="Y153" s="19"/>
      <c r="Z153" s="19"/>
      <c r="AA153" s="18">
        <f t="shared" si="28"/>
        <v>0</v>
      </c>
      <c r="AB153" s="20">
        <f t="shared" si="29"/>
        <v>0</v>
      </c>
      <c r="AC153" s="5"/>
      <c r="AD153" s="8"/>
      <c r="AF153" s="6"/>
      <c r="AG153" s="7"/>
      <c r="AJ153" s="33"/>
      <c r="AK153" s="35"/>
      <c r="AL153" s="38"/>
    </row>
    <row r="154" spans="1:38" ht="17.25" customHeight="1"/>
    <row r="155" spans="1:38" ht="17.25" customHeight="1"/>
    <row r="156" spans="1:38" ht="17.25" customHeight="1">
      <c r="I156" s="48">
        <f>SUM(I2:I154)</f>
        <v>0</v>
      </c>
    </row>
    <row r="157" spans="1:38" ht="17.25" customHeight="1"/>
    <row r="158" spans="1:38" ht="17.25" customHeight="1"/>
    <row r="159" spans="1:38" ht="17.25" customHeight="1"/>
    <row r="160" spans="1:38" ht="17.25" customHeight="1"/>
    <row r="161" ht="17.25" customHeight="1"/>
    <row r="162" ht="17.25" customHeight="1"/>
    <row r="163" ht="17.25" customHeight="1"/>
    <row r="166" ht="17.25" customHeight="1"/>
    <row r="167" ht="17.25" customHeight="1"/>
    <row r="168" ht="17.25" customHeight="1"/>
    <row r="169" ht="17.25" customHeight="1"/>
    <row r="170" ht="17.25" customHeight="1"/>
    <row r="171" ht="17.25" customHeight="1"/>
    <row r="172" ht="17.25" customHeight="1"/>
    <row r="173" ht="17.25" customHeight="1"/>
    <row r="174" ht="17.25" customHeight="1"/>
    <row r="175" ht="17.25" customHeight="1"/>
    <row r="176" ht="17.25" customHeight="1"/>
    <row r="177" ht="17.25" customHeight="1"/>
    <row r="178" ht="17.25" customHeight="1"/>
    <row r="179" ht="17.25" customHeight="1"/>
    <row r="180" ht="17.25" customHeight="1"/>
    <row r="181" ht="17.25" customHeight="1"/>
    <row r="182" ht="17.25" customHeight="1"/>
    <row r="183" ht="17.25" customHeight="1"/>
    <row r="184" ht="17.25" customHeight="1"/>
    <row r="185" ht="17.25" customHeight="1"/>
    <row r="186" ht="17.25" customHeight="1"/>
    <row r="187" ht="17.25" customHeight="1"/>
    <row r="188" ht="17.25" customHeight="1"/>
    <row r="189" ht="17.25" customHeight="1"/>
    <row r="190" ht="17.25" customHeight="1"/>
    <row r="191" ht="17.25" customHeight="1"/>
    <row r="192" ht="17.25" customHeight="1"/>
    <row r="193" ht="17.25" customHeight="1"/>
    <row r="194" ht="17.25" customHeight="1"/>
    <row r="195" ht="17.25" customHeight="1"/>
    <row r="196" ht="17.25" customHeight="1"/>
    <row r="197" ht="17.25" customHeight="1"/>
    <row r="198" ht="17.25" customHeight="1"/>
    <row r="199" ht="17.25" customHeight="1"/>
    <row r="200" ht="17.25" customHeight="1"/>
    <row r="201" ht="17.25" customHeight="1"/>
    <row r="202" ht="17.25" customHeight="1"/>
    <row r="203" ht="17.25" customHeight="1"/>
    <row r="204" ht="17.25" customHeight="1"/>
    <row r="205" ht="17.25" customHeight="1"/>
    <row r="206" ht="17.25" customHeight="1"/>
    <row r="207" ht="17.25" customHeight="1"/>
    <row r="208" ht="17.25" customHeight="1"/>
    <row r="209" ht="17.25" customHeight="1"/>
    <row r="210" ht="17.25" customHeight="1"/>
    <row r="211" ht="17.25" customHeight="1"/>
    <row r="212" ht="17.25" customHeight="1"/>
    <row r="213" ht="17.25" customHeight="1"/>
    <row r="214" ht="17.25" customHeight="1"/>
    <row r="215" ht="17.25" customHeight="1"/>
  </sheetData>
  <sortState xmlns:xlrd2="http://schemas.microsoft.com/office/spreadsheetml/2017/richdata2" ref="A2:AL153">
    <sortCondition ref="A2:A153"/>
    <sortCondition ref="B2:B153"/>
    <sortCondition ref="E2:E153"/>
  </sortState>
  <dataValidations count="1">
    <dataValidation type="textLength" errorStyle="warning" allowBlank="1" showInputMessage="1" showErrorMessage="1" error="Contamar le informa de que el código introducido debe contener únicamente 8 dígitos._x000a__x000a_" sqref="AC2:AC148 AC149:AC153" xr:uid="{00000000-0002-0000-0600-000000000000}">
      <formula1>8</formula1>
      <formula2>8</formula2>
    </dataValidation>
  </dataValidations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Hoja8">
    <pageSetUpPr fitToPage="1"/>
  </sheetPr>
  <dimension ref="A1:AM166"/>
  <sheetViews>
    <sheetView zoomScale="80" zoomScaleNormal="80" zoomScalePageLayoutView="80" workbookViewId="0">
      <pane ySplit="1" topLeftCell="A2" activePane="bottomLeft" state="frozen"/>
      <selection pane="bottomLeft" activeCell="AJ2" sqref="AJ2:AL111"/>
    </sheetView>
  </sheetViews>
  <sheetFormatPr baseColWidth="10" defaultColWidth="11.42578125" defaultRowHeight="15"/>
  <cols>
    <col min="1" max="1" width="12.85546875" style="29" bestFit="1" customWidth="1"/>
    <col min="2" max="2" width="20.42578125" style="30" bestFit="1" customWidth="1"/>
    <col min="3" max="3" width="13.42578125" style="4" hidden="1" customWidth="1"/>
    <col min="4" max="4" width="15.85546875" style="3" bestFit="1" customWidth="1"/>
    <col min="5" max="5" width="49.42578125" style="4" bestFit="1" customWidth="1"/>
    <col min="6" max="6" width="66" style="4" bestFit="1" customWidth="1"/>
    <col min="7" max="7" width="10.85546875" customWidth="1"/>
    <col min="8" max="8" width="7.7109375" customWidth="1"/>
    <col min="9" max="9" width="12.85546875" bestFit="1" customWidth="1"/>
    <col min="10" max="10" width="6.7109375" hidden="1" customWidth="1"/>
    <col min="11" max="11" width="11.7109375" hidden="1" customWidth="1"/>
    <col min="12" max="12" width="9.28515625" bestFit="1" customWidth="1"/>
    <col min="13" max="13" width="6.7109375" bestFit="1" customWidth="1"/>
    <col min="14" max="14" width="12.42578125" customWidth="1"/>
    <col min="15" max="15" width="8.140625" hidden="1" customWidth="1"/>
    <col min="16" max="16" width="12.42578125" hidden="1" customWidth="1"/>
    <col min="17" max="18" width="6.7109375" hidden="1" customWidth="1"/>
    <col min="19" max="19" width="8.42578125" hidden="1" customWidth="1"/>
    <col min="20" max="20" width="7.7109375" hidden="1" customWidth="1"/>
    <col min="21" max="21" width="10.42578125" hidden="1" customWidth="1"/>
    <col min="22" max="22" width="11.7109375" customWidth="1"/>
    <col min="23" max="23" width="6.140625" customWidth="1"/>
    <col min="24" max="24" width="13.28515625" customWidth="1"/>
    <col min="25" max="25" width="11.7109375" hidden="1" customWidth="1"/>
    <col min="26" max="26" width="5.42578125" hidden="1" customWidth="1"/>
    <col min="27" max="27" width="8.42578125" hidden="1" customWidth="1"/>
    <col min="28" max="28" width="13.85546875" bestFit="1" customWidth="1"/>
    <col min="29" max="29" width="14.7109375" hidden="1" customWidth="1"/>
    <col min="30" max="30" width="16.140625" hidden="1" customWidth="1"/>
    <col min="31" max="31" width="16.140625" style="3" hidden="1" customWidth="1"/>
    <col min="32" max="32" width="4.42578125" style="3" hidden="1" customWidth="1"/>
    <col min="33" max="33" width="9.85546875" style="3" hidden="1" customWidth="1"/>
    <col min="34" max="34" width="12" style="4" hidden="1" customWidth="1"/>
    <col min="35" max="35" width="15.42578125" hidden="1" customWidth="1"/>
    <col min="36" max="36" width="26.42578125" bestFit="1" customWidth="1"/>
    <col min="37" max="37" width="21.42578125" bestFit="1" customWidth="1"/>
    <col min="38" max="38" width="14.140625" style="44" customWidth="1"/>
  </cols>
  <sheetData>
    <row r="1" spans="1:39" s="1" customFormat="1" ht="38.25" customHeight="1">
      <c r="A1" s="21" t="s">
        <v>5</v>
      </c>
      <c r="B1" s="22" t="s">
        <v>9</v>
      </c>
      <c r="C1" s="22" t="s">
        <v>6</v>
      </c>
      <c r="D1" s="22" t="s">
        <v>8</v>
      </c>
      <c r="E1" s="22" t="s">
        <v>3</v>
      </c>
      <c r="F1" s="22" t="s">
        <v>10</v>
      </c>
      <c r="G1" s="21" t="s">
        <v>7</v>
      </c>
      <c r="H1" s="21" t="s">
        <v>0</v>
      </c>
      <c r="I1" s="21" t="s">
        <v>1</v>
      </c>
      <c r="J1" s="21" t="s">
        <v>23</v>
      </c>
      <c r="K1" s="21" t="s">
        <v>24</v>
      </c>
      <c r="L1" s="21" t="s">
        <v>19</v>
      </c>
      <c r="M1" s="21" t="s">
        <v>15</v>
      </c>
      <c r="N1" s="21" t="s">
        <v>16</v>
      </c>
      <c r="O1" s="21" t="s">
        <v>25</v>
      </c>
      <c r="P1" s="21" t="s">
        <v>26</v>
      </c>
      <c r="Q1" s="21" t="s">
        <v>20</v>
      </c>
      <c r="R1" s="21" t="s">
        <v>17</v>
      </c>
      <c r="S1" s="21" t="s">
        <v>18</v>
      </c>
      <c r="T1" s="21" t="s">
        <v>28</v>
      </c>
      <c r="U1" s="21" t="s">
        <v>27</v>
      </c>
      <c r="V1" s="21" t="s">
        <v>2</v>
      </c>
      <c r="W1" s="21" t="s">
        <v>30</v>
      </c>
      <c r="X1" s="21" t="s">
        <v>32</v>
      </c>
      <c r="Y1" s="21" t="s">
        <v>29</v>
      </c>
      <c r="Z1" s="21" t="s">
        <v>31</v>
      </c>
      <c r="AA1" s="21" t="s">
        <v>33</v>
      </c>
      <c r="AB1" s="21" t="s">
        <v>34</v>
      </c>
      <c r="AC1" s="22" t="s">
        <v>11</v>
      </c>
      <c r="AD1" s="22" t="s">
        <v>21</v>
      </c>
      <c r="AE1" s="22" t="s">
        <v>22</v>
      </c>
      <c r="AF1" s="22" t="s">
        <v>4</v>
      </c>
      <c r="AG1" s="22" t="s">
        <v>12</v>
      </c>
      <c r="AH1" s="23" t="s">
        <v>13</v>
      </c>
      <c r="AI1" s="24" t="s">
        <v>14</v>
      </c>
      <c r="AJ1" s="32" t="s">
        <v>37</v>
      </c>
      <c r="AK1" s="34" t="s">
        <v>35</v>
      </c>
      <c r="AL1" s="62" t="s">
        <v>36</v>
      </c>
    </row>
    <row r="2" spans="1:39" ht="17.25" customHeight="1">
      <c r="A2" s="25"/>
      <c r="B2" s="26"/>
      <c r="C2" s="14"/>
      <c r="D2" s="31"/>
      <c r="E2" s="14"/>
      <c r="F2" s="15" t="str">
        <f t="shared" ref="F2:F33" si="0">"S/F "&amp;B2&amp;" "&amp;E2</f>
        <v xml:space="preserve">S/F  </v>
      </c>
      <c r="G2" s="16"/>
      <c r="H2" s="17">
        <v>21</v>
      </c>
      <c r="I2" s="18">
        <f t="shared" ref="I2:I33" si="1">+IF(G2&lt;&gt;0,G2*H2/100,0)</f>
        <v>0</v>
      </c>
      <c r="J2" s="17"/>
      <c r="K2" s="18"/>
      <c r="L2" s="16"/>
      <c r="M2" s="17"/>
      <c r="N2" s="18">
        <f t="shared" ref="N2:N33" si="2">+IF(L2&lt;&gt;0,L2*M2/100,0)</f>
        <v>0</v>
      </c>
      <c r="O2" s="19"/>
      <c r="P2" s="18">
        <v>0</v>
      </c>
      <c r="Q2" s="16"/>
      <c r="R2" s="17"/>
      <c r="S2" s="18">
        <v>0</v>
      </c>
      <c r="T2" s="19"/>
      <c r="U2" s="18">
        <v>0</v>
      </c>
      <c r="V2" s="16"/>
      <c r="W2" s="17"/>
      <c r="X2" s="18">
        <f t="shared" ref="X2:X33" si="3">+IF(W2&lt;&gt;0,V2*W2/100,0)</f>
        <v>0</v>
      </c>
      <c r="Y2" s="19"/>
      <c r="Z2" s="19"/>
      <c r="AA2" s="18">
        <f t="shared" ref="AA2:AA33" si="4">+IF(Z2&lt;&gt;0,Y2*Z2/100,0)</f>
        <v>0</v>
      </c>
      <c r="AB2" s="20">
        <f t="shared" ref="AB2:AB33" si="5">+G2+I2+K2+L2+N2+P2+Q2+S2+U2-X2-AA2</f>
        <v>0</v>
      </c>
      <c r="AC2" s="5"/>
      <c r="AD2" s="8"/>
      <c r="AF2" s="6"/>
      <c r="AG2" s="7"/>
      <c r="AJ2" s="33"/>
      <c r="AK2" s="35"/>
      <c r="AL2" s="38"/>
    </row>
    <row r="3" spans="1:39" ht="17.25" customHeight="1">
      <c r="A3" s="25"/>
      <c r="B3" s="26"/>
      <c r="C3" s="14"/>
      <c r="D3" s="31"/>
      <c r="E3" s="14"/>
      <c r="F3" s="15" t="str">
        <f t="shared" si="0"/>
        <v xml:space="preserve">S/F  </v>
      </c>
      <c r="G3" s="16"/>
      <c r="H3" s="17">
        <v>21</v>
      </c>
      <c r="I3" s="18">
        <f t="shared" si="1"/>
        <v>0</v>
      </c>
      <c r="J3" s="17"/>
      <c r="K3" s="18"/>
      <c r="L3" s="16"/>
      <c r="M3" s="17"/>
      <c r="N3" s="18">
        <f t="shared" si="2"/>
        <v>0</v>
      </c>
      <c r="O3" s="19"/>
      <c r="P3" s="18">
        <v>0</v>
      </c>
      <c r="Q3" s="16"/>
      <c r="R3" s="17"/>
      <c r="S3" s="18">
        <v>0</v>
      </c>
      <c r="T3" s="19"/>
      <c r="U3" s="18">
        <v>0</v>
      </c>
      <c r="V3" s="16"/>
      <c r="W3" s="17"/>
      <c r="X3" s="18">
        <f t="shared" si="3"/>
        <v>0</v>
      </c>
      <c r="Y3" s="19"/>
      <c r="Z3" s="19"/>
      <c r="AA3" s="18">
        <f t="shared" si="4"/>
        <v>0</v>
      </c>
      <c r="AB3" s="20">
        <f t="shared" si="5"/>
        <v>0</v>
      </c>
      <c r="AC3" s="5"/>
      <c r="AD3" s="8"/>
      <c r="AF3" s="6"/>
      <c r="AG3" s="7"/>
      <c r="AJ3" s="33"/>
      <c r="AK3" s="35"/>
      <c r="AL3" s="38"/>
    </row>
    <row r="4" spans="1:39" ht="17.25" customHeight="1">
      <c r="A4" s="25"/>
      <c r="B4" s="26"/>
      <c r="C4" s="14"/>
      <c r="D4" s="31"/>
      <c r="E4" s="14"/>
      <c r="F4" s="15" t="str">
        <f t="shared" si="0"/>
        <v xml:space="preserve">S/F  </v>
      </c>
      <c r="G4" s="16"/>
      <c r="H4" s="17">
        <v>21</v>
      </c>
      <c r="I4" s="18">
        <f t="shared" si="1"/>
        <v>0</v>
      </c>
      <c r="J4" s="17"/>
      <c r="K4" s="18"/>
      <c r="L4" s="16"/>
      <c r="M4" s="17"/>
      <c r="N4" s="18">
        <f t="shared" si="2"/>
        <v>0</v>
      </c>
      <c r="O4" s="19"/>
      <c r="P4" s="18">
        <v>0</v>
      </c>
      <c r="Q4" s="16"/>
      <c r="R4" s="17"/>
      <c r="S4" s="18">
        <v>0</v>
      </c>
      <c r="T4" s="19"/>
      <c r="U4" s="18">
        <v>0</v>
      </c>
      <c r="V4" s="16"/>
      <c r="W4" s="17"/>
      <c r="X4" s="18">
        <f t="shared" si="3"/>
        <v>0</v>
      </c>
      <c r="Y4" s="19"/>
      <c r="Z4" s="19"/>
      <c r="AA4" s="18">
        <f t="shared" si="4"/>
        <v>0</v>
      </c>
      <c r="AB4" s="20">
        <f t="shared" si="5"/>
        <v>0</v>
      </c>
      <c r="AC4" s="5"/>
      <c r="AD4" s="8"/>
      <c r="AF4" s="6"/>
      <c r="AG4" s="7"/>
      <c r="AJ4" s="33"/>
      <c r="AK4" s="35"/>
      <c r="AL4" s="38"/>
    </row>
    <row r="5" spans="1:39" ht="17.25" customHeight="1">
      <c r="A5" s="25"/>
      <c r="B5" s="26"/>
      <c r="C5" s="14"/>
      <c r="D5" s="31"/>
      <c r="E5" s="14"/>
      <c r="F5" s="15" t="str">
        <f t="shared" si="0"/>
        <v xml:space="preserve">S/F  </v>
      </c>
      <c r="G5" s="16"/>
      <c r="H5" s="17">
        <v>21</v>
      </c>
      <c r="I5" s="18">
        <f t="shared" si="1"/>
        <v>0</v>
      </c>
      <c r="J5" s="17"/>
      <c r="K5" s="18"/>
      <c r="L5" s="16"/>
      <c r="M5" s="17"/>
      <c r="N5" s="18">
        <f t="shared" si="2"/>
        <v>0</v>
      </c>
      <c r="O5" s="19"/>
      <c r="P5" s="18">
        <v>0</v>
      </c>
      <c r="Q5" s="16"/>
      <c r="R5" s="17"/>
      <c r="S5" s="18">
        <v>0</v>
      </c>
      <c r="T5" s="19"/>
      <c r="U5" s="18">
        <v>0</v>
      </c>
      <c r="V5" s="16"/>
      <c r="W5" s="17"/>
      <c r="X5" s="18">
        <f t="shared" si="3"/>
        <v>0</v>
      </c>
      <c r="Y5" s="19"/>
      <c r="Z5" s="19"/>
      <c r="AA5" s="18">
        <f t="shared" si="4"/>
        <v>0</v>
      </c>
      <c r="AB5" s="20">
        <f t="shared" si="5"/>
        <v>0</v>
      </c>
      <c r="AC5" s="5"/>
      <c r="AD5" s="8"/>
      <c r="AF5" s="6"/>
      <c r="AG5" s="7"/>
      <c r="AJ5" s="33"/>
      <c r="AK5" s="35"/>
      <c r="AL5" s="38"/>
    </row>
    <row r="6" spans="1:39" ht="17.25" customHeight="1">
      <c r="A6" s="25"/>
      <c r="B6" s="26"/>
      <c r="C6" s="14"/>
      <c r="D6" s="31"/>
      <c r="E6" s="14"/>
      <c r="F6" s="15" t="str">
        <f t="shared" si="0"/>
        <v xml:space="preserve">S/F  </v>
      </c>
      <c r="G6" s="16"/>
      <c r="H6" s="17">
        <v>21</v>
      </c>
      <c r="I6" s="18">
        <f t="shared" si="1"/>
        <v>0</v>
      </c>
      <c r="J6" s="17"/>
      <c r="K6" s="18"/>
      <c r="L6" s="16"/>
      <c r="M6" s="17"/>
      <c r="N6" s="18">
        <f t="shared" si="2"/>
        <v>0</v>
      </c>
      <c r="O6" s="19"/>
      <c r="P6" s="18">
        <v>0</v>
      </c>
      <c r="Q6" s="16"/>
      <c r="R6" s="17"/>
      <c r="S6" s="18">
        <v>0</v>
      </c>
      <c r="T6" s="19"/>
      <c r="U6" s="18">
        <v>0</v>
      </c>
      <c r="V6" s="16"/>
      <c r="W6" s="17"/>
      <c r="X6" s="18">
        <f t="shared" si="3"/>
        <v>0</v>
      </c>
      <c r="Y6" s="19"/>
      <c r="Z6" s="19"/>
      <c r="AA6" s="18">
        <f t="shared" si="4"/>
        <v>0</v>
      </c>
      <c r="AB6" s="20">
        <f t="shared" si="5"/>
        <v>0</v>
      </c>
      <c r="AC6" s="5"/>
      <c r="AD6" s="8"/>
      <c r="AF6" s="6"/>
      <c r="AG6" s="7"/>
      <c r="AJ6" s="33"/>
      <c r="AK6" s="35"/>
      <c r="AL6" s="38"/>
    </row>
    <row r="7" spans="1:39" ht="17.25" customHeight="1">
      <c r="A7" s="25"/>
      <c r="B7" s="26"/>
      <c r="C7" s="14"/>
      <c r="D7" s="31"/>
      <c r="E7" s="14"/>
      <c r="F7" s="15" t="str">
        <f t="shared" si="0"/>
        <v xml:space="preserve">S/F  </v>
      </c>
      <c r="G7" s="16"/>
      <c r="H7" s="17">
        <v>21</v>
      </c>
      <c r="I7" s="18">
        <f t="shared" si="1"/>
        <v>0</v>
      </c>
      <c r="J7" s="17"/>
      <c r="K7" s="18"/>
      <c r="L7" s="16"/>
      <c r="M7" s="17"/>
      <c r="N7" s="18">
        <f t="shared" si="2"/>
        <v>0</v>
      </c>
      <c r="O7" s="19"/>
      <c r="P7" s="18">
        <v>0</v>
      </c>
      <c r="Q7" s="16"/>
      <c r="R7" s="17"/>
      <c r="S7" s="18">
        <v>0</v>
      </c>
      <c r="T7" s="19"/>
      <c r="U7" s="18">
        <v>0</v>
      </c>
      <c r="V7" s="16"/>
      <c r="W7" s="17"/>
      <c r="X7" s="18">
        <f t="shared" si="3"/>
        <v>0</v>
      </c>
      <c r="Y7" s="19"/>
      <c r="Z7" s="19"/>
      <c r="AA7" s="18">
        <f t="shared" si="4"/>
        <v>0</v>
      </c>
      <c r="AB7" s="20">
        <f t="shared" si="5"/>
        <v>0</v>
      </c>
      <c r="AC7" s="5"/>
      <c r="AD7" s="8"/>
      <c r="AF7" s="6"/>
      <c r="AG7" s="7"/>
      <c r="AJ7" s="33"/>
      <c r="AK7" s="35"/>
      <c r="AL7" s="38"/>
      <c r="AM7" t="s">
        <v>40</v>
      </c>
    </row>
    <row r="8" spans="1:39" ht="17.25" customHeight="1">
      <c r="A8" s="25"/>
      <c r="B8" s="26"/>
      <c r="C8" s="14"/>
      <c r="D8" s="31"/>
      <c r="E8" s="14"/>
      <c r="F8" s="15" t="str">
        <f t="shared" si="0"/>
        <v xml:space="preserve">S/F  </v>
      </c>
      <c r="G8" s="16"/>
      <c r="H8" s="17">
        <v>21</v>
      </c>
      <c r="I8" s="18">
        <f t="shared" si="1"/>
        <v>0</v>
      </c>
      <c r="J8" s="17"/>
      <c r="K8" s="18"/>
      <c r="L8" s="16"/>
      <c r="M8" s="17"/>
      <c r="N8" s="18">
        <f t="shared" si="2"/>
        <v>0</v>
      </c>
      <c r="O8" s="19"/>
      <c r="P8" s="18">
        <v>0</v>
      </c>
      <c r="Q8" s="16"/>
      <c r="R8" s="17"/>
      <c r="S8" s="18">
        <v>0</v>
      </c>
      <c r="T8" s="19"/>
      <c r="U8" s="18">
        <v>0</v>
      </c>
      <c r="V8" s="16"/>
      <c r="W8" s="17"/>
      <c r="X8" s="18">
        <f t="shared" si="3"/>
        <v>0</v>
      </c>
      <c r="Y8" s="19"/>
      <c r="Z8" s="19"/>
      <c r="AA8" s="18">
        <f t="shared" si="4"/>
        <v>0</v>
      </c>
      <c r="AB8" s="20">
        <f t="shared" si="5"/>
        <v>0</v>
      </c>
      <c r="AC8" s="5"/>
      <c r="AD8" s="8"/>
      <c r="AF8" s="6"/>
      <c r="AG8" s="7"/>
      <c r="AJ8" s="33"/>
      <c r="AK8" s="35"/>
      <c r="AL8" s="38"/>
    </row>
    <row r="9" spans="1:39" ht="17.25" customHeight="1">
      <c r="A9" s="25"/>
      <c r="B9" s="26"/>
      <c r="C9" s="14"/>
      <c r="D9" s="31"/>
      <c r="E9" s="14"/>
      <c r="F9" s="15" t="str">
        <f t="shared" si="0"/>
        <v xml:space="preserve">S/F  </v>
      </c>
      <c r="G9" s="16"/>
      <c r="H9" s="17">
        <v>21</v>
      </c>
      <c r="I9" s="18">
        <f t="shared" si="1"/>
        <v>0</v>
      </c>
      <c r="J9" s="17"/>
      <c r="K9" s="18"/>
      <c r="L9" s="16"/>
      <c r="M9" s="17"/>
      <c r="N9" s="18">
        <f t="shared" si="2"/>
        <v>0</v>
      </c>
      <c r="O9" s="19"/>
      <c r="P9" s="18">
        <v>0</v>
      </c>
      <c r="Q9" s="16"/>
      <c r="R9" s="17"/>
      <c r="S9" s="18">
        <v>0</v>
      </c>
      <c r="T9" s="19"/>
      <c r="U9" s="18">
        <v>0</v>
      </c>
      <c r="V9" s="16"/>
      <c r="W9" s="17"/>
      <c r="X9" s="18">
        <f t="shared" si="3"/>
        <v>0</v>
      </c>
      <c r="Y9" s="19"/>
      <c r="Z9" s="19"/>
      <c r="AA9" s="18">
        <f t="shared" si="4"/>
        <v>0</v>
      </c>
      <c r="AB9" s="20">
        <f t="shared" si="5"/>
        <v>0</v>
      </c>
      <c r="AC9" s="5"/>
      <c r="AD9" s="8"/>
      <c r="AF9" s="6"/>
      <c r="AG9" s="7"/>
      <c r="AJ9" s="33"/>
      <c r="AK9" s="35"/>
      <c r="AL9" s="38"/>
    </row>
    <row r="10" spans="1:39" ht="17.25" customHeight="1">
      <c r="A10" s="25"/>
      <c r="B10" s="26"/>
      <c r="C10" s="14"/>
      <c r="D10" s="31"/>
      <c r="E10" s="14"/>
      <c r="F10" s="15" t="str">
        <f t="shared" si="0"/>
        <v xml:space="preserve">S/F  </v>
      </c>
      <c r="G10" s="16"/>
      <c r="H10" s="17">
        <v>21</v>
      </c>
      <c r="I10" s="18">
        <f t="shared" si="1"/>
        <v>0</v>
      </c>
      <c r="J10" s="17"/>
      <c r="K10" s="18"/>
      <c r="L10" s="16"/>
      <c r="M10" s="17"/>
      <c r="N10" s="18">
        <f t="shared" si="2"/>
        <v>0</v>
      </c>
      <c r="O10" s="19"/>
      <c r="P10" s="18">
        <v>0</v>
      </c>
      <c r="Q10" s="16"/>
      <c r="R10" s="17"/>
      <c r="S10" s="18">
        <v>0</v>
      </c>
      <c r="T10" s="19"/>
      <c r="U10" s="18">
        <v>0</v>
      </c>
      <c r="V10" s="16"/>
      <c r="W10" s="17"/>
      <c r="X10" s="18">
        <f t="shared" si="3"/>
        <v>0</v>
      </c>
      <c r="Y10" s="19"/>
      <c r="Z10" s="19"/>
      <c r="AA10" s="18">
        <f t="shared" si="4"/>
        <v>0</v>
      </c>
      <c r="AB10" s="20">
        <f t="shared" si="5"/>
        <v>0</v>
      </c>
      <c r="AC10" s="5"/>
      <c r="AD10" s="8"/>
      <c r="AF10" s="6"/>
      <c r="AG10" s="7"/>
      <c r="AJ10" s="33"/>
      <c r="AK10" s="35"/>
      <c r="AL10" s="38"/>
    </row>
    <row r="11" spans="1:39" ht="17.25" customHeight="1">
      <c r="A11" s="25"/>
      <c r="B11" s="26"/>
      <c r="C11" s="14"/>
      <c r="D11" s="31"/>
      <c r="E11" s="14"/>
      <c r="F11" s="15" t="str">
        <f t="shared" si="0"/>
        <v xml:space="preserve">S/F  </v>
      </c>
      <c r="G11" s="16"/>
      <c r="H11" s="17">
        <v>21</v>
      </c>
      <c r="I11" s="18">
        <f t="shared" si="1"/>
        <v>0</v>
      </c>
      <c r="J11" s="17"/>
      <c r="K11" s="18"/>
      <c r="L11" s="16"/>
      <c r="M11" s="17"/>
      <c r="N11" s="18">
        <f t="shared" si="2"/>
        <v>0</v>
      </c>
      <c r="O11" s="19"/>
      <c r="P11" s="18">
        <v>0</v>
      </c>
      <c r="Q11" s="16"/>
      <c r="R11" s="17"/>
      <c r="S11" s="18">
        <v>0</v>
      </c>
      <c r="T11" s="19"/>
      <c r="U11" s="18">
        <v>0</v>
      </c>
      <c r="V11" s="16"/>
      <c r="W11" s="17"/>
      <c r="X11" s="18">
        <f t="shared" si="3"/>
        <v>0</v>
      </c>
      <c r="Y11" s="19"/>
      <c r="Z11" s="19"/>
      <c r="AA11" s="18">
        <f t="shared" si="4"/>
        <v>0</v>
      </c>
      <c r="AB11" s="20">
        <f t="shared" si="5"/>
        <v>0</v>
      </c>
      <c r="AC11" s="5"/>
      <c r="AD11" s="8"/>
      <c r="AF11" s="6"/>
      <c r="AG11" s="7"/>
      <c r="AJ11" s="33"/>
      <c r="AK11" s="35"/>
      <c r="AL11" s="38"/>
    </row>
    <row r="12" spans="1:39" ht="17.25" customHeight="1">
      <c r="A12" s="25"/>
      <c r="B12" s="26"/>
      <c r="C12" s="14"/>
      <c r="D12" s="31"/>
      <c r="E12" s="14"/>
      <c r="F12" s="15" t="str">
        <f t="shared" si="0"/>
        <v xml:space="preserve">S/F  </v>
      </c>
      <c r="G12" s="16"/>
      <c r="H12" s="17">
        <v>21</v>
      </c>
      <c r="I12" s="18">
        <f t="shared" si="1"/>
        <v>0</v>
      </c>
      <c r="J12" s="17"/>
      <c r="K12" s="18"/>
      <c r="L12" s="16"/>
      <c r="M12" s="17"/>
      <c r="N12" s="18">
        <f t="shared" si="2"/>
        <v>0</v>
      </c>
      <c r="O12" s="19"/>
      <c r="P12" s="18">
        <v>0</v>
      </c>
      <c r="Q12" s="16"/>
      <c r="R12" s="17"/>
      <c r="S12" s="18">
        <v>0</v>
      </c>
      <c r="T12" s="19"/>
      <c r="U12" s="18">
        <v>0</v>
      </c>
      <c r="V12" s="16"/>
      <c r="W12" s="17"/>
      <c r="X12" s="18">
        <f t="shared" si="3"/>
        <v>0</v>
      </c>
      <c r="Y12" s="19"/>
      <c r="Z12" s="19"/>
      <c r="AA12" s="18">
        <f t="shared" si="4"/>
        <v>0</v>
      </c>
      <c r="AB12" s="20">
        <f t="shared" si="5"/>
        <v>0</v>
      </c>
      <c r="AC12" s="5"/>
      <c r="AD12" s="8"/>
      <c r="AF12" s="6"/>
      <c r="AG12" s="7"/>
      <c r="AJ12" s="33"/>
      <c r="AK12" s="35"/>
      <c r="AL12" s="38"/>
    </row>
    <row r="13" spans="1:39" ht="17.25" customHeight="1">
      <c r="A13" s="25"/>
      <c r="B13" s="26"/>
      <c r="C13" s="14"/>
      <c r="D13" s="31"/>
      <c r="E13" s="14"/>
      <c r="F13" s="15" t="str">
        <f t="shared" si="0"/>
        <v xml:space="preserve">S/F  </v>
      </c>
      <c r="G13" s="16"/>
      <c r="H13" s="17">
        <v>21</v>
      </c>
      <c r="I13" s="18">
        <f t="shared" si="1"/>
        <v>0</v>
      </c>
      <c r="J13" s="17"/>
      <c r="K13" s="18"/>
      <c r="L13" s="16"/>
      <c r="M13" s="17"/>
      <c r="N13" s="18">
        <f t="shared" si="2"/>
        <v>0</v>
      </c>
      <c r="O13" s="19"/>
      <c r="P13" s="18">
        <v>0</v>
      </c>
      <c r="Q13" s="16"/>
      <c r="R13" s="17"/>
      <c r="S13" s="18">
        <v>0</v>
      </c>
      <c r="T13" s="19"/>
      <c r="U13" s="18">
        <v>0</v>
      </c>
      <c r="V13" s="16"/>
      <c r="W13" s="17"/>
      <c r="X13" s="18">
        <f t="shared" si="3"/>
        <v>0</v>
      </c>
      <c r="Y13" s="19"/>
      <c r="Z13" s="19"/>
      <c r="AA13" s="18">
        <f t="shared" si="4"/>
        <v>0</v>
      </c>
      <c r="AB13" s="20">
        <f t="shared" si="5"/>
        <v>0</v>
      </c>
      <c r="AC13" s="5"/>
      <c r="AD13" s="8"/>
      <c r="AF13" s="6"/>
      <c r="AG13" s="7"/>
      <c r="AJ13" s="33"/>
      <c r="AK13" s="35"/>
      <c r="AL13" s="38"/>
    </row>
    <row r="14" spans="1:39" ht="17.25" customHeight="1">
      <c r="A14" s="25"/>
      <c r="B14" s="26"/>
      <c r="C14" s="14"/>
      <c r="D14" s="31"/>
      <c r="E14" s="14"/>
      <c r="F14" s="15" t="str">
        <f t="shared" si="0"/>
        <v xml:space="preserve">S/F  </v>
      </c>
      <c r="G14" s="16"/>
      <c r="H14" s="17">
        <v>21</v>
      </c>
      <c r="I14" s="18">
        <f t="shared" si="1"/>
        <v>0</v>
      </c>
      <c r="J14" s="17"/>
      <c r="K14" s="18"/>
      <c r="L14" s="16"/>
      <c r="M14" s="17"/>
      <c r="N14" s="18">
        <f t="shared" si="2"/>
        <v>0</v>
      </c>
      <c r="O14" s="19"/>
      <c r="P14" s="18">
        <v>0</v>
      </c>
      <c r="Q14" s="16"/>
      <c r="R14" s="17"/>
      <c r="S14" s="18">
        <v>0</v>
      </c>
      <c r="T14" s="19"/>
      <c r="U14" s="18">
        <v>0</v>
      </c>
      <c r="V14" s="16"/>
      <c r="W14" s="17"/>
      <c r="X14" s="18">
        <f t="shared" si="3"/>
        <v>0</v>
      </c>
      <c r="Y14" s="19"/>
      <c r="Z14" s="19"/>
      <c r="AA14" s="18">
        <f t="shared" si="4"/>
        <v>0</v>
      </c>
      <c r="AB14" s="20">
        <f t="shared" si="5"/>
        <v>0</v>
      </c>
      <c r="AC14" s="5"/>
      <c r="AD14" s="8"/>
      <c r="AF14" s="6"/>
      <c r="AG14" s="7"/>
      <c r="AJ14" s="33"/>
      <c r="AK14" s="35"/>
      <c r="AL14" s="38"/>
    </row>
    <row r="15" spans="1:39" ht="17.25" customHeight="1">
      <c r="A15" s="25"/>
      <c r="B15" s="26"/>
      <c r="C15" s="14"/>
      <c r="D15" s="31"/>
      <c r="E15" s="14"/>
      <c r="F15" s="15" t="str">
        <f t="shared" si="0"/>
        <v xml:space="preserve">S/F  </v>
      </c>
      <c r="G15" s="16"/>
      <c r="H15" s="17">
        <v>21</v>
      </c>
      <c r="I15" s="18">
        <f t="shared" si="1"/>
        <v>0</v>
      </c>
      <c r="J15" s="17"/>
      <c r="K15" s="18"/>
      <c r="L15" s="16"/>
      <c r="M15" s="17"/>
      <c r="N15" s="18">
        <f t="shared" si="2"/>
        <v>0</v>
      </c>
      <c r="O15" s="19"/>
      <c r="P15" s="18">
        <v>0</v>
      </c>
      <c r="Q15" s="16"/>
      <c r="R15" s="17"/>
      <c r="S15" s="18">
        <v>0</v>
      </c>
      <c r="T15" s="19"/>
      <c r="U15" s="18">
        <v>0</v>
      </c>
      <c r="V15" s="16"/>
      <c r="W15" s="17"/>
      <c r="X15" s="18">
        <f t="shared" si="3"/>
        <v>0</v>
      </c>
      <c r="Y15" s="19"/>
      <c r="Z15" s="19"/>
      <c r="AA15" s="18">
        <f t="shared" si="4"/>
        <v>0</v>
      </c>
      <c r="AB15" s="20">
        <f t="shared" si="5"/>
        <v>0</v>
      </c>
      <c r="AC15" s="5"/>
      <c r="AD15" s="8"/>
      <c r="AF15" s="6"/>
      <c r="AG15" s="7"/>
      <c r="AJ15" s="33"/>
      <c r="AK15" s="35"/>
      <c r="AL15" s="38"/>
    </row>
    <row r="16" spans="1:39" ht="17.25" customHeight="1">
      <c r="A16" s="25"/>
      <c r="B16" s="26"/>
      <c r="C16" s="14"/>
      <c r="D16" s="31"/>
      <c r="E16" s="14"/>
      <c r="F16" s="15" t="str">
        <f t="shared" si="0"/>
        <v xml:space="preserve">S/F  </v>
      </c>
      <c r="G16" s="16"/>
      <c r="H16" s="17">
        <v>21</v>
      </c>
      <c r="I16" s="18">
        <f t="shared" si="1"/>
        <v>0</v>
      </c>
      <c r="J16" s="17"/>
      <c r="K16" s="18"/>
      <c r="L16" s="16"/>
      <c r="M16" s="17"/>
      <c r="N16" s="18">
        <f t="shared" si="2"/>
        <v>0</v>
      </c>
      <c r="O16" s="19"/>
      <c r="P16" s="18">
        <v>0</v>
      </c>
      <c r="Q16" s="16"/>
      <c r="R16" s="17"/>
      <c r="S16" s="18">
        <v>0</v>
      </c>
      <c r="T16" s="19"/>
      <c r="U16" s="18">
        <v>0</v>
      </c>
      <c r="V16" s="16"/>
      <c r="W16" s="17"/>
      <c r="X16" s="18">
        <f t="shared" si="3"/>
        <v>0</v>
      </c>
      <c r="Y16" s="19"/>
      <c r="Z16" s="19"/>
      <c r="AA16" s="18">
        <f t="shared" si="4"/>
        <v>0</v>
      </c>
      <c r="AB16" s="20">
        <f t="shared" si="5"/>
        <v>0</v>
      </c>
      <c r="AC16" s="5"/>
      <c r="AD16" s="8"/>
      <c r="AF16" s="6"/>
      <c r="AG16" s="7"/>
      <c r="AJ16" s="33"/>
      <c r="AK16" s="35"/>
      <c r="AL16" s="38"/>
    </row>
    <row r="17" spans="1:38" ht="17.25" customHeight="1">
      <c r="A17" s="25"/>
      <c r="B17" s="26"/>
      <c r="C17" s="14"/>
      <c r="D17" s="26"/>
      <c r="E17" s="14"/>
      <c r="F17" s="15" t="str">
        <f t="shared" si="0"/>
        <v xml:space="preserve">S/F  </v>
      </c>
      <c r="G17" s="16"/>
      <c r="H17" s="17">
        <v>21</v>
      </c>
      <c r="I17" s="18">
        <f t="shared" si="1"/>
        <v>0</v>
      </c>
      <c r="J17" s="17"/>
      <c r="K17" s="18"/>
      <c r="L17" s="16"/>
      <c r="M17" s="17"/>
      <c r="N17" s="18">
        <f t="shared" si="2"/>
        <v>0</v>
      </c>
      <c r="O17" s="19"/>
      <c r="P17" s="18">
        <v>0</v>
      </c>
      <c r="Q17" s="16"/>
      <c r="R17" s="17"/>
      <c r="S17" s="18">
        <v>0</v>
      </c>
      <c r="T17" s="19"/>
      <c r="U17" s="18">
        <v>0</v>
      </c>
      <c r="V17" s="16"/>
      <c r="W17" s="17"/>
      <c r="X17" s="18">
        <f t="shared" si="3"/>
        <v>0</v>
      </c>
      <c r="Y17" s="19"/>
      <c r="Z17" s="19"/>
      <c r="AA17" s="18">
        <f t="shared" si="4"/>
        <v>0</v>
      </c>
      <c r="AB17" s="20">
        <f t="shared" si="5"/>
        <v>0</v>
      </c>
      <c r="AC17" s="5"/>
      <c r="AD17" s="8"/>
      <c r="AF17" s="6"/>
      <c r="AG17" s="7"/>
      <c r="AJ17" s="33"/>
      <c r="AK17" s="35"/>
      <c r="AL17" s="38"/>
    </row>
    <row r="18" spans="1:38" ht="17.25" customHeight="1">
      <c r="A18" s="25"/>
      <c r="B18" s="26"/>
      <c r="C18" s="14"/>
      <c r="D18" s="31"/>
      <c r="E18" s="14"/>
      <c r="F18" s="15" t="str">
        <f t="shared" si="0"/>
        <v xml:space="preserve">S/F  </v>
      </c>
      <c r="G18" s="16"/>
      <c r="H18" s="17">
        <v>21</v>
      </c>
      <c r="I18" s="18">
        <f t="shared" si="1"/>
        <v>0</v>
      </c>
      <c r="J18" s="17"/>
      <c r="K18" s="18"/>
      <c r="L18" s="16"/>
      <c r="M18" s="17"/>
      <c r="N18" s="18">
        <f t="shared" si="2"/>
        <v>0</v>
      </c>
      <c r="O18" s="19"/>
      <c r="P18" s="18">
        <v>0</v>
      </c>
      <c r="Q18" s="16"/>
      <c r="R18" s="17"/>
      <c r="S18" s="18">
        <v>0</v>
      </c>
      <c r="T18" s="19"/>
      <c r="U18" s="18">
        <v>0</v>
      </c>
      <c r="V18" s="16"/>
      <c r="W18" s="17"/>
      <c r="X18" s="18">
        <f t="shared" si="3"/>
        <v>0</v>
      </c>
      <c r="Y18" s="19"/>
      <c r="Z18" s="19"/>
      <c r="AA18" s="18">
        <f t="shared" si="4"/>
        <v>0</v>
      </c>
      <c r="AB18" s="20">
        <f t="shared" si="5"/>
        <v>0</v>
      </c>
      <c r="AC18" s="5"/>
      <c r="AD18" s="8"/>
      <c r="AF18" s="6"/>
      <c r="AG18" s="7"/>
      <c r="AJ18" s="33"/>
      <c r="AK18" s="35"/>
      <c r="AL18" s="38"/>
    </row>
    <row r="19" spans="1:38" ht="17.25" customHeight="1">
      <c r="A19" s="25"/>
      <c r="B19" s="26"/>
      <c r="C19" s="14"/>
      <c r="D19" s="31"/>
      <c r="E19" s="14"/>
      <c r="F19" s="15" t="str">
        <f t="shared" si="0"/>
        <v xml:space="preserve">S/F  </v>
      </c>
      <c r="G19" s="16"/>
      <c r="H19" s="17">
        <v>21</v>
      </c>
      <c r="I19" s="18">
        <f t="shared" si="1"/>
        <v>0</v>
      </c>
      <c r="J19" s="17"/>
      <c r="K19" s="18"/>
      <c r="L19" s="16"/>
      <c r="M19" s="17"/>
      <c r="N19" s="18">
        <f t="shared" si="2"/>
        <v>0</v>
      </c>
      <c r="O19" s="19"/>
      <c r="P19" s="18">
        <v>0</v>
      </c>
      <c r="Q19" s="16"/>
      <c r="R19" s="17"/>
      <c r="S19" s="18">
        <v>0</v>
      </c>
      <c r="T19" s="19"/>
      <c r="U19" s="18">
        <v>0</v>
      </c>
      <c r="V19" s="16"/>
      <c r="W19" s="17"/>
      <c r="X19" s="18">
        <f t="shared" si="3"/>
        <v>0</v>
      </c>
      <c r="Y19" s="19"/>
      <c r="Z19" s="19"/>
      <c r="AA19" s="18">
        <f t="shared" si="4"/>
        <v>0</v>
      </c>
      <c r="AB19" s="20">
        <f t="shared" si="5"/>
        <v>0</v>
      </c>
      <c r="AC19" s="5"/>
      <c r="AD19" s="8"/>
      <c r="AF19" s="6"/>
      <c r="AG19" s="7"/>
      <c r="AJ19" s="33"/>
      <c r="AK19" s="35"/>
      <c r="AL19" s="38"/>
    </row>
    <row r="20" spans="1:38" ht="17.25" customHeight="1">
      <c r="A20" s="25"/>
      <c r="B20" s="26"/>
      <c r="C20" s="14"/>
      <c r="D20" s="31"/>
      <c r="E20" s="14"/>
      <c r="F20" s="15" t="str">
        <f t="shared" si="0"/>
        <v xml:space="preserve">S/F  </v>
      </c>
      <c r="G20" s="16"/>
      <c r="H20" s="17">
        <v>21</v>
      </c>
      <c r="I20" s="18">
        <f t="shared" si="1"/>
        <v>0</v>
      </c>
      <c r="J20" s="17"/>
      <c r="K20" s="18"/>
      <c r="L20" s="16"/>
      <c r="M20" s="17"/>
      <c r="N20" s="18">
        <f t="shared" si="2"/>
        <v>0</v>
      </c>
      <c r="O20" s="19"/>
      <c r="P20" s="18">
        <v>0</v>
      </c>
      <c r="Q20" s="16"/>
      <c r="R20" s="17"/>
      <c r="S20" s="18">
        <v>0</v>
      </c>
      <c r="T20" s="19"/>
      <c r="U20" s="18">
        <v>0</v>
      </c>
      <c r="V20" s="16"/>
      <c r="W20" s="17"/>
      <c r="X20" s="18">
        <f t="shared" si="3"/>
        <v>0</v>
      </c>
      <c r="Y20" s="19"/>
      <c r="Z20" s="19"/>
      <c r="AA20" s="18">
        <f t="shared" si="4"/>
        <v>0</v>
      </c>
      <c r="AB20" s="20">
        <f t="shared" si="5"/>
        <v>0</v>
      </c>
      <c r="AC20" s="5"/>
      <c r="AD20" s="8"/>
      <c r="AF20" s="6"/>
      <c r="AG20" s="7"/>
      <c r="AJ20" s="33"/>
      <c r="AK20" s="35"/>
      <c r="AL20" s="38"/>
    </row>
    <row r="21" spans="1:38" ht="17.25" customHeight="1">
      <c r="A21" s="25"/>
      <c r="B21" s="26"/>
      <c r="C21" s="14"/>
      <c r="D21" s="26"/>
      <c r="E21" s="14"/>
      <c r="F21" s="15" t="str">
        <f t="shared" si="0"/>
        <v xml:space="preserve">S/F  </v>
      </c>
      <c r="G21" s="16"/>
      <c r="H21" s="17">
        <v>21</v>
      </c>
      <c r="I21" s="18">
        <f t="shared" si="1"/>
        <v>0</v>
      </c>
      <c r="J21" s="17"/>
      <c r="K21" s="18"/>
      <c r="L21" s="16"/>
      <c r="M21" s="17"/>
      <c r="N21" s="18">
        <f t="shared" si="2"/>
        <v>0</v>
      </c>
      <c r="O21" s="19"/>
      <c r="P21" s="18">
        <v>0</v>
      </c>
      <c r="Q21" s="16"/>
      <c r="R21" s="17"/>
      <c r="S21" s="18">
        <v>0</v>
      </c>
      <c r="T21" s="19"/>
      <c r="U21" s="18">
        <v>0</v>
      </c>
      <c r="V21" s="16"/>
      <c r="W21" s="17"/>
      <c r="X21" s="18">
        <f t="shared" si="3"/>
        <v>0</v>
      </c>
      <c r="Y21" s="19"/>
      <c r="Z21" s="19"/>
      <c r="AA21" s="18">
        <f t="shared" si="4"/>
        <v>0</v>
      </c>
      <c r="AB21" s="20">
        <f t="shared" si="5"/>
        <v>0</v>
      </c>
      <c r="AC21" s="5"/>
      <c r="AD21" s="8"/>
      <c r="AF21" s="6"/>
      <c r="AG21" s="7"/>
      <c r="AJ21" s="33"/>
      <c r="AK21" s="35"/>
      <c r="AL21" s="38"/>
    </row>
    <row r="22" spans="1:38" ht="17.25" customHeight="1">
      <c r="A22" s="25"/>
      <c r="B22" s="26"/>
      <c r="C22" s="14"/>
      <c r="D22" s="31"/>
      <c r="E22" s="14"/>
      <c r="F22" s="15" t="str">
        <f t="shared" si="0"/>
        <v xml:space="preserve">S/F  </v>
      </c>
      <c r="G22" s="16"/>
      <c r="H22" s="17">
        <v>21</v>
      </c>
      <c r="I22" s="18">
        <f t="shared" si="1"/>
        <v>0</v>
      </c>
      <c r="J22" s="17"/>
      <c r="K22" s="18"/>
      <c r="L22" s="16"/>
      <c r="M22" s="17"/>
      <c r="N22" s="18">
        <f t="shared" si="2"/>
        <v>0</v>
      </c>
      <c r="O22" s="19"/>
      <c r="P22" s="18">
        <v>0</v>
      </c>
      <c r="Q22" s="16"/>
      <c r="R22" s="17"/>
      <c r="S22" s="18">
        <v>0</v>
      </c>
      <c r="T22" s="19"/>
      <c r="U22" s="18">
        <v>0</v>
      </c>
      <c r="V22" s="16"/>
      <c r="W22" s="17"/>
      <c r="X22" s="18">
        <f t="shared" si="3"/>
        <v>0</v>
      </c>
      <c r="Y22" s="19"/>
      <c r="Z22" s="19"/>
      <c r="AA22" s="18">
        <f t="shared" si="4"/>
        <v>0</v>
      </c>
      <c r="AB22" s="20">
        <f t="shared" si="5"/>
        <v>0</v>
      </c>
      <c r="AC22" s="5"/>
      <c r="AD22" s="8"/>
      <c r="AF22" s="6"/>
      <c r="AG22" s="7"/>
      <c r="AJ22" s="33"/>
      <c r="AK22" s="35"/>
      <c r="AL22" s="38"/>
    </row>
    <row r="23" spans="1:38" ht="17.25" customHeight="1">
      <c r="A23" s="25"/>
      <c r="B23" s="26"/>
      <c r="C23" s="14"/>
      <c r="D23" s="31"/>
      <c r="E23" s="14"/>
      <c r="F23" s="15" t="str">
        <f t="shared" si="0"/>
        <v xml:space="preserve">S/F  </v>
      </c>
      <c r="G23" s="16"/>
      <c r="H23" s="17">
        <v>21</v>
      </c>
      <c r="I23" s="18">
        <f t="shared" si="1"/>
        <v>0</v>
      </c>
      <c r="J23" s="17"/>
      <c r="K23" s="18"/>
      <c r="L23" s="16"/>
      <c r="M23" s="17"/>
      <c r="N23" s="18">
        <f t="shared" si="2"/>
        <v>0</v>
      </c>
      <c r="O23" s="19"/>
      <c r="P23" s="18">
        <v>0</v>
      </c>
      <c r="Q23" s="16"/>
      <c r="R23" s="17"/>
      <c r="S23" s="18">
        <v>0</v>
      </c>
      <c r="T23" s="19"/>
      <c r="U23" s="18">
        <v>0</v>
      </c>
      <c r="V23" s="16"/>
      <c r="W23" s="17"/>
      <c r="X23" s="18">
        <f t="shared" si="3"/>
        <v>0</v>
      </c>
      <c r="Y23" s="19"/>
      <c r="Z23" s="19"/>
      <c r="AA23" s="18">
        <f t="shared" si="4"/>
        <v>0</v>
      </c>
      <c r="AB23" s="20">
        <f t="shared" si="5"/>
        <v>0</v>
      </c>
      <c r="AC23" s="5"/>
      <c r="AD23" s="8"/>
      <c r="AF23" s="6"/>
      <c r="AG23" s="7"/>
      <c r="AJ23" s="33"/>
      <c r="AK23" s="35"/>
      <c r="AL23" s="38"/>
    </row>
    <row r="24" spans="1:38" ht="17.25" customHeight="1">
      <c r="A24" s="25"/>
      <c r="B24" s="26"/>
      <c r="C24" s="14"/>
      <c r="D24" s="31"/>
      <c r="E24" s="14"/>
      <c r="F24" s="15" t="str">
        <f t="shared" si="0"/>
        <v xml:space="preserve">S/F  </v>
      </c>
      <c r="G24" s="16"/>
      <c r="H24" s="17">
        <v>21</v>
      </c>
      <c r="I24" s="18">
        <f t="shared" si="1"/>
        <v>0</v>
      </c>
      <c r="J24" s="17"/>
      <c r="K24" s="18"/>
      <c r="L24" s="16"/>
      <c r="M24" s="17"/>
      <c r="N24" s="18">
        <f t="shared" si="2"/>
        <v>0</v>
      </c>
      <c r="O24" s="19"/>
      <c r="P24" s="18">
        <v>0</v>
      </c>
      <c r="Q24" s="16"/>
      <c r="R24" s="17"/>
      <c r="S24" s="18">
        <v>0</v>
      </c>
      <c r="T24" s="19"/>
      <c r="U24" s="18">
        <v>0</v>
      </c>
      <c r="V24" s="16"/>
      <c r="W24" s="17"/>
      <c r="X24" s="18">
        <f t="shared" si="3"/>
        <v>0</v>
      </c>
      <c r="Y24" s="19"/>
      <c r="Z24" s="19"/>
      <c r="AA24" s="18">
        <f t="shared" si="4"/>
        <v>0</v>
      </c>
      <c r="AB24" s="20">
        <f t="shared" si="5"/>
        <v>0</v>
      </c>
      <c r="AC24" s="5"/>
      <c r="AD24" s="8"/>
      <c r="AF24" s="6"/>
      <c r="AG24" s="7"/>
      <c r="AJ24" s="33"/>
      <c r="AK24" s="35"/>
      <c r="AL24" s="38"/>
    </row>
    <row r="25" spans="1:38" ht="17.25" customHeight="1">
      <c r="A25" s="25"/>
      <c r="B25" s="26"/>
      <c r="C25" s="14"/>
      <c r="D25" s="31"/>
      <c r="E25" s="14"/>
      <c r="F25" s="15" t="str">
        <f t="shared" si="0"/>
        <v xml:space="preserve">S/F  </v>
      </c>
      <c r="G25" s="16"/>
      <c r="H25" s="17">
        <v>21</v>
      </c>
      <c r="I25" s="18">
        <f t="shared" si="1"/>
        <v>0</v>
      </c>
      <c r="J25" s="17"/>
      <c r="K25" s="18"/>
      <c r="L25" s="16"/>
      <c r="M25" s="17"/>
      <c r="N25" s="18">
        <f t="shared" si="2"/>
        <v>0</v>
      </c>
      <c r="O25" s="19"/>
      <c r="P25" s="18">
        <v>0</v>
      </c>
      <c r="Q25" s="16"/>
      <c r="R25" s="17"/>
      <c r="S25" s="18">
        <v>0</v>
      </c>
      <c r="T25" s="19"/>
      <c r="U25" s="18">
        <v>0</v>
      </c>
      <c r="V25" s="16"/>
      <c r="W25" s="17"/>
      <c r="X25" s="18">
        <f t="shared" si="3"/>
        <v>0</v>
      </c>
      <c r="Y25" s="19"/>
      <c r="Z25" s="19"/>
      <c r="AA25" s="18">
        <f t="shared" si="4"/>
        <v>0</v>
      </c>
      <c r="AB25" s="20">
        <f t="shared" si="5"/>
        <v>0</v>
      </c>
      <c r="AC25" s="5"/>
      <c r="AD25" s="8"/>
      <c r="AF25" s="6"/>
      <c r="AG25" s="7"/>
      <c r="AJ25" s="33"/>
      <c r="AK25" s="35"/>
      <c r="AL25" s="38"/>
    </row>
    <row r="26" spans="1:38" ht="17.25" customHeight="1">
      <c r="A26" s="25"/>
      <c r="B26" s="26"/>
      <c r="C26" s="14"/>
      <c r="D26" s="31"/>
      <c r="E26" s="14"/>
      <c r="F26" s="15" t="str">
        <f t="shared" si="0"/>
        <v xml:space="preserve">S/F  </v>
      </c>
      <c r="G26" s="16"/>
      <c r="H26" s="17">
        <v>21</v>
      </c>
      <c r="I26" s="18">
        <f t="shared" si="1"/>
        <v>0</v>
      </c>
      <c r="J26" s="17"/>
      <c r="K26" s="18"/>
      <c r="L26" s="16"/>
      <c r="M26" s="17"/>
      <c r="N26" s="18">
        <f t="shared" si="2"/>
        <v>0</v>
      </c>
      <c r="O26" s="19"/>
      <c r="P26" s="18">
        <v>0</v>
      </c>
      <c r="Q26" s="16"/>
      <c r="R26" s="17"/>
      <c r="S26" s="18">
        <v>0</v>
      </c>
      <c r="T26" s="19"/>
      <c r="U26" s="18">
        <v>0</v>
      </c>
      <c r="V26" s="16"/>
      <c r="W26" s="17"/>
      <c r="X26" s="18">
        <f t="shared" si="3"/>
        <v>0</v>
      </c>
      <c r="Y26" s="19"/>
      <c r="Z26" s="19"/>
      <c r="AA26" s="18">
        <f t="shared" si="4"/>
        <v>0</v>
      </c>
      <c r="AB26" s="20">
        <f t="shared" si="5"/>
        <v>0</v>
      </c>
      <c r="AC26" s="5"/>
      <c r="AD26" s="8"/>
      <c r="AF26" s="6"/>
      <c r="AG26" s="7"/>
      <c r="AJ26" s="33"/>
      <c r="AK26" s="35"/>
      <c r="AL26" s="38"/>
    </row>
    <row r="27" spans="1:38" ht="17.25" customHeight="1">
      <c r="A27" s="25"/>
      <c r="B27" s="26"/>
      <c r="C27" s="14"/>
      <c r="D27" s="31"/>
      <c r="E27" s="14"/>
      <c r="F27" s="15" t="str">
        <f t="shared" si="0"/>
        <v xml:space="preserve">S/F  </v>
      </c>
      <c r="G27" s="16"/>
      <c r="H27" s="17">
        <v>21</v>
      </c>
      <c r="I27" s="18">
        <f t="shared" si="1"/>
        <v>0</v>
      </c>
      <c r="J27" s="17"/>
      <c r="K27" s="18"/>
      <c r="L27" s="16"/>
      <c r="M27" s="17"/>
      <c r="N27" s="18">
        <f t="shared" si="2"/>
        <v>0</v>
      </c>
      <c r="O27" s="19"/>
      <c r="P27" s="18">
        <v>0</v>
      </c>
      <c r="Q27" s="16"/>
      <c r="R27" s="17"/>
      <c r="S27" s="18">
        <v>0</v>
      </c>
      <c r="T27" s="19"/>
      <c r="U27" s="18">
        <v>0</v>
      </c>
      <c r="V27" s="16"/>
      <c r="W27" s="17"/>
      <c r="X27" s="18">
        <f t="shared" si="3"/>
        <v>0</v>
      </c>
      <c r="Y27" s="19"/>
      <c r="Z27" s="19"/>
      <c r="AA27" s="18">
        <f t="shared" si="4"/>
        <v>0</v>
      </c>
      <c r="AB27" s="20">
        <f t="shared" si="5"/>
        <v>0</v>
      </c>
      <c r="AC27" s="5"/>
      <c r="AD27" s="8"/>
      <c r="AF27" s="6"/>
      <c r="AG27" s="7"/>
      <c r="AJ27" s="33"/>
      <c r="AK27" s="35"/>
      <c r="AL27" s="38"/>
    </row>
    <row r="28" spans="1:38" ht="17.25" customHeight="1">
      <c r="A28" s="25"/>
      <c r="B28" s="26"/>
      <c r="C28" s="14"/>
      <c r="D28" s="31"/>
      <c r="E28" s="14"/>
      <c r="F28" s="15" t="str">
        <f t="shared" si="0"/>
        <v xml:space="preserve">S/F  </v>
      </c>
      <c r="G28" s="16"/>
      <c r="H28" s="17">
        <v>21</v>
      </c>
      <c r="I28" s="18">
        <f t="shared" si="1"/>
        <v>0</v>
      </c>
      <c r="J28" s="17"/>
      <c r="K28" s="18"/>
      <c r="L28" s="16"/>
      <c r="M28" s="17"/>
      <c r="N28" s="18">
        <f t="shared" si="2"/>
        <v>0</v>
      </c>
      <c r="O28" s="19"/>
      <c r="P28" s="18">
        <v>0</v>
      </c>
      <c r="Q28" s="16"/>
      <c r="R28" s="17"/>
      <c r="S28" s="18">
        <v>0</v>
      </c>
      <c r="T28" s="19"/>
      <c r="U28" s="18">
        <v>0</v>
      </c>
      <c r="V28" s="16"/>
      <c r="W28" s="17"/>
      <c r="X28" s="18">
        <f t="shared" si="3"/>
        <v>0</v>
      </c>
      <c r="Y28" s="19"/>
      <c r="Z28" s="19"/>
      <c r="AA28" s="18">
        <f t="shared" si="4"/>
        <v>0</v>
      </c>
      <c r="AB28" s="20">
        <f t="shared" si="5"/>
        <v>0</v>
      </c>
      <c r="AC28" s="5"/>
      <c r="AD28" s="8"/>
      <c r="AF28" s="6"/>
      <c r="AG28" s="7"/>
      <c r="AJ28" s="33"/>
      <c r="AK28" s="35"/>
      <c r="AL28" s="38"/>
    </row>
    <row r="29" spans="1:38" ht="17.25" customHeight="1">
      <c r="A29" s="25"/>
      <c r="B29" s="26"/>
      <c r="C29" s="14"/>
      <c r="D29" s="31"/>
      <c r="E29" s="14"/>
      <c r="F29" s="15" t="str">
        <f t="shared" si="0"/>
        <v xml:space="preserve">S/F  </v>
      </c>
      <c r="G29" s="16"/>
      <c r="H29" s="17">
        <v>21</v>
      </c>
      <c r="I29" s="18">
        <f t="shared" si="1"/>
        <v>0</v>
      </c>
      <c r="J29" s="17"/>
      <c r="K29" s="18"/>
      <c r="L29" s="16"/>
      <c r="M29" s="17"/>
      <c r="N29" s="18">
        <f t="shared" si="2"/>
        <v>0</v>
      </c>
      <c r="O29" s="19"/>
      <c r="P29" s="18">
        <v>0</v>
      </c>
      <c r="Q29" s="16"/>
      <c r="R29" s="17"/>
      <c r="S29" s="18">
        <v>0</v>
      </c>
      <c r="T29" s="19"/>
      <c r="U29" s="18">
        <v>0</v>
      </c>
      <c r="V29" s="16"/>
      <c r="W29" s="17"/>
      <c r="X29" s="18">
        <f t="shared" si="3"/>
        <v>0</v>
      </c>
      <c r="Y29" s="19"/>
      <c r="Z29" s="19"/>
      <c r="AA29" s="18">
        <f t="shared" si="4"/>
        <v>0</v>
      </c>
      <c r="AB29" s="20">
        <f t="shared" si="5"/>
        <v>0</v>
      </c>
      <c r="AC29" s="5"/>
      <c r="AD29" s="8"/>
      <c r="AF29" s="6"/>
      <c r="AG29" s="7"/>
      <c r="AJ29" s="33"/>
      <c r="AK29" s="35"/>
      <c r="AL29" s="38"/>
    </row>
    <row r="30" spans="1:38" ht="17.25" customHeight="1">
      <c r="A30" s="25"/>
      <c r="B30" s="26"/>
      <c r="C30" s="14"/>
      <c r="D30" s="31"/>
      <c r="E30" s="14"/>
      <c r="F30" s="15" t="str">
        <f t="shared" si="0"/>
        <v xml:space="preserve">S/F  </v>
      </c>
      <c r="G30" s="16"/>
      <c r="H30" s="17">
        <v>21</v>
      </c>
      <c r="I30" s="18">
        <f t="shared" si="1"/>
        <v>0</v>
      </c>
      <c r="J30" s="17"/>
      <c r="K30" s="18"/>
      <c r="L30" s="16"/>
      <c r="M30" s="17"/>
      <c r="N30" s="18">
        <f t="shared" si="2"/>
        <v>0</v>
      </c>
      <c r="O30" s="19"/>
      <c r="P30" s="18">
        <v>0</v>
      </c>
      <c r="Q30" s="16"/>
      <c r="R30" s="17"/>
      <c r="S30" s="18">
        <v>0</v>
      </c>
      <c r="T30" s="19"/>
      <c r="U30" s="18">
        <v>0</v>
      </c>
      <c r="V30" s="16"/>
      <c r="W30" s="17"/>
      <c r="X30" s="18">
        <f t="shared" si="3"/>
        <v>0</v>
      </c>
      <c r="Y30" s="19"/>
      <c r="Z30" s="19"/>
      <c r="AA30" s="18">
        <f t="shared" si="4"/>
        <v>0</v>
      </c>
      <c r="AB30" s="20">
        <f t="shared" si="5"/>
        <v>0</v>
      </c>
      <c r="AC30" s="5"/>
      <c r="AD30" s="8"/>
      <c r="AF30" s="6"/>
      <c r="AG30" s="7"/>
      <c r="AJ30" s="33"/>
      <c r="AK30" s="35"/>
      <c r="AL30" s="38"/>
    </row>
    <row r="31" spans="1:38" ht="17.25" customHeight="1">
      <c r="A31" s="25"/>
      <c r="B31" s="26"/>
      <c r="C31" s="14"/>
      <c r="D31" s="31"/>
      <c r="E31" s="14"/>
      <c r="F31" s="15" t="str">
        <f t="shared" si="0"/>
        <v xml:space="preserve">S/F  </v>
      </c>
      <c r="G31" s="16"/>
      <c r="H31" s="17">
        <v>21</v>
      </c>
      <c r="I31" s="18">
        <f t="shared" si="1"/>
        <v>0</v>
      </c>
      <c r="J31" s="17"/>
      <c r="K31" s="18"/>
      <c r="L31" s="16"/>
      <c r="M31" s="17"/>
      <c r="N31" s="18">
        <f t="shared" si="2"/>
        <v>0</v>
      </c>
      <c r="O31" s="19"/>
      <c r="P31" s="18">
        <v>0</v>
      </c>
      <c r="Q31" s="16"/>
      <c r="R31" s="17"/>
      <c r="S31" s="18">
        <v>0</v>
      </c>
      <c r="T31" s="19"/>
      <c r="U31" s="18">
        <v>0</v>
      </c>
      <c r="V31" s="16"/>
      <c r="W31" s="17"/>
      <c r="X31" s="18">
        <f t="shared" si="3"/>
        <v>0</v>
      </c>
      <c r="Y31" s="19"/>
      <c r="Z31" s="19"/>
      <c r="AA31" s="18">
        <f t="shared" si="4"/>
        <v>0</v>
      </c>
      <c r="AB31" s="20">
        <f t="shared" si="5"/>
        <v>0</v>
      </c>
      <c r="AC31" s="5"/>
      <c r="AD31" s="8"/>
      <c r="AF31" s="6"/>
      <c r="AG31" s="7"/>
      <c r="AJ31" s="33"/>
      <c r="AK31" s="35"/>
      <c r="AL31" s="38"/>
    </row>
    <row r="32" spans="1:38" ht="17.25" customHeight="1">
      <c r="A32" s="25"/>
      <c r="B32" s="26"/>
      <c r="C32" s="14"/>
      <c r="D32" s="31"/>
      <c r="E32" s="14"/>
      <c r="F32" s="15" t="str">
        <f t="shared" si="0"/>
        <v xml:space="preserve">S/F  </v>
      </c>
      <c r="G32" s="16"/>
      <c r="H32" s="17">
        <v>21</v>
      </c>
      <c r="I32" s="18">
        <f t="shared" si="1"/>
        <v>0</v>
      </c>
      <c r="J32" s="17"/>
      <c r="K32" s="18"/>
      <c r="L32" s="16"/>
      <c r="M32" s="17"/>
      <c r="N32" s="18">
        <f t="shared" si="2"/>
        <v>0</v>
      </c>
      <c r="O32" s="19"/>
      <c r="P32" s="18">
        <v>0</v>
      </c>
      <c r="Q32" s="16"/>
      <c r="R32" s="17"/>
      <c r="S32" s="18">
        <v>0</v>
      </c>
      <c r="T32" s="19"/>
      <c r="U32" s="18">
        <v>0</v>
      </c>
      <c r="V32" s="16"/>
      <c r="W32" s="17"/>
      <c r="X32" s="18">
        <f t="shared" si="3"/>
        <v>0</v>
      </c>
      <c r="Y32" s="19"/>
      <c r="Z32" s="19"/>
      <c r="AA32" s="18">
        <f t="shared" si="4"/>
        <v>0</v>
      </c>
      <c r="AB32" s="20">
        <f t="shared" si="5"/>
        <v>0</v>
      </c>
      <c r="AC32" s="5"/>
      <c r="AD32" s="8"/>
      <c r="AF32" s="6"/>
      <c r="AG32" s="7"/>
      <c r="AJ32" s="33"/>
      <c r="AK32" s="35"/>
      <c r="AL32" s="38"/>
    </row>
    <row r="33" spans="1:38" ht="17.25" customHeight="1">
      <c r="A33" s="25"/>
      <c r="B33" s="26"/>
      <c r="C33" s="14"/>
      <c r="D33" s="31"/>
      <c r="E33" s="14"/>
      <c r="F33" s="15" t="str">
        <f t="shared" si="0"/>
        <v xml:space="preserve">S/F  </v>
      </c>
      <c r="G33" s="16"/>
      <c r="H33" s="17">
        <v>21</v>
      </c>
      <c r="I33" s="18">
        <f t="shared" si="1"/>
        <v>0</v>
      </c>
      <c r="J33" s="17"/>
      <c r="K33" s="18"/>
      <c r="L33" s="16"/>
      <c r="M33" s="17"/>
      <c r="N33" s="18">
        <f t="shared" si="2"/>
        <v>0</v>
      </c>
      <c r="O33" s="19"/>
      <c r="P33" s="18">
        <v>0</v>
      </c>
      <c r="Q33" s="16"/>
      <c r="R33" s="17"/>
      <c r="S33" s="18">
        <v>0</v>
      </c>
      <c r="T33" s="19"/>
      <c r="U33" s="18">
        <v>0</v>
      </c>
      <c r="V33" s="16"/>
      <c r="W33" s="17"/>
      <c r="X33" s="18">
        <f t="shared" si="3"/>
        <v>0</v>
      </c>
      <c r="Y33" s="19"/>
      <c r="Z33" s="19"/>
      <c r="AA33" s="18">
        <f t="shared" si="4"/>
        <v>0</v>
      </c>
      <c r="AB33" s="20">
        <f t="shared" si="5"/>
        <v>0</v>
      </c>
      <c r="AC33" s="5"/>
      <c r="AD33" s="8"/>
      <c r="AF33" s="6"/>
      <c r="AG33" s="7"/>
      <c r="AJ33" s="33"/>
      <c r="AK33" s="35"/>
      <c r="AL33" s="38"/>
    </row>
    <row r="34" spans="1:38" ht="17.25" customHeight="1">
      <c r="A34" s="25"/>
      <c r="B34" s="26"/>
      <c r="C34" s="14"/>
      <c r="D34" s="31"/>
      <c r="E34" s="14"/>
      <c r="F34" s="15" t="str">
        <f t="shared" ref="F34:F65" si="6">"S/F "&amp;B34&amp;" "&amp;E34</f>
        <v xml:space="preserve">S/F  </v>
      </c>
      <c r="G34" s="16"/>
      <c r="H34" s="17">
        <v>21</v>
      </c>
      <c r="I34" s="18">
        <f t="shared" ref="I34:I65" si="7">+IF(G34&lt;&gt;0,G34*H34/100,0)</f>
        <v>0</v>
      </c>
      <c r="J34" s="17"/>
      <c r="K34" s="18"/>
      <c r="L34" s="16"/>
      <c r="M34" s="17"/>
      <c r="N34" s="18">
        <f t="shared" ref="N34:N65" si="8">+IF(L34&lt;&gt;0,L34*M34/100,0)</f>
        <v>0</v>
      </c>
      <c r="O34" s="19"/>
      <c r="P34" s="18">
        <v>0</v>
      </c>
      <c r="Q34" s="16"/>
      <c r="R34" s="17"/>
      <c r="S34" s="18">
        <v>0</v>
      </c>
      <c r="T34" s="19"/>
      <c r="U34" s="18">
        <v>0</v>
      </c>
      <c r="V34" s="16"/>
      <c r="W34" s="17"/>
      <c r="X34" s="18">
        <f t="shared" ref="X34:X65" si="9">+IF(W34&lt;&gt;0,V34*W34/100,0)</f>
        <v>0</v>
      </c>
      <c r="Y34" s="19"/>
      <c r="Z34" s="19"/>
      <c r="AA34" s="18">
        <f t="shared" ref="AA34:AA65" si="10">+IF(Z34&lt;&gt;0,Y34*Z34/100,0)</f>
        <v>0</v>
      </c>
      <c r="AB34" s="20">
        <f t="shared" ref="AB34:AB65" si="11">+G34+I34+K34+L34+N34+P34+Q34+S34+U34-X34-AA34</f>
        <v>0</v>
      </c>
      <c r="AC34" s="5"/>
      <c r="AD34" s="8"/>
      <c r="AF34" s="6"/>
      <c r="AG34" s="7"/>
      <c r="AJ34" s="33"/>
      <c r="AK34" s="35"/>
      <c r="AL34" s="38"/>
    </row>
    <row r="35" spans="1:38" ht="17.25" customHeight="1">
      <c r="A35" s="25"/>
      <c r="B35" s="26"/>
      <c r="C35" s="14"/>
      <c r="D35" s="31"/>
      <c r="E35" s="14"/>
      <c r="F35" s="15" t="str">
        <f t="shared" si="6"/>
        <v xml:space="preserve">S/F  </v>
      </c>
      <c r="G35" s="16"/>
      <c r="H35" s="17">
        <v>21</v>
      </c>
      <c r="I35" s="18">
        <f t="shared" si="7"/>
        <v>0</v>
      </c>
      <c r="J35" s="17"/>
      <c r="K35" s="18"/>
      <c r="L35" s="16"/>
      <c r="M35" s="17"/>
      <c r="N35" s="18">
        <f t="shared" si="8"/>
        <v>0</v>
      </c>
      <c r="O35" s="19"/>
      <c r="P35" s="18">
        <v>0</v>
      </c>
      <c r="Q35" s="16"/>
      <c r="R35" s="17"/>
      <c r="S35" s="18">
        <v>0</v>
      </c>
      <c r="T35" s="19"/>
      <c r="U35" s="18">
        <v>0</v>
      </c>
      <c r="V35" s="16"/>
      <c r="W35" s="17"/>
      <c r="X35" s="18">
        <f t="shared" si="9"/>
        <v>0</v>
      </c>
      <c r="Y35" s="19"/>
      <c r="Z35" s="19"/>
      <c r="AA35" s="18">
        <f t="shared" si="10"/>
        <v>0</v>
      </c>
      <c r="AB35" s="20">
        <f t="shared" si="11"/>
        <v>0</v>
      </c>
      <c r="AC35" s="5"/>
      <c r="AD35" s="8"/>
      <c r="AF35" s="6"/>
      <c r="AG35" s="7"/>
      <c r="AJ35" s="33"/>
      <c r="AK35" s="35"/>
      <c r="AL35" s="38"/>
    </row>
    <row r="36" spans="1:38" ht="17.25" customHeight="1">
      <c r="A36" s="25"/>
      <c r="B36" s="26"/>
      <c r="C36" s="14"/>
      <c r="D36" s="31"/>
      <c r="E36" s="14"/>
      <c r="F36" s="15" t="str">
        <f t="shared" si="6"/>
        <v xml:space="preserve">S/F  </v>
      </c>
      <c r="G36" s="16"/>
      <c r="H36" s="17">
        <v>21</v>
      </c>
      <c r="I36" s="18">
        <f t="shared" si="7"/>
        <v>0</v>
      </c>
      <c r="J36" s="17"/>
      <c r="K36" s="18"/>
      <c r="L36" s="16"/>
      <c r="M36" s="17"/>
      <c r="N36" s="18">
        <f t="shared" si="8"/>
        <v>0</v>
      </c>
      <c r="O36" s="19"/>
      <c r="P36" s="18">
        <v>0</v>
      </c>
      <c r="Q36" s="16"/>
      <c r="R36" s="17"/>
      <c r="S36" s="18">
        <v>0</v>
      </c>
      <c r="T36" s="19"/>
      <c r="U36" s="18">
        <v>0</v>
      </c>
      <c r="V36" s="16"/>
      <c r="W36" s="17"/>
      <c r="X36" s="18">
        <f t="shared" si="9"/>
        <v>0</v>
      </c>
      <c r="Y36" s="19"/>
      <c r="Z36" s="19"/>
      <c r="AA36" s="18">
        <f t="shared" si="10"/>
        <v>0</v>
      </c>
      <c r="AB36" s="20">
        <f t="shared" si="11"/>
        <v>0</v>
      </c>
      <c r="AC36" s="5"/>
      <c r="AD36" s="8"/>
      <c r="AF36" s="6"/>
      <c r="AG36" s="7"/>
      <c r="AJ36" s="33"/>
      <c r="AK36" s="35"/>
      <c r="AL36" s="38"/>
    </row>
    <row r="37" spans="1:38" ht="17.25" customHeight="1">
      <c r="A37" s="25"/>
      <c r="B37" s="26"/>
      <c r="C37" s="14"/>
      <c r="D37" s="31"/>
      <c r="E37" s="14"/>
      <c r="F37" s="15" t="str">
        <f t="shared" si="6"/>
        <v xml:space="preserve">S/F  </v>
      </c>
      <c r="G37" s="16"/>
      <c r="H37" s="17">
        <v>21</v>
      </c>
      <c r="I37" s="18">
        <f t="shared" si="7"/>
        <v>0</v>
      </c>
      <c r="J37" s="17"/>
      <c r="K37" s="18"/>
      <c r="L37" s="16"/>
      <c r="M37" s="17"/>
      <c r="N37" s="18">
        <f t="shared" si="8"/>
        <v>0</v>
      </c>
      <c r="O37" s="19"/>
      <c r="P37" s="18">
        <v>0</v>
      </c>
      <c r="Q37" s="16"/>
      <c r="R37" s="17"/>
      <c r="S37" s="18">
        <v>0</v>
      </c>
      <c r="T37" s="19"/>
      <c r="U37" s="18">
        <v>0</v>
      </c>
      <c r="V37" s="16"/>
      <c r="W37" s="17"/>
      <c r="X37" s="18">
        <f t="shared" si="9"/>
        <v>0</v>
      </c>
      <c r="Y37" s="19"/>
      <c r="Z37" s="19"/>
      <c r="AA37" s="18">
        <f t="shared" si="10"/>
        <v>0</v>
      </c>
      <c r="AB37" s="20">
        <f t="shared" si="11"/>
        <v>0</v>
      </c>
      <c r="AC37" s="5"/>
      <c r="AD37" s="8"/>
      <c r="AF37" s="6"/>
      <c r="AG37" s="7"/>
      <c r="AJ37" s="33"/>
      <c r="AK37" s="35"/>
      <c r="AL37" s="38"/>
    </row>
    <row r="38" spans="1:38" ht="17.25" customHeight="1">
      <c r="A38" s="25"/>
      <c r="B38" s="26"/>
      <c r="C38" s="14"/>
      <c r="D38" s="31"/>
      <c r="E38" s="14"/>
      <c r="F38" s="15" t="str">
        <f t="shared" si="6"/>
        <v xml:space="preserve">S/F  </v>
      </c>
      <c r="G38" s="16"/>
      <c r="H38" s="17">
        <v>21</v>
      </c>
      <c r="I38" s="18">
        <f t="shared" si="7"/>
        <v>0</v>
      </c>
      <c r="J38" s="17"/>
      <c r="K38" s="18"/>
      <c r="L38" s="16"/>
      <c r="M38" s="17"/>
      <c r="N38" s="18">
        <f t="shared" si="8"/>
        <v>0</v>
      </c>
      <c r="O38" s="19"/>
      <c r="P38" s="18">
        <v>0</v>
      </c>
      <c r="Q38" s="16"/>
      <c r="R38" s="17"/>
      <c r="S38" s="18">
        <v>0</v>
      </c>
      <c r="T38" s="19"/>
      <c r="U38" s="18">
        <v>0</v>
      </c>
      <c r="V38" s="16"/>
      <c r="W38" s="17"/>
      <c r="X38" s="18">
        <f t="shared" si="9"/>
        <v>0</v>
      </c>
      <c r="Y38" s="19"/>
      <c r="Z38" s="19"/>
      <c r="AA38" s="18">
        <f t="shared" si="10"/>
        <v>0</v>
      </c>
      <c r="AB38" s="20">
        <f t="shared" si="11"/>
        <v>0</v>
      </c>
      <c r="AC38" s="5"/>
      <c r="AD38" s="8"/>
      <c r="AF38" s="6"/>
      <c r="AG38" s="7"/>
      <c r="AJ38" s="33"/>
      <c r="AK38" s="35"/>
      <c r="AL38" s="38"/>
    </row>
    <row r="39" spans="1:38" ht="17.25" customHeight="1">
      <c r="A39" s="25"/>
      <c r="B39" s="26"/>
      <c r="C39" s="14"/>
      <c r="D39" s="31"/>
      <c r="E39" s="14"/>
      <c r="F39" s="15" t="str">
        <f t="shared" si="6"/>
        <v xml:space="preserve">S/F  </v>
      </c>
      <c r="G39" s="16"/>
      <c r="H39" s="17">
        <v>21</v>
      </c>
      <c r="I39" s="18">
        <f t="shared" si="7"/>
        <v>0</v>
      </c>
      <c r="J39" s="17"/>
      <c r="K39" s="18"/>
      <c r="L39" s="16"/>
      <c r="M39" s="17"/>
      <c r="N39" s="18">
        <f t="shared" si="8"/>
        <v>0</v>
      </c>
      <c r="O39" s="19"/>
      <c r="P39" s="18">
        <v>0</v>
      </c>
      <c r="Q39" s="16"/>
      <c r="R39" s="17"/>
      <c r="S39" s="18">
        <v>0</v>
      </c>
      <c r="T39" s="19"/>
      <c r="U39" s="18">
        <v>0</v>
      </c>
      <c r="V39" s="16"/>
      <c r="W39" s="17"/>
      <c r="X39" s="18">
        <f t="shared" si="9"/>
        <v>0</v>
      </c>
      <c r="Y39" s="19"/>
      <c r="Z39" s="19"/>
      <c r="AA39" s="18">
        <f t="shared" si="10"/>
        <v>0</v>
      </c>
      <c r="AB39" s="20">
        <f t="shared" si="11"/>
        <v>0</v>
      </c>
      <c r="AC39" s="5"/>
      <c r="AD39" s="8"/>
      <c r="AF39" s="6"/>
      <c r="AG39" s="7"/>
      <c r="AJ39" s="33"/>
      <c r="AK39" s="35"/>
      <c r="AL39" s="38"/>
    </row>
    <row r="40" spans="1:38" ht="17.25" customHeight="1">
      <c r="A40" s="25"/>
      <c r="B40" s="26"/>
      <c r="C40" s="14"/>
      <c r="D40" s="31"/>
      <c r="E40" s="14"/>
      <c r="F40" s="15" t="str">
        <f t="shared" si="6"/>
        <v xml:space="preserve">S/F  </v>
      </c>
      <c r="G40" s="16"/>
      <c r="H40" s="17">
        <v>21</v>
      </c>
      <c r="I40" s="18">
        <f t="shared" si="7"/>
        <v>0</v>
      </c>
      <c r="J40" s="17"/>
      <c r="K40" s="18"/>
      <c r="L40" s="16"/>
      <c r="M40" s="17"/>
      <c r="N40" s="18">
        <f t="shared" si="8"/>
        <v>0</v>
      </c>
      <c r="O40" s="19"/>
      <c r="P40" s="18">
        <v>0</v>
      </c>
      <c r="Q40" s="16"/>
      <c r="R40" s="17"/>
      <c r="S40" s="18">
        <v>0</v>
      </c>
      <c r="T40" s="19"/>
      <c r="U40" s="18">
        <v>0</v>
      </c>
      <c r="V40" s="16"/>
      <c r="W40" s="17"/>
      <c r="X40" s="18">
        <f t="shared" si="9"/>
        <v>0</v>
      </c>
      <c r="Y40" s="19"/>
      <c r="Z40" s="19"/>
      <c r="AA40" s="18">
        <f t="shared" si="10"/>
        <v>0</v>
      </c>
      <c r="AB40" s="20">
        <f t="shared" si="11"/>
        <v>0</v>
      </c>
      <c r="AC40" s="5"/>
      <c r="AD40" s="8"/>
      <c r="AF40" s="6"/>
      <c r="AG40" s="7"/>
      <c r="AJ40" s="33"/>
      <c r="AK40" s="35"/>
      <c r="AL40" s="38"/>
    </row>
    <row r="41" spans="1:38" ht="17.25" customHeight="1">
      <c r="A41" s="25"/>
      <c r="B41" s="26"/>
      <c r="C41" s="14"/>
      <c r="D41" s="31"/>
      <c r="E41" s="14"/>
      <c r="F41" s="15" t="str">
        <f t="shared" si="6"/>
        <v xml:space="preserve">S/F  </v>
      </c>
      <c r="G41" s="16"/>
      <c r="H41" s="17">
        <v>21</v>
      </c>
      <c r="I41" s="18">
        <f t="shared" si="7"/>
        <v>0</v>
      </c>
      <c r="J41" s="17"/>
      <c r="K41" s="18"/>
      <c r="L41" s="16"/>
      <c r="M41" s="17"/>
      <c r="N41" s="18">
        <f t="shared" si="8"/>
        <v>0</v>
      </c>
      <c r="O41" s="19"/>
      <c r="P41" s="18">
        <v>0</v>
      </c>
      <c r="Q41" s="16"/>
      <c r="R41" s="17"/>
      <c r="S41" s="18">
        <v>0</v>
      </c>
      <c r="T41" s="19"/>
      <c r="U41" s="18">
        <v>0</v>
      </c>
      <c r="V41" s="16"/>
      <c r="W41" s="17"/>
      <c r="X41" s="18">
        <f t="shared" si="9"/>
        <v>0</v>
      </c>
      <c r="Y41" s="19"/>
      <c r="Z41" s="19"/>
      <c r="AA41" s="18">
        <f t="shared" si="10"/>
        <v>0</v>
      </c>
      <c r="AB41" s="20">
        <f t="shared" si="11"/>
        <v>0</v>
      </c>
      <c r="AC41" s="5"/>
      <c r="AD41" s="8"/>
      <c r="AF41" s="6"/>
      <c r="AG41" s="7"/>
      <c r="AJ41" s="33"/>
      <c r="AK41" s="35"/>
      <c r="AL41" s="38"/>
    </row>
    <row r="42" spans="1:38" ht="17.25" customHeight="1">
      <c r="A42" s="25"/>
      <c r="B42" s="26"/>
      <c r="C42" s="14"/>
      <c r="D42" s="31"/>
      <c r="E42" s="14"/>
      <c r="F42" s="15" t="str">
        <f t="shared" si="6"/>
        <v xml:space="preserve">S/F  </v>
      </c>
      <c r="G42" s="16"/>
      <c r="H42" s="17">
        <v>21</v>
      </c>
      <c r="I42" s="18">
        <f t="shared" si="7"/>
        <v>0</v>
      </c>
      <c r="J42" s="17"/>
      <c r="K42" s="18"/>
      <c r="L42" s="16"/>
      <c r="M42" s="17"/>
      <c r="N42" s="18">
        <f t="shared" si="8"/>
        <v>0</v>
      </c>
      <c r="O42" s="19"/>
      <c r="P42" s="18">
        <v>0</v>
      </c>
      <c r="Q42" s="16"/>
      <c r="R42" s="17"/>
      <c r="S42" s="18">
        <v>0</v>
      </c>
      <c r="T42" s="19"/>
      <c r="U42" s="18">
        <v>0</v>
      </c>
      <c r="V42" s="16"/>
      <c r="W42" s="17"/>
      <c r="X42" s="18">
        <f t="shared" si="9"/>
        <v>0</v>
      </c>
      <c r="Y42" s="19"/>
      <c r="Z42" s="19"/>
      <c r="AA42" s="18">
        <f t="shared" si="10"/>
        <v>0</v>
      </c>
      <c r="AB42" s="20">
        <f t="shared" si="11"/>
        <v>0</v>
      </c>
      <c r="AC42" s="5"/>
      <c r="AD42" s="8"/>
      <c r="AF42" s="6"/>
      <c r="AG42" s="7"/>
      <c r="AJ42" s="33"/>
      <c r="AK42" s="35"/>
      <c r="AL42" s="38"/>
    </row>
    <row r="43" spans="1:38" ht="17.25" customHeight="1">
      <c r="A43" s="25"/>
      <c r="B43" s="26"/>
      <c r="C43" s="14"/>
      <c r="D43" s="31"/>
      <c r="E43" s="14"/>
      <c r="F43" s="15" t="str">
        <f t="shared" si="6"/>
        <v xml:space="preserve">S/F  </v>
      </c>
      <c r="G43" s="16"/>
      <c r="H43" s="17">
        <v>10</v>
      </c>
      <c r="I43" s="18">
        <f t="shared" si="7"/>
        <v>0</v>
      </c>
      <c r="J43" s="17"/>
      <c r="K43" s="18"/>
      <c r="L43" s="16"/>
      <c r="M43" s="17"/>
      <c r="N43" s="18">
        <f t="shared" si="8"/>
        <v>0</v>
      </c>
      <c r="O43" s="19"/>
      <c r="P43" s="18">
        <v>0</v>
      </c>
      <c r="Q43" s="16"/>
      <c r="R43" s="17"/>
      <c r="S43" s="18">
        <v>0</v>
      </c>
      <c r="T43" s="19"/>
      <c r="U43" s="18">
        <v>0</v>
      </c>
      <c r="V43" s="16"/>
      <c r="W43" s="17"/>
      <c r="X43" s="18">
        <f t="shared" si="9"/>
        <v>0</v>
      </c>
      <c r="Y43" s="19"/>
      <c r="Z43" s="19"/>
      <c r="AA43" s="18">
        <f t="shared" si="10"/>
        <v>0</v>
      </c>
      <c r="AB43" s="20">
        <f t="shared" si="11"/>
        <v>0</v>
      </c>
      <c r="AC43" s="5"/>
      <c r="AD43" s="8"/>
      <c r="AF43" s="6"/>
      <c r="AG43" s="7"/>
      <c r="AJ43" s="33"/>
      <c r="AK43" s="35"/>
      <c r="AL43" s="38"/>
    </row>
    <row r="44" spans="1:38" ht="17.25" customHeight="1">
      <c r="A44" s="25"/>
      <c r="B44" s="26"/>
      <c r="C44" s="14"/>
      <c r="D44" s="31"/>
      <c r="E44" s="14"/>
      <c r="F44" s="15" t="str">
        <f t="shared" si="6"/>
        <v xml:space="preserve">S/F  </v>
      </c>
      <c r="G44" s="16"/>
      <c r="H44" s="17">
        <v>21</v>
      </c>
      <c r="I44" s="18">
        <f t="shared" si="7"/>
        <v>0</v>
      </c>
      <c r="J44" s="17"/>
      <c r="K44" s="18"/>
      <c r="L44" s="16"/>
      <c r="M44" s="17"/>
      <c r="N44" s="18">
        <f t="shared" si="8"/>
        <v>0</v>
      </c>
      <c r="O44" s="19"/>
      <c r="P44" s="18">
        <v>0</v>
      </c>
      <c r="Q44" s="16"/>
      <c r="R44" s="17"/>
      <c r="S44" s="18">
        <v>0</v>
      </c>
      <c r="T44" s="19"/>
      <c r="U44" s="18">
        <v>0</v>
      </c>
      <c r="V44" s="16"/>
      <c r="W44" s="17"/>
      <c r="X44" s="18">
        <f t="shared" si="9"/>
        <v>0</v>
      </c>
      <c r="Y44" s="19"/>
      <c r="Z44" s="19"/>
      <c r="AA44" s="18">
        <f t="shared" si="10"/>
        <v>0</v>
      </c>
      <c r="AB44" s="20">
        <f t="shared" si="11"/>
        <v>0</v>
      </c>
      <c r="AC44" s="5"/>
      <c r="AD44" s="8"/>
      <c r="AF44" s="6"/>
      <c r="AG44" s="7"/>
      <c r="AJ44" s="33"/>
      <c r="AK44" s="35"/>
      <c r="AL44" s="38"/>
    </row>
    <row r="45" spans="1:38" ht="17.25" customHeight="1">
      <c r="A45" s="25"/>
      <c r="B45" s="26"/>
      <c r="C45" s="14"/>
      <c r="D45" s="31"/>
      <c r="E45" s="14"/>
      <c r="F45" s="15" t="str">
        <f t="shared" si="6"/>
        <v xml:space="preserve">S/F  </v>
      </c>
      <c r="G45" s="16"/>
      <c r="H45" s="17">
        <v>21</v>
      </c>
      <c r="I45" s="18">
        <f t="shared" si="7"/>
        <v>0</v>
      </c>
      <c r="J45" s="17"/>
      <c r="K45" s="18"/>
      <c r="L45" s="16"/>
      <c r="M45" s="17"/>
      <c r="N45" s="18">
        <f t="shared" si="8"/>
        <v>0</v>
      </c>
      <c r="O45" s="19"/>
      <c r="P45" s="18">
        <v>0</v>
      </c>
      <c r="Q45" s="16"/>
      <c r="R45" s="17"/>
      <c r="S45" s="18">
        <v>0</v>
      </c>
      <c r="T45" s="19"/>
      <c r="U45" s="18">
        <v>0</v>
      </c>
      <c r="V45" s="16"/>
      <c r="W45" s="17"/>
      <c r="X45" s="18">
        <f t="shared" si="9"/>
        <v>0</v>
      </c>
      <c r="Y45" s="19"/>
      <c r="Z45" s="19"/>
      <c r="AA45" s="18">
        <f t="shared" si="10"/>
        <v>0</v>
      </c>
      <c r="AB45" s="20">
        <f t="shared" si="11"/>
        <v>0</v>
      </c>
      <c r="AC45" s="5"/>
      <c r="AD45" s="8"/>
      <c r="AF45" s="6"/>
      <c r="AG45" s="7"/>
      <c r="AJ45" s="33"/>
      <c r="AK45" s="35"/>
      <c r="AL45" s="38"/>
    </row>
    <row r="46" spans="1:38" ht="17.25" customHeight="1">
      <c r="A46" s="25"/>
      <c r="B46" s="26"/>
      <c r="C46" s="14"/>
      <c r="D46" s="31"/>
      <c r="E46" s="14"/>
      <c r="F46" s="15" t="str">
        <f t="shared" si="6"/>
        <v xml:space="preserve">S/F  </v>
      </c>
      <c r="G46" s="16"/>
      <c r="H46" s="17">
        <v>21</v>
      </c>
      <c r="I46" s="18">
        <f t="shared" si="7"/>
        <v>0</v>
      </c>
      <c r="J46" s="17"/>
      <c r="K46" s="18"/>
      <c r="L46" s="16"/>
      <c r="M46" s="17"/>
      <c r="N46" s="18">
        <f t="shared" si="8"/>
        <v>0</v>
      </c>
      <c r="O46" s="19"/>
      <c r="P46" s="18">
        <v>0</v>
      </c>
      <c r="Q46" s="16"/>
      <c r="R46" s="17"/>
      <c r="S46" s="18">
        <v>0</v>
      </c>
      <c r="T46" s="19"/>
      <c r="U46" s="18">
        <v>0</v>
      </c>
      <c r="V46" s="16"/>
      <c r="W46" s="17"/>
      <c r="X46" s="18">
        <f t="shared" si="9"/>
        <v>0</v>
      </c>
      <c r="Y46" s="19"/>
      <c r="Z46" s="19"/>
      <c r="AA46" s="18">
        <f t="shared" si="10"/>
        <v>0</v>
      </c>
      <c r="AB46" s="20">
        <f t="shared" si="11"/>
        <v>0</v>
      </c>
      <c r="AC46" s="5"/>
      <c r="AD46" s="8"/>
      <c r="AF46" s="6"/>
      <c r="AG46" s="7"/>
      <c r="AJ46" s="33"/>
      <c r="AK46" s="35"/>
      <c r="AL46" s="38"/>
    </row>
    <row r="47" spans="1:38" ht="17.25" customHeight="1">
      <c r="A47" s="25"/>
      <c r="B47" s="26"/>
      <c r="C47" s="14"/>
      <c r="D47" s="31"/>
      <c r="E47" s="14"/>
      <c r="F47" s="15" t="str">
        <f t="shared" si="6"/>
        <v xml:space="preserve">S/F  </v>
      </c>
      <c r="G47" s="16"/>
      <c r="H47" s="17">
        <v>21</v>
      </c>
      <c r="I47" s="18">
        <f t="shared" si="7"/>
        <v>0</v>
      </c>
      <c r="J47" s="17"/>
      <c r="K47" s="18"/>
      <c r="L47" s="16"/>
      <c r="M47" s="17"/>
      <c r="N47" s="18">
        <f t="shared" si="8"/>
        <v>0</v>
      </c>
      <c r="O47" s="19"/>
      <c r="P47" s="18">
        <v>0</v>
      </c>
      <c r="Q47" s="16"/>
      <c r="R47" s="17"/>
      <c r="S47" s="18">
        <v>0</v>
      </c>
      <c r="T47" s="19"/>
      <c r="U47" s="18">
        <v>0</v>
      </c>
      <c r="V47" s="16"/>
      <c r="W47" s="17"/>
      <c r="X47" s="18">
        <f t="shared" si="9"/>
        <v>0</v>
      </c>
      <c r="Y47" s="19"/>
      <c r="Z47" s="19"/>
      <c r="AA47" s="18">
        <f t="shared" si="10"/>
        <v>0</v>
      </c>
      <c r="AB47" s="20">
        <f t="shared" si="11"/>
        <v>0</v>
      </c>
      <c r="AC47" s="5"/>
      <c r="AD47" s="8"/>
      <c r="AF47" s="6"/>
      <c r="AG47" s="7"/>
      <c r="AJ47" s="33"/>
      <c r="AK47" s="35"/>
      <c r="AL47" s="38"/>
    </row>
    <row r="48" spans="1:38" ht="17.25" customHeight="1">
      <c r="A48" s="25"/>
      <c r="B48" s="26"/>
      <c r="C48" s="14"/>
      <c r="D48" s="31"/>
      <c r="E48" s="14"/>
      <c r="F48" s="15" t="str">
        <f t="shared" si="6"/>
        <v xml:space="preserve">S/F  </v>
      </c>
      <c r="G48" s="16"/>
      <c r="H48" s="17">
        <v>21</v>
      </c>
      <c r="I48" s="18">
        <f t="shared" si="7"/>
        <v>0</v>
      </c>
      <c r="J48" s="17"/>
      <c r="K48" s="18"/>
      <c r="L48" s="16"/>
      <c r="M48" s="17"/>
      <c r="N48" s="18">
        <f t="shared" si="8"/>
        <v>0</v>
      </c>
      <c r="O48" s="19"/>
      <c r="P48" s="18">
        <v>0</v>
      </c>
      <c r="Q48" s="16"/>
      <c r="R48" s="17"/>
      <c r="S48" s="18">
        <v>0</v>
      </c>
      <c r="T48" s="19"/>
      <c r="U48" s="18">
        <v>0</v>
      </c>
      <c r="V48" s="16"/>
      <c r="W48" s="17"/>
      <c r="X48" s="18">
        <f t="shared" si="9"/>
        <v>0</v>
      </c>
      <c r="Y48" s="19"/>
      <c r="Z48" s="19"/>
      <c r="AA48" s="18">
        <f t="shared" si="10"/>
        <v>0</v>
      </c>
      <c r="AB48" s="20">
        <f t="shared" si="11"/>
        <v>0</v>
      </c>
      <c r="AC48" s="5"/>
      <c r="AD48" s="8"/>
      <c r="AF48" s="6"/>
      <c r="AG48" s="7"/>
      <c r="AJ48" s="33"/>
      <c r="AK48" s="35"/>
      <c r="AL48" s="38"/>
    </row>
    <row r="49" spans="1:38" ht="17.25" customHeight="1">
      <c r="A49" s="25"/>
      <c r="B49" s="26"/>
      <c r="C49" s="14"/>
      <c r="D49" s="31"/>
      <c r="E49" s="14"/>
      <c r="F49" s="15" t="str">
        <f t="shared" si="6"/>
        <v xml:space="preserve">S/F  </v>
      </c>
      <c r="G49" s="16"/>
      <c r="H49" s="17">
        <v>21</v>
      </c>
      <c r="I49" s="18">
        <f t="shared" si="7"/>
        <v>0</v>
      </c>
      <c r="J49" s="17"/>
      <c r="K49" s="18"/>
      <c r="L49" s="16"/>
      <c r="M49" s="17"/>
      <c r="N49" s="18">
        <f t="shared" si="8"/>
        <v>0</v>
      </c>
      <c r="O49" s="19"/>
      <c r="P49" s="18">
        <v>0</v>
      </c>
      <c r="Q49" s="16"/>
      <c r="R49" s="17"/>
      <c r="S49" s="18">
        <v>0</v>
      </c>
      <c r="T49" s="19"/>
      <c r="U49" s="18">
        <v>0</v>
      </c>
      <c r="V49" s="16"/>
      <c r="W49" s="17"/>
      <c r="X49" s="18">
        <f t="shared" si="9"/>
        <v>0</v>
      </c>
      <c r="Y49" s="19"/>
      <c r="Z49" s="19"/>
      <c r="AA49" s="18">
        <f t="shared" si="10"/>
        <v>0</v>
      </c>
      <c r="AB49" s="20">
        <f t="shared" si="11"/>
        <v>0</v>
      </c>
      <c r="AC49" s="5"/>
      <c r="AD49" s="8"/>
      <c r="AF49" s="6"/>
      <c r="AG49" s="7"/>
      <c r="AJ49" s="33"/>
      <c r="AK49" s="35"/>
      <c r="AL49" s="38"/>
    </row>
    <row r="50" spans="1:38" ht="17.25" customHeight="1">
      <c r="A50" s="25"/>
      <c r="B50" s="26"/>
      <c r="C50" s="14"/>
      <c r="D50" s="31"/>
      <c r="E50" s="14"/>
      <c r="F50" s="15" t="str">
        <f t="shared" si="6"/>
        <v xml:space="preserve">S/F  </v>
      </c>
      <c r="G50" s="16"/>
      <c r="H50" s="17">
        <v>21</v>
      </c>
      <c r="I50" s="18">
        <f t="shared" si="7"/>
        <v>0</v>
      </c>
      <c r="J50" s="17"/>
      <c r="K50" s="18"/>
      <c r="L50" s="16"/>
      <c r="M50" s="17"/>
      <c r="N50" s="18">
        <f t="shared" si="8"/>
        <v>0</v>
      </c>
      <c r="O50" s="19"/>
      <c r="P50" s="18">
        <v>0</v>
      </c>
      <c r="Q50" s="16"/>
      <c r="R50" s="17"/>
      <c r="S50" s="18">
        <v>0</v>
      </c>
      <c r="T50" s="19"/>
      <c r="U50" s="18">
        <v>0</v>
      </c>
      <c r="V50" s="16"/>
      <c r="W50" s="17"/>
      <c r="X50" s="18">
        <f t="shared" si="9"/>
        <v>0</v>
      </c>
      <c r="Y50" s="19"/>
      <c r="Z50" s="19"/>
      <c r="AA50" s="18">
        <f t="shared" si="10"/>
        <v>0</v>
      </c>
      <c r="AB50" s="20">
        <f t="shared" si="11"/>
        <v>0</v>
      </c>
      <c r="AC50" s="5"/>
      <c r="AD50" s="8"/>
      <c r="AF50" s="6"/>
      <c r="AG50" s="7"/>
      <c r="AJ50" s="33"/>
      <c r="AK50" s="35"/>
      <c r="AL50" s="38"/>
    </row>
    <row r="51" spans="1:38" ht="17.25" customHeight="1">
      <c r="A51" s="25"/>
      <c r="B51" s="26"/>
      <c r="C51" s="14"/>
      <c r="D51" s="31"/>
      <c r="E51" s="14"/>
      <c r="F51" s="15" t="str">
        <f t="shared" si="6"/>
        <v xml:space="preserve">S/F  </v>
      </c>
      <c r="G51" s="16"/>
      <c r="H51" s="17">
        <v>21</v>
      </c>
      <c r="I51" s="18">
        <f t="shared" si="7"/>
        <v>0</v>
      </c>
      <c r="J51" s="17"/>
      <c r="K51" s="18"/>
      <c r="L51" s="16"/>
      <c r="M51" s="17"/>
      <c r="N51" s="18">
        <f t="shared" si="8"/>
        <v>0</v>
      </c>
      <c r="O51" s="19"/>
      <c r="P51" s="18">
        <v>0</v>
      </c>
      <c r="Q51" s="16"/>
      <c r="R51" s="17"/>
      <c r="S51" s="18">
        <v>0</v>
      </c>
      <c r="T51" s="19"/>
      <c r="U51" s="18">
        <v>0</v>
      </c>
      <c r="V51" s="16"/>
      <c r="W51" s="17"/>
      <c r="X51" s="18">
        <f t="shared" si="9"/>
        <v>0</v>
      </c>
      <c r="Y51" s="19"/>
      <c r="Z51" s="19"/>
      <c r="AA51" s="18">
        <f t="shared" si="10"/>
        <v>0</v>
      </c>
      <c r="AB51" s="20">
        <f t="shared" si="11"/>
        <v>0</v>
      </c>
      <c r="AC51" s="5"/>
      <c r="AD51" s="8"/>
      <c r="AF51" s="6"/>
      <c r="AG51" s="7"/>
      <c r="AJ51" s="33"/>
      <c r="AK51" s="35"/>
      <c r="AL51" s="38"/>
    </row>
    <row r="52" spans="1:38" ht="17.25" customHeight="1">
      <c r="A52" s="25"/>
      <c r="B52" s="26"/>
      <c r="C52" s="14"/>
      <c r="D52" s="31"/>
      <c r="E52" s="14"/>
      <c r="F52" s="15" t="str">
        <f t="shared" si="6"/>
        <v xml:space="preserve">S/F  </v>
      </c>
      <c r="G52" s="16"/>
      <c r="H52" s="17">
        <v>21</v>
      </c>
      <c r="I52" s="18">
        <f t="shared" si="7"/>
        <v>0</v>
      </c>
      <c r="J52" s="17"/>
      <c r="K52" s="18"/>
      <c r="L52" s="16"/>
      <c r="M52" s="17"/>
      <c r="N52" s="18">
        <f t="shared" si="8"/>
        <v>0</v>
      </c>
      <c r="O52" s="19"/>
      <c r="P52" s="18">
        <v>0</v>
      </c>
      <c r="Q52" s="16"/>
      <c r="R52" s="17"/>
      <c r="S52" s="18">
        <v>0</v>
      </c>
      <c r="T52" s="19"/>
      <c r="U52" s="18">
        <v>0</v>
      </c>
      <c r="V52" s="16"/>
      <c r="W52" s="17"/>
      <c r="X52" s="18">
        <f t="shared" si="9"/>
        <v>0</v>
      </c>
      <c r="Y52" s="19"/>
      <c r="Z52" s="19"/>
      <c r="AA52" s="18">
        <f t="shared" si="10"/>
        <v>0</v>
      </c>
      <c r="AB52" s="20">
        <f t="shared" si="11"/>
        <v>0</v>
      </c>
      <c r="AC52" s="5"/>
      <c r="AD52" s="8"/>
      <c r="AF52" s="6"/>
      <c r="AG52" s="7"/>
      <c r="AJ52" s="33"/>
      <c r="AK52" s="35"/>
      <c r="AL52" s="38"/>
    </row>
    <row r="53" spans="1:38" ht="17.25" customHeight="1">
      <c r="A53" s="25"/>
      <c r="B53" s="26"/>
      <c r="C53" s="14"/>
      <c r="D53" s="31"/>
      <c r="E53" s="14"/>
      <c r="F53" s="15" t="str">
        <f t="shared" si="6"/>
        <v xml:space="preserve">S/F  </v>
      </c>
      <c r="G53" s="16"/>
      <c r="H53" s="17">
        <v>21</v>
      </c>
      <c r="I53" s="18">
        <f t="shared" si="7"/>
        <v>0</v>
      </c>
      <c r="J53" s="17"/>
      <c r="K53" s="18"/>
      <c r="L53" s="16"/>
      <c r="M53" s="17"/>
      <c r="N53" s="18">
        <f t="shared" si="8"/>
        <v>0</v>
      </c>
      <c r="O53" s="19"/>
      <c r="P53" s="18">
        <v>0</v>
      </c>
      <c r="Q53" s="16"/>
      <c r="R53" s="17"/>
      <c r="S53" s="18">
        <v>0</v>
      </c>
      <c r="T53" s="19"/>
      <c r="U53" s="18">
        <v>0</v>
      </c>
      <c r="V53" s="16"/>
      <c r="W53" s="17"/>
      <c r="X53" s="18">
        <f t="shared" si="9"/>
        <v>0</v>
      </c>
      <c r="Y53" s="19"/>
      <c r="Z53" s="19"/>
      <c r="AA53" s="18">
        <f t="shared" si="10"/>
        <v>0</v>
      </c>
      <c r="AB53" s="20">
        <f t="shared" si="11"/>
        <v>0</v>
      </c>
      <c r="AC53" s="5"/>
      <c r="AD53" s="8"/>
      <c r="AF53" s="6"/>
      <c r="AG53" s="7"/>
      <c r="AJ53" s="33"/>
      <c r="AK53" s="35"/>
      <c r="AL53" s="38"/>
    </row>
    <row r="54" spans="1:38" ht="17.25" customHeight="1">
      <c r="A54" s="25"/>
      <c r="B54" s="26"/>
      <c r="C54" s="14"/>
      <c r="D54" s="31"/>
      <c r="E54" s="14"/>
      <c r="F54" s="15" t="str">
        <f t="shared" si="6"/>
        <v xml:space="preserve">S/F  </v>
      </c>
      <c r="G54" s="16"/>
      <c r="H54" s="17">
        <v>21</v>
      </c>
      <c r="I54" s="18">
        <f t="shared" si="7"/>
        <v>0</v>
      </c>
      <c r="J54" s="17"/>
      <c r="K54" s="18"/>
      <c r="L54" s="16"/>
      <c r="M54" s="17"/>
      <c r="N54" s="18">
        <f t="shared" si="8"/>
        <v>0</v>
      </c>
      <c r="O54" s="19"/>
      <c r="P54" s="18">
        <v>0</v>
      </c>
      <c r="Q54" s="16"/>
      <c r="R54" s="17"/>
      <c r="S54" s="18">
        <v>0</v>
      </c>
      <c r="T54" s="19"/>
      <c r="U54" s="18">
        <v>0</v>
      </c>
      <c r="V54" s="16"/>
      <c r="W54" s="17"/>
      <c r="X54" s="18">
        <f t="shared" si="9"/>
        <v>0</v>
      </c>
      <c r="Y54" s="19"/>
      <c r="Z54" s="19"/>
      <c r="AA54" s="18">
        <f t="shared" si="10"/>
        <v>0</v>
      </c>
      <c r="AB54" s="20">
        <f t="shared" si="11"/>
        <v>0</v>
      </c>
      <c r="AC54" s="5"/>
      <c r="AD54" s="8"/>
      <c r="AF54" s="6"/>
      <c r="AG54" s="7"/>
      <c r="AJ54" s="33"/>
      <c r="AK54" s="35"/>
      <c r="AL54" s="38"/>
    </row>
    <row r="55" spans="1:38" ht="17.25" customHeight="1">
      <c r="A55" s="25"/>
      <c r="B55" s="26"/>
      <c r="C55" s="14"/>
      <c r="D55" s="31"/>
      <c r="E55" s="14"/>
      <c r="F55" s="15" t="str">
        <f t="shared" si="6"/>
        <v xml:space="preserve">S/F  </v>
      </c>
      <c r="G55" s="16"/>
      <c r="H55" s="17">
        <v>21</v>
      </c>
      <c r="I55" s="18">
        <f t="shared" si="7"/>
        <v>0</v>
      </c>
      <c r="J55" s="17"/>
      <c r="K55" s="18"/>
      <c r="L55" s="16"/>
      <c r="M55" s="17"/>
      <c r="N55" s="18">
        <f t="shared" si="8"/>
        <v>0</v>
      </c>
      <c r="O55" s="19"/>
      <c r="P55" s="18">
        <v>0</v>
      </c>
      <c r="Q55" s="16"/>
      <c r="R55" s="17"/>
      <c r="S55" s="18">
        <v>0</v>
      </c>
      <c r="T55" s="19"/>
      <c r="U55" s="18">
        <v>0</v>
      </c>
      <c r="V55" s="16"/>
      <c r="W55" s="17"/>
      <c r="X55" s="18">
        <f t="shared" si="9"/>
        <v>0</v>
      </c>
      <c r="Y55" s="19"/>
      <c r="Z55" s="19"/>
      <c r="AA55" s="18">
        <f t="shared" si="10"/>
        <v>0</v>
      </c>
      <c r="AB55" s="20">
        <f t="shared" si="11"/>
        <v>0</v>
      </c>
      <c r="AC55" s="5"/>
      <c r="AD55" s="8"/>
      <c r="AF55" s="6"/>
      <c r="AG55" s="7"/>
      <c r="AJ55" s="33"/>
      <c r="AK55" s="35"/>
      <c r="AL55" s="38"/>
    </row>
    <row r="56" spans="1:38" ht="17.25" customHeight="1">
      <c r="A56" s="25"/>
      <c r="B56" s="26"/>
      <c r="C56" s="14"/>
      <c r="D56" s="31"/>
      <c r="E56" s="14"/>
      <c r="F56" s="15" t="str">
        <f t="shared" si="6"/>
        <v xml:space="preserve">S/F  </v>
      </c>
      <c r="G56" s="16"/>
      <c r="H56" s="17">
        <v>21</v>
      </c>
      <c r="I56" s="18">
        <f t="shared" si="7"/>
        <v>0</v>
      </c>
      <c r="J56" s="17"/>
      <c r="K56" s="18"/>
      <c r="L56" s="16"/>
      <c r="M56" s="17"/>
      <c r="N56" s="18">
        <f t="shared" si="8"/>
        <v>0</v>
      </c>
      <c r="O56" s="19"/>
      <c r="P56" s="18">
        <v>0</v>
      </c>
      <c r="Q56" s="16"/>
      <c r="R56" s="17"/>
      <c r="S56" s="18">
        <v>0</v>
      </c>
      <c r="T56" s="19"/>
      <c r="U56" s="18">
        <v>0</v>
      </c>
      <c r="V56" s="16"/>
      <c r="W56" s="17"/>
      <c r="X56" s="18">
        <f t="shared" si="9"/>
        <v>0</v>
      </c>
      <c r="Y56" s="19"/>
      <c r="Z56" s="19"/>
      <c r="AA56" s="18">
        <f t="shared" si="10"/>
        <v>0</v>
      </c>
      <c r="AB56" s="20">
        <f t="shared" si="11"/>
        <v>0</v>
      </c>
      <c r="AC56" s="5"/>
      <c r="AD56" s="8"/>
      <c r="AF56" s="6"/>
      <c r="AG56" s="7"/>
      <c r="AJ56" s="33"/>
      <c r="AK56" s="35"/>
      <c r="AL56" s="38"/>
    </row>
    <row r="57" spans="1:38" ht="17.25" customHeight="1">
      <c r="A57" s="25"/>
      <c r="B57" s="26"/>
      <c r="C57" s="14"/>
      <c r="D57" s="31"/>
      <c r="E57" s="14"/>
      <c r="F57" s="15" t="str">
        <f t="shared" si="6"/>
        <v xml:space="preserve">S/F  </v>
      </c>
      <c r="G57" s="16"/>
      <c r="H57" s="17">
        <v>21</v>
      </c>
      <c r="I57" s="18">
        <f t="shared" si="7"/>
        <v>0</v>
      </c>
      <c r="J57" s="17"/>
      <c r="K57" s="18"/>
      <c r="L57" s="16"/>
      <c r="M57" s="17"/>
      <c r="N57" s="18">
        <f t="shared" si="8"/>
        <v>0</v>
      </c>
      <c r="O57" s="19"/>
      <c r="P57" s="18">
        <v>0</v>
      </c>
      <c r="Q57" s="16"/>
      <c r="R57" s="17"/>
      <c r="S57" s="18">
        <v>0</v>
      </c>
      <c r="T57" s="19"/>
      <c r="U57" s="18">
        <v>0</v>
      </c>
      <c r="V57" s="16"/>
      <c r="W57" s="17"/>
      <c r="X57" s="18">
        <f t="shared" si="9"/>
        <v>0</v>
      </c>
      <c r="Y57" s="19"/>
      <c r="Z57" s="19"/>
      <c r="AA57" s="18">
        <f t="shared" si="10"/>
        <v>0</v>
      </c>
      <c r="AB57" s="20">
        <f t="shared" si="11"/>
        <v>0</v>
      </c>
      <c r="AC57" s="5"/>
      <c r="AD57" s="8"/>
      <c r="AF57" s="6"/>
      <c r="AG57" s="7"/>
      <c r="AJ57" s="33"/>
      <c r="AK57" s="35"/>
      <c r="AL57" s="38"/>
    </row>
    <row r="58" spans="1:38" ht="17.25" customHeight="1">
      <c r="A58" s="25"/>
      <c r="B58" s="26"/>
      <c r="C58" s="14"/>
      <c r="D58" s="31"/>
      <c r="E58" s="14"/>
      <c r="F58" s="15" t="str">
        <f t="shared" si="6"/>
        <v xml:space="preserve">S/F  </v>
      </c>
      <c r="G58" s="16"/>
      <c r="H58" s="17">
        <v>21</v>
      </c>
      <c r="I58" s="18">
        <f t="shared" si="7"/>
        <v>0</v>
      </c>
      <c r="J58" s="17"/>
      <c r="K58" s="18"/>
      <c r="L58" s="16"/>
      <c r="M58" s="17"/>
      <c r="N58" s="18">
        <f t="shared" si="8"/>
        <v>0</v>
      </c>
      <c r="O58" s="19"/>
      <c r="P58" s="18">
        <v>0</v>
      </c>
      <c r="Q58" s="16"/>
      <c r="R58" s="17"/>
      <c r="S58" s="18">
        <v>0</v>
      </c>
      <c r="T58" s="19"/>
      <c r="U58" s="18">
        <v>0</v>
      </c>
      <c r="V58" s="16"/>
      <c r="W58" s="17"/>
      <c r="X58" s="18">
        <f t="shared" si="9"/>
        <v>0</v>
      </c>
      <c r="Y58" s="19"/>
      <c r="Z58" s="19"/>
      <c r="AA58" s="18">
        <f t="shared" si="10"/>
        <v>0</v>
      </c>
      <c r="AB58" s="20">
        <f t="shared" si="11"/>
        <v>0</v>
      </c>
      <c r="AC58" s="5"/>
      <c r="AD58" s="8"/>
      <c r="AF58" s="6"/>
      <c r="AG58" s="7"/>
      <c r="AJ58" s="33"/>
      <c r="AK58" s="35"/>
      <c r="AL58" s="38"/>
    </row>
    <row r="59" spans="1:38" ht="17.25" customHeight="1">
      <c r="A59" s="25"/>
      <c r="B59" s="26"/>
      <c r="C59" s="14"/>
      <c r="D59" s="31"/>
      <c r="E59" s="14"/>
      <c r="F59" s="15" t="str">
        <f t="shared" si="6"/>
        <v xml:space="preserve">S/F  </v>
      </c>
      <c r="G59" s="16"/>
      <c r="H59" s="17">
        <v>21</v>
      </c>
      <c r="I59" s="18">
        <f t="shared" si="7"/>
        <v>0</v>
      </c>
      <c r="J59" s="17"/>
      <c r="K59" s="18"/>
      <c r="L59" s="16"/>
      <c r="M59" s="17"/>
      <c r="N59" s="18">
        <f t="shared" si="8"/>
        <v>0</v>
      </c>
      <c r="O59" s="19"/>
      <c r="P59" s="18">
        <v>0</v>
      </c>
      <c r="Q59" s="16"/>
      <c r="R59" s="17"/>
      <c r="S59" s="18">
        <v>0</v>
      </c>
      <c r="T59" s="19"/>
      <c r="U59" s="18">
        <v>0</v>
      </c>
      <c r="V59" s="16"/>
      <c r="W59" s="17"/>
      <c r="X59" s="18">
        <f t="shared" si="9"/>
        <v>0</v>
      </c>
      <c r="Y59" s="19"/>
      <c r="Z59" s="19"/>
      <c r="AA59" s="18">
        <f t="shared" si="10"/>
        <v>0</v>
      </c>
      <c r="AB59" s="20">
        <f t="shared" si="11"/>
        <v>0</v>
      </c>
      <c r="AC59" s="5"/>
      <c r="AD59" s="8"/>
      <c r="AF59" s="6"/>
      <c r="AG59" s="7"/>
      <c r="AJ59" s="33"/>
      <c r="AK59" s="35"/>
      <c r="AL59" s="38"/>
    </row>
    <row r="60" spans="1:38" ht="17.25" customHeight="1">
      <c r="A60" s="25"/>
      <c r="B60" s="26"/>
      <c r="C60" s="14"/>
      <c r="D60" s="31"/>
      <c r="E60" s="14"/>
      <c r="F60" s="15" t="str">
        <f t="shared" si="6"/>
        <v xml:space="preserve">S/F  </v>
      </c>
      <c r="G60" s="16"/>
      <c r="H60" s="17">
        <v>21</v>
      </c>
      <c r="I60" s="18">
        <f t="shared" si="7"/>
        <v>0</v>
      </c>
      <c r="J60" s="17"/>
      <c r="K60" s="18"/>
      <c r="L60" s="16"/>
      <c r="M60" s="17"/>
      <c r="N60" s="18">
        <f t="shared" si="8"/>
        <v>0</v>
      </c>
      <c r="O60" s="19"/>
      <c r="P60" s="18">
        <v>0</v>
      </c>
      <c r="Q60" s="16"/>
      <c r="R60" s="17"/>
      <c r="S60" s="18">
        <v>0</v>
      </c>
      <c r="T60" s="19"/>
      <c r="U60" s="18">
        <v>0</v>
      </c>
      <c r="V60" s="16"/>
      <c r="W60" s="17"/>
      <c r="X60" s="18">
        <f t="shared" si="9"/>
        <v>0</v>
      </c>
      <c r="Y60" s="19"/>
      <c r="Z60" s="19"/>
      <c r="AA60" s="18">
        <f t="shared" si="10"/>
        <v>0</v>
      </c>
      <c r="AB60" s="20">
        <f t="shared" si="11"/>
        <v>0</v>
      </c>
      <c r="AC60" s="5"/>
      <c r="AD60" s="8"/>
      <c r="AF60" s="6"/>
      <c r="AG60" s="7"/>
      <c r="AJ60" s="33"/>
      <c r="AK60" s="35"/>
      <c r="AL60" s="38"/>
    </row>
    <row r="61" spans="1:38" ht="17.25" customHeight="1">
      <c r="A61" s="25"/>
      <c r="B61" s="26"/>
      <c r="C61" s="14"/>
      <c r="D61" s="31"/>
      <c r="E61" s="14"/>
      <c r="F61" s="15" t="str">
        <f t="shared" si="6"/>
        <v xml:space="preserve">S/F  </v>
      </c>
      <c r="G61" s="16"/>
      <c r="H61" s="17">
        <v>21</v>
      </c>
      <c r="I61" s="18">
        <f t="shared" si="7"/>
        <v>0</v>
      </c>
      <c r="J61" s="17"/>
      <c r="K61" s="18"/>
      <c r="L61" s="16"/>
      <c r="M61" s="17"/>
      <c r="N61" s="18">
        <f t="shared" si="8"/>
        <v>0</v>
      </c>
      <c r="O61" s="19"/>
      <c r="P61" s="18">
        <v>0</v>
      </c>
      <c r="Q61" s="16"/>
      <c r="R61" s="17"/>
      <c r="S61" s="18">
        <v>0</v>
      </c>
      <c r="T61" s="19"/>
      <c r="U61" s="18">
        <v>0</v>
      </c>
      <c r="V61" s="16"/>
      <c r="W61" s="17"/>
      <c r="X61" s="18">
        <f t="shared" si="9"/>
        <v>0</v>
      </c>
      <c r="Y61" s="19"/>
      <c r="Z61" s="19"/>
      <c r="AA61" s="18">
        <f t="shared" si="10"/>
        <v>0</v>
      </c>
      <c r="AB61" s="20">
        <f t="shared" si="11"/>
        <v>0</v>
      </c>
      <c r="AC61" s="5"/>
      <c r="AD61" s="8"/>
      <c r="AF61" s="6"/>
      <c r="AG61" s="7"/>
      <c r="AJ61" s="33"/>
      <c r="AK61" s="35"/>
      <c r="AL61" s="38"/>
    </row>
    <row r="62" spans="1:38" ht="17.25" customHeight="1">
      <c r="A62" s="25"/>
      <c r="B62" s="26"/>
      <c r="C62" s="14"/>
      <c r="D62" s="31"/>
      <c r="E62" s="14"/>
      <c r="F62" s="15" t="str">
        <f t="shared" si="6"/>
        <v xml:space="preserve">S/F  </v>
      </c>
      <c r="G62" s="16"/>
      <c r="H62" s="17">
        <v>21</v>
      </c>
      <c r="I62" s="18">
        <f t="shared" si="7"/>
        <v>0</v>
      </c>
      <c r="J62" s="17"/>
      <c r="K62" s="18"/>
      <c r="L62" s="16"/>
      <c r="M62" s="17"/>
      <c r="N62" s="18">
        <f t="shared" si="8"/>
        <v>0</v>
      </c>
      <c r="O62" s="19"/>
      <c r="P62" s="18">
        <v>0</v>
      </c>
      <c r="Q62" s="16"/>
      <c r="R62" s="17"/>
      <c r="S62" s="18">
        <v>0</v>
      </c>
      <c r="T62" s="19"/>
      <c r="U62" s="18">
        <v>0</v>
      </c>
      <c r="V62" s="16"/>
      <c r="W62" s="17"/>
      <c r="X62" s="18">
        <f t="shared" si="9"/>
        <v>0</v>
      </c>
      <c r="Y62" s="19"/>
      <c r="Z62" s="19"/>
      <c r="AA62" s="18">
        <f t="shared" si="10"/>
        <v>0</v>
      </c>
      <c r="AB62" s="20">
        <f t="shared" si="11"/>
        <v>0</v>
      </c>
      <c r="AC62" s="5"/>
      <c r="AD62" s="8"/>
      <c r="AF62" s="6"/>
      <c r="AG62" s="7"/>
      <c r="AJ62" s="33"/>
      <c r="AK62" s="35"/>
      <c r="AL62" s="38"/>
    </row>
    <row r="63" spans="1:38" ht="17.25" customHeight="1">
      <c r="A63" s="25"/>
      <c r="B63" s="26"/>
      <c r="C63" s="14"/>
      <c r="D63" s="31"/>
      <c r="E63" s="14"/>
      <c r="F63" s="15" t="str">
        <f t="shared" si="6"/>
        <v xml:space="preserve">S/F  </v>
      </c>
      <c r="G63" s="16"/>
      <c r="H63" s="17">
        <v>21</v>
      </c>
      <c r="I63" s="18">
        <f t="shared" si="7"/>
        <v>0</v>
      </c>
      <c r="J63" s="17"/>
      <c r="K63" s="18"/>
      <c r="L63" s="16"/>
      <c r="M63" s="17"/>
      <c r="N63" s="18">
        <f t="shared" si="8"/>
        <v>0</v>
      </c>
      <c r="O63" s="19"/>
      <c r="P63" s="18">
        <v>0</v>
      </c>
      <c r="Q63" s="16"/>
      <c r="R63" s="17"/>
      <c r="S63" s="18">
        <v>0</v>
      </c>
      <c r="T63" s="19"/>
      <c r="U63" s="18">
        <v>0</v>
      </c>
      <c r="V63" s="16"/>
      <c r="W63" s="17"/>
      <c r="X63" s="18">
        <f t="shared" si="9"/>
        <v>0</v>
      </c>
      <c r="Y63" s="19"/>
      <c r="Z63" s="19"/>
      <c r="AA63" s="18">
        <f t="shared" si="10"/>
        <v>0</v>
      </c>
      <c r="AB63" s="20">
        <f t="shared" si="11"/>
        <v>0</v>
      </c>
      <c r="AC63" s="5"/>
      <c r="AD63" s="8"/>
      <c r="AF63" s="6"/>
      <c r="AG63" s="7"/>
      <c r="AJ63" s="33"/>
      <c r="AK63" s="35"/>
      <c r="AL63" s="38"/>
    </row>
    <row r="64" spans="1:38" ht="17.25" customHeight="1">
      <c r="A64" s="25"/>
      <c r="B64" s="26"/>
      <c r="C64" s="14"/>
      <c r="D64" s="31"/>
      <c r="E64" s="14"/>
      <c r="F64" s="15" t="str">
        <f t="shared" si="6"/>
        <v xml:space="preserve">S/F  </v>
      </c>
      <c r="G64" s="16"/>
      <c r="H64" s="17">
        <v>21</v>
      </c>
      <c r="I64" s="18">
        <f t="shared" si="7"/>
        <v>0</v>
      </c>
      <c r="J64" s="17"/>
      <c r="K64" s="18"/>
      <c r="L64" s="16"/>
      <c r="M64" s="17"/>
      <c r="N64" s="18">
        <f t="shared" si="8"/>
        <v>0</v>
      </c>
      <c r="O64" s="19"/>
      <c r="P64" s="18">
        <v>0</v>
      </c>
      <c r="Q64" s="16"/>
      <c r="R64" s="17"/>
      <c r="S64" s="18">
        <v>0</v>
      </c>
      <c r="T64" s="19"/>
      <c r="U64" s="18">
        <v>0</v>
      </c>
      <c r="V64" s="16"/>
      <c r="W64" s="17"/>
      <c r="X64" s="18">
        <f t="shared" si="9"/>
        <v>0</v>
      </c>
      <c r="Y64" s="19"/>
      <c r="Z64" s="19"/>
      <c r="AA64" s="18">
        <f t="shared" si="10"/>
        <v>0</v>
      </c>
      <c r="AB64" s="20">
        <f t="shared" si="11"/>
        <v>0</v>
      </c>
      <c r="AC64" s="5"/>
      <c r="AD64" s="8"/>
      <c r="AF64" s="6"/>
      <c r="AG64" s="7"/>
      <c r="AJ64" s="33"/>
      <c r="AK64" s="35"/>
      <c r="AL64" s="38"/>
    </row>
    <row r="65" spans="1:38" ht="17.25" customHeight="1">
      <c r="A65" s="25"/>
      <c r="B65" s="26"/>
      <c r="C65" s="14"/>
      <c r="D65" s="31"/>
      <c r="E65" s="14"/>
      <c r="F65" s="15" t="str">
        <f t="shared" si="6"/>
        <v xml:space="preserve">S/F  </v>
      </c>
      <c r="G65" s="16"/>
      <c r="H65" s="17">
        <v>21</v>
      </c>
      <c r="I65" s="18">
        <f t="shared" si="7"/>
        <v>0</v>
      </c>
      <c r="J65" s="17"/>
      <c r="K65" s="18"/>
      <c r="L65" s="16"/>
      <c r="M65" s="17"/>
      <c r="N65" s="18">
        <f t="shared" si="8"/>
        <v>0</v>
      </c>
      <c r="O65" s="19"/>
      <c r="P65" s="18">
        <v>0</v>
      </c>
      <c r="Q65" s="16"/>
      <c r="R65" s="17"/>
      <c r="S65" s="18">
        <v>0</v>
      </c>
      <c r="T65" s="19"/>
      <c r="U65" s="18">
        <v>0</v>
      </c>
      <c r="V65" s="16"/>
      <c r="W65" s="17"/>
      <c r="X65" s="18">
        <f t="shared" si="9"/>
        <v>0</v>
      </c>
      <c r="Y65" s="19"/>
      <c r="Z65" s="19"/>
      <c r="AA65" s="18">
        <f t="shared" si="10"/>
        <v>0</v>
      </c>
      <c r="AB65" s="20">
        <f t="shared" si="11"/>
        <v>0</v>
      </c>
      <c r="AC65" s="5"/>
      <c r="AD65" s="8"/>
      <c r="AF65" s="6"/>
      <c r="AG65" s="7"/>
      <c r="AJ65" s="33"/>
      <c r="AK65" s="35"/>
      <c r="AL65" s="38"/>
    </row>
    <row r="66" spans="1:38" ht="17.25" customHeight="1">
      <c r="A66" s="25"/>
      <c r="B66" s="26"/>
      <c r="C66" s="14"/>
      <c r="D66" s="31"/>
      <c r="E66" s="14"/>
      <c r="F66" s="15" t="str">
        <f t="shared" ref="F66:F97" si="12">"S/F "&amp;B66&amp;" "&amp;E66</f>
        <v xml:space="preserve">S/F  </v>
      </c>
      <c r="G66" s="16"/>
      <c r="H66" s="17">
        <v>21</v>
      </c>
      <c r="I66" s="18">
        <f t="shared" ref="I66:I97" si="13">+IF(G66&lt;&gt;0,G66*H66/100,0)</f>
        <v>0</v>
      </c>
      <c r="J66" s="17"/>
      <c r="K66" s="18"/>
      <c r="L66" s="16"/>
      <c r="M66" s="17"/>
      <c r="N66" s="18">
        <f t="shared" ref="N66:N97" si="14">+IF(L66&lt;&gt;0,L66*M66/100,0)</f>
        <v>0</v>
      </c>
      <c r="O66" s="19"/>
      <c r="P66" s="18">
        <v>0</v>
      </c>
      <c r="Q66" s="16"/>
      <c r="R66" s="17"/>
      <c r="S66" s="18">
        <v>0</v>
      </c>
      <c r="T66" s="19"/>
      <c r="U66" s="18">
        <v>0</v>
      </c>
      <c r="V66" s="16"/>
      <c r="W66" s="17"/>
      <c r="X66" s="18">
        <f t="shared" ref="X66:X97" si="15">+IF(W66&lt;&gt;0,V66*W66/100,0)</f>
        <v>0</v>
      </c>
      <c r="Y66" s="19"/>
      <c r="Z66" s="19"/>
      <c r="AA66" s="18">
        <f t="shared" ref="AA66:AA97" si="16">+IF(Z66&lt;&gt;0,Y66*Z66/100,0)</f>
        <v>0</v>
      </c>
      <c r="AB66" s="20">
        <f t="shared" ref="AB66:AB97" si="17">+G66+I66+K66+L66+N66+P66+Q66+S66+U66-X66-AA66</f>
        <v>0</v>
      </c>
      <c r="AC66" s="5"/>
      <c r="AD66" s="8"/>
      <c r="AF66" s="6"/>
      <c r="AG66" s="7"/>
      <c r="AJ66" s="33"/>
      <c r="AK66" s="35"/>
      <c r="AL66" s="38"/>
    </row>
    <row r="67" spans="1:38" ht="17.25" customHeight="1">
      <c r="A67" s="25"/>
      <c r="B67" s="26"/>
      <c r="C67" s="14"/>
      <c r="D67" s="31"/>
      <c r="E67" s="14"/>
      <c r="F67" s="15" t="str">
        <f t="shared" si="12"/>
        <v xml:space="preserve">S/F  </v>
      </c>
      <c r="G67" s="16"/>
      <c r="H67" s="17">
        <v>21</v>
      </c>
      <c r="I67" s="18">
        <f t="shared" si="13"/>
        <v>0</v>
      </c>
      <c r="J67" s="17"/>
      <c r="K67" s="18"/>
      <c r="L67" s="16"/>
      <c r="M67" s="17"/>
      <c r="N67" s="18">
        <f t="shared" si="14"/>
        <v>0</v>
      </c>
      <c r="O67" s="19"/>
      <c r="P67" s="18">
        <v>0</v>
      </c>
      <c r="Q67" s="16"/>
      <c r="R67" s="17"/>
      <c r="S67" s="18">
        <v>0</v>
      </c>
      <c r="T67" s="19"/>
      <c r="U67" s="18">
        <v>0</v>
      </c>
      <c r="V67" s="16"/>
      <c r="W67" s="17"/>
      <c r="X67" s="18">
        <f t="shared" si="15"/>
        <v>0</v>
      </c>
      <c r="Y67" s="19"/>
      <c r="Z67" s="19"/>
      <c r="AA67" s="18">
        <f t="shared" si="16"/>
        <v>0</v>
      </c>
      <c r="AB67" s="20">
        <f t="shared" si="17"/>
        <v>0</v>
      </c>
      <c r="AC67" s="5"/>
      <c r="AD67" s="8"/>
      <c r="AF67" s="6"/>
      <c r="AG67" s="7"/>
      <c r="AJ67" s="33"/>
      <c r="AK67" s="35"/>
      <c r="AL67" s="38"/>
    </row>
    <row r="68" spans="1:38" ht="17.25" customHeight="1">
      <c r="A68" s="25"/>
      <c r="B68" s="26"/>
      <c r="C68" s="14"/>
      <c r="D68" s="31"/>
      <c r="E68" s="14"/>
      <c r="F68" s="15" t="str">
        <f t="shared" si="12"/>
        <v xml:space="preserve">S/F  </v>
      </c>
      <c r="G68" s="16"/>
      <c r="H68" s="17">
        <v>21</v>
      </c>
      <c r="I68" s="18">
        <f t="shared" si="13"/>
        <v>0</v>
      </c>
      <c r="J68" s="17"/>
      <c r="K68" s="18"/>
      <c r="L68" s="16"/>
      <c r="M68" s="17"/>
      <c r="N68" s="18">
        <f t="shared" si="14"/>
        <v>0</v>
      </c>
      <c r="O68" s="19"/>
      <c r="P68" s="18">
        <v>0</v>
      </c>
      <c r="Q68" s="16"/>
      <c r="R68" s="17"/>
      <c r="S68" s="18">
        <v>0</v>
      </c>
      <c r="T68" s="19"/>
      <c r="U68" s="18">
        <v>0</v>
      </c>
      <c r="V68" s="16"/>
      <c r="W68" s="17"/>
      <c r="X68" s="18">
        <f t="shared" si="15"/>
        <v>0</v>
      </c>
      <c r="Y68" s="19"/>
      <c r="Z68" s="19"/>
      <c r="AA68" s="18">
        <f t="shared" si="16"/>
        <v>0</v>
      </c>
      <c r="AB68" s="20">
        <f t="shared" si="17"/>
        <v>0</v>
      </c>
      <c r="AC68" s="5"/>
      <c r="AD68" s="8"/>
      <c r="AF68" s="6"/>
      <c r="AG68" s="7"/>
      <c r="AJ68" s="33"/>
      <c r="AK68" s="35"/>
      <c r="AL68" s="38"/>
    </row>
    <row r="69" spans="1:38" ht="17.25" customHeight="1">
      <c r="A69" s="25"/>
      <c r="B69" s="26"/>
      <c r="C69" s="14"/>
      <c r="D69" s="31"/>
      <c r="E69" s="14"/>
      <c r="F69" s="15" t="str">
        <f t="shared" si="12"/>
        <v xml:space="preserve">S/F  </v>
      </c>
      <c r="G69" s="16"/>
      <c r="H69" s="17">
        <v>21</v>
      </c>
      <c r="I69" s="18">
        <f t="shared" si="13"/>
        <v>0</v>
      </c>
      <c r="J69" s="17"/>
      <c r="K69" s="18"/>
      <c r="L69" s="16"/>
      <c r="M69" s="17"/>
      <c r="N69" s="18">
        <f t="shared" si="14"/>
        <v>0</v>
      </c>
      <c r="O69" s="19"/>
      <c r="P69" s="18">
        <v>0</v>
      </c>
      <c r="Q69" s="16"/>
      <c r="R69" s="17"/>
      <c r="S69" s="18">
        <v>0</v>
      </c>
      <c r="T69" s="19"/>
      <c r="U69" s="18">
        <v>0</v>
      </c>
      <c r="V69" s="16"/>
      <c r="W69" s="17"/>
      <c r="X69" s="18">
        <f t="shared" si="15"/>
        <v>0</v>
      </c>
      <c r="Y69" s="19"/>
      <c r="Z69" s="19"/>
      <c r="AA69" s="18">
        <f t="shared" si="16"/>
        <v>0</v>
      </c>
      <c r="AB69" s="20">
        <f t="shared" si="17"/>
        <v>0</v>
      </c>
      <c r="AC69" s="5"/>
      <c r="AD69" s="8"/>
      <c r="AF69" s="6"/>
      <c r="AG69" s="7"/>
      <c r="AJ69" s="33"/>
      <c r="AK69" s="35"/>
      <c r="AL69" s="38"/>
    </row>
    <row r="70" spans="1:38" ht="17.25" customHeight="1">
      <c r="A70" s="25"/>
      <c r="B70" s="26"/>
      <c r="C70" s="14"/>
      <c r="D70" s="31"/>
      <c r="E70" s="14"/>
      <c r="F70" s="15" t="str">
        <f t="shared" si="12"/>
        <v xml:space="preserve">S/F  </v>
      </c>
      <c r="G70" s="16"/>
      <c r="H70" s="17">
        <v>21</v>
      </c>
      <c r="I70" s="18">
        <f t="shared" si="13"/>
        <v>0</v>
      </c>
      <c r="J70" s="17"/>
      <c r="K70" s="18"/>
      <c r="L70" s="16"/>
      <c r="M70" s="17"/>
      <c r="N70" s="18">
        <f t="shared" si="14"/>
        <v>0</v>
      </c>
      <c r="O70" s="19"/>
      <c r="P70" s="18">
        <v>0</v>
      </c>
      <c r="Q70" s="16"/>
      <c r="R70" s="17"/>
      <c r="S70" s="18">
        <v>0</v>
      </c>
      <c r="T70" s="19"/>
      <c r="U70" s="18">
        <v>0</v>
      </c>
      <c r="V70" s="16"/>
      <c r="W70" s="17"/>
      <c r="X70" s="18">
        <f t="shared" si="15"/>
        <v>0</v>
      </c>
      <c r="Y70" s="19"/>
      <c r="Z70" s="19"/>
      <c r="AA70" s="18">
        <f t="shared" si="16"/>
        <v>0</v>
      </c>
      <c r="AB70" s="20">
        <f t="shared" si="17"/>
        <v>0</v>
      </c>
      <c r="AC70" s="5"/>
      <c r="AD70" s="8"/>
      <c r="AF70" s="6"/>
      <c r="AG70" s="7"/>
      <c r="AJ70" s="33"/>
      <c r="AK70" s="35"/>
      <c r="AL70" s="38"/>
    </row>
    <row r="71" spans="1:38" ht="17.25" customHeight="1">
      <c r="A71" s="25"/>
      <c r="B71" s="26"/>
      <c r="C71" s="14"/>
      <c r="D71" s="31"/>
      <c r="E71" s="14"/>
      <c r="F71" s="15" t="str">
        <f t="shared" si="12"/>
        <v xml:space="preserve">S/F  </v>
      </c>
      <c r="G71" s="16"/>
      <c r="H71" s="17">
        <v>21</v>
      </c>
      <c r="I71" s="18">
        <f t="shared" si="13"/>
        <v>0</v>
      </c>
      <c r="J71" s="17"/>
      <c r="K71" s="18"/>
      <c r="L71" s="16"/>
      <c r="M71" s="17"/>
      <c r="N71" s="18">
        <f t="shared" si="14"/>
        <v>0</v>
      </c>
      <c r="O71" s="19"/>
      <c r="P71" s="18">
        <v>0</v>
      </c>
      <c r="Q71" s="16"/>
      <c r="R71" s="17"/>
      <c r="S71" s="18">
        <v>0</v>
      </c>
      <c r="T71" s="19"/>
      <c r="U71" s="18">
        <v>0</v>
      </c>
      <c r="V71" s="16"/>
      <c r="W71" s="17"/>
      <c r="X71" s="18">
        <f t="shared" si="15"/>
        <v>0</v>
      </c>
      <c r="Y71" s="19"/>
      <c r="Z71" s="19"/>
      <c r="AA71" s="18">
        <f t="shared" si="16"/>
        <v>0</v>
      </c>
      <c r="AB71" s="20">
        <f t="shared" si="17"/>
        <v>0</v>
      </c>
      <c r="AC71" s="5"/>
      <c r="AD71" s="8"/>
      <c r="AF71" s="6"/>
      <c r="AG71" s="7"/>
      <c r="AJ71" s="33"/>
      <c r="AK71" s="35"/>
      <c r="AL71" s="38"/>
    </row>
    <row r="72" spans="1:38" ht="17.25" customHeight="1">
      <c r="A72" s="25"/>
      <c r="B72" s="26"/>
      <c r="C72" s="14"/>
      <c r="D72" s="31"/>
      <c r="E72" s="14"/>
      <c r="F72" s="15" t="str">
        <f t="shared" si="12"/>
        <v xml:space="preserve">S/F  </v>
      </c>
      <c r="G72" s="16"/>
      <c r="H72" s="17">
        <v>21</v>
      </c>
      <c r="I72" s="18">
        <f t="shared" si="13"/>
        <v>0</v>
      </c>
      <c r="J72" s="17"/>
      <c r="K72" s="18"/>
      <c r="L72" s="16"/>
      <c r="M72" s="17"/>
      <c r="N72" s="18">
        <f t="shared" si="14"/>
        <v>0</v>
      </c>
      <c r="O72" s="19"/>
      <c r="P72" s="18">
        <v>0</v>
      </c>
      <c r="Q72" s="16"/>
      <c r="R72" s="17"/>
      <c r="S72" s="18">
        <v>0</v>
      </c>
      <c r="T72" s="19"/>
      <c r="U72" s="18">
        <v>0</v>
      </c>
      <c r="V72" s="16"/>
      <c r="W72" s="17"/>
      <c r="X72" s="18">
        <f t="shared" si="15"/>
        <v>0</v>
      </c>
      <c r="Y72" s="19"/>
      <c r="Z72" s="19"/>
      <c r="AA72" s="18">
        <f t="shared" si="16"/>
        <v>0</v>
      </c>
      <c r="AB72" s="20">
        <f t="shared" si="17"/>
        <v>0</v>
      </c>
      <c r="AC72" s="5"/>
      <c r="AD72" s="8"/>
      <c r="AF72" s="6"/>
      <c r="AG72" s="7"/>
      <c r="AJ72" s="33"/>
      <c r="AK72" s="35"/>
      <c r="AL72" s="38"/>
    </row>
    <row r="73" spans="1:38" ht="17.25" customHeight="1">
      <c r="A73" s="25"/>
      <c r="B73" s="26"/>
      <c r="C73" s="14"/>
      <c r="D73" s="31"/>
      <c r="E73" s="14"/>
      <c r="F73" s="15" t="str">
        <f t="shared" si="12"/>
        <v xml:space="preserve">S/F  </v>
      </c>
      <c r="G73" s="16"/>
      <c r="H73" s="17">
        <v>21</v>
      </c>
      <c r="I73" s="18">
        <f t="shared" si="13"/>
        <v>0</v>
      </c>
      <c r="J73" s="17"/>
      <c r="K73" s="18"/>
      <c r="L73" s="16"/>
      <c r="M73" s="17"/>
      <c r="N73" s="18">
        <f t="shared" si="14"/>
        <v>0</v>
      </c>
      <c r="O73" s="19"/>
      <c r="P73" s="18">
        <v>0</v>
      </c>
      <c r="Q73" s="16"/>
      <c r="R73" s="17"/>
      <c r="S73" s="18">
        <v>0</v>
      </c>
      <c r="T73" s="19"/>
      <c r="U73" s="18">
        <v>0</v>
      </c>
      <c r="V73" s="16"/>
      <c r="W73" s="17"/>
      <c r="X73" s="18">
        <f t="shared" si="15"/>
        <v>0</v>
      </c>
      <c r="Y73" s="19"/>
      <c r="Z73" s="19"/>
      <c r="AA73" s="18">
        <f t="shared" si="16"/>
        <v>0</v>
      </c>
      <c r="AB73" s="20">
        <f t="shared" si="17"/>
        <v>0</v>
      </c>
      <c r="AC73" s="5"/>
      <c r="AD73" s="8"/>
      <c r="AF73" s="6"/>
      <c r="AG73" s="7"/>
      <c r="AJ73" s="33"/>
      <c r="AK73" s="35"/>
      <c r="AL73" s="38"/>
    </row>
    <row r="74" spans="1:38" ht="17.25" customHeight="1">
      <c r="A74" s="25"/>
      <c r="B74" s="26"/>
      <c r="C74" s="14"/>
      <c r="D74" s="31"/>
      <c r="E74" s="14"/>
      <c r="F74" s="15" t="str">
        <f t="shared" si="12"/>
        <v xml:space="preserve">S/F  </v>
      </c>
      <c r="G74" s="16"/>
      <c r="H74" s="17">
        <v>21</v>
      </c>
      <c r="I74" s="18">
        <f t="shared" si="13"/>
        <v>0</v>
      </c>
      <c r="J74" s="17"/>
      <c r="K74" s="18"/>
      <c r="L74" s="16"/>
      <c r="M74" s="17"/>
      <c r="N74" s="18">
        <f t="shared" si="14"/>
        <v>0</v>
      </c>
      <c r="O74" s="19"/>
      <c r="P74" s="18">
        <v>0</v>
      </c>
      <c r="Q74" s="16"/>
      <c r="R74" s="17"/>
      <c r="S74" s="18">
        <v>0</v>
      </c>
      <c r="T74" s="19"/>
      <c r="U74" s="18">
        <v>0</v>
      </c>
      <c r="V74" s="16"/>
      <c r="W74" s="17"/>
      <c r="X74" s="18">
        <f t="shared" si="15"/>
        <v>0</v>
      </c>
      <c r="Y74" s="19"/>
      <c r="Z74" s="19"/>
      <c r="AA74" s="18">
        <f t="shared" si="16"/>
        <v>0</v>
      </c>
      <c r="AB74" s="20">
        <f t="shared" si="17"/>
        <v>0</v>
      </c>
      <c r="AC74" s="5"/>
      <c r="AD74" s="8"/>
      <c r="AF74" s="6"/>
      <c r="AG74" s="7"/>
      <c r="AJ74" s="33"/>
      <c r="AK74" s="35"/>
      <c r="AL74" s="38"/>
    </row>
    <row r="75" spans="1:38" ht="17.25" customHeight="1">
      <c r="A75" s="25"/>
      <c r="B75" s="26"/>
      <c r="C75" s="14"/>
      <c r="D75" s="31"/>
      <c r="E75" s="14"/>
      <c r="F75" s="15" t="str">
        <f t="shared" si="12"/>
        <v xml:space="preserve">S/F  </v>
      </c>
      <c r="G75" s="16"/>
      <c r="H75" s="17">
        <v>21</v>
      </c>
      <c r="I75" s="18">
        <f t="shared" si="13"/>
        <v>0</v>
      </c>
      <c r="J75" s="17"/>
      <c r="K75" s="18"/>
      <c r="L75" s="16"/>
      <c r="M75" s="17"/>
      <c r="N75" s="18">
        <f t="shared" si="14"/>
        <v>0</v>
      </c>
      <c r="O75" s="19"/>
      <c r="P75" s="18">
        <v>0</v>
      </c>
      <c r="Q75" s="16"/>
      <c r="R75" s="17"/>
      <c r="S75" s="18">
        <v>0</v>
      </c>
      <c r="T75" s="19"/>
      <c r="U75" s="18">
        <v>0</v>
      </c>
      <c r="V75" s="16"/>
      <c r="W75" s="17"/>
      <c r="X75" s="18">
        <f t="shared" si="15"/>
        <v>0</v>
      </c>
      <c r="Y75" s="19"/>
      <c r="Z75" s="19"/>
      <c r="AA75" s="18">
        <f t="shared" si="16"/>
        <v>0</v>
      </c>
      <c r="AB75" s="20">
        <f t="shared" si="17"/>
        <v>0</v>
      </c>
      <c r="AC75" s="5"/>
      <c r="AD75" s="8"/>
      <c r="AF75" s="6"/>
      <c r="AG75" s="7"/>
      <c r="AJ75" s="33"/>
      <c r="AK75" s="35"/>
      <c r="AL75" s="38"/>
    </row>
    <row r="76" spans="1:38" ht="17.25" customHeight="1">
      <c r="A76" s="25"/>
      <c r="B76" s="26"/>
      <c r="C76" s="14"/>
      <c r="D76" s="31"/>
      <c r="E76" s="14"/>
      <c r="F76" s="15" t="str">
        <f t="shared" si="12"/>
        <v xml:space="preserve">S/F  </v>
      </c>
      <c r="G76" s="16"/>
      <c r="H76" s="17">
        <v>21</v>
      </c>
      <c r="I76" s="18">
        <f t="shared" si="13"/>
        <v>0</v>
      </c>
      <c r="J76" s="17"/>
      <c r="K76" s="18"/>
      <c r="L76" s="16"/>
      <c r="M76" s="17"/>
      <c r="N76" s="18">
        <f t="shared" si="14"/>
        <v>0</v>
      </c>
      <c r="O76" s="19"/>
      <c r="P76" s="18">
        <v>0</v>
      </c>
      <c r="Q76" s="16"/>
      <c r="R76" s="17"/>
      <c r="S76" s="18">
        <v>0</v>
      </c>
      <c r="T76" s="19"/>
      <c r="U76" s="18">
        <v>0</v>
      </c>
      <c r="V76" s="16"/>
      <c r="W76" s="17"/>
      <c r="X76" s="18">
        <f t="shared" si="15"/>
        <v>0</v>
      </c>
      <c r="Y76" s="19"/>
      <c r="Z76" s="19"/>
      <c r="AA76" s="18">
        <f t="shared" si="16"/>
        <v>0</v>
      </c>
      <c r="AB76" s="20">
        <f t="shared" si="17"/>
        <v>0</v>
      </c>
      <c r="AC76" s="5"/>
      <c r="AD76" s="8"/>
      <c r="AF76" s="6"/>
      <c r="AG76" s="7"/>
      <c r="AJ76" s="33"/>
      <c r="AK76" s="35"/>
      <c r="AL76" s="38"/>
    </row>
    <row r="77" spans="1:38" ht="17.25" customHeight="1">
      <c r="A77" s="25"/>
      <c r="B77" s="26"/>
      <c r="C77" s="14"/>
      <c r="D77" s="31"/>
      <c r="E77" s="14"/>
      <c r="F77" s="15" t="str">
        <f t="shared" si="12"/>
        <v xml:space="preserve">S/F  </v>
      </c>
      <c r="G77" s="16"/>
      <c r="H77" s="17">
        <v>21</v>
      </c>
      <c r="I77" s="18">
        <f t="shared" si="13"/>
        <v>0</v>
      </c>
      <c r="J77" s="17"/>
      <c r="K77" s="18"/>
      <c r="L77" s="16"/>
      <c r="M77" s="17"/>
      <c r="N77" s="18">
        <f t="shared" si="14"/>
        <v>0</v>
      </c>
      <c r="O77" s="19"/>
      <c r="P77" s="18">
        <v>0</v>
      </c>
      <c r="Q77" s="16"/>
      <c r="R77" s="17"/>
      <c r="S77" s="18">
        <v>0</v>
      </c>
      <c r="T77" s="19"/>
      <c r="U77" s="18">
        <v>0</v>
      </c>
      <c r="V77" s="16"/>
      <c r="W77" s="17"/>
      <c r="X77" s="18">
        <f t="shared" si="15"/>
        <v>0</v>
      </c>
      <c r="Y77" s="19"/>
      <c r="Z77" s="19"/>
      <c r="AA77" s="18">
        <f t="shared" si="16"/>
        <v>0</v>
      </c>
      <c r="AB77" s="20">
        <f t="shared" si="17"/>
        <v>0</v>
      </c>
      <c r="AC77" s="5"/>
      <c r="AD77" s="8"/>
      <c r="AF77" s="6"/>
      <c r="AG77" s="7"/>
      <c r="AJ77" s="33"/>
      <c r="AK77" s="35"/>
      <c r="AL77" s="38"/>
    </row>
    <row r="78" spans="1:38" ht="17.25" customHeight="1">
      <c r="A78" s="25"/>
      <c r="B78" s="26"/>
      <c r="C78" s="14"/>
      <c r="D78" s="31"/>
      <c r="E78" s="14"/>
      <c r="F78" s="15" t="str">
        <f t="shared" si="12"/>
        <v xml:space="preserve">S/F  </v>
      </c>
      <c r="G78" s="16"/>
      <c r="H78" s="17">
        <v>21</v>
      </c>
      <c r="I78" s="18">
        <f t="shared" si="13"/>
        <v>0</v>
      </c>
      <c r="J78" s="17"/>
      <c r="K78" s="18"/>
      <c r="L78" s="16"/>
      <c r="M78" s="17"/>
      <c r="N78" s="18">
        <f t="shared" si="14"/>
        <v>0</v>
      </c>
      <c r="O78" s="19"/>
      <c r="P78" s="18">
        <v>0</v>
      </c>
      <c r="Q78" s="16"/>
      <c r="R78" s="17"/>
      <c r="S78" s="18">
        <v>0</v>
      </c>
      <c r="T78" s="19"/>
      <c r="U78" s="18">
        <v>0</v>
      </c>
      <c r="V78" s="16"/>
      <c r="W78" s="17"/>
      <c r="X78" s="18">
        <f t="shared" si="15"/>
        <v>0</v>
      </c>
      <c r="Y78" s="19"/>
      <c r="Z78" s="19"/>
      <c r="AA78" s="18">
        <f t="shared" si="16"/>
        <v>0</v>
      </c>
      <c r="AB78" s="20">
        <f t="shared" si="17"/>
        <v>0</v>
      </c>
      <c r="AC78" s="5"/>
      <c r="AD78" s="8"/>
      <c r="AF78" s="6"/>
      <c r="AG78" s="7"/>
      <c r="AJ78" s="33"/>
      <c r="AK78" s="35"/>
      <c r="AL78" s="38"/>
    </row>
    <row r="79" spans="1:38" ht="17.25" customHeight="1">
      <c r="A79" s="25"/>
      <c r="B79" s="26"/>
      <c r="C79" s="14"/>
      <c r="D79" s="31"/>
      <c r="E79" s="14"/>
      <c r="F79" s="15" t="str">
        <f t="shared" si="12"/>
        <v xml:space="preserve">S/F  </v>
      </c>
      <c r="G79" s="16"/>
      <c r="H79" s="17">
        <v>21</v>
      </c>
      <c r="I79" s="18">
        <f t="shared" si="13"/>
        <v>0</v>
      </c>
      <c r="J79" s="17"/>
      <c r="K79" s="18"/>
      <c r="L79" s="16"/>
      <c r="M79" s="17"/>
      <c r="N79" s="18">
        <f t="shared" si="14"/>
        <v>0</v>
      </c>
      <c r="O79" s="19"/>
      <c r="P79" s="18">
        <v>0</v>
      </c>
      <c r="Q79" s="16"/>
      <c r="R79" s="17"/>
      <c r="S79" s="18">
        <v>0</v>
      </c>
      <c r="T79" s="19"/>
      <c r="U79" s="18">
        <v>0</v>
      </c>
      <c r="V79" s="16"/>
      <c r="W79" s="17"/>
      <c r="X79" s="18">
        <f t="shared" si="15"/>
        <v>0</v>
      </c>
      <c r="Y79" s="19"/>
      <c r="Z79" s="19"/>
      <c r="AA79" s="18">
        <f t="shared" si="16"/>
        <v>0</v>
      </c>
      <c r="AB79" s="20">
        <f t="shared" si="17"/>
        <v>0</v>
      </c>
      <c r="AC79" s="5"/>
      <c r="AD79" s="8"/>
      <c r="AF79" s="6"/>
      <c r="AG79" s="7"/>
      <c r="AJ79" s="33"/>
      <c r="AK79" s="35"/>
      <c r="AL79" s="38"/>
    </row>
    <row r="80" spans="1:38" ht="17.25" customHeight="1">
      <c r="A80" s="25"/>
      <c r="B80" s="26"/>
      <c r="C80" s="14"/>
      <c r="D80" s="31"/>
      <c r="E80" s="14"/>
      <c r="F80" s="15" t="str">
        <f t="shared" si="12"/>
        <v xml:space="preserve">S/F  </v>
      </c>
      <c r="G80" s="16"/>
      <c r="H80" s="17">
        <v>21</v>
      </c>
      <c r="I80" s="18">
        <f t="shared" si="13"/>
        <v>0</v>
      </c>
      <c r="J80" s="17"/>
      <c r="K80" s="18"/>
      <c r="L80" s="16"/>
      <c r="M80" s="17"/>
      <c r="N80" s="18">
        <f t="shared" si="14"/>
        <v>0</v>
      </c>
      <c r="O80" s="19"/>
      <c r="P80" s="18">
        <v>0</v>
      </c>
      <c r="Q80" s="16"/>
      <c r="R80" s="17"/>
      <c r="S80" s="18">
        <v>0</v>
      </c>
      <c r="T80" s="19"/>
      <c r="U80" s="18">
        <v>0</v>
      </c>
      <c r="V80" s="16"/>
      <c r="W80" s="17"/>
      <c r="X80" s="18">
        <f t="shared" si="15"/>
        <v>0</v>
      </c>
      <c r="Y80" s="19"/>
      <c r="Z80" s="19"/>
      <c r="AA80" s="18">
        <f t="shared" si="16"/>
        <v>0</v>
      </c>
      <c r="AB80" s="20">
        <f t="shared" si="17"/>
        <v>0</v>
      </c>
      <c r="AC80" s="5"/>
      <c r="AD80" s="8"/>
      <c r="AF80" s="6"/>
      <c r="AG80" s="7"/>
      <c r="AJ80" s="33"/>
      <c r="AK80" s="35"/>
      <c r="AL80" s="38"/>
    </row>
    <row r="81" spans="1:38" ht="17.25" customHeight="1">
      <c r="A81" s="25"/>
      <c r="B81" s="26"/>
      <c r="C81" s="14"/>
      <c r="D81" s="31"/>
      <c r="E81" s="14"/>
      <c r="F81" s="15" t="str">
        <f t="shared" si="12"/>
        <v xml:space="preserve">S/F  </v>
      </c>
      <c r="G81" s="16"/>
      <c r="H81" s="17">
        <v>21</v>
      </c>
      <c r="I81" s="18">
        <f t="shared" si="13"/>
        <v>0</v>
      </c>
      <c r="J81" s="17"/>
      <c r="K81" s="18"/>
      <c r="L81" s="16"/>
      <c r="M81" s="17"/>
      <c r="N81" s="18">
        <f t="shared" si="14"/>
        <v>0</v>
      </c>
      <c r="O81" s="19"/>
      <c r="P81" s="18">
        <v>0</v>
      </c>
      <c r="Q81" s="16"/>
      <c r="R81" s="17"/>
      <c r="S81" s="18">
        <v>0</v>
      </c>
      <c r="T81" s="19"/>
      <c r="U81" s="18">
        <v>0</v>
      </c>
      <c r="V81" s="16"/>
      <c r="W81" s="17"/>
      <c r="X81" s="18">
        <f t="shared" si="15"/>
        <v>0</v>
      </c>
      <c r="Y81" s="19"/>
      <c r="Z81" s="19"/>
      <c r="AA81" s="18">
        <f t="shared" si="16"/>
        <v>0</v>
      </c>
      <c r="AB81" s="20">
        <f t="shared" si="17"/>
        <v>0</v>
      </c>
      <c r="AC81" s="5"/>
      <c r="AD81" s="8"/>
      <c r="AF81" s="6"/>
      <c r="AG81" s="7"/>
      <c r="AJ81" s="33"/>
      <c r="AK81" s="35"/>
      <c r="AL81" s="38"/>
    </row>
    <row r="82" spans="1:38" ht="17.25" customHeight="1">
      <c r="A82" s="25"/>
      <c r="B82" s="26"/>
      <c r="C82" s="14"/>
      <c r="D82" s="31"/>
      <c r="E82" s="14"/>
      <c r="F82" s="15" t="str">
        <f t="shared" si="12"/>
        <v xml:space="preserve">S/F  </v>
      </c>
      <c r="G82" s="16"/>
      <c r="H82" s="17">
        <v>21</v>
      </c>
      <c r="I82" s="18">
        <f t="shared" si="13"/>
        <v>0</v>
      </c>
      <c r="J82" s="17"/>
      <c r="K82" s="18"/>
      <c r="L82" s="16"/>
      <c r="M82" s="17"/>
      <c r="N82" s="18">
        <f t="shared" si="14"/>
        <v>0</v>
      </c>
      <c r="O82" s="19"/>
      <c r="P82" s="18">
        <v>0</v>
      </c>
      <c r="Q82" s="16"/>
      <c r="R82" s="17"/>
      <c r="S82" s="18">
        <v>0</v>
      </c>
      <c r="T82" s="19"/>
      <c r="U82" s="18">
        <v>0</v>
      </c>
      <c r="V82" s="16"/>
      <c r="W82" s="17"/>
      <c r="X82" s="18">
        <f t="shared" si="15"/>
        <v>0</v>
      </c>
      <c r="Y82" s="19"/>
      <c r="Z82" s="19"/>
      <c r="AA82" s="18">
        <f t="shared" si="16"/>
        <v>0</v>
      </c>
      <c r="AB82" s="20">
        <f t="shared" si="17"/>
        <v>0</v>
      </c>
      <c r="AC82" s="5"/>
      <c r="AD82" s="8"/>
      <c r="AF82" s="6"/>
      <c r="AG82" s="7"/>
      <c r="AJ82" s="33"/>
      <c r="AK82" s="35"/>
      <c r="AL82" s="38"/>
    </row>
    <row r="83" spans="1:38" ht="17.25" customHeight="1">
      <c r="A83" s="25"/>
      <c r="B83" s="26"/>
      <c r="C83" s="14"/>
      <c r="D83" s="31"/>
      <c r="E83" s="14"/>
      <c r="F83" s="15" t="str">
        <f t="shared" si="12"/>
        <v xml:space="preserve">S/F  </v>
      </c>
      <c r="G83" s="16"/>
      <c r="H83" s="17">
        <v>21</v>
      </c>
      <c r="I83" s="18">
        <f t="shared" si="13"/>
        <v>0</v>
      </c>
      <c r="J83" s="17"/>
      <c r="K83" s="18"/>
      <c r="L83" s="16"/>
      <c r="M83" s="17"/>
      <c r="N83" s="18">
        <f t="shared" si="14"/>
        <v>0</v>
      </c>
      <c r="O83" s="19"/>
      <c r="P83" s="18">
        <v>0</v>
      </c>
      <c r="Q83" s="16"/>
      <c r="R83" s="17"/>
      <c r="S83" s="18">
        <v>0</v>
      </c>
      <c r="T83" s="19"/>
      <c r="U83" s="18">
        <v>0</v>
      </c>
      <c r="V83" s="16"/>
      <c r="W83" s="17"/>
      <c r="X83" s="18">
        <f t="shared" si="15"/>
        <v>0</v>
      </c>
      <c r="Y83" s="19"/>
      <c r="Z83" s="19"/>
      <c r="AA83" s="18">
        <f t="shared" si="16"/>
        <v>0</v>
      </c>
      <c r="AB83" s="20">
        <f t="shared" si="17"/>
        <v>0</v>
      </c>
      <c r="AC83" s="5"/>
      <c r="AD83" s="8"/>
      <c r="AF83" s="6"/>
      <c r="AG83" s="7"/>
      <c r="AJ83" s="33"/>
      <c r="AK83" s="35"/>
      <c r="AL83" s="38"/>
    </row>
    <row r="84" spans="1:38" ht="17.25" customHeight="1">
      <c r="A84" s="25"/>
      <c r="B84" s="26"/>
      <c r="C84" s="14"/>
      <c r="D84" s="31"/>
      <c r="E84" s="14"/>
      <c r="F84" s="15" t="str">
        <f t="shared" si="12"/>
        <v xml:space="preserve">S/F  </v>
      </c>
      <c r="G84" s="16"/>
      <c r="H84" s="17">
        <v>21</v>
      </c>
      <c r="I84" s="18">
        <f t="shared" si="13"/>
        <v>0</v>
      </c>
      <c r="J84" s="17"/>
      <c r="K84" s="18"/>
      <c r="L84" s="16"/>
      <c r="M84" s="17"/>
      <c r="N84" s="18">
        <f t="shared" si="14"/>
        <v>0</v>
      </c>
      <c r="O84" s="19"/>
      <c r="P84" s="18">
        <v>0</v>
      </c>
      <c r="Q84" s="16"/>
      <c r="R84" s="17"/>
      <c r="S84" s="18">
        <v>0</v>
      </c>
      <c r="T84" s="19"/>
      <c r="U84" s="18">
        <v>0</v>
      </c>
      <c r="V84" s="16"/>
      <c r="W84" s="17"/>
      <c r="X84" s="18">
        <f t="shared" si="15"/>
        <v>0</v>
      </c>
      <c r="Y84" s="19"/>
      <c r="Z84" s="19"/>
      <c r="AA84" s="18">
        <f t="shared" si="16"/>
        <v>0</v>
      </c>
      <c r="AB84" s="20">
        <f t="shared" si="17"/>
        <v>0</v>
      </c>
      <c r="AC84" s="5"/>
      <c r="AD84" s="8"/>
      <c r="AF84" s="6"/>
      <c r="AG84" s="7"/>
      <c r="AJ84" s="33"/>
      <c r="AK84" s="35"/>
      <c r="AL84" s="38"/>
    </row>
    <row r="85" spans="1:38" ht="17.25" customHeight="1">
      <c r="A85" s="25"/>
      <c r="B85" s="26"/>
      <c r="C85" s="14"/>
      <c r="D85" s="31"/>
      <c r="E85" s="14"/>
      <c r="F85" s="15" t="str">
        <f t="shared" si="12"/>
        <v xml:space="preserve">S/F  </v>
      </c>
      <c r="G85" s="16"/>
      <c r="H85" s="17">
        <v>21</v>
      </c>
      <c r="I85" s="18">
        <f t="shared" si="13"/>
        <v>0</v>
      </c>
      <c r="J85" s="17"/>
      <c r="K85" s="18"/>
      <c r="L85" s="16"/>
      <c r="M85" s="17"/>
      <c r="N85" s="18">
        <f t="shared" si="14"/>
        <v>0</v>
      </c>
      <c r="O85" s="19"/>
      <c r="P85" s="18">
        <v>0</v>
      </c>
      <c r="Q85" s="16"/>
      <c r="R85" s="17"/>
      <c r="S85" s="18">
        <v>0</v>
      </c>
      <c r="T85" s="19"/>
      <c r="U85" s="18">
        <v>0</v>
      </c>
      <c r="V85" s="16"/>
      <c r="W85" s="17"/>
      <c r="X85" s="18">
        <f t="shared" si="15"/>
        <v>0</v>
      </c>
      <c r="Y85" s="19"/>
      <c r="Z85" s="19"/>
      <c r="AA85" s="18">
        <f t="shared" si="16"/>
        <v>0</v>
      </c>
      <c r="AB85" s="20">
        <f t="shared" si="17"/>
        <v>0</v>
      </c>
      <c r="AC85" s="5"/>
      <c r="AD85" s="8"/>
      <c r="AF85" s="6"/>
      <c r="AG85" s="7"/>
      <c r="AJ85" s="33"/>
      <c r="AK85" s="35"/>
      <c r="AL85" s="38"/>
    </row>
    <row r="86" spans="1:38" ht="17.25" customHeight="1">
      <c r="A86" s="25"/>
      <c r="B86" s="26"/>
      <c r="C86" s="14"/>
      <c r="D86" s="26"/>
      <c r="E86" s="14"/>
      <c r="F86" s="15" t="str">
        <f t="shared" si="12"/>
        <v xml:space="preserve">S/F  </v>
      </c>
      <c r="G86" s="16"/>
      <c r="H86" s="17">
        <v>21</v>
      </c>
      <c r="I86" s="18">
        <f t="shared" si="13"/>
        <v>0</v>
      </c>
      <c r="J86" s="17"/>
      <c r="K86" s="18"/>
      <c r="L86" s="16"/>
      <c r="M86" s="17"/>
      <c r="N86" s="18">
        <f t="shared" si="14"/>
        <v>0</v>
      </c>
      <c r="O86" s="19"/>
      <c r="P86" s="18">
        <v>0</v>
      </c>
      <c r="Q86" s="16"/>
      <c r="R86" s="17"/>
      <c r="S86" s="18">
        <v>0</v>
      </c>
      <c r="T86" s="19"/>
      <c r="U86" s="18">
        <v>0</v>
      </c>
      <c r="V86" s="16"/>
      <c r="W86" s="17"/>
      <c r="X86" s="18">
        <f t="shared" si="15"/>
        <v>0</v>
      </c>
      <c r="Y86" s="19"/>
      <c r="Z86" s="19"/>
      <c r="AA86" s="18">
        <f t="shared" si="16"/>
        <v>0</v>
      </c>
      <c r="AB86" s="20">
        <f t="shared" si="17"/>
        <v>0</v>
      </c>
      <c r="AC86" s="5"/>
      <c r="AD86" s="8"/>
      <c r="AF86" s="6"/>
      <c r="AG86" s="7"/>
      <c r="AJ86" s="33"/>
      <c r="AK86" s="35"/>
      <c r="AL86" s="38"/>
    </row>
    <row r="87" spans="1:38" ht="17.25" customHeight="1">
      <c r="A87" s="25"/>
      <c r="B87" s="26"/>
      <c r="C87" s="14"/>
      <c r="D87" s="31"/>
      <c r="E87" s="14"/>
      <c r="F87" s="15" t="str">
        <f t="shared" si="12"/>
        <v xml:space="preserve">S/F  </v>
      </c>
      <c r="G87" s="16"/>
      <c r="H87" s="17">
        <v>21</v>
      </c>
      <c r="I87" s="18">
        <f t="shared" si="13"/>
        <v>0</v>
      </c>
      <c r="J87" s="17"/>
      <c r="K87" s="18"/>
      <c r="L87" s="16"/>
      <c r="M87" s="17"/>
      <c r="N87" s="18">
        <f t="shared" si="14"/>
        <v>0</v>
      </c>
      <c r="O87" s="19"/>
      <c r="P87" s="18">
        <v>0</v>
      </c>
      <c r="Q87" s="16"/>
      <c r="R87" s="17"/>
      <c r="S87" s="18">
        <v>0</v>
      </c>
      <c r="T87" s="19"/>
      <c r="U87" s="18">
        <v>0</v>
      </c>
      <c r="V87" s="16"/>
      <c r="W87" s="17"/>
      <c r="X87" s="18">
        <f t="shared" si="15"/>
        <v>0</v>
      </c>
      <c r="Y87" s="19"/>
      <c r="Z87" s="19"/>
      <c r="AA87" s="18">
        <f t="shared" si="16"/>
        <v>0</v>
      </c>
      <c r="AB87" s="20">
        <f t="shared" si="17"/>
        <v>0</v>
      </c>
      <c r="AC87" s="5"/>
      <c r="AD87" s="8"/>
      <c r="AF87" s="6"/>
      <c r="AG87" s="7"/>
      <c r="AJ87" s="33"/>
      <c r="AK87" s="35"/>
      <c r="AL87" s="38"/>
    </row>
    <row r="88" spans="1:38" ht="17.25" customHeight="1">
      <c r="A88" s="25"/>
      <c r="B88" s="26"/>
      <c r="C88" s="14"/>
      <c r="D88" s="31"/>
      <c r="E88" s="14"/>
      <c r="F88" s="15" t="str">
        <f t="shared" si="12"/>
        <v xml:space="preserve">S/F  </v>
      </c>
      <c r="G88" s="16"/>
      <c r="H88" s="17">
        <v>21</v>
      </c>
      <c r="I88" s="18">
        <f t="shared" si="13"/>
        <v>0</v>
      </c>
      <c r="J88" s="17"/>
      <c r="K88" s="18"/>
      <c r="L88" s="16"/>
      <c r="M88" s="17"/>
      <c r="N88" s="18">
        <f t="shared" si="14"/>
        <v>0</v>
      </c>
      <c r="O88" s="19"/>
      <c r="P88" s="18">
        <v>0</v>
      </c>
      <c r="Q88" s="16"/>
      <c r="R88" s="17"/>
      <c r="S88" s="18">
        <v>0</v>
      </c>
      <c r="T88" s="19"/>
      <c r="U88" s="18">
        <v>0</v>
      </c>
      <c r="V88" s="16"/>
      <c r="W88" s="17"/>
      <c r="X88" s="18">
        <f t="shared" si="15"/>
        <v>0</v>
      </c>
      <c r="Y88" s="19"/>
      <c r="Z88" s="19"/>
      <c r="AA88" s="18">
        <f t="shared" si="16"/>
        <v>0</v>
      </c>
      <c r="AB88" s="20">
        <f t="shared" si="17"/>
        <v>0</v>
      </c>
      <c r="AC88" s="5"/>
      <c r="AD88" s="8"/>
      <c r="AF88" s="6"/>
      <c r="AG88" s="7"/>
      <c r="AJ88" s="33"/>
      <c r="AK88" s="35"/>
      <c r="AL88" s="38"/>
    </row>
    <row r="89" spans="1:38" ht="17.25" customHeight="1">
      <c r="A89" s="25"/>
      <c r="B89" s="26"/>
      <c r="C89" s="14"/>
      <c r="D89" s="31"/>
      <c r="E89" s="14"/>
      <c r="F89" s="15" t="str">
        <f t="shared" si="12"/>
        <v xml:space="preserve">S/F  </v>
      </c>
      <c r="G89" s="16"/>
      <c r="H89" s="17">
        <v>21</v>
      </c>
      <c r="I89" s="18">
        <f t="shared" si="13"/>
        <v>0</v>
      </c>
      <c r="J89" s="17"/>
      <c r="K89" s="18"/>
      <c r="L89" s="16"/>
      <c r="M89" s="17"/>
      <c r="N89" s="18">
        <f t="shared" si="14"/>
        <v>0</v>
      </c>
      <c r="O89" s="19"/>
      <c r="P89" s="18">
        <v>0</v>
      </c>
      <c r="Q89" s="16"/>
      <c r="R89" s="17"/>
      <c r="S89" s="18">
        <v>0</v>
      </c>
      <c r="T89" s="19"/>
      <c r="U89" s="18">
        <v>0</v>
      </c>
      <c r="V89" s="16"/>
      <c r="W89" s="17"/>
      <c r="X89" s="18">
        <f t="shared" si="15"/>
        <v>0</v>
      </c>
      <c r="Y89" s="19"/>
      <c r="Z89" s="19"/>
      <c r="AA89" s="18">
        <f t="shared" si="16"/>
        <v>0</v>
      </c>
      <c r="AB89" s="20">
        <f t="shared" si="17"/>
        <v>0</v>
      </c>
      <c r="AC89" s="5"/>
      <c r="AD89" s="8"/>
      <c r="AF89" s="6"/>
      <c r="AG89" s="7"/>
      <c r="AJ89" s="33"/>
      <c r="AK89" s="35"/>
      <c r="AL89" s="38"/>
    </row>
    <row r="90" spans="1:38" ht="17.25" customHeight="1">
      <c r="A90" s="25"/>
      <c r="B90" s="26"/>
      <c r="C90" s="14"/>
      <c r="D90" s="31"/>
      <c r="E90" s="14"/>
      <c r="F90" s="15" t="str">
        <f t="shared" si="12"/>
        <v xml:space="preserve">S/F  </v>
      </c>
      <c r="G90" s="16"/>
      <c r="H90" s="17">
        <v>21</v>
      </c>
      <c r="I90" s="18">
        <f t="shared" si="13"/>
        <v>0</v>
      </c>
      <c r="J90" s="17"/>
      <c r="K90" s="18"/>
      <c r="L90" s="16"/>
      <c r="M90" s="17"/>
      <c r="N90" s="18">
        <f t="shared" si="14"/>
        <v>0</v>
      </c>
      <c r="O90" s="19"/>
      <c r="P90" s="18">
        <v>0</v>
      </c>
      <c r="Q90" s="16"/>
      <c r="R90" s="17"/>
      <c r="S90" s="18">
        <v>0</v>
      </c>
      <c r="T90" s="19"/>
      <c r="U90" s="18">
        <v>0</v>
      </c>
      <c r="V90" s="16"/>
      <c r="W90" s="17"/>
      <c r="X90" s="18">
        <f t="shared" si="15"/>
        <v>0</v>
      </c>
      <c r="Y90" s="19"/>
      <c r="Z90" s="19"/>
      <c r="AA90" s="18">
        <f t="shared" si="16"/>
        <v>0</v>
      </c>
      <c r="AB90" s="20">
        <f t="shared" si="17"/>
        <v>0</v>
      </c>
      <c r="AC90" s="5"/>
      <c r="AD90" s="8"/>
      <c r="AF90" s="6"/>
      <c r="AG90" s="7"/>
      <c r="AJ90" s="33"/>
      <c r="AK90" s="35"/>
      <c r="AL90" s="38"/>
    </row>
    <row r="91" spans="1:38" ht="17.25" customHeight="1">
      <c r="A91" s="25"/>
      <c r="B91" s="26"/>
      <c r="C91" s="14"/>
      <c r="D91" s="31"/>
      <c r="E91" s="14"/>
      <c r="F91" s="15" t="str">
        <f t="shared" si="12"/>
        <v xml:space="preserve">S/F  </v>
      </c>
      <c r="G91" s="16"/>
      <c r="H91" s="17">
        <v>21</v>
      </c>
      <c r="I91" s="18">
        <f t="shared" si="13"/>
        <v>0</v>
      </c>
      <c r="J91" s="17"/>
      <c r="K91" s="18"/>
      <c r="L91" s="16"/>
      <c r="M91" s="17"/>
      <c r="N91" s="18">
        <f t="shared" si="14"/>
        <v>0</v>
      </c>
      <c r="O91" s="19"/>
      <c r="P91" s="18">
        <v>0</v>
      </c>
      <c r="Q91" s="16"/>
      <c r="R91" s="17"/>
      <c r="S91" s="18">
        <v>0</v>
      </c>
      <c r="T91" s="19"/>
      <c r="U91" s="18">
        <v>0</v>
      </c>
      <c r="V91" s="16"/>
      <c r="W91" s="17"/>
      <c r="X91" s="18">
        <f t="shared" si="15"/>
        <v>0</v>
      </c>
      <c r="Y91" s="19"/>
      <c r="Z91" s="19"/>
      <c r="AA91" s="18">
        <f t="shared" si="16"/>
        <v>0</v>
      </c>
      <c r="AB91" s="20">
        <f t="shared" si="17"/>
        <v>0</v>
      </c>
      <c r="AC91" s="5"/>
      <c r="AD91" s="8"/>
      <c r="AF91" s="6"/>
      <c r="AG91" s="7"/>
      <c r="AJ91" s="33"/>
      <c r="AK91" s="35"/>
      <c r="AL91" s="38"/>
    </row>
    <row r="92" spans="1:38" ht="17.25" customHeight="1">
      <c r="A92" s="25"/>
      <c r="B92" s="26"/>
      <c r="C92" s="14"/>
      <c r="D92" s="31"/>
      <c r="E92" s="14"/>
      <c r="F92" s="15" t="str">
        <f t="shared" si="12"/>
        <v xml:space="preserve">S/F  </v>
      </c>
      <c r="G92" s="16"/>
      <c r="H92" s="17">
        <v>21</v>
      </c>
      <c r="I92" s="18">
        <f t="shared" si="13"/>
        <v>0</v>
      </c>
      <c r="J92" s="17"/>
      <c r="K92" s="18"/>
      <c r="L92" s="16"/>
      <c r="M92" s="17"/>
      <c r="N92" s="18">
        <f t="shared" si="14"/>
        <v>0</v>
      </c>
      <c r="O92" s="19"/>
      <c r="P92" s="18">
        <v>0</v>
      </c>
      <c r="Q92" s="16"/>
      <c r="R92" s="17"/>
      <c r="S92" s="18">
        <v>0</v>
      </c>
      <c r="T92" s="19"/>
      <c r="U92" s="18">
        <v>0</v>
      </c>
      <c r="V92" s="16"/>
      <c r="W92" s="17"/>
      <c r="X92" s="18">
        <f t="shared" si="15"/>
        <v>0</v>
      </c>
      <c r="Y92" s="19"/>
      <c r="Z92" s="19"/>
      <c r="AA92" s="18">
        <f t="shared" si="16"/>
        <v>0</v>
      </c>
      <c r="AB92" s="20">
        <f t="shared" si="17"/>
        <v>0</v>
      </c>
      <c r="AC92" s="5"/>
      <c r="AD92" s="8"/>
      <c r="AF92" s="6"/>
      <c r="AG92" s="7"/>
      <c r="AJ92" s="33"/>
      <c r="AK92" s="35"/>
      <c r="AL92" s="38"/>
    </row>
    <row r="93" spans="1:38" ht="17.25" customHeight="1">
      <c r="A93" s="25"/>
      <c r="B93" s="26"/>
      <c r="C93" s="14"/>
      <c r="D93" s="31"/>
      <c r="E93" s="14"/>
      <c r="F93" s="15" t="str">
        <f t="shared" si="12"/>
        <v xml:space="preserve">S/F  </v>
      </c>
      <c r="G93" s="16"/>
      <c r="H93" s="17">
        <v>21</v>
      </c>
      <c r="I93" s="18">
        <f t="shared" si="13"/>
        <v>0</v>
      </c>
      <c r="J93" s="17"/>
      <c r="K93" s="18"/>
      <c r="L93" s="16"/>
      <c r="M93" s="17"/>
      <c r="N93" s="18">
        <f t="shared" si="14"/>
        <v>0</v>
      </c>
      <c r="O93" s="19"/>
      <c r="P93" s="18">
        <v>0</v>
      </c>
      <c r="Q93" s="16"/>
      <c r="R93" s="17"/>
      <c r="S93" s="18">
        <v>0</v>
      </c>
      <c r="T93" s="19"/>
      <c r="U93" s="18">
        <v>0</v>
      </c>
      <c r="V93" s="16"/>
      <c r="W93" s="17"/>
      <c r="X93" s="18">
        <f t="shared" si="15"/>
        <v>0</v>
      </c>
      <c r="Y93" s="19"/>
      <c r="Z93" s="19"/>
      <c r="AA93" s="18">
        <f t="shared" si="16"/>
        <v>0</v>
      </c>
      <c r="AB93" s="20">
        <f t="shared" si="17"/>
        <v>0</v>
      </c>
      <c r="AC93" s="5"/>
      <c r="AD93" s="8"/>
      <c r="AF93" s="6"/>
      <c r="AG93" s="7"/>
      <c r="AJ93" s="33"/>
      <c r="AK93" s="35"/>
      <c r="AL93" s="38"/>
    </row>
    <row r="94" spans="1:38" ht="17.25" customHeight="1">
      <c r="A94" s="25"/>
      <c r="B94" s="26"/>
      <c r="C94" s="14"/>
      <c r="D94" s="31"/>
      <c r="E94" s="14"/>
      <c r="F94" s="15" t="str">
        <f t="shared" si="12"/>
        <v xml:space="preserve">S/F  </v>
      </c>
      <c r="G94" s="16"/>
      <c r="H94" s="17">
        <v>21</v>
      </c>
      <c r="I94" s="18">
        <f t="shared" si="13"/>
        <v>0</v>
      </c>
      <c r="J94" s="17"/>
      <c r="K94" s="18"/>
      <c r="L94" s="16"/>
      <c r="M94" s="17"/>
      <c r="N94" s="18">
        <f t="shared" si="14"/>
        <v>0</v>
      </c>
      <c r="O94" s="19"/>
      <c r="P94" s="18">
        <v>0</v>
      </c>
      <c r="Q94" s="16"/>
      <c r="R94" s="17"/>
      <c r="S94" s="18">
        <v>0</v>
      </c>
      <c r="T94" s="19"/>
      <c r="U94" s="18">
        <v>0</v>
      </c>
      <c r="V94" s="16"/>
      <c r="W94" s="17"/>
      <c r="X94" s="18">
        <f t="shared" si="15"/>
        <v>0</v>
      </c>
      <c r="Y94" s="19"/>
      <c r="Z94" s="19"/>
      <c r="AA94" s="18">
        <f t="shared" si="16"/>
        <v>0</v>
      </c>
      <c r="AB94" s="20">
        <f t="shared" si="17"/>
        <v>0</v>
      </c>
      <c r="AC94" s="5"/>
      <c r="AD94" s="8"/>
      <c r="AF94" s="6"/>
      <c r="AG94" s="7"/>
      <c r="AJ94" s="33"/>
      <c r="AK94" s="35"/>
      <c r="AL94" s="38"/>
    </row>
    <row r="95" spans="1:38" ht="17.25" customHeight="1">
      <c r="A95" s="25"/>
      <c r="B95" s="26"/>
      <c r="C95" s="14"/>
      <c r="D95" s="31"/>
      <c r="E95" s="14"/>
      <c r="F95" s="15" t="str">
        <f t="shared" si="12"/>
        <v xml:space="preserve">S/F  </v>
      </c>
      <c r="G95" s="16"/>
      <c r="H95" s="17">
        <v>21</v>
      </c>
      <c r="I95" s="18">
        <f t="shared" si="13"/>
        <v>0</v>
      </c>
      <c r="J95" s="17"/>
      <c r="K95" s="18"/>
      <c r="L95" s="16"/>
      <c r="M95" s="17"/>
      <c r="N95" s="18">
        <f t="shared" si="14"/>
        <v>0</v>
      </c>
      <c r="O95" s="19"/>
      <c r="P95" s="18">
        <v>0</v>
      </c>
      <c r="Q95" s="16"/>
      <c r="R95" s="17"/>
      <c r="S95" s="18">
        <v>0</v>
      </c>
      <c r="T95" s="19"/>
      <c r="U95" s="18">
        <v>0</v>
      </c>
      <c r="V95" s="16"/>
      <c r="W95" s="17"/>
      <c r="X95" s="18">
        <f t="shared" si="15"/>
        <v>0</v>
      </c>
      <c r="Y95" s="19"/>
      <c r="Z95" s="19"/>
      <c r="AA95" s="18">
        <f t="shared" si="16"/>
        <v>0</v>
      </c>
      <c r="AB95" s="20">
        <f t="shared" si="17"/>
        <v>0</v>
      </c>
      <c r="AC95" s="5"/>
      <c r="AD95" s="8"/>
      <c r="AF95" s="6"/>
      <c r="AG95" s="7"/>
      <c r="AJ95" s="33"/>
      <c r="AK95" s="35"/>
      <c r="AL95" s="38"/>
    </row>
    <row r="96" spans="1:38" ht="17.25" customHeight="1">
      <c r="A96" s="25"/>
      <c r="B96" s="26"/>
      <c r="C96" s="14"/>
      <c r="D96" s="31"/>
      <c r="E96" s="14"/>
      <c r="F96" s="15" t="str">
        <f t="shared" si="12"/>
        <v xml:space="preserve">S/F  </v>
      </c>
      <c r="G96" s="16"/>
      <c r="H96" s="17">
        <v>21</v>
      </c>
      <c r="I96" s="18">
        <f t="shared" si="13"/>
        <v>0</v>
      </c>
      <c r="J96" s="17"/>
      <c r="K96" s="18"/>
      <c r="L96" s="16"/>
      <c r="M96" s="17"/>
      <c r="N96" s="18">
        <f t="shared" si="14"/>
        <v>0</v>
      </c>
      <c r="O96" s="19"/>
      <c r="P96" s="18">
        <v>0</v>
      </c>
      <c r="Q96" s="16"/>
      <c r="R96" s="17"/>
      <c r="S96" s="18">
        <v>0</v>
      </c>
      <c r="T96" s="19"/>
      <c r="U96" s="18">
        <v>0</v>
      </c>
      <c r="V96" s="16"/>
      <c r="W96" s="17"/>
      <c r="X96" s="18">
        <f t="shared" si="15"/>
        <v>0</v>
      </c>
      <c r="Y96" s="19"/>
      <c r="Z96" s="19"/>
      <c r="AA96" s="18">
        <f t="shared" si="16"/>
        <v>0</v>
      </c>
      <c r="AB96" s="20">
        <f t="shared" si="17"/>
        <v>0</v>
      </c>
      <c r="AC96" s="5"/>
      <c r="AD96" s="8"/>
      <c r="AF96" s="6"/>
      <c r="AG96" s="7"/>
      <c r="AJ96" s="33"/>
      <c r="AK96" s="35"/>
      <c r="AL96" s="38"/>
    </row>
    <row r="97" spans="1:38" ht="17.25" customHeight="1">
      <c r="A97" s="25"/>
      <c r="B97" s="26"/>
      <c r="C97" s="14"/>
      <c r="D97" s="31"/>
      <c r="E97" s="14"/>
      <c r="F97" s="15" t="str">
        <f t="shared" si="12"/>
        <v xml:space="preserve">S/F  </v>
      </c>
      <c r="G97" s="16"/>
      <c r="H97" s="17">
        <v>21</v>
      </c>
      <c r="I97" s="18">
        <f t="shared" si="13"/>
        <v>0</v>
      </c>
      <c r="J97" s="17"/>
      <c r="K97" s="18"/>
      <c r="L97" s="16"/>
      <c r="M97" s="17"/>
      <c r="N97" s="18">
        <f t="shared" si="14"/>
        <v>0</v>
      </c>
      <c r="O97" s="19"/>
      <c r="P97" s="18">
        <v>0</v>
      </c>
      <c r="Q97" s="16"/>
      <c r="R97" s="17"/>
      <c r="S97" s="18">
        <v>0</v>
      </c>
      <c r="T97" s="19"/>
      <c r="U97" s="18">
        <v>0</v>
      </c>
      <c r="V97" s="16"/>
      <c r="W97" s="17"/>
      <c r="X97" s="18">
        <f t="shared" si="15"/>
        <v>0</v>
      </c>
      <c r="Y97" s="19"/>
      <c r="Z97" s="19"/>
      <c r="AA97" s="18">
        <f t="shared" si="16"/>
        <v>0</v>
      </c>
      <c r="AB97" s="20">
        <f t="shared" si="17"/>
        <v>0</v>
      </c>
      <c r="AC97" s="5"/>
      <c r="AD97" s="8"/>
      <c r="AF97" s="6"/>
      <c r="AG97" s="7"/>
      <c r="AJ97" s="33"/>
      <c r="AK97" s="35"/>
      <c r="AL97" s="38"/>
    </row>
    <row r="98" spans="1:38" ht="17.25" customHeight="1">
      <c r="A98" s="25"/>
      <c r="B98" s="26"/>
      <c r="C98" s="14"/>
      <c r="D98" s="31"/>
      <c r="E98" s="14"/>
      <c r="F98" s="15" t="str">
        <f t="shared" ref="F98:F111" si="18">"S/F "&amp;B98&amp;" "&amp;E98</f>
        <v xml:space="preserve">S/F  </v>
      </c>
      <c r="G98" s="16"/>
      <c r="H98" s="17">
        <v>21</v>
      </c>
      <c r="I98" s="18">
        <f t="shared" ref="I98:I111" si="19">+IF(G98&lt;&gt;0,G98*H98/100,0)</f>
        <v>0</v>
      </c>
      <c r="J98" s="17"/>
      <c r="K98" s="18"/>
      <c r="L98" s="16"/>
      <c r="M98" s="17"/>
      <c r="N98" s="18">
        <f t="shared" ref="N98:N111" si="20">+IF(L98&lt;&gt;0,L98*M98/100,0)</f>
        <v>0</v>
      </c>
      <c r="O98" s="19"/>
      <c r="P98" s="18">
        <v>0</v>
      </c>
      <c r="Q98" s="16"/>
      <c r="R98" s="17"/>
      <c r="S98" s="18">
        <v>0</v>
      </c>
      <c r="T98" s="19"/>
      <c r="U98" s="18">
        <v>0</v>
      </c>
      <c r="V98" s="16"/>
      <c r="W98" s="17"/>
      <c r="X98" s="18">
        <f t="shared" ref="X98:X111" si="21">+IF(W98&lt;&gt;0,V98*W98/100,0)</f>
        <v>0</v>
      </c>
      <c r="Y98" s="19"/>
      <c r="Z98" s="19"/>
      <c r="AA98" s="18">
        <f t="shared" ref="AA98:AA111" si="22">+IF(Z98&lt;&gt;0,Y98*Z98/100,0)</f>
        <v>0</v>
      </c>
      <c r="AB98" s="20">
        <f t="shared" ref="AB98:AB111" si="23">+G98+I98+K98+L98+N98+P98+Q98+S98+U98-X98-AA98</f>
        <v>0</v>
      </c>
      <c r="AC98" s="5"/>
      <c r="AD98" s="8"/>
      <c r="AF98" s="6"/>
      <c r="AG98" s="7"/>
      <c r="AJ98" s="33"/>
      <c r="AK98" s="35"/>
      <c r="AL98" s="38"/>
    </row>
    <row r="99" spans="1:38" ht="17.25" customHeight="1">
      <c r="A99" s="25"/>
      <c r="B99" s="26"/>
      <c r="C99" s="14"/>
      <c r="D99" s="31"/>
      <c r="E99" s="14"/>
      <c r="F99" s="15" t="str">
        <f t="shared" si="18"/>
        <v xml:space="preserve">S/F  </v>
      </c>
      <c r="G99" s="16"/>
      <c r="H99" s="17">
        <v>21</v>
      </c>
      <c r="I99" s="18">
        <f t="shared" si="19"/>
        <v>0</v>
      </c>
      <c r="J99" s="17"/>
      <c r="K99" s="18"/>
      <c r="L99" s="16"/>
      <c r="M99" s="17"/>
      <c r="N99" s="18">
        <f t="shared" si="20"/>
        <v>0</v>
      </c>
      <c r="O99" s="19"/>
      <c r="P99" s="18">
        <v>0</v>
      </c>
      <c r="Q99" s="16"/>
      <c r="R99" s="17"/>
      <c r="S99" s="18">
        <v>0</v>
      </c>
      <c r="T99" s="19"/>
      <c r="U99" s="18">
        <v>0</v>
      </c>
      <c r="V99" s="16"/>
      <c r="W99" s="17"/>
      <c r="X99" s="18">
        <f t="shared" si="21"/>
        <v>0</v>
      </c>
      <c r="Y99" s="19"/>
      <c r="Z99" s="19"/>
      <c r="AA99" s="18">
        <f t="shared" si="22"/>
        <v>0</v>
      </c>
      <c r="AB99" s="20">
        <f t="shared" si="23"/>
        <v>0</v>
      </c>
      <c r="AC99" s="5"/>
      <c r="AD99" s="8"/>
      <c r="AF99" s="6"/>
      <c r="AG99" s="7"/>
      <c r="AJ99" s="33"/>
      <c r="AK99" s="35"/>
      <c r="AL99" s="38"/>
    </row>
    <row r="100" spans="1:38" ht="17.25" customHeight="1">
      <c r="A100" s="25"/>
      <c r="B100" s="26"/>
      <c r="C100" s="14"/>
      <c r="D100" s="31"/>
      <c r="E100" s="14"/>
      <c r="F100" s="15" t="str">
        <f t="shared" si="18"/>
        <v xml:space="preserve">S/F  </v>
      </c>
      <c r="G100" s="16"/>
      <c r="H100" s="17">
        <v>21</v>
      </c>
      <c r="I100" s="18">
        <f t="shared" si="19"/>
        <v>0</v>
      </c>
      <c r="J100" s="17"/>
      <c r="K100" s="18"/>
      <c r="L100" s="16"/>
      <c r="M100" s="17"/>
      <c r="N100" s="18">
        <f t="shared" si="20"/>
        <v>0</v>
      </c>
      <c r="O100" s="19"/>
      <c r="P100" s="18">
        <v>0</v>
      </c>
      <c r="Q100" s="16"/>
      <c r="R100" s="17"/>
      <c r="S100" s="18">
        <v>0</v>
      </c>
      <c r="T100" s="19"/>
      <c r="U100" s="18">
        <v>0</v>
      </c>
      <c r="V100" s="16"/>
      <c r="W100" s="17"/>
      <c r="X100" s="18">
        <f t="shared" si="21"/>
        <v>0</v>
      </c>
      <c r="Y100" s="19"/>
      <c r="Z100" s="19"/>
      <c r="AA100" s="18">
        <f t="shared" si="22"/>
        <v>0</v>
      </c>
      <c r="AB100" s="20">
        <f t="shared" si="23"/>
        <v>0</v>
      </c>
      <c r="AC100" s="5"/>
      <c r="AD100" s="8"/>
      <c r="AF100" s="6"/>
      <c r="AG100" s="7"/>
      <c r="AJ100" s="33"/>
      <c r="AK100" s="35"/>
      <c r="AL100" s="38"/>
    </row>
    <row r="101" spans="1:38" ht="17.25" customHeight="1">
      <c r="A101" s="25"/>
      <c r="B101" s="26"/>
      <c r="C101" s="14"/>
      <c r="D101" s="31"/>
      <c r="E101" s="14"/>
      <c r="F101" s="15" t="str">
        <f t="shared" si="18"/>
        <v xml:space="preserve">S/F  </v>
      </c>
      <c r="G101" s="16"/>
      <c r="H101" s="17">
        <v>21</v>
      </c>
      <c r="I101" s="18">
        <f t="shared" si="19"/>
        <v>0</v>
      </c>
      <c r="J101" s="17"/>
      <c r="K101" s="18"/>
      <c r="L101" s="16"/>
      <c r="M101" s="17"/>
      <c r="N101" s="18">
        <f t="shared" si="20"/>
        <v>0</v>
      </c>
      <c r="O101" s="19"/>
      <c r="P101" s="18">
        <v>0</v>
      </c>
      <c r="Q101" s="16"/>
      <c r="R101" s="17"/>
      <c r="S101" s="18">
        <v>0</v>
      </c>
      <c r="T101" s="19"/>
      <c r="U101" s="18">
        <v>0</v>
      </c>
      <c r="V101" s="16"/>
      <c r="W101" s="17"/>
      <c r="X101" s="18">
        <f t="shared" si="21"/>
        <v>0</v>
      </c>
      <c r="Y101" s="19"/>
      <c r="Z101" s="19"/>
      <c r="AA101" s="18">
        <f t="shared" si="22"/>
        <v>0</v>
      </c>
      <c r="AB101" s="20">
        <f t="shared" si="23"/>
        <v>0</v>
      </c>
      <c r="AC101" s="5"/>
      <c r="AD101" s="8"/>
      <c r="AF101" s="6"/>
      <c r="AG101" s="7"/>
      <c r="AJ101" s="33"/>
      <c r="AK101" s="35"/>
      <c r="AL101" s="38"/>
    </row>
    <row r="102" spans="1:38" ht="17.25" customHeight="1">
      <c r="A102" s="25"/>
      <c r="B102" s="26"/>
      <c r="C102" s="14"/>
      <c r="D102" s="31"/>
      <c r="E102" s="14"/>
      <c r="F102" s="15" t="str">
        <f t="shared" si="18"/>
        <v xml:space="preserve">S/F  </v>
      </c>
      <c r="G102" s="16"/>
      <c r="H102" s="17">
        <v>21</v>
      </c>
      <c r="I102" s="18">
        <f t="shared" si="19"/>
        <v>0</v>
      </c>
      <c r="J102" s="17"/>
      <c r="K102" s="18"/>
      <c r="L102" s="16"/>
      <c r="M102" s="17"/>
      <c r="N102" s="18">
        <f t="shared" si="20"/>
        <v>0</v>
      </c>
      <c r="O102" s="19"/>
      <c r="P102" s="18">
        <v>0</v>
      </c>
      <c r="Q102" s="16"/>
      <c r="R102" s="17"/>
      <c r="S102" s="18">
        <v>0</v>
      </c>
      <c r="T102" s="19"/>
      <c r="U102" s="18">
        <v>0</v>
      </c>
      <c r="V102" s="16"/>
      <c r="W102" s="17"/>
      <c r="X102" s="18">
        <f t="shared" si="21"/>
        <v>0</v>
      </c>
      <c r="Y102" s="19"/>
      <c r="Z102" s="19"/>
      <c r="AA102" s="18">
        <f t="shared" si="22"/>
        <v>0</v>
      </c>
      <c r="AB102" s="20">
        <f t="shared" si="23"/>
        <v>0</v>
      </c>
      <c r="AC102" s="5"/>
      <c r="AD102" s="8"/>
      <c r="AF102" s="6"/>
      <c r="AG102" s="7"/>
      <c r="AJ102" s="33"/>
      <c r="AK102" s="35"/>
      <c r="AL102" s="38"/>
    </row>
    <row r="103" spans="1:38" ht="17.25" customHeight="1">
      <c r="A103" s="25"/>
      <c r="B103" s="26"/>
      <c r="C103" s="14"/>
      <c r="D103" s="31"/>
      <c r="E103" s="14"/>
      <c r="F103" s="15" t="str">
        <f t="shared" si="18"/>
        <v xml:space="preserve">S/F  </v>
      </c>
      <c r="G103" s="16"/>
      <c r="H103" s="17">
        <v>21</v>
      </c>
      <c r="I103" s="18">
        <f t="shared" si="19"/>
        <v>0</v>
      </c>
      <c r="J103" s="17"/>
      <c r="K103" s="18"/>
      <c r="L103" s="16"/>
      <c r="M103" s="17"/>
      <c r="N103" s="18">
        <f t="shared" si="20"/>
        <v>0</v>
      </c>
      <c r="O103" s="19"/>
      <c r="P103" s="18">
        <v>0</v>
      </c>
      <c r="Q103" s="16"/>
      <c r="R103" s="17"/>
      <c r="S103" s="18">
        <v>0</v>
      </c>
      <c r="T103" s="19"/>
      <c r="U103" s="18">
        <v>0</v>
      </c>
      <c r="V103" s="16"/>
      <c r="W103" s="17"/>
      <c r="X103" s="18">
        <f t="shared" si="21"/>
        <v>0</v>
      </c>
      <c r="Y103" s="19"/>
      <c r="Z103" s="19"/>
      <c r="AA103" s="18">
        <f t="shared" si="22"/>
        <v>0</v>
      </c>
      <c r="AB103" s="20">
        <f t="shared" si="23"/>
        <v>0</v>
      </c>
      <c r="AC103" s="5"/>
      <c r="AD103" s="8"/>
      <c r="AF103" s="6"/>
      <c r="AG103" s="7"/>
      <c r="AJ103" s="33"/>
      <c r="AK103" s="35"/>
      <c r="AL103" s="38"/>
    </row>
    <row r="104" spans="1:38" ht="17.25" customHeight="1">
      <c r="A104" s="25"/>
      <c r="B104" s="26"/>
      <c r="C104" s="14"/>
      <c r="D104" s="31"/>
      <c r="E104" s="14"/>
      <c r="F104" s="15" t="str">
        <f t="shared" si="18"/>
        <v xml:space="preserve">S/F  </v>
      </c>
      <c r="G104" s="16"/>
      <c r="H104" s="17">
        <v>21</v>
      </c>
      <c r="I104" s="18">
        <f t="shared" si="19"/>
        <v>0</v>
      </c>
      <c r="J104" s="17"/>
      <c r="K104" s="18"/>
      <c r="L104" s="16"/>
      <c r="M104" s="17"/>
      <c r="N104" s="18">
        <f t="shared" si="20"/>
        <v>0</v>
      </c>
      <c r="O104" s="19"/>
      <c r="P104" s="18">
        <v>0</v>
      </c>
      <c r="Q104" s="16"/>
      <c r="R104" s="17"/>
      <c r="S104" s="18">
        <v>0</v>
      </c>
      <c r="T104" s="19"/>
      <c r="U104" s="18">
        <v>0</v>
      </c>
      <c r="V104" s="16"/>
      <c r="W104" s="17"/>
      <c r="X104" s="18">
        <f t="shared" si="21"/>
        <v>0</v>
      </c>
      <c r="Y104" s="19"/>
      <c r="Z104" s="19"/>
      <c r="AA104" s="18">
        <f t="shared" si="22"/>
        <v>0</v>
      </c>
      <c r="AB104" s="20">
        <f t="shared" si="23"/>
        <v>0</v>
      </c>
      <c r="AC104" s="5"/>
      <c r="AD104" s="8"/>
      <c r="AF104" s="6"/>
      <c r="AG104" s="7"/>
      <c r="AJ104" s="33"/>
      <c r="AK104" s="35"/>
      <c r="AL104" s="38"/>
    </row>
    <row r="105" spans="1:38" ht="17.25" customHeight="1">
      <c r="A105" s="25"/>
      <c r="B105" s="26"/>
      <c r="C105" s="14"/>
      <c r="D105" s="31"/>
      <c r="E105" s="14"/>
      <c r="F105" s="15" t="str">
        <f t="shared" si="18"/>
        <v xml:space="preserve">S/F  </v>
      </c>
      <c r="G105" s="16"/>
      <c r="H105" s="17">
        <v>21</v>
      </c>
      <c r="I105" s="18">
        <f t="shared" si="19"/>
        <v>0</v>
      </c>
      <c r="J105" s="17"/>
      <c r="K105" s="18"/>
      <c r="L105" s="16"/>
      <c r="M105" s="17"/>
      <c r="N105" s="18">
        <f t="shared" si="20"/>
        <v>0</v>
      </c>
      <c r="O105" s="19"/>
      <c r="P105" s="18">
        <v>0</v>
      </c>
      <c r="Q105" s="16"/>
      <c r="R105" s="17"/>
      <c r="S105" s="18">
        <v>0</v>
      </c>
      <c r="T105" s="19"/>
      <c r="U105" s="18">
        <v>0</v>
      </c>
      <c r="V105" s="16"/>
      <c r="W105" s="17"/>
      <c r="X105" s="18">
        <f t="shared" si="21"/>
        <v>0</v>
      </c>
      <c r="Y105" s="19"/>
      <c r="Z105" s="19"/>
      <c r="AA105" s="18">
        <f t="shared" si="22"/>
        <v>0</v>
      </c>
      <c r="AB105" s="20">
        <f t="shared" si="23"/>
        <v>0</v>
      </c>
      <c r="AC105" s="5"/>
      <c r="AD105" s="8"/>
      <c r="AF105" s="6"/>
      <c r="AG105" s="7"/>
      <c r="AJ105" s="33"/>
      <c r="AK105" s="35"/>
      <c r="AL105" s="38"/>
    </row>
    <row r="106" spans="1:38" ht="17.25" customHeight="1">
      <c r="A106" s="25"/>
      <c r="B106" s="26"/>
      <c r="C106" s="14"/>
      <c r="D106" s="31"/>
      <c r="E106" s="14"/>
      <c r="F106" s="15" t="str">
        <f t="shared" si="18"/>
        <v xml:space="preserve">S/F  </v>
      </c>
      <c r="G106" s="16"/>
      <c r="H106" s="17">
        <v>21</v>
      </c>
      <c r="I106" s="18">
        <f t="shared" si="19"/>
        <v>0</v>
      </c>
      <c r="J106" s="17"/>
      <c r="K106" s="18"/>
      <c r="L106" s="16"/>
      <c r="M106" s="17"/>
      <c r="N106" s="18">
        <f t="shared" si="20"/>
        <v>0</v>
      </c>
      <c r="O106" s="19"/>
      <c r="P106" s="18">
        <v>0</v>
      </c>
      <c r="Q106" s="16"/>
      <c r="R106" s="17"/>
      <c r="S106" s="18">
        <v>0</v>
      </c>
      <c r="T106" s="19"/>
      <c r="U106" s="18">
        <v>0</v>
      </c>
      <c r="V106" s="16"/>
      <c r="W106" s="17"/>
      <c r="X106" s="18">
        <f t="shared" si="21"/>
        <v>0</v>
      </c>
      <c r="Y106" s="19"/>
      <c r="Z106" s="19"/>
      <c r="AA106" s="18">
        <f t="shared" si="22"/>
        <v>0</v>
      </c>
      <c r="AB106" s="20">
        <f t="shared" si="23"/>
        <v>0</v>
      </c>
      <c r="AC106" s="5"/>
      <c r="AD106" s="8"/>
      <c r="AF106" s="6"/>
      <c r="AG106" s="7"/>
      <c r="AJ106" s="33"/>
      <c r="AK106" s="35"/>
      <c r="AL106" s="38"/>
    </row>
    <row r="107" spans="1:38" ht="17.25" customHeight="1">
      <c r="A107" s="25"/>
      <c r="B107" s="26"/>
      <c r="C107" s="14"/>
      <c r="D107" s="31"/>
      <c r="E107" s="14"/>
      <c r="F107" s="15" t="str">
        <f t="shared" si="18"/>
        <v xml:space="preserve">S/F  </v>
      </c>
      <c r="G107" s="16"/>
      <c r="H107" s="17">
        <v>21</v>
      </c>
      <c r="I107" s="18">
        <f t="shared" si="19"/>
        <v>0</v>
      </c>
      <c r="J107" s="17"/>
      <c r="K107" s="18"/>
      <c r="L107" s="16"/>
      <c r="M107" s="17"/>
      <c r="N107" s="18">
        <f t="shared" si="20"/>
        <v>0</v>
      </c>
      <c r="O107" s="19"/>
      <c r="P107" s="18">
        <v>0</v>
      </c>
      <c r="Q107" s="16"/>
      <c r="R107" s="17"/>
      <c r="S107" s="18">
        <v>0</v>
      </c>
      <c r="T107" s="19"/>
      <c r="U107" s="18">
        <v>0</v>
      </c>
      <c r="V107" s="16"/>
      <c r="W107" s="17"/>
      <c r="X107" s="18">
        <f t="shared" si="21"/>
        <v>0</v>
      </c>
      <c r="Y107" s="19"/>
      <c r="Z107" s="19"/>
      <c r="AA107" s="18">
        <f t="shared" si="22"/>
        <v>0</v>
      </c>
      <c r="AB107" s="20">
        <f t="shared" si="23"/>
        <v>0</v>
      </c>
      <c r="AC107" s="5"/>
      <c r="AD107" s="8"/>
      <c r="AF107" s="6"/>
      <c r="AG107" s="7"/>
      <c r="AJ107" s="33"/>
      <c r="AK107" s="35"/>
      <c r="AL107" s="38"/>
    </row>
    <row r="108" spans="1:38" ht="17.25" customHeight="1">
      <c r="A108" s="25"/>
      <c r="B108" s="26"/>
      <c r="C108" s="14"/>
      <c r="D108" s="31"/>
      <c r="E108" s="14"/>
      <c r="F108" s="15" t="str">
        <f t="shared" si="18"/>
        <v xml:space="preserve">S/F  </v>
      </c>
      <c r="G108" s="16"/>
      <c r="H108" s="17">
        <v>21</v>
      </c>
      <c r="I108" s="18">
        <f t="shared" si="19"/>
        <v>0</v>
      </c>
      <c r="J108" s="17"/>
      <c r="K108" s="18"/>
      <c r="L108" s="16"/>
      <c r="M108" s="17"/>
      <c r="N108" s="18">
        <f t="shared" si="20"/>
        <v>0</v>
      </c>
      <c r="O108" s="19"/>
      <c r="P108" s="18">
        <v>0</v>
      </c>
      <c r="Q108" s="16"/>
      <c r="R108" s="17"/>
      <c r="S108" s="18">
        <v>0</v>
      </c>
      <c r="T108" s="19"/>
      <c r="U108" s="18">
        <v>0</v>
      </c>
      <c r="V108" s="16"/>
      <c r="W108" s="17"/>
      <c r="X108" s="18">
        <f t="shared" si="21"/>
        <v>0</v>
      </c>
      <c r="Y108" s="19"/>
      <c r="Z108" s="19"/>
      <c r="AA108" s="18">
        <f t="shared" si="22"/>
        <v>0</v>
      </c>
      <c r="AB108" s="20">
        <f t="shared" si="23"/>
        <v>0</v>
      </c>
      <c r="AC108" s="5"/>
      <c r="AD108" s="8"/>
      <c r="AF108" s="6"/>
      <c r="AG108" s="7"/>
      <c r="AJ108" s="33"/>
      <c r="AK108" s="35"/>
      <c r="AL108" s="38"/>
    </row>
    <row r="109" spans="1:38" ht="17.25" customHeight="1">
      <c r="A109" s="25"/>
      <c r="B109" s="26"/>
      <c r="C109" s="14"/>
      <c r="D109" s="31"/>
      <c r="E109" s="14"/>
      <c r="F109" s="15" t="str">
        <f t="shared" si="18"/>
        <v xml:space="preserve">S/F  </v>
      </c>
      <c r="G109" s="16"/>
      <c r="H109" s="17">
        <v>21</v>
      </c>
      <c r="I109" s="18">
        <f t="shared" si="19"/>
        <v>0</v>
      </c>
      <c r="J109" s="17"/>
      <c r="K109" s="18"/>
      <c r="L109" s="16"/>
      <c r="M109" s="17"/>
      <c r="N109" s="18">
        <f t="shared" si="20"/>
        <v>0</v>
      </c>
      <c r="O109" s="19"/>
      <c r="P109" s="18">
        <v>0</v>
      </c>
      <c r="Q109" s="16"/>
      <c r="R109" s="17"/>
      <c r="S109" s="18">
        <v>0</v>
      </c>
      <c r="T109" s="19"/>
      <c r="U109" s="18">
        <v>0</v>
      </c>
      <c r="V109" s="16"/>
      <c r="W109" s="17"/>
      <c r="X109" s="18">
        <f t="shared" si="21"/>
        <v>0</v>
      </c>
      <c r="Y109" s="19"/>
      <c r="Z109" s="19"/>
      <c r="AA109" s="18">
        <f t="shared" si="22"/>
        <v>0</v>
      </c>
      <c r="AB109" s="20">
        <f t="shared" si="23"/>
        <v>0</v>
      </c>
      <c r="AC109" s="5"/>
      <c r="AD109" s="8"/>
      <c r="AF109" s="6"/>
      <c r="AG109" s="7"/>
      <c r="AJ109" s="33"/>
      <c r="AK109" s="35"/>
      <c r="AL109" s="38"/>
    </row>
    <row r="110" spans="1:38" ht="17.25" customHeight="1">
      <c r="A110" s="25"/>
      <c r="B110" s="26"/>
      <c r="C110" s="14"/>
      <c r="D110" s="31"/>
      <c r="E110" s="14"/>
      <c r="F110" s="15" t="str">
        <f t="shared" si="18"/>
        <v xml:space="preserve">S/F  </v>
      </c>
      <c r="G110" s="16"/>
      <c r="H110" s="17">
        <v>21</v>
      </c>
      <c r="I110" s="18">
        <f t="shared" si="19"/>
        <v>0</v>
      </c>
      <c r="J110" s="17"/>
      <c r="K110" s="18"/>
      <c r="L110" s="16"/>
      <c r="M110" s="17"/>
      <c r="N110" s="18">
        <f t="shared" si="20"/>
        <v>0</v>
      </c>
      <c r="O110" s="19"/>
      <c r="P110" s="18">
        <v>0</v>
      </c>
      <c r="Q110" s="16"/>
      <c r="R110" s="17"/>
      <c r="S110" s="18">
        <v>0</v>
      </c>
      <c r="T110" s="19"/>
      <c r="U110" s="18">
        <v>0</v>
      </c>
      <c r="V110" s="16"/>
      <c r="W110" s="17"/>
      <c r="X110" s="18">
        <f t="shared" si="21"/>
        <v>0</v>
      </c>
      <c r="Y110" s="19"/>
      <c r="Z110" s="19"/>
      <c r="AA110" s="18">
        <f t="shared" si="22"/>
        <v>0</v>
      </c>
      <c r="AB110" s="20">
        <f t="shared" si="23"/>
        <v>0</v>
      </c>
      <c r="AC110" s="5"/>
      <c r="AD110" s="8"/>
      <c r="AF110" s="6"/>
      <c r="AG110" s="7"/>
      <c r="AJ110" s="33"/>
      <c r="AK110" s="35"/>
      <c r="AL110" s="38"/>
    </row>
    <row r="111" spans="1:38" ht="17.25" customHeight="1">
      <c r="A111" s="25"/>
      <c r="B111" s="26"/>
      <c r="C111" s="14"/>
      <c r="D111" s="31"/>
      <c r="E111" s="14"/>
      <c r="F111" s="15" t="str">
        <f t="shared" si="18"/>
        <v xml:space="preserve">S/F  </v>
      </c>
      <c r="G111" s="16"/>
      <c r="H111" s="17">
        <v>21</v>
      </c>
      <c r="I111" s="18">
        <f t="shared" si="19"/>
        <v>0</v>
      </c>
      <c r="J111" s="17"/>
      <c r="K111" s="18"/>
      <c r="L111" s="16"/>
      <c r="M111" s="17"/>
      <c r="N111" s="18">
        <f t="shared" si="20"/>
        <v>0</v>
      </c>
      <c r="O111" s="19"/>
      <c r="P111" s="18">
        <v>0</v>
      </c>
      <c r="Q111" s="16"/>
      <c r="R111" s="17"/>
      <c r="S111" s="18">
        <v>0</v>
      </c>
      <c r="T111" s="19"/>
      <c r="U111" s="18">
        <v>0</v>
      </c>
      <c r="V111" s="16"/>
      <c r="W111" s="17"/>
      <c r="X111" s="18">
        <f t="shared" si="21"/>
        <v>0</v>
      </c>
      <c r="Y111" s="19"/>
      <c r="Z111" s="19"/>
      <c r="AA111" s="18">
        <f t="shared" si="22"/>
        <v>0</v>
      </c>
      <c r="AB111" s="20">
        <f t="shared" si="23"/>
        <v>0</v>
      </c>
      <c r="AC111" s="5"/>
      <c r="AD111" s="8"/>
      <c r="AF111" s="6"/>
      <c r="AG111" s="7"/>
      <c r="AJ111" s="33"/>
      <c r="AK111" s="35"/>
      <c r="AL111" s="38"/>
    </row>
    <row r="112" spans="1:38" ht="17.25" customHeight="1"/>
    <row r="113" spans="7:28" ht="17.25" customHeight="1">
      <c r="G113" s="9">
        <f>SUM(G2:G112)</f>
        <v>0</v>
      </c>
      <c r="I113" s="48">
        <f>SUM(I2:I112)</f>
        <v>0</v>
      </c>
      <c r="AB113" s="48">
        <f>SUM(AB2:AB112)</f>
        <v>0</v>
      </c>
    </row>
    <row r="114" spans="7:28" ht="17.25" customHeight="1"/>
    <row r="115" spans="7:28" ht="17.25" customHeight="1"/>
    <row r="116" spans="7:28" ht="17.25" customHeight="1"/>
    <row r="117" spans="7:28" ht="17.25" customHeight="1"/>
    <row r="118" spans="7:28" ht="17.25" customHeight="1"/>
    <row r="119" spans="7:28" ht="17.25" customHeight="1"/>
    <row r="120" spans="7:28" ht="17.25" customHeight="1"/>
    <row r="121" spans="7:28" ht="17.25" customHeight="1"/>
    <row r="122" spans="7:28" ht="17.25" customHeight="1"/>
    <row r="123" spans="7:28" ht="17.25" customHeight="1"/>
    <row r="124" spans="7:28" ht="17.25" customHeight="1"/>
    <row r="125" spans="7:28" ht="17.25" customHeight="1"/>
    <row r="126" spans="7:28" ht="17.25" customHeight="1"/>
    <row r="127" spans="7:28" ht="17.25" customHeight="1"/>
    <row r="128" spans="7:28" ht="17.25" customHeight="1"/>
    <row r="129" ht="17.25" customHeight="1"/>
    <row r="130" ht="17.25" customHeight="1"/>
    <row r="131" ht="17.25" customHeight="1"/>
    <row r="132" ht="17.25" customHeight="1"/>
    <row r="133" ht="17.25" customHeight="1"/>
    <row r="134" ht="17.25" customHeight="1"/>
    <row r="135" ht="17.25" customHeight="1"/>
    <row r="136" ht="17.25" customHeight="1"/>
    <row r="137" ht="17.25" customHeight="1"/>
    <row r="138" ht="17.25" customHeight="1"/>
    <row r="139" ht="17.25" customHeight="1"/>
    <row r="140" ht="17.25" customHeight="1"/>
    <row r="141" ht="17.25" customHeight="1"/>
    <row r="142" ht="17.25" customHeight="1"/>
    <row r="143" ht="17.25" customHeight="1"/>
    <row r="144" ht="17.25" customHeight="1"/>
    <row r="145" ht="17.25" customHeight="1"/>
    <row r="146" ht="17.25" customHeight="1"/>
    <row r="147" ht="17.25" customHeight="1"/>
    <row r="148" ht="17.25" customHeight="1"/>
    <row r="149" ht="17.25" customHeight="1"/>
    <row r="150" ht="17.25" customHeight="1"/>
    <row r="151" ht="17.25" customHeight="1"/>
    <row r="152" ht="17.25" customHeight="1"/>
    <row r="153" ht="17.25" customHeight="1"/>
    <row r="154" ht="17.25" customHeight="1"/>
    <row r="155" ht="17.25" customHeight="1"/>
    <row r="156" ht="17.25" customHeight="1"/>
    <row r="157" ht="17.25" customHeight="1"/>
    <row r="158" ht="17.25" customHeight="1"/>
    <row r="159" ht="17.25" customHeight="1"/>
    <row r="160" ht="17.25" customHeight="1"/>
    <row r="161" spans="1:38" ht="17.25" customHeight="1"/>
    <row r="162" spans="1:38" ht="17.25" customHeight="1"/>
    <row r="163" spans="1:38" ht="17.25" customHeight="1"/>
    <row r="164" spans="1:38" ht="17.25" customHeight="1"/>
    <row r="165" spans="1:38" ht="17.25" customHeight="1"/>
    <row r="166" spans="1:38" ht="17.25" customHeight="1">
      <c r="A166"/>
      <c r="B166"/>
      <c r="C166"/>
      <c r="D166"/>
      <c r="E166"/>
      <c r="F166"/>
      <c r="AE166"/>
      <c r="AF166"/>
      <c r="AG166"/>
      <c r="AH166"/>
      <c r="AL166"/>
    </row>
  </sheetData>
  <sortState xmlns:xlrd2="http://schemas.microsoft.com/office/spreadsheetml/2017/richdata2" ref="A2:AM111">
    <sortCondition ref="A2:A111"/>
    <sortCondition ref="B2:B111"/>
    <sortCondition ref="E2:E111"/>
  </sortState>
  <dataValidations count="1">
    <dataValidation type="textLength" errorStyle="warning" allowBlank="1" showInputMessage="1" showErrorMessage="1" error="Contamar le informa de que el código introducido debe contener únicamente 8 dígitos._x000a__x000a_" sqref="AC2:AC111" xr:uid="{00000000-0002-0000-0700-000000000000}">
      <formula1>8</formula1>
      <formula2>8</formula2>
    </dataValidation>
  </dataValidations>
  <pageMargins left="0.7" right="0.7" top="0.75" bottom="0.75" header="0.3" footer="0.3"/>
  <pageSetup paperSize="9" scale="37" fitToHeight="0" orientation="landscape" r:id="rId1"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761B99-643E-42E9-8809-E669DDDB7A32}">
  <sheetPr codeName="Hoja9"/>
  <dimension ref="A1:AM192"/>
  <sheetViews>
    <sheetView zoomScale="80" zoomScaleNormal="80" workbookViewId="0">
      <pane ySplit="1" topLeftCell="A2" activePane="bottomLeft" state="frozen"/>
      <selection pane="bottomLeft" activeCell="AJ2" sqref="AJ2:AL152"/>
    </sheetView>
  </sheetViews>
  <sheetFormatPr baseColWidth="10" defaultColWidth="11.42578125" defaultRowHeight="15"/>
  <cols>
    <col min="1" max="1" width="12.85546875" style="29" bestFit="1" customWidth="1"/>
    <col min="2" max="2" width="20.42578125" style="30" bestFit="1" customWidth="1"/>
    <col min="3" max="3" width="13.42578125" style="4" hidden="1" customWidth="1"/>
    <col min="4" max="4" width="15.85546875" style="3" bestFit="1" customWidth="1"/>
    <col min="5" max="5" width="49.42578125" style="4" bestFit="1" customWidth="1"/>
    <col min="6" max="6" width="66" style="4" bestFit="1" customWidth="1"/>
    <col min="7" max="7" width="10.85546875" customWidth="1"/>
    <col min="8" max="8" width="7.7109375" customWidth="1"/>
    <col min="9" max="9" width="12.85546875" bestFit="1" customWidth="1"/>
    <col min="10" max="10" width="6.7109375" hidden="1" customWidth="1"/>
    <col min="11" max="11" width="11.7109375" hidden="1" customWidth="1"/>
    <col min="12" max="12" width="9.28515625" bestFit="1" customWidth="1"/>
    <col min="13" max="13" width="6.7109375" bestFit="1" customWidth="1"/>
    <col min="14" max="14" width="12.42578125" customWidth="1"/>
    <col min="15" max="15" width="8.140625" hidden="1" customWidth="1"/>
    <col min="16" max="16" width="12.42578125" hidden="1" customWidth="1"/>
    <col min="17" max="18" width="6.7109375" hidden="1" customWidth="1"/>
    <col min="19" max="19" width="8.42578125" hidden="1" customWidth="1"/>
    <col min="20" max="20" width="7.7109375" hidden="1" customWidth="1"/>
    <col min="21" max="21" width="10.42578125" hidden="1" customWidth="1"/>
    <col min="22" max="22" width="11.7109375" customWidth="1"/>
    <col min="23" max="23" width="6.140625" customWidth="1"/>
    <col min="24" max="24" width="13.28515625" customWidth="1"/>
    <col min="25" max="25" width="11.7109375" hidden="1" customWidth="1"/>
    <col min="26" max="26" width="5.42578125" hidden="1" customWidth="1"/>
    <col min="27" max="27" width="8.42578125" hidden="1" customWidth="1"/>
    <col min="28" max="28" width="12.7109375" bestFit="1" customWidth="1"/>
    <col min="29" max="29" width="14.7109375" hidden="1" customWidth="1"/>
    <col min="30" max="30" width="16.140625" hidden="1" customWidth="1"/>
    <col min="31" max="31" width="16.140625" style="3" hidden="1" customWidth="1"/>
    <col min="32" max="32" width="4.42578125" style="3" hidden="1" customWidth="1"/>
    <col min="33" max="33" width="9.85546875" style="3" hidden="1" customWidth="1"/>
    <col min="34" max="34" width="12" style="4" hidden="1" customWidth="1"/>
    <col min="35" max="35" width="15.42578125" hidden="1" customWidth="1"/>
    <col min="36" max="36" width="26.42578125" bestFit="1" customWidth="1"/>
    <col min="37" max="37" width="21.42578125" bestFit="1" customWidth="1"/>
    <col min="38" max="38" width="14.140625" style="44" customWidth="1"/>
  </cols>
  <sheetData>
    <row r="1" spans="1:39" s="1" customFormat="1" ht="38.25" customHeight="1">
      <c r="A1" s="21" t="s">
        <v>5</v>
      </c>
      <c r="B1" s="22" t="s">
        <v>9</v>
      </c>
      <c r="C1" s="22" t="s">
        <v>6</v>
      </c>
      <c r="D1" s="22" t="s">
        <v>8</v>
      </c>
      <c r="E1" s="22" t="s">
        <v>3</v>
      </c>
      <c r="F1" s="22" t="s">
        <v>10</v>
      </c>
      <c r="G1" s="21" t="s">
        <v>7</v>
      </c>
      <c r="H1" s="21" t="s">
        <v>0</v>
      </c>
      <c r="I1" s="21" t="s">
        <v>1</v>
      </c>
      <c r="J1" s="21" t="s">
        <v>23</v>
      </c>
      <c r="K1" s="21" t="s">
        <v>24</v>
      </c>
      <c r="L1" s="21" t="s">
        <v>19</v>
      </c>
      <c r="M1" s="21" t="s">
        <v>15</v>
      </c>
      <c r="N1" s="21" t="s">
        <v>16</v>
      </c>
      <c r="O1" s="21" t="s">
        <v>25</v>
      </c>
      <c r="P1" s="21" t="s">
        <v>26</v>
      </c>
      <c r="Q1" s="21" t="s">
        <v>20</v>
      </c>
      <c r="R1" s="21" t="s">
        <v>17</v>
      </c>
      <c r="S1" s="21" t="s">
        <v>18</v>
      </c>
      <c r="T1" s="21" t="s">
        <v>28</v>
      </c>
      <c r="U1" s="21" t="s">
        <v>27</v>
      </c>
      <c r="V1" s="21" t="s">
        <v>2</v>
      </c>
      <c r="W1" s="21" t="s">
        <v>30</v>
      </c>
      <c r="X1" s="21" t="s">
        <v>32</v>
      </c>
      <c r="Y1" s="21" t="s">
        <v>29</v>
      </c>
      <c r="Z1" s="21" t="s">
        <v>31</v>
      </c>
      <c r="AA1" s="21" t="s">
        <v>33</v>
      </c>
      <c r="AB1" s="21" t="s">
        <v>34</v>
      </c>
      <c r="AC1" s="22" t="s">
        <v>11</v>
      </c>
      <c r="AD1" s="22" t="s">
        <v>21</v>
      </c>
      <c r="AE1" s="22" t="s">
        <v>22</v>
      </c>
      <c r="AF1" s="22" t="s">
        <v>4</v>
      </c>
      <c r="AG1" s="22" t="s">
        <v>12</v>
      </c>
      <c r="AH1" s="23" t="s">
        <v>13</v>
      </c>
      <c r="AI1" s="24" t="s">
        <v>14</v>
      </c>
      <c r="AJ1" s="32" t="s">
        <v>37</v>
      </c>
      <c r="AK1" s="34" t="s">
        <v>35</v>
      </c>
      <c r="AL1" s="62" t="s">
        <v>36</v>
      </c>
    </row>
    <row r="2" spans="1:39" ht="17.25" customHeight="1">
      <c r="A2" s="25"/>
      <c r="B2" s="26"/>
      <c r="C2" s="14"/>
      <c r="D2" s="31"/>
      <c r="E2" s="14"/>
      <c r="F2" s="15" t="str">
        <f t="shared" ref="F2:F33" si="0">"S/F "&amp;B2&amp;" "&amp;E2</f>
        <v xml:space="preserve">S/F  </v>
      </c>
      <c r="G2" s="16"/>
      <c r="H2" s="17">
        <v>21</v>
      </c>
      <c r="I2" s="18">
        <f t="shared" ref="I2:I33" si="1">+IF(G2&lt;&gt;0,G2*H2/100,0)</f>
        <v>0</v>
      </c>
      <c r="J2" s="17"/>
      <c r="K2" s="18"/>
      <c r="L2" s="16"/>
      <c r="M2" s="17"/>
      <c r="N2" s="18">
        <f t="shared" ref="N2:N33" si="2">+IF(L2&lt;&gt;0,L2*M2/100,0)</f>
        <v>0</v>
      </c>
      <c r="O2" s="19"/>
      <c r="P2" s="18">
        <v>0</v>
      </c>
      <c r="Q2" s="16"/>
      <c r="R2" s="17"/>
      <c r="S2" s="18">
        <v>0</v>
      </c>
      <c r="T2" s="19"/>
      <c r="U2" s="18">
        <v>0</v>
      </c>
      <c r="V2" s="16"/>
      <c r="W2" s="17"/>
      <c r="X2" s="18">
        <f t="shared" ref="X2:X33" si="3">+IF(W2&lt;&gt;0,V2*W2/100,0)</f>
        <v>0</v>
      </c>
      <c r="Y2" s="19"/>
      <c r="Z2" s="19"/>
      <c r="AA2" s="18">
        <f t="shared" ref="AA2:AA33" si="4">+IF(Z2&lt;&gt;0,Y2*Z2/100,0)</f>
        <v>0</v>
      </c>
      <c r="AB2" s="20">
        <f t="shared" ref="AB2:AB33" si="5">+G2+I2+K2+L2+N2+P2+Q2+S2+U2-X2-AA2</f>
        <v>0</v>
      </c>
      <c r="AC2" s="5"/>
      <c r="AD2" s="8"/>
      <c r="AF2" s="6"/>
      <c r="AG2" s="7"/>
      <c r="AJ2" s="33"/>
      <c r="AK2" s="35"/>
      <c r="AL2" s="38"/>
    </row>
    <row r="3" spans="1:39" ht="17.25" customHeight="1">
      <c r="A3" s="25"/>
      <c r="B3" s="26"/>
      <c r="C3" s="14"/>
      <c r="D3" s="31"/>
      <c r="E3" s="14"/>
      <c r="F3" s="15" t="str">
        <f t="shared" si="0"/>
        <v xml:space="preserve">S/F  </v>
      </c>
      <c r="G3" s="16"/>
      <c r="H3" s="17">
        <v>21</v>
      </c>
      <c r="I3" s="18">
        <f t="shared" si="1"/>
        <v>0</v>
      </c>
      <c r="J3" s="17"/>
      <c r="K3" s="18"/>
      <c r="L3" s="16"/>
      <c r="M3" s="17"/>
      <c r="N3" s="18">
        <f t="shared" si="2"/>
        <v>0</v>
      </c>
      <c r="O3" s="19"/>
      <c r="P3" s="18">
        <v>0</v>
      </c>
      <c r="Q3" s="16"/>
      <c r="R3" s="17"/>
      <c r="S3" s="18">
        <v>0</v>
      </c>
      <c r="T3" s="19"/>
      <c r="U3" s="18">
        <v>0</v>
      </c>
      <c r="V3" s="16"/>
      <c r="W3" s="17"/>
      <c r="X3" s="18">
        <f t="shared" si="3"/>
        <v>0</v>
      </c>
      <c r="Y3" s="19"/>
      <c r="Z3" s="19"/>
      <c r="AA3" s="18">
        <f t="shared" si="4"/>
        <v>0</v>
      </c>
      <c r="AB3" s="20">
        <f t="shared" si="5"/>
        <v>0</v>
      </c>
      <c r="AC3" s="5"/>
      <c r="AD3" s="8"/>
      <c r="AF3" s="6"/>
      <c r="AG3" s="7"/>
      <c r="AJ3" s="33"/>
      <c r="AK3" s="35"/>
      <c r="AL3" s="38"/>
    </row>
    <row r="4" spans="1:39" ht="17.25" customHeight="1">
      <c r="A4" s="25"/>
      <c r="B4" s="26"/>
      <c r="C4" s="14"/>
      <c r="D4" s="31"/>
      <c r="E4" s="14"/>
      <c r="F4" s="15" t="str">
        <f t="shared" si="0"/>
        <v xml:space="preserve">S/F  </v>
      </c>
      <c r="G4" s="16"/>
      <c r="H4" s="17">
        <v>21</v>
      </c>
      <c r="I4" s="18">
        <f t="shared" si="1"/>
        <v>0</v>
      </c>
      <c r="J4" s="17"/>
      <c r="K4" s="18"/>
      <c r="L4" s="16"/>
      <c r="M4" s="17"/>
      <c r="N4" s="18">
        <f t="shared" si="2"/>
        <v>0</v>
      </c>
      <c r="O4" s="19"/>
      <c r="P4" s="18">
        <v>0</v>
      </c>
      <c r="Q4" s="16"/>
      <c r="R4" s="17"/>
      <c r="S4" s="18">
        <v>0</v>
      </c>
      <c r="T4" s="19"/>
      <c r="U4" s="18">
        <v>0</v>
      </c>
      <c r="V4" s="16"/>
      <c r="W4" s="17"/>
      <c r="X4" s="18">
        <f t="shared" si="3"/>
        <v>0</v>
      </c>
      <c r="Y4" s="19"/>
      <c r="Z4" s="19"/>
      <c r="AA4" s="18">
        <f t="shared" si="4"/>
        <v>0</v>
      </c>
      <c r="AB4" s="20">
        <f t="shared" si="5"/>
        <v>0</v>
      </c>
      <c r="AC4" s="5"/>
      <c r="AD4" s="8"/>
      <c r="AF4" s="6"/>
      <c r="AG4" s="7"/>
      <c r="AJ4" s="33"/>
      <c r="AK4" s="35"/>
      <c r="AL4" s="38"/>
    </row>
    <row r="5" spans="1:39" ht="17.25" customHeight="1">
      <c r="A5" s="25"/>
      <c r="B5" s="26"/>
      <c r="C5" s="14"/>
      <c r="D5" s="31"/>
      <c r="E5" s="14"/>
      <c r="F5" s="15" t="str">
        <f t="shared" si="0"/>
        <v xml:space="preserve">S/F  </v>
      </c>
      <c r="G5" s="16"/>
      <c r="H5" s="17">
        <v>21</v>
      </c>
      <c r="I5" s="18">
        <f t="shared" si="1"/>
        <v>0</v>
      </c>
      <c r="J5" s="17"/>
      <c r="K5" s="18"/>
      <c r="L5" s="16"/>
      <c r="M5" s="17"/>
      <c r="N5" s="18">
        <f t="shared" si="2"/>
        <v>0</v>
      </c>
      <c r="O5" s="19"/>
      <c r="P5" s="18">
        <v>0</v>
      </c>
      <c r="Q5" s="16"/>
      <c r="R5" s="17"/>
      <c r="S5" s="18">
        <v>0</v>
      </c>
      <c r="T5" s="19"/>
      <c r="U5" s="18">
        <v>0</v>
      </c>
      <c r="V5" s="16"/>
      <c r="W5" s="17"/>
      <c r="X5" s="18">
        <f t="shared" si="3"/>
        <v>0</v>
      </c>
      <c r="Y5" s="19"/>
      <c r="Z5" s="19"/>
      <c r="AA5" s="18">
        <f t="shared" si="4"/>
        <v>0</v>
      </c>
      <c r="AB5" s="20">
        <f t="shared" si="5"/>
        <v>0</v>
      </c>
      <c r="AC5" s="5"/>
      <c r="AD5" s="8"/>
      <c r="AF5" s="6"/>
      <c r="AG5" s="7"/>
      <c r="AJ5" s="33"/>
      <c r="AK5" s="35"/>
      <c r="AL5" s="38"/>
    </row>
    <row r="6" spans="1:39" ht="17.25" customHeight="1">
      <c r="A6" s="25"/>
      <c r="B6" s="26"/>
      <c r="C6" s="14"/>
      <c r="D6" s="31"/>
      <c r="E6" s="14"/>
      <c r="F6" s="15" t="str">
        <f t="shared" si="0"/>
        <v xml:space="preserve">S/F  </v>
      </c>
      <c r="G6" s="16"/>
      <c r="H6" s="17">
        <v>21</v>
      </c>
      <c r="I6" s="18">
        <f t="shared" si="1"/>
        <v>0</v>
      </c>
      <c r="J6" s="17"/>
      <c r="K6" s="18"/>
      <c r="L6" s="16"/>
      <c r="M6" s="17"/>
      <c r="N6" s="18">
        <f t="shared" si="2"/>
        <v>0</v>
      </c>
      <c r="O6" s="19"/>
      <c r="P6" s="18">
        <v>0</v>
      </c>
      <c r="Q6" s="16"/>
      <c r="R6" s="17"/>
      <c r="S6" s="18">
        <v>0</v>
      </c>
      <c r="T6" s="19"/>
      <c r="U6" s="18">
        <v>0</v>
      </c>
      <c r="V6" s="16"/>
      <c r="W6" s="17"/>
      <c r="X6" s="18">
        <f t="shared" si="3"/>
        <v>0</v>
      </c>
      <c r="Y6" s="19"/>
      <c r="Z6" s="19"/>
      <c r="AA6" s="18">
        <f t="shared" si="4"/>
        <v>0</v>
      </c>
      <c r="AB6" s="20">
        <f t="shared" si="5"/>
        <v>0</v>
      </c>
      <c r="AC6" s="5"/>
      <c r="AD6" s="8"/>
      <c r="AF6" s="6"/>
      <c r="AG6" s="7"/>
      <c r="AJ6" s="33"/>
      <c r="AK6" s="35"/>
      <c r="AL6" s="38"/>
    </row>
    <row r="7" spans="1:39" ht="17.25" customHeight="1">
      <c r="A7" s="25"/>
      <c r="B7" s="26"/>
      <c r="C7" s="14"/>
      <c r="D7" s="31"/>
      <c r="E7" s="14"/>
      <c r="F7" s="15" t="str">
        <f t="shared" si="0"/>
        <v xml:space="preserve">S/F  </v>
      </c>
      <c r="G7" s="16"/>
      <c r="H7" s="17">
        <v>21</v>
      </c>
      <c r="I7" s="18">
        <f t="shared" si="1"/>
        <v>0</v>
      </c>
      <c r="J7" s="17"/>
      <c r="K7" s="18"/>
      <c r="L7" s="16"/>
      <c r="M7" s="17"/>
      <c r="N7" s="18">
        <f t="shared" si="2"/>
        <v>0</v>
      </c>
      <c r="O7" s="19"/>
      <c r="P7" s="18">
        <v>0</v>
      </c>
      <c r="Q7" s="16"/>
      <c r="R7" s="17"/>
      <c r="S7" s="18">
        <v>0</v>
      </c>
      <c r="T7" s="19"/>
      <c r="U7" s="18">
        <v>0</v>
      </c>
      <c r="V7" s="16"/>
      <c r="W7" s="17"/>
      <c r="X7" s="18">
        <f t="shared" si="3"/>
        <v>0</v>
      </c>
      <c r="Y7" s="19"/>
      <c r="Z7" s="19"/>
      <c r="AA7" s="18">
        <f t="shared" si="4"/>
        <v>0</v>
      </c>
      <c r="AB7" s="20">
        <f t="shared" si="5"/>
        <v>0</v>
      </c>
      <c r="AC7" s="5"/>
      <c r="AD7" s="8"/>
      <c r="AF7" s="6"/>
      <c r="AG7" s="7"/>
      <c r="AJ7" s="33"/>
      <c r="AK7" s="35"/>
      <c r="AL7" s="38"/>
    </row>
    <row r="8" spans="1:39" ht="17.25" customHeight="1">
      <c r="A8" s="25"/>
      <c r="B8" s="26"/>
      <c r="C8" s="14"/>
      <c r="D8" s="31"/>
      <c r="E8" s="14"/>
      <c r="F8" s="15" t="str">
        <f t="shared" si="0"/>
        <v xml:space="preserve">S/F  </v>
      </c>
      <c r="G8" s="16"/>
      <c r="H8" s="17">
        <v>21</v>
      </c>
      <c r="I8" s="18">
        <f t="shared" si="1"/>
        <v>0</v>
      </c>
      <c r="J8" s="17"/>
      <c r="K8" s="18"/>
      <c r="L8" s="16"/>
      <c r="M8" s="17"/>
      <c r="N8" s="18">
        <f t="shared" si="2"/>
        <v>0</v>
      </c>
      <c r="O8" s="19"/>
      <c r="P8" s="18">
        <v>0</v>
      </c>
      <c r="Q8" s="16"/>
      <c r="R8" s="17"/>
      <c r="S8" s="18">
        <v>0</v>
      </c>
      <c r="T8" s="19"/>
      <c r="U8" s="18">
        <v>0</v>
      </c>
      <c r="V8" s="16"/>
      <c r="W8" s="17"/>
      <c r="X8" s="18">
        <f t="shared" si="3"/>
        <v>0</v>
      </c>
      <c r="Y8" s="19"/>
      <c r="Z8" s="19"/>
      <c r="AA8" s="18">
        <f t="shared" si="4"/>
        <v>0</v>
      </c>
      <c r="AB8" s="20">
        <f t="shared" si="5"/>
        <v>0</v>
      </c>
      <c r="AC8" s="5"/>
      <c r="AD8" s="8"/>
      <c r="AF8" s="6"/>
      <c r="AG8" s="7"/>
      <c r="AJ8" s="33"/>
      <c r="AK8" s="35"/>
      <c r="AL8" s="38"/>
    </row>
    <row r="9" spans="1:39" ht="17.25" customHeight="1">
      <c r="A9" s="25"/>
      <c r="B9" s="26"/>
      <c r="C9" s="14"/>
      <c r="D9" s="31"/>
      <c r="E9" s="14"/>
      <c r="F9" s="15" t="str">
        <f t="shared" si="0"/>
        <v xml:space="preserve">S/F  </v>
      </c>
      <c r="G9" s="16"/>
      <c r="H9" s="17">
        <v>21</v>
      </c>
      <c r="I9" s="18">
        <f t="shared" si="1"/>
        <v>0</v>
      </c>
      <c r="J9" s="17"/>
      <c r="K9" s="18"/>
      <c r="L9" s="16"/>
      <c r="M9" s="17"/>
      <c r="N9" s="18">
        <f t="shared" si="2"/>
        <v>0</v>
      </c>
      <c r="O9" s="19"/>
      <c r="P9" s="18">
        <v>0</v>
      </c>
      <c r="Q9" s="16"/>
      <c r="R9" s="17"/>
      <c r="S9" s="18">
        <v>0</v>
      </c>
      <c r="T9" s="19"/>
      <c r="U9" s="18">
        <v>0</v>
      </c>
      <c r="V9" s="16"/>
      <c r="W9" s="17"/>
      <c r="X9" s="18">
        <f t="shared" si="3"/>
        <v>0</v>
      </c>
      <c r="Y9" s="19"/>
      <c r="Z9" s="19"/>
      <c r="AA9" s="18">
        <f t="shared" si="4"/>
        <v>0</v>
      </c>
      <c r="AB9" s="20">
        <f t="shared" si="5"/>
        <v>0</v>
      </c>
      <c r="AC9" s="5"/>
      <c r="AD9" s="8"/>
      <c r="AF9" s="6"/>
      <c r="AG9" s="7"/>
      <c r="AJ9" s="33"/>
      <c r="AK9" s="35"/>
      <c r="AL9" s="38"/>
    </row>
    <row r="10" spans="1:39" ht="17.25" customHeight="1">
      <c r="A10" s="25"/>
      <c r="B10" s="26"/>
      <c r="C10" s="14"/>
      <c r="D10" s="31"/>
      <c r="E10" s="14"/>
      <c r="F10" s="15" t="str">
        <f t="shared" si="0"/>
        <v xml:space="preserve">S/F  </v>
      </c>
      <c r="G10" s="16"/>
      <c r="H10" s="17">
        <v>21</v>
      </c>
      <c r="I10" s="18">
        <f t="shared" si="1"/>
        <v>0</v>
      </c>
      <c r="J10" s="17"/>
      <c r="K10" s="18"/>
      <c r="L10" s="16"/>
      <c r="M10" s="17"/>
      <c r="N10" s="18">
        <f t="shared" si="2"/>
        <v>0</v>
      </c>
      <c r="O10" s="19"/>
      <c r="P10" s="18">
        <v>0</v>
      </c>
      <c r="Q10" s="16"/>
      <c r="R10" s="17"/>
      <c r="S10" s="18">
        <v>0</v>
      </c>
      <c r="T10" s="19"/>
      <c r="U10" s="18">
        <v>0</v>
      </c>
      <c r="V10" s="16"/>
      <c r="W10" s="17"/>
      <c r="X10" s="18">
        <f t="shared" si="3"/>
        <v>0</v>
      </c>
      <c r="Y10" s="19"/>
      <c r="Z10" s="19"/>
      <c r="AA10" s="18">
        <f t="shared" si="4"/>
        <v>0</v>
      </c>
      <c r="AB10" s="20">
        <f t="shared" si="5"/>
        <v>0</v>
      </c>
      <c r="AC10" s="5"/>
      <c r="AD10" s="8"/>
      <c r="AF10" s="6"/>
      <c r="AG10" s="7"/>
      <c r="AJ10" s="33"/>
      <c r="AK10" s="35"/>
      <c r="AL10" s="38"/>
    </row>
    <row r="11" spans="1:39" ht="17.25" customHeight="1">
      <c r="A11" s="25"/>
      <c r="B11" s="26"/>
      <c r="C11" s="14"/>
      <c r="D11" s="31"/>
      <c r="E11" s="14"/>
      <c r="F11" s="15" t="str">
        <f t="shared" si="0"/>
        <v xml:space="preserve">S/F  </v>
      </c>
      <c r="G11" s="16"/>
      <c r="H11" s="17">
        <v>21</v>
      </c>
      <c r="I11" s="18">
        <f t="shared" si="1"/>
        <v>0</v>
      </c>
      <c r="J11" s="17"/>
      <c r="K11" s="18"/>
      <c r="L11" s="16"/>
      <c r="M11" s="17"/>
      <c r="N11" s="18">
        <f t="shared" si="2"/>
        <v>0</v>
      </c>
      <c r="O11" s="19"/>
      <c r="P11" s="18">
        <v>0</v>
      </c>
      <c r="Q11" s="16"/>
      <c r="R11" s="17"/>
      <c r="S11" s="18">
        <v>0</v>
      </c>
      <c r="T11" s="19"/>
      <c r="U11" s="18">
        <v>0</v>
      </c>
      <c r="V11" s="16"/>
      <c r="W11" s="17"/>
      <c r="X11" s="18">
        <f t="shared" si="3"/>
        <v>0</v>
      </c>
      <c r="Y11" s="19"/>
      <c r="Z11" s="19"/>
      <c r="AA11" s="18">
        <f t="shared" si="4"/>
        <v>0</v>
      </c>
      <c r="AB11" s="20">
        <f t="shared" si="5"/>
        <v>0</v>
      </c>
      <c r="AC11" s="5"/>
      <c r="AD11" s="8"/>
      <c r="AF11" s="6"/>
      <c r="AG11" s="7"/>
      <c r="AJ11" s="33"/>
      <c r="AK11" s="35"/>
      <c r="AL11" s="38"/>
    </row>
    <row r="12" spans="1:39" ht="17.25" customHeight="1">
      <c r="A12" s="25"/>
      <c r="B12" s="26"/>
      <c r="C12" s="14"/>
      <c r="D12" s="31"/>
      <c r="E12" s="14"/>
      <c r="F12" s="15" t="str">
        <f t="shared" si="0"/>
        <v xml:space="preserve">S/F  </v>
      </c>
      <c r="G12" s="16"/>
      <c r="H12" s="17">
        <v>21</v>
      </c>
      <c r="I12" s="18">
        <f t="shared" si="1"/>
        <v>0</v>
      </c>
      <c r="J12" s="17"/>
      <c r="K12" s="18"/>
      <c r="L12" s="16"/>
      <c r="M12" s="17"/>
      <c r="N12" s="18">
        <f t="shared" si="2"/>
        <v>0</v>
      </c>
      <c r="O12" s="19"/>
      <c r="P12" s="18">
        <v>0</v>
      </c>
      <c r="Q12" s="16"/>
      <c r="R12" s="17"/>
      <c r="S12" s="18">
        <v>0</v>
      </c>
      <c r="T12" s="19"/>
      <c r="U12" s="18">
        <v>0</v>
      </c>
      <c r="V12" s="16"/>
      <c r="W12" s="17"/>
      <c r="X12" s="18">
        <f t="shared" si="3"/>
        <v>0</v>
      </c>
      <c r="Y12" s="19"/>
      <c r="Z12" s="19"/>
      <c r="AA12" s="18">
        <f t="shared" si="4"/>
        <v>0</v>
      </c>
      <c r="AB12" s="20">
        <f t="shared" si="5"/>
        <v>0</v>
      </c>
      <c r="AC12" s="5"/>
      <c r="AD12" s="8"/>
      <c r="AF12" s="6"/>
      <c r="AG12" s="7"/>
      <c r="AJ12" s="33"/>
      <c r="AK12" s="35"/>
      <c r="AL12" s="38"/>
    </row>
    <row r="13" spans="1:39" ht="17.25" customHeight="1">
      <c r="A13" s="25"/>
      <c r="B13" s="26"/>
      <c r="C13" s="14"/>
      <c r="D13" s="26"/>
      <c r="E13" s="14"/>
      <c r="F13" s="15" t="str">
        <f t="shared" si="0"/>
        <v xml:space="preserve">S/F  </v>
      </c>
      <c r="G13" s="16"/>
      <c r="H13" s="17">
        <v>21</v>
      </c>
      <c r="I13" s="18">
        <f t="shared" si="1"/>
        <v>0</v>
      </c>
      <c r="J13" s="17"/>
      <c r="K13" s="18"/>
      <c r="L13" s="16"/>
      <c r="M13" s="17"/>
      <c r="N13" s="18">
        <f t="shared" si="2"/>
        <v>0</v>
      </c>
      <c r="O13" s="19"/>
      <c r="P13" s="18">
        <v>0</v>
      </c>
      <c r="Q13" s="16"/>
      <c r="R13" s="17"/>
      <c r="S13" s="18">
        <v>0</v>
      </c>
      <c r="T13" s="19"/>
      <c r="U13" s="18">
        <v>0</v>
      </c>
      <c r="V13" s="16"/>
      <c r="W13" s="17"/>
      <c r="X13" s="18">
        <f t="shared" si="3"/>
        <v>0</v>
      </c>
      <c r="Y13" s="19"/>
      <c r="Z13" s="19"/>
      <c r="AA13" s="18">
        <f t="shared" si="4"/>
        <v>0</v>
      </c>
      <c r="AB13" s="20">
        <f t="shared" si="5"/>
        <v>0</v>
      </c>
      <c r="AC13" s="5"/>
      <c r="AD13" s="8"/>
      <c r="AF13" s="6"/>
      <c r="AG13" s="7"/>
      <c r="AJ13" s="33"/>
      <c r="AK13" s="35"/>
      <c r="AL13" s="38"/>
    </row>
    <row r="14" spans="1:39" ht="17.25" customHeight="1">
      <c r="A14" s="25"/>
      <c r="B14" s="26"/>
      <c r="C14" s="14"/>
      <c r="D14" s="31"/>
      <c r="E14" s="14"/>
      <c r="F14" s="15" t="str">
        <f t="shared" si="0"/>
        <v xml:space="preserve">S/F  </v>
      </c>
      <c r="G14" s="16"/>
      <c r="H14" s="17">
        <v>21</v>
      </c>
      <c r="I14" s="18">
        <f t="shared" si="1"/>
        <v>0</v>
      </c>
      <c r="J14" s="17"/>
      <c r="K14" s="18"/>
      <c r="L14" s="16"/>
      <c r="M14" s="17"/>
      <c r="N14" s="18">
        <f t="shared" si="2"/>
        <v>0</v>
      </c>
      <c r="O14" s="19"/>
      <c r="P14" s="18">
        <v>0</v>
      </c>
      <c r="Q14" s="16"/>
      <c r="R14" s="17"/>
      <c r="S14" s="18">
        <v>0</v>
      </c>
      <c r="T14" s="19"/>
      <c r="U14" s="18">
        <v>0</v>
      </c>
      <c r="V14" s="16"/>
      <c r="W14" s="17"/>
      <c r="X14" s="18">
        <f t="shared" si="3"/>
        <v>0</v>
      </c>
      <c r="Y14" s="19"/>
      <c r="Z14" s="19"/>
      <c r="AA14" s="18">
        <f t="shared" si="4"/>
        <v>0</v>
      </c>
      <c r="AB14" s="20">
        <f t="shared" si="5"/>
        <v>0</v>
      </c>
      <c r="AC14" s="5"/>
      <c r="AD14" s="8"/>
      <c r="AF14" s="6"/>
      <c r="AG14" s="7"/>
      <c r="AJ14" s="33"/>
      <c r="AK14" s="35"/>
      <c r="AL14" s="38"/>
      <c r="AM14" t="s">
        <v>40</v>
      </c>
    </row>
    <row r="15" spans="1:39" ht="17.25" customHeight="1">
      <c r="A15" s="25"/>
      <c r="B15" s="26"/>
      <c r="C15" s="14"/>
      <c r="D15" s="31"/>
      <c r="E15" s="14"/>
      <c r="F15" s="15" t="str">
        <f t="shared" si="0"/>
        <v xml:space="preserve">S/F  </v>
      </c>
      <c r="G15" s="16"/>
      <c r="H15" s="17">
        <v>21</v>
      </c>
      <c r="I15" s="18">
        <f t="shared" si="1"/>
        <v>0</v>
      </c>
      <c r="J15" s="17"/>
      <c r="K15" s="18"/>
      <c r="L15" s="16"/>
      <c r="M15" s="17"/>
      <c r="N15" s="18">
        <f t="shared" si="2"/>
        <v>0</v>
      </c>
      <c r="O15" s="19"/>
      <c r="P15" s="18">
        <v>0</v>
      </c>
      <c r="Q15" s="16"/>
      <c r="R15" s="17"/>
      <c r="S15" s="18">
        <v>0</v>
      </c>
      <c r="T15" s="19"/>
      <c r="U15" s="18">
        <v>0</v>
      </c>
      <c r="V15" s="16"/>
      <c r="W15" s="17"/>
      <c r="X15" s="18">
        <f t="shared" si="3"/>
        <v>0</v>
      </c>
      <c r="Y15" s="19"/>
      <c r="Z15" s="19"/>
      <c r="AA15" s="18">
        <f t="shared" si="4"/>
        <v>0</v>
      </c>
      <c r="AB15" s="20">
        <f t="shared" si="5"/>
        <v>0</v>
      </c>
      <c r="AC15" s="5"/>
      <c r="AD15" s="8"/>
      <c r="AF15" s="6"/>
      <c r="AG15" s="7"/>
      <c r="AJ15" s="33"/>
      <c r="AK15" s="35"/>
      <c r="AL15" s="38"/>
    </row>
    <row r="16" spans="1:39" ht="17.25" customHeight="1">
      <c r="A16" s="25"/>
      <c r="B16" s="26"/>
      <c r="C16" s="14"/>
      <c r="D16" s="31"/>
      <c r="E16" s="14"/>
      <c r="F16" s="15" t="str">
        <f t="shared" si="0"/>
        <v xml:space="preserve">S/F  </v>
      </c>
      <c r="G16" s="16"/>
      <c r="H16" s="17">
        <v>21</v>
      </c>
      <c r="I16" s="18">
        <f t="shared" si="1"/>
        <v>0</v>
      </c>
      <c r="J16" s="17"/>
      <c r="K16" s="18"/>
      <c r="L16" s="16"/>
      <c r="M16" s="17"/>
      <c r="N16" s="18">
        <f t="shared" si="2"/>
        <v>0</v>
      </c>
      <c r="O16" s="19"/>
      <c r="P16" s="18">
        <v>0</v>
      </c>
      <c r="Q16" s="16"/>
      <c r="R16" s="17"/>
      <c r="S16" s="18">
        <v>0</v>
      </c>
      <c r="T16" s="19"/>
      <c r="U16" s="18">
        <v>0</v>
      </c>
      <c r="V16" s="16"/>
      <c r="W16" s="17"/>
      <c r="X16" s="18">
        <f t="shared" si="3"/>
        <v>0</v>
      </c>
      <c r="Y16" s="19"/>
      <c r="Z16" s="19"/>
      <c r="AA16" s="18">
        <f t="shared" si="4"/>
        <v>0</v>
      </c>
      <c r="AB16" s="20">
        <f t="shared" si="5"/>
        <v>0</v>
      </c>
      <c r="AC16" s="5"/>
      <c r="AD16" s="8"/>
      <c r="AF16" s="6"/>
      <c r="AG16" s="7"/>
      <c r="AJ16" s="33"/>
      <c r="AK16" s="35"/>
      <c r="AL16" s="38"/>
    </row>
    <row r="17" spans="1:38" ht="17.25" customHeight="1">
      <c r="A17" s="25"/>
      <c r="B17" s="26"/>
      <c r="C17" s="14"/>
      <c r="D17" s="31"/>
      <c r="E17" s="14"/>
      <c r="F17" s="15" t="str">
        <f t="shared" si="0"/>
        <v xml:space="preserve">S/F  </v>
      </c>
      <c r="G17" s="16"/>
      <c r="H17" s="17">
        <v>21</v>
      </c>
      <c r="I17" s="18">
        <f t="shared" si="1"/>
        <v>0</v>
      </c>
      <c r="J17" s="17"/>
      <c r="K17" s="18"/>
      <c r="L17" s="16"/>
      <c r="M17" s="17"/>
      <c r="N17" s="18">
        <f t="shared" si="2"/>
        <v>0</v>
      </c>
      <c r="O17" s="19"/>
      <c r="P17" s="18">
        <v>0</v>
      </c>
      <c r="Q17" s="16"/>
      <c r="R17" s="17"/>
      <c r="S17" s="18">
        <v>0</v>
      </c>
      <c r="T17" s="19"/>
      <c r="U17" s="18">
        <v>0</v>
      </c>
      <c r="V17" s="16"/>
      <c r="W17" s="17"/>
      <c r="X17" s="18">
        <f t="shared" si="3"/>
        <v>0</v>
      </c>
      <c r="Y17" s="19"/>
      <c r="Z17" s="19"/>
      <c r="AA17" s="18">
        <f t="shared" si="4"/>
        <v>0</v>
      </c>
      <c r="AB17" s="20">
        <f t="shared" si="5"/>
        <v>0</v>
      </c>
      <c r="AC17" s="5"/>
      <c r="AD17" s="8"/>
      <c r="AF17" s="6"/>
      <c r="AG17" s="7"/>
      <c r="AJ17" s="33"/>
      <c r="AK17" s="35"/>
      <c r="AL17" s="38"/>
    </row>
    <row r="18" spans="1:38" ht="17.25" customHeight="1">
      <c r="A18" s="25"/>
      <c r="B18" s="26"/>
      <c r="C18" s="14"/>
      <c r="D18" s="31"/>
      <c r="E18" s="14"/>
      <c r="F18" s="15" t="str">
        <f t="shared" si="0"/>
        <v xml:space="preserve">S/F  </v>
      </c>
      <c r="G18" s="16"/>
      <c r="H18" s="17">
        <v>21</v>
      </c>
      <c r="I18" s="18">
        <f t="shared" si="1"/>
        <v>0</v>
      </c>
      <c r="J18" s="17"/>
      <c r="K18" s="18"/>
      <c r="L18" s="16"/>
      <c r="M18" s="17"/>
      <c r="N18" s="18">
        <f t="shared" si="2"/>
        <v>0</v>
      </c>
      <c r="O18" s="19"/>
      <c r="P18" s="18">
        <v>0</v>
      </c>
      <c r="Q18" s="16"/>
      <c r="R18" s="17"/>
      <c r="S18" s="18">
        <v>0</v>
      </c>
      <c r="T18" s="19"/>
      <c r="U18" s="18">
        <v>0</v>
      </c>
      <c r="V18" s="16"/>
      <c r="W18" s="17"/>
      <c r="X18" s="18">
        <f t="shared" si="3"/>
        <v>0</v>
      </c>
      <c r="Y18" s="19"/>
      <c r="Z18" s="19"/>
      <c r="AA18" s="18">
        <f t="shared" si="4"/>
        <v>0</v>
      </c>
      <c r="AB18" s="20">
        <f t="shared" si="5"/>
        <v>0</v>
      </c>
      <c r="AC18" s="5"/>
      <c r="AD18" s="8"/>
      <c r="AF18" s="6"/>
      <c r="AG18" s="7"/>
      <c r="AJ18" s="33"/>
      <c r="AK18" s="35"/>
      <c r="AL18" s="38"/>
    </row>
    <row r="19" spans="1:38" ht="17.25" customHeight="1">
      <c r="A19" s="25"/>
      <c r="B19" s="26"/>
      <c r="C19" s="14"/>
      <c r="D19" s="31"/>
      <c r="E19" s="14"/>
      <c r="F19" s="15" t="str">
        <f t="shared" si="0"/>
        <v xml:space="preserve">S/F  </v>
      </c>
      <c r="G19" s="16"/>
      <c r="H19" s="17">
        <v>21</v>
      </c>
      <c r="I19" s="18">
        <f t="shared" si="1"/>
        <v>0</v>
      </c>
      <c r="J19" s="17"/>
      <c r="K19" s="18"/>
      <c r="L19" s="16"/>
      <c r="M19" s="17"/>
      <c r="N19" s="18">
        <f t="shared" si="2"/>
        <v>0</v>
      </c>
      <c r="O19" s="19"/>
      <c r="P19" s="18">
        <v>0</v>
      </c>
      <c r="Q19" s="16"/>
      <c r="R19" s="17"/>
      <c r="S19" s="18">
        <v>0</v>
      </c>
      <c r="T19" s="19"/>
      <c r="U19" s="18">
        <v>0</v>
      </c>
      <c r="V19" s="16"/>
      <c r="W19" s="17"/>
      <c r="X19" s="18">
        <f t="shared" si="3"/>
        <v>0</v>
      </c>
      <c r="Y19" s="19"/>
      <c r="Z19" s="19"/>
      <c r="AA19" s="18">
        <f t="shared" si="4"/>
        <v>0</v>
      </c>
      <c r="AB19" s="20">
        <f t="shared" si="5"/>
        <v>0</v>
      </c>
      <c r="AC19" s="5"/>
      <c r="AD19" s="8"/>
      <c r="AF19" s="6"/>
      <c r="AG19" s="7"/>
      <c r="AJ19" s="33"/>
      <c r="AK19" s="35"/>
      <c r="AL19" s="38"/>
    </row>
    <row r="20" spans="1:38" ht="17.25" customHeight="1">
      <c r="A20" s="25"/>
      <c r="B20" s="26"/>
      <c r="C20" s="14"/>
      <c r="D20" s="31"/>
      <c r="E20" s="14"/>
      <c r="F20" s="15" t="str">
        <f t="shared" si="0"/>
        <v xml:space="preserve">S/F  </v>
      </c>
      <c r="G20" s="16"/>
      <c r="H20" s="17">
        <v>21</v>
      </c>
      <c r="I20" s="18">
        <f t="shared" si="1"/>
        <v>0</v>
      </c>
      <c r="J20" s="17"/>
      <c r="K20" s="18"/>
      <c r="L20" s="16"/>
      <c r="M20" s="17"/>
      <c r="N20" s="18">
        <f t="shared" si="2"/>
        <v>0</v>
      </c>
      <c r="O20" s="19"/>
      <c r="P20" s="18">
        <v>0</v>
      </c>
      <c r="Q20" s="16"/>
      <c r="R20" s="17"/>
      <c r="S20" s="18">
        <v>0</v>
      </c>
      <c r="T20" s="19"/>
      <c r="U20" s="18">
        <v>0</v>
      </c>
      <c r="V20" s="16"/>
      <c r="W20" s="17"/>
      <c r="X20" s="18">
        <f t="shared" si="3"/>
        <v>0</v>
      </c>
      <c r="Y20" s="19"/>
      <c r="Z20" s="19"/>
      <c r="AA20" s="18">
        <f t="shared" si="4"/>
        <v>0</v>
      </c>
      <c r="AB20" s="20">
        <f t="shared" si="5"/>
        <v>0</v>
      </c>
      <c r="AC20" s="5"/>
      <c r="AD20" s="8"/>
      <c r="AF20" s="6"/>
      <c r="AG20" s="7"/>
      <c r="AJ20" s="33"/>
      <c r="AK20" s="35"/>
      <c r="AL20" s="38"/>
    </row>
    <row r="21" spans="1:38" ht="17.25" customHeight="1">
      <c r="A21" s="25"/>
      <c r="B21" s="26"/>
      <c r="C21" s="14"/>
      <c r="D21" s="31"/>
      <c r="E21" s="14"/>
      <c r="F21" s="15" t="str">
        <f t="shared" si="0"/>
        <v xml:space="preserve">S/F  </v>
      </c>
      <c r="G21" s="16"/>
      <c r="H21" s="17">
        <v>21</v>
      </c>
      <c r="I21" s="18">
        <f t="shared" si="1"/>
        <v>0</v>
      </c>
      <c r="J21" s="17"/>
      <c r="K21" s="18"/>
      <c r="L21" s="16"/>
      <c r="M21" s="17"/>
      <c r="N21" s="18">
        <f t="shared" si="2"/>
        <v>0</v>
      </c>
      <c r="O21" s="19"/>
      <c r="P21" s="18">
        <v>0</v>
      </c>
      <c r="Q21" s="16"/>
      <c r="R21" s="17"/>
      <c r="S21" s="18">
        <v>0</v>
      </c>
      <c r="T21" s="19"/>
      <c r="U21" s="18">
        <v>0</v>
      </c>
      <c r="V21" s="16"/>
      <c r="W21" s="17"/>
      <c r="X21" s="18">
        <f t="shared" si="3"/>
        <v>0</v>
      </c>
      <c r="Y21" s="19"/>
      <c r="Z21" s="19"/>
      <c r="AA21" s="18">
        <f t="shared" si="4"/>
        <v>0</v>
      </c>
      <c r="AB21" s="20">
        <f t="shared" si="5"/>
        <v>0</v>
      </c>
      <c r="AC21" s="5"/>
      <c r="AD21" s="8"/>
      <c r="AF21" s="6"/>
      <c r="AG21" s="7"/>
      <c r="AJ21" s="33"/>
      <c r="AK21" s="35"/>
      <c r="AL21" s="38"/>
    </row>
    <row r="22" spans="1:38" ht="17.25" customHeight="1">
      <c r="A22" s="25"/>
      <c r="B22" s="26"/>
      <c r="C22" s="14"/>
      <c r="D22" s="31"/>
      <c r="E22" s="14"/>
      <c r="F22" s="15" t="str">
        <f t="shared" si="0"/>
        <v xml:space="preserve">S/F  </v>
      </c>
      <c r="G22" s="16"/>
      <c r="H22" s="17">
        <v>21</v>
      </c>
      <c r="I22" s="18">
        <f t="shared" si="1"/>
        <v>0</v>
      </c>
      <c r="J22" s="17"/>
      <c r="K22" s="18"/>
      <c r="L22" s="16"/>
      <c r="M22" s="17"/>
      <c r="N22" s="18">
        <f t="shared" si="2"/>
        <v>0</v>
      </c>
      <c r="O22" s="19"/>
      <c r="P22" s="18">
        <v>0</v>
      </c>
      <c r="Q22" s="16"/>
      <c r="R22" s="17"/>
      <c r="S22" s="18">
        <v>0</v>
      </c>
      <c r="T22" s="19"/>
      <c r="U22" s="18">
        <v>0</v>
      </c>
      <c r="V22" s="16"/>
      <c r="W22" s="17"/>
      <c r="X22" s="18">
        <f t="shared" si="3"/>
        <v>0</v>
      </c>
      <c r="Y22" s="19"/>
      <c r="Z22" s="19"/>
      <c r="AA22" s="18">
        <f t="shared" si="4"/>
        <v>0</v>
      </c>
      <c r="AB22" s="20">
        <f t="shared" si="5"/>
        <v>0</v>
      </c>
      <c r="AC22" s="5"/>
      <c r="AD22" s="8"/>
      <c r="AF22" s="6"/>
      <c r="AG22" s="7"/>
      <c r="AJ22" s="33"/>
      <c r="AK22" s="35"/>
      <c r="AL22" s="38"/>
    </row>
    <row r="23" spans="1:38" ht="17.25" customHeight="1">
      <c r="A23" s="25"/>
      <c r="B23" s="26"/>
      <c r="C23" s="14"/>
      <c r="D23" s="31"/>
      <c r="E23" s="14"/>
      <c r="F23" s="15" t="str">
        <f t="shared" si="0"/>
        <v xml:space="preserve">S/F  </v>
      </c>
      <c r="G23" s="16"/>
      <c r="H23" s="17">
        <v>21</v>
      </c>
      <c r="I23" s="18">
        <f t="shared" si="1"/>
        <v>0</v>
      </c>
      <c r="J23" s="17"/>
      <c r="K23" s="18"/>
      <c r="L23" s="16"/>
      <c r="M23" s="17"/>
      <c r="N23" s="18">
        <f t="shared" si="2"/>
        <v>0</v>
      </c>
      <c r="O23" s="19"/>
      <c r="P23" s="18">
        <v>0</v>
      </c>
      <c r="Q23" s="16"/>
      <c r="R23" s="17"/>
      <c r="S23" s="18">
        <v>0</v>
      </c>
      <c r="T23" s="19"/>
      <c r="U23" s="18">
        <v>0</v>
      </c>
      <c r="V23" s="16"/>
      <c r="W23" s="17"/>
      <c r="X23" s="18">
        <f t="shared" si="3"/>
        <v>0</v>
      </c>
      <c r="Y23" s="19"/>
      <c r="Z23" s="19"/>
      <c r="AA23" s="18">
        <f t="shared" si="4"/>
        <v>0</v>
      </c>
      <c r="AB23" s="20">
        <f t="shared" si="5"/>
        <v>0</v>
      </c>
      <c r="AC23" s="5"/>
      <c r="AD23" s="8"/>
      <c r="AF23" s="6"/>
      <c r="AG23" s="7"/>
      <c r="AJ23" s="33"/>
      <c r="AK23" s="35"/>
      <c r="AL23" s="38"/>
    </row>
    <row r="24" spans="1:38" ht="17.25" customHeight="1">
      <c r="A24" s="25"/>
      <c r="B24" s="26"/>
      <c r="C24" s="14"/>
      <c r="D24" s="31"/>
      <c r="E24" s="14"/>
      <c r="F24" s="15" t="str">
        <f t="shared" si="0"/>
        <v xml:space="preserve">S/F  </v>
      </c>
      <c r="G24" s="16"/>
      <c r="H24" s="17">
        <v>21</v>
      </c>
      <c r="I24" s="18">
        <f t="shared" si="1"/>
        <v>0</v>
      </c>
      <c r="J24" s="17"/>
      <c r="K24" s="18"/>
      <c r="L24" s="16"/>
      <c r="M24" s="17"/>
      <c r="N24" s="18">
        <f t="shared" si="2"/>
        <v>0</v>
      </c>
      <c r="O24" s="19"/>
      <c r="P24" s="18">
        <v>0</v>
      </c>
      <c r="Q24" s="16"/>
      <c r="R24" s="17"/>
      <c r="S24" s="18">
        <v>0</v>
      </c>
      <c r="T24" s="19"/>
      <c r="U24" s="18">
        <v>0</v>
      </c>
      <c r="V24" s="16"/>
      <c r="W24" s="17"/>
      <c r="X24" s="18">
        <f t="shared" si="3"/>
        <v>0</v>
      </c>
      <c r="Y24" s="19"/>
      <c r="Z24" s="19"/>
      <c r="AA24" s="18">
        <f t="shared" si="4"/>
        <v>0</v>
      </c>
      <c r="AB24" s="20">
        <f t="shared" si="5"/>
        <v>0</v>
      </c>
      <c r="AC24" s="5"/>
      <c r="AD24" s="8"/>
      <c r="AF24" s="6"/>
      <c r="AG24" s="7"/>
      <c r="AJ24" s="33"/>
      <c r="AK24" s="35"/>
      <c r="AL24" s="38"/>
    </row>
    <row r="25" spans="1:38" ht="17.25" customHeight="1">
      <c r="A25" s="25"/>
      <c r="B25" s="26"/>
      <c r="C25" s="14"/>
      <c r="D25" s="31"/>
      <c r="E25" s="14"/>
      <c r="F25" s="15" t="str">
        <f t="shared" si="0"/>
        <v xml:space="preserve">S/F  </v>
      </c>
      <c r="G25" s="16"/>
      <c r="H25" s="17">
        <v>21</v>
      </c>
      <c r="I25" s="18">
        <f t="shared" si="1"/>
        <v>0</v>
      </c>
      <c r="J25" s="17"/>
      <c r="K25" s="18"/>
      <c r="L25" s="16"/>
      <c r="M25" s="17"/>
      <c r="N25" s="18">
        <f t="shared" si="2"/>
        <v>0</v>
      </c>
      <c r="O25" s="19"/>
      <c r="P25" s="18">
        <v>0</v>
      </c>
      <c r="Q25" s="16"/>
      <c r="R25" s="17"/>
      <c r="S25" s="18">
        <v>0</v>
      </c>
      <c r="T25" s="19"/>
      <c r="U25" s="18">
        <v>0</v>
      </c>
      <c r="V25" s="16"/>
      <c r="W25" s="17"/>
      <c r="X25" s="18">
        <f t="shared" si="3"/>
        <v>0</v>
      </c>
      <c r="Y25" s="19"/>
      <c r="Z25" s="19"/>
      <c r="AA25" s="18">
        <f t="shared" si="4"/>
        <v>0</v>
      </c>
      <c r="AB25" s="20">
        <f t="shared" si="5"/>
        <v>0</v>
      </c>
      <c r="AC25" s="5"/>
      <c r="AD25" s="8"/>
      <c r="AF25" s="6"/>
      <c r="AG25" s="7"/>
      <c r="AJ25" s="33"/>
      <c r="AK25" s="35"/>
      <c r="AL25" s="38"/>
    </row>
    <row r="26" spans="1:38" ht="17.25" customHeight="1">
      <c r="A26" s="25"/>
      <c r="B26" s="26"/>
      <c r="C26" s="14"/>
      <c r="D26" s="31"/>
      <c r="E26" s="14"/>
      <c r="F26" s="15" t="str">
        <f t="shared" si="0"/>
        <v xml:space="preserve">S/F  </v>
      </c>
      <c r="G26" s="16"/>
      <c r="H26" s="17">
        <v>21</v>
      </c>
      <c r="I26" s="18">
        <f t="shared" si="1"/>
        <v>0</v>
      </c>
      <c r="J26" s="17"/>
      <c r="K26" s="18"/>
      <c r="L26" s="16"/>
      <c r="M26" s="17"/>
      <c r="N26" s="18">
        <f t="shared" si="2"/>
        <v>0</v>
      </c>
      <c r="O26" s="19"/>
      <c r="P26" s="18">
        <v>0</v>
      </c>
      <c r="Q26" s="16"/>
      <c r="R26" s="17"/>
      <c r="S26" s="18">
        <v>0</v>
      </c>
      <c r="T26" s="19"/>
      <c r="U26" s="18">
        <v>0</v>
      </c>
      <c r="V26" s="16"/>
      <c r="W26" s="17"/>
      <c r="X26" s="18">
        <f t="shared" si="3"/>
        <v>0</v>
      </c>
      <c r="Y26" s="19"/>
      <c r="Z26" s="19"/>
      <c r="AA26" s="18">
        <f t="shared" si="4"/>
        <v>0</v>
      </c>
      <c r="AB26" s="20">
        <f t="shared" si="5"/>
        <v>0</v>
      </c>
      <c r="AC26" s="5"/>
      <c r="AD26" s="8"/>
      <c r="AF26" s="6"/>
      <c r="AG26" s="7"/>
      <c r="AJ26" s="33"/>
      <c r="AK26" s="35"/>
      <c r="AL26" s="38"/>
    </row>
    <row r="27" spans="1:38" ht="17.25" customHeight="1">
      <c r="A27" s="25"/>
      <c r="B27" s="26"/>
      <c r="C27" s="14"/>
      <c r="D27" s="31"/>
      <c r="E27" s="14"/>
      <c r="F27" s="15" t="str">
        <f t="shared" si="0"/>
        <v xml:space="preserve">S/F  </v>
      </c>
      <c r="G27" s="16"/>
      <c r="H27" s="17">
        <v>21</v>
      </c>
      <c r="I27" s="18">
        <f t="shared" si="1"/>
        <v>0</v>
      </c>
      <c r="J27" s="17"/>
      <c r="K27" s="18"/>
      <c r="L27" s="16"/>
      <c r="M27" s="17"/>
      <c r="N27" s="18">
        <f t="shared" si="2"/>
        <v>0</v>
      </c>
      <c r="O27" s="19"/>
      <c r="P27" s="18">
        <v>0</v>
      </c>
      <c r="Q27" s="16"/>
      <c r="R27" s="17"/>
      <c r="S27" s="18">
        <v>0</v>
      </c>
      <c r="T27" s="19"/>
      <c r="U27" s="18">
        <v>0</v>
      </c>
      <c r="V27" s="16"/>
      <c r="W27" s="17"/>
      <c r="X27" s="18">
        <f t="shared" si="3"/>
        <v>0</v>
      </c>
      <c r="Y27" s="19"/>
      <c r="Z27" s="19"/>
      <c r="AA27" s="18">
        <f t="shared" si="4"/>
        <v>0</v>
      </c>
      <c r="AB27" s="20">
        <f t="shared" si="5"/>
        <v>0</v>
      </c>
      <c r="AC27" s="5"/>
      <c r="AD27" s="8"/>
      <c r="AF27" s="6"/>
      <c r="AG27" s="7"/>
      <c r="AJ27" s="33"/>
      <c r="AK27" s="35"/>
      <c r="AL27" s="38"/>
    </row>
    <row r="28" spans="1:38" ht="17.25" customHeight="1">
      <c r="A28" s="25"/>
      <c r="B28" s="26"/>
      <c r="C28" s="14"/>
      <c r="D28" s="31"/>
      <c r="E28" s="14"/>
      <c r="F28" s="15" t="str">
        <f t="shared" si="0"/>
        <v xml:space="preserve">S/F  </v>
      </c>
      <c r="G28" s="16"/>
      <c r="H28" s="17">
        <v>21</v>
      </c>
      <c r="I28" s="18">
        <f t="shared" si="1"/>
        <v>0</v>
      </c>
      <c r="J28" s="17"/>
      <c r="K28" s="18"/>
      <c r="L28" s="16"/>
      <c r="M28" s="17"/>
      <c r="N28" s="18">
        <f t="shared" si="2"/>
        <v>0</v>
      </c>
      <c r="O28" s="19"/>
      <c r="P28" s="18">
        <v>0</v>
      </c>
      <c r="Q28" s="16"/>
      <c r="R28" s="17"/>
      <c r="S28" s="18">
        <v>0</v>
      </c>
      <c r="T28" s="19"/>
      <c r="U28" s="18">
        <v>0</v>
      </c>
      <c r="V28" s="16"/>
      <c r="W28" s="17"/>
      <c r="X28" s="18">
        <f t="shared" si="3"/>
        <v>0</v>
      </c>
      <c r="Y28" s="19"/>
      <c r="Z28" s="19"/>
      <c r="AA28" s="18">
        <f t="shared" si="4"/>
        <v>0</v>
      </c>
      <c r="AB28" s="20">
        <f t="shared" si="5"/>
        <v>0</v>
      </c>
      <c r="AC28" s="5"/>
      <c r="AD28" s="8"/>
      <c r="AF28" s="6"/>
      <c r="AG28" s="7"/>
      <c r="AJ28" s="33"/>
      <c r="AK28" s="35"/>
      <c r="AL28" s="38"/>
    </row>
    <row r="29" spans="1:38" ht="17.25" customHeight="1">
      <c r="A29" s="25"/>
      <c r="B29" s="26"/>
      <c r="C29" s="14"/>
      <c r="D29" s="31"/>
      <c r="E29" s="14"/>
      <c r="F29" s="15" t="str">
        <f t="shared" si="0"/>
        <v xml:space="preserve">S/F  </v>
      </c>
      <c r="G29" s="16"/>
      <c r="H29" s="17">
        <v>21</v>
      </c>
      <c r="I29" s="18">
        <f t="shared" si="1"/>
        <v>0</v>
      </c>
      <c r="J29" s="17"/>
      <c r="K29" s="18"/>
      <c r="L29" s="16"/>
      <c r="M29" s="17"/>
      <c r="N29" s="18">
        <f t="shared" si="2"/>
        <v>0</v>
      </c>
      <c r="O29" s="19"/>
      <c r="P29" s="18">
        <v>0</v>
      </c>
      <c r="Q29" s="16"/>
      <c r="R29" s="17"/>
      <c r="S29" s="18">
        <v>0</v>
      </c>
      <c r="T29" s="19"/>
      <c r="U29" s="18">
        <v>0</v>
      </c>
      <c r="V29" s="16"/>
      <c r="W29" s="17"/>
      <c r="X29" s="18">
        <f t="shared" si="3"/>
        <v>0</v>
      </c>
      <c r="Y29" s="19"/>
      <c r="Z29" s="19"/>
      <c r="AA29" s="18">
        <f t="shared" si="4"/>
        <v>0</v>
      </c>
      <c r="AB29" s="20">
        <f t="shared" si="5"/>
        <v>0</v>
      </c>
      <c r="AC29" s="5"/>
      <c r="AD29" s="8"/>
      <c r="AF29" s="6"/>
      <c r="AG29" s="7"/>
      <c r="AJ29" s="33"/>
      <c r="AK29" s="35"/>
      <c r="AL29" s="38"/>
    </row>
    <row r="30" spans="1:38" ht="17.25" customHeight="1">
      <c r="A30" s="25"/>
      <c r="B30" s="26"/>
      <c r="C30" s="14"/>
      <c r="D30" s="31"/>
      <c r="E30" s="14"/>
      <c r="F30" s="15" t="str">
        <f t="shared" si="0"/>
        <v xml:space="preserve">S/F  </v>
      </c>
      <c r="G30" s="16"/>
      <c r="H30" s="17">
        <v>21</v>
      </c>
      <c r="I30" s="18">
        <f t="shared" si="1"/>
        <v>0</v>
      </c>
      <c r="J30" s="17"/>
      <c r="K30" s="18"/>
      <c r="L30" s="16"/>
      <c r="M30" s="17"/>
      <c r="N30" s="18">
        <f t="shared" si="2"/>
        <v>0</v>
      </c>
      <c r="O30" s="19"/>
      <c r="P30" s="18">
        <v>0</v>
      </c>
      <c r="Q30" s="16"/>
      <c r="R30" s="17"/>
      <c r="S30" s="18">
        <v>0</v>
      </c>
      <c r="T30" s="19"/>
      <c r="U30" s="18">
        <v>0</v>
      </c>
      <c r="V30" s="16"/>
      <c r="W30" s="17"/>
      <c r="X30" s="18">
        <f t="shared" si="3"/>
        <v>0</v>
      </c>
      <c r="Y30" s="19"/>
      <c r="Z30" s="19"/>
      <c r="AA30" s="18">
        <f t="shared" si="4"/>
        <v>0</v>
      </c>
      <c r="AB30" s="20">
        <f t="shared" si="5"/>
        <v>0</v>
      </c>
      <c r="AC30" s="5"/>
      <c r="AD30" s="8"/>
      <c r="AF30" s="6"/>
      <c r="AG30" s="7"/>
      <c r="AJ30" s="33"/>
      <c r="AK30" s="35"/>
      <c r="AL30" s="38"/>
    </row>
    <row r="31" spans="1:38" ht="17.25" customHeight="1">
      <c r="A31" s="25"/>
      <c r="B31" s="26"/>
      <c r="C31" s="14"/>
      <c r="D31" s="31"/>
      <c r="E31" s="14"/>
      <c r="F31" s="15" t="str">
        <f t="shared" si="0"/>
        <v xml:space="preserve">S/F  </v>
      </c>
      <c r="G31" s="16"/>
      <c r="H31" s="17">
        <v>21</v>
      </c>
      <c r="I31" s="18">
        <f t="shared" si="1"/>
        <v>0</v>
      </c>
      <c r="J31" s="17"/>
      <c r="K31" s="18"/>
      <c r="L31" s="16"/>
      <c r="M31" s="17"/>
      <c r="N31" s="18">
        <f t="shared" si="2"/>
        <v>0</v>
      </c>
      <c r="O31" s="19"/>
      <c r="P31" s="18">
        <v>0</v>
      </c>
      <c r="Q31" s="16"/>
      <c r="R31" s="17"/>
      <c r="S31" s="18">
        <v>0</v>
      </c>
      <c r="T31" s="19"/>
      <c r="U31" s="18">
        <v>0</v>
      </c>
      <c r="V31" s="16"/>
      <c r="W31" s="17"/>
      <c r="X31" s="18">
        <f t="shared" si="3"/>
        <v>0</v>
      </c>
      <c r="Y31" s="19"/>
      <c r="Z31" s="19"/>
      <c r="AA31" s="18">
        <f t="shared" si="4"/>
        <v>0</v>
      </c>
      <c r="AB31" s="20">
        <f t="shared" si="5"/>
        <v>0</v>
      </c>
      <c r="AC31" s="5"/>
      <c r="AD31" s="8"/>
      <c r="AF31" s="6"/>
      <c r="AG31" s="7"/>
      <c r="AJ31" s="33"/>
      <c r="AK31" s="35"/>
      <c r="AL31" s="38"/>
    </row>
    <row r="32" spans="1:38" ht="17.25" customHeight="1">
      <c r="A32" s="25"/>
      <c r="B32" s="26"/>
      <c r="C32" s="14"/>
      <c r="D32" s="31"/>
      <c r="E32" s="14"/>
      <c r="F32" s="15" t="str">
        <f t="shared" si="0"/>
        <v xml:space="preserve">S/F  </v>
      </c>
      <c r="G32" s="16"/>
      <c r="H32" s="17">
        <v>21</v>
      </c>
      <c r="I32" s="18">
        <f t="shared" si="1"/>
        <v>0</v>
      </c>
      <c r="J32" s="17"/>
      <c r="K32" s="18"/>
      <c r="L32" s="16"/>
      <c r="M32" s="17"/>
      <c r="N32" s="18">
        <f t="shared" si="2"/>
        <v>0</v>
      </c>
      <c r="O32" s="19"/>
      <c r="P32" s="18">
        <v>0</v>
      </c>
      <c r="Q32" s="16"/>
      <c r="R32" s="17"/>
      <c r="S32" s="18">
        <v>0</v>
      </c>
      <c r="T32" s="19"/>
      <c r="U32" s="18">
        <v>0</v>
      </c>
      <c r="V32" s="16"/>
      <c r="W32" s="17"/>
      <c r="X32" s="18">
        <f t="shared" si="3"/>
        <v>0</v>
      </c>
      <c r="Y32" s="19"/>
      <c r="Z32" s="19"/>
      <c r="AA32" s="18">
        <f t="shared" si="4"/>
        <v>0</v>
      </c>
      <c r="AB32" s="20">
        <f t="shared" si="5"/>
        <v>0</v>
      </c>
      <c r="AC32" s="5"/>
      <c r="AD32" s="8"/>
      <c r="AF32" s="6"/>
      <c r="AG32" s="7"/>
      <c r="AJ32" s="33"/>
      <c r="AK32" s="35"/>
      <c r="AL32" s="38"/>
    </row>
    <row r="33" spans="1:38" ht="17.25" customHeight="1">
      <c r="A33" s="25"/>
      <c r="B33" s="26"/>
      <c r="C33" s="14"/>
      <c r="D33" s="31"/>
      <c r="E33" s="14"/>
      <c r="F33" s="15" t="str">
        <f t="shared" si="0"/>
        <v xml:space="preserve">S/F  </v>
      </c>
      <c r="G33" s="16"/>
      <c r="H33" s="17">
        <v>21</v>
      </c>
      <c r="I33" s="18">
        <f t="shared" si="1"/>
        <v>0</v>
      </c>
      <c r="J33" s="17"/>
      <c r="K33" s="18"/>
      <c r="L33" s="16"/>
      <c r="M33" s="17"/>
      <c r="N33" s="18">
        <f t="shared" si="2"/>
        <v>0</v>
      </c>
      <c r="O33" s="19"/>
      <c r="P33" s="18">
        <v>0</v>
      </c>
      <c r="Q33" s="16"/>
      <c r="R33" s="17"/>
      <c r="S33" s="18">
        <v>0</v>
      </c>
      <c r="T33" s="19"/>
      <c r="U33" s="18">
        <v>0</v>
      </c>
      <c r="V33" s="16"/>
      <c r="W33" s="17"/>
      <c r="X33" s="18">
        <f t="shared" si="3"/>
        <v>0</v>
      </c>
      <c r="Y33" s="19"/>
      <c r="Z33" s="19"/>
      <c r="AA33" s="18">
        <f t="shared" si="4"/>
        <v>0</v>
      </c>
      <c r="AB33" s="20">
        <f t="shared" si="5"/>
        <v>0</v>
      </c>
      <c r="AC33" s="5"/>
      <c r="AD33" s="8"/>
      <c r="AF33" s="6"/>
      <c r="AG33" s="7"/>
      <c r="AJ33" s="33"/>
      <c r="AK33" s="35"/>
      <c r="AL33" s="38"/>
    </row>
    <row r="34" spans="1:38" ht="17.25" customHeight="1">
      <c r="A34" s="25"/>
      <c r="B34" s="26"/>
      <c r="C34" s="14"/>
      <c r="D34" s="31"/>
      <c r="E34" s="14"/>
      <c r="F34" s="15" t="str">
        <f t="shared" ref="F34:F65" si="6">"S/F "&amp;B34&amp;" "&amp;E34</f>
        <v xml:space="preserve">S/F  </v>
      </c>
      <c r="G34" s="16"/>
      <c r="H34" s="17">
        <v>21</v>
      </c>
      <c r="I34" s="18">
        <f t="shared" ref="I34:I65" si="7">+IF(G34&lt;&gt;0,G34*H34/100,0)</f>
        <v>0</v>
      </c>
      <c r="J34" s="17"/>
      <c r="K34" s="18"/>
      <c r="L34" s="16"/>
      <c r="M34" s="17"/>
      <c r="N34" s="18">
        <f t="shared" ref="N34:N65" si="8">+IF(L34&lt;&gt;0,L34*M34/100,0)</f>
        <v>0</v>
      </c>
      <c r="O34" s="19"/>
      <c r="P34" s="18">
        <v>0</v>
      </c>
      <c r="Q34" s="16"/>
      <c r="R34" s="17"/>
      <c r="S34" s="18">
        <v>0</v>
      </c>
      <c r="T34" s="19"/>
      <c r="U34" s="18">
        <v>0</v>
      </c>
      <c r="V34" s="16"/>
      <c r="W34" s="17"/>
      <c r="X34" s="18">
        <f t="shared" ref="X34:X65" si="9">+IF(W34&lt;&gt;0,V34*W34/100,0)</f>
        <v>0</v>
      </c>
      <c r="Y34" s="19"/>
      <c r="Z34" s="19"/>
      <c r="AA34" s="18">
        <f t="shared" ref="AA34:AA65" si="10">+IF(Z34&lt;&gt;0,Y34*Z34/100,0)</f>
        <v>0</v>
      </c>
      <c r="AB34" s="20">
        <f t="shared" ref="AB34:AB65" si="11">+G34+I34+K34+L34+N34+P34+Q34+S34+U34-X34-AA34</f>
        <v>0</v>
      </c>
      <c r="AC34" s="5"/>
      <c r="AD34" s="8"/>
      <c r="AF34" s="6"/>
      <c r="AG34" s="7"/>
      <c r="AJ34" s="33"/>
      <c r="AK34" s="35"/>
      <c r="AL34" s="38"/>
    </row>
    <row r="35" spans="1:38" ht="17.25" customHeight="1">
      <c r="A35" s="25"/>
      <c r="B35" s="26"/>
      <c r="C35" s="14"/>
      <c r="D35" s="31"/>
      <c r="E35" s="14"/>
      <c r="F35" s="15" t="str">
        <f t="shared" si="6"/>
        <v xml:space="preserve">S/F  </v>
      </c>
      <c r="G35" s="16"/>
      <c r="H35" s="17">
        <v>21</v>
      </c>
      <c r="I35" s="18">
        <f t="shared" si="7"/>
        <v>0</v>
      </c>
      <c r="J35" s="17"/>
      <c r="K35" s="18"/>
      <c r="L35" s="16"/>
      <c r="M35" s="17"/>
      <c r="N35" s="18">
        <f t="shared" si="8"/>
        <v>0</v>
      </c>
      <c r="O35" s="19"/>
      <c r="P35" s="18">
        <v>0</v>
      </c>
      <c r="Q35" s="16"/>
      <c r="R35" s="17"/>
      <c r="S35" s="18">
        <v>0</v>
      </c>
      <c r="T35" s="19"/>
      <c r="U35" s="18">
        <v>0</v>
      </c>
      <c r="V35" s="16"/>
      <c r="W35" s="17"/>
      <c r="X35" s="18">
        <f t="shared" si="9"/>
        <v>0</v>
      </c>
      <c r="Y35" s="19"/>
      <c r="Z35" s="19"/>
      <c r="AA35" s="18">
        <f t="shared" si="10"/>
        <v>0</v>
      </c>
      <c r="AB35" s="20">
        <f t="shared" si="11"/>
        <v>0</v>
      </c>
      <c r="AC35" s="5"/>
      <c r="AD35" s="8"/>
      <c r="AF35" s="6"/>
      <c r="AG35" s="7"/>
      <c r="AJ35" s="33"/>
      <c r="AK35" s="35"/>
      <c r="AL35" s="38"/>
    </row>
    <row r="36" spans="1:38" ht="17.25" customHeight="1">
      <c r="A36" s="25"/>
      <c r="B36" s="26"/>
      <c r="C36" s="14"/>
      <c r="D36" s="31"/>
      <c r="E36" s="14"/>
      <c r="F36" s="15" t="str">
        <f t="shared" si="6"/>
        <v xml:space="preserve">S/F  </v>
      </c>
      <c r="G36" s="16"/>
      <c r="H36" s="17">
        <v>21</v>
      </c>
      <c r="I36" s="18">
        <f t="shared" si="7"/>
        <v>0</v>
      </c>
      <c r="J36" s="17"/>
      <c r="K36" s="18"/>
      <c r="L36" s="16"/>
      <c r="M36" s="17"/>
      <c r="N36" s="18">
        <f t="shared" si="8"/>
        <v>0</v>
      </c>
      <c r="O36" s="19"/>
      <c r="P36" s="18">
        <v>0</v>
      </c>
      <c r="Q36" s="16"/>
      <c r="R36" s="17"/>
      <c r="S36" s="18">
        <v>0</v>
      </c>
      <c r="T36" s="19"/>
      <c r="U36" s="18">
        <v>0</v>
      </c>
      <c r="V36" s="16"/>
      <c r="W36" s="17"/>
      <c r="X36" s="18">
        <f t="shared" si="9"/>
        <v>0</v>
      </c>
      <c r="Y36" s="19"/>
      <c r="Z36" s="19"/>
      <c r="AA36" s="18">
        <f t="shared" si="10"/>
        <v>0</v>
      </c>
      <c r="AB36" s="20">
        <f t="shared" si="11"/>
        <v>0</v>
      </c>
      <c r="AC36" s="5"/>
      <c r="AD36" s="8"/>
      <c r="AF36" s="6"/>
      <c r="AG36" s="7"/>
      <c r="AJ36" s="33"/>
      <c r="AK36" s="35"/>
      <c r="AL36" s="38"/>
    </row>
    <row r="37" spans="1:38" ht="17.25" customHeight="1">
      <c r="A37" s="25"/>
      <c r="B37" s="26"/>
      <c r="C37" s="14"/>
      <c r="D37" s="31"/>
      <c r="E37" s="14"/>
      <c r="F37" s="15" t="str">
        <f t="shared" si="6"/>
        <v xml:space="preserve">S/F  </v>
      </c>
      <c r="G37" s="16"/>
      <c r="H37" s="17">
        <v>10</v>
      </c>
      <c r="I37" s="18">
        <f t="shared" si="7"/>
        <v>0</v>
      </c>
      <c r="J37" s="17"/>
      <c r="K37" s="18"/>
      <c r="L37" s="16"/>
      <c r="M37" s="17"/>
      <c r="N37" s="18">
        <f t="shared" si="8"/>
        <v>0</v>
      </c>
      <c r="O37" s="19"/>
      <c r="P37" s="18">
        <v>0</v>
      </c>
      <c r="Q37" s="16"/>
      <c r="R37" s="17"/>
      <c r="S37" s="18">
        <v>0</v>
      </c>
      <c r="T37" s="19"/>
      <c r="U37" s="18">
        <v>0</v>
      </c>
      <c r="V37" s="16"/>
      <c r="W37" s="17"/>
      <c r="X37" s="18">
        <f t="shared" si="9"/>
        <v>0</v>
      </c>
      <c r="Y37" s="19"/>
      <c r="Z37" s="19"/>
      <c r="AA37" s="18">
        <f t="shared" si="10"/>
        <v>0</v>
      </c>
      <c r="AB37" s="20">
        <f t="shared" si="11"/>
        <v>0</v>
      </c>
      <c r="AC37" s="5"/>
      <c r="AD37" s="8"/>
      <c r="AF37" s="6"/>
      <c r="AG37" s="7"/>
      <c r="AJ37" s="33"/>
      <c r="AK37" s="35"/>
      <c r="AL37" s="38"/>
    </row>
    <row r="38" spans="1:38" ht="17.25" customHeight="1">
      <c r="A38" s="25"/>
      <c r="B38" s="26"/>
      <c r="C38" s="14"/>
      <c r="D38" s="31"/>
      <c r="E38" s="14"/>
      <c r="F38" s="15" t="str">
        <f t="shared" si="6"/>
        <v xml:space="preserve">S/F  </v>
      </c>
      <c r="G38" s="16"/>
      <c r="H38" s="17">
        <v>21</v>
      </c>
      <c r="I38" s="18">
        <f t="shared" si="7"/>
        <v>0</v>
      </c>
      <c r="J38" s="17"/>
      <c r="K38" s="18"/>
      <c r="L38" s="16"/>
      <c r="M38" s="17"/>
      <c r="N38" s="18">
        <f t="shared" si="8"/>
        <v>0</v>
      </c>
      <c r="O38" s="19"/>
      <c r="P38" s="18">
        <v>0</v>
      </c>
      <c r="Q38" s="16"/>
      <c r="R38" s="17"/>
      <c r="S38" s="18">
        <v>0</v>
      </c>
      <c r="T38" s="19"/>
      <c r="U38" s="18">
        <v>0</v>
      </c>
      <c r="V38" s="16"/>
      <c r="W38" s="17"/>
      <c r="X38" s="18">
        <f t="shared" si="9"/>
        <v>0</v>
      </c>
      <c r="Y38" s="19"/>
      <c r="Z38" s="19"/>
      <c r="AA38" s="18">
        <f t="shared" si="10"/>
        <v>0</v>
      </c>
      <c r="AB38" s="20">
        <f t="shared" si="11"/>
        <v>0</v>
      </c>
      <c r="AC38" s="5"/>
      <c r="AD38" s="8"/>
      <c r="AF38" s="6"/>
      <c r="AG38" s="7"/>
      <c r="AJ38" s="33"/>
      <c r="AK38" s="35"/>
      <c r="AL38" s="38"/>
    </row>
    <row r="39" spans="1:38" ht="17.25" customHeight="1">
      <c r="A39" s="25"/>
      <c r="B39" s="26"/>
      <c r="C39" s="14"/>
      <c r="D39" s="26"/>
      <c r="E39" s="14"/>
      <c r="F39" s="15" t="str">
        <f t="shared" si="6"/>
        <v xml:space="preserve">S/F  </v>
      </c>
      <c r="G39" s="16"/>
      <c r="H39" s="17">
        <v>21</v>
      </c>
      <c r="I39" s="18">
        <f t="shared" si="7"/>
        <v>0</v>
      </c>
      <c r="J39" s="17"/>
      <c r="K39" s="18"/>
      <c r="L39" s="16"/>
      <c r="M39" s="17"/>
      <c r="N39" s="18">
        <f t="shared" si="8"/>
        <v>0</v>
      </c>
      <c r="O39" s="19"/>
      <c r="P39" s="18">
        <v>0</v>
      </c>
      <c r="Q39" s="16"/>
      <c r="R39" s="17"/>
      <c r="S39" s="18">
        <v>0</v>
      </c>
      <c r="T39" s="19"/>
      <c r="U39" s="18">
        <v>0</v>
      </c>
      <c r="V39" s="16"/>
      <c r="W39" s="17"/>
      <c r="X39" s="18">
        <f t="shared" si="9"/>
        <v>0</v>
      </c>
      <c r="Y39" s="19"/>
      <c r="Z39" s="19"/>
      <c r="AA39" s="18">
        <f t="shared" si="10"/>
        <v>0</v>
      </c>
      <c r="AB39" s="20">
        <f t="shared" si="11"/>
        <v>0</v>
      </c>
      <c r="AC39" s="5"/>
      <c r="AD39" s="8"/>
      <c r="AF39" s="6"/>
      <c r="AG39" s="7"/>
      <c r="AJ39" s="33"/>
      <c r="AK39" s="35"/>
      <c r="AL39" s="38"/>
    </row>
    <row r="40" spans="1:38" ht="17.25" customHeight="1">
      <c r="A40" s="25"/>
      <c r="B40" s="26"/>
      <c r="C40" s="14"/>
      <c r="D40" s="31"/>
      <c r="E40" s="14"/>
      <c r="F40" s="15" t="str">
        <f t="shared" si="6"/>
        <v xml:space="preserve">S/F  </v>
      </c>
      <c r="G40" s="16"/>
      <c r="H40" s="17">
        <v>21</v>
      </c>
      <c r="I40" s="18">
        <f t="shared" si="7"/>
        <v>0</v>
      </c>
      <c r="J40" s="17"/>
      <c r="K40" s="18"/>
      <c r="L40" s="16"/>
      <c r="M40" s="17"/>
      <c r="N40" s="18">
        <f t="shared" si="8"/>
        <v>0</v>
      </c>
      <c r="O40" s="19"/>
      <c r="P40" s="18">
        <v>0</v>
      </c>
      <c r="Q40" s="16"/>
      <c r="R40" s="17"/>
      <c r="S40" s="18">
        <v>0</v>
      </c>
      <c r="T40" s="19"/>
      <c r="U40" s="18">
        <v>0</v>
      </c>
      <c r="V40" s="16"/>
      <c r="W40" s="17"/>
      <c r="X40" s="18">
        <f t="shared" si="9"/>
        <v>0</v>
      </c>
      <c r="Y40" s="19"/>
      <c r="Z40" s="19"/>
      <c r="AA40" s="18">
        <f t="shared" si="10"/>
        <v>0</v>
      </c>
      <c r="AB40" s="20">
        <f t="shared" si="11"/>
        <v>0</v>
      </c>
      <c r="AC40" s="5"/>
      <c r="AD40" s="8"/>
      <c r="AF40" s="6"/>
      <c r="AG40" s="7"/>
      <c r="AJ40" s="33"/>
      <c r="AK40" s="35"/>
      <c r="AL40" s="38"/>
    </row>
    <row r="41" spans="1:38" ht="17.25" customHeight="1">
      <c r="A41" s="25"/>
      <c r="B41" s="26"/>
      <c r="C41" s="14"/>
      <c r="D41" s="31"/>
      <c r="E41" s="14"/>
      <c r="F41" s="15" t="str">
        <f t="shared" si="6"/>
        <v xml:space="preserve">S/F  </v>
      </c>
      <c r="G41" s="16"/>
      <c r="H41" s="17">
        <v>21</v>
      </c>
      <c r="I41" s="18">
        <f t="shared" si="7"/>
        <v>0</v>
      </c>
      <c r="J41" s="17"/>
      <c r="K41" s="18"/>
      <c r="L41" s="16"/>
      <c r="M41" s="17"/>
      <c r="N41" s="18">
        <f t="shared" si="8"/>
        <v>0</v>
      </c>
      <c r="O41" s="19"/>
      <c r="P41" s="18">
        <v>0</v>
      </c>
      <c r="Q41" s="16"/>
      <c r="R41" s="17"/>
      <c r="S41" s="18">
        <v>0</v>
      </c>
      <c r="T41" s="19"/>
      <c r="U41" s="18">
        <v>0</v>
      </c>
      <c r="V41" s="16"/>
      <c r="W41" s="17"/>
      <c r="X41" s="18">
        <f t="shared" si="9"/>
        <v>0</v>
      </c>
      <c r="Y41" s="19"/>
      <c r="Z41" s="19"/>
      <c r="AA41" s="18">
        <f t="shared" si="10"/>
        <v>0</v>
      </c>
      <c r="AB41" s="20">
        <f t="shared" si="11"/>
        <v>0</v>
      </c>
      <c r="AC41" s="5"/>
      <c r="AD41" s="8"/>
      <c r="AF41" s="6"/>
      <c r="AG41" s="7"/>
      <c r="AJ41" s="33"/>
      <c r="AK41" s="35"/>
      <c r="AL41" s="38"/>
    </row>
    <row r="42" spans="1:38" ht="17.25" customHeight="1">
      <c r="A42" s="25"/>
      <c r="B42" s="26"/>
      <c r="C42" s="14"/>
      <c r="D42" s="31"/>
      <c r="E42" s="14"/>
      <c r="F42" s="15" t="str">
        <f t="shared" si="6"/>
        <v xml:space="preserve">S/F  </v>
      </c>
      <c r="G42" s="16"/>
      <c r="H42" s="17">
        <v>21</v>
      </c>
      <c r="I42" s="18">
        <f t="shared" si="7"/>
        <v>0</v>
      </c>
      <c r="J42" s="17"/>
      <c r="K42" s="18"/>
      <c r="L42" s="16"/>
      <c r="M42" s="17"/>
      <c r="N42" s="18">
        <f t="shared" si="8"/>
        <v>0</v>
      </c>
      <c r="O42" s="19"/>
      <c r="P42" s="18">
        <v>0</v>
      </c>
      <c r="Q42" s="16"/>
      <c r="R42" s="17"/>
      <c r="S42" s="18">
        <v>0</v>
      </c>
      <c r="T42" s="19"/>
      <c r="U42" s="18">
        <v>0</v>
      </c>
      <c r="V42" s="16"/>
      <c r="W42" s="17"/>
      <c r="X42" s="18">
        <f t="shared" si="9"/>
        <v>0</v>
      </c>
      <c r="Y42" s="19"/>
      <c r="Z42" s="19"/>
      <c r="AA42" s="18">
        <f t="shared" si="10"/>
        <v>0</v>
      </c>
      <c r="AB42" s="20">
        <f t="shared" si="11"/>
        <v>0</v>
      </c>
      <c r="AC42" s="5"/>
      <c r="AD42" s="8"/>
      <c r="AF42" s="6"/>
      <c r="AG42" s="7"/>
      <c r="AJ42" s="33"/>
      <c r="AK42" s="35"/>
      <c r="AL42" s="38"/>
    </row>
    <row r="43" spans="1:38" ht="17.25" customHeight="1">
      <c r="A43" s="25"/>
      <c r="B43" s="26"/>
      <c r="C43" s="14"/>
      <c r="D43" s="31"/>
      <c r="E43" s="14"/>
      <c r="F43" s="15" t="str">
        <f t="shared" si="6"/>
        <v xml:space="preserve">S/F  </v>
      </c>
      <c r="G43" s="16"/>
      <c r="H43" s="17">
        <v>21</v>
      </c>
      <c r="I43" s="18">
        <f t="shared" si="7"/>
        <v>0</v>
      </c>
      <c r="J43" s="17"/>
      <c r="K43" s="18"/>
      <c r="L43" s="16"/>
      <c r="M43" s="17"/>
      <c r="N43" s="18">
        <f t="shared" si="8"/>
        <v>0</v>
      </c>
      <c r="O43" s="19"/>
      <c r="P43" s="18">
        <v>0</v>
      </c>
      <c r="Q43" s="16"/>
      <c r="R43" s="17"/>
      <c r="S43" s="18">
        <v>0</v>
      </c>
      <c r="T43" s="19"/>
      <c r="U43" s="18">
        <v>0</v>
      </c>
      <c r="V43" s="16"/>
      <c r="W43" s="17"/>
      <c r="X43" s="18">
        <f t="shared" si="9"/>
        <v>0</v>
      </c>
      <c r="Y43" s="19"/>
      <c r="Z43" s="19"/>
      <c r="AA43" s="18">
        <f t="shared" si="10"/>
        <v>0</v>
      </c>
      <c r="AB43" s="20">
        <f t="shared" si="11"/>
        <v>0</v>
      </c>
      <c r="AC43" s="5"/>
      <c r="AD43" s="8"/>
      <c r="AF43" s="6"/>
      <c r="AG43" s="7"/>
      <c r="AJ43" s="33"/>
      <c r="AK43" s="35"/>
      <c r="AL43" s="38"/>
    </row>
    <row r="44" spans="1:38" ht="17.25" customHeight="1">
      <c r="A44" s="25"/>
      <c r="B44" s="26"/>
      <c r="C44" s="14"/>
      <c r="D44" s="31"/>
      <c r="E44" s="14"/>
      <c r="F44" s="15" t="str">
        <f t="shared" si="6"/>
        <v xml:space="preserve">S/F  </v>
      </c>
      <c r="G44" s="16"/>
      <c r="H44" s="17">
        <v>21</v>
      </c>
      <c r="I44" s="18">
        <f t="shared" si="7"/>
        <v>0</v>
      </c>
      <c r="J44" s="17"/>
      <c r="K44" s="18"/>
      <c r="L44" s="16"/>
      <c r="M44" s="17"/>
      <c r="N44" s="18">
        <f t="shared" si="8"/>
        <v>0</v>
      </c>
      <c r="O44" s="19"/>
      <c r="P44" s="18">
        <v>0</v>
      </c>
      <c r="Q44" s="16"/>
      <c r="R44" s="17"/>
      <c r="S44" s="18">
        <v>0</v>
      </c>
      <c r="T44" s="19"/>
      <c r="U44" s="18">
        <v>0</v>
      </c>
      <c r="V44" s="16"/>
      <c r="W44" s="17"/>
      <c r="X44" s="18">
        <f t="shared" si="9"/>
        <v>0</v>
      </c>
      <c r="Y44" s="19"/>
      <c r="Z44" s="19"/>
      <c r="AA44" s="18">
        <f t="shared" si="10"/>
        <v>0</v>
      </c>
      <c r="AB44" s="20">
        <f t="shared" si="11"/>
        <v>0</v>
      </c>
      <c r="AC44" s="5"/>
      <c r="AD44" s="8"/>
      <c r="AF44" s="6"/>
      <c r="AG44" s="7"/>
      <c r="AJ44" s="33"/>
      <c r="AK44" s="35"/>
      <c r="AL44" s="38"/>
    </row>
    <row r="45" spans="1:38" ht="17.25" customHeight="1">
      <c r="A45" s="25"/>
      <c r="B45" s="26"/>
      <c r="C45" s="14"/>
      <c r="D45" s="31"/>
      <c r="E45" s="14"/>
      <c r="F45" s="15" t="str">
        <f t="shared" si="6"/>
        <v xml:space="preserve">S/F  </v>
      </c>
      <c r="G45" s="16"/>
      <c r="H45" s="17">
        <v>21</v>
      </c>
      <c r="I45" s="18">
        <f t="shared" si="7"/>
        <v>0</v>
      </c>
      <c r="J45" s="17"/>
      <c r="K45" s="18"/>
      <c r="L45" s="16"/>
      <c r="M45" s="17"/>
      <c r="N45" s="18">
        <f t="shared" si="8"/>
        <v>0</v>
      </c>
      <c r="O45" s="19"/>
      <c r="P45" s="18">
        <v>0</v>
      </c>
      <c r="Q45" s="16"/>
      <c r="R45" s="17"/>
      <c r="S45" s="18">
        <v>0</v>
      </c>
      <c r="T45" s="19"/>
      <c r="U45" s="18">
        <v>0</v>
      </c>
      <c r="V45" s="16"/>
      <c r="W45" s="17"/>
      <c r="X45" s="18">
        <f t="shared" si="9"/>
        <v>0</v>
      </c>
      <c r="Y45" s="19"/>
      <c r="Z45" s="19"/>
      <c r="AA45" s="18">
        <f t="shared" si="10"/>
        <v>0</v>
      </c>
      <c r="AB45" s="20">
        <f t="shared" si="11"/>
        <v>0</v>
      </c>
      <c r="AC45" s="5"/>
      <c r="AD45" s="8"/>
      <c r="AF45" s="6"/>
      <c r="AG45" s="7"/>
      <c r="AJ45" s="33"/>
      <c r="AK45" s="35"/>
      <c r="AL45" s="38"/>
    </row>
    <row r="46" spans="1:38" ht="17.25" customHeight="1">
      <c r="A46" s="25"/>
      <c r="B46" s="26"/>
      <c r="C46" s="14"/>
      <c r="D46" s="31"/>
      <c r="E46" s="14"/>
      <c r="F46" s="15" t="str">
        <f t="shared" si="6"/>
        <v xml:space="preserve">S/F  </v>
      </c>
      <c r="G46" s="16"/>
      <c r="H46" s="17">
        <v>21</v>
      </c>
      <c r="I46" s="18">
        <f t="shared" si="7"/>
        <v>0</v>
      </c>
      <c r="J46" s="17"/>
      <c r="K46" s="18"/>
      <c r="L46" s="16"/>
      <c r="M46" s="17"/>
      <c r="N46" s="18">
        <f t="shared" si="8"/>
        <v>0</v>
      </c>
      <c r="O46" s="19"/>
      <c r="P46" s="18">
        <v>0</v>
      </c>
      <c r="Q46" s="16"/>
      <c r="R46" s="17"/>
      <c r="S46" s="18">
        <v>0</v>
      </c>
      <c r="T46" s="19"/>
      <c r="U46" s="18">
        <v>0</v>
      </c>
      <c r="V46" s="16"/>
      <c r="W46" s="17"/>
      <c r="X46" s="18">
        <f t="shared" si="9"/>
        <v>0</v>
      </c>
      <c r="Y46" s="19"/>
      <c r="Z46" s="19"/>
      <c r="AA46" s="18">
        <f t="shared" si="10"/>
        <v>0</v>
      </c>
      <c r="AB46" s="20">
        <f t="shared" si="11"/>
        <v>0</v>
      </c>
      <c r="AC46" s="5"/>
      <c r="AD46" s="8"/>
      <c r="AF46" s="6"/>
      <c r="AG46" s="7"/>
      <c r="AJ46" s="33"/>
      <c r="AK46" s="35"/>
      <c r="AL46" s="38"/>
    </row>
    <row r="47" spans="1:38" ht="17.25" customHeight="1">
      <c r="A47" s="25"/>
      <c r="B47" s="26"/>
      <c r="C47" s="14"/>
      <c r="D47" s="31"/>
      <c r="E47" s="14"/>
      <c r="F47" s="15" t="str">
        <f t="shared" si="6"/>
        <v xml:space="preserve">S/F  </v>
      </c>
      <c r="G47" s="16"/>
      <c r="H47" s="17">
        <v>21</v>
      </c>
      <c r="I47" s="18">
        <f t="shared" si="7"/>
        <v>0</v>
      </c>
      <c r="J47" s="17"/>
      <c r="K47" s="18"/>
      <c r="L47" s="16"/>
      <c r="M47" s="17"/>
      <c r="N47" s="18">
        <f t="shared" si="8"/>
        <v>0</v>
      </c>
      <c r="O47" s="19"/>
      <c r="P47" s="18">
        <v>0</v>
      </c>
      <c r="Q47" s="16"/>
      <c r="R47" s="17"/>
      <c r="S47" s="18">
        <v>0</v>
      </c>
      <c r="T47" s="19"/>
      <c r="U47" s="18">
        <v>0</v>
      </c>
      <c r="V47" s="16"/>
      <c r="W47" s="17"/>
      <c r="X47" s="18">
        <f t="shared" si="9"/>
        <v>0</v>
      </c>
      <c r="Y47" s="19"/>
      <c r="Z47" s="19"/>
      <c r="AA47" s="18">
        <f t="shared" si="10"/>
        <v>0</v>
      </c>
      <c r="AB47" s="20">
        <f t="shared" si="11"/>
        <v>0</v>
      </c>
      <c r="AC47" s="5"/>
      <c r="AD47" s="8"/>
      <c r="AF47" s="6"/>
      <c r="AG47" s="7"/>
      <c r="AJ47" s="33"/>
      <c r="AK47" s="35"/>
      <c r="AL47" s="38"/>
    </row>
    <row r="48" spans="1:38" ht="17.25" customHeight="1">
      <c r="A48" s="25"/>
      <c r="B48" s="26"/>
      <c r="C48" s="14"/>
      <c r="D48" s="31"/>
      <c r="E48" s="14"/>
      <c r="F48" s="15" t="str">
        <f t="shared" si="6"/>
        <v xml:space="preserve">S/F  </v>
      </c>
      <c r="G48" s="16"/>
      <c r="H48" s="17">
        <v>21</v>
      </c>
      <c r="I48" s="18">
        <f t="shared" si="7"/>
        <v>0</v>
      </c>
      <c r="J48" s="17"/>
      <c r="K48" s="18"/>
      <c r="L48" s="16"/>
      <c r="M48" s="17"/>
      <c r="N48" s="18">
        <f t="shared" si="8"/>
        <v>0</v>
      </c>
      <c r="O48" s="19"/>
      <c r="P48" s="18">
        <v>0</v>
      </c>
      <c r="Q48" s="16"/>
      <c r="R48" s="17"/>
      <c r="S48" s="18">
        <v>0</v>
      </c>
      <c r="T48" s="19"/>
      <c r="U48" s="18">
        <v>0</v>
      </c>
      <c r="V48" s="16"/>
      <c r="W48" s="17"/>
      <c r="X48" s="18">
        <f t="shared" si="9"/>
        <v>0</v>
      </c>
      <c r="Y48" s="19"/>
      <c r="Z48" s="19"/>
      <c r="AA48" s="18">
        <f t="shared" si="10"/>
        <v>0</v>
      </c>
      <c r="AB48" s="20">
        <f t="shared" si="11"/>
        <v>0</v>
      </c>
      <c r="AC48" s="5"/>
      <c r="AD48" s="8"/>
      <c r="AF48" s="6"/>
      <c r="AG48" s="7"/>
      <c r="AJ48" s="33"/>
      <c r="AK48" s="35"/>
      <c r="AL48" s="38"/>
    </row>
    <row r="49" spans="1:38" ht="17.25" customHeight="1">
      <c r="A49" s="25"/>
      <c r="B49" s="26"/>
      <c r="C49" s="14"/>
      <c r="D49" s="31"/>
      <c r="E49" s="14"/>
      <c r="F49" s="15" t="str">
        <f t="shared" si="6"/>
        <v xml:space="preserve">S/F  </v>
      </c>
      <c r="G49" s="16"/>
      <c r="H49" s="17">
        <v>21</v>
      </c>
      <c r="I49" s="18">
        <f t="shared" si="7"/>
        <v>0</v>
      </c>
      <c r="J49" s="17"/>
      <c r="K49" s="18"/>
      <c r="L49" s="16"/>
      <c r="M49" s="17"/>
      <c r="N49" s="18">
        <f t="shared" si="8"/>
        <v>0</v>
      </c>
      <c r="O49" s="19"/>
      <c r="P49" s="18">
        <v>0</v>
      </c>
      <c r="Q49" s="16"/>
      <c r="R49" s="17"/>
      <c r="S49" s="18">
        <v>0</v>
      </c>
      <c r="T49" s="19"/>
      <c r="U49" s="18">
        <v>0</v>
      </c>
      <c r="V49" s="16"/>
      <c r="W49" s="17"/>
      <c r="X49" s="18">
        <f t="shared" si="9"/>
        <v>0</v>
      </c>
      <c r="Y49" s="19"/>
      <c r="Z49" s="19"/>
      <c r="AA49" s="18">
        <f t="shared" si="10"/>
        <v>0</v>
      </c>
      <c r="AB49" s="20">
        <f t="shared" si="11"/>
        <v>0</v>
      </c>
      <c r="AC49" s="5"/>
      <c r="AD49" s="8"/>
      <c r="AF49" s="6"/>
      <c r="AG49" s="7"/>
      <c r="AJ49" s="33"/>
      <c r="AK49" s="35"/>
      <c r="AL49" s="38"/>
    </row>
    <row r="50" spans="1:38" ht="17.25" customHeight="1">
      <c r="A50" s="25"/>
      <c r="B50" s="26"/>
      <c r="C50" s="14"/>
      <c r="D50" s="31"/>
      <c r="E50" s="14"/>
      <c r="F50" s="15" t="str">
        <f t="shared" si="6"/>
        <v xml:space="preserve">S/F  </v>
      </c>
      <c r="G50" s="16"/>
      <c r="H50" s="17">
        <v>21</v>
      </c>
      <c r="I50" s="18">
        <f t="shared" si="7"/>
        <v>0</v>
      </c>
      <c r="J50" s="17"/>
      <c r="K50" s="18"/>
      <c r="L50" s="16"/>
      <c r="M50" s="17"/>
      <c r="N50" s="18">
        <f t="shared" si="8"/>
        <v>0</v>
      </c>
      <c r="O50" s="19"/>
      <c r="P50" s="18">
        <v>0</v>
      </c>
      <c r="Q50" s="16"/>
      <c r="R50" s="17"/>
      <c r="S50" s="18">
        <v>0</v>
      </c>
      <c r="T50" s="19"/>
      <c r="U50" s="18">
        <v>0</v>
      </c>
      <c r="V50" s="16"/>
      <c r="W50" s="17"/>
      <c r="X50" s="18">
        <f t="shared" si="9"/>
        <v>0</v>
      </c>
      <c r="Y50" s="19"/>
      <c r="Z50" s="19"/>
      <c r="AA50" s="18">
        <f t="shared" si="10"/>
        <v>0</v>
      </c>
      <c r="AB50" s="20">
        <f t="shared" si="11"/>
        <v>0</v>
      </c>
      <c r="AC50" s="5"/>
      <c r="AD50" s="8"/>
      <c r="AF50" s="6"/>
      <c r="AG50" s="7"/>
      <c r="AJ50" s="33"/>
      <c r="AK50" s="35"/>
      <c r="AL50" s="38"/>
    </row>
    <row r="51" spans="1:38" ht="17.25" customHeight="1">
      <c r="A51" s="25"/>
      <c r="B51" s="26"/>
      <c r="C51" s="14"/>
      <c r="D51" s="31"/>
      <c r="E51" s="14"/>
      <c r="F51" s="15" t="str">
        <f t="shared" si="6"/>
        <v xml:space="preserve">S/F  </v>
      </c>
      <c r="G51" s="16"/>
      <c r="H51" s="17">
        <v>21</v>
      </c>
      <c r="I51" s="18">
        <f t="shared" si="7"/>
        <v>0</v>
      </c>
      <c r="J51" s="17"/>
      <c r="K51" s="18"/>
      <c r="L51" s="16"/>
      <c r="M51" s="17"/>
      <c r="N51" s="18">
        <f t="shared" si="8"/>
        <v>0</v>
      </c>
      <c r="O51" s="19"/>
      <c r="P51" s="18">
        <v>0</v>
      </c>
      <c r="Q51" s="16"/>
      <c r="R51" s="17"/>
      <c r="S51" s="18">
        <v>0</v>
      </c>
      <c r="T51" s="19"/>
      <c r="U51" s="18">
        <v>0</v>
      </c>
      <c r="V51" s="16"/>
      <c r="W51" s="17"/>
      <c r="X51" s="18">
        <f t="shared" si="9"/>
        <v>0</v>
      </c>
      <c r="Y51" s="19"/>
      <c r="Z51" s="19"/>
      <c r="AA51" s="18">
        <f t="shared" si="10"/>
        <v>0</v>
      </c>
      <c r="AB51" s="20">
        <f t="shared" si="11"/>
        <v>0</v>
      </c>
      <c r="AC51" s="5"/>
      <c r="AD51" s="8"/>
      <c r="AF51" s="6"/>
      <c r="AG51" s="7"/>
      <c r="AJ51" s="33"/>
      <c r="AK51" s="35"/>
      <c r="AL51" s="38"/>
    </row>
    <row r="52" spans="1:38" ht="17.25" customHeight="1">
      <c r="A52" s="25"/>
      <c r="B52" s="26"/>
      <c r="C52" s="14"/>
      <c r="D52" s="31"/>
      <c r="E52" s="14"/>
      <c r="F52" s="15" t="str">
        <f t="shared" si="6"/>
        <v xml:space="preserve">S/F  </v>
      </c>
      <c r="G52" s="16"/>
      <c r="H52" s="17">
        <v>21</v>
      </c>
      <c r="I52" s="18">
        <f t="shared" si="7"/>
        <v>0</v>
      </c>
      <c r="J52" s="17"/>
      <c r="K52" s="18"/>
      <c r="L52" s="16"/>
      <c r="M52" s="17"/>
      <c r="N52" s="18">
        <f t="shared" si="8"/>
        <v>0</v>
      </c>
      <c r="O52" s="19"/>
      <c r="P52" s="18">
        <v>0</v>
      </c>
      <c r="Q52" s="16"/>
      <c r="R52" s="17"/>
      <c r="S52" s="18">
        <v>0</v>
      </c>
      <c r="T52" s="19"/>
      <c r="U52" s="18">
        <v>0</v>
      </c>
      <c r="V52" s="16"/>
      <c r="W52" s="17"/>
      <c r="X52" s="18">
        <f t="shared" si="9"/>
        <v>0</v>
      </c>
      <c r="Y52" s="19"/>
      <c r="Z52" s="19"/>
      <c r="AA52" s="18">
        <f t="shared" si="10"/>
        <v>0</v>
      </c>
      <c r="AB52" s="20">
        <f t="shared" si="11"/>
        <v>0</v>
      </c>
      <c r="AC52" s="5"/>
      <c r="AD52" s="8"/>
      <c r="AF52" s="6"/>
      <c r="AG52" s="7"/>
      <c r="AJ52" s="33"/>
      <c r="AK52" s="35"/>
      <c r="AL52" s="38"/>
    </row>
    <row r="53" spans="1:38" ht="17.25" customHeight="1">
      <c r="A53" s="25"/>
      <c r="B53" s="26"/>
      <c r="C53" s="14"/>
      <c r="D53" s="31"/>
      <c r="E53" s="14"/>
      <c r="F53" s="15" t="str">
        <f t="shared" si="6"/>
        <v xml:space="preserve">S/F  </v>
      </c>
      <c r="G53" s="16"/>
      <c r="H53" s="17">
        <v>21</v>
      </c>
      <c r="I53" s="18">
        <f t="shared" si="7"/>
        <v>0</v>
      </c>
      <c r="J53" s="17"/>
      <c r="K53" s="18"/>
      <c r="L53" s="16"/>
      <c r="M53" s="17"/>
      <c r="N53" s="18">
        <f t="shared" si="8"/>
        <v>0</v>
      </c>
      <c r="O53" s="19"/>
      <c r="P53" s="18">
        <v>0</v>
      </c>
      <c r="Q53" s="16"/>
      <c r="R53" s="17"/>
      <c r="S53" s="18">
        <v>0</v>
      </c>
      <c r="T53" s="19"/>
      <c r="U53" s="18">
        <v>0</v>
      </c>
      <c r="V53" s="16"/>
      <c r="W53" s="17"/>
      <c r="X53" s="18">
        <f t="shared" si="9"/>
        <v>0</v>
      </c>
      <c r="Y53" s="19"/>
      <c r="Z53" s="19"/>
      <c r="AA53" s="18">
        <f t="shared" si="10"/>
        <v>0</v>
      </c>
      <c r="AB53" s="20">
        <f t="shared" si="11"/>
        <v>0</v>
      </c>
      <c r="AC53" s="5"/>
      <c r="AD53" s="8"/>
      <c r="AF53" s="6"/>
      <c r="AG53" s="7"/>
      <c r="AJ53" s="33"/>
      <c r="AK53" s="35"/>
      <c r="AL53" s="38"/>
    </row>
    <row r="54" spans="1:38" ht="17.25" customHeight="1">
      <c r="A54" s="25"/>
      <c r="B54" s="26"/>
      <c r="C54" s="14"/>
      <c r="D54" s="31"/>
      <c r="E54" s="14"/>
      <c r="F54" s="15" t="str">
        <f t="shared" si="6"/>
        <v xml:space="preserve">S/F  </v>
      </c>
      <c r="G54" s="16"/>
      <c r="H54" s="17">
        <v>21</v>
      </c>
      <c r="I54" s="18">
        <f t="shared" si="7"/>
        <v>0</v>
      </c>
      <c r="J54" s="17"/>
      <c r="K54" s="18"/>
      <c r="L54" s="16"/>
      <c r="M54" s="17"/>
      <c r="N54" s="18">
        <f t="shared" si="8"/>
        <v>0</v>
      </c>
      <c r="O54" s="19"/>
      <c r="P54" s="18">
        <v>0</v>
      </c>
      <c r="Q54" s="16"/>
      <c r="R54" s="17"/>
      <c r="S54" s="18">
        <v>0</v>
      </c>
      <c r="T54" s="19"/>
      <c r="U54" s="18">
        <v>0</v>
      </c>
      <c r="V54" s="16"/>
      <c r="W54" s="17"/>
      <c r="X54" s="18">
        <f t="shared" si="9"/>
        <v>0</v>
      </c>
      <c r="Y54" s="19"/>
      <c r="Z54" s="19"/>
      <c r="AA54" s="18">
        <f t="shared" si="10"/>
        <v>0</v>
      </c>
      <c r="AB54" s="20">
        <f t="shared" si="11"/>
        <v>0</v>
      </c>
      <c r="AC54" s="5"/>
      <c r="AD54" s="8"/>
      <c r="AF54" s="6"/>
      <c r="AG54" s="7"/>
      <c r="AJ54" s="33"/>
      <c r="AK54" s="35"/>
      <c r="AL54" s="38"/>
    </row>
    <row r="55" spans="1:38" ht="17.25" customHeight="1">
      <c r="A55" s="25"/>
      <c r="B55" s="26"/>
      <c r="C55" s="14"/>
      <c r="D55" s="31"/>
      <c r="E55" s="14"/>
      <c r="F55" s="15" t="str">
        <f t="shared" si="6"/>
        <v xml:space="preserve">S/F  </v>
      </c>
      <c r="G55" s="16"/>
      <c r="H55" s="17">
        <v>21</v>
      </c>
      <c r="I55" s="18">
        <f t="shared" si="7"/>
        <v>0</v>
      </c>
      <c r="J55" s="17"/>
      <c r="K55" s="18"/>
      <c r="L55" s="16"/>
      <c r="M55" s="17"/>
      <c r="N55" s="18">
        <f t="shared" si="8"/>
        <v>0</v>
      </c>
      <c r="O55" s="19"/>
      <c r="P55" s="18">
        <v>0</v>
      </c>
      <c r="Q55" s="16"/>
      <c r="R55" s="17"/>
      <c r="S55" s="18">
        <v>0</v>
      </c>
      <c r="T55" s="19"/>
      <c r="U55" s="18">
        <v>0</v>
      </c>
      <c r="V55" s="16"/>
      <c r="W55" s="17"/>
      <c r="X55" s="18">
        <f t="shared" si="9"/>
        <v>0</v>
      </c>
      <c r="Y55" s="19"/>
      <c r="Z55" s="19"/>
      <c r="AA55" s="18">
        <f t="shared" si="10"/>
        <v>0</v>
      </c>
      <c r="AB55" s="20">
        <f t="shared" si="11"/>
        <v>0</v>
      </c>
      <c r="AC55" s="5"/>
      <c r="AD55" s="8"/>
      <c r="AF55" s="6"/>
      <c r="AG55" s="7"/>
      <c r="AJ55" s="33"/>
      <c r="AK55" s="35"/>
      <c r="AL55" s="38"/>
    </row>
    <row r="56" spans="1:38" ht="17.25" customHeight="1">
      <c r="A56" s="25"/>
      <c r="B56" s="26"/>
      <c r="C56" s="14"/>
      <c r="D56" s="31"/>
      <c r="E56" s="14"/>
      <c r="F56" s="15" t="str">
        <f t="shared" si="6"/>
        <v xml:space="preserve">S/F  </v>
      </c>
      <c r="G56" s="16"/>
      <c r="H56" s="17">
        <v>21</v>
      </c>
      <c r="I56" s="18">
        <f t="shared" si="7"/>
        <v>0</v>
      </c>
      <c r="J56" s="17"/>
      <c r="K56" s="18"/>
      <c r="L56" s="16"/>
      <c r="M56" s="17"/>
      <c r="N56" s="18">
        <f t="shared" si="8"/>
        <v>0</v>
      </c>
      <c r="O56" s="19"/>
      <c r="P56" s="18">
        <v>0</v>
      </c>
      <c r="Q56" s="16"/>
      <c r="R56" s="17"/>
      <c r="S56" s="18">
        <v>0</v>
      </c>
      <c r="T56" s="19"/>
      <c r="U56" s="18">
        <v>0</v>
      </c>
      <c r="V56" s="16"/>
      <c r="W56" s="17"/>
      <c r="X56" s="18">
        <f t="shared" si="9"/>
        <v>0</v>
      </c>
      <c r="Y56" s="19"/>
      <c r="Z56" s="19"/>
      <c r="AA56" s="18">
        <f t="shared" si="10"/>
        <v>0</v>
      </c>
      <c r="AB56" s="20">
        <f t="shared" si="11"/>
        <v>0</v>
      </c>
      <c r="AC56" s="5"/>
      <c r="AD56" s="8"/>
      <c r="AF56" s="6"/>
      <c r="AG56" s="7"/>
      <c r="AJ56" s="33"/>
      <c r="AK56" s="35"/>
      <c r="AL56" s="38"/>
    </row>
    <row r="57" spans="1:38" ht="17.25" customHeight="1">
      <c r="A57" s="25"/>
      <c r="B57" s="26"/>
      <c r="C57" s="14"/>
      <c r="D57" s="31"/>
      <c r="E57" s="14"/>
      <c r="F57" s="15" t="str">
        <f t="shared" si="6"/>
        <v xml:space="preserve">S/F  </v>
      </c>
      <c r="G57" s="16"/>
      <c r="H57" s="17">
        <v>21</v>
      </c>
      <c r="I57" s="18">
        <f t="shared" si="7"/>
        <v>0</v>
      </c>
      <c r="J57" s="17"/>
      <c r="K57" s="18"/>
      <c r="L57" s="16"/>
      <c r="M57" s="17"/>
      <c r="N57" s="18">
        <f t="shared" si="8"/>
        <v>0</v>
      </c>
      <c r="O57" s="19"/>
      <c r="P57" s="18">
        <v>0</v>
      </c>
      <c r="Q57" s="16"/>
      <c r="R57" s="17"/>
      <c r="S57" s="18">
        <v>0</v>
      </c>
      <c r="T57" s="19"/>
      <c r="U57" s="18">
        <v>0</v>
      </c>
      <c r="V57" s="16"/>
      <c r="W57" s="17"/>
      <c r="X57" s="18">
        <f t="shared" si="9"/>
        <v>0</v>
      </c>
      <c r="Y57" s="19"/>
      <c r="Z57" s="19"/>
      <c r="AA57" s="18">
        <f t="shared" si="10"/>
        <v>0</v>
      </c>
      <c r="AB57" s="20">
        <f t="shared" si="11"/>
        <v>0</v>
      </c>
      <c r="AC57" s="5"/>
      <c r="AD57" s="8"/>
      <c r="AF57" s="6"/>
      <c r="AG57" s="7"/>
      <c r="AJ57" s="33"/>
      <c r="AK57" s="35"/>
      <c r="AL57" s="38"/>
    </row>
    <row r="58" spans="1:38" ht="17.25" customHeight="1">
      <c r="A58" s="25"/>
      <c r="B58" s="26"/>
      <c r="C58" s="14"/>
      <c r="D58" s="31"/>
      <c r="E58" s="14"/>
      <c r="F58" s="15" t="str">
        <f t="shared" si="6"/>
        <v xml:space="preserve">S/F  </v>
      </c>
      <c r="G58" s="16"/>
      <c r="H58" s="17">
        <v>21</v>
      </c>
      <c r="I58" s="18">
        <f t="shared" si="7"/>
        <v>0</v>
      </c>
      <c r="J58" s="17"/>
      <c r="K58" s="18"/>
      <c r="L58" s="16"/>
      <c r="M58" s="17"/>
      <c r="N58" s="18">
        <f t="shared" si="8"/>
        <v>0</v>
      </c>
      <c r="O58" s="19"/>
      <c r="P58" s="18">
        <v>0</v>
      </c>
      <c r="Q58" s="16"/>
      <c r="R58" s="17"/>
      <c r="S58" s="18">
        <v>0</v>
      </c>
      <c r="T58" s="19"/>
      <c r="U58" s="18">
        <v>0</v>
      </c>
      <c r="V58" s="16"/>
      <c r="W58" s="17"/>
      <c r="X58" s="18">
        <f t="shared" si="9"/>
        <v>0</v>
      </c>
      <c r="Y58" s="19"/>
      <c r="Z58" s="19"/>
      <c r="AA58" s="18">
        <f t="shared" si="10"/>
        <v>0</v>
      </c>
      <c r="AB58" s="20">
        <f t="shared" si="11"/>
        <v>0</v>
      </c>
      <c r="AC58" s="5"/>
      <c r="AD58" s="8"/>
      <c r="AF58" s="6"/>
      <c r="AG58" s="7"/>
      <c r="AJ58" s="33"/>
      <c r="AK58" s="35"/>
      <c r="AL58" s="38"/>
    </row>
    <row r="59" spans="1:38" ht="17.25" customHeight="1">
      <c r="A59" s="25"/>
      <c r="B59" s="26"/>
      <c r="C59" s="14"/>
      <c r="D59" s="31"/>
      <c r="E59" s="14"/>
      <c r="F59" s="15" t="str">
        <f t="shared" si="6"/>
        <v xml:space="preserve">S/F  </v>
      </c>
      <c r="G59" s="16"/>
      <c r="H59" s="17">
        <v>21</v>
      </c>
      <c r="I59" s="18">
        <f t="shared" si="7"/>
        <v>0</v>
      </c>
      <c r="J59" s="17"/>
      <c r="K59" s="18"/>
      <c r="L59" s="16"/>
      <c r="M59" s="17"/>
      <c r="N59" s="18">
        <f t="shared" si="8"/>
        <v>0</v>
      </c>
      <c r="O59" s="19"/>
      <c r="P59" s="18">
        <v>0</v>
      </c>
      <c r="Q59" s="16"/>
      <c r="R59" s="17"/>
      <c r="S59" s="18">
        <v>0</v>
      </c>
      <c r="T59" s="19"/>
      <c r="U59" s="18">
        <v>0</v>
      </c>
      <c r="V59" s="16"/>
      <c r="W59" s="17"/>
      <c r="X59" s="18">
        <f t="shared" si="9"/>
        <v>0</v>
      </c>
      <c r="Y59" s="19"/>
      <c r="Z59" s="19"/>
      <c r="AA59" s="18">
        <f t="shared" si="10"/>
        <v>0</v>
      </c>
      <c r="AB59" s="20">
        <f t="shared" si="11"/>
        <v>0</v>
      </c>
      <c r="AC59" s="5"/>
      <c r="AD59" s="8"/>
      <c r="AF59" s="6"/>
      <c r="AG59" s="7"/>
      <c r="AJ59" s="33"/>
      <c r="AK59" s="35"/>
      <c r="AL59" s="38"/>
    </row>
    <row r="60" spans="1:38" ht="17.25" customHeight="1">
      <c r="A60" s="25"/>
      <c r="B60" s="26"/>
      <c r="C60" s="14"/>
      <c r="D60" s="31"/>
      <c r="E60" s="14"/>
      <c r="F60" s="15" t="str">
        <f t="shared" si="6"/>
        <v xml:space="preserve">S/F  </v>
      </c>
      <c r="G60" s="16"/>
      <c r="H60" s="17">
        <v>21</v>
      </c>
      <c r="I60" s="18">
        <f t="shared" si="7"/>
        <v>0</v>
      </c>
      <c r="J60" s="17"/>
      <c r="K60" s="18"/>
      <c r="L60" s="16"/>
      <c r="M60" s="17"/>
      <c r="N60" s="18">
        <f t="shared" si="8"/>
        <v>0</v>
      </c>
      <c r="O60" s="19"/>
      <c r="P60" s="18">
        <v>0</v>
      </c>
      <c r="Q60" s="16"/>
      <c r="R60" s="17"/>
      <c r="S60" s="18">
        <v>0</v>
      </c>
      <c r="T60" s="19"/>
      <c r="U60" s="18">
        <v>0</v>
      </c>
      <c r="V60" s="16"/>
      <c r="W60" s="17"/>
      <c r="X60" s="18">
        <f t="shared" si="9"/>
        <v>0</v>
      </c>
      <c r="Y60" s="19"/>
      <c r="Z60" s="19"/>
      <c r="AA60" s="18">
        <f t="shared" si="10"/>
        <v>0</v>
      </c>
      <c r="AB60" s="20">
        <f t="shared" si="11"/>
        <v>0</v>
      </c>
      <c r="AC60" s="5"/>
      <c r="AD60" s="8"/>
      <c r="AF60" s="6"/>
      <c r="AG60" s="7"/>
      <c r="AJ60" s="33"/>
      <c r="AK60" s="35"/>
      <c r="AL60" s="38"/>
    </row>
    <row r="61" spans="1:38" ht="17.25" customHeight="1">
      <c r="A61" s="25"/>
      <c r="B61" s="26"/>
      <c r="C61" s="14"/>
      <c r="D61" s="31"/>
      <c r="E61" s="14"/>
      <c r="F61" s="15" t="str">
        <f t="shared" si="6"/>
        <v xml:space="preserve">S/F  </v>
      </c>
      <c r="G61" s="16"/>
      <c r="H61" s="17">
        <v>21</v>
      </c>
      <c r="I61" s="18">
        <f t="shared" si="7"/>
        <v>0</v>
      </c>
      <c r="J61" s="17"/>
      <c r="K61" s="18"/>
      <c r="L61" s="16"/>
      <c r="M61" s="17"/>
      <c r="N61" s="18">
        <f t="shared" si="8"/>
        <v>0</v>
      </c>
      <c r="O61" s="19"/>
      <c r="P61" s="18">
        <v>0</v>
      </c>
      <c r="Q61" s="16"/>
      <c r="R61" s="17"/>
      <c r="S61" s="18">
        <v>0</v>
      </c>
      <c r="T61" s="19"/>
      <c r="U61" s="18">
        <v>0</v>
      </c>
      <c r="V61" s="16"/>
      <c r="W61" s="17"/>
      <c r="X61" s="18">
        <f t="shared" si="9"/>
        <v>0</v>
      </c>
      <c r="Y61" s="19"/>
      <c r="Z61" s="19"/>
      <c r="AA61" s="18">
        <f t="shared" si="10"/>
        <v>0</v>
      </c>
      <c r="AB61" s="20">
        <f t="shared" si="11"/>
        <v>0</v>
      </c>
      <c r="AC61" s="5"/>
      <c r="AD61" s="8"/>
      <c r="AF61" s="6"/>
      <c r="AG61" s="7"/>
      <c r="AJ61" s="33"/>
      <c r="AK61" s="35"/>
      <c r="AL61" s="38"/>
    </row>
    <row r="62" spans="1:38" ht="17.25" customHeight="1">
      <c r="A62" s="25"/>
      <c r="B62" s="26"/>
      <c r="C62" s="14"/>
      <c r="D62" s="31"/>
      <c r="E62" s="14"/>
      <c r="F62" s="15" t="str">
        <f t="shared" si="6"/>
        <v xml:space="preserve">S/F  </v>
      </c>
      <c r="G62" s="16"/>
      <c r="H62" s="17">
        <v>21</v>
      </c>
      <c r="I62" s="18">
        <f t="shared" si="7"/>
        <v>0</v>
      </c>
      <c r="J62" s="17"/>
      <c r="K62" s="18"/>
      <c r="L62" s="16"/>
      <c r="M62" s="17"/>
      <c r="N62" s="18">
        <f t="shared" si="8"/>
        <v>0</v>
      </c>
      <c r="O62" s="19"/>
      <c r="P62" s="18">
        <v>0</v>
      </c>
      <c r="Q62" s="16"/>
      <c r="R62" s="17"/>
      <c r="S62" s="18">
        <v>0</v>
      </c>
      <c r="T62" s="19"/>
      <c r="U62" s="18">
        <v>0</v>
      </c>
      <c r="V62" s="16"/>
      <c r="W62" s="17"/>
      <c r="X62" s="18">
        <f t="shared" si="9"/>
        <v>0</v>
      </c>
      <c r="Y62" s="19"/>
      <c r="Z62" s="19"/>
      <c r="AA62" s="18">
        <f t="shared" si="10"/>
        <v>0</v>
      </c>
      <c r="AB62" s="20">
        <f t="shared" si="11"/>
        <v>0</v>
      </c>
      <c r="AC62" s="5"/>
      <c r="AD62" s="8"/>
      <c r="AF62" s="6"/>
      <c r="AG62" s="7"/>
      <c r="AJ62" s="33"/>
      <c r="AK62" s="35"/>
      <c r="AL62" s="38"/>
    </row>
    <row r="63" spans="1:38" ht="17.25" customHeight="1">
      <c r="A63" s="25"/>
      <c r="B63" s="26"/>
      <c r="C63" s="14"/>
      <c r="D63" s="31"/>
      <c r="E63" s="14"/>
      <c r="F63" s="15" t="str">
        <f t="shared" si="6"/>
        <v xml:space="preserve">S/F  </v>
      </c>
      <c r="G63" s="16"/>
      <c r="H63" s="17">
        <v>21</v>
      </c>
      <c r="I63" s="18">
        <f t="shared" si="7"/>
        <v>0</v>
      </c>
      <c r="J63" s="17"/>
      <c r="K63" s="18"/>
      <c r="L63" s="16"/>
      <c r="M63" s="17"/>
      <c r="N63" s="18">
        <f t="shared" si="8"/>
        <v>0</v>
      </c>
      <c r="O63" s="19"/>
      <c r="P63" s="18">
        <v>0</v>
      </c>
      <c r="Q63" s="16"/>
      <c r="R63" s="17"/>
      <c r="S63" s="18">
        <v>0</v>
      </c>
      <c r="T63" s="19"/>
      <c r="U63" s="18">
        <v>0</v>
      </c>
      <c r="V63" s="16"/>
      <c r="W63" s="17"/>
      <c r="X63" s="18">
        <f t="shared" si="9"/>
        <v>0</v>
      </c>
      <c r="Y63" s="19"/>
      <c r="Z63" s="19"/>
      <c r="AA63" s="18">
        <f t="shared" si="10"/>
        <v>0</v>
      </c>
      <c r="AB63" s="20">
        <f t="shared" si="11"/>
        <v>0</v>
      </c>
      <c r="AC63" s="5"/>
      <c r="AD63" s="8"/>
      <c r="AF63" s="6"/>
      <c r="AG63" s="7"/>
      <c r="AJ63" s="33"/>
      <c r="AK63" s="35"/>
      <c r="AL63" s="38"/>
    </row>
    <row r="64" spans="1:38" ht="17.25" customHeight="1">
      <c r="A64" s="25"/>
      <c r="B64" s="26"/>
      <c r="C64" s="14"/>
      <c r="D64" s="31"/>
      <c r="E64" s="14"/>
      <c r="F64" s="15" t="str">
        <f t="shared" si="6"/>
        <v xml:space="preserve">S/F  </v>
      </c>
      <c r="G64" s="16"/>
      <c r="H64" s="17">
        <v>21</v>
      </c>
      <c r="I64" s="18">
        <f t="shared" si="7"/>
        <v>0</v>
      </c>
      <c r="J64" s="17"/>
      <c r="K64" s="18"/>
      <c r="L64" s="16"/>
      <c r="M64" s="17"/>
      <c r="N64" s="18">
        <f t="shared" si="8"/>
        <v>0</v>
      </c>
      <c r="O64" s="19"/>
      <c r="P64" s="18">
        <v>0</v>
      </c>
      <c r="Q64" s="16"/>
      <c r="R64" s="17"/>
      <c r="S64" s="18">
        <v>0</v>
      </c>
      <c r="T64" s="19"/>
      <c r="U64" s="18">
        <v>0</v>
      </c>
      <c r="V64" s="16"/>
      <c r="W64" s="17"/>
      <c r="X64" s="18">
        <f t="shared" si="9"/>
        <v>0</v>
      </c>
      <c r="Y64" s="19"/>
      <c r="Z64" s="19"/>
      <c r="AA64" s="18">
        <f t="shared" si="10"/>
        <v>0</v>
      </c>
      <c r="AB64" s="20">
        <f t="shared" si="11"/>
        <v>0</v>
      </c>
      <c r="AC64" s="5"/>
      <c r="AD64" s="8"/>
      <c r="AF64" s="6"/>
      <c r="AG64" s="7"/>
      <c r="AJ64" s="33"/>
      <c r="AK64" s="35"/>
      <c r="AL64" s="38"/>
    </row>
    <row r="65" spans="1:38" ht="17.25" customHeight="1">
      <c r="A65" s="25"/>
      <c r="B65" s="26"/>
      <c r="C65" s="14"/>
      <c r="D65" s="31"/>
      <c r="E65" s="14"/>
      <c r="F65" s="15" t="str">
        <f t="shared" si="6"/>
        <v xml:space="preserve">S/F  </v>
      </c>
      <c r="G65" s="16"/>
      <c r="H65" s="17">
        <v>21</v>
      </c>
      <c r="I65" s="18">
        <f t="shared" si="7"/>
        <v>0</v>
      </c>
      <c r="J65" s="17"/>
      <c r="K65" s="18"/>
      <c r="L65" s="16"/>
      <c r="M65" s="17"/>
      <c r="N65" s="18">
        <f t="shared" si="8"/>
        <v>0</v>
      </c>
      <c r="O65" s="19"/>
      <c r="P65" s="18">
        <v>0</v>
      </c>
      <c r="Q65" s="16"/>
      <c r="R65" s="17"/>
      <c r="S65" s="18">
        <v>0</v>
      </c>
      <c r="T65" s="19"/>
      <c r="U65" s="18">
        <v>0</v>
      </c>
      <c r="V65" s="16"/>
      <c r="W65" s="17"/>
      <c r="X65" s="18">
        <f t="shared" si="9"/>
        <v>0</v>
      </c>
      <c r="Y65" s="19"/>
      <c r="Z65" s="19"/>
      <c r="AA65" s="18">
        <f t="shared" si="10"/>
        <v>0</v>
      </c>
      <c r="AB65" s="20">
        <f t="shared" si="11"/>
        <v>0</v>
      </c>
      <c r="AC65" s="5"/>
      <c r="AD65" s="8"/>
      <c r="AF65" s="6"/>
      <c r="AG65" s="7"/>
      <c r="AJ65" s="33"/>
      <c r="AK65" s="35"/>
      <c r="AL65" s="38"/>
    </row>
    <row r="66" spans="1:38" ht="17.25" customHeight="1">
      <c r="A66" s="25"/>
      <c r="B66" s="26"/>
      <c r="C66" s="14"/>
      <c r="D66" s="31"/>
      <c r="E66" s="14"/>
      <c r="F66" s="15" t="str">
        <f t="shared" ref="F66:F97" si="12">"S/F "&amp;B66&amp;" "&amp;E66</f>
        <v xml:space="preserve">S/F  </v>
      </c>
      <c r="G66" s="16"/>
      <c r="H66" s="17">
        <v>21</v>
      </c>
      <c r="I66" s="18">
        <f t="shared" ref="I66:I97" si="13">+IF(G66&lt;&gt;0,G66*H66/100,0)</f>
        <v>0</v>
      </c>
      <c r="J66" s="17"/>
      <c r="K66" s="18"/>
      <c r="L66" s="16"/>
      <c r="M66" s="17"/>
      <c r="N66" s="18">
        <f t="shared" ref="N66:N97" si="14">+IF(L66&lt;&gt;0,L66*M66/100,0)</f>
        <v>0</v>
      </c>
      <c r="O66" s="19"/>
      <c r="P66" s="18">
        <v>0</v>
      </c>
      <c r="Q66" s="16"/>
      <c r="R66" s="17"/>
      <c r="S66" s="18">
        <v>0</v>
      </c>
      <c r="T66" s="19"/>
      <c r="U66" s="18">
        <v>0</v>
      </c>
      <c r="V66" s="16"/>
      <c r="W66" s="17"/>
      <c r="X66" s="18">
        <f t="shared" ref="X66:X97" si="15">+IF(W66&lt;&gt;0,V66*W66/100,0)</f>
        <v>0</v>
      </c>
      <c r="Y66" s="19"/>
      <c r="Z66" s="19"/>
      <c r="AA66" s="18">
        <f t="shared" ref="AA66:AA97" si="16">+IF(Z66&lt;&gt;0,Y66*Z66/100,0)</f>
        <v>0</v>
      </c>
      <c r="AB66" s="20">
        <f t="shared" ref="AB66:AB97" si="17">+G66+I66+K66+L66+N66+P66+Q66+S66+U66-X66-AA66</f>
        <v>0</v>
      </c>
      <c r="AC66" s="5"/>
      <c r="AD66" s="8"/>
      <c r="AF66" s="6"/>
      <c r="AG66" s="7"/>
      <c r="AJ66" s="33"/>
      <c r="AK66" s="35"/>
      <c r="AL66" s="38"/>
    </row>
    <row r="67" spans="1:38" ht="17.25" customHeight="1">
      <c r="A67" s="25"/>
      <c r="B67" s="26"/>
      <c r="C67" s="14"/>
      <c r="D67" s="31"/>
      <c r="E67" s="14"/>
      <c r="F67" s="15" t="str">
        <f t="shared" si="12"/>
        <v xml:space="preserve">S/F  </v>
      </c>
      <c r="G67" s="16"/>
      <c r="H67" s="17">
        <v>21</v>
      </c>
      <c r="I67" s="18">
        <f t="shared" si="13"/>
        <v>0</v>
      </c>
      <c r="J67" s="17"/>
      <c r="K67" s="18"/>
      <c r="L67" s="16"/>
      <c r="M67" s="17"/>
      <c r="N67" s="18">
        <f t="shared" si="14"/>
        <v>0</v>
      </c>
      <c r="O67" s="19"/>
      <c r="P67" s="18">
        <v>0</v>
      </c>
      <c r="Q67" s="16"/>
      <c r="R67" s="17"/>
      <c r="S67" s="18">
        <v>0</v>
      </c>
      <c r="T67" s="19"/>
      <c r="U67" s="18">
        <v>0</v>
      </c>
      <c r="V67" s="16"/>
      <c r="W67" s="17"/>
      <c r="X67" s="18">
        <f t="shared" si="15"/>
        <v>0</v>
      </c>
      <c r="Y67" s="19"/>
      <c r="Z67" s="19"/>
      <c r="AA67" s="18">
        <f t="shared" si="16"/>
        <v>0</v>
      </c>
      <c r="AB67" s="20">
        <f t="shared" si="17"/>
        <v>0</v>
      </c>
      <c r="AC67" s="5"/>
      <c r="AD67" s="8"/>
      <c r="AF67" s="6"/>
      <c r="AG67" s="7"/>
      <c r="AJ67" s="33"/>
      <c r="AK67" s="35"/>
      <c r="AL67" s="38"/>
    </row>
    <row r="68" spans="1:38" ht="17.25" customHeight="1">
      <c r="A68" s="25"/>
      <c r="B68" s="26"/>
      <c r="C68" s="14"/>
      <c r="D68" s="31"/>
      <c r="E68" s="14"/>
      <c r="F68" s="15" t="str">
        <f t="shared" si="12"/>
        <v xml:space="preserve">S/F  </v>
      </c>
      <c r="G68" s="16"/>
      <c r="H68" s="17">
        <v>21</v>
      </c>
      <c r="I68" s="18">
        <f t="shared" si="13"/>
        <v>0</v>
      </c>
      <c r="J68" s="17"/>
      <c r="K68" s="18"/>
      <c r="L68" s="16"/>
      <c r="M68" s="17"/>
      <c r="N68" s="18">
        <f t="shared" si="14"/>
        <v>0</v>
      </c>
      <c r="O68" s="19"/>
      <c r="P68" s="18">
        <v>0</v>
      </c>
      <c r="Q68" s="16"/>
      <c r="R68" s="17"/>
      <c r="S68" s="18">
        <v>0</v>
      </c>
      <c r="T68" s="19"/>
      <c r="U68" s="18">
        <v>0</v>
      </c>
      <c r="V68" s="16"/>
      <c r="W68" s="17"/>
      <c r="X68" s="18">
        <f t="shared" si="15"/>
        <v>0</v>
      </c>
      <c r="Y68" s="19"/>
      <c r="Z68" s="19"/>
      <c r="AA68" s="18">
        <f t="shared" si="16"/>
        <v>0</v>
      </c>
      <c r="AB68" s="20">
        <f t="shared" si="17"/>
        <v>0</v>
      </c>
      <c r="AC68" s="5"/>
      <c r="AD68" s="8"/>
      <c r="AF68" s="6"/>
      <c r="AG68" s="7"/>
      <c r="AJ68" s="33"/>
      <c r="AK68" s="35"/>
      <c r="AL68" s="38"/>
    </row>
    <row r="69" spans="1:38" ht="17.25" customHeight="1">
      <c r="A69" s="25"/>
      <c r="B69" s="26"/>
      <c r="C69" s="14"/>
      <c r="D69" s="31"/>
      <c r="E69" s="14"/>
      <c r="F69" s="15" t="str">
        <f t="shared" si="12"/>
        <v xml:space="preserve">S/F  </v>
      </c>
      <c r="G69" s="16"/>
      <c r="H69" s="17">
        <v>21</v>
      </c>
      <c r="I69" s="18">
        <f t="shared" si="13"/>
        <v>0</v>
      </c>
      <c r="J69" s="17"/>
      <c r="K69" s="18"/>
      <c r="L69" s="16"/>
      <c r="M69" s="17"/>
      <c r="N69" s="18">
        <f t="shared" si="14"/>
        <v>0</v>
      </c>
      <c r="O69" s="19"/>
      <c r="P69" s="18">
        <v>0</v>
      </c>
      <c r="Q69" s="16"/>
      <c r="R69" s="17"/>
      <c r="S69" s="18">
        <v>0</v>
      </c>
      <c r="T69" s="19"/>
      <c r="U69" s="18">
        <v>0</v>
      </c>
      <c r="V69" s="16"/>
      <c r="W69" s="17"/>
      <c r="X69" s="18">
        <f t="shared" si="15"/>
        <v>0</v>
      </c>
      <c r="Y69" s="19"/>
      <c r="Z69" s="19"/>
      <c r="AA69" s="18">
        <f t="shared" si="16"/>
        <v>0</v>
      </c>
      <c r="AB69" s="20">
        <f t="shared" si="17"/>
        <v>0</v>
      </c>
      <c r="AC69" s="5"/>
      <c r="AD69" s="8"/>
      <c r="AF69" s="6"/>
      <c r="AG69" s="7"/>
      <c r="AJ69" s="33"/>
      <c r="AK69" s="35"/>
      <c r="AL69" s="38"/>
    </row>
    <row r="70" spans="1:38" ht="17.25" customHeight="1">
      <c r="A70" s="25"/>
      <c r="B70" s="26"/>
      <c r="C70" s="14"/>
      <c r="D70" s="31"/>
      <c r="E70" s="14"/>
      <c r="F70" s="15" t="str">
        <f t="shared" si="12"/>
        <v xml:space="preserve">S/F  </v>
      </c>
      <c r="G70" s="16"/>
      <c r="H70" s="17">
        <v>21</v>
      </c>
      <c r="I70" s="18">
        <f t="shared" si="13"/>
        <v>0</v>
      </c>
      <c r="J70" s="17"/>
      <c r="K70" s="18"/>
      <c r="L70" s="16"/>
      <c r="M70" s="17"/>
      <c r="N70" s="18">
        <f t="shared" si="14"/>
        <v>0</v>
      </c>
      <c r="O70" s="19"/>
      <c r="P70" s="18">
        <v>0</v>
      </c>
      <c r="Q70" s="16"/>
      <c r="R70" s="17"/>
      <c r="S70" s="18">
        <v>0</v>
      </c>
      <c r="T70" s="19"/>
      <c r="U70" s="18">
        <v>0</v>
      </c>
      <c r="V70" s="16"/>
      <c r="W70" s="17"/>
      <c r="X70" s="18">
        <f t="shared" si="15"/>
        <v>0</v>
      </c>
      <c r="Y70" s="19"/>
      <c r="Z70" s="19"/>
      <c r="AA70" s="18">
        <f t="shared" si="16"/>
        <v>0</v>
      </c>
      <c r="AB70" s="20">
        <f t="shared" si="17"/>
        <v>0</v>
      </c>
      <c r="AC70" s="5"/>
      <c r="AD70" s="8"/>
      <c r="AF70" s="6"/>
      <c r="AG70" s="7"/>
      <c r="AJ70" s="33"/>
      <c r="AK70" s="35"/>
      <c r="AL70" s="38"/>
    </row>
    <row r="71" spans="1:38" ht="17.25" customHeight="1">
      <c r="A71" s="25"/>
      <c r="B71" s="26"/>
      <c r="C71" s="14"/>
      <c r="D71" s="31"/>
      <c r="E71" s="14"/>
      <c r="F71" s="15" t="str">
        <f t="shared" si="12"/>
        <v xml:space="preserve">S/F  </v>
      </c>
      <c r="G71" s="16"/>
      <c r="H71" s="17">
        <v>21</v>
      </c>
      <c r="I71" s="18">
        <f t="shared" si="13"/>
        <v>0</v>
      </c>
      <c r="J71" s="17"/>
      <c r="K71" s="18"/>
      <c r="L71" s="16"/>
      <c r="M71" s="17"/>
      <c r="N71" s="18">
        <f t="shared" si="14"/>
        <v>0</v>
      </c>
      <c r="O71" s="19"/>
      <c r="P71" s="18">
        <v>0</v>
      </c>
      <c r="Q71" s="16"/>
      <c r="R71" s="17"/>
      <c r="S71" s="18">
        <v>0</v>
      </c>
      <c r="T71" s="19"/>
      <c r="U71" s="18">
        <v>0</v>
      </c>
      <c r="V71" s="16"/>
      <c r="W71" s="17"/>
      <c r="X71" s="18">
        <f t="shared" si="15"/>
        <v>0</v>
      </c>
      <c r="Y71" s="19"/>
      <c r="Z71" s="19"/>
      <c r="AA71" s="18">
        <f t="shared" si="16"/>
        <v>0</v>
      </c>
      <c r="AB71" s="20">
        <f t="shared" si="17"/>
        <v>0</v>
      </c>
      <c r="AC71" s="5"/>
      <c r="AD71" s="8"/>
      <c r="AF71" s="6"/>
      <c r="AG71" s="7"/>
      <c r="AJ71" s="33"/>
      <c r="AK71" s="35"/>
      <c r="AL71" s="38"/>
    </row>
    <row r="72" spans="1:38" ht="17.25" customHeight="1">
      <c r="A72" s="25"/>
      <c r="B72" s="26"/>
      <c r="C72" s="14"/>
      <c r="D72" s="31"/>
      <c r="E72" s="14"/>
      <c r="F72" s="15" t="str">
        <f t="shared" si="12"/>
        <v xml:space="preserve">S/F  </v>
      </c>
      <c r="G72" s="16"/>
      <c r="H72" s="17">
        <v>21</v>
      </c>
      <c r="I72" s="18">
        <f t="shared" si="13"/>
        <v>0</v>
      </c>
      <c r="J72" s="17"/>
      <c r="K72" s="18"/>
      <c r="L72" s="16"/>
      <c r="M72" s="17"/>
      <c r="N72" s="18">
        <f t="shared" si="14"/>
        <v>0</v>
      </c>
      <c r="O72" s="19"/>
      <c r="P72" s="18">
        <v>0</v>
      </c>
      <c r="Q72" s="16"/>
      <c r="R72" s="17"/>
      <c r="S72" s="18">
        <v>0</v>
      </c>
      <c r="T72" s="19"/>
      <c r="U72" s="18">
        <v>0</v>
      </c>
      <c r="V72" s="16"/>
      <c r="W72" s="17"/>
      <c r="X72" s="18">
        <f t="shared" si="15"/>
        <v>0</v>
      </c>
      <c r="Y72" s="19"/>
      <c r="Z72" s="19"/>
      <c r="AA72" s="18">
        <f t="shared" si="16"/>
        <v>0</v>
      </c>
      <c r="AB72" s="20">
        <f t="shared" si="17"/>
        <v>0</v>
      </c>
      <c r="AC72" s="5"/>
      <c r="AD72" s="8"/>
      <c r="AF72" s="6"/>
      <c r="AG72" s="7"/>
      <c r="AJ72" s="33"/>
      <c r="AK72" s="35"/>
      <c r="AL72" s="38"/>
    </row>
    <row r="73" spans="1:38" ht="17.25" customHeight="1">
      <c r="A73" s="25"/>
      <c r="B73" s="26"/>
      <c r="C73" s="14"/>
      <c r="D73" s="31"/>
      <c r="E73" s="14"/>
      <c r="F73" s="15" t="str">
        <f t="shared" si="12"/>
        <v xml:space="preserve">S/F  </v>
      </c>
      <c r="G73" s="16"/>
      <c r="H73" s="17">
        <v>21</v>
      </c>
      <c r="I73" s="18">
        <f t="shared" si="13"/>
        <v>0</v>
      </c>
      <c r="J73" s="17"/>
      <c r="K73" s="18"/>
      <c r="L73" s="16"/>
      <c r="M73" s="17"/>
      <c r="N73" s="18">
        <f t="shared" si="14"/>
        <v>0</v>
      </c>
      <c r="O73" s="19"/>
      <c r="P73" s="18">
        <v>0</v>
      </c>
      <c r="Q73" s="16"/>
      <c r="R73" s="17"/>
      <c r="S73" s="18">
        <v>0</v>
      </c>
      <c r="T73" s="19"/>
      <c r="U73" s="18">
        <v>0</v>
      </c>
      <c r="V73" s="16"/>
      <c r="W73" s="17"/>
      <c r="X73" s="18">
        <f t="shared" si="15"/>
        <v>0</v>
      </c>
      <c r="Y73" s="19"/>
      <c r="Z73" s="19"/>
      <c r="AA73" s="18">
        <f t="shared" si="16"/>
        <v>0</v>
      </c>
      <c r="AB73" s="20">
        <f t="shared" si="17"/>
        <v>0</v>
      </c>
      <c r="AC73" s="5"/>
      <c r="AD73" s="8"/>
      <c r="AF73" s="6"/>
      <c r="AG73" s="7"/>
      <c r="AJ73" s="33"/>
      <c r="AK73" s="35"/>
      <c r="AL73" s="38"/>
    </row>
    <row r="74" spans="1:38" ht="17.25" customHeight="1">
      <c r="A74" s="25"/>
      <c r="B74" s="26"/>
      <c r="C74" s="14"/>
      <c r="D74" s="31"/>
      <c r="E74" s="14"/>
      <c r="F74" s="15" t="str">
        <f t="shared" si="12"/>
        <v xml:space="preserve">S/F  </v>
      </c>
      <c r="G74" s="16"/>
      <c r="H74" s="17">
        <v>21</v>
      </c>
      <c r="I74" s="18">
        <f t="shared" si="13"/>
        <v>0</v>
      </c>
      <c r="J74" s="17"/>
      <c r="K74" s="18"/>
      <c r="L74" s="16"/>
      <c r="M74" s="17"/>
      <c r="N74" s="18">
        <f t="shared" si="14"/>
        <v>0</v>
      </c>
      <c r="O74" s="19"/>
      <c r="P74" s="18">
        <v>0</v>
      </c>
      <c r="Q74" s="16"/>
      <c r="R74" s="17"/>
      <c r="S74" s="18">
        <v>0</v>
      </c>
      <c r="T74" s="19"/>
      <c r="U74" s="18">
        <v>0</v>
      </c>
      <c r="V74" s="16"/>
      <c r="W74" s="17"/>
      <c r="X74" s="18">
        <f t="shared" si="15"/>
        <v>0</v>
      </c>
      <c r="Y74" s="19"/>
      <c r="Z74" s="19"/>
      <c r="AA74" s="18">
        <f t="shared" si="16"/>
        <v>0</v>
      </c>
      <c r="AB74" s="20">
        <f t="shared" si="17"/>
        <v>0</v>
      </c>
      <c r="AC74" s="5"/>
      <c r="AD74" s="8"/>
      <c r="AF74" s="6"/>
      <c r="AG74" s="7"/>
      <c r="AJ74" s="33"/>
      <c r="AK74" s="35"/>
      <c r="AL74" s="38"/>
    </row>
    <row r="75" spans="1:38" ht="17.25" customHeight="1">
      <c r="A75" s="25"/>
      <c r="B75" s="26"/>
      <c r="C75" s="14"/>
      <c r="D75" s="31"/>
      <c r="E75" s="14"/>
      <c r="F75" s="15" t="str">
        <f t="shared" si="12"/>
        <v xml:space="preserve">S/F  </v>
      </c>
      <c r="G75" s="16"/>
      <c r="H75" s="17">
        <v>21</v>
      </c>
      <c r="I75" s="18">
        <f t="shared" si="13"/>
        <v>0</v>
      </c>
      <c r="J75" s="17"/>
      <c r="K75" s="18"/>
      <c r="L75" s="16"/>
      <c r="M75" s="17"/>
      <c r="N75" s="18">
        <f t="shared" si="14"/>
        <v>0</v>
      </c>
      <c r="O75" s="19"/>
      <c r="P75" s="18">
        <v>0</v>
      </c>
      <c r="Q75" s="16"/>
      <c r="R75" s="17"/>
      <c r="S75" s="18">
        <v>0</v>
      </c>
      <c r="T75" s="19"/>
      <c r="U75" s="18">
        <v>0</v>
      </c>
      <c r="V75" s="16"/>
      <c r="W75" s="17"/>
      <c r="X75" s="18">
        <f t="shared" si="15"/>
        <v>0</v>
      </c>
      <c r="Y75" s="19"/>
      <c r="Z75" s="19"/>
      <c r="AA75" s="18">
        <f t="shared" si="16"/>
        <v>0</v>
      </c>
      <c r="AB75" s="20">
        <f t="shared" si="17"/>
        <v>0</v>
      </c>
      <c r="AC75" s="5"/>
      <c r="AD75" s="8"/>
      <c r="AF75" s="6"/>
      <c r="AG75" s="7"/>
      <c r="AJ75" s="33"/>
      <c r="AK75" s="35"/>
      <c r="AL75" s="38"/>
    </row>
    <row r="76" spans="1:38" ht="17.25" customHeight="1">
      <c r="A76" s="25"/>
      <c r="B76" s="26"/>
      <c r="C76" s="14"/>
      <c r="D76" s="31"/>
      <c r="E76" s="14"/>
      <c r="F76" s="15" t="str">
        <f t="shared" si="12"/>
        <v xml:space="preserve">S/F  </v>
      </c>
      <c r="G76" s="16"/>
      <c r="H76" s="17">
        <v>21</v>
      </c>
      <c r="I76" s="18">
        <f t="shared" si="13"/>
        <v>0</v>
      </c>
      <c r="J76" s="17"/>
      <c r="K76" s="18"/>
      <c r="L76" s="16"/>
      <c r="M76" s="17"/>
      <c r="N76" s="18">
        <f t="shared" si="14"/>
        <v>0</v>
      </c>
      <c r="O76" s="19"/>
      <c r="P76" s="18">
        <v>0</v>
      </c>
      <c r="Q76" s="16"/>
      <c r="R76" s="17"/>
      <c r="S76" s="18">
        <v>0</v>
      </c>
      <c r="T76" s="19"/>
      <c r="U76" s="18">
        <v>0</v>
      </c>
      <c r="V76" s="16"/>
      <c r="W76" s="17"/>
      <c r="X76" s="18">
        <f t="shared" si="15"/>
        <v>0</v>
      </c>
      <c r="Y76" s="19"/>
      <c r="Z76" s="19"/>
      <c r="AA76" s="18">
        <f t="shared" si="16"/>
        <v>0</v>
      </c>
      <c r="AB76" s="20">
        <f t="shared" si="17"/>
        <v>0</v>
      </c>
      <c r="AC76" s="5"/>
      <c r="AD76" s="8"/>
      <c r="AF76" s="6"/>
      <c r="AG76" s="7"/>
      <c r="AJ76" s="33"/>
      <c r="AK76" s="35"/>
      <c r="AL76" s="38"/>
    </row>
    <row r="77" spans="1:38" ht="17.25" customHeight="1">
      <c r="A77" s="25"/>
      <c r="B77" s="26"/>
      <c r="C77" s="14"/>
      <c r="D77" s="31"/>
      <c r="E77" s="14"/>
      <c r="F77" s="15" t="str">
        <f t="shared" si="12"/>
        <v xml:space="preserve">S/F  </v>
      </c>
      <c r="G77" s="16"/>
      <c r="H77" s="17">
        <v>21</v>
      </c>
      <c r="I77" s="18">
        <f t="shared" si="13"/>
        <v>0</v>
      </c>
      <c r="J77" s="17"/>
      <c r="K77" s="18"/>
      <c r="L77" s="16"/>
      <c r="M77" s="17"/>
      <c r="N77" s="18">
        <f t="shared" si="14"/>
        <v>0</v>
      </c>
      <c r="O77" s="19"/>
      <c r="P77" s="18">
        <v>0</v>
      </c>
      <c r="Q77" s="16"/>
      <c r="R77" s="17"/>
      <c r="S77" s="18">
        <v>0</v>
      </c>
      <c r="T77" s="19"/>
      <c r="U77" s="18">
        <v>0</v>
      </c>
      <c r="V77" s="16"/>
      <c r="W77" s="17"/>
      <c r="X77" s="18">
        <f t="shared" si="15"/>
        <v>0</v>
      </c>
      <c r="Y77" s="19"/>
      <c r="Z77" s="19"/>
      <c r="AA77" s="18">
        <f t="shared" si="16"/>
        <v>0</v>
      </c>
      <c r="AB77" s="20">
        <f t="shared" si="17"/>
        <v>0</v>
      </c>
      <c r="AC77" s="5"/>
      <c r="AD77" s="8"/>
      <c r="AF77" s="6"/>
      <c r="AG77" s="7"/>
      <c r="AJ77" s="33"/>
      <c r="AK77" s="35"/>
      <c r="AL77" s="38"/>
    </row>
    <row r="78" spans="1:38" ht="17.25" customHeight="1">
      <c r="A78" s="25"/>
      <c r="B78" s="26"/>
      <c r="C78" s="14"/>
      <c r="D78" s="26"/>
      <c r="E78" s="14"/>
      <c r="F78" s="15" t="str">
        <f t="shared" si="12"/>
        <v xml:space="preserve">S/F  </v>
      </c>
      <c r="G78" s="16"/>
      <c r="H78" s="17">
        <v>21</v>
      </c>
      <c r="I78" s="18">
        <f t="shared" si="13"/>
        <v>0</v>
      </c>
      <c r="J78" s="17"/>
      <c r="K78" s="18"/>
      <c r="L78" s="16"/>
      <c r="M78" s="17"/>
      <c r="N78" s="18">
        <f t="shared" si="14"/>
        <v>0</v>
      </c>
      <c r="O78" s="19"/>
      <c r="P78" s="18">
        <v>0</v>
      </c>
      <c r="Q78" s="16"/>
      <c r="R78" s="17"/>
      <c r="S78" s="18">
        <v>0</v>
      </c>
      <c r="T78" s="19"/>
      <c r="U78" s="18">
        <v>0</v>
      </c>
      <c r="V78" s="16"/>
      <c r="W78" s="17"/>
      <c r="X78" s="18">
        <f t="shared" si="15"/>
        <v>0</v>
      </c>
      <c r="Y78" s="19"/>
      <c r="Z78" s="19"/>
      <c r="AA78" s="18">
        <f t="shared" si="16"/>
        <v>0</v>
      </c>
      <c r="AB78" s="20">
        <f t="shared" si="17"/>
        <v>0</v>
      </c>
      <c r="AC78" s="5"/>
      <c r="AD78" s="8"/>
      <c r="AF78" s="6"/>
      <c r="AG78" s="7"/>
      <c r="AJ78" s="33"/>
      <c r="AK78" s="35"/>
      <c r="AL78" s="38"/>
    </row>
    <row r="79" spans="1:38" ht="17.25" customHeight="1">
      <c r="A79" s="25"/>
      <c r="B79" s="26"/>
      <c r="C79" s="14"/>
      <c r="D79" s="31"/>
      <c r="E79" s="14"/>
      <c r="F79" s="15" t="str">
        <f t="shared" si="12"/>
        <v xml:space="preserve">S/F  </v>
      </c>
      <c r="G79" s="16"/>
      <c r="H79" s="17">
        <v>21</v>
      </c>
      <c r="I79" s="18">
        <f t="shared" si="13"/>
        <v>0</v>
      </c>
      <c r="J79" s="17"/>
      <c r="K79" s="18"/>
      <c r="L79" s="16"/>
      <c r="M79" s="17"/>
      <c r="N79" s="18">
        <f t="shared" si="14"/>
        <v>0</v>
      </c>
      <c r="O79" s="19"/>
      <c r="P79" s="18">
        <v>0</v>
      </c>
      <c r="Q79" s="16"/>
      <c r="R79" s="17"/>
      <c r="S79" s="18">
        <v>0</v>
      </c>
      <c r="T79" s="19"/>
      <c r="U79" s="18">
        <v>0</v>
      </c>
      <c r="V79" s="16"/>
      <c r="W79" s="17"/>
      <c r="X79" s="18">
        <f t="shared" si="15"/>
        <v>0</v>
      </c>
      <c r="Y79" s="19"/>
      <c r="Z79" s="19"/>
      <c r="AA79" s="18">
        <f t="shared" si="16"/>
        <v>0</v>
      </c>
      <c r="AB79" s="20">
        <f t="shared" si="17"/>
        <v>0</v>
      </c>
      <c r="AC79" s="5"/>
      <c r="AD79" s="8"/>
      <c r="AF79" s="6"/>
      <c r="AG79" s="7"/>
      <c r="AJ79" s="33"/>
      <c r="AK79" s="35"/>
      <c r="AL79" s="38"/>
    </row>
    <row r="80" spans="1:38" ht="17.25" customHeight="1">
      <c r="A80" s="25"/>
      <c r="B80" s="26"/>
      <c r="C80" s="14"/>
      <c r="D80" s="31"/>
      <c r="E80" s="14"/>
      <c r="F80" s="15" t="str">
        <f t="shared" si="12"/>
        <v xml:space="preserve">S/F  </v>
      </c>
      <c r="G80" s="16"/>
      <c r="H80" s="17">
        <v>21</v>
      </c>
      <c r="I80" s="18">
        <f t="shared" si="13"/>
        <v>0</v>
      </c>
      <c r="J80" s="17"/>
      <c r="K80" s="18"/>
      <c r="L80" s="16"/>
      <c r="M80" s="17"/>
      <c r="N80" s="18">
        <f t="shared" si="14"/>
        <v>0</v>
      </c>
      <c r="O80" s="19"/>
      <c r="P80" s="18">
        <v>0</v>
      </c>
      <c r="Q80" s="16"/>
      <c r="R80" s="17"/>
      <c r="S80" s="18">
        <v>0</v>
      </c>
      <c r="T80" s="19"/>
      <c r="U80" s="18">
        <v>0</v>
      </c>
      <c r="V80" s="16"/>
      <c r="W80" s="17"/>
      <c r="X80" s="18">
        <f t="shared" si="15"/>
        <v>0</v>
      </c>
      <c r="Y80" s="19"/>
      <c r="Z80" s="19"/>
      <c r="AA80" s="18">
        <f t="shared" si="16"/>
        <v>0</v>
      </c>
      <c r="AB80" s="20">
        <f t="shared" si="17"/>
        <v>0</v>
      </c>
      <c r="AC80" s="5"/>
      <c r="AD80" s="8"/>
      <c r="AF80" s="6"/>
      <c r="AG80" s="7"/>
      <c r="AJ80" s="33"/>
      <c r="AK80" s="35"/>
      <c r="AL80" s="38"/>
    </row>
    <row r="81" spans="1:38" ht="17.25" customHeight="1">
      <c r="A81" s="25"/>
      <c r="B81" s="26"/>
      <c r="C81" s="14"/>
      <c r="D81" s="31"/>
      <c r="E81" s="14"/>
      <c r="F81" s="15" t="str">
        <f t="shared" si="12"/>
        <v xml:space="preserve">S/F  </v>
      </c>
      <c r="G81" s="16"/>
      <c r="H81" s="17">
        <v>21</v>
      </c>
      <c r="I81" s="18">
        <f t="shared" si="13"/>
        <v>0</v>
      </c>
      <c r="J81" s="17"/>
      <c r="K81" s="18"/>
      <c r="L81" s="16"/>
      <c r="M81" s="17"/>
      <c r="N81" s="18">
        <f t="shared" si="14"/>
        <v>0</v>
      </c>
      <c r="O81" s="19"/>
      <c r="P81" s="18">
        <v>0</v>
      </c>
      <c r="Q81" s="16"/>
      <c r="R81" s="17"/>
      <c r="S81" s="18">
        <v>0</v>
      </c>
      <c r="T81" s="19"/>
      <c r="U81" s="18">
        <v>0</v>
      </c>
      <c r="V81" s="16"/>
      <c r="W81" s="17"/>
      <c r="X81" s="18">
        <f t="shared" si="15"/>
        <v>0</v>
      </c>
      <c r="Y81" s="19"/>
      <c r="Z81" s="19"/>
      <c r="AA81" s="18">
        <f t="shared" si="16"/>
        <v>0</v>
      </c>
      <c r="AB81" s="20">
        <f t="shared" si="17"/>
        <v>0</v>
      </c>
      <c r="AC81" s="5"/>
      <c r="AD81" s="8"/>
      <c r="AF81" s="6"/>
      <c r="AG81" s="7"/>
      <c r="AJ81" s="33"/>
      <c r="AK81" s="35"/>
      <c r="AL81" s="38"/>
    </row>
    <row r="82" spans="1:38" ht="17.25" customHeight="1">
      <c r="A82" s="25"/>
      <c r="B82" s="26"/>
      <c r="C82" s="14"/>
      <c r="D82" s="31"/>
      <c r="E82" s="14"/>
      <c r="F82" s="15" t="str">
        <f t="shared" si="12"/>
        <v xml:space="preserve">S/F  </v>
      </c>
      <c r="G82" s="16"/>
      <c r="H82" s="17">
        <v>21</v>
      </c>
      <c r="I82" s="18">
        <f t="shared" si="13"/>
        <v>0</v>
      </c>
      <c r="J82" s="17"/>
      <c r="K82" s="18"/>
      <c r="L82" s="16"/>
      <c r="M82" s="17"/>
      <c r="N82" s="18">
        <f t="shared" si="14"/>
        <v>0</v>
      </c>
      <c r="O82" s="19"/>
      <c r="P82" s="18">
        <v>0</v>
      </c>
      <c r="Q82" s="16"/>
      <c r="R82" s="17"/>
      <c r="S82" s="18">
        <v>0</v>
      </c>
      <c r="T82" s="19"/>
      <c r="U82" s="18">
        <v>0</v>
      </c>
      <c r="V82" s="16"/>
      <c r="W82" s="17"/>
      <c r="X82" s="18">
        <f t="shared" si="15"/>
        <v>0</v>
      </c>
      <c r="Y82" s="19"/>
      <c r="Z82" s="19"/>
      <c r="AA82" s="18">
        <f t="shared" si="16"/>
        <v>0</v>
      </c>
      <c r="AB82" s="20">
        <f t="shared" si="17"/>
        <v>0</v>
      </c>
      <c r="AC82" s="5"/>
      <c r="AD82" s="8"/>
      <c r="AF82" s="6"/>
      <c r="AG82" s="7"/>
      <c r="AJ82" s="33"/>
      <c r="AK82" s="35"/>
      <c r="AL82" s="38"/>
    </row>
    <row r="83" spans="1:38" ht="17.25" customHeight="1">
      <c r="A83" s="25"/>
      <c r="B83" s="26"/>
      <c r="C83" s="14"/>
      <c r="D83" s="31"/>
      <c r="E83" s="14"/>
      <c r="F83" s="15" t="str">
        <f t="shared" si="12"/>
        <v xml:space="preserve">S/F  </v>
      </c>
      <c r="G83" s="16"/>
      <c r="H83" s="17">
        <v>21</v>
      </c>
      <c r="I83" s="18">
        <f t="shared" si="13"/>
        <v>0</v>
      </c>
      <c r="J83" s="17"/>
      <c r="K83" s="18"/>
      <c r="L83" s="16"/>
      <c r="M83" s="17"/>
      <c r="N83" s="18">
        <f t="shared" si="14"/>
        <v>0</v>
      </c>
      <c r="O83" s="19"/>
      <c r="P83" s="18">
        <v>0</v>
      </c>
      <c r="Q83" s="16"/>
      <c r="R83" s="17"/>
      <c r="S83" s="18">
        <v>0</v>
      </c>
      <c r="T83" s="19"/>
      <c r="U83" s="18">
        <v>0</v>
      </c>
      <c r="V83" s="16"/>
      <c r="W83" s="17"/>
      <c r="X83" s="18">
        <f t="shared" si="15"/>
        <v>0</v>
      </c>
      <c r="Y83" s="19"/>
      <c r="Z83" s="19"/>
      <c r="AA83" s="18">
        <f t="shared" si="16"/>
        <v>0</v>
      </c>
      <c r="AB83" s="20">
        <f t="shared" si="17"/>
        <v>0</v>
      </c>
      <c r="AC83" s="5"/>
      <c r="AD83" s="8"/>
      <c r="AF83" s="6"/>
      <c r="AG83" s="7"/>
      <c r="AJ83" s="33"/>
      <c r="AK83" s="35"/>
      <c r="AL83" s="38"/>
    </row>
    <row r="84" spans="1:38" ht="17.25" customHeight="1">
      <c r="A84" s="25"/>
      <c r="B84" s="26"/>
      <c r="C84" s="14"/>
      <c r="D84" s="31"/>
      <c r="E84" s="14"/>
      <c r="F84" s="15" t="str">
        <f t="shared" si="12"/>
        <v xml:space="preserve">S/F  </v>
      </c>
      <c r="G84" s="16"/>
      <c r="H84" s="17">
        <v>21</v>
      </c>
      <c r="I84" s="18">
        <f t="shared" si="13"/>
        <v>0</v>
      </c>
      <c r="J84" s="17"/>
      <c r="K84" s="18"/>
      <c r="L84" s="16"/>
      <c r="M84" s="17"/>
      <c r="N84" s="18">
        <f t="shared" si="14"/>
        <v>0</v>
      </c>
      <c r="O84" s="19"/>
      <c r="P84" s="18">
        <v>0</v>
      </c>
      <c r="Q84" s="16"/>
      <c r="R84" s="17"/>
      <c r="S84" s="18">
        <v>0</v>
      </c>
      <c r="T84" s="19"/>
      <c r="U84" s="18">
        <v>0</v>
      </c>
      <c r="V84" s="16"/>
      <c r="W84" s="17"/>
      <c r="X84" s="18">
        <f t="shared" si="15"/>
        <v>0</v>
      </c>
      <c r="Y84" s="19"/>
      <c r="Z84" s="19"/>
      <c r="AA84" s="18">
        <f t="shared" si="16"/>
        <v>0</v>
      </c>
      <c r="AB84" s="20">
        <f t="shared" si="17"/>
        <v>0</v>
      </c>
      <c r="AC84" s="5"/>
      <c r="AD84" s="8"/>
      <c r="AF84" s="6"/>
      <c r="AG84" s="7"/>
      <c r="AJ84" s="33"/>
      <c r="AK84" s="35"/>
      <c r="AL84" s="38"/>
    </row>
    <row r="85" spans="1:38" ht="17.25" customHeight="1">
      <c r="A85" s="25"/>
      <c r="B85" s="26"/>
      <c r="C85" s="14"/>
      <c r="D85" s="31"/>
      <c r="E85" s="14"/>
      <c r="F85" s="15" t="str">
        <f t="shared" si="12"/>
        <v xml:space="preserve">S/F  </v>
      </c>
      <c r="G85" s="16"/>
      <c r="H85" s="17">
        <v>21</v>
      </c>
      <c r="I85" s="18">
        <f t="shared" si="13"/>
        <v>0</v>
      </c>
      <c r="J85" s="17"/>
      <c r="K85" s="18"/>
      <c r="L85" s="16"/>
      <c r="M85" s="17"/>
      <c r="N85" s="18">
        <f t="shared" si="14"/>
        <v>0</v>
      </c>
      <c r="O85" s="19"/>
      <c r="P85" s="18">
        <v>0</v>
      </c>
      <c r="Q85" s="16"/>
      <c r="R85" s="17"/>
      <c r="S85" s="18">
        <v>0</v>
      </c>
      <c r="T85" s="19"/>
      <c r="U85" s="18">
        <v>0</v>
      </c>
      <c r="V85" s="16"/>
      <c r="W85" s="17"/>
      <c r="X85" s="18">
        <f t="shared" si="15"/>
        <v>0</v>
      </c>
      <c r="Y85" s="19"/>
      <c r="Z85" s="19"/>
      <c r="AA85" s="18">
        <f t="shared" si="16"/>
        <v>0</v>
      </c>
      <c r="AB85" s="20">
        <f t="shared" si="17"/>
        <v>0</v>
      </c>
      <c r="AC85" s="5"/>
      <c r="AD85" s="8"/>
      <c r="AF85" s="6"/>
      <c r="AG85" s="7"/>
      <c r="AJ85" s="33"/>
      <c r="AK85" s="35"/>
      <c r="AL85" s="38"/>
    </row>
    <row r="86" spans="1:38" ht="17.25" customHeight="1">
      <c r="A86" s="25"/>
      <c r="B86" s="26"/>
      <c r="C86" s="14"/>
      <c r="D86" s="31"/>
      <c r="E86" s="14"/>
      <c r="F86" s="15" t="str">
        <f t="shared" si="12"/>
        <v xml:space="preserve">S/F  </v>
      </c>
      <c r="G86" s="16"/>
      <c r="H86" s="17">
        <v>21</v>
      </c>
      <c r="I86" s="18">
        <f t="shared" si="13"/>
        <v>0</v>
      </c>
      <c r="J86" s="17"/>
      <c r="K86" s="18"/>
      <c r="L86" s="16"/>
      <c r="M86" s="17"/>
      <c r="N86" s="18">
        <f t="shared" si="14"/>
        <v>0</v>
      </c>
      <c r="O86" s="19"/>
      <c r="P86" s="18">
        <v>0</v>
      </c>
      <c r="Q86" s="16"/>
      <c r="R86" s="17"/>
      <c r="S86" s="18">
        <v>0</v>
      </c>
      <c r="T86" s="19"/>
      <c r="U86" s="18">
        <v>0</v>
      </c>
      <c r="V86" s="16"/>
      <c r="W86" s="17"/>
      <c r="X86" s="18">
        <f t="shared" si="15"/>
        <v>0</v>
      </c>
      <c r="Y86" s="19"/>
      <c r="Z86" s="19"/>
      <c r="AA86" s="18">
        <f t="shared" si="16"/>
        <v>0</v>
      </c>
      <c r="AB86" s="20">
        <f t="shared" si="17"/>
        <v>0</v>
      </c>
      <c r="AC86" s="5"/>
      <c r="AD86" s="8"/>
      <c r="AF86" s="6"/>
      <c r="AG86" s="7"/>
      <c r="AJ86" s="33"/>
      <c r="AK86" s="35"/>
      <c r="AL86" s="38"/>
    </row>
    <row r="87" spans="1:38" ht="17.25" customHeight="1">
      <c r="A87" s="25"/>
      <c r="B87" s="26"/>
      <c r="C87" s="14"/>
      <c r="D87" s="31"/>
      <c r="E87" s="14"/>
      <c r="F87" s="15" t="str">
        <f t="shared" si="12"/>
        <v xml:space="preserve">S/F  </v>
      </c>
      <c r="G87" s="16"/>
      <c r="H87" s="17">
        <v>21</v>
      </c>
      <c r="I87" s="18">
        <f t="shared" si="13"/>
        <v>0</v>
      </c>
      <c r="J87" s="17"/>
      <c r="K87" s="18"/>
      <c r="L87" s="16"/>
      <c r="M87" s="17"/>
      <c r="N87" s="18">
        <f t="shared" si="14"/>
        <v>0</v>
      </c>
      <c r="O87" s="19"/>
      <c r="P87" s="18">
        <v>0</v>
      </c>
      <c r="Q87" s="16"/>
      <c r="R87" s="17"/>
      <c r="S87" s="18">
        <v>0</v>
      </c>
      <c r="T87" s="19"/>
      <c r="U87" s="18">
        <v>0</v>
      </c>
      <c r="V87" s="16"/>
      <c r="W87" s="17"/>
      <c r="X87" s="18">
        <f t="shared" si="15"/>
        <v>0</v>
      </c>
      <c r="Y87" s="19"/>
      <c r="Z87" s="19"/>
      <c r="AA87" s="18">
        <f t="shared" si="16"/>
        <v>0</v>
      </c>
      <c r="AB87" s="20">
        <f t="shared" si="17"/>
        <v>0</v>
      </c>
      <c r="AC87" s="5"/>
      <c r="AD87" s="8"/>
      <c r="AF87" s="6"/>
      <c r="AG87" s="7"/>
      <c r="AJ87" s="33"/>
      <c r="AK87" s="35"/>
      <c r="AL87" s="38"/>
    </row>
    <row r="88" spans="1:38" ht="17.25" customHeight="1">
      <c r="A88" s="25"/>
      <c r="B88" s="26"/>
      <c r="C88" s="14"/>
      <c r="D88" s="31"/>
      <c r="E88" s="14"/>
      <c r="F88" s="15" t="str">
        <f t="shared" si="12"/>
        <v xml:space="preserve">S/F  </v>
      </c>
      <c r="G88" s="16"/>
      <c r="H88" s="17">
        <v>21</v>
      </c>
      <c r="I88" s="18">
        <f t="shared" si="13"/>
        <v>0</v>
      </c>
      <c r="J88" s="17"/>
      <c r="K88" s="18"/>
      <c r="L88" s="16"/>
      <c r="M88" s="17"/>
      <c r="N88" s="18">
        <f t="shared" si="14"/>
        <v>0</v>
      </c>
      <c r="O88" s="19"/>
      <c r="P88" s="18">
        <v>0</v>
      </c>
      <c r="Q88" s="16"/>
      <c r="R88" s="17"/>
      <c r="S88" s="18">
        <v>0</v>
      </c>
      <c r="T88" s="19"/>
      <c r="U88" s="18">
        <v>0</v>
      </c>
      <c r="V88" s="16"/>
      <c r="W88" s="17"/>
      <c r="X88" s="18">
        <f t="shared" si="15"/>
        <v>0</v>
      </c>
      <c r="Y88" s="19"/>
      <c r="Z88" s="19"/>
      <c r="AA88" s="18">
        <f t="shared" si="16"/>
        <v>0</v>
      </c>
      <c r="AB88" s="20">
        <f t="shared" si="17"/>
        <v>0</v>
      </c>
      <c r="AC88" s="5"/>
      <c r="AD88" s="8"/>
      <c r="AF88" s="6"/>
      <c r="AG88" s="7"/>
      <c r="AJ88" s="33"/>
      <c r="AK88" s="35"/>
      <c r="AL88" s="38"/>
    </row>
    <row r="89" spans="1:38" ht="17.25" customHeight="1">
      <c r="A89" s="25"/>
      <c r="B89" s="26"/>
      <c r="C89" s="14"/>
      <c r="D89" s="31"/>
      <c r="E89" s="14"/>
      <c r="F89" s="15" t="str">
        <f t="shared" si="12"/>
        <v xml:space="preserve">S/F  </v>
      </c>
      <c r="G89" s="16"/>
      <c r="H89" s="17">
        <v>21</v>
      </c>
      <c r="I89" s="18">
        <f t="shared" si="13"/>
        <v>0</v>
      </c>
      <c r="J89" s="17"/>
      <c r="K89" s="18"/>
      <c r="L89" s="16"/>
      <c r="M89" s="17"/>
      <c r="N89" s="18">
        <f t="shared" si="14"/>
        <v>0</v>
      </c>
      <c r="O89" s="19"/>
      <c r="P89" s="18">
        <v>0</v>
      </c>
      <c r="Q89" s="16"/>
      <c r="R89" s="17"/>
      <c r="S89" s="18">
        <v>0</v>
      </c>
      <c r="T89" s="19"/>
      <c r="U89" s="18">
        <v>0</v>
      </c>
      <c r="V89" s="16"/>
      <c r="W89" s="17"/>
      <c r="X89" s="18">
        <f t="shared" si="15"/>
        <v>0</v>
      </c>
      <c r="Y89" s="19"/>
      <c r="Z89" s="19"/>
      <c r="AA89" s="18">
        <f t="shared" si="16"/>
        <v>0</v>
      </c>
      <c r="AB89" s="20">
        <f t="shared" si="17"/>
        <v>0</v>
      </c>
      <c r="AC89" s="5"/>
      <c r="AD89" s="8"/>
      <c r="AF89" s="6"/>
      <c r="AG89" s="7"/>
      <c r="AJ89" s="33"/>
      <c r="AK89" s="35"/>
      <c r="AL89" s="38"/>
    </row>
    <row r="90" spans="1:38" ht="17.25" customHeight="1">
      <c r="A90" s="25"/>
      <c r="B90" s="26"/>
      <c r="C90" s="14"/>
      <c r="D90" s="31"/>
      <c r="E90" s="14"/>
      <c r="F90" s="15" t="str">
        <f t="shared" si="12"/>
        <v xml:space="preserve">S/F  </v>
      </c>
      <c r="G90" s="16"/>
      <c r="H90" s="17">
        <v>21</v>
      </c>
      <c r="I90" s="18">
        <f t="shared" si="13"/>
        <v>0</v>
      </c>
      <c r="J90" s="17"/>
      <c r="K90" s="18"/>
      <c r="L90" s="16"/>
      <c r="M90" s="17"/>
      <c r="N90" s="18">
        <f t="shared" si="14"/>
        <v>0</v>
      </c>
      <c r="O90" s="19"/>
      <c r="P90" s="18">
        <v>0</v>
      </c>
      <c r="Q90" s="16"/>
      <c r="R90" s="17"/>
      <c r="S90" s="18">
        <v>0</v>
      </c>
      <c r="T90" s="19"/>
      <c r="U90" s="18">
        <v>0</v>
      </c>
      <c r="V90" s="16"/>
      <c r="W90" s="17"/>
      <c r="X90" s="18">
        <f t="shared" si="15"/>
        <v>0</v>
      </c>
      <c r="Y90" s="19"/>
      <c r="Z90" s="19"/>
      <c r="AA90" s="18">
        <f t="shared" si="16"/>
        <v>0</v>
      </c>
      <c r="AB90" s="20">
        <f t="shared" si="17"/>
        <v>0</v>
      </c>
      <c r="AC90" s="5"/>
      <c r="AD90" s="8"/>
      <c r="AF90" s="6"/>
      <c r="AG90" s="7"/>
      <c r="AJ90" s="33"/>
      <c r="AK90" s="35"/>
      <c r="AL90" s="38"/>
    </row>
    <row r="91" spans="1:38" ht="17.25" customHeight="1">
      <c r="A91" s="25"/>
      <c r="B91" s="26"/>
      <c r="C91" s="14"/>
      <c r="D91" s="31"/>
      <c r="E91" s="14"/>
      <c r="F91" s="15" t="str">
        <f t="shared" si="12"/>
        <v xml:space="preserve">S/F  </v>
      </c>
      <c r="G91" s="16"/>
      <c r="H91" s="17">
        <v>21</v>
      </c>
      <c r="I91" s="18">
        <f t="shared" si="13"/>
        <v>0</v>
      </c>
      <c r="J91" s="17"/>
      <c r="K91" s="18"/>
      <c r="L91" s="16"/>
      <c r="M91" s="17"/>
      <c r="N91" s="18">
        <f t="shared" si="14"/>
        <v>0</v>
      </c>
      <c r="O91" s="19"/>
      <c r="P91" s="18">
        <v>0</v>
      </c>
      <c r="Q91" s="16"/>
      <c r="R91" s="17"/>
      <c r="S91" s="18">
        <v>0</v>
      </c>
      <c r="T91" s="19"/>
      <c r="U91" s="18">
        <v>0</v>
      </c>
      <c r="V91" s="16"/>
      <c r="W91" s="17"/>
      <c r="X91" s="18">
        <f t="shared" si="15"/>
        <v>0</v>
      </c>
      <c r="Y91" s="19"/>
      <c r="Z91" s="19"/>
      <c r="AA91" s="18">
        <f t="shared" si="16"/>
        <v>0</v>
      </c>
      <c r="AB91" s="20">
        <f t="shared" si="17"/>
        <v>0</v>
      </c>
      <c r="AC91" s="5"/>
      <c r="AD91" s="8"/>
      <c r="AF91" s="6"/>
      <c r="AG91" s="7"/>
      <c r="AJ91" s="33"/>
      <c r="AK91" s="35"/>
      <c r="AL91" s="38"/>
    </row>
    <row r="92" spans="1:38" ht="17.25" customHeight="1">
      <c r="A92" s="25"/>
      <c r="B92" s="26"/>
      <c r="C92" s="14"/>
      <c r="D92" s="26"/>
      <c r="E92" s="14"/>
      <c r="F92" s="15" t="str">
        <f t="shared" si="12"/>
        <v xml:space="preserve">S/F  </v>
      </c>
      <c r="G92" s="16"/>
      <c r="H92" s="17">
        <v>21</v>
      </c>
      <c r="I92" s="18">
        <f t="shared" si="13"/>
        <v>0</v>
      </c>
      <c r="J92" s="17"/>
      <c r="K92" s="18"/>
      <c r="L92" s="16"/>
      <c r="M92" s="17"/>
      <c r="N92" s="18">
        <f t="shared" si="14"/>
        <v>0</v>
      </c>
      <c r="O92" s="19"/>
      <c r="P92" s="18">
        <v>0</v>
      </c>
      <c r="Q92" s="16"/>
      <c r="R92" s="17"/>
      <c r="S92" s="18">
        <v>0</v>
      </c>
      <c r="T92" s="19"/>
      <c r="U92" s="18">
        <v>0</v>
      </c>
      <c r="V92" s="16"/>
      <c r="W92" s="17"/>
      <c r="X92" s="18">
        <f t="shared" si="15"/>
        <v>0</v>
      </c>
      <c r="Y92" s="19"/>
      <c r="Z92" s="19"/>
      <c r="AA92" s="18">
        <f t="shared" si="16"/>
        <v>0</v>
      </c>
      <c r="AB92" s="20">
        <f t="shared" si="17"/>
        <v>0</v>
      </c>
      <c r="AC92" s="5"/>
      <c r="AD92" s="8"/>
      <c r="AF92" s="6"/>
      <c r="AG92" s="7"/>
      <c r="AJ92" s="33"/>
      <c r="AK92" s="35"/>
      <c r="AL92" s="38"/>
    </row>
    <row r="93" spans="1:38" ht="17.25" customHeight="1">
      <c r="A93" s="25"/>
      <c r="B93" s="26"/>
      <c r="C93" s="14"/>
      <c r="D93" s="31"/>
      <c r="E93" s="14"/>
      <c r="F93" s="15" t="str">
        <f t="shared" si="12"/>
        <v xml:space="preserve">S/F  </v>
      </c>
      <c r="G93" s="16"/>
      <c r="H93" s="17">
        <v>21</v>
      </c>
      <c r="I93" s="18">
        <f t="shared" si="13"/>
        <v>0</v>
      </c>
      <c r="J93" s="17"/>
      <c r="K93" s="18"/>
      <c r="L93" s="16"/>
      <c r="M93" s="17"/>
      <c r="N93" s="18">
        <f t="shared" si="14"/>
        <v>0</v>
      </c>
      <c r="O93" s="19"/>
      <c r="P93" s="18">
        <v>0</v>
      </c>
      <c r="Q93" s="16"/>
      <c r="R93" s="17"/>
      <c r="S93" s="18">
        <v>0</v>
      </c>
      <c r="T93" s="19"/>
      <c r="U93" s="18">
        <v>0</v>
      </c>
      <c r="V93" s="16"/>
      <c r="W93" s="17"/>
      <c r="X93" s="18">
        <f t="shared" si="15"/>
        <v>0</v>
      </c>
      <c r="Y93" s="19"/>
      <c r="Z93" s="19"/>
      <c r="AA93" s="18">
        <f t="shared" si="16"/>
        <v>0</v>
      </c>
      <c r="AB93" s="20">
        <f t="shared" si="17"/>
        <v>0</v>
      </c>
      <c r="AC93" s="5"/>
      <c r="AD93" s="8"/>
      <c r="AF93" s="6"/>
      <c r="AG93" s="7"/>
      <c r="AJ93" s="33"/>
      <c r="AK93" s="35"/>
      <c r="AL93" s="38"/>
    </row>
    <row r="94" spans="1:38" ht="17.25" customHeight="1">
      <c r="A94" s="25"/>
      <c r="B94" s="26"/>
      <c r="C94" s="14"/>
      <c r="D94" s="31"/>
      <c r="E94" s="14"/>
      <c r="F94" s="15" t="str">
        <f t="shared" si="12"/>
        <v xml:space="preserve">S/F  </v>
      </c>
      <c r="G94" s="16"/>
      <c r="H94" s="17">
        <v>21</v>
      </c>
      <c r="I94" s="18">
        <f t="shared" si="13"/>
        <v>0</v>
      </c>
      <c r="J94" s="17"/>
      <c r="K94" s="18"/>
      <c r="L94" s="16"/>
      <c r="M94" s="17"/>
      <c r="N94" s="18">
        <f t="shared" si="14"/>
        <v>0</v>
      </c>
      <c r="O94" s="19"/>
      <c r="P94" s="18">
        <v>0</v>
      </c>
      <c r="Q94" s="16"/>
      <c r="R94" s="17"/>
      <c r="S94" s="18">
        <v>0</v>
      </c>
      <c r="T94" s="19"/>
      <c r="U94" s="18">
        <v>0</v>
      </c>
      <c r="V94" s="16"/>
      <c r="W94" s="17"/>
      <c r="X94" s="18">
        <f t="shared" si="15"/>
        <v>0</v>
      </c>
      <c r="Y94" s="19"/>
      <c r="Z94" s="19"/>
      <c r="AA94" s="18">
        <f t="shared" si="16"/>
        <v>0</v>
      </c>
      <c r="AB94" s="20">
        <f t="shared" si="17"/>
        <v>0</v>
      </c>
      <c r="AC94" s="5"/>
      <c r="AD94" s="8"/>
      <c r="AF94" s="6"/>
      <c r="AG94" s="7"/>
      <c r="AJ94" s="33"/>
      <c r="AK94" s="35"/>
      <c r="AL94" s="38"/>
    </row>
    <row r="95" spans="1:38" ht="17.25" customHeight="1">
      <c r="A95" s="25"/>
      <c r="B95" s="26"/>
      <c r="C95" s="14"/>
      <c r="D95" s="31"/>
      <c r="E95" s="14"/>
      <c r="F95" s="15" t="str">
        <f t="shared" si="12"/>
        <v xml:space="preserve">S/F  </v>
      </c>
      <c r="G95" s="16"/>
      <c r="H95" s="17">
        <v>21</v>
      </c>
      <c r="I95" s="18">
        <f t="shared" si="13"/>
        <v>0</v>
      </c>
      <c r="J95" s="17"/>
      <c r="K95" s="18"/>
      <c r="L95" s="16"/>
      <c r="M95" s="17"/>
      <c r="N95" s="18">
        <f t="shared" si="14"/>
        <v>0</v>
      </c>
      <c r="O95" s="19"/>
      <c r="P95" s="18">
        <v>0</v>
      </c>
      <c r="Q95" s="16"/>
      <c r="R95" s="17"/>
      <c r="S95" s="18">
        <v>0</v>
      </c>
      <c r="T95" s="19"/>
      <c r="U95" s="18">
        <v>0</v>
      </c>
      <c r="V95" s="16"/>
      <c r="W95" s="17"/>
      <c r="X95" s="18">
        <f t="shared" si="15"/>
        <v>0</v>
      </c>
      <c r="Y95" s="19"/>
      <c r="Z95" s="19"/>
      <c r="AA95" s="18">
        <f t="shared" si="16"/>
        <v>0</v>
      </c>
      <c r="AB95" s="20">
        <f t="shared" si="17"/>
        <v>0</v>
      </c>
      <c r="AC95" s="5"/>
      <c r="AD95" s="8"/>
      <c r="AF95" s="6"/>
      <c r="AG95" s="7"/>
      <c r="AJ95" s="33"/>
      <c r="AK95" s="35"/>
      <c r="AL95" s="38"/>
    </row>
    <row r="96" spans="1:38" ht="17.25" customHeight="1">
      <c r="A96" s="25"/>
      <c r="B96" s="26"/>
      <c r="C96" s="14"/>
      <c r="D96" s="31"/>
      <c r="E96" s="14"/>
      <c r="F96" s="15" t="str">
        <f t="shared" si="12"/>
        <v xml:space="preserve">S/F  </v>
      </c>
      <c r="G96" s="16"/>
      <c r="H96" s="17">
        <v>21</v>
      </c>
      <c r="I96" s="18">
        <f t="shared" si="13"/>
        <v>0</v>
      </c>
      <c r="J96" s="17"/>
      <c r="K96" s="18"/>
      <c r="L96" s="16"/>
      <c r="M96" s="17"/>
      <c r="N96" s="18">
        <f t="shared" si="14"/>
        <v>0</v>
      </c>
      <c r="O96" s="19"/>
      <c r="P96" s="18">
        <v>0</v>
      </c>
      <c r="Q96" s="16"/>
      <c r="R96" s="17"/>
      <c r="S96" s="18">
        <v>0</v>
      </c>
      <c r="T96" s="19"/>
      <c r="U96" s="18">
        <v>0</v>
      </c>
      <c r="V96" s="16"/>
      <c r="W96" s="17"/>
      <c r="X96" s="18">
        <f t="shared" si="15"/>
        <v>0</v>
      </c>
      <c r="Y96" s="19"/>
      <c r="Z96" s="19"/>
      <c r="AA96" s="18">
        <f t="shared" si="16"/>
        <v>0</v>
      </c>
      <c r="AB96" s="20">
        <f t="shared" si="17"/>
        <v>0</v>
      </c>
      <c r="AC96" s="5"/>
      <c r="AD96" s="8"/>
      <c r="AF96" s="6"/>
      <c r="AG96" s="7"/>
      <c r="AJ96" s="33"/>
      <c r="AK96" s="35"/>
      <c r="AL96" s="38"/>
    </row>
    <row r="97" spans="1:38" ht="17.25" customHeight="1">
      <c r="A97" s="25"/>
      <c r="B97" s="26"/>
      <c r="C97" s="14"/>
      <c r="D97" s="31"/>
      <c r="E97" s="14"/>
      <c r="F97" s="15" t="str">
        <f t="shared" si="12"/>
        <v xml:space="preserve">S/F  </v>
      </c>
      <c r="G97" s="16"/>
      <c r="H97" s="17">
        <v>21</v>
      </c>
      <c r="I97" s="18">
        <f t="shared" si="13"/>
        <v>0</v>
      </c>
      <c r="J97" s="17"/>
      <c r="K97" s="18"/>
      <c r="L97" s="16"/>
      <c r="M97" s="17"/>
      <c r="N97" s="18">
        <f t="shared" si="14"/>
        <v>0</v>
      </c>
      <c r="O97" s="19"/>
      <c r="P97" s="18">
        <v>0</v>
      </c>
      <c r="Q97" s="16"/>
      <c r="R97" s="17"/>
      <c r="S97" s="18">
        <v>0</v>
      </c>
      <c r="T97" s="19"/>
      <c r="U97" s="18">
        <v>0</v>
      </c>
      <c r="V97" s="16"/>
      <c r="W97" s="17"/>
      <c r="X97" s="18">
        <f t="shared" si="15"/>
        <v>0</v>
      </c>
      <c r="Y97" s="19"/>
      <c r="Z97" s="19"/>
      <c r="AA97" s="18">
        <f t="shared" si="16"/>
        <v>0</v>
      </c>
      <c r="AB97" s="20">
        <f t="shared" si="17"/>
        <v>0</v>
      </c>
      <c r="AC97" s="5"/>
      <c r="AD97" s="8"/>
      <c r="AF97" s="6"/>
      <c r="AG97" s="7"/>
      <c r="AJ97" s="33"/>
      <c r="AK97" s="35"/>
      <c r="AL97" s="38"/>
    </row>
    <row r="98" spans="1:38" ht="17.25" customHeight="1">
      <c r="A98" s="25"/>
      <c r="B98" s="26"/>
      <c r="C98" s="14"/>
      <c r="D98" s="31"/>
      <c r="E98" s="14"/>
      <c r="F98" s="15" t="str">
        <f t="shared" ref="F98:F129" si="18">"S/F "&amp;B98&amp;" "&amp;E98</f>
        <v xml:space="preserve">S/F  </v>
      </c>
      <c r="G98" s="16"/>
      <c r="H98" s="17">
        <v>21</v>
      </c>
      <c r="I98" s="18">
        <f t="shared" ref="I98:I129" si="19">+IF(G98&lt;&gt;0,G98*H98/100,0)</f>
        <v>0</v>
      </c>
      <c r="J98" s="17"/>
      <c r="K98" s="18"/>
      <c r="L98" s="16"/>
      <c r="M98" s="17"/>
      <c r="N98" s="18">
        <f t="shared" ref="N98:N129" si="20">+IF(L98&lt;&gt;0,L98*M98/100,0)</f>
        <v>0</v>
      </c>
      <c r="O98" s="19"/>
      <c r="P98" s="18">
        <v>0</v>
      </c>
      <c r="Q98" s="16"/>
      <c r="R98" s="17"/>
      <c r="S98" s="18">
        <v>0</v>
      </c>
      <c r="T98" s="19"/>
      <c r="U98" s="18">
        <v>0</v>
      </c>
      <c r="V98" s="16"/>
      <c r="W98" s="17"/>
      <c r="X98" s="18">
        <f t="shared" ref="X98:X129" si="21">+IF(W98&lt;&gt;0,V98*W98/100,0)</f>
        <v>0</v>
      </c>
      <c r="Y98" s="19"/>
      <c r="Z98" s="19"/>
      <c r="AA98" s="18">
        <f t="shared" ref="AA98:AA129" si="22">+IF(Z98&lt;&gt;0,Y98*Z98/100,0)</f>
        <v>0</v>
      </c>
      <c r="AB98" s="20">
        <f t="shared" ref="AB98:AB129" si="23">+G98+I98+K98+L98+N98+P98+Q98+S98+U98-X98-AA98</f>
        <v>0</v>
      </c>
      <c r="AC98" s="5"/>
      <c r="AD98" s="8"/>
      <c r="AF98" s="6"/>
      <c r="AG98" s="7"/>
      <c r="AJ98" s="33"/>
      <c r="AK98" s="35"/>
      <c r="AL98" s="38"/>
    </row>
    <row r="99" spans="1:38" ht="17.25" customHeight="1">
      <c r="A99" s="25"/>
      <c r="B99" s="26"/>
      <c r="C99" s="14"/>
      <c r="D99" s="31"/>
      <c r="E99" s="14"/>
      <c r="F99" s="15" t="str">
        <f t="shared" si="18"/>
        <v xml:space="preserve">S/F  </v>
      </c>
      <c r="G99" s="16"/>
      <c r="H99" s="17">
        <v>21</v>
      </c>
      <c r="I99" s="18">
        <f t="shared" si="19"/>
        <v>0</v>
      </c>
      <c r="J99" s="17"/>
      <c r="K99" s="18"/>
      <c r="L99" s="16"/>
      <c r="M99" s="17"/>
      <c r="N99" s="18">
        <f t="shared" si="20"/>
        <v>0</v>
      </c>
      <c r="O99" s="19"/>
      <c r="P99" s="18">
        <v>0</v>
      </c>
      <c r="Q99" s="16"/>
      <c r="R99" s="17"/>
      <c r="S99" s="18">
        <v>0</v>
      </c>
      <c r="T99" s="19"/>
      <c r="U99" s="18">
        <v>0</v>
      </c>
      <c r="V99" s="16"/>
      <c r="W99" s="17"/>
      <c r="X99" s="18">
        <f t="shared" si="21"/>
        <v>0</v>
      </c>
      <c r="Y99" s="19"/>
      <c r="Z99" s="19"/>
      <c r="AA99" s="18">
        <f t="shared" si="22"/>
        <v>0</v>
      </c>
      <c r="AB99" s="20">
        <f t="shared" si="23"/>
        <v>0</v>
      </c>
      <c r="AC99" s="5"/>
      <c r="AD99" s="8"/>
      <c r="AF99" s="6"/>
      <c r="AG99" s="7"/>
      <c r="AJ99" s="33"/>
      <c r="AK99" s="35"/>
      <c r="AL99" s="38"/>
    </row>
    <row r="100" spans="1:38" ht="17.25" customHeight="1">
      <c r="A100" s="25"/>
      <c r="B100" s="26"/>
      <c r="C100" s="14"/>
      <c r="D100" s="31"/>
      <c r="E100" s="14"/>
      <c r="F100" s="15" t="str">
        <f t="shared" si="18"/>
        <v xml:space="preserve">S/F  </v>
      </c>
      <c r="G100" s="16"/>
      <c r="H100" s="17">
        <v>21</v>
      </c>
      <c r="I100" s="18">
        <f t="shared" si="19"/>
        <v>0</v>
      </c>
      <c r="J100" s="17"/>
      <c r="K100" s="18"/>
      <c r="L100" s="16"/>
      <c r="M100" s="17"/>
      <c r="N100" s="18">
        <f t="shared" si="20"/>
        <v>0</v>
      </c>
      <c r="O100" s="19"/>
      <c r="P100" s="18">
        <v>0</v>
      </c>
      <c r="Q100" s="16"/>
      <c r="R100" s="17"/>
      <c r="S100" s="18">
        <v>0</v>
      </c>
      <c r="T100" s="19"/>
      <c r="U100" s="18">
        <v>0</v>
      </c>
      <c r="V100" s="16"/>
      <c r="W100" s="17"/>
      <c r="X100" s="18">
        <f t="shared" si="21"/>
        <v>0</v>
      </c>
      <c r="Y100" s="19"/>
      <c r="Z100" s="19"/>
      <c r="AA100" s="18">
        <f t="shared" si="22"/>
        <v>0</v>
      </c>
      <c r="AB100" s="20">
        <f t="shared" si="23"/>
        <v>0</v>
      </c>
      <c r="AC100" s="5"/>
      <c r="AD100" s="8"/>
      <c r="AF100" s="6"/>
      <c r="AG100" s="7"/>
      <c r="AJ100" s="33"/>
      <c r="AK100" s="35"/>
      <c r="AL100" s="38"/>
    </row>
    <row r="101" spans="1:38" ht="17.25" customHeight="1">
      <c r="A101" s="25"/>
      <c r="B101" s="26"/>
      <c r="C101" s="14"/>
      <c r="D101" s="31"/>
      <c r="E101" s="14"/>
      <c r="F101" s="15" t="str">
        <f t="shared" si="18"/>
        <v xml:space="preserve">S/F  </v>
      </c>
      <c r="G101" s="16"/>
      <c r="H101" s="17">
        <v>21</v>
      </c>
      <c r="I101" s="18">
        <f t="shared" si="19"/>
        <v>0</v>
      </c>
      <c r="J101" s="17"/>
      <c r="K101" s="18"/>
      <c r="L101" s="16"/>
      <c r="M101" s="17"/>
      <c r="N101" s="18">
        <f t="shared" si="20"/>
        <v>0</v>
      </c>
      <c r="O101" s="19"/>
      <c r="P101" s="18">
        <v>0</v>
      </c>
      <c r="Q101" s="16"/>
      <c r="R101" s="17"/>
      <c r="S101" s="18">
        <v>0</v>
      </c>
      <c r="T101" s="19"/>
      <c r="U101" s="18">
        <v>0</v>
      </c>
      <c r="V101" s="16"/>
      <c r="W101" s="17"/>
      <c r="X101" s="18">
        <f t="shared" si="21"/>
        <v>0</v>
      </c>
      <c r="Y101" s="19"/>
      <c r="Z101" s="19"/>
      <c r="AA101" s="18">
        <f t="shared" si="22"/>
        <v>0</v>
      </c>
      <c r="AB101" s="20">
        <f t="shared" si="23"/>
        <v>0</v>
      </c>
      <c r="AC101" s="5"/>
      <c r="AD101" s="8"/>
      <c r="AF101" s="6"/>
      <c r="AG101" s="7"/>
      <c r="AJ101" s="33"/>
      <c r="AK101" s="35"/>
      <c r="AL101" s="38"/>
    </row>
    <row r="102" spans="1:38" ht="17.25" customHeight="1">
      <c r="A102" s="25"/>
      <c r="B102" s="26"/>
      <c r="C102" s="14"/>
      <c r="D102" s="31"/>
      <c r="E102" s="14"/>
      <c r="F102" s="15" t="str">
        <f t="shared" si="18"/>
        <v xml:space="preserve">S/F  </v>
      </c>
      <c r="G102" s="16"/>
      <c r="H102" s="17">
        <v>21</v>
      </c>
      <c r="I102" s="18">
        <f t="shared" si="19"/>
        <v>0</v>
      </c>
      <c r="J102" s="17"/>
      <c r="K102" s="18"/>
      <c r="L102" s="16"/>
      <c r="M102" s="17"/>
      <c r="N102" s="18">
        <f t="shared" si="20"/>
        <v>0</v>
      </c>
      <c r="O102" s="19"/>
      <c r="P102" s="18">
        <v>0</v>
      </c>
      <c r="Q102" s="16"/>
      <c r="R102" s="17"/>
      <c r="S102" s="18">
        <v>0</v>
      </c>
      <c r="T102" s="19"/>
      <c r="U102" s="18">
        <v>0</v>
      </c>
      <c r="V102" s="16"/>
      <c r="W102" s="17"/>
      <c r="X102" s="18">
        <f t="shared" si="21"/>
        <v>0</v>
      </c>
      <c r="Y102" s="19"/>
      <c r="Z102" s="19"/>
      <c r="AA102" s="18">
        <f t="shared" si="22"/>
        <v>0</v>
      </c>
      <c r="AB102" s="20">
        <f t="shared" si="23"/>
        <v>0</v>
      </c>
      <c r="AC102" s="5"/>
      <c r="AD102" s="8"/>
      <c r="AF102" s="6"/>
      <c r="AG102" s="7"/>
      <c r="AJ102" s="33"/>
      <c r="AK102" s="35"/>
      <c r="AL102" s="38"/>
    </row>
    <row r="103" spans="1:38" ht="17.25" customHeight="1">
      <c r="A103" s="25"/>
      <c r="B103" s="26"/>
      <c r="C103" s="14"/>
      <c r="D103" s="31"/>
      <c r="E103" s="14"/>
      <c r="F103" s="15" t="str">
        <f t="shared" si="18"/>
        <v xml:space="preserve">S/F  </v>
      </c>
      <c r="G103" s="16"/>
      <c r="H103" s="17">
        <v>21</v>
      </c>
      <c r="I103" s="18">
        <f t="shared" si="19"/>
        <v>0</v>
      </c>
      <c r="J103" s="17"/>
      <c r="K103" s="18"/>
      <c r="L103" s="16"/>
      <c r="M103" s="17"/>
      <c r="N103" s="18">
        <f t="shared" si="20"/>
        <v>0</v>
      </c>
      <c r="O103" s="19"/>
      <c r="P103" s="18">
        <v>0</v>
      </c>
      <c r="Q103" s="16"/>
      <c r="R103" s="17"/>
      <c r="S103" s="18">
        <v>0</v>
      </c>
      <c r="T103" s="19"/>
      <c r="U103" s="18">
        <v>0</v>
      </c>
      <c r="V103" s="16"/>
      <c r="W103" s="17"/>
      <c r="X103" s="18">
        <f t="shared" si="21"/>
        <v>0</v>
      </c>
      <c r="Y103" s="19"/>
      <c r="Z103" s="19"/>
      <c r="AA103" s="18">
        <f t="shared" si="22"/>
        <v>0</v>
      </c>
      <c r="AB103" s="20">
        <f t="shared" si="23"/>
        <v>0</v>
      </c>
      <c r="AC103" s="5"/>
      <c r="AD103" s="8"/>
      <c r="AF103" s="6"/>
      <c r="AG103" s="7"/>
      <c r="AJ103" s="33"/>
      <c r="AK103" s="35"/>
      <c r="AL103" s="38"/>
    </row>
    <row r="104" spans="1:38" ht="17.25" customHeight="1">
      <c r="A104" s="25"/>
      <c r="B104" s="26"/>
      <c r="C104" s="14"/>
      <c r="D104" s="31"/>
      <c r="E104" s="14"/>
      <c r="F104" s="15" t="str">
        <f t="shared" si="18"/>
        <v xml:space="preserve">S/F  </v>
      </c>
      <c r="G104" s="16"/>
      <c r="H104" s="17">
        <v>21</v>
      </c>
      <c r="I104" s="18">
        <f t="shared" si="19"/>
        <v>0</v>
      </c>
      <c r="J104" s="17"/>
      <c r="K104" s="18"/>
      <c r="L104" s="16"/>
      <c r="M104" s="17"/>
      <c r="N104" s="18">
        <f t="shared" si="20"/>
        <v>0</v>
      </c>
      <c r="O104" s="19"/>
      <c r="P104" s="18">
        <v>0</v>
      </c>
      <c r="Q104" s="16"/>
      <c r="R104" s="17"/>
      <c r="S104" s="18">
        <v>0</v>
      </c>
      <c r="T104" s="19"/>
      <c r="U104" s="18">
        <v>0</v>
      </c>
      <c r="V104" s="16"/>
      <c r="W104" s="17"/>
      <c r="X104" s="18">
        <f t="shared" si="21"/>
        <v>0</v>
      </c>
      <c r="Y104" s="19"/>
      <c r="Z104" s="19"/>
      <c r="AA104" s="18">
        <f t="shared" si="22"/>
        <v>0</v>
      </c>
      <c r="AB104" s="20">
        <f t="shared" si="23"/>
        <v>0</v>
      </c>
      <c r="AC104" s="5"/>
      <c r="AD104" s="8"/>
      <c r="AF104" s="6"/>
      <c r="AG104" s="7"/>
      <c r="AJ104" s="33"/>
      <c r="AK104" s="35"/>
      <c r="AL104" s="38"/>
    </row>
    <row r="105" spans="1:38" ht="17.25" customHeight="1">
      <c r="A105" s="25"/>
      <c r="B105" s="26"/>
      <c r="C105" s="14"/>
      <c r="D105" s="31"/>
      <c r="E105" s="14"/>
      <c r="F105" s="15" t="str">
        <f t="shared" si="18"/>
        <v xml:space="preserve">S/F  </v>
      </c>
      <c r="G105" s="16"/>
      <c r="H105" s="17">
        <v>21</v>
      </c>
      <c r="I105" s="18">
        <f t="shared" si="19"/>
        <v>0</v>
      </c>
      <c r="J105" s="17"/>
      <c r="K105" s="18"/>
      <c r="L105" s="16"/>
      <c r="M105" s="17"/>
      <c r="N105" s="18">
        <f t="shared" si="20"/>
        <v>0</v>
      </c>
      <c r="O105" s="19"/>
      <c r="P105" s="18">
        <v>0</v>
      </c>
      <c r="Q105" s="16"/>
      <c r="R105" s="17"/>
      <c r="S105" s="18">
        <v>0</v>
      </c>
      <c r="T105" s="19"/>
      <c r="U105" s="18">
        <v>0</v>
      </c>
      <c r="V105" s="16"/>
      <c r="W105" s="17"/>
      <c r="X105" s="18">
        <f t="shared" si="21"/>
        <v>0</v>
      </c>
      <c r="Y105" s="19"/>
      <c r="Z105" s="19"/>
      <c r="AA105" s="18">
        <f t="shared" si="22"/>
        <v>0</v>
      </c>
      <c r="AB105" s="20">
        <f t="shared" si="23"/>
        <v>0</v>
      </c>
      <c r="AC105" s="5"/>
      <c r="AD105" s="8"/>
      <c r="AF105" s="6"/>
      <c r="AG105" s="7"/>
      <c r="AJ105" s="33"/>
      <c r="AK105" s="35"/>
      <c r="AL105" s="38"/>
    </row>
    <row r="106" spans="1:38" ht="17.25" customHeight="1">
      <c r="A106" s="25"/>
      <c r="B106" s="26"/>
      <c r="C106" s="14"/>
      <c r="D106" s="31"/>
      <c r="E106" s="14"/>
      <c r="F106" s="15" t="str">
        <f t="shared" si="18"/>
        <v xml:space="preserve">S/F  </v>
      </c>
      <c r="G106" s="16"/>
      <c r="H106" s="17">
        <v>21</v>
      </c>
      <c r="I106" s="18">
        <f t="shared" si="19"/>
        <v>0</v>
      </c>
      <c r="J106" s="17"/>
      <c r="K106" s="18"/>
      <c r="L106" s="16"/>
      <c r="M106" s="17"/>
      <c r="N106" s="18">
        <f t="shared" si="20"/>
        <v>0</v>
      </c>
      <c r="O106" s="19"/>
      <c r="P106" s="18">
        <v>0</v>
      </c>
      <c r="Q106" s="16"/>
      <c r="R106" s="17"/>
      <c r="S106" s="18">
        <v>0</v>
      </c>
      <c r="T106" s="19"/>
      <c r="U106" s="18">
        <v>0</v>
      </c>
      <c r="V106" s="16"/>
      <c r="W106" s="17"/>
      <c r="X106" s="18">
        <f t="shared" si="21"/>
        <v>0</v>
      </c>
      <c r="Y106" s="19"/>
      <c r="Z106" s="19"/>
      <c r="AA106" s="18">
        <f t="shared" si="22"/>
        <v>0</v>
      </c>
      <c r="AB106" s="20">
        <f t="shared" si="23"/>
        <v>0</v>
      </c>
      <c r="AC106" s="5"/>
      <c r="AD106" s="8"/>
      <c r="AF106" s="6"/>
      <c r="AG106" s="7"/>
      <c r="AJ106" s="33"/>
      <c r="AK106" s="35"/>
      <c r="AL106" s="38"/>
    </row>
    <row r="107" spans="1:38" ht="17.25" customHeight="1">
      <c r="A107" s="25"/>
      <c r="B107" s="26"/>
      <c r="C107" s="14"/>
      <c r="D107" s="31"/>
      <c r="E107" s="14"/>
      <c r="F107" s="15" t="str">
        <f t="shared" si="18"/>
        <v xml:space="preserve">S/F  </v>
      </c>
      <c r="G107" s="16"/>
      <c r="H107" s="17">
        <v>21</v>
      </c>
      <c r="I107" s="18">
        <f t="shared" si="19"/>
        <v>0</v>
      </c>
      <c r="J107" s="17"/>
      <c r="K107" s="18"/>
      <c r="L107" s="16"/>
      <c r="M107" s="17"/>
      <c r="N107" s="18">
        <f t="shared" si="20"/>
        <v>0</v>
      </c>
      <c r="O107" s="19"/>
      <c r="P107" s="18">
        <v>0</v>
      </c>
      <c r="Q107" s="16"/>
      <c r="R107" s="17"/>
      <c r="S107" s="18">
        <v>0</v>
      </c>
      <c r="T107" s="19"/>
      <c r="U107" s="18">
        <v>0</v>
      </c>
      <c r="V107" s="16"/>
      <c r="W107" s="17"/>
      <c r="X107" s="18">
        <f t="shared" si="21"/>
        <v>0</v>
      </c>
      <c r="Y107" s="19"/>
      <c r="Z107" s="19"/>
      <c r="AA107" s="18">
        <f t="shared" si="22"/>
        <v>0</v>
      </c>
      <c r="AB107" s="20">
        <f t="shared" si="23"/>
        <v>0</v>
      </c>
      <c r="AC107" s="5"/>
      <c r="AD107" s="8"/>
      <c r="AF107" s="6"/>
      <c r="AG107" s="7"/>
      <c r="AJ107" s="33"/>
      <c r="AK107" s="35"/>
      <c r="AL107" s="38"/>
    </row>
    <row r="108" spans="1:38" ht="17.25" customHeight="1">
      <c r="A108" s="25"/>
      <c r="B108" s="26"/>
      <c r="C108" s="14"/>
      <c r="D108" s="31"/>
      <c r="E108" s="14"/>
      <c r="F108" s="15" t="str">
        <f t="shared" si="18"/>
        <v xml:space="preserve">S/F  </v>
      </c>
      <c r="G108" s="16"/>
      <c r="H108" s="17">
        <v>21</v>
      </c>
      <c r="I108" s="18">
        <f t="shared" si="19"/>
        <v>0</v>
      </c>
      <c r="J108" s="17"/>
      <c r="K108" s="18"/>
      <c r="L108" s="16"/>
      <c r="M108" s="17"/>
      <c r="N108" s="18">
        <f t="shared" si="20"/>
        <v>0</v>
      </c>
      <c r="O108" s="19"/>
      <c r="P108" s="18">
        <v>0</v>
      </c>
      <c r="Q108" s="16"/>
      <c r="R108" s="17"/>
      <c r="S108" s="18">
        <v>0</v>
      </c>
      <c r="T108" s="19"/>
      <c r="U108" s="18">
        <v>0</v>
      </c>
      <c r="V108" s="16"/>
      <c r="W108" s="17"/>
      <c r="X108" s="18">
        <f t="shared" si="21"/>
        <v>0</v>
      </c>
      <c r="Y108" s="19"/>
      <c r="Z108" s="19"/>
      <c r="AA108" s="18">
        <f t="shared" si="22"/>
        <v>0</v>
      </c>
      <c r="AB108" s="20">
        <f t="shared" si="23"/>
        <v>0</v>
      </c>
      <c r="AC108" s="5"/>
      <c r="AD108" s="8"/>
      <c r="AF108" s="6"/>
      <c r="AG108" s="7"/>
      <c r="AJ108" s="33"/>
      <c r="AK108" s="35"/>
      <c r="AL108" s="38"/>
    </row>
    <row r="109" spans="1:38" ht="17.25" customHeight="1">
      <c r="A109" s="25"/>
      <c r="B109" s="26"/>
      <c r="C109" s="14"/>
      <c r="D109" s="31"/>
      <c r="E109" s="14"/>
      <c r="F109" s="15" t="str">
        <f t="shared" si="18"/>
        <v xml:space="preserve">S/F  </v>
      </c>
      <c r="G109" s="16"/>
      <c r="H109" s="17">
        <v>21</v>
      </c>
      <c r="I109" s="18">
        <f t="shared" si="19"/>
        <v>0</v>
      </c>
      <c r="J109" s="17"/>
      <c r="K109" s="18"/>
      <c r="L109" s="16"/>
      <c r="M109" s="17"/>
      <c r="N109" s="18">
        <f t="shared" si="20"/>
        <v>0</v>
      </c>
      <c r="O109" s="19"/>
      <c r="P109" s="18">
        <v>0</v>
      </c>
      <c r="Q109" s="16"/>
      <c r="R109" s="17"/>
      <c r="S109" s="18">
        <v>0</v>
      </c>
      <c r="T109" s="19"/>
      <c r="U109" s="18">
        <v>0</v>
      </c>
      <c r="V109" s="16"/>
      <c r="W109" s="17"/>
      <c r="X109" s="18">
        <f t="shared" si="21"/>
        <v>0</v>
      </c>
      <c r="Y109" s="19"/>
      <c r="Z109" s="19"/>
      <c r="AA109" s="18">
        <f t="shared" si="22"/>
        <v>0</v>
      </c>
      <c r="AB109" s="20">
        <f t="shared" si="23"/>
        <v>0</v>
      </c>
      <c r="AC109" s="5"/>
      <c r="AD109" s="8"/>
      <c r="AF109" s="6"/>
      <c r="AG109" s="7"/>
      <c r="AJ109" s="33"/>
      <c r="AK109" s="35"/>
      <c r="AL109" s="38"/>
    </row>
    <row r="110" spans="1:38" ht="17.25" customHeight="1">
      <c r="A110" s="25"/>
      <c r="B110" s="26"/>
      <c r="C110" s="14"/>
      <c r="D110" s="31"/>
      <c r="E110" s="14"/>
      <c r="F110" s="15" t="str">
        <f t="shared" si="18"/>
        <v xml:space="preserve">S/F  </v>
      </c>
      <c r="G110" s="16"/>
      <c r="H110" s="17">
        <v>21</v>
      </c>
      <c r="I110" s="18">
        <f t="shared" si="19"/>
        <v>0</v>
      </c>
      <c r="J110" s="17"/>
      <c r="K110" s="18"/>
      <c r="L110" s="16"/>
      <c r="M110" s="17"/>
      <c r="N110" s="18">
        <f t="shared" si="20"/>
        <v>0</v>
      </c>
      <c r="O110" s="19"/>
      <c r="P110" s="18">
        <v>0</v>
      </c>
      <c r="Q110" s="16"/>
      <c r="R110" s="17"/>
      <c r="S110" s="18">
        <v>0</v>
      </c>
      <c r="T110" s="19"/>
      <c r="U110" s="18">
        <v>0</v>
      </c>
      <c r="V110" s="16"/>
      <c r="W110" s="17"/>
      <c r="X110" s="18">
        <f t="shared" si="21"/>
        <v>0</v>
      </c>
      <c r="Y110" s="19"/>
      <c r="Z110" s="19"/>
      <c r="AA110" s="18">
        <f t="shared" si="22"/>
        <v>0</v>
      </c>
      <c r="AB110" s="20">
        <f t="shared" si="23"/>
        <v>0</v>
      </c>
      <c r="AC110" s="5"/>
      <c r="AD110" s="8"/>
      <c r="AF110" s="6"/>
      <c r="AG110" s="7"/>
      <c r="AJ110" s="33"/>
      <c r="AK110" s="35"/>
      <c r="AL110" s="38"/>
    </row>
    <row r="111" spans="1:38" ht="17.25" customHeight="1">
      <c r="A111" s="25"/>
      <c r="B111" s="26"/>
      <c r="C111" s="14"/>
      <c r="D111" s="31"/>
      <c r="E111" s="14"/>
      <c r="F111" s="15" t="str">
        <f t="shared" si="18"/>
        <v xml:space="preserve">S/F  </v>
      </c>
      <c r="G111" s="16"/>
      <c r="H111" s="17">
        <v>21</v>
      </c>
      <c r="I111" s="18">
        <f t="shared" si="19"/>
        <v>0</v>
      </c>
      <c r="J111" s="17"/>
      <c r="K111" s="18"/>
      <c r="L111" s="16"/>
      <c r="M111" s="17"/>
      <c r="N111" s="18">
        <f t="shared" si="20"/>
        <v>0</v>
      </c>
      <c r="O111" s="19"/>
      <c r="P111" s="18">
        <v>0</v>
      </c>
      <c r="Q111" s="16"/>
      <c r="R111" s="17"/>
      <c r="S111" s="18">
        <v>0</v>
      </c>
      <c r="T111" s="19"/>
      <c r="U111" s="18">
        <v>0</v>
      </c>
      <c r="V111" s="16"/>
      <c r="W111" s="17"/>
      <c r="X111" s="18">
        <f t="shared" si="21"/>
        <v>0</v>
      </c>
      <c r="Y111" s="19"/>
      <c r="Z111" s="19"/>
      <c r="AA111" s="18">
        <f t="shared" si="22"/>
        <v>0</v>
      </c>
      <c r="AB111" s="20">
        <f t="shared" si="23"/>
        <v>0</v>
      </c>
      <c r="AC111" s="5"/>
      <c r="AD111" s="8"/>
      <c r="AF111" s="6"/>
      <c r="AG111" s="7"/>
      <c r="AJ111" s="33"/>
      <c r="AK111" s="35"/>
      <c r="AL111" s="38"/>
    </row>
    <row r="112" spans="1:38" ht="17.25" customHeight="1">
      <c r="A112" s="25"/>
      <c r="B112" s="26"/>
      <c r="C112" s="14"/>
      <c r="D112" s="31"/>
      <c r="E112" s="14"/>
      <c r="F112" s="15" t="str">
        <f t="shared" si="18"/>
        <v xml:space="preserve">S/F  </v>
      </c>
      <c r="G112" s="16"/>
      <c r="H112" s="17">
        <v>21</v>
      </c>
      <c r="I112" s="18">
        <f t="shared" si="19"/>
        <v>0</v>
      </c>
      <c r="J112" s="17"/>
      <c r="K112" s="18"/>
      <c r="L112" s="16"/>
      <c r="M112" s="17"/>
      <c r="N112" s="18">
        <f t="shared" si="20"/>
        <v>0</v>
      </c>
      <c r="O112" s="19"/>
      <c r="P112" s="18">
        <v>0</v>
      </c>
      <c r="Q112" s="16"/>
      <c r="R112" s="17"/>
      <c r="S112" s="18">
        <v>0</v>
      </c>
      <c r="T112" s="19"/>
      <c r="U112" s="18">
        <v>0</v>
      </c>
      <c r="V112" s="16"/>
      <c r="W112" s="17"/>
      <c r="X112" s="18">
        <f t="shared" si="21"/>
        <v>0</v>
      </c>
      <c r="Y112" s="19"/>
      <c r="Z112" s="19"/>
      <c r="AA112" s="18">
        <f t="shared" si="22"/>
        <v>0</v>
      </c>
      <c r="AB112" s="20">
        <f t="shared" si="23"/>
        <v>0</v>
      </c>
      <c r="AC112" s="5"/>
      <c r="AD112" s="8"/>
      <c r="AF112" s="6"/>
      <c r="AG112" s="7"/>
      <c r="AJ112" s="33"/>
      <c r="AK112" s="35"/>
      <c r="AL112" s="38"/>
    </row>
    <row r="113" spans="1:38" ht="17.25" customHeight="1">
      <c r="A113" s="25"/>
      <c r="B113" s="26"/>
      <c r="C113" s="14"/>
      <c r="D113" s="31"/>
      <c r="E113" s="14"/>
      <c r="F113" s="15" t="str">
        <f t="shared" si="18"/>
        <v xml:space="preserve">S/F  </v>
      </c>
      <c r="G113" s="16"/>
      <c r="H113" s="17">
        <v>21</v>
      </c>
      <c r="I113" s="18">
        <f t="shared" si="19"/>
        <v>0</v>
      </c>
      <c r="J113" s="17"/>
      <c r="K113" s="18"/>
      <c r="L113" s="16"/>
      <c r="M113" s="17"/>
      <c r="N113" s="18">
        <f t="shared" si="20"/>
        <v>0</v>
      </c>
      <c r="O113" s="19"/>
      <c r="P113" s="18">
        <v>0</v>
      </c>
      <c r="Q113" s="16"/>
      <c r="R113" s="17"/>
      <c r="S113" s="18">
        <v>0</v>
      </c>
      <c r="T113" s="19"/>
      <c r="U113" s="18">
        <v>0</v>
      </c>
      <c r="V113" s="16"/>
      <c r="W113" s="17"/>
      <c r="X113" s="18">
        <f t="shared" si="21"/>
        <v>0</v>
      </c>
      <c r="Y113" s="19"/>
      <c r="Z113" s="19"/>
      <c r="AA113" s="18">
        <f t="shared" si="22"/>
        <v>0</v>
      </c>
      <c r="AB113" s="20">
        <f t="shared" si="23"/>
        <v>0</v>
      </c>
      <c r="AC113" s="5"/>
      <c r="AD113" s="8"/>
      <c r="AF113" s="6"/>
      <c r="AG113" s="7"/>
      <c r="AJ113" s="33"/>
      <c r="AK113" s="35"/>
      <c r="AL113" s="38"/>
    </row>
    <row r="114" spans="1:38" ht="17.25" customHeight="1">
      <c r="A114" s="25"/>
      <c r="B114" s="26"/>
      <c r="C114" s="14"/>
      <c r="D114" s="31"/>
      <c r="E114" s="14"/>
      <c r="F114" s="15" t="str">
        <f t="shared" si="18"/>
        <v xml:space="preserve">S/F  </v>
      </c>
      <c r="G114" s="16"/>
      <c r="H114" s="17">
        <v>21</v>
      </c>
      <c r="I114" s="18">
        <f t="shared" si="19"/>
        <v>0</v>
      </c>
      <c r="J114" s="17"/>
      <c r="K114" s="18"/>
      <c r="L114" s="16"/>
      <c r="M114" s="17"/>
      <c r="N114" s="18">
        <f t="shared" si="20"/>
        <v>0</v>
      </c>
      <c r="O114" s="19"/>
      <c r="P114" s="18">
        <v>0</v>
      </c>
      <c r="Q114" s="16"/>
      <c r="R114" s="17"/>
      <c r="S114" s="18">
        <v>0</v>
      </c>
      <c r="T114" s="19"/>
      <c r="U114" s="18">
        <v>0</v>
      </c>
      <c r="V114" s="16"/>
      <c r="W114" s="17"/>
      <c r="X114" s="18">
        <f t="shared" si="21"/>
        <v>0</v>
      </c>
      <c r="Y114" s="19"/>
      <c r="Z114" s="19"/>
      <c r="AA114" s="18">
        <f t="shared" si="22"/>
        <v>0</v>
      </c>
      <c r="AB114" s="20">
        <f t="shared" si="23"/>
        <v>0</v>
      </c>
      <c r="AC114" s="5"/>
      <c r="AD114" s="8"/>
      <c r="AF114" s="6"/>
      <c r="AG114" s="7"/>
      <c r="AJ114" s="33"/>
      <c r="AK114" s="35"/>
      <c r="AL114" s="38"/>
    </row>
    <row r="115" spans="1:38" ht="17.25" customHeight="1">
      <c r="A115" s="25"/>
      <c r="B115" s="26"/>
      <c r="C115" s="14"/>
      <c r="D115" s="31"/>
      <c r="E115" s="14"/>
      <c r="F115" s="15" t="str">
        <f t="shared" si="18"/>
        <v xml:space="preserve">S/F  </v>
      </c>
      <c r="G115" s="16"/>
      <c r="H115" s="17">
        <v>21</v>
      </c>
      <c r="I115" s="18">
        <f t="shared" si="19"/>
        <v>0</v>
      </c>
      <c r="J115" s="17"/>
      <c r="K115" s="18"/>
      <c r="L115" s="16"/>
      <c r="M115" s="17"/>
      <c r="N115" s="18">
        <f t="shared" si="20"/>
        <v>0</v>
      </c>
      <c r="O115" s="19"/>
      <c r="P115" s="18">
        <v>0</v>
      </c>
      <c r="Q115" s="16"/>
      <c r="R115" s="17"/>
      <c r="S115" s="18">
        <v>0</v>
      </c>
      <c r="T115" s="19"/>
      <c r="U115" s="18">
        <v>0</v>
      </c>
      <c r="V115" s="16"/>
      <c r="W115" s="17"/>
      <c r="X115" s="18">
        <f t="shared" si="21"/>
        <v>0</v>
      </c>
      <c r="Y115" s="19"/>
      <c r="Z115" s="19"/>
      <c r="AA115" s="18">
        <f t="shared" si="22"/>
        <v>0</v>
      </c>
      <c r="AB115" s="20">
        <f t="shared" si="23"/>
        <v>0</v>
      </c>
      <c r="AC115" s="5"/>
      <c r="AD115" s="8"/>
      <c r="AF115" s="6"/>
      <c r="AG115" s="7"/>
      <c r="AJ115" s="33"/>
      <c r="AK115" s="35"/>
      <c r="AL115" s="38"/>
    </row>
    <row r="116" spans="1:38" ht="17.25" customHeight="1">
      <c r="A116" s="25"/>
      <c r="B116" s="26"/>
      <c r="C116" s="14"/>
      <c r="D116" s="31"/>
      <c r="E116" s="14"/>
      <c r="F116" s="15" t="str">
        <f t="shared" si="18"/>
        <v xml:space="preserve">S/F  </v>
      </c>
      <c r="G116" s="16"/>
      <c r="H116" s="17">
        <v>21</v>
      </c>
      <c r="I116" s="18">
        <f t="shared" si="19"/>
        <v>0</v>
      </c>
      <c r="J116" s="17"/>
      <c r="K116" s="18"/>
      <c r="L116" s="16"/>
      <c r="M116" s="17"/>
      <c r="N116" s="18">
        <f t="shared" si="20"/>
        <v>0</v>
      </c>
      <c r="O116" s="19"/>
      <c r="P116" s="18">
        <v>0</v>
      </c>
      <c r="Q116" s="16"/>
      <c r="R116" s="17"/>
      <c r="S116" s="18">
        <v>0</v>
      </c>
      <c r="T116" s="19"/>
      <c r="U116" s="18">
        <v>0</v>
      </c>
      <c r="V116" s="16"/>
      <c r="W116" s="17"/>
      <c r="X116" s="18">
        <f t="shared" si="21"/>
        <v>0</v>
      </c>
      <c r="Y116" s="19"/>
      <c r="Z116" s="19"/>
      <c r="AA116" s="18">
        <f t="shared" si="22"/>
        <v>0</v>
      </c>
      <c r="AB116" s="20">
        <f t="shared" si="23"/>
        <v>0</v>
      </c>
      <c r="AC116" s="5"/>
      <c r="AD116" s="8"/>
      <c r="AF116" s="6"/>
      <c r="AG116" s="7"/>
      <c r="AJ116" s="33"/>
      <c r="AK116" s="35"/>
      <c r="AL116" s="38"/>
    </row>
    <row r="117" spans="1:38" ht="17.25" customHeight="1">
      <c r="A117" s="25"/>
      <c r="B117" s="26"/>
      <c r="C117" s="14"/>
      <c r="D117" s="31"/>
      <c r="E117" s="14"/>
      <c r="F117" s="15" t="str">
        <f t="shared" si="18"/>
        <v xml:space="preserve">S/F  </v>
      </c>
      <c r="G117" s="16"/>
      <c r="H117" s="17">
        <v>21</v>
      </c>
      <c r="I117" s="18">
        <f t="shared" si="19"/>
        <v>0</v>
      </c>
      <c r="J117" s="17"/>
      <c r="K117" s="18"/>
      <c r="L117" s="16"/>
      <c r="M117" s="17"/>
      <c r="N117" s="18">
        <f t="shared" si="20"/>
        <v>0</v>
      </c>
      <c r="O117" s="19"/>
      <c r="P117" s="18">
        <v>0</v>
      </c>
      <c r="Q117" s="16"/>
      <c r="R117" s="17"/>
      <c r="S117" s="18">
        <v>0</v>
      </c>
      <c r="T117" s="19"/>
      <c r="U117" s="18">
        <v>0</v>
      </c>
      <c r="V117" s="16"/>
      <c r="W117" s="17"/>
      <c r="X117" s="18">
        <f t="shared" si="21"/>
        <v>0</v>
      </c>
      <c r="Y117" s="19"/>
      <c r="Z117" s="19"/>
      <c r="AA117" s="18">
        <f t="shared" si="22"/>
        <v>0</v>
      </c>
      <c r="AB117" s="20">
        <f t="shared" si="23"/>
        <v>0</v>
      </c>
      <c r="AC117" s="5"/>
      <c r="AD117" s="8"/>
      <c r="AF117" s="6"/>
      <c r="AG117" s="7"/>
      <c r="AJ117" s="33"/>
      <c r="AK117" s="35"/>
      <c r="AL117" s="38"/>
    </row>
    <row r="118" spans="1:38" ht="17.25" customHeight="1">
      <c r="A118" s="25"/>
      <c r="B118" s="26"/>
      <c r="C118" s="14"/>
      <c r="D118" s="31"/>
      <c r="E118" s="14"/>
      <c r="F118" s="15" t="str">
        <f t="shared" si="18"/>
        <v xml:space="preserve">S/F  </v>
      </c>
      <c r="G118" s="16"/>
      <c r="H118" s="17">
        <v>21</v>
      </c>
      <c r="I118" s="18">
        <f t="shared" si="19"/>
        <v>0</v>
      </c>
      <c r="J118" s="17"/>
      <c r="K118" s="18"/>
      <c r="L118" s="16"/>
      <c r="M118" s="17"/>
      <c r="N118" s="18">
        <f t="shared" si="20"/>
        <v>0</v>
      </c>
      <c r="O118" s="19"/>
      <c r="P118" s="18">
        <v>0</v>
      </c>
      <c r="Q118" s="16"/>
      <c r="R118" s="17"/>
      <c r="S118" s="18">
        <v>0</v>
      </c>
      <c r="T118" s="19"/>
      <c r="U118" s="18">
        <v>0</v>
      </c>
      <c r="V118" s="16"/>
      <c r="W118" s="17"/>
      <c r="X118" s="18">
        <f t="shared" si="21"/>
        <v>0</v>
      </c>
      <c r="Y118" s="19"/>
      <c r="Z118" s="19"/>
      <c r="AA118" s="18">
        <f t="shared" si="22"/>
        <v>0</v>
      </c>
      <c r="AB118" s="20">
        <f t="shared" si="23"/>
        <v>0</v>
      </c>
      <c r="AC118" s="5"/>
      <c r="AD118" s="8"/>
      <c r="AF118" s="6"/>
      <c r="AG118" s="7"/>
      <c r="AJ118" s="33"/>
      <c r="AK118" s="35"/>
      <c r="AL118" s="38"/>
    </row>
    <row r="119" spans="1:38" ht="17.25" customHeight="1">
      <c r="A119" s="25"/>
      <c r="B119" s="26"/>
      <c r="C119" s="14"/>
      <c r="D119" s="31"/>
      <c r="E119" s="14"/>
      <c r="F119" s="15" t="str">
        <f t="shared" si="18"/>
        <v xml:space="preserve">S/F  </v>
      </c>
      <c r="G119" s="16"/>
      <c r="H119" s="17">
        <v>21</v>
      </c>
      <c r="I119" s="18">
        <f t="shared" si="19"/>
        <v>0</v>
      </c>
      <c r="J119" s="17"/>
      <c r="K119" s="18"/>
      <c r="L119" s="16"/>
      <c r="M119" s="17"/>
      <c r="N119" s="18">
        <f t="shared" si="20"/>
        <v>0</v>
      </c>
      <c r="O119" s="19"/>
      <c r="P119" s="18">
        <v>0</v>
      </c>
      <c r="Q119" s="16"/>
      <c r="R119" s="17"/>
      <c r="S119" s="18">
        <v>0</v>
      </c>
      <c r="T119" s="19"/>
      <c r="U119" s="18">
        <v>0</v>
      </c>
      <c r="V119" s="16"/>
      <c r="W119" s="17"/>
      <c r="X119" s="18">
        <f t="shared" si="21"/>
        <v>0</v>
      </c>
      <c r="Y119" s="19"/>
      <c r="Z119" s="19"/>
      <c r="AA119" s="18">
        <f t="shared" si="22"/>
        <v>0</v>
      </c>
      <c r="AB119" s="20">
        <f t="shared" si="23"/>
        <v>0</v>
      </c>
      <c r="AC119" s="5"/>
      <c r="AD119" s="8"/>
      <c r="AF119" s="6"/>
      <c r="AG119" s="7"/>
      <c r="AJ119" s="33"/>
      <c r="AK119" s="35"/>
      <c r="AL119" s="38"/>
    </row>
    <row r="120" spans="1:38" ht="17.25" customHeight="1">
      <c r="A120" s="25"/>
      <c r="B120" s="26"/>
      <c r="C120" s="14"/>
      <c r="D120" s="31"/>
      <c r="E120" s="14"/>
      <c r="F120" s="15" t="str">
        <f t="shared" si="18"/>
        <v xml:space="preserve">S/F  </v>
      </c>
      <c r="G120" s="16"/>
      <c r="H120" s="17">
        <v>21</v>
      </c>
      <c r="I120" s="18">
        <f t="shared" si="19"/>
        <v>0</v>
      </c>
      <c r="J120" s="17"/>
      <c r="K120" s="18"/>
      <c r="L120" s="16"/>
      <c r="M120" s="17"/>
      <c r="N120" s="18">
        <f t="shared" si="20"/>
        <v>0</v>
      </c>
      <c r="O120" s="19"/>
      <c r="P120" s="18">
        <v>0</v>
      </c>
      <c r="Q120" s="16"/>
      <c r="R120" s="17"/>
      <c r="S120" s="18">
        <v>0</v>
      </c>
      <c r="T120" s="19"/>
      <c r="U120" s="18">
        <v>0</v>
      </c>
      <c r="V120" s="16"/>
      <c r="W120" s="17"/>
      <c r="X120" s="18">
        <f t="shared" si="21"/>
        <v>0</v>
      </c>
      <c r="Y120" s="19"/>
      <c r="Z120" s="19"/>
      <c r="AA120" s="18">
        <f t="shared" si="22"/>
        <v>0</v>
      </c>
      <c r="AB120" s="20">
        <f t="shared" si="23"/>
        <v>0</v>
      </c>
      <c r="AC120" s="5"/>
      <c r="AD120" s="8"/>
      <c r="AF120" s="6"/>
      <c r="AG120" s="7"/>
      <c r="AJ120" s="33"/>
      <c r="AK120" s="35"/>
      <c r="AL120" s="38"/>
    </row>
    <row r="121" spans="1:38" ht="17.25" customHeight="1">
      <c r="A121" s="25"/>
      <c r="B121" s="26"/>
      <c r="C121" s="14"/>
      <c r="D121" s="31"/>
      <c r="E121" s="14"/>
      <c r="F121" s="15" t="str">
        <f t="shared" si="18"/>
        <v xml:space="preserve">S/F  </v>
      </c>
      <c r="G121" s="16"/>
      <c r="H121" s="17">
        <v>21</v>
      </c>
      <c r="I121" s="18">
        <f t="shared" si="19"/>
        <v>0</v>
      </c>
      <c r="J121" s="17"/>
      <c r="K121" s="18"/>
      <c r="L121" s="16"/>
      <c r="M121" s="17"/>
      <c r="N121" s="18">
        <f t="shared" si="20"/>
        <v>0</v>
      </c>
      <c r="O121" s="19"/>
      <c r="P121" s="18">
        <v>0</v>
      </c>
      <c r="Q121" s="16"/>
      <c r="R121" s="17"/>
      <c r="S121" s="18">
        <v>0</v>
      </c>
      <c r="T121" s="19"/>
      <c r="U121" s="18">
        <v>0</v>
      </c>
      <c r="V121" s="16"/>
      <c r="W121" s="17"/>
      <c r="X121" s="18">
        <f t="shared" si="21"/>
        <v>0</v>
      </c>
      <c r="Y121" s="19"/>
      <c r="Z121" s="19"/>
      <c r="AA121" s="18">
        <f t="shared" si="22"/>
        <v>0</v>
      </c>
      <c r="AB121" s="20">
        <f t="shared" si="23"/>
        <v>0</v>
      </c>
      <c r="AC121" s="5"/>
      <c r="AD121" s="8"/>
      <c r="AF121" s="6"/>
      <c r="AG121" s="7"/>
      <c r="AJ121" s="33"/>
      <c r="AK121" s="35"/>
      <c r="AL121" s="38"/>
    </row>
    <row r="122" spans="1:38" ht="17.25" customHeight="1">
      <c r="A122" s="25"/>
      <c r="B122" s="26"/>
      <c r="C122" s="14"/>
      <c r="D122" s="31"/>
      <c r="E122" s="14"/>
      <c r="F122" s="15" t="str">
        <f t="shared" si="18"/>
        <v xml:space="preserve">S/F  </v>
      </c>
      <c r="G122" s="16"/>
      <c r="H122" s="17">
        <v>21</v>
      </c>
      <c r="I122" s="18">
        <f t="shared" si="19"/>
        <v>0</v>
      </c>
      <c r="J122" s="17"/>
      <c r="K122" s="18"/>
      <c r="L122" s="16"/>
      <c r="M122" s="17"/>
      <c r="N122" s="18">
        <f t="shared" si="20"/>
        <v>0</v>
      </c>
      <c r="O122" s="19"/>
      <c r="P122" s="18">
        <v>0</v>
      </c>
      <c r="Q122" s="16"/>
      <c r="R122" s="17"/>
      <c r="S122" s="18">
        <v>0</v>
      </c>
      <c r="T122" s="19"/>
      <c r="U122" s="18">
        <v>0</v>
      </c>
      <c r="V122" s="16"/>
      <c r="W122" s="17"/>
      <c r="X122" s="18">
        <f t="shared" si="21"/>
        <v>0</v>
      </c>
      <c r="Y122" s="19"/>
      <c r="Z122" s="19"/>
      <c r="AA122" s="18">
        <f t="shared" si="22"/>
        <v>0</v>
      </c>
      <c r="AB122" s="20">
        <f t="shared" si="23"/>
        <v>0</v>
      </c>
      <c r="AC122" s="5"/>
      <c r="AD122" s="8"/>
      <c r="AF122" s="6"/>
      <c r="AG122" s="7"/>
      <c r="AJ122" s="33"/>
      <c r="AK122" s="35"/>
      <c r="AL122" s="38"/>
    </row>
    <row r="123" spans="1:38" ht="17.25" customHeight="1">
      <c r="A123" s="25"/>
      <c r="B123" s="26"/>
      <c r="C123" s="14"/>
      <c r="D123" s="31"/>
      <c r="E123" s="14"/>
      <c r="F123" s="15" t="str">
        <f t="shared" si="18"/>
        <v xml:space="preserve">S/F  </v>
      </c>
      <c r="G123" s="16"/>
      <c r="H123" s="17">
        <v>21</v>
      </c>
      <c r="I123" s="18">
        <f t="shared" si="19"/>
        <v>0</v>
      </c>
      <c r="J123" s="17"/>
      <c r="K123" s="18"/>
      <c r="L123" s="16"/>
      <c r="M123" s="17"/>
      <c r="N123" s="18">
        <f t="shared" si="20"/>
        <v>0</v>
      </c>
      <c r="O123" s="19"/>
      <c r="P123" s="18">
        <v>0</v>
      </c>
      <c r="Q123" s="16"/>
      <c r="R123" s="17"/>
      <c r="S123" s="18">
        <v>0</v>
      </c>
      <c r="T123" s="19"/>
      <c r="U123" s="18">
        <v>0</v>
      </c>
      <c r="V123" s="16"/>
      <c r="W123" s="17"/>
      <c r="X123" s="18">
        <f t="shared" si="21"/>
        <v>0</v>
      </c>
      <c r="Y123" s="19"/>
      <c r="Z123" s="19"/>
      <c r="AA123" s="18">
        <f t="shared" si="22"/>
        <v>0</v>
      </c>
      <c r="AB123" s="20">
        <f t="shared" si="23"/>
        <v>0</v>
      </c>
      <c r="AC123" s="5"/>
      <c r="AD123" s="8"/>
      <c r="AF123" s="6"/>
      <c r="AG123" s="7"/>
      <c r="AJ123" s="33"/>
      <c r="AK123" s="35"/>
      <c r="AL123" s="38"/>
    </row>
    <row r="124" spans="1:38" ht="17.25" customHeight="1">
      <c r="A124" s="25"/>
      <c r="B124" s="26"/>
      <c r="C124" s="14"/>
      <c r="D124" s="31"/>
      <c r="E124" s="14"/>
      <c r="F124" s="15" t="str">
        <f t="shared" si="18"/>
        <v xml:space="preserve">S/F  </v>
      </c>
      <c r="G124" s="16"/>
      <c r="H124" s="17">
        <v>21</v>
      </c>
      <c r="I124" s="18">
        <f t="shared" si="19"/>
        <v>0</v>
      </c>
      <c r="J124" s="17"/>
      <c r="K124" s="18"/>
      <c r="L124" s="16"/>
      <c r="M124" s="17"/>
      <c r="N124" s="18">
        <f t="shared" si="20"/>
        <v>0</v>
      </c>
      <c r="O124" s="19"/>
      <c r="P124" s="18">
        <v>0</v>
      </c>
      <c r="Q124" s="16"/>
      <c r="R124" s="17"/>
      <c r="S124" s="18">
        <v>0</v>
      </c>
      <c r="T124" s="19"/>
      <c r="U124" s="18">
        <v>0</v>
      </c>
      <c r="V124" s="16"/>
      <c r="W124" s="17"/>
      <c r="X124" s="18">
        <f t="shared" si="21"/>
        <v>0</v>
      </c>
      <c r="Y124" s="19"/>
      <c r="Z124" s="19"/>
      <c r="AA124" s="18">
        <f t="shared" si="22"/>
        <v>0</v>
      </c>
      <c r="AB124" s="20">
        <f t="shared" si="23"/>
        <v>0</v>
      </c>
      <c r="AC124" s="5"/>
      <c r="AD124" s="8"/>
      <c r="AF124" s="6"/>
      <c r="AG124" s="7"/>
      <c r="AJ124" s="33"/>
      <c r="AK124" s="35"/>
      <c r="AL124" s="38"/>
    </row>
    <row r="125" spans="1:38" ht="17.25" customHeight="1">
      <c r="A125" s="25"/>
      <c r="B125" s="26"/>
      <c r="C125" s="14"/>
      <c r="D125" s="31"/>
      <c r="E125" s="14"/>
      <c r="F125" s="15" t="str">
        <f t="shared" si="18"/>
        <v xml:space="preserve">S/F  </v>
      </c>
      <c r="G125" s="16"/>
      <c r="H125" s="17">
        <v>21</v>
      </c>
      <c r="I125" s="18">
        <f t="shared" si="19"/>
        <v>0</v>
      </c>
      <c r="J125" s="17"/>
      <c r="K125" s="18"/>
      <c r="L125" s="16"/>
      <c r="M125" s="17"/>
      <c r="N125" s="18">
        <f t="shared" si="20"/>
        <v>0</v>
      </c>
      <c r="O125" s="19"/>
      <c r="P125" s="18">
        <v>0</v>
      </c>
      <c r="Q125" s="16"/>
      <c r="R125" s="17"/>
      <c r="S125" s="18">
        <v>0</v>
      </c>
      <c r="T125" s="19"/>
      <c r="U125" s="18">
        <v>0</v>
      </c>
      <c r="V125" s="16"/>
      <c r="W125" s="17"/>
      <c r="X125" s="18">
        <f t="shared" si="21"/>
        <v>0</v>
      </c>
      <c r="Y125" s="19"/>
      <c r="Z125" s="19"/>
      <c r="AA125" s="18">
        <f t="shared" si="22"/>
        <v>0</v>
      </c>
      <c r="AB125" s="20">
        <f t="shared" si="23"/>
        <v>0</v>
      </c>
      <c r="AC125" s="5"/>
      <c r="AD125" s="8"/>
      <c r="AF125" s="6"/>
      <c r="AG125" s="7"/>
      <c r="AJ125" s="33"/>
      <c r="AK125" s="35"/>
      <c r="AL125" s="38"/>
    </row>
    <row r="126" spans="1:38" ht="17.25" customHeight="1">
      <c r="A126" s="25"/>
      <c r="B126" s="26"/>
      <c r="C126" s="14"/>
      <c r="D126" s="31"/>
      <c r="E126" s="14"/>
      <c r="F126" s="15" t="str">
        <f t="shared" si="18"/>
        <v xml:space="preserve">S/F  </v>
      </c>
      <c r="G126" s="16"/>
      <c r="H126" s="17">
        <v>21</v>
      </c>
      <c r="I126" s="18">
        <f t="shared" si="19"/>
        <v>0</v>
      </c>
      <c r="J126" s="17"/>
      <c r="K126" s="18"/>
      <c r="L126" s="16"/>
      <c r="M126" s="17"/>
      <c r="N126" s="18">
        <f t="shared" si="20"/>
        <v>0</v>
      </c>
      <c r="O126" s="19"/>
      <c r="P126" s="18">
        <v>0</v>
      </c>
      <c r="Q126" s="16"/>
      <c r="R126" s="17"/>
      <c r="S126" s="18">
        <v>0</v>
      </c>
      <c r="T126" s="19"/>
      <c r="U126" s="18">
        <v>0</v>
      </c>
      <c r="V126" s="16"/>
      <c r="W126" s="17"/>
      <c r="X126" s="18">
        <f t="shared" si="21"/>
        <v>0</v>
      </c>
      <c r="Y126" s="19"/>
      <c r="Z126" s="19"/>
      <c r="AA126" s="18">
        <f t="shared" si="22"/>
        <v>0</v>
      </c>
      <c r="AB126" s="20">
        <f t="shared" si="23"/>
        <v>0</v>
      </c>
      <c r="AC126" s="5"/>
      <c r="AD126" s="8"/>
      <c r="AF126" s="6"/>
      <c r="AG126" s="7"/>
      <c r="AJ126" s="33"/>
      <c r="AK126" s="35"/>
      <c r="AL126" s="38"/>
    </row>
    <row r="127" spans="1:38" ht="17.25" customHeight="1">
      <c r="A127" s="25"/>
      <c r="B127" s="26"/>
      <c r="C127" s="14"/>
      <c r="D127" s="31"/>
      <c r="E127" s="14"/>
      <c r="F127" s="15" t="str">
        <f t="shared" si="18"/>
        <v xml:space="preserve">S/F  </v>
      </c>
      <c r="G127" s="16"/>
      <c r="H127" s="17">
        <v>21</v>
      </c>
      <c r="I127" s="18">
        <f t="shared" si="19"/>
        <v>0</v>
      </c>
      <c r="J127" s="17"/>
      <c r="K127" s="18"/>
      <c r="L127" s="16"/>
      <c r="M127" s="17"/>
      <c r="N127" s="18">
        <f t="shared" si="20"/>
        <v>0</v>
      </c>
      <c r="O127" s="19"/>
      <c r="P127" s="18">
        <v>0</v>
      </c>
      <c r="Q127" s="16"/>
      <c r="R127" s="17"/>
      <c r="S127" s="18">
        <v>0</v>
      </c>
      <c r="T127" s="19"/>
      <c r="U127" s="18">
        <v>0</v>
      </c>
      <c r="V127" s="16"/>
      <c r="W127" s="17"/>
      <c r="X127" s="18">
        <f t="shared" si="21"/>
        <v>0</v>
      </c>
      <c r="Y127" s="19"/>
      <c r="Z127" s="19"/>
      <c r="AA127" s="18">
        <f t="shared" si="22"/>
        <v>0</v>
      </c>
      <c r="AB127" s="20">
        <f t="shared" si="23"/>
        <v>0</v>
      </c>
      <c r="AC127" s="5"/>
      <c r="AD127" s="8"/>
      <c r="AF127" s="6"/>
      <c r="AG127" s="7"/>
      <c r="AJ127" s="33"/>
      <c r="AK127" s="35"/>
      <c r="AL127" s="38"/>
    </row>
    <row r="128" spans="1:38" ht="17.25" customHeight="1">
      <c r="A128" s="25"/>
      <c r="B128" s="26"/>
      <c r="C128" s="14"/>
      <c r="D128" s="31"/>
      <c r="E128" s="14"/>
      <c r="F128" s="15" t="str">
        <f t="shared" si="18"/>
        <v xml:space="preserve">S/F  </v>
      </c>
      <c r="G128" s="16"/>
      <c r="H128" s="17">
        <v>21</v>
      </c>
      <c r="I128" s="18">
        <f t="shared" si="19"/>
        <v>0</v>
      </c>
      <c r="J128" s="17"/>
      <c r="K128" s="18"/>
      <c r="L128" s="16"/>
      <c r="M128" s="17"/>
      <c r="N128" s="18">
        <f t="shared" si="20"/>
        <v>0</v>
      </c>
      <c r="O128" s="19"/>
      <c r="P128" s="18">
        <v>0</v>
      </c>
      <c r="Q128" s="16"/>
      <c r="R128" s="17"/>
      <c r="S128" s="18">
        <v>0</v>
      </c>
      <c r="T128" s="19"/>
      <c r="U128" s="18">
        <v>0</v>
      </c>
      <c r="V128" s="16"/>
      <c r="W128" s="17"/>
      <c r="X128" s="18">
        <f t="shared" si="21"/>
        <v>0</v>
      </c>
      <c r="Y128" s="19"/>
      <c r="Z128" s="19"/>
      <c r="AA128" s="18">
        <f t="shared" si="22"/>
        <v>0</v>
      </c>
      <c r="AB128" s="20">
        <f t="shared" si="23"/>
        <v>0</v>
      </c>
      <c r="AC128" s="5"/>
      <c r="AD128" s="8"/>
      <c r="AF128" s="6"/>
      <c r="AG128" s="7"/>
      <c r="AJ128" s="33"/>
      <c r="AK128" s="35"/>
      <c r="AL128" s="38"/>
    </row>
    <row r="129" spans="1:38" ht="17.25" customHeight="1">
      <c r="A129" s="25"/>
      <c r="B129" s="26"/>
      <c r="C129" s="14"/>
      <c r="D129" s="31"/>
      <c r="E129" s="14"/>
      <c r="F129" s="15" t="str">
        <f t="shared" si="18"/>
        <v xml:space="preserve">S/F  </v>
      </c>
      <c r="G129" s="16"/>
      <c r="H129" s="17">
        <v>21</v>
      </c>
      <c r="I129" s="18">
        <f t="shared" si="19"/>
        <v>0</v>
      </c>
      <c r="J129" s="17"/>
      <c r="K129" s="18"/>
      <c r="L129" s="16"/>
      <c r="M129" s="17"/>
      <c r="N129" s="18">
        <f t="shared" si="20"/>
        <v>0</v>
      </c>
      <c r="O129" s="19"/>
      <c r="P129" s="18">
        <v>0</v>
      </c>
      <c r="Q129" s="16"/>
      <c r="R129" s="17"/>
      <c r="S129" s="18">
        <v>0</v>
      </c>
      <c r="T129" s="19"/>
      <c r="U129" s="18">
        <v>0</v>
      </c>
      <c r="V129" s="16"/>
      <c r="W129" s="17"/>
      <c r="X129" s="18">
        <f t="shared" si="21"/>
        <v>0</v>
      </c>
      <c r="Y129" s="19"/>
      <c r="Z129" s="19"/>
      <c r="AA129" s="18">
        <f t="shared" si="22"/>
        <v>0</v>
      </c>
      <c r="AB129" s="20">
        <f t="shared" si="23"/>
        <v>0</v>
      </c>
      <c r="AC129" s="5"/>
      <c r="AD129" s="8"/>
      <c r="AF129" s="6"/>
      <c r="AG129" s="7"/>
      <c r="AJ129" s="33"/>
      <c r="AK129" s="35"/>
      <c r="AL129" s="38"/>
    </row>
    <row r="130" spans="1:38" ht="17.25" customHeight="1">
      <c r="A130" s="25"/>
      <c r="B130" s="26"/>
      <c r="C130" s="14"/>
      <c r="D130" s="31"/>
      <c r="E130" s="14"/>
      <c r="F130" s="15" t="str">
        <f t="shared" ref="F130:F144" si="24">"S/F "&amp;B130&amp;" "&amp;E130</f>
        <v xml:space="preserve">S/F  </v>
      </c>
      <c r="G130" s="16"/>
      <c r="H130" s="17">
        <v>21</v>
      </c>
      <c r="I130" s="18">
        <f t="shared" ref="I130:I144" si="25">+IF(G130&lt;&gt;0,G130*H130/100,0)</f>
        <v>0</v>
      </c>
      <c r="J130" s="17"/>
      <c r="K130" s="18"/>
      <c r="L130" s="16"/>
      <c r="M130" s="17"/>
      <c r="N130" s="18">
        <f t="shared" ref="N130:N144" si="26">+IF(L130&lt;&gt;0,L130*M130/100,0)</f>
        <v>0</v>
      </c>
      <c r="O130" s="19"/>
      <c r="P130" s="18">
        <v>0</v>
      </c>
      <c r="Q130" s="16"/>
      <c r="R130" s="17"/>
      <c r="S130" s="18">
        <v>0</v>
      </c>
      <c r="T130" s="19"/>
      <c r="U130" s="18">
        <v>0</v>
      </c>
      <c r="V130" s="16"/>
      <c r="W130" s="17"/>
      <c r="X130" s="18">
        <f t="shared" ref="X130:X144" si="27">+IF(W130&lt;&gt;0,V130*W130/100,0)</f>
        <v>0</v>
      </c>
      <c r="Y130" s="19"/>
      <c r="Z130" s="19"/>
      <c r="AA130" s="18">
        <f t="shared" ref="AA130:AA144" si="28">+IF(Z130&lt;&gt;0,Y130*Z130/100,0)</f>
        <v>0</v>
      </c>
      <c r="AB130" s="20">
        <f t="shared" ref="AB130:AB144" si="29">+G130+I130+K130+L130+N130+P130+Q130+S130+U130-X130-AA130</f>
        <v>0</v>
      </c>
      <c r="AC130" s="5"/>
      <c r="AD130" s="8"/>
      <c r="AF130" s="6"/>
      <c r="AG130" s="7"/>
      <c r="AJ130" s="33"/>
      <c r="AK130" s="35"/>
      <c r="AL130" s="38"/>
    </row>
    <row r="131" spans="1:38" ht="17.25" customHeight="1">
      <c r="A131" s="25"/>
      <c r="B131" s="26"/>
      <c r="C131" s="14"/>
      <c r="D131" s="31"/>
      <c r="E131" s="14"/>
      <c r="F131" s="15" t="str">
        <f t="shared" si="24"/>
        <v xml:space="preserve">S/F  </v>
      </c>
      <c r="G131" s="16"/>
      <c r="H131" s="17">
        <v>21</v>
      </c>
      <c r="I131" s="18">
        <f t="shared" si="25"/>
        <v>0</v>
      </c>
      <c r="J131" s="17"/>
      <c r="K131" s="18"/>
      <c r="L131" s="16"/>
      <c r="M131" s="17"/>
      <c r="N131" s="18">
        <f t="shared" si="26"/>
        <v>0</v>
      </c>
      <c r="O131" s="19"/>
      <c r="P131" s="18">
        <v>0</v>
      </c>
      <c r="Q131" s="16"/>
      <c r="R131" s="17"/>
      <c r="S131" s="18">
        <v>0</v>
      </c>
      <c r="T131" s="19"/>
      <c r="U131" s="18">
        <v>0</v>
      </c>
      <c r="V131" s="16"/>
      <c r="W131" s="17"/>
      <c r="X131" s="18">
        <f t="shared" si="27"/>
        <v>0</v>
      </c>
      <c r="Y131" s="19"/>
      <c r="Z131" s="19"/>
      <c r="AA131" s="18">
        <f t="shared" si="28"/>
        <v>0</v>
      </c>
      <c r="AB131" s="20">
        <f t="shared" si="29"/>
        <v>0</v>
      </c>
      <c r="AC131" s="5"/>
      <c r="AD131" s="8"/>
      <c r="AF131" s="6"/>
      <c r="AG131" s="7"/>
      <c r="AJ131" s="33"/>
      <c r="AK131" s="35"/>
      <c r="AL131" s="38"/>
    </row>
    <row r="132" spans="1:38" ht="17.25" customHeight="1">
      <c r="A132" s="25"/>
      <c r="B132" s="26"/>
      <c r="C132" s="14"/>
      <c r="D132" s="31"/>
      <c r="E132" s="14"/>
      <c r="F132" s="15" t="str">
        <f t="shared" si="24"/>
        <v xml:space="preserve">S/F  </v>
      </c>
      <c r="G132" s="16"/>
      <c r="H132" s="17">
        <v>21</v>
      </c>
      <c r="I132" s="18">
        <f t="shared" si="25"/>
        <v>0</v>
      </c>
      <c r="J132" s="17"/>
      <c r="K132" s="18"/>
      <c r="L132" s="16"/>
      <c r="M132" s="17"/>
      <c r="N132" s="18">
        <f t="shared" si="26"/>
        <v>0</v>
      </c>
      <c r="O132" s="19"/>
      <c r="P132" s="18">
        <v>0</v>
      </c>
      <c r="Q132" s="16"/>
      <c r="R132" s="17"/>
      <c r="S132" s="18">
        <v>0</v>
      </c>
      <c r="T132" s="19"/>
      <c r="U132" s="18">
        <v>0</v>
      </c>
      <c r="V132" s="16"/>
      <c r="W132" s="17"/>
      <c r="X132" s="18">
        <f t="shared" si="27"/>
        <v>0</v>
      </c>
      <c r="Y132" s="19"/>
      <c r="Z132" s="19"/>
      <c r="AA132" s="18">
        <f t="shared" si="28"/>
        <v>0</v>
      </c>
      <c r="AB132" s="20">
        <f t="shared" si="29"/>
        <v>0</v>
      </c>
      <c r="AC132" s="5"/>
      <c r="AD132" s="8"/>
      <c r="AF132" s="6"/>
      <c r="AG132" s="7"/>
      <c r="AJ132" s="33"/>
      <c r="AK132" s="35"/>
      <c r="AL132" s="38"/>
    </row>
    <row r="133" spans="1:38" ht="17.25" customHeight="1">
      <c r="A133" s="25"/>
      <c r="B133" s="26"/>
      <c r="C133" s="14"/>
      <c r="D133" s="31"/>
      <c r="E133" s="14"/>
      <c r="F133" s="15" t="str">
        <f t="shared" si="24"/>
        <v xml:space="preserve">S/F  </v>
      </c>
      <c r="G133" s="16"/>
      <c r="H133" s="17">
        <v>21</v>
      </c>
      <c r="I133" s="18">
        <f t="shared" si="25"/>
        <v>0</v>
      </c>
      <c r="J133" s="17"/>
      <c r="K133" s="18"/>
      <c r="L133" s="16"/>
      <c r="M133" s="17"/>
      <c r="N133" s="18">
        <f t="shared" si="26"/>
        <v>0</v>
      </c>
      <c r="O133" s="19"/>
      <c r="P133" s="18">
        <v>0</v>
      </c>
      <c r="Q133" s="16"/>
      <c r="R133" s="17"/>
      <c r="S133" s="18">
        <v>0</v>
      </c>
      <c r="T133" s="19"/>
      <c r="U133" s="18">
        <v>0</v>
      </c>
      <c r="V133" s="16"/>
      <c r="W133" s="17"/>
      <c r="X133" s="18">
        <f t="shared" si="27"/>
        <v>0</v>
      </c>
      <c r="Y133" s="19"/>
      <c r="Z133" s="19"/>
      <c r="AA133" s="18">
        <f t="shared" si="28"/>
        <v>0</v>
      </c>
      <c r="AB133" s="20">
        <f t="shared" si="29"/>
        <v>0</v>
      </c>
      <c r="AC133" s="5"/>
      <c r="AD133" s="8"/>
      <c r="AF133" s="6"/>
      <c r="AG133" s="7"/>
      <c r="AJ133" s="33"/>
      <c r="AK133" s="35"/>
      <c r="AL133" s="38"/>
    </row>
    <row r="134" spans="1:38" ht="17.25" customHeight="1">
      <c r="A134" s="25"/>
      <c r="B134" s="26"/>
      <c r="C134" s="14"/>
      <c r="D134" s="31"/>
      <c r="E134" s="14"/>
      <c r="F134" s="15" t="str">
        <f t="shared" si="24"/>
        <v xml:space="preserve">S/F  </v>
      </c>
      <c r="G134" s="16"/>
      <c r="H134" s="17">
        <v>21</v>
      </c>
      <c r="I134" s="18">
        <f t="shared" si="25"/>
        <v>0</v>
      </c>
      <c r="J134" s="17"/>
      <c r="K134" s="18"/>
      <c r="L134" s="16"/>
      <c r="M134" s="17"/>
      <c r="N134" s="18">
        <f t="shared" si="26"/>
        <v>0</v>
      </c>
      <c r="O134" s="19"/>
      <c r="P134" s="18">
        <v>0</v>
      </c>
      <c r="Q134" s="16"/>
      <c r="R134" s="17"/>
      <c r="S134" s="18">
        <v>0</v>
      </c>
      <c r="T134" s="19"/>
      <c r="U134" s="18">
        <v>0</v>
      </c>
      <c r="V134" s="16"/>
      <c r="W134" s="17"/>
      <c r="X134" s="18">
        <f t="shared" si="27"/>
        <v>0</v>
      </c>
      <c r="Y134" s="19"/>
      <c r="Z134" s="19"/>
      <c r="AA134" s="18">
        <f t="shared" si="28"/>
        <v>0</v>
      </c>
      <c r="AB134" s="20">
        <f t="shared" si="29"/>
        <v>0</v>
      </c>
      <c r="AC134" s="5"/>
      <c r="AD134" s="8"/>
      <c r="AF134" s="6"/>
      <c r="AG134" s="7"/>
      <c r="AJ134" s="33"/>
      <c r="AK134" s="35"/>
      <c r="AL134" s="38"/>
    </row>
    <row r="135" spans="1:38" ht="17.25" customHeight="1">
      <c r="A135" s="25"/>
      <c r="B135" s="26"/>
      <c r="C135" s="14"/>
      <c r="D135" s="31"/>
      <c r="E135" s="14"/>
      <c r="F135" s="15" t="str">
        <f t="shared" si="24"/>
        <v xml:space="preserve">S/F  </v>
      </c>
      <c r="G135" s="16"/>
      <c r="H135" s="17">
        <v>21</v>
      </c>
      <c r="I135" s="18">
        <f t="shared" si="25"/>
        <v>0</v>
      </c>
      <c r="J135" s="17"/>
      <c r="K135" s="18"/>
      <c r="L135" s="16"/>
      <c r="M135" s="17"/>
      <c r="N135" s="18">
        <f t="shared" si="26"/>
        <v>0</v>
      </c>
      <c r="O135" s="19"/>
      <c r="P135" s="18">
        <v>0</v>
      </c>
      <c r="Q135" s="16"/>
      <c r="R135" s="17"/>
      <c r="S135" s="18">
        <v>0</v>
      </c>
      <c r="T135" s="19"/>
      <c r="U135" s="18">
        <v>0</v>
      </c>
      <c r="V135" s="16"/>
      <c r="W135" s="17"/>
      <c r="X135" s="18">
        <f t="shared" si="27"/>
        <v>0</v>
      </c>
      <c r="Y135" s="19"/>
      <c r="Z135" s="19"/>
      <c r="AA135" s="18">
        <f t="shared" si="28"/>
        <v>0</v>
      </c>
      <c r="AB135" s="20">
        <f t="shared" si="29"/>
        <v>0</v>
      </c>
      <c r="AC135" s="5"/>
      <c r="AD135" s="8"/>
      <c r="AF135" s="6"/>
      <c r="AG135" s="7"/>
      <c r="AJ135" s="33"/>
      <c r="AK135" s="35"/>
      <c r="AL135" s="38"/>
    </row>
    <row r="136" spans="1:38" ht="17.25" customHeight="1">
      <c r="A136" s="25"/>
      <c r="B136" s="26"/>
      <c r="C136" s="14"/>
      <c r="D136" s="31"/>
      <c r="E136" s="14"/>
      <c r="F136" s="15" t="str">
        <f t="shared" si="24"/>
        <v xml:space="preserve">S/F  </v>
      </c>
      <c r="G136" s="16"/>
      <c r="H136" s="17">
        <v>21</v>
      </c>
      <c r="I136" s="18">
        <f t="shared" si="25"/>
        <v>0</v>
      </c>
      <c r="J136" s="17"/>
      <c r="K136" s="18"/>
      <c r="L136" s="16"/>
      <c r="M136" s="17"/>
      <c r="N136" s="18">
        <f t="shared" si="26"/>
        <v>0</v>
      </c>
      <c r="O136" s="19"/>
      <c r="P136" s="18">
        <v>0</v>
      </c>
      <c r="Q136" s="16"/>
      <c r="R136" s="17"/>
      <c r="S136" s="18">
        <v>0</v>
      </c>
      <c r="T136" s="19"/>
      <c r="U136" s="18">
        <v>0</v>
      </c>
      <c r="V136" s="16"/>
      <c r="W136" s="17"/>
      <c r="X136" s="18">
        <f t="shared" si="27"/>
        <v>0</v>
      </c>
      <c r="Y136" s="19"/>
      <c r="Z136" s="19"/>
      <c r="AA136" s="18">
        <f t="shared" si="28"/>
        <v>0</v>
      </c>
      <c r="AB136" s="20">
        <f t="shared" si="29"/>
        <v>0</v>
      </c>
      <c r="AC136" s="5"/>
      <c r="AD136" s="8"/>
      <c r="AF136" s="6"/>
      <c r="AG136" s="7"/>
      <c r="AJ136" s="33"/>
      <c r="AK136" s="35"/>
      <c r="AL136" s="38"/>
    </row>
    <row r="137" spans="1:38" ht="17.25" customHeight="1">
      <c r="A137" s="25"/>
      <c r="B137" s="26"/>
      <c r="C137" s="14"/>
      <c r="D137" s="31"/>
      <c r="E137" s="14"/>
      <c r="F137" s="15" t="str">
        <f t="shared" si="24"/>
        <v xml:space="preserve">S/F  </v>
      </c>
      <c r="G137" s="16"/>
      <c r="H137" s="17">
        <v>21</v>
      </c>
      <c r="I137" s="18">
        <f t="shared" si="25"/>
        <v>0</v>
      </c>
      <c r="J137" s="17"/>
      <c r="K137" s="18"/>
      <c r="L137" s="16"/>
      <c r="M137" s="17"/>
      <c r="N137" s="18">
        <f t="shared" si="26"/>
        <v>0</v>
      </c>
      <c r="O137" s="19"/>
      <c r="P137" s="18">
        <v>0</v>
      </c>
      <c r="Q137" s="16"/>
      <c r="R137" s="17"/>
      <c r="S137" s="18">
        <v>0</v>
      </c>
      <c r="T137" s="19"/>
      <c r="U137" s="18">
        <v>0</v>
      </c>
      <c r="V137" s="16"/>
      <c r="W137" s="17"/>
      <c r="X137" s="18">
        <f t="shared" si="27"/>
        <v>0</v>
      </c>
      <c r="Y137" s="19"/>
      <c r="Z137" s="19"/>
      <c r="AA137" s="18">
        <f t="shared" si="28"/>
        <v>0</v>
      </c>
      <c r="AB137" s="20">
        <f t="shared" si="29"/>
        <v>0</v>
      </c>
      <c r="AC137" s="5"/>
      <c r="AD137" s="8"/>
      <c r="AF137" s="6"/>
      <c r="AG137" s="7"/>
      <c r="AJ137" s="33"/>
      <c r="AK137" s="35"/>
      <c r="AL137" s="38"/>
    </row>
    <row r="138" spans="1:38" ht="17.25" customHeight="1">
      <c r="A138" s="25"/>
      <c r="B138" s="26"/>
      <c r="C138" s="14"/>
      <c r="D138" s="31"/>
      <c r="E138" s="14"/>
      <c r="F138" s="15" t="str">
        <f t="shared" si="24"/>
        <v xml:space="preserve">S/F  </v>
      </c>
      <c r="G138" s="16"/>
      <c r="H138" s="17">
        <v>21</v>
      </c>
      <c r="I138" s="18">
        <f t="shared" si="25"/>
        <v>0</v>
      </c>
      <c r="J138" s="17"/>
      <c r="K138" s="18"/>
      <c r="L138" s="16"/>
      <c r="M138" s="17"/>
      <c r="N138" s="18">
        <f t="shared" si="26"/>
        <v>0</v>
      </c>
      <c r="O138" s="19"/>
      <c r="P138" s="18">
        <v>0</v>
      </c>
      <c r="Q138" s="16"/>
      <c r="R138" s="17"/>
      <c r="S138" s="18">
        <v>0</v>
      </c>
      <c r="T138" s="19"/>
      <c r="U138" s="18">
        <v>0</v>
      </c>
      <c r="V138" s="16"/>
      <c r="W138" s="17"/>
      <c r="X138" s="18">
        <f t="shared" si="27"/>
        <v>0</v>
      </c>
      <c r="Y138" s="19"/>
      <c r="Z138" s="19"/>
      <c r="AA138" s="18">
        <f t="shared" si="28"/>
        <v>0</v>
      </c>
      <c r="AB138" s="20">
        <f t="shared" si="29"/>
        <v>0</v>
      </c>
      <c r="AC138" s="5"/>
      <c r="AD138" s="8"/>
      <c r="AF138" s="6"/>
      <c r="AG138" s="7"/>
      <c r="AJ138" s="33"/>
      <c r="AK138" s="35"/>
      <c r="AL138" s="38"/>
    </row>
    <row r="139" spans="1:38" ht="17.25" customHeight="1">
      <c r="A139" s="25"/>
      <c r="B139" s="26"/>
      <c r="C139" s="14"/>
      <c r="D139" s="31"/>
      <c r="E139" s="14"/>
      <c r="F139" s="15" t="str">
        <f t="shared" si="24"/>
        <v xml:space="preserve">S/F  </v>
      </c>
      <c r="G139" s="16"/>
      <c r="H139" s="17">
        <v>21</v>
      </c>
      <c r="I139" s="18">
        <f t="shared" si="25"/>
        <v>0</v>
      </c>
      <c r="J139" s="17"/>
      <c r="K139" s="18"/>
      <c r="L139" s="16"/>
      <c r="M139" s="17"/>
      <c r="N139" s="18">
        <f t="shared" si="26"/>
        <v>0</v>
      </c>
      <c r="O139" s="19"/>
      <c r="P139" s="18">
        <v>0</v>
      </c>
      <c r="Q139" s="16"/>
      <c r="R139" s="17"/>
      <c r="S139" s="18">
        <v>0</v>
      </c>
      <c r="T139" s="19"/>
      <c r="U139" s="18">
        <v>0</v>
      </c>
      <c r="V139" s="16"/>
      <c r="W139" s="17"/>
      <c r="X139" s="18">
        <f t="shared" si="27"/>
        <v>0</v>
      </c>
      <c r="Y139" s="19"/>
      <c r="Z139" s="19"/>
      <c r="AA139" s="18">
        <f t="shared" si="28"/>
        <v>0</v>
      </c>
      <c r="AB139" s="20">
        <f t="shared" si="29"/>
        <v>0</v>
      </c>
      <c r="AC139" s="5"/>
      <c r="AD139" s="8"/>
      <c r="AF139" s="6"/>
      <c r="AG139" s="7"/>
      <c r="AJ139" s="33"/>
      <c r="AK139" s="35"/>
      <c r="AL139" s="38"/>
    </row>
    <row r="140" spans="1:38" ht="17.25" customHeight="1">
      <c r="A140" s="25"/>
      <c r="B140" s="26"/>
      <c r="C140" s="14"/>
      <c r="D140" s="31"/>
      <c r="E140" s="14"/>
      <c r="F140" s="15" t="str">
        <f t="shared" si="24"/>
        <v xml:space="preserve">S/F  </v>
      </c>
      <c r="G140" s="16"/>
      <c r="H140" s="17">
        <v>21</v>
      </c>
      <c r="I140" s="18">
        <f t="shared" si="25"/>
        <v>0</v>
      </c>
      <c r="J140" s="17"/>
      <c r="K140" s="18"/>
      <c r="L140" s="16"/>
      <c r="M140" s="17"/>
      <c r="N140" s="18">
        <f t="shared" si="26"/>
        <v>0</v>
      </c>
      <c r="O140" s="19"/>
      <c r="P140" s="18">
        <v>0</v>
      </c>
      <c r="Q140" s="16"/>
      <c r="R140" s="17"/>
      <c r="S140" s="18">
        <v>0</v>
      </c>
      <c r="T140" s="19"/>
      <c r="U140" s="18">
        <v>0</v>
      </c>
      <c r="V140" s="16"/>
      <c r="W140" s="17"/>
      <c r="X140" s="18">
        <f t="shared" si="27"/>
        <v>0</v>
      </c>
      <c r="Y140" s="19"/>
      <c r="Z140" s="19"/>
      <c r="AA140" s="18">
        <f t="shared" si="28"/>
        <v>0</v>
      </c>
      <c r="AB140" s="20">
        <f t="shared" si="29"/>
        <v>0</v>
      </c>
      <c r="AC140" s="5"/>
      <c r="AD140" s="8"/>
      <c r="AF140" s="6"/>
      <c r="AG140" s="7"/>
      <c r="AJ140" s="33"/>
      <c r="AK140" s="35"/>
      <c r="AL140" s="38"/>
    </row>
    <row r="141" spans="1:38" ht="17.25" customHeight="1">
      <c r="A141" s="25"/>
      <c r="B141" s="26"/>
      <c r="C141" s="14"/>
      <c r="D141" s="31"/>
      <c r="E141" s="14"/>
      <c r="F141" s="15" t="str">
        <f t="shared" si="24"/>
        <v xml:space="preserve">S/F  </v>
      </c>
      <c r="G141" s="16"/>
      <c r="H141" s="17">
        <v>21</v>
      </c>
      <c r="I141" s="18">
        <f t="shared" si="25"/>
        <v>0</v>
      </c>
      <c r="J141" s="17"/>
      <c r="K141" s="18"/>
      <c r="L141" s="16"/>
      <c r="M141" s="17"/>
      <c r="N141" s="18">
        <f t="shared" si="26"/>
        <v>0</v>
      </c>
      <c r="O141" s="19"/>
      <c r="P141" s="18">
        <v>0</v>
      </c>
      <c r="Q141" s="16"/>
      <c r="R141" s="17"/>
      <c r="S141" s="18">
        <v>0</v>
      </c>
      <c r="T141" s="19"/>
      <c r="U141" s="18">
        <v>0</v>
      </c>
      <c r="V141" s="16"/>
      <c r="W141" s="17"/>
      <c r="X141" s="18">
        <f t="shared" si="27"/>
        <v>0</v>
      </c>
      <c r="Y141" s="19"/>
      <c r="Z141" s="19"/>
      <c r="AA141" s="18">
        <f t="shared" si="28"/>
        <v>0</v>
      </c>
      <c r="AB141" s="20">
        <f t="shared" si="29"/>
        <v>0</v>
      </c>
      <c r="AC141" s="5"/>
      <c r="AD141" s="8"/>
      <c r="AF141" s="6"/>
      <c r="AG141" s="7"/>
      <c r="AJ141" s="33"/>
      <c r="AK141" s="35"/>
      <c r="AL141" s="38"/>
    </row>
    <row r="142" spans="1:38" ht="17.25" customHeight="1">
      <c r="A142" s="25"/>
      <c r="B142" s="26"/>
      <c r="C142" s="14"/>
      <c r="D142" s="31"/>
      <c r="E142" s="14"/>
      <c r="F142" s="15" t="str">
        <f t="shared" si="24"/>
        <v xml:space="preserve">S/F  </v>
      </c>
      <c r="G142" s="16"/>
      <c r="H142" s="17">
        <v>21</v>
      </c>
      <c r="I142" s="18">
        <f t="shared" si="25"/>
        <v>0</v>
      </c>
      <c r="J142" s="17"/>
      <c r="K142" s="18"/>
      <c r="L142" s="16"/>
      <c r="M142" s="17"/>
      <c r="N142" s="18">
        <f t="shared" si="26"/>
        <v>0</v>
      </c>
      <c r="O142" s="19"/>
      <c r="P142" s="18">
        <v>0</v>
      </c>
      <c r="Q142" s="16"/>
      <c r="R142" s="17"/>
      <c r="S142" s="18">
        <v>0</v>
      </c>
      <c r="T142" s="19"/>
      <c r="U142" s="18">
        <v>0</v>
      </c>
      <c r="V142" s="16"/>
      <c r="W142" s="17"/>
      <c r="X142" s="18">
        <f t="shared" si="27"/>
        <v>0</v>
      </c>
      <c r="Y142" s="19"/>
      <c r="Z142" s="19"/>
      <c r="AA142" s="18">
        <f t="shared" si="28"/>
        <v>0</v>
      </c>
      <c r="AB142" s="20">
        <f t="shared" si="29"/>
        <v>0</v>
      </c>
      <c r="AC142" s="5"/>
      <c r="AD142" s="8"/>
      <c r="AF142" s="6"/>
      <c r="AG142" s="7"/>
      <c r="AJ142" s="33"/>
      <c r="AK142" s="35"/>
      <c r="AL142" s="38"/>
    </row>
    <row r="143" spans="1:38" ht="17.25" customHeight="1">
      <c r="A143" s="25"/>
      <c r="B143" s="26"/>
      <c r="C143" s="14"/>
      <c r="D143" s="31"/>
      <c r="E143" s="14"/>
      <c r="F143" s="15" t="str">
        <f t="shared" si="24"/>
        <v xml:space="preserve">S/F  </v>
      </c>
      <c r="G143" s="16"/>
      <c r="H143" s="17">
        <v>21</v>
      </c>
      <c r="I143" s="18">
        <f t="shared" si="25"/>
        <v>0</v>
      </c>
      <c r="J143" s="17"/>
      <c r="K143" s="18"/>
      <c r="L143" s="16"/>
      <c r="M143" s="17"/>
      <c r="N143" s="18">
        <f t="shared" si="26"/>
        <v>0</v>
      </c>
      <c r="O143" s="19"/>
      <c r="P143" s="18">
        <v>0</v>
      </c>
      <c r="Q143" s="16"/>
      <c r="R143" s="17"/>
      <c r="S143" s="18">
        <v>0</v>
      </c>
      <c r="T143" s="19"/>
      <c r="U143" s="18">
        <v>0</v>
      </c>
      <c r="V143" s="16"/>
      <c r="W143" s="17"/>
      <c r="X143" s="18">
        <f t="shared" si="27"/>
        <v>0</v>
      </c>
      <c r="Y143" s="19"/>
      <c r="Z143" s="19"/>
      <c r="AA143" s="18">
        <f t="shared" si="28"/>
        <v>0</v>
      </c>
      <c r="AB143" s="20">
        <f t="shared" si="29"/>
        <v>0</v>
      </c>
      <c r="AC143" s="5"/>
      <c r="AD143" s="8"/>
      <c r="AF143" s="6"/>
      <c r="AG143" s="7"/>
      <c r="AJ143" s="33"/>
      <c r="AK143" s="35"/>
      <c r="AL143" s="38"/>
    </row>
    <row r="144" spans="1:38" ht="17.25" customHeight="1">
      <c r="A144" s="25"/>
      <c r="B144" s="26"/>
      <c r="C144" s="14"/>
      <c r="D144" s="31"/>
      <c r="E144" s="14"/>
      <c r="F144" s="15" t="str">
        <f t="shared" si="24"/>
        <v xml:space="preserve">S/F  </v>
      </c>
      <c r="G144" s="16"/>
      <c r="H144" s="17">
        <v>21</v>
      </c>
      <c r="I144" s="18">
        <f t="shared" si="25"/>
        <v>0</v>
      </c>
      <c r="J144" s="17"/>
      <c r="K144" s="18"/>
      <c r="L144" s="16"/>
      <c r="M144" s="17"/>
      <c r="N144" s="18">
        <f t="shared" si="26"/>
        <v>0</v>
      </c>
      <c r="O144" s="19"/>
      <c r="P144" s="18">
        <v>0</v>
      </c>
      <c r="Q144" s="16"/>
      <c r="R144" s="17"/>
      <c r="S144" s="18">
        <v>0</v>
      </c>
      <c r="T144" s="19"/>
      <c r="U144" s="18">
        <v>0</v>
      </c>
      <c r="V144" s="16"/>
      <c r="W144" s="17"/>
      <c r="X144" s="18">
        <f t="shared" si="27"/>
        <v>0</v>
      </c>
      <c r="Y144" s="19"/>
      <c r="Z144" s="19"/>
      <c r="AA144" s="18">
        <f t="shared" si="28"/>
        <v>0</v>
      </c>
      <c r="AB144" s="20">
        <f t="shared" si="29"/>
        <v>0</v>
      </c>
      <c r="AC144" s="5"/>
      <c r="AD144" s="8"/>
      <c r="AF144" s="6"/>
      <c r="AG144" s="7"/>
      <c r="AJ144" s="33"/>
      <c r="AK144" s="35"/>
      <c r="AL144" s="38"/>
    </row>
    <row r="145" spans="1:39" ht="17.25" customHeight="1">
      <c r="A145" s="25"/>
      <c r="B145" s="26"/>
      <c r="C145" s="14"/>
      <c r="D145" s="31"/>
      <c r="E145" s="14"/>
      <c r="F145" s="15" t="str">
        <f t="shared" ref="F145" si="30">"S/F "&amp;B145&amp;" "&amp;E145</f>
        <v xml:space="preserve">S/F  </v>
      </c>
      <c r="G145" s="16"/>
      <c r="H145" s="17">
        <v>21</v>
      </c>
      <c r="I145" s="18">
        <f t="shared" ref="I145" si="31">+IF(G145&lt;&gt;0,G145*H145/100,0)</f>
        <v>0</v>
      </c>
      <c r="J145" s="17"/>
      <c r="K145" s="18"/>
      <c r="L145" s="16"/>
      <c r="M145" s="17"/>
      <c r="N145" s="18">
        <f t="shared" ref="N145" si="32">+IF(L145&lt;&gt;0,L145*M145/100,0)</f>
        <v>0</v>
      </c>
      <c r="O145" s="19"/>
      <c r="P145" s="18">
        <v>0</v>
      </c>
      <c r="Q145" s="16"/>
      <c r="R145" s="17"/>
      <c r="S145" s="18">
        <v>0</v>
      </c>
      <c r="T145" s="19"/>
      <c r="U145" s="18">
        <v>0</v>
      </c>
      <c r="V145" s="16"/>
      <c r="W145" s="17"/>
      <c r="X145" s="18">
        <f t="shared" ref="X145" si="33">+IF(W145&lt;&gt;0,V145*W145/100,0)</f>
        <v>0</v>
      </c>
      <c r="Y145" s="19"/>
      <c r="Z145" s="19"/>
      <c r="AA145" s="18">
        <f t="shared" ref="AA145" si="34">+IF(Z145&lt;&gt;0,Y145*Z145/100,0)</f>
        <v>0</v>
      </c>
      <c r="AB145" s="20">
        <f t="shared" ref="AB145" si="35">+G145+I145+K145+L145+N145+P145+Q145+S145+U145-X145-AA145</f>
        <v>0</v>
      </c>
      <c r="AC145" s="5"/>
      <c r="AD145" s="8"/>
      <c r="AF145" s="6"/>
      <c r="AG145" s="7"/>
      <c r="AJ145" s="33"/>
      <c r="AK145" s="35"/>
      <c r="AL145" s="38"/>
    </row>
    <row r="146" spans="1:39" ht="17.25" customHeight="1">
      <c r="A146" s="25"/>
      <c r="B146" s="26"/>
      <c r="C146" s="14"/>
      <c r="D146" s="31"/>
      <c r="E146" s="14"/>
      <c r="F146" s="15" t="str">
        <f>"S/F "&amp;B146&amp;" "&amp;E146</f>
        <v xml:space="preserve">S/F  </v>
      </c>
      <c r="G146" s="16"/>
      <c r="H146" s="17">
        <v>21</v>
      </c>
      <c r="I146" s="18">
        <f>+IF(G146&lt;&gt;0,G146*H146/100,0)</f>
        <v>0</v>
      </c>
      <c r="J146" s="17"/>
      <c r="K146" s="18"/>
      <c r="L146" s="16"/>
      <c r="M146" s="17"/>
      <c r="N146" s="18">
        <f>+IF(L146&lt;&gt;0,L146*M146/100,0)</f>
        <v>0</v>
      </c>
      <c r="O146" s="19"/>
      <c r="P146" s="18">
        <v>0</v>
      </c>
      <c r="Q146" s="16"/>
      <c r="R146" s="17"/>
      <c r="S146" s="18">
        <v>0</v>
      </c>
      <c r="T146" s="19"/>
      <c r="U146" s="18">
        <v>0</v>
      </c>
      <c r="V146" s="16"/>
      <c r="W146" s="17"/>
      <c r="X146" s="18">
        <f>+IF(W146&lt;&gt;0,V146*W146/100,0)</f>
        <v>0</v>
      </c>
      <c r="Y146" s="19"/>
      <c r="Z146" s="19"/>
      <c r="AA146" s="18">
        <f>+IF(Z146&lt;&gt;0,Y146*Z146/100,0)</f>
        <v>0</v>
      </c>
      <c r="AB146" s="20">
        <f>+G146+I146+K146+L146+N146+P146+Q146+S146+U146-X146-AA146</f>
        <v>0</v>
      </c>
      <c r="AC146" s="5"/>
      <c r="AD146" s="8"/>
      <c r="AF146" s="6"/>
      <c r="AG146" s="7"/>
      <c r="AJ146" s="33"/>
      <c r="AK146" s="35"/>
      <c r="AL146" s="38"/>
    </row>
    <row r="147" spans="1:39" ht="17.25" customHeight="1">
      <c r="A147" s="25"/>
      <c r="B147" s="26"/>
      <c r="C147" s="14"/>
      <c r="D147" s="31"/>
      <c r="E147" s="14"/>
      <c r="F147" s="15" t="str">
        <f>"S/F "&amp;B147&amp;" "&amp;E147</f>
        <v xml:space="preserve">S/F  </v>
      </c>
      <c r="G147" s="16"/>
      <c r="H147" s="17">
        <v>21</v>
      </c>
      <c r="I147" s="18">
        <f>+IF(G147&lt;&gt;0,G147*H147/100,0)</f>
        <v>0</v>
      </c>
      <c r="J147" s="17"/>
      <c r="K147" s="18"/>
      <c r="L147" s="16"/>
      <c r="M147" s="17"/>
      <c r="N147" s="18">
        <f>+IF(L147&lt;&gt;0,L147*M147/100,0)</f>
        <v>0</v>
      </c>
      <c r="O147" s="19"/>
      <c r="P147" s="18">
        <v>0</v>
      </c>
      <c r="Q147" s="16"/>
      <c r="R147" s="17"/>
      <c r="S147" s="18">
        <v>0</v>
      </c>
      <c r="T147" s="19"/>
      <c r="U147" s="18">
        <v>0</v>
      </c>
      <c r="V147" s="16"/>
      <c r="W147" s="17"/>
      <c r="X147" s="18">
        <f>+IF(W147&lt;&gt;0,V147*W147/100,0)</f>
        <v>0</v>
      </c>
      <c r="Y147" s="19"/>
      <c r="Z147" s="19"/>
      <c r="AA147" s="18">
        <f>+IF(Z147&lt;&gt;0,Y147*Z147/100,0)</f>
        <v>0</v>
      </c>
      <c r="AB147" s="20">
        <f>+G147+I147+K147+L147+N147+P147+Q147+S147+U147-X147-AA147</f>
        <v>0</v>
      </c>
      <c r="AC147" s="5"/>
      <c r="AD147" s="8"/>
      <c r="AF147" s="6"/>
      <c r="AG147" s="7"/>
      <c r="AJ147" s="33"/>
      <c r="AK147" s="35"/>
      <c r="AL147" s="38"/>
    </row>
    <row r="148" spans="1:39" ht="17.25" customHeight="1">
      <c r="A148" s="25"/>
      <c r="B148" s="26"/>
      <c r="C148" s="14"/>
      <c r="D148" s="31"/>
      <c r="E148" s="14"/>
      <c r="F148" s="15" t="str">
        <f>"S/F "&amp;B148&amp;" "&amp;E148</f>
        <v xml:space="preserve">S/F  </v>
      </c>
      <c r="G148" s="16"/>
      <c r="H148" s="17">
        <v>21</v>
      </c>
      <c r="I148" s="18">
        <f>+IF(G148&lt;&gt;0,G148*H148/100,0)</f>
        <v>0</v>
      </c>
      <c r="J148" s="17"/>
      <c r="K148" s="18"/>
      <c r="L148" s="16"/>
      <c r="M148" s="17"/>
      <c r="N148" s="18">
        <f>+IF(L148&lt;&gt;0,L148*M148/100,0)</f>
        <v>0</v>
      </c>
      <c r="O148" s="19"/>
      <c r="P148" s="18">
        <v>0</v>
      </c>
      <c r="Q148" s="16"/>
      <c r="R148" s="17"/>
      <c r="S148" s="18">
        <v>0</v>
      </c>
      <c r="T148" s="19"/>
      <c r="U148" s="18">
        <v>0</v>
      </c>
      <c r="V148" s="16"/>
      <c r="W148" s="17"/>
      <c r="X148" s="18">
        <f>+IF(W148&lt;&gt;0,V148*W148/100,0)</f>
        <v>0</v>
      </c>
      <c r="Y148" s="19"/>
      <c r="Z148" s="19"/>
      <c r="AA148" s="18">
        <f>+IF(Z148&lt;&gt;0,Y148*Z148/100,0)</f>
        <v>0</v>
      </c>
      <c r="AB148" s="20">
        <f>+G148+I148+K148+L148+N148+P148+Q148+S148+U148-X148-AA148</f>
        <v>0</v>
      </c>
      <c r="AC148" s="5"/>
      <c r="AD148" s="8"/>
      <c r="AF148" s="6"/>
      <c r="AG148" s="7"/>
      <c r="AJ148" s="33"/>
      <c r="AK148" s="35"/>
      <c r="AL148" s="38"/>
    </row>
    <row r="149" spans="1:39" ht="17.25" customHeight="1">
      <c r="A149" s="25"/>
      <c r="B149" s="26"/>
      <c r="C149" s="14"/>
      <c r="D149" s="31"/>
      <c r="E149" s="14"/>
      <c r="F149" s="15" t="str">
        <f>"S/F "&amp;B149&amp;" "&amp;E149</f>
        <v xml:space="preserve">S/F  </v>
      </c>
      <c r="G149" s="16"/>
      <c r="H149" s="17">
        <v>21</v>
      </c>
      <c r="I149" s="18">
        <f>+IF(G149&lt;&gt;0,G149*H149/100,0)</f>
        <v>0</v>
      </c>
      <c r="J149" s="17"/>
      <c r="K149" s="18"/>
      <c r="L149" s="16"/>
      <c r="M149" s="17"/>
      <c r="N149" s="18">
        <f>+IF(L149&lt;&gt;0,L149*M149/100,0)</f>
        <v>0</v>
      </c>
      <c r="O149" s="19"/>
      <c r="P149" s="18">
        <v>0</v>
      </c>
      <c r="Q149" s="16"/>
      <c r="R149" s="17"/>
      <c r="S149" s="18">
        <v>0</v>
      </c>
      <c r="T149" s="19"/>
      <c r="U149" s="18">
        <v>0</v>
      </c>
      <c r="V149" s="16"/>
      <c r="W149" s="17"/>
      <c r="X149" s="18">
        <f>+IF(W149&lt;&gt;0,V149*W149/100,0)</f>
        <v>0</v>
      </c>
      <c r="Y149" s="19"/>
      <c r="Z149" s="19"/>
      <c r="AA149" s="18">
        <f>+IF(Z149&lt;&gt;0,Y149*Z149/100,0)</f>
        <v>0</v>
      </c>
      <c r="AB149" s="20">
        <f>+G149+I149+K149+L149+N149+P149+Q149+S149+U149-X149-AA149</f>
        <v>0</v>
      </c>
      <c r="AC149" s="5"/>
      <c r="AD149" s="8"/>
      <c r="AF149" s="6"/>
      <c r="AG149" s="7"/>
      <c r="AJ149" s="33"/>
      <c r="AK149" s="35"/>
      <c r="AL149" s="38"/>
    </row>
    <row r="150" spans="1:39" ht="17.25" customHeight="1">
      <c r="A150" s="25"/>
      <c r="B150" s="26"/>
      <c r="C150" s="14"/>
      <c r="D150" s="31"/>
      <c r="E150" s="14"/>
      <c r="F150" s="15" t="str">
        <f>"S/F "&amp;B150&amp;" "&amp;E150</f>
        <v xml:space="preserve">S/F  </v>
      </c>
      <c r="G150" s="16"/>
      <c r="H150" s="17">
        <v>21</v>
      </c>
      <c r="I150" s="18">
        <f>+IF(G150&lt;&gt;0,G150*H150/100,0)</f>
        <v>0</v>
      </c>
      <c r="J150" s="17"/>
      <c r="K150" s="18"/>
      <c r="L150" s="16"/>
      <c r="M150" s="17"/>
      <c r="N150" s="18">
        <f>+IF(L150&lt;&gt;0,L150*M150/100,0)</f>
        <v>0</v>
      </c>
      <c r="O150" s="19"/>
      <c r="P150" s="18">
        <v>0</v>
      </c>
      <c r="Q150" s="16"/>
      <c r="R150" s="17"/>
      <c r="S150" s="18">
        <v>0</v>
      </c>
      <c r="T150" s="19"/>
      <c r="U150" s="18">
        <v>0</v>
      </c>
      <c r="V150" s="16"/>
      <c r="W150" s="17"/>
      <c r="X150" s="18">
        <f>+IF(W150&lt;&gt;0,V150*W150/100,0)</f>
        <v>0</v>
      </c>
      <c r="Y150" s="19"/>
      <c r="Z150" s="19"/>
      <c r="AA150" s="18">
        <f>+IF(Z150&lt;&gt;0,Y150*Z150/100,0)</f>
        <v>0</v>
      </c>
      <c r="AB150" s="20">
        <f>+G150+I150+K150+L150+N150+P150+Q150+S150+U150-X150-AA150</f>
        <v>0</v>
      </c>
      <c r="AC150" s="5"/>
      <c r="AD150" s="8"/>
      <c r="AF150" s="6"/>
      <c r="AG150" s="7"/>
      <c r="AJ150" s="33"/>
      <c r="AK150" s="35"/>
      <c r="AL150" s="38"/>
    </row>
    <row r="151" spans="1:39" ht="17.25" customHeight="1">
      <c r="A151" s="25"/>
      <c r="B151" s="26"/>
      <c r="C151" s="14"/>
      <c r="D151" s="31"/>
      <c r="E151" s="14"/>
      <c r="F151" s="15" t="str">
        <f t="shared" ref="F151:F152" si="36">"S/F "&amp;B151&amp;" "&amp;E151</f>
        <v xml:space="preserve">S/F  </v>
      </c>
      <c r="G151" s="16"/>
      <c r="H151" s="17">
        <v>21</v>
      </c>
      <c r="I151" s="18">
        <f t="shared" ref="I151:I152" si="37">+IF(G151&lt;&gt;0,G151*H151/100,0)</f>
        <v>0</v>
      </c>
      <c r="J151" s="17"/>
      <c r="K151" s="18"/>
      <c r="L151" s="16"/>
      <c r="M151" s="17"/>
      <c r="N151" s="18">
        <f t="shared" ref="N151:N152" si="38">+IF(L151&lt;&gt;0,L151*M151/100,0)</f>
        <v>0</v>
      </c>
      <c r="O151" s="19"/>
      <c r="P151" s="18">
        <v>0</v>
      </c>
      <c r="Q151" s="16"/>
      <c r="R151" s="17"/>
      <c r="S151" s="18">
        <v>0</v>
      </c>
      <c r="T151" s="19"/>
      <c r="U151" s="18">
        <v>0</v>
      </c>
      <c r="V151" s="16"/>
      <c r="W151" s="17"/>
      <c r="X151" s="18">
        <f t="shared" ref="X151:X152" si="39">+IF(W151&lt;&gt;0,V151*W151/100,0)</f>
        <v>0</v>
      </c>
      <c r="Y151" s="19"/>
      <c r="Z151" s="19"/>
      <c r="AA151" s="18">
        <f t="shared" ref="AA151:AA152" si="40">+IF(Z151&lt;&gt;0,Y151*Z151/100,0)</f>
        <v>0</v>
      </c>
      <c r="AB151" s="20">
        <f t="shared" ref="AB151:AB152" si="41">+G151+I151+K151+L151+N151+P151+Q151+S151+U151-X151-AA151</f>
        <v>0</v>
      </c>
      <c r="AC151" s="5"/>
      <c r="AD151" s="8"/>
      <c r="AF151" s="6"/>
      <c r="AG151" s="7"/>
      <c r="AJ151" s="33"/>
      <c r="AK151" s="35"/>
      <c r="AL151" s="38"/>
      <c r="AM151" t="s">
        <v>40</v>
      </c>
    </row>
    <row r="152" spans="1:39" ht="17.25" customHeight="1">
      <c r="A152" s="25"/>
      <c r="B152" s="26"/>
      <c r="C152" s="14"/>
      <c r="D152" s="31"/>
      <c r="E152" s="14"/>
      <c r="F152" s="15" t="str">
        <f t="shared" si="36"/>
        <v xml:space="preserve">S/F  </v>
      </c>
      <c r="G152" s="16"/>
      <c r="H152" s="17">
        <v>21</v>
      </c>
      <c r="I152" s="18">
        <f t="shared" si="37"/>
        <v>0</v>
      </c>
      <c r="J152" s="17"/>
      <c r="K152" s="18"/>
      <c r="L152" s="16"/>
      <c r="M152" s="17"/>
      <c r="N152" s="18">
        <f t="shared" si="38"/>
        <v>0</v>
      </c>
      <c r="O152" s="19"/>
      <c r="P152" s="18">
        <v>0</v>
      </c>
      <c r="Q152" s="16"/>
      <c r="R152" s="17"/>
      <c r="S152" s="18">
        <v>0</v>
      </c>
      <c r="T152" s="19"/>
      <c r="U152" s="18">
        <v>0</v>
      </c>
      <c r="V152" s="16"/>
      <c r="W152" s="17"/>
      <c r="X152" s="18">
        <f t="shared" si="39"/>
        <v>0</v>
      </c>
      <c r="Y152" s="19"/>
      <c r="Z152" s="19"/>
      <c r="AA152" s="18">
        <f t="shared" si="40"/>
        <v>0</v>
      </c>
      <c r="AB152" s="20">
        <f t="shared" si="41"/>
        <v>0</v>
      </c>
      <c r="AC152" s="5"/>
      <c r="AD152" s="8"/>
      <c r="AF152" s="6"/>
      <c r="AG152" s="7"/>
      <c r="AJ152" s="33"/>
      <c r="AK152" s="35"/>
      <c r="AL152" s="38"/>
    </row>
    <row r="153" spans="1:39" ht="17.25" customHeight="1"/>
    <row r="154" spans="1:39" ht="17.25" customHeight="1"/>
    <row r="155" spans="1:39" ht="17.25" customHeight="1"/>
    <row r="156" spans="1:39" ht="17.25" customHeight="1"/>
    <row r="157" spans="1:39" ht="17.25" customHeight="1"/>
    <row r="158" spans="1:39" ht="17.25" customHeight="1"/>
    <row r="159" spans="1:39" ht="17.25" customHeight="1"/>
    <row r="160" spans="1:39" ht="17.25" customHeight="1"/>
    <row r="161" ht="17.25" customHeight="1"/>
    <row r="162" ht="17.25" customHeight="1"/>
    <row r="163" ht="17.25" customHeight="1"/>
    <row r="164" ht="17.25" customHeight="1"/>
    <row r="165" ht="17.25" customHeight="1"/>
    <row r="166" ht="17.25" customHeight="1"/>
    <row r="167" ht="17.25" customHeight="1"/>
    <row r="168" ht="17.25" customHeight="1"/>
    <row r="169" ht="17.25" customHeight="1"/>
    <row r="170" ht="17.25" customHeight="1"/>
    <row r="171" ht="17.25" customHeight="1"/>
    <row r="172" ht="17.25" customHeight="1"/>
    <row r="173" ht="17.25" customHeight="1"/>
    <row r="174" ht="17.25" customHeight="1"/>
    <row r="175" ht="17.25" customHeight="1"/>
    <row r="176" ht="17.25" customHeight="1"/>
    <row r="177" spans="1:38" ht="17.25" customHeight="1"/>
    <row r="178" spans="1:38" ht="17.25" customHeight="1"/>
    <row r="179" spans="1:38" ht="17.25" customHeight="1"/>
    <row r="180" spans="1:38" ht="17.25" customHeight="1"/>
    <row r="181" spans="1:38" ht="17.25" customHeight="1"/>
    <row r="182" spans="1:38" ht="17.25" customHeight="1"/>
    <row r="183" spans="1:38" ht="17.25" customHeight="1"/>
    <row r="184" spans="1:38" ht="17.25" customHeight="1"/>
    <row r="185" spans="1:38" ht="17.25" customHeight="1"/>
    <row r="186" spans="1:38" ht="17.25" customHeight="1"/>
    <row r="187" spans="1:38" ht="17.25" customHeight="1"/>
    <row r="188" spans="1:38" ht="17.25" customHeight="1"/>
    <row r="189" spans="1:38" ht="17.25" customHeight="1"/>
    <row r="190" spans="1:38" ht="17.25" customHeight="1"/>
    <row r="191" spans="1:38" ht="17.25" customHeight="1"/>
    <row r="192" spans="1:38" ht="17.25" customHeight="1">
      <c r="A192"/>
      <c r="B192"/>
      <c r="C192"/>
      <c r="D192"/>
      <c r="E192"/>
      <c r="F192"/>
      <c r="AE192"/>
      <c r="AF192"/>
      <c r="AG192"/>
      <c r="AH192"/>
      <c r="AL192"/>
    </row>
  </sheetData>
  <sortState xmlns:xlrd2="http://schemas.microsoft.com/office/spreadsheetml/2017/richdata2" ref="A146:AK150">
    <sortCondition ref="A146:A150"/>
    <sortCondition ref="B146:B150"/>
    <sortCondition ref="E146:E150"/>
  </sortState>
  <dataValidations count="1">
    <dataValidation type="textLength" errorStyle="warning" allowBlank="1" showInputMessage="1" showErrorMessage="1" error="Contamar le informa de que el código introducido debe contener únicamente 8 dígitos._x000a__x000a_" sqref="AC146:AC152 AC2:AC145" xr:uid="{D8B377EB-DA6D-41D7-B694-3775C9A036FE}">
      <formula1>8</formula1>
      <formula2>8</formula2>
    </dataValidation>
  </dataValidations>
  <pageMargins left="0.7" right="0.7" top="0.75" bottom="0.75" header="0.3" footer="0.3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4DD0D5-8BCB-4C92-9798-479C5CE6DDAA}">
  <sheetPr codeName="Hoja10"/>
  <dimension ref="A1:AM164"/>
  <sheetViews>
    <sheetView zoomScale="80" zoomScaleNormal="80" workbookViewId="0">
      <selection sqref="A1:XFD1048576"/>
    </sheetView>
  </sheetViews>
  <sheetFormatPr baseColWidth="10" defaultColWidth="11.42578125" defaultRowHeight="15"/>
  <cols>
    <col min="1" max="1" width="12.85546875" style="29" bestFit="1" customWidth="1"/>
    <col min="2" max="2" width="20.42578125" style="30" bestFit="1" customWidth="1"/>
    <col min="3" max="3" width="13.42578125" style="4" hidden="1" customWidth="1"/>
    <col min="4" max="4" width="15.85546875" style="3" bestFit="1" customWidth="1"/>
    <col min="5" max="5" width="49.42578125" style="4" bestFit="1" customWidth="1"/>
    <col min="6" max="6" width="66" style="4" bestFit="1" customWidth="1"/>
    <col min="7" max="7" width="10.85546875" customWidth="1"/>
    <col min="8" max="8" width="7.7109375" customWidth="1"/>
    <col min="10" max="10" width="6.7109375" hidden="1" customWidth="1"/>
    <col min="11" max="11" width="11.7109375" hidden="1" customWidth="1"/>
    <col min="12" max="12" width="9.28515625" bestFit="1" customWidth="1"/>
    <col min="13" max="13" width="6.7109375" bestFit="1" customWidth="1"/>
    <col min="14" max="14" width="12.42578125" customWidth="1"/>
    <col min="15" max="15" width="8.140625" hidden="1" customWidth="1"/>
    <col min="16" max="16" width="12.42578125" hidden="1" customWidth="1"/>
    <col min="17" max="18" width="6.7109375" hidden="1" customWidth="1"/>
    <col min="19" max="19" width="8.42578125" hidden="1" customWidth="1"/>
    <col min="20" max="20" width="7.7109375" hidden="1" customWidth="1"/>
    <col min="21" max="21" width="10.42578125" hidden="1" customWidth="1"/>
    <col min="22" max="22" width="11.7109375" customWidth="1"/>
    <col min="23" max="23" width="6.140625" customWidth="1"/>
    <col min="24" max="24" width="13.28515625" customWidth="1"/>
    <col min="25" max="25" width="11.7109375" hidden="1" customWidth="1"/>
    <col min="26" max="26" width="5.42578125" hidden="1" customWidth="1"/>
    <col min="27" max="27" width="8.42578125" hidden="1" customWidth="1"/>
    <col min="28" max="28" width="12.7109375" bestFit="1" customWidth="1"/>
    <col min="29" max="29" width="14.7109375" hidden="1" customWidth="1"/>
    <col min="30" max="30" width="16.140625" hidden="1" customWidth="1"/>
    <col min="31" max="31" width="16.140625" style="3" hidden="1" customWidth="1"/>
    <col min="32" max="32" width="4.42578125" style="3" hidden="1" customWidth="1"/>
    <col min="33" max="33" width="9.85546875" style="3" hidden="1" customWidth="1"/>
    <col min="34" max="34" width="12" style="4" hidden="1" customWidth="1"/>
    <col min="35" max="35" width="15.42578125" hidden="1" customWidth="1"/>
    <col min="36" max="36" width="26.42578125" bestFit="1" customWidth="1"/>
    <col min="37" max="37" width="21.42578125" bestFit="1" customWidth="1"/>
    <col min="38" max="38" width="14.140625" style="44" customWidth="1"/>
  </cols>
  <sheetData>
    <row r="1" spans="1:39" s="1" customFormat="1" ht="38.25" customHeight="1">
      <c r="A1" s="21" t="s">
        <v>5</v>
      </c>
      <c r="B1" s="22" t="s">
        <v>9</v>
      </c>
      <c r="C1" s="22" t="s">
        <v>6</v>
      </c>
      <c r="D1" s="22" t="s">
        <v>8</v>
      </c>
      <c r="E1" s="22" t="s">
        <v>3</v>
      </c>
      <c r="F1" s="22" t="s">
        <v>10</v>
      </c>
      <c r="G1" s="21" t="s">
        <v>7</v>
      </c>
      <c r="H1" s="21" t="s">
        <v>0</v>
      </c>
      <c r="I1" s="21" t="s">
        <v>1</v>
      </c>
      <c r="J1" s="21" t="s">
        <v>23</v>
      </c>
      <c r="K1" s="21" t="s">
        <v>24</v>
      </c>
      <c r="L1" s="21" t="s">
        <v>19</v>
      </c>
      <c r="M1" s="21" t="s">
        <v>15</v>
      </c>
      <c r="N1" s="21" t="s">
        <v>16</v>
      </c>
      <c r="O1" s="21" t="s">
        <v>25</v>
      </c>
      <c r="P1" s="21" t="s">
        <v>26</v>
      </c>
      <c r="Q1" s="21" t="s">
        <v>20</v>
      </c>
      <c r="R1" s="21" t="s">
        <v>17</v>
      </c>
      <c r="S1" s="21" t="s">
        <v>18</v>
      </c>
      <c r="T1" s="21" t="s">
        <v>28</v>
      </c>
      <c r="U1" s="21" t="s">
        <v>27</v>
      </c>
      <c r="V1" s="21" t="s">
        <v>2</v>
      </c>
      <c r="W1" s="21" t="s">
        <v>30</v>
      </c>
      <c r="X1" s="21" t="s">
        <v>32</v>
      </c>
      <c r="Y1" s="21" t="s">
        <v>29</v>
      </c>
      <c r="Z1" s="21" t="s">
        <v>31</v>
      </c>
      <c r="AA1" s="21" t="s">
        <v>33</v>
      </c>
      <c r="AB1" s="21" t="s">
        <v>34</v>
      </c>
      <c r="AC1" s="22" t="s">
        <v>11</v>
      </c>
      <c r="AD1" s="22" t="s">
        <v>21</v>
      </c>
      <c r="AE1" s="22" t="s">
        <v>22</v>
      </c>
      <c r="AF1" s="22" t="s">
        <v>4</v>
      </c>
      <c r="AG1" s="22" t="s">
        <v>12</v>
      </c>
      <c r="AH1" s="23" t="s">
        <v>13</v>
      </c>
      <c r="AI1" s="24" t="s">
        <v>14</v>
      </c>
      <c r="AJ1" s="32" t="s">
        <v>37</v>
      </c>
      <c r="AK1" s="34" t="s">
        <v>35</v>
      </c>
      <c r="AL1" s="62" t="s">
        <v>36</v>
      </c>
    </row>
    <row r="2" spans="1:39" ht="17.25" customHeight="1">
      <c r="A2" s="25"/>
      <c r="B2" s="26"/>
      <c r="C2" s="14"/>
      <c r="D2" s="31"/>
      <c r="E2" s="14"/>
      <c r="F2" s="15" t="str">
        <f t="shared" ref="F2:F65" si="0">"S/F "&amp;B2&amp;" "&amp;E2</f>
        <v xml:space="preserve">S/F  </v>
      </c>
      <c r="G2" s="16"/>
      <c r="H2" s="17">
        <v>21</v>
      </c>
      <c r="I2" s="18">
        <f t="shared" ref="I2:I65" si="1">+IF(G2&lt;&gt;0,G2*H2/100,0)</f>
        <v>0</v>
      </c>
      <c r="J2" s="17"/>
      <c r="K2" s="18"/>
      <c r="L2" s="16"/>
      <c r="M2" s="17"/>
      <c r="N2" s="18">
        <f t="shared" ref="N2:N65" si="2">+IF(L2&lt;&gt;0,L2*M2/100,0)</f>
        <v>0</v>
      </c>
      <c r="O2" s="19"/>
      <c r="P2" s="18">
        <v>0</v>
      </c>
      <c r="Q2" s="16"/>
      <c r="R2" s="17"/>
      <c r="S2" s="18">
        <v>0</v>
      </c>
      <c r="T2" s="19"/>
      <c r="U2" s="18">
        <v>0</v>
      </c>
      <c r="V2" s="16"/>
      <c r="W2" s="17"/>
      <c r="X2" s="18">
        <f t="shared" ref="X2:X65" si="3">+IF(W2&lt;&gt;0,V2*W2/100,0)</f>
        <v>0</v>
      </c>
      <c r="Y2" s="19"/>
      <c r="Z2" s="19"/>
      <c r="AA2" s="18">
        <f t="shared" ref="AA2:AA65" si="4">+IF(Z2&lt;&gt;0,Y2*Z2/100,0)</f>
        <v>0</v>
      </c>
      <c r="AB2" s="20">
        <f t="shared" ref="AB2:AB65" si="5">+G2+I2+K2+L2+N2+P2+Q2+S2+U2-X2-AA2</f>
        <v>0</v>
      </c>
      <c r="AC2" s="5"/>
      <c r="AD2" s="8"/>
      <c r="AF2" s="6"/>
      <c r="AG2" s="7"/>
      <c r="AJ2" s="33"/>
      <c r="AK2" s="35"/>
      <c r="AL2" s="38"/>
    </row>
    <row r="3" spans="1:39" ht="17.25" customHeight="1">
      <c r="A3" s="25"/>
      <c r="B3" s="26"/>
      <c r="C3" s="14"/>
      <c r="D3" s="31"/>
      <c r="E3" s="14"/>
      <c r="F3" s="15" t="str">
        <f t="shared" si="0"/>
        <v xml:space="preserve">S/F  </v>
      </c>
      <c r="G3" s="16"/>
      <c r="H3" s="17">
        <v>21</v>
      </c>
      <c r="I3" s="18">
        <f t="shared" si="1"/>
        <v>0</v>
      </c>
      <c r="J3" s="17"/>
      <c r="K3" s="18"/>
      <c r="L3" s="16"/>
      <c r="M3" s="17"/>
      <c r="N3" s="18">
        <f t="shared" si="2"/>
        <v>0</v>
      </c>
      <c r="O3" s="19"/>
      <c r="P3" s="18">
        <v>0</v>
      </c>
      <c r="Q3" s="16"/>
      <c r="R3" s="17"/>
      <c r="S3" s="18">
        <v>0</v>
      </c>
      <c r="T3" s="19"/>
      <c r="U3" s="18">
        <v>0</v>
      </c>
      <c r="V3" s="16"/>
      <c r="W3" s="17"/>
      <c r="X3" s="18">
        <f t="shared" si="3"/>
        <v>0</v>
      </c>
      <c r="Y3" s="19"/>
      <c r="Z3" s="19"/>
      <c r="AA3" s="18">
        <f t="shared" si="4"/>
        <v>0</v>
      </c>
      <c r="AB3" s="20">
        <f t="shared" si="5"/>
        <v>0</v>
      </c>
      <c r="AC3" s="5"/>
      <c r="AD3" s="8"/>
      <c r="AF3" s="6"/>
      <c r="AG3" s="7"/>
      <c r="AJ3" s="33"/>
      <c r="AK3" s="35"/>
      <c r="AL3" s="38"/>
    </row>
    <row r="4" spans="1:39" ht="17.25" customHeight="1">
      <c r="A4" s="25"/>
      <c r="B4" s="26"/>
      <c r="C4" s="14"/>
      <c r="D4" s="26"/>
      <c r="E4" s="14"/>
      <c r="F4" s="15" t="str">
        <f t="shared" si="0"/>
        <v xml:space="preserve">S/F  </v>
      </c>
      <c r="G4" s="16"/>
      <c r="H4" s="17">
        <v>21</v>
      </c>
      <c r="I4" s="18">
        <f t="shared" si="1"/>
        <v>0</v>
      </c>
      <c r="J4" s="17"/>
      <c r="K4" s="18"/>
      <c r="L4" s="16"/>
      <c r="M4" s="17"/>
      <c r="N4" s="18">
        <f t="shared" si="2"/>
        <v>0</v>
      </c>
      <c r="O4" s="19"/>
      <c r="P4" s="18">
        <v>0</v>
      </c>
      <c r="Q4" s="16"/>
      <c r="R4" s="17"/>
      <c r="S4" s="18">
        <v>0</v>
      </c>
      <c r="T4" s="19"/>
      <c r="U4" s="18">
        <v>0</v>
      </c>
      <c r="V4" s="16"/>
      <c r="W4" s="17"/>
      <c r="X4" s="18">
        <f t="shared" si="3"/>
        <v>0</v>
      </c>
      <c r="Y4" s="19"/>
      <c r="Z4" s="19"/>
      <c r="AA4" s="18">
        <f t="shared" si="4"/>
        <v>0</v>
      </c>
      <c r="AB4" s="20">
        <f t="shared" si="5"/>
        <v>0</v>
      </c>
      <c r="AC4" s="5"/>
      <c r="AD4" s="8"/>
      <c r="AF4" s="6"/>
      <c r="AG4" s="7"/>
      <c r="AJ4" s="33"/>
      <c r="AK4" s="35"/>
      <c r="AL4" s="38"/>
    </row>
    <row r="5" spans="1:39" ht="17.25" customHeight="1">
      <c r="A5" s="25"/>
      <c r="B5" s="26"/>
      <c r="C5" s="14"/>
      <c r="D5" s="31"/>
      <c r="E5" s="14"/>
      <c r="F5" s="15" t="str">
        <f t="shared" si="0"/>
        <v xml:space="preserve">S/F  </v>
      </c>
      <c r="G5" s="16"/>
      <c r="H5" s="17">
        <v>21</v>
      </c>
      <c r="I5" s="18">
        <f t="shared" si="1"/>
        <v>0</v>
      </c>
      <c r="J5" s="17"/>
      <c r="K5" s="18"/>
      <c r="L5" s="16"/>
      <c r="M5" s="17"/>
      <c r="N5" s="18">
        <f t="shared" si="2"/>
        <v>0</v>
      </c>
      <c r="O5" s="19"/>
      <c r="P5" s="18">
        <v>0</v>
      </c>
      <c r="Q5" s="16"/>
      <c r="R5" s="17"/>
      <c r="S5" s="18">
        <v>0</v>
      </c>
      <c r="T5" s="19"/>
      <c r="U5" s="18">
        <v>0</v>
      </c>
      <c r="V5" s="16"/>
      <c r="W5" s="17"/>
      <c r="X5" s="18">
        <f t="shared" si="3"/>
        <v>0</v>
      </c>
      <c r="Y5" s="19"/>
      <c r="Z5" s="19"/>
      <c r="AA5" s="18">
        <f t="shared" si="4"/>
        <v>0</v>
      </c>
      <c r="AB5" s="20">
        <f t="shared" si="5"/>
        <v>0</v>
      </c>
      <c r="AC5" s="5"/>
      <c r="AD5" s="8"/>
      <c r="AF5" s="6"/>
      <c r="AG5" s="7"/>
      <c r="AJ5" s="33"/>
      <c r="AK5" s="35"/>
      <c r="AL5" s="38"/>
    </row>
    <row r="6" spans="1:39" ht="17.25" customHeight="1">
      <c r="A6" s="25"/>
      <c r="B6" s="26"/>
      <c r="C6" s="14"/>
      <c r="D6" s="31"/>
      <c r="E6" s="14"/>
      <c r="F6" s="15" t="str">
        <f t="shared" si="0"/>
        <v xml:space="preserve">S/F  </v>
      </c>
      <c r="G6" s="16"/>
      <c r="H6" s="17">
        <v>21</v>
      </c>
      <c r="I6" s="18">
        <f t="shared" si="1"/>
        <v>0</v>
      </c>
      <c r="J6" s="17"/>
      <c r="K6" s="18"/>
      <c r="L6" s="16"/>
      <c r="M6" s="17"/>
      <c r="N6" s="18">
        <f t="shared" si="2"/>
        <v>0</v>
      </c>
      <c r="O6" s="19"/>
      <c r="P6" s="18">
        <v>0</v>
      </c>
      <c r="Q6" s="16"/>
      <c r="R6" s="17"/>
      <c r="S6" s="18">
        <v>0</v>
      </c>
      <c r="T6" s="19"/>
      <c r="U6" s="18">
        <v>0</v>
      </c>
      <c r="V6" s="16"/>
      <c r="W6" s="17"/>
      <c r="X6" s="18">
        <f t="shared" si="3"/>
        <v>0</v>
      </c>
      <c r="Y6" s="19"/>
      <c r="Z6" s="19"/>
      <c r="AA6" s="18">
        <f t="shared" si="4"/>
        <v>0</v>
      </c>
      <c r="AB6" s="20">
        <f t="shared" si="5"/>
        <v>0</v>
      </c>
      <c r="AC6" s="5"/>
      <c r="AD6" s="8"/>
      <c r="AF6" s="6"/>
      <c r="AG6" s="7"/>
      <c r="AJ6" s="33"/>
      <c r="AK6" s="35"/>
      <c r="AL6" s="38"/>
    </row>
    <row r="7" spans="1:39" ht="17.25" customHeight="1">
      <c r="A7" s="25"/>
      <c r="B7" s="26"/>
      <c r="C7" s="14"/>
      <c r="D7" s="31"/>
      <c r="E7" s="14"/>
      <c r="F7" s="15" t="str">
        <f t="shared" si="0"/>
        <v xml:space="preserve">S/F  </v>
      </c>
      <c r="G7" s="16"/>
      <c r="H7" s="17">
        <v>21</v>
      </c>
      <c r="I7" s="18">
        <f t="shared" si="1"/>
        <v>0</v>
      </c>
      <c r="J7" s="17"/>
      <c r="K7" s="18"/>
      <c r="L7" s="16"/>
      <c r="M7" s="17"/>
      <c r="N7" s="18">
        <f t="shared" si="2"/>
        <v>0</v>
      </c>
      <c r="O7" s="19"/>
      <c r="P7" s="18">
        <v>0</v>
      </c>
      <c r="Q7" s="16"/>
      <c r="R7" s="17"/>
      <c r="S7" s="18">
        <v>0</v>
      </c>
      <c r="T7" s="19"/>
      <c r="U7" s="18">
        <v>0</v>
      </c>
      <c r="V7" s="16"/>
      <c r="W7" s="17"/>
      <c r="X7" s="18">
        <f t="shared" si="3"/>
        <v>0</v>
      </c>
      <c r="Y7" s="19"/>
      <c r="Z7" s="19"/>
      <c r="AA7" s="18">
        <f t="shared" si="4"/>
        <v>0</v>
      </c>
      <c r="AB7" s="20">
        <f t="shared" si="5"/>
        <v>0</v>
      </c>
      <c r="AC7" s="5"/>
      <c r="AD7" s="8"/>
      <c r="AF7" s="6"/>
      <c r="AG7" s="7"/>
      <c r="AJ7" s="33"/>
      <c r="AK7" s="35"/>
      <c r="AL7" s="38"/>
    </row>
    <row r="8" spans="1:39" ht="17.25" customHeight="1">
      <c r="A8" s="25"/>
      <c r="B8" s="26"/>
      <c r="C8" s="14"/>
      <c r="D8" s="31"/>
      <c r="E8" s="14"/>
      <c r="F8" s="15" t="str">
        <f t="shared" si="0"/>
        <v xml:space="preserve">S/F  </v>
      </c>
      <c r="G8" s="16"/>
      <c r="H8" s="17">
        <v>21</v>
      </c>
      <c r="I8" s="18">
        <f t="shared" si="1"/>
        <v>0</v>
      </c>
      <c r="J8" s="17"/>
      <c r="K8" s="18"/>
      <c r="L8" s="16"/>
      <c r="M8" s="17"/>
      <c r="N8" s="18">
        <f t="shared" si="2"/>
        <v>0</v>
      </c>
      <c r="O8" s="19"/>
      <c r="P8" s="18">
        <v>0</v>
      </c>
      <c r="Q8" s="16"/>
      <c r="R8" s="17"/>
      <c r="S8" s="18">
        <v>0</v>
      </c>
      <c r="T8" s="19"/>
      <c r="U8" s="18">
        <v>0</v>
      </c>
      <c r="V8" s="16"/>
      <c r="W8" s="17"/>
      <c r="X8" s="18">
        <f t="shared" si="3"/>
        <v>0</v>
      </c>
      <c r="Y8" s="19"/>
      <c r="Z8" s="19"/>
      <c r="AA8" s="18">
        <f t="shared" si="4"/>
        <v>0</v>
      </c>
      <c r="AB8" s="20">
        <f t="shared" si="5"/>
        <v>0</v>
      </c>
      <c r="AC8" s="5"/>
      <c r="AD8" s="8"/>
      <c r="AF8" s="6"/>
      <c r="AG8" s="7"/>
      <c r="AJ8" s="33"/>
      <c r="AK8" s="35"/>
      <c r="AL8" s="38"/>
    </row>
    <row r="9" spans="1:39" ht="17.25" customHeight="1">
      <c r="A9" s="25"/>
      <c r="B9" s="26"/>
      <c r="C9" s="14"/>
      <c r="D9" s="31"/>
      <c r="E9" s="14"/>
      <c r="F9" s="15" t="str">
        <f t="shared" si="0"/>
        <v xml:space="preserve">S/F  </v>
      </c>
      <c r="G9" s="16"/>
      <c r="H9" s="17">
        <v>21</v>
      </c>
      <c r="I9" s="18">
        <f t="shared" si="1"/>
        <v>0</v>
      </c>
      <c r="J9" s="17"/>
      <c r="K9" s="18"/>
      <c r="L9" s="16"/>
      <c r="M9" s="17"/>
      <c r="N9" s="18">
        <f t="shared" si="2"/>
        <v>0</v>
      </c>
      <c r="O9" s="19"/>
      <c r="P9" s="18">
        <v>0</v>
      </c>
      <c r="Q9" s="16"/>
      <c r="R9" s="17"/>
      <c r="S9" s="18">
        <v>0</v>
      </c>
      <c r="T9" s="19"/>
      <c r="U9" s="18">
        <v>0</v>
      </c>
      <c r="V9" s="16"/>
      <c r="W9" s="17"/>
      <c r="X9" s="18">
        <f t="shared" si="3"/>
        <v>0</v>
      </c>
      <c r="Y9" s="19"/>
      <c r="Z9" s="19"/>
      <c r="AA9" s="18">
        <f t="shared" si="4"/>
        <v>0</v>
      </c>
      <c r="AB9" s="20">
        <f t="shared" si="5"/>
        <v>0</v>
      </c>
      <c r="AC9" s="5"/>
      <c r="AD9" s="8"/>
      <c r="AF9" s="6"/>
      <c r="AG9" s="7"/>
      <c r="AJ9" s="33"/>
      <c r="AK9" s="35"/>
      <c r="AL9" s="38"/>
    </row>
    <row r="10" spans="1:39" ht="17.25" customHeight="1">
      <c r="A10" s="25"/>
      <c r="B10" s="26"/>
      <c r="C10" s="14"/>
      <c r="D10" s="31"/>
      <c r="E10" s="14"/>
      <c r="F10" s="15" t="str">
        <f t="shared" si="0"/>
        <v xml:space="preserve">S/F  </v>
      </c>
      <c r="G10" s="16"/>
      <c r="H10" s="17">
        <v>21</v>
      </c>
      <c r="I10" s="18">
        <f t="shared" si="1"/>
        <v>0</v>
      </c>
      <c r="J10" s="17"/>
      <c r="K10" s="18"/>
      <c r="L10" s="16"/>
      <c r="M10" s="17"/>
      <c r="N10" s="18">
        <f t="shared" si="2"/>
        <v>0</v>
      </c>
      <c r="O10" s="19"/>
      <c r="P10" s="18">
        <v>0</v>
      </c>
      <c r="Q10" s="16"/>
      <c r="R10" s="17"/>
      <c r="S10" s="18">
        <v>0</v>
      </c>
      <c r="T10" s="19"/>
      <c r="U10" s="18">
        <v>0</v>
      </c>
      <c r="V10" s="16"/>
      <c r="W10" s="17"/>
      <c r="X10" s="18">
        <f t="shared" si="3"/>
        <v>0</v>
      </c>
      <c r="Y10" s="19"/>
      <c r="Z10" s="19"/>
      <c r="AA10" s="18">
        <f t="shared" si="4"/>
        <v>0</v>
      </c>
      <c r="AB10" s="20">
        <f t="shared" si="5"/>
        <v>0</v>
      </c>
      <c r="AC10" s="5"/>
      <c r="AD10" s="8"/>
      <c r="AF10" s="6"/>
      <c r="AG10" s="7"/>
      <c r="AJ10" s="33"/>
      <c r="AK10" s="35"/>
      <c r="AL10" s="38"/>
    </row>
    <row r="11" spans="1:39" ht="17.25" customHeight="1">
      <c r="A11" s="25"/>
      <c r="B11" s="26"/>
      <c r="C11" s="14"/>
      <c r="D11" s="31"/>
      <c r="E11" s="14"/>
      <c r="F11" s="15" t="str">
        <f t="shared" si="0"/>
        <v xml:space="preserve">S/F  </v>
      </c>
      <c r="G11" s="16"/>
      <c r="H11" s="17">
        <v>21</v>
      </c>
      <c r="I11" s="18">
        <f t="shared" si="1"/>
        <v>0</v>
      </c>
      <c r="J11" s="17"/>
      <c r="K11" s="18"/>
      <c r="L11" s="16"/>
      <c r="M11" s="17"/>
      <c r="N11" s="18">
        <f t="shared" si="2"/>
        <v>0</v>
      </c>
      <c r="O11" s="19"/>
      <c r="P11" s="18">
        <v>0</v>
      </c>
      <c r="Q11" s="16"/>
      <c r="R11" s="17"/>
      <c r="S11" s="18">
        <v>0</v>
      </c>
      <c r="T11" s="19"/>
      <c r="U11" s="18">
        <v>0</v>
      </c>
      <c r="V11" s="16"/>
      <c r="W11" s="17"/>
      <c r="X11" s="18">
        <f t="shared" si="3"/>
        <v>0</v>
      </c>
      <c r="Y11" s="19"/>
      <c r="Z11" s="19"/>
      <c r="AA11" s="18">
        <f t="shared" si="4"/>
        <v>0</v>
      </c>
      <c r="AB11" s="20">
        <f t="shared" si="5"/>
        <v>0</v>
      </c>
      <c r="AC11" s="5"/>
      <c r="AD11" s="8"/>
      <c r="AF11" s="6"/>
      <c r="AG11" s="7"/>
      <c r="AJ11" s="33"/>
      <c r="AK11" s="35"/>
      <c r="AL11" s="38"/>
    </row>
    <row r="12" spans="1:39" ht="17.25" customHeight="1">
      <c r="A12" s="25"/>
      <c r="B12" s="26"/>
      <c r="C12" s="14"/>
      <c r="D12" s="31"/>
      <c r="E12" s="14"/>
      <c r="F12" s="15" t="str">
        <f t="shared" si="0"/>
        <v xml:space="preserve">S/F  </v>
      </c>
      <c r="G12" s="16"/>
      <c r="H12" s="17">
        <v>21</v>
      </c>
      <c r="I12" s="18">
        <f t="shared" si="1"/>
        <v>0</v>
      </c>
      <c r="J12" s="17"/>
      <c r="K12" s="18"/>
      <c r="L12" s="16"/>
      <c r="M12" s="17"/>
      <c r="N12" s="18">
        <f t="shared" si="2"/>
        <v>0</v>
      </c>
      <c r="O12" s="19"/>
      <c r="P12" s="18">
        <v>0</v>
      </c>
      <c r="Q12" s="16"/>
      <c r="R12" s="17"/>
      <c r="S12" s="18">
        <v>0</v>
      </c>
      <c r="T12" s="19"/>
      <c r="U12" s="18">
        <v>0</v>
      </c>
      <c r="V12" s="16"/>
      <c r="W12" s="17"/>
      <c r="X12" s="18">
        <f t="shared" si="3"/>
        <v>0</v>
      </c>
      <c r="Y12" s="19"/>
      <c r="Z12" s="19"/>
      <c r="AA12" s="18">
        <f t="shared" si="4"/>
        <v>0</v>
      </c>
      <c r="AB12" s="20">
        <f t="shared" si="5"/>
        <v>0</v>
      </c>
      <c r="AC12" s="5"/>
      <c r="AD12" s="8"/>
      <c r="AF12" s="6"/>
      <c r="AG12" s="7"/>
      <c r="AJ12" s="33"/>
      <c r="AK12" s="35"/>
      <c r="AL12" s="38"/>
    </row>
    <row r="13" spans="1:39" ht="17.25" customHeight="1">
      <c r="A13" s="25"/>
      <c r="B13" s="26"/>
      <c r="C13" s="14"/>
      <c r="D13" s="31"/>
      <c r="E13" s="14"/>
      <c r="F13" s="15" t="str">
        <f t="shared" si="0"/>
        <v xml:space="preserve">S/F  </v>
      </c>
      <c r="G13" s="16"/>
      <c r="H13" s="17">
        <v>21</v>
      </c>
      <c r="I13" s="18">
        <f t="shared" si="1"/>
        <v>0</v>
      </c>
      <c r="J13" s="17"/>
      <c r="K13" s="18"/>
      <c r="L13" s="16"/>
      <c r="M13" s="17"/>
      <c r="N13" s="18">
        <f t="shared" si="2"/>
        <v>0</v>
      </c>
      <c r="O13" s="19"/>
      <c r="P13" s="18">
        <v>0</v>
      </c>
      <c r="Q13" s="16"/>
      <c r="R13" s="17"/>
      <c r="S13" s="18">
        <v>0</v>
      </c>
      <c r="T13" s="19"/>
      <c r="U13" s="18">
        <v>0</v>
      </c>
      <c r="V13" s="16"/>
      <c r="W13" s="17"/>
      <c r="X13" s="18">
        <f t="shared" si="3"/>
        <v>0</v>
      </c>
      <c r="Y13" s="19"/>
      <c r="Z13" s="19"/>
      <c r="AA13" s="18">
        <f t="shared" si="4"/>
        <v>0</v>
      </c>
      <c r="AB13" s="20">
        <f t="shared" si="5"/>
        <v>0</v>
      </c>
      <c r="AC13" s="5"/>
      <c r="AD13" s="8"/>
      <c r="AF13" s="6"/>
      <c r="AG13" s="7"/>
      <c r="AJ13" s="33"/>
      <c r="AK13" s="35"/>
      <c r="AL13" s="38"/>
    </row>
    <row r="14" spans="1:39" ht="17.25" customHeight="1">
      <c r="A14" s="25"/>
      <c r="B14" s="26"/>
      <c r="C14" s="14"/>
      <c r="D14" s="31"/>
      <c r="E14" s="14"/>
      <c r="F14" s="15" t="str">
        <f t="shared" si="0"/>
        <v xml:space="preserve">S/F  </v>
      </c>
      <c r="G14" s="16"/>
      <c r="H14" s="17">
        <v>21</v>
      </c>
      <c r="I14" s="18">
        <f t="shared" si="1"/>
        <v>0</v>
      </c>
      <c r="J14" s="17"/>
      <c r="K14" s="18"/>
      <c r="L14" s="16"/>
      <c r="M14" s="17"/>
      <c r="N14" s="18">
        <f t="shared" si="2"/>
        <v>0</v>
      </c>
      <c r="O14" s="19"/>
      <c r="P14" s="18">
        <v>0</v>
      </c>
      <c r="Q14" s="16"/>
      <c r="R14" s="17"/>
      <c r="S14" s="18">
        <v>0</v>
      </c>
      <c r="T14" s="19"/>
      <c r="U14" s="18">
        <v>0</v>
      </c>
      <c r="V14" s="16"/>
      <c r="W14" s="17"/>
      <c r="X14" s="18">
        <f t="shared" si="3"/>
        <v>0</v>
      </c>
      <c r="Y14" s="19"/>
      <c r="Z14" s="19"/>
      <c r="AA14" s="18">
        <f t="shared" si="4"/>
        <v>0</v>
      </c>
      <c r="AB14" s="20">
        <f t="shared" si="5"/>
        <v>0</v>
      </c>
      <c r="AC14" s="5"/>
      <c r="AD14" s="8"/>
      <c r="AF14" s="6"/>
      <c r="AG14" s="7"/>
      <c r="AJ14" s="33"/>
      <c r="AK14" s="35"/>
      <c r="AL14" s="38"/>
      <c r="AM14" t="s">
        <v>40</v>
      </c>
    </row>
    <row r="15" spans="1:39" ht="17.25" customHeight="1">
      <c r="A15" s="25"/>
      <c r="B15" s="26"/>
      <c r="C15" s="14"/>
      <c r="D15" s="31"/>
      <c r="E15" s="14"/>
      <c r="F15" s="15" t="str">
        <f t="shared" si="0"/>
        <v xml:space="preserve">S/F  </v>
      </c>
      <c r="G15" s="16"/>
      <c r="H15" s="17">
        <v>21</v>
      </c>
      <c r="I15" s="18">
        <f t="shared" si="1"/>
        <v>0</v>
      </c>
      <c r="J15" s="17"/>
      <c r="K15" s="18"/>
      <c r="L15" s="16"/>
      <c r="M15" s="17"/>
      <c r="N15" s="18">
        <f t="shared" si="2"/>
        <v>0</v>
      </c>
      <c r="O15" s="19"/>
      <c r="P15" s="18">
        <v>0</v>
      </c>
      <c r="Q15" s="16"/>
      <c r="R15" s="17"/>
      <c r="S15" s="18">
        <v>0</v>
      </c>
      <c r="T15" s="19"/>
      <c r="U15" s="18">
        <v>0</v>
      </c>
      <c r="V15" s="16"/>
      <c r="W15" s="17"/>
      <c r="X15" s="18">
        <f t="shared" si="3"/>
        <v>0</v>
      </c>
      <c r="Y15" s="19"/>
      <c r="Z15" s="19"/>
      <c r="AA15" s="18">
        <f t="shared" si="4"/>
        <v>0</v>
      </c>
      <c r="AB15" s="20">
        <f t="shared" si="5"/>
        <v>0</v>
      </c>
      <c r="AC15" s="5"/>
      <c r="AD15" s="8"/>
      <c r="AF15" s="6"/>
      <c r="AG15" s="7"/>
      <c r="AJ15" s="33"/>
      <c r="AK15" s="35"/>
      <c r="AL15" s="38"/>
    </row>
    <row r="16" spans="1:39" ht="17.25" customHeight="1">
      <c r="A16" s="25"/>
      <c r="B16" s="26"/>
      <c r="C16" s="14"/>
      <c r="D16" s="31"/>
      <c r="E16" s="14"/>
      <c r="F16" s="15" t="str">
        <f t="shared" si="0"/>
        <v xml:space="preserve">S/F  </v>
      </c>
      <c r="G16" s="16"/>
      <c r="H16" s="17">
        <v>21</v>
      </c>
      <c r="I16" s="18">
        <f t="shared" si="1"/>
        <v>0</v>
      </c>
      <c r="J16" s="17"/>
      <c r="K16" s="18"/>
      <c r="L16" s="16"/>
      <c r="M16" s="17"/>
      <c r="N16" s="18">
        <f t="shared" si="2"/>
        <v>0</v>
      </c>
      <c r="O16" s="19"/>
      <c r="P16" s="18">
        <v>0</v>
      </c>
      <c r="Q16" s="16"/>
      <c r="R16" s="17"/>
      <c r="S16" s="18">
        <v>0</v>
      </c>
      <c r="T16" s="19"/>
      <c r="U16" s="18">
        <v>0</v>
      </c>
      <c r="V16" s="16"/>
      <c r="W16" s="17"/>
      <c r="X16" s="18">
        <f t="shared" si="3"/>
        <v>0</v>
      </c>
      <c r="Y16" s="19"/>
      <c r="Z16" s="19"/>
      <c r="AA16" s="18">
        <f t="shared" si="4"/>
        <v>0</v>
      </c>
      <c r="AB16" s="20">
        <f t="shared" si="5"/>
        <v>0</v>
      </c>
      <c r="AC16" s="5"/>
      <c r="AD16" s="8"/>
      <c r="AF16" s="6"/>
      <c r="AG16" s="7"/>
      <c r="AJ16" s="33"/>
      <c r="AK16" s="35"/>
      <c r="AL16" s="38"/>
    </row>
    <row r="17" spans="1:38" ht="17.25" customHeight="1">
      <c r="A17" s="25"/>
      <c r="B17" s="26"/>
      <c r="C17" s="14"/>
      <c r="D17" s="31"/>
      <c r="E17" s="14"/>
      <c r="F17" s="15" t="str">
        <f t="shared" si="0"/>
        <v xml:space="preserve">S/F  </v>
      </c>
      <c r="G17" s="16"/>
      <c r="H17" s="17">
        <v>21</v>
      </c>
      <c r="I17" s="18">
        <f t="shared" si="1"/>
        <v>0</v>
      </c>
      <c r="J17" s="17"/>
      <c r="K17" s="18"/>
      <c r="L17" s="16"/>
      <c r="M17" s="17"/>
      <c r="N17" s="18">
        <f t="shared" si="2"/>
        <v>0</v>
      </c>
      <c r="O17" s="19"/>
      <c r="P17" s="18">
        <v>0</v>
      </c>
      <c r="Q17" s="16"/>
      <c r="R17" s="17"/>
      <c r="S17" s="18">
        <v>0</v>
      </c>
      <c r="T17" s="19"/>
      <c r="U17" s="18">
        <v>0</v>
      </c>
      <c r="V17" s="16"/>
      <c r="W17" s="17"/>
      <c r="X17" s="18">
        <f t="shared" si="3"/>
        <v>0</v>
      </c>
      <c r="Y17" s="19"/>
      <c r="Z17" s="19"/>
      <c r="AA17" s="18">
        <f t="shared" si="4"/>
        <v>0</v>
      </c>
      <c r="AB17" s="20">
        <f t="shared" si="5"/>
        <v>0</v>
      </c>
      <c r="AC17" s="5"/>
      <c r="AD17" s="8"/>
      <c r="AF17" s="6"/>
      <c r="AG17" s="7"/>
      <c r="AJ17" s="33"/>
      <c r="AK17" s="35"/>
      <c r="AL17" s="38"/>
    </row>
    <row r="18" spans="1:38" ht="17.25" customHeight="1">
      <c r="A18" s="25"/>
      <c r="B18" s="26"/>
      <c r="C18" s="14"/>
      <c r="D18" s="31"/>
      <c r="E18" s="14"/>
      <c r="F18" s="15" t="str">
        <f t="shared" si="0"/>
        <v xml:space="preserve">S/F  </v>
      </c>
      <c r="G18" s="16"/>
      <c r="H18" s="17">
        <v>21</v>
      </c>
      <c r="I18" s="18">
        <f t="shared" si="1"/>
        <v>0</v>
      </c>
      <c r="J18" s="17"/>
      <c r="K18" s="18"/>
      <c r="L18" s="16"/>
      <c r="M18" s="17"/>
      <c r="N18" s="18">
        <f t="shared" si="2"/>
        <v>0</v>
      </c>
      <c r="O18" s="19"/>
      <c r="P18" s="18">
        <v>0</v>
      </c>
      <c r="Q18" s="16"/>
      <c r="R18" s="17"/>
      <c r="S18" s="18">
        <v>0</v>
      </c>
      <c r="T18" s="19"/>
      <c r="U18" s="18">
        <v>0</v>
      </c>
      <c r="V18" s="16"/>
      <c r="W18" s="17"/>
      <c r="X18" s="18">
        <f t="shared" si="3"/>
        <v>0</v>
      </c>
      <c r="Y18" s="19"/>
      <c r="Z18" s="19"/>
      <c r="AA18" s="18">
        <f t="shared" si="4"/>
        <v>0</v>
      </c>
      <c r="AB18" s="20">
        <f t="shared" si="5"/>
        <v>0</v>
      </c>
      <c r="AC18" s="5"/>
      <c r="AD18" s="8"/>
      <c r="AF18" s="6"/>
      <c r="AG18" s="7"/>
      <c r="AJ18" s="33"/>
      <c r="AK18" s="35"/>
      <c r="AL18" s="38"/>
    </row>
    <row r="19" spans="1:38" ht="17.25" customHeight="1">
      <c r="A19" s="25"/>
      <c r="B19" s="26"/>
      <c r="C19" s="14"/>
      <c r="D19" s="31"/>
      <c r="E19" s="14"/>
      <c r="F19" s="15" t="str">
        <f t="shared" si="0"/>
        <v xml:space="preserve">S/F  </v>
      </c>
      <c r="G19" s="16"/>
      <c r="H19" s="17">
        <v>21</v>
      </c>
      <c r="I19" s="18">
        <f t="shared" si="1"/>
        <v>0</v>
      </c>
      <c r="J19" s="17"/>
      <c r="K19" s="18"/>
      <c r="L19" s="16"/>
      <c r="M19" s="17"/>
      <c r="N19" s="18">
        <f t="shared" si="2"/>
        <v>0</v>
      </c>
      <c r="O19" s="19"/>
      <c r="P19" s="18">
        <v>0</v>
      </c>
      <c r="Q19" s="16"/>
      <c r="R19" s="17"/>
      <c r="S19" s="18">
        <v>0</v>
      </c>
      <c r="T19" s="19"/>
      <c r="U19" s="18">
        <v>0</v>
      </c>
      <c r="V19" s="16"/>
      <c r="W19" s="17"/>
      <c r="X19" s="18">
        <f t="shared" si="3"/>
        <v>0</v>
      </c>
      <c r="Y19" s="19"/>
      <c r="Z19" s="19"/>
      <c r="AA19" s="18">
        <f t="shared" si="4"/>
        <v>0</v>
      </c>
      <c r="AB19" s="20">
        <f t="shared" si="5"/>
        <v>0</v>
      </c>
      <c r="AC19" s="5"/>
      <c r="AD19" s="8"/>
      <c r="AF19" s="6"/>
      <c r="AG19" s="7"/>
      <c r="AJ19" s="33"/>
      <c r="AK19" s="35"/>
      <c r="AL19" s="38"/>
    </row>
    <row r="20" spans="1:38" ht="17.25" customHeight="1">
      <c r="A20" s="25"/>
      <c r="B20" s="26"/>
      <c r="C20" s="14"/>
      <c r="D20" s="31"/>
      <c r="E20" s="14"/>
      <c r="F20" s="15" t="str">
        <f t="shared" si="0"/>
        <v xml:space="preserve">S/F  </v>
      </c>
      <c r="G20" s="16"/>
      <c r="H20" s="17">
        <v>21</v>
      </c>
      <c r="I20" s="18">
        <f t="shared" si="1"/>
        <v>0</v>
      </c>
      <c r="J20" s="17"/>
      <c r="K20" s="18"/>
      <c r="L20" s="16"/>
      <c r="M20" s="17"/>
      <c r="N20" s="18">
        <f t="shared" si="2"/>
        <v>0</v>
      </c>
      <c r="O20" s="19"/>
      <c r="P20" s="18">
        <v>0</v>
      </c>
      <c r="Q20" s="16"/>
      <c r="R20" s="17"/>
      <c r="S20" s="18">
        <v>0</v>
      </c>
      <c r="T20" s="19"/>
      <c r="U20" s="18">
        <v>0</v>
      </c>
      <c r="V20" s="16"/>
      <c r="W20" s="17"/>
      <c r="X20" s="18">
        <f t="shared" si="3"/>
        <v>0</v>
      </c>
      <c r="Y20" s="19"/>
      <c r="Z20" s="19"/>
      <c r="AA20" s="18">
        <f t="shared" si="4"/>
        <v>0</v>
      </c>
      <c r="AB20" s="20">
        <f t="shared" si="5"/>
        <v>0</v>
      </c>
      <c r="AC20" s="5"/>
      <c r="AD20" s="8"/>
      <c r="AF20" s="6"/>
      <c r="AG20" s="7"/>
      <c r="AJ20" s="33"/>
      <c r="AK20" s="35"/>
      <c r="AL20" s="38"/>
    </row>
    <row r="21" spans="1:38" ht="17.25" customHeight="1">
      <c r="A21" s="25"/>
      <c r="B21" s="26"/>
      <c r="C21" s="14"/>
      <c r="D21" s="31"/>
      <c r="E21" s="14"/>
      <c r="F21" s="15" t="str">
        <f t="shared" si="0"/>
        <v xml:space="preserve">S/F  </v>
      </c>
      <c r="G21" s="16"/>
      <c r="H21" s="17">
        <v>21</v>
      </c>
      <c r="I21" s="18">
        <f t="shared" si="1"/>
        <v>0</v>
      </c>
      <c r="J21" s="17"/>
      <c r="K21" s="18"/>
      <c r="L21" s="16"/>
      <c r="M21" s="17"/>
      <c r="N21" s="18">
        <f t="shared" si="2"/>
        <v>0</v>
      </c>
      <c r="O21" s="19"/>
      <c r="P21" s="18">
        <v>0</v>
      </c>
      <c r="Q21" s="16"/>
      <c r="R21" s="17"/>
      <c r="S21" s="18">
        <v>0</v>
      </c>
      <c r="T21" s="19"/>
      <c r="U21" s="18">
        <v>0</v>
      </c>
      <c r="V21" s="16"/>
      <c r="W21" s="17"/>
      <c r="X21" s="18">
        <f t="shared" si="3"/>
        <v>0</v>
      </c>
      <c r="Y21" s="19"/>
      <c r="Z21" s="19"/>
      <c r="AA21" s="18">
        <f t="shared" si="4"/>
        <v>0</v>
      </c>
      <c r="AB21" s="20">
        <f t="shared" si="5"/>
        <v>0</v>
      </c>
      <c r="AC21" s="5"/>
      <c r="AD21" s="8"/>
      <c r="AF21" s="6"/>
      <c r="AG21" s="7"/>
      <c r="AJ21" s="33"/>
      <c r="AK21" s="35"/>
      <c r="AL21" s="38"/>
    </row>
    <row r="22" spans="1:38" ht="17.25" customHeight="1">
      <c r="A22" s="25"/>
      <c r="B22" s="26"/>
      <c r="C22" s="14"/>
      <c r="D22" s="31"/>
      <c r="E22" s="14"/>
      <c r="F22" s="15" t="str">
        <f t="shared" si="0"/>
        <v xml:space="preserve">S/F  </v>
      </c>
      <c r="G22" s="16"/>
      <c r="H22" s="17">
        <v>21</v>
      </c>
      <c r="I22" s="18">
        <f t="shared" si="1"/>
        <v>0</v>
      </c>
      <c r="J22" s="17"/>
      <c r="K22" s="18"/>
      <c r="L22" s="16"/>
      <c r="M22" s="17"/>
      <c r="N22" s="18">
        <f t="shared" si="2"/>
        <v>0</v>
      </c>
      <c r="O22" s="19"/>
      <c r="P22" s="18">
        <v>0</v>
      </c>
      <c r="Q22" s="16"/>
      <c r="R22" s="17"/>
      <c r="S22" s="18">
        <v>0</v>
      </c>
      <c r="T22" s="19"/>
      <c r="U22" s="18">
        <v>0</v>
      </c>
      <c r="V22" s="16"/>
      <c r="W22" s="17"/>
      <c r="X22" s="18">
        <f t="shared" si="3"/>
        <v>0</v>
      </c>
      <c r="Y22" s="19"/>
      <c r="Z22" s="19"/>
      <c r="AA22" s="18">
        <f t="shared" si="4"/>
        <v>0</v>
      </c>
      <c r="AB22" s="20">
        <f t="shared" si="5"/>
        <v>0</v>
      </c>
      <c r="AC22" s="5"/>
      <c r="AD22" s="8"/>
      <c r="AF22" s="6"/>
      <c r="AG22" s="7"/>
      <c r="AJ22" s="33"/>
      <c r="AK22" s="35"/>
      <c r="AL22" s="38"/>
    </row>
    <row r="23" spans="1:38" ht="17.25" customHeight="1">
      <c r="A23" s="25"/>
      <c r="B23" s="26"/>
      <c r="C23" s="14"/>
      <c r="D23" s="31"/>
      <c r="E23" s="14"/>
      <c r="F23" s="15" t="str">
        <f t="shared" si="0"/>
        <v xml:space="preserve">S/F  </v>
      </c>
      <c r="G23" s="16"/>
      <c r="H23" s="17">
        <v>21</v>
      </c>
      <c r="I23" s="18">
        <f t="shared" si="1"/>
        <v>0</v>
      </c>
      <c r="J23" s="17"/>
      <c r="K23" s="18"/>
      <c r="L23" s="16"/>
      <c r="M23" s="17"/>
      <c r="N23" s="18">
        <f t="shared" si="2"/>
        <v>0</v>
      </c>
      <c r="O23" s="19"/>
      <c r="P23" s="18">
        <v>0</v>
      </c>
      <c r="Q23" s="16"/>
      <c r="R23" s="17"/>
      <c r="S23" s="18">
        <v>0</v>
      </c>
      <c r="T23" s="19"/>
      <c r="U23" s="18">
        <v>0</v>
      </c>
      <c r="V23" s="16"/>
      <c r="W23" s="17"/>
      <c r="X23" s="18">
        <f t="shared" si="3"/>
        <v>0</v>
      </c>
      <c r="Y23" s="19"/>
      <c r="Z23" s="19"/>
      <c r="AA23" s="18">
        <f t="shared" si="4"/>
        <v>0</v>
      </c>
      <c r="AB23" s="20">
        <f t="shared" si="5"/>
        <v>0</v>
      </c>
      <c r="AC23" s="5"/>
      <c r="AD23" s="8"/>
      <c r="AF23" s="6"/>
      <c r="AG23" s="7"/>
      <c r="AJ23" s="33"/>
      <c r="AK23" s="35"/>
      <c r="AL23" s="38"/>
    </row>
    <row r="24" spans="1:38" ht="17.25" customHeight="1">
      <c r="A24" s="25"/>
      <c r="B24" s="26"/>
      <c r="C24" s="14"/>
      <c r="D24" s="31"/>
      <c r="E24" s="14"/>
      <c r="F24" s="15" t="str">
        <f t="shared" si="0"/>
        <v xml:space="preserve">S/F  </v>
      </c>
      <c r="G24" s="16"/>
      <c r="H24" s="17">
        <v>21</v>
      </c>
      <c r="I24" s="18">
        <f t="shared" si="1"/>
        <v>0</v>
      </c>
      <c r="J24" s="17"/>
      <c r="K24" s="18"/>
      <c r="L24" s="16"/>
      <c r="M24" s="17"/>
      <c r="N24" s="18">
        <f t="shared" si="2"/>
        <v>0</v>
      </c>
      <c r="O24" s="19"/>
      <c r="P24" s="18">
        <v>0</v>
      </c>
      <c r="Q24" s="16"/>
      <c r="R24" s="17"/>
      <c r="S24" s="18">
        <v>0</v>
      </c>
      <c r="T24" s="19"/>
      <c r="U24" s="18">
        <v>0</v>
      </c>
      <c r="V24" s="16"/>
      <c r="W24" s="17"/>
      <c r="X24" s="18">
        <f t="shared" si="3"/>
        <v>0</v>
      </c>
      <c r="Y24" s="19"/>
      <c r="Z24" s="19"/>
      <c r="AA24" s="18">
        <f t="shared" si="4"/>
        <v>0</v>
      </c>
      <c r="AB24" s="20">
        <f t="shared" si="5"/>
        <v>0</v>
      </c>
      <c r="AC24" s="5"/>
      <c r="AD24" s="8"/>
      <c r="AF24" s="6"/>
      <c r="AG24" s="7"/>
      <c r="AJ24" s="33"/>
      <c r="AK24" s="35"/>
      <c r="AL24" s="38"/>
    </row>
    <row r="25" spans="1:38" ht="17.25" customHeight="1">
      <c r="A25" s="25"/>
      <c r="B25" s="26"/>
      <c r="C25" s="14"/>
      <c r="D25" s="31"/>
      <c r="E25" s="14"/>
      <c r="F25" s="15" t="str">
        <f t="shared" si="0"/>
        <v xml:space="preserve">S/F  </v>
      </c>
      <c r="G25" s="16"/>
      <c r="H25" s="17">
        <v>21</v>
      </c>
      <c r="I25" s="18">
        <f t="shared" si="1"/>
        <v>0</v>
      </c>
      <c r="J25" s="17"/>
      <c r="K25" s="18"/>
      <c r="L25" s="16"/>
      <c r="M25" s="17"/>
      <c r="N25" s="18">
        <f t="shared" si="2"/>
        <v>0</v>
      </c>
      <c r="O25" s="19"/>
      <c r="P25" s="18">
        <v>0</v>
      </c>
      <c r="Q25" s="16"/>
      <c r="R25" s="17"/>
      <c r="S25" s="18">
        <v>0</v>
      </c>
      <c r="T25" s="19"/>
      <c r="U25" s="18">
        <v>0</v>
      </c>
      <c r="V25" s="16"/>
      <c r="W25" s="17"/>
      <c r="X25" s="18">
        <f t="shared" si="3"/>
        <v>0</v>
      </c>
      <c r="Y25" s="19"/>
      <c r="Z25" s="19"/>
      <c r="AA25" s="18">
        <f t="shared" si="4"/>
        <v>0</v>
      </c>
      <c r="AB25" s="20">
        <f t="shared" si="5"/>
        <v>0</v>
      </c>
      <c r="AC25" s="5"/>
      <c r="AD25" s="8"/>
      <c r="AF25" s="6"/>
      <c r="AG25" s="7"/>
      <c r="AJ25" s="33"/>
      <c r="AK25" s="35"/>
      <c r="AL25" s="38"/>
    </row>
    <row r="26" spans="1:38" ht="17.25" customHeight="1">
      <c r="A26" s="25"/>
      <c r="B26" s="26"/>
      <c r="C26" s="14"/>
      <c r="D26" s="31"/>
      <c r="E26" s="14"/>
      <c r="F26" s="15" t="str">
        <f t="shared" si="0"/>
        <v xml:space="preserve">S/F  </v>
      </c>
      <c r="G26" s="16"/>
      <c r="H26" s="17">
        <v>21</v>
      </c>
      <c r="I26" s="18">
        <f t="shared" si="1"/>
        <v>0</v>
      </c>
      <c r="J26" s="17"/>
      <c r="K26" s="18"/>
      <c r="L26" s="16"/>
      <c r="M26" s="17"/>
      <c r="N26" s="18">
        <f t="shared" si="2"/>
        <v>0</v>
      </c>
      <c r="O26" s="19"/>
      <c r="P26" s="18">
        <v>0</v>
      </c>
      <c r="Q26" s="16"/>
      <c r="R26" s="17"/>
      <c r="S26" s="18">
        <v>0</v>
      </c>
      <c r="T26" s="19"/>
      <c r="U26" s="18">
        <v>0</v>
      </c>
      <c r="V26" s="16"/>
      <c r="W26" s="17"/>
      <c r="X26" s="18">
        <f t="shared" si="3"/>
        <v>0</v>
      </c>
      <c r="Y26" s="19"/>
      <c r="Z26" s="19"/>
      <c r="AA26" s="18">
        <f t="shared" si="4"/>
        <v>0</v>
      </c>
      <c r="AB26" s="20">
        <f t="shared" si="5"/>
        <v>0</v>
      </c>
      <c r="AC26" s="5"/>
      <c r="AD26" s="8"/>
      <c r="AF26" s="6"/>
      <c r="AG26" s="7"/>
      <c r="AJ26" s="33"/>
      <c r="AK26" s="35"/>
      <c r="AL26" s="38"/>
    </row>
    <row r="27" spans="1:38" ht="17.25" customHeight="1">
      <c r="A27" s="25"/>
      <c r="B27" s="26"/>
      <c r="C27" s="14"/>
      <c r="D27" s="31"/>
      <c r="E27" s="14"/>
      <c r="F27" s="15" t="str">
        <f t="shared" si="0"/>
        <v xml:space="preserve">S/F  </v>
      </c>
      <c r="G27" s="16"/>
      <c r="H27" s="17">
        <v>21</v>
      </c>
      <c r="I27" s="18">
        <f t="shared" si="1"/>
        <v>0</v>
      </c>
      <c r="J27" s="17"/>
      <c r="K27" s="18"/>
      <c r="L27" s="16"/>
      <c r="M27" s="17"/>
      <c r="N27" s="18">
        <f t="shared" si="2"/>
        <v>0</v>
      </c>
      <c r="O27" s="19"/>
      <c r="P27" s="18">
        <v>0</v>
      </c>
      <c r="Q27" s="16"/>
      <c r="R27" s="17"/>
      <c r="S27" s="18">
        <v>0</v>
      </c>
      <c r="T27" s="19"/>
      <c r="U27" s="18">
        <v>0</v>
      </c>
      <c r="V27" s="16"/>
      <c r="W27" s="17"/>
      <c r="X27" s="18">
        <f t="shared" si="3"/>
        <v>0</v>
      </c>
      <c r="Y27" s="19"/>
      <c r="Z27" s="19"/>
      <c r="AA27" s="18">
        <f t="shared" si="4"/>
        <v>0</v>
      </c>
      <c r="AB27" s="20">
        <f t="shared" si="5"/>
        <v>0</v>
      </c>
      <c r="AC27" s="5"/>
      <c r="AD27" s="8"/>
      <c r="AF27" s="6"/>
      <c r="AG27" s="7"/>
      <c r="AJ27" s="33"/>
      <c r="AK27" s="35"/>
      <c r="AL27" s="38"/>
    </row>
    <row r="28" spans="1:38" ht="17.25" customHeight="1">
      <c r="A28" s="25"/>
      <c r="B28" s="26"/>
      <c r="C28" s="14"/>
      <c r="D28" s="31"/>
      <c r="E28" s="14"/>
      <c r="F28" s="15" t="str">
        <f t="shared" si="0"/>
        <v xml:space="preserve">S/F  </v>
      </c>
      <c r="G28" s="16"/>
      <c r="H28" s="17">
        <v>21</v>
      </c>
      <c r="I28" s="18">
        <f t="shared" si="1"/>
        <v>0</v>
      </c>
      <c r="J28" s="17"/>
      <c r="K28" s="18"/>
      <c r="L28" s="16"/>
      <c r="M28" s="17"/>
      <c r="N28" s="18">
        <f t="shared" si="2"/>
        <v>0</v>
      </c>
      <c r="O28" s="19"/>
      <c r="P28" s="18">
        <v>0</v>
      </c>
      <c r="Q28" s="16"/>
      <c r="R28" s="17"/>
      <c r="S28" s="18">
        <v>0</v>
      </c>
      <c r="T28" s="19"/>
      <c r="U28" s="18">
        <v>0</v>
      </c>
      <c r="V28" s="16"/>
      <c r="W28" s="17"/>
      <c r="X28" s="18">
        <f t="shared" si="3"/>
        <v>0</v>
      </c>
      <c r="Y28" s="19"/>
      <c r="Z28" s="19"/>
      <c r="AA28" s="18">
        <f t="shared" si="4"/>
        <v>0</v>
      </c>
      <c r="AB28" s="20">
        <f t="shared" si="5"/>
        <v>0</v>
      </c>
      <c r="AC28" s="5"/>
      <c r="AD28" s="8"/>
      <c r="AF28" s="6"/>
      <c r="AG28" s="7"/>
      <c r="AJ28" s="33"/>
      <c r="AK28" s="35"/>
      <c r="AL28" s="38"/>
    </row>
    <row r="29" spans="1:38" ht="17.25" customHeight="1">
      <c r="A29" s="25"/>
      <c r="B29" s="26"/>
      <c r="C29" s="14"/>
      <c r="D29" s="31"/>
      <c r="E29" s="14"/>
      <c r="F29" s="15" t="str">
        <f t="shared" si="0"/>
        <v xml:space="preserve">S/F  </v>
      </c>
      <c r="G29" s="16"/>
      <c r="H29" s="17">
        <v>21</v>
      </c>
      <c r="I29" s="18">
        <f t="shared" si="1"/>
        <v>0</v>
      </c>
      <c r="J29" s="17"/>
      <c r="K29" s="18"/>
      <c r="L29" s="16"/>
      <c r="M29" s="17"/>
      <c r="N29" s="18">
        <f t="shared" si="2"/>
        <v>0</v>
      </c>
      <c r="O29" s="19"/>
      <c r="P29" s="18">
        <v>0</v>
      </c>
      <c r="Q29" s="16"/>
      <c r="R29" s="17"/>
      <c r="S29" s="18">
        <v>0</v>
      </c>
      <c r="T29" s="19"/>
      <c r="U29" s="18">
        <v>0</v>
      </c>
      <c r="V29" s="16"/>
      <c r="W29" s="17"/>
      <c r="X29" s="18">
        <f t="shared" si="3"/>
        <v>0</v>
      </c>
      <c r="Y29" s="19"/>
      <c r="Z29" s="19"/>
      <c r="AA29" s="18">
        <f t="shared" si="4"/>
        <v>0</v>
      </c>
      <c r="AB29" s="20">
        <f t="shared" si="5"/>
        <v>0</v>
      </c>
      <c r="AC29" s="5"/>
      <c r="AD29" s="8"/>
      <c r="AF29" s="6"/>
      <c r="AG29" s="7"/>
      <c r="AJ29" s="33"/>
      <c r="AK29" s="35"/>
      <c r="AL29" s="38"/>
    </row>
    <row r="30" spans="1:38" ht="17.25" customHeight="1">
      <c r="A30" s="25"/>
      <c r="B30" s="26"/>
      <c r="C30" s="14"/>
      <c r="D30" s="26"/>
      <c r="E30" s="14"/>
      <c r="F30" s="15" t="str">
        <f t="shared" si="0"/>
        <v xml:space="preserve">S/F  </v>
      </c>
      <c r="G30" s="16"/>
      <c r="H30" s="17">
        <v>21</v>
      </c>
      <c r="I30" s="18">
        <f t="shared" si="1"/>
        <v>0</v>
      </c>
      <c r="J30" s="17"/>
      <c r="K30" s="18"/>
      <c r="L30" s="16"/>
      <c r="M30" s="17"/>
      <c r="N30" s="18">
        <f t="shared" si="2"/>
        <v>0</v>
      </c>
      <c r="O30" s="19"/>
      <c r="P30" s="18">
        <v>0</v>
      </c>
      <c r="Q30" s="16"/>
      <c r="R30" s="17"/>
      <c r="S30" s="18">
        <v>0</v>
      </c>
      <c r="T30" s="19"/>
      <c r="U30" s="18">
        <v>0</v>
      </c>
      <c r="V30" s="16"/>
      <c r="W30" s="17"/>
      <c r="X30" s="18">
        <f t="shared" si="3"/>
        <v>0</v>
      </c>
      <c r="Y30" s="19"/>
      <c r="Z30" s="19"/>
      <c r="AA30" s="18">
        <f t="shared" si="4"/>
        <v>0</v>
      </c>
      <c r="AB30" s="20">
        <f t="shared" si="5"/>
        <v>0</v>
      </c>
      <c r="AC30" s="5"/>
      <c r="AD30" s="8"/>
      <c r="AF30" s="6"/>
      <c r="AG30" s="7"/>
      <c r="AJ30" s="33"/>
      <c r="AK30" s="35"/>
      <c r="AL30" s="38"/>
    </row>
    <row r="31" spans="1:38" ht="17.25" customHeight="1">
      <c r="A31" s="25"/>
      <c r="B31" s="26"/>
      <c r="C31" s="14"/>
      <c r="D31" s="31"/>
      <c r="E31" s="14"/>
      <c r="F31" s="15" t="str">
        <f t="shared" si="0"/>
        <v xml:space="preserve">S/F  </v>
      </c>
      <c r="G31" s="16"/>
      <c r="H31" s="17">
        <v>21</v>
      </c>
      <c r="I31" s="18">
        <f t="shared" si="1"/>
        <v>0</v>
      </c>
      <c r="J31" s="17"/>
      <c r="K31" s="18"/>
      <c r="L31" s="16"/>
      <c r="M31" s="17"/>
      <c r="N31" s="18">
        <f t="shared" si="2"/>
        <v>0</v>
      </c>
      <c r="O31" s="19"/>
      <c r="P31" s="18">
        <v>0</v>
      </c>
      <c r="Q31" s="16"/>
      <c r="R31" s="17"/>
      <c r="S31" s="18">
        <v>0</v>
      </c>
      <c r="T31" s="19"/>
      <c r="U31" s="18">
        <v>0</v>
      </c>
      <c r="V31" s="16"/>
      <c r="W31" s="17"/>
      <c r="X31" s="18">
        <f t="shared" si="3"/>
        <v>0</v>
      </c>
      <c r="Y31" s="19"/>
      <c r="Z31" s="19"/>
      <c r="AA31" s="18">
        <f t="shared" si="4"/>
        <v>0</v>
      </c>
      <c r="AB31" s="20">
        <f t="shared" si="5"/>
        <v>0</v>
      </c>
      <c r="AC31" s="5"/>
      <c r="AD31" s="8"/>
      <c r="AF31" s="6"/>
      <c r="AG31" s="7"/>
      <c r="AJ31" s="33"/>
      <c r="AK31" s="35"/>
      <c r="AL31" s="38"/>
    </row>
    <row r="32" spans="1:38" ht="17.25" customHeight="1">
      <c r="A32" s="25"/>
      <c r="B32" s="26"/>
      <c r="C32" s="14"/>
      <c r="D32" s="31"/>
      <c r="E32" s="14"/>
      <c r="F32" s="15" t="str">
        <f t="shared" si="0"/>
        <v xml:space="preserve">S/F  </v>
      </c>
      <c r="G32" s="16"/>
      <c r="H32" s="17">
        <v>21</v>
      </c>
      <c r="I32" s="18">
        <f t="shared" si="1"/>
        <v>0</v>
      </c>
      <c r="J32" s="17"/>
      <c r="K32" s="18"/>
      <c r="L32" s="16"/>
      <c r="M32" s="17"/>
      <c r="N32" s="18">
        <f t="shared" si="2"/>
        <v>0</v>
      </c>
      <c r="O32" s="19"/>
      <c r="P32" s="18">
        <v>0</v>
      </c>
      <c r="Q32" s="16"/>
      <c r="R32" s="17"/>
      <c r="S32" s="18">
        <v>0</v>
      </c>
      <c r="T32" s="19"/>
      <c r="U32" s="18">
        <v>0</v>
      </c>
      <c r="V32" s="16"/>
      <c r="W32" s="17"/>
      <c r="X32" s="18">
        <f t="shared" si="3"/>
        <v>0</v>
      </c>
      <c r="Y32" s="19"/>
      <c r="Z32" s="19"/>
      <c r="AA32" s="18">
        <f t="shared" si="4"/>
        <v>0</v>
      </c>
      <c r="AB32" s="20">
        <f t="shared" si="5"/>
        <v>0</v>
      </c>
      <c r="AC32" s="5"/>
      <c r="AD32" s="8"/>
      <c r="AF32" s="6"/>
      <c r="AG32" s="7"/>
      <c r="AJ32" s="33"/>
      <c r="AK32" s="35"/>
      <c r="AL32" s="38"/>
    </row>
    <row r="33" spans="1:38" ht="17.25" customHeight="1">
      <c r="A33" s="25"/>
      <c r="B33" s="26"/>
      <c r="C33" s="14"/>
      <c r="D33" s="31"/>
      <c r="E33" s="14"/>
      <c r="F33" s="15" t="str">
        <f t="shared" si="0"/>
        <v xml:space="preserve">S/F  </v>
      </c>
      <c r="G33" s="16"/>
      <c r="H33" s="17">
        <v>21</v>
      </c>
      <c r="I33" s="18">
        <f t="shared" si="1"/>
        <v>0</v>
      </c>
      <c r="J33" s="17"/>
      <c r="K33" s="18"/>
      <c r="L33" s="16"/>
      <c r="M33" s="17"/>
      <c r="N33" s="18">
        <f t="shared" si="2"/>
        <v>0</v>
      </c>
      <c r="O33" s="19"/>
      <c r="P33" s="18">
        <v>0</v>
      </c>
      <c r="Q33" s="16"/>
      <c r="R33" s="17"/>
      <c r="S33" s="18">
        <v>0</v>
      </c>
      <c r="T33" s="19"/>
      <c r="U33" s="18">
        <v>0</v>
      </c>
      <c r="V33" s="16"/>
      <c r="W33" s="17"/>
      <c r="X33" s="18">
        <f t="shared" si="3"/>
        <v>0</v>
      </c>
      <c r="Y33" s="19"/>
      <c r="Z33" s="19"/>
      <c r="AA33" s="18">
        <f t="shared" si="4"/>
        <v>0</v>
      </c>
      <c r="AB33" s="20">
        <f t="shared" si="5"/>
        <v>0</v>
      </c>
      <c r="AC33" s="5"/>
      <c r="AD33" s="8"/>
      <c r="AF33" s="6"/>
      <c r="AG33" s="7"/>
      <c r="AJ33" s="33"/>
      <c r="AK33" s="35"/>
      <c r="AL33" s="38"/>
    </row>
    <row r="34" spans="1:38" ht="17.25" customHeight="1">
      <c r="A34" s="25"/>
      <c r="B34" s="26"/>
      <c r="C34" s="14"/>
      <c r="D34" s="31"/>
      <c r="E34" s="14"/>
      <c r="F34" s="15" t="str">
        <f t="shared" si="0"/>
        <v xml:space="preserve">S/F  </v>
      </c>
      <c r="G34" s="16"/>
      <c r="H34" s="17">
        <v>21</v>
      </c>
      <c r="I34" s="18">
        <f t="shared" si="1"/>
        <v>0</v>
      </c>
      <c r="J34" s="17"/>
      <c r="K34" s="18"/>
      <c r="L34" s="16"/>
      <c r="M34" s="17"/>
      <c r="N34" s="18">
        <f t="shared" si="2"/>
        <v>0</v>
      </c>
      <c r="O34" s="19"/>
      <c r="P34" s="18">
        <v>0</v>
      </c>
      <c r="Q34" s="16"/>
      <c r="R34" s="17"/>
      <c r="S34" s="18">
        <v>0</v>
      </c>
      <c r="T34" s="19"/>
      <c r="U34" s="18">
        <v>0</v>
      </c>
      <c r="V34" s="16"/>
      <c r="W34" s="17"/>
      <c r="X34" s="18">
        <f t="shared" si="3"/>
        <v>0</v>
      </c>
      <c r="Y34" s="19"/>
      <c r="Z34" s="19"/>
      <c r="AA34" s="18">
        <f t="shared" si="4"/>
        <v>0</v>
      </c>
      <c r="AB34" s="20">
        <f t="shared" si="5"/>
        <v>0</v>
      </c>
      <c r="AC34" s="5"/>
      <c r="AD34" s="8"/>
      <c r="AF34" s="6"/>
      <c r="AG34" s="7"/>
      <c r="AJ34" s="33"/>
      <c r="AK34" s="35"/>
      <c r="AL34" s="38"/>
    </row>
    <row r="35" spans="1:38" ht="17.25" customHeight="1">
      <c r="A35" s="25"/>
      <c r="B35" s="26"/>
      <c r="C35" s="14"/>
      <c r="D35" s="31"/>
      <c r="E35" s="14"/>
      <c r="F35" s="15" t="str">
        <f t="shared" si="0"/>
        <v xml:space="preserve">S/F  </v>
      </c>
      <c r="G35" s="16"/>
      <c r="H35" s="17">
        <v>21</v>
      </c>
      <c r="I35" s="18">
        <f t="shared" si="1"/>
        <v>0</v>
      </c>
      <c r="J35" s="17"/>
      <c r="K35" s="18"/>
      <c r="L35" s="16"/>
      <c r="M35" s="17"/>
      <c r="N35" s="18">
        <f t="shared" si="2"/>
        <v>0</v>
      </c>
      <c r="O35" s="19"/>
      <c r="P35" s="18">
        <v>0</v>
      </c>
      <c r="Q35" s="16"/>
      <c r="R35" s="17"/>
      <c r="S35" s="18">
        <v>0</v>
      </c>
      <c r="T35" s="19"/>
      <c r="U35" s="18">
        <v>0</v>
      </c>
      <c r="V35" s="16"/>
      <c r="W35" s="17"/>
      <c r="X35" s="18">
        <f t="shared" si="3"/>
        <v>0</v>
      </c>
      <c r="Y35" s="19"/>
      <c r="Z35" s="19"/>
      <c r="AA35" s="18">
        <f t="shared" si="4"/>
        <v>0</v>
      </c>
      <c r="AB35" s="20">
        <f t="shared" si="5"/>
        <v>0</v>
      </c>
      <c r="AC35" s="5"/>
      <c r="AD35" s="8"/>
      <c r="AF35" s="6"/>
      <c r="AG35" s="7"/>
      <c r="AJ35" s="33"/>
      <c r="AK35" s="35"/>
      <c r="AL35" s="38"/>
    </row>
    <row r="36" spans="1:38" ht="17.25" customHeight="1">
      <c r="A36" s="25"/>
      <c r="B36" s="26"/>
      <c r="C36" s="14"/>
      <c r="D36" s="31"/>
      <c r="E36" s="14"/>
      <c r="F36" s="15" t="str">
        <f t="shared" si="0"/>
        <v xml:space="preserve">S/F  </v>
      </c>
      <c r="G36" s="16"/>
      <c r="H36" s="17">
        <v>21</v>
      </c>
      <c r="I36" s="18">
        <f t="shared" si="1"/>
        <v>0</v>
      </c>
      <c r="J36" s="17"/>
      <c r="K36" s="18"/>
      <c r="L36" s="16"/>
      <c r="M36" s="17"/>
      <c r="N36" s="18">
        <f t="shared" si="2"/>
        <v>0</v>
      </c>
      <c r="O36" s="19"/>
      <c r="P36" s="18">
        <v>0</v>
      </c>
      <c r="Q36" s="16"/>
      <c r="R36" s="17"/>
      <c r="S36" s="18">
        <v>0</v>
      </c>
      <c r="T36" s="19"/>
      <c r="U36" s="18">
        <v>0</v>
      </c>
      <c r="V36" s="16"/>
      <c r="W36" s="17"/>
      <c r="X36" s="18">
        <f t="shared" si="3"/>
        <v>0</v>
      </c>
      <c r="Y36" s="19"/>
      <c r="Z36" s="19"/>
      <c r="AA36" s="18">
        <f t="shared" si="4"/>
        <v>0</v>
      </c>
      <c r="AB36" s="20">
        <f t="shared" si="5"/>
        <v>0</v>
      </c>
      <c r="AC36" s="5"/>
      <c r="AD36" s="8"/>
      <c r="AF36" s="6"/>
      <c r="AG36" s="7"/>
      <c r="AJ36" s="33"/>
      <c r="AK36" s="35"/>
      <c r="AL36" s="38"/>
    </row>
    <row r="37" spans="1:38" ht="17.25" customHeight="1">
      <c r="A37" s="25"/>
      <c r="B37" s="26"/>
      <c r="C37" s="14"/>
      <c r="D37" s="31"/>
      <c r="E37" s="14"/>
      <c r="F37" s="15" t="str">
        <f t="shared" si="0"/>
        <v xml:space="preserve">S/F  </v>
      </c>
      <c r="G37" s="16"/>
      <c r="H37" s="17">
        <v>21</v>
      </c>
      <c r="I37" s="18">
        <f t="shared" si="1"/>
        <v>0</v>
      </c>
      <c r="J37" s="17"/>
      <c r="K37" s="18"/>
      <c r="L37" s="16"/>
      <c r="M37" s="17"/>
      <c r="N37" s="18">
        <f t="shared" si="2"/>
        <v>0</v>
      </c>
      <c r="O37" s="19"/>
      <c r="P37" s="18">
        <v>0</v>
      </c>
      <c r="Q37" s="16"/>
      <c r="R37" s="17"/>
      <c r="S37" s="18">
        <v>0</v>
      </c>
      <c r="T37" s="19"/>
      <c r="U37" s="18">
        <v>0</v>
      </c>
      <c r="V37" s="16"/>
      <c r="W37" s="17"/>
      <c r="X37" s="18">
        <f t="shared" si="3"/>
        <v>0</v>
      </c>
      <c r="Y37" s="19"/>
      <c r="Z37" s="19"/>
      <c r="AA37" s="18">
        <f t="shared" si="4"/>
        <v>0</v>
      </c>
      <c r="AB37" s="20">
        <f t="shared" si="5"/>
        <v>0</v>
      </c>
      <c r="AC37" s="5"/>
      <c r="AD37" s="8"/>
      <c r="AF37" s="6"/>
      <c r="AG37" s="7"/>
      <c r="AJ37" s="33"/>
      <c r="AK37" s="35"/>
      <c r="AL37" s="38"/>
    </row>
    <row r="38" spans="1:38" ht="17.25" customHeight="1">
      <c r="A38" s="25"/>
      <c r="B38" s="26"/>
      <c r="C38" s="14"/>
      <c r="D38" s="31"/>
      <c r="E38" s="14"/>
      <c r="F38" s="15" t="str">
        <f t="shared" si="0"/>
        <v xml:space="preserve">S/F  </v>
      </c>
      <c r="G38" s="16"/>
      <c r="H38" s="17">
        <v>21</v>
      </c>
      <c r="I38" s="18">
        <f t="shared" si="1"/>
        <v>0</v>
      </c>
      <c r="J38" s="17"/>
      <c r="K38" s="18"/>
      <c r="L38" s="16"/>
      <c r="M38" s="17"/>
      <c r="N38" s="18">
        <f t="shared" si="2"/>
        <v>0</v>
      </c>
      <c r="O38" s="19"/>
      <c r="P38" s="18">
        <v>0</v>
      </c>
      <c r="Q38" s="16"/>
      <c r="R38" s="17"/>
      <c r="S38" s="18">
        <v>0</v>
      </c>
      <c r="T38" s="19"/>
      <c r="U38" s="18">
        <v>0</v>
      </c>
      <c r="V38" s="16"/>
      <c r="W38" s="17"/>
      <c r="X38" s="18">
        <f t="shared" si="3"/>
        <v>0</v>
      </c>
      <c r="Y38" s="19"/>
      <c r="Z38" s="19"/>
      <c r="AA38" s="18">
        <f t="shared" si="4"/>
        <v>0</v>
      </c>
      <c r="AB38" s="20">
        <f t="shared" si="5"/>
        <v>0</v>
      </c>
      <c r="AC38" s="5"/>
      <c r="AD38" s="8"/>
      <c r="AF38" s="6"/>
      <c r="AG38" s="7"/>
      <c r="AJ38" s="33"/>
      <c r="AK38" s="35"/>
      <c r="AL38" s="38"/>
    </row>
    <row r="39" spans="1:38" ht="17.25" customHeight="1">
      <c r="A39" s="25"/>
      <c r="B39" s="26"/>
      <c r="C39" s="14"/>
      <c r="D39" s="31"/>
      <c r="E39" s="14"/>
      <c r="F39" s="15" t="str">
        <f t="shared" si="0"/>
        <v xml:space="preserve">S/F  </v>
      </c>
      <c r="G39" s="16"/>
      <c r="H39" s="17">
        <v>21</v>
      </c>
      <c r="I39" s="18">
        <f t="shared" si="1"/>
        <v>0</v>
      </c>
      <c r="J39" s="17"/>
      <c r="K39" s="18"/>
      <c r="L39" s="16"/>
      <c r="M39" s="17"/>
      <c r="N39" s="18">
        <f t="shared" si="2"/>
        <v>0</v>
      </c>
      <c r="O39" s="19"/>
      <c r="P39" s="18">
        <v>0</v>
      </c>
      <c r="Q39" s="16"/>
      <c r="R39" s="17"/>
      <c r="S39" s="18">
        <v>0</v>
      </c>
      <c r="T39" s="19"/>
      <c r="U39" s="18">
        <v>0</v>
      </c>
      <c r="V39" s="16"/>
      <c r="W39" s="17"/>
      <c r="X39" s="18">
        <f t="shared" si="3"/>
        <v>0</v>
      </c>
      <c r="Y39" s="19"/>
      <c r="Z39" s="19"/>
      <c r="AA39" s="18">
        <f t="shared" si="4"/>
        <v>0</v>
      </c>
      <c r="AB39" s="20">
        <f t="shared" si="5"/>
        <v>0</v>
      </c>
      <c r="AC39" s="5"/>
      <c r="AD39" s="8"/>
      <c r="AF39" s="6"/>
      <c r="AG39" s="7"/>
      <c r="AJ39" s="33"/>
      <c r="AK39" s="35"/>
      <c r="AL39" s="38"/>
    </row>
    <row r="40" spans="1:38" ht="17.25" customHeight="1">
      <c r="A40" s="25"/>
      <c r="B40" s="26"/>
      <c r="C40" s="14"/>
      <c r="D40" s="31"/>
      <c r="E40" s="14"/>
      <c r="F40" s="15" t="str">
        <f t="shared" si="0"/>
        <v xml:space="preserve">S/F  </v>
      </c>
      <c r="G40" s="16"/>
      <c r="H40" s="17">
        <v>21</v>
      </c>
      <c r="I40" s="18">
        <f t="shared" si="1"/>
        <v>0</v>
      </c>
      <c r="J40" s="17"/>
      <c r="K40" s="18"/>
      <c r="L40" s="16"/>
      <c r="M40" s="17"/>
      <c r="N40" s="18">
        <f t="shared" si="2"/>
        <v>0</v>
      </c>
      <c r="O40" s="19"/>
      <c r="P40" s="18">
        <v>0</v>
      </c>
      <c r="Q40" s="16"/>
      <c r="R40" s="17"/>
      <c r="S40" s="18">
        <v>0</v>
      </c>
      <c r="T40" s="19"/>
      <c r="U40" s="18">
        <v>0</v>
      </c>
      <c r="V40" s="16"/>
      <c r="W40" s="17"/>
      <c r="X40" s="18">
        <f t="shared" si="3"/>
        <v>0</v>
      </c>
      <c r="Y40" s="19"/>
      <c r="Z40" s="19"/>
      <c r="AA40" s="18">
        <f t="shared" si="4"/>
        <v>0</v>
      </c>
      <c r="AB40" s="20">
        <f t="shared" si="5"/>
        <v>0</v>
      </c>
      <c r="AC40" s="5"/>
      <c r="AD40" s="8"/>
      <c r="AF40" s="6"/>
      <c r="AG40" s="7"/>
      <c r="AJ40" s="33"/>
      <c r="AK40" s="35"/>
      <c r="AL40" s="38"/>
    </row>
    <row r="41" spans="1:38" ht="17.25" customHeight="1">
      <c r="A41" s="25"/>
      <c r="B41" s="26"/>
      <c r="C41" s="14"/>
      <c r="D41" s="31"/>
      <c r="E41" s="14"/>
      <c r="F41" s="15" t="str">
        <f t="shared" si="0"/>
        <v xml:space="preserve">S/F  </v>
      </c>
      <c r="G41" s="16"/>
      <c r="H41" s="17">
        <v>21</v>
      </c>
      <c r="I41" s="18">
        <f t="shared" si="1"/>
        <v>0</v>
      </c>
      <c r="J41" s="17"/>
      <c r="K41" s="18"/>
      <c r="L41" s="16"/>
      <c r="M41" s="17"/>
      <c r="N41" s="18">
        <f t="shared" si="2"/>
        <v>0</v>
      </c>
      <c r="O41" s="19"/>
      <c r="P41" s="18">
        <v>0</v>
      </c>
      <c r="Q41" s="16"/>
      <c r="R41" s="17"/>
      <c r="S41" s="18">
        <v>0</v>
      </c>
      <c r="T41" s="19"/>
      <c r="U41" s="18">
        <v>0</v>
      </c>
      <c r="V41" s="16"/>
      <c r="W41" s="17"/>
      <c r="X41" s="18">
        <f t="shared" si="3"/>
        <v>0</v>
      </c>
      <c r="Y41" s="19"/>
      <c r="Z41" s="19"/>
      <c r="AA41" s="18">
        <f t="shared" si="4"/>
        <v>0</v>
      </c>
      <c r="AB41" s="20">
        <f t="shared" si="5"/>
        <v>0</v>
      </c>
      <c r="AC41" s="5"/>
      <c r="AD41" s="8"/>
      <c r="AF41" s="6"/>
      <c r="AG41" s="7"/>
      <c r="AJ41" s="33"/>
      <c r="AK41" s="35"/>
      <c r="AL41" s="38"/>
    </row>
    <row r="42" spans="1:38" ht="17.25" customHeight="1">
      <c r="A42" s="25"/>
      <c r="B42" s="26"/>
      <c r="C42" s="14"/>
      <c r="D42" s="31"/>
      <c r="E42" s="14"/>
      <c r="F42" s="15" t="str">
        <f t="shared" si="0"/>
        <v xml:space="preserve">S/F  </v>
      </c>
      <c r="G42" s="16"/>
      <c r="H42" s="17">
        <v>21</v>
      </c>
      <c r="I42" s="18">
        <f t="shared" si="1"/>
        <v>0</v>
      </c>
      <c r="J42" s="17"/>
      <c r="K42" s="18"/>
      <c r="L42" s="16"/>
      <c r="M42" s="17"/>
      <c r="N42" s="18">
        <f t="shared" si="2"/>
        <v>0</v>
      </c>
      <c r="O42" s="19"/>
      <c r="P42" s="18">
        <v>0</v>
      </c>
      <c r="Q42" s="16"/>
      <c r="R42" s="17"/>
      <c r="S42" s="18">
        <v>0</v>
      </c>
      <c r="T42" s="19"/>
      <c r="U42" s="18">
        <v>0</v>
      </c>
      <c r="V42" s="16"/>
      <c r="W42" s="17"/>
      <c r="X42" s="18">
        <f t="shared" si="3"/>
        <v>0</v>
      </c>
      <c r="Y42" s="19"/>
      <c r="Z42" s="19"/>
      <c r="AA42" s="18">
        <f t="shared" si="4"/>
        <v>0</v>
      </c>
      <c r="AB42" s="20">
        <f t="shared" si="5"/>
        <v>0</v>
      </c>
      <c r="AC42" s="5"/>
      <c r="AD42" s="8"/>
      <c r="AF42" s="6"/>
      <c r="AG42" s="7"/>
      <c r="AJ42" s="33"/>
      <c r="AK42" s="35"/>
      <c r="AL42" s="38"/>
    </row>
    <row r="43" spans="1:38" ht="17.25" customHeight="1">
      <c r="A43" s="25"/>
      <c r="B43" s="26"/>
      <c r="C43" s="14"/>
      <c r="D43" s="31"/>
      <c r="E43" s="14"/>
      <c r="F43" s="15" t="str">
        <f t="shared" si="0"/>
        <v xml:space="preserve">S/F  </v>
      </c>
      <c r="G43" s="16"/>
      <c r="H43" s="17">
        <v>21</v>
      </c>
      <c r="I43" s="18">
        <f t="shared" si="1"/>
        <v>0</v>
      </c>
      <c r="J43" s="17"/>
      <c r="K43" s="18"/>
      <c r="L43" s="16"/>
      <c r="M43" s="17"/>
      <c r="N43" s="18">
        <f t="shared" si="2"/>
        <v>0</v>
      </c>
      <c r="O43" s="19"/>
      <c r="P43" s="18">
        <v>0</v>
      </c>
      <c r="Q43" s="16"/>
      <c r="R43" s="17"/>
      <c r="S43" s="18">
        <v>0</v>
      </c>
      <c r="T43" s="19"/>
      <c r="U43" s="18">
        <v>0</v>
      </c>
      <c r="V43" s="16"/>
      <c r="W43" s="17"/>
      <c r="X43" s="18">
        <f t="shared" si="3"/>
        <v>0</v>
      </c>
      <c r="Y43" s="19"/>
      <c r="Z43" s="19"/>
      <c r="AA43" s="18">
        <f t="shared" si="4"/>
        <v>0</v>
      </c>
      <c r="AB43" s="20">
        <f t="shared" si="5"/>
        <v>0</v>
      </c>
      <c r="AC43" s="5"/>
      <c r="AD43" s="8"/>
      <c r="AF43" s="6"/>
      <c r="AG43" s="7"/>
      <c r="AJ43" s="33"/>
      <c r="AK43" s="35"/>
      <c r="AL43" s="38"/>
    </row>
    <row r="44" spans="1:38" ht="17.25" customHeight="1">
      <c r="A44" s="25"/>
      <c r="B44" s="26"/>
      <c r="C44" s="14"/>
      <c r="D44" s="31"/>
      <c r="E44" s="14"/>
      <c r="F44" s="15" t="str">
        <f t="shared" si="0"/>
        <v xml:space="preserve">S/F  </v>
      </c>
      <c r="G44" s="16"/>
      <c r="H44" s="17">
        <v>21</v>
      </c>
      <c r="I44" s="18">
        <f t="shared" si="1"/>
        <v>0</v>
      </c>
      <c r="J44" s="17"/>
      <c r="K44" s="18"/>
      <c r="L44" s="16"/>
      <c r="M44" s="17"/>
      <c r="N44" s="18">
        <f t="shared" si="2"/>
        <v>0</v>
      </c>
      <c r="O44" s="19"/>
      <c r="P44" s="18">
        <v>0</v>
      </c>
      <c r="Q44" s="16"/>
      <c r="R44" s="17"/>
      <c r="S44" s="18">
        <v>0</v>
      </c>
      <c r="T44" s="19"/>
      <c r="U44" s="18">
        <v>0</v>
      </c>
      <c r="V44" s="16"/>
      <c r="W44" s="17"/>
      <c r="X44" s="18">
        <f t="shared" si="3"/>
        <v>0</v>
      </c>
      <c r="Y44" s="19"/>
      <c r="Z44" s="19"/>
      <c r="AA44" s="18">
        <f t="shared" si="4"/>
        <v>0</v>
      </c>
      <c r="AB44" s="20">
        <f t="shared" si="5"/>
        <v>0</v>
      </c>
      <c r="AC44" s="5"/>
      <c r="AD44" s="8"/>
      <c r="AF44" s="6"/>
      <c r="AG44" s="7"/>
      <c r="AJ44" s="33"/>
      <c r="AK44" s="35"/>
      <c r="AL44" s="38"/>
    </row>
    <row r="45" spans="1:38" ht="17.25" customHeight="1">
      <c r="A45" s="25"/>
      <c r="B45" s="26"/>
      <c r="C45" s="14"/>
      <c r="D45" s="31"/>
      <c r="E45" s="14"/>
      <c r="F45" s="15" t="str">
        <f t="shared" si="0"/>
        <v xml:space="preserve">S/F  </v>
      </c>
      <c r="G45" s="16"/>
      <c r="H45" s="17">
        <v>21</v>
      </c>
      <c r="I45" s="18">
        <f t="shared" si="1"/>
        <v>0</v>
      </c>
      <c r="J45" s="17"/>
      <c r="K45" s="18"/>
      <c r="L45" s="16"/>
      <c r="M45" s="17"/>
      <c r="N45" s="18">
        <f t="shared" si="2"/>
        <v>0</v>
      </c>
      <c r="O45" s="19"/>
      <c r="P45" s="18">
        <v>0</v>
      </c>
      <c r="Q45" s="16"/>
      <c r="R45" s="17"/>
      <c r="S45" s="18">
        <v>0</v>
      </c>
      <c r="T45" s="19"/>
      <c r="U45" s="18">
        <v>0</v>
      </c>
      <c r="V45" s="16"/>
      <c r="W45" s="17"/>
      <c r="X45" s="18">
        <f t="shared" si="3"/>
        <v>0</v>
      </c>
      <c r="Y45" s="19"/>
      <c r="Z45" s="19"/>
      <c r="AA45" s="18">
        <f t="shared" si="4"/>
        <v>0</v>
      </c>
      <c r="AB45" s="20">
        <f t="shared" si="5"/>
        <v>0</v>
      </c>
      <c r="AC45" s="5"/>
      <c r="AD45" s="8"/>
      <c r="AF45" s="6"/>
      <c r="AG45" s="7"/>
      <c r="AJ45" s="33"/>
      <c r="AK45" s="35"/>
      <c r="AL45" s="38"/>
    </row>
    <row r="46" spans="1:38" ht="17.25" customHeight="1">
      <c r="A46" s="25"/>
      <c r="B46" s="26"/>
      <c r="C46" s="14"/>
      <c r="D46" s="31"/>
      <c r="E46" s="14"/>
      <c r="F46" s="15" t="str">
        <f t="shared" si="0"/>
        <v xml:space="preserve">S/F  </v>
      </c>
      <c r="G46" s="16"/>
      <c r="H46" s="17">
        <v>21</v>
      </c>
      <c r="I46" s="18">
        <f t="shared" si="1"/>
        <v>0</v>
      </c>
      <c r="J46" s="17"/>
      <c r="K46" s="18"/>
      <c r="L46" s="16"/>
      <c r="M46" s="17"/>
      <c r="N46" s="18">
        <f t="shared" si="2"/>
        <v>0</v>
      </c>
      <c r="O46" s="19"/>
      <c r="P46" s="18">
        <v>0</v>
      </c>
      <c r="Q46" s="16"/>
      <c r="R46" s="17"/>
      <c r="S46" s="18">
        <v>0</v>
      </c>
      <c r="T46" s="19"/>
      <c r="U46" s="18">
        <v>0</v>
      </c>
      <c r="V46" s="16"/>
      <c r="W46" s="17"/>
      <c r="X46" s="18">
        <f t="shared" si="3"/>
        <v>0</v>
      </c>
      <c r="Y46" s="19"/>
      <c r="Z46" s="19"/>
      <c r="AA46" s="18">
        <f t="shared" si="4"/>
        <v>0</v>
      </c>
      <c r="AB46" s="20">
        <f t="shared" si="5"/>
        <v>0</v>
      </c>
      <c r="AC46" s="5"/>
      <c r="AD46" s="8"/>
      <c r="AF46" s="6"/>
      <c r="AG46" s="7"/>
      <c r="AJ46" s="33"/>
      <c r="AK46" s="35"/>
      <c r="AL46" s="38"/>
    </row>
    <row r="47" spans="1:38" ht="17.25" customHeight="1">
      <c r="A47" s="25"/>
      <c r="B47" s="26"/>
      <c r="C47" s="14"/>
      <c r="D47" s="31"/>
      <c r="E47" s="14"/>
      <c r="F47" s="15" t="str">
        <f t="shared" si="0"/>
        <v xml:space="preserve">S/F  </v>
      </c>
      <c r="G47" s="16"/>
      <c r="H47" s="17">
        <v>21</v>
      </c>
      <c r="I47" s="18">
        <f t="shared" si="1"/>
        <v>0</v>
      </c>
      <c r="J47" s="17"/>
      <c r="K47" s="18"/>
      <c r="L47" s="16"/>
      <c r="M47" s="17"/>
      <c r="N47" s="18">
        <f t="shared" si="2"/>
        <v>0</v>
      </c>
      <c r="O47" s="19"/>
      <c r="P47" s="18">
        <v>0</v>
      </c>
      <c r="Q47" s="16"/>
      <c r="R47" s="17"/>
      <c r="S47" s="18">
        <v>0</v>
      </c>
      <c r="T47" s="19"/>
      <c r="U47" s="18">
        <v>0</v>
      </c>
      <c r="V47" s="16"/>
      <c r="W47" s="17"/>
      <c r="X47" s="18">
        <f t="shared" si="3"/>
        <v>0</v>
      </c>
      <c r="Y47" s="19"/>
      <c r="Z47" s="19"/>
      <c r="AA47" s="18">
        <f t="shared" si="4"/>
        <v>0</v>
      </c>
      <c r="AB47" s="20">
        <f t="shared" si="5"/>
        <v>0</v>
      </c>
      <c r="AC47" s="5"/>
      <c r="AD47" s="8"/>
      <c r="AF47" s="6"/>
      <c r="AG47" s="7"/>
      <c r="AJ47" s="33"/>
      <c r="AK47" s="35"/>
      <c r="AL47" s="38"/>
    </row>
    <row r="48" spans="1:38" ht="17.25" customHeight="1">
      <c r="A48" s="25"/>
      <c r="B48" s="26"/>
      <c r="C48" s="14"/>
      <c r="D48" s="31"/>
      <c r="E48" s="14"/>
      <c r="F48" s="15" t="str">
        <f t="shared" si="0"/>
        <v xml:space="preserve">S/F  </v>
      </c>
      <c r="G48" s="16"/>
      <c r="H48" s="17">
        <v>21</v>
      </c>
      <c r="I48" s="18">
        <f t="shared" si="1"/>
        <v>0</v>
      </c>
      <c r="J48" s="17"/>
      <c r="K48" s="18"/>
      <c r="L48" s="16"/>
      <c r="M48" s="17"/>
      <c r="N48" s="18">
        <f t="shared" si="2"/>
        <v>0</v>
      </c>
      <c r="O48" s="19"/>
      <c r="P48" s="18">
        <v>0</v>
      </c>
      <c r="Q48" s="16"/>
      <c r="R48" s="17"/>
      <c r="S48" s="18">
        <v>0</v>
      </c>
      <c r="T48" s="19"/>
      <c r="U48" s="18">
        <v>0</v>
      </c>
      <c r="V48" s="16"/>
      <c r="W48" s="17"/>
      <c r="X48" s="18">
        <f t="shared" si="3"/>
        <v>0</v>
      </c>
      <c r="Y48" s="19"/>
      <c r="Z48" s="19"/>
      <c r="AA48" s="18">
        <f t="shared" si="4"/>
        <v>0</v>
      </c>
      <c r="AB48" s="20">
        <f t="shared" si="5"/>
        <v>0</v>
      </c>
      <c r="AC48" s="5"/>
      <c r="AD48" s="8"/>
      <c r="AF48" s="6"/>
      <c r="AG48" s="7"/>
      <c r="AJ48" s="33"/>
      <c r="AK48" s="35"/>
      <c r="AL48" s="38"/>
    </row>
    <row r="49" spans="1:38" ht="17.25" customHeight="1">
      <c r="A49" s="25"/>
      <c r="B49" s="26"/>
      <c r="C49" s="14"/>
      <c r="D49" s="31"/>
      <c r="E49" s="14"/>
      <c r="F49" s="15" t="str">
        <f t="shared" si="0"/>
        <v xml:space="preserve">S/F  </v>
      </c>
      <c r="G49" s="16"/>
      <c r="H49" s="17">
        <v>21</v>
      </c>
      <c r="I49" s="18">
        <f t="shared" si="1"/>
        <v>0</v>
      </c>
      <c r="J49" s="17"/>
      <c r="K49" s="18"/>
      <c r="L49" s="16"/>
      <c r="M49" s="17"/>
      <c r="N49" s="18">
        <f t="shared" si="2"/>
        <v>0</v>
      </c>
      <c r="O49" s="19"/>
      <c r="P49" s="18">
        <v>0</v>
      </c>
      <c r="Q49" s="16"/>
      <c r="R49" s="17"/>
      <c r="S49" s="18">
        <v>0</v>
      </c>
      <c r="T49" s="19"/>
      <c r="U49" s="18">
        <v>0</v>
      </c>
      <c r="V49" s="16"/>
      <c r="W49" s="17"/>
      <c r="X49" s="18">
        <f t="shared" si="3"/>
        <v>0</v>
      </c>
      <c r="Y49" s="19"/>
      <c r="Z49" s="19"/>
      <c r="AA49" s="18">
        <f t="shared" si="4"/>
        <v>0</v>
      </c>
      <c r="AB49" s="20">
        <f t="shared" si="5"/>
        <v>0</v>
      </c>
      <c r="AC49" s="5"/>
      <c r="AD49" s="8"/>
      <c r="AF49" s="6"/>
      <c r="AG49" s="7"/>
      <c r="AJ49" s="33"/>
      <c r="AK49" s="35"/>
      <c r="AL49" s="38"/>
    </row>
    <row r="50" spans="1:38" ht="17.25" customHeight="1">
      <c r="A50" s="25"/>
      <c r="B50" s="26"/>
      <c r="C50" s="14"/>
      <c r="D50" s="31"/>
      <c r="E50" s="14"/>
      <c r="F50" s="15" t="str">
        <f t="shared" si="0"/>
        <v xml:space="preserve">S/F  </v>
      </c>
      <c r="G50" s="16"/>
      <c r="H50" s="17">
        <v>21</v>
      </c>
      <c r="I50" s="18">
        <f t="shared" si="1"/>
        <v>0</v>
      </c>
      <c r="J50" s="17"/>
      <c r="K50" s="18"/>
      <c r="L50" s="16"/>
      <c r="M50" s="17"/>
      <c r="N50" s="18">
        <f t="shared" si="2"/>
        <v>0</v>
      </c>
      <c r="O50" s="19"/>
      <c r="P50" s="18">
        <v>0</v>
      </c>
      <c r="Q50" s="16"/>
      <c r="R50" s="17"/>
      <c r="S50" s="18">
        <v>0</v>
      </c>
      <c r="T50" s="19"/>
      <c r="U50" s="18">
        <v>0</v>
      </c>
      <c r="V50" s="16"/>
      <c r="W50" s="17"/>
      <c r="X50" s="18">
        <f t="shared" si="3"/>
        <v>0</v>
      </c>
      <c r="Y50" s="19"/>
      <c r="Z50" s="19"/>
      <c r="AA50" s="18">
        <f t="shared" si="4"/>
        <v>0</v>
      </c>
      <c r="AB50" s="20">
        <f t="shared" si="5"/>
        <v>0</v>
      </c>
      <c r="AC50" s="5"/>
      <c r="AD50" s="8"/>
      <c r="AF50" s="6"/>
      <c r="AG50" s="7"/>
      <c r="AJ50" s="33"/>
      <c r="AK50" s="35"/>
      <c r="AL50" s="38"/>
    </row>
    <row r="51" spans="1:38" ht="17.25" customHeight="1">
      <c r="A51" s="25"/>
      <c r="B51" s="26"/>
      <c r="C51" s="14"/>
      <c r="D51" s="31"/>
      <c r="E51" s="14"/>
      <c r="F51" s="15" t="str">
        <f t="shared" si="0"/>
        <v xml:space="preserve">S/F  </v>
      </c>
      <c r="G51" s="16"/>
      <c r="H51" s="17">
        <v>21</v>
      </c>
      <c r="I51" s="18">
        <f t="shared" si="1"/>
        <v>0</v>
      </c>
      <c r="J51" s="17"/>
      <c r="K51" s="18"/>
      <c r="L51" s="16"/>
      <c r="M51" s="17"/>
      <c r="N51" s="18">
        <f t="shared" si="2"/>
        <v>0</v>
      </c>
      <c r="O51" s="19"/>
      <c r="P51" s="18">
        <v>0</v>
      </c>
      <c r="Q51" s="16"/>
      <c r="R51" s="17"/>
      <c r="S51" s="18">
        <v>0</v>
      </c>
      <c r="T51" s="19"/>
      <c r="U51" s="18">
        <v>0</v>
      </c>
      <c r="V51" s="16"/>
      <c r="W51" s="17"/>
      <c r="X51" s="18">
        <f t="shared" si="3"/>
        <v>0</v>
      </c>
      <c r="Y51" s="19"/>
      <c r="Z51" s="19"/>
      <c r="AA51" s="18">
        <f t="shared" si="4"/>
        <v>0</v>
      </c>
      <c r="AB51" s="20">
        <f t="shared" si="5"/>
        <v>0</v>
      </c>
      <c r="AC51" s="5"/>
      <c r="AD51" s="8"/>
      <c r="AF51" s="6"/>
      <c r="AG51" s="7"/>
      <c r="AJ51" s="33"/>
      <c r="AK51" s="35"/>
      <c r="AL51" s="38"/>
    </row>
    <row r="52" spans="1:38" ht="17.25" customHeight="1">
      <c r="A52" s="25"/>
      <c r="B52" s="26"/>
      <c r="C52" s="14"/>
      <c r="D52" s="31"/>
      <c r="E52" s="14"/>
      <c r="F52" s="15" t="str">
        <f t="shared" si="0"/>
        <v xml:space="preserve">S/F  </v>
      </c>
      <c r="G52" s="16"/>
      <c r="H52" s="17">
        <v>21</v>
      </c>
      <c r="I52" s="18">
        <f t="shared" si="1"/>
        <v>0</v>
      </c>
      <c r="J52" s="17"/>
      <c r="K52" s="18"/>
      <c r="L52" s="16"/>
      <c r="M52" s="17"/>
      <c r="N52" s="18">
        <f t="shared" si="2"/>
        <v>0</v>
      </c>
      <c r="O52" s="19"/>
      <c r="P52" s="18">
        <v>0</v>
      </c>
      <c r="Q52" s="16"/>
      <c r="R52" s="17"/>
      <c r="S52" s="18">
        <v>0</v>
      </c>
      <c r="T52" s="19"/>
      <c r="U52" s="18">
        <v>0</v>
      </c>
      <c r="V52" s="16"/>
      <c r="W52" s="17"/>
      <c r="X52" s="18">
        <f t="shared" si="3"/>
        <v>0</v>
      </c>
      <c r="Y52" s="19"/>
      <c r="Z52" s="19"/>
      <c r="AA52" s="18">
        <f t="shared" si="4"/>
        <v>0</v>
      </c>
      <c r="AB52" s="20">
        <f t="shared" si="5"/>
        <v>0</v>
      </c>
      <c r="AC52" s="5"/>
      <c r="AD52" s="8"/>
      <c r="AF52" s="6"/>
      <c r="AG52" s="7"/>
      <c r="AJ52" s="33"/>
      <c r="AK52" s="35"/>
      <c r="AL52" s="38"/>
    </row>
    <row r="53" spans="1:38" ht="17.25" customHeight="1">
      <c r="A53" s="25"/>
      <c r="B53" s="26"/>
      <c r="C53" s="14"/>
      <c r="D53" s="31"/>
      <c r="E53" s="14"/>
      <c r="F53" s="15" t="str">
        <f t="shared" si="0"/>
        <v xml:space="preserve">S/F  </v>
      </c>
      <c r="G53" s="16"/>
      <c r="H53" s="17">
        <v>21</v>
      </c>
      <c r="I53" s="18">
        <f t="shared" si="1"/>
        <v>0</v>
      </c>
      <c r="J53" s="17"/>
      <c r="K53" s="18"/>
      <c r="L53" s="16"/>
      <c r="M53" s="17"/>
      <c r="N53" s="18">
        <f t="shared" si="2"/>
        <v>0</v>
      </c>
      <c r="O53" s="19"/>
      <c r="P53" s="18">
        <v>0</v>
      </c>
      <c r="Q53" s="16"/>
      <c r="R53" s="17"/>
      <c r="S53" s="18">
        <v>0</v>
      </c>
      <c r="T53" s="19"/>
      <c r="U53" s="18">
        <v>0</v>
      </c>
      <c r="V53" s="16"/>
      <c r="W53" s="17"/>
      <c r="X53" s="18">
        <f t="shared" si="3"/>
        <v>0</v>
      </c>
      <c r="Y53" s="19"/>
      <c r="Z53" s="19"/>
      <c r="AA53" s="18">
        <f t="shared" si="4"/>
        <v>0</v>
      </c>
      <c r="AB53" s="20">
        <f t="shared" si="5"/>
        <v>0</v>
      </c>
      <c r="AC53" s="5"/>
      <c r="AD53" s="8"/>
      <c r="AF53" s="6"/>
      <c r="AG53" s="7"/>
      <c r="AJ53" s="33"/>
      <c r="AK53" s="35"/>
      <c r="AL53" s="38"/>
    </row>
    <row r="54" spans="1:38" ht="17.25" customHeight="1">
      <c r="A54" s="25"/>
      <c r="B54" s="26"/>
      <c r="C54" s="14"/>
      <c r="D54" s="31"/>
      <c r="E54" s="14"/>
      <c r="F54" s="15" t="str">
        <f t="shared" si="0"/>
        <v xml:space="preserve">S/F  </v>
      </c>
      <c r="G54" s="16"/>
      <c r="H54" s="17">
        <v>21</v>
      </c>
      <c r="I54" s="18">
        <f t="shared" si="1"/>
        <v>0</v>
      </c>
      <c r="J54" s="17"/>
      <c r="K54" s="18"/>
      <c r="L54" s="16"/>
      <c r="M54" s="17"/>
      <c r="N54" s="18">
        <f t="shared" si="2"/>
        <v>0</v>
      </c>
      <c r="O54" s="19"/>
      <c r="P54" s="18">
        <v>0</v>
      </c>
      <c r="Q54" s="16"/>
      <c r="R54" s="17"/>
      <c r="S54" s="18">
        <v>0</v>
      </c>
      <c r="T54" s="19"/>
      <c r="U54" s="18">
        <v>0</v>
      </c>
      <c r="V54" s="16"/>
      <c r="W54" s="17"/>
      <c r="X54" s="18">
        <f t="shared" si="3"/>
        <v>0</v>
      </c>
      <c r="Y54" s="19"/>
      <c r="Z54" s="19"/>
      <c r="AA54" s="18">
        <f t="shared" si="4"/>
        <v>0</v>
      </c>
      <c r="AB54" s="20">
        <f t="shared" si="5"/>
        <v>0</v>
      </c>
      <c r="AC54" s="5"/>
      <c r="AD54" s="8"/>
      <c r="AF54" s="6"/>
      <c r="AG54" s="7"/>
      <c r="AJ54" s="33"/>
      <c r="AK54" s="35"/>
      <c r="AL54" s="38"/>
    </row>
    <row r="55" spans="1:38" ht="17.25" customHeight="1">
      <c r="A55" s="25"/>
      <c r="B55" s="26"/>
      <c r="C55" s="14"/>
      <c r="D55" s="31"/>
      <c r="E55" s="14"/>
      <c r="F55" s="15" t="str">
        <f t="shared" si="0"/>
        <v xml:space="preserve">S/F  </v>
      </c>
      <c r="G55" s="16"/>
      <c r="H55" s="17">
        <v>21</v>
      </c>
      <c r="I55" s="18">
        <f t="shared" si="1"/>
        <v>0</v>
      </c>
      <c r="J55" s="17"/>
      <c r="K55" s="18"/>
      <c r="L55" s="16"/>
      <c r="M55" s="17"/>
      <c r="N55" s="18">
        <f t="shared" si="2"/>
        <v>0</v>
      </c>
      <c r="O55" s="19"/>
      <c r="P55" s="18">
        <v>0</v>
      </c>
      <c r="Q55" s="16"/>
      <c r="R55" s="17"/>
      <c r="S55" s="18">
        <v>0</v>
      </c>
      <c r="T55" s="19"/>
      <c r="U55" s="18">
        <v>0</v>
      </c>
      <c r="V55" s="16"/>
      <c r="W55" s="17"/>
      <c r="X55" s="18">
        <f t="shared" si="3"/>
        <v>0</v>
      </c>
      <c r="Y55" s="19"/>
      <c r="Z55" s="19"/>
      <c r="AA55" s="18">
        <f t="shared" si="4"/>
        <v>0</v>
      </c>
      <c r="AB55" s="20">
        <f t="shared" si="5"/>
        <v>0</v>
      </c>
      <c r="AC55" s="5"/>
      <c r="AD55" s="8"/>
      <c r="AF55" s="6"/>
      <c r="AG55" s="7"/>
      <c r="AJ55" s="33"/>
      <c r="AK55" s="35"/>
      <c r="AL55" s="38"/>
    </row>
    <row r="56" spans="1:38" ht="17.25" customHeight="1">
      <c r="A56" s="25"/>
      <c r="B56" s="26"/>
      <c r="C56" s="14"/>
      <c r="D56" s="31"/>
      <c r="E56" s="14"/>
      <c r="F56" s="15" t="str">
        <f t="shared" si="0"/>
        <v xml:space="preserve">S/F  </v>
      </c>
      <c r="G56" s="16"/>
      <c r="H56" s="17">
        <v>21</v>
      </c>
      <c r="I56" s="18">
        <f t="shared" si="1"/>
        <v>0</v>
      </c>
      <c r="J56" s="17"/>
      <c r="K56" s="18"/>
      <c r="L56" s="16"/>
      <c r="M56" s="17"/>
      <c r="N56" s="18">
        <f t="shared" si="2"/>
        <v>0</v>
      </c>
      <c r="O56" s="19"/>
      <c r="P56" s="18">
        <v>0</v>
      </c>
      <c r="Q56" s="16"/>
      <c r="R56" s="17"/>
      <c r="S56" s="18">
        <v>0</v>
      </c>
      <c r="T56" s="19"/>
      <c r="U56" s="18">
        <v>0</v>
      </c>
      <c r="V56" s="16"/>
      <c r="W56" s="17"/>
      <c r="X56" s="18">
        <f t="shared" si="3"/>
        <v>0</v>
      </c>
      <c r="Y56" s="19"/>
      <c r="Z56" s="19"/>
      <c r="AA56" s="18">
        <f t="shared" si="4"/>
        <v>0</v>
      </c>
      <c r="AB56" s="20">
        <f t="shared" si="5"/>
        <v>0</v>
      </c>
      <c r="AC56" s="5"/>
      <c r="AD56" s="8"/>
      <c r="AF56" s="6"/>
      <c r="AG56" s="7"/>
      <c r="AJ56" s="33"/>
      <c r="AK56" s="35"/>
      <c r="AL56" s="38"/>
    </row>
    <row r="57" spans="1:38" ht="17.25" customHeight="1">
      <c r="A57" s="25"/>
      <c r="B57" s="26"/>
      <c r="C57" s="14"/>
      <c r="D57" s="31"/>
      <c r="E57" s="14"/>
      <c r="F57" s="15" t="str">
        <f t="shared" si="0"/>
        <v xml:space="preserve">S/F  </v>
      </c>
      <c r="G57" s="16"/>
      <c r="H57" s="17">
        <v>21</v>
      </c>
      <c r="I57" s="18">
        <f t="shared" si="1"/>
        <v>0</v>
      </c>
      <c r="J57" s="17"/>
      <c r="K57" s="18"/>
      <c r="L57" s="16"/>
      <c r="M57" s="17"/>
      <c r="N57" s="18">
        <f t="shared" si="2"/>
        <v>0</v>
      </c>
      <c r="O57" s="19"/>
      <c r="P57" s="18">
        <v>0</v>
      </c>
      <c r="Q57" s="16"/>
      <c r="R57" s="17"/>
      <c r="S57" s="18">
        <v>0</v>
      </c>
      <c r="T57" s="19"/>
      <c r="U57" s="18">
        <v>0</v>
      </c>
      <c r="V57" s="16"/>
      <c r="W57" s="17"/>
      <c r="X57" s="18">
        <f t="shared" si="3"/>
        <v>0</v>
      </c>
      <c r="Y57" s="19"/>
      <c r="Z57" s="19"/>
      <c r="AA57" s="18">
        <f t="shared" si="4"/>
        <v>0</v>
      </c>
      <c r="AB57" s="20">
        <f t="shared" si="5"/>
        <v>0</v>
      </c>
      <c r="AC57" s="5"/>
      <c r="AD57" s="8"/>
      <c r="AF57" s="6"/>
      <c r="AG57" s="7"/>
      <c r="AJ57" s="33"/>
      <c r="AK57" s="35"/>
      <c r="AL57" s="38"/>
    </row>
    <row r="58" spans="1:38" ht="17.25" customHeight="1">
      <c r="A58" s="25"/>
      <c r="B58" s="26"/>
      <c r="C58" s="14"/>
      <c r="D58" s="31"/>
      <c r="E58" s="14"/>
      <c r="F58" s="15" t="str">
        <f t="shared" si="0"/>
        <v xml:space="preserve">S/F  </v>
      </c>
      <c r="G58" s="16"/>
      <c r="H58" s="17">
        <v>21</v>
      </c>
      <c r="I58" s="18">
        <f t="shared" si="1"/>
        <v>0</v>
      </c>
      <c r="J58" s="17"/>
      <c r="K58" s="18"/>
      <c r="L58" s="16"/>
      <c r="M58" s="17"/>
      <c r="N58" s="18">
        <f t="shared" si="2"/>
        <v>0</v>
      </c>
      <c r="O58" s="19"/>
      <c r="P58" s="18">
        <v>0</v>
      </c>
      <c r="Q58" s="16"/>
      <c r="R58" s="17"/>
      <c r="S58" s="18">
        <v>0</v>
      </c>
      <c r="T58" s="19"/>
      <c r="U58" s="18">
        <v>0</v>
      </c>
      <c r="V58" s="16"/>
      <c r="W58" s="17"/>
      <c r="X58" s="18">
        <f t="shared" si="3"/>
        <v>0</v>
      </c>
      <c r="Y58" s="19"/>
      <c r="Z58" s="19"/>
      <c r="AA58" s="18">
        <f t="shared" si="4"/>
        <v>0</v>
      </c>
      <c r="AB58" s="20">
        <f t="shared" si="5"/>
        <v>0</v>
      </c>
      <c r="AC58" s="5"/>
      <c r="AD58" s="8"/>
      <c r="AF58" s="6"/>
      <c r="AG58" s="7"/>
      <c r="AJ58" s="33"/>
      <c r="AK58" s="35"/>
      <c r="AL58" s="38"/>
    </row>
    <row r="59" spans="1:38" ht="17.25" customHeight="1">
      <c r="A59" s="25"/>
      <c r="B59" s="26"/>
      <c r="C59" s="14"/>
      <c r="D59" s="31"/>
      <c r="E59" s="14"/>
      <c r="F59" s="15" t="str">
        <f t="shared" si="0"/>
        <v xml:space="preserve">S/F  </v>
      </c>
      <c r="G59" s="16"/>
      <c r="H59" s="17">
        <v>21</v>
      </c>
      <c r="I59" s="18">
        <f t="shared" si="1"/>
        <v>0</v>
      </c>
      <c r="J59" s="17"/>
      <c r="K59" s="18"/>
      <c r="L59" s="16"/>
      <c r="M59" s="17"/>
      <c r="N59" s="18">
        <f t="shared" si="2"/>
        <v>0</v>
      </c>
      <c r="O59" s="19"/>
      <c r="P59" s="18">
        <v>0</v>
      </c>
      <c r="Q59" s="16"/>
      <c r="R59" s="17"/>
      <c r="S59" s="18">
        <v>0</v>
      </c>
      <c r="T59" s="19"/>
      <c r="U59" s="18">
        <v>0</v>
      </c>
      <c r="V59" s="16"/>
      <c r="W59" s="17"/>
      <c r="X59" s="18">
        <f t="shared" si="3"/>
        <v>0</v>
      </c>
      <c r="Y59" s="19"/>
      <c r="Z59" s="19"/>
      <c r="AA59" s="18">
        <f t="shared" si="4"/>
        <v>0</v>
      </c>
      <c r="AB59" s="20">
        <f t="shared" si="5"/>
        <v>0</v>
      </c>
      <c r="AC59" s="5"/>
      <c r="AD59" s="8"/>
      <c r="AF59" s="6"/>
      <c r="AG59" s="7"/>
      <c r="AJ59" s="33"/>
      <c r="AK59" s="35"/>
      <c r="AL59" s="38"/>
    </row>
    <row r="60" spans="1:38" ht="17.25" customHeight="1">
      <c r="A60" s="25"/>
      <c r="B60" s="26"/>
      <c r="C60" s="14"/>
      <c r="D60" s="31"/>
      <c r="E60" s="14"/>
      <c r="F60" s="15" t="str">
        <f t="shared" si="0"/>
        <v xml:space="preserve">S/F  </v>
      </c>
      <c r="G60" s="16"/>
      <c r="H60" s="17">
        <v>21</v>
      </c>
      <c r="I60" s="18">
        <f t="shared" si="1"/>
        <v>0</v>
      </c>
      <c r="J60" s="17"/>
      <c r="K60" s="18"/>
      <c r="L60" s="16"/>
      <c r="M60" s="17"/>
      <c r="N60" s="18">
        <f t="shared" si="2"/>
        <v>0</v>
      </c>
      <c r="O60" s="19"/>
      <c r="P60" s="18">
        <v>0</v>
      </c>
      <c r="Q60" s="16"/>
      <c r="R60" s="17"/>
      <c r="S60" s="18">
        <v>0</v>
      </c>
      <c r="T60" s="19"/>
      <c r="U60" s="18">
        <v>0</v>
      </c>
      <c r="V60" s="16"/>
      <c r="W60" s="17"/>
      <c r="X60" s="18">
        <f t="shared" si="3"/>
        <v>0</v>
      </c>
      <c r="Y60" s="19"/>
      <c r="Z60" s="19"/>
      <c r="AA60" s="18">
        <f t="shared" si="4"/>
        <v>0</v>
      </c>
      <c r="AB60" s="20">
        <f t="shared" si="5"/>
        <v>0</v>
      </c>
      <c r="AC60" s="5"/>
      <c r="AD60" s="8"/>
      <c r="AF60" s="6"/>
      <c r="AG60" s="7"/>
      <c r="AJ60" s="33"/>
      <c r="AK60" s="35"/>
      <c r="AL60" s="38"/>
    </row>
    <row r="61" spans="1:38" ht="17.25" customHeight="1">
      <c r="A61" s="25"/>
      <c r="B61" s="26"/>
      <c r="C61" s="14"/>
      <c r="D61" s="31"/>
      <c r="E61" s="14"/>
      <c r="F61" s="15" t="str">
        <f t="shared" si="0"/>
        <v xml:space="preserve">S/F  </v>
      </c>
      <c r="G61" s="16"/>
      <c r="H61" s="17">
        <v>21</v>
      </c>
      <c r="I61" s="18">
        <f t="shared" si="1"/>
        <v>0</v>
      </c>
      <c r="J61" s="17"/>
      <c r="K61" s="18"/>
      <c r="L61" s="16"/>
      <c r="M61" s="17"/>
      <c r="N61" s="18">
        <f t="shared" si="2"/>
        <v>0</v>
      </c>
      <c r="O61" s="19"/>
      <c r="P61" s="18">
        <v>0</v>
      </c>
      <c r="Q61" s="16"/>
      <c r="R61" s="17"/>
      <c r="S61" s="18">
        <v>0</v>
      </c>
      <c r="T61" s="19"/>
      <c r="U61" s="18">
        <v>0</v>
      </c>
      <c r="V61" s="16"/>
      <c r="W61" s="17"/>
      <c r="X61" s="18">
        <f t="shared" si="3"/>
        <v>0</v>
      </c>
      <c r="Y61" s="19"/>
      <c r="Z61" s="19"/>
      <c r="AA61" s="18">
        <f t="shared" si="4"/>
        <v>0</v>
      </c>
      <c r="AB61" s="20">
        <f t="shared" si="5"/>
        <v>0</v>
      </c>
      <c r="AC61" s="5"/>
      <c r="AD61" s="8"/>
      <c r="AF61" s="6"/>
      <c r="AG61" s="7"/>
      <c r="AJ61" s="33"/>
      <c r="AK61" s="35"/>
      <c r="AL61" s="38"/>
    </row>
    <row r="62" spans="1:38" ht="17.25" customHeight="1">
      <c r="A62" s="25"/>
      <c r="B62" s="26"/>
      <c r="C62" s="14"/>
      <c r="D62" s="31"/>
      <c r="E62" s="14"/>
      <c r="F62" s="15" t="str">
        <f t="shared" si="0"/>
        <v xml:space="preserve">S/F  </v>
      </c>
      <c r="G62" s="16"/>
      <c r="H62" s="17">
        <v>21</v>
      </c>
      <c r="I62" s="18">
        <f t="shared" si="1"/>
        <v>0</v>
      </c>
      <c r="J62" s="17"/>
      <c r="K62" s="18"/>
      <c r="L62" s="16"/>
      <c r="M62" s="17"/>
      <c r="N62" s="18">
        <f t="shared" si="2"/>
        <v>0</v>
      </c>
      <c r="O62" s="19"/>
      <c r="P62" s="18">
        <v>0</v>
      </c>
      <c r="Q62" s="16"/>
      <c r="R62" s="17"/>
      <c r="S62" s="18">
        <v>0</v>
      </c>
      <c r="T62" s="19"/>
      <c r="U62" s="18">
        <v>0</v>
      </c>
      <c r="V62" s="16"/>
      <c r="W62" s="17"/>
      <c r="X62" s="18">
        <f t="shared" si="3"/>
        <v>0</v>
      </c>
      <c r="Y62" s="19"/>
      <c r="Z62" s="19"/>
      <c r="AA62" s="18">
        <f t="shared" si="4"/>
        <v>0</v>
      </c>
      <c r="AB62" s="20">
        <f t="shared" si="5"/>
        <v>0</v>
      </c>
      <c r="AC62" s="5"/>
      <c r="AD62" s="8"/>
      <c r="AF62" s="6"/>
      <c r="AG62" s="7"/>
      <c r="AJ62" s="33"/>
      <c r="AK62" s="35"/>
      <c r="AL62" s="38"/>
    </row>
    <row r="63" spans="1:38" ht="17.25" customHeight="1">
      <c r="A63" s="25"/>
      <c r="B63" s="26"/>
      <c r="C63" s="14"/>
      <c r="D63" s="31"/>
      <c r="E63" s="14"/>
      <c r="F63" s="15" t="str">
        <f t="shared" si="0"/>
        <v xml:space="preserve">S/F  </v>
      </c>
      <c r="G63" s="16"/>
      <c r="H63" s="17">
        <v>21</v>
      </c>
      <c r="I63" s="18">
        <f t="shared" si="1"/>
        <v>0</v>
      </c>
      <c r="J63" s="17"/>
      <c r="K63" s="18"/>
      <c r="L63" s="16"/>
      <c r="M63" s="17"/>
      <c r="N63" s="18">
        <f t="shared" si="2"/>
        <v>0</v>
      </c>
      <c r="O63" s="19"/>
      <c r="P63" s="18">
        <v>0</v>
      </c>
      <c r="Q63" s="16"/>
      <c r="R63" s="17"/>
      <c r="S63" s="18">
        <v>0</v>
      </c>
      <c r="T63" s="19"/>
      <c r="U63" s="18">
        <v>0</v>
      </c>
      <c r="V63" s="16"/>
      <c r="W63" s="17"/>
      <c r="X63" s="18">
        <f t="shared" si="3"/>
        <v>0</v>
      </c>
      <c r="Y63" s="19"/>
      <c r="Z63" s="19"/>
      <c r="AA63" s="18">
        <f t="shared" si="4"/>
        <v>0</v>
      </c>
      <c r="AB63" s="20">
        <f t="shared" si="5"/>
        <v>0</v>
      </c>
      <c r="AC63" s="5"/>
      <c r="AD63" s="8"/>
      <c r="AF63" s="6"/>
      <c r="AG63" s="7"/>
      <c r="AJ63" s="33"/>
      <c r="AK63" s="35"/>
      <c r="AL63" s="38"/>
    </row>
    <row r="64" spans="1:38" ht="17.25" customHeight="1">
      <c r="A64" s="25"/>
      <c r="B64" s="26"/>
      <c r="C64" s="14"/>
      <c r="D64" s="31"/>
      <c r="E64" s="14"/>
      <c r="F64" s="15" t="str">
        <f t="shared" si="0"/>
        <v xml:space="preserve">S/F  </v>
      </c>
      <c r="G64" s="16"/>
      <c r="H64" s="17">
        <v>21</v>
      </c>
      <c r="I64" s="18">
        <f t="shared" si="1"/>
        <v>0</v>
      </c>
      <c r="J64" s="17"/>
      <c r="K64" s="18"/>
      <c r="L64" s="16"/>
      <c r="M64" s="17"/>
      <c r="N64" s="18">
        <f t="shared" si="2"/>
        <v>0</v>
      </c>
      <c r="O64" s="19"/>
      <c r="P64" s="18">
        <v>0</v>
      </c>
      <c r="Q64" s="16"/>
      <c r="R64" s="17"/>
      <c r="S64" s="18">
        <v>0</v>
      </c>
      <c r="T64" s="19"/>
      <c r="U64" s="18">
        <v>0</v>
      </c>
      <c r="V64" s="16"/>
      <c r="W64" s="17"/>
      <c r="X64" s="18">
        <f t="shared" si="3"/>
        <v>0</v>
      </c>
      <c r="Y64" s="19"/>
      <c r="Z64" s="19"/>
      <c r="AA64" s="18">
        <f t="shared" si="4"/>
        <v>0</v>
      </c>
      <c r="AB64" s="20">
        <f t="shared" si="5"/>
        <v>0</v>
      </c>
      <c r="AC64" s="5"/>
      <c r="AD64" s="8"/>
      <c r="AF64" s="6"/>
      <c r="AG64" s="7"/>
      <c r="AJ64" s="33"/>
      <c r="AK64" s="35"/>
      <c r="AL64" s="38"/>
    </row>
    <row r="65" spans="1:38" ht="17.25" customHeight="1">
      <c r="A65" s="25"/>
      <c r="B65" s="26"/>
      <c r="C65" s="14"/>
      <c r="D65" s="31"/>
      <c r="E65" s="14"/>
      <c r="F65" s="15" t="str">
        <f t="shared" si="0"/>
        <v xml:space="preserve">S/F  </v>
      </c>
      <c r="G65" s="16"/>
      <c r="H65" s="17">
        <v>21</v>
      </c>
      <c r="I65" s="18">
        <f t="shared" si="1"/>
        <v>0</v>
      </c>
      <c r="J65" s="17"/>
      <c r="K65" s="18"/>
      <c r="L65" s="16"/>
      <c r="M65" s="17"/>
      <c r="N65" s="18">
        <f t="shared" si="2"/>
        <v>0</v>
      </c>
      <c r="O65" s="19"/>
      <c r="P65" s="18">
        <v>0</v>
      </c>
      <c r="Q65" s="16"/>
      <c r="R65" s="17"/>
      <c r="S65" s="18">
        <v>0</v>
      </c>
      <c r="T65" s="19"/>
      <c r="U65" s="18">
        <v>0</v>
      </c>
      <c r="V65" s="16"/>
      <c r="W65" s="17"/>
      <c r="X65" s="18">
        <f t="shared" si="3"/>
        <v>0</v>
      </c>
      <c r="Y65" s="19"/>
      <c r="Z65" s="19"/>
      <c r="AA65" s="18">
        <f t="shared" si="4"/>
        <v>0</v>
      </c>
      <c r="AB65" s="20">
        <f t="shared" si="5"/>
        <v>0</v>
      </c>
      <c r="AC65" s="5"/>
      <c r="AD65" s="8"/>
      <c r="AF65" s="6"/>
      <c r="AG65" s="7"/>
      <c r="AJ65" s="33"/>
      <c r="AK65" s="35"/>
      <c r="AL65" s="38"/>
    </row>
    <row r="66" spans="1:38" ht="17.25" customHeight="1">
      <c r="A66" s="25"/>
      <c r="B66" s="26"/>
      <c r="C66" s="14"/>
      <c r="D66" s="31"/>
      <c r="E66" s="14"/>
      <c r="F66" s="15" t="str">
        <f t="shared" ref="F66:F109" si="6">"S/F "&amp;B66&amp;" "&amp;E66</f>
        <v xml:space="preserve">S/F  </v>
      </c>
      <c r="G66" s="16"/>
      <c r="H66" s="17">
        <v>21</v>
      </c>
      <c r="I66" s="18">
        <f t="shared" ref="I66:I109" si="7">+IF(G66&lt;&gt;0,G66*H66/100,0)</f>
        <v>0</v>
      </c>
      <c r="J66" s="17"/>
      <c r="K66" s="18"/>
      <c r="L66" s="16"/>
      <c r="M66" s="17"/>
      <c r="N66" s="18">
        <f t="shared" ref="N66:N109" si="8">+IF(L66&lt;&gt;0,L66*M66/100,0)</f>
        <v>0</v>
      </c>
      <c r="O66" s="19"/>
      <c r="P66" s="18">
        <v>0</v>
      </c>
      <c r="Q66" s="16"/>
      <c r="R66" s="17"/>
      <c r="S66" s="18">
        <v>0</v>
      </c>
      <c r="T66" s="19"/>
      <c r="U66" s="18">
        <v>0</v>
      </c>
      <c r="V66" s="16"/>
      <c r="W66" s="17"/>
      <c r="X66" s="18">
        <f t="shared" ref="X66:X109" si="9">+IF(W66&lt;&gt;0,V66*W66/100,0)</f>
        <v>0</v>
      </c>
      <c r="Y66" s="19"/>
      <c r="Z66" s="19"/>
      <c r="AA66" s="18">
        <f t="shared" ref="AA66:AA109" si="10">+IF(Z66&lt;&gt;0,Y66*Z66/100,0)</f>
        <v>0</v>
      </c>
      <c r="AB66" s="20">
        <f t="shared" ref="AB66:AB109" si="11">+G66+I66+K66+L66+N66+P66+Q66+S66+U66-X66-AA66</f>
        <v>0</v>
      </c>
      <c r="AC66" s="5"/>
      <c r="AD66" s="8"/>
      <c r="AF66" s="6"/>
      <c r="AG66" s="7"/>
      <c r="AJ66" s="33"/>
      <c r="AK66" s="35"/>
      <c r="AL66" s="38"/>
    </row>
    <row r="67" spans="1:38" ht="17.25" customHeight="1">
      <c r="A67" s="25"/>
      <c r="B67" s="26"/>
      <c r="C67" s="14"/>
      <c r="D67" s="31"/>
      <c r="E67" s="14"/>
      <c r="F67" s="15" t="str">
        <f t="shared" si="6"/>
        <v xml:space="preserve">S/F  </v>
      </c>
      <c r="G67" s="16"/>
      <c r="H67" s="17">
        <v>21</v>
      </c>
      <c r="I67" s="18">
        <f t="shared" si="7"/>
        <v>0</v>
      </c>
      <c r="J67" s="17"/>
      <c r="K67" s="18"/>
      <c r="L67" s="16"/>
      <c r="M67" s="17"/>
      <c r="N67" s="18">
        <f t="shared" si="8"/>
        <v>0</v>
      </c>
      <c r="O67" s="19"/>
      <c r="P67" s="18">
        <v>0</v>
      </c>
      <c r="Q67" s="16"/>
      <c r="R67" s="17"/>
      <c r="S67" s="18">
        <v>0</v>
      </c>
      <c r="T67" s="19"/>
      <c r="U67" s="18">
        <v>0</v>
      </c>
      <c r="V67" s="16"/>
      <c r="W67" s="17"/>
      <c r="X67" s="18">
        <f t="shared" si="9"/>
        <v>0</v>
      </c>
      <c r="Y67" s="19"/>
      <c r="Z67" s="19"/>
      <c r="AA67" s="18">
        <f t="shared" si="10"/>
        <v>0</v>
      </c>
      <c r="AB67" s="20">
        <f t="shared" si="11"/>
        <v>0</v>
      </c>
      <c r="AC67" s="5"/>
      <c r="AD67" s="8"/>
      <c r="AF67" s="6"/>
      <c r="AG67" s="7"/>
      <c r="AJ67" s="33"/>
      <c r="AK67" s="35"/>
      <c r="AL67" s="38"/>
    </row>
    <row r="68" spans="1:38" ht="17.25" customHeight="1">
      <c r="A68" s="25"/>
      <c r="B68" s="26"/>
      <c r="C68" s="14"/>
      <c r="D68" s="31"/>
      <c r="E68" s="14"/>
      <c r="F68" s="15" t="str">
        <f t="shared" si="6"/>
        <v xml:space="preserve">S/F  </v>
      </c>
      <c r="G68" s="16"/>
      <c r="H68" s="17">
        <v>21</v>
      </c>
      <c r="I68" s="18">
        <f t="shared" si="7"/>
        <v>0</v>
      </c>
      <c r="J68" s="17"/>
      <c r="K68" s="18"/>
      <c r="L68" s="16"/>
      <c r="M68" s="17"/>
      <c r="N68" s="18">
        <f t="shared" si="8"/>
        <v>0</v>
      </c>
      <c r="O68" s="19"/>
      <c r="P68" s="18">
        <v>0</v>
      </c>
      <c r="Q68" s="16"/>
      <c r="R68" s="17"/>
      <c r="S68" s="18">
        <v>0</v>
      </c>
      <c r="T68" s="19"/>
      <c r="U68" s="18">
        <v>0</v>
      </c>
      <c r="V68" s="16"/>
      <c r="W68" s="17"/>
      <c r="X68" s="18">
        <f t="shared" si="9"/>
        <v>0</v>
      </c>
      <c r="Y68" s="19"/>
      <c r="Z68" s="19"/>
      <c r="AA68" s="18">
        <f t="shared" si="10"/>
        <v>0</v>
      </c>
      <c r="AB68" s="20">
        <f t="shared" si="11"/>
        <v>0</v>
      </c>
      <c r="AC68" s="5"/>
      <c r="AD68" s="8"/>
      <c r="AF68" s="6"/>
      <c r="AG68" s="7"/>
      <c r="AJ68" s="33"/>
      <c r="AK68" s="35"/>
      <c r="AL68" s="38"/>
    </row>
    <row r="69" spans="1:38" ht="17.25" customHeight="1">
      <c r="A69" s="25"/>
      <c r="B69" s="26"/>
      <c r="C69" s="14"/>
      <c r="D69" s="31"/>
      <c r="E69" s="14"/>
      <c r="F69" s="15" t="str">
        <f t="shared" si="6"/>
        <v xml:space="preserve">S/F  </v>
      </c>
      <c r="G69" s="16"/>
      <c r="H69" s="17">
        <v>21</v>
      </c>
      <c r="I69" s="18">
        <f t="shared" si="7"/>
        <v>0</v>
      </c>
      <c r="J69" s="17"/>
      <c r="K69" s="18"/>
      <c r="L69" s="16"/>
      <c r="M69" s="17"/>
      <c r="N69" s="18">
        <f t="shared" si="8"/>
        <v>0</v>
      </c>
      <c r="O69" s="19"/>
      <c r="P69" s="18">
        <v>0</v>
      </c>
      <c r="Q69" s="16"/>
      <c r="R69" s="17"/>
      <c r="S69" s="18">
        <v>0</v>
      </c>
      <c r="T69" s="19"/>
      <c r="U69" s="18">
        <v>0</v>
      </c>
      <c r="V69" s="16"/>
      <c r="W69" s="17"/>
      <c r="X69" s="18">
        <f t="shared" si="9"/>
        <v>0</v>
      </c>
      <c r="Y69" s="19"/>
      <c r="Z69" s="19"/>
      <c r="AA69" s="18">
        <f t="shared" si="10"/>
        <v>0</v>
      </c>
      <c r="AB69" s="20">
        <f t="shared" si="11"/>
        <v>0</v>
      </c>
      <c r="AC69" s="5"/>
      <c r="AD69" s="8"/>
      <c r="AF69" s="6"/>
      <c r="AG69" s="7"/>
      <c r="AJ69" s="33"/>
      <c r="AK69" s="35"/>
      <c r="AL69" s="38"/>
    </row>
    <row r="70" spans="1:38" ht="17.25" customHeight="1">
      <c r="A70" s="25"/>
      <c r="B70" s="26"/>
      <c r="C70" s="14"/>
      <c r="D70" s="31"/>
      <c r="E70" s="14"/>
      <c r="F70" s="15" t="str">
        <f t="shared" si="6"/>
        <v xml:space="preserve">S/F  </v>
      </c>
      <c r="G70" s="16"/>
      <c r="H70" s="17">
        <v>21</v>
      </c>
      <c r="I70" s="18">
        <f t="shared" si="7"/>
        <v>0</v>
      </c>
      <c r="J70" s="17"/>
      <c r="K70" s="18"/>
      <c r="L70" s="16"/>
      <c r="M70" s="17"/>
      <c r="N70" s="18">
        <f t="shared" si="8"/>
        <v>0</v>
      </c>
      <c r="O70" s="19"/>
      <c r="P70" s="18">
        <v>0</v>
      </c>
      <c r="Q70" s="16"/>
      <c r="R70" s="17"/>
      <c r="S70" s="18">
        <v>0</v>
      </c>
      <c r="T70" s="19"/>
      <c r="U70" s="18">
        <v>0</v>
      </c>
      <c r="V70" s="16"/>
      <c r="W70" s="17"/>
      <c r="X70" s="18">
        <f t="shared" si="9"/>
        <v>0</v>
      </c>
      <c r="Y70" s="19"/>
      <c r="Z70" s="19"/>
      <c r="AA70" s="18">
        <f t="shared" si="10"/>
        <v>0</v>
      </c>
      <c r="AB70" s="20">
        <f t="shared" si="11"/>
        <v>0</v>
      </c>
      <c r="AC70" s="5"/>
      <c r="AD70" s="8"/>
      <c r="AF70" s="6"/>
      <c r="AG70" s="7"/>
      <c r="AJ70" s="33"/>
      <c r="AK70" s="35"/>
      <c r="AL70" s="38"/>
    </row>
    <row r="71" spans="1:38" ht="17.25" customHeight="1">
      <c r="A71" s="25"/>
      <c r="B71" s="26"/>
      <c r="C71" s="14"/>
      <c r="D71" s="31"/>
      <c r="E71" s="14"/>
      <c r="F71" s="15" t="str">
        <f t="shared" si="6"/>
        <v xml:space="preserve">S/F  </v>
      </c>
      <c r="G71" s="16"/>
      <c r="H71" s="17">
        <v>21</v>
      </c>
      <c r="I71" s="18">
        <f t="shared" si="7"/>
        <v>0</v>
      </c>
      <c r="J71" s="17"/>
      <c r="K71" s="18"/>
      <c r="L71" s="16"/>
      <c r="M71" s="17"/>
      <c r="N71" s="18">
        <f t="shared" si="8"/>
        <v>0</v>
      </c>
      <c r="O71" s="19"/>
      <c r="P71" s="18">
        <v>0</v>
      </c>
      <c r="Q71" s="16"/>
      <c r="R71" s="17"/>
      <c r="S71" s="18">
        <v>0</v>
      </c>
      <c r="T71" s="19"/>
      <c r="U71" s="18">
        <v>0</v>
      </c>
      <c r="V71" s="16"/>
      <c r="W71" s="17"/>
      <c r="X71" s="18">
        <f t="shared" si="9"/>
        <v>0</v>
      </c>
      <c r="Y71" s="19"/>
      <c r="Z71" s="19"/>
      <c r="AA71" s="18">
        <f t="shared" si="10"/>
        <v>0</v>
      </c>
      <c r="AB71" s="20">
        <f t="shared" si="11"/>
        <v>0</v>
      </c>
      <c r="AC71" s="5"/>
      <c r="AD71" s="8"/>
      <c r="AF71" s="6"/>
      <c r="AG71" s="7"/>
      <c r="AJ71" s="33"/>
      <c r="AK71" s="35"/>
      <c r="AL71" s="38"/>
    </row>
    <row r="72" spans="1:38" ht="17.25" customHeight="1">
      <c r="A72" s="25"/>
      <c r="B72" s="26"/>
      <c r="C72" s="14"/>
      <c r="D72" s="31"/>
      <c r="E72" s="14"/>
      <c r="F72" s="15" t="str">
        <f t="shared" si="6"/>
        <v xml:space="preserve">S/F  </v>
      </c>
      <c r="G72" s="16"/>
      <c r="H72" s="17">
        <v>21</v>
      </c>
      <c r="I72" s="18">
        <f t="shared" si="7"/>
        <v>0</v>
      </c>
      <c r="J72" s="17"/>
      <c r="K72" s="18"/>
      <c r="L72" s="16"/>
      <c r="M72" s="17"/>
      <c r="N72" s="18">
        <f t="shared" si="8"/>
        <v>0</v>
      </c>
      <c r="O72" s="19"/>
      <c r="P72" s="18">
        <v>0</v>
      </c>
      <c r="Q72" s="16"/>
      <c r="R72" s="17"/>
      <c r="S72" s="18">
        <v>0</v>
      </c>
      <c r="T72" s="19"/>
      <c r="U72" s="18">
        <v>0</v>
      </c>
      <c r="V72" s="16"/>
      <c r="W72" s="17"/>
      <c r="X72" s="18">
        <f t="shared" si="9"/>
        <v>0</v>
      </c>
      <c r="Y72" s="19"/>
      <c r="Z72" s="19"/>
      <c r="AA72" s="18">
        <f t="shared" si="10"/>
        <v>0</v>
      </c>
      <c r="AB72" s="20">
        <f t="shared" si="11"/>
        <v>0</v>
      </c>
      <c r="AC72" s="5"/>
      <c r="AD72" s="8"/>
      <c r="AF72" s="6"/>
      <c r="AG72" s="7"/>
      <c r="AJ72" s="33"/>
      <c r="AK72" s="35"/>
      <c r="AL72" s="38"/>
    </row>
    <row r="73" spans="1:38" ht="17.25" customHeight="1">
      <c r="A73" s="25"/>
      <c r="B73" s="26"/>
      <c r="C73" s="14"/>
      <c r="D73" s="31"/>
      <c r="E73" s="14"/>
      <c r="F73" s="15" t="str">
        <f t="shared" si="6"/>
        <v xml:space="preserve">S/F  </v>
      </c>
      <c r="G73" s="16"/>
      <c r="H73" s="17">
        <v>21</v>
      </c>
      <c r="I73" s="18">
        <f t="shared" si="7"/>
        <v>0</v>
      </c>
      <c r="J73" s="17"/>
      <c r="K73" s="18"/>
      <c r="L73" s="16"/>
      <c r="M73" s="17"/>
      <c r="N73" s="18">
        <f t="shared" si="8"/>
        <v>0</v>
      </c>
      <c r="O73" s="19"/>
      <c r="P73" s="18">
        <v>0</v>
      </c>
      <c r="Q73" s="16"/>
      <c r="R73" s="17"/>
      <c r="S73" s="18">
        <v>0</v>
      </c>
      <c r="T73" s="19"/>
      <c r="U73" s="18">
        <v>0</v>
      </c>
      <c r="V73" s="16"/>
      <c r="W73" s="17"/>
      <c r="X73" s="18">
        <f t="shared" si="9"/>
        <v>0</v>
      </c>
      <c r="Y73" s="19"/>
      <c r="Z73" s="19"/>
      <c r="AA73" s="18">
        <f t="shared" si="10"/>
        <v>0</v>
      </c>
      <c r="AB73" s="20">
        <f t="shared" si="11"/>
        <v>0</v>
      </c>
      <c r="AC73" s="5"/>
      <c r="AD73" s="8"/>
      <c r="AF73" s="6"/>
      <c r="AG73" s="7"/>
      <c r="AJ73" s="33"/>
      <c r="AK73" s="35"/>
      <c r="AL73" s="38"/>
    </row>
    <row r="74" spans="1:38" ht="17.25" customHeight="1">
      <c r="A74" s="25"/>
      <c r="B74" s="26"/>
      <c r="C74" s="14"/>
      <c r="D74" s="31"/>
      <c r="E74" s="14"/>
      <c r="F74" s="15" t="str">
        <f t="shared" si="6"/>
        <v xml:space="preserve">S/F  </v>
      </c>
      <c r="G74" s="16"/>
      <c r="H74" s="17">
        <v>21</v>
      </c>
      <c r="I74" s="18">
        <f t="shared" si="7"/>
        <v>0</v>
      </c>
      <c r="J74" s="17"/>
      <c r="K74" s="18"/>
      <c r="L74" s="16"/>
      <c r="M74" s="17"/>
      <c r="N74" s="18">
        <f t="shared" si="8"/>
        <v>0</v>
      </c>
      <c r="O74" s="19"/>
      <c r="P74" s="18">
        <v>0</v>
      </c>
      <c r="Q74" s="16"/>
      <c r="R74" s="17"/>
      <c r="S74" s="18">
        <v>0</v>
      </c>
      <c r="T74" s="19"/>
      <c r="U74" s="18">
        <v>0</v>
      </c>
      <c r="V74" s="16"/>
      <c r="W74" s="17"/>
      <c r="X74" s="18">
        <f t="shared" si="9"/>
        <v>0</v>
      </c>
      <c r="Y74" s="19"/>
      <c r="Z74" s="19"/>
      <c r="AA74" s="18">
        <f t="shared" si="10"/>
        <v>0</v>
      </c>
      <c r="AB74" s="20">
        <f t="shared" si="11"/>
        <v>0</v>
      </c>
      <c r="AC74" s="5"/>
      <c r="AD74" s="8"/>
      <c r="AF74" s="6"/>
      <c r="AG74" s="7"/>
      <c r="AJ74" s="33"/>
      <c r="AK74" s="35"/>
      <c r="AL74" s="38"/>
    </row>
    <row r="75" spans="1:38" ht="17.25" customHeight="1">
      <c r="A75" s="25"/>
      <c r="B75" s="26"/>
      <c r="C75" s="14"/>
      <c r="D75" s="31"/>
      <c r="E75" s="14"/>
      <c r="F75" s="15" t="str">
        <f t="shared" si="6"/>
        <v xml:space="preserve">S/F  </v>
      </c>
      <c r="G75" s="16"/>
      <c r="H75" s="17">
        <v>21</v>
      </c>
      <c r="I75" s="18">
        <f t="shared" si="7"/>
        <v>0</v>
      </c>
      <c r="J75" s="17"/>
      <c r="K75" s="18"/>
      <c r="L75" s="16"/>
      <c r="M75" s="17"/>
      <c r="N75" s="18">
        <f t="shared" si="8"/>
        <v>0</v>
      </c>
      <c r="O75" s="19"/>
      <c r="P75" s="18">
        <v>0</v>
      </c>
      <c r="Q75" s="16"/>
      <c r="R75" s="17"/>
      <c r="S75" s="18">
        <v>0</v>
      </c>
      <c r="T75" s="19"/>
      <c r="U75" s="18">
        <v>0</v>
      </c>
      <c r="V75" s="16"/>
      <c r="W75" s="17"/>
      <c r="X75" s="18">
        <f t="shared" si="9"/>
        <v>0</v>
      </c>
      <c r="Y75" s="19"/>
      <c r="Z75" s="19"/>
      <c r="AA75" s="18">
        <f t="shared" si="10"/>
        <v>0</v>
      </c>
      <c r="AB75" s="20">
        <f t="shared" si="11"/>
        <v>0</v>
      </c>
      <c r="AC75" s="5"/>
      <c r="AD75" s="8"/>
      <c r="AF75" s="6"/>
      <c r="AG75" s="7"/>
      <c r="AJ75" s="33"/>
      <c r="AK75" s="35"/>
      <c r="AL75" s="38"/>
    </row>
    <row r="76" spans="1:38" ht="17.25" customHeight="1">
      <c r="A76" s="25"/>
      <c r="B76" s="26"/>
      <c r="C76" s="14"/>
      <c r="D76" s="31"/>
      <c r="E76" s="14"/>
      <c r="F76" s="15" t="str">
        <f t="shared" si="6"/>
        <v xml:space="preserve">S/F  </v>
      </c>
      <c r="G76" s="16"/>
      <c r="H76" s="17">
        <v>21</v>
      </c>
      <c r="I76" s="18">
        <f t="shared" si="7"/>
        <v>0</v>
      </c>
      <c r="J76" s="17"/>
      <c r="K76" s="18"/>
      <c r="L76" s="16"/>
      <c r="M76" s="17"/>
      <c r="N76" s="18">
        <f t="shared" si="8"/>
        <v>0</v>
      </c>
      <c r="O76" s="19"/>
      <c r="P76" s="18">
        <v>0</v>
      </c>
      <c r="Q76" s="16"/>
      <c r="R76" s="17"/>
      <c r="S76" s="18">
        <v>0</v>
      </c>
      <c r="T76" s="19"/>
      <c r="U76" s="18">
        <v>0</v>
      </c>
      <c r="V76" s="16"/>
      <c r="W76" s="17"/>
      <c r="X76" s="18">
        <f t="shared" si="9"/>
        <v>0</v>
      </c>
      <c r="Y76" s="19"/>
      <c r="Z76" s="19"/>
      <c r="AA76" s="18">
        <f t="shared" si="10"/>
        <v>0</v>
      </c>
      <c r="AB76" s="20">
        <f t="shared" si="11"/>
        <v>0</v>
      </c>
      <c r="AC76" s="5"/>
      <c r="AD76" s="8"/>
      <c r="AF76" s="6"/>
      <c r="AG76" s="7"/>
      <c r="AJ76" s="33"/>
      <c r="AK76" s="35"/>
      <c r="AL76" s="38"/>
    </row>
    <row r="77" spans="1:38" ht="17.25" customHeight="1">
      <c r="A77" s="25"/>
      <c r="B77" s="26"/>
      <c r="C77" s="14"/>
      <c r="D77" s="31"/>
      <c r="E77" s="14"/>
      <c r="F77" s="15" t="str">
        <f t="shared" si="6"/>
        <v xml:space="preserve">S/F  </v>
      </c>
      <c r="G77" s="16"/>
      <c r="H77" s="17">
        <v>21</v>
      </c>
      <c r="I77" s="18">
        <f t="shared" si="7"/>
        <v>0</v>
      </c>
      <c r="J77" s="17"/>
      <c r="K77" s="18"/>
      <c r="L77" s="16"/>
      <c r="M77" s="17"/>
      <c r="N77" s="18">
        <f t="shared" si="8"/>
        <v>0</v>
      </c>
      <c r="O77" s="19"/>
      <c r="P77" s="18">
        <v>0</v>
      </c>
      <c r="Q77" s="16"/>
      <c r="R77" s="17"/>
      <c r="S77" s="18">
        <v>0</v>
      </c>
      <c r="T77" s="19"/>
      <c r="U77" s="18">
        <v>0</v>
      </c>
      <c r="V77" s="16"/>
      <c r="W77" s="17"/>
      <c r="X77" s="18">
        <f t="shared" si="9"/>
        <v>0</v>
      </c>
      <c r="Y77" s="19"/>
      <c r="Z77" s="19"/>
      <c r="AA77" s="18">
        <f t="shared" si="10"/>
        <v>0</v>
      </c>
      <c r="AB77" s="20">
        <f t="shared" si="11"/>
        <v>0</v>
      </c>
      <c r="AC77" s="5"/>
      <c r="AD77" s="8"/>
      <c r="AF77" s="6"/>
      <c r="AG77" s="7"/>
      <c r="AJ77" s="33"/>
      <c r="AK77" s="35"/>
      <c r="AL77" s="38"/>
    </row>
    <row r="78" spans="1:38" ht="17.25" customHeight="1">
      <c r="A78" s="25"/>
      <c r="B78" s="26"/>
      <c r="C78" s="14"/>
      <c r="D78" s="26"/>
      <c r="E78" s="14"/>
      <c r="F78" s="15" t="str">
        <f t="shared" si="6"/>
        <v xml:space="preserve">S/F  </v>
      </c>
      <c r="G78" s="16"/>
      <c r="H78" s="17">
        <v>21</v>
      </c>
      <c r="I78" s="18">
        <f t="shared" si="7"/>
        <v>0</v>
      </c>
      <c r="J78" s="17"/>
      <c r="K78" s="18"/>
      <c r="L78" s="16"/>
      <c r="M78" s="17"/>
      <c r="N78" s="18">
        <f t="shared" si="8"/>
        <v>0</v>
      </c>
      <c r="O78" s="19"/>
      <c r="P78" s="18">
        <v>0</v>
      </c>
      <c r="Q78" s="16"/>
      <c r="R78" s="17"/>
      <c r="S78" s="18">
        <v>0</v>
      </c>
      <c r="T78" s="19"/>
      <c r="U78" s="18">
        <v>0</v>
      </c>
      <c r="V78" s="16"/>
      <c r="W78" s="17"/>
      <c r="X78" s="18">
        <f t="shared" si="9"/>
        <v>0</v>
      </c>
      <c r="Y78" s="19"/>
      <c r="Z78" s="19"/>
      <c r="AA78" s="18">
        <f t="shared" si="10"/>
        <v>0</v>
      </c>
      <c r="AB78" s="20">
        <f t="shared" si="11"/>
        <v>0</v>
      </c>
      <c r="AC78" s="5"/>
      <c r="AD78" s="8"/>
      <c r="AF78" s="6"/>
      <c r="AG78" s="7"/>
      <c r="AJ78" s="33"/>
      <c r="AK78" s="35"/>
      <c r="AL78" s="38"/>
    </row>
    <row r="79" spans="1:38" ht="17.25" customHeight="1">
      <c r="A79" s="25"/>
      <c r="B79" s="26"/>
      <c r="C79" s="14"/>
      <c r="D79" s="31"/>
      <c r="E79" s="14"/>
      <c r="F79" s="15" t="str">
        <f t="shared" si="6"/>
        <v xml:space="preserve">S/F  </v>
      </c>
      <c r="G79" s="16"/>
      <c r="H79" s="17">
        <v>21</v>
      </c>
      <c r="I79" s="18">
        <f t="shared" si="7"/>
        <v>0</v>
      </c>
      <c r="J79" s="17"/>
      <c r="K79" s="18"/>
      <c r="L79" s="16"/>
      <c r="M79" s="17"/>
      <c r="N79" s="18">
        <f t="shared" si="8"/>
        <v>0</v>
      </c>
      <c r="O79" s="19"/>
      <c r="P79" s="18">
        <v>0</v>
      </c>
      <c r="Q79" s="16"/>
      <c r="R79" s="17"/>
      <c r="S79" s="18">
        <v>0</v>
      </c>
      <c r="T79" s="19"/>
      <c r="U79" s="18">
        <v>0</v>
      </c>
      <c r="V79" s="16"/>
      <c r="W79" s="17"/>
      <c r="X79" s="18">
        <f t="shared" si="9"/>
        <v>0</v>
      </c>
      <c r="Y79" s="19"/>
      <c r="Z79" s="19"/>
      <c r="AA79" s="18">
        <f t="shared" si="10"/>
        <v>0</v>
      </c>
      <c r="AB79" s="20">
        <f t="shared" si="11"/>
        <v>0</v>
      </c>
      <c r="AC79" s="5"/>
      <c r="AD79" s="8"/>
      <c r="AF79" s="6"/>
      <c r="AG79" s="7"/>
      <c r="AJ79" s="33"/>
      <c r="AK79" s="35"/>
      <c r="AL79" s="38"/>
    </row>
    <row r="80" spans="1:38" ht="17.25" customHeight="1">
      <c r="A80" s="25"/>
      <c r="B80" s="26"/>
      <c r="C80" s="14"/>
      <c r="D80" s="31"/>
      <c r="E80" s="14"/>
      <c r="F80" s="15" t="str">
        <f t="shared" si="6"/>
        <v xml:space="preserve">S/F  </v>
      </c>
      <c r="G80" s="16"/>
      <c r="H80" s="17">
        <v>21</v>
      </c>
      <c r="I80" s="18">
        <f t="shared" si="7"/>
        <v>0</v>
      </c>
      <c r="J80" s="17"/>
      <c r="K80" s="18"/>
      <c r="L80" s="16"/>
      <c r="M80" s="17"/>
      <c r="N80" s="18">
        <f t="shared" si="8"/>
        <v>0</v>
      </c>
      <c r="O80" s="19"/>
      <c r="P80" s="18">
        <v>0</v>
      </c>
      <c r="Q80" s="16"/>
      <c r="R80" s="17"/>
      <c r="S80" s="18">
        <v>0</v>
      </c>
      <c r="T80" s="19"/>
      <c r="U80" s="18">
        <v>0</v>
      </c>
      <c r="V80" s="16"/>
      <c r="W80" s="17"/>
      <c r="X80" s="18">
        <f t="shared" si="9"/>
        <v>0</v>
      </c>
      <c r="Y80" s="19"/>
      <c r="Z80" s="19"/>
      <c r="AA80" s="18">
        <f t="shared" si="10"/>
        <v>0</v>
      </c>
      <c r="AB80" s="20">
        <f t="shared" si="11"/>
        <v>0</v>
      </c>
      <c r="AC80" s="5"/>
      <c r="AD80" s="8"/>
      <c r="AF80" s="6"/>
      <c r="AG80" s="7"/>
      <c r="AJ80" s="33"/>
      <c r="AK80" s="35"/>
      <c r="AL80" s="38"/>
    </row>
    <row r="81" spans="1:38" ht="17.25" customHeight="1">
      <c r="A81" s="25"/>
      <c r="B81" s="26"/>
      <c r="C81" s="14"/>
      <c r="D81" s="31"/>
      <c r="E81" s="14"/>
      <c r="F81" s="15" t="str">
        <f t="shared" si="6"/>
        <v xml:space="preserve">S/F  </v>
      </c>
      <c r="G81" s="16"/>
      <c r="H81" s="17">
        <v>21</v>
      </c>
      <c r="I81" s="18">
        <f t="shared" si="7"/>
        <v>0</v>
      </c>
      <c r="J81" s="17"/>
      <c r="K81" s="18"/>
      <c r="L81" s="16"/>
      <c r="M81" s="17"/>
      <c r="N81" s="18">
        <f t="shared" si="8"/>
        <v>0</v>
      </c>
      <c r="O81" s="19"/>
      <c r="P81" s="18">
        <v>0</v>
      </c>
      <c r="Q81" s="16"/>
      <c r="R81" s="17"/>
      <c r="S81" s="18">
        <v>0</v>
      </c>
      <c r="T81" s="19"/>
      <c r="U81" s="18">
        <v>0</v>
      </c>
      <c r="V81" s="16"/>
      <c r="W81" s="17"/>
      <c r="X81" s="18">
        <f t="shared" si="9"/>
        <v>0</v>
      </c>
      <c r="Y81" s="19"/>
      <c r="Z81" s="19"/>
      <c r="AA81" s="18">
        <f t="shared" si="10"/>
        <v>0</v>
      </c>
      <c r="AB81" s="20">
        <f t="shared" si="11"/>
        <v>0</v>
      </c>
      <c r="AC81" s="5"/>
      <c r="AD81" s="8"/>
      <c r="AF81" s="6"/>
      <c r="AG81" s="7"/>
      <c r="AJ81" s="33"/>
      <c r="AK81" s="35"/>
      <c r="AL81" s="38"/>
    </row>
    <row r="82" spans="1:38" ht="17.25" customHeight="1">
      <c r="A82" s="25"/>
      <c r="B82" s="26"/>
      <c r="C82" s="14"/>
      <c r="D82" s="31"/>
      <c r="E82" s="14"/>
      <c r="F82" s="15" t="str">
        <f t="shared" si="6"/>
        <v xml:space="preserve">S/F  </v>
      </c>
      <c r="G82" s="16"/>
      <c r="H82" s="17">
        <v>21</v>
      </c>
      <c r="I82" s="18">
        <f t="shared" si="7"/>
        <v>0</v>
      </c>
      <c r="J82" s="17"/>
      <c r="K82" s="18"/>
      <c r="L82" s="16"/>
      <c r="M82" s="17"/>
      <c r="N82" s="18">
        <f t="shared" si="8"/>
        <v>0</v>
      </c>
      <c r="O82" s="19"/>
      <c r="P82" s="18">
        <v>0</v>
      </c>
      <c r="Q82" s="16"/>
      <c r="R82" s="17"/>
      <c r="S82" s="18">
        <v>0</v>
      </c>
      <c r="T82" s="19"/>
      <c r="U82" s="18">
        <v>0</v>
      </c>
      <c r="V82" s="16"/>
      <c r="W82" s="17"/>
      <c r="X82" s="18">
        <f t="shared" si="9"/>
        <v>0</v>
      </c>
      <c r="Y82" s="19"/>
      <c r="Z82" s="19"/>
      <c r="AA82" s="18">
        <f t="shared" si="10"/>
        <v>0</v>
      </c>
      <c r="AB82" s="20">
        <f t="shared" si="11"/>
        <v>0</v>
      </c>
      <c r="AC82" s="5"/>
      <c r="AD82" s="8"/>
      <c r="AF82" s="6"/>
      <c r="AG82" s="7"/>
      <c r="AJ82" s="33"/>
      <c r="AK82" s="35"/>
      <c r="AL82" s="38"/>
    </row>
    <row r="83" spans="1:38" ht="17.25" customHeight="1">
      <c r="A83" s="25"/>
      <c r="B83" s="26"/>
      <c r="C83" s="14"/>
      <c r="D83" s="31"/>
      <c r="E83" s="14"/>
      <c r="F83" s="15" t="str">
        <f t="shared" si="6"/>
        <v xml:space="preserve">S/F  </v>
      </c>
      <c r="G83" s="16"/>
      <c r="H83" s="17">
        <v>21</v>
      </c>
      <c r="I83" s="18">
        <f t="shared" si="7"/>
        <v>0</v>
      </c>
      <c r="J83" s="17"/>
      <c r="K83" s="18"/>
      <c r="L83" s="16"/>
      <c r="M83" s="17"/>
      <c r="N83" s="18">
        <f t="shared" si="8"/>
        <v>0</v>
      </c>
      <c r="O83" s="19"/>
      <c r="P83" s="18">
        <v>0</v>
      </c>
      <c r="Q83" s="16"/>
      <c r="R83" s="17"/>
      <c r="S83" s="18">
        <v>0</v>
      </c>
      <c r="T83" s="19"/>
      <c r="U83" s="18">
        <v>0</v>
      </c>
      <c r="V83" s="16"/>
      <c r="W83" s="17"/>
      <c r="X83" s="18">
        <f t="shared" si="9"/>
        <v>0</v>
      </c>
      <c r="Y83" s="19"/>
      <c r="Z83" s="19"/>
      <c r="AA83" s="18">
        <f t="shared" si="10"/>
        <v>0</v>
      </c>
      <c r="AB83" s="20">
        <f t="shared" si="11"/>
        <v>0</v>
      </c>
      <c r="AC83" s="5"/>
      <c r="AD83" s="8"/>
      <c r="AF83" s="6"/>
      <c r="AG83" s="7"/>
      <c r="AJ83" s="33"/>
      <c r="AK83" s="35"/>
      <c r="AL83" s="38"/>
    </row>
    <row r="84" spans="1:38" ht="17.25" customHeight="1">
      <c r="A84" s="25"/>
      <c r="B84" s="26"/>
      <c r="C84" s="14"/>
      <c r="D84" s="31"/>
      <c r="E84" s="14"/>
      <c r="F84" s="15" t="str">
        <f t="shared" si="6"/>
        <v xml:space="preserve">S/F  </v>
      </c>
      <c r="G84" s="16"/>
      <c r="H84" s="17">
        <v>21</v>
      </c>
      <c r="I84" s="18">
        <f t="shared" si="7"/>
        <v>0</v>
      </c>
      <c r="J84" s="17"/>
      <c r="K84" s="18"/>
      <c r="L84" s="16"/>
      <c r="M84" s="17"/>
      <c r="N84" s="18">
        <f t="shared" si="8"/>
        <v>0</v>
      </c>
      <c r="O84" s="19"/>
      <c r="P84" s="18">
        <v>0</v>
      </c>
      <c r="Q84" s="16"/>
      <c r="R84" s="17"/>
      <c r="S84" s="18">
        <v>0</v>
      </c>
      <c r="T84" s="19"/>
      <c r="U84" s="18">
        <v>0</v>
      </c>
      <c r="V84" s="16"/>
      <c r="W84" s="17"/>
      <c r="X84" s="18">
        <f t="shared" si="9"/>
        <v>0</v>
      </c>
      <c r="Y84" s="19"/>
      <c r="Z84" s="19"/>
      <c r="AA84" s="18">
        <f t="shared" si="10"/>
        <v>0</v>
      </c>
      <c r="AB84" s="20">
        <f t="shared" si="11"/>
        <v>0</v>
      </c>
      <c r="AC84" s="5"/>
      <c r="AD84" s="8"/>
      <c r="AF84" s="6"/>
      <c r="AG84" s="7"/>
      <c r="AJ84" s="33"/>
      <c r="AK84" s="35"/>
      <c r="AL84" s="38"/>
    </row>
    <row r="85" spans="1:38" ht="17.25" customHeight="1">
      <c r="A85" s="25"/>
      <c r="B85" s="26"/>
      <c r="C85" s="14"/>
      <c r="D85" s="31"/>
      <c r="E85" s="14"/>
      <c r="F85" s="15" t="str">
        <f t="shared" si="6"/>
        <v xml:space="preserve">S/F  </v>
      </c>
      <c r="G85" s="16"/>
      <c r="H85" s="17">
        <v>21</v>
      </c>
      <c r="I85" s="18">
        <f t="shared" si="7"/>
        <v>0</v>
      </c>
      <c r="J85" s="17"/>
      <c r="K85" s="18"/>
      <c r="L85" s="16"/>
      <c r="M85" s="17"/>
      <c r="N85" s="18">
        <f t="shared" si="8"/>
        <v>0</v>
      </c>
      <c r="O85" s="19"/>
      <c r="P85" s="18">
        <v>0</v>
      </c>
      <c r="Q85" s="16"/>
      <c r="R85" s="17"/>
      <c r="S85" s="18">
        <v>0</v>
      </c>
      <c r="T85" s="19"/>
      <c r="U85" s="18">
        <v>0</v>
      </c>
      <c r="V85" s="16"/>
      <c r="W85" s="17"/>
      <c r="X85" s="18">
        <f t="shared" si="9"/>
        <v>0</v>
      </c>
      <c r="Y85" s="19"/>
      <c r="Z85" s="19"/>
      <c r="AA85" s="18">
        <f t="shared" si="10"/>
        <v>0</v>
      </c>
      <c r="AB85" s="20">
        <f t="shared" si="11"/>
        <v>0</v>
      </c>
      <c r="AC85" s="5"/>
      <c r="AD85" s="8"/>
      <c r="AF85" s="6"/>
      <c r="AG85" s="7"/>
      <c r="AJ85" s="33"/>
      <c r="AK85" s="35"/>
      <c r="AL85" s="38"/>
    </row>
    <row r="86" spans="1:38" ht="17.25" customHeight="1">
      <c r="A86" s="25"/>
      <c r="B86" s="26"/>
      <c r="C86" s="14"/>
      <c r="D86" s="31"/>
      <c r="E86" s="14"/>
      <c r="F86" s="15" t="str">
        <f t="shared" si="6"/>
        <v xml:space="preserve">S/F  </v>
      </c>
      <c r="G86" s="16"/>
      <c r="H86" s="17">
        <v>21</v>
      </c>
      <c r="I86" s="18">
        <f t="shared" si="7"/>
        <v>0</v>
      </c>
      <c r="J86" s="17"/>
      <c r="K86" s="18"/>
      <c r="L86" s="16"/>
      <c r="M86" s="17"/>
      <c r="N86" s="18">
        <f t="shared" si="8"/>
        <v>0</v>
      </c>
      <c r="O86" s="19"/>
      <c r="P86" s="18">
        <v>0</v>
      </c>
      <c r="Q86" s="16"/>
      <c r="R86" s="17"/>
      <c r="S86" s="18">
        <v>0</v>
      </c>
      <c r="T86" s="19"/>
      <c r="U86" s="18">
        <v>0</v>
      </c>
      <c r="V86" s="16"/>
      <c r="W86" s="17"/>
      <c r="X86" s="18">
        <f t="shared" si="9"/>
        <v>0</v>
      </c>
      <c r="Y86" s="19"/>
      <c r="Z86" s="19"/>
      <c r="AA86" s="18">
        <f t="shared" si="10"/>
        <v>0</v>
      </c>
      <c r="AB86" s="20">
        <f t="shared" si="11"/>
        <v>0</v>
      </c>
      <c r="AC86" s="5"/>
      <c r="AD86" s="8"/>
      <c r="AF86" s="6"/>
      <c r="AG86" s="7"/>
      <c r="AJ86" s="33"/>
      <c r="AK86" s="35"/>
      <c r="AL86" s="38"/>
    </row>
    <row r="87" spans="1:38" ht="17.25" customHeight="1">
      <c r="A87" s="25"/>
      <c r="B87" s="26"/>
      <c r="C87" s="14"/>
      <c r="D87" s="31"/>
      <c r="E87" s="14"/>
      <c r="F87" s="15" t="str">
        <f t="shared" si="6"/>
        <v xml:space="preserve">S/F  </v>
      </c>
      <c r="G87" s="16"/>
      <c r="H87" s="17">
        <v>21</v>
      </c>
      <c r="I87" s="18">
        <f t="shared" si="7"/>
        <v>0</v>
      </c>
      <c r="J87" s="17"/>
      <c r="K87" s="18"/>
      <c r="L87" s="16"/>
      <c r="M87" s="17"/>
      <c r="N87" s="18">
        <f t="shared" si="8"/>
        <v>0</v>
      </c>
      <c r="O87" s="19"/>
      <c r="P87" s="18">
        <v>0</v>
      </c>
      <c r="Q87" s="16"/>
      <c r="R87" s="17"/>
      <c r="S87" s="18">
        <v>0</v>
      </c>
      <c r="T87" s="19"/>
      <c r="U87" s="18">
        <v>0</v>
      </c>
      <c r="V87" s="16"/>
      <c r="W87" s="17"/>
      <c r="X87" s="18">
        <f t="shared" si="9"/>
        <v>0</v>
      </c>
      <c r="Y87" s="19"/>
      <c r="Z87" s="19"/>
      <c r="AA87" s="18">
        <f t="shared" si="10"/>
        <v>0</v>
      </c>
      <c r="AB87" s="20">
        <f t="shared" si="11"/>
        <v>0</v>
      </c>
      <c r="AC87" s="5"/>
      <c r="AD87" s="8"/>
      <c r="AF87" s="6"/>
      <c r="AG87" s="7"/>
      <c r="AJ87" s="33"/>
      <c r="AK87" s="35"/>
      <c r="AL87" s="38"/>
    </row>
    <row r="88" spans="1:38" ht="17.25" customHeight="1">
      <c r="A88" s="25"/>
      <c r="B88" s="26"/>
      <c r="C88" s="14"/>
      <c r="D88" s="31"/>
      <c r="E88" s="14"/>
      <c r="F88" s="15" t="str">
        <f t="shared" si="6"/>
        <v xml:space="preserve">S/F  </v>
      </c>
      <c r="G88" s="16"/>
      <c r="H88" s="17">
        <v>21</v>
      </c>
      <c r="I88" s="18">
        <f t="shared" si="7"/>
        <v>0</v>
      </c>
      <c r="J88" s="17"/>
      <c r="K88" s="18"/>
      <c r="L88" s="16"/>
      <c r="M88" s="17"/>
      <c r="N88" s="18">
        <f t="shared" si="8"/>
        <v>0</v>
      </c>
      <c r="O88" s="19"/>
      <c r="P88" s="18">
        <v>0</v>
      </c>
      <c r="Q88" s="16"/>
      <c r="R88" s="17"/>
      <c r="S88" s="18">
        <v>0</v>
      </c>
      <c r="T88" s="19"/>
      <c r="U88" s="18">
        <v>0</v>
      </c>
      <c r="V88" s="16"/>
      <c r="W88" s="17"/>
      <c r="X88" s="18">
        <f t="shared" si="9"/>
        <v>0</v>
      </c>
      <c r="Y88" s="19"/>
      <c r="Z88" s="19"/>
      <c r="AA88" s="18">
        <f t="shared" si="10"/>
        <v>0</v>
      </c>
      <c r="AB88" s="20">
        <f t="shared" si="11"/>
        <v>0</v>
      </c>
      <c r="AC88" s="5"/>
      <c r="AD88" s="8"/>
      <c r="AF88" s="6"/>
      <c r="AG88" s="7"/>
      <c r="AJ88" s="33"/>
      <c r="AK88" s="35"/>
      <c r="AL88" s="38"/>
    </row>
    <row r="89" spans="1:38" ht="17.25" customHeight="1">
      <c r="A89" s="25"/>
      <c r="B89" s="26"/>
      <c r="C89" s="14"/>
      <c r="D89" s="31"/>
      <c r="E89" s="14"/>
      <c r="F89" s="15" t="str">
        <f t="shared" si="6"/>
        <v xml:space="preserve">S/F  </v>
      </c>
      <c r="G89" s="16"/>
      <c r="H89" s="17">
        <v>21</v>
      </c>
      <c r="I89" s="18">
        <f t="shared" si="7"/>
        <v>0</v>
      </c>
      <c r="J89" s="17"/>
      <c r="K89" s="18"/>
      <c r="L89" s="16"/>
      <c r="M89" s="17"/>
      <c r="N89" s="18">
        <f t="shared" si="8"/>
        <v>0</v>
      </c>
      <c r="O89" s="19"/>
      <c r="P89" s="18">
        <v>0</v>
      </c>
      <c r="Q89" s="16"/>
      <c r="R89" s="17"/>
      <c r="S89" s="18">
        <v>0</v>
      </c>
      <c r="T89" s="19"/>
      <c r="U89" s="18">
        <v>0</v>
      </c>
      <c r="V89" s="16"/>
      <c r="W89" s="17"/>
      <c r="X89" s="18">
        <f t="shared" si="9"/>
        <v>0</v>
      </c>
      <c r="Y89" s="19"/>
      <c r="Z89" s="19"/>
      <c r="AA89" s="18">
        <f t="shared" si="10"/>
        <v>0</v>
      </c>
      <c r="AB89" s="20">
        <f t="shared" si="11"/>
        <v>0</v>
      </c>
      <c r="AC89" s="5"/>
      <c r="AD89" s="8"/>
      <c r="AF89" s="6"/>
      <c r="AG89" s="7"/>
      <c r="AJ89" s="33"/>
      <c r="AK89" s="35"/>
      <c r="AL89" s="38"/>
    </row>
    <row r="90" spans="1:38" ht="17.25" customHeight="1">
      <c r="A90" s="25"/>
      <c r="B90" s="26"/>
      <c r="C90" s="14"/>
      <c r="D90" s="31"/>
      <c r="E90" s="14"/>
      <c r="F90" s="15" t="str">
        <f t="shared" si="6"/>
        <v xml:space="preserve">S/F  </v>
      </c>
      <c r="G90" s="16"/>
      <c r="H90" s="17">
        <v>21</v>
      </c>
      <c r="I90" s="18">
        <f t="shared" si="7"/>
        <v>0</v>
      </c>
      <c r="J90" s="17"/>
      <c r="K90" s="18"/>
      <c r="L90" s="16"/>
      <c r="M90" s="17"/>
      <c r="N90" s="18">
        <f t="shared" si="8"/>
        <v>0</v>
      </c>
      <c r="O90" s="19"/>
      <c r="P90" s="18">
        <v>0</v>
      </c>
      <c r="Q90" s="16"/>
      <c r="R90" s="17"/>
      <c r="S90" s="18">
        <v>0</v>
      </c>
      <c r="T90" s="19"/>
      <c r="U90" s="18">
        <v>0</v>
      </c>
      <c r="V90" s="16"/>
      <c r="W90" s="17"/>
      <c r="X90" s="18">
        <f t="shared" si="9"/>
        <v>0</v>
      </c>
      <c r="Y90" s="19"/>
      <c r="Z90" s="19"/>
      <c r="AA90" s="18">
        <f t="shared" si="10"/>
        <v>0</v>
      </c>
      <c r="AB90" s="20">
        <f t="shared" si="11"/>
        <v>0</v>
      </c>
      <c r="AC90" s="5"/>
      <c r="AD90" s="8"/>
      <c r="AF90" s="6"/>
      <c r="AG90" s="7"/>
      <c r="AJ90" s="33"/>
      <c r="AK90" s="35"/>
      <c r="AL90" s="38"/>
    </row>
    <row r="91" spans="1:38" ht="17.25" customHeight="1">
      <c r="A91" s="25"/>
      <c r="B91" s="26"/>
      <c r="C91" s="14"/>
      <c r="D91" s="31"/>
      <c r="E91" s="14"/>
      <c r="F91" s="15" t="str">
        <f t="shared" si="6"/>
        <v xml:space="preserve">S/F  </v>
      </c>
      <c r="G91" s="16"/>
      <c r="H91" s="17">
        <v>21</v>
      </c>
      <c r="I91" s="18">
        <f t="shared" si="7"/>
        <v>0</v>
      </c>
      <c r="J91" s="17"/>
      <c r="K91" s="18"/>
      <c r="L91" s="16"/>
      <c r="M91" s="17"/>
      <c r="N91" s="18">
        <f t="shared" si="8"/>
        <v>0</v>
      </c>
      <c r="O91" s="19"/>
      <c r="P91" s="18">
        <v>0</v>
      </c>
      <c r="Q91" s="16"/>
      <c r="R91" s="17"/>
      <c r="S91" s="18">
        <v>0</v>
      </c>
      <c r="T91" s="19"/>
      <c r="U91" s="18">
        <v>0</v>
      </c>
      <c r="V91" s="16"/>
      <c r="W91" s="17"/>
      <c r="X91" s="18">
        <f t="shared" si="9"/>
        <v>0</v>
      </c>
      <c r="Y91" s="19"/>
      <c r="Z91" s="19"/>
      <c r="AA91" s="18">
        <f t="shared" si="10"/>
        <v>0</v>
      </c>
      <c r="AB91" s="20">
        <f t="shared" si="11"/>
        <v>0</v>
      </c>
      <c r="AC91" s="5"/>
      <c r="AD91" s="8"/>
      <c r="AF91" s="6"/>
      <c r="AG91" s="7"/>
      <c r="AJ91" s="33"/>
      <c r="AK91" s="35"/>
      <c r="AL91" s="38"/>
    </row>
    <row r="92" spans="1:38" ht="17.25" customHeight="1">
      <c r="A92" s="25"/>
      <c r="B92" s="26"/>
      <c r="C92" s="14"/>
      <c r="D92" s="31"/>
      <c r="E92" s="14"/>
      <c r="F92" s="15" t="str">
        <f t="shared" si="6"/>
        <v xml:space="preserve">S/F  </v>
      </c>
      <c r="G92" s="16"/>
      <c r="H92" s="17">
        <v>21</v>
      </c>
      <c r="I92" s="18">
        <f t="shared" si="7"/>
        <v>0</v>
      </c>
      <c r="J92" s="17"/>
      <c r="K92" s="18"/>
      <c r="L92" s="16"/>
      <c r="M92" s="17"/>
      <c r="N92" s="18">
        <f t="shared" si="8"/>
        <v>0</v>
      </c>
      <c r="O92" s="19"/>
      <c r="P92" s="18">
        <v>0</v>
      </c>
      <c r="Q92" s="16"/>
      <c r="R92" s="17"/>
      <c r="S92" s="18">
        <v>0</v>
      </c>
      <c r="T92" s="19"/>
      <c r="U92" s="18">
        <v>0</v>
      </c>
      <c r="V92" s="16"/>
      <c r="W92" s="17"/>
      <c r="X92" s="18">
        <f t="shared" si="9"/>
        <v>0</v>
      </c>
      <c r="Y92" s="19"/>
      <c r="Z92" s="19"/>
      <c r="AA92" s="18">
        <f t="shared" si="10"/>
        <v>0</v>
      </c>
      <c r="AB92" s="20">
        <f t="shared" si="11"/>
        <v>0</v>
      </c>
      <c r="AC92" s="5"/>
      <c r="AD92" s="8"/>
      <c r="AF92" s="6"/>
      <c r="AG92" s="7"/>
      <c r="AJ92" s="33"/>
      <c r="AK92" s="35"/>
      <c r="AL92" s="38"/>
    </row>
    <row r="93" spans="1:38" ht="17.25" customHeight="1">
      <c r="A93" s="25"/>
      <c r="B93" s="26"/>
      <c r="C93" s="14"/>
      <c r="D93" s="31"/>
      <c r="E93" s="14"/>
      <c r="F93" s="15" t="str">
        <f t="shared" si="6"/>
        <v xml:space="preserve">S/F  </v>
      </c>
      <c r="G93" s="16"/>
      <c r="H93" s="17">
        <v>21</v>
      </c>
      <c r="I93" s="18">
        <f t="shared" si="7"/>
        <v>0</v>
      </c>
      <c r="J93" s="17"/>
      <c r="K93" s="18"/>
      <c r="L93" s="16"/>
      <c r="M93" s="17"/>
      <c r="N93" s="18">
        <f t="shared" si="8"/>
        <v>0</v>
      </c>
      <c r="O93" s="19"/>
      <c r="P93" s="18">
        <v>0</v>
      </c>
      <c r="Q93" s="16"/>
      <c r="R93" s="17"/>
      <c r="S93" s="18">
        <v>0</v>
      </c>
      <c r="T93" s="19"/>
      <c r="U93" s="18">
        <v>0</v>
      </c>
      <c r="V93" s="16"/>
      <c r="W93" s="17"/>
      <c r="X93" s="18">
        <f t="shared" si="9"/>
        <v>0</v>
      </c>
      <c r="Y93" s="19"/>
      <c r="Z93" s="19"/>
      <c r="AA93" s="18">
        <f t="shared" si="10"/>
        <v>0</v>
      </c>
      <c r="AB93" s="20">
        <f t="shared" si="11"/>
        <v>0</v>
      </c>
      <c r="AC93" s="5"/>
      <c r="AD93" s="8"/>
      <c r="AF93" s="6"/>
      <c r="AG93" s="7"/>
      <c r="AJ93" s="33"/>
      <c r="AK93" s="35"/>
      <c r="AL93" s="38"/>
    </row>
    <row r="94" spans="1:38" ht="17.25" customHeight="1">
      <c r="A94" s="25"/>
      <c r="B94" s="26"/>
      <c r="C94" s="14"/>
      <c r="D94" s="31"/>
      <c r="E94" s="14"/>
      <c r="F94" s="15" t="str">
        <f t="shared" si="6"/>
        <v xml:space="preserve">S/F  </v>
      </c>
      <c r="G94" s="16"/>
      <c r="H94" s="17">
        <v>21</v>
      </c>
      <c r="I94" s="18">
        <f t="shared" si="7"/>
        <v>0</v>
      </c>
      <c r="J94" s="17"/>
      <c r="K94" s="18"/>
      <c r="L94" s="16"/>
      <c r="M94" s="17"/>
      <c r="N94" s="18">
        <f t="shared" si="8"/>
        <v>0</v>
      </c>
      <c r="O94" s="19"/>
      <c r="P94" s="18">
        <v>0</v>
      </c>
      <c r="Q94" s="16"/>
      <c r="R94" s="17"/>
      <c r="S94" s="18">
        <v>0</v>
      </c>
      <c r="T94" s="19"/>
      <c r="U94" s="18">
        <v>0</v>
      </c>
      <c r="V94" s="16"/>
      <c r="W94" s="17"/>
      <c r="X94" s="18">
        <f t="shared" si="9"/>
        <v>0</v>
      </c>
      <c r="Y94" s="19"/>
      <c r="Z94" s="19"/>
      <c r="AA94" s="18">
        <f t="shared" si="10"/>
        <v>0</v>
      </c>
      <c r="AB94" s="20">
        <f t="shared" si="11"/>
        <v>0</v>
      </c>
      <c r="AC94" s="5"/>
      <c r="AD94" s="8"/>
      <c r="AF94" s="6"/>
      <c r="AG94" s="7"/>
      <c r="AJ94" s="33"/>
      <c r="AK94" s="35"/>
      <c r="AL94" s="38"/>
    </row>
    <row r="95" spans="1:38" ht="17.25" customHeight="1">
      <c r="A95" s="25"/>
      <c r="B95" s="26"/>
      <c r="C95" s="14"/>
      <c r="D95" s="31"/>
      <c r="E95" s="14"/>
      <c r="F95" s="15" t="str">
        <f t="shared" si="6"/>
        <v xml:space="preserve">S/F  </v>
      </c>
      <c r="G95" s="16"/>
      <c r="H95" s="17">
        <v>21</v>
      </c>
      <c r="I95" s="18">
        <f t="shared" si="7"/>
        <v>0</v>
      </c>
      <c r="J95" s="17"/>
      <c r="K95" s="18"/>
      <c r="L95" s="16"/>
      <c r="M95" s="17"/>
      <c r="N95" s="18">
        <f t="shared" si="8"/>
        <v>0</v>
      </c>
      <c r="O95" s="19"/>
      <c r="P95" s="18">
        <v>0</v>
      </c>
      <c r="Q95" s="16"/>
      <c r="R95" s="17"/>
      <c r="S95" s="18">
        <v>0</v>
      </c>
      <c r="T95" s="19"/>
      <c r="U95" s="18">
        <v>0</v>
      </c>
      <c r="V95" s="16"/>
      <c r="W95" s="17"/>
      <c r="X95" s="18">
        <f t="shared" si="9"/>
        <v>0</v>
      </c>
      <c r="Y95" s="19"/>
      <c r="Z95" s="19"/>
      <c r="AA95" s="18">
        <f t="shared" si="10"/>
        <v>0</v>
      </c>
      <c r="AB95" s="20">
        <f t="shared" si="11"/>
        <v>0</v>
      </c>
      <c r="AC95" s="5"/>
      <c r="AD95" s="8"/>
      <c r="AF95" s="6"/>
      <c r="AG95" s="7"/>
      <c r="AJ95" s="33"/>
      <c r="AK95" s="35"/>
      <c r="AL95" s="38"/>
    </row>
    <row r="96" spans="1:38" ht="17.25" customHeight="1">
      <c r="A96" s="25"/>
      <c r="B96" s="26"/>
      <c r="C96" s="14"/>
      <c r="D96" s="31"/>
      <c r="E96" s="14"/>
      <c r="F96" s="15" t="str">
        <f t="shared" si="6"/>
        <v xml:space="preserve">S/F  </v>
      </c>
      <c r="G96" s="16"/>
      <c r="H96" s="17">
        <v>21</v>
      </c>
      <c r="I96" s="18">
        <f t="shared" si="7"/>
        <v>0</v>
      </c>
      <c r="J96" s="17"/>
      <c r="K96" s="18"/>
      <c r="L96" s="16"/>
      <c r="M96" s="17"/>
      <c r="N96" s="18">
        <f t="shared" si="8"/>
        <v>0</v>
      </c>
      <c r="O96" s="19"/>
      <c r="P96" s="18">
        <v>0</v>
      </c>
      <c r="Q96" s="16"/>
      <c r="R96" s="17"/>
      <c r="S96" s="18">
        <v>0</v>
      </c>
      <c r="T96" s="19"/>
      <c r="U96" s="18">
        <v>0</v>
      </c>
      <c r="V96" s="16"/>
      <c r="W96" s="17"/>
      <c r="X96" s="18">
        <f t="shared" si="9"/>
        <v>0</v>
      </c>
      <c r="Y96" s="19"/>
      <c r="Z96" s="19"/>
      <c r="AA96" s="18">
        <f t="shared" si="10"/>
        <v>0</v>
      </c>
      <c r="AB96" s="20">
        <f t="shared" si="11"/>
        <v>0</v>
      </c>
      <c r="AC96" s="5"/>
      <c r="AD96" s="8"/>
      <c r="AF96" s="6"/>
      <c r="AG96" s="7"/>
      <c r="AJ96" s="33"/>
      <c r="AK96" s="35"/>
      <c r="AL96" s="38"/>
    </row>
    <row r="97" spans="1:38" ht="17.25" customHeight="1">
      <c r="A97" s="25"/>
      <c r="B97" s="26"/>
      <c r="C97" s="14"/>
      <c r="D97" s="31"/>
      <c r="E97" s="14"/>
      <c r="F97" s="15" t="str">
        <f t="shared" si="6"/>
        <v xml:space="preserve">S/F  </v>
      </c>
      <c r="G97" s="16"/>
      <c r="H97" s="17">
        <v>21</v>
      </c>
      <c r="I97" s="18">
        <f t="shared" si="7"/>
        <v>0</v>
      </c>
      <c r="J97" s="17"/>
      <c r="K97" s="18"/>
      <c r="L97" s="16"/>
      <c r="M97" s="17"/>
      <c r="N97" s="18">
        <f t="shared" si="8"/>
        <v>0</v>
      </c>
      <c r="O97" s="19"/>
      <c r="P97" s="18">
        <v>0</v>
      </c>
      <c r="Q97" s="16"/>
      <c r="R97" s="17"/>
      <c r="S97" s="18">
        <v>0</v>
      </c>
      <c r="T97" s="19"/>
      <c r="U97" s="18">
        <v>0</v>
      </c>
      <c r="V97" s="16"/>
      <c r="W97" s="17"/>
      <c r="X97" s="18">
        <f t="shared" si="9"/>
        <v>0</v>
      </c>
      <c r="Y97" s="19"/>
      <c r="Z97" s="19"/>
      <c r="AA97" s="18">
        <f t="shared" si="10"/>
        <v>0</v>
      </c>
      <c r="AB97" s="20">
        <f t="shared" si="11"/>
        <v>0</v>
      </c>
      <c r="AC97" s="5"/>
      <c r="AD97" s="8"/>
      <c r="AF97" s="6"/>
      <c r="AG97" s="7"/>
      <c r="AJ97" s="33"/>
      <c r="AK97" s="35"/>
      <c r="AL97" s="38"/>
    </row>
    <row r="98" spans="1:38" ht="17.25" customHeight="1">
      <c r="A98" s="25"/>
      <c r="B98" s="26"/>
      <c r="C98" s="14"/>
      <c r="D98" s="31"/>
      <c r="E98" s="14"/>
      <c r="F98" s="15" t="str">
        <f t="shared" si="6"/>
        <v xml:space="preserve">S/F  </v>
      </c>
      <c r="G98" s="16"/>
      <c r="H98" s="17">
        <v>21</v>
      </c>
      <c r="I98" s="18">
        <f t="shared" si="7"/>
        <v>0</v>
      </c>
      <c r="J98" s="17"/>
      <c r="K98" s="18"/>
      <c r="L98" s="16"/>
      <c r="M98" s="17"/>
      <c r="N98" s="18">
        <f t="shared" si="8"/>
        <v>0</v>
      </c>
      <c r="O98" s="19"/>
      <c r="P98" s="18">
        <v>0</v>
      </c>
      <c r="Q98" s="16"/>
      <c r="R98" s="17"/>
      <c r="S98" s="18">
        <v>0</v>
      </c>
      <c r="T98" s="19"/>
      <c r="U98" s="18">
        <v>0</v>
      </c>
      <c r="V98" s="16"/>
      <c r="W98" s="17"/>
      <c r="X98" s="18">
        <f t="shared" si="9"/>
        <v>0</v>
      </c>
      <c r="Y98" s="19"/>
      <c r="Z98" s="19"/>
      <c r="AA98" s="18">
        <f t="shared" si="10"/>
        <v>0</v>
      </c>
      <c r="AB98" s="20">
        <f t="shared" si="11"/>
        <v>0</v>
      </c>
      <c r="AC98" s="5"/>
      <c r="AD98" s="8"/>
      <c r="AF98" s="6"/>
      <c r="AG98" s="7"/>
      <c r="AJ98" s="33"/>
      <c r="AK98" s="35"/>
      <c r="AL98" s="38"/>
    </row>
    <row r="99" spans="1:38" ht="17.25" customHeight="1">
      <c r="A99" s="25"/>
      <c r="B99" s="26"/>
      <c r="C99" s="14"/>
      <c r="D99" s="31"/>
      <c r="E99" s="14"/>
      <c r="F99" s="15" t="str">
        <f t="shared" si="6"/>
        <v xml:space="preserve">S/F  </v>
      </c>
      <c r="G99" s="16"/>
      <c r="H99" s="17">
        <v>21</v>
      </c>
      <c r="I99" s="18">
        <f t="shared" si="7"/>
        <v>0</v>
      </c>
      <c r="J99" s="17"/>
      <c r="K99" s="18"/>
      <c r="L99" s="16"/>
      <c r="M99" s="17"/>
      <c r="N99" s="18">
        <f t="shared" si="8"/>
        <v>0</v>
      </c>
      <c r="O99" s="19"/>
      <c r="P99" s="18">
        <v>0</v>
      </c>
      <c r="Q99" s="16"/>
      <c r="R99" s="17"/>
      <c r="S99" s="18">
        <v>0</v>
      </c>
      <c r="T99" s="19"/>
      <c r="U99" s="18">
        <v>0</v>
      </c>
      <c r="V99" s="16"/>
      <c r="W99" s="17"/>
      <c r="X99" s="18">
        <f t="shared" si="9"/>
        <v>0</v>
      </c>
      <c r="Y99" s="19"/>
      <c r="Z99" s="19"/>
      <c r="AA99" s="18">
        <f t="shared" si="10"/>
        <v>0</v>
      </c>
      <c r="AB99" s="20">
        <f t="shared" si="11"/>
        <v>0</v>
      </c>
      <c r="AC99" s="5"/>
      <c r="AD99" s="8"/>
      <c r="AF99" s="6"/>
      <c r="AG99" s="7"/>
      <c r="AJ99" s="33"/>
      <c r="AK99" s="35"/>
      <c r="AL99" s="38"/>
    </row>
    <row r="100" spans="1:38" ht="17.25" customHeight="1">
      <c r="A100" s="25"/>
      <c r="B100" s="26"/>
      <c r="C100" s="14"/>
      <c r="D100" s="31"/>
      <c r="E100" s="14"/>
      <c r="F100" s="15" t="str">
        <f t="shared" si="6"/>
        <v xml:space="preserve">S/F  </v>
      </c>
      <c r="G100" s="16"/>
      <c r="H100" s="17">
        <v>21</v>
      </c>
      <c r="I100" s="18">
        <f t="shared" si="7"/>
        <v>0</v>
      </c>
      <c r="J100" s="17"/>
      <c r="K100" s="18"/>
      <c r="L100" s="16"/>
      <c r="M100" s="17"/>
      <c r="N100" s="18">
        <f t="shared" si="8"/>
        <v>0</v>
      </c>
      <c r="O100" s="19"/>
      <c r="P100" s="18">
        <v>0</v>
      </c>
      <c r="Q100" s="16"/>
      <c r="R100" s="17"/>
      <c r="S100" s="18">
        <v>0</v>
      </c>
      <c r="T100" s="19"/>
      <c r="U100" s="18">
        <v>0</v>
      </c>
      <c r="V100" s="16"/>
      <c r="W100" s="17"/>
      <c r="X100" s="18">
        <f t="shared" si="9"/>
        <v>0</v>
      </c>
      <c r="Y100" s="19"/>
      <c r="Z100" s="19"/>
      <c r="AA100" s="18">
        <f t="shared" si="10"/>
        <v>0</v>
      </c>
      <c r="AB100" s="20">
        <f t="shared" si="11"/>
        <v>0</v>
      </c>
      <c r="AC100" s="5"/>
      <c r="AD100" s="8"/>
      <c r="AF100" s="6"/>
      <c r="AG100" s="7"/>
      <c r="AJ100" s="33"/>
      <c r="AK100" s="35"/>
      <c r="AL100" s="38"/>
    </row>
    <row r="101" spans="1:38" ht="17.25" customHeight="1">
      <c r="A101" s="25"/>
      <c r="B101" s="26"/>
      <c r="C101" s="14"/>
      <c r="D101" s="31"/>
      <c r="E101" s="14"/>
      <c r="F101" s="15" t="str">
        <f t="shared" si="6"/>
        <v xml:space="preserve">S/F  </v>
      </c>
      <c r="G101" s="16"/>
      <c r="H101" s="17">
        <v>21</v>
      </c>
      <c r="I101" s="18">
        <f t="shared" si="7"/>
        <v>0</v>
      </c>
      <c r="J101" s="17"/>
      <c r="K101" s="18"/>
      <c r="L101" s="16"/>
      <c r="M101" s="17"/>
      <c r="N101" s="18">
        <f t="shared" si="8"/>
        <v>0</v>
      </c>
      <c r="O101" s="19"/>
      <c r="P101" s="18">
        <v>0</v>
      </c>
      <c r="Q101" s="16"/>
      <c r="R101" s="17"/>
      <c r="S101" s="18">
        <v>0</v>
      </c>
      <c r="T101" s="19"/>
      <c r="U101" s="18">
        <v>0</v>
      </c>
      <c r="V101" s="16"/>
      <c r="W101" s="17"/>
      <c r="X101" s="18">
        <f t="shared" si="9"/>
        <v>0</v>
      </c>
      <c r="Y101" s="19"/>
      <c r="Z101" s="19"/>
      <c r="AA101" s="18">
        <f t="shared" si="10"/>
        <v>0</v>
      </c>
      <c r="AB101" s="20">
        <f t="shared" si="11"/>
        <v>0</v>
      </c>
      <c r="AC101" s="5"/>
      <c r="AD101" s="8"/>
      <c r="AF101" s="6"/>
      <c r="AG101" s="7"/>
      <c r="AJ101" s="33"/>
      <c r="AK101" s="35"/>
      <c r="AL101" s="38"/>
    </row>
    <row r="102" spans="1:38" ht="17.25" customHeight="1">
      <c r="A102" s="25"/>
      <c r="B102" s="26"/>
      <c r="C102" s="14"/>
      <c r="D102" s="31"/>
      <c r="E102" s="14"/>
      <c r="F102" s="15" t="str">
        <f t="shared" si="6"/>
        <v xml:space="preserve">S/F  </v>
      </c>
      <c r="G102" s="16"/>
      <c r="H102" s="17">
        <v>21</v>
      </c>
      <c r="I102" s="18">
        <f t="shared" si="7"/>
        <v>0</v>
      </c>
      <c r="J102" s="17"/>
      <c r="K102" s="18"/>
      <c r="L102" s="16"/>
      <c r="M102" s="17"/>
      <c r="N102" s="18">
        <f t="shared" si="8"/>
        <v>0</v>
      </c>
      <c r="O102" s="19"/>
      <c r="P102" s="18">
        <v>0</v>
      </c>
      <c r="Q102" s="16"/>
      <c r="R102" s="17"/>
      <c r="S102" s="18">
        <v>0</v>
      </c>
      <c r="T102" s="19"/>
      <c r="U102" s="18">
        <v>0</v>
      </c>
      <c r="V102" s="16"/>
      <c r="W102" s="17"/>
      <c r="X102" s="18">
        <f t="shared" si="9"/>
        <v>0</v>
      </c>
      <c r="Y102" s="19"/>
      <c r="Z102" s="19"/>
      <c r="AA102" s="18">
        <f t="shared" si="10"/>
        <v>0</v>
      </c>
      <c r="AB102" s="20">
        <f t="shared" si="11"/>
        <v>0</v>
      </c>
      <c r="AC102" s="5"/>
      <c r="AD102" s="8"/>
      <c r="AF102" s="6"/>
      <c r="AG102" s="7"/>
      <c r="AJ102" s="33"/>
      <c r="AK102" s="35"/>
      <c r="AL102" s="38"/>
    </row>
    <row r="103" spans="1:38" ht="17.25" customHeight="1">
      <c r="A103" s="25"/>
      <c r="B103" s="26"/>
      <c r="C103" s="14"/>
      <c r="D103" s="31"/>
      <c r="E103" s="14"/>
      <c r="F103" s="15" t="str">
        <f t="shared" si="6"/>
        <v xml:space="preserve">S/F  </v>
      </c>
      <c r="G103" s="16"/>
      <c r="H103" s="17">
        <v>21</v>
      </c>
      <c r="I103" s="18">
        <f t="shared" si="7"/>
        <v>0</v>
      </c>
      <c r="J103" s="17"/>
      <c r="K103" s="18"/>
      <c r="L103" s="16"/>
      <c r="M103" s="17"/>
      <c r="N103" s="18">
        <f t="shared" si="8"/>
        <v>0</v>
      </c>
      <c r="O103" s="19"/>
      <c r="P103" s="18">
        <v>0</v>
      </c>
      <c r="Q103" s="16"/>
      <c r="R103" s="17"/>
      <c r="S103" s="18">
        <v>0</v>
      </c>
      <c r="T103" s="19"/>
      <c r="U103" s="18">
        <v>0</v>
      </c>
      <c r="V103" s="16"/>
      <c r="W103" s="17"/>
      <c r="X103" s="18">
        <f t="shared" si="9"/>
        <v>0</v>
      </c>
      <c r="Y103" s="19"/>
      <c r="Z103" s="19"/>
      <c r="AA103" s="18">
        <f t="shared" si="10"/>
        <v>0</v>
      </c>
      <c r="AB103" s="20">
        <f t="shared" si="11"/>
        <v>0</v>
      </c>
      <c r="AC103" s="5"/>
      <c r="AD103" s="8"/>
      <c r="AF103" s="6"/>
      <c r="AG103" s="7"/>
      <c r="AJ103" s="33"/>
      <c r="AK103" s="35"/>
      <c r="AL103" s="38"/>
    </row>
    <row r="104" spans="1:38" ht="17.25" customHeight="1">
      <c r="A104" s="25"/>
      <c r="B104" s="26"/>
      <c r="C104" s="14"/>
      <c r="D104" s="31"/>
      <c r="E104" s="14"/>
      <c r="F104" s="15" t="str">
        <f t="shared" si="6"/>
        <v xml:space="preserve">S/F  </v>
      </c>
      <c r="G104" s="16"/>
      <c r="H104" s="17">
        <v>21</v>
      </c>
      <c r="I104" s="18">
        <f t="shared" si="7"/>
        <v>0</v>
      </c>
      <c r="J104" s="17"/>
      <c r="K104" s="18"/>
      <c r="L104" s="16"/>
      <c r="M104" s="17"/>
      <c r="N104" s="18">
        <f t="shared" si="8"/>
        <v>0</v>
      </c>
      <c r="O104" s="19"/>
      <c r="P104" s="18">
        <v>0</v>
      </c>
      <c r="Q104" s="16"/>
      <c r="R104" s="17"/>
      <c r="S104" s="18">
        <v>0</v>
      </c>
      <c r="T104" s="19"/>
      <c r="U104" s="18">
        <v>0</v>
      </c>
      <c r="V104" s="16"/>
      <c r="W104" s="17"/>
      <c r="X104" s="18">
        <f t="shared" si="9"/>
        <v>0</v>
      </c>
      <c r="Y104" s="19"/>
      <c r="Z104" s="19"/>
      <c r="AA104" s="18">
        <f t="shared" si="10"/>
        <v>0</v>
      </c>
      <c r="AB104" s="20">
        <f t="shared" si="11"/>
        <v>0</v>
      </c>
      <c r="AC104" s="5"/>
      <c r="AD104" s="8"/>
      <c r="AF104" s="6"/>
      <c r="AG104" s="7"/>
      <c r="AJ104" s="33"/>
      <c r="AK104" s="35"/>
      <c r="AL104" s="38"/>
    </row>
    <row r="105" spans="1:38" ht="17.25" customHeight="1">
      <c r="A105" s="25"/>
      <c r="B105" s="26"/>
      <c r="C105" s="14"/>
      <c r="D105" s="31"/>
      <c r="E105" s="14"/>
      <c r="F105" s="15" t="str">
        <f t="shared" si="6"/>
        <v xml:space="preserve">S/F  </v>
      </c>
      <c r="G105" s="16"/>
      <c r="H105" s="17">
        <v>21</v>
      </c>
      <c r="I105" s="18">
        <f t="shared" si="7"/>
        <v>0</v>
      </c>
      <c r="J105" s="17"/>
      <c r="K105" s="18"/>
      <c r="L105" s="16"/>
      <c r="M105" s="17"/>
      <c r="N105" s="18">
        <f t="shared" si="8"/>
        <v>0</v>
      </c>
      <c r="O105" s="19"/>
      <c r="P105" s="18">
        <v>0</v>
      </c>
      <c r="Q105" s="16"/>
      <c r="R105" s="17"/>
      <c r="S105" s="18">
        <v>0</v>
      </c>
      <c r="T105" s="19"/>
      <c r="U105" s="18">
        <v>0</v>
      </c>
      <c r="V105" s="16"/>
      <c r="W105" s="17"/>
      <c r="X105" s="18">
        <f t="shared" si="9"/>
        <v>0</v>
      </c>
      <c r="Y105" s="19"/>
      <c r="Z105" s="19"/>
      <c r="AA105" s="18">
        <f t="shared" si="10"/>
        <v>0</v>
      </c>
      <c r="AB105" s="20">
        <f t="shared" si="11"/>
        <v>0</v>
      </c>
      <c r="AC105" s="5"/>
      <c r="AD105" s="8"/>
      <c r="AF105" s="6"/>
      <c r="AG105" s="7"/>
      <c r="AJ105" s="33"/>
      <c r="AK105" s="35"/>
      <c r="AL105" s="38"/>
    </row>
    <row r="106" spans="1:38" ht="17.25" customHeight="1">
      <c r="A106" s="25"/>
      <c r="B106" s="26"/>
      <c r="C106" s="14"/>
      <c r="D106" s="31"/>
      <c r="E106" s="14"/>
      <c r="F106" s="15" t="str">
        <f t="shared" si="6"/>
        <v xml:space="preserve">S/F  </v>
      </c>
      <c r="G106" s="16"/>
      <c r="H106" s="17">
        <v>21</v>
      </c>
      <c r="I106" s="18">
        <f t="shared" si="7"/>
        <v>0</v>
      </c>
      <c r="J106" s="17"/>
      <c r="K106" s="18"/>
      <c r="L106" s="16"/>
      <c r="M106" s="17"/>
      <c r="N106" s="18">
        <f t="shared" si="8"/>
        <v>0</v>
      </c>
      <c r="O106" s="19"/>
      <c r="P106" s="18">
        <v>0</v>
      </c>
      <c r="Q106" s="16"/>
      <c r="R106" s="17"/>
      <c r="S106" s="18">
        <v>0</v>
      </c>
      <c r="T106" s="19"/>
      <c r="U106" s="18">
        <v>0</v>
      </c>
      <c r="V106" s="16"/>
      <c r="W106" s="17"/>
      <c r="X106" s="18">
        <f t="shared" si="9"/>
        <v>0</v>
      </c>
      <c r="Y106" s="19"/>
      <c r="Z106" s="19"/>
      <c r="AA106" s="18">
        <f t="shared" si="10"/>
        <v>0</v>
      </c>
      <c r="AB106" s="20">
        <f t="shared" si="11"/>
        <v>0</v>
      </c>
      <c r="AC106" s="5"/>
      <c r="AD106" s="8"/>
      <c r="AF106" s="6"/>
      <c r="AG106" s="7"/>
      <c r="AJ106" s="33"/>
      <c r="AK106" s="35"/>
      <c r="AL106" s="38"/>
    </row>
    <row r="107" spans="1:38" ht="17.25" customHeight="1">
      <c r="A107" s="25"/>
      <c r="B107" s="26"/>
      <c r="C107" s="14"/>
      <c r="D107" s="31"/>
      <c r="E107" s="14"/>
      <c r="F107" s="15" t="str">
        <f t="shared" si="6"/>
        <v xml:space="preserve">S/F  </v>
      </c>
      <c r="G107" s="16"/>
      <c r="H107" s="17">
        <v>21</v>
      </c>
      <c r="I107" s="18">
        <f t="shared" si="7"/>
        <v>0</v>
      </c>
      <c r="J107" s="17"/>
      <c r="K107" s="18"/>
      <c r="L107" s="16"/>
      <c r="M107" s="17"/>
      <c r="N107" s="18">
        <f t="shared" si="8"/>
        <v>0</v>
      </c>
      <c r="O107" s="19"/>
      <c r="P107" s="18">
        <v>0</v>
      </c>
      <c r="Q107" s="16"/>
      <c r="R107" s="17"/>
      <c r="S107" s="18">
        <v>0</v>
      </c>
      <c r="T107" s="19"/>
      <c r="U107" s="18">
        <v>0</v>
      </c>
      <c r="V107" s="16"/>
      <c r="W107" s="17"/>
      <c r="X107" s="18">
        <f t="shared" si="9"/>
        <v>0</v>
      </c>
      <c r="Y107" s="19"/>
      <c r="Z107" s="19"/>
      <c r="AA107" s="18">
        <f t="shared" si="10"/>
        <v>0</v>
      </c>
      <c r="AB107" s="20">
        <f t="shared" si="11"/>
        <v>0</v>
      </c>
      <c r="AC107" s="5"/>
      <c r="AD107" s="8"/>
      <c r="AF107" s="6"/>
      <c r="AG107" s="7"/>
      <c r="AJ107" s="33"/>
      <c r="AK107" s="35"/>
      <c r="AL107" s="38"/>
    </row>
    <row r="108" spans="1:38" ht="17.25" customHeight="1">
      <c r="A108" s="25"/>
      <c r="B108" s="26"/>
      <c r="C108" s="14"/>
      <c r="D108" s="31"/>
      <c r="E108" s="14"/>
      <c r="F108" s="15" t="str">
        <f t="shared" si="6"/>
        <v xml:space="preserve">S/F  </v>
      </c>
      <c r="G108" s="16"/>
      <c r="H108" s="17">
        <v>21</v>
      </c>
      <c r="I108" s="18">
        <f t="shared" si="7"/>
        <v>0</v>
      </c>
      <c r="J108" s="17"/>
      <c r="K108" s="18"/>
      <c r="L108" s="16"/>
      <c r="M108" s="17"/>
      <c r="N108" s="18">
        <f t="shared" si="8"/>
        <v>0</v>
      </c>
      <c r="O108" s="19"/>
      <c r="P108" s="18">
        <v>0</v>
      </c>
      <c r="Q108" s="16"/>
      <c r="R108" s="17"/>
      <c r="S108" s="18">
        <v>0</v>
      </c>
      <c r="T108" s="19"/>
      <c r="U108" s="18">
        <v>0</v>
      </c>
      <c r="V108" s="16"/>
      <c r="W108" s="17"/>
      <c r="X108" s="18">
        <f t="shared" si="9"/>
        <v>0</v>
      </c>
      <c r="Y108" s="19"/>
      <c r="Z108" s="19"/>
      <c r="AA108" s="18">
        <f t="shared" si="10"/>
        <v>0</v>
      </c>
      <c r="AB108" s="20">
        <f t="shared" si="11"/>
        <v>0</v>
      </c>
      <c r="AC108" s="5"/>
      <c r="AD108" s="8"/>
      <c r="AF108" s="6"/>
      <c r="AG108" s="7"/>
      <c r="AJ108" s="33"/>
      <c r="AK108" s="35"/>
      <c r="AL108" s="38"/>
    </row>
    <row r="109" spans="1:38" ht="17.25" customHeight="1">
      <c r="A109" s="25"/>
      <c r="B109" s="26"/>
      <c r="C109" s="14"/>
      <c r="D109" s="31"/>
      <c r="E109" s="14"/>
      <c r="F109" s="15" t="str">
        <f t="shared" si="6"/>
        <v xml:space="preserve">S/F  </v>
      </c>
      <c r="G109" s="16"/>
      <c r="H109" s="17">
        <v>21</v>
      </c>
      <c r="I109" s="18">
        <f t="shared" si="7"/>
        <v>0</v>
      </c>
      <c r="J109" s="17"/>
      <c r="K109" s="18"/>
      <c r="L109" s="16"/>
      <c r="M109" s="17"/>
      <c r="N109" s="18">
        <f t="shared" si="8"/>
        <v>0</v>
      </c>
      <c r="O109" s="19"/>
      <c r="P109" s="18">
        <v>0</v>
      </c>
      <c r="Q109" s="16"/>
      <c r="R109" s="17"/>
      <c r="S109" s="18">
        <v>0</v>
      </c>
      <c r="T109" s="19"/>
      <c r="U109" s="18">
        <v>0</v>
      </c>
      <c r="V109" s="16"/>
      <c r="W109" s="17"/>
      <c r="X109" s="18">
        <f t="shared" si="9"/>
        <v>0</v>
      </c>
      <c r="Y109" s="19"/>
      <c r="Z109" s="19"/>
      <c r="AA109" s="18">
        <f t="shared" si="10"/>
        <v>0</v>
      </c>
      <c r="AB109" s="20">
        <f t="shared" si="11"/>
        <v>0</v>
      </c>
      <c r="AC109" s="5"/>
      <c r="AD109" s="8"/>
      <c r="AF109" s="6"/>
      <c r="AG109" s="7"/>
      <c r="AJ109" s="33"/>
      <c r="AK109" s="35"/>
      <c r="AL109" s="38"/>
    </row>
    <row r="110" spans="1:38" ht="17.25" customHeight="1"/>
    <row r="111" spans="1:38" ht="17.25" customHeight="1"/>
    <row r="112" spans="1:38" ht="17.25" customHeight="1"/>
    <row r="113" ht="17.25" customHeight="1"/>
    <row r="114" ht="17.25" customHeight="1"/>
    <row r="115" ht="17.25" customHeight="1"/>
    <row r="116" ht="17.25" customHeight="1"/>
    <row r="117" ht="17.25" customHeight="1"/>
    <row r="118" ht="17.25" customHeight="1"/>
    <row r="119" ht="17.25" customHeight="1"/>
    <row r="120" ht="17.25" customHeight="1"/>
    <row r="121" ht="17.25" customHeight="1"/>
    <row r="122" ht="17.25" customHeight="1"/>
    <row r="123" ht="17.25" customHeight="1"/>
    <row r="124" ht="17.25" customHeight="1"/>
    <row r="125" ht="17.25" customHeight="1"/>
    <row r="126" ht="17.25" customHeight="1"/>
    <row r="127" ht="17.25" customHeight="1"/>
    <row r="128" ht="17.25" customHeight="1"/>
    <row r="129" ht="17.25" customHeight="1"/>
    <row r="130" ht="17.25" customHeight="1"/>
    <row r="131" ht="17.25" customHeight="1"/>
    <row r="132" ht="17.25" customHeight="1"/>
    <row r="133" ht="17.25" customHeight="1"/>
    <row r="134" ht="17.25" customHeight="1"/>
    <row r="135" ht="17.25" customHeight="1"/>
    <row r="136" ht="17.25" customHeight="1"/>
    <row r="137" ht="17.25" customHeight="1"/>
    <row r="138" ht="17.25" customHeight="1"/>
    <row r="139" ht="17.25" customHeight="1"/>
    <row r="140" ht="17.25" customHeight="1"/>
    <row r="141" ht="17.25" customHeight="1"/>
    <row r="142" ht="17.25" customHeight="1"/>
    <row r="143" ht="17.25" customHeight="1"/>
    <row r="144" ht="17.25" customHeight="1"/>
    <row r="145" ht="17.25" customHeight="1"/>
    <row r="146" ht="17.25" customHeight="1"/>
    <row r="147" ht="17.25" customHeight="1"/>
    <row r="148" ht="17.25" customHeight="1"/>
    <row r="149" ht="17.25" customHeight="1"/>
    <row r="150" ht="17.25" customHeight="1"/>
    <row r="151" ht="17.25" customHeight="1"/>
    <row r="152" ht="17.25" customHeight="1"/>
    <row r="153" ht="17.25" customHeight="1"/>
    <row r="154" ht="17.25" customHeight="1"/>
    <row r="155" ht="17.25" customHeight="1"/>
    <row r="156" ht="17.25" customHeight="1"/>
    <row r="157" ht="17.25" customHeight="1"/>
    <row r="158" ht="17.25" customHeight="1"/>
    <row r="159" ht="17.25" customHeight="1"/>
    <row r="160" ht="17.25" customHeight="1"/>
    <row r="161" spans="1:38" ht="17.25" customHeight="1"/>
    <row r="162" spans="1:38" ht="17.25" customHeight="1"/>
    <row r="163" spans="1:38" ht="17.25" customHeight="1"/>
    <row r="164" spans="1:38" ht="17.25" customHeight="1">
      <c r="A164"/>
      <c r="B164"/>
      <c r="C164"/>
      <c r="D164"/>
      <c r="E164"/>
      <c r="F164"/>
      <c r="AE164"/>
      <c r="AF164"/>
      <c r="AG164"/>
      <c r="AH164"/>
      <c r="AL164"/>
    </row>
  </sheetData>
  <dataValidations count="1">
    <dataValidation type="textLength" errorStyle="warning" allowBlank="1" showInputMessage="1" showErrorMessage="1" error="Contamar le informa de que el código introducido debe contener únicamente 8 dígitos._x000a__x000a_" sqref="AC2:AC109" xr:uid="{947AEC79-3324-41DB-B3D0-5F711BCFFD74}">
      <formula1>8</formula1>
      <formula2>8</formula2>
    </dataValidation>
  </dataValidations>
  <pageMargins left="0.7" right="0.7" top="0.75" bottom="0.75" header="0.3" footer="0.3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2954A0-EEAE-4A10-98C1-3B55F2223D5E}">
  <sheetPr codeName="Hoja11"/>
  <dimension ref="A1:AM164"/>
  <sheetViews>
    <sheetView topLeftCell="B1" zoomScale="80" zoomScaleNormal="80" workbookViewId="0">
      <selection activeCell="AJ1" sqref="AJ1:AL1048576"/>
    </sheetView>
  </sheetViews>
  <sheetFormatPr baseColWidth="10" defaultColWidth="11.42578125" defaultRowHeight="15"/>
  <cols>
    <col min="1" max="1" width="12.85546875" style="29" bestFit="1" customWidth="1"/>
    <col min="2" max="2" width="20.42578125" style="30" bestFit="1" customWidth="1"/>
    <col min="3" max="3" width="13.42578125" style="4" hidden="1" customWidth="1"/>
    <col min="4" max="4" width="15.85546875" style="3" bestFit="1" customWidth="1"/>
    <col min="5" max="5" width="49.42578125" style="4" bestFit="1" customWidth="1"/>
    <col min="6" max="6" width="66" style="4" bestFit="1" customWidth="1"/>
    <col min="7" max="7" width="10.85546875" customWidth="1"/>
    <col min="8" max="8" width="7.7109375" customWidth="1"/>
    <col min="10" max="10" width="6.7109375" hidden="1" customWidth="1"/>
    <col min="11" max="11" width="11.7109375" hidden="1" customWidth="1"/>
    <col min="12" max="12" width="9.28515625" bestFit="1" customWidth="1"/>
    <col min="13" max="13" width="6.7109375" bestFit="1" customWidth="1"/>
    <col min="14" max="14" width="12.42578125" customWidth="1"/>
    <col min="15" max="15" width="8.140625" hidden="1" customWidth="1"/>
    <col min="16" max="16" width="12.42578125" hidden="1" customWidth="1"/>
    <col min="17" max="18" width="6.7109375" hidden="1" customWidth="1"/>
    <col min="19" max="19" width="8.42578125" hidden="1" customWidth="1"/>
    <col min="20" max="20" width="7.7109375" hidden="1" customWidth="1"/>
    <col min="21" max="21" width="10.42578125" hidden="1" customWidth="1"/>
    <col min="22" max="22" width="11.7109375" customWidth="1"/>
    <col min="23" max="23" width="6.140625" customWidth="1"/>
    <col min="24" max="24" width="13.28515625" customWidth="1"/>
    <col min="25" max="25" width="11.7109375" hidden="1" customWidth="1"/>
    <col min="26" max="26" width="5.42578125" hidden="1" customWidth="1"/>
    <col min="27" max="27" width="8.42578125" hidden="1" customWidth="1"/>
    <col min="28" max="28" width="12.7109375" bestFit="1" customWidth="1"/>
    <col min="29" max="29" width="14.7109375" hidden="1" customWidth="1"/>
    <col min="30" max="30" width="16.140625" hidden="1" customWidth="1"/>
    <col min="31" max="31" width="16.140625" style="3" hidden="1" customWidth="1"/>
    <col min="32" max="32" width="4.42578125" style="3" hidden="1" customWidth="1"/>
    <col min="33" max="33" width="9.85546875" style="3" hidden="1" customWidth="1"/>
    <col min="34" max="34" width="12" style="4" hidden="1" customWidth="1"/>
    <col min="35" max="35" width="15.42578125" hidden="1" customWidth="1"/>
    <col min="36" max="36" width="26.42578125" bestFit="1" customWidth="1"/>
    <col min="37" max="37" width="21.42578125" bestFit="1" customWidth="1"/>
    <col min="38" max="38" width="14.140625" style="44" customWidth="1"/>
  </cols>
  <sheetData>
    <row r="1" spans="1:39" s="1" customFormat="1" ht="38.25" customHeight="1">
      <c r="A1" s="21" t="s">
        <v>5</v>
      </c>
      <c r="B1" s="22" t="s">
        <v>9</v>
      </c>
      <c r="C1" s="22" t="s">
        <v>6</v>
      </c>
      <c r="D1" s="22" t="s">
        <v>8</v>
      </c>
      <c r="E1" s="22" t="s">
        <v>3</v>
      </c>
      <c r="F1" s="22" t="s">
        <v>10</v>
      </c>
      <c r="G1" s="21" t="s">
        <v>7</v>
      </c>
      <c r="H1" s="21" t="s">
        <v>0</v>
      </c>
      <c r="I1" s="21" t="s">
        <v>1</v>
      </c>
      <c r="J1" s="21" t="s">
        <v>23</v>
      </c>
      <c r="K1" s="21" t="s">
        <v>24</v>
      </c>
      <c r="L1" s="21" t="s">
        <v>19</v>
      </c>
      <c r="M1" s="21" t="s">
        <v>15</v>
      </c>
      <c r="N1" s="21" t="s">
        <v>16</v>
      </c>
      <c r="O1" s="21" t="s">
        <v>25</v>
      </c>
      <c r="P1" s="21" t="s">
        <v>26</v>
      </c>
      <c r="Q1" s="21" t="s">
        <v>20</v>
      </c>
      <c r="R1" s="21" t="s">
        <v>17</v>
      </c>
      <c r="S1" s="21" t="s">
        <v>18</v>
      </c>
      <c r="T1" s="21" t="s">
        <v>28</v>
      </c>
      <c r="U1" s="21" t="s">
        <v>27</v>
      </c>
      <c r="V1" s="21" t="s">
        <v>2</v>
      </c>
      <c r="W1" s="21" t="s">
        <v>30</v>
      </c>
      <c r="X1" s="21" t="s">
        <v>32</v>
      </c>
      <c r="Y1" s="21" t="s">
        <v>29</v>
      </c>
      <c r="Z1" s="21" t="s">
        <v>31</v>
      </c>
      <c r="AA1" s="21" t="s">
        <v>33</v>
      </c>
      <c r="AB1" s="21" t="s">
        <v>34</v>
      </c>
      <c r="AC1" s="22" t="s">
        <v>11</v>
      </c>
      <c r="AD1" s="22" t="s">
        <v>21</v>
      </c>
      <c r="AE1" s="22" t="s">
        <v>22</v>
      </c>
      <c r="AF1" s="22" t="s">
        <v>4</v>
      </c>
      <c r="AG1" s="22" t="s">
        <v>12</v>
      </c>
      <c r="AH1" s="23" t="s">
        <v>13</v>
      </c>
      <c r="AI1" s="24" t="s">
        <v>14</v>
      </c>
      <c r="AJ1" s="32" t="s">
        <v>37</v>
      </c>
      <c r="AK1" s="34" t="s">
        <v>35</v>
      </c>
      <c r="AL1" s="62" t="s">
        <v>36</v>
      </c>
    </row>
    <row r="2" spans="1:39" ht="17.25" customHeight="1">
      <c r="A2" s="25"/>
      <c r="B2" s="26"/>
      <c r="C2" s="14"/>
      <c r="D2" s="31"/>
      <c r="E2" s="14"/>
      <c r="F2" s="15" t="str">
        <f t="shared" ref="F2:F65" si="0">"S/F "&amp;B2&amp;" "&amp;E2</f>
        <v xml:space="preserve">S/F  </v>
      </c>
      <c r="G2" s="16"/>
      <c r="H2" s="17">
        <v>21</v>
      </c>
      <c r="I2" s="18">
        <f t="shared" ref="I2:I65" si="1">+IF(G2&lt;&gt;0,G2*H2/100,0)</f>
        <v>0</v>
      </c>
      <c r="J2" s="17"/>
      <c r="K2" s="18"/>
      <c r="L2" s="16"/>
      <c r="M2" s="17"/>
      <c r="N2" s="18">
        <f t="shared" ref="N2:N65" si="2">+IF(L2&lt;&gt;0,L2*M2/100,0)</f>
        <v>0</v>
      </c>
      <c r="O2" s="19"/>
      <c r="P2" s="18">
        <v>0</v>
      </c>
      <c r="Q2" s="16"/>
      <c r="R2" s="17"/>
      <c r="S2" s="18">
        <v>0</v>
      </c>
      <c r="T2" s="19"/>
      <c r="U2" s="18">
        <v>0</v>
      </c>
      <c r="V2" s="16"/>
      <c r="W2" s="17"/>
      <c r="X2" s="18">
        <f t="shared" ref="X2:X65" si="3">+IF(W2&lt;&gt;0,V2*W2/100,0)</f>
        <v>0</v>
      </c>
      <c r="Y2" s="19"/>
      <c r="Z2" s="19"/>
      <c r="AA2" s="18">
        <f t="shared" ref="AA2:AA65" si="4">+IF(Z2&lt;&gt;0,Y2*Z2/100,0)</f>
        <v>0</v>
      </c>
      <c r="AB2" s="20">
        <f t="shared" ref="AB2:AB65" si="5">+G2+I2+K2+L2+N2+P2+Q2+S2+U2-X2-AA2</f>
        <v>0</v>
      </c>
      <c r="AC2" s="5"/>
      <c r="AD2" s="8"/>
      <c r="AF2" s="6"/>
      <c r="AG2" s="7"/>
      <c r="AJ2" s="33"/>
      <c r="AK2" s="35"/>
      <c r="AL2" s="38"/>
    </row>
    <row r="3" spans="1:39" ht="17.25" customHeight="1">
      <c r="A3" s="25"/>
      <c r="B3" s="26"/>
      <c r="C3" s="14"/>
      <c r="D3" s="31"/>
      <c r="E3" s="14"/>
      <c r="F3" s="15" t="str">
        <f t="shared" si="0"/>
        <v xml:space="preserve">S/F  </v>
      </c>
      <c r="G3" s="16"/>
      <c r="H3" s="17">
        <v>21</v>
      </c>
      <c r="I3" s="18">
        <f t="shared" si="1"/>
        <v>0</v>
      </c>
      <c r="J3" s="17"/>
      <c r="K3" s="18"/>
      <c r="L3" s="16"/>
      <c r="M3" s="17"/>
      <c r="N3" s="18">
        <f t="shared" si="2"/>
        <v>0</v>
      </c>
      <c r="O3" s="19"/>
      <c r="P3" s="18">
        <v>0</v>
      </c>
      <c r="Q3" s="16"/>
      <c r="R3" s="17"/>
      <c r="S3" s="18">
        <v>0</v>
      </c>
      <c r="T3" s="19"/>
      <c r="U3" s="18">
        <v>0</v>
      </c>
      <c r="V3" s="16"/>
      <c r="W3" s="17"/>
      <c r="X3" s="18">
        <f t="shared" si="3"/>
        <v>0</v>
      </c>
      <c r="Y3" s="19"/>
      <c r="Z3" s="19"/>
      <c r="AA3" s="18">
        <f t="shared" si="4"/>
        <v>0</v>
      </c>
      <c r="AB3" s="20">
        <f t="shared" si="5"/>
        <v>0</v>
      </c>
      <c r="AC3" s="5"/>
      <c r="AD3" s="8"/>
      <c r="AF3" s="6"/>
      <c r="AG3" s="7"/>
      <c r="AJ3" s="33"/>
      <c r="AK3" s="35"/>
      <c r="AL3" s="38"/>
    </row>
    <row r="4" spans="1:39" ht="17.25" customHeight="1">
      <c r="A4" s="25"/>
      <c r="B4" s="26"/>
      <c r="C4" s="14"/>
      <c r="D4" s="26"/>
      <c r="E4" s="14"/>
      <c r="F4" s="15" t="str">
        <f t="shared" si="0"/>
        <v xml:space="preserve">S/F  </v>
      </c>
      <c r="G4" s="16"/>
      <c r="H4" s="17">
        <v>21</v>
      </c>
      <c r="I4" s="18">
        <f t="shared" si="1"/>
        <v>0</v>
      </c>
      <c r="J4" s="17"/>
      <c r="K4" s="18"/>
      <c r="L4" s="16"/>
      <c r="M4" s="17"/>
      <c r="N4" s="18">
        <f t="shared" si="2"/>
        <v>0</v>
      </c>
      <c r="O4" s="19"/>
      <c r="P4" s="18">
        <v>0</v>
      </c>
      <c r="Q4" s="16"/>
      <c r="R4" s="17"/>
      <c r="S4" s="18">
        <v>0</v>
      </c>
      <c r="T4" s="19"/>
      <c r="U4" s="18">
        <v>0</v>
      </c>
      <c r="V4" s="16"/>
      <c r="W4" s="17"/>
      <c r="X4" s="18">
        <f t="shared" si="3"/>
        <v>0</v>
      </c>
      <c r="Y4" s="19"/>
      <c r="Z4" s="19"/>
      <c r="AA4" s="18">
        <f t="shared" si="4"/>
        <v>0</v>
      </c>
      <c r="AB4" s="20">
        <f t="shared" si="5"/>
        <v>0</v>
      </c>
      <c r="AC4" s="5"/>
      <c r="AD4" s="8"/>
      <c r="AF4" s="6"/>
      <c r="AG4" s="7"/>
      <c r="AJ4" s="33"/>
      <c r="AK4" s="35"/>
      <c r="AL4" s="38"/>
    </row>
    <row r="5" spans="1:39" ht="17.25" customHeight="1">
      <c r="A5" s="25"/>
      <c r="B5" s="26"/>
      <c r="C5" s="14"/>
      <c r="D5" s="31"/>
      <c r="E5" s="14"/>
      <c r="F5" s="15" t="str">
        <f t="shared" si="0"/>
        <v xml:space="preserve">S/F  </v>
      </c>
      <c r="G5" s="16"/>
      <c r="H5" s="17">
        <v>21</v>
      </c>
      <c r="I5" s="18">
        <f t="shared" si="1"/>
        <v>0</v>
      </c>
      <c r="J5" s="17"/>
      <c r="K5" s="18"/>
      <c r="L5" s="16"/>
      <c r="M5" s="17"/>
      <c r="N5" s="18">
        <f t="shared" si="2"/>
        <v>0</v>
      </c>
      <c r="O5" s="19"/>
      <c r="P5" s="18">
        <v>0</v>
      </c>
      <c r="Q5" s="16"/>
      <c r="R5" s="17"/>
      <c r="S5" s="18">
        <v>0</v>
      </c>
      <c r="T5" s="19"/>
      <c r="U5" s="18">
        <v>0</v>
      </c>
      <c r="V5" s="16"/>
      <c r="W5" s="17"/>
      <c r="X5" s="18">
        <f t="shared" si="3"/>
        <v>0</v>
      </c>
      <c r="Y5" s="19"/>
      <c r="Z5" s="19"/>
      <c r="AA5" s="18">
        <f t="shared" si="4"/>
        <v>0</v>
      </c>
      <c r="AB5" s="20">
        <f t="shared" si="5"/>
        <v>0</v>
      </c>
      <c r="AC5" s="5"/>
      <c r="AD5" s="8"/>
      <c r="AF5" s="6"/>
      <c r="AG5" s="7"/>
      <c r="AJ5" s="33"/>
      <c r="AK5" s="35"/>
      <c r="AL5" s="38"/>
    </row>
    <row r="6" spans="1:39" ht="17.25" customHeight="1">
      <c r="A6" s="25"/>
      <c r="B6" s="26"/>
      <c r="C6" s="14"/>
      <c r="D6" s="31"/>
      <c r="E6" s="14"/>
      <c r="F6" s="15" t="str">
        <f t="shared" si="0"/>
        <v xml:space="preserve">S/F  </v>
      </c>
      <c r="G6" s="16"/>
      <c r="H6" s="17">
        <v>21</v>
      </c>
      <c r="I6" s="18">
        <f t="shared" si="1"/>
        <v>0</v>
      </c>
      <c r="J6" s="17"/>
      <c r="K6" s="18"/>
      <c r="L6" s="16"/>
      <c r="M6" s="17"/>
      <c r="N6" s="18">
        <f t="shared" si="2"/>
        <v>0</v>
      </c>
      <c r="O6" s="19"/>
      <c r="P6" s="18">
        <v>0</v>
      </c>
      <c r="Q6" s="16"/>
      <c r="R6" s="17"/>
      <c r="S6" s="18">
        <v>0</v>
      </c>
      <c r="T6" s="19"/>
      <c r="U6" s="18">
        <v>0</v>
      </c>
      <c r="V6" s="16"/>
      <c r="W6" s="17"/>
      <c r="X6" s="18">
        <f t="shared" si="3"/>
        <v>0</v>
      </c>
      <c r="Y6" s="19"/>
      <c r="Z6" s="19"/>
      <c r="AA6" s="18">
        <f t="shared" si="4"/>
        <v>0</v>
      </c>
      <c r="AB6" s="20">
        <f t="shared" si="5"/>
        <v>0</v>
      </c>
      <c r="AC6" s="5"/>
      <c r="AD6" s="8"/>
      <c r="AF6" s="6"/>
      <c r="AG6" s="7"/>
      <c r="AJ6" s="33"/>
      <c r="AK6" s="35"/>
      <c r="AL6" s="38"/>
    </row>
    <row r="7" spans="1:39" ht="17.25" customHeight="1">
      <c r="A7" s="25"/>
      <c r="B7" s="26"/>
      <c r="C7" s="14"/>
      <c r="D7" s="31"/>
      <c r="E7" s="14"/>
      <c r="F7" s="15" t="str">
        <f t="shared" si="0"/>
        <v xml:space="preserve">S/F  </v>
      </c>
      <c r="G7" s="16"/>
      <c r="H7" s="17">
        <v>21</v>
      </c>
      <c r="I7" s="18">
        <f t="shared" si="1"/>
        <v>0</v>
      </c>
      <c r="J7" s="17"/>
      <c r="K7" s="18"/>
      <c r="L7" s="16"/>
      <c r="M7" s="17"/>
      <c r="N7" s="18">
        <f t="shared" si="2"/>
        <v>0</v>
      </c>
      <c r="O7" s="19"/>
      <c r="P7" s="18">
        <v>0</v>
      </c>
      <c r="Q7" s="16"/>
      <c r="R7" s="17"/>
      <c r="S7" s="18">
        <v>0</v>
      </c>
      <c r="T7" s="19"/>
      <c r="U7" s="18">
        <v>0</v>
      </c>
      <c r="V7" s="16"/>
      <c r="W7" s="17"/>
      <c r="X7" s="18">
        <f t="shared" si="3"/>
        <v>0</v>
      </c>
      <c r="Y7" s="19"/>
      <c r="Z7" s="19"/>
      <c r="AA7" s="18">
        <f t="shared" si="4"/>
        <v>0</v>
      </c>
      <c r="AB7" s="20">
        <f t="shared" si="5"/>
        <v>0</v>
      </c>
      <c r="AC7" s="5"/>
      <c r="AD7" s="8"/>
      <c r="AF7" s="6"/>
      <c r="AG7" s="7"/>
      <c r="AJ7" s="33"/>
      <c r="AK7" s="35"/>
      <c r="AL7" s="38"/>
    </row>
    <row r="8" spans="1:39" ht="17.25" customHeight="1">
      <c r="A8" s="25"/>
      <c r="B8" s="26"/>
      <c r="C8" s="14"/>
      <c r="D8" s="31"/>
      <c r="E8" s="14"/>
      <c r="F8" s="15" t="str">
        <f t="shared" si="0"/>
        <v xml:space="preserve">S/F  </v>
      </c>
      <c r="G8" s="16"/>
      <c r="H8" s="17">
        <v>21</v>
      </c>
      <c r="I8" s="18">
        <f t="shared" si="1"/>
        <v>0</v>
      </c>
      <c r="J8" s="17"/>
      <c r="K8" s="18"/>
      <c r="L8" s="16"/>
      <c r="M8" s="17"/>
      <c r="N8" s="18">
        <f t="shared" si="2"/>
        <v>0</v>
      </c>
      <c r="O8" s="19"/>
      <c r="P8" s="18">
        <v>0</v>
      </c>
      <c r="Q8" s="16"/>
      <c r="R8" s="17"/>
      <c r="S8" s="18">
        <v>0</v>
      </c>
      <c r="T8" s="19"/>
      <c r="U8" s="18">
        <v>0</v>
      </c>
      <c r="V8" s="16"/>
      <c r="W8" s="17"/>
      <c r="X8" s="18">
        <f t="shared" si="3"/>
        <v>0</v>
      </c>
      <c r="Y8" s="19"/>
      <c r="Z8" s="19"/>
      <c r="AA8" s="18">
        <f t="shared" si="4"/>
        <v>0</v>
      </c>
      <c r="AB8" s="20">
        <f t="shared" si="5"/>
        <v>0</v>
      </c>
      <c r="AC8" s="5"/>
      <c r="AD8" s="8"/>
      <c r="AF8" s="6"/>
      <c r="AG8" s="7"/>
      <c r="AJ8" s="33"/>
      <c r="AK8" s="35"/>
      <c r="AL8" s="38"/>
    </row>
    <row r="9" spans="1:39" ht="17.25" customHeight="1">
      <c r="A9" s="25"/>
      <c r="B9" s="26"/>
      <c r="C9" s="14"/>
      <c r="D9" s="31"/>
      <c r="E9" s="14"/>
      <c r="F9" s="15" t="str">
        <f t="shared" si="0"/>
        <v xml:space="preserve">S/F  </v>
      </c>
      <c r="G9" s="16"/>
      <c r="H9" s="17">
        <v>21</v>
      </c>
      <c r="I9" s="18">
        <f t="shared" si="1"/>
        <v>0</v>
      </c>
      <c r="J9" s="17"/>
      <c r="K9" s="18"/>
      <c r="L9" s="16"/>
      <c r="M9" s="17"/>
      <c r="N9" s="18">
        <f t="shared" si="2"/>
        <v>0</v>
      </c>
      <c r="O9" s="19"/>
      <c r="P9" s="18">
        <v>0</v>
      </c>
      <c r="Q9" s="16"/>
      <c r="R9" s="17"/>
      <c r="S9" s="18">
        <v>0</v>
      </c>
      <c r="T9" s="19"/>
      <c r="U9" s="18">
        <v>0</v>
      </c>
      <c r="V9" s="16"/>
      <c r="W9" s="17"/>
      <c r="X9" s="18">
        <f t="shared" si="3"/>
        <v>0</v>
      </c>
      <c r="Y9" s="19"/>
      <c r="Z9" s="19"/>
      <c r="AA9" s="18">
        <f t="shared" si="4"/>
        <v>0</v>
      </c>
      <c r="AB9" s="20">
        <f t="shared" si="5"/>
        <v>0</v>
      </c>
      <c r="AC9" s="5"/>
      <c r="AD9" s="8"/>
      <c r="AF9" s="6"/>
      <c r="AG9" s="7"/>
      <c r="AJ9" s="33"/>
      <c r="AK9" s="35"/>
      <c r="AL9" s="38"/>
    </row>
    <row r="10" spans="1:39" ht="17.25" customHeight="1">
      <c r="A10" s="25"/>
      <c r="B10" s="26"/>
      <c r="C10" s="14"/>
      <c r="D10" s="31"/>
      <c r="E10" s="14"/>
      <c r="F10" s="15" t="str">
        <f t="shared" si="0"/>
        <v xml:space="preserve">S/F  </v>
      </c>
      <c r="G10" s="16"/>
      <c r="H10" s="17">
        <v>21</v>
      </c>
      <c r="I10" s="18">
        <f t="shared" si="1"/>
        <v>0</v>
      </c>
      <c r="J10" s="17"/>
      <c r="K10" s="18"/>
      <c r="L10" s="16"/>
      <c r="M10" s="17"/>
      <c r="N10" s="18">
        <f t="shared" si="2"/>
        <v>0</v>
      </c>
      <c r="O10" s="19"/>
      <c r="P10" s="18">
        <v>0</v>
      </c>
      <c r="Q10" s="16"/>
      <c r="R10" s="17"/>
      <c r="S10" s="18">
        <v>0</v>
      </c>
      <c r="T10" s="19"/>
      <c r="U10" s="18">
        <v>0</v>
      </c>
      <c r="V10" s="16"/>
      <c r="W10" s="17"/>
      <c r="X10" s="18">
        <f t="shared" si="3"/>
        <v>0</v>
      </c>
      <c r="Y10" s="19"/>
      <c r="Z10" s="19"/>
      <c r="AA10" s="18">
        <f t="shared" si="4"/>
        <v>0</v>
      </c>
      <c r="AB10" s="20">
        <f t="shared" si="5"/>
        <v>0</v>
      </c>
      <c r="AC10" s="5"/>
      <c r="AD10" s="8"/>
      <c r="AF10" s="6"/>
      <c r="AG10" s="7"/>
      <c r="AJ10" s="33"/>
      <c r="AK10" s="35"/>
      <c r="AL10" s="38"/>
    </row>
    <row r="11" spans="1:39" ht="17.25" customHeight="1">
      <c r="A11" s="25"/>
      <c r="B11" s="26"/>
      <c r="C11" s="14"/>
      <c r="D11" s="31"/>
      <c r="E11" s="14"/>
      <c r="F11" s="15" t="str">
        <f t="shared" si="0"/>
        <v xml:space="preserve">S/F  </v>
      </c>
      <c r="G11" s="16"/>
      <c r="H11" s="17">
        <v>21</v>
      </c>
      <c r="I11" s="18">
        <f t="shared" si="1"/>
        <v>0</v>
      </c>
      <c r="J11" s="17"/>
      <c r="K11" s="18"/>
      <c r="L11" s="16"/>
      <c r="M11" s="17"/>
      <c r="N11" s="18">
        <f t="shared" si="2"/>
        <v>0</v>
      </c>
      <c r="O11" s="19"/>
      <c r="P11" s="18">
        <v>0</v>
      </c>
      <c r="Q11" s="16"/>
      <c r="R11" s="17"/>
      <c r="S11" s="18">
        <v>0</v>
      </c>
      <c r="T11" s="19"/>
      <c r="U11" s="18">
        <v>0</v>
      </c>
      <c r="V11" s="16"/>
      <c r="W11" s="17"/>
      <c r="X11" s="18">
        <f t="shared" si="3"/>
        <v>0</v>
      </c>
      <c r="Y11" s="19"/>
      <c r="Z11" s="19"/>
      <c r="AA11" s="18">
        <f t="shared" si="4"/>
        <v>0</v>
      </c>
      <c r="AB11" s="20">
        <f t="shared" si="5"/>
        <v>0</v>
      </c>
      <c r="AC11" s="5"/>
      <c r="AD11" s="8"/>
      <c r="AF11" s="6"/>
      <c r="AG11" s="7"/>
      <c r="AJ11" s="33"/>
      <c r="AK11" s="35"/>
      <c r="AL11" s="38"/>
    </row>
    <row r="12" spans="1:39" ht="17.25" customHeight="1">
      <c r="A12" s="25"/>
      <c r="B12" s="26"/>
      <c r="C12" s="14"/>
      <c r="D12" s="31"/>
      <c r="E12" s="14"/>
      <c r="F12" s="15" t="str">
        <f t="shared" si="0"/>
        <v xml:space="preserve">S/F  </v>
      </c>
      <c r="G12" s="16"/>
      <c r="H12" s="17">
        <v>21</v>
      </c>
      <c r="I12" s="18">
        <f t="shared" si="1"/>
        <v>0</v>
      </c>
      <c r="J12" s="17"/>
      <c r="K12" s="18"/>
      <c r="L12" s="16"/>
      <c r="M12" s="17"/>
      <c r="N12" s="18">
        <f t="shared" si="2"/>
        <v>0</v>
      </c>
      <c r="O12" s="19"/>
      <c r="P12" s="18">
        <v>0</v>
      </c>
      <c r="Q12" s="16"/>
      <c r="R12" s="17"/>
      <c r="S12" s="18">
        <v>0</v>
      </c>
      <c r="T12" s="19"/>
      <c r="U12" s="18">
        <v>0</v>
      </c>
      <c r="V12" s="16"/>
      <c r="W12" s="17"/>
      <c r="X12" s="18">
        <f t="shared" si="3"/>
        <v>0</v>
      </c>
      <c r="Y12" s="19"/>
      <c r="Z12" s="19"/>
      <c r="AA12" s="18">
        <f t="shared" si="4"/>
        <v>0</v>
      </c>
      <c r="AB12" s="20">
        <f t="shared" si="5"/>
        <v>0</v>
      </c>
      <c r="AC12" s="5"/>
      <c r="AD12" s="8"/>
      <c r="AF12" s="6"/>
      <c r="AG12" s="7"/>
      <c r="AJ12" s="33"/>
      <c r="AK12" s="35"/>
      <c r="AL12" s="38"/>
    </row>
    <row r="13" spans="1:39" ht="17.25" customHeight="1">
      <c r="A13" s="25"/>
      <c r="B13" s="26"/>
      <c r="C13" s="14"/>
      <c r="D13" s="31"/>
      <c r="E13" s="14"/>
      <c r="F13" s="15" t="str">
        <f t="shared" si="0"/>
        <v xml:space="preserve">S/F  </v>
      </c>
      <c r="G13" s="16"/>
      <c r="H13" s="17">
        <v>21</v>
      </c>
      <c r="I13" s="18">
        <f t="shared" si="1"/>
        <v>0</v>
      </c>
      <c r="J13" s="17"/>
      <c r="K13" s="18"/>
      <c r="L13" s="16"/>
      <c r="M13" s="17"/>
      <c r="N13" s="18">
        <f t="shared" si="2"/>
        <v>0</v>
      </c>
      <c r="O13" s="19"/>
      <c r="P13" s="18">
        <v>0</v>
      </c>
      <c r="Q13" s="16"/>
      <c r="R13" s="17"/>
      <c r="S13" s="18">
        <v>0</v>
      </c>
      <c r="T13" s="19"/>
      <c r="U13" s="18">
        <v>0</v>
      </c>
      <c r="V13" s="16"/>
      <c r="W13" s="17"/>
      <c r="X13" s="18">
        <f t="shared" si="3"/>
        <v>0</v>
      </c>
      <c r="Y13" s="19"/>
      <c r="Z13" s="19"/>
      <c r="AA13" s="18">
        <f t="shared" si="4"/>
        <v>0</v>
      </c>
      <c r="AB13" s="20">
        <f t="shared" si="5"/>
        <v>0</v>
      </c>
      <c r="AC13" s="5"/>
      <c r="AD13" s="8"/>
      <c r="AF13" s="6"/>
      <c r="AG13" s="7"/>
      <c r="AJ13" s="33"/>
      <c r="AK13" s="35"/>
      <c r="AL13" s="38"/>
    </row>
    <row r="14" spans="1:39" ht="17.25" customHeight="1">
      <c r="A14" s="25"/>
      <c r="B14" s="26"/>
      <c r="C14" s="14"/>
      <c r="D14" s="31"/>
      <c r="E14" s="14"/>
      <c r="F14" s="15" t="str">
        <f t="shared" si="0"/>
        <v xml:space="preserve">S/F  </v>
      </c>
      <c r="G14" s="16"/>
      <c r="H14" s="17">
        <v>21</v>
      </c>
      <c r="I14" s="18">
        <f t="shared" si="1"/>
        <v>0</v>
      </c>
      <c r="J14" s="17"/>
      <c r="K14" s="18"/>
      <c r="L14" s="16"/>
      <c r="M14" s="17"/>
      <c r="N14" s="18">
        <f t="shared" si="2"/>
        <v>0</v>
      </c>
      <c r="O14" s="19"/>
      <c r="P14" s="18">
        <v>0</v>
      </c>
      <c r="Q14" s="16"/>
      <c r="R14" s="17"/>
      <c r="S14" s="18">
        <v>0</v>
      </c>
      <c r="T14" s="19"/>
      <c r="U14" s="18">
        <v>0</v>
      </c>
      <c r="V14" s="16"/>
      <c r="W14" s="17"/>
      <c r="X14" s="18">
        <f t="shared" si="3"/>
        <v>0</v>
      </c>
      <c r="Y14" s="19"/>
      <c r="Z14" s="19"/>
      <c r="AA14" s="18">
        <f t="shared" si="4"/>
        <v>0</v>
      </c>
      <c r="AB14" s="20">
        <f t="shared" si="5"/>
        <v>0</v>
      </c>
      <c r="AC14" s="5"/>
      <c r="AD14" s="8"/>
      <c r="AF14" s="6"/>
      <c r="AG14" s="7"/>
      <c r="AJ14" s="33"/>
      <c r="AK14" s="35"/>
      <c r="AL14" s="38"/>
      <c r="AM14" t="s">
        <v>40</v>
      </c>
    </row>
    <row r="15" spans="1:39" ht="17.25" customHeight="1">
      <c r="A15" s="25"/>
      <c r="B15" s="26"/>
      <c r="C15" s="14"/>
      <c r="D15" s="31"/>
      <c r="E15" s="14"/>
      <c r="F15" s="15" t="str">
        <f t="shared" si="0"/>
        <v xml:space="preserve">S/F  </v>
      </c>
      <c r="G15" s="16"/>
      <c r="H15" s="17">
        <v>21</v>
      </c>
      <c r="I15" s="18">
        <f t="shared" si="1"/>
        <v>0</v>
      </c>
      <c r="J15" s="17"/>
      <c r="K15" s="18"/>
      <c r="L15" s="16"/>
      <c r="M15" s="17"/>
      <c r="N15" s="18">
        <f t="shared" si="2"/>
        <v>0</v>
      </c>
      <c r="O15" s="19"/>
      <c r="P15" s="18">
        <v>0</v>
      </c>
      <c r="Q15" s="16"/>
      <c r="R15" s="17"/>
      <c r="S15" s="18">
        <v>0</v>
      </c>
      <c r="T15" s="19"/>
      <c r="U15" s="18">
        <v>0</v>
      </c>
      <c r="V15" s="16"/>
      <c r="W15" s="17"/>
      <c r="X15" s="18">
        <f t="shared" si="3"/>
        <v>0</v>
      </c>
      <c r="Y15" s="19"/>
      <c r="Z15" s="19"/>
      <c r="AA15" s="18">
        <f t="shared" si="4"/>
        <v>0</v>
      </c>
      <c r="AB15" s="20">
        <f t="shared" si="5"/>
        <v>0</v>
      </c>
      <c r="AC15" s="5"/>
      <c r="AD15" s="8"/>
      <c r="AF15" s="6"/>
      <c r="AG15" s="7"/>
      <c r="AJ15" s="33"/>
      <c r="AK15" s="35"/>
      <c r="AL15" s="38"/>
    </row>
    <row r="16" spans="1:39" ht="17.25" customHeight="1">
      <c r="A16" s="25"/>
      <c r="B16" s="26"/>
      <c r="C16" s="14"/>
      <c r="D16" s="31"/>
      <c r="E16" s="14"/>
      <c r="F16" s="15" t="str">
        <f t="shared" si="0"/>
        <v xml:space="preserve">S/F  </v>
      </c>
      <c r="G16" s="16"/>
      <c r="H16" s="17">
        <v>21</v>
      </c>
      <c r="I16" s="18">
        <f t="shared" si="1"/>
        <v>0</v>
      </c>
      <c r="J16" s="17"/>
      <c r="K16" s="18"/>
      <c r="L16" s="16"/>
      <c r="M16" s="17"/>
      <c r="N16" s="18">
        <f t="shared" si="2"/>
        <v>0</v>
      </c>
      <c r="O16" s="19"/>
      <c r="P16" s="18">
        <v>0</v>
      </c>
      <c r="Q16" s="16"/>
      <c r="R16" s="17"/>
      <c r="S16" s="18">
        <v>0</v>
      </c>
      <c r="T16" s="19"/>
      <c r="U16" s="18">
        <v>0</v>
      </c>
      <c r="V16" s="16"/>
      <c r="W16" s="17"/>
      <c r="X16" s="18">
        <f t="shared" si="3"/>
        <v>0</v>
      </c>
      <c r="Y16" s="19"/>
      <c r="Z16" s="19"/>
      <c r="AA16" s="18">
        <f t="shared" si="4"/>
        <v>0</v>
      </c>
      <c r="AB16" s="20">
        <f t="shared" si="5"/>
        <v>0</v>
      </c>
      <c r="AC16" s="5"/>
      <c r="AD16" s="8"/>
      <c r="AF16" s="6"/>
      <c r="AG16" s="7"/>
      <c r="AJ16" s="33"/>
      <c r="AK16" s="35"/>
      <c r="AL16" s="38"/>
    </row>
    <row r="17" spans="1:38" ht="17.25" customHeight="1">
      <c r="A17" s="25"/>
      <c r="B17" s="26"/>
      <c r="C17" s="14"/>
      <c r="D17" s="31"/>
      <c r="E17" s="14"/>
      <c r="F17" s="15" t="str">
        <f t="shared" si="0"/>
        <v xml:space="preserve">S/F  </v>
      </c>
      <c r="G17" s="16"/>
      <c r="H17" s="17">
        <v>21</v>
      </c>
      <c r="I17" s="18">
        <f t="shared" si="1"/>
        <v>0</v>
      </c>
      <c r="J17" s="17"/>
      <c r="K17" s="18"/>
      <c r="L17" s="16"/>
      <c r="M17" s="17"/>
      <c r="N17" s="18">
        <f t="shared" si="2"/>
        <v>0</v>
      </c>
      <c r="O17" s="19"/>
      <c r="P17" s="18">
        <v>0</v>
      </c>
      <c r="Q17" s="16"/>
      <c r="R17" s="17"/>
      <c r="S17" s="18">
        <v>0</v>
      </c>
      <c r="T17" s="19"/>
      <c r="U17" s="18">
        <v>0</v>
      </c>
      <c r="V17" s="16"/>
      <c r="W17" s="17"/>
      <c r="X17" s="18">
        <f t="shared" si="3"/>
        <v>0</v>
      </c>
      <c r="Y17" s="19"/>
      <c r="Z17" s="19"/>
      <c r="AA17" s="18">
        <f t="shared" si="4"/>
        <v>0</v>
      </c>
      <c r="AB17" s="20">
        <f t="shared" si="5"/>
        <v>0</v>
      </c>
      <c r="AC17" s="5"/>
      <c r="AD17" s="8"/>
      <c r="AF17" s="6"/>
      <c r="AG17" s="7"/>
      <c r="AJ17" s="33"/>
      <c r="AK17" s="35"/>
      <c r="AL17" s="38"/>
    </row>
    <row r="18" spans="1:38" ht="17.25" customHeight="1">
      <c r="A18" s="25"/>
      <c r="B18" s="26"/>
      <c r="C18" s="14"/>
      <c r="D18" s="31"/>
      <c r="E18" s="14"/>
      <c r="F18" s="15" t="str">
        <f t="shared" si="0"/>
        <v xml:space="preserve">S/F  </v>
      </c>
      <c r="G18" s="16"/>
      <c r="H18" s="17">
        <v>21</v>
      </c>
      <c r="I18" s="18">
        <f t="shared" si="1"/>
        <v>0</v>
      </c>
      <c r="J18" s="17"/>
      <c r="K18" s="18"/>
      <c r="L18" s="16"/>
      <c r="M18" s="17"/>
      <c r="N18" s="18">
        <f t="shared" si="2"/>
        <v>0</v>
      </c>
      <c r="O18" s="19"/>
      <c r="P18" s="18">
        <v>0</v>
      </c>
      <c r="Q18" s="16"/>
      <c r="R18" s="17"/>
      <c r="S18" s="18">
        <v>0</v>
      </c>
      <c r="T18" s="19"/>
      <c r="U18" s="18">
        <v>0</v>
      </c>
      <c r="V18" s="16"/>
      <c r="W18" s="17"/>
      <c r="X18" s="18">
        <f t="shared" si="3"/>
        <v>0</v>
      </c>
      <c r="Y18" s="19"/>
      <c r="Z18" s="19"/>
      <c r="AA18" s="18">
        <f t="shared" si="4"/>
        <v>0</v>
      </c>
      <c r="AB18" s="20">
        <f t="shared" si="5"/>
        <v>0</v>
      </c>
      <c r="AC18" s="5"/>
      <c r="AD18" s="8"/>
      <c r="AF18" s="6"/>
      <c r="AG18" s="7"/>
      <c r="AJ18" s="33"/>
      <c r="AK18" s="35"/>
      <c r="AL18" s="38"/>
    </row>
    <row r="19" spans="1:38" ht="17.25" customHeight="1">
      <c r="A19" s="25"/>
      <c r="B19" s="26"/>
      <c r="C19" s="14"/>
      <c r="D19" s="31"/>
      <c r="E19" s="14"/>
      <c r="F19" s="15" t="str">
        <f t="shared" si="0"/>
        <v xml:space="preserve">S/F  </v>
      </c>
      <c r="G19" s="16"/>
      <c r="H19" s="17">
        <v>21</v>
      </c>
      <c r="I19" s="18">
        <f t="shared" si="1"/>
        <v>0</v>
      </c>
      <c r="J19" s="17"/>
      <c r="K19" s="18"/>
      <c r="L19" s="16"/>
      <c r="M19" s="17"/>
      <c r="N19" s="18">
        <f t="shared" si="2"/>
        <v>0</v>
      </c>
      <c r="O19" s="19"/>
      <c r="P19" s="18">
        <v>0</v>
      </c>
      <c r="Q19" s="16"/>
      <c r="R19" s="17"/>
      <c r="S19" s="18">
        <v>0</v>
      </c>
      <c r="T19" s="19"/>
      <c r="U19" s="18">
        <v>0</v>
      </c>
      <c r="V19" s="16"/>
      <c r="W19" s="17"/>
      <c r="X19" s="18">
        <f t="shared" si="3"/>
        <v>0</v>
      </c>
      <c r="Y19" s="19"/>
      <c r="Z19" s="19"/>
      <c r="AA19" s="18">
        <f t="shared" si="4"/>
        <v>0</v>
      </c>
      <c r="AB19" s="20">
        <f t="shared" si="5"/>
        <v>0</v>
      </c>
      <c r="AC19" s="5"/>
      <c r="AD19" s="8"/>
      <c r="AF19" s="6"/>
      <c r="AG19" s="7"/>
      <c r="AJ19" s="33"/>
      <c r="AK19" s="35"/>
      <c r="AL19" s="38"/>
    </row>
    <row r="20" spans="1:38" ht="17.25" customHeight="1">
      <c r="A20" s="25"/>
      <c r="B20" s="26"/>
      <c r="C20" s="14"/>
      <c r="D20" s="31"/>
      <c r="E20" s="14"/>
      <c r="F20" s="15" t="str">
        <f t="shared" si="0"/>
        <v xml:space="preserve">S/F  </v>
      </c>
      <c r="G20" s="16"/>
      <c r="H20" s="17">
        <v>21</v>
      </c>
      <c r="I20" s="18">
        <f t="shared" si="1"/>
        <v>0</v>
      </c>
      <c r="J20" s="17"/>
      <c r="K20" s="18"/>
      <c r="L20" s="16"/>
      <c r="M20" s="17"/>
      <c r="N20" s="18">
        <f t="shared" si="2"/>
        <v>0</v>
      </c>
      <c r="O20" s="19"/>
      <c r="P20" s="18">
        <v>0</v>
      </c>
      <c r="Q20" s="16"/>
      <c r="R20" s="17"/>
      <c r="S20" s="18">
        <v>0</v>
      </c>
      <c r="T20" s="19"/>
      <c r="U20" s="18">
        <v>0</v>
      </c>
      <c r="V20" s="16"/>
      <c r="W20" s="17"/>
      <c r="X20" s="18">
        <f t="shared" si="3"/>
        <v>0</v>
      </c>
      <c r="Y20" s="19"/>
      <c r="Z20" s="19"/>
      <c r="AA20" s="18">
        <f t="shared" si="4"/>
        <v>0</v>
      </c>
      <c r="AB20" s="20">
        <f t="shared" si="5"/>
        <v>0</v>
      </c>
      <c r="AC20" s="5"/>
      <c r="AD20" s="8"/>
      <c r="AF20" s="6"/>
      <c r="AG20" s="7"/>
      <c r="AJ20" s="33"/>
      <c r="AK20" s="35"/>
      <c r="AL20" s="38"/>
    </row>
    <row r="21" spans="1:38" ht="17.25" customHeight="1">
      <c r="A21" s="25"/>
      <c r="B21" s="26"/>
      <c r="C21" s="14"/>
      <c r="D21" s="31"/>
      <c r="E21" s="14"/>
      <c r="F21" s="15" t="str">
        <f t="shared" si="0"/>
        <v xml:space="preserve">S/F  </v>
      </c>
      <c r="G21" s="16"/>
      <c r="H21" s="17">
        <v>21</v>
      </c>
      <c r="I21" s="18">
        <f t="shared" si="1"/>
        <v>0</v>
      </c>
      <c r="J21" s="17"/>
      <c r="K21" s="18"/>
      <c r="L21" s="16"/>
      <c r="M21" s="17"/>
      <c r="N21" s="18">
        <f t="shared" si="2"/>
        <v>0</v>
      </c>
      <c r="O21" s="19"/>
      <c r="P21" s="18">
        <v>0</v>
      </c>
      <c r="Q21" s="16"/>
      <c r="R21" s="17"/>
      <c r="S21" s="18">
        <v>0</v>
      </c>
      <c r="T21" s="19"/>
      <c r="U21" s="18">
        <v>0</v>
      </c>
      <c r="V21" s="16"/>
      <c r="W21" s="17"/>
      <c r="X21" s="18">
        <f t="shared" si="3"/>
        <v>0</v>
      </c>
      <c r="Y21" s="19"/>
      <c r="Z21" s="19"/>
      <c r="AA21" s="18">
        <f t="shared" si="4"/>
        <v>0</v>
      </c>
      <c r="AB21" s="20">
        <f t="shared" si="5"/>
        <v>0</v>
      </c>
      <c r="AC21" s="5"/>
      <c r="AD21" s="8"/>
      <c r="AF21" s="6"/>
      <c r="AG21" s="7"/>
      <c r="AJ21" s="33"/>
      <c r="AK21" s="35"/>
      <c r="AL21" s="38"/>
    </row>
    <row r="22" spans="1:38" ht="17.25" customHeight="1">
      <c r="A22" s="25"/>
      <c r="B22" s="26"/>
      <c r="C22" s="14"/>
      <c r="D22" s="31"/>
      <c r="E22" s="14"/>
      <c r="F22" s="15" t="str">
        <f t="shared" si="0"/>
        <v xml:space="preserve">S/F  </v>
      </c>
      <c r="G22" s="16"/>
      <c r="H22" s="17">
        <v>21</v>
      </c>
      <c r="I22" s="18">
        <f t="shared" si="1"/>
        <v>0</v>
      </c>
      <c r="J22" s="17"/>
      <c r="K22" s="18"/>
      <c r="L22" s="16"/>
      <c r="M22" s="17"/>
      <c r="N22" s="18">
        <f t="shared" si="2"/>
        <v>0</v>
      </c>
      <c r="O22" s="19"/>
      <c r="P22" s="18">
        <v>0</v>
      </c>
      <c r="Q22" s="16"/>
      <c r="R22" s="17"/>
      <c r="S22" s="18">
        <v>0</v>
      </c>
      <c r="T22" s="19"/>
      <c r="U22" s="18">
        <v>0</v>
      </c>
      <c r="V22" s="16"/>
      <c r="W22" s="17"/>
      <c r="X22" s="18">
        <f t="shared" si="3"/>
        <v>0</v>
      </c>
      <c r="Y22" s="19"/>
      <c r="Z22" s="19"/>
      <c r="AA22" s="18">
        <f t="shared" si="4"/>
        <v>0</v>
      </c>
      <c r="AB22" s="20">
        <f t="shared" si="5"/>
        <v>0</v>
      </c>
      <c r="AC22" s="5"/>
      <c r="AD22" s="8"/>
      <c r="AF22" s="6"/>
      <c r="AG22" s="7"/>
      <c r="AJ22" s="33"/>
      <c r="AK22" s="35"/>
      <c r="AL22" s="38"/>
    </row>
    <row r="23" spans="1:38" ht="17.25" customHeight="1">
      <c r="A23" s="25"/>
      <c r="B23" s="26"/>
      <c r="C23" s="14"/>
      <c r="D23" s="31"/>
      <c r="E23" s="14"/>
      <c r="F23" s="15" t="str">
        <f t="shared" si="0"/>
        <v xml:space="preserve">S/F  </v>
      </c>
      <c r="G23" s="16"/>
      <c r="H23" s="17">
        <v>21</v>
      </c>
      <c r="I23" s="18">
        <f t="shared" si="1"/>
        <v>0</v>
      </c>
      <c r="J23" s="17"/>
      <c r="K23" s="18"/>
      <c r="L23" s="16"/>
      <c r="M23" s="17"/>
      <c r="N23" s="18">
        <f t="shared" si="2"/>
        <v>0</v>
      </c>
      <c r="O23" s="19"/>
      <c r="P23" s="18">
        <v>0</v>
      </c>
      <c r="Q23" s="16"/>
      <c r="R23" s="17"/>
      <c r="S23" s="18">
        <v>0</v>
      </c>
      <c r="T23" s="19"/>
      <c r="U23" s="18">
        <v>0</v>
      </c>
      <c r="V23" s="16"/>
      <c r="W23" s="17"/>
      <c r="X23" s="18">
        <f t="shared" si="3"/>
        <v>0</v>
      </c>
      <c r="Y23" s="19"/>
      <c r="Z23" s="19"/>
      <c r="AA23" s="18">
        <f t="shared" si="4"/>
        <v>0</v>
      </c>
      <c r="AB23" s="20">
        <f t="shared" si="5"/>
        <v>0</v>
      </c>
      <c r="AC23" s="5"/>
      <c r="AD23" s="8"/>
      <c r="AF23" s="6"/>
      <c r="AG23" s="7"/>
      <c r="AJ23" s="33"/>
      <c r="AK23" s="35"/>
      <c r="AL23" s="38"/>
    </row>
    <row r="24" spans="1:38" ht="17.25" customHeight="1">
      <c r="A24" s="25"/>
      <c r="B24" s="26"/>
      <c r="C24" s="14"/>
      <c r="D24" s="31"/>
      <c r="E24" s="14"/>
      <c r="F24" s="15" t="str">
        <f t="shared" si="0"/>
        <v xml:space="preserve">S/F  </v>
      </c>
      <c r="G24" s="16"/>
      <c r="H24" s="17">
        <v>21</v>
      </c>
      <c r="I24" s="18">
        <f t="shared" si="1"/>
        <v>0</v>
      </c>
      <c r="J24" s="17"/>
      <c r="K24" s="18"/>
      <c r="L24" s="16"/>
      <c r="M24" s="17"/>
      <c r="N24" s="18">
        <f t="shared" si="2"/>
        <v>0</v>
      </c>
      <c r="O24" s="19"/>
      <c r="P24" s="18">
        <v>0</v>
      </c>
      <c r="Q24" s="16"/>
      <c r="R24" s="17"/>
      <c r="S24" s="18">
        <v>0</v>
      </c>
      <c r="T24" s="19"/>
      <c r="U24" s="18">
        <v>0</v>
      </c>
      <c r="V24" s="16"/>
      <c r="W24" s="17"/>
      <c r="X24" s="18">
        <f t="shared" si="3"/>
        <v>0</v>
      </c>
      <c r="Y24" s="19"/>
      <c r="Z24" s="19"/>
      <c r="AA24" s="18">
        <f t="shared" si="4"/>
        <v>0</v>
      </c>
      <c r="AB24" s="20">
        <f t="shared" si="5"/>
        <v>0</v>
      </c>
      <c r="AC24" s="5"/>
      <c r="AD24" s="8"/>
      <c r="AF24" s="6"/>
      <c r="AG24" s="7"/>
      <c r="AJ24" s="33"/>
      <c r="AK24" s="35"/>
      <c r="AL24" s="38"/>
    </row>
    <row r="25" spans="1:38" ht="17.25" customHeight="1">
      <c r="A25" s="25"/>
      <c r="B25" s="26"/>
      <c r="C25" s="14"/>
      <c r="D25" s="31"/>
      <c r="E25" s="14"/>
      <c r="F25" s="15" t="str">
        <f t="shared" si="0"/>
        <v xml:space="preserve">S/F  </v>
      </c>
      <c r="G25" s="16"/>
      <c r="H25" s="17">
        <v>21</v>
      </c>
      <c r="I25" s="18">
        <f t="shared" si="1"/>
        <v>0</v>
      </c>
      <c r="J25" s="17"/>
      <c r="K25" s="18"/>
      <c r="L25" s="16"/>
      <c r="M25" s="17"/>
      <c r="N25" s="18">
        <f t="shared" si="2"/>
        <v>0</v>
      </c>
      <c r="O25" s="19"/>
      <c r="P25" s="18">
        <v>0</v>
      </c>
      <c r="Q25" s="16"/>
      <c r="R25" s="17"/>
      <c r="S25" s="18">
        <v>0</v>
      </c>
      <c r="T25" s="19"/>
      <c r="U25" s="18">
        <v>0</v>
      </c>
      <c r="V25" s="16"/>
      <c r="W25" s="17"/>
      <c r="X25" s="18">
        <f t="shared" si="3"/>
        <v>0</v>
      </c>
      <c r="Y25" s="19"/>
      <c r="Z25" s="19"/>
      <c r="AA25" s="18">
        <f t="shared" si="4"/>
        <v>0</v>
      </c>
      <c r="AB25" s="20">
        <f t="shared" si="5"/>
        <v>0</v>
      </c>
      <c r="AC25" s="5"/>
      <c r="AD25" s="8"/>
      <c r="AF25" s="6"/>
      <c r="AG25" s="7"/>
      <c r="AJ25" s="33"/>
      <c r="AK25" s="35"/>
      <c r="AL25" s="38"/>
    </row>
    <row r="26" spans="1:38" ht="17.25" customHeight="1">
      <c r="A26" s="25"/>
      <c r="B26" s="26"/>
      <c r="C26" s="14"/>
      <c r="D26" s="31"/>
      <c r="E26" s="14"/>
      <c r="F26" s="15" t="str">
        <f t="shared" si="0"/>
        <v xml:space="preserve">S/F  </v>
      </c>
      <c r="G26" s="16"/>
      <c r="H26" s="17">
        <v>21</v>
      </c>
      <c r="I26" s="18">
        <f t="shared" si="1"/>
        <v>0</v>
      </c>
      <c r="J26" s="17"/>
      <c r="K26" s="18"/>
      <c r="L26" s="16"/>
      <c r="M26" s="17"/>
      <c r="N26" s="18">
        <f t="shared" si="2"/>
        <v>0</v>
      </c>
      <c r="O26" s="19"/>
      <c r="P26" s="18">
        <v>0</v>
      </c>
      <c r="Q26" s="16"/>
      <c r="R26" s="17"/>
      <c r="S26" s="18">
        <v>0</v>
      </c>
      <c r="T26" s="19"/>
      <c r="U26" s="18">
        <v>0</v>
      </c>
      <c r="V26" s="16"/>
      <c r="W26" s="17"/>
      <c r="X26" s="18">
        <f t="shared" si="3"/>
        <v>0</v>
      </c>
      <c r="Y26" s="19"/>
      <c r="Z26" s="19"/>
      <c r="AA26" s="18">
        <f t="shared" si="4"/>
        <v>0</v>
      </c>
      <c r="AB26" s="20">
        <f t="shared" si="5"/>
        <v>0</v>
      </c>
      <c r="AC26" s="5"/>
      <c r="AD26" s="8"/>
      <c r="AF26" s="6"/>
      <c r="AG26" s="7"/>
      <c r="AJ26" s="33"/>
      <c r="AK26" s="35"/>
      <c r="AL26" s="38"/>
    </row>
    <row r="27" spans="1:38" ht="17.25" customHeight="1">
      <c r="A27" s="25"/>
      <c r="B27" s="26"/>
      <c r="C27" s="14"/>
      <c r="D27" s="31"/>
      <c r="E27" s="14"/>
      <c r="F27" s="15" t="str">
        <f t="shared" si="0"/>
        <v xml:space="preserve">S/F  </v>
      </c>
      <c r="G27" s="16"/>
      <c r="H27" s="17">
        <v>21</v>
      </c>
      <c r="I27" s="18">
        <f t="shared" si="1"/>
        <v>0</v>
      </c>
      <c r="J27" s="17"/>
      <c r="K27" s="18"/>
      <c r="L27" s="16"/>
      <c r="M27" s="17"/>
      <c r="N27" s="18">
        <f t="shared" si="2"/>
        <v>0</v>
      </c>
      <c r="O27" s="19"/>
      <c r="P27" s="18">
        <v>0</v>
      </c>
      <c r="Q27" s="16"/>
      <c r="R27" s="17"/>
      <c r="S27" s="18">
        <v>0</v>
      </c>
      <c r="T27" s="19"/>
      <c r="U27" s="18">
        <v>0</v>
      </c>
      <c r="V27" s="16"/>
      <c r="W27" s="17"/>
      <c r="X27" s="18">
        <f t="shared" si="3"/>
        <v>0</v>
      </c>
      <c r="Y27" s="19"/>
      <c r="Z27" s="19"/>
      <c r="AA27" s="18">
        <f t="shared" si="4"/>
        <v>0</v>
      </c>
      <c r="AB27" s="20">
        <f t="shared" si="5"/>
        <v>0</v>
      </c>
      <c r="AC27" s="5"/>
      <c r="AD27" s="8"/>
      <c r="AF27" s="6"/>
      <c r="AG27" s="7"/>
      <c r="AJ27" s="33"/>
      <c r="AK27" s="35"/>
      <c r="AL27" s="38"/>
    </row>
    <row r="28" spans="1:38" ht="17.25" customHeight="1">
      <c r="A28" s="25"/>
      <c r="B28" s="26"/>
      <c r="C28" s="14"/>
      <c r="D28" s="31"/>
      <c r="E28" s="14"/>
      <c r="F28" s="15" t="str">
        <f t="shared" si="0"/>
        <v xml:space="preserve">S/F  </v>
      </c>
      <c r="G28" s="16"/>
      <c r="H28" s="17">
        <v>21</v>
      </c>
      <c r="I28" s="18">
        <f t="shared" si="1"/>
        <v>0</v>
      </c>
      <c r="J28" s="17"/>
      <c r="K28" s="18"/>
      <c r="L28" s="16"/>
      <c r="M28" s="17"/>
      <c r="N28" s="18">
        <f t="shared" si="2"/>
        <v>0</v>
      </c>
      <c r="O28" s="19"/>
      <c r="P28" s="18">
        <v>0</v>
      </c>
      <c r="Q28" s="16"/>
      <c r="R28" s="17"/>
      <c r="S28" s="18">
        <v>0</v>
      </c>
      <c r="T28" s="19"/>
      <c r="U28" s="18">
        <v>0</v>
      </c>
      <c r="V28" s="16"/>
      <c r="W28" s="17"/>
      <c r="X28" s="18">
        <f t="shared" si="3"/>
        <v>0</v>
      </c>
      <c r="Y28" s="19"/>
      <c r="Z28" s="19"/>
      <c r="AA28" s="18">
        <f t="shared" si="4"/>
        <v>0</v>
      </c>
      <c r="AB28" s="20">
        <f t="shared" si="5"/>
        <v>0</v>
      </c>
      <c r="AC28" s="5"/>
      <c r="AD28" s="8"/>
      <c r="AF28" s="6"/>
      <c r="AG28" s="7"/>
      <c r="AJ28" s="33"/>
      <c r="AK28" s="35"/>
      <c r="AL28" s="38"/>
    </row>
    <row r="29" spans="1:38" ht="17.25" customHeight="1">
      <c r="A29" s="25"/>
      <c r="B29" s="26"/>
      <c r="C29" s="14"/>
      <c r="D29" s="31"/>
      <c r="E29" s="14"/>
      <c r="F29" s="15" t="str">
        <f t="shared" si="0"/>
        <v xml:space="preserve">S/F  </v>
      </c>
      <c r="G29" s="16"/>
      <c r="H29" s="17">
        <v>21</v>
      </c>
      <c r="I29" s="18">
        <f t="shared" si="1"/>
        <v>0</v>
      </c>
      <c r="J29" s="17"/>
      <c r="K29" s="18"/>
      <c r="L29" s="16"/>
      <c r="M29" s="17"/>
      <c r="N29" s="18">
        <f t="shared" si="2"/>
        <v>0</v>
      </c>
      <c r="O29" s="19"/>
      <c r="P29" s="18">
        <v>0</v>
      </c>
      <c r="Q29" s="16"/>
      <c r="R29" s="17"/>
      <c r="S29" s="18">
        <v>0</v>
      </c>
      <c r="T29" s="19"/>
      <c r="U29" s="18">
        <v>0</v>
      </c>
      <c r="V29" s="16"/>
      <c r="W29" s="17"/>
      <c r="X29" s="18">
        <f t="shared" si="3"/>
        <v>0</v>
      </c>
      <c r="Y29" s="19"/>
      <c r="Z29" s="19"/>
      <c r="AA29" s="18">
        <f t="shared" si="4"/>
        <v>0</v>
      </c>
      <c r="AB29" s="20">
        <f t="shared" si="5"/>
        <v>0</v>
      </c>
      <c r="AC29" s="5"/>
      <c r="AD29" s="8"/>
      <c r="AF29" s="6"/>
      <c r="AG29" s="7"/>
      <c r="AJ29" s="33"/>
      <c r="AK29" s="35"/>
      <c r="AL29" s="38"/>
    </row>
    <row r="30" spans="1:38" ht="17.25" customHeight="1">
      <c r="A30" s="25"/>
      <c r="B30" s="26"/>
      <c r="C30" s="14"/>
      <c r="D30" s="26"/>
      <c r="E30" s="14"/>
      <c r="F30" s="15" t="str">
        <f t="shared" si="0"/>
        <v xml:space="preserve">S/F  </v>
      </c>
      <c r="G30" s="16"/>
      <c r="H30" s="17">
        <v>21</v>
      </c>
      <c r="I30" s="18">
        <f t="shared" si="1"/>
        <v>0</v>
      </c>
      <c r="J30" s="17"/>
      <c r="K30" s="18"/>
      <c r="L30" s="16"/>
      <c r="M30" s="17"/>
      <c r="N30" s="18">
        <f t="shared" si="2"/>
        <v>0</v>
      </c>
      <c r="O30" s="19"/>
      <c r="P30" s="18">
        <v>0</v>
      </c>
      <c r="Q30" s="16"/>
      <c r="R30" s="17"/>
      <c r="S30" s="18">
        <v>0</v>
      </c>
      <c r="T30" s="19"/>
      <c r="U30" s="18">
        <v>0</v>
      </c>
      <c r="V30" s="16"/>
      <c r="W30" s="17"/>
      <c r="X30" s="18">
        <f t="shared" si="3"/>
        <v>0</v>
      </c>
      <c r="Y30" s="19"/>
      <c r="Z30" s="19"/>
      <c r="AA30" s="18">
        <f t="shared" si="4"/>
        <v>0</v>
      </c>
      <c r="AB30" s="20">
        <f t="shared" si="5"/>
        <v>0</v>
      </c>
      <c r="AC30" s="5"/>
      <c r="AD30" s="8"/>
      <c r="AF30" s="6"/>
      <c r="AG30" s="7"/>
      <c r="AJ30" s="33"/>
      <c r="AK30" s="35"/>
      <c r="AL30" s="38"/>
    </row>
    <row r="31" spans="1:38" ht="17.25" customHeight="1">
      <c r="A31" s="25"/>
      <c r="B31" s="26"/>
      <c r="C31" s="14"/>
      <c r="D31" s="31"/>
      <c r="E31" s="14"/>
      <c r="F31" s="15" t="str">
        <f t="shared" si="0"/>
        <v xml:space="preserve">S/F  </v>
      </c>
      <c r="G31" s="16"/>
      <c r="H31" s="17">
        <v>21</v>
      </c>
      <c r="I31" s="18">
        <f t="shared" si="1"/>
        <v>0</v>
      </c>
      <c r="J31" s="17"/>
      <c r="K31" s="18"/>
      <c r="L31" s="16"/>
      <c r="M31" s="17"/>
      <c r="N31" s="18">
        <f t="shared" si="2"/>
        <v>0</v>
      </c>
      <c r="O31" s="19"/>
      <c r="P31" s="18">
        <v>0</v>
      </c>
      <c r="Q31" s="16"/>
      <c r="R31" s="17"/>
      <c r="S31" s="18">
        <v>0</v>
      </c>
      <c r="T31" s="19"/>
      <c r="U31" s="18">
        <v>0</v>
      </c>
      <c r="V31" s="16"/>
      <c r="W31" s="17"/>
      <c r="X31" s="18">
        <f t="shared" si="3"/>
        <v>0</v>
      </c>
      <c r="Y31" s="19"/>
      <c r="Z31" s="19"/>
      <c r="AA31" s="18">
        <f t="shared" si="4"/>
        <v>0</v>
      </c>
      <c r="AB31" s="20">
        <f t="shared" si="5"/>
        <v>0</v>
      </c>
      <c r="AC31" s="5"/>
      <c r="AD31" s="8"/>
      <c r="AF31" s="6"/>
      <c r="AG31" s="7"/>
      <c r="AJ31" s="33"/>
      <c r="AK31" s="35"/>
      <c r="AL31" s="38"/>
    </row>
    <row r="32" spans="1:38" ht="17.25" customHeight="1">
      <c r="A32" s="25"/>
      <c r="B32" s="26"/>
      <c r="C32" s="14"/>
      <c r="D32" s="31"/>
      <c r="E32" s="14"/>
      <c r="F32" s="15" t="str">
        <f t="shared" si="0"/>
        <v xml:space="preserve">S/F  </v>
      </c>
      <c r="G32" s="16"/>
      <c r="H32" s="17">
        <v>21</v>
      </c>
      <c r="I32" s="18">
        <f t="shared" si="1"/>
        <v>0</v>
      </c>
      <c r="J32" s="17"/>
      <c r="K32" s="18"/>
      <c r="L32" s="16"/>
      <c r="M32" s="17"/>
      <c r="N32" s="18">
        <f t="shared" si="2"/>
        <v>0</v>
      </c>
      <c r="O32" s="19"/>
      <c r="P32" s="18">
        <v>0</v>
      </c>
      <c r="Q32" s="16"/>
      <c r="R32" s="17"/>
      <c r="S32" s="18">
        <v>0</v>
      </c>
      <c r="T32" s="19"/>
      <c r="U32" s="18">
        <v>0</v>
      </c>
      <c r="V32" s="16"/>
      <c r="W32" s="17"/>
      <c r="X32" s="18">
        <f t="shared" si="3"/>
        <v>0</v>
      </c>
      <c r="Y32" s="19"/>
      <c r="Z32" s="19"/>
      <c r="AA32" s="18">
        <f t="shared" si="4"/>
        <v>0</v>
      </c>
      <c r="AB32" s="20">
        <f t="shared" si="5"/>
        <v>0</v>
      </c>
      <c r="AC32" s="5"/>
      <c r="AD32" s="8"/>
      <c r="AF32" s="6"/>
      <c r="AG32" s="7"/>
      <c r="AJ32" s="33"/>
      <c r="AK32" s="35"/>
      <c r="AL32" s="38"/>
    </row>
    <row r="33" spans="1:38" ht="17.25" customHeight="1">
      <c r="A33" s="25"/>
      <c r="B33" s="26"/>
      <c r="C33" s="14"/>
      <c r="D33" s="31"/>
      <c r="E33" s="14"/>
      <c r="F33" s="15" t="str">
        <f t="shared" si="0"/>
        <v xml:space="preserve">S/F  </v>
      </c>
      <c r="G33" s="16"/>
      <c r="H33" s="17">
        <v>21</v>
      </c>
      <c r="I33" s="18">
        <f t="shared" si="1"/>
        <v>0</v>
      </c>
      <c r="J33" s="17"/>
      <c r="K33" s="18"/>
      <c r="L33" s="16"/>
      <c r="M33" s="17"/>
      <c r="N33" s="18">
        <f t="shared" si="2"/>
        <v>0</v>
      </c>
      <c r="O33" s="19"/>
      <c r="P33" s="18">
        <v>0</v>
      </c>
      <c r="Q33" s="16"/>
      <c r="R33" s="17"/>
      <c r="S33" s="18">
        <v>0</v>
      </c>
      <c r="T33" s="19"/>
      <c r="U33" s="18">
        <v>0</v>
      </c>
      <c r="V33" s="16"/>
      <c r="W33" s="17"/>
      <c r="X33" s="18">
        <f t="shared" si="3"/>
        <v>0</v>
      </c>
      <c r="Y33" s="19"/>
      <c r="Z33" s="19"/>
      <c r="AA33" s="18">
        <f t="shared" si="4"/>
        <v>0</v>
      </c>
      <c r="AB33" s="20">
        <f t="shared" si="5"/>
        <v>0</v>
      </c>
      <c r="AC33" s="5"/>
      <c r="AD33" s="8"/>
      <c r="AF33" s="6"/>
      <c r="AG33" s="7"/>
      <c r="AJ33" s="33"/>
      <c r="AK33" s="35"/>
      <c r="AL33" s="38"/>
    </row>
    <row r="34" spans="1:38" ht="17.25" customHeight="1">
      <c r="A34" s="25"/>
      <c r="B34" s="26"/>
      <c r="C34" s="14"/>
      <c r="D34" s="31"/>
      <c r="E34" s="14"/>
      <c r="F34" s="15" t="str">
        <f t="shared" si="0"/>
        <v xml:space="preserve">S/F  </v>
      </c>
      <c r="G34" s="16"/>
      <c r="H34" s="17">
        <v>21</v>
      </c>
      <c r="I34" s="18">
        <f t="shared" si="1"/>
        <v>0</v>
      </c>
      <c r="J34" s="17"/>
      <c r="K34" s="18"/>
      <c r="L34" s="16"/>
      <c r="M34" s="17"/>
      <c r="N34" s="18">
        <f t="shared" si="2"/>
        <v>0</v>
      </c>
      <c r="O34" s="19"/>
      <c r="P34" s="18">
        <v>0</v>
      </c>
      <c r="Q34" s="16"/>
      <c r="R34" s="17"/>
      <c r="S34" s="18">
        <v>0</v>
      </c>
      <c r="T34" s="19"/>
      <c r="U34" s="18">
        <v>0</v>
      </c>
      <c r="V34" s="16"/>
      <c r="W34" s="17"/>
      <c r="X34" s="18">
        <f t="shared" si="3"/>
        <v>0</v>
      </c>
      <c r="Y34" s="19"/>
      <c r="Z34" s="19"/>
      <c r="AA34" s="18">
        <f t="shared" si="4"/>
        <v>0</v>
      </c>
      <c r="AB34" s="20">
        <f t="shared" si="5"/>
        <v>0</v>
      </c>
      <c r="AC34" s="5"/>
      <c r="AD34" s="8"/>
      <c r="AF34" s="6"/>
      <c r="AG34" s="7"/>
      <c r="AJ34" s="33"/>
      <c r="AK34" s="35"/>
      <c r="AL34" s="38"/>
    </row>
    <row r="35" spans="1:38" ht="17.25" customHeight="1">
      <c r="A35" s="25"/>
      <c r="B35" s="26"/>
      <c r="C35" s="14"/>
      <c r="D35" s="31"/>
      <c r="E35" s="14"/>
      <c r="F35" s="15" t="str">
        <f t="shared" si="0"/>
        <v xml:space="preserve">S/F  </v>
      </c>
      <c r="G35" s="16"/>
      <c r="H35" s="17">
        <v>21</v>
      </c>
      <c r="I35" s="18">
        <f t="shared" si="1"/>
        <v>0</v>
      </c>
      <c r="J35" s="17"/>
      <c r="K35" s="18"/>
      <c r="L35" s="16"/>
      <c r="M35" s="17"/>
      <c r="N35" s="18">
        <f t="shared" si="2"/>
        <v>0</v>
      </c>
      <c r="O35" s="19"/>
      <c r="P35" s="18">
        <v>0</v>
      </c>
      <c r="Q35" s="16"/>
      <c r="R35" s="17"/>
      <c r="S35" s="18">
        <v>0</v>
      </c>
      <c r="T35" s="19"/>
      <c r="U35" s="18">
        <v>0</v>
      </c>
      <c r="V35" s="16"/>
      <c r="W35" s="17"/>
      <c r="X35" s="18">
        <f t="shared" si="3"/>
        <v>0</v>
      </c>
      <c r="Y35" s="19"/>
      <c r="Z35" s="19"/>
      <c r="AA35" s="18">
        <f t="shared" si="4"/>
        <v>0</v>
      </c>
      <c r="AB35" s="20">
        <f t="shared" si="5"/>
        <v>0</v>
      </c>
      <c r="AC35" s="5"/>
      <c r="AD35" s="8"/>
      <c r="AF35" s="6"/>
      <c r="AG35" s="7"/>
      <c r="AJ35" s="33"/>
      <c r="AK35" s="35"/>
      <c r="AL35" s="38"/>
    </row>
    <row r="36" spans="1:38" ht="17.25" customHeight="1">
      <c r="A36" s="25"/>
      <c r="B36" s="26"/>
      <c r="C36" s="14"/>
      <c r="D36" s="31"/>
      <c r="E36" s="14"/>
      <c r="F36" s="15" t="str">
        <f t="shared" si="0"/>
        <v xml:space="preserve">S/F  </v>
      </c>
      <c r="G36" s="16"/>
      <c r="H36" s="17">
        <v>21</v>
      </c>
      <c r="I36" s="18">
        <f t="shared" si="1"/>
        <v>0</v>
      </c>
      <c r="J36" s="17"/>
      <c r="K36" s="18"/>
      <c r="L36" s="16"/>
      <c r="M36" s="17"/>
      <c r="N36" s="18">
        <f t="shared" si="2"/>
        <v>0</v>
      </c>
      <c r="O36" s="19"/>
      <c r="P36" s="18">
        <v>0</v>
      </c>
      <c r="Q36" s="16"/>
      <c r="R36" s="17"/>
      <c r="S36" s="18">
        <v>0</v>
      </c>
      <c r="T36" s="19"/>
      <c r="U36" s="18">
        <v>0</v>
      </c>
      <c r="V36" s="16"/>
      <c r="W36" s="17"/>
      <c r="X36" s="18">
        <f t="shared" si="3"/>
        <v>0</v>
      </c>
      <c r="Y36" s="19"/>
      <c r="Z36" s="19"/>
      <c r="AA36" s="18">
        <f t="shared" si="4"/>
        <v>0</v>
      </c>
      <c r="AB36" s="20">
        <f t="shared" si="5"/>
        <v>0</v>
      </c>
      <c r="AC36" s="5"/>
      <c r="AD36" s="8"/>
      <c r="AF36" s="6"/>
      <c r="AG36" s="7"/>
      <c r="AJ36" s="33"/>
      <c r="AK36" s="35"/>
      <c r="AL36" s="38"/>
    </row>
    <row r="37" spans="1:38" ht="17.25" customHeight="1">
      <c r="A37" s="25"/>
      <c r="B37" s="26"/>
      <c r="C37" s="14"/>
      <c r="D37" s="31"/>
      <c r="E37" s="14"/>
      <c r="F37" s="15" t="str">
        <f t="shared" si="0"/>
        <v xml:space="preserve">S/F  </v>
      </c>
      <c r="G37" s="16"/>
      <c r="H37" s="17">
        <v>21</v>
      </c>
      <c r="I37" s="18">
        <f t="shared" si="1"/>
        <v>0</v>
      </c>
      <c r="J37" s="17"/>
      <c r="K37" s="18"/>
      <c r="L37" s="16"/>
      <c r="M37" s="17"/>
      <c r="N37" s="18">
        <f t="shared" si="2"/>
        <v>0</v>
      </c>
      <c r="O37" s="19"/>
      <c r="P37" s="18">
        <v>0</v>
      </c>
      <c r="Q37" s="16"/>
      <c r="R37" s="17"/>
      <c r="S37" s="18">
        <v>0</v>
      </c>
      <c r="T37" s="19"/>
      <c r="U37" s="18">
        <v>0</v>
      </c>
      <c r="V37" s="16"/>
      <c r="W37" s="17"/>
      <c r="X37" s="18">
        <f t="shared" si="3"/>
        <v>0</v>
      </c>
      <c r="Y37" s="19"/>
      <c r="Z37" s="19"/>
      <c r="AA37" s="18">
        <f t="shared" si="4"/>
        <v>0</v>
      </c>
      <c r="AB37" s="20">
        <f t="shared" si="5"/>
        <v>0</v>
      </c>
      <c r="AC37" s="5"/>
      <c r="AD37" s="8"/>
      <c r="AF37" s="6"/>
      <c r="AG37" s="7"/>
      <c r="AJ37" s="33"/>
      <c r="AK37" s="35"/>
      <c r="AL37" s="38"/>
    </row>
    <row r="38" spans="1:38" ht="17.25" customHeight="1">
      <c r="A38" s="25"/>
      <c r="B38" s="26"/>
      <c r="C38" s="14"/>
      <c r="D38" s="31"/>
      <c r="E38" s="14"/>
      <c r="F38" s="15" t="str">
        <f t="shared" si="0"/>
        <v xml:space="preserve">S/F  </v>
      </c>
      <c r="G38" s="16"/>
      <c r="H38" s="17">
        <v>21</v>
      </c>
      <c r="I38" s="18">
        <f t="shared" si="1"/>
        <v>0</v>
      </c>
      <c r="J38" s="17"/>
      <c r="K38" s="18"/>
      <c r="L38" s="16"/>
      <c r="M38" s="17"/>
      <c r="N38" s="18">
        <f t="shared" si="2"/>
        <v>0</v>
      </c>
      <c r="O38" s="19"/>
      <c r="P38" s="18">
        <v>0</v>
      </c>
      <c r="Q38" s="16"/>
      <c r="R38" s="17"/>
      <c r="S38" s="18">
        <v>0</v>
      </c>
      <c r="T38" s="19"/>
      <c r="U38" s="18">
        <v>0</v>
      </c>
      <c r="V38" s="16"/>
      <c r="W38" s="17"/>
      <c r="X38" s="18">
        <f t="shared" si="3"/>
        <v>0</v>
      </c>
      <c r="Y38" s="19"/>
      <c r="Z38" s="19"/>
      <c r="AA38" s="18">
        <f t="shared" si="4"/>
        <v>0</v>
      </c>
      <c r="AB38" s="20">
        <f t="shared" si="5"/>
        <v>0</v>
      </c>
      <c r="AC38" s="5"/>
      <c r="AD38" s="8"/>
      <c r="AF38" s="6"/>
      <c r="AG38" s="7"/>
      <c r="AJ38" s="33"/>
      <c r="AK38" s="35"/>
      <c r="AL38" s="38"/>
    </row>
    <row r="39" spans="1:38" ht="17.25" customHeight="1">
      <c r="A39" s="25"/>
      <c r="B39" s="26"/>
      <c r="C39" s="14"/>
      <c r="D39" s="31"/>
      <c r="E39" s="14"/>
      <c r="F39" s="15" t="str">
        <f t="shared" si="0"/>
        <v xml:space="preserve">S/F  </v>
      </c>
      <c r="G39" s="16"/>
      <c r="H39" s="17">
        <v>21</v>
      </c>
      <c r="I39" s="18">
        <f t="shared" si="1"/>
        <v>0</v>
      </c>
      <c r="J39" s="17"/>
      <c r="K39" s="18"/>
      <c r="L39" s="16"/>
      <c r="M39" s="17"/>
      <c r="N39" s="18">
        <f t="shared" si="2"/>
        <v>0</v>
      </c>
      <c r="O39" s="19"/>
      <c r="P39" s="18">
        <v>0</v>
      </c>
      <c r="Q39" s="16"/>
      <c r="R39" s="17"/>
      <c r="S39" s="18">
        <v>0</v>
      </c>
      <c r="T39" s="19"/>
      <c r="U39" s="18">
        <v>0</v>
      </c>
      <c r="V39" s="16"/>
      <c r="W39" s="17"/>
      <c r="X39" s="18">
        <f t="shared" si="3"/>
        <v>0</v>
      </c>
      <c r="Y39" s="19"/>
      <c r="Z39" s="19"/>
      <c r="AA39" s="18">
        <f t="shared" si="4"/>
        <v>0</v>
      </c>
      <c r="AB39" s="20">
        <f t="shared" si="5"/>
        <v>0</v>
      </c>
      <c r="AC39" s="5"/>
      <c r="AD39" s="8"/>
      <c r="AF39" s="6"/>
      <c r="AG39" s="7"/>
      <c r="AJ39" s="33"/>
      <c r="AK39" s="35"/>
      <c r="AL39" s="38"/>
    </row>
    <row r="40" spans="1:38" ht="17.25" customHeight="1">
      <c r="A40" s="25"/>
      <c r="B40" s="26"/>
      <c r="C40" s="14"/>
      <c r="D40" s="31"/>
      <c r="E40" s="14"/>
      <c r="F40" s="15" t="str">
        <f t="shared" si="0"/>
        <v xml:space="preserve">S/F  </v>
      </c>
      <c r="G40" s="16"/>
      <c r="H40" s="17">
        <v>21</v>
      </c>
      <c r="I40" s="18">
        <f t="shared" si="1"/>
        <v>0</v>
      </c>
      <c r="J40" s="17"/>
      <c r="K40" s="18"/>
      <c r="L40" s="16"/>
      <c r="M40" s="17"/>
      <c r="N40" s="18">
        <f t="shared" si="2"/>
        <v>0</v>
      </c>
      <c r="O40" s="19"/>
      <c r="P40" s="18">
        <v>0</v>
      </c>
      <c r="Q40" s="16"/>
      <c r="R40" s="17"/>
      <c r="S40" s="18">
        <v>0</v>
      </c>
      <c r="T40" s="19"/>
      <c r="U40" s="18">
        <v>0</v>
      </c>
      <c r="V40" s="16"/>
      <c r="W40" s="17"/>
      <c r="X40" s="18">
        <f t="shared" si="3"/>
        <v>0</v>
      </c>
      <c r="Y40" s="19"/>
      <c r="Z40" s="19"/>
      <c r="AA40" s="18">
        <f t="shared" si="4"/>
        <v>0</v>
      </c>
      <c r="AB40" s="20">
        <f t="shared" si="5"/>
        <v>0</v>
      </c>
      <c r="AC40" s="5"/>
      <c r="AD40" s="8"/>
      <c r="AF40" s="6"/>
      <c r="AG40" s="7"/>
      <c r="AJ40" s="33"/>
      <c r="AK40" s="35"/>
      <c r="AL40" s="38"/>
    </row>
    <row r="41" spans="1:38" ht="17.25" customHeight="1">
      <c r="A41" s="25"/>
      <c r="B41" s="26"/>
      <c r="C41" s="14"/>
      <c r="D41" s="31"/>
      <c r="E41" s="14"/>
      <c r="F41" s="15" t="str">
        <f t="shared" si="0"/>
        <v xml:space="preserve">S/F  </v>
      </c>
      <c r="G41" s="16"/>
      <c r="H41" s="17">
        <v>21</v>
      </c>
      <c r="I41" s="18">
        <f t="shared" si="1"/>
        <v>0</v>
      </c>
      <c r="J41" s="17"/>
      <c r="K41" s="18"/>
      <c r="L41" s="16"/>
      <c r="M41" s="17"/>
      <c r="N41" s="18">
        <f t="shared" si="2"/>
        <v>0</v>
      </c>
      <c r="O41" s="19"/>
      <c r="P41" s="18">
        <v>0</v>
      </c>
      <c r="Q41" s="16"/>
      <c r="R41" s="17"/>
      <c r="S41" s="18">
        <v>0</v>
      </c>
      <c r="T41" s="19"/>
      <c r="U41" s="18">
        <v>0</v>
      </c>
      <c r="V41" s="16"/>
      <c r="W41" s="17"/>
      <c r="X41" s="18">
        <f t="shared" si="3"/>
        <v>0</v>
      </c>
      <c r="Y41" s="19"/>
      <c r="Z41" s="19"/>
      <c r="AA41" s="18">
        <f t="shared" si="4"/>
        <v>0</v>
      </c>
      <c r="AB41" s="20">
        <f t="shared" si="5"/>
        <v>0</v>
      </c>
      <c r="AC41" s="5"/>
      <c r="AD41" s="8"/>
      <c r="AF41" s="6"/>
      <c r="AG41" s="7"/>
      <c r="AJ41" s="33"/>
      <c r="AK41" s="35"/>
      <c r="AL41" s="38"/>
    </row>
    <row r="42" spans="1:38" ht="17.25" customHeight="1">
      <c r="A42" s="25"/>
      <c r="B42" s="26"/>
      <c r="C42" s="14"/>
      <c r="D42" s="31"/>
      <c r="E42" s="14"/>
      <c r="F42" s="15" t="str">
        <f t="shared" si="0"/>
        <v xml:space="preserve">S/F  </v>
      </c>
      <c r="G42" s="16"/>
      <c r="H42" s="17">
        <v>21</v>
      </c>
      <c r="I42" s="18">
        <f t="shared" si="1"/>
        <v>0</v>
      </c>
      <c r="J42" s="17"/>
      <c r="K42" s="18"/>
      <c r="L42" s="16"/>
      <c r="M42" s="17"/>
      <c r="N42" s="18">
        <f t="shared" si="2"/>
        <v>0</v>
      </c>
      <c r="O42" s="19"/>
      <c r="P42" s="18">
        <v>0</v>
      </c>
      <c r="Q42" s="16"/>
      <c r="R42" s="17"/>
      <c r="S42" s="18">
        <v>0</v>
      </c>
      <c r="T42" s="19"/>
      <c r="U42" s="18">
        <v>0</v>
      </c>
      <c r="V42" s="16"/>
      <c r="W42" s="17"/>
      <c r="X42" s="18">
        <f t="shared" si="3"/>
        <v>0</v>
      </c>
      <c r="Y42" s="19"/>
      <c r="Z42" s="19"/>
      <c r="AA42" s="18">
        <f t="shared" si="4"/>
        <v>0</v>
      </c>
      <c r="AB42" s="20">
        <f t="shared" si="5"/>
        <v>0</v>
      </c>
      <c r="AC42" s="5"/>
      <c r="AD42" s="8"/>
      <c r="AF42" s="6"/>
      <c r="AG42" s="7"/>
      <c r="AJ42" s="33"/>
      <c r="AK42" s="35"/>
      <c r="AL42" s="38"/>
    </row>
    <row r="43" spans="1:38" ht="17.25" customHeight="1">
      <c r="A43" s="25"/>
      <c r="B43" s="26"/>
      <c r="C43" s="14"/>
      <c r="D43" s="31"/>
      <c r="E43" s="14"/>
      <c r="F43" s="15" t="str">
        <f t="shared" si="0"/>
        <v xml:space="preserve">S/F  </v>
      </c>
      <c r="G43" s="16"/>
      <c r="H43" s="17">
        <v>21</v>
      </c>
      <c r="I43" s="18">
        <f t="shared" si="1"/>
        <v>0</v>
      </c>
      <c r="J43" s="17"/>
      <c r="K43" s="18"/>
      <c r="L43" s="16"/>
      <c r="M43" s="17"/>
      <c r="N43" s="18">
        <f t="shared" si="2"/>
        <v>0</v>
      </c>
      <c r="O43" s="19"/>
      <c r="P43" s="18">
        <v>0</v>
      </c>
      <c r="Q43" s="16"/>
      <c r="R43" s="17"/>
      <c r="S43" s="18">
        <v>0</v>
      </c>
      <c r="T43" s="19"/>
      <c r="U43" s="18">
        <v>0</v>
      </c>
      <c r="V43" s="16"/>
      <c r="W43" s="17"/>
      <c r="X43" s="18">
        <f t="shared" si="3"/>
        <v>0</v>
      </c>
      <c r="Y43" s="19"/>
      <c r="Z43" s="19"/>
      <c r="AA43" s="18">
        <f t="shared" si="4"/>
        <v>0</v>
      </c>
      <c r="AB43" s="20">
        <f t="shared" si="5"/>
        <v>0</v>
      </c>
      <c r="AC43" s="5"/>
      <c r="AD43" s="8"/>
      <c r="AF43" s="6"/>
      <c r="AG43" s="7"/>
      <c r="AJ43" s="33"/>
      <c r="AK43" s="35"/>
      <c r="AL43" s="38"/>
    </row>
    <row r="44" spans="1:38" ht="17.25" customHeight="1">
      <c r="A44" s="25"/>
      <c r="B44" s="26"/>
      <c r="C44" s="14"/>
      <c r="D44" s="31"/>
      <c r="E44" s="14"/>
      <c r="F44" s="15" t="str">
        <f t="shared" si="0"/>
        <v xml:space="preserve">S/F  </v>
      </c>
      <c r="G44" s="16"/>
      <c r="H44" s="17">
        <v>21</v>
      </c>
      <c r="I44" s="18">
        <f t="shared" si="1"/>
        <v>0</v>
      </c>
      <c r="J44" s="17"/>
      <c r="K44" s="18"/>
      <c r="L44" s="16"/>
      <c r="M44" s="17"/>
      <c r="N44" s="18">
        <f t="shared" si="2"/>
        <v>0</v>
      </c>
      <c r="O44" s="19"/>
      <c r="P44" s="18">
        <v>0</v>
      </c>
      <c r="Q44" s="16"/>
      <c r="R44" s="17"/>
      <c r="S44" s="18">
        <v>0</v>
      </c>
      <c r="T44" s="19"/>
      <c r="U44" s="18">
        <v>0</v>
      </c>
      <c r="V44" s="16"/>
      <c r="W44" s="17"/>
      <c r="X44" s="18">
        <f t="shared" si="3"/>
        <v>0</v>
      </c>
      <c r="Y44" s="19"/>
      <c r="Z44" s="19"/>
      <c r="AA44" s="18">
        <f t="shared" si="4"/>
        <v>0</v>
      </c>
      <c r="AB44" s="20">
        <f t="shared" si="5"/>
        <v>0</v>
      </c>
      <c r="AC44" s="5"/>
      <c r="AD44" s="8"/>
      <c r="AF44" s="6"/>
      <c r="AG44" s="7"/>
      <c r="AJ44" s="33"/>
      <c r="AK44" s="35"/>
      <c r="AL44" s="38"/>
    </row>
    <row r="45" spans="1:38" ht="17.25" customHeight="1">
      <c r="A45" s="25"/>
      <c r="B45" s="26"/>
      <c r="C45" s="14"/>
      <c r="D45" s="31"/>
      <c r="E45" s="14"/>
      <c r="F45" s="15" t="str">
        <f t="shared" si="0"/>
        <v xml:space="preserve">S/F  </v>
      </c>
      <c r="G45" s="16"/>
      <c r="H45" s="17">
        <v>21</v>
      </c>
      <c r="I45" s="18">
        <f t="shared" si="1"/>
        <v>0</v>
      </c>
      <c r="J45" s="17"/>
      <c r="K45" s="18"/>
      <c r="L45" s="16"/>
      <c r="M45" s="17"/>
      <c r="N45" s="18">
        <f t="shared" si="2"/>
        <v>0</v>
      </c>
      <c r="O45" s="19"/>
      <c r="P45" s="18">
        <v>0</v>
      </c>
      <c r="Q45" s="16"/>
      <c r="R45" s="17"/>
      <c r="S45" s="18">
        <v>0</v>
      </c>
      <c r="T45" s="19"/>
      <c r="U45" s="18">
        <v>0</v>
      </c>
      <c r="V45" s="16"/>
      <c r="W45" s="17"/>
      <c r="X45" s="18">
        <f t="shared" si="3"/>
        <v>0</v>
      </c>
      <c r="Y45" s="19"/>
      <c r="Z45" s="19"/>
      <c r="AA45" s="18">
        <f t="shared" si="4"/>
        <v>0</v>
      </c>
      <c r="AB45" s="20">
        <f t="shared" si="5"/>
        <v>0</v>
      </c>
      <c r="AC45" s="5"/>
      <c r="AD45" s="8"/>
      <c r="AF45" s="6"/>
      <c r="AG45" s="7"/>
      <c r="AJ45" s="33"/>
      <c r="AK45" s="35"/>
      <c r="AL45" s="38"/>
    </row>
    <row r="46" spans="1:38" ht="17.25" customHeight="1">
      <c r="A46" s="25"/>
      <c r="B46" s="26"/>
      <c r="C46" s="14"/>
      <c r="D46" s="31"/>
      <c r="E46" s="14"/>
      <c r="F46" s="15" t="str">
        <f t="shared" si="0"/>
        <v xml:space="preserve">S/F  </v>
      </c>
      <c r="G46" s="16"/>
      <c r="H46" s="17">
        <v>21</v>
      </c>
      <c r="I46" s="18">
        <f t="shared" si="1"/>
        <v>0</v>
      </c>
      <c r="J46" s="17"/>
      <c r="K46" s="18"/>
      <c r="L46" s="16"/>
      <c r="M46" s="17"/>
      <c r="N46" s="18">
        <f t="shared" si="2"/>
        <v>0</v>
      </c>
      <c r="O46" s="19"/>
      <c r="P46" s="18">
        <v>0</v>
      </c>
      <c r="Q46" s="16"/>
      <c r="R46" s="17"/>
      <c r="S46" s="18">
        <v>0</v>
      </c>
      <c r="T46" s="19"/>
      <c r="U46" s="18">
        <v>0</v>
      </c>
      <c r="V46" s="16"/>
      <c r="W46" s="17"/>
      <c r="X46" s="18">
        <f t="shared" si="3"/>
        <v>0</v>
      </c>
      <c r="Y46" s="19"/>
      <c r="Z46" s="19"/>
      <c r="AA46" s="18">
        <f t="shared" si="4"/>
        <v>0</v>
      </c>
      <c r="AB46" s="20">
        <f t="shared" si="5"/>
        <v>0</v>
      </c>
      <c r="AC46" s="5"/>
      <c r="AD46" s="8"/>
      <c r="AF46" s="6"/>
      <c r="AG46" s="7"/>
      <c r="AJ46" s="33"/>
      <c r="AK46" s="35"/>
      <c r="AL46" s="38"/>
    </row>
    <row r="47" spans="1:38" ht="17.25" customHeight="1">
      <c r="A47" s="25"/>
      <c r="B47" s="26"/>
      <c r="C47" s="14"/>
      <c r="D47" s="31"/>
      <c r="E47" s="14"/>
      <c r="F47" s="15" t="str">
        <f t="shared" si="0"/>
        <v xml:space="preserve">S/F  </v>
      </c>
      <c r="G47" s="16"/>
      <c r="H47" s="17">
        <v>21</v>
      </c>
      <c r="I47" s="18">
        <f t="shared" si="1"/>
        <v>0</v>
      </c>
      <c r="J47" s="17"/>
      <c r="K47" s="18"/>
      <c r="L47" s="16"/>
      <c r="M47" s="17"/>
      <c r="N47" s="18">
        <f t="shared" si="2"/>
        <v>0</v>
      </c>
      <c r="O47" s="19"/>
      <c r="P47" s="18">
        <v>0</v>
      </c>
      <c r="Q47" s="16"/>
      <c r="R47" s="17"/>
      <c r="S47" s="18">
        <v>0</v>
      </c>
      <c r="T47" s="19"/>
      <c r="U47" s="18">
        <v>0</v>
      </c>
      <c r="V47" s="16"/>
      <c r="W47" s="17"/>
      <c r="X47" s="18">
        <f t="shared" si="3"/>
        <v>0</v>
      </c>
      <c r="Y47" s="19"/>
      <c r="Z47" s="19"/>
      <c r="AA47" s="18">
        <f t="shared" si="4"/>
        <v>0</v>
      </c>
      <c r="AB47" s="20">
        <f t="shared" si="5"/>
        <v>0</v>
      </c>
      <c r="AC47" s="5"/>
      <c r="AD47" s="8"/>
      <c r="AF47" s="6"/>
      <c r="AG47" s="7"/>
      <c r="AJ47" s="33"/>
      <c r="AK47" s="35"/>
      <c r="AL47" s="38"/>
    </row>
    <row r="48" spans="1:38" ht="17.25" customHeight="1">
      <c r="A48" s="25"/>
      <c r="B48" s="26"/>
      <c r="C48" s="14"/>
      <c r="D48" s="31"/>
      <c r="E48" s="14"/>
      <c r="F48" s="15" t="str">
        <f t="shared" si="0"/>
        <v xml:space="preserve">S/F  </v>
      </c>
      <c r="G48" s="16"/>
      <c r="H48" s="17">
        <v>21</v>
      </c>
      <c r="I48" s="18">
        <f t="shared" si="1"/>
        <v>0</v>
      </c>
      <c r="J48" s="17"/>
      <c r="K48" s="18"/>
      <c r="L48" s="16"/>
      <c r="M48" s="17"/>
      <c r="N48" s="18">
        <f t="shared" si="2"/>
        <v>0</v>
      </c>
      <c r="O48" s="19"/>
      <c r="P48" s="18">
        <v>0</v>
      </c>
      <c r="Q48" s="16"/>
      <c r="R48" s="17"/>
      <c r="S48" s="18">
        <v>0</v>
      </c>
      <c r="T48" s="19"/>
      <c r="U48" s="18">
        <v>0</v>
      </c>
      <c r="V48" s="16"/>
      <c r="W48" s="17"/>
      <c r="X48" s="18">
        <f t="shared" si="3"/>
        <v>0</v>
      </c>
      <c r="Y48" s="19"/>
      <c r="Z48" s="19"/>
      <c r="AA48" s="18">
        <f t="shared" si="4"/>
        <v>0</v>
      </c>
      <c r="AB48" s="20">
        <f t="shared" si="5"/>
        <v>0</v>
      </c>
      <c r="AC48" s="5"/>
      <c r="AD48" s="8"/>
      <c r="AF48" s="6"/>
      <c r="AG48" s="7"/>
      <c r="AJ48" s="33"/>
      <c r="AK48" s="35"/>
      <c r="AL48" s="38"/>
    </row>
    <row r="49" spans="1:38" ht="17.25" customHeight="1">
      <c r="A49" s="25"/>
      <c r="B49" s="26"/>
      <c r="C49" s="14"/>
      <c r="D49" s="31"/>
      <c r="E49" s="14"/>
      <c r="F49" s="15" t="str">
        <f t="shared" si="0"/>
        <v xml:space="preserve">S/F  </v>
      </c>
      <c r="G49" s="16"/>
      <c r="H49" s="17">
        <v>21</v>
      </c>
      <c r="I49" s="18">
        <f t="shared" si="1"/>
        <v>0</v>
      </c>
      <c r="J49" s="17"/>
      <c r="K49" s="18"/>
      <c r="L49" s="16"/>
      <c r="M49" s="17"/>
      <c r="N49" s="18">
        <f t="shared" si="2"/>
        <v>0</v>
      </c>
      <c r="O49" s="19"/>
      <c r="P49" s="18">
        <v>0</v>
      </c>
      <c r="Q49" s="16"/>
      <c r="R49" s="17"/>
      <c r="S49" s="18">
        <v>0</v>
      </c>
      <c r="T49" s="19"/>
      <c r="U49" s="18">
        <v>0</v>
      </c>
      <c r="V49" s="16"/>
      <c r="W49" s="17"/>
      <c r="X49" s="18">
        <f t="shared" si="3"/>
        <v>0</v>
      </c>
      <c r="Y49" s="19"/>
      <c r="Z49" s="19"/>
      <c r="AA49" s="18">
        <f t="shared" si="4"/>
        <v>0</v>
      </c>
      <c r="AB49" s="20">
        <f t="shared" si="5"/>
        <v>0</v>
      </c>
      <c r="AC49" s="5"/>
      <c r="AD49" s="8"/>
      <c r="AF49" s="6"/>
      <c r="AG49" s="7"/>
      <c r="AJ49" s="33"/>
      <c r="AK49" s="35"/>
      <c r="AL49" s="38"/>
    </row>
    <row r="50" spans="1:38" ht="17.25" customHeight="1">
      <c r="A50" s="25"/>
      <c r="B50" s="26"/>
      <c r="C50" s="14"/>
      <c r="D50" s="31"/>
      <c r="E50" s="14"/>
      <c r="F50" s="15" t="str">
        <f t="shared" si="0"/>
        <v xml:space="preserve">S/F  </v>
      </c>
      <c r="G50" s="16"/>
      <c r="H50" s="17">
        <v>21</v>
      </c>
      <c r="I50" s="18">
        <f t="shared" si="1"/>
        <v>0</v>
      </c>
      <c r="J50" s="17"/>
      <c r="K50" s="18"/>
      <c r="L50" s="16"/>
      <c r="M50" s="17"/>
      <c r="N50" s="18">
        <f t="shared" si="2"/>
        <v>0</v>
      </c>
      <c r="O50" s="19"/>
      <c r="P50" s="18">
        <v>0</v>
      </c>
      <c r="Q50" s="16"/>
      <c r="R50" s="17"/>
      <c r="S50" s="18">
        <v>0</v>
      </c>
      <c r="T50" s="19"/>
      <c r="U50" s="18">
        <v>0</v>
      </c>
      <c r="V50" s="16"/>
      <c r="W50" s="17"/>
      <c r="X50" s="18">
        <f t="shared" si="3"/>
        <v>0</v>
      </c>
      <c r="Y50" s="19"/>
      <c r="Z50" s="19"/>
      <c r="AA50" s="18">
        <f t="shared" si="4"/>
        <v>0</v>
      </c>
      <c r="AB50" s="20">
        <f t="shared" si="5"/>
        <v>0</v>
      </c>
      <c r="AC50" s="5"/>
      <c r="AD50" s="8"/>
      <c r="AF50" s="6"/>
      <c r="AG50" s="7"/>
      <c r="AJ50" s="33"/>
      <c r="AK50" s="35"/>
      <c r="AL50" s="38"/>
    </row>
    <row r="51" spans="1:38" ht="17.25" customHeight="1">
      <c r="A51" s="25"/>
      <c r="B51" s="26"/>
      <c r="C51" s="14"/>
      <c r="D51" s="31"/>
      <c r="E51" s="14"/>
      <c r="F51" s="15" t="str">
        <f t="shared" si="0"/>
        <v xml:space="preserve">S/F  </v>
      </c>
      <c r="G51" s="16"/>
      <c r="H51" s="17">
        <v>21</v>
      </c>
      <c r="I51" s="18">
        <f t="shared" si="1"/>
        <v>0</v>
      </c>
      <c r="J51" s="17"/>
      <c r="K51" s="18"/>
      <c r="L51" s="16"/>
      <c r="M51" s="17"/>
      <c r="N51" s="18">
        <f t="shared" si="2"/>
        <v>0</v>
      </c>
      <c r="O51" s="19"/>
      <c r="P51" s="18">
        <v>0</v>
      </c>
      <c r="Q51" s="16"/>
      <c r="R51" s="17"/>
      <c r="S51" s="18">
        <v>0</v>
      </c>
      <c r="T51" s="19"/>
      <c r="U51" s="18">
        <v>0</v>
      </c>
      <c r="V51" s="16"/>
      <c r="W51" s="17"/>
      <c r="X51" s="18">
        <f t="shared" si="3"/>
        <v>0</v>
      </c>
      <c r="Y51" s="19"/>
      <c r="Z51" s="19"/>
      <c r="AA51" s="18">
        <f t="shared" si="4"/>
        <v>0</v>
      </c>
      <c r="AB51" s="20">
        <f t="shared" si="5"/>
        <v>0</v>
      </c>
      <c r="AC51" s="5"/>
      <c r="AD51" s="8"/>
      <c r="AF51" s="6"/>
      <c r="AG51" s="7"/>
      <c r="AJ51" s="33"/>
      <c r="AK51" s="35"/>
      <c r="AL51" s="38"/>
    </row>
    <row r="52" spans="1:38" ht="17.25" customHeight="1">
      <c r="A52" s="25"/>
      <c r="B52" s="26"/>
      <c r="C52" s="14"/>
      <c r="D52" s="31"/>
      <c r="E52" s="14"/>
      <c r="F52" s="15" t="str">
        <f t="shared" si="0"/>
        <v xml:space="preserve">S/F  </v>
      </c>
      <c r="G52" s="16"/>
      <c r="H52" s="17">
        <v>21</v>
      </c>
      <c r="I52" s="18">
        <f t="shared" si="1"/>
        <v>0</v>
      </c>
      <c r="J52" s="17"/>
      <c r="K52" s="18"/>
      <c r="L52" s="16"/>
      <c r="M52" s="17"/>
      <c r="N52" s="18">
        <f t="shared" si="2"/>
        <v>0</v>
      </c>
      <c r="O52" s="19"/>
      <c r="P52" s="18">
        <v>0</v>
      </c>
      <c r="Q52" s="16"/>
      <c r="R52" s="17"/>
      <c r="S52" s="18">
        <v>0</v>
      </c>
      <c r="T52" s="19"/>
      <c r="U52" s="18">
        <v>0</v>
      </c>
      <c r="V52" s="16"/>
      <c r="W52" s="17"/>
      <c r="X52" s="18">
        <f t="shared" si="3"/>
        <v>0</v>
      </c>
      <c r="Y52" s="19"/>
      <c r="Z52" s="19"/>
      <c r="AA52" s="18">
        <f t="shared" si="4"/>
        <v>0</v>
      </c>
      <c r="AB52" s="20">
        <f t="shared" si="5"/>
        <v>0</v>
      </c>
      <c r="AC52" s="5"/>
      <c r="AD52" s="8"/>
      <c r="AF52" s="6"/>
      <c r="AG52" s="7"/>
      <c r="AJ52" s="33"/>
      <c r="AK52" s="35"/>
      <c r="AL52" s="38"/>
    </row>
    <row r="53" spans="1:38" ht="17.25" customHeight="1">
      <c r="A53" s="25"/>
      <c r="B53" s="26"/>
      <c r="C53" s="14"/>
      <c r="D53" s="31"/>
      <c r="E53" s="14"/>
      <c r="F53" s="15" t="str">
        <f t="shared" si="0"/>
        <v xml:space="preserve">S/F  </v>
      </c>
      <c r="G53" s="16"/>
      <c r="H53" s="17">
        <v>21</v>
      </c>
      <c r="I53" s="18">
        <f t="shared" si="1"/>
        <v>0</v>
      </c>
      <c r="J53" s="17"/>
      <c r="K53" s="18"/>
      <c r="L53" s="16"/>
      <c r="M53" s="17"/>
      <c r="N53" s="18">
        <f t="shared" si="2"/>
        <v>0</v>
      </c>
      <c r="O53" s="19"/>
      <c r="P53" s="18">
        <v>0</v>
      </c>
      <c r="Q53" s="16"/>
      <c r="R53" s="17"/>
      <c r="S53" s="18">
        <v>0</v>
      </c>
      <c r="T53" s="19"/>
      <c r="U53" s="18">
        <v>0</v>
      </c>
      <c r="V53" s="16"/>
      <c r="W53" s="17"/>
      <c r="X53" s="18">
        <f t="shared" si="3"/>
        <v>0</v>
      </c>
      <c r="Y53" s="19"/>
      <c r="Z53" s="19"/>
      <c r="AA53" s="18">
        <f t="shared" si="4"/>
        <v>0</v>
      </c>
      <c r="AB53" s="20">
        <f t="shared" si="5"/>
        <v>0</v>
      </c>
      <c r="AC53" s="5"/>
      <c r="AD53" s="8"/>
      <c r="AF53" s="6"/>
      <c r="AG53" s="7"/>
      <c r="AJ53" s="33"/>
      <c r="AK53" s="35"/>
      <c r="AL53" s="38"/>
    </row>
    <row r="54" spans="1:38" ht="17.25" customHeight="1">
      <c r="A54" s="25"/>
      <c r="B54" s="26"/>
      <c r="C54" s="14"/>
      <c r="D54" s="31"/>
      <c r="E54" s="14"/>
      <c r="F54" s="15" t="str">
        <f t="shared" si="0"/>
        <v xml:space="preserve">S/F  </v>
      </c>
      <c r="G54" s="16"/>
      <c r="H54" s="17">
        <v>21</v>
      </c>
      <c r="I54" s="18">
        <f t="shared" si="1"/>
        <v>0</v>
      </c>
      <c r="J54" s="17"/>
      <c r="K54" s="18"/>
      <c r="L54" s="16"/>
      <c r="M54" s="17"/>
      <c r="N54" s="18">
        <f t="shared" si="2"/>
        <v>0</v>
      </c>
      <c r="O54" s="19"/>
      <c r="P54" s="18">
        <v>0</v>
      </c>
      <c r="Q54" s="16"/>
      <c r="R54" s="17"/>
      <c r="S54" s="18">
        <v>0</v>
      </c>
      <c r="T54" s="19"/>
      <c r="U54" s="18">
        <v>0</v>
      </c>
      <c r="V54" s="16"/>
      <c r="W54" s="17"/>
      <c r="X54" s="18">
        <f t="shared" si="3"/>
        <v>0</v>
      </c>
      <c r="Y54" s="19"/>
      <c r="Z54" s="19"/>
      <c r="AA54" s="18">
        <f t="shared" si="4"/>
        <v>0</v>
      </c>
      <c r="AB54" s="20">
        <f t="shared" si="5"/>
        <v>0</v>
      </c>
      <c r="AC54" s="5"/>
      <c r="AD54" s="8"/>
      <c r="AF54" s="6"/>
      <c r="AG54" s="7"/>
      <c r="AJ54" s="33"/>
      <c r="AK54" s="35"/>
      <c r="AL54" s="38"/>
    </row>
    <row r="55" spans="1:38" ht="17.25" customHeight="1">
      <c r="A55" s="25"/>
      <c r="B55" s="26"/>
      <c r="C55" s="14"/>
      <c r="D55" s="31"/>
      <c r="E55" s="14"/>
      <c r="F55" s="15" t="str">
        <f t="shared" si="0"/>
        <v xml:space="preserve">S/F  </v>
      </c>
      <c r="G55" s="16"/>
      <c r="H55" s="17">
        <v>21</v>
      </c>
      <c r="I55" s="18">
        <f t="shared" si="1"/>
        <v>0</v>
      </c>
      <c r="J55" s="17"/>
      <c r="K55" s="18"/>
      <c r="L55" s="16"/>
      <c r="M55" s="17"/>
      <c r="N55" s="18">
        <f t="shared" si="2"/>
        <v>0</v>
      </c>
      <c r="O55" s="19"/>
      <c r="P55" s="18">
        <v>0</v>
      </c>
      <c r="Q55" s="16"/>
      <c r="R55" s="17"/>
      <c r="S55" s="18">
        <v>0</v>
      </c>
      <c r="T55" s="19"/>
      <c r="U55" s="18">
        <v>0</v>
      </c>
      <c r="V55" s="16"/>
      <c r="W55" s="17"/>
      <c r="X55" s="18">
        <f t="shared" si="3"/>
        <v>0</v>
      </c>
      <c r="Y55" s="19"/>
      <c r="Z55" s="19"/>
      <c r="AA55" s="18">
        <f t="shared" si="4"/>
        <v>0</v>
      </c>
      <c r="AB55" s="20">
        <f t="shared" si="5"/>
        <v>0</v>
      </c>
      <c r="AC55" s="5"/>
      <c r="AD55" s="8"/>
      <c r="AF55" s="6"/>
      <c r="AG55" s="7"/>
      <c r="AJ55" s="33"/>
      <c r="AK55" s="35"/>
      <c r="AL55" s="38"/>
    </row>
    <row r="56" spans="1:38" ht="17.25" customHeight="1">
      <c r="A56" s="25"/>
      <c r="B56" s="26"/>
      <c r="C56" s="14"/>
      <c r="D56" s="31"/>
      <c r="E56" s="14"/>
      <c r="F56" s="15" t="str">
        <f t="shared" si="0"/>
        <v xml:space="preserve">S/F  </v>
      </c>
      <c r="G56" s="16"/>
      <c r="H56" s="17">
        <v>21</v>
      </c>
      <c r="I56" s="18">
        <f t="shared" si="1"/>
        <v>0</v>
      </c>
      <c r="J56" s="17"/>
      <c r="K56" s="18"/>
      <c r="L56" s="16"/>
      <c r="M56" s="17"/>
      <c r="N56" s="18">
        <f t="shared" si="2"/>
        <v>0</v>
      </c>
      <c r="O56" s="19"/>
      <c r="P56" s="18">
        <v>0</v>
      </c>
      <c r="Q56" s="16"/>
      <c r="R56" s="17"/>
      <c r="S56" s="18">
        <v>0</v>
      </c>
      <c r="T56" s="19"/>
      <c r="U56" s="18">
        <v>0</v>
      </c>
      <c r="V56" s="16"/>
      <c r="W56" s="17"/>
      <c r="X56" s="18">
        <f t="shared" si="3"/>
        <v>0</v>
      </c>
      <c r="Y56" s="19"/>
      <c r="Z56" s="19"/>
      <c r="AA56" s="18">
        <f t="shared" si="4"/>
        <v>0</v>
      </c>
      <c r="AB56" s="20">
        <f t="shared" si="5"/>
        <v>0</v>
      </c>
      <c r="AC56" s="5"/>
      <c r="AD56" s="8"/>
      <c r="AF56" s="6"/>
      <c r="AG56" s="7"/>
      <c r="AJ56" s="33"/>
      <c r="AK56" s="35"/>
      <c r="AL56" s="38"/>
    </row>
    <row r="57" spans="1:38" ht="17.25" customHeight="1">
      <c r="A57" s="25"/>
      <c r="B57" s="26"/>
      <c r="C57" s="14"/>
      <c r="D57" s="31"/>
      <c r="E57" s="14"/>
      <c r="F57" s="15" t="str">
        <f t="shared" si="0"/>
        <v xml:space="preserve">S/F  </v>
      </c>
      <c r="G57" s="16"/>
      <c r="H57" s="17">
        <v>21</v>
      </c>
      <c r="I57" s="18">
        <f t="shared" si="1"/>
        <v>0</v>
      </c>
      <c r="J57" s="17"/>
      <c r="K57" s="18"/>
      <c r="L57" s="16"/>
      <c r="M57" s="17"/>
      <c r="N57" s="18">
        <f t="shared" si="2"/>
        <v>0</v>
      </c>
      <c r="O57" s="19"/>
      <c r="P57" s="18">
        <v>0</v>
      </c>
      <c r="Q57" s="16"/>
      <c r="R57" s="17"/>
      <c r="S57" s="18">
        <v>0</v>
      </c>
      <c r="T57" s="19"/>
      <c r="U57" s="18">
        <v>0</v>
      </c>
      <c r="V57" s="16"/>
      <c r="W57" s="17"/>
      <c r="X57" s="18">
        <f t="shared" si="3"/>
        <v>0</v>
      </c>
      <c r="Y57" s="19"/>
      <c r="Z57" s="19"/>
      <c r="AA57" s="18">
        <f t="shared" si="4"/>
        <v>0</v>
      </c>
      <c r="AB57" s="20">
        <f t="shared" si="5"/>
        <v>0</v>
      </c>
      <c r="AC57" s="5"/>
      <c r="AD57" s="8"/>
      <c r="AF57" s="6"/>
      <c r="AG57" s="7"/>
      <c r="AJ57" s="33"/>
      <c r="AK57" s="35"/>
      <c r="AL57" s="38"/>
    </row>
    <row r="58" spans="1:38" ht="17.25" customHeight="1">
      <c r="A58" s="25"/>
      <c r="B58" s="26"/>
      <c r="C58" s="14"/>
      <c r="D58" s="31"/>
      <c r="E58" s="14"/>
      <c r="F58" s="15" t="str">
        <f t="shared" si="0"/>
        <v xml:space="preserve">S/F  </v>
      </c>
      <c r="G58" s="16"/>
      <c r="H58" s="17">
        <v>21</v>
      </c>
      <c r="I58" s="18">
        <f t="shared" si="1"/>
        <v>0</v>
      </c>
      <c r="J58" s="17"/>
      <c r="K58" s="18"/>
      <c r="L58" s="16"/>
      <c r="M58" s="17"/>
      <c r="N58" s="18">
        <f t="shared" si="2"/>
        <v>0</v>
      </c>
      <c r="O58" s="19"/>
      <c r="P58" s="18">
        <v>0</v>
      </c>
      <c r="Q58" s="16"/>
      <c r="R58" s="17"/>
      <c r="S58" s="18">
        <v>0</v>
      </c>
      <c r="T58" s="19"/>
      <c r="U58" s="18">
        <v>0</v>
      </c>
      <c r="V58" s="16"/>
      <c r="W58" s="17"/>
      <c r="X58" s="18">
        <f t="shared" si="3"/>
        <v>0</v>
      </c>
      <c r="Y58" s="19"/>
      <c r="Z58" s="19"/>
      <c r="AA58" s="18">
        <f t="shared" si="4"/>
        <v>0</v>
      </c>
      <c r="AB58" s="20">
        <f t="shared" si="5"/>
        <v>0</v>
      </c>
      <c r="AC58" s="5"/>
      <c r="AD58" s="8"/>
      <c r="AF58" s="6"/>
      <c r="AG58" s="7"/>
      <c r="AJ58" s="33"/>
      <c r="AK58" s="35"/>
      <c r="AL58" s="38"/>
    </row>
    <row r="59" spans="1:38" ht="17.25" customHeight="1">
      <c r="A59" s="25"/>
      <c r="B59" s="26"/>
      <c r="C59" s="14"/>
      <c r="D59" s="31"/>
      <c r="E59" s="14"/>
      <c r="F59" s="15" t="str">
        <f t="shared" si="0"/>
        <v xml:space="preserve">S/F  </v>
      </c>
      <c r="G59" s="16"/>
      <c r="H59" s="17">
        <v>21</v>
      </c>
      <c r="I59" s="18">
        <f t="shared" si="1"/>
        <v>0</v>
      </c>
      <c r="J59" s="17"/>
      <c r="K59" s="18"/>
      <c r="L59" s="16"/>
      <c r="M59" s="17"/>
      <c r="N59" s="18">
        <f t="shared" si="2"/>
        <v>0</v>
      </c>
      <c r="O59" s="19"/>
      <c r="P59" s="18">
        <v>0</v>
      </c>
      <c r="Q59" s="16"/>
      <c r="R59" s="17"/>
      <c r="S59" s="18">
        <v>0</v>
      </c>
      <c r="T59" s="19"/>
      <c r="U59" s="18">
        <v>0</v>
      </c>
      <c r="V59" s="16"/>
      <c r="W59" s="17"/>
      <c r="X59" s="18">
        <f t="shared" si="3"/>
        <v>0</v>
      </c>
      <c r="Y59" s="19"/>
      <c r="Z59" s="19"/>
      <c r="AA59" s="18">
        <f t="shared" si="4"/>
        <v>0</v>
      </c>
      <c r="AB59" s="20">
        <f t="shared" si="5"/>
        <v>0</v>
      </c>
      <c r="AC59" s="5"/>
      <c r="AD59" s="8"/>
      <c r="AF59" s="6"/>
      <c r="AG59" s="7"/>
      <c r="AJ59" s="33"/>
      <c r="AK59" s="35"/>
      <c r="AL59" s="38"/>
    </row>
    <row r="60" spans="1:38" ht="17.25" customHeight="1">
      <c r="A60" s="25"/>
      <c r="B60" s="26"/>
      <c r="C60" s="14"/>
      <c r="D60" s="31"/>
      <c r="E60" s="14"/>
      <c r="F60" s="15" t="str">
        <f t="shared" si="0"/>
        <v xml:space="preserve">S/F  </v>
      </c>
      <c r="G60" s="16"/>
      <c r="H60" s="17">
        <v>21</v>
      </c>
      <c r="I60" s="18">
        <f t="shared" si="1"/>
        <v>0</v>
      </c>
      <c r="J60" s="17"/>
      <c r="K60" s="18"/>
      <c r="L60" s="16"/>
      <c r="M60" s="17"/>
      <c r="N60" s="18">
        <f t="shared" si="2"/>
        <v>0</v>
      </c>
      <c r="O60" s="19"/>
      <c r="P60" s="18">
        <v>0</v>
      </c>
      <c r="Q60" s="16"/>
      <c r="R60" s="17"/>
      <c r="S60" s="18">
        <v>0</v>
      </c>
      <c r="T60" s="19"/>
      <c r="U60" s="18">
        <v>0</v>
      </c>
      <c r="V60" s="16"/>
      <c r="W60" s="17"/>
      <c r="X60" s="18">
        <f t="shared" si="3"/>
        <v>0</v>
      </c>
      <c r="Y60" s="19"/>
      <c r="Z60" s="19"/>
      <c r="AA60" s="18">
        <f t="shared" si="4"/>
        <v>0</v>
      </c>
      <c r="AB60" s="20">
        <f t="shared" si="5"/>
        <v>0</v>
      </c>
      <c r="AC60" s="5"/>
      <c r="AD60" s="8"/>
      <c r="AF60" s="6"/>
      <c r="AG60" s="7"/>
      <c r="AJ60" s="33"/>
      <c r="AK60" s="35"/>
      <c r="AL60" s="38"/>
    </row>
    <row r="61" spans="1:38" ht="17.25" customHeight="1">
      <c r="A61" s="25"/>
      <c r="B61" s="26"/>
      <c r="C61" s="14"/>
      <c r="D61" s="31"/>
      <c r="E61" s="14"/>
      <c r="F61" s="15" t="str">
        <f t="shared" si="0"/>
        <v xml:space="preserve">S/F  </v>
      </c>
      <c r="G61" s="16"/>
      <c r="H61" s="17">
        <v>21</v>
      </c>
      <c r="I61" s="18">
        <f t="shared" si="1"/>
        <v>0</v>
      </c>
      <c r="J61" s="17"/>
      <c r="K61" s="18"/>
      <c r="L61" s="16"/>
      <c r="M61" s="17"/>
      <c r="N61" s="18">
        <f t="shared" si="2"/>
        <v>0</v>
      </c>
      <c r="O61" s="19"/>
      <c r="P61" s="18">
        <v>0</v>
      </c>
      <c r="Q61" s="16"/>
      <c r="R61" s="17"/>
      <c r="S61" s="18">
        <v>0</v>
      </c>
      <c r="T61" s="19"/>
      <c r="U61" s="18">
        <v>0</v>
      </c>
      <c r="V61" s="16"/>
      <c r="W61" s="17"/>
      <c r="X61" s="18">
        <f t="shared" si="3"/>
        <v>0</v>
      </c>
      <c r="Y61" s="19"/>
      <c r="Z61" s="19"/>
      <c r="AA61" s="18">
        <f t="shared" si="4"/>
        <v>0</v>
      </c>
      <c r="AB61" s="20">
        <f t="shared" si="5"/>
        <v>0</v>
      </c>
      <c r="AC61" s="5"/>
      <c r="AD61" s="8"/>
      <c r="AF61" s="6"/>
      <c r="AG61" s="7"/>
      <c r="AJ61" s="33"/>
      <c r="AK61" s="35"/>
      <c r="AL61" s="38"/>
    </row>
    <row r="62" spans="1:38" ht="17.25" customHeight="1">
      <c r="A62" s="25"/>
      <c r="B62" s="26"/>
      <c r="C62" s="14"/>
      <c r="D62" s="31"/>
      <c r="E62" s="14"/>
      <c r="F62" s="15" t="str">
        <f t="shared" si="0"/>
        <v xml:space="preserve">S/F  </v>
      </c>
      <c r="G62" s="16"/>
      <c r="H62" s="17">
        <v>21</v>
      </c>
      <c r="I62" s="18">
        <f t="shared" si="1"/>
        <v>0</v>
      </c>
      <c r="J62" s="17"/>
      <c r="K62" s="18"/>
      <c r="L62" s="16"/>
      <c r="M62" s="17"/>
      <c r="N62" s="18">
        <f t="shared" si="2"/>
        <v>0</v>
      </c>
      <c r="O62" s="19"/>
      <c r="P62" s="18">
        <v>0</v>
      </c>
      <c r="Q62" s="16"/>
      <c r="R62" s="17"/>
      <c r="S62" s="18">
        <v>0</v>
      </c>
      <c r="T62" s="19"/>
      <c r="U62" s="18">
        <v>0</v>
      </c>
      <c r="V62" s="16"/>
      <c r="W62" s="17"/>
      <c r="X62" s="18">
        <f t="shared" si="3"/>
        <v>0</v>
      </c>
      <c r="Y62" s="19"/>
      <c r="Z62" s="19"/>
      <c r="AA62" s="18">
        <f t="shared" si="4"/>
        <v>0</v>
      </c>
      <c r="AB62" s="20">
        <f t="shared" si="5"/>
        <v>0</v>
      </c>
      <c r="AC62" s="5"/>
      <c r="AD62" s="8"/>
      <c r="AF62" s="6"/>
      <c r="AG62" s="7"/>
      <c r="AJ62" s="33"/>
      <c r="AK62" s="35"/>
      <c r="AL62" s="38"/>
    </row>
    <row r="63" spans="1:38" ht="17.25" customHeight="1">
      <c r="A63" s="25"/>
      <c r="B63" s="26"/>
      <c r="C63" s="14"/>
      <c r="D63" s="31"/>
      <c r="E63" s="14"/>
      <c r="F63" s="15" t="str">
        <f t="shared" si="0"/>
        <v xml:space="preserve">S/F  </v>
      </c>
      <c r="G63" s="16"/>
      <c r="H63" s="17">
        <v>21</v>
      </c>
      <c r="I63" s="18">
        <f t="shared" si="1"/>
        <v>0</v>
      </c>
      <c r="J63" s="17"/>
      <c r="K63" s="18"/>
      <c r="L63" s="16"/>
      <c r="M63" s="17"/>
      <c r="N63" s="18">
        <f t="shared" si="2"/>
        <v>0</v>
      </c>
      <c r="O63" s="19"/>
      <c r="P63" s="18">
        <v>0</v>
      </c>
      <c r="Q63" s="16"/>
      <c r="R63" s="17"/>
      <c r="S63" s="18">
        <v>0</v>
      </c>
      <c r="T63" s="19"/>
      <c r="U63" s="18">
        <v>0</v>
      </c>
      <c r="V63" s="16"/>
      <c r="W63" s="17"/>
      <c r="X63" s="18">
        <f t="shared" si="3"/>
        <v>0</v>
      </c>
      <c r="Y63" s="19"/>
      <c r="Z63" s="19"/>
      <c r="AA63" s="18">
        <f t="shared" si="4"/>
        <v>0</v>
      </c>
      <c r="AB63" s="20">
        <f t="shared" si="5"/>
        <v>0</v>
      </c>
      <c r="AC63" s="5"/>
      <c r="AD63" s="8"/>
      <c r="AF63" s="6"/>
      <c r="AG63" s="7"/>
      <c r="AJ63" s="33"/>
      <c r="AK63" s="35"/>
      <c r="AL63" s="38"/>
    </row>
    <row r="64" spans="1:38" ht="17.25" customHeight="1">
      <c r="A64" s="25"/>
      <c r="B64" s="26"/>
      <c r="C64" s="14"/>
      <c r="D64" s="31"/>
      <c r="E64" s="14"/>
      <c r="F64" s="15" t="str">
        <f t="shared" si="0"/>
        <v xml:space="preserve">S/F  </v>
      </c>
      <c r="G64" s="16"/>
      <c r="H64" s="17">
        <v>21</v>
      </c>
      <c r="I64" s="18">
        <f t="shared" si="1"/>
        <v>0</v>
      </c>
      <c r="J64" s="17"/>
      <c r="K64" s="18"/>
      <c r="L64" s="16"/>
      <c r="M64" s="17"/>
      <c r="N64" s="18">
        <f t="shared" si="2"/>
        <v>0</v>
      </c>
      <c r="O64" s="19"/>
      <c r="P64" s="18">
        <v>0</v>
      </c>
      <c r="Q64" s="16"/>
      <c r="R64" s="17"/>
      <c r="S64" s="18">
        <v>0</v>
      </c>
      <c r="T64" s="19"/>
      <c r="U64" s="18">
        <v>0</v>
      </c>
      <c r="V64" s="16"/>
      <c r="W64" s="17"/>
      <c r="X64" s="18">
        <f t="shared" si="3"/>
        <v>0</v>
      </c>
      <c r="Y64" s="19"/>
      <c r="Z64" s="19"/>
      <c r="AA64" s="18">
        <f t="shared" si="4"/>
        <v>0</v>
      </c>
      <c r="AB64" s="20">
        <f t="shared" si="5"/>
        <v>0</v>
      </c>
      <c r="AC64" s="5"/>
      <c r="AD64" s="8"/>
      <c r="AF64" s="6"/>
      <c r="AG64" s="7"/>
      <c r="AJ64" s="33"/>
      <c r="AK64" s="35"/>
      <c r="AL64" s="38"/>
    </row>
    <row r="65" spans="1:38" ht="17.25" customHeight="1">
      <c r="A65" s="25"/>
      <c r="B65" s="26"/>
      <c r="C65" s="14"/>
      <c r="D65" s="31"/>
      <c r="E65" s="14"/>
      <c r="F65" s="15" t="str">
        <f t="shared" si="0"/>
        <v xml:space="preserve">S/F  </v>
      </c>
      <c r="G65" s="16"/>
      <c r="H65" s="17">
        <v>21</v>
      </c>
      <c r="I65" s="18">
        <f t="shared" si="1"/>
        <v>0</v>
      </c>
      <c r="J65" s="17"/>
      <c r="K65" s="18"/>
      <c r="L65" s="16"/>
      <c r="M65" s="17"/>
      <c r="N65" s="18">
        <f t="shared" si="2"/>
        <v>0</v>
      </c>
      <c r="O65" s="19"/>
      <c r="P65" s="18">
        <v>0</v>
      </c>
      <c r="Q65" s="16"/>
      <c r="R65" s="17"/>
      <c r="S65" s="18">
        <v>0</v>
      </c>
      <c r="T65" s="19"/>
      <c r="U65" s="18">
        <v>0</v>
      </c>
      <c r="V65" s="16"/>
      <c r="W65" s="17"/>
      <c r="X65" s="18">
        <f t="shared" si="3"/>
        <v>0</v>
      </c>
      <c r="Y65" s="19"/>
      <c r="Z65" s="19"/>
      <c r="AA65" s="18">
        <f t="shared" si="4"/>
        <v>0</v>
      </c>
      <c r="AB65" s="20">
        <f t="shared" si="5"/>
        <v>0</v>
      </c>
      <c r="AC65" s="5"/>
      <c r="AD65" s="8"/>
      <c r="AF65" s="6"/>
      <c r="AG65" s="7"/>
      <c r="AJ65" s="33"/>
      <c r="AK65" s="35"/>
      <c r="AL65" s="38"/>
    </row>
    <row r="66" spans="1:38" ht="17.25" customHeight="1">
      <c r="A66" s="25"/>
      <c r="B66" s="26"/>
      <c r="C66" s="14"/>
      <c r="D66" s="31"/>
      <c r="E66" s="14"/>
      <c r="F66" s="15" t="str">
        <f t="shared" ref="F66:F109" si="6">"S/F "&amp;B66&amp;" "&amp;E66</f>
        <v xml:space="preserve">S/F  </v>
      </c>
      <c r="G66" s="16"/>
      <c r="H66" s="17">
        <v>21</v>
      </c>
      <c r="I66" s="18">
        <f t="shared" ref="I66:I109" si="7">+IF(G66&lt;&gt;0,G66*H66/100,0)</f>
        <v>0</v>
      </c>
      <c r="J66" s="17"/>
      <c r="K66" s="18"/>
      <c r="L66" s="16"/>
      <c r="M66" s="17"/>
      <c r="N66" s="18">
        <f t="shared" ref="N66:N109" si="8">+IF(L66&lt;&gt;0,L66*M66/100,0)</f>
        <v>0</v>
      </c>
      <c r="O66" s="19"/>
      <c r="P66" s="18">
        <v>0</v>
      </c>
      <c r="Q66" s="16"/>
      <c r="R66" s="17"/>
      <c r="S66" s="18">
        <v>0</v>
      </c>
      <c r="T66" s="19"/>
      <c r="U66" s="18">
        <v>0</v>
      </c>
      <c r="V66" s="16"/>
      <c r="W66" s="17"/>
      <c r="X66" s="18">
        <f t="shared" ref="X66:X109" si="9">+IF(W66&lt;&gt;0,V66*W66/100,0)</f>
        <v>0</v>
      </c>
      <c r="Y66" s="19"/>
      <c r="Z66" s="19"/>
      <c r="AA66" s="18">
        <f t="shared" ref="AA66:AA109" si="10">+IF(Z66&lt;&gt;0,Y66*Z66/100,0)</f>
        <v>0</v>
      </c>
      <c r="AB66" s="20">
        <f t="shared" ref="AB66:AB109" si="11">+G66+I66+K66+L66+N66+P66+Q66+S66+U66-X66-AA66</f>
        <v>0</v>
      </c>
      <c r="AC66" s="5"/>
      <c r="AD66" s="8"/>
      <c r="AF66" s="6"/>
      <c r="AG66" s="7"/>
      <c r="AJ66" s="33"/>
      <c r="AK66" s="35"/>
      <c r="AL66" s="38"/>
    </row>
    <row r="67" spans="1:38" ht="17.25" customHeight="1">
      <c r="A67" s="25"/>
      <c r="B67" s="26"/>
      <c r="C67" s="14"/>
      <c r="D67" s="31"/>
      <c r="E67" s="14"/>
      <c r="F67" s="15" t="str">
        <f t="shared" si="6"/>
        <v xml:space="preserve">S/F  </v>
      </c>
      <c r="G67" s="16"/>
      <c r="H67" s="17">
        <v>21</v>
      </c>
      <c r="I67" s="18">
        <f t="shared" si="7"/>
        <v>0</v>
      </c>
      <c r="J67" s="17"/>
      <c r="K67" s="18"/>
      <c r="L67" s="16"/>
      <c r="M67" s="17"/>
      <c r="N67" s="18">
        <f t="shared" si="8"/>
        <v>0</v>
      </c>
      <c r="O67" s="19"/>
      <c r="P67" s="18">
        <v>0</v>
      </c>
      <c r="Q67" s="16"/>
      <c r="R67" s="17"/>
      <c r="S67" s="18">
        <v>0</v>
      </c>
      <c r="T67" s="19"/>
      <c r="U67" s="18">
        <v>0</v>
      </c>
      <c r="V67" s="16"/>
      <c r="W67" s="17"/>
      <c r="X67" s="18">
        <f t="shared" si="9"/>
        <v>0</v>
      </c>
      <c r="Y67" s="19"/>
      <c r="Z67" s="19"/>
      <c r="AA67" s="18">
        <f t="shared" si="10"/>
        <v>0</v>
      </c>
      <c r="AB67" s="20">
        <f t="shared" si="11"/>
        <v>0</v>
      </c>
      <c r="AC67" s="5"/>
      <c r="AD67" s="8"/>
      <c r="AF67" s="6"/>
      <c r="AG67" s="7"/>
      <c r="AJ67" s="33"/>
      <c r="AK67" s="35"/>
      <c r="AL67" s="38"/>
    </row>
    <row r="68" spans="1:38" ht="17.25" customHeight="1">
      <c r="A68" s="25"/>
      <c r="B68" s="26"/>
      <c r="C68" s="14"/>
      <c r="D68" s="31"/>
      <c r="E68" s="14"/>
      <c r="F68" s="15" t="str">
        <f t="shared" si="6"/>
        <v xml:space="preserve">S/F  </v>
      </c>
      <c r="G68" s="16"/>
      <c r="H68" s="17">
        <v>21</v>
      </c>
      <c r="I68" s="18">
        <f t="shared" si="7"/>
        <v>0</v>
      </c>
      <c r="J68" s="17"/>
      <c r="K68" s="18"/>
      <c r="L68" s="16"/>
      <c r="M68" s="17"/>
      <c r="N68" s="18">
        <f t="shared" si="8"/>
        <v>0</v>
      </c>
      <c r="O68" s="19"/>
      <c r="P68" s="18">
        <v>0</v>
      </c>
      <c r="Q68" s="16"/>
      <c r="R68" s="17"/>
      <c r="S68" s="18">
        <v>0</v>
      </c>
      <c r="T68" s="19"/>
      <c r="U68" s="18">
        <v>0</v>
      </c>
      <c r="V68" s="16"/>
      <c r="W68" s="17"/>
      <c r="X68" s="18">
        <f t="shared" si="9"/>
        <v>0</v>
      </c>
      <c r="Y68" s="19"/>
      <c r="Z68" s="19"/>
      <c r="AA68" s="18">
        <f t="shared" si="10"/>
        <v>0</v>
      </c>
      <c r="AB68" s="20">
        <f t="shared" si="11"/>
        <v>0</v>
      </c>
      <c r="AC68" s="5"/>
      <c r="AD68" s="8"/>
      <c r="AF68" s="6"/>
      <c r="AG68" s="7"/>
      <c r="AJ68" s="33"/>
      <c r="AK68" s="35"/>
      <c r="AL68" s="38"/>
    </row>
    <row r="69" spans="1:38" ht="17.25" customHeight="1">
      <c r="A69" s="25"/>
      <c r="B69" s="26"/>
      <c r="C69" s="14"/>
      <c r="D69" s="31"/>
      <c r="E69" s="14"/>
      <c r="F69" s="15" t="str">
        <f t="shared" si="6"/>
        <v xml:space="preserve">S/F  </v>
      </c>
      <c r="G69" s="16"/>
      <c r="H69" s="17">
        <v>21</v>
      </c>
      <c r="I69" s="18">
        <f t="shared" si="7"/>
        <v>0</v>
      </c>
      <c r="J69" s="17"/>
      <c r="K69" s="18"/>
      <c r="L69" s="16"/>
      <c r="M69" s="17"/>
      <c r="N69" s="18">
        <f t="shared" si="8"/>
        <v>0</v>
      </c>
      <c r="O69" s="19"/>
      <c r="P69" s="18">
        <v>0</v>
      </c>
      <c r="Q69" s="16"/>
      <c r="R69" s="17"/>
      <c r="S69" s="18">
        <v>0</v>
      </c>
      <c r="T69" s="19"/>
      <c r="U69" s="18">
        <v>0</v>
      </c>
      <c r="V69" s="16"/>
      <c r="W69" s="17"/>
      <c r="X69" s="18">
        <f t="shared" si="9"/>
        <v>0</v>
      </c>
      <c r="Y69" s="19"/>
      <c r="Z69" s="19"/>
      <c r="AA69" s="18">
        <f t="shared" si="10"/>
        <v>0</v>
      </c>
      <c r="AB69" s="20">
        <f t="shared" si="11"/>
        <v>0</v>
      </c>
      <c r="AC69" s="5"/>
      <c r="AD69" s="8"/>
      <c r="AF69" s="6"/>
      <c r="AG69" s="7"/>
      <c r="AJ69" s="33"/>
      <c r="AK69" s="35"/>
      <c r="AL69" s="38"/>
    </row>
    <row r="70" spans="1:38" ht="17.25" customHeight="1">
      <c r="A70" s="25"/>
      <c r="B70" s="26"/>
      <c r="C70" s="14"/>
      <c r="D70" s="31"/>
      <c r="E70" s="14"/>
      <c r="F70" s="15" t="str">
        <f t="shared" si="6"/>
        <v xml:space="preserve">S/F  </v>
      </c>
      <c r="G70" s="16"/>
      <c r="H70" s="17">
        <v>21</v>
      </c>
      <c r="I70" s="18">
        <f t="shared" si="7"/>
        <v>0</v>
      </c>
      <c r="J70" s="17"/>
      <c r="K70" s="18"/>
      <c r="L70" s="16"/>
      <c r="M70" s="17"/>
      <c r="N70" s="18">
        <f t="shared" si="8"/>
        <v>0</v>
      </c>
      <c r="O70" s="19"/>
      <c r="P70" s="18">
        <v>0</v>
      </c>
      <c r="Q70" s="16"/>
      <c r="R70" s="17"/>
      <c r="S70" s="18">
        <v>0</v>
      </c>
      <c r="T70" s="19"/>
      <c r="U70" s="18">
        <v>0</v>
      </c>
      <c r="V70" s="16"/>
      <c r="W70" s="17"/>
      <c r="X70" s="18">
        <f t="shared" si="9"/>
        <v>0</v>
      </c>
      <c r="Y70" s="19"/>
      <c r="Z70" s="19"/>
      <c r="AA70" s="18">
        <f t="shared" si="10"/>
        <v>0</v>
      </c>
      <c r="AB70" s="20">
        <f t="shared" si="11"/>
        <v>0</v>
      </c>
      <c r="AC70" s="5"/>
      <c r="AD70" s="8"/>
      <c r="AF70" s="6"/>
      <c r="AG70" s="7"/>
      <c r="AJ70" s="33"/>
      <c r="AK70" s="35"/>
      <c r="AL70" s="38"/>
    </row>
    <row r="71" spans="1:38" ht="17.25" customHeight="1">
      <c r="A71" s="25"/>
      <c r="B71" s="26"/>
      <c r="C71" s="14"/>
      <c r="D71" s="31"/>
      <c r="E71" s="14"/>
      <c r="F71" s="15" t="str">
        <f t="shared" si="6"/>
        <v xml:space="preserve">S/F  </v>
      </c>
      <c r="G71" s="16"/>
      <c r="H71" s="17">
        <v>21</v>
      </c>
      <c r="I71" s="18">
        <f t="shared" si="7"/>
        <v>0</v>
      </c>
      <c r="J71" s="17"/>
      <c r="K71" s="18"/>
      <c r="L71" s="16"/>
      <c r="M71" s="17"/>
      <c r="N71" s="18">
        <f t="shared" si="8"/>
        <v>0</v>
      </c>
      <c r="O71" s="19"/>
      <c r="P71" s="18">
        <v>0</v>
      </c>
      <c r="Q71" s="16"/>
      <c r="R71" s="17"/>
      <c r="S71" s="18">
        <v>0</v>
      </c>
      <c r="T71" s="19"/>
      <c r="U71" s="18">
        <v>0</v>
      </c>
      <c r="V71" s="16"/>
      <c r="W71" s="17"/>
      <c r="X71" s="18">
        <f t="shared" si="9"/>
        <v>0</v>
      </c>
      <c r="Y71" s="19"/>
      <c r="Z71" s="19"/>
      <c r="AA71" s="18">
        <f t="shared" si="10"/>
        <v>0</v>
      </c>
      <c r="AB71" s="20">
        <f t="shared" si="11"/>
        <v>0</v>
      </c>
      <c r="AC71" s="5"/>
      <c r="AD71" s="8"/>
      <c r="AF71" s="6"/>
      <c r="AG71" s="7"/>
      <c r="AJ71" s="33"/>
      <c r="AK71" s="35"/>
      <c r="AL71" s="38"/>
    </row>
    <row r="72" spans="1:38" ht="17.25" customHeight="1">
      <c r="A72" s="25"/>
      <c r="B72" s="26"/>
      <c r="C72" s="14"/>
      <c r="D72" s="31"/>
      <c r="E72" s="14"/>
      <c r="F72" s="15" t="str">
        <f t="shared" si="6"/>
        <v xml:space="preserve">S/F  </v>
      </c>
      <c r="G72" s="16"/>
      <c r="H72" s="17">
        <v>21</v>
      </c>
      <c r="I72" s="18">
        <f t="shared" si="7"/>
        <v>0</v>
      </c>
      <c r="J72" s="17"/>
      <c r="K72" s="18"/>
      <c r="L72" s="16"/>
      <c r="M72" s="17"/>
      <c r="N72" s="18">
        <f t="shared" si="8"/>
        <v>0</v>
      </c>
      <c r="O72" s="19"/>
      <c r="P72" s="18">
        <v>0</v>
      </c>
      <c r="Q72" s="16"/>
      <c r="R72" s="17"/>
      <c r="S72" s="18">
        <v>0</v>
      </c>
      <c r="T72" s="19"/>
      <c r="U72" s="18">
        <v>0</v>
      </c>
      <c r="V72" s="16"/>
      <c r="W72" s="17"/>
      <c r="X72" s="18">
        <f t="shared" si="9"/>
        <v>0</v>
      </c>
      <c r="Y72" s="19"/>
      <c r="Z72" s="19"/>
      <c r="AA72" s="18">
        <f t="shared" si="10"/>
        <v>0</v>
      </c>
      <c r="AB72" s="20">
        <f t="shared" si="11"/>
        <v>0</v>
      </c>
      <c r="AC72" s="5"/>
      <c r="AD72" s="8"/>
      <c r="AF72" s="6"/>
      <c r="AG72" s="7"/>
      <c r="AJ72" s="33"/>
      <c r="AK72" s="35"/>
      <c r="AL72" s="38"/>
    </row>
    <row r="73" spans="1:38" ht="17.25" customHeight="1">
      <c r="A73" s="25"/>
      <c r="B73" s="26"/>
      <c r="C73" s="14"/>
      <c r="D73" s="31"/>
      <c r="E73" s="14"/>
      <c r="F73" s="15" t="str">
        <f t="shared" si="6"/>
        <v xml:space="preserve">S/F  </v>
      </c>
      <c r="G73" s="16"/>
      <c r="H73" s="17">
        <v>21</v>
      </c>
      <c r="I73" s="18">
        <f t="shared" si="7"/>
        <v>0</v>
      </c>
      <c r="J73" s="17"/>
      <c r="K73" s="18"/>
      <c r="L73" s="16"/>
      <c r="M73" s="17"/>
      <c r="N73" s="18">
        <f t="shared" si="8"/>
        <v>0</v>
      </c>
      <c r="O73" s="19"/>
      <c r="P73" s="18">
        <v>0</v>
      </c>
      <c r="Q73" s="16"/>
      <c r="R73" s="17"/>
      <c r="S73" s="18">
        <v>0</v>
      </c>
      <c r="T73" s="19"/>
      <c r="U73" s="18">
        <v>0</v>
      </c>
      <c r="V73" s="16"/>
      <c r="W73" s="17"/>
      <c r="X73" s="18">
        <f t="shared" si="9"/>
        <v>0</v>
      </c>
      <c r="Y73" s="19"/>
      <c r="Z73" s="19"/>
      <c r="AA73" s="18">
        <f t="shared" si="10"/>
        <v>0</v>
      </c>
      <c r="AB73" s="20">
        <f t="shared" si="11"/>
        <v>0</v>
      </c>
      <c r="AC73" s="5"/>
      <c r="AD73" s="8"/>
      <c r="AF73" s="6"/>
      <c r="AG73" s="7"/>
      <c r="AJ73" s="33"/>
      <c r="AK73" s="35"/>
      <c r="AL73" s="38"/>
    </row>
    <row r="74" spans="1:38" ht="17.25" customHeight="1">
      <c r="A74" s="25"/>
      <c r="B74" s="26"/>
      <c r="C74" s="14"/>
      <c r="D74" s="31"/>
      <c r="E74" s="14"/>
      <c r="F74" s="15" t="str">
        <f t="shared" si="6"/>
        <v xml:space="preserve">S/F  </v>
      </c>
      <c r="G74" s="16"/>
      <c r="H74" s="17">
        <v>21</v>
      </c>
      <c r="I74" s="18">
        <f t="shared" si="7"/>
        <v>0</v>
      </c>
      <c r="J74" s="17"/>
      <c r="K74" s="18"/>
      <c r="L74" s="16"/>
      <c r="M74" s="17"/>
      <c r="N74" s="18">
        <f t="shared" si="8"/>
        <v>0</v>
      </c>
      <c r="O74" s="19"/>
      <c r="P74" s="18">
        <v>0</v>
      </c>
      <c r="Q74" s="16"/>
      <c r="R74" s="17"/>
      <c r="S74" s="18">
        <v>0</v>
      </c>
      <c r="T74" s="19"/>
      <c r="U74" s="18">
        <v>0</v>
      </c>
      <c r="V74" s="16"/>
      <c r="W74" s="17"/>
      <c r="X74" s="18">
        <f t="shared" si="9"/>
        <v>0</v>
      </c>
      <c r="Y74" s="19"/>
      <c r="Z74" s="19"/>
      <c r="AA74" s="18">
        <f t="shared" si="10"/>
        <v>0</v>
      </c>
      <c r="AB74" s="20">
        <f t="shared" si="11"/>
        <v>0</v>
      </c>
      <c r="AC74" s="5"/>
      <c r="AD74" s="8"/>
      <c r="AF74" s="6"/>
      <c r="AG74" s="7"/>
      <c r="AJ74" s="33"/>
      <c r="AK74" s="35"/>
      <c r="AL74" s="38"/>
    </row>
    <row r="75" spans="1:38" ht="17.25" customHeight="1">
      <c r="A75" s="25"/>
      <c r="B75" s="26"/>
      <c r="C75" s="14"/>
      <c r="D75" s="31"/>
      <c r="E75" s="14"/>
      <c r="F75" s="15" t="str">
        <f t="shared" si="6"/>
        <v xml:space="preserve">S/F  </v>
      </c>
      <c r="G75" s="16"/>
      <c r="H75" s="17">
        <v>21</v>
      </c>
      <c r="I75" s="18">
        <f t="shared" si="7"/>
        <v>0</v>
      </c>
      <c r="J75" s="17"/>
      <c r="K75" s="18"/>
      <c r="L75" s="16"/>
      <c r="M75" s="17"/>
      <c r="N75" s="18">
        <f t="shared" si="8"/>
        <v>0</v>
      </c>
      <c r="O75" s="19"/>
      <c r="P75" s="18">
        <v>0</v>
      </c>
      <c r="Q75" s="16"/>
      <c r="R75" s="17"/>
      <c r="S75" s="18">
        <v>0</v>
      </c>
      <c r="T75" s="19"/>
      <c r="U75" s="18">
        <v>0</v>
      </c>
      <c r="V75" s="16"/>
      <c r="W75" s="17"/>
      <c r="X75" s="18">
        <f t="shared" si="9"/>
        <v>0</v>
      </c>
      <c r="Y75" s="19"/>
      <c r="Z75" s="19"/>
      <c r="AA75" s="18">
        <f t="shared" si="10"/>
        <v>0</v>
      </c>
      <c r="AB75" s="20">
        <f t="shared" si="11"/>
        <v>0</v>
      </c>
      <c r="AC75" s="5"/>
      <c r="AD75" s="8"/>
      <c r="AF75" s="6"/>
      <c r="AG75" s="7"/>
      <c r="AJ75" s="33"/>
      <c r="AK75" s="35"/>
      <c r="AL75" s="38"/>
    </row>
    <row r="76" spans="1:38" ht="17.25" customHeight="1">
      <c r="A76" s="25"/>
      <c r="B76" s="26"/>
      <c r="C76" s="14"/>
      <c r="D76" s="31"/>
      <c r="E76" s="14"/>
      <c r="F76" s="15" t="str">
        <f t="shared" si="6"/>
        <v xml:space="preserve">S/F  </v>
      </c>
      <c r="G76" s="16"/>
      <c r="H76" s="17">
        <v>21</v>
      </c>
      <c r="I76" s="18">
        <f t="shared" si="7"/>
        <v>0</v>
      </c>
      <c r="J76" s="17"/>
      <c r="K76" s="18"/>
      <c r="L76" s="16"/>
      <c r="M76" s="17"/>
      <c r="N76" s="18">
        <f t="shared" si="8"/>
        <v>0</v>
      </c>
      <c r="O76" s="19"/>
      <c r="P76" s="18">
        <v>0</v>
      </c>
      <c r="Q76" s="16"/>
      <c r="R76" s="17"/>
      <c r="S76" s="18">
        <v>0</v>
      </c>
      <c r="T76" s="19"/>
      <c r="U76" s="18">
        <v>0</v>
      </c>
      <c r="V76" s="16"/>
      <c r="W76" s="17"/>
      <c r="X76" s="18">
        <f t="shared" si="9"/>
        <v>0</v>
      </c>
      <c r="Y76" s="19"/>
      <c r="Z76" s="19"/>
      <c r="AA76" s="18">
        <f t="shared" si="10"/>
        <v>0</v>
      </c>
      <c r="AB76" s="20">
        <f t="shared" si="11"/>
        <v>0</v>
      </c>
      <c r="AC76" s="5"/>
      <c r="AD76" s="8"/>
      <c r="AF76" s="6"/>
      <c r="AG76" s="7"/>
      <c r="AJ76" s="33"/>
      <c r="AK76" s="35"/>
      <c r="AL76" s="38"/>
    </row>
    <row r="77" spans="1:38" ht="17.25" customHeight="1">
      <c r="A77" s="25"/>
      <c r="B77" s="26"/>
      <c r="C77" s="14"/>
      <c r="D77" s="31"/>
      <c r="E77" s="14"/>
      <c r="F77" s="15" t="str">
        <f t="shared" si="6"/>
        <v xml:space="preserve">S/F  </v>
      </c>
      <c r="G77" s="16"/>
      <c r="H77" s="17">
        <v>21</v>
      </c>
      <c r="I77" s="18">
        <f t="shared" si="7"/>
        <v>0</v>
      </c>
      <c r="J77" s="17"/>
      <c r="K77" s="18"/>
      <c r="L77" s="16"/>
      <c r="M77" s="17"/>
      <c r="N77" s="18">
        <f t="shared" si="8"/>
        <v>0</v>
      </c>
      <c r="O77" s="19"/>
      <c r="P77" s="18">
        <v>0</v>
      </c>
      <c r="Q77" s="16"/>
      <c r="R77" s="17"/>
      <c r="S77" s="18">
        <v>0</v>
      </c>
      <c r="T77" s="19"/>
      <c r="U77" s="18">
        <v>0</v>
      </c>
      <c r="V77" s="16"/>
      <c r="W77" s="17"/>
      <c r="X77" s="18">
        <f t="shared" si="9"/>
        <v>0</v>
      </c>
      <c r="Y77" s="19"/>
      <c r="Z77" s="19"/>
      <c r="AA77" s="18">
        <f t="shared" si="10"/>
        <v>0</v>
      </c>
      <c r="AB77" s="20">
        <f t="shared" si="11"/>
        <v>0</v>
      </c>
      <c r="AC77" s="5"/>
      <c r="AD77" s="8"/>
      <c r="AF77" s="6"/>
      <c r="AG77" s="7"/>
      <c r="AJ77" s="33"/>
      <c r="AK77" s="35"/>
      <c r="AL77" s="38"/>
    </row>
    <row r="78" spans="1:38" ht="17.25" customHeight="1">
      <c r="A78" s="25"/>
      <c r="B78" s="26"/>
      <c r="C78" s="14"/>
      <c r="D78" s="26"/>
      <c r="E78" s="14"/>
      <c r="F78" s="15" t="str">
        <f t="shared" si="6"/>
        <v xml:space="preserve">S/F  </v>
      </c>
      <c r="G78" s="16"/>
      <c r="H78" s="17">
        <v>21</v>
      </c>
      <c r="I78" s="18">
        <f t="shared" si="7"/>
        <v>0</v>
      </c>
      <c r="J78" s="17"/>
      <c r="K78" s="18"/>
      <c r="L78" s="16"/>
      <c r="M78" s="17"/>
      <c r="N78" s="18">
        <f t="shared" si="8"/>
        <v>0</v>
      </c>
      <c r="O78" s="19"/>
      <c r="P78" s="18">
        <v>0</v>
      </c>
      <c r="Q78" s="16"/>
      <c r="R78" s="17"/>
      <c r="S78" s="18">
        <v>0</v>
      </c>
      <c r="T78" s="19"/>
      <c r="U78" s="18">
        <v>0</v>
      </c>
      <c r="V78" s="16"/>
      <c r="W78" s="17"/>
      <c r="X78" s="18">
        <f t="shared" si="9"/>
        <v>0</v>
      </c>
      <c r="Y78" s="19"/>
      <c r="Z78" s="19"/>
      <c r="AA78" s="18">
        <f t="shared" si="10"/>
        <v>0</v>
      </c>
      <c r="AB78" s="20">
        <f t="shared" si="11"/>
        <v>0</v>
      </c>
      <c r="AC78" s="5"/>
      <c r="AD78" s="8"/>
      <c r="AF78" s="6"/>
      <c r="AG78" s="7"/>
      <c r="AJ78" s="33"/>
      <c r="AK78" s="35"/>
      <c r="AL78" s="38"/>
    </row>
    <row r="79" spans="1:38" ht="17.25" customHeight="1">
      <c r="A79" s="25"/>
      <c r="B79" s="26"/>
      <c r="C79" s="14"/>
      <c r="D79" s="31"/>
      <c r="E79" s="14"/>
      <c r="F79" s="15" t="str">
        <f t="shared" si="6"/>
        <v xml:space="preserve">S/F  </v>
      </c>
      <c r="G79" s="16"/>
      <c r="H79" s="17">
        <v>21</v>
      </c>
      <c r="I79" s="18">
        <f t="shared" si="7"/>
        <v>0</v>
      </c>
      <c r="J79" s="17"/>
      <c r="K79" s="18"/>
      <c r="L79" s="16"/>
      <c r="M79" s="17"/>
      <c r="N79" s="18">
        <f t="shared" si="8"/>
        <v>0</v>
      </c>
      <c r="O79" s="19"/>
      <c r="P79" s="18">
        <v>0</v>
      </c>
      <c r="Q79" s="16"/>
      <c r="R79" s="17"/>
      <c r="S79" s="18">
        <v>0</v>
      </c>
      <c r="T79" s="19"/>
      <c r="U79" s="18">
        <v>0</v>
      </c>
      <c r="V79" s="16"/>
      <c r="W79" s="17"/>
      <c r="X79" s="18">
        <f t="shared" si="9"/>
        <v>0</v>
      </c>
      <c r="Y79" s="19"/>
      <c r="Z79" s="19"/>
      <c r="AA79" s="18">
        <f t="shared" si="10"/>
        <v>0</v>
      </c>
      <c r="AB79" s="20">
        <f t="shared" si="11"/>
        <v>0</v>
      </c>
      <c r="AC79" s="5"/>
      <c r="AD79" s="8"/>
      <c r="AF79" s="6"/>
      <c r="AG79" s="7"/>
      <c r="AJ79" s="33"/>
      <c r="AK79" s="35"/>
      <c r="AL79" s="38"/>
    </row>
    <row r="80" spans="1:38" ht="17.25" customHeight="1">
      <c r="A80" s="25"/>
      <c r="B80" s="26"/>
      <c r="C80" s="14"/>
      <c r="D80" s="31"/>
      <c r="E80" s="14"/>
      <c r="F80" s="15" t="str">
        <f t="shared" si="6"/>
        <v xml:space="preserve">S/F  </v>
      </c>
      <c r="G80" s="16"/>
      <c r="H80" s="17">
        <v>21</v>
      </c>
      <c r="I80" s="18">
        <f t="shared" si="7"/>
        <v>0</v>
      </c>
      <c r="J80" s="17"/>
      <c r="K80" s="18"/>
      <c r="L80" s="16"/>
      <c r="M80" s="17"/>
      <c r="N80" s="18">
        <f t="shared" si="8"/>
        <v>0</v>
      </c>
      <c r="O80" s="19"/>
      <c r="P80" s="18">
        <v>0</v>
      </c>
      <c r="Q80" s="16"/>
      <c r="R80" s="17"/>
      <c r="S80" s="18">
        <v>0</v>
      </c>
      <c r="T80" s="19"/>
      <c r="U80" s="18">
        <v>0</v>
      </c>
      <c r="V80" s="16"/>
      <c r="W80" s="17"/>
      <c r="X80" s="18">
        <f t="shared" si="9"/>
        <v>0</v>
      </c>
      <c r="Y80" s="19"/>
      <c r="Z80" s="19"/>
      <c r="AA80" s="18">
        <f t="shared" si="10"/>
        <v>0</v>
      </c>
      <c r="AB80" s="20">
        <f t="shared" si="11"/>
        <v>0</v>
      </c>
      <c r="AC80" s="5"/>
      <c r="AD80" s="8"/>
      <c r="AF80" s="6"/>
      <c r="AG80" s="7"/>
      <c r="AJ80" s="33"/>
      <c r="AK80" s="35"/>
      <c r="AL80" s="38"/>
    </row>
    <row r="81" spans="1:38" ht="17.25" customHeight="1">
      <c r="A81" s="25"/>
      <c r="B81" s="26"/>
      <c r="C81" s="14"/>
      <c r="D81" s="31"/>
      <c r="E81" s="14"/>
      <c r="F81" s="15" t="str">
        <f t="shared" si="6"/>
        <v xml:space="preserve">S/F  </v>
      </c>
      <c r="G81" s="16"/>
      <c r="H81" s="17">
        <v>21</v>
      </c>
      <c r="I81" s="18">
        <f t="shared" si="7"/>
        <v>0</v>
      </c>
      <c r="J81" s="17"/>
      <c r="K81" s="18"/>
      <c r="L81" s="16"/>
      <c r="M81" s="17"/>
      <c r="N81" s="18">
        <f t="shared" si="8"/>
        <v>0</v>
      </c>
      <c r="O81" s="19"/>
      <c r="P81" s="18">
        <v>0</v>
      </c>
      <c r="Q81" s="16"/>
      <c r="R81" s="17"/>
      <c r="S81" s="18">
        <v>0</v>
      </c>
      <c r="T81" s="19"/>
      <c r="U81" s="18">
        <v>0</v>
      </c>
      <c r="V81" s="16"/>
      <c r="W81" s="17"/>
      <c r="X81" s="18">
        <f t="shared" si="9"/>
        <v>0</v>
      </c>
      <c r="Y81" s="19"/>
      <c r="Z81" s="19"/>
      <c r="AA81" s="18">
        <f t="shared" si="10"/>
        <v>0</v>
      </c>
      <c r="AB81" s="20">
        <f t="shared" si="11"/>
        <v>0</v>
      </c>
      <c r="AC81" s="5"/>
      <c r="AD81" s="8"/>
      <c r="AF81" s="6"/>
      <c r="AG81" s="7"/>
      <c r="AJ81" s="33"/>
      <c r="AK81" s="35"/>
      <c r="AL81" s="38"/>
    </row>
    <row r="82" spans="1:38" ht="17.25" customHeight="1">
      <c r="A82" s="25"/>
      <c r="B82" s="26"/>
      <c r="C82" s="14"/>
      <c r="D82" s="31"/>
      <c r="E82" s="14"/>
      <c r="F82" s="15" t="str">
        <f t="shared" si="6"/>
        <v xml:space="preserve">S/F  </v>
      </c>
      <c r="G82" s="16"/>
      <c r="H82" s="17">
        <v>21</v>
      </c>
      <c r="I82" s="18">
        <f t="shared" si="7"/>
        <v>0</v>
      </c>
      <c r="J82" s="17"/>
      <c r="K82" s="18"/>
      <c r="L82" s="16"/>
      <c r="M82" s="17"/>
      <c r="N82" s="18">
        <f t="shared" si="8"/>
        <v>0</v>
      </c>
      <c r="O82" s="19"/>
      <c r="P82" s="18">
        <v>0</v>
      </c>
      <c r="Q82" s="16"/>
      <c r="R82" s="17"/>
      <c r="S82" s="18">
        <v>0</v>
      </c>
      <c r="T82" s="19"/>
      <c r="U82" s="18">
        <v>0</v>
      </c>
      <c r="V82" s="16"/>
      <c r="W82" s="17"/>
      <c r="X82" s="18">
        <f t="shared" si="9"/>
        <v>0</v>
      </c>
      <c r="Y82" s="19"/>
      <c r="Z82" s="19"/>
      <c r="AA82" s="18">
        <f t="shared" si="10"/>
        <v>0</v>
      </c>
      <c r="AB82" s="20">
        <f t="shared" si="11"/>
        <v>0</v>
      </c>
      <c r="AC82" s="5"/>
      <c r="AD82" s="8"/>
      <c r="AF82" s="6"/>
      <c r="AG82" s="7"/>
      <c r="AJ82" s="33"/>
      <c r="AK82" s="35"/>
      <c r="AL82" s="38"/>
    </row>
    <row r="83" spans="1:38" ht="17.25" customHeight="1">
      <c r="A83" s="25"/>
      <c r="B83" s="26"/>
      <c r="C83" s="14"/>
      <c r="D83" s="31"/>
      <c r="E83" s="14"/>
      <c r="F83" s="15" t="str">
        <f t="shared" si="6"/>
        <v xml:space="preserve">S/F  </v>
      </c>
      <c r="G83" s="16"/>
      <c r="H83" s="17">
        <v>21</v>
      </c>
      <c r="I83" s="18">
        <f t="shared" si="7"/>
        <v>0</v>
      </c>
      <c r="J83" s="17"/>
      <c r="K83" s="18"/>
      <c r="L83" s="16"/>
      <c r="M83" s="17"/>
      <c r="N83" s="18">
        <f t="shared" si="8"/>
        <v>0</v>
      </c>
      <c r="O83" s="19"/>
      <c r="P83" s="18">
        <v>0</v>
      </c>
      <c r="Q83" s="16"/>
      <c r="R83" s="17"/>
      <c r="S83" s="18">
        <v>0</v>
      </c>
      <c r="T83" s="19"/>
      <c r="U83" s="18">
        <v>0</v>
      </c>
      <c r="V83" s="16"/>
      <c r="W83" s="17"/>
      <c r="X83" s="18">
        <f t="shared" si="9"/>
        <v>0</v>
      </c>
      <c r="Y83" s="19"/>
      <c r="Z83" s="19"/>
      <c r="AA83" s="18">
        <f t="shared" si="10"/>
        <v>0</v>
      </c>
      <c r="AB83" s="20">
        <f t="shared" si="11"/>
        <v>0</v>
      </c>
      <c r="AC83" s="5"/>
      <c r="AD83" s="8"/>
      <c r="AF83" s="6"/>
      <c r="AG83" s="7"/>
      <c r="AJ83" s="33"/>
      <c r="AK83" s="35"/>
      <c r="AL83" s="38"/>
    </row>
    <row r="84" spans="1:38" ht="17.25" customHeight="1">
      <c r="A84" s="25"/>
      <c r="B84" s="26"/>
      <c r="C84" s="14"/>
      <c r="D84" s="31"/>
      <c r="E84" s="14"/>
      <c r="F84" s="15" t="str">
        <f t="shared" si="6"/>
        <v xml:space="preserve">S/F  </v>
      </c>
      <c r="G84" s="16"/>
      <c r="H84" s="17">
        <v>21</v>
      </c>
      <c r="I84" s="18">
        <f t="shared" si="7"/>
        <v>0</v>
      </c>
      <c r="J84" s="17"/>
      <c r="K84" s="18"/>
      <c r="L84" s="16"/>
      <c r="M84" s="17"/>
      <c r="N84" s="18">
        <f t="shared" si="8"/>
        <v>0</v>
      </c>
      <c r="O84" s="19"/>
      <c r="P84" s="18">
        <v>0</v>
      </c>
      <c r="Q84" s="16"/>
      <c r="R84" s="17"/>
      <c r="S84" s="18">
        <v>0</v>
      </c>
      <c r="T84" s="19"/>
      <c r="U84" s="18">
        <v>0</v>
      </c>
      <c r="V84" s="16"/>
      <c r="W84" s="17"/>
      <c r="X84" s="18">
        <f t="shared" si="9"/>
        <v>0</v>
      </c>
      <c r="Y84" s="19"/>
      <c r="Z84" s="19"/>
      <c r="AA84" s="18">
        <f t="shared" si="10"/>
        <v>0</v>
      </c>
      <c r="AB84" s="20">
        <f t="shared" si="11"/>
        <v>0</v>
      </c>
      <c r="AC84" s="5"/>
      <c r="AD84" s="8"/>
      <c r="AF84" s="6"/>
      <c r="AG84" s="7"/>
      <c r="AJ84" s="33"/>
      <c r="AK84" s="35"/>
      <c r="AL84" s="38"/>
    </row>
    <row r="85" spans="1:38" ht="17.25" customHeight="1">
      <c r="A85" s="25"/>
      <c r="B85" s="26"/>
      <c r="C85" s="14"/>
      <c r="D85" s="31"/>
      <c r="E85" s="14"/>
      <c r="F85" s="15" t="str">
        <f t="shared" si="6"/>
        <v xml:space="preserve">S/F  </v>
      </c>
      <c r="G85" s="16"/>
      <c r="H85" s="17">
        <v>21</v>
      </c>
      <c r="I85" s="18">
        <f t="shared" si="7"/>
        <v>0</v>
      </c>
      <c r="J85" s="17"/>
      <c r="K85" s="18"/>
      <c r="L85" s="16"/>
      <c r="M85" s="17"/>
      <c r="N85" s="18">
        <f t="shared" si="8"/>
        <v>0</v>
      </c>
      <c r="O85" s="19"/>
      <c r="P85" s="18">
        <v>0</v>
      </c>
      <c r="Q85" s="16"/>
      <c r="R85" s="17"/>
      <c r="S85" s="18">
        <v>0</v>
      </c>
      <c r="T85" s="19"/>
      <c r="U85" s="18">
        <v>0</v>
      </c>
      <c r="V85" s="16"/>
      <c r="W85" s="17"/>
      <c r="X85" s="18">
        <f t="shared" si="9"/>
        <v>0</v>
      </c>
      <c r="Y85" s="19"/>
      <c r="Z85" s="19"/>
      <c r="AA85" s="18">
        <f t="shared" si="10"/>
        <v>0</v>
      </c>
      <c r="AB85" s="20">
        <f t="shared" si="11"/>
        <v>0</v>
      </c>
      <c r="AC85" s="5"/>
      <c r="AD85" s="8"/>
      <c r="AF85" s="6"/>
      <c r="AG85" s="7"/>
      <c r="AJ85" s="33"/>
      <c r="AK85" s="35"/>
      <c r="AL85" s="38"/>
    </row>
    <row r="86" spans="1:38" ht="17.25" customHeight="1">
      <c r="A86" s="25"/>
      <c r="B86" s="26"/>
      <c r="C86" s="14"/>
      <c r="D86" s="31"/>
      <c r="E86" s="14"/>
      <c r="F86" s="15" t="str">
        <f t="shared" si="6"/>
        <v xml:space="preserve">S/F  </v>
      </c>
      <c r="G86" s="16"/>
      <c r="H86" s="17">
        <v>21</v>
      </c>
      <c r="I86" s="18">
        <f t="shared" si="7"/>
        <v>0</v>
      </c>
      <c r="J86" s="17"/>
      <c r="K86" s="18"/>
      <c r="L86" s="16"/>
      <c r="M86" s="17"/>
      <c r="N86" s="18">
        <f t="shared" si="8"/>
        <v>0</v>
      </c>
      <c r="O86" s="19"/>
      <c r="P86" s="18">
        <v>0</v>
      </c>
      <c r="Q86" s="16"/>
      <c r="R86" s="17"/>
      <c r="S86" s="18">
        <v>0</v>
      </c>
      <c r="T86" s="19"/>
      <c r="U86" s="18">
        <v>0</v>
      </c>
      <c r="V86" s="16"/>
      <c r="W86" s="17"/>
      <c r="X86" s="18">
        <f t="shared" si="9"/>
        <v>0</v>
      </c>
      <c r="Y86" s="19"/>
      <c r="Z86" s="19"/>
      <c r="AA86" s="18">
        <f t="shared" si="10"/>
        <v>0</v>
      </c>
      <c r="AB86" s="20">
        <f t="shared" si="11"/>
        <v>0</v>
      </c>
      <c r="AC86" s="5"/>
      <c r="AD86" s="8"/>
      <c r="AF86" s="6"/>
      <c r="AG86" s="7"/>
      <c r="AJ86" s="33"/>
      <c r="AK86" s="35"/>
      <c r="AL86" s="38"/>
    </row>
    <row r="87" spans="1:38" ht="17.25" customHeight="1">
      <c r="A87" s="25"/>
      <c r="B87" s="26"/>
      <c r="C87" s="14"/>
      <c r="D87" s="31"/>
      <c r="E87" s="14"/>
      <c r="F87" s="15" t="str">
        <f t="shared" si="6"/>
        <v xml:space="preserve">S/F  </v>
      </c>
      <c r="G87" s="16"/>
      <c r="H87" s="17">
        <v>21</v>
      </c>
      <c r="I87" s="18">
        <f t="shared" si="7"/>
        <v>0</v>
      </c>
      <c r="J87" s="17"/>
      <c r="K87" s="18"/>
      <c r="L87" s="16"/>
      <c r="M87" s="17"/>
      <c r="N87" s="18">
        <f t="shared" si="8"/>
        <v>0</v>
      </c>
      <c r="O87" s="19"/>
      <c r="P87" s="18">
        <v>0</v>
      </c>
      <c r="Q87" s="16"/>
      <c r="R87" s="17"/>
      <c r="S87" s="18">
        <v>0</v>
      </c>
      <c r="T87" s="19"/>
      <c r="U87" s="18">
        <v>0</v>
      </c>
      <c r="V87" s="16"/>
      <c r="W87" s="17"/>
      <c r="X87" s="18">
        <f t="shared" si="9"/>
        <v>0</v>
      </c>
      <c r="Y87" s="19"/>
      <c r="Z87" s="19"/>
      <c r="AA87" s="18">
        <f t="shared" si="10"/>
        <v>0</v>
      </c>
      <c r="AB87" s="20">
        <f t="shared" si="11"/>
        <v>0</v>
      </c>
      <c r="AC87" s="5"/>
      <c r="AD87" s="8"/>
      <c r="AF87" s="6"/>
      <c r="AG87" s="7"/>
      <c r="AJ87" s="33"/>
      <c r="AK87" s="35"/>
      <c r="AL87" s="38"/>
    </row>
    <row r="88" spans="1:38" ht="17.25" customHeight="1">
      <c r="A88" s="25"/>
      <c r="B88" s="26"/>
      <c r="C88" s="14"/>
      <c r="D88" s="31"/>
      <c r="E88" s="14"/>
      <c r="F88" s="15" t="str">
        <f t="shared" si="6"/>
        <v xml:space="preserve">S/F  </v>
      </c>
      <c r="G88" s="16"/>
      <c r="H88" s="17">
        <v>21</v>
      </c>
      <c r="I88" s="18">
        <f t="shared" si="7"/>
        <v>0</v>
      </c>
      <c r="J88" s="17"/>
      <c r="K88" s="18"/>
      <c r="L88" s="16"/>
      <c r="M88" s="17"/>
      <c r="N88" s="18">
        <f t="shared" si="8"/>
        <v>0</v>
      </c>
      <c r="O88" s="19"/>
      <c r="P88" s="18">
        <v>0</v>
      </c>
      <c r="Q88" s="16"/>
      <c r="R88" s="17"/>
      <c r="S88" s="18">
        <v>0</v>
      </c>
      <c r="T88" s="19"/>
      <c r="U88" s="18">
        <v>0</v>
      </c>
      <c r="V88" s="16"/>
      <c r="W88" s="17"/>
      <c r="X88" s="18">
        <f t="shared" si="9"/>
        <v>0</v>
      </c>
      <c r="Y88" s="19"/>
      <c r="Z88" s="19"/>
      <c r="AA88" s="18">
        <f t="shared" si="10"/>
        <v>0</v>
      </c>
      <c r="AB88" s="20">
        <f t="shared" si="11"/>
        <v>0</v>
      </c>
      <c r="AC88" s="5"/>
      <c r="AD88" s="8"/>
      <c r="AF88" s="6"/>
      <c r="AG88" s="7"/>
      <c r="AJ88" s="33"/>
      <c r="AK88" s="35"/>
      <c r="AL88" s="38"/>
    </row>
    <row r="89" spans="1:38" ht="17.25" customHeight="1">
      <c r="A89" s="25"/>
      <c r="B89" s="26"/>
      <c r="C89" s="14"/>
      <c r="D89" s="31"/>
      <c r="E89" s="14"/>
      <c r="F89" s="15" t="str">
        <f t="shared" si="6"/>
        <v xml:space="preserve">S/F  </v>
      </c>
      <c r="G89" s="16"/>
      <c r="H89" s="17">
        <v>21</v>
      </c>
      <c r="I89" s="18">
        <f t="shared" si="7"/>
        <v>0</v>
      </c>
      <c r="J89" s="17"/>
      <c r="K89" s="18"/>
      <c r="L89" s="16"/>
      <c r="M89" s="17"/>
      <c r="N89" s="18">
        <f t="shared" si="8"/>
        <v>0</v>
      </c>
      <c r="O89" s="19"/>
      <c r="P89" s="18">
        <v>0</v>
      </c>
      <c r="Q89" s="16"/>
      <c r="R89" s="17"/>
      <c r="S89" s="18">
        <v>0</v>
      </c>
      <c r="T89" s="19"/>
      <c r="U89" s="18">
        <v>0</v>
      </c>
      <c r="V89" s="16"/>
      <c r="W89" s="17"/>
      <c r="X89" s="18">
        <f t="shared" si="9"/>
        <v>0</v>
      </c>
      <c r="Y89" s="19"/>
      <c r="Z89" s="19"/>
      <c r="AA89" s="18">
        <f t="shared" si="10"/>
        <v>0</v>
      </c>
      <c r="AB89" s="20">
        <f t="shared" si="11"/>
        <v>0</v>
      </c>
      <c r="AC89" s="5"/>
      <c r="AD89" s="8"/>
      <c r="AF89" s="6"/>
      <c r="AG89" s="7"/>
      <c r="AJ89" s="33"/>
      <c r="AK89" s="35"/>
      <c r="AL89" s="38"/>
    </row>
    <row r="90" spans="1:38" ht="17.25" customHeight="1">
      <c r="A90" s="25"/>
      <c r="B90" s="26"/>
      <c r="C90" s="14"/>
      <c r="D90" s="31"/>
      <c r="E90" s="14"/>
      <c r="F90" s="15" t="str">
        <f t="shared" si="6"/>
        <v xml:space="preserve">S/F  </v>
      </c>
      <c r="G90" s="16"/>
      <c r="H90" s="17">
        <v>21</v>
      </c>
      <c r="I90" s="18">
        <f t="shared" si="7"/>
        <v>0</v>
      </c>
      <c r="J90" s="17"/>
      <c r="K90" s="18"/>
      <c r="L90" s="16"/>
      <c r="M90" s="17"/>
      <c r="N90" s="18">
        <f t="shared" si="8"/>
        <v>0</v>
      </c>
      <c r="O90" s="19"/>
      <c r="P90" s="18">
        <v>0</v>
      </c>
      <c r="Q90" s="16"/>
      <c r="R90" s="17"/>
      <c r="S90" s="18">
        <v>0</v>
      </c>
      <c r="T90" s="19"/>
      <c r="U90" s="18">
        <v>0</v>
      </c>
      <c r="V90" s="16"/>
      <c r="W90" s="17"/>
      <c r="X90" s="18">
        <f t="shared" si="9"/>
        <v>0</v>
      </c>
      <c r="Y90" s="19"/>
      <c r="Z90" s="19"/>
      <c r="AA90" s="18">
        <f t="shared" si="10"/>
        <v>0</v>
      </c>
      <c r="AB90" s="20">
        <f t="shared" si="11"/>
        <v>0</v>
      </c>
      <c r="AC90" s="5"/>
      <c r="AD90" s="8"/>
      <c r="AF90" s="6"/>
      <c r="AG90" s="7"/>
      <c r="AJ90" s="33"/>
      <c r="AK90" s="35"/>
      <c r="AL90" s="38"/>
    </row>
    <row r="91" spans="1:38" ht="17.25" customHeight="1">
      <c r="A91" s="25"/>
      <c r="B91" s="26"/>
      <c r="C91" s="14"/>
      <c r="D91" s="31"/>
      <c r="E91" s="14"/>
      <c r="F91" s="15" t="str">
        <f t="shared" si="6"/>
        <v xml:space="preserve">S/F  </v>
      </c>
      <c r="G91" s="16"/>
      <c r="H91" s="17">
        <v>21</v>
      </c>
      <c r="I91" s="18">
        <f t="shared" si="7"/>
        <v>0</v>
      </c>
      <c r="J91" s="17"/>
      <c r="K91" s="18"/>
      <c r="L91" s="16"/>
      <c r="M91" s="17"/>
      <c r="N91" s="18">
        <f t="shared" si="8"/>
        <v>0</v>
      </c>
      <c r="O91" s="19"/>
      <c r="P91" s="18">
        <v>0</v>
      </c>
      <c r="Q91" s="16"/>
      <c r="R91" s="17"/>
      <c r="S91" s="18">
        <v>0</v>
      </c>
      <c r="T91" s="19"/>
      <c r="U91" s="18">
        <v>0</v>
      </c>
      <c r="V91" s="16"/>
      <c r="W91" s="17"/>
      <c r="X91" s="18">
        <f t="shared" si="9"/>
        <v>0</v>
      </c>
      <c r="Y91" s="19"/>
      <c r="Z91" s="19"/>
      <c r="AA91" s="18">
        <f t="shared" si="10"/>
        <v>0</v>
      </c>
      <c r="AB91" s="20">
        <f t="shared" si="11"/>
        <v>0</v>
      </c>
      <c r="AC91" s="5"/>
      <c r="AD91" s="8"/>
      <c r="AF91" s="6"/>
      <c r="AG91" s="7"/>
      <c r="AJ91" s="33"/>
      <c r="AK91" s="35"/>
      <c r="AL91" s="38"/>
    </row>
    <row r="92" spans="1:38" ht="17.25" customHeight="1">
      <c r="A92" s="25"/>
      <c r="B92" s="26"/>
      <c r="C92" s="14"/>
      <c r="D92" s="31"/>
      <c r="E92" s="14"/>
      <c r="F92" s="15" t="str">
        <f t="shared" si="6"/>
        <v xml:space="preserve">S/F  </v>
      </c>
      <c r="G92" s="16"/>
      <c r="H92" s="17">
        <v>21</v>
      </c>
      <c r="I92" s="18">
        <f t="shared" si="7"/>
        <v>0</v>
      </c>
      <c r="J92" s="17"/>
      <c r="K92" s="18"/>
      <c r="L92" s="16"/>
      <c r="M92" s="17"/>
      <c r="N92" s="18">
        <f t="shared" si="8"/>
        <v>0</v>
      </c>
      <c r="O92" s="19"/>
      <c r="P92" s="18">
        <v>0</v>
      </c>
      <c r="Q92" s="16"/>
      <c r="R92" s="17"/>
      <c r="S92" s="18">
        <v>0</v>
      </c>
      <c r="T92" s="19"/>
      <c r="U92" s="18">
        <v>0</v>
      </c>
      <c r="V92" s="16"/>
      <c r="W92" s="17"/>
      <c r="X92" s="18">
        <f t="shared" si="9"/>
        <v>0</v>
      </c>
      <c r="Y92" s="19"/>
      <c r="Z92" s="19"/>
      <c r="AA92" s="18">
        <f t="shared" si="10"/>
        <v>0</v>
      </c>
      <c r="AB92" s="20">
        <f t="shared" si="11"/>
        <v>0</v>
      </c>
      <c r="AC92" s="5"/>
      <c r="AD92" s="8"/>
      <c r="AF92" s="6"/>
      <c r="AG92" s="7"/>
      <c r="AJ92" s="33"/>
      <c r="AK92" s="35"/>
      <c r="AL92" s="38"/>
    </row>
    <row r="93" spans="1:38" ht="17.25" customHeight="1">
      <c r="A93" s="25"/>
      <c r="B93" s="26"/>
      <c r="C93" s="14"/>
      <c r="D93" s="31"/>
      <c r="E93" s="14"/>
      <c r="F93" s="15" t="str">
        <f t="shared" si="6"/>
        <v xml:space="preserve">S/F  </v>
      </c>
      <c r="G93" s="16"/>
      <c r="H93" s="17">
        <v>21</v>
      </c>
      <c r="I93" s="18">
        <f t="shared" si="7"/>
        <v>0</v>
      </c>
      <c r="J93" s="17"/>
      <c r="K93" s="18"/>
      <c r="L93" s="16"/>
      <c r="M93" s="17"/>
      <c r="N93" s="18">
        <f t="shared" si="8"/>
        <v>0</v>
      </c>
      <c r="O93" s="19"/>
      <c r="P93" s="18">
        <v>0</v>
      </c>
      <c r="Q93" s="16"/>
      <c r="R93" s="17"/>
      <c r="S93" s="18">
        <v>0</v>
      </c>
      <c r="T93" s="19"/>
      <c r="U93" s="18">
        <v>0</v>
      </c>
      <c r="V93" s="16"/>
      <c r="W93" s="17"/>
      <c r="X93" s="18">
        <f t="shared" si="9"/>
        <v>0</v>
      </c>
      <c r="Y93" s="19"/>
      <c r="Z93" s="19"/>
      <c r="AA93" s="18">
        <f t="shared" si="10"/>
        <v>0</v>
      </c>
      <c r="AB93" s="20">
        <f t="shared" si="11"/>
        <v>0</v>
      </c>
      <c r="AC93" s="5"/>
      <c r="AD93" s="8"/>
      <c r="AF93" s="6"/>
      <c r="AG93" s="7"/>
      <c r="AJ93" s="33"/>
      <c r="AK93" s="35"/>
      <c r="AL93" s="38"/>
    </row>
    <row r="94" spans="1:38" ht="17.25" customHeight="1">
      <c r="A94" s="25"/>
      <c r="B94" s="26"/>
      <c r="C94" s="14"/>
      <c r="D94" s="31"/>
      <c r="E94" s="14"/>
      <c r="F94" s="15" t="str">
        <f t="shared" si="6"/>
        <v xml:space="preserve">S/F  </v>
      </c>
      <c r="G94" s="16"/>
      <c r="H94" s="17">
        <v>21</v>
      </c>
      <c r="I94" s="18">
        <f t="shared" si="7"/>
        <v>0</v>
      </c>
      <c r="J94" s="17"/>
      <c r="K94" s="18"/>
      <c r="L94" s="16"/>
      <c r="M94" s="17"/>
      <c r="N94" s="18">
        <f t="shared" si="8"/>
        <v>0</v>
      </c>
      <c r="O94" s="19"/>
      <c r="P94" s="18">
        <v>0</v>
      </c>
      <c r="Q94" s="16"/>
      <c r="R94" s="17"/>
      <c r="S94" s="18">
        <v>0</v>
      </c>
      <c r="T94" s="19"/>
      <c r="U94" s="18">
        <v>0</v>
      </c>
      <c r="V94" s="16"/>
      <c r="W94" s="17"/>
      <c r="X94" s="18">
        <f t="shared" si="9"/>
        <v>0</v>
      </c>
      <c r="Y94" s="19"/>
      <c r="Z94" s="19"/>
      <c r="AA94" s="18">
        <f t="shared" si="10"/>
        <v>0</v>
      </c>
      <c r="AB94" s="20">
        <f t="shared" si="11"/>
        <v>0</v>
      </c>
      <c r="AC94" s="5"/>
      <c r="AD94" s="8"/>
      <c r="AF94" s="6"/>
      <c r="AG94" s="7"/>
      <c r="AJ94" s="33"/>
      <c r="AK94" s="35"/>
      <c r="AL94" s="38"/>
    </row>
    <row r="95" spans="1:38" ht="17.25" customHeight="1">
      <c r="A95" s="25"/>
      <c r="B95" s="26"/>
      <c r="C95" s="14"/>
      <c r="D95" s="31"/>
      <c r="E95" s="14"/>
      <c r="F95" s="15" t="str">
        <f t="shared" si="6"/>
        <v xml:space="preserve">S/F  </v>
      </c>
      <c r="G95" s="16"/>
      <c r="H95" s="17">
        <v>21</v>
      </c>
      <c r="I95" s="18">
        <f t="shared" si="7"/>
        <v>0</v>
      </c>
      <c r="J95" s="17"/>
      <c r="K95" s="18"/>
      <c r="L95" s="16"/>
      <c r="M95" s="17"/>
      <c r="N95" s="18">
        <f t="shared" si="8"/>
        <v>0</v>
      </c>
      <c r="O95" s="19"/>
      <c r="P95" s="18">
        <v>0</v>
      </c>
      <c r="Q95" s="16"/>
      <c r="R95" s="17"/>
      <c r="S95" s="18">
        <v>0</v>
      </c>
      <c r="T95" s="19"/>
      <c r="U95" s="18">
        <v>0</v>
      </c>
      <c r="V95" s="16"/>
      <c r="W95" s="17"/>
      <c r="X95" s="18">
        <f t="shared" si="9"/>
        <v>0</v>
      </c>
      <c r="Y95" s="19"/>
      <c r="Z95" s="19"/>
      <c r="AA95" s="18">
        <f t="shared" si="10"/>
        <v>0</v>
      </c>
      <c r="AB95" s="20">
        <f t="shared" si="11"/>
        <v>0</v>
      </c>
      <c r="AC95" s="5"/>
      <c r="AD95" s="8"/>
      <c r="AF95" s="6"/>
      <c r="AG95" s="7"/>
      <c r="AJ95" s="33"/>
      <c r="AK95" s="35"/>
      <c r="AL95" s="38"/>
    </row>
    <row r="96" spans="1:38" ht="17.25" customHeight="1">
      <c r="A96" s="25"/>
      <c r="B96" s="26"/>
      <c r="C96" s="14"/>
      <c r="D96" s="31"/>
      <c r="E96" s="14"/>
      <c r="F96" s="15" t="str">
        <f t="shared" si="6"/>
        <v xml:space="preserve">S/F  </v>
      </c>
      <c r="G96" s="16"/>
      <c r="H96" s="17">
        <v>21</v>
      </c>
      <c r="I96" s="18">
        <f t="shared" si="7"/>
        <v>0</v>
      </c>
      <c r="J96" s="17"/>
      <c r="K96" s="18"/>
      <c r="L96" s="16"/>
      <c r="M96" s="17"/>
      <c r="N96" s="18">
        <f t="shared" si="8"/>
        <v>0</v>
      </c>
      <c r="O96" s="19"/>
      <c r="P96" s="18">
        <v>0</v>
      </c>
      <c r="Q96" s="16"/>
      <c r="R96" s="17"/>
      <c r="S96" s="18">
        <v>0</v>
      </c>
      <c r="T96" s="19"/>
      <c r="U96" s="18">
        <v>0</v>
      </c>
      <c r="V96" s="16"/>
      <c r="W96" s="17"/>
      <c r="X96" s="18">
        <f t="shared" si="9"/>
        <v>0</v>
      </c>
      <c r="Y96" s="19"/>
      <c r="Z96" s="19"/>
      <c r="AA96" s="18">
        <f t="shared" si="10"/>
        <v>0</v>
      </c>
      <c r="AB96" s="20">
        <f t="shared" si="11"/>
        <v>0</v>
      </c>
      <c r="AC96" s="5"/>
      <c r="AD96" s="8"/>
      <c r="AF96" s="6"/>
      <c r="AG96" s="7"/>
      <c r="AJ96" s="33"/>
      <c r="AK96" s="35"/>
      <c r="AL96" s="38"/>
    </row>
    <row r="97" spans="1:38" ht="17.25" customHeight="1">
      <c r="A97" s="25"/>
      <c r="B97" s="26"/>
      <c r="C97" s="14"/>
      <c r="D97" s="31"/>
      <c r="E97" s="14"/>
      <c r="F97" s="15" t="str">
        <f t="shared" si="6"/>
        <v xml:space="preserve">S/F  </v>
      </c>
      <c r="G97" s="16"/>
      <c r="H97" s="17">
        <v>21</v>
      </c>
      <c r="I97" s="18">
        <f t="shared" si="7"/>
        <v>0</v>
      </c>
      <c r="J97" s="17"/>
      <c r="K97" s="18"/>
      <c r="L97" s="16"/>
      <c r="M97" s="17"/>
      <c r="N97" s="18">
        <f t="shared" si="8"/>
        <v>0</v>
      </c>
      <c r="O97" s="19"/>
      <c r="P97" s="18">
        <v>0</v>
      </c>
      <c r="Q97" s="16"/>
      <c r="R97" s="17"/>
      <c r="S97" s="18">
        <v>0</v>
      </c>
      <c r="T97" s="19"/>
      <c r="U97" s="18">
        <v>0</v>
      </c>
      <c r="V97" s="16"/>
      <c r="W97" s="17"/>
      <c r="X97" s="18">
        <f t="shared" si="9"/>
        <v>0</v>
      </c>
      <c r="Y97" s="19"/>
      <c r="Z97" s="19"/>
      <c r="AA97" s="18">
        <f t="shared" si="10"/>
        <v>0</v>
      </c>
      <c r="AB97" s="20">
        <f t="shared" si="11"/>
        <v>0</v>
      </c>
      <c r="AC97" s="5"/>
      <c r="AD97" s="8"/>
      <c r="AF97" s="6"/>
      <c r="AG97" s="7"/>
      <c r="AJ97" s="33"/>
      <c r="AK97" s="35"/>
      <c r="AL97" s="38"/>
    </row>
    <row r="98" spans="1:38" ht="17.25" customHeight="1">
      <c r="A98" s="25"/>
      <c r="B98" s="26"/>
      <c r="C98" s="14"/>
      <c r="D98" s="31"/>
      <c r="E98" s="14"/>
      <c r="F98" s="15" t="str">
        <f t="shared" si="6"/>
        <v xml:space="preserve">S/F  </v>
      </c>
      <c r="G98" s="16"/>
      <c r="H98" s="17">
        <v>21</v>
      </c>
      <c r="I98" s="18">
        <f t="shared" si="7"/>
        <v>0</v>
      </c>
      <c r="J98" s="17"/>
      <c r="K98" s="18"/>
      <c r="L98" s="16"/>
      <c r="M98" s="17"/>
      <c r="N98" s="18">
        <f t="shared" si="8"/>
        <v>0</v>
      </c>
      <c r="O98" s="19"/>
      <c r="P98" s="18">
        <v>0</v>
      </c>
      <c r="Q98" s="16"/>
      <c r="R98" s="17"/>
      <c r="S98" s="18">
        <v>0</v>
      </c>
      <c r="T98" s="19"/>
      <c r="U98" s="18">
        <v>0</v>
      </c>
      <c r="V98" s="16"/>
      <c r="W98" s="17"/>
      <c r="X98" s="18">
        <f t="shared" si="9"/>
        <v>0</v>
      </c>
      <c r="Y98" s="19"/>
      <c r="Z98" s="19"/>
      <c r="AA98" s="18">
        <f t="shared" si="10"/>
        <v>0</v>
      </c>
      <c r="AB98" s="20">
        <f t="shared" si="11"/>
        <v>0</v>
      </c>
      <c r="AC98" s="5"/>
      <c r="AD98" s="8"/>
      <c r="AF98" s="6"/>
      <c r="AG98" s="7"/>
      <c r="AJ98" s="33"/>
      <c r="AK98" s="35"/>
      <c r="AL98" s="38"/>
    </row>
    <row r="99" spans="1:38" ht="17.25" customHeight="1">
      <c r="A99" s="25"/>
      <c r="B99" s="26"/>
      <c r="C99" s="14"/>
      <c r="D99" s="31"/>
      <c r="E99" s="14"/>
      <c r="F99" s="15" t="str">
        <f t="shared" si="6"/>
        <v xml:space="preserve">S/F  </v>
      </c>
      <c r="G99" s="16"/>
      <c r="H99" s="17">
        <v>21</v>
      </c>
      <c r="I99" s="18">
        <f t="shared" si="7"/>
        <v>0</v>
      </c>
      <c r="J99" s="17"/>
      <c r="K99" s="18"/>
      <c r="L99" s="16"/>
      <c r="M99" s="17"/>
      <c r="N99" s="18">
        <f t="shared" si="8"/>
        <v>0</v>
      </c>
      <c r="O99" s="19"/>
      <c r="P99" s="18">
        <v>0</v>
      </c>
      <c r="Q99" s="16"/>
      <c r="R99" s="17"/>
      <c r="S99" s="18">
        <v>0</v>
      </c>
      <c r="T99" s="19"/>
      <c r="U99" s="18">
        <v>0</v>
      </c>
      <c r="V99" s="16"/>
      <c r="W99" s="17"/>
      <c r="X99" s="18">
        <f t="shared" si="9"/>
        <v>0</v>
      </c>
      <c r="Y99" s="19"/>
      <c r="Z99" s="19"/>
      <c r="AA99" s="18">
        <f t="shared" si="10"/>
        <v>0</v>
      </c>
      <c r="AB99" s="20">
        <f t="shared" si="11"/>
        <v>0</v>
      </c>
      <c r="AC99" s="5"/>
      <c r="AD99" s="8"/>
      <c r="AF99" s="6"/>
      <c r="AG99" s="7"/>
      <c r="AJ99" s="33"/>
      <c r="AK99" s="35"/>
      <c r="AL99" s="38"/>
    </row>
    <row r="100" spans="1:38" ht="17.25" customHeight="1">
      <c r="A100" s="25"/>
      <c r="B100" s="26"/>
      <c r="C100" s="14"/>
      <c r="D100" s="31"/>
      <c r="E100" s="14"/>
      <c r="F100" s="15" t="str">
        <f t="shared" si="6"/>
        <v xml:space="preserve">S/F  </v>
      </c>
      <c r="G100" s="16"/>
      <c r="H100" s="17">
        <v>21</v>
      </c>
      <c r="I100" s="18">
        <f t="shared" si="7"/>
        <v>0</v>
      </c>
      <c r="J100" s="17"/>
      <c r="K100" s="18"/>
      <c r="L100" s="16"/>
      <c r="M100" s="17"/>
      <c r="N100" s="18">
        <f t="shared" si="8"/>
        <v>0</v>
      </c>
      <c r="O100" s="19"/>
      <c r="P100" s="18">
        <v>0</v>
      </c>
      <c r="Q100" s="16"/>
      <c r="R100" s="17"/>
      <c r="S100" s="18">
        <v>0</v>
      </c>
      <c r="T100" s="19"/>
      <c r="U100" s="18">
        <v>0</v>
      </c>
      <c r="V100" s="16"/>
      <c r="W100" s="17"/>
      <c r="X100" s="18">
        <f t="shared" si="9"/>
        <v>0</v>
      </c>
      <c r="Y100" s="19"/>
      <c r="Z100" s="19"/>
      <c r="AA100" s="18">
        <f t="shared" si="10"/>
        <v>0</v>
      </c>
      <c r="AB100" s="20">
        <f t="shared" si="11"/>
        <v>0</v>
      </c>
      <c r="AC100" s="5"/>
      <c r="AD100" s="8"/>
      <c r="AF100" s="6"/>
      <c r="AG100" s="7"/>
      <c r="AJ100" s="33"/>
      <c r="AK100" s="35"/>
      <c r="AL100" s="38"/>
    </row>
    <row r="101" spans="1:38" ht="17.25" customHeight="1">
      <c r="A101" s="25"/>
      <c r="B101" s="26"/>
      <c r="C101" s="14"/>
      <c r="D101" s="31"/>
      <c r="E101" s="14"/>
      <c r="F101" s="15" t="str">
        <f t="shared" si="6"/>
        <v xml:space="preserve">S/F  </v>
      </c>
      <c r="G101" s="16"/>
      <c r="H101" s="17">
        <v>21</v>
      </c>
      <c r="I101" s="18">
        <f t="shared" si="7"/>
        <v>0</v>
      </c>
      <c r="J101" s="17"/>
      <c r="K101" s="18"/>
      <c r="L101" s="16"/>
      <c r="M101" s="17"/>
      <c r="N101" s="18">
        <f t="shared" si="8"/>
        <v>0</v>
      </c>
      <c r="O101" s="19"/>
      <c r="P101" s="18">
        <v>0</v>
      </c>
      <c r="Q101" s="16"/>
      <c r="R101" s="17"/>
      <c r="S101" s="18">
        <v>0</v>
      </c>
      <c r="T101" s="19"/>
      <c r="U101" s="18">
        <v>0</v>
      </c>
      <c r="V101" s="16"/>
      <c r="W101" s="17"/>
      <c r="X101" s="18">
        <f t="shared" si="9"/>
        <v>0</v>
      </c>
      <c r="Y101" s="19"/>
      <c r="Z101" s="19"/>
      <c r="AA101" s="18">
        <f t="shared" si="10"/>
        <v>0</v>
      </c>
      <c r="AB101" s="20">
        <f t="shared" si="11"/>
        <v>0</v>
      </c>
      <c r="AC101" s="5"/>
      <c r="AD101" s="8"/>
      <c r="AF101" s="6"/>
      <c r="AG101" s="7"/>
      <c r="AJ101" s="33"/>
      <c r="AK101" s="35"/>
      <c r="AL101" s="38"/>
    </row>
    <row r="102" spans="1:38" ht="17.25" customHeight="1">
      <c r="A102" s="25"/>
      <c r="B102" s="26"/>
      <c r="C102" s="14"/>
      <c r="D102" s="31"/>
      <c r="E102" s="14"/>
      <c r="F102" s="15" t="str">
        <f t="shared" si="6"/>
        <v xml:space="preserve">S/F  </v>
      </c>
      <c r="G102" s="16"/>
      <c r="H102" s="17">
        <v>21</v>
      </c>
      <c r="I102" s="18">
        <f t="shared" si="7"/>
        <v>0</v>
      </c>
      <c r="J102" s="17"/>
      <c r="K102" s="18"/>
      <c r="L102" s="16"/>
      <c r="M102" s="17"/>
      <c r="N102" s="18">
        <f t="shared" si="8"/>
        <v>0</v>
      </c>
      <c r="O102" s="19"/>
      <c r="P102" s="18">
        <v>0</v>
      </c>
      <c r="Q102" s="16"/>
      <c r="R102" s="17"/>
      <c r="S102" s="18">
        <v>0</v>
      </c>
      <c r="T102" s="19"/>
      <c r="U102" s="18">
        <v>0</v>
      </c>
      <c r="V102" s="16"/>
      <c r="W102" s="17"/>
      <c r="X102" s="18">
        <f t="shared" si="9"/>
        <v>0</v>
      </c>
      <c r="Y102" s="19"/>
      <c r="Z102" s="19"/>
      <c r="AA102" s="18">
        <f t="shared" si="10"/>
        <v>0</v>
      </c>
      <c r="AB102" s="20">
        <f t="shared" si="11"/>
        <v>0</v>
      </c>
      <c r="AC102" s="5"/>
      <c r="AD102" s="8"/>
      <c r="AF102" s="6"/>
      <c r="AG102" s="7"/>
      <c r="AJ102" s="33"/>
      <c r="AK102" s="35"/>
      <c r="AL102" s="38"/>
    </row>
    <row r="103" spans="1:38" ht="17.25" customHeight="1">
      <c r="A103" s="25"/>
      <c r="B103" s="26"/>
      <c r="C103" s="14"/>
      <c r="D103" s="31"/>
      <c r="E103" s="14"/>
      <c r="F103" s="15" t="str">
        <f t="shared" si="6"/>
        <v xml:space="preserve">S/F  </v>
      </c>
      <c r="G103" s="16"/>
      <c r="H103" s="17">
        <v>21</v>
      </c>
      <c r="I103" s="18">
        <f t="shared" si="7"/>
        <v>0</v>
      </c>
      <c r="J103" s="17"/>
      <c r="K103" s="18"/>
      <c r="L103" s="16"/>
      <c r="M103" s="17"/>
      <c r="N103" s="18">
        <f t="shared" si="8"/>
        <v>0</v>
      </c>
      <c r="O103" s="19"/>
      <c r="P103" s="18">
        <v>0</v>
      </c>
      <c r="Q103" s="16"/>
      <c r="R103" s="17"/>
      <c r="S103" s="18">
        <v>0</v>
      </c>
      <c r="T103" s="19"/>
      <c r="U103" s="18">
        <v>0</v>
      </c>
      <c r="V103" s="16"/>
      <c r="W103" s="17"/>
      <c r="X103" s="18">
        <f t="shared" si="9"/>
        <v>0</v>
      </c>
      <c r="Y103" s="19"/>
      <c r="Z103" s="19"/>
      <c r="AA103" s="18">
        <f t="shared" si="10"/>
        <v>0</v>
      </c>
      <c r="AB103" s="20">
        <f t="shared" si="11"/>
        <v>0</v>
      </c>
      <c r="AC103" s="5"/>
      <c r="AD103" s="8"/>
      <c r="AF103" s="6"/>
      <c r="AG103" s="7"/>
      <c r="AJ103" s="33"/>
      <c r="AK103" s="35"/>
      <c r="AL103" s="38"/>
    </row>
    <row r="104" spans="1:38" ht="17.25" customHeight="1">
      <c r="A104" s="25"/>
      <c r="B104" s="26"/>
      <c r="C104" s="14"/>
      <c r="D104" s="31"/>
      <c r="E104" s="14"/>
      <c r="F104" s="15" t="str">
        <f t="shared" si="6"/>
        <v xml:space="preserve">S/F  </v>
      </c>
      <c r="G104" s="16"/>
      <c r="H104" s="17">
        <v>21</v>
      </c>
      <c r="I104" s="18">
        <f t="shared" si="7"/>
        <v>0</v>
      </c>
      <c r="J104" s="17"/>
      <c r="K104" s="18"/>
      <c r="L104" s="16"/>
      <c r="M104" s="17"/>
      <c r="N104" s="18">
        <f t="shared" si="8"/>
        <v>0</v>
      </c>
      <c r="O104" s="19"/>
      <c r="P104" s="18">
        <v>0</v>
      </c>
      <c r="Q104" s="16"/>
      <c r="R104" s="17"/>
      <c r="S104" s="18">
        <v>0</v>
      </c>
      <c r="T104" s="19"/>
      <c r="U104" s="18">
        <v>0</v>
      </c>
      <c r="V104" s="16"/>
      <c r="W104" s="17"/>
      <c r="X104" s="18">
        <f t="shared" si="9"/>
        <v>0</v>
      </c>
      <c r="Y104" s="19"/>
      <c r="Z104" s="19"/>
      <c r="AA104" s="18">
        <f t="shared" si="10"/>
        <v>0</v>
      </c>
      <c r="AB104" s="20">
        <f t="shared" si="11"/>
        <v>0</v>
      </c>
      <c r="AC104" s="5"/>
      <c r="AD104" s="8"/>
      <c r="AF104" s="6"/>
      <c r="AG104" s="7"/>
      <c r="AJ104" s="33"/>
      <c r="AK104" s="35"/>
      <c r="AL104" s="38"/>
    </row>
    <row r="105" spans="1:38" ht="17.25" customHeight="1">
      <c r="A105" s="25"/>
      <c r="B105" s="26"/>
      <c r="C105" s="14"/>
      <c r="D105" s="31"/>
      <c r="E105" s="14"/>
      <c r="F105" s="15" t="str">
        <f t="shared" si="6"/>
        <v xml:space="preserve">S/F  </v>
      </c>
      <c r="G105" s="16"/>
      <c r="H105" s="17">
        <v>21</v>
      </c>
      <c r="I105" s="18">
        <f t="shared" si="7"/>
        <v>0</v>
      </c>
      <c r="J105" s="17"/>
      <c r="K105" s="18"/>
      <c r="L105" s="16"/>
      <c r="M105" s="17"/>
      <c r="N105" s="18">
        <f t="shared" si="8"/>
        <v>0</v>
      </c>
      <c r="O105" s="19"/>
      <c r="P105" s="18">
        <v>0</v>
      </c>
      <c r="Q105" s="16"/>
      <c r="R105" s="17"/>
      <c r="S105" s="18">
        <v>0</v>
      </c>
      <c r="T105" s="19"/>
      <c r="U105" s="18">
        <v>0</v>
      </c>
      <c r="V105" s="16"/>
      <c r="W105" s="17"/>
      <c r="X105" s="18">
        <f t="shared" si="9"/>
        <v>0</v>
      </c>
      <c r="Y105" s="19"/>
      <c r="Z105" s="19"/>
      <c r="AA105" s="18">
        <f t="shared" si="10"/>
        <v>0</v>
      </c>
      <c r="AB105" s="20">
        <f t="shared" si="11"/>
        <v>0</v>
      </c>
      <c r="AC105" s="5"/>
      <c r="AD105" s="8"/>
      <c r="AF105" s="6"/>
      <c r="AG105" s="7"/>
      <c r="AJ105" s="33"/>
      <c r="AK105" s="35"/>
      <c r="AL105" s="38"/>
    </row>
    <row r="106" spans="1:38" ht="17.25" customHeight="1">
      <c r="A106" s="25"/>
      <c r="B106" s="26"/>
      <c r="C106" s="14"/>
      <c r="D106" s="31"/>
      <c r="E106" s="14"/>
      <c r="F106" s="15" t="str">
        <f t="shared" si="6"/>
        <v xml:space="preserve">S/F  </v>
      </c>
      <c r="G106" s="16"/>
      <c r="H106" s="17">
        <v>21</v>
      </c>
      <c r="I106" s="18">
        <f t="shared" si="7"/>
        <v>0</v>
      </c>
      <c r="J106" s="17"/>
      <c r="K106" s="18"/>
      <c r="L106" s="16"/>
      <c r="M106" s="17"/>
      <c r="N106" s="18">
        <f t="shared" si="8"/>
        <v>0</v>
      </c>
      <c r="O106" s="19"/>
      <c r="P106" s="18">
        <v>0</v>
      </c>
      <c r="Q106" s="16"/>
      <c r="R106" s="17"/>
      <c r="S106" s="18">
        <v>0</v>
      </c>
      <c r="T106" s="19"/>
      <c r="U106" s="18">
        <v>0</v>
      </c>
      <c r="V106" s="16"/>
      <c r="W106" s="17"/>
      <c r="X106" s="18">
        <f t="shared" si="9"/>
        <v>0</v>
      </c>
      <c r="Y106" s="19"/>
      <c r="Z106" s="19"/>
      <c r="AA106" s="18">
        <f t="shared" si="10"/>
        <v>0</v>
      </c>
      <c r="AB106" s="20">
        <f t="shared" si="11"/>
        <v>0</v>
      </c>
      <c r="AC106" s="5"/>
      <c r="AD106" s="8"/>
      <c r="AF106" s="6"/>
      <c r="AG106" s="7"/>
      <c r="AJ106" s="33"/>
      <c r="AK106" s="35"/>
      <c r="AL106" s="38"/>
    </row>
    <row r="107" spans="1:38" ht="17.25" customHeight="1">
      <c r="A107" s="25"/>
      <c r="B107" s="26"/>
      <c r="C107" s="14"/>
      <c r="D107" s="31"/>
      <c r="E107" s="14"/>
      <c r="F107" s="15" t="str">
        <f t="shared" si="6"/>
        <v xml:space="preserve">S/F  </v>
      </c>
      <c r="G107" s="16"/>
      <c r="H107" s="17">
        <v>21</v>
      </c>
      <c r="I107" s="18">
        <f t="shared" si="7"/>
        <v>0</v>
      </c>
      <c r="J107" s="17"/>
      <c r="K107" s="18"/>
      <c r="L107" s="16"/>
      <c r="M107" s="17"/>
      <c r="N107" s="18">
        <f t="shared" si="8"/>
        <v>0</v>
      </c>
      <c r="O107" s="19"/>
      <c r="P107" s="18">
        <v>0</v>
      </c>
      <c r="Q107" s="16"/>
      <c r="R107" s="17"/>
      <c r="S107" s="18">
        <v>0</v>
      </c>
      <c r="T107" s="19"/>
      <c r="U107" s="18">
        <v>0</v>
      </c>
      <c r="V107" s="16"/>
      <c r="W107" s="17"/>
      <c r="X107" s="18">
        <f t="shared" si="9"/>
        <v>0</v>
      </c>
      <c r="Y107" s="19"/>
      <c r="Z107" s="19"/>
      <c r="AA107" s="18">
        <f t="shared" si="10"/>
        <v>0</v>
      </c>
      <c r="AB107" s="20">
        <f t="shared" si="11"/>
        <v>0</v>
      </c>
      <c r="AC107" s="5"/>
      <c r="AD107" s="8"/>
      <c r="AF107" s="6"/>
      <c r="AG107" s="7"/>
      <c r="AJ107" s="33"/>
      <c r="AK107" s="35"/>
      <c r="AL107" s="38"/>
    </row>
    <row r="108" spans="1:38" ht="17.25" customHeight="1">
      <c r="A108" s="25"/>
      <c r="B108" s="26"/>
      <c r="C108" s="14"/>
      <c r="D108" s="31"/>
      <c r="E108" s="14"/>
      <c r="F108" s="15" t="str">
        <f t="shared" si="6"/>
        <v xml:space="preserve">S/F  </v>
      </c>
      <c r="G108" s="16"/>
      <c r="H108" s="17">
        <v>21</v>
      </c>
      <c r="I108" s="18">
        <f t="shared" si="7"/>
        <v>0</v>
      </c>
      <c r="J108" s="17"/>
      <c r="K108" s="18"/>
      <c r="L108" s="16"/>
      <c r="M108" s="17"/>
      <c r="N108" s="18">
        <f t="shared" si="8"/>
        <v>0</v>
      </c>
      <c r="O108" s="19"/>
      <c r="P108" s="18">
        <v>0</v>
      </c>
      <c r="Q108" s="16"/>
      <c r="R108" s="17"/>
      <c r="S108" s="18">
        <v>0</v>
      </c>
      <c r="T108" s="19"/>
      <c r="U108" s="18">
        <v>0</v>
      </c>
      <c r="V108" s="16"/>
      <c r="W108" s="17"/>
      <c r="X108" s="18">
        <f t="shared" si="9"/>
        <v>0</v>
      </c>
      <c r="Y108" s="19"/>
      <c r="Z108" s="19"/>
      <c r="AA108" s="18">
        <f t="shared" si="10"/>
        <v>0</v>
      </c>
      <c r="AB108" s="20">
        <f t="shared" si="11"/>
        <v>0</v>
      </c>
      <c r="AC108" s="5"/>
      <c r="AD108" s="8"/>
      <c r="AF108" s="6"/>
      <c r="AG108" s="7"/>
      <c r="AJ108" s="33"/>
      <c r="AK108" s="35"/>
      <c r="AL108" s="38"/>
    </row>
    <row r="109" spans="1:38" ht="17.25" customHeight="1">
      <c r="A109" s="25"/>
      <c r="B109" s="26"/>
      <c r="C109" s="14"/>
      <c r="D109" s="31"/>
      <c r="E109" s="14"/>
      <c r="F109" s="15" t="str">
        <f t="shared" si="6"/>
        <v xml:space="preserve">S/F  </v>
      </c>
      <c r="G109" s="16"/>
      <c r="H109" s="17">
        <v>21</v>
      </c>
      <c r="I109" s="18">
        <f t="shared" si="7"/>
        <v>0</v>
      </c>
      <c r="J109" s="17"/>
      <c r="K109" s="18"/>
      <c r="L109" s="16"/>
      <c r="M109" s="17"/>
      <c r="N109" s="18">
        <f t="shared" si="8"/>
        <v>0</v>
      </c>
      <c r="O109" s="19"/>
      <c r="P109" s="18">
        <v>0</v>
      </c>
      <c r="Q109" s="16"/>
      <c r="R109" s="17"/>
      <c r="S109" s="18">
        <v>0</v>
      </c>
      <c r="T109" s="19"/>
      <c r="U109" s="18">
        <v>0</v>
      </c>
      <c r="V109" s="16"/>
      <c r="W109" s="17"/>
      <c r="X109" s="18">
        <f t="shared" si="9"/>
        <v>0</v>
      </c>
      <c r="Y109" s="19"/>
      <c r="Z109" s="19"/>
      <c r="AA109" s="18">
        <f t="shared" si="10"/>
        <v>0</v>
      </c>
      <c r="AB109" s="20">
        <f t="shared" si="11"/>
        <v>0</v>
      </c>
      <c r="AC109" s="5"/>
      <c r="AD109" s="8"/>
      <c r="AF109" s="6"/>
      <c r="AG109" s="7"/>
      <c r="AJ109" s="33"/>
      <c r="AK109" s="35"/>
      <c r="AL109" s="38"/>
    </row>
    <row r="110" spans="1:38" ht="17.25" customHeight="1"/>
    <row r="111" spans="1:38" ht="17.25" customHeight="1"/>
    <row r="112" spans="1:38" ht="17.25" customHeight="1"/>
    <row r="113" ht="17.25" customHeight="1"/>
    <row r="114" ht="17.25" customHeight="1"/>
    <row r="115" ht="17.25" customHeight="1"/>
    <row r="116" ht="17.25" customHeight="1"/>
    <row r="117" ht="17.25" customHeight="1"/>
    <row r="118" ht="17.25" customHeight="1"/>
    <row r="119" ht="17.25" customHeight="1"/>
    <row r="120" ht="17.25" customHeight="1"/>
    <row r="121" ht="17.25" customHeight="1"/>
    <row r="122" ht="17.25" customHeight="1"/>
    <row r="123" ht="17.25" customHeight="1"/>
    <row r="124" ht="17.25" customHeight="1"/>
    <row r="125" ht="17.25" customHeight="1"/>
    <row r="126" ht="17.25" customHeight="1"/>
    <row r="127" ht="17.25" customHeight="1"/>
    <row r="128" ht="17.25" customHeight="1"/>
    <row r="129" ht="17.25" customHeight="1"/>
    <row r="130" ht="17.25" customHeight="1"/>
    <row r="131" ht="17.25" customHeight="1"/>
    <row r="132" ht="17.25" customHeight="1"/>
    <row r="133" ht="17.25" customHeight="1"/>
    <row r="134" ht="17.25" customHeight="1"/>
    <row r="135" ht="17.25" customHeight="1"/>
    <row r="136" ht="17.25" customHeight="1"/>
    <row r="137" ht="17.25" customHeight="1"/>
    <row r="138" ht="17.25" customHeight="1"/>
    <row r="139" ht="17.25" customHeight="1"/>
    <row r="140" ht="17.25" customHeight="1"/>
    <row r="141" ht="17.25" customHeight="1"/>
    <row r="142" ht="17.25" customHeight="1"/>
    <row r="143" ht="17.25" customHeight="1"/>
    <row r="144" ht="17.25" customHeight="1"/>
    <row r="145" ht="17.25" customHeight="1"/>
    <row r="146" ht="17.25" customHeight="1"/>
    <row r="147" ht="17.25" customHeight="1"/>
    <row r="148" ht="17.25" customHeight="1"/>
    <row r="149" ht="17.25" customHeight="1"/>
    <row r="150" ht="17.25" customHeight="1"/>
    <row r="151" ht="17.25" customHeight="1"/>
    <row r="152" ht="17.25" customHeight="1"/>
    <row r="153" ht="17.25" customHeight="1"/>
    <row r="154" ht="17.25" customHeight="1"/>
    <row r="155" ht="17.25" customHeight="1"/>
    <row r="156" ht="17.25" customHeight="1"/>
    <row r="157" ht="17.25" customHeight="1"/>
    <row r="158" ht="17.25" customHeight="1"/>
    <row r="159" ht="17.25" customHeight="1"/>
    <row r="160" ht="17.25" customHeight="1"/>
    <row r="161" spans="1:38" ht="17.25" customHeight="1"/>
    <row r="162" spans="1:38" ht="17.25" customHeight="1"/>
    <row r="163" spans="1:38" ht="17.25" customHeight="1"/>
    <row r="164" spans="1:38" ht="17.25" customHeight="1">
      <c r="A164"/>
      <c r="B164"/>
      <c r="C164"/>
      <c r="D164"/>
      <c r="E164"/>
      <c r="F164"/>
      <c r="AE164"/>
      <c r="AF164"/>
      <c r="AG164"/>
      <c r="AH164"/>
      <c r="AL164"/>
    </row>
  </sheetData>
  <dataValidations count="1">
    <dataValidation type="textLength" errorStyle="warning" allowBlank="1" showInputMessage="1" showErrorMessage="1" error="Contamar le informa de que el código introducido debe contener únicamente 8 dígitos._x000a__x000a_" sqref="AC2:AC109" xr:uid="{8405D24C-52C1-4F8C-89E8-DC8B19CBF385}">
      <formula1>8</formula1>
      <formula2>8</formula2>
    </dataValidation>
  </dataValidations>
  <pageMargins left="0.7" right="0.7" top="0.75" bottom="0.75" header="0.3" footer="0.3"/>
  <legacy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7F4B33-CBE4-4DFC-9063-0AAD60F69BB8}">
  <sheetPr codeName="Hoja12"/>
  <dimension ref="A1:AM161"/>
  <sheetViews>
    <sheetView zoomScale="80" zoomScaleNormal="80" workbookViewId="0">
      <selection sqref="A1:XFD1048576"/>
    </sheetView>
  </sheetViews>
  <sheetFormatPr baseColWidth="10" defaultColWidth="11.42578125" defaultRowHeight="15"/>
  <cols>
    <col min="1" max="1" width="12.85546875" style="29" bestFit="1" customWidth="1"/>
    <col min="2" max="2" width="20.42578125" style="30" bestFit="1" customWidth="1"/>
    <col min="3" max="3" width="13.42578125" style="4" hidden="1" customWidth="1"/>
    <col min="4" max="4" width="15.85546875" style="3" bestFit="1" customWidth="1"/>
    <col min="5" max="5" width="49.42578125" style="4" bestFit="1" customWidth="1"/>
    <col min="6" max="6" width="66" style="4" bestFit="1" customWidth="1"/>
    <col min="7" max="7" width="10.85546875" customWidth="1"/>
    <col min="8" max="8" width="7.7109375" customWidth="1"/>
    <col min="10" max="10" width="6.7109375" hidden="1" customWidth="1"/>
    <col min="11" max="11" width="11.7109375" hidden="1" customWidth="1"/>
    <col min="12" max="12" width="9.28515625" bestFit="1" customWidth="1"/>
    <col min="13" max="13" width="6.7109375" bestFit="1" customWidth="1"/>
    <col min="14" max="14" width="12.140625" customWidth="1"/>
    <col min="15" max="15" width="8.7109375" bestFit="1" customWidth="1"/>
    <col min="16" max="16" width="12.140625" bestFit="1" customWidth="1"/>
    <col min="17" max="18" width="6.42578125" bestFit="1" customWidth="1"/>
    <col min="19" max="19" width="8" bestFit="1" customWidth="1"/>
    <col min="20" max="20" width="8.7109375" bestFit="1" customWidth="1"/>
    <col min="21" max="21" width="10.7109375" bestFit="1" customWidth="1"/>
    <col min="22" max="22" width="11.7109375" customWidth="1"/>
    <col min="23" max="23" width="6.140625" customWidth="1"/>
    <col min="24" max="24" width="13.28515625" customWidth="1"/>
    <col min="25" max="25" width="11.7109375" hidden="1" customWidth="1"/>
    <col min="26" max="26" width="5.42578125" hidden="1" customWidth="1"/>
    <col min="27" max="27" width="8.42578125" hidden="1" customWidth="1"/>
    <col min="28" max="28" width="12.7109375" bestFit="1" customWidth="1"/>
    <col min="29" max="29" width="14.7109375" hidden="1" customWidth="1"/>
    <col min="30" max="30" width="16.140625" hidden="1" customWidth="1"/>
    <col min="31" max="31" width="16.140625" style="3" hidden="1" customWidth="1"/>
    <col min="32" max="32" width="4.42578125" style="3" hidden="1" customWidth="1"/>
    <col min="33" max="33" width="9.85546875" style="3" hidden="1" customWidth="1"/>
    <col min="34" max="34" width="12" style="4" hidden="1" customWidth="1"/>
    <col min="35" max="35" width="15.42578125" hidden="1" customWidth="1"/>
    <col min="36" max="36" width="26.42578125" bestFit="1" customWidth="1"/>
    <col min="37" max="37" width="21.42578125" bestFit="1" customWidth="1"/>
    <col min="38" max="38" width="14.140625" style="44" customWidth="1"/>
  </cols>
  <sheetData>
    <row r="1" spans="1:39" s="1" customFormat="1" ht="38.25" customHeight="1">
      <c r="A1" s="21" t="s">
        <v>5</v>
      </c>
      <c r="B1" s="22" t="s">
        <v>9</v>
      </c>
      <c r="C1" s="22" t="s">
        <v>6</v>
      </c>
      <c r="D1" s="22" t="s">
        <v>8</v>
      </c>
      <c r="E1" s="22" t="s">
        <v>3</v>
      </c>
      <c r="F1" s="22" t="s">
        <v>10</v>
      </c>
      <c r="G1" s="21" t="s">
        <v>7</v>
      </c>
      <c r="H1" s="21" t="s">
        <v>0</v>
      </c>
      <c r="I1" s="21" t="s">
        <v>1</v>
      </c>
      <c r="J1" s="21" t="s">
        <v>23</v>
      </c>
      <c r="K1" s="21" t="s">
        <v>24</v>
      </c>
      <c r="L1" s="21" t="s">
        <v>19</v>
      </c>
      <c r="M1" s="21" t="s">
        <v>15</v>
      </c>
      <c r="N1" s="21" t="s">
        <v>16</v>
      </c>
      <c r="O1" s="21" t="s">
        <v>25</v>
      </c>
      <c r="P1" s="21" t="s">
        <v>26</v>
      </c>
      <c r="Q1" s="21" t="s">
        <v>20</v>
      </c>
      <c r="R1" s="21" t="s">
        <v>17</v>
      </c>
      <c r="S1" s="21" t="s">
        <v>18</v>
      </c>
      <c r="T1" s="21" t="s">
        <v>28</v>
      </c>
      <c r="U1" s="21" t="s">
        <v>27</v>
      </c>
      <c r="V1" s="21" t="s">
        <v>2</v>
      </c>
      <c r="W1" s="21" t="s">
        <v>30</v>
      </c>
      <c r="X1" s="21" t="s">
        <v>32</v>
      </c>
      <c r="Y1" s="21" t="s">
        <v>29</v>
      </c>
      <c r="Z1" s="21" t="s">
        <v>31</v>
      </c>
      <c r="AA1" s="21" t="s">
        <v>33</v>
      </c>
      <c r="AB1" s="21" t="s">
        <v>34</v>
      </c>
      <c r="AC1" s="22" t="s">
        <v>11</v>
      </c>
      <c r="AD1" s="22" t="s">
        <v>21</v>
      </c>
      <c r="AE1" s="22" t="s">
        <v>22</v>
      </c>
      <c r="AF1" s="22" t="s">
        <v>4</v>
      </c>
      <c r="AG1" s="22" t="s">
        <v>12</v>
      </c>
      <c r="AH1" s="23" t="s">
        <v>13</v>
      </c>
      <c r="AI1" s="24" t="s">
        <v>14</v>
      </c>
      <c r="AJ1" s="32" t="s">
        <v>37</v>
      </c>
      <c r="AK1" s="34" t="s">
        <v>35</v>
      </c>
      <c r="AL1" s="62" t="s">
        <v>36</v>
      </c>
    </row>
    <row r="2" spans="1:39" ht="17.25" customHeight="1">
      <c r="A2" s="25"/>
      <c r="B2" s="26"/>
      <c r="C2" s="14"/>
      <c r="D2" s="31"/>
      <c r="E2" s="14"/>
      <c r="F2" s="15" t="str">
        <f t="shared" ref="F2:F33" si="0">"S/F "&amp;B2&amp;" "&amp;E2</f>
        <v xml:space="preserve">S/F  </v>
      </c>
      <c r="G2" s="16"/>
      <c r="H2" s="17">
        <v>21</v>
      </c>
      <c r="I2" s="18">
        <f t="shared" ref="I2:I33" si="1">+IF(G2&lt;&gt;0,G2*H2/100,0)</f>
        <v>0</v>
      </c>
      <c r="J2" s="17"/>
      <c r="K2" s="18"/>
      <c r="L2" s="16"/>
      <c r="M2" s="17"/>
      <c r="N2" s="18">
        <f t="shared" ref="N2:N33" si="2">+IF(L2&lt;&gt;0,L2*M2/100,0)</f>
        <v>0</v>
      </c>
      <c r="O2" s="19"/>
      <c r="P2" s="18">
        <v>0</v>
      </c>
      <c r="Q2" s="16"/>
      <c r="R2" s="17"/>
      <c r="S2" s="18">
        <f t="shared" ref="S2:S33" si="3">+IF(Q2&lt;&gt;0,Q2*R2/100,0)</f>
        <v>0</v>
      </c>
      <c r="T2" s="19"/>
      <c r="U2" s="18">
        <v>0</v>
      </c>
      <c r="V2" s="16"/>
      <c r="W2" s="17"/>
      <c r="X2" s="18">
        <f t="shared" ref="X2:X33" si="4">+IF(W2&lt;&gt;0,V2*W2/100,0)</f>
        <v>0</v>
      </c>
      <c r="Y2" s="19"/>
      <c r="Z2" s="19"/>
      <c r="AA2" s="18">
        <f t="shared" ref="AA2:AA33" si="5">+IF(Z2&lt;&gt;0,Y2*Z2/100,0)</f>
        <v>0</v>
      </c>
      <c r="AB2" s="20">
        <f t="shared" ref="AB2:AB33" si="6">+G2+I2+K2+L2+N2+P2+Q2+S2+U2-X2-AA2</f>
        <v>0</v>
      </c>
      <c r="AC2" s="5"/>
      <c r="AD2" s="8"/>
      <c r="AF2" s="6"/>
      <c r="AG2" s="7"/>
      <c r="AJ2" s="33"/>
      <c r="AK2" s="35"/>
      <c r="AL2" s="38"/>
    </row>
    <row r="3" spans="1:39" ht="17.25" customHeight="1">
      <c r="A3" s="25"/>
      <c r="B3" s="26"/>
      <c r="C3" s="14"/>
      <c r="D3" s="31"/>
      <c r="E3" s="14"/>
      <c r="F3" s="15" t="str">
        <f t="shared" si="0"/>
        <v xml:space="preserve">S/F  </v>
      </c>
      <c r="G3" s="16"/>
      <c r="H3" s="17">
        <v>21</v>
      </c>
      <c r="I3" s="18">
        <f t="shared" si="1"/>
        <v>0</v>
      </c>
      <c r="J3" s="17"/>
      <c r="K3" s="18"/>
      <c r="L3" s="16"/>
      <c r="M3" s="17"/>
      <c r="N3" s="18">
        <f t="shared" si="2"/>
        <v>0</v>
      </c>
      <c r="O3" s="19"/>
      <c r="P3" s="18">
        <v>0</v>
      </c>
      <c r="Q3" s="16"/>
      <c r="R3" s="17"/>
      <c r="S3" s="18">
        <f t="shared" si="3"/>
        <v>0</v>
      </c>
      <c r="T3" s="19"/>
      <c r="U3" s="18">
        <v>0</v>
      </c>
      <c r="V3" s="16"/>
      <c r="W3" s="17"/>
      <c r="X3" s="18">
        <f t="shared" si="4"/>
        <v>0</v>
      </c>
      <c r="Y3" s="19"/>
      <c r="Z3" s="19"/>
      <c r="AA3" s="18">
        <f t="shared" si="5"/>
        <v>0</v>
      </c>
      <c r="AB3" s="20">
        <f t="shared" si="6"/>
        <v>0</v>
      </c>
      <c r="AC3" s="5"/>
      <c r="AD3" s="8"/>
      <c r="AF3" s="6"/>
      <c r="AG3" s="7"/>
      <c r="AJ3" s="33"/>
      <c r="AK3" s="35"/>
      <c r="AL3" s="38"/>
    </row>
    <row r="4" spans="1:39" ht="17.25" customHeight="1">
      <c r="A4" s="25"/>
      <c r="B4" s="26"/>
      <c r="C4" s="14"/>
      <c r="D4" s="31"/>
      <c r="E4" s="14"/>
      <c r="F4" s="15" t="str">
        <f t="shared" si="0"/>
        <v xml:space="preserve">S/F  </v>
      </c>
      <c r="G4" s="16"/>
      <c r="H4" s="17">
        <v>21</v>
      </c>
      <c r="I4" s="18">
        <f t="shared" si="1"/>
        <v>0</v>
      </c>
      <c r="J4" s="17"/>
      <c r="K4" s="18"/>
      <c r="L4" s="16"/>
      <c r="M4" s="17"/>
      <c r="N4" s="18">
        <f t="shared" si="2"/>
        <v>0</v>
      </c>
      <c r="O4" s="19"/>
      <c r="P4" s="18">
        <v>0</v>
      </c>
      <c r="Q4" s="16"/>
      <c r="R4" s="17"/>
      <c r="S4" s="18">
        <f t="shared" si="3"/>
        <v>0</v>
      </c>
      <c r="T4" s="19"/>
      <c r="U4" s="18">
        <v>0</v>
      </c>
      <c r="V4" s="16"/>
      <c r="W4" s="17"/>
      <c r="X4" s="18">
        <f t="shared" si="4"/>
        <v>0</v>
      </c>
      <c r="Y4" s="19"/>
      <c r="Z4" s="19"/>
      <c r="AA4" s="18">
        <f t="shared" si="5"/>
        <v>0</v>
      </c>
      <c r="AB4" s="20">
        <f t="shared" si="6"/>
        <v>0</v>
      </c>
      <c r="AC4" s="5"/>
      <c r="AD4" s="8"/>
      <c r="AF4" s="6"/>
      <c r="AG4" s="7"/>
      <c r="AJ4" s="33"/>
      <c r="AK4" s="35"/>
      <c r="AL4" s="38"/>
    </row>
    <row r="5" spans="1:39" ht="17.25" customHeight="1">
      <c r="A5" s="25"/>
      <c r="B5" s="26"/>
      <c r="C5" s="14"/>
      <c r="D5" s="31"/>
      <c r="E5" s="14"/>
      <c r="F5" s="15" t="str">
        <f t="shared" si="0"/>
        <v xml:space="preserve">S/F  </v>
      </c>
      <c r="G5" s="16"/>
      <c r="H5" s="17">
        <v>21</v>
      </c>
      <c r="I5" s="18">
        <f t="shared" si="1"/>
        <v>0</v>
      </c>
      <c r="J5" s="17"/>
      <c r="K5" s="18"/>
      <c r="L5" s="16"/>
      <c r="M5" s="17"/>
      <c r="N5" s="18">
        <f t="shared" si="2"/>
        <v>0</v>
      </c>
      <c r="O5" s="19"/>
      <c r="P5" s="18">
        <v>0</v>
      </c>
      <c r="Q5" s="16"/>
      <c r="R5" s="17"/>
      <c r="S5" s="18">
        <f t="shared" si="3"/>
        <v>0</v>
      </c>
      <c r="T5" s="19"/>
      <c r="U5" s="18">
        <v>0</v>
      </c>
      <c r="V5" s="16"/>
      <c r="W5" s="17"/>
      <c r="X5" s="18">
        <f t="shared" si="4"/>
        <v>0</v>
      </c>
      <c r="Y5" s="19"/>
      <c r="Z5" s="19"/>
      <c r="AA5" s="18">
        <f t="shared" si="5"/>
        <v>0</v>
      </c>
      <c r="AB5" s="20">
        <f t="shared" si="6"/>
        <v>0</v>
      </c>
      <c r="AC5" s="5"/>
      <c r="AD5" s="8"/>
      <c r="AF5" s="6"/>
      <c r="AG5" s="7"/>
      <c r="AJ5" s="33"/>
      <c r="AK5" s="35"/>
      <c r="AL5" s="38"/>
    </row>
    <row r="6" spans="1:39" ht="17.25" customHeight="1">
      <c r="A6" s="25"/>
      <c r="B6" s="26"/>
      <c r="C6" s="14"/>
      <c r="D6" s="31"/>
      <c r="E6" s="14"/>
      <c r="F6" s="15" t="str">
        <f t="shared" si="0"/>
        <v xml:space="preserve">S/F  </v>
      </c>
      <c r="G6" s="16"/>
      <c r="H6" s="17">
        <v>21</v>
      </c>
      <c r="I6" s="18">
        <f t="shared" si="1"/>
        <v>0</v>
      </c>
      <c r="J6" s="17"/>
      <c r="K6" s="18"/>
      <c r="L6" s="16"/>
      <c r="M6" s="17"/>
      <c r="N6" s="18">
        <f t="shared" si="2"/>
        <v>0</v>
      </c>
      <c r="O6" s="19"/>
      <c r="P6" s="18">
        <v>0</v>
      </c>
      <c r="Q6" s="16"/>
      <c r="R6" s="17"/>
      <c r="S6" s="18">
        <f t="shared" si="3"/>
        <v>0</v>
      </c>
      <c r="T6" s="19"/>
      <c r="U6" s="18">
        <v>0</v>
      </c>
      <c r="V6" s="16"/>
      <c r="W6" s="17"/>
      <c r="X6" s="18">
        <f t="shared" si="4"/>
        <v>0</v>
      </c>
      <c r="Y6" s="19"/>
      <c r="Z6" s="19"/>
      <c r="AA6" s="18">
        <f t="shared" si="5"/>
        <v>0</v>
      </c>
      <c r="AB6" s="20">
        <f t="shared" si="6"/>
        <v>0</v>
      </c>
      <c r="AC6" s="5"/>
      <c r="AD6" s="8"/>
      <c r="AF6" s="6"/>
      <c r="AG6" s="7"/>
      <c r="AJ6" s="33"/>
      <c r="AK6" s="35"/>
      <c r="AL6" s="38"/>
    </row>
    <row r="7" spans="1:39" ht="17.25" customHeight="1">
      <c r="A7" s="25"/>
      <c r="B7" s="26"/>
      <c r="C7" s="14"/>
      <c r="D7" s="31"/>
      <c r="E7" s="14"/>
      <c r="F7" s="15" t="str">
        <f t="shared" si="0"/>
        <v xml:space="preserve">S/F  </v>
      </c>
      <c r="G7" s="16"/>
      <c r="H7" s="17">
        <v>21</v>
      </c>
      <c r="I7" s="18">
        <f t="shared" si="1"/>
        <v>0</v>
      </c>
      <c r="J7" s="17"/>
      <c r="K7" s="18"/>
      <c r="L7" s="16"/>
      <c r="M7" s="17"/>
      <c r="N7" s="18">
        <f t="shared" si="2"/>
        <v>0</v>
      </c>
      <c r="O7" s="19"/>
      <c r="P7" s="18">
        <v>0</v>
      </c>
      <c r="Q7" s="16"/>
      <c r="R7" s="17"/>
      <c r="S7" s="18">
        <f t="shared" si="3"/>
        <v>0</v>
      </c>
      <c r="T7" s="19"/>
      <c r="U7" s="18">
        <v>0</v>
      </c>
      <c r="V7" s="16"/>
      <c r="W7" s="17"/>
      <c r="X7" s="18">
        <f t="shared" si="4"/>
        <v>0</v>
      </c>
      <c r="Y7" s="19"/>
      <c r="Z7" s="19"/>
      <c r="AA7" s="18">
        <f t="shared" si="5"/>
        <v>0</v>
      </c>
      <c r="AB7" s="20">
        <f t="shared" si="6"/>
        <v>0</v>
      </c>
      <c r="AC7" s="5"/>
      <c r="AD7" s="8"/>
      <c r="AF7" s="6"/>
      <c r="AG7" s="7"/>
      <c r="AJ7" s="33"/>
      <c r="AK7" s="35"/>
      <c r="AL7" s="38"/>
    </row>
    <row r="8" spans="1:39" ht="17.25" customHeight="1">
      <c r="A8" s="25"/>
      <c r="B8" s="26"/>
      <c r="C8" s="14"/>
      <c r="D8" s="31"/>
      <c r="E8" s="14"/>
      <c r="F8" s="15" t="str">
        <f t="shared" si="0"/>
        <v xml:space="preserve">S/F  </v>
      </c>
      <c r="G8" s="16"/>
      <c r="H8" s="17">
        <v>21</v>
      </c>
      <c r="I8" s="18">
        <f t="shared" si="1"/>
        <v>0</v>
      </c>
      <c r="J8" s="17"/>
      <c r="K8" s="18"/>
      <c r="L8" s="16"/>
      <c r="M8" s="17"/>
      <c r="N8" s="18">
        <f t="shared" si="2"/>
        <v>0</v>
      </c>
      <c r="O8" s="19"/>
      <c r="P8" s="18">
        <v>0</v>
      </c>
      <c r="Q8" s="16"/>
      <c r="R8" s="17"/>
      <c r="S8" s="18">
        <f t="shared" si="3"/>
        <v>0</v>
      </c>
      <c r="T8" s="19"/>
      <c r="U8" s="18">
        <v>0</v>
      </c>
      <c r="V8" s="16"/>
      <c r="W8" s="17"/>
      <c r="X8" s="18">
        <f t="shared" si="4"/>
        <v>0</v>
      </c>
      <c r="Y8" s="19"/>
      <c r="Z8" s="19"/>
      <c r="AA8" s="18">
        <f t="shared" si="5"/>
        <v>0</v>
      </c>
      <c r="AB8" s="20">
        <f t="shared" si="6"/>
        <v>0</v>
      </c>
      <c r="AC8" s="5"/>
      <c r="AD8" s="8"/>
      <c r="AF8" s="6"/>
      <c r="AG8" s="7"/>
      <c r="AJ8" s="33"/>
      <c r="AK8" s="35"/>
      <c r="AL8" s="38"/>
    </row>
    <row r="9" spans="1:39" ht="17.25" customHeight="1">
      <c r="A9" s="25"/>
      <c r="B9" s="26"/>
      <c r="C9" s="14"/>
      <c r="D9" s="31"/>
      <c r="E9" s="14"/>
      <c r="F9" s="15" t="str">
        <f t="shared" si="0"/>
        <v xml:space="preserve">S/F  </v>
      </c>
      <c r="G9" s="16"/>
      <c r="H9" s="17">
        <v>21</v>
      </c>
      <c r="I9" s="18">
        <f t="shared" si="1"/>
        <v>0</v>
      </c>
      <c r="J9" s="17"/>
      <c r="K9" s="18"/>
      <c r="L9" s="16"/>
      <c r="M9" s="17"/>
      <c r="N9" s="18">
        <f t="shared" si="2"/>
        <v>0</v>
      </c>
      <c r="O9" s="19"/>
      <c r="P9" s="18">
        <v>0</v>
      </c>
      <c r="Q9" s="16"/>
      <c r="R9" s="17"/>
      <c r="S9" s="18">
        <f t="shared" si="3"/>
        <v>0</v>
      </c>
      <c r="T9" s="19"/>
      <c r="U9" s="18">
        <v>0</v>
      </c>
      <c r="V9" s="16"/>
      <c r="W9" s="17"/>
      <c r="X9" s="18">
        <f t="shared" si="4"/>
        <v>0</v>
      </c>
      <c r="Y9" s="19"/>
      <c r="Z9" s="19"/>
      <c r="AA9" s="18">
        <f t="shared" si="5"/>
        <v>0</v>
      </c>
      <c r="AB9" s="20">
        <f t="shared" si="6"/>
        <v>0</v>
      </c>
      <c r="AC9" s="5"/>
      <c r="AD9" s="8"/>
      <c r="AF9" s="6"/>
      <c r="AG9" s="7"/>
      <c r="AJ9" s="33"/>
      <c r="AK9" s="35"/>
      <c r="AL9" s="38"/>
    </row>
    <row r="10" spans="1:39" ht="17.25" customHeight="1">
      <c r="A10" s="25"/>
      <c r="B10" s="26"/>
      <c r="C10" s="14"/>
      <c r="D10" s="31"/>
      <c r="E10" s="14"/>
      <c r="F10" s="15" t="str">
        <f t="shared" si="0"/>
        <v xml:space="preserve">S/F  </v>
      </c>
      <c r="G10" s="16"/>
      <c r="H10" s="17">
        <v>21</v>
      </c>
      <c r="I10" s="18">
        <f t="shared" si="1"/>
        <v>0</v>
      </c>
      <c r="J10" s="17"/>
      <c r="K10" s="18"/>
      <c r="L10" s="16"/>
      <c r="M10" s="17"/>
      <c r="N10" s="18">
        <f t="shared" si="2"/>
        <v>0</v>
      </c>
      <c r="O10" s="19"/>
      <c r="P10" s="18">
        <v>0</v>
      </c>
      <c r="Q10" s="16"/>
      <c r="R10" s="17"/>
      <c r="S10" s="18">
        <f t="shared" si="3"/>
        <v>0</v>
      </c>
      <c r="T10" s="19"/>
      <c r="U10" s="18">
        <v>0</v>
      </c>
      <c r="V10" s="16"/>
      <c r="W10" s="17"/>
      <c r="X10" s="18">
        <f t="shared" si="4"/>
        <v>0</v>
      </c>
      <c r="Y10" s="19"/>
      <c r="Z10" s="19"/>
      <c r="AA10" s="18">
        <f t="shared" si="5"/>
        <v>0</v>
      </c>
      <c r="AB10" s="20">
        <f t="shared" si="6"/>
        <v>0</v>
      </c>
      <c r="AC10" s="5"/>
      <c r="AD10" s="8"/>
      <c r="AF10" s="6"/>
      <c r="AG10" s="7"/>
      <c r="AJ10" s="33"/>
      <c r="AK10" s="35"/>
      <c r="AL10" s="38"/>
    </row>
    <row r="11" spans="1:39" ht="17.25" customHeight="1">
      <c r="A11" s="25"/>
      <c r="B11" s="26"/>
      <c r="C11" s="14"/>
      <c r="D11" s="31"/>
      <c r="E11" s="14"/>
      <c r="F11" s="15" t="str">
        <f t="shared" si="0"/>
        <v xml:space="preserve">S/F  </v>
      </c>
      <c r="G11" s="16"/>
      <c r="H11" s="17">
        <v>21</v>
      </c>
      <c r="I11" s="18">
        <f t="shared" si="1"/>
        <v>0</v>
      </c>
      <c r="J11" s="17"/>
      <c r="K11" s="18"/>
      <c r="L11" s="16"/>
      <c r="M11" s="17"/>
      <c r="N11" s="18">
        <f t="shared" si="2"/>
        <v>0</v>
      </c>
      <c r="O11" s="19"/>
      <c r="P11" s="18">
        <v>0</v>
      </c>
      <c r="Q11" s="16"/>
      <c r="R11" s="17"/>
      <c r="S11" s="18">
        <f t="shared" si="3"/>
        <v>0</v>
      </c>
      <c r="T11" s="19"/>
      <c r="U11" s="18">
        <v>0</v>
      </c>
      <c r="V11" s="16"/>
      <c r="W11" s="17"/>
      <c r="X11" s="18">
        <f t="shared" si="4"/>
        <v>0</v>
      </c>
      <c r="Y11" s="19"/>
      <c r="Z11" s="19"/>
      <c r="AA11" s="18">
        <f t="shared" si="5"/>
        <v>0</v>
      </c>
      <c r="AB11" s="20">
        <f t="shared" si="6"/>
        <v>0</v>
      </c>
      <c r="AC11" s="5"/>
      <c r="AD11" s="8"/>
      <c r="AF11" s="6"/>
      <c r="AG11" s="7"/>
      <c r="AJ11" s="33"/>
      <c r="AK11" s="35"/>
      <c r="AL11" s="38"/>
      <c r="AM11" t="s">
        <v>40</v>
      </c>
    </row>
    <row r="12" spans="1:39" ht="17.25" customHeight="1">
      <c r="A12" s="25"/>
      <c r="B12" s="26"/>
      <c r="C12" s="14"/>
      <c r="D12" s="31"/>
      <c r="E12" s="14"/>
      <c r="F12" s="15" t="str">
        <f t="shared" si="0"/>
        <v xml:space="preserve">S/F  </v>
      </c>
      <c r="G12" s="16"/>
      <c r="H12" s="17">
        <v>21</v>
      </c>
      <c r="I12" s="18">
        <f t="shared" si="1"/>
        <v>0</v>
      </c>
      <c r="J12" s="17"/>
      <c r="K12" s="18"/>
      <c r="L12" s="16"/>
      <c r="M12" s="17"/>
      <c r="N12" s="18">
        <f t="shared" si="2"/>
        <v>0</v>
      </c>
      <c r="O12" s="19"/>
      <c r="P12" s="18">
        <v>0</v>
      </c>
      <c r="Q12" s="16"/>
      <c r="R12" s="17"/>
      <c r="S12" s="18">
        <f t="shared" si="3"/>
        <v>0</v>
      </c>
      <c r="T12" s="19"/>
      <c r="U12" s="18">
        <v>0</v>
      </c>
      <c r="V12" s="16"/>
      <c r="W12" s="17"/>
      <c r="X12" s="18">
        <f t="shared" si="4"/>
        <v>0</v>
      </c>
      <c r="Y12" s="19"/>
      <c r="Z12" s="19"/>
      <c r="AA12" s="18">
        <f t="shared" si="5"/>
        <v>0</v>
      </c>
      <c r="AB12" s="20">
        <f t="shared" si="6"/>
        <v>0</v>
      </c>
      <c r="AC12" s="5"/>
      <c r="AD12" s="8"/>
      <c r="AF12" s="6"/>
      <c r="AG12" s="7"/>
      <c r="AJ12" s="33"/>
      <c r="AK12" s="35"/>
      <c r="AL12" s="38"/>
    </row>
    <row r="13" spans="1:39" ht="17.25" customHeight="1">
      <c r="A13" s="25"/>
      <c r="B13" s="26"/>
      <c r="C13" s="14"/>
      <c r="D13" s="31"/>
      <c r="E13" s="14"/>
      <c r="F13" s="15" t="str">
        <f t="shared" si="0"/>
        <v xml:space="preserve">S/F  </v>
      </c>
      <c r="G13" s="16"/>
      <c r="H13" s="17">
        <v>21</v>
      </c>
      <c r="I13" s="18">
        <f t="shared" si="1"/>
        <v>0</v>
      </c>
      <c r="J13" s="17"/>
      <c r="K13" s="18"/>
      <c r="L13" s="16"/>
      <c r="M13" s="17"/>
      <c r="N13" s="18">
        <f t="shared" si="2"/>
        <v>0</v>
      </c>
      <c r="O13" s="19"/>
      <c r="P13" s="18">
        <v>0</v>
      </c>
      <c r="Q13" s="16"/>
      <c r="R13" s="17"/>
      <c r="S13" s="18">
        <f t="shared" si="3"/>
        <v>0</v>
      </c>
      <c r="T13" s="19"/>
      <c r="U13" s="18">
        <v>0</v>
      </c>
      <c r="V13" s="16"/>
      <c r="W13" s="17"/>
      <c r="X13" s="18">
        <f t="shared" si="4"/>
        <v>0</v>
      </c>
      <c r="Y13" s="19"/>
      <c r="Z13" s="19"/>
      <c r="AA13" s="18">
        <f t="shared" si="5"/>
        <v>0</v>
      </c>
      <c r="AB13" s="20">
        <f t="shared" si="6"/>
        <v>0</v>
      </c>
      <c r="AC13" s="5"/>
      <c r="AD13" s="8"/>
      <c r="AF13" s="6"/>
      <c r="AG13" s="7"/>
      <c r="AJ13" s="33"/>
      <c r="AK13" s="35"/>
      <c r="AL13" s="38"/>
    </row>
    <row r="14" spans="1:39" ht="17.25" customHeight="1">
      <c r="A14" s="25"/>
      <c r="B14" s="26"/>
      <c r="C14" s="14"/>
      <c r="D14" s="31"/>
      <c r="E14" s="14"/>
      <c r="F14" s="15" t="str">
        <f t="shared" si="0"/>
        <v xml:space="preserve">S/F  </v>
      </c>
      <c r="G14" s="16"/>
      <c r="H14" s="17">
        <v>21</v>
      </c>
      <c r="I14" s="18">
        <f t="shared" si="1"/>
        <v>0</v>
      </c>
      <c r="J14" s="17"/>
      <c r="K14" s="18"/>
      <c r="L14" s="16"/>
      <c r="M14" s="17"/>
      <c r="N14" s="18">
        <f t="shared" si="2"/>
        <v>0</v>
      </c>
      <c r="O14" s="19"/>
      <c r="P14" s="18">
        <v>0</v>
      </c>
      <c r="Q14" s="16"/>
      <c r="R14" s="17"/>
      <c r="S14" s="18">
        <f t="shared" si="3"/>
        <v>0</v>
      </c>
      <c r="T14" s="19"/>
      <c r="U14" s="18">
        <v>0</v>
      </c>
      <c r="V14" s="16"/>
      <c r="W14" s="17"/>
      <c r="X14" s="18">
        <f t="shared" si="4"/>
        <v>0</v>
      </c>
      <c r="Y14" s="19"/>
      <c r="Z14" s="19"/>
      <c r="AA14" s="18">
        <f t="shared" si="5"/>
        <v>0</v>
      </c>
      <c r="AB14" s="20">
        <f t="shared" si="6"/>
        <v>0</v>
      </c>
      <c r="AC14" s="5"/>
      <c r="AD14" s="8"/>
      <c r="AF14" s="6"/>
      <c r="AG14" s="7"/>
      <c r="AJ14" s="33"/>
      <c r="AK14" s="35"/>
      <c r="AL14" s="38"/>
    </row>
    <row r="15" spans="1:39" ht="17.25" customHeight="1">
      <c r="A15" s="25"/>
      <c r="B15" s="26"/>
      <c r="C15" s="14"/>
      <c r="D15" s="31"/>
      <c r="E15" s="14"/>
      <c r="F15" s="15" t="str">
        <f t="shared" si="0"/>
        <v xml:space="preserve">S/F  </v>
      </c>
      <c r="G15" s="16"/>
      <c r="H15" s="17">
        <v>21</v>
      </c>
      <c r="I15" s="18">
        <f t="shared" si="1"/>
        <v>0</v>
      </c>
      <c r="J15" s="17"/>
      <c r="K15" s="18"/>
      <c r="L15" s="16"/>
      <c r="M15" s="17"/>
      <c r="N15" s="18">
        <f t="shared" si="2"/>
        <v>0</v>
      </c>
      <c r="O15" s="19"/>
      <c r="P15" s="18">
        <v>0</v>
      </c>
      <c r="Q15" s="16"/>
      <c r="R15" s="17"/>
      <c r="S15" s="18">
        <f t="shared" si="3"/>
        <v>0</v>
      </c>
      <c r="T15" s="19"/>
      <c r="U15" s="18">
        <v>0</v>
      </c>
      <c r="V15" s="16"/>
      <c r="W15" s="17"/>
      <c r="X15" s="18">
        <f t="shared" si="4"/>
        <v>0</v>
      </c>
      <c r="Y15" s="19"/>
      <c r="Z15" s="19"/>
      <c r="AA15" s="18">
        <f t="shared" si="5"/>
        <v>0</v>
      </c>
      <c r="AB15" s="20">
        <f t="shared" si="6"/>
        <v>0</v>
      </c>
      <c r="AC15" s="5"/>
      <c r="AD15" s="8"/>
      <c r="AF15" s="6"/>
      <c r="AG15" s="7"/>
      <c r="AJ15" s="33"/>
      <c r="AK15" s="35"/>
      <c r="AL15" s="38"/>
    </row>
    <row r="16" spans="1:39" ht="17.25" customHeight="1">
      <c r="A16" s="25"/>
      <c r="B16" s="26"/>
      <c r="C16" s="14"/>
      <c r="D16" s="31"/>
      <c r="E16" s="14"/>
      <c r="F16" s="15" t="str">
        <f t="shared" si="0"/>
        <v xml:space="preserve">S/F  </v>
      </c>
      <c r="G16" s="16"/>
      <c r="H16" s="17">
        <v>21</v>
      </c>
      <c r="I16" s="18">
        <f t="shared" si="1"/>
        <v>0</v>
      </c>
      <c r="J16" s="17"/>
      <c r="K16" s="18"/>
      <c r="L16" s="16"/>
      <c r="M16" s="17"/>
      <c r="N16" s="18">
        <f t="shared" si="2"/>
        <v>0</v>
      </c>
      <c r="O16" s="19"/>
      <c r="P16" s="18">
        <v>0</v>
      </c>
      <c r="Q16" s="16"/>
      <c r="R16" s="17"/>
      <c r="S16" s="18">
        <f t="shared" si="3"/>
        <v>0</v>
      </c>
      <c r="T16" s="19"/>
      <c r="U16" s="18">
        <v>0</v>
      </c>
      <c r="V16" s="16"/>
      <c r="W16" s="17"/>
      <c r="X16" s="18">
        <f t="shared" si="4"/>
        <v>0</v>
      </c>
      <c r="Y16" s="19"/>
      <c r="Z16" s="19"/>
      <c r="AA16" s="18">
        <f t="shared" si="5"/>
        <v>0</v>
      </c>
      <c r="AB16" s="20">
        <f t="shared" si="6"/>
        <v>0</v>
      </c>
      <c r="AC16" s="5"/>
      <c r="AD16" s="8"/>
      <c r="AF16" s="6"/>
      <c r="AG16" s="7"/>
      <c r="AJ16" s="33"/>
      <c r="AK16" s="35"/>
      <c r="AL16" s="38"/>
    </row>
    <row r="17" spans="1:38" ht="17.25" customHeight="1">
      <c r="A17" s="25"/>
      <c r="B17" s="26"/>
      <c r="C17" s="14"/>
      <c r="D17" s="31"/>
      <c r="E17" s="14"/>
      <c r="F17" s="15" t="str">
        <f t="shared" si="0"/>
        <v xml:space="preserve">S/F  </v>
      </c>
      <c r="G17" s="16"/>
      <c r="H17" s="17">
        <v>21</v>
      </c>
      <c r="I17" s="18">
        <f t="shared" si="1"/>
        <v>0</v>
      </c>
      <c r="J17" s="17"/>
      <c r="K17" s="18"/>
      <c r="L17" s="16"/>
      <c r="M17" s="17"/>
      <c r="N17" s="18">
        <f t="shared" si="2"/>
        <v>0</v>
      </c>
      <c r="O17" s="19"/>
      <c r="P17" s="18">
        <v>0</v>
      </c>
      <c r="Q17" s="16"/>
      <c r="R17" s="17"/>
      <c r="S17" s="18">
        <f t="shared" si="3"/>
        <v>0</v>
      </c>
      <c r="T17" s="19"/>
      <c r="U17" s="18">
        <v>0</v>
      </c>
      <c r="V17" s="16"/>
      <c r="W17" s="17"/>
      <c r="X17" s="18">
        <f t="shared" si="4"/>
        <v>0</v>
      </c>
      <c r="Y17" s="19"/>
      <c r="Z17" s="19"/>
      <c r="AA17" s="18">
        <f t="shared" si="5"/>
        <v>0</v>
      </c>
      <c r="AB17" s="20">
        <f t="shared" si="6"/>
        <v>0</v>
      </c>
      <c r="AC17" s="5"/>
      <c r="AD17" s="8"/>
      <c r="AF17" s="6"/>
      <c r="AG17" s="7"/>
      <c r="AJ17" s="33"/>
      <c r="AK17" s="35"/>
      <c r="AL17" s="38"/>
    </row>
    <row r="18" spans="1:38" ht="17.25" customHeight="1">
      <c r="A18" s="25"/>
      <c r="B18" s="26"/>
      <c r="C18" s="14"/>
      <c r="D18" s="31"/>
      <c r="E18" s="14"/>
      <c r="F18" s="15" t="str">
        <f t="shared" si="0"/>
        <v xml:space="preserve">S/F  </v>
      </c>
      <c r="G18" s="16"/>
      <c r="H18" s="17">
        <v>21</v>
      </c>
      <c r="I18" s="18">
        <f t="shared" si="1"/>
        <v>0</v>
      </c>
      <c r="J18" s="17"/>
      <c r="K18" s="18"/>
      <c r="L18" s="16"/>
      <c r="M18" s="17"/>
      <c r="N18" s="18">
        <f t="shared" si="2"/>
        <v>0</v>
      </c>
      <c r="O18" s="19"/>
      <c r="P18" s="18">
        <v>0</v>
      </c>
      <c r="Q18" s="16"/>
      <c r="R18" s="17"/>
      <c r="S18" s="18">
        <f t="shared" si="3"/>
        <v>0</v>
      </c>
      <c r="T18" s="19"/>
      <c r="U18" s="18">
        <v>0</v>
      </c>
      <c r="V18" s="16"/>
      <c r="W18" s="17"/>
      <c r="X18" s="18">
        <f t="shared" si="4"/>
        <v>0</v>
      </c>
      <c r="Y18" s="19"/>
      <c r="Z18" s="19"/>
      <c r="AA18" s="18">
        <f t="shared" si="5"/>
        <v>0</v>
      </c>
      <c r="AB18" s="20">
        <f t="shared" si="6"/>
        <v>0</v>
      </c>
      <c r="AC18" s="5"/>
      <c r="AD18" s="8"/>
      <c r="AF18" s="6"/>
      <c r="AG18" s="7"/>
      <c r="AJ18" s="33"/>
      <c r="AK18" s="35"/>
      <c r="AL18" s="38"/>
    </row>
    <row r="19" spans="1:38" ht="17.25" customHeight="1">
      <c r="A19" s="25"/>
      <c r="B19" s="26"/>
      <c r="C19" s="14"/>
      <c r="D19" s="31"/>
      <c r="E19" s="14"/>
      <c r="F19" s="15" t="str">
        <f t="shared" si="0"/>
        <v xml:space="preserve">S/F  </v>
      </c>
      <c r="G19" s="16"/>
      <c r="H19" s="17">
        <v>21</v>
      </c>
      <c r="I19" s="18">
        <f t="shared" si="1"/>
        <v>0</v>
      </c>
      <c r="J19" s="17"/>
      <c r="K19" s="18"/>
      <c r="L19" s="16"/>
      <c r="M19" s="17"/>
      <c r="N19" s="18">
        <f t="shared" si="2"/>
        <v>0</v>
      </c>
      <c r="O19" s="19"/>
      <c r="P19" s="18">
        <v>0</v>
      </c>
      <c r="Q19" s="16"/>
      <c r="R19" s="17"/>
      <c r="S19" s="18">
        <f t="shared" si="3"/>
        <v>0</v>
      </c>
      <c r="T19" s="19"/>
      <c r="U19" s="18">
        <v>0</v>
      </c>
      <c r="V19" s="16"/>
      <c r="W19" s="17"/>
      <c r="X19" s="18">
        <f t="shared" si="4"/>
        <v>0</v>
      </c>
      <c r="Y19" s="19"/>
      <c r="Z19" s="19"/>
      <c r="AA19" s="18">
        <f t="shared" si="5"/>
        <v>0</v>
      </c>
      <c r="AB19" s="20">
        <f t="shared" si="6"/>
        <v>0</v>
      </c>
      <c r="AC19" s="5"/>
      <c r="AD19" s="8"/>
      <c r="AF19" s="6"/>
      <c r="AG19" s="7"/>
      <c r="AJ19" s="33"/>
      <c r="AK19" s="35"/>
      <c r="AL19" s="38"/>
    </row>
    <row r="20" spans="1:38" ht="17.25" customHeight="1">
      <c r="A20" s="25"/>
      <c r="B20" s="26"/>
      <c r="C20" s="14"/>
      <c r="D20" s="31"/>
      <c r="E20" s="14"/>
      <c r="F20" s="15" t="str">
        <f t="shared" si="0"/>
        <v xml:space="preserve">S/F  </v>
      </c>
      <c r="G20" s="16"/>
      <c r="H20" s="17">
        <v>21</v>
      </c>
      <c r="I20" s="18">
        <f t="shared" si="1"/>
        <v>0</v>
      </c>
      <c r="J20" s="17"/>
      <c r="K20" s="18"/>
      <c r="L20" s="16"/>
      <c r="M20" s="17"/>
      <c r="N20" s="18">
        <f t="shared" si="2"/>
        <v>0</v>
      </c>
      <c r="O20" s="19"/>
      <c r="P20" s="18">
        <v>0</v>
      </c>
      <c r="Q20" s="16"/>
      <c r="R20" s="17"/>
      <c r="S20" s="18">
        <f t="shared" si="3"/>
        <v>0</v>
      </c>
      <c r="T20" s="19"/>
      <c r="U20" s="18">
        <v>0</v>
      </c>
      <c r="V20" s="16"/>
      <c r="W20" s="17"/>
      <c r="X20" s="18">
        <f t="shared" si="4"/>
        <v>0</v>
      </c>
      <c r="Y20" s="19"/>
      <c r="Z20" s="19"/>
      <c r="AA20" s="18">
        <f t="shared" si="5"/>
        <v>0</v>
      </c>
      <c r="AB20" s="20">
        <f t="shared" si="6"/>
        <v>0</v>
      </c>
      <c r="AC20" s="5"/>
      <c r="AD20" s="8"/>
      <c r="AF20" s="6"/>
      <c r="AG20" s="7"/>
      <c r="AJ20" s="33"/>
      <c r="AK20" s="35"/>
      <c r="AL20" s="38"/>
    </row>
    <row r="21" spans="1:38" ht="17.25" customHeight="1">
      <c r="A21" s="25"/>
      <c r="B21" s="26"/>
      <c r="C21" s="14"/>
      <c r="D21" s="31"/>
      <c r="E21" s="14"/>
      <c r="F21" s="15" t="str">
        <f t="shared" si="0"/>
        <v xml:space="preserve">S/F  </v>
      </c>
      <c r="G21" s="16"/>
      <c r="H21" s="17">
        <v>21</v>
      </c>
      <c r="I21" s="18">
        <f t="shared" si="1"/>
        <v>0</v>
      </c>
      <c r="J21" s="17"/>
      <c r="K21" s="18"/>
      <c r="L21" s="16"/>
      <c r="M21" s="17"/>
      <c r="N21" s="18">
        <f t="shared" si="2"/>
        <v>0</v>
      </c>
      <c r="O21" s="19"/>
      <c r="P21" s="18">
        <v>0</v>
      </c>
      <c r="Q21" s="16"/>
      <c r="R21" s="17"/>
      <c r="S21" s="18">
        <f t="shared" si="3"/>
        <v>0</v>
      </c>
      <c r="T21" s="19"/>
      <c r="U21" s="18">
        <v>0</v>
      </c>
      <c r="V21" s="16"/>
      <c r="W21" s="17"/>
      <c r="X21" s="18">
        <f t="shared" si="4"/>
        <v>0</v>
      </c>
      <c r="Y21" s="19"/>
      <c r="Z21" s="19"/>
      <c r="AA21" s="18">
        <f t="shared" si="5"/>
        <v>0</v>
      </c>
      <c r="AB21" s="20">
        <f t="shared" si="6"/>
        <v>0</v>
      </c>
      <c r="AC21" s="5"/>
      <c r="AD21" s="8"/>
      <c r="AF21" s="6"/>
      <c r="AG21" s="7"/>
      <c r="AJ21" s="33"/>
      <c r="AK21" s="35"/>
      <c r="AL21" s="38"/>
    </row>
    <row r="22" spans="1:38" ht="17.25" customHeight="1">
      <c r="A22" s="25"/>
      <c r="B22" s="26"/>
      <c r="C22" s="14"/>
      <c r="D22" s="31"/>
      <c r="E22" s="14"/>
      <c r="F22" s="15" t="str">
        <f t="shared" si="0"/>
        <v xml:space="preserve">S/F  </v>
      </c>
      <c r="G22" s="16"/>
      <c r="H22" s="17">
        <v>21</v>
      </c>
      <c r="I22" s="18">
        <f t="shared" si="1"/>
        <v>0</v>
      </c>
      <c r="J22" s="17"/>
      <c r="K22" s="18"/>
      <c r="L22" s="16"/>
      <c r="M22" s="17"/>
      <c r="N22" s="18">
        <f t="shared" si="2"/>
        <v>0</v>
      </c>
      <c r="O22" s="19"/>
      <c r="P22" s="18">
        <v>0</v>
      </c>
      <c r="Q22" s="16"/>
      <c r="R22" s="17"/>
      <c r="S22" s="18">
        <f t="shared" si="3"/>
        <v>0</v>
      </c>
      <c r="T22" s="19"/>
      <c r="U22" s="18">
        <v>0</v>
      </c>
      <c r="V22" s="16"/>
      <c r="W22" s="17"/>
      <c r="X22" s="18">
        <f t="shared" si="4"/>
        <v>0</v>
      </c>
      <c r="Y22" s="19"/>
      <c r="Z22" s="19"/>
      <c r="AA22" s="18">
        <f t="shared" si="5"/>
        <v>0</v>
      </c>
      <c r="AB22" s="20">
        <f t="shared" si="6"/>
        <v>0</v>
      </c>
      <c r="AC22" s="5"/>
      <c r="AD22" s="8"/>
      <c r="AF22" s="6"/>
      <c r="AG22" s="7"/>
      <c r="AJ22" s="33"/>
      <c r="AK22" s="35"/>
      <c r="AL22" s="38"/>
    </row>
    <row r="23" spans="1:38" ht="17.25" customHeight="1">
      <c r="A23" s="25"/>
      <c r="B23" s="26"/>
      <c r="C23" s="14"/>
      <c r="D23" s="31"/>
      <c r="E23" s="14"/>
      <c r="F23" s="15" t="str">
        <f t="shared" si="0"/>
        <v xml:space="preserve">S/F  </v>
      </c>
      <c r="G23" s="16"/>
      <c r="H23" s="17">
        <v>21</v>
      </c>
      <c r="I23" s="18">
        <f t="shared" si="1"/>
        <v>0</v>
      </c>
      <c r="J23" s="17"/>
      <c r="K23" s="18"/>
      <c r="L23" s="16"/>
      <c r="M23" s="17"/>
      <c r="N23" s="18">
        <f t="shared" si="2"/>
        <v>0</v>
      </c>
      <c r="O23" s="19"/>
      <c r="P23" s="18">
        <v>0</v>
      </c>
      <c r="Q23" s="16"/>
      <c r="R23" s="17"/>
      <c r="S23" s="18">
        <f t="shared" si="3"/>
        <v>0</v>
      </c>
      <c r="T23" s="19"/>
      <c r="U23" s="18">
        <v>0</v>
      </c>
      <c r="V23" s="16"/>
      <c r="W23" s="17"/>
      <c r="X23" s="18">
        <f t="shared" si="4"/>
        <v>0</v>
      </c>
      <c r="Y23" s="19"/>
      <c r="Z23" s="19"/>
      <c r="AA23" s="18">
        <f t="shared" si="5"/>
        <v>0</v>
      </c>
      <c r="AB23" s="20">
        <f t="shared" si="6"/>
        <v>0</v>
      </c>
      <c r="AC23" s="5"/>
      <c r="AD23" s="8"/>
      <c r="AF23" s="6"/>
      <c r="AG23" s="7"/>
      <c r="AJ23" s="33"/>
      <c r="AK23" s="35"/>
      <c r="AL23" s="38"/>
    </row>
    <row r="24" spans="1:38" ht="17.25" customHeight="1">
      <c r="A24" s="25"/>
      <c r="B24" s="26"/>
      <c r="C24" s="14"/>
      <c r="D24" s="31"/>
      <c r="E24" s="14"/>
      <c r="F24" s="15" t="str">
        <f t="shared" si="0"/>
        <v xml:space="preserve">S/F  </v>
      </c>
      <c r="G24" s="16"/>
      <c r="H24" s="17">
        <v>21</v>
      </c>
      <c r="I24" s="18">
        <f t="shared" si="1"/>
        <v>0</v>
      </c>
      <c r="J24" s="17"/>
      <c r="K24" s="18"/>
      <c r="L24" s="16"/>
      <c r="M24" s="17"/>
      <c r="N24" s="18">
        <f t="shared" si="2"/>
        <v>0</v>
      </c>
      <c r="O24" s="19"/>
      <c r="P24" s="18">
        <v>0</v>
      </c>
      <c r="Q24" s="16"/>
      <c r="R24" s="17"/>
      <c r="S24" s="18">
        <f t="shared" si="3"/>
        <v>0</v>
      </c>
      <c r="T24" s="19"/>
      <c r="U24" s="18">
        <v>0</v>
      </c>
      <c r="V24" s="16"/>
      <c r="W24" s="17"/>
      <c r="X24" s="18">
        <f t="shared" si="4"/>
        <v>0</v>
      </c>
      <c r="Y24" s="19"/>
      <c r="Z24" s="19"/>
      <c r="AA24" s="18">
        <f t="shared" si="5"/>
        <v>0</v>
      </c>
      <c r="AB24" s="20">
        <f t="shared" si="6"/>
        <v>0</v>
      </c>
      <c r="AC24" s="5"/>
      <c r="AD24" s="8"/>
      <c r="AF24" s="6"/>
      <c r="AG24" s="7"/>
      <c r="AJ24" s="33"/>
      <c r="AK24" s="35"/>
      <c r="AL24" s="38"/>
    </row>
    <row r="25" spans="1:38" ht="17.25" customHeight="1">
      <c r="A25" s="25"/>
      <c r="B25" s="26"/>
      <c r="C25" s="14"/>
      <c r="D25" s="31"/>
      <c r="E25" s="14"/>
      <c r="F25" s="15" t="str">
        <f t="shared" si="0"/>
        <v xml:space="preserve">S/F  </v>
      </c>
      <c r="G25" s="16"/>
      <c r="H25" s="17">
        <v>21</v>
      </c>
      <c r="I25" s="18">
        <f t="shared" si="1"/>
        <v>0</v>
      </c>
      <c r="J25" s="17"/>
      <c r="K25" s="18"/>
      <c r="L25" s="16"/>
      <c r="M25" s="17"/>
      <c r="N25" s="18">
        <f t="shared" si="2"/>
        <v>0</v>
      </c>
      <c r="O25" s="19"/>
      <c r="P25" s="18">
        <v>0</v>
      </c>
      <c r="Q25" s="16"/>
      <c r="R25" s="17"/>
      <c r="S25" s="18">
        <f t="shared" si="3"/>
        <v>0</v>
      </c>
      <c r="T25" s="19"/>
      <c r="U25" s="18">
        <v>0</v>
      </c>
      <c r="V25" s="16"/>
      <c r="W25" s="17"/>
      <c r="X25" s="18">
        <f t="shared" si="4"/>
        <v>0</v>
      </c>
      <c r="Y25" s="19"/>
      <c r="Z25" s="19"/>
      <c r="AA25" s="18">
        <f t="shared" si="5"/>
        <v>0</v>
      </c>
      <c r="AB25" s="20">
        <f t="shared" si="6"/>
        <v>0</v>
      </c>
      <c r="AC25" s="5"/>
      <c r="AD25" s="8"/>
      <c r="AF25" s="6"/>
      <c r="AG25" s="7"/>
      <c r="AJ25" s="33"/>
      <c r="AK25" s="35"/>
      <c r="AL25" s="38"/>
    </row>
    <row r="26" spans="1:38" ht="17.25" customHeight="1">
      <c r="A26" s="25"/>
      <c r="B26" s="26"/>
      <c r="C26" s="14"/>
      <c r="D26" s="31"/>
      <c r="E26" s="14"/>
      <c r="F26" s="15" t="str">
        <f t="shared" si="0"/>
        <v xml:space="preserve">S/F  </v>
      </c>
      <c r="G26" s="16"/>
      <c r="H26" s="17">
        <v>21</v>
      </c>
      <c r="I26" s="18">
        <f t="shared" si="1"/>
        <v>0</v>
      </c>
      <c r="J26" s="17"/>
      <c r="K26" s="18"/>
      <c r="L26" s="16"/>
      <c r="M26" s="17"/>
      <c r="N26" s="18">
        <f t="shared" si="2"/>
        <v>0</v>
      </c>
      <c r="O26" s="19"/>
      <c r="P26" s="18">
        <v>0</v>
      </c>
      <c r="Q26" s="16"/>
      <c r="R26" s="17"/>
      <c r="S26" s="18">
        <f t="shared" si="3"/>
        <v>0</v>
      </c>
      <c r="T26" s="19"/>
      <c r="U26" s="18">
        <v>0</v>
      </c>
      <c r="V26" s="16"/>
      <c r="W26" s="17"/>
      <c r="X26" s="18">
        <f t="shared" si="4"/>
        <v>0</v>
      </c>
      <c r="Y26" s="19"/>
      <c r="Z26" s="19"/>
      <c r="AA26" s="18">
        <f t="shared" si="5"/>
        <v>0</v>
      </c>
      <c r="AB26" s="20">
        <f t="shared" si="6"/>
        <v>0</v>
      </c>
      <c r="AC26" s="5"/>
      <c r="AD26" s="8"/>
      <c r="AF26" s="6"/>
      <c r="AG26" s="7"/>
      <c r="AJ26" s="33"/>
      <c r="AK26" s="35"/>
      <c r="AL26" s="38"/>
    </row>
    <row r="27" spans="1:38" ht="17.25" customHeight="1">
      <c r="A27" s="25"/>
      <c r="B27" s="26"/>
      <c r="C27" s="14"/>
      <c r="D27" s="26"/>
      <c r="E27" s="14"/>
      <c r="F27" s="15" t="str">
        <f t="shared" si="0"/>
        <v xml:space="preserve">S/F  </v>
      </c>
      <c r="G27" s="16"/>
      <c r="H27" s="17">
        <v>21</v>
      </c>
      <c r="I27" s="18">
        <f t="shared" si="1"/>
        <v>0</v>
      </c>
      <c r="J27" s="17"/>
      <c r="K27" s="18"/>
      <c r="L27" s="16"/>
      <c r="M27" s="17"/>
      <c r="N27" s="18">
        <f t="shared" si="2"/>
        <v>0</v>
      </c>
      <c r="O27" s="19"/>
      <c r="P27" s="18">
        <v>0</v>
      </c>
      <c r="Q27" s="16"/>
      <c r="R27" s="17"/>
      <c r="S27" s="18">
        <f t="shared" si="3"/>
        <v>0</v>
      </c>
      <c r="T27" s="19"/>
      <c r="U27" s="18">
        <v>0</v>
      </c>
      <c r="V27" s="16"/>
      <c r="W27" s="17"/>
      <c r="X27" s="18">
        <f t="shared" si="4"/>
        <v>0</v>
      </c>
      <c r="Y27" s="19"/>
      <c r="Z27" s="19"/>
      <c r="AA27" s="18">
        <f t="shared" si="5"/>
        <v>0</v>
      </c>
      <c r="AB27" s="20">
        <f t="shared" si="6"/>
        <v>0</v>
      </c>
      <c r="AC27" s="5"/>
      <c r="AD27" s="8"/>
      <c r="AF27" s="6"/>
      <c r="AG27" s="7"/>
      <c r="AJ27" s="33"/>
      <c r="AK27" s="35"/>
      <c r="AL27" s="38"/>
    </row>
    <row r="28" spans="1:38" ht="17.25" customHeight="1">
      <c r="A28" s="25"/>
      <c r="B28" s="26"/>
      <c r="C28" s="14"/>
      <c r="D28" s="31"/>
      <c r="E28" s="14"/>
      <c r="F28" s="15" t="str">
        <f t="shared" si="0"/>
        <v xml:space="preserve">S/F  </v>
      </c>
      <c r="G28" s="16"/>
      <c r="H28" s="17">
        <v>21</v>
      </c>
      <c r="I28" s="18">
        <f t="shared" si="1"/>
        <v>0</v>
      </c>
      <c r="J28" s="17"/>
      <c r="K28" s="18"/>
      <c r="L28" s="16"/>
      <c r="M28" s="17"/>
      <c r="N28" s="18">
        <f t="shared" si="2"/>
        <v>0</v>
      </c>
      <c r="O28" s="19"/>
      <c r="P28" s="18">
        <v>0</v>
      </c>
      <c r="Q28" s="16"/>
      <c r="R28" s="17"/>
      <c r="S28" s="18">
        <f t="shared" si="3"/>
        <v>0</v>
      </c>
      <c r="T28" s="19"/>
      <c r="U28" s="18">
        <v>0</v>
      </c>
      <c r="V28" s="16"/>
      <c r="W28" s="17"/>
      <c r="X28" s="18">
        <f t="shared" si="4"/>
        <v>0</v>
      </c>
      <c r="Y28" s="19"/>
      <c r="Z28" s="19"/>
      <c r="AA28" s="18">
        <f t="shared" si="5"/>
        <v>0</v>
      </c>
      <c r="AB28" s="20">
        <f t="shared" si="6"/>
        <v>0</v>
      </c>
      <c r="AC28" s="5"/>
      <c r="AD28" s="8"/>
      <c r="AF28" s="6"/>
      <c r="AG28" s="7"/>
      <c r="AJ28" s="33"/>
      <c r="AK28" s="35"/>
      <c r="AL28" s="38"/>
    </row>
    <row r="29" spans="1:38" ht="17.25" customHeight="1">
      <c r="A29" s="25"/>
      <c r="B29" s="26"/>
      <c r="C29" s="14"/>
      <c r="D29" s="31"/>
      <c r="E29" s="14"/>
      <c r="F29" s="15" t="str">
        <f t="shared" si="0"/>
        <v xml:space="preserve">S/F  </v>
      </c>
      <c r="G29" s="16"/>
      <c r="H29" s="17">
        <v>21</v>
      </c>
      <c r="I29" s="18">
        <f t="shared" si="1"/>
        <v>0</v>
      </c>
      <c r="J29" s="17"/>
      <c r="K29" s="18"/>
      <c r="L29" s="16"/>
      <c r="M29" s="17"/>
      <c r="N29" s="18">
        <f t="shared" si="2"/>
        <v>0</v>
      </c>
      <c r="O29" s="19"/>
      <c r="P29" s="18">
        <v>0</v>
      </c>
      <c r="Q29" s="16"/>
      <c r="R29" s="17"/>
      <c r="S29" s="18">
        <f t="shared" si="3"/>
        <v>0</v>
      </c>
      <c r="T29" s="19"/>
      <c r="U29" s="18">
        <v>0</v>
      </c>
      <c r="V29" s="16"/>
      <c r="W29" s="17"/>
      <c r="X29" s="18">
        <f t="shared" si="4"/>
        <v>0</v>
      </c>
      <c r="Y29" s="19"/>
      <c r="Z29" s="19"/>
      <c r="AA29" s="18">
        <f t="shared" si="5"/>
        <v>0</v>
      </c>
      <c r="AB29" s="20">
        <f t="shared" si="6"/>
        <v>0</v>
      </c>
      <c r="AC29" s="5"/>
      <c r="AD29" s="8"/>
      <c r="AF29" s="6"/>
      <c r="AG29" s="7"/>
      <c r="AJ29" s="33"/>
      <c r="AK29" s="35"/>
      <c r="AL29" s="38"/>
    </row>
    <row r="30" spans="1:38" ht="17.25" customHeight="1">
      <c r="A30" s="25"/>
      <c r="B30" s="26"/>
      <c r="C30" s="14"/>
      <c r="D30" s="31"/>
      <c r="E30" s="14"/>
      <c r="F30" s="15" t="str">
        <f t="shared" si="0"/>
        <v xml:space="preserve">S/F  </v>
      </c>
      <c r="G30" s="16"/>
      <c r="H30" s="17">
        <v>21</v>
      </c>
      <c r="I30" s="18">
        <f t="shared" si="1"/>
        <v>0</v>
      </c>
      <c r="J30" s="17"/>
      <c r="K30" s="18"/>
      <c r="L30" s="16"/>
      <c r="M30" s="17"/>
      <c r="N30" s="18">
        <f t="shared" si="2"/>
        <v>0</v>
      </c>
      <c r="O30" s="19"/>
      <c r="P30" s="18">
        <v>0</v>
      </c>
      <c r="Q30" s="16"/>
      <c r="R30" s="17"/>
      <c r="S30" s="18">
        <f t="shared" si="3"/>
        <v>0</v>
      </c>
      <c r="T30" s="19"/>
      <c r="U30" s="18">
        <v>0</v>
      </c>
      <c r="V30" s="16"/>
      <c r="W30" s="17"/>
      <c r="X30" s="18">
        <f t="shared" si="4"/>
        <v>0</v>
      </c>
      <c r="Y30" s="19"/>
      <c r="Z30" s="19"/>
      <c r="AA30" s="18">
        <f t="shared" si="5"/>
        <v>0</v>
      </c>
      <c r="AB30" s="20">
        <f t="shared" si="6"/>
        <v>0</v>
      </c>
      <c r="AC30" s="5"/>
      <c r="AD30" s="8"/>
      <c r="AF30" s="6"/>
      <c r="AG30" s="7"/>
      <c r="AJ30" s="33"/>
      <c r="AK30" s="35"/>
      <c r="AL30" s="38"/>
    </row>
    <row r="31" spans="1:38" ht="17.25" customHeight="1">
      <c r="A31" s="25"/>
      <c r="B31" s="26"/>
      <c r="C31" s="14"/>
      <c r="D31" s="31"/>
      <c r="E31" s="14"/>
      <c r="F31" s="15" t="str">
        <f t="shared" si="0"/>
        <v xml:space="preserve">S/F  </v>
      </c>
      <c r="G31" s="16"/>
      <c r="H31" s="17">
        <v>21</v>
      </c>
      <c r="I31" s="18">
        <f t="shared" si="1"/>
        <v>0</v>
      </c>
      <c r="J31" s="17"/>
      <c r="K31" s="18"/>
      <c r="L31" s="16"/>
      <c r="M31" s="17"/>
      <c r="N31" s="18">
        <f t="shared" si="2"/>
        <v>0</v>
      </c>
      <c r="O31" s="19"/>
      <c r="P31" s="18">
        <v>0</v>
      </c>
      <c r="Q31" s="16"/>
      <c r="R31" s="17"/>
      <c r="S31" s="18">
        <f t="shared" si="3"/>
        <v>0</v>
      </c>
      <c r="T31" s="19"/>
      <c r="U31" s="18">
        <v>0</v>
      </c>
      <c r="V31" s="16"/>
      <c r="W31" s="17"/>
      <c r="X31" s="18">
        <f t="shared" si="4"/>
        <v>0</v>
      </c>
      <c r="Y31" s="19"/>
      <c r="Z31" s="19"/>
      <c r="AA31" s="18">
        <f t="shared" si="5"/>
        <v>0</v>
      </c>
      <c r="AB31" s="20">
        <f t="shared" si="6"/>
        <v>0</v>
      </c>
      <c r="AC31" s="5"/>
      <c r="AD31" s="8"/>
      <c r="AF31" s="6"/>
      <c r="AG31" s="7"/>
      <c r="AJ31" s="33"/>
      <c r="AK31" s="35"/>
      <c r="AL31" s="38"/>
    </row>
    <row r="32" spans="1:38" ht="17.25" customHeight="1">
      <c r="A32" s="25"/>
      <c r="B32" s="26"/>
      <c r="C32" s="14"/>
      <c r="D32" s="31"/>
      <c r="E32" s="14"/>
      <c r="F32" s="15" t="str">
        <f t="shared" si="0"/>
        <v xml:space="preserve">S/F  </v>
      </c>
      <c r="G32" s="16"/>
      <c r="H32" s="17">
        <v>21</v>
      </c>
      <c r="I32" s="18">
        <f t="shared" si="1"/>
        <v>0</v>
      </c>
      <c r="J32" s="17"/>
      <c r="K32" s="18"/>
      <c r="L32" s="16"/>
      <c r="M32" s="17"/>
      <c r="N32" s="18">
        <f t="shared" si="2"/>
        <v>0</v>
      </c>
      <c r="O32" s="19"/>
      <c r="P32" s="18">
        <v>0</v>
      </c>
      <c r="Q32" s="16"/>
      <c r="R32" s="17"/>
      <c r="S32" s="18">
        <f t="shared" si="3"/>
        <v>0</v>
      </c>
      <c r="T32" s="19"/>
      <c r="U32" s="18">
        <v>0</v>
      </c>
      <c r="V32" s="16"/>
      <c r="W32" s="17"/>
      <c r="X32" s="18">
        <f t="shared" si="4"/>
        <v>0</v>
      </c>
      <c r="Y32" s="19"/>
      <c r="Z32" s="19"/>
      <c r="AA32" s="18">
        <f t="shared" si="5"/>
        <v>0</v>
      </c>
      <c r="AB32" s="20">
        <f t="shared" si="6"/>
        <v>0</v>
      </c>
      <c r="AC32" s="5"/>
      <c r="AD32" s="8"/>
      <c r="AF32" s="6"/>
      <c r="AG32" s="7"/>
      <c r="AJ32" s="33"/>
      <c r="AK32" s="35"/>
      <c r="AL32" s="38"/>
    </row>
    <row r="33" spans="1:38" ht="17.25" customHeight="1">
      <c r="A33" s="25"/>
      <c r="B33" s="26"/>
      <c r="C33" s="14"/>
      <c r="D33" s="31"/>
      <c r="E33" s="14"/>
      <c r="F33" s="15" t="str">
        <f t="shared" si="0"/>
        <v xml:space="preserve">S/F  </v>
      </c>
      <c r="G33" s="16"/>
      <c r="H33" s="17">
        <v>21</v>
      </c>
      <c r="I33" s="18">
        <f t="shared" si="1"/>
        <v>0</v>
      </c>
      <c r="J33" s="17"/>
      <c r="K33" s="18"/>
      <c r="L33" s="16"/>
      <c r="M33" s="17"/>
      <c r="N33" s="18">
        <f t="shared" si="2"/>
        <v>0</v>
      </c>
      <c r="O33" s="19"/>
      <c r="P33" s="18">
        <v>0</v>
      </c>
      <c r="Q33" s="16"/>
      <c r="R33" s="17"/>
      <c r="S33" s="18">
        <f t="shared" si="3"/>
        <v>0</v>
      </c>
      <c r="T33" s="19"/>
      <c r="U33" s="18">
        <v>0</v>
      </c>
      <c r="V33" s="16"/>
      <c r="W33" s="17"/>
      <c r="X33" s="18">
        <f t="shared" si="4"/>
        <v>0</v>
      </c>
      <c r="Y33" s="19"/>
      <c r="Z33" s="19"/>
      <c r="AA33" s="18">
        <f t="shared" si="5"/>
        <v>0</v>
      </c>
      <c r="AB33" s="20">
        <f t="shared" si="6"/>
        <v>0</v>
      </c>
      <c r="AC33" s="5"/>
      <c r="AD33" s="8"/>
      <c r="AF33" s="6"/>
      <c r="AG33" s="7"/>
      <c r="AJ33" s="33"/>
      <c r="AK33" s="35"/>
      <c r="AL33" s="38"/>
    </row>
    <row r="34" spans="1:38" ht="17.25" customHeight="1">
      <c r="A34" s="25"/>
      <c r="B34" s="26"/>
      <c r="C34" s="14"/>
      <c r="D34" s="31"/>
      <c r="E34" s="14"/>
      <c r="F34" s="15" t="str">
        <f t="shared" ref="F34:F62" si="7">"S/F "&amp;B34&amp;" "&amp;E34</f>
        <v xml:space="preserve">S/F  </v>
      </c>
      <c r="G34" s="16"/>
      <c r="H34" s="17">
        <v>21</v>
      </c>
      <c r="I34" s="18">
        <f t="shared" ref="I34:I62" si="8">+IF(G34&lt;&gt;0,G34*H34/100,0)</f>
        <v>0</v>
      </c>
      <c r="J34" s="17"/>
      <c r="K34" s="18"/>
      <c r="L34" s="16"/>
      <c r="M34" s="17"/>
      <c r="N34" s="18">
        <f t="shared" ref="N34:N62" si="9">+IF(L34&lt;&gt;0,L34*M34/100,0)</f>
        <v>0</v>
      </c>
      <c r="O34" s="19"/>
      <c r="P34" s="18">
        <v>0</v>
      </c>
      <c r="Q34" s="16"/>
      <c r="R34" s="17"/>
      <c r="S34" s="18">
        <f t="shared" ref="S34:S62" si="10">+IF(Q34&lt;&gt;0,Q34*R34/100,0)</f>
        <v>0</v>
      </c>
      <c r="T34" s="19"/>
      <c r="U34" s="18">
        <v>0</v>
      </c>
      <c r="V34" s="16"/>
      <c r="W34" s="17"/>
      <c r="X34" s="18">
        <f t="shared" ref="X34:X62" si="11">+IF(W34&lt;&gt;0,V34*W34/100,0)</f>
        <v>0</v>
      </c>
      <c r="Y34" s="19"/>
      <c r="Z34" s="19"/>
      <c r="AA34" s="18">
        <f t="shared" ref="AA34:AA62" si="12">+IF(Z34&lt;&gt;0,Y34*Z34/100,0)</f>
        <v>0</v>
      </c>
      <c r="AB34" s="20">
        <f t="shared" ref="AB34:AB62" si="13">+G34+I34+K34+L34+N34+P34+Q34+S34+U34-X34-AA34</f>
        <v>0</v>
      </c>
      <c r="AC34" s="5"/>
      <c r="AD34" s="8"/>
      <c r="AF34" s="6"/>
      <c r="AG34" s="7"/>
      <c r="AJ34" s="33"/>
      <c r="AK34" s="35"/>
      <c r="AL34" s="38"/>
    </row>
    <row r="35" spans="1:38" ht="17.25" customHeight="1">
      <c r="A35" s="25"/>
      <c r="B35" s="26"/>
      <c r="C35" s="14"/>
      <c r="D35" s="31"/>
      <c r="E35" s="14"/>
      <c r="F35" s="15" t="str">
        <f t="shared" si="7"/>
        <v xml:space="preserve">S/F  </v>
      </c>
      <c r="G35" s="16"/>
      <c r="H35" s="17">
        <v>21</v>
      </c>
      <c r="I35" s="18">
        <f t="shared" si="8"/>
        <v>0</v>
      </c>
      <c r="J35" s="17"/>
      <c r="K35" s="18"/>
      <c r="L35" s="16"/>
      <c r="M35" s="17"/>
      <c r="N35" s="18">
        <f t="shared" si="9"/>
        <v>0</v>
      </c>
      <c r="O35" s="19"/>
      <c r="P35" s="18">
        <v>0</v>
      </c>
      <c r="Q35" s="16"/>
      <c r="R35" s="17"/>
      <c r="S35" s="18">
        <f t="shared" si="10"/>
        <v>0</v>
      </c>
      <c r="T35" s="19"/>
      <c r="U35" s="18">
        <v>0</v>
      </c>
      <c r="V35" s="16"/>
      <c r="W35" s="17"/>
      <c r="X35" s="18">
        <f t="shared" si="11"/>
        <v>0</v>
      </c>
      <c r="Y35" s="19"/>
      <c r="Z35" s="19"/>
      <c r="AA35" s="18">
        <f t="shared" si="12"/>
        <v>0</v>
      </c>
      <c r="AB35" s="20">
        <f t="shared" si="13"/>
        <v>0</v>
      </c>
      <c r="AC35" s="5"/>
      <c r="AD35" s="8"/>
      <c r="AF35" s="6"/>
      <c r="AG35" s="7"/>
      <c r="AJ35" s="33"/>
      <c r="AK35" s="35"/>
      <c r="AL35" s="38"/>
    </row>
    <row r="36" spans="1:38" ht="17.25" customHeight="1">
      <c r="A36" s="25"/>
      <c r="B36" s="26"/>
      <c r="C36" s="14"/>
      <c r="D36" s="31"/>
      <c r="E36" s="14"/>
      <c r="F36" s="15" t="str">
        <f t="shared" si="7"/>
        <v xml:space="preserve">S/F  </v>
      </c>
      <c r="G36" s="16"/>
      <c r="H36" s="17">
        <v>21</v>
      </c>
      <c r="I36" s="18">
        <f t="shared" si="8"/>
        <v>0</v>
      </c>
      <c r="J36" s="17"/>
      <c r="K36" s="18"/>
      <c r="L36" s="16"/>
      <c r="M36" s="17"/>
      <c r="N36" s="18">
        <f t="shared" si="9"/>
        <v>0</v>
      </c>
      <c r="O36" s="19"/>
      <c r="P36" s="18">
        <v>0</v>
      </c>
      <c r="Q36" s="16"/>
      <c r="R36" s="17"/>
      <c r="S36" s="18">
        <f t="shared" si="10"/>
        <v>0</v>
      </c>
      <c r="T36" s="19"/>
      <c r="U36" s="18">
        <v>0</v>
      </c>
      <c r="V36" s="16"/>
      <c r="W36" s="17"/>
      <c r="X36" s="18">
        <f t="shared" si="11"/>
        <v>0</v>
      </c>
      <c r="Y36" s="19"/>
      <c r="Z36" s="19"/>
      <c r="AA36" s="18">
        <f t="shared" si="12"/>
        <v>0</v>
      </c>
      <c r="AB36" s="20">
        <f t="shared" si="13"/>
        <v>0</v>
      </c>
      <c r="AC36" s="5"/>
      <c r="AD36" s="8"/>
      <c r="AF36" s="6"/>
      <c r="AG36" s="7"/>
      <c r="AJ36" s="33"/>
      <c r="AK36" s="35"/>
      <c r="AL36" s="38"/>
    </row>
    <row r="37" spans="1:38" ht="17.25" customHeight="1">
      <c r="A37" s="25"/>
      <c r="B37" s="26"/>
      <c r="C37" s="14"/>
      <c r="D37" s="31"/>
      <c r="E37" s="14"/>
      <c r="F37" s="15" t="str">
        <f t="shared" si="7"/>
        <v xml:space="preserve">S/F  </v>
      </c>
      <c r="G37" s="16"/>
      <c r="H37" s="17">
        <v>21</v>
      </c>
      <c r="I37" s="18">
        <f t="shared" si="8"/>
        <v>0</v>
      </c>
      <c r="J37" s="17"/>
      <c r="K37" s="18"/>
      <c r="L37" s="16"/>
      <c r="M37" s="17"/>
      <c r="N37" s="18">
        <f t="shared" si="9"/>
        <v>0</v>
      </c>
      <c r="O37" s="19"/>
      <c r="P37" s="18">
        <v>0</v>
      </c>
      <c r="Q37" s="16"/>
      <c r="R37" s="17"/>
      <c r="S37" s="18">
        <f t="shared" si="10"/>
        <v>0</v>
      </c>
      <c r="T37" s="19"/>
      <c r="U37" s="18">
        <v>0</v>
      </c>
      <c r="V37" s="16"/>
      <c r="W37" s="17"/>
      <c r="X37" s="18">
        <f t="shared" si="11"/>
        <v>0</v>
      </c>
      <c r="Y37" s="19"/>
      <c r="Z37" s="19"/>
      <c r="AA37" s="18">
        <f t="shared" si="12"/>
        <v>0</v>
      </c>
      <c r="AB37" s="20">
        <f t="shared" si="13"/>
        <v>0</v>
      </c>
      <c r="AC37" s="5"/>
      <c r="AD37" s="8"/>
      <c r="AF37" s="6"/>
      <c r="AG37" s="7"/>
      <c r="AJ37" s="33"/>
      <c r="AK37" s="35"/>
      <c r="AL37" s="38"/>
    </row>
    <row r="38" spans="1:38" ht="17.25" customHeight="1">
      <c r="A38" s="25"/>
      <c r="B38" s="26"/>
      <c r="C38" s="14"/>
      <c r="D38" s="31"/>
      <c r="E38" s="14"/>
      <c r="F38" s="15" t="str">
        <f t="shared" si="7"/>
        <v xml:space="preserve">S/F  </v>
      </c>
      <c r="G38" s="16"/>
      <c r="H38" s="17">
        <v>21</v>
      </c>
      <c r="I38" s="18">
        <f t="shared" si="8"/>
        <v>0</v>
      </c>
      <c r="J38" s="17"/>
      <c r="K38" s="18"/>
      <c r="L38" s="16"/>
      <c r="M38" s="17"/>
      <c r="N38" s="18">
        <f t="shared" si="9"/>
        <v>0</v>
      </c>
      <c r="O38" s="19"/>
      <c r="P38" s="18">
        <v>0</v>
      </c>
      <c r="Q38" s="16"/>
      <c r="R38" s="17"/>
      <c r="S38" s="18">
        <f t="shared" si="10"/>
        <v>0</v>
      </c>
      <c r="T38" s="19"/>
      <c r="U38" s="18">
        <v>0</v>
      </c>
      <c r="V38" s="16"/>
      <c r="W38" s="17"/>
      <c r="X38" s="18">
        <f t="shared" si="11"/>
        <v>0</v>
      </c>
      <c r="Y38" s="19"/>
      <c r="Z38" s="19"/>
      <c r="AA38" s="18">
        <f t="shared" si="12"/>
        <v>0</v>
      </c>
      <c r="AB38" s="20">
        <f t="shared" si="13"/>
        <v>0</v>
      </c>
      <c r="AC38" s="5"/>
      <c r="AD38" s="8"/>
      <c r="AF38" s="6"/>
      <c r="AG38" s="7"/>
      <c r="AJ38" s="33"/>
      <c r="AK38" s="35"/>
      <c r="AL38" s="38"/>
    </row>
    <row r="39" spans="1:38" ht="17.25" customHeight="1">
      <c r="A39" s="25"/>
      <c r="B39" s="26"/>
      <c r="C39" s="14"/>
      <c r="D39" s="31"/>
      <c r="E39" s="14"/>
      <c r="F39" s="15" t="str">
        <f t="shared" si="7"/>
        <v xml:space="preserve">S/F  </v>
      </c>
      <c r="G39" s="16"/>
      <c r="H39" s="17">
        <v>21</v>
      </c>
      <c r="I39" s="18">
        <f t="shared" si="8"/>
        <v>0</v>
      </c>
      <c r="J39" s="17"/>
      <c r="K39" s="18"/>
      <c r="L39" s="16"/>
      <c r="M39" s="17"/>
      <c r="N39" s="18">
        <f t="shared" si="9"/>
        <v>0</v>
      </c>
      <c r="O39" s="19"/>
      <c r="P39" s="18">
        <v>0</v>
      </c>
      <c r="Q39" s="16"/>
      <c r="R39" s="17"/>
      <c r="S39" s="18">
        <f t="shared" si="10"/>
        <v>0</v>
      </c>
      <c r="T39" s="19"/>
      <c r="U39" s="18">
        <v>0</v>
      </c>
      <c r="V39" s="16"/>
      <c r="W39" s="17"/>
      <c r="X39" s="18">
        <f t="shared" si="11"/>
        <v>0</v>
      </c>
      <c r="Y39" s="19"/>
      <c r="Z39" s="19"/>
      <c r="AA39" s="18">
        <f t="shared" si="12"/>
        <v>0</v>
      </c>
      <c r="AB39" s="20">
        <f t="shared" si="13"/>
        <v>0</v>
      </c>
      <c r="AC39" s="5"/>
      <c r="AD39" s="8"/>
      <c r="AF39" s="6"/>
      <c r="AG39" s="7"/>
      <c r="AJ39" s="33"/>
      <c r="AK39" s="35"/>
      <c r="AL39" s="38"/>
    </row>
    <row r="40" spans="1:38" ht="17.25" customHeight="1">
      <c r="A40" s="25"/>
      <c r="B40" s="26"/>
      <c r="C40" s="14"/>
      <c r="D40" s="31"/>
      <c r="E40" s="14"/>
      <c r="F40" s="15" t="str">
        <f t="shared" si="7"/>
        <v xml:space="preserve">S/F  </v>
      </c>
      <c r="G40" s="16"/>
      <c r="H40" s="17">
        <v>21</v>
      </c>
      <c r="I40" s="18">
        <f t="shared" si="8"/>
        <v>0</v>
      </c>
      <c r="J40" s="17"/>
      <c r="K40" s="18"/>
      <c r="L40" s="16"/>
      <c r="M40" s="17"/>
      <c r="N40" s="18">
        <f t="shared" si="9"/>
        <v>0</v>
      </c>
      <c r="O40" s="19"/>
      <c r="P40" s="18">
        <v>0</v>
      </c>
      <c r="Q40" s="16"/>
      <c r="R40" s="17"/>
      <c r="S40" s="18">
        <f t="shared" si="10"/>
        <v>0</v>
      </c>
      <c r="T40" s="19"/>
      <c r="U40" s="18">
        <v>0</v>
      </c>
      <c r="V40" s="16"/>
      <c r="W40" s="17"/>
      <c r="X40" s="18">
        <f t="shared" si="11"/>
        <v>0</v>
      </c>
      <c r="Y40" s="19"/>
      <c r="Z40" s="19"/>
      <c r="AA40" s="18">
        <f t="shared" si="12"/>
        <v>0</v>
      </c>
      <c r="AB40" s="20">
        <f t="shared" si="13"/>
        <v>0</v>
      </c>
      <c r="AC40" s="5"/>
      <c r="AD40" s="8"/>
      <c r="AF40" s="6"/>
      <c r="AG40" s="7"/>
      <c r="AJ40" s="33"/>
      <c r="AK40" s="35"/>
      <c r="AL40" s="38"/>
    </row>
    <row r="41" spans="1:38" ht="17.25" customHeight="1">
      <c r="A41" s="25"/>
      <c r="B41" s="26"/>
      <c r="C41" s="14"/>
      <c r="D41" s="31"/>
      <c r="E41" s="14"/>
      <c r="F41" s="15" t="str">
        <f t="shared" si="7"/>
        <v xml:space="preserve">S/F  </v>
      </c>
      <c r="G41" s="16"/>
      <c r="H41" s="17">
        <v>21</v>
      </c>
      <c r="I41" s="18">
        <f t="shared" si="8"/>
        <v>0</v>
      </c>
      <c r="J41" s="17"/>
      <c r="K41" s="18"/>
      <c r="L41" s="16"/>
      <c r="M41" s="17"/>
      <c r="N41" s="18">
        <f t="shared" si="9"/>
        <v>0</v>
      </c>
      <c r="O41" s="19"/>
      <c r="P41" s="18">
        <v>0</v>
      </c>
      <c r="Q41" s="16"/>
      <c r="R41" s="17"/>
      <c r="S41" s="18">
        <f t="shared" si="10"/>
        <v>0</v>
      </c>
      <c r="T41" s="19"/>
      <c r="U41" s="18">
        <v>0</v>
      </c>
      <c r="V41" s="16"/>
      <c r="W41" s="17"/>
      <c r="X41" s="18">
        <f t="shared" si="11"/>
        <v>0</v>
      </c>
      <c r="Y41" s="19"/>
      <c r="Z41" s="19"/>
      <c r="AA41" s="18">
        <f t="shared" si="12"/>
        <v>0</v>
      </c>
      <c r="AB41" s="20">
        <f t="shared" si="13"/>
        <v>0</v>
      </c>
      <c r="AC41" s="5"/>
      <c r="AD41" s="8"/>
      <c r="AF41" s="6"/>
      <c r="AG41" s="7"/>
      <c r="AJ41" s="33"/>
      <c r="AK41" s="35"/>
      <c r="AL41" s="38"/>
    </row>
    <row r="42" spans="1:38" ht="17.25" customHeight="1">
      <c r="A42" s="25"/>
      <c r="B42" s="26"/>
      <c r="C42" s="14"/>
      <c r="D42" s="31"/>
      <c r="E42" s="14"/>
      <c r="F42" s="15" t="str">
        <f t="shared" si="7"/>
        <v xml:space="preserve">S/F  </v>
      </c>
      <c r="G42" s="16"/>
      <c r="H42" s="17">
        <v>21</v>
      </c>
      <c r="I42" s="18">
        <f t="shared" si="8"/>
        <v>0</v>
      </c>
      <c r="J42" s="17"/>
      <c r="K42" s="18"/>
      <c r="L42" s="16"/>
      <c r="M42" s="17"/>
      <c r="N42" s="18">
        <f t="shared" si="9"/>
        <v>0</v>
      </c>
      <c r="O42" s="19"/>
      <c r="P42" s="18">
        <v>0</v>
      </c>
      <c r="Q42" s="16"/>
      <c r="R42" s="17"/>
      <c r="S42" s="18">
        <f t="shared" si="10"/>
        <v>0</v>
      </c>
      <c r="T42" s="19"/>
      <c r="U42" s="18">
        <v>0</v>
      </c>
      <c r="V42" s="16"/>
      <c r="W42" s="17"/>
      <c r="X42" s="18">
        <f t="shared" si="11"/>
        <v>0</v>
      </c>
      <c r="Y42" s="19"/>
      <c r="Z42" s="19"/>
      <c r="AA42" s="18">
        <f t="shared" si="12"/>
        <v>0</v>
      </c>
      <c r="AB42" s="20">
        <f t="shared" si="13"/>
        <v>0</v>
      </c>
      <c r="AC42" s="5"/>
      <c r="AD42" s="8"/>
      <c r="AF42" s="6"/>
      <c r="AG42" s="7"/>
      <c r="AJ42" s="33"/>
      <c r="AK42" s="35"/>
      <c r="AL42" s="38"/>
    </row>
    <row r="43" spans="1:38" ht="17.25" customHeight="1">
      <c r="A43" s="25"/>
      <c r="B43" s="26"/>
      <c r="C43" s="14"/>
      <c r="D43" s="31"/>
      <c r="E43" s="14"/>
      <c r="F43" s="15" t="str">
        <f t="shared" si="7"/>
        <v xml:space="preserve">S/F  </v>
      </c>
      <c r="G43" s="16"/>
      <c r="H43" s="17">
        <v>21</v>
      </c>
      <c r="I43" s="18">
        <f t="shared" si="8"/>
        <v>0</v>
      </c>
      <c r="J43" s="17"/>
      <c r="K43" s="18"/>
      <c r="L43" s="16"/>
      <c r="M43" s="17"/>
      <c r="N43" s="18">
        <f t="shared" si="9"/>
        <v>0</v>
      </c>
      <c r="O43" s="19"/>
      <c r="P43" s="18">
        <v>0</v>
      </c>
      <c r="Q43" s="16"/>
      <c r="R43" s="17"/>
      <c r="S43" s="18">
        <f t="shared" si="10"/>
        <v>0</v>
      </c>
      <c r="T43" s="19"/>
      <c r="U43" s="18">
        <v>0</v>
      </c>
      <c r="V43" s="16"/>
      <c r="W43" s="17"/>
      <c r="X43" s="18">
        <f t="shared" si="11"/>
        <v>0</v>
      </c>
      <c r="Y43" s="19"/>
      <c r="Z43" s="19"/>
      <c r="AA43" s="18">
        <f t="shared" si="12"/>
        <v>0</v>
      </c>
      <c r="AB43" s="20">
        <f t="shared" si="13"/>
        <v>0</v>
      </c>
      <c r="AC43" s="5"/>
      <c r="AD43" s="8"/>
      <c r="AF43" s="6"/>
      <c r="AG43" s="7"/>
      <c r="AJ43" s="33"/>
      <c r="AK43" s="35"/>
      <c r="AL43" s="38"/>
    </row>
    <row r="44" spans="1:38" ht="17.25" customHeight="1">
      <c r="A44" s="25"/>
      <c r="B44" s="26"/>
      <c r="C44" s="14"/>
      <c r="D44" s="31"/>
      <c r="E44" s="14"/>
      <c r="F44" s="15" t="str">
        <f t="shared" si="7"/>
        <v xml:space="preserve">S/F  </v>
      </c>
      <c r="G44" s="16"/>
      <c r="H44" s="17">
        <v>21</v>
      </c>
      <c r="I44" s="18">
        <f t="shared" si="8"/>
        <v>0</v>
      </c>
      <c r="J44" s="17"/>
      <c r="K44" s="18"/>
      <c r="L44" s="16"/>
      <c r="M44" s="17"/>
      <c r="N44" s="18">
        <f t="shared" si="9"/>
        <v>0</v>
      </c>
      <c r="O44" s="19"/>
      <c r="P44" s="18">
        <v>0</v>
      </c>
      <c r="Q44" s="16"/>
      <c r="R44" s="17"/>
      <c r="S44" s="18">
        <f t="shared" si="10"/>
        <v>0</v>
      </c>
      <c r="T44" s="19"/>
      <c r="U44" s="18">
        <v>0</v>
      </c>
      <c r="V44" s="16"/>
      <c r="W44" s="17"/>
      <c r="X44" s="18">
        <f t="shared" si="11"/>
        <v>0</v>
      </c>
      <c r="Y44" s="19"/>
      <c r="Z44" s="19"/>
      <c r="AA44" s="18">
        <f t="shared" si="12"/>
        <v>0</v>
      </c>
      <c r="AB44" s="20">
        <f t="shared" si="13"/>
        <v>0</v>
      </c>
      <c r="AC44" s="5"/>
      <c r="AD44" s="8"/>
      <c r="AF44" s="6"/>
      <c r="AG44" s="7"/>
      <c r="AJ44" s="33"/>
      <c r="AK44" s="35"/>
      <c r="AL44" s="38"/>
    </row>
    <row r="45" spans="1:38" ht="17.25" customHeight="1">
      <c r="A45" s="25"/>
      <c r="B45" s="26"/>
      <c r="C45" s="14"/>
      <c r="D45" s="31"/>
      <c r="E45" s="14"/>
      <c r="F45" s="15" t="str">
        <f t="shared" si="7"/>
        <v xml:space="preserve">S/F  </v>
      </c>
      <c r="G45" s="16"/>
      <c r="H45" s="17">
        <v>21</v>
      </c>
      <c r="I45" s="18">
        <f t="shared" si="8"/>
        <v>0</v>
      </c>
      <c r="J45" s="17"/>
      <c r="K45" s="18"/>
      <c r="L45" s="16"/>
      <c r="M45" s="17"/>
      <c r="N45" s="18">
        <f t="shared" si="9"/>
        <v>0</v>
      </c>
      <c r="O45" s="19"/>
      <c r="P45" s="18">
        <v>0</v>
      </c>
      <c r="Q45" s="16"/>
      <c r="R45" s="17"/>
      <c r="S45" s="18">
        <f t="shared" si="10"/>
        <v>0</v>
      </c>
      <c r="T45" s="19"/>
      <c r="U45" s="18">
        <v>0</v>
      </c>
      <c r="V45" s="16"/>
      <c r="W45" s="17"/>
      <c r="X45" s="18">
        <f t="shared" si="11"/>
        <v>0</v>
      </c>
      <c r="Y45" s="19"/>
      <c r="Z45" s="19"/>
      <c r="AA45" s="18">
        <f t="shared" si="12"/>
        <v>0</v>
      </c>
      <c r="AB45" s="20">
        <f t="shared" si="13"/>
        <v>0</v>
      </c>
      <c r="AC45" s="5"/>
      <c r="AD45" s="8"/>
      <c r="AF45" s="6"/>
      <c r="AG45" s="7"/>
      <c r="AJ45" s="33"/>
      <c r="AK45" s="35"/>
      <c r="AL45" s="38"/>
    </row>
    <row r="46" spans="1:38" ht="17.25" customHeight="1">
      <c r="A46" s="25"/>
      <c r="B46" s="26"/>
      <c r="C46" s="14"/>
      <c r="D46" s="31"/>
      <c r="E46" s="14"/>
      <c r="F46" s="15" t="str">
        <f t="shared" si="7"/>
        <v xml:space="preserve">S/F  </v>
      </c>
      <c r="G46" s="16"/>
      <c r="H46" s="17">
        <v>21</v>
      </c>
      <c r="I46" s="18">
        <f t="shared" si="8"/>
        <v>0</v>
      </c>
      <c r="J46" s="17"/>
      <c r="K46" s="18"/>
      <c r="L46" s="16"/>
      <c r="M46" s="17"/>
      <c r="N46" s="18">
        <f t="shared" si="9"/>
        <v>0</v>
      </c>
      <c r="O46" s="19"/>
      <c r="P46" s="18">
        <v>0</v>
      </c>
      <c r="Q46" s="16"/>
      <c r="R46" s="17"/>
      <c r="S46" s="18">
        <f t="shared" si="10"/>
        <v>0</v>
      </c>
      <c r="T46" s="19"/>
      <c r="U46" s="18">
        <v>0</v>
      </c>
      <c r="V46" s="16"/>
      <c r="W46" s="17"/>
      <c r="X46" s="18">
        <f t="shared" si="11"/>
        <v>0</v>
      </c>
      <c r="Y46" s="19"/>
      <c r="Z46" s="19"/>
      <c r="AA46" s="18">
        <f t="shared" si="12"/>
        <v>0</v>
      </c>
      <c r="AB46" s="20">
        <f t="shared" si="13"/>
        <v>0</v>
      </c>
      <c r="AC46" s="5"/>
      <c r="AD46" s="8"/>
      <c r="AF46" s="6"/>
      <c r="AG46" s="7"/>
      <c r="AJ46" s="33"/>
      <c r="AK46" s="35"/>
      <c r="AL46" s="38"/>
    </row>
    <row r="47" spans="1:38" ht="17.25" customHeight="1">
      <c r="A47" s="25"/>
      <c r="B47" s="26"/>
      <c r="C47" s="14"/>
      <c r="D47" s="31"/>
      <c r="E47" s="14"/>
      <c r="F47" s="15" t="str">
        <f t="shared" si="7"/>
        <v xml:space="preserve">S/F  </v>
      </c>
      <c r="G47" s="16"/>
      <c r="H47" s="17">
        <v>21</v>
      </c>
      <c r="I47" s="18">
        <f t="shared" si="8"/>
        <v>0</v>
      </c>
      <c r="J47" s="17"/>
      <c r="K47" s="18"/>
      <c r="L47" s="16"/>
      <c r="M47" s="17"/>
      <c r="N47" s="18">
        <f t="shared" si="9"/>
        <v>0</v>
      </c>
      <c r="O47" s="19"/>
      <c r="P47" s="18">
        <v>0</v>
      </c>
      <c r="Q47" s="16"/>
      <c r="R47" s="17"/>
      <c r="S47" s="18">
        <f t="shared" si="10"/>
        <v>0</v>
      </c>
      <c r="T47" s="19"/>
      <c r="U47" s="18">
        <v>0</v>
      </c>
      <c r="V47" s="16"/>
      <c r="W47" s="17"/>
      <c r="X47" s="18">
        <f t="shared" si="11"/>
        <v>0</v>
      </c>
      <c r="Y47" s="19"/>
      <c r="Z47" s="19"/>
      <c r="AA47" s="18">
        <f t="shared" si="12"/>
        <v>0</v>
      </c>
      <c r="AB47" s="20">
        <f t="shared" si="13"/>
        <v>0</v>
      </c>
      <c r="AC47" s="5"/>
      <c r="AD47" s="8"/>
      <c r="AF47" s="6"/>
      <c r="AG47" s="7"/>
      <c r="AJ47" s="33"/>
      <c r="AK47" s="35"/>
      <c r="AL47" s="38"/>
    </row>
    <row r="48" spans="1:38" ht="17.25" customHeight="1">
      <c r="A48" s="25"/>
      <c r="B48" s="26"/>
      <c r="C48" s="14"/>
      <c r="D48" s="31"/>
      <c r="E48" s="14"/>
      <c r="F48" s="15" t="str">
        <f t="shared" si="7"/>
        <v xml:space="preserve">S/F  </v>
      </c>
      <c r="G48" s="16"/>
      <c r="H48" s="17">
        <v>21</v>
      </c>
      <c r="I48" s="18">
        <f t="shared" si="8"/>
        <v>0</v>
      </c>
      <c r="J48" s="17"/>
      <c r="K48" s="18"/>
      <c r="L48" s="16"/>
      <c r="M48" s="17"/>
      <c r="N48" s="18">
        <f t="shared" si="9"/>
        <v>0</v>
      </c>
      <c r="O48" s="19"/>
      <c r="P48" s="18">
        <v>0</v>
      </c>
      <c r="Q48" s="16"/>
      <c r="R48" s="17"/>
      <c r="S48" s="18">
        <f t="shared" si="10"/>
        <v>0</v>
      </c>
      <c r="T48" s="19"/>
      <c r="U48" s="18">
        <v>0</v>
      </c>
      <c r="V48" s="16"/>
      <c r="W48" s="17"/>
      <c r="X48" s="18">
        <f t="shared" si="11"/>
        <v>0</v>
      </c>
      <c r="Y48" s="19"/>
      <c r="Z48" s="19"/>
      <c r="AA48" s="18">
        <f t="shared" si="12"/>
        <v>0</v>
      </c>
      <c r="AB48" s="20">
        <f t="shared" si="13"/>
        <v>0</v>
      </c>
      <c r="AC48" s="5"/>
      <c r="AD48" s="8"/>
      <c r="AF48" s="6"/>
      <c r="AG48" s="7"/>
      <c r="AJ48" s="33"/>
      <c r="AK48" s="35"/>
      <c r="AL48" s="38"/>
    </row>
    <row r="49" spans="1:38" ht="17.25" customHeight="1">
      <c r="A49" s="25"/>
      <c r="B49" s="26"/>
      <c r="C49" s="14"/>
      <c r="D49" s="31"/>
      <c r="E49" s="14"/>
      <c r="F49" s="15" t="str">
        <f t="shared" si="7"/>
        <v xml:space="preserve">S/F  </v>
      </c>
      <c r="G49" s="16"/>
      <c r="H49" s="17">
        <v>21</v>
      </c>
      <c r="I49" s="18">
        <f t="shared" si="8"/>
        <v>0</v>
      </c>
      <c r="J49" s="17"/>
      <c r="K49" s="18"/>
      <c r="L49" s="16"/>
      <c r="M49" s="17"/>
      <c r="N49" s="18">
        <f t="shared" si="9"/>
        <v>0</v>
      </c>
      <c r="O49" s="19"/>
      <c r="P49" s="18">
        <v>0</v>
      </c>
      <c r="Q49" s="16"/>
      <c r="R49" s="17"/>
      <c r="S49" s="18">
        <f t="shared" si="10"/>
        <v>0</v>
      </c>
      <c r="T49" s="19"/>
      <c r="U49" s="18">
        <v>0</v>
      </c>
      <c r="V49" s="16"/>
      <c r="W49" s="17"/>
      <c r="X49" s="18">
        <f t="shared" si="11"/>
        <v>0</v>
      </c>
      <c r="Y49" s="19"/>
      <c r="Z49" s="19"/>
      <c r="AA49" s="18">
        <f t="shared" si="12"/>
        <v>0</v>
      </c>
      <c r="AB49" s="20">
        <f t="shared" si="13"/>
        <v>0</v>
      </c>
      <c r="AC49" s="5"/>
      <c r="AD49" s="8"/>
      <c r="AF49" s="6"/>
      <c r="AG49" s="7"/>
      <c r="AJ49" s="33"/>
      <c r="AK49" s="35"/>
      <c r="AL49" s="38"/>
    </row>
    <row r="50" spans="1:38" ht="17.25" customHeight="1">
      <c r="A50" s="25"/>
      <c r="B50" s="26"/>
      <c r="C50" s="14"/>
      <c r="D50" s="31"/>
      <c r="E50" s="14"/>
      <c r="F50" s="15" t="str">
        <f t="shared" si="7"/>
        <v xml:space="preserve">S/F  </v>
      </c>
      <c r="G50" s="16"/>
      <c r="H50" s="17">
        <v>21</v>
      </c>
      <c r="I50" s="18">
        <f t="shared" si="8"/>
        <v>0</v>
      </c>
      <c r="J50" s="17"/>
      <c r="K50" s="18"/>
      <c r="L50" s="16"/>
      <c r="M50" s="17"/>
      <c r="N50" s="18">
        <f t="shared" si="9"/>
        <v>0</v>
      </c>
      <c r="O50" s="19"/>
      <c r="P50" s="18">
        <v>0</v>
      </c>
      <c r="Q50" s="16"/>
      <c r="R50" s="17"/>
      <c r="S50" s="18">
        <f t="shared" si="10"/>
        <v>0</v>
      </c>
      <c r="T50" s="19"/>
      <c r="U50" s="18">
        <v>0</v>
      </c>
      <c r="V50" s="16"/>
      <c r="W50" s="17"/>
      <c r="X50" s="18">
        <f t="shared" si="11"/>
        <v>0</v>
      </c>
      <c r="Y50" s="19"/>
      <c r="Z50" s="19"/>
      <c r="AA50" s="18">
        <f t="shared" si="12"/>
        <v>0</v>
      </c>
      <c r="AB50" s="20">
        <f t="shared" si="13"/>
        <v>0</v>
      </c>
      <c r="AC50" s="5"/>
      <c r="AD50" s="8"/>
      <c r="AF50" s="6"/>
      <c r="AG50" s="7"/>
      <c r="AJ50" s="33"/>
      <c r="AK50" s="35"/>
      <c r="AL50" s="38"/>
    </row>
    <row r="51" spans="1:38" ht="17.25" customHeight="1">
      <c r="A51" s="25"/>
      <c r="B51" s="26"/>
      <c r="C51" s="14"/>
      <c r="D51" s="31"/>
      <c r="E51" s="14"/>
      <c r="F51" s="15" t="str">
        <f t="shared" si="7"/>
        <v xml:space="preserve">S/F  </v>
      </c>
      <c r="G51" s="16"/>
      <c r="H51" s="17">
        <v>21</v>
      </c>
      <c r="I51" s="18">
        <f t="shared" si="8"/>
        <v>0</v>
      </c>
      <c r="J51" s="17"/>
      <c r="K51" s="18"/>
      <c r="L51" s="16"/>
      <c r="M51" s="17"/>
      <c r="N51" s="18">
        <f t="shared" si="9"/>
        <v>0</v>
      </c>
      <c r="O51" s="19"/>
      <c r="P51" s="18">
        <v>0</v>
      </c>
      <c r="Q51" s="16"/>
      <c r="R51" s="17"/>
      <c r="S51" s="18">
        <f t="shared" si="10"/>
        <v>0</v>
      </c>
      <c r="T51" s="19"/>
      <c r="U51" s="18">
        <v>0</v>
      </c>
      <c r="V51" s="16"/>
      <c r="W51" s="17"/>
      <c r="X51" s="18">
        <f t="shared" si="11"/>
        <v>0</v>
      </c>
      <c r="Y51" s="19"/>
      <c r="Z51" s="19"/>
      <c r="AA51" s="18">
        <f t="shared" si="12"/>
        <v>0</v>
      </c>
      <c r="AB51" s="20">
        <f t="shared" si="13"/>
        <v>0</v>
      </c>
      <c r="AC51" s="5"/>
      <c r="AD51" s="8"/>
      <c r="AF51" s="6"/>
      <c r="AG51" s="7"/>
      <c r="AJ51" s="33"/>
      <c r="AK51" s="35"/>
      <c r="AL51" s="38"/>
    </row>
    <row r="52" spans="1:38" ht="17.25" customHeight="1">
      <c r="A52" s="25"/>
      <c r="B52" s="26"/>
      <c r="C52" s="14"/>
      <c r="D52" s="31"/>
      <c r="E52" s="14"/>
      <c r="F52" s="15" t="str">
        <f t="shared" si="7"/>
        <v xml:space="preserve">S/F  </v>
      </c>
      <c r="G52" s="16"/>
      <c r="H52" s="17">
        <v>21</v>
      </c>
      <c r="I52" s="18">
        <f t="shared" si="8"/>
        <v>0</v>
      </c>
      <c r="J52" s="17"/>
      <c r="K52" s="18"/>
      <c r="L52" s="16"/>
      <c r="M52" s="17"/>
      <c r="N52" s="18">
        <f t="shared" si="9"/>
        <v>0</v>
      </c>
      <c r="O52" s="19"/>
      <c r="P52" s="18">
        <v>0</v>
      </c>
      <c r="Q52" s="16"/>
      <c r="R52" s="17"/>
      <c r="S52" s="18">
        <f t="shared" si="10"/>
        <v>0</v>
      </c>
      <c r="T52" s="19"/>
      <c r="U52" s="18">
        <v>0</v>
      </c>
      <c r="V52" s="16"/>
      <c r="W52" s="17"/>
      <c r="X52" s="18">
        <f t="shared" si="11"/>
        <v>0</v>
      </c>
      <c r="Y52" s="19"/>
      <c r="Z52" s="19"/>
      <c r="AA52" s="18">
        <f t="shared" si="12"/>
        <v>0</v>
      </c>
      <c r="AB52" s="20">
        <f t="shared" si="13"/>
        <v>0</v>
      </c>
      <c r="AC52" s="5"/>
      <c r="AD52" s="8"/>
      <c r="AF52" s="6"/>
      <c r="AG52" s="7"/>
      <c r="AJ52" s="33"/>
      <c r="AK52" s="35"/>
      <c r="AL52" s="38"/>
    </row>
    <row r="53" spans="1:38" ht="17.25" customHeight="1">
      <c r="A53" s="25"/>
      <c r="B53" s="26"/>
      <c r="C53" s="14"/>
      <c r="D53" s="31"/>
      <c r="E53" s="14"/>
      <c r="F53" s="15" t="str">
        <f t="shared" si="7"/>
        <v xml:space="preserve">S/F  </v>
      </c>
      <c r="G53" s="16"/>
      <c r="H53" s="17">
        <v>21</v>
      </c>
      <c r="I53" s="18">
        <f t="shared" si="8"/>
        <v>0</v>
      </c>
      <c r="J53" s="17"/>
      <c r="K53" s="18"/>
      <c r="L53" s="16"/>
      <c r="M53" s="17"/>
      <c r="N53" s="18">
        <f t="shared" si="9"/>
        <v>0</v>
      </c>
      <c r="O53" s="19"/>
      <c r="P53" s="18">
        <v>0</v>
      </c>
      <c r="Q53" s="16"/>
      <c r="R53" s="17"/>
      <c r="S53" s="18">
        <f t="shared" si="10"/>
        <v>0</v>
      </c>
      <c r="T53" s="19"/>
      <c r="U53" s="18">
        <v>0</v>
      </c>
      <c r="V53" s="16"/>
      <c r="W53" s="17"/>
      <c r="X53" s="18">
        <f t="shared" si="11"/>
        <v>0</v>
      </c>
      <c r="Y53" s="19"/>
      <c r="Z53" s="19"/>
      <c r="AA53" s="18">
        <f t="shared" si="12"/>
        <v>0</v>
      </c>
      <c r="AB53" s="20">
        <f t="shared" si="13"/>
        <v>0</v>
      </c>
      <c r="AC53" s="5"/>
      <c r="AD53" s="8"/>
      <c r="AF53" s="6"/>
      <c r="AG53" s="7"/>
      <c r="AJ53" s="33"/>
      <c r="AK53" s="35"/>
      <c r="AL53" s="38"/>
    </row>
    <row r="54" spans="1:38" ht="17.25" customHeight="1">
      <c r="A54" s="25"/>
      <c r="B54" s="26"/>
      <c r="C54" s="14"/>
      <c r="D54" s="31"/>
      <c r="E54" s="14"/>
      <c r="F54" s="15" t="str">
        <f t="shared" si="7"/>
        <v xml:space="preserve">S/F  </v>
      </c>
      <c r="G54" s="16"/>
      <c r="H54" s="17">
        <v>21</v>
      </c>
      <c r="I54" s="18">
        <f t="shared" si="8"/>
        <v>0</v>
      </c>
      <c r="J54" s="17"/>
      <c r="K54" s="18"/>
      <c r="L54" s="16"/>
      <c r="M54" s="17"/>
      <c r="N54" s="18">
        <f t="shared" si="9"/>
        <v>0</v>
      </c>
      <c r="O54" s="19"/>
      <c r="P54" s="18">
        <v>0</v>
      </c>
      <c r="Q54" s="16"/>
      <c r="R54" s="17"/>
      <c r="S54" s="18">
        <f t="shared" si="10"/>
        <v>0</v>
      </c>
      <c r="T54" s="19"/>
      <c r="U54" s="18">
        <v>0</v>
      </c>
      <c r="V54" s="16"/>
      <c r="W54" s="17"/>
      <c r="X54" s="18">
        <f t="shared" si="11"/>
        <v>0</v>
      </c>
      <c r="Y54" s="19"/>
      <c r="Z54" s="19"/>
      <c r="AA54" s="18">
        <f t="shared" si="12"/>
        <v>0</v>
      </c>
      <c r="AB54" s="20">
        <f t="shared" si="13"/>
        <v>0</v>
      </c>
      <c r="AC54" s="5"/>
      <c r="AD54" s="8"/>
      <c r="AF54" s="6"/>
      <c r="AG54" s="7"/>
      <c r="AJ54" s="33"/>
      <c r="AK54" s="35"/>
      <c r="AL54" s="38"/>
    </row>
    <row r="55" spans="1:38" ht="17.25" customHeight="1">
      <c r="A55" s="25"/>
      <c r="B55" s="26"/>
      <c r="C55" s="14"/>
      <c r="D55" s="31"/>
      <c r="E55" s="14"/>
      <c r="F55" s="15" t="str">
        <f t="shared" si="7"/>
        <v xml:space="preserve">S/F  </v>
      </c>
      <c r="G55" s="16"/>
      <c r="H55" s="17">
        <v>21</v>
      </c>
      <c r="I55" s="18">
        <f t="shared" si="8"/>
        <v>0</v>
      </c>
      <c r="J55" s="17"/>
      <c r="K55" s="18"/>
      <c r="L55" s="16"/>
      <c r="M55" s="17"/>
      <c r="N55" s="18">
        <f t="shared" si="9"/>
        <v>0</v>
      </c>
      <c r="O55" s="19"/>
      <c r="P55" s="18">
        <v>0</v>
      </c>
      <c r="Q55" s="16"/>
      <c r="R55" s="17"/>
      <c r="S55" s="18">
        <f t="shared" si="10"/>
        <v>0</v>
      </c>
      <c r="T55" s="19"/>
      <c r="U55" s="18">
        <v>0</v>
      </c>
      <c r="V55" s="16"/>
      <c r="W55" s="17"/>
      <c r="X55" s="18">
        <f t="shared" si="11"/>
        <v>0</v>
      </c>
      <c r="Y55" s="19"/>
      <c r="Z55" s="19"/>
      <c r="AA55" s="18">
        <f t="shared" si="12"/>
        <v>0</v>
      </c>
      <c r="AB55" s="20">
        <f t="shared" si="13"/>
        <v>0</v>
      </c>
      <c r="AC55" s="5"/>
      <c r="AD55" s="8"/>
      <c r="AF55" s="6"/>
      <c r="AG55" s="7"/>
      <c r="AJ55" s="33"/>
      <c r="AK55" s="35"/>
      <c r="AL55" s="38"/>
    </row>
    <row r="56" spans="1:38" ht="17.25" customHeight="1">
      <c r="A56" s="25"/>
      <c r="B56" s="26"/>
      <c r="C56" s="14"/>
      <c r="D56" s="31"/>
      <c r="E56" s="14"/>
      <c r="F56" s="15" t="str">
        <f t="shared" si="7"/>
        <v xml:space="preserve">S/F  </v>
      </c>
      <c r="G56" s="16"/>
      <c r="H56" s="17">
        <v>21</v>
      </c>
      <c r="I56" s="18">
        <f t="shared" si="8"/>
        <v>0</v>
      </c>
      <c r="J56" s="17"/>
      <c r="K56" s="18"/>
      <c r="L56" s="16"/>
      <c r="M56" s="17"/>
      <c r="N56" s="18">
        <f t="shared" si="9"/>
        <v>0</v>
      </c>
      <c r="O56" s="19"/>
      <c r="P56" s="18">
        <v>0</v>
      </c>
      <c r="Q56" s="16"/>
      <c r="R56" s="17"/>
      <c r="S56" s="18">
        <f t="shared" si="10"/>
        <v>0</v>
      </c>
      <c r="T56" s="19"/>
      <c r="U56" s="18">
        <v>0</v>
      </c>
      <c r="V56" s="16"/>
      <c r="W56" s="17"/>
      <c r="X56" s="18">
        <f t="shared" si="11"/>
        <v>0</v>
      </c>
      <c r="Y56" s="19"/>
      <c r="Z56" s="19"/>
      <c r="AA56" s="18">
        <f t="shared" si="12"/>
        <v>0</v>
      </c>
      <c r="AB56" s="20">
        <f t="shared" si="13"/>
        <v>0</v>
      </c>
      <c r="AC56" s="5"/>
      <c r="AD56" s="8"/>
      <c r="AF56" s="6"/>
      <c r="AG56" s="7"/>
      <c r="AJ56" s="33"/>
      <c r="AK56" s="35"/>
      <c r="AL56" s="38"/>
    </row>
    <row r="57" spans="1:38" ht="17.25" customHeight="1">
      <c r="A57" s="25"/>
      <c r="B57" s="26"/>
      <c r="C57" s="14"/>
      <c r="D57" s="31"/>
      <c r="E57" s="14"/>
      <c r="F57" s="15" t="str">
        <f t="shared" si="7"/>
        <v xml:space="preserve">S/F  </v>
      </c>
      <c r="G57" s="16"/>
      <c r="H57" s="17">
        <v>21</v>
      </c>
      <c r="I57" s="18">
        <f t="shared" si="8"/>
        <v>0</v>
      </c>
      <c r="J57" s="17"/>
      <c r="K57" s="18"/>
      <c r="L57" s="16"/>
      <c r="M57" s="17"/>
      <c r="N57" s="18">
        <f t="shared" si="9"/>
        <v>0</v>
      </c>
      <c r="O57" s="19"/>
      <c r="P57" s="18">
        <v>0</v>
      </c>
      <c r="Q57" s="16"/>
      <c r="R57" s="17"/>
      <c r="S57" s="18">
        <f t="shared" si="10"/>
        <v>0</v>
      </c>
      <c r="T57" s="19"/>
      <c r="U57" s="18">
        <v>0</v>
      </c>
      <c r="V57" s="16"/>
      <c r="W57" s="17"/>
      <c r="X57" s="18">
        <f t="shared" si="11"/>
        <v>0</v>
      </c>
      <c r="Y57" s="19"/>
      <c r="Z57" s="19"/>
      <c r="AA57" s="18">
        <f t="shared" si="12"/>
        <v>0</v>
      </c>
      <c r="AB57" s="20">
        <f t="shared" si="13"/>
        <v>0</v>
      </c>
      <c r="AC57" s="5"/>
      <c r="AD57" s="8"/>
      <c r="AF57" s="6"/>
      <c r="AG57" s="7"/>
      <c r="AJ57" s="33"/>
      <c r="AK57" s="35"/>
      <c r="AL57" s="38"/>
    </row>
    <row r="58" spans="1:38" ht="17.25" customHeight="1">
      <c r="A58" s="25"/>
      <c r="B58" s="26"/>
      <c r="C58" s="14"/>
      <c r="D58" s="31"/>
      <c r="E58" s="14"/>
      <c r="F58" s="15" t="str">
        <f t="shared" si="7"/>
        <v xml:space="preserve">S/F  </v>
      </c>
      <c r="G58" s="16"/>
      <c r="H58" s="17">
        <v>21</v>
      </c>
      <c r="I58" s="18">
        <f t="shared" si="8"/>
        <v>0</v>
      </c>
      <c r="J58" s="17"/>
      <c r="K58" s="18"/>
      <c r="L58" s="16"/>
      <c r="M58" s="17"/>
      <c r="N58" s="18">
        <f t="shared" si="9"/>
        <v>0</v>
      </c>
      <c r="O58" s="19"/>
      <c r="P58" s="18">
        <v>0</v>
      </c>
      <c r="Q58" s="16"/>
      <c r="R58" s="17"/>
      <c r="S58" s="18">
        <f t="shared" si="10"/>
        <v>0</v>
      </c>
      <c r="T58" s="19"/>
      <c r="U58" s="18">
        <v>0</v>
      </c>
      <c r="V58" s="16"/>
      <c r="W58" s="17"/>
      <c r="X58" s="18">
        <f t="shared" si="11"/>
        <v>0</v>
      </c>
      <c r="Y58" s="19"/>
      <c r="Z58" s="19"/>
      <c r="AA58" s="18">
        <f t="shared" si="12"/>
        <v>0</v>
      </c>
      <c r="AB58" s="20">
        <f t="shared" si="13"/>
        <v>0</v>
      </c>
      <c r="AC58" s="5"/>
      <c r="AD58" s="8"/>
      <c r="AF58" s="6"/>
      <c r="AG58" s="7"/>
      <c r="AJ58" s="33"/>
      <c r="AK58" s="35"/>
      <c r="AL58" s="38"/>
    </row>
    <row r="59" spans="1:38" ht="17.25" customHeight="1">
      <c r="A59" s="25"/>
      <c r="B59" s="26"/>
      <c r="C59" s="14"/>
      <c r="D59" s="31"/>
      <c r="E59" s="14"/>
      <c r="F59" s="15" t="str">
        <f t="shared" si="7"/>
        <v xml:space="preserve">S/F  </v>
      </c>
      <c r="G59" s="16"/>
      <c r="H59" s="17">
        <v>21</v>
      </c>
      <c r="I59" s="18">
        <f t="shared" si="8"/>
        <v>0</v>
      </c>
      <c r="J59" s="17"/>
      <c r="K59" s="18"/>
      <c r="L59" s="16"/>
      <c r="M59" s="17"/>
      <c r="N59" s="18">
        <f t="shared" si="9"/>
        <v>0</v>
      </c>
      <c r="O59" s="19"/>
      <c r="P59" s="18">
        <v>0</v>
      </c>
      <c r="Q59" s="16"/>
      <c r="R59" s="17"/>
      <c r="S59" s="18">
        <f t="shared" si="10"/>
        <v>0</v>
      </c>
      <c r="T59" s="19"/>
      <c r="U59" s="18">
        <v>0</v>
      </c>
      <c r="V59" s="16"/>
      <c r="W59" s="17"/>
      <c r="X59" s="18">
        <f t="shared" si="11"/>
        <v>0</v>
      </c>
      <c r="Y59" s="19"/>
      <c r="Z59" s="19"/>
      <c r="AA59" s="18">
        <f t="shared" si="12"/>
        <v>0</v>
      </c>
      <c r="AB59" s="20">
        <f t="shared" si="13"/>
        <v>0</v>
      </c>
      <c r="AC59" s="5"/>
      <c r="AD59" s="8"/>
      <c r="AF59" s="6"/>
      <c r="AG59" s="7"/>
      <c r="AJ59" s="33"/>
      <c r="AK59" s="35"/>
      <c r="AL59" s="38"/>
    </row>
    <row r="60" spans="1:38" ht="17.25" customHeight="1">
      <c r="A60" s="25"/>
      <c r="B60" s="26"/>
      <c r="C60" s="14"/>
      <c r="D60" s="31"/>
      <c r="E60" s="14"/>
      <c r="F60" s="15" t="str">
        <f t="shared" si="7"/>
        <v xml:space="preserve">S/F  </v>
      </c>
      <c r="G60" s="16"/>
      <c r="H60" s="17">
        <v>21</v>
      </c>
      <c r="I60" s="18">
        <f t="shared" si="8"/>
        <v>0</v>
      </c>
      <c r="J60" s="17"/>
      <c r="K60" s="18"/>
      <c r="L60" s="16"/>
      <c r="M60" s="17"/>
      <c r="N60" s="18">
        <f t="shared" si="9"/>
        <v>0</v>
      </c>
      <c r="O60" s="19"/>
      <c r="P60" s="18">
        <v>0</v>
      </c>
      <c r="Q60" s="16"/>
      <c r="R60" s="17"/>
      <c r="S60" s="18">
        <f t="shared" si="10"/>
        <v>0</v>
      </c>
      <c r="T60" s="19"/>
      <c r="U60" s="18">
        <v>0</v>
      </c>
      <c r="V60" s="16"/>
      <c r="W60" s="17"/>
      <c r="X60" s="18">
        <f t="shared" si="11"/>
        <v>0</v>
      </c>
      <c r="Y60" s="19"/>
      <c r="Z60" s="19"/>
      <c r="AA60" s="18">
        <f t="shared" si="12"/>
        <v>0</v>
      </c>
      <c r="AB60" s="20">
        <f t="shared" si="13"/>
        <v>0</v>
      </c>
      <c r="AC60" s="5"/>
      <c r="AD60" s="8"/>
      <c r="AF60" s="6"/>
      <c r="AG60" s="7"/>
      <c r="AJ60" s="33"/>
      <c r="AK60" s="35"/>
      <c r="AL60" s="38"/>
    </row>
    <row r="61" spans="1:38" ht="17.25" customHeight="1">
      <c r="A61" s="25"/>
      <c r="B61" s="26"/>
      <c r="C61" s="14"/>
      <c r="D61" s="31"/>
      <c r="E61" s="14"/>
      <c r="F61" s="15" t="str">
        <f t="shared" si="7"/>
        <v xml:space="preserve">S/F  </v>
      </c>
      <c r="G61" s="16"/>
      <c r="H61" s="17">
        <v>21</v>
      </c>
      <c r="I61" s="18">
        <f t="shared" si="8"/>
        <v>0</v>
      </c>
      <c r="J61" s="17"/>
      <c r="K61" s="18"/>
      <c r="L61" s="16"/>
      <c r="M61" s="17"/>
      <c r="N61" s="18">
        <f t="shared" si="9"/>
        <v>0</v>
      </c>
      <c r="O61" s="19"/>
      <c r="P61" s="18">
        <v>0</v>
      </c>
      <c r="Q61" s="16"/>
      <c r="R61" s="17"/>
      <c r="S61" s="18">
        <f t="shared" si="10"/>
        <v>0</v>
      </c>
      <c r="T61" s="19"/>
      <c r="U61" s="18">
        <v>0</v>
      </c>
      <c r="V61" s="16"/>
      <c r="W61" s="17"/>
      <c r="X61" s="18">
        <f t="shared" si="11"/>
        <v>0</v>
      </c>
      <c r="Y61" s="19"/>
      <c r="Z61" s="19"/>
      <c r="AA61" s="18">
        <f t="shared" si="12"/>
        <v>0</v>
      </c>
      <c r="AB61" s="20">
        <f t="shared" si="13"/>
        <v>0</v>
      </c>
      <c r="AC61" s="5"/>
      <c r="AD61" s="8"/>
      <c r="AF61" s="6"/>
      <c r="AG61" s="7"/>
      <c r="AJ61" s="33"/>
      <c r="AK61" s="35"/>
      <c r="AL61" s="38"/>
    </row>
    <row r="62" spans="1:38" ht="17.25" customHeight="1">
      <c r="A62" s="25"/>
      <c r="B62" s="26"/>
      <c r="C62" s="14"/>
      <c r="D62" s="31"/>
      <c r="E62" s="14"/>
      <c r="F62" s="15" t="str">
        <f t="shared" si="7"/>
        <v xml:space="preserve">S/F  </v>
      </c>
      <c r="G62" s="16"/>
      <c r="H62" s="17">
        <v>21</v>
      </c>
      <c r="I62" s="18">
        <f t="shared" si="8"/>
        <v>0</v>
      </c>
      <c r="J62" s="17"/>
      <c r="K62" s="18"/>
      <c r="L62" s="16"/>
      <c r="M62" s="17"/>
      <c r="N62" s="18">
        <f t="shared" si="9"/>
        <v>0</v>
      </c>
      <c r="O62" s="19"/>
      <c r="P62" s="18">
        <v>0</v>
      </c>
      <c r="Q62" s="16"/>
      <c r="R62" s="17"/>
      <c r="S62" s="18">
        <f t="shared" si="10"/>
        <v>0</v>
      </c>
      <c r="T62" s="19"/>
      <c r="U62" s="18">
        <v>0</v>
      </c>
      <c r="V62" s="16"/>
      <c r="W62" s="17"/>
      <c r="X62" s="18">
        <f t="shared" si="11"/>
        <v>0</v>
      </c>
      <c r="Y62" s="19"/>
      <c r="Z62" s="19"/>
      <c r="AA62" s="18">
        <f t="shared" si="12"/>
        <v>0</v>
      </c>
      <c r="AB62" s="20">
        <f t="shared" si="13"/>
        <v>0</v>
      </c>
      <c r="AC62" s="5"/>
      <c r="AD62" s="8"/>
      <c r="AF62" s="6"/>
      <c r="AG62" s="7"/>
      <c r="AJ62" s="33"/>
      <c r="AK62" s="35"/>
      <c r="AL62" s="38"/>
    </row>
    <row r="63" spans="1:38" ht="17.25" customHeight="1">
      <c r="A63" s="25"/>
      <c r="B63" s="26"/>
      <c r="C63" s="14"/>
      <c r="D63" s="31"/>
      <c r="E63" s="14"/>
      <c r="F63" s="15" t="str">
        <f t="shared" ref="F63:F106" si="14">"S/F "&amp;B63&amp;" "&amp;E63</f>
        <v xml:space="preserve">S/F  </v>
      </c>
      <c r="G63" s="16"/>
      <c r="H63" s="17">
        <v>21</v>
      </c>
      <c r="I63" s="18">
        <f t="shared" ref="I63:I106" si="15">+IF(G63&lt;&gt;0,G63*H63/100,0)</f>
        <v>0</v>
      </c>
      <c r="J63" s="17"/>
      <c r="K63" s="18"/>
      <c r="L63" s="16"/>
      <c r="M63" s="17"/>
      <c r="N63" s="18">
        <f t="shared" ref="N63:N106" si="16">+IF(L63&lt;&gt;0,L63*M63/100,0)</f>
        <v>0</v>
      </c>
      <c r="O63" s="19"/>
      <c r="P63" s="18">
        <v>0</v>
      </c>
      <c r="Q63" s="16"/>
      <c r="R63" s="17"/>
      <c r="S63" s="18">
        <f t="shared" ref="S63:S106" si="17">+IF(Q63&lt;&gt;0,Q63*R63/100,0)</f>
        <v>0</v>
      </c>
      <c r="T63" s="19"/>
      <c r="U63" s="18">
        <v>0</v>
      </c>
      <c r="V63" s="16"/>
      <c r="W63" s="17"/>
      <c r="X63" s="18">
        <f t="shared" ref="X63:X106" si="18">+IF(W63&lt;&gt;0,V63*W63/100,0)</f>
        <v>0</v>
      </c>
      <c r="Y63" s="19"/>
      <c r="Z63" s="19"/>
      <c r="AA63" s="18">
        <f t="shared" ref="AA63:AA106" si="19">+IF(Z63&lt;&gt;0,Y63*Z63/100,0)</f>
        <v>0</v>
      </c>
      <c r="AB63" s="20">
        <f t="shared" ref="AB63:AB106" si="20">+G63+I63+K63+L63+N63+P63+Q63+S63+U63-X63-AA63</f>
        <v>0</v>
      </c>
      <c r="AC63" s="5"/>
      <c r="AD63" s="8"/>
      <c r="AF63" s="6"/>
      <c r="AG63" s="7"/>
      <c r="AJ63" s="33"/>
      <c r="AK63" s="35"/>
      <c r="AL63" s="38"/>
    </row>
    <row r="64" spans="1:38" ht="17.25" customHeight="1">
      <c r="A64" s="25"/>
      <c r="B64" s="26"/>
      <c r="C64" s="14"/>
      <c r="D64" s="31"/>
      <c r="E64" s="14"/>
      <c r="F64" s="15" t="str">
        <f t="shared" si="14"/>
        <v xml:space="preserve">S/F  </v>
      </c>
      <c r="G64" s="16"/>
      <c r="H64" s="17">
        <v>21</v>
      </c>
      <c r="I64" s="18">
        <f t="shared" si="15"/>
        <v>0</v>
      </c>
      <c r="J64" s="17"/>
      <c r="K64" s="18"/>
      <c r="L64" s="16"/>
      <c r="M64" s="17"/>
      <c r="N64" s="18">
        <f t="shared" si="16"/>
        <v>0</v>
      </c>
      <c r="O64" s="19"/>
      <c r="P64" s="18">
        <v>0</v>
      </c>
      <c r="Q64" s="16"/>
      <c r="R64" s="17"/>
      <c r="S64" s="18">
        <f t="shared" si="17"/>
        <v>0</v>
      </c>
      <c r="T64" s="19"/>
      <c r="U64" s="18">
        <v>0</v>
      </c>
      <c r="V64" s="16"/>
      <c r="W64" s="17"/>
      <c r="X64" s="18">
        <f t="shared" si="18"/>
        <v>0</v>
      </c>
      <c r="Y64" s="19"/>
      <c r="Z64" s="19"/>
      <c r="AA64" s="18">
        <f t="shared" si="19"/>
        <v>0</v>
      </c>
      <c r="AB64" s="20">
        <f t="shared" si="20"/>
        <v>0</v>
      </c>
      <c r="AC64" s="5"/>
      <c r="AD64" s="8"/>
      <c r="AF64" s="6"/>
      <c r="AG64" s="7"/>
      <c r="AJ64" s="33"/>
      <c r="AK64" s="35"/>
      <c r="AL64" s="38"/>
    </row>
    <row r="65" spans="1:38" ht="17.25" customHeight="1">
      <c r="A65" s="25"/>
      <c r="B65" s="26"/>
      <c r="C65" s="14"/>
      <c r="D65" s="31"/>
      <c r="E65" s="14"/>
      <c r="F65" s="15" t="str">
        <f t="shared" si="14"/>
        <v xml:space="preserve">S/F  </v>
      </c>
      <c r="G65" s="16"/>
      <c r="H65" s="17">
        <v>21</v>
      </c>
      <c r="I65" s="18">
        <f t="shared" si="15"/>
        <v>0</v>
      </c>
      <c r="J65" s="17"/>
      <c r="K65" s="18"/>
      <c r="L65" s="16"/>
      <c r="M65" s="17"/>
      <c r="N65" s="18">
        <f t="shared" si="16"/>
        <v>0</v>
      </c>
      <c r="O65" s="19"/>
      <c r="P65" s="18">
        <v>0</v>
      </c>
      <c r="Q65" s="16"/>
      <c r="R65" s="17"/>
      <c r="S65" s="18">
        <f t="shared" si="17"/>
        <v>0</v>
      </c>
      <c r="T65" s="19"/>
      <c r="U65" s="18">
        <v>0</v>
      </c>
      <c r="V65" s="16"/>
      <c r="W65" s="17"/>
      <c r="X65" s="18">
        <f t="shared" si="18"/>
        <v>0</v>
      </c>
      <c r="Y65" s="19"/>
      <c r="Z65" s="19"/>
      <c r="AA65" s="18">
        <f t="shared" si="19"/>
        <v>0</v>
      </c>
      <c r="AB65" s="20">
        <f t="shared" si="20"/>
        <v>0</v>
      </c>
      <c r="AC65" s="5"/>
      <c r="AD65" s="8"/>
      <c r="AF65" s="6"/>
      <c r="AG65" s="7"/>
      <c r="AJ65" s="33"/>
      <c r="AK65" s="35"/>
      <c r="AL65" s="38"/>
    </row>
    <row r="66" spans="1:38" ht="17.25" customHeight="1">
      <c r="A66" s="25"/>
      <c r="B66" s="26"/>
      <c r="C66" s="14"/>
      <c r="D66" s="31"/>
      <c r="E66" s="14"/>
      <c r="F66" s="15" t="str">
        <f t="shared" si="14"/>
        <v xml:space="preserve">S/F  </v>
      </c>
      <c r="G66" s="16"/>
      <c r="H66" s="17">
        <v>21</v>
      </c>
      <c r="I66" s="18">
        <f t="shared" si="15"/>
        <v>0</v>
      </c>
      <c r="J66" s="17"/>
      <c r="K66" s="18"/>
      <c r="L66" s="16"/>
      <c r="M66" s="17"/>
      <c r="N66" s="18">
        <f t="shared" si="16"/>
        <v>0</v>
      </c>
      <c r="O66" s="19"/>
      <c r="P66" s="18">
        <v>0</v>
      </c>
      <c r="Q66" s="16"/>
      <c r="R66" s="17"/>
      <c r="S66" s="18">
        <f t="shared" si="17"/>
        <v>0</v>
      </c>
      <c r="T66" s="19"/>
      <c r="U66" s="18">
        <v>0</v>
      </c>
      <c r="V66" s="16"/>
      <c r="W66" s="17"/>
      <c r="X66" s="18">
        <f t="shared" si="18"/>
        <v>0</v>
      </c>
      <c r="Y66" s="19"/>
      <c r="Z66" s="19"/>
      <c r="AA66" s="18">
        <f t="shared" si="19"/>
        <v>0</v>
      </c>
      <c r="AB66" s="20">
        <f t="shared" si="20"/>
        <v>0</v>
      </c>
      <c r="AC66" s="5"/>
      <c r="AD66" s="8"/>
      <c r="AF66" s="6"/>
      <c r="AG66" s="7"/>
      <c r="AJ66" s="33"/>
      <c r="AK66" s="35"/>
      <c r="AL66" s="38"/>
    </row>
    <row r="67" spans="1:38" ht="17.25" customHeight="1">
      <c r="A67" s="25"/>
      <c r="B67" s="26"/>
      <c r="C67" s="14"/>
      <c r="D67" s="31"/>
      <c r="E67" s="14"/>
      <c r="F67" s="15" t="str">
        <f t="shared" si="14"/>
        <v xml:space="preserve">S/F  </v>
      </c>
      <c r="G67" s="16"/>
      <c r="H67" s="17">
        <v>21</v>
      </c>
      <c r="I67" s="18">
        <f t="shared" si="15"/>
        <v>0</v>
      </c>
      <c r="J67" s="17"/>
      <c r="K67" s="18"/>
      <c r="L67" s="16"/>
      <c r="M67" s="17"/>
      <c r="N67" s="18">
        <f t="shared" si="16"/>
        <v>0</v>
      </c>
      <c r="O67" s="19"/>
      <c r="P67" s="18">
        <v>0</v>
      </c>
      <c r="Q67" s="16"/>
      <c r="R67" s="17"/>
      <c r="S67" s="18">
        <f t="shared" si="17"/>
        <v>0</v>
      </c>
      <c r="T67" s="19"/>
      <c r="U67" s="18">
        <v>0</v>
      </c>
      <c r="V67" s="16"/>
      <c r="W67" s="17"/>
      <c r="X67" s="18">
        <f t="shared" si="18"/>
        <v>0</v>
      </c>
      <c r="Y67" s="19"/>
      <c r="Z67" s="19"/>
      <c r="AA67" s="18">
        <f t="shared" si="19"/>
        <v>0</v>
      </c>
      <c r="AB67" s="20">
        <f t="shared" si="20"/>
        <v>0</v>
      </c>
      <c r="AC67" s="5"/>
      <c r="AD67" s="8"/>
      <c r="AF67" s="6"/>
      <c r="AG67" s="7"/>
      <c r="AJ67" s="33"/>
      <c r="AK67" s="35"/>
      <c r="AL67" s="38"/>
    </row>
    <row r="68" spans="1:38" ht="17.25" customHeight="1">
      <c r="A68" s="25"/>
      <c r="B68" s="26"/>
      <c r="C68" s="14"/>
      <c r="D68" s="31"/>
      <c r="E68" s="14"/>
      <c r="F68" s="15" t="str">
        <f t="shared" si="14"/>
        <v xml:space="preserve">S/F  </v>
      </c>
      <c r="G68" s="16"/>
      <c r="H68" s="17">
        <v>21</v>
      </c>
      <c r="I68" s="18">
        <f t="shared" si="15"/>
        <v>0</v>
      </c>
      <c r="J68" s="17"/>
      <c r="K68" s="18"/>
      <c r="L68" s="16"/>
      <c r="M68" s="17"/>
      <c r="N68" s="18">
        <f t="shared" si="16"/>
        <v>0</v>
      </c>
      <c r="O68" s="19"/>
      <c r="P68" s="18">
        <v>0</v>
      </c>
      <c r="Q68" s="16"/>
      <c r="R68" s="17"/>
      <c r="S68" s="18">
        <f t="shared" si="17"/>
        <v>0</v>
      </c>
      <c r="T68" s="19"/>
      <c r="U68" s="18">
        <v>0</v>
      </c>
      <c r="V68" s="16"/>
      <c r="W68" s="17"/>
      <c r="X68" s="18">
        <f t="shared" si="18"/>
        <v>0</v>
      </c>
      <c r="Y68" s="19"/>
      <c r="Z68" s="19"/>
      <c r="AA68" s="18">
        <f t="shared" si="19"/>
        <v>0</v>
      </c>
      <c r="AB68" s="20">
        <f t="shared" si="20"/>
        <v>0</v>
      </c>
      <c r="AC68" s="5"/>
      <c r="AD68" s="8"/>
      <c r="AF68" s="6"/>
      <c r="AG68" s="7"/>
      <c r="AJ68" s="33"/>
      <c r="AK68" s="35"/>
      <c r="AL68" s="38"/>
    </row>
    <row r="69" spans="1:38" ht="17.25" customHeight="1">
      <c r="A69" s="25"/>
      <c r="B69" s="26"/>
      <c r="C69" s="14"/>
      <c r="D69" s="31"/>
      <c r="E69" s="14"/>
      <c r="F69" s="15" t="str">
        <f t="shared" si="14"/>
        <v xml:space="preserve">S/F  </v>
      </c>
      <c r="G69" s="16"/>
      <c r="H69" s="17">
        <v>21</v>
      </c>
      <c r="I69" s="18">
        <f t="shared" si="15"/>
        <v>0</v>
      </c>
      <c r="J69" s="17"/>
      <c r="K69" s="18"/>
      <c r="L69" s="16"/>
      <c r="M69" s="17"/>
      <c r="N69" s="18">
        <f t="shared" si="16"/>
        <v>0</v>
      </c>
      <c r="O69" s="19"/>
      <c r="P69" s="18">
        <v>0</v>
      </c>
      <c r="Q69" s="16"/>
      <c r="R69" s="17"/>
      <c r="S69" s="18">
        <f t="shared" si="17"/>
        <v>0</v>
      </c>
      <c r="T69" s="19"/>
      <c r="U69" s="18">
        <v>0</v>
      </c>
      <c r="V69" s="16"/>
      <c r="W69" s="17"/>
      <c r="X69" s="18">
        <f t="shared" si="18"/>
        <v>0</v>
      </c>
      <c r="Y69" s="19"/>
      <c r="Z69" s="19"/>
      <c r="AA69" s="18">
        <f t="shared" si="19"/>
        <v>0</v>
      </c>
      <c r="AB69" s="20">
        <f t="shared" si="20"/>
        <v>0</v>
      </c>
      <c r="AC69" s="5"/>
      <c r="AD69" s="8"/>
      <c r="AF69" s="6"/>
      <c r="AG69" s="7"/>
      <c r="AJ69" s="33"/>
      <c r="AK69" s="35"/>
      <c r="AL69" s="38"/>
    </row>
    <row r="70" spans="1:38" ht="17.25" customHeight="1">
      <c r="A70" s="25"/>
      <c r="B70" s="26"/>
      <c r="C70" s="14"/>
      <c r="D70" s="31"/>
      <c r="E70" s="14"/>
      <c r="F70" s="15" t="str">
        <f t="shared" si="14"/>
        <v xml:space="preserve">S/F  </v>
      </c>
      <c r="G70" s="16"/>
      <c r="H70" s="17">
        <v>21</v>
      </c>
      <c r="I70" s="18">
        <f t="shared" si="15"/>
        <v>0</v>
      </c>
      <c r="J70" s="17"/>
      <c r="K70" s="18"/>
      <c r="L70" s="16"/>
      <c r="M70" s="17"/>
      <c r="N70" s="18">
        <f t="shared" si="16"/>
        <v>0</v>
      </c>
      <c r="O70" s="19"/>
      <c r="P70" s="18">
        <v>0</v>
      </c>
      <c r="Q70" s="16"/>
      <c r="R70" s="17"/>
      <c r="S70" s="18">
        <f t="shared" si="17"/>
        <v>0</v>
      </c>
      <c r="T70" s="19"/>
      <c r="U70" s="18">
        <v>0</v>
      </c>
      <c r="V70" s="16"/>
      <c r="W70" s="17"/>
      <c r="X70" s="18">
        <f t="shared" si="18"/>
        <v>0</v>
      </c>
      <c r="Y70" s="19"/>
      <c r="Z70" s="19"/>
      <c r="AA70" s="18">
        <f t="shared" si="19"/>
        <v>0</v>
      </c>
      <c r="AB70" s="20">
        <f t="shared" si="20"/>
        <v>0</v>
      </c>
      <c r="AC70" s="5"/>
      <c r="AD70" s="8"/>
      <c r="AF70" s="6"/>
      <c r="AG70" s="7"/>
      <c r="AJ70" s="33"/>
      <c r="AK70" s="35"/>
      <c r="AL70" s="38"/>
    </row>
    <row r="71" spans="1:38" ht="17.25" customHeight="1">
      <c r="A71" s="25"/>
      <c r="B71" s="26"/>
      <c r="C71" s="14"/>
      <c r="D71" s="31"/>
      <c r="E71" s="14"/>
      <c r="F71" s="15" t="str">
        <f t="shared" si="14"/>
        <v xml:space="preserve">S/F  </v>
      </c>
      <c r="G71" s="16"/>
      <c r="H71" s="17">
        <v>21</v>
      </c>
      <c r="I71" s="18">
        <f t="shared" si="15"/>
        <v>0</v>
      </c>
      <c r="J71" s="17"/>
      <c r="K71" s="18"/>
      <c r="L71" s="16"/>
      <c r="M71" s="17"/>
      <c r="N71" s="18">
        <f t="shared" si="16"/>
        <v>0</v>
      </c>
      <c r="O71" s="19"/>
      <c r="P71" s="18">
        <v>0</v>
      </c>
      <c r="Q71" s="16"/>
      <c r="R71" s="17"/>
      <c r="S71" s="18">
        <f t="shared" si="17"/>
        <v>0</v>
      </c>
      <c r="T71" s="19"/>
      <c r="U71" s="18">
        <v>0</v>
      </c>
      <c r="V71" s="16"/>
      <c r="W71" s="17"/>
      <c r="X71" s="18">
        <f t="shared" si="18"/>
        <v>0</v>
      </c>
      <c r="Y71" s="19"/>
      <c r="Z71" s="19"/>
      <c r="AA71" s="18">
        <f t="shared" si="19"/>
        <v>0</v>
      </c>
      <c r="AB71" s="20">
        <f t="shared" si="20"/>
        <v>0</v>
      </c>
      <c r="AC71" s="5"/>
      <c r="AD71" s="8"/>
      <c r="AF71" s="6"/>
      <c r="AG71" s="7"/>
      <c r="AJ71" s="33"/>
      <c r="AK71" s="35"/>
      <c r="AL71" s="38"/>
    </row>
    <row r="72" spans="1:38" ht="17.25" customHeight="1">
      <c r="A72" s="25"/>
      <c r="B72" s="26"/>
      <c r="C72" s="14"/>
      <c r="D72" s="31"/>
      <c r="E72" s="14"/>
      <c r="F72" s="15" t="str">
        <f t="shared" si="14"/>
        <v xml:space="preserve">S/F  </v>
      </c>
      <c r="G72" s="16"/>
      <c r="H72" s="17">
        <v>21</v>
      </c>
      <c r="I72" s="18">
        <f t="shared" si="15"/>
        <v>0</v>
      </c>
      <c r="J72" s="17"/>
      <c r="K72" s="18"/>
      <c r="L72" s="16"/>
      <c r="M72" s="17"/>
      <c r="N72" s="18">
        <f t="shared" si="16"/>
        <v>0</v>
      </c>
      <c r="O72" s="19"/>
      <c r="P72" s="18">
        <v>0</v>
      </c>
      <c r="Q72" s="16"/>
      <c r="R72" s="17"/>
      <c r="S72" s="18">
        <f t="shared" si="17"/>
        <v>0</v>
      </c>
      <c r="T72" s="19"/>
      <c r="U72" s="18">
        <v>0</v>
      </c>
      <c r="V72" s="16"/>
      <c r="W72" s="17"/>
      <c r="X72" s="18">
        <f t="shared" si="18"/>
        <v>0</v>
      </c>
      <c r="Y72" s="19"/>
      <c r="Z72" s="19"/>
      <c r="AA72" s="18">
        <f t="shared" si="19"/>
        <v>0</v>
      </c>
      <c r="AB72" s="20">
        <f t="shared" si="20"/>
        <v>0</v>
      </c>
      <c r="AC72" s="5"/>
      <c r="AD72" s="8"/>
      <c r="AF72" s="6"/>
      <c r="AG72" s="7"/>
      <c r="AJ72" s="33"/>
      <c r="AK72" s="35"/>
      <c r="AL72" s="38"/>
    </row>
    <row r="73" spans="1:38" ht="17.25" customHeight="1">
      <c r="A73" s="25"/>
      <c r="B73" s="26"/>
      <c r="C73" s="14"/>
      <c r="D73" s="31"/>
      <c r="E73" s="14"/>
      <c r="F73" s="15" t="str">
        <f t="shared" si="14"/>
        <v xml:space="preserve">S/F  </v>
      </c>
      <c r="G73" s="16"/>
      <c r="H73" s="17">
        <v>21</v>
      </c>
      <c r="I73" s="18">
        <f t="shared" si="15"/>
        <v>0</v>
      </c>
      <c r="J73" s="17"/>
      <c r="K73" s="18"/>
      <c r="L73" s="16"/>
      <c r="M73" s="17"/>
      <c r="N73" s="18">
        <f t="shared" si="16"/>
        <v>0</v>
      </c>
      <c r="O73" s="19"/>
      <c r="P73" s="18">
        <v>0</v>
      </c>
      <c r="Q73" s="16"/>
      <c r="R73" s="17"/>
      <c r="S73" s="18">
        <f t="shared" si="17"/>
        <v>0</v>
      </c>
      <c r="T73" s="19"/>
      <c r="U73" s="18">
        <v>0</v>
      </c>
      <c r="V73" s="16"/>
      <c r="W73" s="17"/>
      <c r="X73" s="18">
        <f t="shared" si="18"/>
        <v>0</v>
      </c>
      <c r="Y73" s="19"/>
      <c r="Z73" s="19"/>
      <c r="AA73" s="18">
        <f t="shared" si="19"/>
        <v>0</v>
      </c>
      <c r="AB73" s="20">
        <f t="shared" si="20"/>
        <v>0</v>
      </c>
      <c r="AC73" s="5"/>
      <c r="AD73" s="8"/>
      <c r="AF73" s="6"/>
      <c r="AG73" s="7"/>
      <c r="AJ73" s="33"/>
      <c r="AK73" s="35"/>
      <c r="AL73" s="38"/>
    </row>
    <row r="74" spans="1:38" ht="17.25" customHeight="1">
      <c r="A74" s="25"/>
      <c r="B74" s="26"/>
      <c r="C74" s="14"/>
      <c r="D74" s="31"/>
      <c r="E74" s="14"/>
      <c r="F74" s="15" t="str">
        <f t="shared" si="14"/>
        <v xml:space="preserve">S/F  </v>
      </c>
      <c r="G74" s="16"/>
      <c r="H74" s="17">
        <v>21</v>
      </c>
      <c r="I74" s="18">
        <f t="shared" si="15"/>
        <v>0</v>
      </c>
      <c r="J74" s="17"/>
      <c r="K74" s="18"/>
      <c r="L74" s="16"/>
      <c r="M74" s="17"/>
      <c r="N74" s="18">
        <f t="shared" si="16"/>
        <v>0</v>
      </c>
      <c r="O74" s="19"/>
      <c r="P74" s="18">
        <v>0</v>
      </c>
      <c r="Q74" s="16"/>
      <c r="R74" s="17"/>
      <c r="S74" s="18">
        <f t="shared" si="17"/>
        <v>0</v>
      </c>
      <c r="T74" s="19"/>
      <c r="U74" s="18">
        <v>0</v>
      </c>
      <c r="V74" s="16"/>
      <c r="W74" s="17"/>
      <c r="X74" s="18">
        <f t="shared" si="18"/>
        <v>0</v>
      </c>
      <c r="Y74" s="19"/>
      <c r="Z74" s="19"/>
      <c r="AA74" s="18">
        <f t="shared" si="19"/>
        <v>0</v>
      </c>
      <c r="AB74" s="20">
        <f t="shared" si="20"/>
        <v>0</v>
      </c>
      <c r="AC74" s="5"/>
      <c r="AD74" s="8"/>
      <c r="AF74" s="6"/>
      <c r="AG74" s="7"/>
      <c r="AJ74" s="33"/>
      <c r="AK74" s="35"/>
      <c r="AL74" s="38"/>
    </row>
    <row r="75" spans="1:38" ht="17.25" customHeight="1">
      <c r="A75" s="25"/>
      <c r="B75" s="26"/>
      <c r="C75" s="14"/>
      <c r="D75" s="26"/>
      <c r="E75" s="14"/>
      <c r="F75" s="15" t="str">
        <f t="shared" si="14"/>
        <v xml:space="preserve">S/F  </v>
      </c>
      <c r="G75" s="16"/>
      <c r="H75" s="17">
        <v>21</v>
      </c>
      <c r="I75" s="18">
        <f t="shared" si="15"/>
        <v>0</v>
      </c>
      <c r="J75" s="17"/>
      <c r="K75" s="18"/>
      <c r="L75" s="16"/>
      <c r="M75" s="17"/>
      <c r="N75" s="18">
        <f t="shared" si="16"/>
        <v>0</v>
      </c>
      <c r="O75" s="19"/>
      <c r="P75" s="18">
        <v>0</v>
      </c>
      <c r="Q75" s="16"/>
      <c r="R75" s="17"/>
      <c r="S75" s="18">
        <f t="shared" si="17"/>
        <v>0</v>
      </c>
      <c r="T75" s="19"/>
      <c r="U75" s="18">
        <v>0</v>
      </c>
      <c r="V75" s="16"/>
      <c r="W75" s="17"/>
      <c r="X75" s="18">
        <f t="shared" si="18"/>
        <v>0</v>
      </c>
      <c r="Y75" s="19"/>
      <c r="Z75" s="19"/>
      <c r="AA75" s="18">
        <f t="shared" si="19"/>
        <v>0</v>
      </c>
      <c r="AB75" s="20">
        <f t="shared" si="20"/>
        <v>0</v>
      </c>
      <c r="AC75" s="5"/>
      <c r="AD75" s="8"/>
      <c r="AF75" s="6"/>
      <c r="AG75" s="7"/>
      <c r="AJ75" s="33"/>
      <c r="AK75" s="35"/>
      <c r="AL75" s="38"/>
    </row>
    <row r="76" spans="1:38" ht="17.25" customHeight="1">
      <c r="A76" s="25"/>
      <c r="B76" s="26"/>
      <c r="C76" s="14"/>
      <c r="D76" s="31"/>
      <c r="E76" s="14"/>
      <c r="F76" s="15" t="str">
        <f t="shared" si="14"/>
        <v xml:space="preserve">S/F  </v>
      </c>
      <c r="G76" s="16"/>
      <c r="H76" s="17">
        <v>21</v>
      </c>
      <c r="I76" s="18">
        <f t="shared" si="15"/>
        <v>0</v>
      </c>
      <c r="J76" s="17"/>
      <c r="K76" s="18"/>
      <c r="L76" s="16"/>
      <c r="M76" s="17"/>
      <c r="N76" s="18">
        <f t="shared" si="16"/>
        <v>0</v>
      </c>
      <c r="O76" s="19"/>
      <c r="P76" s="18">
        <v>0</v>
      </c>
      <c r="Q76" s="16"/>
      <c r="R76" s="17"/>
      <c r="S76" s="18">
        <f t="shared" si="17"/>
        <v>0</v>
      </c>
      <c r="T76" s="19"/>
      <c r="U76" s="18">
        <v>0</v>
      </c>
      <c r="V76" s="16"/>
      <c r="W76" s="17"/>
      <c r="X76" s="18">
        <f t="shared" si="18"/>
        <v>0</v>
      </c>
      <c r="Y76" s="19"/>
      <c r="Z76" s="19"/>
      <c r="AA76" s="18">
        <f t="shared" si="19"/>
        <v>0</v>
      </c>
      <c r="AB76" s="20">
        <f t="shared" si="20"/>
        <v>0</v>
      </c>
      <c r="AC76" s="5"/>
      <c r="AD76" s="8"/>
      <c r="AF76" s="6"/>
      <c r="AG76" s="7"/>
      <c r="AJ76" s="33"/>
      <c r="AK76" s="35"/>
      <c r="AL76" s="38"/>
    </row>
    <row r="77" spans="1:38" ht="17.25" customHeight="1">
      <c r="A77" s="25"/>
      <c r="B77" s="26"/>
      <c r="C77" s="14"/>
      <c r="D77" s="31"/>
      <c r="E77" s="14"/>
      <c r="F77" s="15" t="str">
        <f t="shared" si="14"/>
        <v xml:space="preserve">S/F  </v>
      </c>
      <c r="G77" s="16"/>
      <c r="H77" s="17">
        <v>21</v>
      </c>
      <c r="I77" s="18">
        <f t="shared" si="15"/>
        <v>0</v>
      </c>
      <c r="J77" s="17"/>
      <c r="K77" s="18"/>
      <c r="L77" s="16"/>
      <c r="M77" s="17"/>
      <c r="N77" s="18">
        <f t="shared" si="16"/>
        <v>0</v>
      </c>
      <c r="O77" s="19"/>
      <c r="P77" s="18">
        <v>0</v>
      </c>
      <c r="Q77" s="16"/>
      <c r="R77" s="17"/>
      <c r="S77" s="18">
        <f t="shared" si="17"/>
        <v>0</v>
      </c>
      <c r="T77" s="19"/>
      <c r="U77" s="18">
        <v>0</v>
      </c>
      <c r="V77" s="16"/>
      <c r="W77" s="17"/>
      <c r="X77" s="18">
        <f t="shared" si="18"/>
        <v>0</v>
      </c>
      <c r="Y77" s="19"/>
      <c r="Z77" s="19"/>
      <c r="AA77" s="18">
        <f t="shared" si="19"/>
        <v>0</v>
      </c>
      <c r="AB77" s="20">
        <f t="shared" si="20"/>
        <v>0</v>
      </c>
      <c r="AC77" s="5"/>
      <c r="AD77" s="8"/>
      <c r="AF77" s="6"/>
      <c r="AG77" s="7"/>
      <c r="AJ77" s="33"/>
      <c r="AK77" s="35"/>
      <c r="AL77" s="38"/>
    </row>
    <row r="78" spans="1:38" ht="17.25" customHeight="1">
      <c r="A78" s="25"/>
      <c r="B78" s="26"/>
      <c r="C78" s="14"/>
      <c r="D78" s="31"/>
      <c r="E78" s="14"/>
      <c r="F78" s="15" t="str">
        <f t="shared" si="14"/>
        <v xml:space="preserve">S/F  </v>
      </c>
      <c r="G78" s="16"/>
      <c r="H78" s="17">
        <v>21</v>
      </c>
      <c r="I78" s="18">
        <f t="shared" si="15"/>
        <v>0</v>
      </c>
      <c r="J78" s="17"/>
      <c r="K78" s="18"/>
      <c r="L78" s="16"/>
      <c r="M78" s="17"/>
      <c r="N78" s="18">
        <f t="shared" si="16"/>
        <v>0</v>
      </c>
      <c r="O78" s="19"/>
      <c r="P78" s="18">
        <v>0</v>
      </c>
      <c r="Q78" s="16"/>
      <c r="R78" s="17"/>
      <c r="S78" s="18">
        <f t="shared" si="17"/>
        <v>0</v>
      </c>
      <c r="T78" s="19"/>
      <c r="U78" s="18">
        <v>0</v>
      </c>
      <c r="V78" s="16"/>
      <c r="W78" s="17"/>
      <c r="X78" s="18">
        <f t="shared" si="18"/>
        <v>0</v>
      </c>
      <c r="Y78" s="19"/>
      <c r="Z78" s="19"/>
      <c r="AA78" s="18">
        <f t="shared" si="19"/>
        <v>0</v>
      </c>
      <c r="AB78" s="20">
        <f t="shared" si="20"/>
        <v>0</v>
      </c>
      <c r="AC78" s="5"/>
      <c r="AD78" s="8"/>
      <c r="AF78" s="6"/>
      <c r="AG78" s="7"/>
      <c r="AJ78" s="33"/>
      <c r="AK78" s="35"/>
      <c r="AL78" s="38"/>
    </row>
    <row r="79" spans="1:38" ht="17.25" customHeight="1">
      <c r="A79" s="25"/>
      <c r="B79" s="26"/>
      <c r="C79" s="14"/>
      <c r="D79" s="31"/>
      <c r="E79" s="14"/>
      <c r="F79" s="15" t="str">
        <f t="shared" si="14"/>
        <v xml:space="preserve">S/F  </v>
      </c>
      <c r="G79" s="16"/>
      <c r="H79" s="17">
        <v>21</v>
      </c>
      <c r="I79" s="18">
        <f t="shared" si="15"/>
        <v>0</v>
      </c>
      <c r="J79" s="17"/>
      <c r="K79" s="18"/>
      <c r="L79" s="16"/>
      <c r="M79" s="17"/>
      <c r="N79" s="18">
        <f t="shared" si="16"/>
        <v>0</v>
      </c>
      <c r="O79" s="19"/>
      <c r="P79" s="18">
        <v>0</v>
      </c>
      <c r="Q79" s="16"/>
      <c r="R79" s="17"/>
      <c r="S79" s="18">
        <f t="shared" si="17"/>
        <v>0</v>
      </c>
      <c r="T79" s="19"/>
      <c r="U79" s="18">
        <v>0</v>
      </c>
      <c r="V79" s="16"/>
      <c r="W79" s="17"/>
      <c r="X79" s="18">
        <f t="shared" si="18"/>
        <v>0</v>
      </c>
      <c r="Y79" s="19"/>
      <c r="Z79" s="19"/>
      <c r="AA79" s="18">
        <f t="shared" si="19"/>
        <v>0</v>
      </c>
      <c r="AB79" s="20">
        <f t="shared" si="20"/>
        <v>0</v>
      </c>
      <c r="AC79" s="5"/>
      <c r="AD79" s="8"/>
      <c r="AF79" s="6"/>
      <c r="AG79" s="7"/>
      <c r="AJ79" s="33"/>
      <c r="AK79" s="35"/>
      <c r="AL79" s="38"/>
    </row>
    <row r="80" spans="1:38" ht="17.25" customHeight="1">
      <c r="A80" s="25"/>
      <c r="B80" s="26"/>
      <c r="C80" s="14"/>
      <c r="D80" s="31"/>
      <c r="E80" s="14"/>
      <c r="F80" s="15" t="str">
        <f t="shared" si="14"/>
        <v xml:space="preserve">S/F  </v>
      </c>
      <c r="G80" s="16"/>
      <c r="H80" s="17">
        <v>21</v>
      </c>
      <c r="I80" s="18">
        <f t="shared" si="15"/>
        <v>0</v>
      </c>
      <c r="J80" s="17"/>
      <c r="K80" s="18"/>
      <c r="L80" s="16"/>
      <c r="M80" s="17"/>
      <c r="N80" s="18">
        <f t="shared" si="16"/>
        <v>0</v>
      </c>
      <c r="O80" s="19"/>
      <c r="P80" s="18">
        <v>0</v>
      </c>
      <c r="Q80" s="16"/>
      <c r="R80" s="17"/>
      <c r="S80" s="18">
        <f t="shared" si="17"/>
        <v>0</v>
      </c>
      <c r="T80" s="19"/>
      <c r="U80" s="18">
        <v>0</v>
      </c>
      <c r="V80" s="16"/>
      <c r="W80" s="17"/>
      <c r="X80" s="18">
        <f t="shared" si="18"/>
        <v>0</v>
      </c>
      <c r="Y80" s="19"/>
      <c r="Z80" s="19"/>
      <c r="AA80" s="18">
        <f t="shared" si="19"/>
        <v>0</v>
      </c>
      <c r="AB80" s="20">
        <f t="shared" si="20"/>
        <v>0</v>
      </c>
      <c r="AC80" s="5"/>
      <c r="AD80" s="8"/>
      <c r="AF80" s="6"/>
      <c r="AG80" s="7"/>
      <c r="AJ80" s="33"/>
      <c r="AK80" s="35"/>
      <c r="AL80" s="38"/>
    </row>
    <row r="81" spans="1:38" ht="17.25" customHeight="1">
      <c r="A81" s="25"/>
      <c r="B81" s="26"/>
      <c r="C81" s="14"/>
      <c r="D81" s="31"/>
      <c r="E81" s="14"/>
      <c r="F81" s="15" t="str">
        <f t="shared" si="14"/>
        <v xml:space="preserve">S/F  </v>
      </c>
      <c r="G81" s="16"/>
      <c r="H81" s="17">
        <v>21</v>
      </c>
      <c r="I81" s="18">
        <f t="shared" si="15"/>
        <v>0</v>
      </c>
      <c r="J81" s="17"/>
      <c r="K81" s="18"/>
      <c r="L81" s="16"/>
      <c r="M81" s="17"/>
      <c r="N81" s="18">
        <f t="shared" si="16"/>
        <v>0</v>
      </c>
      <c r="O81" s="19"/>
      <c r="P81" s="18">
        <v>0</v>
      </c>
      <c r="Q81" s="16"/>
      <c r="R81" s="17"/>
      <c r="S81" s="18">
        <f t="shared" si="17"/>
        <v>0</v>
      </c>
      <c r="T81" s="19"/>
      <c r="U81" s="18">
        <v>0</v>
      </c>
      <c r="V81" s="16"/>
      <c r="W81" s="17"/>
      <c r="X81" s="18">
        <f t="shared" si="18"/>
        <v>0</v>
      </c>
      <c r="Y81" s="19"/>
      <c r="Z81" s="19"/>
      <c r="AA81" s="18">
        <f t="shared" si="19"/>
        <v>0</v>
      </c>
      <c r="AB81" s="20">
        <f t="shared" si="20"/>
        <v>0</v>
      </c>
      <c r="AC81" s="5"/>
      <c r="AD81" s="8"/>
      <c r="AF81" s="6"/>
      <c r="AG81" s="7"/>
      <c r="AJ81" s="33"/>
      <c r="AK81" s="35"/>
      <c r="AL81" s="38"/>
    </row>
    <row r="82" spans="1:38" ht="17.25" customHeight="1">
      <c r="A82" s="25"/>
      <c r="B82" s="26"/>
      <c r="C82" s="14"/>
      <c r="D82" s="31"/>
      <c r="E82" s="14"/>
      <c r="F82" s="15" t="str">
        <f t="shared" si="14"/>
        <v xml:space="preserve">S/F  </v>
      </c>
      <c r="G82" s="16"/>
      <c r="H82" s="17">
        <v>21</v>
      </c>
      <c r="I82" s="18">
        <f t="shared" si="15"/>
        <v>0</v>
      </c>
      <c r="J82" s="17"/>
      <c r="K82" s="18"/>
      <c r="L82" s="16"/>
      <c r="M82" s="17"/>
      <c r="N82" s="18">
        <f t="shared" si="16"/>
        <v>0</v>
      </c>
      <c r="O82" s="19"/>
      <c r="P82" s="18">
        <v>0</v>
      </c>
      <c r="Q82" s="16"/>
      <c r="R82" s="17"/>
      <c r="S82" s="18">
        <f t="shared" si="17"/>
        <v>0</v>
      </c>
      <c r="T82" s="19"/>
      <c r="U82" s="18">
        <v>0</v>
      </c>
      <c r="V82" s="16"/>
      <c r="W82" s="17"/>
      <c r="X82" s="18">
        <f t="shared" si="18"/>
        <v>0</v>
      </c>
      <c r="Y82" s="19"/>
      <c r="Z82" s="19"/>
      <c r="AA82" s="18">
        <f t="shared" si="19"/>
        <v>0</v>
      </c>
      <c r="AB82" s="20">
        <f t="shared" si="20"/>
        <v>0</v>
      </c>
      <c r="AC82" s="5"/>
      <c r="AD82" s="8"/>
      <c r="AF82" s="6"/>
      <c r="AG82" s="7"/>
      <c r="AJ82" s="33"/>
      <c r="AK82" s="35"/>
      <c r="AL82" s="38"/>
    </row>
    <row r="83" spans="1:38" ht="17.25" customHeight="1">
      <c r="A83" s="25"/>
      <c r="B83" s="26"/>
      <c r="C83" s="14"/>
      <c r="D83" s="31"/>
      <c r="E83" s="14"/>
      <c r="F83" s="15" t="str">
        <f t="shared" si="14"/>
        <v xml:space="preserve">S/F  </v>
      </c>
      <c r="G83" s="16"/>
      <c r="H83" s="17">
        <v>21</v>
      </c>
      <c r="I83" s="18">
        <f t="shared" si="15"/>
        <v>0</v>
      </c>
      <c r="J83" s="17"/>
      <c r="K83" s="18"/>
      <c r="L83" s="16"/>
      <c r="M83" s="17"/>
      <c r="N83" s="18">
        <f t="shared" si="16"/>
        <v>0</v>
      </c>
      <c r="O83" s="19"/>
      <c r="P83" s="18">
        <v>0</v>
      </c>
      <c r="Q83" s="16"/>
      <c r="R83" s="17"/>
      <c r="S83" s="18">
        <f t="shared" si="17"/>
        <v>0</v>
      </c>
      <c r="T83" s="19"/>
      <c r="U83" s="18">
        <v>0</v>
      </c>
      <c r="V83" s="16"/>
      <c r="W83" s="17"/>
      <c r="X83" s="18">
        <f t="shared" si="18"/>
        <v>0</v>
      </c>
      <c r="Y83" s="19"/>
      <c r="Z83" s="19"/>
      <c r="AA83" s="18">
        <f t="shared" si="19"/>
        <v>0</v>
      </c>
      <c r="AB83" s="20">
        <f t="shared" si="20"/>
        <v>0</v>
      </c>
      <c r="AC83" s="5"/>
      <c r="AD83" s="8"/>
      <c r="AF83" s="6"/>
      <c r="AG83" s="7"/>
      <c r="AJ83" s="33"/>
      <c r="AK83" s="35"/>
      <c r="AL83" s="38"/>
    </row>
    <row r="84" spans="1:38" ht="17.25" customHeight="1">
      <c r="A84" s="25"/>
      <c r="B84" s="26"/>
      <c r="C84" s="14"/>
      <c r="D84" s="31"/>
      <c r="E84" s="14"/>
      <c r="F84" s="15" t="str">
        <f t="shared" si="14"/>
        <v xml:space="preserve">S/F  </v>
      </c>
      <c r="G84" s="16"/>
      <c r="H84" s="17">
        <v>21</v>
      </c>
      <c r="I84" s="18">
        <f t="shared" si="15"/>
        <v>0</v>
      </c>
      <c r="J84" s="17"/>
      <c r="K84" s="18"/>
      <c r="L84" s="16"/>
      <c r="M84" s="17"/>
      <c r="N84" s="18">
        <f t="shared" si="16"/>
        <v>0</v>
      </c>
      <c r="O84" s="19"/>
      <c r="P84" s="18">
        <v>0</v>
      </c>
      <c r="Q84" s="16"/>
      <c r="R84" s="17"/>
      <c r="S84" s="18">
        <f t="shared" si="17"/>
        <v>0</v>
      </c>
      <c r="T84" s="19"/>
      <c r="U84" s="18">
        <v>0</v>
      </c>
      <c r="V84" s="16"/>
      <c r="W84" s="17"/>
      <c r="X84" s="18">
        <f t="shared" si="18"/>
        <v>0</v>
      </c>
      <c r="Y84" s="19"/>
      <c r="Z84" s="19"/>
      <c r="AA84" s="18">
        <f t="shared" si="19"/>
        <v>0</v>
      </c>
      <c r="AB84" s="20">
        <f t="shared" si="20"/>
        <v>0</v>
      </c>
      <c r="AC84" s="5"/>
      <c r="AD84" s="8"/>
      <c r="AF84" s="6"/>
      <c r="AG84" s="7"/>
      <c r="AJ84" s="33"/>
      <c r="AK84" s="35"/>
      <c r="AL84" s="38"/>
    </row>
    <row r="85" spans="1:38" ht="17.25" customHeight="1">
      <c r="A85" s="25"/>
      <c r="B85" s="26"/>
      <c r="C85" s="14"/>
      <c r="D85" s="31"/>
      <c r="E85" s="14"/>
      <c r="F85" s="15" t="str">
        <f t="shared" si="14"/>
        <v xml:space="preserve">S/F  </v>
      </c>
      <c r="G85" s="16"/>
      <c r="H85" s="17">
        <v>21</v>
      </c>
      <c r="I85" s="18">
        <f t="shared" si="15"/>
        <v>0</v>
      </c>
      <c r="J85" s="17"/>
      <c r="K85" s="18"/>
      <c r="L85" s="16"/>
      <c r="M85" s="17"/>
      <c r="N85" s="18">
        <f t="shared" si="16"/>
        <v>0</v>
      </c>
      <c r="O85" s="19"/>
      <c r="P85" s="18">
        <v>0</v>
      </c>
      <c r="Q85" s="16"/>
      <c r="R85" s="17"/>
      <c r="S85" s="18">
        <f t="shared" si="17"/>
        <v>0</v>
      </c>
      <c r="T85" s="19"/>
      <c r="U85" s="18">
        <v>0</v>
      </c>
      <c r="V85" s="16"/>
      <c r="W85" s="17"/>
      <c r="X85" s="18">
        <f t="shared" si="18"/>
        <v>0</v>
      </c>
      <c r="Y85" s="19"/>
      <c r="Z85" s="19"/>
      <c r="AA85" s="18">
        <f t="shared" si="19"/>
        <v>0</v>
      </c>
      <c r="AB85" s="20">
        <f t="shared" si="20"/>
        <v>0</v>
      </c>
      <c r="AC85" s="5"/>
      <c r="AD85" s="8"/>
      <c r="AF85" s="6"/>
      <c r="AG85" s="7"/>
      <c r="AJ85" s="33"/>
      <c r="AK85" s="35"/>
      <c r="AL85" s="38"/>
    </row>
    <row r="86" spans="1:38" ht="17.25" customHeight="1">
      <c r="A86" s="25"/>
      <c r="B86" s="26"/>
      <c r="C86" s="14"/>
      <c r="D86" s="31"/>
      <c r="E86" s="14"/>
      <c r="F86" s="15" t="str">
        <f t="shared" si="14"/>
        <v xml:space="preserve">S/F  </v>
      </c>
      <c r="G86" s="16"/>
      <c r="H86" s="17">
        <v>21</v>
      </c>
      <c r="I86" s="18">
        <f t="shared" si="15"/>
        <v>0</v>
      </c>
      <c r="J86" s="17"/>
      <c r="K86" s="18"/>
      <c r="L86" s="16"/>
      <c r="M86" s="17"/>
      <c r="N86" s="18">
        <f t="shared" si="16"/>
        <v>0</v>
      </c>
      <c r="O86" s="19"/>
      <c r="P86" s="18">
        <v>0</v>
      </c>
      <c r="Q86" s="16"/>
      <c r="R86" s="17"/>
      <c r="S86" s="18">
        <f t="shared" si="17"/>
        <v>0</v>
      </c>
      <c r="T86" s="19"/>
      <c r="U86" s="18">
        <v>0</v>
      </c>
      <c r="V86" s="16"/>
      <c r="W86" s="17"/>
      <c r="X86" s="18">
        <f t="shared" si="18"/>
        <v>0</v>
      </c>
      <c r="Y86" s="19"/>
      <c r="Z86" s="19"/>
      <c r="AA86" s="18">
        <f t="shared" si="19"/>
        <v>0</v>
      </c>
      <c r="AB86" s="20">
        <f t="shared" si="20"/>
        <v>0</v>
      </c>
      <c r="AC86" s="5"/>
      <c r="AD86" s="8"/>
      <c r="AF86" s="6"/>
      <c r="AG86" s="7"/>
      <c r="AJ86" s="33"/>
      <c r="AK86" s="35"/>
      <c r="AL86" s="38"/>
    </row>
    <row r="87" spans="1:38" ht="17.25" customHeight="1">
      <c r="A87" s="25"/>
      <c r="B87" s="26"/>
      <c r="C87" s="14"/>
      <c r="D87" s="31"/>
      <c r="E87" s="14"/>
      <c r="F87" s="15" t="str">
        <f t="shared" si="14"/>
        <v xml:space="preserve">S/F  </v>
      </c>
      <c r="G87" s="16"/>
      <c r="H87" s="17">
        <v>21</v>
      </c>
      <c r="I87" s="18">
        <f t="shared" si="15"/>
        <v>0</v>
      </c>
      <c r="J87" s="17"/>
      <c r="K87" s="18"/>
      <c r="L87" s="16"/>
      <c r="M87" s="17"/>
      <c r="N87" s="18">
        <f t="shared" si="16"/>
        <v>0</v>
      </c>
      <c r="O87" s="19"/>
      <c r="P87" s="18">
        <v>0</v>
      </c>
      <c r="Q87" s="16"/>
      <c r="R87" s="17"/>
      <c r="S87" s="18">
        <f t="shared" si="17"/>
        <v>0</v>
      </c>
      <c r="T87" s="19"/>
      <c r="U87" s="18">
        <v>0</v>
      </c>
      <c r="V87" s="16"/>
      <c r="W87" s="17"/>
      <c r="X87" s="18">
        <f t="shared" si="18"/>
        <v>0</v>
      </c>
      <c r="Y87" s="19"/>
      <c r="Z87" s="19"/>
      <c r="AA87" s="18">
        <f t="shared" si="19"/>
        <v>0</v>
      </c>
      <c r="AB87" s="20">
        <f t="shared" si="20"/>
        <v>0</v>
      </c>
      <c r="AC87" s="5"/>
      <c r="AD87" s="8"/>
      <c r="AF87" s="6"/>
      <c r="AG87" s="7"/>
      <c r="AJ87" s="33"/>
      <c r="AK87" s="35"/>
      <c r="AL87" s="38"/>
    </row>
    <row r="88" spans="1:38" ht="17.25" customHeight="1">
      <c r="A88" s="25"/>
      <c r="B88" s="26"/>
      <c r="C88" s="14"/>
      <c r="D88" s="31"/>
      <c r="E88" s="14"/>
      <c r="F88" s="15" t="str">
        <f t="shared" si="14"/>
        <v xml:space="preserve">S/F  </v>
      </c>
      <c r="G88" s="16"/>
      <c r="H88" s="17">
        <v>21</v>
      </c>
      <c r="I88" s="18">
        <f t="shared" si="15"/>
        <v>0</v>
      </c>
      <c r="J88" s="17"/>
      <c r="K88" s="18"/>
      <c r="L88" s="16"/>
      <c r="M88" s="17"/>
      <c r="N88" s="18">
        <f t="shared" si="16"/>
        <v>0</v>
      </c>
      <c r="O88" s="19"/>
      <c r="P88" s="18">
        <v>0</v>
      </c>
      <c r="Q88" s="16"/>
      <c r="R88" s="17"/>
      <c r="S88" s="18">
        <f t="shared" si="17"/>
        <v>0</v>
      </c>
      <c r="T88" s="19"/>
      <c r="U88" s="18">
        <v>0</v>
      </c>
      <c r="V88" s="16"/>
      <c r="W88" s="17"/>
      <c r="X88" s="18">
        <f t="shared" si="18"/>
        <v>0</v>
      </c>
      <c r="Y88" s="19"/>
      <c r="Z88" s="19"/>
      <c r="AA88" s="18">
        <f t="shared" si="19"/>
        <v>0</v>
      </c>
      <c r="AB88" s="20">
        <f t="shared" si="20"/>
        <v>0</v>
      </c>
      <c r="AC88" s="5"/>
      <c r="AD88" s="8"/>
      <c r="AF88" s="6"/>
      <c r="AG88" s="7"/>
      <c r="AJ88" s="33"/>
      <c r="AK88" s="35"/>
      <c r="AL88" s="38"/>
    </row>
    <row r="89" spans="1:38" ht="17.25" customHeight="1">
      <c r="A89" s="25"/>
      <c r="B89" s="26"/>
      <c r="C89" s="14"/>
      <c r="D89" s="31"/>
      <c r="E89" s="14"/>
      <c r="F89" s="15" t="str">
        <f t="shared" si="14"/>
        <v xml:space="preserve">S/F  </v>
      </c>
      <c r="G89" s="16"/>
      <c r="H89" s="17">
        <v>21</v>
      </c>
      <c r="I89" s="18">
        <f t="shared" si="15"/>
        <v>0</v>
      </c>
      <c r="J89" s="17"/>
      <c r="K89" s="18"/>
      <c r="L89" s="16"/>
      <c r="M89" s="17"/>
      <c r="N89" s="18">
        <f t="shared" si="16"/>
        <v>0</v>
      </c>
      <c r="O89" s="19"/>
      <c r="P89" s="18">
        <v>0</v>
      </c>
      <c r="Q89" s="16"/>
      <c r="R89" s="17"/>
      <c r="S89" s="18">
        <f t="shared" si="17"/>
        <v>0</v>
      </c>
      <c r="T89" s="19"/>
      <c r="U89" s="18">
        <v>0</v>
      </c>
      <c r="V89" s="16"/>
      <c r="W89" s="17"/>
      <c r="X89" s="18">
        <f t="shared" si="18"/>
        <v>0</v>
      </c>
      <c r="Y89" s="19"/>
      <c r="Z89" s="19"/>
      <c r="AA89" s="18">
        <f t="shared" si="19"/>
        <v>0</v>
      </c>
      <c r="AB89" s="20">
        <f t="shared" si="20"/>
        <v>0</v>
      </c>
      <c r="AC89" s="5"/>
      <c r="AD89" s="8"/>
      <c r="AF89" s="6"/>
      <c r="AG89" s="7"/>
      <c r="AJ89" s="33"/>
      <c r="AK89" s="35"/>
      <c r="AL89" s="38"/>
    </row>
    <row r="90" spans="1:38" ht="17.25" customHeight="1">
      <c r="A90" s="25"/>
      <c r="B90" s="26"/>
      <c r="C90" s="14"/>
      <c r="D90" s="31"/>
      <c r="E90" s="14"/>
      <c r="F90" s="15" t="str">
        <f t="shared" si="14"/>
        <v xml:space="preserve">S/F  </v>
      </c>
      <c r="G90" s="16"/>
      <c r="H90" s="17">
        <v>21</v>
      </c>
      <c r="I90" s="18">
        <f t="shared" si="15"/>
        <v>0</v>
      </c>
      <c r="J90" s="17"/>
      <c r="K90" s="18"/>
      <c r="L90" s="16"/>
      <c r="M90" s="17"/>
      <c r="N90" s="18">
        <f t="shared" si="16"/>
        <v>0</v>
      </c>
      <c r="O90" s="19"/>
      <c r="P90" s="18">
        <v>0</v>
      </c>
      <c r="Q90" s="16"/>
      <c r="R90" s="17"/>
      <c r="S90" s="18">
        <f t="shared" si="17"/>
        <v>0</v>
      </c>
      <c r="T90" s="19"/>
      <c r="U90" s="18">
        <v>0</v>
      </c>
      <c r="V90" s="16"/>
      <c r="W90" s="17"/>
      <c r="X90" s="18">
        <f t="shared" si="18"/>
        <v>0</v>
      </c>
      <c r="Y90" s="19"/>
      <c r="Z90" s="19"/>
      <c r="AA90" s="18">
        <f t="shared" si="19"/>
        <v>0</v>
      </c>
      <c r="AB90" s="20">
        <f t="shared" si="20"/>
        <v>0</v>
      </c>
      <c r="AC90" s="5"/>
      <c r="AD90" s="8"/>
      <c r="AF90" s="6"/>
      <c r="AG90" s="7"/>
      <c r="AJ90" s="33"/>
      <c r="AK90" s="35"/>
      <c r="AL90" s="38"/>
    </row>
    <row r="91" spans="1:38" ht="17.25" customHeight="1">
      <c r="A91" s="25"/>
      <c r="B91" s="26"/>
      <c r="C91" s="14"/>
      <c r="D91" s="31"/>
      <c r="E91" s="14"/>
      <c r="F91" s="15" t="str">
        <f t="shared" si="14"/>
        <v xml:space="preserve">S/F  </v>
      </c>
      <c r="G91" s="16"/>
      <c r="H91" s="17">
        <v>21</v>
      </c>
      <c r="I91" s="18">
        <f t="shared" si="15"/>
        <v>0</v>
      </c>
      <c r="J91" s="17"/>
      <c r="K91" s="18"/>
      <c r="L91" s="16"/>
      <c r="M91" s="17"/>
      <c r="N91" s="18">
        <f t="shared" si="16"/>
        <v>0</v>
      </c>
      <c r="O91" s="19"/>
      <c r="P91" s="18">
        <v>0</v>
      </c>
      <c r="Q91" s="16"/>
      <c r="R91" s="17"/>
      <c r="S91" s="18">
        <f t="shared" si="17"/>
        <v>0</v>
      </c>
      <c r="T91" s="19"/>
      <c r="U91" s="18">
        <v>0</v>
      </c>
      <c r="V91" s="16"/>
      <c r="W91" s="17"/>
      <c r="X91" s="18">
        <f t="shared" si="18"/>
        <v>0</v>
      </c>
      <c r="Y91" s="19"/>
      <c r="Z91" s="19"/>
      <c r="AA91" s="18">
        <f t="shared" si="19"/>
        <v>0</v>
      </c>
      <c r="AB91" s="20">
        <f t="shared" si="20"/>
        <v>0</v>
      </c>
      <c r="AC91" s="5"/>
      <c r="AD91" s="8"/>
      <c r="AF91" s="6"/>
      <c r="AG91" s="7"/>
      <c r="AJ91" s="33"/>
      <c r="AK91" s="35"/>
      <c r="AL91" s="38"/>
    </row>
    <row r="92" spans="1:38" ht="17.25" customHeight="1">
      <c r="A92" s="25"/>
      <c r="B92" s="26"/>
      <c r="C92" s="14"/>
      <c r="D92" s="31"/>
      <c r="E92" s="14"/>
      <c r="F92" s="15" t="str">
        <f t="shared" si="14"/>
        <v xml:space="preserve">S/F  </v>
      </c>
      <c r="G92" s="16"/>
      <c r="H92" s="17">
        <v>21</v>
      </c>
      <c r="I92" s="18">
        <f t="shared" si="15"/>
        <v>0</v>
      </c>
      <c r="J92" s="17"/>
      <c r="K92" s="18"/>
      <c r="L92" s="16"/>
      <c r="M92" s="17"/>
      <c r="N92" s="18">
        <f t="shared" si="16"/>
        <v>0</v>
      </c>
      <c r="O92" s="19"/>
      <c r="P92" s="18">
        <v>0</v>
      </c>
      <c r="Q92" s="16"/>
      <c r="R92" s="17"/>
      <c r="S92" s="18">
        <f t="shared" si="17"/>
        <v>0</v>
      </c>
      <c r="T92" s="19"/>
      <c r="U92" s="18">
        <v>0</v>
      </c>
      <c r="V92" s="16"/>
      <c r="W92" s="17"/>
      <c r="X92" s="18">
        <f t="shared" si="18"/>
        <v>0</v>
      </c>
      <c r="Y92" s="19"/>
      <c r="Z92" s="19"/>
      <c r="AA92" s="18">
        <f t="shared" si="19"/>
        <v>0</v>
      </c>
      <c r="AB92" s="20">
        <f t="shared" si="20"/>
        <v>0</v>
      </c>
      <c r="AC92" s="5"/>
      <c r="AD92" s="8"/>
      <c r="AF92" s="6"/>
      <c r="AG92" s="7"/>
      <c r="AJ92" s="33"/>
      <c r="AK92" s="35"/>
      <c r="AL92" s="38"/>
    </row>
    <row r="93" spans="1:38" ht="17.25" customHeight="1">
      <c r="A93" s="25"/>
      <c r="B93" s="26"/>
      <c r="C93" s="14"/>
      <c r="D93" s="31"/>
      <c r="E93" s="14"/>
      <c r="F93" s="15" t="str">
        <f t="shared" si="14"/>
        <v xml:space="preserve">S/F  </v>
      </c>
      <c r="G93" s="16"/>
      <c r="H93" s="17">
        <v>21</v>
      </c>
      <c r="I93" s="18">
        <f t="shared" si="15"/>
        <v>0</v>
      </c>
      <c r="J93" s="17"/>
      <c r="K93" s="18"/>
      <c r="L93" s="16"/>
      <c r="M93" s="17"/>
      <c r="N93" s="18">
        <f t="shared" si="16"/>
        <v>0</v>
      </c>
      <c r="O93" s="19"/>
      <c r="P93" s="18">
        <v>0</v>
      </c>
      <c r="Q93" s="16"/>
      <c r="R93" s="17"/>
      <c r="S93" s="18">
        <f t="shared" si="17"/>
        <v>0</v>
      </c>
      <c r="T93" s="19"/>
      <c r="U93" s="18">
        <v>0</v>
      </c>
      <c r="V93" s="16"/>
      <c r="W93" s="17"/>
      <c r="X93" s="18">
        <f t="shared" si="18"/>
        <v>0</v>
      </c>
      <c r="Y93" s="19"/>
      <c r="Z93" s="19"/>
      <c r="AA93" s="18">
        <f t="shared" si="19"/>
        <v>0</v>
      </c>
      <c r="AB93" s="20">
        <f t="shared" si="20"/>
        <v>0</v>
      </c>
      <c r="AC93" s="5"/>
      <c r="AD93" s="8"/>
      <c r="AF93" s="6"/>
      <c r="AG93" s="7"/>
      <c r="AJ93" s="33"/>
      <c r="AK93" s="35"/>
      <c r="AL93" s="38"/>
    </row>
    <row r="94" spans="1:38" ht="17.25" customHeight="1">
      <c r="A94" s="25"/>
      <c r="B94" s="26"/>
      <c r="C94" s="14"/>
      <c r="D94" s="31"/>
      <c r="E94" s="14"/>
      <c r="F94" s="15" t="str">
        <f t="shared" si="14"/>
        <v xml:space="preserve">S/F  </v>
      </c>
      <c r="G94" s="16"/>
      <c r="H94" s="17">
        <v>21</v>
      </c>
      <c r="I94" s="18">
        <f t="shared" si="15"/>
        <v>0</v>
      </c>
      <c r="J94" s="17"/>
      <c r="K94" s="18"/>
      <c r="L94" s="16"/>
      <c r="M94" s="17"/>
      <c r="N94" s="18">
        <f t="shared" si="16"/>
        <v>0</v>
      </c>
      <c r="O94" s="19"/>
      <c r="P94" s="18">
        <v>0</v>
      </c>
      <c r="Q94" s="16"/>
      <c r="R94" s="17"/>
      <c r="S94" s="18">
        <f t="shared" si="17"/>
        <v>0</v>
      </c>
      <c r="T94" s="19"/>
      <c r="U94" s="18">
        <v>0</v>
      </c>
      <c r="V94" s="16"/>
      <c r="W94" s="17"/>
      <c r="X94" s="18">
        <f t="shared" si="18"/>
        <v>0</v>
      </c>
      <c r="Y94" s="19"/>
      <c r="Z94" s="19"/>
      <c r="AA94" s="18">
        <f t="shared" si="19"/>
        <v>0</v>
      </c>
      <c r="AB94" s="20">
        <f t="shared" si="20"/>
        <v>0</v>
      </c>
      <c r="AC94" s="5"/>
      <c r="AD94" s="8"/>
      <c r="AF94" s="6"/>
      <c r="AG94" s="7"/>
      <c r="AJ94" s="33"/>
      <c r="AK94" s="35"/>
      <c r="AL94" s="38"/>
    </row>
    <row r="95" spans="1:38" ht="17.25" customHeight="1">
      <c r="A95" s="25"/>
      <c r="B95" s="26"/>
      <c r="C95" s="14"/>
      <c r="D95" s="31"/>
      <c r="E95" s="14"/>
      <c r="F95" s="15" t="str">
        <f t="shared" si="14"/>
        <v xml:space="preserve">S/F  </v>
      </c>
      <c r="G95" s="16"/>
      <c r="H95" s="17">
        <v>21</v>
      </c>
      <c r="I95" s="18">
        <f t="shared" si="15"/>
        <v>0</v>
      </c>
      <c r="J95" s="17"/>
      <c r="K95" s="18"/>
      <c r="L95" s="16"/>
      <c r="M95" s="17"/>
      <c r="N95" s="18">
        <f t="shared" si="16"/>
        <v>0</v>
      </c>
      <c r="O95" s="19"/>
      <c r="P95" s="18">
        <v>0</v>
      </c>
      <c r="Q95" s="16"/>
      <c r="R95" s="17"/>
      <c r="S95" s="18">
        <f t="shared" si="17"/>
        <v>0</v>
      </c>
      <c r="T95" s="19"/>
      <c r="U95" s="18">
        <v>0</v>
      </c>
      <c r="V95" s="16"/>
      <c r="W95" s="17"/>
      <c r="X95" s="18">
        <f t="shared" si="18"/>
        <v>0</v>
      </c>
      <c r="Y95" s="19"/>
      <c r="Z95" s="19"/>
      <c r="AA95" s="18">
        <f t="shared" si="19"/>
        <v>0</v>
      </c>
      <c r="AB95" s="20">
        <f t="shared" si="20"/>
        <v>0</v>
      </c>
      <c r="AC95" s="5"/>
      <c r="AD95" s="8"/>
      <c r="AF95" s="6"/>
      <c r="AG95" s="7"/>
      <c r="AJ95" s="33"/>
      <c r="AK95" s="35"/>
      <c r="AL95" s="38"/>
    </row>
    <row r="96" spans="1:38" ht="17.25" customHeight="1">
      <c r="A96" s="25"/>
      <c r="B96" s="26"/>
      <c r="C96" s="14"/>
      <c r="D96" s="31"/>
      <c r="E96" s="14"/>
      <c r="F96" s="15" t="str">
        <f t="shared" si="14"/>
        <v xml:space="preserve">S/F  </v>
      </c>
      <c r="G96" s="16"/>
      <c r="H96" s="17">
        <v>21</v>
      </c>
      <c r="I96" s="18">
        <f t="shared" si="15"/>
        <v>0</v>
      </c>
      <c r="J96" s="17"/>
      <c r="K96" s="18"/>
      <c r="L96" s="16"/>
      <c r="M96" s="17"/>
      <c r="N96" s="18">
        <f t="shared" si="16"/>
        <v>0</v>
      </c>
      <c r="O96" s="19"/>
      <c r="P96" s="18">
        <v>0</v>
      </c>
      <c r="Q96" s="16"/>
      <c r="R96" s="17"/>
      <c r="S96" s="18">
        <f t="shared" si="17"/>
        <v>0</v>
      </c>
      <c r="T96" s="19"/>
      <c r="U96" s="18">
        <v>0</v>
      </c>
      <c r="V96" s="16"/>
      <c r="W96" s="17"/>
      <c r="X96" s="18">
        <f t="shared" si="18"/>
        <v>0</v>
      </c>
      <c r="Y96" s="19"/>
      <c r="Z96" s="19"/>
      <c r="AA96" s="18">
        <f t="shared" si="19"/>
        <v>0</v>
      </c>
      <c r="AB96" s="20">
        <f t="shared" si="20"/>
        <v>0</v>
      </c>
      <c r="AC96" s="5"/>
      <c r="AD96" s="8"/>
      <c r="AF96" s="6"/>
      <c r="AG96" s="7"/>
      <c r="AJ96" s="33"/>
      <c r="AK96" s="35"/>
      <c r="AL96" s="38"/>
    </row>
    <row r="97" spans="1:38" ht="17.25" customHeight="1">
      <c r="A97" s="25"/>
      <c r="B97" s="26"/>
      <c r="C97" s="14"/>
      <c r="D97" s="31"/>
      <c r="E97" s="14"/>
      <c r="F97" s="15" t="str">
        <f t="shared" si="14"/>
        <v xml:space="preserve">S/F  </v>
      </c>
      <c r="G97" s="16"/>
      <c r="H97" s="17">
        <v>21</v>
      </c>
      <c r="I97" s="18">
        <f t="shared" si="15"/>
        <v>0</v>
      </c>
      <c r="J97" s="17"/>
      <c r="K97" s="18"/>
      <c r="L97" s="16"/>
      <c r="M97" s="17"/>
      <c r="N97" s="18">
        <f t="shared" si="16"/>
        <v>0</v>
      </c>
      <c r="O97" s="19"/>
      <c r="P97" s="18">
        <v>0</v>
      </c>
      <c r="Q97" s="16"/>
      <c r="R97" s="17"/>
      <c r="S97" s="18">
        <f t="shared" si="17"/>
        <v>0</v>
      </c>
      <c r="T97" s="19"/>
      <c r="U97" s="18">
        <v>0</v>
      </c>
      <c r="V97" s="16"/>
      <c r="W97" s="17"/>
      <c r="X97" s="18">
        <f t="shared" si="18"/>
        <v>0</v>
      </c>
      <c r="Y97" s="19"/>
      <c r="Z97" s="19"/>
      <c r="AA97" s="18">
        <f t="shared" si="19"/>
        <v>0</v>
      </c>
      <c r="AB97" s="20">
        <f t="shared" si="20"/>
        <v>0</v>
      </c>
      <c r="AC97" s="5"/>
      <c r="AD97" s="8"/>
      <c r="AF97" s="6"/>
      <c r="AG97" s="7"/>
      <c r="AJ97" s="33"/>
      <c r="AK97" s="35"/>
      <c r="AL97" s="38"/>
    </row>
    <row r="98" spans="1:38" ht="17.25" customHeight="1">
      <c r="A98" s="25"/>
      <c r="B98" s="26"/>
      <c r="C98" s="14"/>
      <c r="D98" s="31"/>
      <c r="E98" s="14"/>
      <c r="F98" s="15" t="str">
        <f t="shared" si="14"/>
        <v xml:space="preserve">S/F  </v>
      </c>
      <c r="G98" s="16"/>
      <c r="H98" s="17">
        <v>21</v>
      </c>
      <c r="I98" s="18">
        <f t="shared" si="15"/>
        <v>0</v>
      </c>
      <c r="J98" s="17"/>
      <c r="K98" s="18"/>
      <c r="L98" s="16"/>
      <c r="M98" s="17"/>
      <c r="N98" s="18">
        <f t="shared" si="16"/>
        <v>0</v>
      </c>
      <c r="O98" s="19"/>
      <c r="P98" s="18">
        <v>0</v>
      </c>
      <c r="Q98" s="16"/>
      <c r="R98" s="17"/>
      <c r="S98" s="18">
        <f t="shared" si="17"/>
        <v>0</v>
      </c>
      <c r="T98" s="19"/>
      <c r="U98" s="18">
        <v>0</v>
      </c>
      <c r="V98" s="16"/>
      <c r="W98" s="17"/>
      <c r="X98" s="18">
        <f t="shared" si="18"/>
        <v>0</v>
      </c>
      <c r="Y98" s="19"/>
      <c r="Z98" s="19"/>
      <c r="AA98" s="18">
        <f t="shared" si="19"/>
        <v>0</v>
      </c>
      <c r="AB98" s="20">
        <f t="shared" si="20"/>
        <v>0</v>
      </c>
      <c r="AC98" s="5"/>
      <c r="AD98" s="8"/>
      <c r="AF98" s="6"/>
      <c r="AG98" s="7"/>
      <c r="AJ98" s="33"/>
      <c r="AK98" s="35"/>
      <c r="AL98" s="38"/>
    </row>
    <row r="99" spans="1:38" ht="17.25" customHeight="1">
      <c r="A99" s="25"/>
      <c r="B99" s="26"/>
      <c r="C99" s="14"/>
      <c r="D99" s="31"/>
      <c r="E99" s="14"/>
      <c r="F99" s="15" t="str">
        <f t="shared" si="14"/>
        <v xml:space="preserve">S/F  </v>
      </c>
      <c r="G99" s="16"/>
      <c r="H99" s="17">
        <v>21</v>
      </c>
      <c r="I99" s="18">
        <f t="shared" si="15"/>
        <v>0</v>
      </c>
      <c r="J99" s="17"/>
      <c r="K99" s="18"/>
      <c r="L99" s="16"/>
      <c r="M99" s="17"/>
      <c r="N99" s="18">
        <f t="shared" si="16"/>
        <v>0</v>
      </c>
      <c r="O99" s="19"/>
      <c r="P99" s="18">
        <v>0</v>
      </c>
      <c r="Q99" s="16"/>
      <c r="R99" s="17"/>
      <c r="S99" s="18">
        <f t="shared" si="17"/>
        <v>0</v>
      </c>
      <c r="T99" s="19"/>
      <c r="U99" s="18">
        <v>0</v>
      </c>
      <c r="V99" s="16"/>
      <c r="W99" s="17"/>
      <c r="X99" s="18">
        <f t="shared" si="18"/>
        <v>0</v>
      </c>
      <c r="Y99" s="19"/>
      <c r="Z99" s="19"/>
      <c r="AA99" s="18">
        <f t="shared" si="19"/>
        <v>0</v>
      </c>
      <c r="AB99" s="20">
        <f t="shared" si="20"/>
        <v>0</v>
      </c>
      <c r="AC99" s="5"/>
      <c r="AD99" s="8"/>
      <c r="AF99" s="6"/>
      <c r="AG99" s="7"/>
      <c r="AJ99" s="33"/>
      <c r="AK99" s="35"/>
      <c r="AL99" s="38"/>
    </row>
    <row r="100" spans="1:38" ht="17.25" customHeight="1">
      <c r="A100" s="25"/>
      <c r="B100" s="26"/>
      <c r="C100" s="14"/>
      <c r="D100" s="31"/>
      <c r="E100" s="14"/>
      <c r="F100" s="15" t="str">
        <f t="shared" si="14"/>
        <v xml:space="preserve">S/F  </v>
      </c>
      <c r="G100" s="16"/>
      <c r="H100" s="17">
        <v>21</v>
      </c>
      <c r="I100" s="18">
        <f t="shared" si="15"/>
        <v>0</v>
      </c>
      <c r="J100" s="17"/>
      <c r="K100" s="18"/>
      <c r="L100" s="16"/>
      <c r="M100" s="17"/>
      <c r="N100" s="18">
        <f t="shared" si="16"/>
        <v>0</v>
      </c>
      <c r="O100" s="19"/>
      <c r="P100" s="18">
        <v>0</v>
      </c>
      <c r="Q100" s="16"/>
      <c r="R100" s="17"/>
      <c r="S100" s="18">
        <f t="shared" si="17"/>
        <v>0</v>
      </c>
      <c r="T100" s="19"/>
      <c r="U100" s="18">
        <v>0</v>
      </c>
      <c r="V100" s="16"/>
      <c r="W100" s="17"/>
      <c r="X100" s="18">
        <f t="shared" si="18"/>
        <v>0</v>
      </c>
      <c r="Y100" s="19"/>
      <c r="Z100" s="19"/>
      <c r="AA100" s="18">
        <f t="shared" si="19"/>
        <v>0</v>
      </c>
      <c r="AB100" s="20">
        <f t="shared" si="20"/>
        <v>0</v>
      </c>
      <c r="AC100" s="5"/>
      <c r="AD100" s="8"/>
      <c r="AF100" s="6"/>
      <c r="AG100" s="7"/>
      <c r="AJ100" s="33"/>
      <c r="AK100" s="35"/>
      <c r="AL100" s="38"/>
    </row>
    <row r="101" spans="1:38" ht="17.25" customHeight="1">
      <c r="A101" s="25"/>
      <c r="B101" s="26"/>
      <c r="C101" s="14"/>
      <c r="D101" s="31"/>
      <c r="E101" s="14"/>
      <c r="F101" s="15" t="str">
        <f t="shared" si="14"/>
        <v xml:space="preserve">S/F  </v>
      </c>
      <c r="G101" s="16"/>
      <c r="H101" s="17">
        <v>21</v>
      </c>
      <c r="I101" s="18">
        <f t="shared" si="15"/>
        <v>0</v>
      </c>
      <c r="J101" s="17"/>
      <c r="K101" s="18"/>
      <c r="L101" s="16"/>
      <c r="M101" s="17"/>
      <c r="N101" s="18">
        <f t="shared" si="16"/>
        <v>0</v>
      </c>
      <c r="O101" s="19"/>
      <c r="P101" s="18">
        <v>0</v>
      </c>
      <c r="Q101" s="16"/>
      <c r="R101" s="17"/>
      <c r="S101" s="18">
        <f t="shared" si="17"/>
        <v>0</v>
      </c>
      <c r="T101" s="19"/>
      <c r="U101" s="18">
        <v>0</v>
      </c>
      <c r="V101" s="16"/>
      <c r="W101" s="17"/>
      <c r="X101" s="18">
        <f t="shared" si="18"/>
        <v>0</v>
      </c>
      <c r="Y101" s="19"/>
      <c r="Z101" s="19"/>
      <c r="AA101" s="18">
        <f t="shared" si="19"/>
        <v>0</v>
      </c>
      <c r="AB101" s="20">
        <f t="shared" si="20"/>
        <v>0</v>
      </c>
      <c r="AC101" s="5"/>
      <c r="AD101" s="8"/>
      <c r="AF101" s="6"/>
      <c r="AG101" s="7"/>
      <c r="AJ101" s="33"/>
      <c r="AK101" s="35"/>
      <c r="AL101" s="38"/>
    </row>
    <row r="102" spans="1:38" ht="17.25" customHeight="1">
      <c r="A102" s="25"/>
      <c r="B102" s="26"/>
      <c r="C102" s="14"/>
      <c r="D102" s="31"/>
      <c r="E102" s="14"/>
      <c r="F102" s="15" t="str">
        <f t="shared" si="14"/>
        <v xml:space="preserve">S/F  </v>
      </c>
      <c r="G102" s="16"/>
      <c r="H102" s="17">
        <v>21</v>
      </c>
      <c r="I102" s="18">
        <f t="shared" si="15"/>
        <v>0</v>
      </c>
      <c r="J102" s="17"/>
      <c r="K102" s="18"/>
      <c r="L102" s="16"/>
      <c r="M102" s="17"/>
      <c r="N102" s="18">
        <f t="shared" si="16"/>
        <v>0</v>
      </c>
      <c r="O102" s="19"/>
      <c r="P102" s="18">
        <v>0</v>
      </c>
      <c r="Q102" s="16"/>
      <c r="R102" s="17"/>
      <c r="S102" s="18">
        <f t="shared" si="17"/>
        <v>0</v>
      </c>
      <c r="T102" s="19"/>
      <c r="U102" s="18">
        <v>0</v>
      </c>
      <c r="V102" s="16"/>
      <c r="W102" s="17"/>
      <c r="X102" s="18">
        <f t="shared" si="18"/>
        <v>0</v>
      </c>
      <c r="Y102" s="19"/>
      <c r="Z102" s="19"/>
      <c r="AA102" s="18">
        <f t="shared" si="19"/>
        <v>0</v>
      </c>
      <c r="AB102" s="20">
        <f t="shared" si="20"/>
        <v>0</v>
      </c>
      <c r="AC102" s="5"/>
      <c r="AD102" s="8"/>
      <c r="AF102" s="6"/>
      <c r="AG102" s="7"/>
      <c r="AJ102" s="33"/>
      <c r="AK102" s="35"/>
      <c r="AL102" s="38"/>
    </row>
    <row r="103" spans="1:38" ht="17.25" customHeight="1">
      <c r="A103" s="25"/>
      <c r="B103" s="26"/>
      <c r="C103" s="14"/>
      <c r="D103" s="31"/>
      <c r="E103" s="14"/>
      <c r="F103" s="15" t="str">
        <f t="shared" si="14"/>
        <v xml:space="preserve">S/F  </v>
      </c>
      <c r="G103" s="16"/>
      <c r="H103" s="17">
        <v>21</v>
      </c>
      <c r="I103" s="18">
        <f t="shared" si="15"/>
        <v>0</v>
      </c>
      <c r="J103" s="17"/>
      <c r="K103" s="18"/>
      <c r="L103" s="16"/>
      <c r="M103" s="17"/>
      <c r="N103" s="18">
        <f t="shared" si="16"/>
        <v>0</v>
      </c>
      <c r="O103" s="19"/>
      <c r="P103" s="18">
        <v>0</v>
      </c>
      <c r="Q103" s="16"/>
      <c r="R103" s="17"/>
      <c r="S103" s="18">
        <f t="shared" si="17"/>
        <v>0</v>
      </c>
      <c r="T103" s="19"/>
      <c r="U103" s="18">
        <v>0</v>
      </c>
      <c r="V103" s="16"/>
      <c r="W103" s="17"/>
      <c r="X103" s="18">
        <f t="shared" si="18"/>
        <v>0</v>
      </c>
      <c r="Y103" s="19"/>
      <c r="Z103" s="19"/>
      <c r="AA103" s="18">
        <f t="shared" si="19"/>
        <v>0</v>
      </c>
      <c r="AB103" s="20">
        <f t="shared" si="20"/>
        <v>0</v>
      </c>
      <c r="AC103" s="5"/>
      <c r="AD103" s="8"/>
      <c r="AF103" s="6"/>
      <c r="AG103" s="7"/>
      <c r="AJ103" s="33"/>
      <c r="AK103" s="35"/>
      <c r="AL103" s="38"/>
    </row>
    <row r="104" spans="1:38" ht="17.25" customHeight="1">
      <c r="A104" s="25"/>
      <c r="B104" s="26"/>
      <c r="C104" s="14"/>
      <c r="D104" s="31"/>
      <c r="E104" s="14"/>
      <c r="F104" s="15" t="str">
        <f t="shared" si="14"/>
        <v xml:space="preserve">S/F  </v>
      </c>
      <c r="G104" s="16"/>
      <c r="H104" s="17">
        <v>21</v>
      </c>
      <c r="I104" s="18">
        <f t="shared" si="15"/>
        <v>0</v>
      </c>
      <c r="J104" s="17"/>
      <c r="K104" s="18"/>
      <c r="L104" s="16"/>
      <c r="M104" s="17"/>
      <c r="N104" s="18">
        <f t="shared" si="16"/>
        <v>0</v>
      </c>
      <c r="O104" s="19"/>
      <c r="P104" s="18">
        <v>0</v>
      </c>
      <c r="Q104" s="16"/>
      <c r="R104" s="17"/>
      <c r="S104" s="18">
        <f t="shared" si="17"/>
        <v>0</v>
      </c>
      <c r="T104" s="19"/>
      <c r="U104" s="18">
        <v>0</v>
      </c>
      <c r="V104" s="16"/>
      <c r="W104" s="17"/>
      <c r="X104" s="18">
        <f t="shared" si="18"/>
        <v>0</v>
      </c>
      <c r="Y104" s="19"/>
      <c r="Z104" s="19"/>
      <c r="AA104" s="18">
        <f t="shared" si="19"/>
        <v>0</v>
      </c>
      <c r="AB104" s="20">
        <f t="shared" si="20"/>
        <v>0</v>
      </c>
      <c r="AC104" s="5"/>
      <c r="AD104" s="8"/>
      <c r="AF104" s="6"/>
      <c r="AG104" s="7"/>
      <c r="AJ104" s="33"/>
      <c r="AK104" s="35"/>
      <c r="AL104" s="38"/>
    </row>
    <row r="105" spans="1:38" ht="17.25" customHeight="1">
      <c r="A105" s="25"/>
      <c r="B105" s="26"/>
      <c r="C105" s="14"/>
      <c r="D105" s="31"/>
      <c r="E105" s="14"/>
      <c r="F105" s="15" t="str">
        <f t="shared" si="14"/>
        <v xml:space="preserve">S/F  </v>
      </c>
      <c r="G105" s="16"/>
      <c r="H105" s="17">
        <v>21</v>
      </c>
      <c r="I105" s="18">
        <f t="shared" si="15"/>
        <v>0</v>
      </c>
      <c r="J105" s="17"/>
      <c r="K105" s="18"/>
      <c r="L105" s="16"/>
      <c r="M105" s="17"/>
      <c r="N105" s="18">
        <f t="shared" si="16"/>
        <v>0</v>
      </c>
      <c r="O105" s="19"/>
      <c r="P105" s="18">
        <v>0</v>
      </c>
      <c r="Q105" s="16"/>
      <c r="R105" s="17"/>
      <c r="S105" s="18">
        <f t="shared" si="17"/>
        <v>0</v>
      </c>
      <c r="T105" s="19"/>
      <c r="U105" s="18">
        <v>0</v>
      </c>
      <c r="V105" s="16"/>
      <c r="W105" s="17"/>
      <c r="X105" s="18">
        <f t="shared" si="18"/>
        <v>0</v>
      </c>
      <c r="Y105" s="19"/>
      <c r="Z105" s="19"/>
      <c r="AA105" s="18">
        <f t="shared" si="19"/>
        <v>0</v>
      </c>
      <c r="AB105" s="20">
        <f t="shared" si="20"/>
        <v>0</v>
      </c>
      <c r="AC105" s="5"/>
      <c r="AD105" s="8"/>
      <c r="AF105" s="6"/>
      <c r="AG105" s="7"/>
      <c r="AJ105" s="33"/>
      <c r="AK105" s="35"/>
      <c r="AL105" s="38"/>
    </row>
    <row r="106" spans="1:38" ht="17.25" customHeight="1">
      <c r="A106" s="25"/>
      <c r="B106" s="26"/>
      <c r="C106" s="14"/>
      <c r="D106" s="31"/>
      <c r="E106" s="14"/>
      <c r="F106" s="15" t="str">
        <f t="shared" si="14"/>
        <v xml:space="preserve">S/F  </v>
      </c>
      <c r="G106" s="16"/>
      <c r="H106" s="17">
        <v>21</v>
      </c>
      <c r="I106" s="18">
        <f t="shared" si="15"/>
        <v>0</v>
      </c>
      <c r="J106" s="17"/>
      <c r="K106" s="18"/>
      <c r="L106" s="16"/>
      <c r="M106" s="17"/>
      <c r="N106" s="18">
        <f t="shared" si="16"/>
        <v>0</v>
      </c>
      <c r="O106" s="19"/>
      <c r="P106" s="18">
        <v>0</v>
      </c>
      <c r="Q106" s="16"/>
      <c r="R106" s="17"/>
      <c r="S106" s="18">
        <f t="shared" si="17"/>
        <v>0</v>
      </c>
      <c r="T106" s="19"/>
      <c r="U106" s="18">
        <v>0</v>
      </c>
      <c r="V106" s="16"/>
      <c r="W106" s="17"/>
      <c r="X106" s="18">
        <f t="shared" si="18"/>
        <v>0</v>
      </c>
      <c r="Y106" s="19"/>
      <c r="Z106" s="19"/>
      <c r="AA106" s="18">
        <f t="shared" si="19"/>
        <v>0</v>
      </c>
      <c r="AB106" s="20">
        <f t="shared" si="20"/>
        <v>0</v>
      </c>
      <c r="AC106" s="5"/>
      <c r="AD106" s="8"/>
      <c r="AF106" s="6"/>
      <c r="AG106" s="7"/>
      <c r="AJ106" s="33"/>
      <c r="AK106" s="35"/>
      <c r="AL106" s="38"/>
    </row>
    <row r="107" spans="1:38" ht="17.25" customHeight="1"/>
    <row r="108" spans="1:38" ht="17.25" customHeight="1"/>
    <row r="109" spans="1:38" ht="17.25" customHeight="1"/>
    <row r="110" spans="1:38" ht="17.25" customHeight="1"/>
    <row r="111" spans="1:38" ht="17.25" customHeight="1"/>
    <row r="112" spans="1:38" ht="17.25" customHeight="1"/>
    <row r="113" ht="17.25" customHeight="1"/>
    <row r="114" ht="17.25" customHeight="1"/>
    <row r="115" ht="17.25" customHeight="1"/>
    <row r="116" ht="17.25" customHeight="1"/>
    <row r="117" ht="17.25" customHeight="1"/>
    <row r="118" ht="17.25" customHeight="1"/>
    <row r="119" ht="17.25" customHeight="1"/>
    <row r="120" ht="17.25" customHeight="1"/>
    <row r="121" ht="17.25" customHeight="1"/>
    <row r="122" ht="17.25" customHeight="1"/>
    <row r="123" ht="17.25" customHeight="1"/>
    <row r="124" ht="17.25" customHeight="1"/>
    <row r="125" ht="17.25" customHeight="1"/>
    <row r="126" ht="17.25" customHeight="1"/>
    <row r="127" ht="17.25" customHeight="1"/>
    <row r="128" ht="17.25" customHeight="1"/>
    <row r="129" ht="17.25" customHeight="1"/>
    <row r="130" ht="17.25" customHeight="1"/>
    <row r="131" ht="17.25" customHeight="1"/>
    <row r="132" ht="17.25" customHeight="1"/>
    <row r="133" ht="17.25" customHeight="1"/>
    <row r="134" ht="17.25" customHeight="1"/>
    <row r="135" ht="17.25" customHeight="1"/>
    <row r="136" ht="17.25" customHeight="1"/>
    <row r="137" ht="17.25" customHeight="1"/>
    <row r="138" ht="17.25" customHeight="1"/>
    <row r="139" ht="17.25" customHeight="1"/>
    <row r="140" ht="17.25" customHeight="1"/>
    <row r="141" ht="17.25" customHeight="1"/>
    <row r="142" ht="17.25" customHeight="1"/>
    <row r="143" ht="17.25" customHeight="1"/>
    <row r="144" ht="17.25" customHeight="1"/>
    <row r="145" ht="17.25" customHeight="1"/>
    <row r="146" ht="17.25" customHeight="1"/>
    <row r="147" ht="17.25" customHeight="1"/>
    <row r="148" ht="17.25" customHeight="1"/>
    <row r="149" ht="17.25" customHeight="1"/>
    <row r="150" ht="17.25" customHeight="1"/>
    <row r="151" ht="17.25" customHeight="1"/>
    <row r="152" ht="17.25" customHeight="1"/>
    <row r="153" ht="17.25" customHeight="1"/>
    <row r="154" ht="17.25" customHeight="1"/>
    <row r="155" ht="17.25" customHeight="1"/>
    <row r="156" ht="17.25" customHeight="1"/>
    <row r="157" ht="17.25" customHeight="1"/>
    <row r="158" ht="17.25" customHeight="1"/>
    <row r="159" ht="17.25" customHeight="1"/>
    <row r="160" ht="17.25" customHeight="1"/>
    <row r="161" customFormat="1" ht="17.25" customHeight="1"/>
  </sheetData>
  <phoneticPr fontId="16" type="noConversion"/>
  <dataValidations count="1">
    <dataValidation type="textLength" errorStyle="warning" allowBlank="1" showInputMessage="1" showErrorMessage="1" error="Contamar le informa de que el código introducido debe contener únicamente 8 dígitos._x000a__x000a_" sqref="AC2:AC106" xr:uid="{BFF98A40-B102-477B-A8CD-D8F9154F9533}">
      <formula1>8</formula1>
      <formula2>8</formula2>
    </dataValidation>
  </dataValidation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12</vt:i4>
      </vt:variant>
      <vt:variant>
        <vt:lpstr>Rangos con nombre</vt:lpstr>
      </vt:variant>
      <vt:variant>
        <vt:i4>5</vt:i4>
      </vt:variant>
    </vt:vector>
  </HeadingPairs>
  <TitlesOfParts>
    <vt:vector size="17" baseType="lpstr">
      <vt:lpstr>ENERO</vt:lpstr>
      <vt:lpstr>FEBRERO</vt:lpstr>
      <vt:lpstr>MARZO</vt:lpstr>
      <vt:lpstr>ABRIL</vt:lpstr>
      <vt:lpstr>MAYO</vt:lpstr>
      <vt:lpstr>JUNIO</vt:lpstr>
      <vt:lpstr>JULIO</vt:lpstr>
      <vt:lpstr>AGOSTO</vt:lpstr>
      <vt:lpstr>SEPTIEMBRE</vt:lpstr>
      <vt:lpstr>OCTUBRE</vt:lpstr>
      <vt:lpstr>NOVIEMBRE</vt:lpstr>
      <vt:lpstr>DICIEMBRE</vt:lpstr>
      <vt:lpstr>ENERO!Área_de_impresión</vt:lpstr>
      <vt:lpstr>ABRIL!Títulos_a_imprimir</vt:lpstr>
      <vt:lpstr>ENERO!Títulos_a_imprimir</vt:lpstr>
      <vt:lpstr>FEBRERO!Títulos_a_imprimir</vt:lpstr>
      <vt:lpstr>MARZO!Títulos_a_imprimir</vt:lpstr>
    </vt:vector>
  </TitlesOfParts>
  <Company>MARJINSA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Importación Ventas</dc:title>
  <dc:creator>SUMMAR Tecnología y Gestión, S.A.</dc:creator>
  <cp:lastModifiedBy>Ubeda</cp:lastModifiedBy>
  <cp:lastPrinted>2021-09-17T10:26:43Z</cp:lastPrinted>
  <dcterms:created xsi:type="dcterms:W3CDTF">2008-12-29T12:38:41Z</dcterms:created>
  <dcterms:modified xsi:type="dcterms:W3CDTF">2025-03-12T13:03:52Z</dcterms:modified>
</cp:coreProperties>
</file>