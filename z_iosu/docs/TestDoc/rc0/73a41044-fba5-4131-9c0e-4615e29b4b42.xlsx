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6.62.10\Datos\GESTION\Dpto.CONTA\GUZMAN\NN ITALIA\EJERCICIO 2024\4T\"/>
    </mc:Choice>
  </mc:AlternateContent>
  <xr:revisionPtr revIDLastSave="0" documentId="13_ncr:1_{E2D6FD77-7987-4E15-8205-9B9867E08AA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ROVEEDORES" sheetId="5" r:id="rId1"/>
    <sheet name="CLIENTES" sheetId="6" r:id="rId2"/>
    <sheet name="COMPRAS" sheetId="4" r:id="rId3"/>
    <sheet name="VENTAS" sheetId="7" r:id="rId4"/>
  </sheets>
  <definedNames>
    <definedName name="_xlnm._FilterDatabase" localSheetId="2" hidden="1">COMPRAS!$A$1:$AB$1072</definedName>
    <definedName name="_xlnm._FilterDatabase" localSheetId="3" hidden="1">VENTAS!$A$1:$M$1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8" i="4" l="1"/>
  <c r="I108" i="4"/>
  <c r="F108" i="4"/>
  <c r="G122" i="4"/>
  <c r="I122" i="4" s="1"/>
  <c r="G121" i="4"/>
  <c r="AA114" i="4"/>
  <c r="X114" i="4"/>
  <c r="U114" i="4"/>
  <c r="S114" i="4"/>
  <c r="N114" i="4"/>
  <c r="I114" i="4"/>
  <c r="F114" i="4"/>
  <c r="AA122" i="4"/>
  <c r="X122" i="4"/>
  <c r="U122" i="4"/>
  <c r="S122" i="4"/>
  <c r="N122" i="4"/>
  <c r="F122" i="4"/>
  <c r="AA121" i="4"/>
  <c r="X121" i="4"/>
  <c r="U121" i="4"/>
  <c r="S121" i="4"/>
  <c r="N121" i="4"/>
  <c r="I121" i="4"/>
  <c r="F121" i="4"/>
  <c r="AA120" i="4"/>
  <c r="X120" i="4"/>
  <c r="U120" i="4"/>
  <c r="S120" i="4"/>
  <c r="N120" i="4"/>
  <c r="I120" i="4"/>
  <c r="F120" i="4"/>
  <c r="AA119" i="4"/>
  <c r="X119" i="4"/>
  <c r="U119" i="4"/>
  <c r="S119" i="4"/>
  <c r="N119" i="4"/>
  <c r="I119" i="4"/>
  <c r="F119" i="4"/>
  <c r="AA118" i="4"/>
  <c r="X118" i="4"/>
  <c r="U118" i="4"/>
  <c r="S118" i="4"/>
  <c r="N118" i="4"/>
  <c r="I118" i="4"/>
  <c r="F118" i="4"/>
  <c r="AA117" i="4"/>
  <c r="X117" i="4"/>
  <c r="U117" i="4"/>
  <c r="S117" i="4"/>
  <c r="N117" i="4"/>
  <c r="F117" i="4"/>
  <c r="AA116" i="4"/>
  <c r="X116" i="4"/>
  <c r="U116" i="4"/>
  <c r="F116" i="4"/>
  <c r="AA115" i="4"/>
  <c r="X115" i="4"/>
  <c r="U115" i="4"/>
  <c r="S115" i="4"/>
  <c r="N115" i="4"/>
  <c r="I115" i="4"/>
  <c r="F115" i="4"/>
  <c r="AB119" i="4" l="1"/>
  <c r="AB117" i="4"/>
  <c r="AB118" i="4"/>
  <c r="AB122" i="4"/>
  <c r="AB116" i="4"/>
  <c r="AB121" i="4"/>
  <c r="AB120" i="4"/>
  <c r="AB115" i="4"/>
  <c r="AB114" i="4"/>
  <c r="AA107" i="4"/>
  <c r="X107" i="4"/>
  <c r="U107" i="4"/>
  <c r="AB107" i="4" s="1"/>
  <c r="S107" i="4"/>
  <c r="P107" i="4"/>
  <c r="F107" i="4"/>
  <c r="AD122" i="4" l="1"/>
  <c r="AA99" i="4"/>
  <c r="X99" i="4"/>
  <c r="U99" i="4"/>
  <c r="S99" i="4"/>
  <c r="N99" i="4"/>
  <c r="I99" i="4"/>
  <c r="F99" i="4"/>
  <c r="AA101" i="4"/>
  <c r="X101" i="4"/>
  <c r="U101" i="4"/>
  <c r="S101" i="4"/>
  <c r="N101" i="4"/>
  <c r="I101" i="4"/>
  <c r="F101" i="4"/>
  <c r="AA100" i="4"/>
  <c r="X100" i="4"/>
  <c r="U100" i="4"/>
  <c r="S100" i="4"/>
  <c r="N100" i="4"/>
  <c r="I100" i="4"/>
  <c r="F100" i="4"/>
  <c r="AA98" i="4"/>
  <c r="X98" i="4"/>
  <c r="U98" i="4"/>
  <c r="S98" i="4"/>
  <c r="N98" i="4"/>
  <c r="I98" i="4"/>
  <c r="F98" i="4"/>
  <c r="AA97" i="4"/>
  <c r="X97" i="4"/>
  <c r="U97" i="4"/>
  <c r="S97" i="4"/>
  <c r="N97" i="4"/>
  <c r="I97" i="4"/>
  <c r="F97" i="4"/>
  <c r="AA96" i="4"/>
  <c r="X96" i="4"/>
  <c r="U96" i="4"/>
  <c r="S96" i="4"/>
  <c r="N96" i="4"/>
  <c r="I96" i="4"/>
  <c r="F96" i="4"/>
  <c r="AA95" i="4"/>
  <c r="X95" i="4"/>
  <c r="U95" i="4"/>
  <c r="S95" i="4"/>
  <c r="N95" i="4"/>
  <c r="I95" i="4"/>
  <c r="F95" i="4"/>
  <c r="AA94" i="4"/>
  <c r="X94" i="4"/>
  <c r="U94" i="4"/>
  <c r="S94" i="4"/>
  <c r="N94" i="4"/>
  <c r="I94" i="4"/>
  <c r="F94" i="4"/>
  <c r="AA93" i="4"/>
  <c r="X93" i="4"/>
  <c r="U93" i="4"/>
  <c r="S93" i="4"/>
  <c r="P93" i="4"/>
  <c r="I93" i="4"/>
  <c r="F93" i="4"/>
  <c r="AB98" i="4" l="1"/>
  <c r="AB94" i="4"/>
  <c r="AB96" i="4"/>
  <c r="AB99" i="4"/>
  <c r="AB97" i="4"/>
  <c r="AB95" i="4"/>
  <c r="AB101" i="4"/>
  <c r="AB100" i="4"/>
  <c r="AB93" i="4"/>
  <c r="AA83" i="4"/>
  <c r="X83" i="4"/>
  <c r="U83" i="4"/>
  <c r="S83" i="4"/>
  <c r="P83" i="4"/>
  <c r="N83" i="4"/>
  <c r="K83" i="4"/>
  <c r="I83" i="4"/>
  <c r="F83" i="4"/>
  <c r="AA82" i="4"/>
  <c r="X82" i="4"/>
  <c r="S82" i="4"/>
  <c r="P82" i="4"/>
  <c r="N82" i="4"/>
  <c r="K82" i="4"/>
  <c r="I82" i="4"/>
  <c r="F82" i="4"/>
  <c r="I81" i="4"/>
  <c r="F81" i="4"/>
  <c r="AA80" i="4"/>
  <c r="X80" i="4"/>
  <c r="U80" i="4"/>
  <c r="S80" i="4"/>
  <c r="P80" i="4"/>
  <c r="I80" i="4"/>
  <c r="F80" i="4"/>
  <c r="AD101" i="4" l="1"/>
  <c r="AB83" i="4"/>
  <c r="AB82" i="4"/>
  <c r="AB80" i="4"/>
  <c r="AA7" i="4"/>
  <c r="X7" i="4"/>
  <c r="U7" i="4"/>
  <c r="S7" i="4"/>
  <c r="P7" i="4"/>
  <c r="N7" i="4"/>
  <c r="K7" i="4"/>
  <c r="I7" i="4"/>
  <c r="F7" i="4"/>
  <c r="AA6" i="4"/>
  <c r="X6" i="4"/>
  <c r="U6" i="4"/>
  <c r="S6" i="4"/>
  <c r="P6" i="4"/>
  <c r="N6" i="4"/>
  <c r="K6" i="4"/>
  <c r="I6" i="4"/>
  <c r="F6" i="4"/>
  <c r="AA5" i="4"/>
  <c r="X5" i="4"/>
  <c r="U5" i="4"/>
  <c r="S5" i="4"/>
  <c r="P5" i="4"/>
  <c r="N5" i="4"/>
  <c r="K5" i="4"/>
  <c r="I5" i="4"/>
  <c r="F5" i="4"/>
  <c r="AA4" i="4"/>
  <c r="X4" i="4"/>
  <c r="U4" i="4"/>
  <c r="S4" i="4"/>
  <c r="P4" i="4"/>
  <c r="N4" i="4"/>
  <c r="K4" i="4"/>
  <c r="I4" i="4"/>
  <c r="F4" i="4"/>
  <c r="AB7" i="4" l="1"/>
  <c r="AB4" i="4"/>
  <c r="AB5" i="4"/>
  <c r="AB6" i="4"/>
  <c r="AA10" i="4"/>
  <c r="X10" i="4"/>
  <c r="U10" i="4"/>
  <c r="S10" i="4"/>
  <c r="P10" i="4"/>
  <c r="N10" i="4"/>
  <c r="K10" i="4"/>
  <c r="I10" i="4"/>
  <c r="AB10" i="4" s="1"/>
  <c r="F10" i="4"/>
  <c r="AA13" i="4"/>
  <c r="X13" i="4"/>
  <c r="U13" i="4"/>
  <c r="S13" i="4"/>
  <c r="P13" i="4"/>
  <c r="N13" i="4"/>
  <c r="K13" i="4"/>
  <c r="F13" i="4"/>
  <c r="AB13" i="4" l="1"/>
  <c r="I76" i="4"/>
  <c r="F76" i="4"/>
  <c r="AA55" i="4" l="1"/>
  <c r="X55" i="4"/>
  <c r="U55" i="4"/>
  <c r="S55" i="4"/>
  <c r="N55" i="4"/>
  <c r="I55" i="4"/>
  <c r="F55" i="4"/>
  <c r="F56" i="4"/>
  <c r="I56" i="4"/>
  <c r="N56" i="4"/>
  <c r="S56" i="4"/>
  <c r="U56" i="4"/>
  <c r="X56" i="4"/>
  <c r="AA56" i="4"/>
  <c r="AB56" i="4" l="1"/>
  <c r="AB55" i="4"/>
  <c r="I45" i="4"/>
  <c r="F53" i="4" l="1"/>
  <c r="I53" i="4"/>
  <c r="N53" i="4"/>
  <c r="S53" i="4"/>
  <c r="U53" i="4"/>
  <c r="X53" i="4"/>
  <c r="AA53" i="4"/>
  <c r="I54" i="4"/>
  <c r="I52" i="4"/>
  <c r="I51" i="4"/>
  <c r="I50" i="4"/>
  <c r="I49" i="4"/>
  <c r="F42" i="4"/>
  <c r="AB53" i="4" l="1"/>
  <c r="AA52" i="4"/>
  <c r="X52" i="4"/>
  <c r="U52" i="4"/>
  <c r="S52" i="4"/>
  <c r="N52" i="4"/>
  <c r="AB52" i="4" s="1"/>
  <c r="F52" i="4"/>
  <c r="AA51" i="4"/>
  <c r="X51" i="4"/>
  <c r="U51" i="4"/>
  <c r="S51" i="4"/>
  <c r="N51" i="4"/>
  <c r="F51" i="4"/>
  <c r="AA50" i="4"/>
  <c r="X50" i="4"/>
  <c r="U50" i="4"/>
  <c r="S50" i="4"/>
  <c r="N50" i="4"/>
  <c r="F50" i="4"/>
  <c r="AA49" i="4"/>
  <c r="X49" i="4"/>
  <c r="U49" i="4"/>
  <c r="S49" i="4"/>
  <c r="N49" i="4"/>
  <c r="F49" i="4"/>
  <c r="AA48" i="4"/>
  <c r="X48" i="4"/>
  <c r="U48" i="4"/>
  <c r="S48" i="4"/>
  <c r="N48" i="4"/>
  <c r="F48" i="4"/>
  <c r="AB51" i="4" l="1"/>
  <c r="AB50" i="4"/>
  <c r="AB49" i="4"/>
  <c r="AB48" i="4"/>
  <c r="AA54" i="4"/>
  <c r="X54" i="4"/>
  <c r="U54" i="4"/>
  <c r="S54" i="4"/>
  <c r="N54" i="4"/>
  <c r="F54" i="4"/>
  <c r="AA47" i="4"/>
  <c r="X47" i="4"/>
  <c r="U47" i="4"/>
  <c r="S47" i="4"/>
  <c r="N47" i="4"/>
  <c r="F47" i="4"/>
  <c r="AA46" i="4"/>
  <c r="X46" i="4"/>
  <c r="U46" i="4"/>
  <c r="S46" i="4"/>
  <c r="N46" i="4"/>
  <c r="I46" i="4"/>
  <c r="F46" i="4"/>
  <c r="AA45" i="4"/>
  <c r="X45" i="4"/>
  <c r="U45" i="4"/>
  <c r="S45" i="4"/>
  <c r="N45" i="4"/>
  <c r="F45" i="4"/>
  <c r="AA44" i="4"/>
  <c r="X44" i="4"/>
  <c r="U44" i="4"/>
  <c r="S44" i="4"/>
  <c r="N44" i="4"/>
  <c r="I44" i="4"/>
  <c r="F44" i="4"/>
  <c r="AA43" i="4"/>
  <c r="X43" i="4"/>
  <c r="U43" i="4"/>
  <c r="S43" i="4"/>
  <c r="N43" i="4"/>
  <c r="F43" i="4"/>
  <c r="AA42" i="4"/>
  <c r="X42" i="4"/>
  <c r="U42" i="4"/>
  <c r="S42" i="4"/>
  <c r="N42" i="4"/>
  <c r="AA41" i="4"/>
  <c r="X41" i="4"/>
  <c r="U41" i="4"/>
  <c r="S41" i="4"/>
  <c r="N41" i="4"/>
  <c r="F41" i="4"/>
  <c r="AA40" i="4"/>
  <c r="X40" i="4"/>
  <c r="U40" i="4"/>
  <c r="S40" i="4"/>
  <c r="N40" i="4"/>
  <c r="I40" i="4"/>
  <c r="F40" i="4"/>
  <c r="AA39" i="4"/>
  <c r="X39" i="4"/>
  <c r="U39" i="4"/>
  <c r="S39" i="4"/>
  <c r="N39" i="4"/>
  <c r="I39" i="4"/>
  <c r="F39" i="4"/>
  <c r="AA38" i="4"/>
  <c r="X38" i="4"/>
  <c r="U38" i="4"/>
  <c r="S38" i="4"/>
  <c r="I38" i="4"/>
  <c r="F38" i="4"/>
  <c r="AA37" i="4"/>
  <c r="X37" i="4"/>
  <c r="U37" i="4"/>
  <c r="S37" i="4"/>
  <c r="N37" i="4"/>
  <c r="F37" i="4"/>
  <c r="AA36" i="4"/>
  <c r="X36" i="4"/>
  <c r="U36" i="4"/>
  <c r="S36" i="4"/>
  <c r="N36" i="4"/>
  <c r="I36" i="4"/>
  <c r="F36" i="4"/>
  <c r="AA35" i="4"/>
  <c r="X35" i="4"/>
  <c r="U35" i="4"/>
  <c r="S35" i="4"/>
  <c r="N35" i="4"/>
  <c r="I35" i="4"/>
  <c r="F35" i="4"/>
  <c r="AB54" i="4" l="1"/>
  <c r="AB39" i="4"/>
  <c r="AB44" i="4"/>
  <c r="AB46" i="4"/>
  <c r="AB41" i="4"/>
  <c r="AB43" i="4"/>
  <c r="AB40" i="4"/>
  <c r="AB42" i="4"/>
  <c r="AB45" i="4"/>
  <c r="AB37" i="4"/>
  <c r="AB36" i="4"/>
  <c r="AB38" i="4"/>
  <c r="AB47" i="4"/>
  <c r="AB35" i="4"/>
  <c r="AD56" i="4" l="1"/>
  <c r="AA34" i="4"/>
  <c r="X34" i="4"/>
  <c r="U34" i="4"/>
  <c r="S34" i="4"/>
  <c r="P34" i="4"/>
  <c r="N34" i="4"/>
  <c r="K34" i="4"/>
  <c r="I34" i="4"/>
  <c r="F34" i="4"/>
  <c r="AA33" i="4"/>
  <c r="X33" i="4"/>
  <c r="S33" i="4"/>
  <c r="P33" i="4"/>
  <c r="N33" i="4"/>
  <c r="K33" i="4"/>
  <c r="I33" i="4"/>
  <c r="F33" i="4"/>
  <c r="AB34" i="4" l="1"/>
  <c r="AB33" i="4"/>
  <c r="AA15" i="4"/>
  <c r="X15" i="4"/>
  <c r="U15" i="4"/>
  <c r="S15" i="4"/>
  <c r="N15" i="4"/>
  <c r="I15" i="4"/>
  <c r="F15" i="4"/>
  <c r="AB15" i="4" l="1"/>
  <c r="AA9" i="4"/>
  <c r="X9" i="4"/>
  <c r="U9" i="4"/>
  <c r="S9" i="4"/>
  <c r="P9" i="4"/>
  <c r="N9" i="4"/>
  <c r="K9" i="4"/>
  <c r="I9" i="4"/>
  <c r="F9" i="4"/>
  <c r="AA8" i="4"/>
  <c r="X8" i="4"/>
  <c r="S8" i="4"/>
  <c r="P8" i="4"/>
  <c r="N8" i="4"/>
  <c r="K8" i="4"/>
  <c r="I8" i="4"/>
  <c r="F8" i="4"/>
  <c r="AB9" i="4" l="1"/>
  <c r="AB8" i="4"/>
  <c r="AA76" i="4"/>
  <c r="X76" i="4"/>
  <c r="U76" i="4"/>
  <c r="S76" i="4"/>
  <c r="P76" i="4"/>
  <c r="N76" i="4"/>
  <c r="K76" i="4"/>
  <c r="AA75" i="4"/>
  <c r="X75" i="4"/>
  <c r="U75" i="4"/>
  <c r="S75" i="4"/>
  <c r="P75" i="4"/>
  <c r="N75" i="4"/>
  <c r="K75" i="4"/>
  <c r="I75" i="4"/>
  <c r="AA74" i="4"/>
  <c r="X74" i="4"/>
  <c r="U74" i="4"/>
  <c r="S74" i="4"/>
  <c r="P74" i="4"/>
  <c r="N74" i="4"/>
  <c r="K74" i="4"/>
  <c r="I74" i="4"/>
  <c r="AA73" i="4"/>
  <c r="X73" i="4"/>
  <c r="U73" i="4"/>
  <c r="S73" i="4"/>
  <c r="P73" i="4"/>
  <c r="N73" i="4"/>
  <c r="K73" i="4"/>
  <c r="I73" i="4"/>
  <c r="AA72" i="4"/>
  <c r="X72" i="4"/>
  <c r="U72" i="4"/>
  <c r="S72" i="4"/>
  <c r="P72" i="4"/>
  <c r="N72" i="4"/>
  <c r="K72" i="4"/>
  <c r="I72" i="4"/>
  <c r="AA71" i="4"/>
  <c r="X71" i="4"/>
  <c r="U71" i="4"/>
  <c r="S71" i="4"/>
  <c r="P71" i="4"/>
  <c r="N71" i="4"/>
  <c r="K71" i="4"/>
  <c r="I71" i="4"/>
  <c r="AA70" i="4"/>
  <c r="X70" i="4"/>
  <c r="U70" i="4"/>
  <c r="S70" i="4"/>
  <c r="P70" i="4"/>
  <c r="N70" i="4"/>
  <c r="K70" i="4"/>
  <c r="I70" i="4"/>
  <c r="AA69" i="4"/>
  <c r="X69" i="4"/>
  <c r="U69" i="4"/>
  <c r="S69" i="4"/>
  <c r="P69" i="4"/>
  <c r="N69" i="4"/>
  <c r="K69" i="4"/>
  <c r="I69" i="4"/>
  <c r="AA68" i="4"/>
  <c r="X68" i="4"/>
  <c r="U68" i="4"/>
  <c r="S68" i="4"/>
  <c r="P68" i="4"/>
  <c r="N68" i="4"/>
  <c r="K68" i="4"/>
  <c r="I68" i="4"/>
  <c r="AA67" i="4"/>
  <c r="X67" i="4"/>
  <c r="U67" i="4"/>
  <c r="S67" i="4"/>
  <c r="P67" i="4"/>
  <c r="N67" i="4"/>
  <c r="K67" i="4"/>
  <c r="AA66" i="4"/>
  <c r="X66" i="4"/>
  <c r="U66" i="4"/>
  <c r="S66" i="4"/>
  <c r="P66" i="4"/>
  <c r="N66" i="4"/>
  <c r="K66" i="4"/>
  <c r="I66" i="4"/>
  <c r="AA65" i="4"/>
  <c r="X65" i="4"/>
  <c r="U65" i="4"/>
  <c r="S65" i="4"/>
  <c r="P65" i="4"/>
  <c r="N65" i="4"/>
  <c r="K65" i="4"/>
  <c r="I65" i="4"/>
  <c r="AA64" i="4"/>
  <c r="X64" i="4"/>
  <c r="U64" i="4"/>
  <c r="S64" i="4"/>
  <c r="P64" i="4"/>
  <c r="N64" i="4"/>
  <c r="K64" i="4"/>
  <c r="I64" i="4"/>
  <c r="AA63" i="4"/>
  <c r="X63" i="4"/>
  <c r="U63" i="4"/>
  <c r="S63" i="4"/>
  <c r="P63" i="4"/>
  <c r="N63" i="4"/>
  <c r="K63" i="4"/>
  <c r="I63" i="4"/>
  <c r="AA62" i="4"/>
  <c r="X62" i="4"/>
  <c r="U62" i="4"/>
  <c r="S62" i="4"/>
  <c r="P62" i="4"/>
  <c r="N62" i="4"/>
  <c r="K62" i="4"/>
  <c r="I62" i="4"/>
  <c r="AA61" i="4"/>
  <c r="X61" i="4"/>
  <c r="U61" i="4"/>
  <c r="S61" i="4"/>
  <c r="P61" i="4"/>
  <c r="N61" i="4"/>
  <c r="K61" i="4"/>
  <c r="I61" i="4"/>
  <c r="AA60" i="4"/>
  <c r="X60" i="4"/>
  <c r="U60" i="4"/>
  <c r="S60" i="4"/>
  <c r="P60" i="4"/>
  <c r="N60" i="4"/>
  <c r="K60" i="4"/>
  <c r="I60" i="4"/>
  <c r="AA59" i="4"/>
  <c r="X59" i="4"/>
  <c r="U59" i="4"/>
  <c r="S59" i="4"/>
  <c r="P59" i="4"/>
  <c r="N59" i="4"/>
  <c r="K59" i="4"/>
  <c r="I59" i="4"/>
  <c r="AA58" i="4"/>
  <c r="X58" i="4"/>
  <c r="U58" i="4"/>
  <c r="S58" i="4"/>
  <c r="P58" i="4"/>
  <c r="N58" i="4"/>
  <c r="K58" i="4"/>
  <c r="I58" i="4"/>
  <c r="AA57" i="4"/>
  <c r="X57" i="4"/>
  <c r="U57" i="4"/>
  <c r="S57" i="4"/>
  <c r="P57" i="4"/>
  <c r="N57" i="4"/>
  <c r="K57" i="4"/>
  <c r="I57" i="4"/>
  <c r="AA32" i="4"/>
  <c r="X32" i="4"/>
  <c r="U32" i="4"/>
  <c r="S32" i="4"/>
  <c r="P32" i="4"/>
  <c r="N32" i="4"/>
  <c r="K32" i="4"/>
  <c r="I32" i="4"/>
  <c r="AA31" i="4"/>
  <c r="X31" i="4"/>
  <c r="U31" i="4"/>
  <c r="S31" i="4"/>
  <c r="P31" i="4"/>
  <c r="N31" i="4"/>
  <c r="K31" i="4"/>
  <c r="I31" i="4"/>
  <c r="AA30" i="4"/>
  <c r="X30" i="4"/>
  <c r="U30" i="4"/>
  <c r="S30" i="4"/>
  <c r="P30" i="4"/>
  <c r="N30" i="4"/>
  <c r="K30" i="4"/>
  <c r="I30" i="4"/>
  <c r="AA29" i="4"/>
  <c r="X29" i="4"/>
  <c r="U29" i="4"/>
  <c r="S29" i="4"/>
  <c r="P29" i="4"/>
  <c r="N29" i="4"/>
  <c r="K29" i="4"/>
  <c r="I29" i="4"/>
  <c r="AA28" i="4"/>
  <c r="X28" i="4"/>
  <c r="U28" i="4"/>
  <c r="S28" i="4"/>
  <c r="P28" i="4"/>
  <c r="N28" i="4"/>
  <c r="K28" i="4"/>
  <c r="I28" i="4"/>
  <c r="AA27" i="4"/>
  <c r="X27" i="4"/>
  <c r="U27" i="4"/>
  <c r="S27" i="4"/>
  <c r="P27" i="4"/>
  <c r="N27" i="4"/>
  <c r="K27" i="4"/>
  <c r="I27" i="4"/>
  <c r="AA26" i="4"/>
  <c r="X26" i="4"/>
  <c r="U26" i="4"/>
  <c r="S26" i="4"/>
  <c r="P26" i="4"/>
  <c r="N26" i="4"/>
  <c r="K26" i="4"/>
  <c r="I26" i="4"/>
  <c r="AA25" i="4"/>
  <c r="X25" i="4"/>
  <c r="U25" i="4"/>
  <c r="S25" i="4"/>
  <c r="P25" i="4"/>
  <c r="N25" i="4"/>
  <c r="K25" i="4"/>
  <c r="I25" i="4"/>
  <c r="AA24" i="4"/>
  <c r="X24" i="4"/>
  <c r="U24" i="4"/>
  <c r="S24" i="4"/>
  <c r="P24" i="4"/>
  <c r="N24" i="4"/>
  <c r="K24" i="4"/>
  <c r="I24" i="4"/>
  <c r="AA23" i="4"/>
  <c r="X23" i="4"/>
  <c r="U23" i="4"/>
  <c r="S23" i="4"/>
  <c r="P23" i="4"/>
  <c r="N23" i="4"/>
  <c r="K23" i="4"/>
  <c r="I23" i="4"/>
  <c r="AA22" i="4"/>
  <c r="X22" i="4"/>
  <c r="U22" i="4"/>
  <c r="S22" i="4"/>
  <c r="P22" i="4"/>
  <c r="N22" i="4"/>
  <c r="K22" i="4"/>
  <c r="AA21" i="4"/>
  <c r="X21" i="4"/>
  <c r="U21" i="4"/>
  <c r="S21" i="4"/>
  <c r="P21" i="4"/>
  <c r="N21" i="4"/>
  <c r="K21" i="4"/>
  <c r="I21" i="4"/>
  <c r="AA20" i="4"/>
  <c r="X20" i="4"/>
  <c r="U20" i="4"/>
  <c r="S20" i="4"/>
  <c r="P20" i="4"/>
  <c r="N20" i="4"/>
  <c r="K20" i="4"/>
  <c r="I20" i="4"/>
  <c r="AA19" i="4"/>
  <c r="X19" i="4"/>
  <c r="U19" i="4"/>
  <c r="S19" i="4"/>
  <c r="P19" i="4"/>
  <c r="N19" i="4"/>
  <c r="K19" i="4"/>
  <c r="I19" i="4"/>
  <c r="AA18" i="4"/>
  <c r="X18" i="4"/>
  <c r="U18" i="4"/>
  <c r="S18" i="4"/>
  <c r="P18" i="4"/>
  <c r="N18" i="4"/>
  <c r="K18" i="4"/>
  <c r="I18" i="4"/>
  <c r="AA17" i="4"/>
  <c r="X17" i="4"/>
  <c r="U17" i="4"/>
  <c r="S17" i="4"/>
  <c r="P17" i="4"/>
  <c r="N17" i="4"/>
  <c r="K17" i="4"/>
  <c r="I17" i="4"/>
  <c r="AA16" i="4"/>
  <c r="X16" i="4"/>
  <c r="U16" i="4"/>
  <c r="S16" i="4"/>
  <c r="P16" i="4"/>
  <c r="N16" i="4"/>
  <c r="K16" i="4"/>
  <c r="I16" i="4"/>
  <c r="AA14" i="4"/>
  <c r="X14" i="4"/>
  <c r="U14" i="4"/>
  <c r="S14" i="4"/>
  <c r="P14" i="4"/>
  <c r="N14" i="4"/>
  <c r="K14" i="4"/>
  <c r="I14" i="4"/>
  <c r="AA12" i="4"/>
  <c r="X12" i="4"/>
  <c r="U12" i="4"/>
  <c r="S12" i="4"/>
  <c r="P12" i="4"/>
  <c r="N12" i="4"/>
  <c r="K12" i="4"/>
  <c r="I12" i="4"/>
  <c r="AA11" i="4"/>
  <c r="X11" i="4"/>
  <c r="U11" i="4"/>
  <c r="S11" i="4"/>
  <c r="P11" i="4"/>
  <c r="N11" i="4"/>
  <c r="K11" i="4"/>
  <c r="I11" i="4"/>
  <c r="AA3" i="4"/>
  <c r="X3" i="4"/>
  <c r="U3" i="4"/>
  <c r="S3" i="4"/>
  <c r="P3" i="4"/>
  <c r="N3" i="4"/>
  <c r="K3" i="4"/>
  <c r="I3" i="4"/>
  <c r="AB3" i="4" l="1"/>
  <c r="AB11" i="4"/>
  <c r="AB12" i="4"/>
  <c r="AB14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F23" i="4" l="1"/>
  <c r="F22" i="4"/>
  <c r="F16" i="4" l="1"/>
  <c r="AA113" i="4" l="1"/>
  <c r="X113" i="4"/>
  <c r="U113" i="4"/>
  <c r="S113" i="4"/>
  <c r="P113" i="4"/>
  <c r="N113" i="4"/>
  <c r="K113" i="4"/>
  <c r="I113" i="4"/>
  <c r="F113" i="4"/>
  <c r="AA112" i="4"/>
  <c r="X112" i="4"/>
  <c r="U112" i="4"/>
  <c r="S112" i="4"/>
  <c r="P112" i="4"/>
  <c r="N112" i="4"/>
  <c r="K112" i="4"/>
  <c r="I112" i="4"/>
  <c r="F112" i="4"/>
  <c r="AA111" i="4"/>
  <c r="X111" i="4"/>
  <c r="U111" i="4"/>
  <c r="S111" i="4"/>
  <c r="P111" i="4"/>
  <c r="N111" i="4"/>
  <c r="K111" i="4"/>
  <c r="I111" i="4"/>
  <c r="F111" i="4"/>
  <c r="AA110" i="4"/>
  <c r="X110" i="4"/>
  <c r="U110" i="4"/>
  <c r="S110" i="4"/>
  <c r="P110" i="4"/>
  <c r="N110" i="4"/>
  <c r="K110" i="4"/>
  <c r="I110" i="4"/>
  <c r="F110" i="4"/>
  <c r="AA109" i="4"/>
  <c r="X109" i="4"/>
  <c r="U109" i="4"/>
  <c r="S109" i="4"/>
  <c r="P109" i="4"/>
  <c r="N109" i="4"/>
  <c r="K109" i="4"/>
  <c r="I109" i="4"/>
  <c r="F109" i="4"/>
  <c r="AA108" i="4"/>
  <c r="X108" i="4"/>
  <c r="U108" i="4"/>
  <c r="S108" i="4"/>
  <c r="AA106" i="4"/>
  <c r="X106" i="4"/>
  <c r="U106" i="4"/>
  <c r="S106" i="4"/>
  <c r="P106" i="4"/>
  <c r="N106" i="4"/>
  <c r="K106" i="4"/>
  <c r="I106" i="4"/>
  <c r="F106" i="4"/>
  <c r="AA105" i="4"/>
  <c r="X105" i="4"/>
  <c r="U105" i="4"/>
  <c r="S105" i="4"/>
  <c r="P105" i="4"/>
  <c r="N105" i="4"/>
  <c r="K105" i="4"/>
  <c r="I105" i="4"/>
  <c r="F105" i="4"/>
  <c r="AA104" i="4"/>
  <c r="X104" i="4"/>
  <c r="U104" i="4"/>
  <c r="S104" i="4"/>
  <c r="P104" i="4"/>
  <c r="N104" i="4"/>
  <c r="K104" i="4"/>
  <c r="I104" i="4"/>
  <c r="F104" i="4"/>
  <c r="AA103" i="4"/>
  <c r="X103" i="4"/>
  <c r="U103" i="4"/>
  <c r="S103" i="4"/>
  <c r="P103" i="4"/>
  <c r="N103" i="4"/>
  <c r="K103" i="4"/>
  <c r="I103" i="4"/>
  <c r="F103" i="4"/>
  <c r="AA102" i="4"/>
  <c r="X102" i="4"/>
  <c r="U102" i="4"/>
  <c r="S102" i="4"/>
  <c r="P102" i="4"/>
  <c r="N102" i="4"/>
  <c r="K102" i="4"/>
  <c r="I102" i="4"/>
  <c r="F102" i="4"/>
  <c r="AA92" i="4"/>
  <c r="X92" i="4"/>
  <c r="U92" i="4"/>
  <c r="S92" i="4"/>
  <c r="P92" i="4"/>
  <c r="N92" i="4"/>
  <c r="K92" i="4"/>
  <c r="I92" i="4"/>
  <c r="F92" i="4"/>
  <c r="AA91" i="4"/>
  <c r="X91" i="4"/>
  <c r="U91" i="4"/>
  <c r="S91" i="4"/>
  <c r="P91" i="4"/>
  <c r="N91" i="4"/>
  <c r="K91" i="4"/>
  <c r="I91" i="4"/>
  <c r="F91" i="4"/>
  <c r="AA90" i="4"/>
  <c r="X90" i="4"/>
  <c r="U90" i="4"/>
  <c r="S90" i="4"/>
  <c r="P90" i="4"/>
  <c r="N90" i="4"/>
  <c r="K90" i="4"/>
  <c r="I90" i="4"/>
  <c r="F90" i="4"/>
  <c r="AA89" i="4"/>
  <c r="X89" i="4"/>
  <c r="U89" i="4"/>
  <c r="S89" i="4"/>
  <c r="P89" i="4"/>
  <c r="N89" i="4"/>
  <c r="K89" i="4"/>
  <c r="I89" i="4"/>
  <c r="F89" i="4"/>
  <c r="AA88" i="4"/>
  <c r="X88" i="4"/>
  <c r="U88" i="4"/>
  <c r="S88" i="4"/>
  <c r="P88" i="4"/>
  <c r="N88" i="4"/>
  <c r="K88" i="4"/>
  <c r="I88" i="4"/>
  <c r="F88" i="4"/>
  <c r="AA87" i="4"/>
  <c r="X87" i="4"/>
  <c r="S87" i="4"/>
  <c r="P87" i="4"/>
  <c r="N87" i="4"/>
  <c r="K87" i="4"/>
  <c r="I87" i="4"/>
  <c r="F87" i="4"/>
  <c r="AA86" i="4"/>
  <c r="X86" i="4"/>
  <c r="U86" i="4"/>
  <c r="S86" i="4"/>
  <c r="P86" i="4"/>
  <c r="N86" i="4"/>
  <c r="K86" i="4"/>
  <c r="I86" i="4"/>
  <c r="F86" i="4"/>
  <c r="AA85" i="4"/>
  <c r="X85" i="4"/>
  <c r="U85" i="4"/>
  <c r="S85" i="4"/>
  <c r="P85" i="4"/>
  <c r="N85" i="4"/>
  <c r="K85" i="4"/>
  <c r="I85" i="4"/>
  <c r="F85" i="4"/>
  <c r="AA84" i="4"/>
  <c r="X84" i="4"/>
  <c r="U84" i="4"/>
  <c r="S84" i="4"/>
  <c r="P84" i="4"/>
  <c r="N84" i="4"/>
  <c r="K84" i="4"/>
  <c r="I84" i="4"/>
  <c r="F84" i="4"/>
  <c r="AA81" i="4"/>
  <c r="X81" i="4"/>
  <c r="U81" i="4"/>
  <c r="S81" i="4"/>
  <c r="P81" i="4"/>
  <c r="N81" i="4"/>
  <c r="K81" i="4"/>
  <c r="AA79" i="4"/>
  <c r="X79" i="4"/>
  <c r="U79" i="4"/>
  <c r="S79" i="4"/>
  <c r="P79" i="4"/>
  <c r="N79" i="4"/>
  <c r="K79" i="4"/>
  <c r="I79" i="4"/>
  <c r="F79" i="4"/>
  <c r="AA78" i="4"/>
  <c r="X78" i="4"/>
  <c r="U78" i="4"/>
  <c r="S78" i="4"/>
  <c r="P78" i="4"/>
  <c r="N78" i="4"/>
  <c r="K78" i="4"/>
  <c r="I78" i="4"/>
  <c r="F78" i="4"/>
  <c r="AA77" i="4"/>
  <c r="X77" i="4"/>
  <c r="U77" i="4"/>
  <c r="S77" i="4"/>
  <c r="P77" i="4"/>
  <c r="N77" i="4"/>
  <c r="K77" i="4"/>
  <c r="I77" i="4"/>
  <c r="F77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AB84" i="4" l="1"/>
  <c r="AB92" i="4"/>
  <c r="AB108" i="4"/>
  <c r="AB88" i="4"/>
  <c r="AB112" i="4"/>
  <c r="AB104" i="4"/>
  <c r="AB81" i="4"/>
  <c r="AB89" i="4"/>
  <c r="AB105" i="4"/>
  <c r="AB113" i="4"/>
  <c r="AB78" i="4"/>
  <c r="AB86" i="4"/>
  <c r="AB102" i="4"/>
  <c r="AB106" i="4"/>
  <c r="AB77" i="4"/>
  <c r="AB85" i="4"/>
  <c r="AB109" i="4"/>
  <c r="AB79" i="4"/>
  <c r="AB87" i="4"/>
  <c r="AB90" i="4"/>
  <c r="AB91" i="4"/>
  <c r="AB103" i="4"/>
  <c r="AB110" i="4"/>
  <c r="AB111" i="4"/>
  <c r="G586" i="7"/>
  <c r="F586" i="7"/>
  <c r="G585" i="7"/>
  <c r="I585" i="7" s="1"/>
  <c r="K585" i="7" s="1"/>
  <c r="F585" i="7"/>
  <c r="G584" i="7"/>
  <c r="F584" i="7"/>
  <c r="G583" i="7"/>
  <c r="I583" i="7" s="1"/>
  <c r="K583" i="7" s="1"/>
  <c r="F583" i="7"/>
  <c r="G582" i="7"/>
  <c r="F582" i="7"/>
  <c r="G581" i="7"/>
  <c r="I581" i="7" s="1"/>
  <c r="K581" i="7" s="1"/>
  <c r="F581" i="7"/>
  <c r="G580" i="7"/>
  <c r="F580" i="7"/>
  <c r="G579" i="7"/>
  <c r="I579" i="7" s="1"/>
  <c r="K579" i="7" s="1"/>
  <c r="F579" i="7"/>
  <c r="G578" i="7"/>
  <c r="F578" i="7"/>
  <c r="G577" i="7"/>
  <c r="I577" i="7" s="1"/>
  <c r="K577" i="7" s="1"/>
  <c r="F577" i="7"/>
  <c r="G576" i="7"/>
  <c r="F576" i="7"/>
  <c r="G575" i="7"/>
  <c r="I575" i="7" s="1"/>
  <c r="K575" i="7" s="1"/>
  <c r="F575" i="7"/>
  <c r="G574" i="7"/>
  <c r="F574" i="7"/>
  <c r="G573" i="7"/>
  <c r="I573" i="7" s="1"/>
  <c r="K573" i="7" s="1"/>
  <c r="F573" i="7"/>
  <c r="G572" i="7"/>
  <c r="F572" i="7"/>
  <c r="G571" i="7"/>
  <c r="I571" i="7" s="1"/>
  <c r="K571" i="7" s="1"/>
  <c r="F571" i="7"/>
  <c r="G570" i="7"/>
  <c r="F570" i="7"/>
  <c r="G569" i="7"/>
  <c r="I569" i="7" s="1"/>
  <c r="K569" i="7" s="1"/>
  <c r="F569" i="7"/>
  <c r="G568" i="7"/>
  <c r="F568" i="7"/>
  <c r="G567" i="7"/>
  <c r="I567" i="7" s="1"/>
  <c r="K567" i="7" s="1"/>
  <c r="F567" i="7"/>
  <c r="G566" i="7"/>
  <c r="F566" i="7"/>
  <c r="G565" i="7"/>
  <c r="I565" i="7" s="1"/>
  <c r="K565" i="7" s="1"/>
  <c r="F565" i="7"/>
  <c r="G564" i="7"/>
  <c r="F564" i="7"/>
  <c r="G563" i="7"/>
  <c r="I563" i="7" s="1"/>
  <c r="K563" i="7" s="1"/>
  <c r="F563" i="7"/>
  <c r="G562" i="7"/>
  <c r="F562" i="7"/>
  <c r="G561" i="7"/>
  <c r="I561" i="7" s="1"/>
  <c r="K561" i="7" s="1"/>
  <c r="F561" i="7"/>
  <c r="G560" i="7"/>
  <c r="F560" i="7"/>
  <c r="G559" i="7"/>
  <c r="I559" i="7" s="1"/>
  <c r="K559" i="7" s="1"/>
  <c r="F559" i="7"/>
  <c r="G558" i="7"/>
  <c r="F558" i="7"/>
  <c r="G557" i="7"/>
  <c r="I557" i="7" s="1"/>
  <c r="K557" i="7" s="1"/>
  <c r="F557" i="7"/>
  <c r="G556" i="7"/>
  <c r="F556" i="7"/>
  <c r="G555" i="7"/>
  <c r="I555" i="7" s="1"/>
  <c r="K555" i="7" s="1"/>
  <c r="F555" i="7"/>
  <c r="G554" i="7"/>
  <c r="F554" i="7"/>
  <c r="G553" i="7"/>
  <c r="I553" i="7" s="1"/>
  <c r="K553" i="7" s="1"/>
  <c r="F553" i="7"/>
  <c r="G552" i="7"/>
  <c r="F552" i="7"/>
  <c r="G551" i="7"/>
  <c r="I551" i="7" s="1"/>
  <c r="K551" i="7" s="1"/>
  <c r="F551" i="7"/>
  <c r="G550" i="7"/>
  <c r="F550" i="7"/>
  <c r="G549" i="7"/>
  <c r="F549" i="7"/>
  <c r="G548" i="7"/>
  <c r="F548" i="7"/>
  <c r="G547" i="7"/>
  <c r="F547" i="7"/>
  <c r="G546" i="7"/>
  <c r="F546" i="7"/>
  <c r="G545" i="7"/>
  <c r="I545" i="7" s="1"/>
  <c r="K545" i="7" s="1"/>
  <c r="F545" i="7"/>
  <c r="G544" i="7"/>
  <c r="F544" i="7"/>
  <c r="G543" i="7"/>
  <c r="I543" i="7" s="1"/>
  <c r="K543" i="7" s="1"/>
  <c r="F543" i="7"/>
  <c r="G542" i="7"/>
  <c r="F542" i="7"/>
  <c r="G541" i="7"/>
  <c r="F541" i="7"/>
  <c r="G540" i="7"/>
  <c r="F540" i="7"/>
  <c r="G539" i="7"/>
  <c r="I539" i="7" s="1"/>
  <c r="K539" i="7" s="1"/>
  <c r="F539" i="7"/>
  <c r="G538" i="7"/>
  <c r="F538" i="7"/>
  <c r="G537" i="7"/>
  <c r="I537" i="7" s="1"/>
  <c r="K537" i="7" s="1"/>
  <c r="F537" i="7"/>
  <c r="G536" i="7"/>
  <c r="F536" i="7"/>
  <c r="G535" i="7"/>
  <c r="I535" i="7" s="1"/>
  <c r="K535" i="7" s="1"/>
  <c r="F535" i="7"/>
  <c r="G534" i="7"/>
  <c r="F534" i="7"/>
  <c r="G533" i="7"/>
  <c r="F533" i="7"/>
  <c r="G532" i="7"/>
  <c r="F532" i="7"/>
  <c r="G531" i="7"/>
  <c r="I531" i="7" s="1"/>
  <c r="K531" i="7" s="1"/>
  <c r="F531" i="7"/>
  <c r="G530" i="7"/>
  <c r="F530" i="7"/>
  <c r="G529" i="7"/>
  <c r="I529" i="7" s="1"/>
  <c r="K529" i="7" s="1"/>
  <c r="F529" i="7"/>
  <c r="G528" i="7"/>
  <c r="F528" i="7"/>
  <c r="G527" i="7"/>
  <c r="I527" i="7" s="1"/>
  <c r="K527" i="7" s="1"/>
  <c r="F527" i="7"/>
  <c r="G526" i="7"/>
  <c r="F526" i="7"/>
  <c r="G525" i="7"/>
  <c r="F525" i="7"/>
  <c r="G524" i="7"/>
  <c r="F524" i="7"/>
  <c r="G523" i="7"/>
  <c r="I523" i="7" s="1"/>
  <c r="K523" i="7" s="1"/>
  <c r="F523" i="7"/>
  <c r="G522" i="7"/>
  <c r="F522" i="7"/>
  <c r="G521" i="7"/>
  <c r="I521" i="7" s="1"/>
  <c r="K521" i="7" s="1"/>
  <c r="F521" i="7"/>
  <c r="G520" i="7"/>
  <c r="F520" i="7"/>
  <c r="G519" i="7"/>
  <c r="F519" i="7"/>
  <c r="G518" i="7"/>
  <c r="F518" i="7"/>
  <c r="G517" i="7"/>
  <c r="F517" i="7"/>
  <c r="G516" i="7"/>
  <c r="F516" i="7"/>
  <c r="G515" i="7"/>
  <c r="I515" i="7" s="1"/>
  <c r="K515" i="7" s="1"/>
  <c r="F515" i="7"/>
  <c r="G514" i="7"/>
  <c r="F514" i="7"/>
  <c r="G513" i="7"/>
  <c r="I513" i="7" s="1"/>
  <c r="K513" i="7" s="1"/>
  <c r="F513" i="7"/>
  <c r="G512" i="7"/>
  <c r="F512" i="7"/>
  <c r="G511" i="7"/>
  <c r="I511" i="7" s="1"/>
  <c r="K511" i="7" s="1"/>
  <c r="F511" i="7"/>
  <c r="G510" i="7"/>
  <c r="F510" i="7"/>
  <c r="G509" i="7"/>
  <c r="F509" i="7"/>
  <c r="G508" i="7"/>
  <c r="F508" i="7"/>
  <c r="G507" i="7"/>
  <c r="I507" i="7" s="1"/>
  <c r="K507" i="7" s="1"/>
  <c r="F507" i="7"/>
  <c r="G506" i="7"/>
  <c r="F506" i="7"/>
  <c r="G505" i="7"/>
  <c r="I505" i="7" s="1"/>
  <c r="K505" i="7" s="1"/>
  <c r="F505" i="7"/>
  <c r="G504" i="7"/>
  <c r="F504" i="7"/>
  <c r="G503" i="7"/>
  <c r="I503" i="7" s="1"/>
  <c r="K503" i="7" s="1"/>
  <c r="F503" i="7"/>
  <c r="G502" i="7"/>
  <c r="F502" i="7"/>
  <c r="G501" i="7"/>
  <c r="I501" i="7" s="1"/>
  <c r="F501" i="7"/>
  <c r="G500" i="7"/>
  <c r="F500" i="7"/>
  <c r="G499" i="7"/>
  <c r="I499" i="7" s="1"/>
  <c r="K499" i="7" s="1"/>
  <c r="F499" i="7"/>
  <c r="G498" i="7"/>
  <c r="F498" i="7"/>
  <c r="G497" i="7"/>
  <c r="I497" i="7" s="1"/>
  <c r="K497" i="7" s="1"/>
  <c r="F497" i="7"/>
  <c r="G496" i="7"/>
  <c r="F496" i="7"/>
  <c r="G495" i="7"/>
  <c r="I495" i="7" s="1"/>
  <c r="K495" i="7" s="1"/>
  <c r="F495" i="7"/>
  <c r="G494" i="7"/>
  <c r="F494" i="7"/>
  <c r="G493" i="7"/>
  <c r="F493" i="7"/>
  <c r="G492" i="7"/>
  <c r="F492" i="7"/>
  <c r="G491" i="7"/>
  <c r="I491" i="7" s="1"/>
  <c r="K491" i="7" s="1"/>
  <c r="F491" i="7"/>
  <c r="G490" i="7"/>
  <c r="F490" i="7"/>
  <c r="G489" i="7"/>
  <c r="I489" i="7" s="1"/>
  <c r="K489" i="7" s="1"/>
  <c r="F489" i="7"/>
  <c r="G488" i="7"/>
  <c r="F488" i="7"/>
  <c r="G487" i="7"/>
  <c r="F487" i="7"/>
  <c r="G486" i="7"/>
  <c r="F486" i="7"/>
  <c r="G485" i="7"/>
  <c r="I485" i="7" s="1"/>
  <c r="F485" i="7"/>
  <c r="G484" i="7"/>
  <c r="F484" i="7"/>
  <c r="G483" i="7"/>
  <c r="I483" i="7" s="1"/>
  <c r="K483" i="7" s="1"/>
  <c r="F483" i="7"/>
  <c r="G482" i="7"/>
  <c r="F482" i="7"/>
  <c r="G481" i="7"/>
  <c r="I481" i="7" s="1"/>
  <c r="K481" i="7" s="1"/>
  <c r="F481" i="7"/>
  <c r="G480" i="7"/>
  <c r="F480" i="7"/>
  <c r="G479" i="7"/>
  <c r="I479" i="7" s="1"/>
  <c r="K479" i="7" s="1"/>
  <c r="F479" i="7"/>
  <c r="G478" i="7"/>
  <c r="F478" i="7"/>
  <c r="G477" i="7"/>
  <c r="I477" i="7" s="1"/>
  <c r="F477" i="7"/>
  <c r="G476" i="7"/>
  <c r="F476" i="7"/>
  <c r="G475" i="7"/>
  <c r="I475" i="7" s="1"/>
  <c r="K475" i="7" s="1"/>
  <c r="F475" i="7"/>
  <c r="G474" i="7"/>
  <c r="F474" i="7"/>
  <c r="G473" i="7"/>
  <c r="I473" i="7" s="1"/>
  <c r="K473" i="7" s="1"/>
  <c r="F473" i="7"/>
  <c r="G472" i="7"/>
  <c r="F472" i="7"/>
  <c r="G471" i="7"/>
  <c r="I471" i="7" s="1"/>
  <c r="K471" i="7" s="1"/>
  <c r="F471" i="7"/>
  <c r="G470" i="7"/>
  <c r="F470" i="7"/>
  <c r="G469" i="7"/>
  <c r="F469" i="7"/>
  <c r="G468" i="7"/>
  <c r="F468" i="7"/>
  <c r="G467" i="7"/>
  <c r="I467" i="7" s="1"/>
  <c r="K467" i="7" s="1"/>
  <c r="F467" i="7"/>
  <c r="G466" i="7"/>
  <c r="F466" i="7"/>
  <c r="G465" i="7"/>
  <c r="I465" i="7" s="1"/>
  <c r="K465" i="7" s="1"/>
  <c r="F465" i="7"/>
  <c r="G464" i="7"/>
  <c r="F464" i="7"/>
  <c r="G463" i="7"/>
  <c r="I463" i="7" s="1"/>
  <c r="K463" i="7" s="1"/>
  <c r="F463" i="7"/>
  <c r="G462" i="7"/>
  <c r="F462" i="7"/>
  <c r="G461" i="7"/>
  <c r="I461" i="7" s="1"/>
  <c r="F461" i="7"/>
  <c r="G460" i="7"/>
  <c r="F460" i="7"/>
  <c r="G459" i="7"/>
  <c r="I459" i="7" s="1"/>
  <c r="K459" i="7" s="1"/>
  <c r="F459" i="7"/>
  <c r="G458" i="7"/>
  <c r="F458" i="7"/>
  <c r="G457" i="7"/>
  <c r="I457" i="7" s="1"/>
  <c r="K457" i="7" s="1"/>
  <c r="F457" i="7"/>
  <c r="G456" i="7"/>
  <c r="F456" i="7"/>
  <c r="G455" i="7"/>
  <c r="I455" i="7" s="1"/>
  <c r="F455" i="7"/>
  <c r="G454" i="7"/>
  <c r="F454" i="7"/>
  <c r="G453" i="7"/>
  <c r="I453" i="7" s="1"/>
  <c r="F453" i="7"/>
  <c r="G452" i="7"/>
  <c r="F452" i="7"/>
  <c r="G451" i="7"/>
  <c r="I451" i="7" s="1"/>
  <c r="K451" i="7" s="1"/>
  <c r="F451" i="7"/>
  <c r="G450" i="7"/>
  <c r="F450" i="7"/>
  <c r="G449" i="7"/>
  <c r="I449" i="7" s="1"/>
  <c r="K449" i="7" s="1"/>
  <c r="F449" i="7"/>
  <c r="G448" i="7"/>
  <c r="F448" i="7"/>
  <c r="G447" i="7"/>
  <c r="I447" i="7" s="1"/>
  <c r="K447" i="7" s="1"/>
  <c r="F447" i="7"/>
  <c r="G446" i="7"/>
  <c r="F446" i="7"/>
  <c r="G445" i="7"/>
  <c r="F445" i="7"/>
  <c r="G444" i="7"/>
  <c r="F444" i="7"/>
  <c r="G443" i="7"/>
  <c r="I443" i="7" s="1"/>
  <c r="K443" i="7" s="1"/>
  <c r="F443" i="7"/>
  <c r="G442" i="7"/>
  <c r="F442" i="7"/>
  <c r="G441" i="7"/>
  <c r="I441" i="7" s="1"/>
  <c r="K441" i="7" s="1"/>
  <c r="F441" i="7"/>
  <c r="G440" i="7"/>
  <c r="F440" i="7"/>
  <c r="G439" i="7"/>
  <c r="I439" i="7" s="1"/>
  <c r="K439" i="7" s="1"/>
  <c r="F439" i="7"/>
  <c r="G438" i="7"/>
  <c r="F438" i="7"/>
  <c r="G437" i="7"/>
  <c r="F437" i="7"/>
  <c r="G436" i="7"/>
  <c r="F436" i="7"/>
  <c r="G435" i="7"/>
  <c r="I435" i="7" s="1"/>
  <c r="K435" i="7" s="1"/>
  <c r="F435" i="7"/>
  <c r="G434" i="7"/>
  <c r="F434" i="7"/>
  <c r="G433" i="7"/>
  <c r="I433" i="7" s="1"/>
  <c r="K433" i="7" s="1"/>
  <c r="F433" i="7"/>
  <c r="G432" i="7"/>
  <c r="F432" i="7"/>
  <c r="G431" i="7"/>
  <c r="I431" i="7" s="1"/>
  <c r="K431" i="7" s="1"/>
  <c r="F431" i="7"/>
  <c r="G430" i="7"/>
  <c r="I430" i="7" s="1"/>
  <c r="F430" i="7"/>
  <c r="G429" i="7"/>
  <c r="I429" i="7" s="1"/>
  <c r="K429" i="7" s="1"/>
  <c r="F429" i="7"/>
  <c r="G428" i="7"/>
  <c r="I428" i="7" s="1"/>
  <c r="F428" i="7"/>
  <c r="G427" i="7"/>
  <c r="F427" i="7"/>
  <c r="G426" i="7"/>
  <c r="I426" i="7" s="1"/>
  <c r="F426" i="7"/>
  <c r="G425" i="7"/>
  <c r="I425" i="7" s="1"/>
  <c r="F425" i="7"/>
  <c r="G424" i="7"/>
  <c r="F424" i="7"/>
  <c r="G423" i="7"/>
  <c r="I423" i="7" s="1"/>
  <c r="K423" i="7" s="1"/>
  <c r="F423" i="7"/>
  <c r="G422" i="7"/>
  <c r="F422" i="7"/>
  <c r="G421" i="7"/>
  <c r="I421" i="7" s="1"/>
  <c r="F421" i="7"/>
  <c r="G420" i="7"/>
  <c r="F420" i="7"/>
  <c r="G419" i="7"/>
  <c r="I419" i="7" s="1"/>
  <c r="K419" i="7" s="1"/>
  <c r="F419" i="7"/>
  <c r="G418" i="7"/>
  <c r="I418" i="7" s="1"/>
  <c r="F418" i="7"/>
  <c r="G417" i="7"/>
  <c r="I417" i="7" s="1"/>
  <c r="F417" i="7"/>
  <c r="G416" i="7"/>
  <c r="I416" i="7" s="1"/>
  <c r="F416" i="7"/>
  <c r="G415" i="7"/>
  <c r="I415" i="7" s="1"/>
  <c r="F415" i="7"/>
  <c r="G414" i="7"/>
  <c r="F414" i="7"/>
  <c r="G413" i="7"/>
  <c r="F413" i="7"/>
  <c r="G412" i="7"/>
  <c r="I412" i="7" s="1"/>
  <c r="F412" i="7"/>
  <c r="G411" i="7"/>
  <c r="F411" i="7"/>
  <c r="G410" i="7"/>
  <c r="F410" i="7"/>
  <c r="G409" i="7"/>
  <c r="I409" i="7" s="1"/>
  <c r="F409" i="7"/>
  <c r="G408" i="7"/>
  <c r="I408" i="7" s="1"/>
  <c r="F408" i="7"/>
  <c r="G407" i="7"/>
  <c r="I407" i="7" s="1"/>
  <c r="F407" i="7"/>
  <c r="G406" i="7"/>
  <c r="F406" i="7"/>
  <c r="G405" i="7"/>
  <c r="F405" i="7"/>
  <c r="G404" i="7"/>
  <c r="I404" i="7" s="1"/>
  <c r="F404" i="7"/>
  <c r="G403" i="7"/>
  <c r="F403" i="7"/>
  <c r="G402" i="7"/>
  <c r="F402" i="7"/>
  <c r="G401" i="7"/>
  <c r="I401" i="7" s="1"/>
  <c r="F401" i="7"/>
  <c r="G400" i="7"/>
  <c r="I400" i="7" s="1"/>
  <c r="F400" i="7"/>
  <c r="G399" i="7"/>
  <c r="I399" i="7" s="1"/>
  <c r="F399" i="7"/>
  <c r="G398" i="7"/>
  <c r="F398" i="7"/>
  <c r="G397" i="7"/>
  <c r="F397" i="7"/>
  <c r="G396" i="7"/>
  <c r="I396" i="7" s="1"/>
  <c r="F396" i="7"/>
  <c r="G395" i="7"/>
  <c r="F395" i="7"/>
  <c r="G394" i="7"/>
  <c r="I394" i="7" s="1"/>
  <c r="F394" i="7"/>
  <c r="G393" i="7"/>
  <c r="I393" i="7" s="1"/>
  <c r="F393" i="7"/>
  <c r="G392" i="7"/>
  <c r="I392" i="7" s="1"/>
  <c r="F392" i="7"/>
  <c r="G391" i="7"/>
  <c r="I391" i="7" s="1"/>
  <c r="F391" i="7"/>
  <c r="G390" i="7"/>
  <c r="F390" i="7"/>
  <c r="G389" i="7"/>
  <c r="F389" i="7"/>
  <c r="G388" i="7"/>
  <c r="I388" i="7" s="1"/>
  <c r="F388" i="7"/>
  <c r="G387" i="7"/>
  <c r="F387" i="7"/>
  <c r="G386" i="7"/>
  <c r="F386" i="7"/>
  <c r="G385" i="7"/>
  <c r="I385" i="7" s="1"/>
  <c r="F385" i="7"/>
  <c r="G384" i="7"/>
  <c r="I384" i="7" s="1"/>
  <c r="F384" i="7"/>
  <c r="G383" i="7"/>
  <c r="F383" i="7"/>
  <c r="G382" i="7"/>
  <c r="F382" i="7"/>
  <c r="G381" i="7"/>
  <c r="F381" i="7"/>
  <c r="G380" i="7"/>
  <c r="I380" i="7" s="1"/>
  <c r="F380" i="7"/>
  <c r="G379" i="7"/>
  <c r="F379" i="7"/>
  <c r="G378" i="7"/>
  <c r="I378" i="7" s="1"/>
  <c r="F378" i="7"/>
  <c r="G377" i="7"/>
  <c r="I377" i="7" s="1"/>
  <c r="F377" i="7"/>
  <c r="G376" i="7"/>
  <c r="I376" i="7" s="1"/>
  <c r="F376" i="7"/>
  <c r="G375" i="7"/>
  <c r="F375" i="7"/>
  <c r="G374" i="7"/>
  <c r="F374" i="7"/>
  <c r="G373" i="7"/>
  <c r="F373" i="7"/>
  <c r="G372" i="7"/>
  <c r="I372" i="7" s="1"/>
  <c r="F372" i="7"/>
  <c r="G371" i="7"/>
  <c r="F371" i="7"/>
  <c r="G370" i="7"/>
  <c r="F370" i="7"/>
  <c r="G369" i="7"/>
  <c r="I369" i="7" s="1"/>
  <c r="F369" i="7"/>
  <c r="G368" i="7"/>
  <c r="I368" i="7" s="1"/>
  <c r="F368" i="7"/>
  <c r="G367" i="7"/>
  <c r="I367" i="7" s="1"/>
  <c r="F367" i="7"/>
  <c r="G366" i="7"/>
  <c r="F366" i="7"/>
  <c r="G365" i="7"/>
  <c r="F365" i="7"/>
  <c r="G364" i="7"/>
  <c r="I364" i="7" s="1"/>
  <c r="F364" i="7"/>
  <c r="G363" i="7"/>
  <c r="F363" i="7"/>
  <c r="G362" i="7"/>
  <c r="I362" i="7" s="1"/>
  <c r="F362" i="7"/>
  <c r="G361" i="7"/>
  <c r="I361" i="7" s="1"/>
  <c r="F361" i="7"/>
  <c r="G360" i="7"/>
  <c r="I360" i="7" s="1"/>
  <c r="F360" i="7"/>
  <c r="G359" i="7"/>
  <c r="F359" i="7"/>
  <c r="G358" i="7"/>
  <c r="F358" i="7"/>
  <c r="G357" i="7"/>
  <c r="F357" i="7"/>
  <c r="G356" i="7"/>
  <c r="I356" i="7" s="1"/>
  <c r="F356" i="7"/>
  <c r="G355" i="7"/>
  <c r="F355" i="7"/>
  <c r="G354" i="7"/>
  <c r="I354" i="7" s="1"/>
  <c r="F354" i="7"/>
  <c r="G353" i="7"/>
  <c r="I353" i="7" s="1"/>
  <c r="F353" i="7"/>
  <c r="G352" i="7"/>
  <c r="I352" i="7" s="1"/>
  <c r="F352" i="7"/>
  <c r="G351" i="7"/>
  <c r="I351" i="7" s="1"/>
  <c r="F351" i="7"/>
  <c r="G350" i="7"/>
  <c r="F350" i="7"/>
  <c r="G349" i="7"/>
  <c r="F349" i="7"/>
  <c r="G348" i="7"/>
  <c r="I348" i="7" s="1"/>
  <c r="F348" i="7"/>
  <c r="G347" i="7"/>
  <c r="F347" i="7"/>
  <c r="G346" i="7"/>
  <c r="F346" i="7"/>
  <c r="G345" i="7"/>
  <c r="I345" i="7" s="1"/>
  <c r="F345" i="7"/>
  <c r="G344" i="7"/>
  <c r="I344" i="7" s="1"/>
  <c r="F344" i="7"/>
  <c r="G343" i="7"/>
  <c r="F343" i="7"/>
  <c r="G342" i="7"/>
  <c r="F342" i="7"/>
  <c r="G341" i="7"/>
  <c r="F341" i="7"/>
  <c r="G340" i="7"/>
  <c r="I340" i="7" s="1"/>
  <c r="F340" i="7"/>
  <c r="G339" i="7"/>
  <c r="F339" i="7"/>
  <c r="G338" i="7"/>
  <c r="F338" i="7"/>
  <c r="G337" i="7"/>
  <c r="I337" i="7" s="1"/>
  <c r="F337" i="7"/>
  <c r="G336" i="7"/>
  <c r="I336" i="7" s="1"/>
  <c r="F336" i="7"/>
  <c r="G335" i="7"/>
  <c r="I335" i="7" s="1"/>
  <c r="F335" i="7"/>
  <c r="G334" i="7"/>
  <c r="F334" i="7"/>
  <c r="G333" i="7"/>
  <c r="F333" i="7"/>
  <c r="G332" i="7"/>
  <c r="I332" i="7" s="1"/>
  <c r="F332" i="7"/>
  <c r="G331" i="7"/>
  <c r="F331" i="7"/>
  <c r="G330" i="7"/>
  <c r="F330" i="7"/>
  <c r="G329" i="7"/>
  <c r="I329" i="7" s="1"/>
  <c r="F329" i="7"/>
  <c r="G328" i="7"/>
  <c r="I328" i="7" s="1"/>
  <c r="F328" i="7"/>
  <c r="G327" i="7"/>
  <c r="I327" i="7" s="1"/>
  <c r="F327" i="7"/>
  <c r="G326" i="7"/>
  <c r="F326" i="7"/>
  <c r="G325" i="7"/>
  <c r="F325" i="7"/>
  <c r="G324" i="7"/>
  <c r="I324" i="7" s="1"/>
  <c r="F324" i="7"/>
  <c r="G323" i="7"/>
  <c r="F323" i="7"/>
  <c r="G322" i="7"/>
  <c r="F322" i="7"/>
  <c r="G321" i="7"/>
  <c r="I321" i="7" s="1"/>
  <c r="F321" i="7"/>
  <c r="G320" i="7"/>
  <c r="I320" i="7" s="1"/>
  <c r="F320" i="7"/>
  <c r="G319" i="7"/>
  <c r="F319" i="7"/>
  <c r="G318" i="7"/>
  <c r="F318" i="7"/>
  <c r="G317" i="7"/>
  <c r="F317" i="7"/>
  <c r="G316" i="7"/>
  <c r="I316" i="7" s="1"/>
  <c r="F316" i="7"/>
  <c r="G315" i="7"/>
  <c r="F315" i="7"/>
  <c r="G314" i="7"/>
  <c r="I314" i="7" s="1"/>
  <c r="F314" i="7"/>
  <c r="G313" i="7"/>
  <c r="I313" i="7" s="1"/>
  <c r="F313" i="7"/>
  <c r="G312" i="7"/>
  <c r="I312" i="7" s="1"/>
  <c r="F312" i="7"/>
  <c r="G311" i="7"/>
  <c r="F311" i="7"/>
  <c r="G310" i="7"/>
  <c r="F310" i="7"/>
  <c r="G309" i="7"/>
  <c r="F309" i="7"/>
  <c r="G308" i="7"/>
  <c r="I308" i="7" s="1"/>
  <c r="F308" i="7"/>
  <c r="G307" i="7"/>
  <c r="F307" i="7"/>
  <c r="G306" i="7"/>
  <c r="I306" i="7" s="1"/>
  <c r="F306" i="7"/>
  <c r="G305" i="7"/>
  <c r="I305" i="7" s="1"/>
  <c r="F305" i="7"/>
  <c r="G304" i="7"/>
  <c r="I304" i="7" s="1"/>
  <c r="F304" i="7"/>
  <c r="G303" i="7"/>
  <c r="F303" i="7"/>
  <c r="G302" i="7"/>
  <c r="F302" i="7"/>
  <c r="G301" i="7"/>
  <c r="F301" i="7"/>
  <c r="G300" i="7"/>
  <c r="I300" i="7" s="1"/>
  <c r="F300" i="7"/>
  <c r="G299" i="7"/>
  <c r="F299" i="7"/>
  <c r="G298" i="7"/>
  <c r="I298" i="7" s="1"/>
  <c r="F298" i="7"/>
  <c r="G297" i="7"/>
  <c r="I297" i="7" s="1"/>
  <c r="F297" i="7"/>
  <c r="G296" i="7"/>
  <c r="I296" i="7" s="1"/>
  <c r="F296" i="7"/>
  <c r="G295" i="7"/>
  <c r="F295" i="7"/>
  <c r="G294" i="7"/>
  <c r="F294" i="7"/>
  <c r="G293" i="7"/>
  <c r="F293" i="7"/>
  <c r="G292" i="7"/>
  <c r="I292" i="7" s="1"/>
  <c r="F292" i="7"/>
  <c r="G291" i="7"/>
  <c r="F291" i="7"/>
  <c r="G290" i="7"/>
  <c r="I290" i="7" s="1"/>
  <c r="F290" i="7"/>
  <c r="G289" i="7"/>
  <c r="I289" i="7" s="1"/>
  <c r="F289" i="7"/>
  <c r="G288" i="7"/>
  <c r="I288" i="7" s="1"/>
  <c r="F288" i="7"/>
  <c r="G287" i="7"/>
  <c r="F287" i="7"/>
  <c r="G286" i="7"/>
  <c r="F286" i="7"/>
  <c r="G285" i="7"/>
  <c r="F285" i="7"/>
  <c r="G284" i="7"/>
  <c r="F284" i="7"/>
  <c r="G283" i="7"/>
  <c r="I283" i="7" s="1"/>
  <c r="F283" i="7"/>
  <c r="G282" i="7"/>
  <c r="F282" i="7"/>
  <c r="G281" i="7"/>
  <c r="I281" i="7" s="1"/>
  <c r="K281" i="7" s="1"/>
  <c r="F281" i="7"/>
  <c r="G280" i="7"/>
  <c r="F280" i="7"/>
  <c r="G279" i="7"/>
  <c r="F279" i="7"/>
  <c r="G278" i="7"/>
  <c r="F278" i="7"/>
  <c r="G277" i="7"/>
  <c r="I277" i="7" s="1"/>
  <c r="F277" i="7"/>
  <c r="G276" i="7"/>
  <c r="F276" i="7"/>
  <c r="G275" i="7"/>
  <c r="F275" i="7"/>
  <c r="G274" i="7"/>
  <c r="F274" i="7"/>
  <c r="G273" i="7"/>
  <c r="I273" i="7" s="1"/>
  <c r="K273" i="7" s="1"/>
  <c r="F273" i="7"/>
  <c r="G272" i="7"/>
  <c r="F272" i="7"/>
  <c r="G271" i="7"/>
  <c r="F271" i="7"/>
  <c r="G270" i="7"/>
  <c r="F270" i="7"/>
  <c r="G269" i="7"/>
  <c r="F269" i="7"/>
  <c r="G268" i="7"/>
  <c r="F268" i="7"/>
  <c r="G267" i="7"/>
  <c r="F267" i="7"/>
  <c r="G266" i="7"/>
  <c r="F266" i="7"/>
  <c r="G265" i="7"/>
  <c r="I265" i="7" s="1"/>
  <c r="K265" i="7" s="1"/>
  <c r="F265" i="7"/>
  <c r="G264" i="7"/>
  <c r="F264" i="7"/>
  <c r="G263" i="7"/>
  <c r="F263" i="7"/>
  <c r="G262" i="7"/>
  <c r="F262" i="7"/>
  <c r="G261" i="7"/>
  <c r="I261" i="7" s="1"/>
  <c r="K261" i="7" s="1"/>
  <c r="F261" i="7"/>
  <c r="G260" i="7"/>
  <c r="F260" i="7"/>
  <c r="G259" i="7"/>
  <c r="I259" i="7" s="1"/>
  <c r="F259" i="7"/>
  <c r="G258" i="7"/>
  <c r="F258" i="7"/>
  <c r="G257" i="7"/>
  <c r="I257" i="7" s="1"/>
  <c r="K257" i="7" s="1"/>
  <c r="F257" i="7"/>
  <c r="G256" i="7"/>
  <c r="F256" i="7"/>
  <c r="G255" i="7"/>
  <c r="F255" i="7"/>
  <c r="G254" i="7"/>
  <c r="F254" i="7"/>
  <c r="G253" i="7"/>
  <c r="I253" i="7" s="1"/>
  <c r="K253" i="7" s="1"/>
  <c r="F253" i="7"/>
  <c r="G252" i="7"/>
  <c r="F252" i="7"/>
  <c r="G251" i="7"/>
  <c r="I251" i="7" s="1"/>
  <c r="F251" i="7"/>
  <c r="G250" i="7"/>
  <c r="F250" i="7"/>
  <c r="G249" i="7"/>
  <c r="I249" i="7" s="1"/>
  <c r="K249" i="7" s="1"/>
  <c r="F249" i="7"/>
  <c r="G248" i="7"/>
  <c r="F248" i="7"/>
  <c r="G247" i="7"/>
  <c r="F247" i="7"/>
  <c r="G246" i="7"/>
  <c r="F246" i="7"/>
  <c r="G245" i="7"/>
  <c r="I245" i="7" s="1"/>
  <c r="F245" i="7"/>
  <c r="G244" i="7"/>
  <c r="F244" i="7"/>
  <c r="G243" i="7"/>
  <c r="F243" i="7"/>
  <c r="G242" i="7"/>
  <c r="F242" i="7"/>
  <c r="G241" i="7"/>
  <c r="I241" i="7" s="1"/>
  <c r="K241" i="7" s="1"/>
  <c r="F241" i="7"/>
  <c r="G240" i="7"/>
  <c r="F240" i="7"/>
  <c r="G239" i="7"/>
  <c r="F239" i="7"/>
  <c r="G238" i="7"/>
  <c r="F238" i="7"/>
  <c r="G237" i="7"/>
  <c r="F237" i="7"/>
  <c r="G236" i="7"/>
  <c r="F236" i="7"/>
  <c r="G235" i="7"/>
  <c r="I235" i="7" s="1"/>
  <c r="F235" i="7"/>
  <c r="G234" i="7"/>
  <c r="F234" i="7"/>
  <c r="G233" i="7"/>
  <c r="I233" i="7" s="1"/>
  <c r="K233" i="7" s="1"/>
  <c r="F233" i="7"/>
  <c r="G232" i="7"/>
  <c r="F232" i="7"/>
  <c r="G231" i="7"/>
  <c r="F231" i="7"/>
  <c r="G230" i="7"/>
  <c r="F230" i="7"/>
  <c r="G229" i="7"/>
  <c r="I229" i="7" s="1"/>
  <c r="K229" i="7" s="1"/>
  <c r="F229" i="7"/>
  <c r="G228" i="7"/>
  <c r="F228" i="7"/>
  <c r="G227" i="7"/>
  <c r="I227" i="7" s="1"/>
  <c r="F227" i="7"/>
  <c r="G226" i="7"/>
  <c r="F226" i="7"/>
  <c r="G225" i="7"/>
  <c r="I225" i="7" s="1"/>
  <c r="K225" i="7" s="1"/>
  <c r="F225" i="7"/>
  <c r="G224" i="7"/>
  <c r="I224" i="7" s="1"/>
  <c r="K224" i="7" s="1"/>
  <c r="F224" i="7"/>
  <c r="G223" i="7"/>
  <c r="F223" i="7"/>
  <c r="G222" i="7"/>
  <c r="F222" i="7"/>
  <c r="G221" i="7"/>
  <c r="I221" i="7" s="1"/>
  <c r="F221" i="7"/>
  <c r="G220" i="7"/>
  <c r="I220" i="7" s="1"/>
  <c r="K220" i="7" s="1"/>
  <c r="F220" i="7"/>
  <c r="G219" i="7"/>
  <c r="I219" i="7" s="1"/>
  <c r="K219" i="7" s="1"/>
  <c r="F219" i="7"/>
  <c r="G218" i="7"/>
  <c r="I218" i="7" s="1"/>
  <c r="K218" i="7" s="1"/>
  <c r="F218" i="7"/>
  <c r="G217" i="7"/>
  <c r="I217" i="7" s="1"/>
  <c r="K217" i="7" s="1"/>
  <c r="F217" i="7"/>
  <c r="G216" i="7"/>
  <c r="I216" i="7" s="1"/>
  <c r="K216" i="7" s="1"/>
  <c r="F216" i="7"/>
  <c r="G215" i="7"/>
  <c r="I215" i="7" s="1"/>
  <c r="K215" i="7" s="1"/>
  <c r="F215" i="7"/>
  <c r="G214" i="7"/>
  <c r="I214" i="7" s="1"/>
  <c r="K214" i="7" s="1"/>
  <c r="F214" i="7"/>
  <c r="G213" i="7"/>
  <c r="I213" i="7" s="1"/>
  <c r="F213" i="7"/>
  <c r="G212" i="7"/>
  <c r="I212" i="7" s="1"/>
  <c r="K212" i="7" s="1"/>
  <c r="F212" i="7"/>
  <c r="G211" i="7"/>
  <c r="I211" i="7" s="1"/>
  <c r="F211" i="7"/>
  <c r="G210" i="7"/>
  <c r="I210" i="7" s="1"/>
  <c r="K210" i="7" s="1"/>
  <c r="F210" i="7"/>
  <c r="G209" i="7"/>
  <c r="I209" i="7" s="1"/>
  <c r="K209" i="7" s="1"/>
  <c r="F209" i="7"/>
  <c r="G208" i="7"/>
  <c r="I208" i="7" s="1"/>
  <c r="K208" i="7" s="1"/>
  <c r="F208" i="7"/>
  <c r="G207" i="7"/>
  <c r="I207" i="7" s="1"/>
  <c r="F207" i="7"/>
  <c r="G206" i="7"/>
  <c r="I206" i="7" s="1"/>
  <c r="K206" i="7" s="1"/>
  <c r="F206" i="7"/>
  <c r="G205" i="7"/>
  <c r="I205" i="7" s="1"/>
  <c r="F205" i="7"/>
  <c r="G204" i="7"/>
  <c r="I204" i="7" s="1"/>
  <c r="K204" i="7" s="1"/>
  <c r="F204" i="7"/>
  <c r="G203" i="7"/>
  <c r="I203" i="7" s="1"/>
  <c r="K203" i="7" s="1"/>
  <c r="F203" i="7"/>
  <c r="G202" i="7"/>
  <c r="I202" i="7" s="1"/>
  <c r="K202" i="7" s="1"/>
  <c r="F202" i="7"/>
  <c r="G201" i="7"/>
  <c r="I201" i="7" s="1"/>
  <c r="K201" i="7" s="1"/>
  <c r="F201" i="7"/>
  <c r="G200" i="7"/>
  <c r="F200" i="7"/>
  <c r="G199" i="7"/>
  <c r="I199" i="7" s="1"/>
  <c r="K199" i="7" s="1"/>
  <c r="F199" i="7"/>
  <c r="G198" i="7"/>
  <c r="F198" i="7"/>
  <c r="G197" i="7"/>
  <c r="I197" i="7" s="1"/>
  <c r="F197" i="7"/>
  <c r="G196" i="7"/>
  <c r="I196" i="7" s="1"/>
  <c r="K196" i="7" s="1"/>
  <c r="F196" i="7"/>
  <c r="G195" i="7"/>
  <c r="I195" i="7" s="1"/>
  <c r="K195" i="7" s="1"/>
  <c r="F195" i="7"/>
  <c r="G194" i="7"/>
  <c r="I194" i="7" s="1"/>
  <c r="K194" i="7" s="1"/>
  <c r="F194" i="7"/>
  <c r="G193" i="7"/>
  <c r="I193" i="7" s="1"/>
  <c r="K193" i="7" s="1"/>
  <c r="F193" i="7"/>
  <c r="G192" i="7"/>
  <c r="I192" i="7" s="1"/>
  <c r="K192" i="7" s="1"/>
  <c r="F192" i="7"/>
  <c r="G191" i="7"/>
  <c r="I191" i="7" s="1"/>
  <c r="F191" i="7"/>
  <c r="G190" i="7"/>
  <c r="F190" i="7"/>
  <c r="G189" i="7"/>
  <c r="I189" i="7" s="1"/>
  <c r="F189" i="7"/>
  <c r="G188" i="7"/>
  <c r="I188" i="7" s="1"/>
  <c r="K188" i="7" s="1"/>
  <c r="F188" i="7"/>
  <c r="G187" i="7"/>
  <c r="I187" i="7" s="1"/>
  <c r="K187" i="7" s="1"/>
  <c r="F187" i="7"/>
  <c r="G186" i="7"/>
  <c r="I186" i="7" s="1"/>
  <c r="K186" i="7" s="1"/>
  <c r="F186" i="7"/>
  <c r="G185" i="7"/>
  <c r="I185" i="7" s="1"/>
  <c r="K185" i="7" s="1"/>
  <c r="F185" i="7"/>
  <c r="G184" i="7"/>
  <c r="F184" i="7"/>
  <c r="G183" i="7"/>
  <c r="I183" i="7" s="1"/>
  <c r="K183" i="7" s="1"/>
  <c r="F183" i="7"/>
  <c r="G182" i="7"/>
  <c r="F182" i="7"/>
  <c r="G181" i="7"/>
  <c r="F181" i="7"/>
  <c r="G180" i="7"/>
  <c r="I180" i="7" s="1"/>
  <c r="K180" i="7" s="1"/>
  <c r="F180" i="7"/>
  <c r="G179" i="7"/>
  <c r="I179" i="7" s="1"/>
  <c r="F179" i="7"/>
  <c r="G178" i="7"/>
  <c r="I178" i="7" s="1"/>
  <c r="K178" i="7" s="1"/>
  <c r="F178" i="7"/>
  <c r="G177" i="7"/>
  <c r="I177" i="7" s="1"/>
  <c r="K177" i="7" s="1"/>
  <c r="F177" i="7"/>
  <c r="G176" i="7"/>
  <c r="I176" i="7" s="1"/>
  <c r="K176" i="7" s="1"/>
  <c r="F176" i="7"/>
  <c r="G175" i="7"/>
  <c r="I175" i="7" s="1"/>
  <c r="F175" i="7"/>
  <c r="G174" i="7"/>
  <c r="F174" i="7"/>
  <c r="G173" i="7"/>
  <c r="I173" i="7" s="1"/>
  <c r="F173" i="7"/>
  <c r="G172" i="7"/>
  <c r="I172" i="7" s="1"/>
  <c r="K172" i="7" s="1"/>
  <c r="F172" i="7"/>
  <c r="G171" i="7"/>
  <c r="I171" i="7" s="1"/>
  <c r="K171" i="7" s="1"/>
  <c r="F171" i="7"/>
  <c r="G170" i="7"/>
  <c r="I170" i="7" s="1"/>
  <c r="K170" i="7" s="1"/>
  <c r="F170" i="7"/>
  <c r="G169" i="7"/>
  <c r="I169" i="7" s="1"/>
  <c r="K169" i="7" s="1"/>
  <c r="F169" i="7"/>
  <c r="G168" i="7"/>
  <c r="F168" i="7"/>
  <c r="G167" i="7"/>
  <c r="I167" i="7" s="1"/>
  <c r="F167" i="7"/>
  <c r="G166" i="7"/>
  <c r="F166" i="7"/>
  <c r="G165" i="7"/>
  <c r="I165" i="7" s="1"/>
  <c r="F165" i="7"/>
  <c r="G164" i="7"/>
  <c r="I164" i="7" s="1"/>
  <c r="K164" i="7" s="1"/>
  <c r="F164" i="7"/>
  <c r="G163" i="7"/>
  <c r="F163" i="7"/>
  <c r="G162" i="7"/>
  <c r="I162" i="7" s="1"/>
  <c r="K162" i="7" s="1"/>
  <c r="F162" i="7"/>
  <c r="G161" i="7"/>
  <c r="F161" i="7"/>
  <c r="G160" i="7"/>
  <c r="I160" i="7" s="1"/>
  <c r="K160" i="7" s="1"/>
  <c r="F160" i="7"/>
  <c r="G159" i="7"/>
  <c r="I159" i="7" s="1"/>
  <c r="F159" i="7"/>
  <c r="G158" i="7"/>
  <c r="F158" i="7"/>
  <c r="G157" i="7"/>
  <c r="I157" i="7" s="1"/>
  <c r="F157" i="7"/>
  <c r="G156" i="7"/>
  <c r="I156" i="7" s="1"/>
  <c r="K156" i="7" s="1"/>
  <c r="F156" i="7"/>
  <c r="G155" i="7"/>
  <c r="I155" i="7" s="1"/>
  <c r="F155" i="7"/>
  <c r="G154" i="7"/>
  <c r="I154" i="7" s="1"/>
  <c r="K154" i="7" s="1"/>
  <c r="F154" i="7"/>
  <c r="G153" i="7"/>
  <c r="I153" i="7" s="1"/>
  <c r="F153" i="7"/>
  <c r="G152" i="7"/>
  <c r="F152" i="7"/>
  <c r="G151" i="7"/>
  <c r="I151" i="7" s="1"/>
  <c r="F151" i="7"/>
  <c r="G150" i="7"/>
  <c r="F150" i="7"/>
  <c r="G149" i="7"/>
  <c r="F149" i="7"/>
  <c r="G148" i="7"/>
  <c r="I148" i="7" s="1"/>
  <c r="K148" i="7" s="1"/>
  <c r="F148" i="7"/>
  <c r="G147" i="7"/>
  <c r="I147" i="7" s="1"/>
  <c r="F147" i="7"/>
  <c r="G146" i="7"/>
  <c r="I146" i="7" s="1"/>
  <c r="K146" i="7" s="1"/>
  <c r="F146" i="7"/>
  <c r="G145" i="7"/>
  <c r="F145" i="7"/>
  <c r="G144" i="7"/>
  <c r="I144" i="7" s="1"/>
  <c r="K144" i="7" s="1"/>
  <c r="F144" i="7"/>
  <c r="G143" i="7"/>
  <c r="F143" i="7"/>
  <c r="G142" i="7"/>
  <c r="I142" i="7" s="1"/>
  <c r="K142" i="7" s="1"/>
  <c r="F142" i="7"/>
  <c r="G141" i="7"/>
  <c r="F141" i="7"/>
  <c r="G140" i="7"/>
  <c r="I140" i="7" s="1"/>
  <c r="K140" i="7" s="1"/>
  <c r="F140" i="7"/>
  <c r="G139" i="7"/>
  <c r="I139" i="7" s="1"/>
  <c r="F139" i="7"/>
  <c r="G138" i="7"/>
  <c r="I138" i="7" s="1"/>
  <c r="K138" i="7" s="1"/>
  <c r="F138" i="7"/>
  <c r="G137" i="7"/>
  <c r="I137" i="7" s="1"/>
  <c r="F137" i="7"/>
  <c r="G136" i="7"/>
  <c r="F136" i="7"/>
  <c r="G135" i="7"/>
  <c r="I135" i="7" s="1"/>
  <c r="F135" i="7"/>
  <c r="G134" i="7"/>
  <c r="F134" i="7"/>
  <c r="G133" i="7"/>
  <c r="I133" i="7" s="1"/>
  <c r="F133" i="7"/>
  <c r="G132" i="7"/>
  <c r="I132" i="7" s="1"/>
  <c r="K132" i="7" s="1"/>
  <c r="F132" i="7"/>
  <c r="G131" i="7"/>
  <c r="F131" i="7"/>
  <c r="G130" i="7"/>
  <c r="I130" i="7" s="1"/>
  <c r="K130" i="7" s="1"/>
  <c r="F130" i="7"/>
  <c r="G129" i="7"/>
  <c r="F129" i="7"/>
  <c r="G128" i="7"/>
  <c r="I128" i="7" s="1"/>
  <c r="K128" i="7" s="1"/>
  <c r="F128" i="7"/>
  <c r="G127" i="7"/>
  <c r="I127" i="7" s="1"/>
  <c r="F127" i="7"/>
  <c r="G126" i="7"/>
  <c r="F126" i="7"/>
  <c r="G125" i="7"/>
  <c r="I125" i="7" s="1"/>
  <c r="F125" i="7"/>
  <c r="G124" i="7"/>
  <c r="I124" i="7" s="1"/>
  <c r="K124" i="7" s="1"/>
  <c r="F124" i="7"/>
  <c r="G123" i="7"/>
  <c r="I123" i="7" s="1"/>
  <c r="F123" i="7"/>
  <c r="G122" i="7"/>
  <c r="I122" i="7" s="1"/>
  <c r="K122" i="7" s="1"/>
  <c r="F122" i="7"/>
  <c r="G121" i="7"/>
  <c r="I121" i="7" s="1"/>
  <c r="F121" i="7"/>
  <c r="G120" i="7"/>
  <c r="F120" i="7"/>
  <c r="G119" i="7"/>
  <c r="I119" i="7" s="1"/>
  <c r="F119" i="7"/>
  <c r="G118" i="7"/>
  <c r="I118" i="7" s="1"/>
  <c r="K118" i="7" s="1"/>
  <c r="F118" i="7"/>
  <c r="G117" i="7"/>
  <c r="I117" i="7" s="1"/>
  <c r="F117" i="7"/>
  <c r="G116" i="7"/>
  <c r="I116" i="7" s="1"/>
  <c r="K116" i="7" s="1"/>
  <c r="F116" i="7"/>
  <c r="G115" i="7"/>
  <c r="F115" i="7"/>
  <c r="G114" i="7"/>
  <c r="I114" i="7" s="1"/>
  <c r="K114" i="7" s="1"/>
  <c r="F114" i="7"/>
  <c r="G113" i="7"/>
  <c r="F113" i="7"/>
  <c r="G112" i="7"/>
  <c r="I112" i="7" s="1"/>
  <c r="K112" i="7" s="1"/>
  <c r="F112" i="7"/>
  <c r="G111" i="7"/>
  <c r="I111" i="7" s="1"/>
  <c r="F111" i="7"/>
  <c r="G110" i="7"/>
  <c r="I110" i="7" s="1"/>
  <c r="F110" i="7"/>
  <c r="G109" i="7"/>
  <c r="I109" i="7" s="1"/>
  <c r="F109" i="7"/>
  <c r="G108" i="7"/>
  <c r="F108" i="7"/>
  <c r="G107" i="7"/>
  <c r="I107" i="7" s="1"/>
  <c r="F107" i="7"/>
  <c r="G106" i="7"/>
  <c r="I106" i="7" s="1"/>
  <c r="K106" i="7" s="1"/>
  <c r="F106" i="7"/>
  <c r="G105" i="7"/>
  <c r="I105" i="7" s="1"/>
  <c r="F105" i="7"/>
  <c r="G104" i="7"/>
  <c r="I104" i="7" s="1"/>
  <c r="K104" i="7" s="1"/>
  <c r="F104" i="7"/>
  <c r="G103" i="7"/>
  <c r="I103" i="7" s="1"/>
  <c r="F103" i="7"/>
  <c r="G102" i="7"/>
  <c r="I102" i="7" s="1"/>
  <c r="F102" i="7"/>
  <c r="G101" i="7"/>
  <c r="I101" i="7" s="1"/>
  <c r="K101" i="7" s="1"/>
  <c r="F101" i="7"/>
  <c r="G100" i="7"/>
  <c r="F100" i="7"/>
  <c r="G99" i="7"/>
  <c r="I99" i="7" s="1"/>
  <c r="F99" i="7"/>
  <c r="G98" i="7"/>
  <c r="F98" i="7"/>
  <c r="G97" i="7"/>
  <c r="F97" i="7"/>
  <c r="G96" i="7"/>
  <c r="F96" i="7"/>
  <c r="G95" i="7"/>
  <c r="I95" i="7" s="1"/>
  <c r="F95" i="7"/>
  <c r="G94" i="7"/>
  <c r="I94" i="7" s="1"/>
  <c r="K94" i="7" s="1"/>
  <c r="F94" i="7"/>
  <c r="G93" i="7"/>
  <c r="F93" i="7"/>
  <c r="G92" i="7"/>
  <c r="I92" i="7" s="1"/>
  <c r="K92" i="7" s="1"/>
  <c r="F92" i="7"/>
  <c r="G91" i="7"/>
  <c r="I91" i="7" s="1"/>
  <c r="K91" i="7" s="1"/>
  <c r="F91" i="7"/>
  <c r="G90" i="7"/>
  <c r="I90" i="7" s="1"/>
  <c r="F90" i="7"/>
  <c r="G89" i="7"/>
  <c r="I89" i="7" s="1"/>
  <c r="F89" i="7"/>
  <c r="G88" i="7"/>
  <c r="I88" i="7" s="1"/>
  <c r="F88" i="7"/>
  <c r="G87" i="7"/>
  <c r="I87" i="7" s="1"/>
  <c r="F87" i="7"/>
  <c r="G86" i="7"/>
  <c r="I86" i="7" s="1"/>
  <c r="K86" i="7" s="1"/>
  <c r="F86" i="7"/>
  <c r="G85" i="7"/>
  <c r="I85" i="7" s="1"/>
  <c r="K85" i="7" s="1"/>
  <c r="F85" i="7"/>
  <c r="G84" i="7"/>
  <c r="I84" i="7" s="1"/>
  <c r="F84" i="7"/>
  <c r="G83" i="7"/>
  <c r="I83" i="7" s="1"/>
  <c r="F83" i="7"/>
  <c r="G82" i="7"/>
  <c r="I82" i="7" s="1"/>
  <c r="F82" i="7"/>
  <c r="G81" i="7"/>
  <c r="I81" i="7" s="1"/>
  <c r="F81" i="7"/>
  <c r="G80" i="7"/>
  <c r="I80" i="7" s="1"/>
  <c r="K80" i="7" s="1"/>
  <c r="F80" i="7"/>
  <c r="G79" i="7"/>
  <c r="I79" i="7" s="1"/>
  <c r="F79" i="7"/>
  <c r="G78" i="7"/>
  <c r="I78" i="7" s="1"/>
  <c r="K78" i="7" s="1"/>
  <c r="F78" i="7"/>
  <c r="G77" i="7"/>
  <c r="I77" i="7" s="1"/>
  <c r="K77" i="7" s="1"/>
  <c r="F77" i="7"/>
  <c r="G76" i="7"/>
  <c r="I76" i="7" s="1"/>
  <c r="F76" i="7"/>
  <c r="G75" i="7"/>
  <c r="I75" i="7" s="1"/>
  <c r="F75" i="7"/>
  <c r="G74" i="7"/>
  <c r="I74" i="7" s="1"/>
  <c r="F74" i="7"/>
  <c r="G73" i="7"/>
  <c r="I73" i="7" s="1"/>
  <c r="F73" i="7"/>
  <c r="G72" i="7"/>
  <c r="F72" i="7"/>
  <c r="G71" i="7"/>
  <c r="I71" i="7" s="1"/>
  <c r="F71" i="7"/>
  <c r="G70" i="7"/>
  <c r="F70" i="7"/>
  <c r="G69" i="7"/>
  <c r="I69" i="7" s="1"/>
  <c r="F69" i="7"/>
  <c r="G68" i="7"/>
  <c r="F68" i="7"/>
  <c r="G67" i="7"/>
  <c r="I67" i="7" s="1"/>
  <c r="K67" i="7" s="1"/>
  <c r="F67" i="7"/>
  <c r="G66" i="7"/>
  <c r="F66" i="7"/>
  <c r="G65" i="7"/>
  <c r="I65" i="7" s="1"/>
  <c r="F65" i="7"/>
  <c r="G64" i="7"/>
  <c r="F64" i="7"/>
  <c r="G63" i="7"/>
  <c r="I63" i="7" s="1"/>
  <c r="K63" i="7" s="1"/>
  <c r="F63" i="7"/>
  <c r="G62" i="7"/>
  <c r="F62" i="7"/>
  <c r="G61" i="7"/>
  <c r="I61" i="7" s="1"/>
  <c r="F61" i="7"/>
  <c r="G60" i="7"/>
  <c r="F60" i="7"/>
  <c r="G59" i="7"/>
  <c r="I59" i="7" s="1"/>
  <c r="K59" i="7" s="1"/>
  <c r="F59" i="7"/>
  <c r="G58" i="7"/>
  <c r="F58" i="7"/>
  <c r="G57" i="7"/>
  <c r="F57" i="7"/>
  <c r="G56" i="7"/>
  <c r="F56" i="7"/>
  <c r="G55" i="7"/>
  <c r="I55" i="7" s="1"/>
  <c r="K55" i="7" s="1"/>
  <c r="F55" i="7"/>
  <c r="G54" i="7"/>
  <c r="I54" i="7" s="1"/>
  <c r="K54" i="7" s="1"/>
  <c r="F54" i="7"/>
  <c r="G53" i="7"/>
  <c r="I53" i="7" s="1"/>
  <c r="F53" i="7"/>
  <c r="G52" i="7"/>
  <c r="I52" i="7" s="1"/>
  <c r="F52" i="7"/>
  <c r="G51" i="7"/>
  <c r="F51" i="7"/>
  <c r="G50" i="7"/>
  <c r="F50" i="7"/>
  <c r="G49" i="7"/>
  <c r="I49" i="7" s="1"/>
  <c r="F49" i="7"/>
  <c r="G48" i="7"/>
  <c r="I48" i="7" s="1"/>
  <c r="F48" i="7"/>
  <c r="G47" i="7"/>
  <c r="I47" i="7" s="1"/>
  <c r="F47" i="7"/>
  <c r="G46" i="7"/>
  <c r="F46" i="7"/>
  <c r="G45" i="7"/>
  <c r="F45" i="7"/>
  <c r="G44" i="7"/>
  <c r="I44" i="7" s="1"/>
  <c r="F44" i="7"/>
  <c r="G43" i="7"/>
  <c r="I43" i="7" s="1"/>
  <c r="K43" i="7" s="1"/>
  <c r="F43" i="7"/>
  <c r="G42" i="7"/>
  <c r="I42" i="7" s="1"/>
  <c r="K42" i="7" s="1"/>
  <c r="F42" i="7"/>
  <c r="G41" i="7"/>
  <c r="F41" i="7"/>
  <c r="G40" i="7"/>
  <c r="F40" i="7"/>
  <c r="G39" i="7"/>
  <c r="I39" i="7" s="1"/>
  <c r="F39" i="7"/>
  <c r="G38" i="7"/>
  <c r="F38" i="7"/>
  <c r="G37" i="7"/>
  <c r="I37" i="7" s="1"/>
  <c r="K37" i="7" s="1"/>
  <c r="F37" i="7"/>
  <c r="G36" i="7"/>
  <c r="I36" i="7" s="1"/>
  <c r="K36" i="7" s="1"/>
  <c r="F36" i="7"/>
  <c r="G35" i="7"/>
  <c r="F35" i="7"/>
  <c r="G34" i="7"/>
  <c r="I34" i="7" s="1"/>
  <c r="K34" i="7" s="1"/>
  <c r="F34" i="7"/>
  <c r="G33" i="7"/>
  <c r="I33" i="7" s="1"/>
  <c r="K33" i="7" s="1"/>
  <c r="F33" i="7"/>
  <c r="G32" i="7"/>
  <c r="F32" i="7"/>
  <c r="G31" i="7"/>
  <c r="F31" i="7"/>
  <c r="G30" i="7"/>
  <c r="F30" i="7"/>
  <c r="G29" i="7"/>
  <c r="F29" i="7"/>
  <c r="G28" i="7"/>
  <c r="I28" i="7" s="1"/>
  <c r="K28" i="7" s="1"/>
  <c r="F28" i="7"/>
  <c r="G27" i="7"/>
  <c r="F27" i="7"/>
  <c r="G26" i="7"/>
  <c r="I26" i="7" s="1"/>
  <c r="K26" i="7" s="1"/>
  <c r="F26" i="7"/>
  <c r="G25" i="7"/>
  <c r="F25" i="7"/>
  <c r="G24" i="7"/>
  <c r="I24" i="7" s="1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I15" i="7" s="1"/>
  <c r="K15" i="7" s="1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K189" i="7" l="1"/>
  <c r="K99" i="7"/>
  <c r="K79" i="7"/>
  <c r="K69" i="7"/>
  <c r="K133" i="7"/>
  <c r="K221" i="7"/>
  <c r="K127" i="7"/>
  <c r="K211" i="7"/>
  <c r="I487" i="7"/>
  <c r="K487" i="7" s="1"/>
  <c r="I32" i="7"/>
  <c r="K32" i="7" s="1"/>
  <c r="K74" i="7"/>
  <c r="K83" i="7"/>
  <c r="K110" i="7"/>
  <c r="I134" i="7"/>
  <c r="K134" i="7" s="1"/>
  <c r="K61" i="7"/>
  <c r="K157" i="7"/>
  <c r="K245" i="7"/>
  <c r="I30" i="7"/>
  <c r="K30" i="7" s="1"/>
  <c r="K81" i="7"/>
  <c r="K87" i="7"/>
  <c r="K165" i="7"/>
  <c r="I493" i="7"/>
  <c r="K493" i="7" s="1"/>
  <c r="K24" i="7"/>
  <c r="K44" i="7"/>
  <c r="K65" i="7"/>
  <c r="I72" i="7"/>
  <c r="K72" i="7" s="1"/>
  <c r="K75" i="7"/>
  <c r="K207" i="7"/>
  <c r="I181" i="7"/>
  <c r="K181" i="7" s="1"/>
  <c r="I427" i="7"/>
  <c r="K427" i="7" s="1"/>
  <c r="I35" i="7"/>
  <c r="K35" i="7" s="1"/>
  <c r="I46" i="7"/>
  <c r="K46" i="7" s="1"/>
  <c r="I287" i="7"/>
  <c r="K287" i="7" s="1"/>
  <c r="I57" i="7"/>
  <c r="K57" i="7" s="1"/>
  <c r="I50" i="7"/>
  <c r="K50" i="7" s="1"/>
  <c r="I97" i="7"/>
  <c r="K97" i="7" s="1"/>
  <c r="K277" i="7"/>
  <c r="K71" i="7"/>
  <c r="K76" i="7"/>
  <c r="K88" i="7"/>
  <c r="I158" i="7"/>
  <c r="K158" i="7" s="1"/>
  <c r="K175" i="7"/>
  <c r="I200" i="7"/>
  <c r="K200" i="7" s="1"/>
  <c r="I222" i="7"/>
  <c r="K222" i="7" s="1"/>
  <c r="I285" i="7"/>
  <c r="K285" i="7" s="1"/>
  <c r="K418" i="7"/>
  <c r="K501" i="7"/>
  <c r="K428" i="7"/>
  <c r="I445" i="7"/>
  <c r="K445" i="7" s="1"/>
  <c r="K455" i="7"/>
  <c r="I126" i="7"/>
  <c r="K126" i="7" s="1"/>
  <c r="K159" i="7"/>
  <c r="K173" i="7"/>
  <c r="I237" i="7"/>
  <c r="K237" i="7" s="1"/>
  <c r="I269" i="7"/>
  <c r="K269" i="7" s="1"/>
  <c r="I469" i="7"/>
  <c r="K469" i="7" s="1"/>
  <c r="K39" i="7"/>
  <c r="K48" i="7"/>
  <c r="I2" i="7"/>
  <c r="K2" i="7" s="1"/>
  <c r="I4" i="7"/>
  <c r="K4" i="7" s="1"/>
  <c r="I6" i="7"/>
  <c r="K6" i="7" s="1"/>
  <c r="I8" i="7"/>
  <c r="K8" i="7" s="1"/>
  <c r="I10" i="7"/>
  <c r="K10" i="7" s="1"/>
  <c r="I12" i="7"/>
  <c r="K12" i="7" s="1"/>
  <c r="I14" i="7"/>
  <c r="K14" i="7" s="1"/>
  <c r="I16" i="7"/>
  <c r="K16" i="7" s="1"/>
  <c r="I19" i="7"/>
  <c r="K19" i="7" s="1"/>
  <c r="I21" i="7"/>
  <c r="K21" i="7" s="1"/>
  <c r="I3" i="7"/>
  <c r="K3" i="7" s="1"/>
  <c r="I5" i="7"/>
  <c r="K5" i="7" s="1"/>
  <c r="I7" i="7"/>
  <c r="K7" i="7" s="1"/>
  <c r="I9" i="7"/>
  <c r="K9" i="7" s="1"/>
  <c r="I11" i="7"/>
  <c r="K11" i="7" s="1"/>
  <c r="I13" i="7"/>
  <c r="K13" i="7" s="1"/>
  <c r="I17" i="7"/>
  <c r="K17" i="7" s="1"/>
  <c r="I18" i="7"/>
  <c r="K18" i="7" s="1"/>
  <c r="I20" i="7"/>
  <c r="K20" i="7" s="1"/>
  <c r="I22" i="7"/>
  <c r="K22" i="7" s="1"/>
  <c r="I190" i="7"/>
  <c r="K190" i="7" s="1"/>
  <c r="I51" i="7"/>
  <c r="K51" i="7" s="1"/>
  <c r="I184" i="7"/>
  <c r="K184" i="7" s="1"/>
  <c r="I373" i="7"/>
  <c r="K373" i="7" s="1"/>
  <c r="I383" i="7"/>
  <c r="K383" i="7" s="1"/>
  <c r="I243" i="7"/>
  <c r="K243" i="7" s="1"/>
  <c r="I370" i="7"/>
  <c r="K370" i="7" s="1"/>
  <c r="I31" i="7"/>
  <c r="K31" i="7" s="1"/>
  <c r="I40" i="7"/>
  <c r="K40" i="7" s="1"/>
  <c r="I23" i="7"/>
  <c r="K23" i="7" s="1"/>
  <c r="I143" i="7"/>
  <c r="K143" i="7" s="1"/>
  <c r="I198" i="7"/>
  <c r="K198" i="7" s="1"/>
  <c r="I349" i="7"/>
  <c r="K349" i="7" s="1"/>
  <c r="I64" i="7"/>
  <c r="K64" i="7" s="1"/>
  <c r="K95" i="7"/>
  <c r="K102" i="7"/>
  <c r="I108" i="7"/>
  <c r="K108" i="7" s="1"/>
  <c r="I168" i="7"/>
  <c r="K168" i="7" s="1"/>
  <c r="K283" i="7"/>
  <c r="I333" i="7"/>
  <c r="K333" i="7" s="1"/>
  <c r="I343" i="7"/>
  <c r="K343" i="7" s="1"/>
  <c r="I56" i="7"/>
  <c r="K56" i="7" s="1"/>
  <c r="I330" i="7"/>
  <c r="K330" i="7" s="1"/>
  <c r="K53" i="7"/>
  <c r="I70" i="7"/>
  <c r="K70" i="7" s="1"/>
  <c r="I62" i="7"/>
  <c r="K62" i="7" s="1"/>
  <c r="I45" i="7"/>
  <c r="K45" i="7" s="1"/>
  <c r="I267" i="7"/>
  <c r="K267" i="7" s="1"/>
  <c r="I29" i="7"/>
  <c r="K29" i="7" s="1"/>
  <c r="K84" i="7"/>
  <c r="K90" i="7"/>
  <c r="K227" i="7"/>
  <c r="I346" i="7"/>
  <c r="K346" i="7" s="1"/>
  <c r="I509" i="7"/>
  <c r="K509" i="7" s="1"/>
  <c r="K49" i="7"/>
  <c r="I60" i="7"/>
  <c r="K60" i="7" s="1"/>
  <c r="I68" i="7"/>
  <c r="K68" i="7" s="1"/>
  <c r="K251" i="7"/>
  <c r="K394" i="7"/>
  <c r="I397" i="7"/>
  <c r="K397" i="7" s="1"/>
  <c r="K407" i="7"/>
  <c r="I413" i="7"/>
  <c r="K413" i="7" s="1"/>
  <c r="I27" i="7"/>
  <c r="K27" i="7" s="1"/>
  <c r="I38" i="7"/>
  <c r="K38" i="7" s="1"/>
  <c r="I41" i="7"/>
  <c r="K41" i="7" s="1"/>
  <c r="I152" i="7"/>
  <c r="K152" i="7" s="1"/>
  <c r="I410" i="7"/>
  <c r="K410" i="7" s="1"/>
  <c r="K47" i="7"/>
  <c r="K52" i="7"/>
  <c r="I58" i="7"/>
  <c r="K58" i="7" s="1"/>
  <c r="I66" i="7"/>
  <c r="K66" i="7" s="1"/>
  <c r="K82" i="7"/>
  <c r="K235" i="7"/>
  <c r="I275" i="7"/>
  <c r="K275" i="7" s="1"/>
  <c r="I303" i="7"/>
  <c r="K303" i="7" s="1"/>
  <c r="K306" i="7"/>
  <c r="I309" i="7"/>
  <c r="K309" i="7" s="1"/>
  <c r="I319" i="7"/>
  <c r="K319" i="7" s="1"/>
  <c r="I25" i="7"/>
  <c r="K25" i="7" s="1"/>
  <c r="I149" i="7"/>
  <c r="K149" i="7" s="1"/>
  <c r="K259" i="7"/>
  <c r="K367" i="7"/>
  <c r="I93" i="7"/>
  <c r="K93" i="7" s="1"/>
  <c r="I182" i="7"/>
  <c r="K182" i="7" s="1"/>
  <c r="I325" i="7"/>
  <c r="K325" i="7" s="1"/>
  <c r="I389" i="7"/>
  <c r="K389" i="7" s="1"/>
  <c r="K73" i="7"/>
  <c r="I100" i="7"/>
  <c r="K100" i="7" s="1"/>
  <c r="I163" i="7"/>
  <c r="K163" i="7" s="1"/>
  <c r="K179" i="7"/>
  <c r="I295" i="7"/>
  <c r="K295" i="7" s="1"/>
  <c r="K298" i="7"/>
  <c r="I301" i="7"/>
  <c r="K301" i="7" s="1"/>
  <c r="I322" i="7"/>
  <c r="K322" i="7" s="1"/>
  <c r="K335" i="7"/>
  <c r="I359" i="7"/>
  <c r="K359" i="7" s="1"/>
  <c r="K362" i="7"/>
  <c r="I365" i="7"/>
  <c r="K365" i="7" s="1"/>
  <c r="I386" i="7"/>
  <c r="K386" i="7" s="1"/>
  <c r="K399" i="7"/>
  <c r="I341" i="7"/>
  <c r="K341" i="7" s="1"/>
  <c r="I405" i="7"/>
  <c r="K405" i="7" s="1"/>
  <c r="I141" i="7"/>
  <c r="K141" i="7" s="1"/>
  <c r="I174" i="7"/>
  <c r="K174" i="7" s="1"/>
  <c r="I231" i="7"/>
  <c r="K231" i="7" s="1"/>
  <c r="I239" i="7"/>
  <c r="K239" i="7" s="1"/>
  <c r="I247" i="7"/>
  <c r="K247" i="7" s="1"/>
  <c r="I255" i="7"/>
  <c r="K255" i="7" s="1"/>
  <c r="I263" i="7"/>
  <c r="K263" i="7" s="1"/>
  <c r="I271" i="7"/>
  <c r="K271" i="7" s="1"/>
  <c r="I279" i="7"/>
  <c r="K279" i="7" s="1"/>
  <c r="I311" i="7"/>
  <c r="K311" i="7" s="1"/>
  <c r="K314" i="7"/>
  <c r="I317" i="7"/>
  <c r="K317" i="7" s="1"/>
  <c r="I338" i="7"/>
  <c r="K338" i="7" s="1"/>
  <c r="K351" i="7"/>
  <c r="I375" i="7"/>
  <c r="K375" i="7" s="1"/>
  <c r="K378" i="7"/>
  <c r="I381" i="7"/>
  <c r="K381" i="7" s="1"/>
  <c r="I402" i="7"/>
  <c r="K402" i="7" s="1"/>
  <c r="K415" i="7"/>
  <c r="K421" i="7"/>
  <c r="I424" i="7"/>
  <c r="K424" i="7" s="1"/>
  <c r="K453" i="7"/>
  <c r="I223" i="7"/>
  <c r="K223" i="7" s="1"/>
  <c r="K290" i="7"/>
  <c r="I293" i="7"/>
  <c r="K293" i="7" s="1"/>
  <c r="K327" i="7"/>
  <c r="K354" i="7"/>
  <c r="I357" i="7"/>
  <c r="K357" i="7" s="1"/>
  <c r="K391" i="7"/>
  <c r="I437" i="7"/>
  <c r="K437" i="7" s="1"/>
  <c r="K288" i="7"/>
  <c r="K296" i="7"/>
  <c r="K304" i="7"/>
  <c r="K312" i="7"/>
  <c r="K320" i="7"/>
  <c r="K328" i="7"/>
  <c r="K336" i="7"/>
  <c r="K344" i="7"/>
  <c r="K352" i="7"/>
  <c r="K360" i="7"/>
  <c r="K368" i="7"/>
  <c r="K376" i="7"/>
  <c r="K384" i="7"/>
  <c r="K392" i="7"/>
  <c r="K400" i="7"/>
  <c r="K408" i="7"/>
  <c r="K416" i="7"/>
  <c r="K425" i="7"/>
  <c r="I98" i="7"/>
  <c r="K98" i="7" s="1"/>
  <c r="I166" i="7"/>
  <c r="K166" i="7" s="1"/>
  <c r="I96" i="7"/>
  <c r="K96" i="7" s="1"/>
  <c r="K111" i="7"/>
  <c r="K117" i="7"/>
  <c r="K125" i="7"/>
  <c r="I136" i="7"/>
  <c r="K136" i="7" s="1"/>
  <c r="I150" i="7"/>
  <c r="K150" i="7" s="1"/>
  <c r="K205" i="7"/>
  <c r="K213" i="7"/>
  <c r="I226" i="7"/>
  <c r="K226" i="7" s="1"/>
  <c r="I228" i="7"/>
  <c r="K228" i="7" s="1"/>
  <c r="I230" i="7"/>
  <c r="K230" i="7" s="1"/>
  <c r="I232" i="7"/>
  <c r="K232" i="7" s="1"/>
  <c r="I234" i="7"/>
  <c r="K234" i="7" s="1"/>
  <c r="I236" i="7"/>
  <c r="K236" i="7" s="1"/>
  <c r="I238" i="7"/>
  <c r="K238" i="7" s="1"/>
  <c r="I240" i="7"/>
  <c r="K240" i="7" s="1"/>
  <c r="I242" i="7"/>
  <c r="K242" i="7" s="1"/>
  <c r="I244" i="7"/>
  <c r="K244" i="7" s="1"/>
  <c r="I246" i="7"/>
  <c r="K246" i="7" s="1"/>
  <c r="I248" i="7"/>
  <c r="K248" i="7" s="1"/>
  <c r="I250" i="7"/>
  <c r="K250" i="7" s="1"/>
  <c r="I252" i="7"/>
  <c r="K252" i="7" s="1"/>
  <c r="I254" i="7"/>
  <c r="K254" i="7" s="1"/>
  <c r="I256" i="7"/>
  <c r="K256" i="7" s="1"/>
  <c r="I258" i="7"/>
  <c r="K258" i="7" s="1"/>
  <c r="I260" i="7"/>
  <c r="K260" i="7" s="1"/>
  <c r="I262" i="7"/>
  <c r="K262" i="7" s="1"/>
  <c r="I264" i="7"/>
  <c r="K264" i="7" s="1"/>
  <c r="I266" i="7"/>
  <c r="K266" i="7" s="1"/>
  <c r="I268" i="7"/>
  <c r="K268" i="7" s="1"/>
  <c r="I270" i="7"/>
  <c r="K270" i="7" s="1"/>
  <c r="I272" i="7"/>
  <c r="K272" i="7" s="1"/>
  <c r="I274" i="7"/>
  <c r="K274" i="7" s="1"/>
  <c r="I276" i="7"/>
  <c r="K276" i="7" s="1"/>
  <c r="I278" i="7"/>
  <c r="K278" i="7" s="1"/>
  <c r="I280" i="7"/>
  <c r="K280" i="7" s="1"/>
  <c r="I282" i="7"/>
  <c r="K282" i="7" s="1"/>
  <c r="I284" i="7"/>
  <c r="K284" i="7" s="1"/>
  <c r="I286" i="7"/>
  <c r="K286" i="7" s="1"/>
  <c r="I291" i="7"/>
  <c r="K291" i="7" s="1"/>
  <c r="I299" i="7"/>
  <c r="K299" i="7" s="1"/>
  <c r="I307" i="7"/>
  <c r="K307" i="7" s="1"/>
  <c r="I315" i="7"/>
  <c r="K315" i="7" s="1"/>
  <c r="I323" i="7"/>
  <c r="K323" i="7" s="1"/>
  <c r="I331" i="7"/>
  <c r="K331" i="7" s="1"/>
  <c r="I339" i="7"/>
  <c r="K339" i="7" s="1"/>
  <c r="I347" i="7"/>
  <c r="K347" i="7" s="1"/>
  <c r="I355" i="7"/>
  <c r="K355" i="7" s="1"/>
  <c r="I363" i="7"/>
  <c r="K363" i="7" s="1"/>
  <c r="I371" i="7"/>
  <c r="K371" i="7" s="1"/>
  <c r="I379" i="7"/>
  <c r="K379" i="7" s="1"/>
  <c r="I387" i="7"/>
  <c r="K387" i="7" s="1"/>
  <c r="I395" i="7"/>
  <c r="K395" i="7" s="1"/>
  <c r="I403" i="7"/>
  <c r="K403" i="7" s="1"/>
  <c r="I411" i="7"/>
  <c r="K411" i="7" s="1"/>
  <c r="K477" i="7"/>
  <c r="K89" i="7"/>
  <c r="K109" i="7"/>
  <c r="I120" i="7"/>
  <c r="K120" i="7" s="1"/>
  <c r="K191" i="7"/>
  <c r="K197" i="7"/>
  <c r="K289" i="7"/>
  <c r="I294" i="7"/>
  <c r="K294" i="7" s="1"/>
  <c r="K297" i="7"/>
  <c r="I302" i="7"/>
  <c r="K302" i="7" s="1"/>
  <c r="K305" i="7"/>
  <c r="I310" i="7"/>
  <c r="K310" i="7" s="1"/>
  <c r="K313" i="7"/>
  <c r="I318" i="7"/>
  <c r="K318" i="7" s="1"/>
  <c r="K321" i="7"/>
  <c r="I326" i="7"/>
  <c r="K326" i="7" s="1"/>
  <c r="K329" i="7"/>
  <c r="I334" i="7"/>
  <c r="K334" i="7" s="1"/>
  <c r="K337" i="7"/>
  <c r="I342" i="7"/>
  <c r="K342" i="7" s="1"/>
  <c r="K345" i="7"/>
  <c r="I350" i="7"/>
  <c r="K350" i="7" s="1"/>
  <c r="K353" i="7"/>
  <c r="I358" i="7"/>
  <c r="K358" i="7" s="1"/>
  <c r="K361" i="7"/>
  <c r="I366" i="7"/>
  <c r="K366" i="7" s="1"/>
  <c r="K369" i="7"/>
  <c r="I374" i="7"/>
  <c r="K374" i="7" s="1"/>
  <c r="K377" i="7"/>
  <c r="I382" i="7"/>
  <c r="K382" i="7" s="1"/>
  <c r="K385" i="7"/>
  <c r="I390" i="7"/>
  <c r="K390" i="7" s="1"/>
  <c r="K393" i="7"/>
  <c r="I398" i="7"/>
  <c r="K398" i="7" s="1"/>
  <c r="K401" i="7"/>
  <c r="I406" i="7"/>
  <c r="K406" i="7" s="1"/>
  <c r="K409" i="7"/>
  <c r="I414" i="7"/>
  <c r="K414" i="7" s="1"/>
  <c r="K417" i="7"/>
  <c r="K461" i="7"/>
  <c r="K485" i="7"/>
  <c r="I533" i="7"/>
  <c r="K533" i="7" s="1"/>
  <c r="K292" i="7"/>
  <c r="K300" i="7"/>
  <c r="K308" i="7"/>
  <c r="K316" i="7"/>
  <c r="K324" i="7"/>
  <c r="K332" i="7"/>
  <c r="K340" i="7"/>
  <c r="K348" i="7"/>
  <c r="K356" i="7"/>
  <c r="K364" i="7"/>
  <c r="K372" i="7"/>
  <c r="K380" i="7"/>
  <c r="K388" i="7"/>
  <c r="K396" i="7"/>
  <c r="K404" i="7"/>
  <c r="K412" i="7"/>
  <c r="I519" i="7"/>
  <c r="K519" i="7" s="1"/>
  <c r="I525" i="7"/>
  <c r="K525" i="7" s="1"/>
  <c r="I549" i="7"/>
  <c r="K549" i="7" s="1"/>
  <c r="I517" i="7"/>
  <c r="K517" i="7" s="1"/>
  <c r="I541" i="7"/>
  <c r="K541" i="7" s="1"/>
  <c r="I547" i="7"/>
  <c r="K547" i="7" s="1"/>
  <c r="I546" i="7"/>
  <c r="K546" i="7" s="1"/>
  <c r="I558" i="7"/>
  <c r="K558" i="7" s="1"/>
  <c r="K147" i="7"/>
  <c r="I131" i="7"/>
  <c r="K131" i="7" s="1"/>
  <c r="I115" i="7"/>
  <c r="K115" i="7" s="1"/>
  <c r="I161" i="7"/>
  <c r="K161" i="7" s="1"/>
  <c r="I145" i="7"/>
  <c r="K145" i="7" s="1"/>
  <c r="I113" i="7"/>
  <c r="K113" i="7" s="1"/>
  <c r="I129" i="7"/>
  <c r="K129" i="7" s="1"/>
  <c r="I450" i="7"/>
  <c r="K450" i="7" s="1"/>
  <c r="I514" i="7"/>
  <c r="K514" i="7" s="1"/>
  <c r="I422" i="7"/>
  <c r="K422" i="7" s="1"/>
  <c r="I482" i="7"/>
  <c r="K482" i="7" s="1"/>
  <c r="I420" i="7"/>
  <c r="K420" i="7" s="1"/>
  <c r="I442" i="7"/>
  <c r="K442" i="7" s="1"/>
  <c r="I474" i="7"/>
  <c r="K474" i="7" s="1"/>
  <c r="I506" i="7"/>
  <c r="K506" i="7" s="1"/>
  <c r="I538" i="7"/>
  <c r="K538" i="7" s="1"/>
  <c r="K107" i="7"/>
  <c r="K123" i="7"/>
  <c r="K139" i="7"/>
  <c r="K155" i="7"/>
  <c r="I434" i="7"/>
  <c r="K434" i="7" s="1"/>
  <c r="I466" i="7"/>
  <c r="K466" i="7" s="1"/>
  <c r="I498" i="7"/>
  <c r="K498" i="7" s="1"/>
  <c r="I530" i="7"/>
  <c r="K530" i="7" s="1"/>
  <c r="K105" i="7"/>
  <c r="K121" i="7"/>
  <c r="K137" i="7"/>
  <c r="K153" i="7"/>
  <c r="K103" i="7"/>
  <c r="K119" i="7"/>
  <c r="K135" i="7"/>
  <c r="K151" i="7"/>
  <c r="K167" i="7"/>
  <c r="I458" i="7"/>
  <c r="K458" i="7" s="1"/>
  <c r="I490" i="7"/>
  <c r="K490" i="7" s="1"/>
  <c r="I522" i="7"/>
  <c r="K522" i="7" s="1"/>
  <c r="I552" i="7"/>
  <c r="K552" i="7" s="1"/>
  <c r="I432" i="7"/>
  <c r="K432" i="7" s="1"/>
  <c r="I440" i="7"/>
  <c r="K440" i="7" s="1"/>
  <c r="I448" i="7"/>
  <c r="K448" i="7" s="1"/>
  <c r="I456" i="7"/>
  <c r="K456" i="7" s="1"/>
  <c r="I464" i="7"/>
  <c r="K464" i="7" s="1"/>
  <c r="I472" i="7"/>
  <c r="K472" i="7" s="1"/>
  <c r="I480" i="7"/>
  <c r="K480" i="7" s="1"/>
  <c r="I488" i="7"/>
  <c r="K488" i="7" s="1"/>
  <c r="I496" i="7"/>
  <c r="K496" i="7" s="1"/>
  <c r="I504" i="7"/>
  <c r="K504" i="7" s="1"/>
  <c r="I512" i="7"/>
  <c r="K512" i="7" s="1"/>
  <c r="I520" i="7"/>
  <c r="K520" i="7" s="1"/>
  <c r="I528" i="7"/>
  <c r="K528" i="7" s="1"/>
  <c r="I536" i="7"/>
  <c r="K536" i="7" s="1"/>
  <c r="I544" i="7"/>
  <c r="K544" i="7" s="1"/>
  <c r="I556" i="7"/>
  <c r="K556" i="7" s="1"/>
  <c r="K430" i="7"/>
  <c r="I438" i="7"/>
  <c r="K438" i="7" s="1"/>
  <c r="I446" i="7"/>
  <c r="K446" i="7" s="1"/>
  <c r="I454" i="7"/>
  <c r="K454" i="7" s="1"/>
  <c r="I462" i="7"/>
  <c r="K462" i="7" s="1"/>
  <c r="I470" i="7"/>
  <c r="K470" i="7" s="1"/>
  <c r="I478" i="7"/>
  <c r="K478" i="7" s="1"/>
  <c r="I486" i="7"/>
  <c r="K486" i="7" s="1"/>
  <c r="I494" i="7"/>
  <c r="K494" i="7" s="1"/>
  <c r="I502" i="7"/>
  <c r="K502" i="7" s="1"/>
  <c r="I510" i="7"/>
  <c r="K510" i="7" s="1"/>
  <c r="I518" i="7"/>
  <c r="K518" i="7" s="1"/>
  <c r="I526" i="7"/>
  <c r="K526" i="7" s="1"/>
  <c r="I534" i="7"/>
  <c r="K534" i="7" s="1"/>
  <c r="I542" i="7"/>
  <c r="K542" i="7" s="1"/>
  <c r="I550" i="7"/>
  <c r="K550" i="7" s="1"/>
  <c r="I560" i="7"/>
  <c r="K560" i="7" s="1"/>
  <c r="K426" i="7"/>
  <c r="I436" i="7"/>
  <c r="K436" i="7" s="1"/>
  <c r="I444" i="7"/>
  <c r="K444" i="7" s="1"/>
  <c r="I452" i="7"/>
  <c r="K452" i="7" s="1"/>
  <c r="I460" i="7"/>
  <c r="K460" i="7" s="1"/>
  <c r="I468" i="7"/>
  <c r="K468" i="7" s="1"/>
  <c r="I476" i="7"/>
  <c r="K476" i="7" s="1"/>
  <c r="I484" i="7"/>
  <c r="K484" i="7" s="1"/>
  <c r="I492" i="7"/>
  <c r="K492" i="7" s="1"/>
  <c r="I500" i="7"/>
  <c r="K500" i="7" s="1"/>
  <c r="I508" i="7"/>
  <c r="K508" i="7" s="1"/>
  <c r="I516" i="7"/>
  <c r="K516" i="7" s="1"/>
  <c r="I524" i="7"/>
  <c r="K524" i="7" s="1"/>
  <c r="I532" i="7"/>
  <c r="K532" i="7" s="1"/>
  <c r="I540" i="7"/>
  <c r="K540" i="7" s="1"/>
  <c r="I548" i="7"/>
  <c r="K548" i="7" s="1"/>
  <c r="I554" i="7"/>
  <c r="K554" i="7" s="1"/>
  <c r="I562" i="7"/>
  <c r="K562" i="7" s="1"/>
  <c r="I564" i="7"/>
  <c r="K564" i="7" s="1"/>
  <c r="I566" i="7"/>
  <c r="K566" i="7" s="1"/>
  <c r="I568" i="7"/>
  <c r="K568" i="7" s="1"/>
  <c r="I570" i="7"/>
  <c r="K570" i="7" s="1"/>
  <c r="I572" i="7"/>
  <c r="K572" i="7" s="1"/>
  <c r="I574" i="7"/>
  <c r="K574" i="7" s="1"/>
  <c r="I576" i="7"/>
  <c r="K576" i="7" s="1"/>
  <c r="I578" i="7"/>
  <c r="K578" i="7" s="1"/>
  <c r="I580" i="7"/>
  <c r="K580" i="7" s="1"/>
  <c r="I582" i="7"/>
  <c r="K582" i="7" s="1"/>
  <c r="I584" i="7"/>
  <c r="K584" i="7" s="1"/>
  <c r="I586" i="7"/>
  <c r="K586" i="7" s="1"/>
  <c r="M16" i="7" l="1"/>
  <c r="M13" i="7"/>
  <c r="M8" i="7"/>
  <c r="F12" i="4" l="1"/>
  <c r="F11" i="4"/>
  <c r="F3" i="4"/>
  <c r="X2" i="4"/>
  <c r="U2" i="4"/>
  <c r="S2" i="4"/>
  <c r="P2" i="4"/>
  <c r="N2" i="4"/>
  <c r="K2" i="4"/>
  <c r="I2" i="4"/>
  <c r="F2" i="4"/>
  <c r="X245" i="4" l="1"/>
  <c r="U245" i="4"/>
  <c r="S245" i="4"/>
  <c r="P245" i="4"/>
  <c r="N245" i="4"/>
  <c r="K245" i="4"/>
  <c r="I245" i="4"/>
  <c r="X244" i="4"/>
  <c r="U244" i="4"/>
  <c r="S244" i="4"/>
  <c r="P244" i="4"/>
  <c r="N244" i="4"/>
  <c r="K244" i="4"/>
  <c r="I244" i="4"/>
  <c r="X243" i="4"/>
  <c r="U243" i="4"/>
  <c r="S243" i="4"/>
  <c r="P243" i="4"/>
  <c r="N243" i="4"/>
  <c r="K243" i="4"/>
  <c r="I243" i="4"/>
  <c r="X242" i="4"/>
  <c r="U242" i="4"/>
  <c r="S242" i="4"/>
  <c r="P242" i="4"/>
  <c r="N242" i="4"/>
  <c r="K242" i="4"/>
  <c r="I242" i="4"/>
  <c r="X241" i="4"/>
  <c r="U241" i="4"/>
  <c r="S241" i="4"/>
  <c r="P241" i="4"/>
  <c r="N241" i="4"/>
  <c r="K241" i="4"/>
  <c r="I241" i="4"/>
  <c r="X240" i="4"/>
  <c r="U240" i="4"/>
  <c r="S240" i="4"/>
  <c r="P240" i="4"/>
  <c r="N240" i="4"/>
  <c r="K240" i="4"/>
  <c r="I240" i="4"/>
  <c r="X239" i="4"/>
  <c r="U239" i="4"/>
  <c r="S239" i="4"/>
  <c r="P239" i="4"/>
  <c r="N239" i="4"/>
  <c r="K239" i="4"/>
  <c r="I239" i="4"/>
  <c r="X238" i="4"/>
  <c r="U238" i="4"/>
  <c r="S238" i="4"/>
  <c r="P238" i="4"/>
  <c r="N238" i="4"/>
  <c r="K238" i="4"/>
  <c r="I238" i="4"/>
  <c r="X237" i="4"/>
  <c r="U237" i="4"/>
  <c r="S237" i="4"/>
  <c r="P237" i="4"/>
  <c r="N237" i="4"/>
  <c r="K237" i="4"/>
  <c r="I237" i="4"/>
  <c r="X236" i="4"/>
  <c r="U236" i="4"/>
  <c r="S236" i="4"/>
  <c r="P236" i="4"/>
  <c r="N236" i="4"/>
  <c r="K236" i="4"/>
  <c r="I236" i="4"/>
  <c r="X235" i="4"/>
  <c r="U235" i="4"/>
  <c r="S235" i="4"/>
  <c r="P235" i="4"/>
  <c r="N235" i="4"/>
  <c r="K235" i="4"/>
  <c r="I235" i="4"/>
  <c r="X234" i="4"/>
  <c r="U234" i="4"/>
  <c r="S234" i="4"/>
  <c r="P234" i="4"/>
  <c r="N234" i="4"/>
  <c r="K234" i="4"/>
  <c r="I234" i="4"/>
  <c r="X233" i="4"/>
  <c r="U233" i="4"/>
  <c r="S233" i="4"/>
  <c r="P233" i="4"/>
  <c r="N233" i="4"/>
  <c r="K233" i="4"/>
  <c r="I233" i="4"/>
  <c r="X232" i="4"/>
  <c r="U232" i="4"/>
  <c r="S232" i="4"/>
  <c r="P232" i="4"/>
  <c r="N232" i="4"/>
  <c r="K232" i="4"/>
  <c r="I232" i="4"/>
  <c r="X231" i="4"/>
  <c r="U231" i="4"/>
  <c r="S231" i="4"/>
  <c r="P231" i="4"/>
  <c r="N231" i="4"/>
  <c r="K231" i="4"/>
  <c r="I231" i="4"/>
  <c r="X230" i="4"/>
  <c r="U230" i="4"/>
  <c r="S230" i="4"/>
  <c r="P230" i="4"/>
  <c r="N230" i="4"/>
  <c r="K230" i="4"/>
  <c r="I230" i="4"/>
  <c r="X229" i="4"/>
  <c r="U229" i="4"/>
  <c r="S229" i="4"/>
  <c r="P229" i="4"/>
  <c r="N229" i="4"/>
  <c r="K229" i="4"/>
  <c r="I229" i="4"/>
  <c r="X228" i="4"/>
  <c r="U228" i="4"/>
  <c r="S228" i="4"/>
  <c r="P228" i="4"/>
  <c r="N228" i="4"/>
  <c r="K228" i="4"/>
  <c r="I228" i="4"/>
  <c r="X227" i="4"/>
  <c r="U227" i="4"/>
  <c r="S227" i="4"/>
  <c r="P227" i="4"/>
  <c r="N227" i="4"/>
  <c r="K227" i="4"/>
  <c r="I227" i="4"/>
  <c r="X226" i="4"/>
  <c r="U226" i="4"/>
  <c r="S226" i="4"/>
  <c r="P226" i="4"/>
  <c r="N226" i="4"/>
  <c r="K226" i="4"/>
  <c r="I226" i="4"/>
  <c r="X225" i="4"/>
  <c r="U225" i="4"/>
  <c r="S225" i="4"/>
  <c r="P225" i="4"/>
  <c r="N225" i="4"/>
  <c r="K225" i="4"/>
  <c r="I225" i="4"/>
  <c r="X224" i="4"/>
  <c r="U224" i="4"/>
  <c r="S224" i="4"/>
  <c r="P224" i="4"/>
  <c r="N224" i="4"/>
  <c r="K224" i="4"/>
  <c r="I224" i="4"/>
  <c r="X223" i="4"/>
  <c r="U223" i="4"/>
  <c r="S223" i="4"/>
  <c r="P223" i="4"/>
  <c r="N223" i="4"/>
  <c r="K223" i="4"/>
  <c r="I223" i="4"/>
  <c r="X222" i="4"/>
  <c r="U222" i="4"/>
  <c r="S222" i="4"/>
  <c r="P222" i="4"/>
  <c r="N222" i="4"/>
  <c r="K222" i="4"/>
  <c r="I222" i="4"/>
  <c r="X221" i="4"/>
  <c r="U221" i="4"/>
  <c r="S221" i="4"/>
  <c r="P221" i="4"/>
  <c r="N221" i="4"/>
  <c r="K221" i="4"/>
  <c r="I221" i="4"/>
  <c r="X220" i="4"/>
  <c r="U220" i="4"/>
  <c r="S220" i="4"/>
  <c r="P220" i="4"/>
  <c r="N220" i="4"/>
  <c r="K220" i="4"/>
  <c r="I220" i="4"/>
  <c r="X219" i="4"/>
  <c r="U219" i="4"/>
  <c r="S219" i="4"/>
  <c r="P219" i="4"/>
  <c r="N219" i="4"/>
  <c r="K219" i="4"/>
  <c r="I219" i="4"/>
  <c r="X218" i="4"/>
  <c r="U218" i="4"/>
  <c r="S218" i="4"/>
  <c r="P218" i="4"/>
  <c r="N218" i="4"/>
  <c r="K218" i="4"/>
  <c r="I218" i="4"/>
  <c r="X217" i="4"/>
  <c r="U217" i="4"/>
  <c r="S217" i="4"/>
  <c r="P217" i="4"/>
  <c r="N217" i="4"/>
  <c r="K217" i="4"/>
  <c r="I217" i="4"/>
  <c r="X216" i="4"/>
  <c r="U216" i="4"/>
  <c r="S216" i="4"/>
  <c r="P216" i="4"/>
  <c r="N216" i="4"/>
  <c r="K216" i="4"/>
  <c r="I216" i="4"/>
  <c r="X215" i="4"/>
  <c r="U215" i="4"/>
  <c r="S215" i="4"/>
  <c r="P215" i="4"/>
  <c r="N215" i="4"/>
  <c r="K215" i="4"/>
  <c r="I215" i="4"/>
  <c r="X214" i="4"/>
  <c r="U214" i="4"/>
  <c r="S214" i="4"/>
  <c r="P214" i="4"/>
  <c r="N214" i="4"/>
  <c r="K214" i="4"/>
  <c r="I214" i="4"/>
  <c r="X213" i="4"/>
  <c r="U213" i="4"/>
  <c r="S213" i="4"/>
  <c r="P213" i="4"/>
  <c r="N213" i="4"/>
  <c r="K213" i="4"/>
  <c r="I213" i="4"/>
  <c r="X212" i="4"/>
  <c r="U212" i="4"/>
  <c r="S212" i="4"/>
  <c r="P212" i="4"/>
  <c r="N212" i="4"/>
  <c r="K212" i="4"/>
  <c r="I212" i="4"/>
  <c r="X211" i="4"/>
  <c r="U211" i="4"/>
  <c r="S211" i="4"/>
  <c r="P211" i="4"/>
  <c r="N211" i="4"/>
  <c r="K211" i="4"/>
  <c r="I211" i="4"/>
  <c r="X210" i="4"/>
  <c r="U210" i="4"/>
  <c r="S210" i="4"/>
  <c r="P210" i="4"/>
  <c r="N210" i="4"/>
  <c r="K210" i="4"/>
  <c r="I210" i="4"/>
  <c r="X209" i="4"/>
  <c r="U209" i="4"/>
  <c r="S209" i="4"/>
  <c r="P209" i="4"/>
  <c r="N209" i="4"/>
  <c r="K209" i="4"/>
  <c r="I209" i="4"/>
  <c r="X208" i="4"/>
  <c r="U208" i="4"/>
  <c r="S208" i="4"/>
  <c r="P208" i="4"/>
  <c r="N208" i="4"/>
  <c r="K208" i="4"/>
  <c r="I208" i="4"/>
  <c r="X207" i="4"/>
  <c r="U207" i="4"/>
  <c r="S207" i="4"/>
  <c r="P207" i="4"/>
  <c r="N207" i="4"/>
  <c r="K207" i="4"/>
  <c r="I207" i="4"/>
  <c r="X206" i="4"/>
  <c r="U206" i="4"/>
  <c r="S206" i="4"/>
  <c r="P206" i="4"/>
  <c r="N206" i="4"/>
  <c r="K206" i="4"/>
  <c r="I206" i="4"/>
  <c r="X205" i="4"/>
  <c r="U205" i="4"/>
  <c r="S205" i="4"/>
  <c r="P205" i="4"/>
  <c r="N205" i="4"/>
  <c r="K205" i="4"/>
  <c r="I205" i="4"/>
  <c r="X204" i="4"/>
  <c r="U204" i="4"/>
  <c r="S204" i="4"/>
  <c r="P204" i="4"/>
  <c r="N204" i="4"/>
  <c r="K204" i="4"/>
  <c r="I204" i="4"/>
  <c r="X203" i="4"/>
  <c r="U203" i="4"/>
  <c r="S203" i="4"/>
  <c r="P203" i="4"/>
  <c r="N203" i="4"/>
  <c r="K203" i="4"/>
  <c r="I203" i="4"/>
  <c r="X202" i="4"/>
  <c r="U202" i="4"/>
  <c r="S202" i="4"/>
  <c r="P202" i="4"/>
  <c r="N202" i="4"/>
  <c r="K202" i="4"/>
  <c r="I202" i="4"/>
  <c r="X201" i="4"/>
  <c r="U201" i="4"/>
  <c r="S201" i="4"/>
  <c r="P201" i="4"/>
  <c r="N201" i="4"/>
  <c r="K201" i="4"/>
  <c r="I201" i="4"/>
  <c r="X200" i="4"/>
  <c r="U200" i="4"/>
  <c r="S200" i="4"/>
  <c r="P200" i="4"/>
  <c r="N200" i="4"/>
  <c r="K200" i="4"/>
  <c r="I200" i="4"/>
  <c r="X199" i="4"/>
  <c r="U199" i="4"/>
  <c r="S199" i="4"/>
  <c r="P199" i="4"/>
  <c r="N199" i="4"/>
  <c r="K199" i="4"/>
  <c r="I199" i="4"/>
  <c r="X198" i="4"/>
  <c r="U198" i="4"/>
  <c r="S198" i="4"/>
  <c r="P198" i="4"/>
  <c r="N198" i="4"/>
  <c r="K198" i="4"/>
  <c r="I198" i="4"/>
  <c r="X197" i="4"/>
  <c r="U197" i="4"/>
  <c r="S197" i="4"/>
  <c r="P197" i="4"/>
  <c r="N197" i="4"/>
  <c r="K197" i="4"/>
  <c r="I197" i="4"/>
  <c r="X196" i="4"/>
  <c r="U196" i="4"/>
  <c r="S196" i="4"/>
  <c r="P196" i="4"/>
  <c r="N196" i="4"/>
  <c r="K196" i="4"/>
  <c r="I196" i="4"/>
  <c r="X195" i="4"/>
  <c r="U195" i="4"/>
  <c r="S195" i="4"/>
  <c r="P195" i="4"/>
  <c r="N195" i="4"/>
  <c r="K195" i="4"/>
  <c r="I195" i="4"/>
  <c r="X194" i="4"/>
  <c r="U194" i="4"/>
  <c r="S194" i="4"/>
  <c r="P194" i="4"/>
  <c r="N194" i="4"/>
  <c r="K194" i="4"/>
  <c r="I194" i="4"/>
  <c r="X193" i="4"/>
  <c r="U193" i="4"/>
  <c r="S193" i="4"/>
  <c r="P193" i="4"/>
  <c r="N193" i="4"/>
  <c r="K193" i="4"/>
  <c r="I193" i="4"/>
  <c r="X192" i="4"/>
  <c r="U192" i="4"/>
  <c r="S192" i="4"/>
  <c r="P192" i="4"/>
  <c r="N192" i="4"/>
  <c r="K192" i="4"/>
  <c r="I192" i="4"/>
  <c r="X191" i="4"/>
  <c r="U191" i="4"/>
  <c r="S191" i="4"/>
  <c r="P191" i="4"/>
  <c r="N191" i="4"/>
  <c r="K191" i="4"/>
  <c r="I191" i="4"/>
  <c r="X190" i="4"/>
  <c r="U190" i="4"/>
  <c r="S190" i="4"/>
  <c r="P190" i="4"/>
  <c r="N190" i="4"/>
  <c r="K190" i="4"/>
  <c r="I190" i="4"/>
  <c r="X189" i="4"/>
  <c r="U189" i="4"/>
  <c r="S189" i="4"/>
  <c r="P189" i="4"/>
  <c r="N189" i="4"/>
  <c r="K189" i="4"/>
  <c r="I189" i="4"/>
  <c r="X188" i="4"/>
  <c r="U188" i="4"/>
  <c r="S188" i="4"/>
  <c r="P188" i="4"/>
  <c r="N188" i="4"/>
  <c r="K188" i="4"/>
  <c r="I188" i="4"/>
  <c r="X187" i="4"/>
  <c r="U187" i="4"/>
  <c r="S187" i="4"/>
  <c r="P187" i="4"/>
  <c r="N187" i="4"/>
  <c r="K187" i="4"/>
  <c r="I187" i="4"/>
  <c r="X186" i="4"/>
  <c r="U186" i="4"/>
  <c r="S186" i="4"/>
  <c r="P186" i="4"/>
  <c r="N186" i="4"/>
  <c r="K186" i="4"/>
  <c r="I186" i="4"/>
  <c r="X185" i="4"/>
  <c r="U185" i="4"/>
  <c r="S185" i="4"/>
  <c r="P185" i="4"/>
  <c r="N185" i="4"/>
  <c r="K185" i="4"/>
  <c r="I185" i="4"/>
  <c r="X184" i="4"/>
  <c r="U184" i="4"/>
  <c r="S184" i="4"/>
  <c r="P184" i="4"/>
  <c r="N184" i="4"/>
  <c r="K184" i="4"/>
  <c r="I184" i="4"/>
  <c r="X183" i="4"/>
  <c r="U183" i="4"/>
  <c r="S183" i="4"/>
  <c r="P183" i="4"/>
  <c r="N183" i="4"/>
  <c r="K183" i="4"/>
  <c r="I183" i="4"/>
  <c r="X182" i="4"/>
  <c r="U182" i="4"/>
  <c r="S182" i="4"/>
  <c r="P182" i="4"/>
  <c r="N182" i="4"/>
  <c r="K182" i="4"/>
  <c r="I182" i="4"/>
  <c r="X181" i="4"/>
  <c r="U181" i="4"/>
  <c r="S181" i="4"/>
  <c r="P181" i="4"/>
  <c r="N181" i="4"/>
  <c r="K181" i="4"/>
  <c r="I181" i="4"/>
  <c r="X180" i="4"/>
  <c r="U180" i="4"/>
  <c r="S180" i="4"/>
  <c r="P180" i="4"/>
  <c r="N180" i="4"/>
  <c r="K180" i="4"/>
  <c r="I180" i="4"/>
  <c r="X179" i="4"/>
  <c r="U179" i="4"/>
  <c r="S179" i="4"/>
  <c r="P179" i="4"/>
  <c r="N179" i="4"/>
  <c r="K179" i="4"/>
  <c r="I179" i="4"/>
  <c r="X178" i="4"/>
  <c r="U178" i="4"/>
  <c r="S178" i="4"/>
  <c r="P178" i="4"/>
  <c r="N178" i="4"/>
  <c r="K178" i="4"/>
  <c r="I178" i="4"/>
  <c r="X177" i="4"/>
  <c r="U177" i="4"/>
  <c r="S177" i="4"/>
  <c r="P177" i="4"/>
  <c r="N177" i="4"/>
  <c r="K177" i="4"/>
  <c r="I177" i="4"/>
  <c r="X176" i="4"/>
  <c r="U176" i="4"/>
  <c r="S176" i="4"/>
  <c r="P176" i="4"/>
  <c r="N176" i="4"/>
  <c r="K176" i="4"/>
  <c r="I176" i="4"/>
  <c r="X175" i="4"/>
  <c r="U175" i="4"/>
  <c r="S175" i="4"/>
  <c r="P175" i="4"/>
  <c r="N175" i="4"/>
  <c r="K175" i="4"/>
  <c r="I175" i="4"/>
  <c r="X174" i="4"/>
  <c r="U174" i="4"/>
  <c r="S174" i="4"/>
  <c r="P174" i="4"/>
  <c r="N174" i="4"/>
  <c r="K174" i="4"/>
  <c r="I174" i="4"/>
  <c r="X173" i="4"/>
  <c r="U173" i="4"/>
  <c r="S173" i="4"/>
  <c r="P173" i="4"/>
  <c r="N173" i="4"/>
  <c r="K173" i="4"/>
  <c r="I173" i="4"/>
  <c r="X172" i="4"/>
  <c r="U172" i="4"/>
  <c r="S172" i="4"/>
  <c r="P172" i="4"/>
  <c r="N172" i="4"/>
  <c r="K172" i="4"/>
  <c r="I172" i="4"/>
  <c r="X171" i="4"/>
  <c r="U171" i="4"/>
  <c r="S171" i="4"/>
  <c r="P171" i="4"/>
  <c r="N171" i="4"/>
  <c r="K171" i="4"/>
  <c r="I171" i="4"/>
  <c r="X170" i="4"/>
  <c r="U170" i="4"/>
  <c r="S170" i="4"/>
  <c r="P170" i="4"/>
  <c r="N170" i="4"/>
  <c r="K170" i="4"/>
  <c r="I170" i="4"/>
  <c r="X169" i="4"/>
  <c r="U169" i="4"/>
  <c r="S169" i="4"/>
  <c r="P169" i="4"/>
  <c r="N169" i="4"/>
  <c r="K169" i="4"/>
  <c r="I169" i="4"/>
  <c r="X168" i="4"/>
  <c r="U168" i="4"/>
  <c r="S168" i="4"/>
  <c r="P168" i="4"/>
  <c r="N168" i="4"/>
  <c r="K168" i="4"/>
  <c r="I168" i="4"/>
  <c r="X167" i="4"/>
  <c r="U167" i="4"/>
  <c r="S167" i="4"/>
  <c r="P167" i="4"/>
  <c r="N167" i="4"/>
  <c r="K167" i="4"/>
  <c r="I167" i="4"/>
  <c r="X166" i="4"/>
  <c r="U166" i="4"/>
  <c r="S166" i="4"/>
  <c r="P166" i="4"/>
  <c r="N166" i="4"/>
  <c r="K166" i="4"/>
  <c r="I166" i="4"/>
  <c r="X165" i="4"/>
  <c r="U165" i="4"/>
  <c r="S165" i="4"/>
  <c r="P165" i="4"/>
  <c r="N165" i="4"/>
  <c r="K165" i="4"/>
  <c r="I165" i="4"/>
  <c r="X164" i="4"/>
  <c r="U164" i="4"/>
  <c r="S164" i="4"/>
  <c r="P164" i="4"/>
  <c r="N164" i="4"/>
  <c r="K164" i="4"/>
  <c r="I164" i="4"/>
  <c r="X163" i="4"/>
  <c r="U163" i="4"/>
  <c r="S163" i="4"/>
  <c r="P163" i="4"/>
  <c r="N163" i="4"/>
  <c r="K163" i="4"/>
  <c r="I163" i="4"/>
  <c r="X162" i="4"/>
  <c r="U162" i="4"/>
  <c r="S162" i="4"/>
  <c r="P162" i="4"/>
  <c r="N162" i="4"/>
  <c r="K162" i="4"/>
  <c r="I162" i="4"/>
  <c r="X161" i="4"/>
  <c r="U161" i="4"/>
  <c r="S161" i="4"/>
  <c r="P161" i="4"/>
  <c r="N161" i="4"/>
  <c r="K161" i="4"/>
  <c r="I161" i="4"/>
  <c r="X160" i="4"/>
  <c r="U160" i="4"/>
  <c r="S160" i="4"/>
  <c r="P160" i="4"/>
  <c r="N160" i="4"/>
  <c r="K160" i="4"/>
  <c r="I160" i="4"/>
  <c r="X159" i="4"/>
  <c r="U159" i="4"/>
  <c r="S159" i="4"/>
  <c r="P159" i="4"/>
  <c r="N159" i="4"/>
  <c r="K159" i="4"/>
  <c r="I159" i="4"/>
  <c r="X158" i="4"/>
  <c r="U158" i="4"/>
  <c r="S158" i="4"/>
  <c r="P158" i="4"/>
  <c r="N158" i="4"/>
  <c r="K158" i="4"/>
  <c r="I158" i="4"/>
  <c r="X157" i="4"/>
  <c r="U157" i="4"/>
  <c r="S157" i="4"/>
  <c r="P157" i="4"/>
  <c r="N157" i="4"/>
  <c r="K157" i="4"/>
  <c r="I157" i="4"/>
  <c r="X156" i="4"/>
  <c r="U156" i="4"/>
  <c r="S156" i="4"/>
  <c r="P156" i="4"/>
  <c r="N156" i="4"/>
  <c r="K156" i="4"/>
  <c r="I156" i="4"/>
  <c r="X155" i="4"/>
  <c r="U155" i="4"/>
  <c r="S155" i="4"/>
  <c r="P155" i="4"/>
  <c r="N155" i="4"/>
  <c r="K155" i="4"/>
  <c r="I155" i="4"/>
  <c r="X154" i="4"/>
  <c r="U154" i="4"/>
  <c r="S154" i="4"/>
  <c r="P154" i="4"/>
  <c r="N154" i="4"/>
  <c r="K154" i="4"/>
  <c r="I154" i="4"/>
  <c r="X153" i="4"/>
  <c r="U153" i="4"/>
  <c r="S153" i="4"/>
  <c r="P153" i="4"/>
  <c r="N153" i="4"/>
  <c r="K153" i="4"/>
  <c r="I153" i="4"/>
  <c r="X152" i="4"/>
  <c r="U152" i="4"/>
  <c r="S152" i="4"/>
  <c r="P152" i="4"/>
  <c r="N152" i="4"/>
  <c r="K152" i="4"/>
  <c r="I152" i="4"/>
  <c r="X151" i="4"/>
  <c r="U151" i="4"/>
  <c r="S151" i="4"/>
  <c r="P151" i="4"/>
  <c r="N151" i="4"/>
  <c r="K151" i="4"/>
  <c r="I151" i="4"/>
  <c r="X150" i="4"/>
  <c r="U150" i="4"/>
  <c r="S150" i="4"/>
  <c r="P150" i="4"/>
  <c r="N150" i="4"/>
  <c r="K150" i="4"/>
  <c r="I150" i="4"/>
  <c r="X149" i="4"/>
  <c r="U149" i="4"/>
  <c r="S149" i="4"/>
  <c r="P149" i="4"/>
  <c r="N149" i="4"/>
  <c r="K149" i="4"/>
  <c r="I149" i="4"/>
  <c r="X148" i="4"/>
  <c r="U148" i="4"/>
  <c r="S148" i="4"/>
  <c r="P148" i="4"/>
  <c r="N148" i="4"/>
  <c r="K148" i="4"/>
  <c r="I148" i="4"/>
  <c r="X147" i="4"/>
  <c r="U147" i="4"/>
  <c r="S147" i="4"/>
  <c r="P147" i="4"/>
  <c r="N147" i="4"/>
  <c r="K147" i="4"/>
  <c r="I147" i="4"/>
  <c r="X146" i="4"/>
  <c r="U146" i="4"/>
  <c r="S146" i="4"/>
  <c r="P146" i="4"/>
  <c r="N146" i="4"/>
  <c r="K146" i="4"/>
  <c r="I146" i="4"/>
  <c r="X145" i="4"/>
  <c r="U145" i="4"/>
  <c r="S145" i="4"/>
  <c r="P145" i="4"/>
  <c r="N145" i="4"/>
  <c r="K145" i="4"/>
  <c r="I145" i="4"/>
  <c r="X144" i="4"/>
  <c r="U144" i="4"/>
  <c r="S144" i="4"/>
  <c r="P144" i="4"/>
  <c r="N144" i="4"/>
  <c r="K144" i="4"/>
  <c r="I144" i="4"/>
  <c r="X143" i="4"/>
  <c r="U143" i="4"/>
  <c r="S143" i="4"/>
  <c r="P143" i="4"/>
  <c r="N143" i="4"/>
  <c r="K143" i="4"/>
  <c r="I143" i="4"/>
  <c r="X142" i="4"/>
  <c r="U142" i="4"/>
  <c r="S142" i="4"/>
  <c r="P142" i="4"/>
  <c r="N142" i="4"/>
  <c r="K142" i="4"/>
  <c r="I142" i="4"/>
  <c r="X141" i="4"/>
  <c r="U141" i="4"/>
  <c r="S141" i="4"/>
  <c r="P141" i="4"/>
  <c r="N141" i="4"/>
  <c r="K141" i="4"/>
  <c r="I141" i="4"/>
  <c r="X140" i="4"/>
  <c r="U140" i="4"/>
  <c r="S140" i="4"/>
  <c r="P140" i="4"/>
  <c r="N140" i="4"/>
  <c r="K140" i="4"/>
  <c r="I140" i="4"/>
  <c r="X139" i="4"/>
  <c r="U139" i="4"/>
  <c r="S139" i="4"/>
  <c r="P139" i="4"/>
  <c r="N139" i="4"/>
  <c r="K139" i="4"/>
  <c r="I139" i="4"/>
  <c r="X138" i="4"/>
  <c r="U138" i="4"/>
  <c r="S138" i="4"/>
  <c r="P138" i="4"/>
  <c r="N138" i="4"/>
  <c r="K138" i="4"/>
  <c r="I138" i="4"/>
  <c r="X137" i="4"/>
  <c r="U137" i="4"/>
  <c r="S137" i="4"/>
  <c r="P137" i="4"/>
  <c r="N137" i="4"/>
  <c r="K137" i="4"/>
  <c r="I137" i="4"/>
  <c r="X136" i="4"/>
  <c r="U136" i="4"/>
  <c r="S136" i="4"/>
  <c r="P136" i="4"/>
  <c r="N136" i="4"/>
  <c r="K136" i="4"/>
  <c r="I136" i="4"/>
  <c r="X135" i="4"/>
  <c r="U135" i="4"/>
  <c r="S135" i="4"/>
  <c r="P135" i="4"/>
  <c r="N135" i="4"/>
  <c r="K135" i="4"/>
  <c r="I135" i="4"/>
  <c r="X134" i="4"/>
  <c r="U134" i="4"/>
  <c r="S134" i="4"/>
  <c r="P134" i="4"/>
  <c r="N134" i="4"/>
  <c r="K134" i="4"/>
  <c r="I134" i="4"/>
  <c r="X133" i="4"/>
  <c r="U133" i="4"/>
  <c r="S133" i="4"/>
  <c r="P133" i="4"/>
  <c r="N133" i="4"/>
  <c r="K133" i="4"/>
  <c r="I133" i="4"/>
  <c r="X132" i="4"/>
  <c r="U132" i="4"/>
  <c r="S132" i="4"/>
  <c r="P132" i="4"/>
  <c r="N132" i="4"/>
  <c r="K132" i="4"/>
  <c r="I132" i="4"/>
  <c r="X131" i="4"/>
  <c r="U131" i="4"/>
  <c r="S131" i="4"/>
  <c r="P131" i="4"/>
  <c r="N131" i="4"/>
  <c r="K131" i="4"/>
  <c r="I131" i="4"/>
  <c r="X130" i="4"/>
  <c r="U130" i="4"/>
  <c r="S130" i="4"/>
  <c r="P130" i="4"/>
  <c r="N130" i="4"/>
  <c r="K130" i="4"/>
  <c r="I130" i="4"/>
  <c r="X129" i="4"/>
  <c r="U129" i="4"/>
  <c r="S129" i="4"/>
  <c r="P129" i="4"/>
  <c r="N129" i="4"/>
  <c r="K129" i="4"/>
  <c r="I129" i="4"/>
  <c r="X128" i="4"/>
  <c r="U128" i="4"/>
  <c r="S128" i="4"/>
  <c r="P128" i="4"/>
  <c r="N128" i="4"/>
  <c r="K128" i="4"/>
  <c r="I128" i="4"/>
  <c r="X127" i="4"/>
  <c r="U127" i="4"/>
  <c r="S127" i="4"/>
  <c r="P127" i="4"/>
  <c r="N127" i="4"/>
  <c r="K127" i="4"/>
  <c r="I127" i="4"/>
  <c r="X126" i="4"/>
  <c r="U126" i="4"/>
  <c r="S126" i="4"/>
  <c r="P126" i="4"/>
  <c r="N126" i="4"/>
  <c r="K126" i="4"/>
  <c r="I126" i="4"/>
  <c r="X125" i="4"/>
  <c r="U125" i="4"/>
  <c r="S125" i="4"/>
  <c r="P125" i="4"/>
  <c r="N125" i="4"/>
  <c r="K125" i="4"/>
  <c r="I125" i="4"/>
  <c r="X124" i="4"/>
  <c r="U124" i="4"/>
  <c r="S124" i="4"/>
  <c r="P124" i="4"/>
  <c r="N124" i="4"/>
  <c r="K124" i="4"/>
  <c r="I124" i="4"/>
  <c r="X123" i="4"/>
  <c r="U123" i="4"/>
  <c r="S123" i="4"/>
  <c r="P123" i="4"/>
  <c r="N123" i="4"/>
  <c r="K123" i="4"/>
  <c r="I123" i="4"/>
  <c r="F26" i="4" l="1"/>
  <c r="F25" i="4"/>
  <c r="AA2" i="4" l="1"/>
  <c r="AB2" i="4" l="1"/>
  <c r="U292" i="4"/>
  <c r="S292" i="4"/>
  <c r="P292" i="4"/>
  <c r="N292" i="4"/>
  <c r="K292" i="4"/>
  <c r="I292" i="4"/>
  <c r="U291" i="4"/>
  <c r="S291" i="4"/>
  <c r="P291" i="4"/>
  <c r="N291" i="4"/>
  <c r="K291" i="4"/>
  <c r="I291" i="4"/>
  <c r="U290" i="4"/>
  <c r="S290" i="4"/>
  <c r="P290" i="4"/>
  <c r="N290" i="4"/>
  <c r="K290" i="4"/>
  <c r="I290" i="4"/>
  <c r="U289" i="4"/>
  <c r="S289" i="4"/>
  <c r="P289" i="4"/>
  <c r="N289" i="4"/>
  <c r="K289" i="4"/>
  <c r="I289" i="4"/>
  <c r="U288" i="4"/>
  <c r="S288" i="4"/>
  <c r="P288" i="4"/>
  <c r="N288" i="4"/>
  <c r="K288" i="4"/>
  <c r="I288" i="4"/>
  <c r="U287" i="4"/>
  <c r="S287" i="4"/>
  <c r="P287" i="4"/>
  <c r="N287" i="4"/>
  <c r="K287" i="4"/>
  <c r="I287" i="4"/>
  <c r="U286" i="4"/>
  <c r="S286" i="4"/>
  <c r="P286" i="4"/>
  <c r="N286" i="4"/>
  <c r="K286" i="4"/>
  <c r="I286" i="4"/>
  <c r="U285" i="4"/>
  <c r="S285" i="4"/>
  <c r="P285" i="4"/>
  <c r="N285" i="4"/>
  <c r="K285" i="4"/>
  <c r="I285" i="4"/>
  <c r="U284" i="4"/>
  <c r="S284" i="4"/>
  <c r="P284" i="4"/>
  <c r="N284" i="4"/>
  <c r="K284" i="4"/>
  <c r="I284" i="4"/>
  <c r="U283" i="4"/>
  <c r="S283" i="4"/>
  <c r="P283" i="4"/>
  <c r="N283" i="4"/>
  <c r="K283" i="4"/>
  <c r="I283" i="4"/>
  <c r="U282" i="4"/>
  <c r="S282" i="4"/>
  <c r="P282" i="4"/>
  <c r="N282" i="4"/>
  <c r="K282" i="4"/>
  <c r="I282" i="4"/>
  <c r="U281" i="4"/>
  <c r="S281" i="4"/>
  <c r="P281" i="4"/>
  <c r="N281" i="4"/>
  <c r="K281" i="4"/>
  <c r="I281" i="4"/>
  <c r="U280" i="4"/>
  <c r="S280" i="4"/>
  <c r="P280" i="4"/>
  <c r="N280" i="4"/>
  <c r="K280" i="4"/>
  <c r="I280" i="4"/>
  <c r="U279" i="4"/>
  <c r="S279" i="4"/>
  <c r="P279" i="4"/>
  <c r="N279" i="4"/>
  <c r="K279" i="4"/>
  <c r="I279" i="4"/>
  <c r="U278" i="4"/>
  <c r="S278" i="4"/>
  <c r="P278" i="4"/>
  <c r="N278" i="4"/>
  <c r="K278" i="4"/>
  <c r="I278" i="4"/>
  <c r="U277" i="4"/>
  <c r="S277" i="4"/>
  <c r="P277" i="4"/>
  <c r="N277" i="4"/>
  <c r="K277" i="4"/>
  <c r="I277" i="4"/>
  <c r="U276" i="4"/>
  <c r="S276" i="4"/>
  <c r="P276" i="4"/>
  <c r="N276" i="4"/>
  <c r="K276" i="4"/>
  <c r="I276" i="4"/>
  <c r="U275" i="4"/>
  <c r="S275" i="4"/>
  <c r="P275" i="4"/>
  <c r="N275" i="4"/>
  <c r="K275" i="4"/>
  <c r="I275" i="4"/>
  <c r="U274" i="4"/>
  <c r="S274" i="4"/>
  <c r="P274" i="4"/>
  <c r="N274" i="4"/>
  <c r="K274" i="4"/>
  <c r="I274" i="4"/>
  <c r="U273" i="4"/>
  <c r="S273" i="4"/>
  <c r="P273" i="4"/>
  <c r="N273" i="4"/>
  <c r="K273" i="4"/>
  <c r="I273" i="4"/>
  <c r="U272" i="4"/>
  <c r="S272" i="4"/>
  <c r="P272" i="4"/>
  <c r="N272" i="4"/>
  <c r="K272" i="4"/>
  <c r="I272" i="4"/>
  <c r="U271" i="4"/>
  <c r="S271" i="4"/>
  <c r="P271" i="4"/>
  <c r="N271" i="4"/>
  <c r="K271" i="4"/>
  <c r="I271" i="4"/>
  <c r="U270" i="4"/>
  <c r="S270" i="4"/>
  <c r="P270" i="4"/>
  <c r="N270" i="4"/>
  <c r="K270" i="4"/>
  <c r="I270" i="4"/>
  <c r="U269" i="4"/>
  <c r="S269" i="4"/>
  <c r="P269" i="4"/>
  <c r="N269" i="4"/>
  <c r="K269" i="4"/>
  <c r="I269" i="4"/>
  <c r="U268" i="4"/>
  <c r="S268" i="4"/>
  <c r="P268" i="4"/>
  <c r="N268" i="4"/>
  <c r="K268" i="4"/>
  <c r="I268" i="4"/>
  <c r="U267" i="4"/>
  <c r="S267" i="4"/>
  <c r="P267" i="4"/>
  <c r="N267" i="4"/>
  <c r="K267" i="4"/>
  <c r="I267" i="4"/>
  <c r="U266" i="4"/>
  <c r="S266" i="4"/>
  <c r="P266" i="4"/>
  <c r="N266" i="4"/>
  <c r="K266" i="4"/>
  <c r="I266" i="4"/>
  <c r="U265" i="4"/>
  <c r="S265" i="4"/>
  <c r="P265" i="4"/>
  <c r="N265" i="4"/>
  <c r="K265" i="4"/>
  <c r="I265" i="4"/>
  <c r="U264" i="4"/>
  <c r="S264" i="4"/>
  <c r="P264" i="4"/>
  <c r="N264" i="4"/>
  <c r="K264" i="4"/>
  <c r="I264" i="4"/>
  <c r="U263" i="4"/>
  <c r="S263" i="4"/>
  <c r="P263" i="4"/>
  <c r="N263" i="4"/>
  <c r="K263" i="4"/>
  <c r="I263" i="4"/>
  <c r="U262" i="4"/>
  <c r="S262" i="4"/>
  <c r="P262" i="4"/>
  <c r="N262" i="4"/>
  <c r="K262" i="4"/>
  <c r="I262" i="4"/>
  <c r="U261" i="4"/>
  <c r="S261" i="4"/>
  <c r="P261" i="4"/>
  <c r="N261" i="4"/>
  <c r="K261" i="4"/>
  <c r="I261" i="4"/>
  <c r="U260" i="4"/>
  <c r="S260" i="4"/>
  <c r="P260" i="4"/>
  <c r="N260" i="4"/>
  <c r="K260" i="4"/>
  <c r="I260" i="4"/>
  <c r="U259" i="4"/>
  <c r="S259" i="4"/>
  <c r="P259" i="4"/>
  <c r="N259" i="4"/>
  <c r="K259" i="4"/>
  <c r="I259" i="4"/>
  <c r="U258" i="4"/>
  <c r="S258" i="4"/>
  <c r="P258" i="4"/>
  <c r="N258" i="4"/>
  <c r="K258" i="4"/>
  <c r="I258" i="4"/>
  <c r="U257" i="4"/>
  <c r="S257" i="4"/>
  <c r="P257" i="4"/>
  <c r="N257" i="4"/>
  <c r="K257" i="4"/>
  <c r="I257" i="4"/>
  <c r="U256" i="4"/>
  <c r="S256" i="4"/>
  <c r="P256" i="4"/>
  <c r="N256" i="4"/>
  <c r="K256" i="4"/>
  <c r="I256" i="4"/>
  <c r="U255" i="4"/>
  <c r="S255" i="4"/>
  <c r="P255" i="4"/>
  <c r="N255" i="4"/>
  <c r="K255" i="4"/>
  <c r="I255" i="4"/>
  <c r="U254" i="4"/>
  <c r="S254" i="4"/>
  <c r="P254" i="4"/>
  <c r="N254" i="4"/>
  <c r="K254" i="4"/>
  <c r="I254" i="4"/>
  <c r="U253" i="4"/>
  <c r="S253" i="4"/>
  <c r="P253" i="4"/>
  <c r="N253" i="4"/>
  <c r="K253" i="4"/>
  <c r="I253" i="4"/>
  <c r="U252" i="4"/>
  <c r="S252" i="4"/>
  <c r="P252" i="4"/>
  <c r="N252" i="4"/>
  <c r="K252" i="4"/>
  <c r="I252" i="4"/>
  <c r="U251" i="4"/>
  <c r="S251" i="4"/>
  <c r="P251" i="4"/>
  <c r="N251" i="4"/>
  <c r="K251" i="4"/>
  <c r="I251" i="4"/>
  <c r="U250" i="4"/>
  <c r="S250" i="4"/>
  <c r="P250" i="4"/>
  <c r="N250" i="4"/>
  <c r="K250" i="4"/>
  <c r="I250" i="4"/>
  <c r="U249" i="4"/>
  <c r="S249" i="4"/>
  <c r="P249" i="4"/>
  <c r="N249" i="4"/>
  <c r="K249" i="4"/>
  <c r="I249" i="4"/>
  <c r="U248" i="4"/>
  <c r="S248" i="4"/>
  <c r="P248" i="4"/>
  <c r="N248" i="4"/>
  <c r="K248" i="4"/>
  <c r="I248" i="4"/>
  <c r="U247" i="4"/>
  <c r="S247" i="4"/>
  <c r="P247" i="4"/>
  <c r="N247" i="4"/>
  <c r="K247" i="4"/>
  <c r="I247" i="4"/>
  <c r="U246" i="4"/>
  <c r="S246" i="4"/>
  <c r="P246" i="4"/>
  <c r="N246" i="4"/>
  <c r="K246" i="4"/>
  <c r="I246" i="4"/>
  <c r="F17" i="4" l="1"/>
  <c r="AA1072" i="4" l="1"/>
  <c r="X1072" i="4"/>
  <c r="U1072" i="4"/>
  <c r="S1072" i="4"/>
  <c r="P1072" i="4"/>
  <c r="N1072" i="4"/>
  <c r="K1072" i="4"/>
  <c r="I1072" i="4"/>
  <c r="F1072" i="4"/>
  <c r="AA1071" i="4"/>
  <c r="X1071" i="4"/>
  <c r="U1071" i="4"/>
  <c r="S1071" i="4"/>
  <c r="P1071" i="4"/>
  <c r="N1071" i="4"/>
  <c r="K1071" i="4"/>
  <c r="I1071" i="4"/>
  <c r="F1071" i="4"/>
  <c r="AA1070" i="4"/>
  <c r="X1070" i="4"/>
  <c r="U1070" i="4"/>
  <c r="S1070" i="4"/>
  <c r="P1070" i="4"/>
  <c r="N1070" i="4"/>
  <c r="K1070" i="4"/>
  <c r="I1070" i="4"/>
  <c r="F1070" i="4"/>
  <c r="AA1069" i="4"/>
  <c r="X1069" i="4"/>
  <c r="U1069" i="4"/>
  <c r="S1069" i="4"/>
  <c r="P1069" i="4"/>
  <c r="N1069" i="4"/>
  <c r="K1069" i="4"/>
  <c r="I1069" i="4"/>
  <c r="F1069" i="4"/>
  <c r="AA1068" i="4"/>
  <c r="X1068" i="4"/>
  <c r="U1068" i="4"/>
  <c r="S1068" i="4"/>
  <c r="P1068" i="4"/>
  <c r="N1068" i="4"/>
  <c r="K1068" i="4"/>
  <c r="I1068" i="4"/>
  <c r="F1068" i="4"/>
  <c r="AA1067" i="4"/>
  <c r="X1067" i="4"/>
  <c r="U1067" i="4"/>
  <c r="S1067" i="4"/>
  <c r="P1067" i="4"/>
  <c r="N1067" i="4"/>
  <c r="K1067" i="4"/>
  <c r="I1067" i="4"/>
  <c r="F1067" i="4"/>
  <c r="AA1066" i="4"/>
  <c r="X1066" i="4"/>
  <c r="U1066" i="4"/>
  <c r="S1066" i="4"/>
  <c r="P1066" i="4"/>
  <c r="N1066" i="4"/>
  <c r="K1066" i="4"/>
  <c r="I1066" i="4"/>
  <c r="F1066" i="4"/>
  <c r="AA1065" i="4"/>
  <c r="X1065" i="4"/>
  <c r="U1065" i="4"/>
  <c r="S1065" i="4"/>
  <c r="P1065" i="4"/>
  <c r="N1065" i="4"/>
  <c r="K1065" i="4"/>
  <c r="I1065" i="4"/>
  <c r="F1065" i="4"/>
  <c r="AA1064" i="4"/>
  <c r="X1064" i="4"/>
  <c r="U1064" i="4"/>
  <c r="S1064" i="4"/>
  <c r="P1064" i="4"/>
  <c r="N1064" i="4"/>
  <c r="K1064" i="4"/>
  <c r="I1064" i="4"/>
  <c r="F1064" i="4"/>
  <c r="AA1063" i="4"/>
  <c r="X1063" i="4"/>
  <c r="U1063" i="4"/>
  <c r="S1063" i="4"/>
  <c r="P1063" i="4"/>
  <c r="N1063" i="4"/>
  <c r="K1063" i="4"/>
  <c r="I1063" i="4"/>
  <c r="F1063" i="4"/>
  <c r="AA1062" i="4"/>
  <c r="X1062" i="4"/>
  <c r="U1062" i="4"/>
  <c r="S1062" i="4"/>
  <c r="P1062" i="4"/>
  <c r="N1062" i="4"/>
  <c r="K1062" i="4"/>
  <c r="I1062" i="4"/>
  <c r="F1062" i="4"/>
  <c r="AA1061" i="4"/>
  <c r="X1061" i="4"/>
  <c r="U1061" i="4"/>
  <c r="S1061" i="4"/>
  <c r="P1061" i="4"/>
  <c r="N1061" i="4"/>
  <c r="K1061" i="4"/>
  <c r="I1061" i="4"/>
  <c r="F1061" i="4"/>
  <c r="AA1060" i="4"/>
  <c r="X1060" i="4"/>
  <c r="U1060" i="4"/>
  <c r="S1060" i="4"/>
  <c r="P1060" i="4"/>
  <c r="N1060" i="4"/>
  <c r="K1060" i="4"/>
  <c r="I1060" i="4"/>
  <c r="F1060" i="4"/>
  <c r="AA1059" i="4"/>
  <c r="X1059" i="4"/>
  <c r="U1059" i="4"/>
  <c r="S1059" i="4"/>
  <c r="P1059" i="4"/>
  <c r="N1059" i="4"/>
  <c r="K1059" i="4"/>
  <c r="I1059" i="4"/>
  <c r="F1059" i="4"/>
  <c r="AA1058" i="4"/>
  <c r="X1058" i="4"/>
  <c r="U1058" i="4"/>
  <c r="S1058" i="4"/>
  <c r="P1058" i="4"/>
  <c r="N1058" i="4"/>
  <c r="K1058" i="4"/>
  <c r="I1058" i="4"/>
  <c r="F1058" i="4"/>
  <c r="AA1057" i="4"/>
  <c r="X1057" i="4"/>
  <c r="U1057" i="4"/>
  <c r="S1057" i="4"/>
  <c r="P1057" i="4"/>
  <c r="N1057" i="4"/>
  <c r="K1057" i="4"/>
  <c r="I1057" i="4"/>
  <c r="F1057" i="4"/>
  <c r="AA1056" i="4"/>
  <c r="X1056" i="4"/>
  <c r="U1056" i="4"/>
  <c r="S1056" i="4"/>
  <c r="P1056" i="4"/>
  <c r="N1056" i="4"/>
  <c r="K1056" i="4"/>
  <c r="I1056" i="4"/>
  <c r="F1056" i="4"/>
  <c r="AA1055" i="4"/>
  <c r="X1055" i="4"/>
  <c r="U1055" i="4"/>
  <c r="S1055" i="4"/>
  <c r="P1055" i="4"/>
  <c r="N1055" i="4"/>
  <c r="K1055" i="4"/>
  <c r="I1055" i="4"/>
  <c r="F1055" i="4"/>
  <c r="AA1054" i="4"/>
  <c r="X1054" i="4"/>
  <c r="U1054" i="4"/>
  <c r="S1054" i="4"/>
  <c r="P1054" i="4"/>
  <c r="N1054" i="4"/>
  <c r="K1054" i="4"/>
  <c r="I1054" i="4"/>
  <c r="F1054" i="4"/>
  <c r="AA1053" i="4"/>
  <c r="X1053" i="4"/>
  <c r="U1053" i="4"/>
  <c r="S1053" i="4"/>
  <c r="P1053" i="4"/>
  <c r="N1053" i="4"/>
  <c r="K1053" i="4"/>
  <c r="I1053" i="4"/>
  <c r="F1053" i="4"/>
  <c r="AA1052" i="4"/>
  <c r="X1052" i="4"/>
  <c r="U1052" i="4"/>
  <c r="S1052" i="4"/>
  <c r="P1052" i="4"/>
  <c r="N1052" i="4"/>
  <c r="K1052" i="4"/>
  <c r="I1052" i="4"/>
  <c r="F1052" i="4"/>
  <c r="AA1051" i="4"/>
  <c r="X1051" i="4"/>
  <c r="U1051" i="4"/>
  <c r="S1051" i="4"/>
  <c r="P1051" i="4"/>
  <c r="N1051" i="4"/>
  <c r="K1051" i="4"/>
  <c r="I1051" i="4"/>
  <c r="F1051" i="4"/>
  <c r="AA1050" i="4"/>
  <c r="X1050" i="4"/>
  <c r="U1050" i="4"/>
  <c r="S1050" i="4"/>
  <c r="P1050" i="4"/>
  <c r="N1050" i="4"/>
  <c r="K1050" i="4"/>
  <c r="I1050" i="4"/>
  <c r="F1050" i="4"/>
  <c r="AA1049" i="4"/>
  <c r="X1049" i="4"/>
  <c r="U1049" i="4"/>
  <c r="S1049" i="4"/>
  <c r="P1049" i="4"/>
  <c r="N1049" i="4"/>
  <c r="K1049" i="4"/>
  <c r="I1049" i="4"/>
  <c r="F1049" i="4"/>
  <c r="AA1048" i="4"/>
  <c r="X1048" i="4"/>
  <c r="U1048" i="4"/>
  <c r="S1048" i="4"/>
  <c r="P1048" i="4"/>
  <c r="N1048" i="4"/>
  <c r="K1048" i="4"/>
  <c r="I1048" i="4"/>
  <c r="F1048" i="4"/>
  <c r="AA1047" i="4"/>
  <c r="X1047" i="4"/>
  <c r="U1047" i="4"/>
  <c r="S1047" i="4"/>
  <c r="P1047" i="4"/>
  <c r="N1047" i="4"/>
  <c r="K1047" i="4"/>
  <c r="I1047" i="4"/>
  <c r="F1047" i="4"/>
  <c r="AA1046" i="4"/>
  <c r="X1046" i="4"/>
  <c r="U1046" i="4"/>
  <c r="S1046" i="4"/>
  <c r="P1046" i="4"/>
  <c r="N1046" i="4"/>
  <c r="K1046" i="4"/>
  <c r="I1046" i="4"/>
  <c r="F1046" i="4"/>
  <c r="AA1045" i="4"/>
  <c r="X1045" i="4"/>
  <c r="U1045" i="4"/>
  <c r="S1045" i="4"/>
  <c r="P1045" i="4"/>
  <c r="N1045" i="4"/>
  <c r="K1045" i="4"/>
  <c r="I1045" i="4"/>
  <c r="F1045" i="4"/>
  <c r="AA1044" i="4"/>
  <c r="X1044" i="4"/>
  <c r="U1044" i="4"/>
  <c r="S1044" i="4"/>
  <c r="P1044" i="4"/>
  <c r="N1044" i="4"/>
  <c r="K1044" i="4"/>
  <c r="I1044" i="4"/>
  <c r="F1044" i="4"/>
  <c r="AA1043" i="4"/>
  <c r="X1043" i="4"/>
  <c r="U1043" i="4"/>
  <c r="S1043" i="4"/>
  <c r="P1043" i="4"/>
  <c r="N1043" i="4"/>
  <c r="K1043" i="4"/>
  <c r="I1043" i="4"/>
  <c r="F1043" i="4"/>
  <c r="AA1042" i="4"/>
  <c r="X1042" i="4"/>
  <c r="U1042" i="4"/>
  <c r="S1042" i="4"/>
  <c r="P1042" i="4"/>
  <c r="N1042" i="4"/>
  <c r="K1042" i="4"/>
  <c r="I1042" i="4"/>
  <c r="F1042" i="4"/>
  <c r="AA1041" i="4"/>
  <c r="X1041" i="4"/>
  <c r="U1041" i="4"/>
  <c r="S1041" i="4"/>
  <c r="P1041" i="4"/>
  <c r="N1041" i="4"/>
  <c r="K1041" i="4"/>
  <c r="I1041" i="4"/>
  <c r="F1041" i="4"/>
  <c r="AA1040" i="4"/>
  <c r="X1040" i="4"/>
  <c r="U1040" i="4"/>
  <c r="S1040" i="4"/>
  <c r="P1040" i="4"/>
  <c r="N1040" i="4"/>
  <c r="K1040" i="4"/>
  <c r="I1040" i="4"/>
  <c r="F1040" i="4"/>
  <c r="AA1039" i="4"/>
  <c r="X1039" i="4"/>
  <c r="U1039" i="4"/>
  <c r="S1039" i="4"/>
  <c r="P1039" i="4"/>
  <c r="N1039" i="4"/>
  <c r="K1039" i="4"/>
  <c r="I1039" i="4"/>
  <c r="F1039" i="4"/>
  <c r="AA1038" i="4"/>
  <c r="X1038" i="4"/>
  <c r="U1038" i="4"/>
  <c r="S1038" i="4"/>
  <c r="P1038" i="4"/>
  <c r="N1038" i="4"/>
  <c r="K1038" i="4"/>
  <c r="I1038" i="4"/>
  <c r="F1038" i="4"/>
  <c r="AA1037" i="4"/>
  <c r="X1037" i="4"/>
  <c r="U1037" i="4"/>
  <c r="S1037" i="4"/>
  <c r="P1037" i="4"/>
  <c r="N1037" i="4"/>
  <c r="K1037" i="4"/>
  <c r="I1037" i="4"/>
  <c r="F1037" i="4"/>
  <c r="AA1036" i="4"/>
  <c r="X1036" i="4"/>
  <c r="U1036" i="4"/>
  <c r="S1036" i="4"/>
  <c r="P1036" i="4"/>
  <c r="N1036" i="4"/>
  <c r="K1036" i="4"/>
  <c r="I1036" i="4"/>
  <c r="F1036" i="4"/>
  <c r="AA1035" i="4"/>
  <c r="X1035" i="4"/>
  <c r="U1035" i="4"/>
  <c r="S1035" i="4"/>
  <c r="P1035" i="4"/>
  <c r="N1035" i="4"/>
  <c r="K1035" i="4"/>
  <c r="I1035" i="4"/>
  <c r="F1035" i="4"/>
  <c r="AA1034" i="4"/>
  <c r="X1034" i="4"/>
  <c r="U1034" i="4"/>
  <c r="S1034" i="4"/>
  <c r="P1034" i="4"/>
  <c r="N1034" i="4"/>
  <c r="K1034" i="4"/>
  <c r="I1034" i="4"/>
  <c r="F1034" i="4"/>
  <c r="AA1033" i="4"/>
  <c r="X1033" i="4"/>
  <c r="U1033" i="4"/>
  <c r="S1033" i="4"/>
  <c r="P1033" i="4"/>
  <c r="N1033" i="4"/>
  <c r="K1033" i="4"/>
  <c r="I1033" i="4"/>
  <c r="F1033" i="4"/>
  <c r="AA1032" i="4"/>
  <c r="X1032" i="4"/>
  <c r="U1032" i="4"/>
  <c r="S1032" i="4"/>
  <c r="P1032" i="4"/>
  <c r="N1032" i="4"/>
  <c r="K1032" i="4"/>
  <c r="I1032" i="4"/>
  <c r="F1032" i="4"/>
  <c r="AA1031" i="4"/>
  <c r="X1031" i="4"/>
  <c r="U1031" i="4"/>
  <c r="S1031" i="4"/>
  <c r="P1031" i="4"/>
  <c r="N1031" i="4"/>
  <c r="K1031" i="4"/>
  <c r="I1031" i="4"/>
  <c r="F1031" i="4"/>
  <c r="AA1030" i="4"/>
  <c r="X1030" i="4"/>
  <c r="U1030" i="4"/>
  <c r="S1030" i="4"/>
  <c r="P1030" i="4"/>
  <c r="N1030" i="4"/>
  <c r="K1030" i="4"/>
  <c r="I1030" i="4"/>
  <c r="F1030" i="4"/>
  <c r="AA1029" i="4"/>
  <c r="X1029" i="4"/>
  <c r="U1029" i="4"/>
  <c r="S1029" i="4"/>
  <c r="P1029" i="4"/>
  <c r="N1029" i="4"/>
  <c r="K1029" i="4"/>
  <c r="I1029" i="4"/>
  <c r="F1029" i="4"/>
  <c r="AA1028" i="4"/>
  <c r="X1028" i="4"/>
  <c r="U1028" i="4"/>
  <c r="S1028" i="4"/>
  <c r="P1028" i="4"/>
  <c r="N1028" i="4"/>
  <c r="K1028" i="4"/>
  <c r="I1028" i="4"/>
  <c r="F1028" i="4"/>
  <c r="AA1027" i="4"/>
  <c r="X1027" i="4"/>
  <c r="U1027" i="4"/>
  <c r="S1027" i="4"/>
  <c r="P1027" i="4"/>
  <c r="N1027" i="4"/>
  <c r="K1027" i="4"/>
  <c r="I1027" i="4"/>
  <c r="F1027" i="4"/>
  <c r="AA1026" i="4"/>
  <c r="X1026" i="4"/>
  <c r="U1026" i="4"/>
  <c r="S1026" i="4"/>
  <c r="P1026" i="4"/>
  <c r="N1026" i="4"/>
  <c r="K1026" i="4"/>
  <c r="I1026" i="4"/>
  <c r="F1026" i="4"/>
  <c r="AA1025" i="4"/>
  <c r="X1025" i="4"/>
  <c r="U1025" i="4"/>
  <c r="S1025" i="4"/>
  <c r="P1025" i="4"/>
  <c r="N1025" i="4"/>
  <c r="K1025" i="4"/>
  <c r="I1025" i="4"/>
  <c r="F1025" i="4"/>
  <c r="AA1024" i="4"/>
  <c r="X1024" i="4"/>
  <c r="U1024" i="4"/>
  <c r="S1024" i="4"/>
  <c r="P1024" i="4"/>
  <c r="N1024" i="4"/>
  <c r="K1024" i="4"/>
  <c r="I1024" i="4"/>
  <c r="F1024" i="4"/>
  <c r="AA1023" i="4"/>
  <c r="X1023" i="4"/>
  <c r="U1023" i="4"/>
  <c r="S1023" i="4"/>
  <c r="P1023" i="4"/>
  <c r="N1023" i="4"/>
  <c r="K1023" i="4"/>
  <c r="I1023" i="4"/>
  <c r="F1023" i="4"/>
  <c r="AA1022" i="4"/>
  <c r="X1022" i="4"/>
  <c r="U1022" i="4"/>
  <c r="S1022" i="4"/>
  <c r="P1022" i="4"/>
  <c r="N1022" i="4"/>
  <c r="K1022" i="4"/>
  <c r="I1022" i="4"/>
  <c r="F1022" i="4"/>
  <c r="AA1021" i="4"/>
  <c r="X1021" i="4"/>
  <c r="U1021" i="4"/>
  <c r="S1021" i="4"/>
  <c r="P1021" i="4"/>
  <c r="N1021" i="4"/>
  <c r="K1021" i="4"/>
  <c r="I1021" i="4"/>
  <c r="F1021" i="4"/>
  <c r="AA1020" i="4"/>
  <c r="X1020" i="4"/>
  <c r="U1020" i="4"/>
  <c r="S1020" i="4"/>
  <c r="P1020" i="4"/>
  <c r="N1020" i="4"/>
  <c r="K1020" i="4"/>
  <c r="I1020" i="4"/>
  <c r="F1020" i="4"/>
  <c r="AA1019" i="4"/>
  <c r="X1019" i="4"/>
  <c r="U1019" i="4"/>
  <c r="S1019" i="4"/>
  <c r="P1019" i="4"/>
  <c r="N1019" i="4"/>
  <c r="K1019" i="4"/>
  <c r="I1019" i="4"/>
  <c r="F1019" i="4"/>
  <c r="AA1018" i="4"/>
  <c r="X1018" i="4"/>
  <c r="U1018" i="4"/>
  <c r="S1018" i="4"/>
  <c r="P1018" i="4"/>
  <c r="N1018" i="4"/>
  <c r="K1018" i="4"/>
  <c r="I1018" i="4"/>
  <c r="F1018" i="4"/>
  <c r="AA1017" i="4"/>
  <c r="X1017" i="4"/>
  <c r="U1017" i="4"/>
  <c r="S1017" i="4"/>
  <c r="P1017" i="4"/>
  <c r="N1017" i="4"/>
  <c r="K1017" i="4"/>
  <c r="I1017" i="4"/>
  <c r="F1017" i="4"/>
  <c r="AA1016" i="4"/>
  <c r="X1016" i="4"/>
  <c r="U1016" i="4"/>
  <c r="S1016" i="4"/>
  <c r="P1016" i="4"/>
  <c r="N1016" i="4"/>
  <c r="K1016" i="4"/>
  <c r="I1016" i="4"/>
  <c r="F1016" i="4"/>
  <c r="AA1015" i="4"/>
  <c r="X1015" i="4"/>
  <c r="U1015" i="4"/>
  <c r="S1015" i="4"/>
  <c r="P1015" i="4"/>
  <c r="N1015" i="4"/>
  <c r="K1015" i="4"/>
  <c r="I1015" i="4"/>
  <c r="F1015" i="4"/>
  <c r="AA1014" i="4"/>
  <c r="X1014" i="4"/>
  <c r="U1014" i="4"/>
  <c r="S1014" i="4"/>
  <c r="P1014" i="4"/>
  <c r="N1014" i="4"/>
  <c r="K1014" i="4"/>
  <c r="I1014" i="4"/>
  <c r="F1014" i="4"/>
  <c r="AA1013" i="4"/>
  <c r="X1013" i="4"/>
  <c r="U1013" i="4"/>
  <c r="S1013" i="4"/>
  <c r="P1013" i="4"/>
  <c r="N1013" i="4"/>
  <c r="K1013" i="4"/>
  <c r="I1013" i="4"/>
  <c r="F1013" i="4"/>
  <c r="AA1012" i="4"/>
  <c r="X1012" i="4"/>
  <c r="U1012" i="4"/>
  <c r="S1012" i="4"/>
  <c r="P1012" i="4"/>
  <c r="N1012" i="4"/>
  <c r="K1012" i="4"/>
  <c r="I1012" i="4"/>
  <c r="F1012" i="4"/>
  <c r="AA1011" i="4"/>
  <c r="X1011" i="4"/>
  <c r="U1011" i="4"/>
  <c r="S1011" i="4"/>
  <c r="P1011" i="4"/>
  <c r="N1011" i="4"/>
  <c r="K1011" i="4"/>
  <c r="I1011" i="4"/>
  <c r="F1011" i="4"/>
  <c r="AA1010" i="4"/>
  <c r="X1010" i="4"/>
  <c r="U1010" i="4"/>
  <c r="S1010" i="4"/>
  <c r="P1010" i="4"/>
  <c r="N1010" i="4"/>
  <c r="K1010" i="4"/>
  <c r="I1010" i="4"/>
  <c r="F1010" i="4"/>
  <c r="AA1009" i="4"/>
  <c r="X1009" i="4"/>
  <c r="U1009" i="4"/>
  <c r="S1009" i="4"/>
  <c r="P1009" i="4"/>
  <c r="N1009" i="4"/>
  <c r="K1009" i="4"/>
  <c r="I1009" i="4"/>
  <c r="F1009" i="4"/>
  <c r="AA1008" i="4"/>
  <c r="X1008" i="4"/>
  <c r="U1008" i="4"/>
  <c r="S1008" i="4"/>
  <c r="P1008" i="4"/>
  <c r="N1008" i="4"/>
  <c r="K1008" i="4"/>
  <c r="I1008" i="4"/>
  <c r="F1008" i="4"/>
  <c r="AA1007" i="4"/>
  <c r="X1007" i="4"/>
  <c r="U1007" i="4"/>
  <c r="S1007" i="4"/>
  <c r="P1007" i="4"/>
  <c r="N1007" i="4"/>
  <c r="K1007" i="4"/>
  <c r="I1007" i="4"/>
  <c r="F1007" i="4"/>
  <c r="AA1006" i="4"/>
  <c r="X1006" i="4"/>
  <c r="U1006" i="4"/>
  <c r="S1006" i="4"/>
  <c r="P1006" i="4"/>
  <c r="N1006" i="4"/>
  <c r="K1006" i="4"/>
  <c r="I1006" i="4"/>
  <c r="F1006" i="4"/>
  <c r="AA1005" i="4"/>
  <c r="X1005" i="4"/>
  <c r="U1005" i="4"/>
  <c r="S1005" i="4"/>
  <c r="P1005" i="4"/>
  <c r="N1005" i="4"/>
  <c r="K1005" i="4"/>
  <c r="I1005" i="4"/>
  <c r="F1005" i="4"/>
  <c r="AA1004" i="4"/>
  <c r="X1004" i="4"/>
  <c r="U1004" i="4"/>
  <c r="S1004" i="4"/>
  <c r="P1004" i="4"/>
  <c r="N1004" i="4"/>
  <c r="K1004" i="4"/>
  <c r="I1004" i="4"/>
  <c r="F1004" i="4"/>
  <c r="AA1003" i="4"/>
  <c r="X1003" i="4"/>
  <c r="U1003" i="4"/>
  <c r="S1003" i="4"/>
  <c r="P1003" i="4"/>
  <c r="N1003" i="4"/>
  <c r="K1003" i="4"/>
  <c r="I1003" i="4"/>
  <c r="F1003" i="4"/>
  <c r="AA1002" i="4"/>
  <c r="X1002" i="4"/>
  <c r="U1002" i="4"/>
  <c r="S1002" i="4"/>
  <c r="P1002" i="4"/>
  <c r="N1002" i="4"/>
  <c r="K1002" i="4"/>
  <c r="I1002" i="4"/>
  <c r="F1002" i="4"/>
  <c r="AA1001" i="4"/>
  <c r="X1001" i="4"/>
  <c r="U1001" i="4"/>
  <c r="S1001" i="4"/>
  <c r="P1001" i="4"/>
  <c r="N1001" i="4"/>
  <c r="K1001" i="4"/>
  <c r="I1001" i="4"/>
  <c r="F1001" i="4"/>
  <c r="AA1000" i="4"/>
  <c r="X1000" i="4"/>
  <c r="U1000" i="4"/>
  <c r="S1000" i="4"/>
  <c r="P1000" i="4"/>
  <c r="N1000" i="4"/>
  <c r="K1000" i="4"/>
  <c r="I1000" i="4"/>
  <c r="F1000" i="4"/>
  <c r="AA999" i="4"/>
  <c r="X999" i="4"/>
  <c r="U999" i="4"/>
  <c r="S999" i="4"/>
  <c r="P999" i="4"/>
  <c r="N999" i="4"/>
  <c r="K999" i="4"/>
  <c r="I999" i="4"/>
  <c r="F999" i="4"/>
  <c r="AA998" i="4"/>
  <c r="X998" i="4"/>
  <c r="U998" i="4"/>
  <c r="S998" i="4"/>
  <c r="P998" i="4"/>
  <c r="N998" i="4"/>
  <c r="K998" i="4"/>
  <c r="I998" i="4"/>
  <c r="F998" i="4"/>
  <c r="AA997" i="4"/>
  <c r="X997" i="4"/>
  <c r="U997" i="4"/>
  <c r="S997" i="4"/>
  <c r="P997" i="4"/>
  <c r="N997" i="4"/>
  <c r="K997" i="4"/>
  <c r="I997" i="4"/>
  <c r="F997" i="4"/>
  <c r="AA996" i="4"/>
  <c r="X996" i="4"/>
  <c r="U996" i="4"/>
  <c r="S996" i="4"/>
  <c r="P996" i="4"/>
  <c r="N996" i="4"/>
  <c r="K996" i="4"/>
  <c r="I996" i="4"/>
  <c r="F996" i="4"/>
  <c r="AA995" i="4"/>
  <c r="X995" i="4"/>
  <c r="U995" i="4"/>
  <c r="S995" i="4"/>
  <c r="P995" i="4"/>
  <c r="N995" i="4"/>
  <c r="K995" i="4"/>
  <c r="I995" i="4"/>
  <c r="F995" i="4"/>
  <c r="AA994" i="4"/>
  <c r="X994" i="4"/>
  <c r="U994" i="4"/>
  <c r="S994" i="4"/>
  <c r="P994" i="4"/>
  <c r="N994" i="4"/>
  <c r="K994" i="4"/>
  <c r="I994" i="4"/>
  <c r="F994" i="4"/>
  <c r="AA993" i="4"/>
  <c r="X993" i="4"/>
  <c r="U993" i="4"/>
  <c r="S993" i="4"/>
  <c r="P993" i="4"/>
  <c r="N993" i="4"/>
  <c r="K993" i="4"/>
  <c r="I993" i="4"/>
  <c r="F993" i="4"/>
  <c r="AA992" i="4"/>
  <c r="X992" i="4"/>
  <c r="U992" i="4"/>
  <c r="S992" i="4"/>
  <c r="P992" i="4"/>
  <c r="N992" i="4"/>
  <c r="K992" i="4"/>
  <c r="I992" i="4"/>
  <c r="F992" i="4"/>
  <c r="AA991" i="4"/>
  <c r="X991" i="4"/>
  <c r="U991" i="4"/>
  <c r="S991" i="4"/>
  <c r="P991" i="4"/>
  <c r="N991" i="4"/>
  <c r="K991" i="4"/>
  <c r="I991" i="4"/>
  <c r="F991" i="4"/>
  <c r="AA990" i="4"/>
  <c r="X990" i="4"/>
  <c r="U990" i="4"/>
  <c r="S990" i="4"/>
  <c r="P990" i="4"/>
  <c r="N990" i="4"/>
  <c r="K990" i="4"/>
  <c r="I990" i="4"/>
  <c r="F990" i="4"/>
  <c r="AA989" i="4"/>
  <c r="X989" i="4"/>
  <c r="U989" i="4"/>
  <c r="S989" i="4"/>
  <c r="P989" i="4"/>
  <c r="N989" i="4"/>
  <c r="K989" i="4"/>
  <c r="I989" i="4"/>
  <c r="F989" i="4"/>
  <c r="AA988" i="4"/>
  <c r="X988" i="4"/>
  <c r="U988" i="4"/>
  <c r="S988" i="4"/>
  <c r="P988" i="4"/>
  <c r="N988" i="4"/>
  <c r="K988" i="4"/>
  <c r="I988" i="4"/>
  <c r="F988" i="4"/>
  <c r="AA987" i="4"/>
  <c r="X987" i="4"/>
  <c r="U987" i="4"/>
  <c r="S987" i="4"/>
  <c r="P987" i="4"/>
  <c r="N987" i="4"/>
  <c r="K987" i="4"/>
  <c r="I987" i="4"/>
  <c r="F987" i="4"/>
  <c r="AA986" i="4"/>
  <c r="X986" i="4"/>
  <c r="U986" i="4"/>
  <c r="S986" i="4"/>
  <c r="P986" i="4"/>
  <c r="N986" i="4"/>
  <c r="K986" i="4"/>
  <c r="I986" i="4"/>
  <c r="F986" i="4"/>
  <c r="AA985" i="4"/>
  <c r="X985" i="4"/>
  <c r="U985" i="4"/>
  <c r="S985" i="4"/>
  <c r="P985" i="4"/>
  <c r="N985" i="4"/>
  <c r="K985" i="4"/>
  <c r="I985" i="4"/>
  <c r="F985" i="4"/>
  <c r="AA984" i="4"/>
  <c r="X984" i="4"/>
  <c r="U984" i="4"/>
  <c r="S984" i="4"/>
  <c r="P984" i="4"/>
  <c r="N984" i="4"/>
  <c r="K984" i="4"/>
  <c r="I984" i="4"/>
  <c r="F984" i="4"/>
  <c r="AA983" i="4"/>
  <c r="X983" i="4"/>
  <c r="U983" i="4"/>
  <c r="S983" i="4"/>
  <c r="P983" i="4"/>
  <c r="N983" i="4"/>
  <c r="K983" i="4"/>
  <c r="I983" i="4"/>
  <c r="F983" i="4"/>
  <c r="AA982" i="4"/>
  <c r="X982" i="4"/>
  <c r="U982" i="4"/>
  <c r="S982" i="4"/>
  <c r="P982" i="4"/>
  <c r="N982" i="4"/>
  <c r="K982" i="4"/>
  <c r="I982" i="4"/>
  <c r="F982" i="4"/>
  <c r="AA981" i="4"/>
  <c r="X981" i="4"/>
  <c r="U981" i="4"/>
  <c r="S981" i="4"/>
  <c r="P981" i="4"/>
  <c r="N981" i="4"/>
  <c r="K981" i="4"/>
  <c r="I981" i="4"/>
  <c r="F981" i="4"/>
  <c r="AA980" i="4"/>
  <c r="X980" i="4"/>
  <c r="U980" i="4"/>
  <c r="S980" i="4"/>
  <c r="P980" i="4"/>
  <c r="N980" i="4"/>
  <c r="K980" i="4"/>
  <c r="I980" i="4"/>
  <c r="F980" i="4"/>
  <c r="AA979" i="4"/>
  <c r="X979" i="4"/>
  <c r="U979" i="4"/>
  <c r="S979" i="4"/>
  <c r="P979" i="4"/>
  <c r="N979" i="4"/>
  <c r="K979" i="4"/>
  <c r="I979" i="4"/>
  <c r="F979" i="4"/>
  <c r="AA978" i="4"/>
  <c r="X978" i="4"/>
  <c r="U978" i="4"/>
  <c r="S978" i="4"/>
  <c r="P978" i="4"/>
  <c r="N978" i="4"/>
  <c r="K978" i="4"/>
  <c r="I978" i="4"/>
  <c r="F978" i="4"/>
  <c r="AA977" i="4"/>
  <c r="X977" i="4"/>
  <c r="U977" i="4"/>
  <c r="S977" i="4"/>
  <c r="P977" i="4"/>
  <c r="N977" i="4"/>
  <c r="K977" i="4"/>
  <c r="I977" i="4"/>
  <c r="F977" i="4"/>
  <c r="AA976" i="4"/>
  <c r="X976" i="4"/>
  <c r="U976" i="4"/>
  <c r="S976" i="4"/>
  <c r="P976" i="4"/>
  <c r="N976" i="4"/>
  <c r="K976" i="4"/>
  <c r="I976" i="4"/>
  <c r="F976" i="4"/>
  <c r="AA975" i="4"/>
  <c r="X975" i="4"/>
  <c r="U975" i="4"/>
  <c r="S975" i="4"/>
  <c r="P975" i="4"/>
  <c r="N975" i="4"/>
  <c r="K975" i="4"/>
  <c r="I975" i="4"/>
  <c r="F975" i="4"/>
  <c r="AA974" i="4"/>
  <c r="X974" i="4"/>
  <c r="U974" i="4"/>
  <c r="S974" i="4"/>
  <c r="P974" i="4"/>
  <c r="N974" i="4"/>
  <c r="K974" i="4"/>
  <c r="I974" i="4"/>
  <c r="F974" i="4"/>
  <c r="AA973" i="4"/>
  <c r="X973" i="4"/>
  <c r="U973" i="4"/>
  <c r="S973" i="4"/>
  <c r="P973" i="4"/>
  <c r="N973" i="4"/>
  <c r="K973" i="4"/>
  <c r="I973" i="4"/>
  <c r="F973" i="4"/>
  <c r="AA972" i="4"/>
  <c r="X972" i="4"/>
  <c r="U972" i="4"/>
  <c r="S972" i="4"/>
  <c r="P972" i="4"/>
  <c r="N972" i="4"/>
  <c r="K972" i="4"/>
  <c r="I972" i="4"/>
  <c r="F972" i="4"/>
  <c r="AA971" i="4"/>
  <c r="X971" i="4"/>
  <c r="U971" i="4"/>
  <c r="S971" i="4"/>
  <c r="P971" i="4"/>
  <c r="N971" i="4"/>
  <c r="K971" i="4"/>
  <c r="I971" i="4"/>
  <c r="F971" i="4"/>
  <c r="AA970" i="4"/>
  <c r="X970" i="4"/>
  <c r="U970" i="4"/>
  <c r="S970" i="4"/>
  <c r="P970" i="4"/>
  <c r="N970" i="4"/>
  <c r="K970" i="4"/>
  <c r="I970" i="4"/>
  <c r="F970" i="4"/>
  <c r="AA969" i="4"/>
  <c r="X969" i="4"/>
  <c r="U969" i="4"/>
  <c r="S969" i="4"/>
  <c r="P969" i="4"/>
  <c r="N969" i="4"/>
  <c r="K969" i="4"/>
  <c r="I969" i="4"/>
  <c r="F969" i="4"/>
  <c r="AA968" i="4"/>
  <c r="X968" i="4"/>
  <c r="U968" i="4"/>
  <c r="S968" i="4"/>
  <c r="P968" i="4"/>
  <c r="N968" i="4"/>
  <c r="K968" i="4"/>
  <c r="I968" i="4"/>
  <c r="F968" i="4"/>
  <c r="AA967" i="4"/>
  <c r="X967" i="4"/>
  <c r="U967" i="4"/>
  <c r="S967" i="4"/>
  <c r="P967" i="4"/>
  <c r="N967" i="4"/>
  <c r="K967" i="4"/>
  <c r="I967" i="4"/>
  <c r="F967" i="4"/>
  <c r="AA966" i="4"/>
  <c r="X966" i="4"/>
  <c r="U966" i="4"/>
  <c r="S966" i="4"/>
  <c r="P966" i="4"/>
  <c r="N966" i="4"/>
  <c r="K966" i="4"/>
  <c r="I966" i="4"/>
  <c r="F966" i="4"/>
  <c r="AA965" i="4"/>
  <c r="X965" i="4"/>
  <c r="U965" i="4"/>
  <c r="S965" i="4"/>
  <c r="P965" i="4"/>
  <c r="N965" i="4"/>
  <c r="K965" i="4"/>
  <c r="I965" i="4"/>
  <c r="F965" i="4"/>
  <c r="AA964" i="4"/>
  <c r="X964" i="4"/>
  <c r="U964" i="4"/>
  <c r="S964" i="4"/>
  <c r="P964" i="4"/>
  <c r="N964" i="4"/>
  <c r="K964" i="4"/>
  <c r="I964" i="4"/>
  <c r="F964" i="4"/>
  <c r="AA963" i="4"/>
  <c r="X963" i="4"/>
  <c r="U963" i="4"/>
  <c r="S963" i="4"/>
  <c r="P963" i="4"/>
  <c r="N963" i="4"/>
  <c r="K963" i="4"/>
  <c r="I963" i="4"/>
  <c r="F963" i="4"/>
  <c r="AA962" i="4"/>
  <c r="X962" i="4"/>
  <c r="U962" i="4"/>
  <c r="S962" i="4"/>
  <c r="P962" i="4"/>
  <c r="N962" i="4"/>
  <c r="K962" i="4"/>
  <c r="I962" i="4"/>
  <c r="F962" i="4"/>
  <c r="AA961" i="4"/>
  <c r="X961" i="4"/>
  <c r="U961" i="4"/>
  <c r="S961" i="4"/>
  <c r="P961" i="4"/>
  <c r="N961" i="4"/>
  <c r="K961" i="4"/>
  <c r="I961" i="4"/>
  <c r="F961" i="4"/>
  <c r="AA960" i="4"/>
  <c r="X960" i="4"/>
  <c r="U960" i="4"/>
  <c r="S960" i="4"/>
  <c r="P960" i="4"/>
  <c r="N960" i="4"/>
  <c r="K960" i="4"/>
  <c r="I960" i="4"/>
  <c r="F960" i="4"/>
  <c r="AA959" i="4"/>
  <c r="X959" i="4"/>
  <c r="U959" i="4"/>
  <c r="S959" i="4"/>
  <c r="P959" i="4"/>
  <c r="N959" i="4"/>
  <c r="K959" i="4"/>
  <c r="I959" i="4"/>
  <c r="F959" i="4"/>
  <c r="AA958" i="4"/>
  <c r="X958" i="4"/>
  <c r="U958" i="4"/>
  <c r="S958" i="4"/>
  <c r="P958" i="4"/>
  <c r="N958" i="4"/>
  <c r="K958" i="4"/>
  <c r="I958" i="4"/>
  <c r="F958" i="4"/>
  <c r="AA957" i="4"/>
  <c r="X957" i="4"/>
  <c r="U957" i="4"/>
  <c r="S957" i="4"/>
  <c r="P957" i="4"/>
  <c r="N957" i="4"/>
  <c r="K957" i="4"/>
  <c r="I957" i="4"/>
  <c r="F957" i="4"/>
  <c r="AA956" i="4"/>
  <c r="X956" i="4"/>
  <c r="U956" i="4"/>
  <c r="S956" i="4"/>
  <c r="P956" i="4"/>
  <c r="N956" i="4"/>
  <c r="K956" i="4"/>
  <c r="I956" i="4"/>
  <c r="F956" i="4"/>
  <c r="AA955" i="4"/>
  <c r="X955" i="4"/>
  <c r="U955" i="4"/>
  <c r="S955" i="4"/>
  <c r="P955" i="4"/>
  <c r="N955" i="4"/>
  <c r="K955" i="4"/>
  <c r="I955" i="4"/>
  <c r="F955" i="4"/>
  <c r="AA954" i="4"/>
  <c r="X954" i="4"/>
  <c r="U954" i="4"/>
  <c r="S954" i="4"/>
  <c r="P954" i="4"/>
  <c r="N954" i="4"/>
  <c r="K954" i="4"/>
  <c r="I954" i="4"/>
  <c r="F954" i="4"/>
  <c r="AA953" i="4"/>
  <c r="X953" i="4"/>
  <c r="U953" i="4"/>
  <c r="S953" i="4"/>
  <c r="P953" i="4"/>
  <c r="N953" i="4"/>
  <c r="K953" i="4"/>
  <c r="I953" i="4"/>
  <c r="F953" i="4"/>
  <c r="AA952" i="4"/>
  <c r="X952" i="4"/>
  <c r="U952" i="4"/>
  <c r="S952" i="4"/>
  <c r="P952" i="4"/>
  <c r="N952" i="4"/>
  <c r="K952" i="4"/>
  <c r="I952" i="4"/>
  <c r="F952" i="4"/>
  <c r="AA951" i="4"/>
  <c r="X951" i="4"/>
  <c r="U951" i="4"/>
  <c r="S951" i="4"/>
  <c r="P951" i="4"/>
  <c r="N951" i="4"/>
  <c r="K951" i="4"/>
  <c r="I951" i="4"/>
  <c r="F951" i="4"/>
  <c r="AA950" i="4"/>
  <c r="X950" i="4"/>
  <c r="U950" i="4"/>
  <c r="S950" i="4"/>
  <c r="P950" i="4"/>
  <c r="N950" i="4"/>
  <c r="K950" i="4"/>
  <c r="I950" i="4"/>
  <c r="F950" i="4"/>
  <c r="AA949" i="4"/>
  <c r="X949" i="4"/>
  <c r="U949" i="4"/>
  <c r="S949" i="4"/>
  <c r="P949" i="4"/>
  <c r="N949" i="4"/>
  <c r="K949" i="4"/>
  <c r="I949" i="4"/>
  <c r="F949" i="4"/>
  <c r="AA948" i="4"/>
  <c r="X948" i="4"/>
  <c r="U948" i="4"/>
  <c r="S948" i="4"/>
  <c r="P948" i="4"/>
  <c r="N948" i="4"/>
  <c r="K948" i="4"/>
  <c r="I948" i="4"/>
  <c r="F948" i="4"/>
  <c r="AA947" i="4"/>
  <c r="X947" i="4"/>
  <c r="U947" i="4"/>
  <c r="S947" i="4"/>
  <c r="P947" i="4"/>
  <c r="N947" i="4"/>
  <c r="K947" i="4"/>
  <c r="I947" i="4"/>
  <c r="F947" i="4"/>
  <c r="AA946" i="4"/>
  <c r="X946" i="4"/>
  <c r="U946" i="4"/>
  <c r="S946" i="4"/>
  <c r="P946" i="4"/>
  <c r="N946" i="4"/>
  <c r="K946" i="4"/>
  <c r="I946" i="4"/>
  <c r="F946" i="4"/>
  <c r="AA945" i="4"/>
  <c r="X945" i="4"/>
  <c r="U945" i="4"/>
  <c r="S945" i="4"/>
  <c r="P945" i="4"/>
  <c r="N945" i="4"/>
  <c r="K945" i="4"/>
  <c r="I945" i="4"/>
  <c r="F945" i="4"/>
  <c r="AA944" i="4"/>
  <c r="X944" i="4"/>
  <c r="U944" i="4"/>
  <c r="S944" i="4"/>
  <c r="P944" i="4"/>
  <c r="N944" i="4"/>
  <c r="K944" i="4"/>
  <c r="I944" i="4"/>
  <c r="F944" i="4"/>
  <c r="AA943" i="4"/>
  <c r="X943" i="4"/>
  <c r="U943" i="4"/>
  <c r="S943" i="4"/>
  <c r="P943" i="4"/>
  <c r="N943" i="4"/>
  <c r="K943" i="4"/>
  <c r="I943" i="4"/>
  <c r="F943" i="4"/>
  <c r="AA942" i="4"/>
  <c r="X942" i="4"/>
  <c r="U942" i="4"/>
  <c r="S942" i="4"/>
  <c r="P942" i="4"/>
  <c r="N942" i="4"/>
  <c r="K942" i="4"/>
  <c r="I942" i="4"/>
  <c r="F942" i="4"/>
  <c r="AA941" i="4"/>
  <c r="X941" i="4"/>
  <c r="U941" i="4"/>
  <c r="S941" i="4"/>
  <c r="P941" i="4"/>
  <c r="N941" i="4"/>
  <c r="K941" i="4"/>
  <c r="I941" i="4"/>
  <c r="F941" i="4"/>
  <c r="AA940" i="4"/>
  <c r="X940" i="4"/>
  <c r="U940" i="4"/>
  <c r="S940" i="4"/>
  <c r="P940" i="4"/>
  <c r="N940" i="4"/>
  <c r="K940" i="4"/>
  <c r="I940" i="4"/>
  <c r="F940" i="4"/>
  <c r="AA939" i="4"/>
  <c r="X939" i="4"/>
  <c r="U939" i="4"/>
  <c r="S939" i="4"/>
  <c r="P939" i="4"/>
  <c r="N939" i="4"/>
  <c r="K939" i="4"/>
  <c r="I939" i="4"/>
  <c r="F939" i="4"/>
  <c r="AA938" i="4"/>
  <c r="X938" i="4"/>
  <c r="U938" i="4"/>
  <c r="S938" i="4"/>
  <c r="P938" i="4"/>
  <c r="N938" i="4"/>
  <c r="K938" i="4"/>
  <c r="I938" i="4"/>
  <c r="F938" i="4"/>
  <c r="AA937" i="4"/>
  <c r="X937" i="4"/>
  <c r="U937" i="4"/>
  <c r="S937" i="4"/>
  <c r="P937" i="4"/>
  <c r="N937" i="4"/>
  <c r="K937" i="4"/>
  <c r="I937" i="4"/>
  <c r="F937" i="4"/>
  <c r="AA936" i="4"/>
  <c r="X936" i="4"/>
  <c r="U936" i="4"/>
  <c r="S936" i="4"/>
  <c r="P936" i="4"/>
  <c r="N936" i="4"/>
  <c r="K936" i="4"/>
  <c r="I936" i="4"/>
  <c r="F936" i="4"/>
  <c r="AA935" i="4"/>
  <c r="X935" i="4"/>
  <c r="U935" i="4"/>
  <c r="S935" i="4"/>
  <c r="P935" i="4"/>
  <c r="N935" i="4"/>
  <c r="K935" i="4"/>
  <c r="I935" i="4"/>
  <c r="F935" i="4"/>
  <c r="AA934" i="4"/>
  <c r="X934" i="4"/>
  <c r="U934" i="4"/>
  <c r="S934" i="4"/>
  <c r="P934" i="4"/>
  <c r="N934" i="4"/>
  <c r="K934" i="4"/>
  <c r="I934" i="4"/>
  <c r="F934" i="4"/>
  <c r="AA933" i="4"/>
  <c r="X933" i="4"/>
  <c r="U933" i="4"/>
  <c r="S933" i="4"/>
  <c r="P933" i="4"/>
  <c r="N933" i="4"/>
  <c r="K933" i="4"/>
  <c r="I933" i="4"/>
  <c r="F933" i="4"/>
  <c r="AA932" i="4"/>
  <c r="X932" i="4"/>
  <c r="U932" i="4"/>
  <c r="S932" i="4"/>
  <c r="P932" i="4"/>
  <c r="N932" i="4"/>
  <c r="K932" i="4"/>
  <c r="I932" i="4"/>
  <c r="F932" i="4"/>
  <c r="AA931" i="4"/>
  <c r="X931" i="4"/>
  <c r="U931" i="4"/>
  <c r="S931" i="4"/>
  <c r="P931" i="4"/>
  <c r="N931" i="4"/>
  <c r="K931" i="4"/>
  <c r="I931" i="4"/>
  <c r="F931" i="4"/>
  <c r="AA930" i="4"/>
  <c r="X930" i="4"/>
  <c r="U930" i="4"/>
  <c r="S930" i="4"/>
  <c r="P930" i="4"/>
  <c r="N930" i="4"/>
  <c r="K930" i="4"/>
  <c r="I930" i="4"/>
  <c r="F930" i="4"/>
  <c r="AA929" i="4"/>
  <c r="X929" i="4"/>
  <c r="U929" i="4"/>
  <c r="S929" i="4"/>
  <c r="P929" i="4"/>
  <c r="N929" i="4"/>
  <c r="K929" i="4"/>
  <c r="I929" i="4"/>
  <c r="F929" i="4"/>
  <c r="AA928" i="4"/>
  <c r="X928" i="4"/>
  <c r="U928" i="4"/>
  <c r="S928" i="4"/>
  <c r="P928" i="4"/>
  <c r="N928" i="4"/>
  <c r="K928" i="4"/>
  <c r="I928" i="4"/>
  <c r="F928" i="4"/>
  <c r="AA927" i="4"/>
  <c r="X927" i="4"/>
  <c r="U927" i="4"/>
  <c r="S927" i="4"/>
  <c r="P927" i="4"/>
  <c r="N927" i="4"/>
  <c r="K927" i="4"/>
  <c r="I927" i="4"/>
  <c r="F927" i="4"/>
  <c r="AA926" i="4"/>
  <c r="X926" i="4"/>
  <c r="U926" i="4"/>
  <c r="S926" i="4"/>
  <c r="P926" i="4"/>
  <c r="N926" i="4"/>
  <c r="K926" i="4"/>
  <c r="I926" i="4"/>
  <c r="F926" i="4"/>
  <c r="AA925" i="4"/>
  <c r="X925" i="4"/>
  <c r="U925" i="4"/>
  <c r="S925" i="4"/>
  <c r="P925" i="4"/>
  <c r="N925" i="4"/>
  <c r="K925" i="4"/>
  <c r="I925" i="4"/>
  <c r="F925" i="4"/>
  <c r="AA924" i="4"/>
  <c r="X924" i="4"/>
  <c r="U924" i="4"/>
  <c r="S924" i="4"/>
  <c r="P924" i="4"/>
  <c r="N924" i="4"/>
  <c r="K924" i="4"/>
  <c r="I924" i="4"/>
  <c r="F924" i="4"/>
  <c r="AA923" i="4"/>
  <c r="X923" i="4"/>
  <c r="U923" i="4"/>
  <c r="S923" i="4"/>
  <c r="P923" i="4"/>
  <c r="N923" i="4"/>
  <c r="K923" i="4"/>
  <c r="I923" i="4"/>
  <c r="F923" i="4"/>
  <c r="AA922" i="4"/>
  <c r="X922" i="4"/>
  <c r="U922" i="4"/>
  <c r="S922" i="4"/>
  <c r="P922" i="4"/>
  <c r="N922" i="4"/>
  <c r="K922" i="4"/>
  <c r="I922" i="4"/>
  <c r="F922" i="4"/>
  <c r="AA921" i="4"/>
  <c r="X921" i="4"/>
  <c r="U921" i="4"/>
  <c r="S921" i="4"/>
  <c r="P921" i="4"/>
  <c r="N921" i="4"/>
  <c r="K921" i="4"/>
  <c r="I921" i="4"/>
  <c r="F921" i="4"/>
  <c r="AA920" i="4"/>
  <c r="X920" i="4"/>
  <c r="U920" i="4"/>
  <c r="S920" i="4"/>
  <c r="P920" i="4"/>
  <c r="N920" i="4"/>
  <c r="K920" i="4"/>
  <c r="I920" i="4"/>
  <c r="F920" i="4"/>
  <c r="AA919" i="4"/>
  <c r="X919" i="4"/>
  <c r="U919" i="4"/>
  <c r="S919" i="4"/>
  <c r="P919" i="4"/>
  <c r="N919" i="4"/>
  <c r="K919" i="4"/>
  <c r="I919" i="4"/>
  <c r="F919" i="4"/>
  <c r="AA918" i="4"/>
  <c r="X918" i="4"/>
  <c r="U918" i="4"/>
  <c r="S918" i="4"/>
  <c r="P918" i="4"/>
  <c r="N918" i="4"/>
  <c r="K918" i="4"/>
  <c r="I918" i="4"/>
  <c r="F918" i="4"/>
  <c r="AA917" i="4"/>
  <c r="X917" i="4"/>
  <c r="U917" i="4"/>
  <c r="S917" i="4"/>
  <c r="P917" i="4"/>
  <c r="N917" i="4"/>
  <c r="K917" i="4"/>
  <c r="I917" i="4"/>
  <c r="F917" i="4"/>
  <c r="AA916" i="4"/>
  <c r="X916" i="4"/>
  <c r="U916" i="4"/>
  <c r="S916" i="4"/>
  <c r="P916" i="4"/>
  <c r="N916" i="4"/>
  <c r="K916" i="4"/>
  <c r="I916" i="4"/>
  <c r="F916" i="4"/>
  <c r="AA915" i="4"/>
  <c r="X915" i="4"/>
  <c r="U915" i="4"/>
  <c r="S915" i="4"/>
  <c r="P915" i="4"/>
  <c r="N915" i="4"/>
  <c r="K915" i="4"/>
  <c r="I915" i="4"/>
  <c r="F915" i="4"/>
  <c r="AA914" i="4"/>
  <c r="X914" i="4"/>
  <c r="U914" i="4"/>
  <c r="S914" i="4"/>
  <c r="P914" i="4"/>
  <c r="N914" i="4"/>
  <c r="K914" i="4"/>
  <c r="I914" i="4"/>
  <c r="F914" i="4"/>
  <c r="AA913" i="4"/>
  <c r="X913" i="4"/>
  <c r="U913" i="4"/>
  <c r="S913" i="4"/>
  <c r="P913" i="4"/>
  <c r="N913" i="4"/>
  <c r="K913" i="4"/>
  <c r="I913" i="4"/>
  <c r="F913" i="4"/>
  <c r="AA912" i="4"/>
  <c r="X912" i="4"/>
  <c r="U912" i="4"/>
  <c r="S912" i="4"/>
  <c r="P912" i="4"/>
  <c r="N912" i="4"/>
  <c r="K912" i="4"/>
  <c r="I912" i="4"/>
  <c r="F912" i="4"/>
  <c r="AA911" i="4"/>
  <c r="X911" i="4"/>
  <c r="U911" i="4"/>
  <c r="S911" i="4"/>
  <c r="P911" i="4"/>
  <c r="N911" i="4"/>
  <c r="K911" i="4"/>
  <c r="I911" i="4"/>
  <c r="F911" i="4"/>
  <c r="AA910" i="4"/>
  <c r="X910" i="4"/>
  <c r="U910" i="4"/>
  <c r="S910" i="4"/>
  <c r="P910" i="4"/>
  <c r="N910" i="4"/>
  <c r="K910" i="4"/>
  <c r="I910" i="4"/>
  <c r="F910" i="4"/>
  <c r="AA909" i="4"/>
  <c r="X909" i="4"/>
  <c r="U909" i="4"/>
  <c r="S909" i="4"/>
  <c r="P909" i="4"/>
  <c r="N909" i="4"/>
  <c r="K909" i="4"/>
  <c r="I909" i="4"/>
  <c r="F909" i="4"/>
  <c r="AA908" i="4"/>
  <c r="X908" i="4"/>
  <c r="U908" i="4"/>
  <c r="S908" i="4"/>
  <c r="P908" i="4"/>
  <c r="N908" i="4"/>
  <c r="K908" i="4"/>
  <c r="I908" i="4"/>
  <c r="F908" i="4"/>
  <c r="AA907" i="4"/>
  <c r="X907" i="4"/>
  <c r="U907" i="4"/>
  <c r="S907" i="4"/>
  <c r="P907" i="4"/>
  <c r="N907" i="4"/>
  <c r="K907" i="4"/>
  <c r="I907" i="4"/>
  <c r="F907" i="4"/>
  <c r="AA906" i="4"/>
  <c r="X906" i="4"/>
  <c r="U906" i="4"/>
  <c r="S906" i="4"/>
  <c r="P906" i="4"/>
  <c r="N906" i="4"/>
  <c r="K906" i="4"/>
  <c r="I906" i="4"/>
  <c r="F906" i="4"/>
  <c r="AA905" i="4"/>
  <c r="X905" i="4"/>
  <c r="U905" i="4"/>
  <c r="S905" i="4"/>
  <c r="P905" i="4"/>
  <c r="N905" i="4"/>
  <c r="K905" i="4"/>
  <c r="I905" i="4"/>
  <c r="F905" i="4"/>
  <c r="AA904" i="4"/>
  <c r="X904" i="4"/>
  <c r="U904" i="4"/>
  <c r="S904" i="4"/>
  <c r="P904" i="4"/>
  <c r="N904" i="4"/>
  <c r="K904" i="4"/>
  <c r="I904" i="4"/>
  <c r="F904" i="4"/>
  <c r="AA903" i="4"/>
  <c r="X903" i="4"/>
  <c r="U903" i="4"/>
  <c r="S903" i="4"/>
  <c r="P903" i="4"/>
  <c r="N903" i="4"/>
  <c r="K903" i="4"/>
  <c r="I903" i="4"/>
  <c r="F903" i="4"/>
  <c r="AA902" i="4"/>
  <c r="X902" i="4"/>
  <c r="U902" i="4"/>
  <c r="S902" i="4"/>
  <c r="P902" i="4"/>
  <c r="N902" i="4"/>
  <c r="K902" i="4"/>
  <c r="I902" i="4"/>
  <c r="F902" i="4"/>
  <c r="AA901" i="4"/>
  <c r="X901" i="4"/>
  <c r="U901" i="4"/>
  <c r="S901" i="4"/>
  <c r="P901" i="4"/>
  <c r="N901" i="4"/>
  <c r="K901" i="4"/>
  <c r="I901" i="4"/>
  <c r="F901" i="4"/>
  <c r="AA900" i="4"/>
  <c r="X900" i="4"/>
  <c r="U900" i="4"/>
  <c r="S900" i="4"/>
  <c r="P900" i="4"/>
  <c r="N900" i="4"/>
  <c r="K900" i="4"/>
  <c r="I900" i="4"/>
  <c r="F900" i="4"/>
  <c r="AA899" i="4"/>
  <c r="X899" i="4"/>
  <c r="U899" i="4"/>
  <c r="S899" i="4"/>
  <c r="P899" i="4"/>
  <c r="N899" i="4"/>
  <c r="K899" i="4"/>
  <c r="I899" i="4"/>
  <c r="F899" i="4"/>
  <c r="AA898" i="4"/>
  <c r="X898" i="4"/>
  <c r="U898" i="4"/>
  <c r="S898" i="4"/>
  <c r="P898" i="4"/>
  <c r="N898" i="4"/>
  <c r="K898" i="4"/>
  <c r="I898" i="4"/>
  <c r="F898" i="4"/>
  <c r="AA897" i="4"/>
  <c r="X897" i="4"/>
  <c r="U897" i="4"/>
  <c r="S897" i="4"/>
  <c r="P897" i="4"/>
  <c r="N897" i="4"/>
  <c r="K897" i="4"/>
  <c r="I897" i="4"/>
  <c r="F897" i="4"/>
  <c r="AA896" i="4"/>
  <c r="X896" i="4"/>
  <c r="U896" i="4"/>
  <c r="S896" i="4"/>
  <c r="P896" i="4"/>
  <c r="N896" i="4"/>
  <c r="K896" i="4"/>
  <c r="I896" i="4"/>
  <c r="F896" i="4"/>
  <c r="AA895" i="4"/>
  <c r="X895" i="4"/>
  <c r="U895" i="4"/>
  <c r="S895" i="4"/>
  <c r="P895" i="4"/>
  <c r="N895" i="4"/>
  <c r="K895" i="4"/>
  <c r="I895" i="4"/>
  <c r="F895" i="4"/>
  <c r="AA894" i="4"/>
  <c r="X894" i="4"/>
  <c r="U894" i="4"/>
  <c r="S894" i="4"/>
  <c r="P894" i="4"/>
  <c r="N894" i="4"/>
  <c r="K894" i="4"/>
  <c r="I894" i="4"/>
  <c r="F894" i="4"/>
  <c r="AA893" i="4"/>
  <c r="X893" i="4"/>
  <c r="U893" i="4"/>
  <c r="S893" i="4"/>
  <c r="P893" i="4"/>
  <c r="N893" i="4"/>
  <c r="K893" i="4"/>
  <c r="I893" i="4"/>
  <c r="F893" i="4"/>
  <c r="AA892" i="4"/>
  <c r="X892" i="4"/>
  <c r="U892" i="4"/>
  <c r="S892" i="4"/>
  <c r="P892" i="4"/>
  <c r="N892" i="4"/>
  <c r="K892" i="4"/>
  <c r="I892" i="4"/>
  <c r="F892" i="4"/>
  <c r="AA891" i="4"/>
  <c r="X891" i="4"/>
  <c r="U891" i="4"/>
  <c r="S891" i="4"/>
  <c r="P891" i="4"/>
  <c r="N891" i="4"/>
  <c r="K891" i="4"/>
  <c r="I891" i="4"/>
  <c r="F891" i="4"/>
  <c r="AA890" i="4"/>
  <c r="X890" i="4"/>
  <c r="U890" i="4"/>
  <c r="S890" i="4"/>
  <c r="P890" i="4"/>
  <c r="N890" i="4"/>
  <c r="K890" i="4"/>
  <c r="I890" i="4"/>
  <c r="F890" i="4"/>
  <c r="AA889" i="4"/>
  <c r="X889" i="4"/>
  <c r="U889" i="4"/>
  <c r="S889" i="4"/>
  <c r="P889" i="4"/>
  <c r="N889" i="4"/>
  <c r="K889" i="4"/>
  <c r="I889" i="4"/>
  <c r="F889" i="4"/>
  <c r="AA888" i="4"/>
  <c r="X888" i="4"/>
  <c r="U888" i="4"/>
  <c r="S888" i="4"/>
  <c r="P888" i="4"/>
  <c r="N888" i="4"/>
  <c r="K888" i="4"/>
  <c r="I888" i="4"/>
  <c r="F888" i="4"/>
  <c r="AA887" i="4"/>
  <c r="X887" i="4"/>
  <c r="U887" i="4"/>
  <c r="S887" i="4"/>
  <c r="P887" i="4"/>
  <c r="N887" i="4"/>
  <c r="K887" i="4"/>
  <c r="I887" i="4"/>
  <c r="F887" i="4"/>
  <c r="AA886" i="4"/>
  <c r="X886" i="4"/>
  <c r="U886" i="4"/>
  <c r="S886" i="4"/>
  <c r="P886" i="4"/>
  <c r="N886" i="4"/>
  <c r="K886" i="4"/>
  <c r="I886" i="4"/>
  <c r="F886" i="4"/>
  <c r="AA885" i="4"/>
  <c r="X885" i="4"/>
  <c r="U885" i="4"/>
  <c r="S885" i="4"/>
  <c r="P885" i="4"/>
  <c r="N885" i="4"/>
  <c r="K885" i="4"/>
  <c r="I885" i="4"/>
  <c r="F885" i="4"/>
  <c r="AA884" i="4"/>
  <c r="X884" i="4"/>
  <c r="U884" i="4"/>
  <c r="S884" i="4"/>
  <c r="P884" i="4"/>
  <c r="N884" i="4"/>
  <c r="K884" i="4"/>
  <c r="I884" i="4"/>
  <c r="F884" i="4"/>
  <c r="AA883" i="4"/>
  <c r="X883" i="4"/>
  <c r="U883" i="4"/>
  <c r="S883" i="4"/>
  <c r="P883" i="4"/>
  <c r="N883" i="4"/>
  <c r="K883" i="4"/>
  <c r="I883" i="4"/>
  <c r="F883" i="4"/>
  <c r="AA882" i="4"/>
  <c r="X882" i="4"/>
  <c r="U882" i="4"/>
  <c r="S882" i="4"/>
  <c r="P882" i="4"/>
  <c r="N882" i="4"/>
  <c r="K882" i="4"/>
  <c r="I882" i="4"/>
  <c r="F882" i="4"/>
  <c r="AA881" i="4"/>
  <c r="X881" i="4"/>
  <c r="U881" i="4"/>
  <c r="S881" i="4"/>
  <c r="P881" i="4"/>
  <c r="N881" i="4"/>
  <c r="K881" i="4"/>
  <c r="I881" i="4"/>
  <c r="F881" i="4"/>
  <c r="AA880" i="4"/>
  <c r="X880" i="4"/>
  <c r="U880" i="4"/>
  <c r="S880" i="4"/>
  <c r="P880" i="4"/>
  <c r="N880" i="4"/>
  <c r="K880" i="4"/>
  <c r="I880" i="4"/>
  <c r="F880" i="4"/>
  <c r="AA879" i="4"/>
  <c r="X879" i="4"/>
  <c r="U879" i="4"/>
  <c r="S879" i="4"/>
  <c r="P879" i="4"/>
  <c r="N879" i="4"/>
  <c r="K879" i="4"/>
  <c r="I879" i="4"/>
  <c r="F879" i="4"/>
  <c r="AA878" i="4"/>
  <c r="X878" i="4"/>
  <c r="U878" i="4"/>
  <c r="S878" i="4"/>
  <c r="P878" i="4"/>
  <c r="N878" i="4"/>
  <c r="K878" i="4"/>
  <c r="I878" i="4"/>
  <c r="F878" i="4"/>
  <c r="AA877" i="4"/>
  <c r="X877" i="4"/>
  <c r="U877" i="4"/>
  <c r="S877" i="4"/>
  <c r="P877" i="4"/>
  <c r="N877" i="4"/>
  <c r="K877" i="4"/>
  <c r="I877" i="4"/>
  <c r="F877" i="4"/>
  <c r="AA876" i="4"/>
  <c r="X876" i="4"/>
  <c r="U876" i="4"/>
  <c r="S876" i="4"/>
  <c r="P876" i="4"/>
  <c r="N876" i="4"/>
  <c r="K876" i="4"/>
  <c r="I876" i="4"/>
  <c r="F876" i="4"/>
  <c r="AA875" i="4"/>
  <c r="X875" i="4"/>
  <c r="U875" i="4"/>
  <c r="S875" i="4"/>
  <c r="P875" i="4"/>
  <c r="N875" i="4"/>
  <c r="K875" i="4"/>
  <c r="I875" i="4"/>
  <c r="F875" i="4"/>
  <c r="AA874" i="4"/>
  <c r="X874" i="4"/>
  <c r="U874" i="4"/>
  <c r="S874" i="4"/>
  <c r="P874" i="4"/>
  <c r="N874" i="4"/>
  <c r="K874" i="4"/>
  <c r="I874" i="4"/>
  <c r="F874" i="4"/>
  <c r="AA873" i="4"/>
  <c r="X873" i="4"/>
  <c r="U873" i="4"/>
  <c r="S873" i="4"/>
  <c r="P873" i="4"/>
  <c r="N873" i="4"/>
  <c r="K873" i="4"/>
  <c r="I873" i="4"/>
  <c r="F873" i="4"/>
  <c r="AA872" i="4"/>
  <c r="X872" i="4"/>
  <c r="U872" i="4"/>
  <c r="S872" i="4"/>
  <c r="P872" i="4"/>
  <c r="N872" i="4"/>
  <c r="K872" i="4"/>
  <c r="I872" i="4"/>
  <c r="F872" i="4"/>
  <c r="AA871" i="4"/>
  <c r="X871" i="4"/>
  <c r="U871" i="4"/>
  <c r="S871" i="4"/>
  <c r="P871" i="4"/>
  <c r="N871" i="4"/>
  <c r="K871" i="4"/>
  <c r="I871" i="4"/>
  <c r="F871" i="4"/>
  <c r="AA870" i="4"/>
  <c r="X870" i="4"/>
  <c r="U870" i="4"/>
  <c r="S870" i="4"/>
  <c r="P870" i="4"/>
  <c r="N870" i="4"/>
  <c r="K870" i="4"/>
  <c r="I870" i="4"/>
  <c r="F870" i="4"/>
  <c r="AA869" i="4"/>
  <c r="X869" i="4"/>
  <c r="U869" i="4"/>
  <c r="S869" i="4"/>
  <c r="P869" i="4"/>
  <c r="N869" i="4"/>
  <c r="K869" i="4"/>
  <c r="I869" i="4"/>
  <c r="F869" i="4"/>
  <c r="AA868" i="4"/>
  <c r="X868" i="4"/>
  <c r="U868" i="4"/>
  <c r="S868" i="4"/>
  <c r="P868" i="4"/>
  <c r="N868" i="4"/>
  <c r="K868" i="4"/>
  <c r="I868" i="4"/>
  <c r="F868" i="4"/>
  <c r="AA867" i="4"/>
  <c r="X867" i="4"/>
  <c r="U867" i="4"/>
  <c r="S867" i="4"/>
  <c r="P867" i="4"/>
  <c r="N867" i="4"/>
  <c r="K867" i="4"/>
  <c r="I867" i="4"/>
  <c r="F867" i="4"/>
  <c r="AA866" i="4"/>
  <c r="X866" i="4"/>
  <c r="U866" i="4"/>
  <c r="S866" i="4"/>
  <c r="P866" i="4"/>
  <c r="N866" i="4"/>
  <c r="K866" i="4"/>
  <c r="I866" i="4"/>
  <c r="F866" i="4"/>
  <c r="AA865" i="4"/>
  <c r="X865" i="4"/>
  <c r="U865" i="4"/>
  <c r="S865" i="4"/>
  <c r="P865" i="4"/>
  <c r="N865" i="4"/>
  <c r="K865" i="4"/>
  <c r="I865" i="4"/>
  <c r="F865" i="4"/>
  <c r="AA864" i="4"/>
  <c r="X864" i="4"/>
  <c r="U864" i="4"/>
  <c r="S864" i="4"/>
  <c r="P864" i="4"/>
  <c r="N864" i="4"/>
  <c r="K864" i="4"/>
  <c r="I864" i="4"/>
  <c r="F864" i="4"/>
  <c r="AA863" i="4"/>
  <c r="X863" i="4"/>
  <c r="U863" i="4"/>
  <c r="S863" i="4"/>
  <c r="P863" i="4"/>
  <c r="N863" i="4"/>
  <c r="K863" i="4"/>
  <c r="I863" i="4"/>
  <c r="F863" i="4"/>
  <c r="AA862" i="4"/>
  <c r="X862" i="4"/>
  <c r="U862" i="4"/>
  <c r="S862" i="4"/>
  <c r="P862" i="4"/>
  <c r="N862" i="4"/>
  <c r="K862" i="4"/>
  <c r="I862" i="4"/>
  <c r="F862" i="4"/>
  <c r="AA861" i="4"/>
  <c r="X861" i="4"/>
  <c r="U861" i="4"/>
  <c r="S861" i="4"/>
  <c r="P861" i="4"/>
  <c r="N861" i="4"/>
  <c r="K861" i="4"/>
  <c r="I861" i="4"/>
  <c r="F861" i="4"/>
  <c r="AA860" i="4"/>
  <c r="X860" i="4"/>
  <c r="U860" i="4"/>
  <c r="S860" i="4"/>
  <c r="P860" i="4"/>
  <c r="N860" i="4"/>
  <c r="K860" i="4"/>
  <c r="I860" i="4"/>
  <c r="F860" i="4"/>
  <c r="AA859" i="4"/>
  <c r="X859" i="4"/>
  <c r="U859" i="4"/>
  <c r="S859" i="4"/>
  <c r="P859" i="4"/>
  <c r="N859" i="4"/>
  <c r="K859" i="4"/>
  <c r="I859" i="4"/>
  <c r="F859" i="4"/>
  <c r="AA858" i="4"/>
  <c r="X858" i="4"/>
  <c r="U858" i="4"/>
  <c r="S858" i="4"/>
  <c r="P858" i="4"/>
  <c r="N858" i="4"/>
  <c r="K858" i="4"/>
  <c r="I858" i="4"/>
  <c r="F858" i="4"/>
  <c r="AA857" i="4"/>
  <c r="X857" i="4"/>
  <c r="U857" i="4"/>
  <c r="S857" i="4"/>
  <c r="P857" i="4"/>
  <c r="N857" i="4"/>
  <c r="K857" i="4"/>
  <c r="I857" i="4"/>
  <c r="F857" i="4"/>
  <c r="AA856" i="4"/>
  <c r="X856" i="4"/>
  <c r="U856" i="4"/>
  <c r="S856" i="4"/>
  <c r="P856" i="4"/>
  <c r="N856" i="4"/>
  <c r="K856" i="4"/>
  <c r="I856" i="4"/>
  <c r="F856" i="4"/>
  <c r="AA855" i="4"/>
  <c r="X855" i="4"/>
  <c r="U855" i="4"/>
  <c r="S855" i="4"/>
  <c r="P855" i="4"/>
  <c r="N855" i="4"/>
  <c r="K855" i="4"/>
  <c r="I855" i="4"/>
  <c r="F855" i="4"/>
  <c r="AA854" i="4"/>
  <c r="X854" i="4"/>
  <c r="U854" i="4"/>
  <c r="S854" i="4"/>
  <c r="P854" i="4"/>
  <c r="N854" i="4"/>
  <c r="K854" i="4"/>
  <c r="I854" i="4"/>
  <c r="F854" i="4"/>
  <c r="AA853" i="4"/>
  <c r="X853" i="4"/>
  <c r="U853" i="4"/>
  <c r="S853" i="4"/>
  <c r="P853" i="4"/>
  <c r="N853" i="4"/>
  <c r="K853" i="4"/>
  <c r="I853" i="4"/>
  <c r="F853" i="4"/>
  <c r="AA852" i="4"/>
  <c r="X852" i="4"/>
  <c r="U852" i="4"/>
  <c r="S852" i="4"/>
  <c r="P852" i="4"/>
  <c r="N852" i="4"/>
  <c r="K852" i="4"/>
  <c r="I852" i="4"/>
  <c r="F852" i="4"/>
  <c r="AA851" i="4"/>
  <c r="X851" i="4"/>
  <c r="U851" i="4"/>
  <c r="S851" i="4"/>
  <c r="P851" i="4"/>
  <c r="N851" i="4"/>
  <c r="K851" i="4"/>
  <c r="I851" i="4"/>
  <c r="F851" i="4"/>
  <c r="AA850" i="4"/>
  <c r="X850" i="4"/>
  <c r="U850" i="4"/>
  <c r="S850" i="4"/>
  <c r="P850" i="4"/>
  <c r="N850" i="4"/>
  <c r="K850" i="4"/>
  <c r="I850" i="4"/>
  <c r="F850" i="4"/>
  <c r="AA849" i="4"/>
  <c r="X849" i="4"/>
  <c r="U849" i="4"/>
  <c r="S849" i="4"/>
  <c r="P849" i="4"/>
  <c r="N849" i="4"/>
  <c r="K849" i="4"/>
  <c r="I849" i="4"/>
  <c r="F849" i="4"/>
  <c r="AA848" i="4"/>
  <c r="X848" i="4"/>
  <c r="U848" i="4"/>
  <c r="S848" i="4"/>
  <c r="P848" i="4"/>
  <c r="N848" i="4"/>
  <c r="K848" i="4"/>
  <c r="I848" i="4"/>
  <c r="F848" i="4"/>
  <c r="AA847" i="4"/>
  <c r="X847" i="4"/>
  <c r="U847" i="4"/>
  <c r="S847" i="4"/>
  <c r="P847" i="4"/>
  <c r="N847" i="4"/>
  <c r="K847" i="4"/>
  <c r="I847" i="4"/>
  <c r="F847" i="4"/>
  <c r="AA846" i="4"/>
  <c r="X846" i="4"/>
  <c r="U846" i="4"/>
  <c r="S846" i="4"/>
  <c r="P846" i="4"/>
  <c r="N846" i="4"/>
  <c r="K846" i="4"/>
  <c r="I846" i="4"/>
  <c r="F846" i="4"/>
  <c r="AA845" i="4"/>
  <c r="X845" i="4"/>
  <c r="U845" i="4"/>
  <c r="S845" i="4"/>
  <c r="P845" i="4"/>
  <c r="N845" i="4"/>
  <c r="K845" i="4"/>
  <c r="I845" i="4"/>
  <c r="F845" i="4"/>
  <c r="AA844" i="4"/>
  <c r="X844" i="4"/>
  <c r="U844" i="4"/>
  <c r="S844" i="4"/>
  <c r="P844" i="4"/>
  <c r="N844" i="4"/>
  <c r="K844" i="4"/>
  <c r="I844" i="4"/>
  <c r="F844" i="4"/>
  <c r="AA843" i="4"/>
  <c r="X843" i="4"/>
  <c r="U843" i="4"/>
  <c r="S843" i="4"/>
  <c r="P843" i="4"/>
  <c r="N843" i="4"/>
  <c r="K843" i="4"/>
  <c r="I843" i="4"/>
  <c r="F843" i="4"/>
  <c r="AA842" i="4"/>
  <c r="X842" i="4"/>
  <c r="U842" i="4"/>
  <c r="S842" i="4"/>
  <c r="P842" i="4"/>
  <c r="N842" i="4"/>
  <c r="K842" i="4"/>
  <c r="I842" i="4"/>
  <c r="F842" i="4"/>
  <c r="AA841" i="4"/>
  <c r="X841" i="4"/>
  <c r="U841" i="4"/>
  <c r="S841" i="4"/>
  <c r="P841" i="4"/>
  <c r="N841" i="4"/>
  <c r="K841" i="4"/>
  <c r="I841" i="4"/>
  <c r="F841" i="4"/>
  <c r="AA840" i="4"/>
  <c r="X840" i="4"/>
  <c r="U840" i="4"/>
  <c r="S840" i="4"/>
  <c r="P840" i="4"/>
  <c r="N840" i="4"/>
  <c r="K840" i="4"/>
  <c r="I840" i="4"/>
  <c r="F840" i="4"/>
  <c r="AA839" i="4"/>
  <c r="X839" i="4"/>
  <c r="U839" i="4"/>
  <c r="S839" i="4"/>
  <c r="P839" i="4"/>
  <c r="N839" i="4"/>
  <c r="K839" i="4"/>
  <c r="I839" i="4"/>
  <c r="F839" i="4"/>
  <c r="AA838" i="4"/>
  <c r="X838" i="4"/>
  <c r="U838" i="4"/>
  <c r="S838" i="4"/>
  <c r="P838" i="4"/>
  <c r="N838" i="4"/>
  <c r="K838" i="4"/>
  <c r="I838" i="4"/>
  <c r="F838" i="4"/>
  <c r="AA837" i="4"/>
  <c r="X837" i="4"/>
  <c r="U837" i="4"/>
  <c r="S837" i="4"/>
  <c r="P837" i="4"/>
  <c r="N837" i="4"/>
  <c r="K837" i="4"/>
  <c r="I837" i="4"/>
  <c r="F837" i="4"/>
  <c r="AA836" i="4"/>
  <c r="X836" i="4"/>
  <c r="U836" i="4"/>
  <c r="S836" i="4"/>
  <c r="P836" i="4"/>
  <c r="N836" i="4"/>
  <c r="K836" i="4"/>
  <c r="I836" i="4"/>
  <c r="F836" i="4"/>
  <c r="AA835" i="4"/>
  <c r="X835" i="4"/>
  <c r="U835" i="4"/>
  <c r="S835" i="4"/>
  <c r="P835" i="4"/>
  <c r="N835" i="4"/>
  <c r="K835" i="4"/>
  <c r="I835" i="4"/>
  <c r="F835" i="4"/>
  <c r="AA834" i="4"/>
  <c r="X834" i="4"/>
  <c r="U834" i="4"/>
  <c r="S834" i="4"/>
  <c r="P834" i="4"/>
  <c r="N834" i="4"/>
  <c r="K834" i="4"/>
  <c r="I834" i="4"/>
  <c r="F834" i="4"/>
  <c r="AA833" i="4"/>
  <c r="X833" i="4"/>
  <c r="U833" i="4"/>
  <c r="S833" i="4"/>
  <c r="P833" i="4"/>
  <c r="N833" i="4"/>
  <c r="K833" i="4"/>
  <c r="I833" i="4"/>
  <c r="F833" i="4"/>
  <c r="AA832" i="4"/>
  <c r="X832" i="4"/>
  <c r="U832" i="4"/>
  <c r="S832" i="4"/>
  <c r="P832" i="4"/>
  <c r="N832" i="4"/>
  <c r="K832" i="4"/>
  <c r="I832" i="4"/>
  <c r="F832" i="4"/>
  <c r="AA831" i="4"/>
  <c r="X831" i="4"/>
  <c r="U831" i="4"/>
  <c r="S831" i="4"/>
  <c r="P831" i="4"/>
  <c r="N831" i="4"/>
  <c r="K831" i="4"/>
  <c r="I831" i="4"/>
  <c r="F831" i="4"/>
  <c r="AA830" i="4"/>
  <c r="X830" i="4"/>
  <c r="U830" i="4"/>
  <c r="S830" i="4"/>
  <c r="P830" i="4"/>
  <c r="N830" i="4"/>
  <c r="K830" i="4"/>
  <c r="I830" i="4"/>
  <c r="F830" i="4"/>
  <c r="AA829" i="4"/>
  <c r="X829" i="4"/>
  <c r="U829" i="4"/>
  <c r="S829" i="4"/>
  <c r="P829" i="4"/>
  <c r="N829" i="4"/>
  <c r="K829" i="4"/>
  <c r="I829" i="4"/>
  <c r="F829" i="4"/>
  <c r="AA828" i="4"/>
  <c r="X828" i="4"/>
  <c r="U828" i="4"/>
  <c r="S828" i="4"/>
  <c r="P828" i="4"/>
  <c r="N828" i="4"/>
  <c r="K828" i="4"/>
  <c r="I828" i="4"/>
  <c r="F828" i="4"/>
  <c r="AA827" i="4"/>
  <c r="X827" i="4"/>
  <c r="U827" i="4"/>
  <c r="S827" i="4"/>
  <c r="P827" i="4"/>
  <c r="N827" i="4"/>
  <c r="K827" i="4"/>
  <c r="I827" i="4"/>
  <c r="F827" i="4"/>
  <c r="AA826" i="4"/>
  <c r="X826" i="4"/>
  <c r="U826" i="4"/>
  <c r="S826" i="4"/>
  <c r="P826" i="4"/>
  <c r="N826" i="4"/>
  <c r="K826" i="4"/>
  <c r="I826" i="4"/>
  <c r="F826" i="4"/>
  <c r="AA825" i="4"/>
  <c r="X825" i="4"/>
  <c r="U825" i="4"/>
  <c r="S825" i="4"/>
  <c r="P825" i="4"/>
  <c r="N825" i="4"/>
  <c r="K825" i="4"/>
  <c r="I825" i="4"/>
  <c r="F825" i="4"/>
  <c r="AA824" i="4"/>
  <c r="X824" i="4"/>
  <c r="U824" i="4"/>
  <c r="S824" i="4"/>
  <c r="P824" i="4"/>
  <c r="N824" i="4"/>
  <c r="K824" i="4"/>
  <c r="I824" i="4"/>
  <c r="F824" i="4"/>
  <c r="AA823" i="4"/>
  <c r="X823" i="4"/>
  <c r="U823" i="4"/>
  <c r="S823" i="4"/>
  <c r="P823" i="4"/>
  <c r="N823" i="4"/>
  <c r="K823" i="4"/>
  <c r="I823" i="4"/>
  <c r="F823" i="4"/>
  <c r="AA822" i="4"/>
  <c r="X822" i="4"/>
  <c r="U822" i="4"/>
  <c r="S822" i="4"/>
  <c r="P822" i="4"/>
  <c r="N822" i="4"/>
  <c r="K822" i="4"/>
  <c r="I822" i="4"/>
  <c r="F822" i="4"/>
  <c r="AA821" i="4"/>
  <c r="X821" i="4"/>
  <c r="U821" i="4"/>
  <c r="S821" i="4"/>
  <c r="P821" i="4"/>
  <c r="N821" i="4"/>
  <c r="K821" i="4"/>
  <c r="I821" i="4"/>
  <c r="F821" i="4"/>
  <c r="AA820" i="4"/>
  <c r="X820" i="4"/>
  <c r="U820" i="4"/>
  <c r="S820" i="4"/>
  <c r="P820" i="4"/>
  <c r="N820" i="4"/>
  <c r="K820" i="4"/>
  <c r="I820" i="4"/>
  <c r="F820" i="4"/>
  <c r="AA819" i="4"/>
  <c r="X819" i="4"/>
  <c r="U819" i="4"/>
  <c r="S819" i="4"/>
  <c r="P819" i="4"/>
  <c r="N819" i="4"/>
  <c r="K819" i="4"/>
  <c r="I819" i="4"/>
  <c r="F819" i="4"/>
  <c r="AA818" i="4"/>
  <c r="X818" i="4"/>
  <c r="U818" i="4"/>
  <c r="S818" i="4"/>
  <c r="P818" i="4"/>
  <c r="N818" i="4"/>
  <c r="K818" i="4"/>
  <c r="I818" i="4"/>
  <c r="F818" i="4"/>
  <c r="AA817" i="4"/>
  <c r="X817" i="4"/>
  <c r="U817" i="4"/>
  <c r="S817" i="4"/>
  <c r="P817" i="4"/>
  <c r="N817" i="4"/>
  <c r="K817" i="4"/>
  <c r="I817" i="4"/>
  <c r="F817" i="4"/>
  <c r="AA816" i="4"/>
  <c r="X816" i="4"/>
  <c r="U816" i="4"/>
  <c r="S816" i="4"/>
  <c r="P816" i="4"/>
  <c r="N816" i="4"/>
  <c r="K816" i="4"/>
  <c r="I816" i="4"/>
  <c r="F816" i="4"/>
  <c r="AA815" i="4"/>
  <c r="X815" i="4"/>
  <c r="U815" i="4"/>
  <c r="S815" i="4"/>
  <c r="P815" i="4"/>
  <c r="N815" i="4"/>
  <c r="K815" i="4"/>
  <c r="I815" i="4"/>
  <c r="F815" i="4"/>
  <c r="AA814" i="4"/>
  <c r="X814" i="4"/>
  <c r="U814" i="4"/>
  <c r="S814" i="4"/>
  <c r="P814" i="4"/>
  <c r="N814" i="4"/>
  <c r="K814" i="4"/>
  <c r="I814" i="4"/>
  <c r="F814" i="4"/>
  <c r="AA813" i="4"/>
  <c r="X813" i="4"/>
  <c r="U813" i="4"/>
  <c r="S813" i="4"/>
  <c r="P813" i="4"/>
  <c r="N813" i="4"/>
  <c r="K813" i="4"/>
  <c r="I813" i="4"/>
  <c r="F813" i="4"/>
  <c r="AA812" i="4"/>
  <c r="X812" i="4"/>
  <c r="U812" i="4"/>
  <c r="S812" i="4"/>
  <c r="P812" i="4"/>
  <c r="N812" i="4"/>
  <c r="K812" i="4"/>
  <c r="I812" i="4"/>
  <c r="F812" i="4"/>
  <c r="AA811" i="4"/>
  <c r="X811" i="4"/>
  <c r="U811" i="4"/>
  <c r="S811" i="4"/>
  <c r="P811" i="4"/>
  <c r="N811" i="4"/>
  <c r="K811" i="4"/>
  <c r="I811" i="4"/>
  <c r="F811" i="4"/>
  <c r="AA810" i="4"/>
  <c r="X810" i="4"/>
  <c r="U810" i="4"/>
  <c r="S810" i="4"/>
  <c r="P810" i="4"/>
  <c r="N810" i="4"/>
  <c r="K810" i="4"/>
  <c r="I810" i="4"/>
  <c r="F810" i="4"/>
  <c r="AA809" i="4"/>
  <c r="X809" i="4"/>
  <c r="U809" i="4"/>
  <c r="S809" i="4"/>
  <c r="P809" i="4"/>
  <c r="N809" i="4"/>
  <c r="K809" i="4"/>
  <c r="I809" i="4"/>
  <c r="F809" i="4"/>
  <c r="AA808" i="4"/>
  <c r="X808" i="4"/>
  <c r="U808" i="4"/>
  <c r="S808" i="4"/>
  <c r="P808" i="4"/>
  <c r="N808" i="4"/>
  <c r="K808" i="4"/>
  <c r="I808" i="4"/>
  <c r="F808" i="4"/>
  <c r="AA807" i="4"/>
  <c r="X807" i="4"/>
  <c r="U807" i="4"/>
  <c r="S807" i="4"/>
  <c r="P807" i="4"/>
  <c r="N807" i="4"/>
  <c r="K807" i="4"/>
  <c r="I807" i="4"/>
  <c r="F807" i="4"/>
  <c r="AA806" i="4"/>
  <c r="X806" i="4"/>
  <c r="U806" i="4"/>
  <c r="S806" i="4"/>
  <c r="P806" i="4"/>
  <c r="N806" i="4"/>
  <c r="K806" i="4"/>
  <c r="I806" i="4"/>
  <c r="F806" i="4"/>
  <c r="AA805" i="4"/>
  <c r="X805" i="4"/>
  <c r="U805" i="4"/>
  <c r="S805" i="4"/>
  <c r="P805" i="4"/>
  <c r="N805" i="4"/>
  <c r="K805" i="4"/>
  <c r="I805" i="4"/>
  <c r="F805" i="4"/>
  <c r="AA804" i="4"/>
  <c r="X804" i="4"/>
  <c r="U804" i="4"/>
  <c r="S804" i="4"/>
  <c r="P804" i="4"/>
  <c r="N804" i="4"/>
  <c r="K804" i="4"/>
  <c r="I804" i="4"/>
  <c r="F804" i="4"/>
  <c r="AA803" i="4"/>
  <c r="X803" i="4"/>
  <c r="U803" i="4"/>
  <c r="S803" i="4"/>
  <c r="P803" i="4"/>
  <c r="N803" i="4"/>
  <c r="K803" i="4"/>
  <c r="I803" i="4"/>
  <c r="F803" i="4"/>
  <c r="AA802" i="4"/>
  <c r="X802" i="4"/>
  <c r="U802" i="4"/>
  <c r="S802" i="4"/>
  <c r="P802" i="4"/>
  <c r="N802" i="4"/>
  <c r="K802" i="4"/>
  <c r="I802" i="4"/>
  <c r="F802" i="4"/>
  <c r="AA801" i="4"/>
  <c r="X801" i="4"/>
  <c r="U801" i="4"/>
  <c r="S801" i="4"/>
  <c r="P801" i="4"/>
  <c r="N801" i="4"/>
  <c r="K801" i="4"/>
  <c r="I801" i="4"/>
  <c r="F801" i="4"/>
  <c r="AA800" i="4"/>
  <c r="X800" i="4"/>
  <c r="U800" i="4"/>
  <c r="S800" i="4"/>
  <c r="P800" i="4"/>
  <c r="N800" i="4"/>
  <c r="K800" i="4"/>
  <c r="I800" i="4"/>
  <c r="F800" i="4"/>
  <c r="AA799" i="4"/>
  <c r="X799" i="4"/>
  <c r="U799" i="4"/>
  <c r="S799" i="4"/>
  <c r="P799" i="4"/>
  <c r="N799" i="4"/>
  <c r="K799" i="4"/>
  <c r="I799" i="4"/>
  <c r="F799" i="4"/>
  <c r="AA798" i="4"/>
  <c r="X798" i="4"/>
  <c r="U798" i="4"/>
  <c r="S798" i="4"/>
  <c r="P798" i="4"/>
  <c r="N798" i="4"/>
  <c r="K798" i="4"/>
  <c r="I798" i="4"/>
  <c r="F798" i="4"/>
  <c r="AA797" i="4"/>
  <c r="X797" i="4"/>
  <c r="U797" i="4"/>
  <c r="S797" i="4"/>
  <c r="P797" i="4"/>
  <c r="N797" i="4"/>
  <c r="K797" i="4"/>
  <c r="I797" i="4"/>
  <c r="F797" i="4"/>
  <c r="AA796" i="4"/>
  <c r="X796" i="4"/>
  <c r="U796" i="4"/>
  <c r="S796" i="4"/>
  <c r="P796" i="4"/>
  <c r="N796" i="4"/>
  <c r="K796" i="4"/>
  <c r="I796" i="4"/>
  <c r="F796" i="4"/>
  <c r="AA795" i="4"/>
  <c r="X795" i="4"/>
  <c r="U795" i="4"/>
  <c r="S795" i="4"/>
  <c r="P795" i="4"/>
  <c r="N795" i="4"/>
  <c r="K795" i="4"/>
  <c r="I795" i="4"/>
  <c r="F795" i="4"/>
  <c r="AA794" i="4"/>
  <c r="X794" i="4"/>
  <c r="U794" i="4"/>
  <c r="S794" i="4"/>
  <c r="P794" i="4"/>
  <c r="N794" i="4"/>
  <c r="K794" i="4"/>
  <c r="I794" i="4"/>
  <c r="F794" i="4"/>
  <c r="AA793" i="4"/>
  <c r="X793" i="4"/>
  <c r="U793" i="4"/>
  <c r="S793" i="4"/>
  <c r="P793" i="4"/>
  <c r="N793" i="4"/>
  <c r="K793" i="4"/>
  <c r="I793" i="4"/>
  <c r="F793" i="4"/>
  <c r="AA792" i="4"/>
  <c r="X792" i="4"/>
  <c r="U792" i="4"/>
  <c r="S792" i="4"/>
  <c r="P792" i="4"/>
  <c r="N792" i="4"/>
  <c r="K792" i="4"/>
  <c r="I792" i="4"/>
  <c r="F792" i="4"/>
  <c r="AA791" i="4"/>
  <c r="X791" i="4"/>
  <c r="U791" i="4"/>
  <c r="S791" i="4"/>
  <c r="P791" i="4"/>
  <c r="N791" i="4"/>
  <c r="K791" i="4"/>
  <c r="I791" i="4"/>
  <c r="F791" i="4"/>
  <c r="AA790" i="4"/>
  <c r="X790" i="4"/>
  <c r="U790" i="4"/>
  <c r="S790" i="4"/>
  <c r="P790" i="4"/>
  <c r="N790" i="4"/>
  <c r="K790" i="4"/>
  <c r="I790" i="4"/>
  <c r="F790" i="4"/>
  <c r="AA789" i="4"/>
  <c r="X789" i="4"/>
  <c r="U789" i="4"/>
  <c r="S789" i="4"/>
  <c r="P789" i="4"/>
  <c r="N789" i="4"/>
  <c r="K789" i="4"/>
  <c r="I789" i="4"/>
  <c r="F789" i="4"/>
  <c r="AA788" i="4"/>
  <c r="X788" i="4"/>
  <c r="U788" i="4"/>
  <c r="S788" i="4"/>
  <c r="P788" i="4"/>
  <c r="N788" i="4"/>
  <c r="K788" i="4"/>
  <c r="I788" i="4"/>
  <c r="F788" i="4"/>
  <c r="AA787" i="4"/>
  <c r="X787" i="4"/>
  <c r="U787" i="4"/>
  <c r="S787" i="4"/>
  <c r="P787" i="4"/>
  <c r="N787" i="4"/>
  <c r="K787" i="4"/>
  <c r="I787" i="4"/>
  <c r="F787" i="4"/>
  <c r="AA786" i="4"/>
  <c r="X786" i="4"/>
  <c r="U786" i="4"/>
  <c r="S786" i="4"/>
  <c r="P786" i="4"/>
  <c r="N786" i="4"/>
  <c r="K786" i="4"/>
  <c r="I786" i="4"/>
  <c r="F786" i="4"/>
  <c r="AA785" i="4"/>
  <c r="X785" i="4"/>
  <c r="U785" i="4"/>
  <c r="S785" i="4"/>
  <c r="P785" i="4"/>
  <c r="N785" i="4"/>
  <c r="K785" i="4"/>
  <c r="I785" i="4"/>
  <c r="F785" i="4"/>
  <c r="AA784" i="4"/>
  <c r="X784" i="4"/>
  <c r="U784" i="4"/>
  <c r="S784" i="4"/>
  <c r="P784" i="4"/>
  <c r="N784" i="4"/>
  <c r="K784" i="4"/>
  <c r="I784" i="4"/>
  <c r="F784" i="4"/>
  <c r="AA783" i="4"/>
  <c r="X783" i="4"/>
  <c r="U783" i="4"/>
  <c r="S783" i="4"/>
  <c r="P783" i="4"/>
  <c r="N783" i="4"/>
  <c r="K783" i="4"/>
  <c r="I783" i="4"/>
  <c r="F783" i="4"/>
  <c r="AA782" i="4"/>
  <c r="X782" i="4"/>
  <c r="U782" i="4"/>
  <c r="S782" i="4"/>
  <c r="P782" i="4"/>
  <c r="N782" i="4"/>
  <c r="K782" i="4"/>
  <c r="I782" i="4"/>
  <c r="F782" i="4"/>
  <c r="AA781" i="4"/>
  <c r="X781" i="4"/>
  <c r="U781" i="4"/>
  <c r="S781" i="4"/>
  <c r="P781" i="4"/>
  <c r="N781" i="4"/>
  <c r="K781" i="4"/>
  <c r="I781" i="4"/>
  <c r="F781" i="4"/>
  <c r="AA780" i="4"/>
  <c r="X780" i="4"/>
  <c r="U780" i="4"/>
  <c r="S780" i="4"/>
  <c r="P780" i="4"/>
  <c r="N780" i="4"/>
  <c r="K780" i="4"/>
  <c r="I780" i="4"/>
  <c r="F780" i="4"/>
  <c r="AA779" i="4"/>
  <c r="X779" i="4"/>
  <c r="U779" i="4"/>
  <c r="S779" i="4"/>
  <c r="P779" i="4"/>
  <c r="N779" i="4"/>
  <c r="K779" i="4"/>
  <c r="I779" i="4"/>
  <c r="F779" i="4"/>
  <c r="AA778" i="4"/>
  <c r="X778" i="4"/>
  <c r="U778" i="4"/>
  <c r="S778" i="4"/>
  <c r="P778" i="4"/>
  <c r="N778" i="4"/>
  <c r="K778" i="4"/>
  <c r="I778" i="4"/>
  <c r="F778" i="4"/>
  <c r="AA777" i="4"/>
  <c r="X777" i="4"/>
  <c r="U777" i="4"/>
  <c r="S777" i="4"/>
  <c r="P777" i="4"/>
  <c r="N777" i="4"/>
  <c r="K777" i="4"/>
  <c r="I777" i="4"/>
  <c r="F777" i="4"/>
  <c r="AA776" i="4"/>
  <c r="X776" i="4"/>
  <c r="U776" i="4"/>
  <c r="S776" i="4"/>
  <c r="P776" i="4"/>
  <c r="N776" i="4"/>
  <c r="K776" i="4"/>
  <c r="I776" i="4"/>
  <c r="F776" i="4"/>
  <c r="AA775" i="4"/>
  <c r="X775" i="4"/>
  <c r="U775" i="4"/>
  <c r="S775" i="4"/>
  <c r="P775" i="4"/>
  <c r="N775" i="4"/>
  <c r="K775" i="4"/>
  <c r="I775" i="4"/>
  <c r="F775" i="4"/>
  <c r="AA774" i="4"/>
  <c r="X774" i="4"/>
  <c r="U774" i="4"/>
  <c r="S774" i="4"/>
  <c r="P774" i="4"/>
  <c r="N774" i="4"/>
  <c r="K774" i="4"/>
  <c r="I774" i="4"/>
  <c r="F774" i="4"/>
  <c r="AA773" i="4"/>
  <c r="X773" i="4"/>
  <c r="U773" i="4"/>
  <c r="S773" i="4"/>
  <c r="P773" i="4"/>
  <c r="N773" i="4"/>
  <c r="K773" i="4"/>
  <c r="I773" i="4"/>
  <c r="F773" i="4"/>
  <c r="AA772" i="4"/>
  <c r="X772" i="4"/>
  <c r="U772" i="4"/>
  <c r="S772" i="4"/>
  <c r="P772" i="4"/>
  <c r="N772" i="4"/>
  <c r="K772" i="4"/>
  <c r="I772" i="4"/>
  <c r="F772" i="4"/>
  <c r="AA771" i="4"/>
  <c r="X771" i="4"/>
  <c r="U771" i="4"/>
  <c r="S771" i="4"/>
  <c r="P771" i="4"/>
  <c r="N771" i="4"/>
  <c r="K771" i="4"/>
  <c r="I771" i="4"/>
  <c r="F771" i="4"/>
  <c r="AA770" i="4"/>
  <c r="X770" i="4"/>
  <c r="U770" i="4"/>
  <c r="S770" i="4"/>
  <c r="P770" i="4"/>
  <c r="N770" i="4"/>
  <c r="K770" i="4"/>
  <c r="I770" i="4"/>
  <c r="F770" i="4"/>
  <c r="AA769" i="4"/>
  <c r="X769" i="4"/>
  <c r="U769" i="4"/>
  <c r="S769" i="4"/>
  <c r="P769" i="4"/>
  <c r="N769" i="4"/>
  <c r="K769" i="4"/>
  <c r="I769" i="4"/>
  <c r="F769" i="4"/>
  <c r="AA768" i="4"/>
  <c r="X768" i="4"/>
  <c r="U768" i="4"/>
  <c r="S768" i="4"/>
  <c r="P768" i="4"/>
  <c r="N768" i="4"/>
  <c r="K768" i="4"/>
  <c r="I768" i="4"/>
  <c r="F768" i="4"/>
  <c r="AA767" i="4"/>
  <c r="X767" i="4"/>
  <c r="U767" i="4"/>
  <c r="S767" i="4"/>
  <c r="P767" i="4"/>
  <c r="N767" i="4"/>
  <c r="K767" i="4"/>
  <c r="I767" i="4"/>
  <c r="F767" i="4"/>
  <c r="AA766" i="4"/>
  <c r="X766" i="4"/>
  <c r="U766" i="4"/>
  <c r="S766" i="4"/>
  <c r="P766" i="4"/>
  <c r="N766" i="4"/>
  <c r="K766" i="4"/>
  <c r="I766" i="4"/>
  <c r="F766" i="4"/>
  <c r="AA765" i="4"/>
  <c r="X765" i="4"/>
  <c r="U765" i="4"/>
  <c r="S765" i="4"/>
  <c r="P765" i="4"/>
  <c r="N765" i="4"/>
  <c r="K765" i="4"/>
  <c r="I765" i="4"/>
  <c r="F765" i="4"/>
  <c r="AA764" i="4"/>
  <c r="X764" i="4"/>
  <c r="U764" i="4"/>
  <c r="S764" i="4"/>
  <c r="P764" i="4"/>
  <c r="N764" i="4"/>
  <c r="K764" i="4"/>
  <c r="I764" i="4"/>
  <c r="F764" i="4"/>
  <c r="AA763" i="4"/>
  <c r="X763" i="4"/>
  <c r="U763" i="4"/>
  <c r="S763" i="4"/>
  <c r="P763" i="4"/>
  <c r="N763" i="4"/>
  <c r="K763" i="4"/>
  <c r="I763" i="4"/>
  <c r="F763" i="4"/>
  <c r="AA762" i="4"/>
  <c r="X762" i="4"/>
  <c r="U762" i="4"/>
  <c r="S762" i="4"/>
  <c r="P762" i="4"/>
  <c r="N762" i="4"/>
  <c r="K762" i="4"/>
  <c r="I762" i="4"/>
  <c r="F762" i="4"/>
  <c r="AA761" i="4"/>
  <c r="X761" i="4"/>
  <c r="U761" i="4"/>
  <c r="S761" i="4"/>
  <c r="P761" i="4"/>
  <c r="N761" i="4"/>
  <c r="K761" i="4"/>
  <c r="I761" i="4"/>
  <c r="F761" i="4"/>
  <c r="AA760" i="4"/>
  <c r="X760" i="4"/>
  <c r="U760" i="4"/>
  <c r="S760" i="4"/>
  <c r="P760" i="4"/>
  <c r="N760" i="4"/>
  <c r="K760" i="4"/>
  <c r="I760" i="4"/>
  <c r="F760" i="4"/>
  <c r="AA759" i="4"/>
  <c r="X759" i="4"/>
  <c r="U759" i="4"/>
  <c r="S759" i="4"/>
  <c r="P759" i="4"/>
  <c r="N759" i="4"/>
  <c r="K759" i="4"/>
  <c r="I759" i="4"/>
  <c r="F759" i="4"/>
  <c r="AA758" i="4"/>
  <c r="X758" i="4"/>
  <c r="U758" i="4"/>
  <c r="S758" i="4"/>
  <c r="P758" i="4"/>
  <c r="N758" i="4"/>
  <c r="K758" i="4"/>
  <c r="I758" i="4"/>
  <c r="F758" i="4"/>
  <c r="AA757" i="4"/>
  <c r="X757" i="4"/>
  <c r="U757" i="4"/>
  <c r="S757" i="4"/>
  <c r="P757" i="4"/>
  <c r="N757" i="4"/>
  <c r="K757" i="4"/>
  <c r="I757" i="4"/>
  <c r="F757" i="4"/>
  <c r="AA756" i="4"/>
  <c r="X756" i="4"/>
  <c r="U756" i="4"/>
  <c r="S756" i="4"/>
  <c r="P756" i="4"/>
  <c r="N756" i="4"/>
  <c r="K756" i="4"/>
  <c r="I756" i="4"/>
  <c r="F756" i="4"/>
  <c r="AA755" i="4"/>
  <c r="X755" i="4"/>
  <c r="U755" i="4"/>
  <c r="S755" i="4"/>
  <c r="P755" i="4"/>
  <c r="N755" i="4"/>
  <c r="K755" i="4"/>
  <c r="I755" i="4"/>
  <c r="F755" i="4"/>
  <c r="AA754" i="4"/>
  <c r="X754" i="4"/>
  <c r="U754" i="4"/>
  <c r="S754" i="4"/>
  <c r="P754" i="4"/>
  <c r="N754" i="4"/>
  <c r="K754" i="4"/>
  <c r="I754" i="4"/>
  <c r="F754" i="4"/>
  <c r="AA753" i="4"/>
  <c r="X753" i="4"/>
  <c r="U753" i="4"/>
  <c r="S753" i="4"/>
  <c r="P753" i="4"/>
  <c r="N753" i="4"/>
  <c r="K753" i="4"/>
  <c r="I753" i="4"/>
  <c r="F753" i="4"/>
  <c r="AA752" i="4"/>
  <c r="X752" i="4"/>
  <c r="U752" i="4"/>
  <c r="S752" i="4"/>
  <c r="P752" i="4"/>
  <c r="N752" i="4"/>
  <c r="K752" i="4"/>
  <c r="I752" i="4"/>
  <c r="F752" i="4"/>
  <c r="AA751" i="4"/>
  <c r="X751" i="4"/>
  <c r="U751" i="4"/>
  <c r="S751" i="4"/>
  <c r="P751" i="4"/>
  <c r="N751" i="4"/>
  <c r="K751" i="4"/>
  <c r="I751" i="4"/>
  <c r="F751" i="4"/>
  <c r="AA750" i="4"/>
  <c r="X750" i="4"/>
  <c r="U750" i="4"/>
  <c r="S750" i="4"/>
  <c r="P750" i="4"/>
  <c r="N750" i="4"/>
  <c r="K750" i="4"/>
  <c r="I750" i="4"/>
  <c r="F750" i="4"/>
  <c r="AA749" i="4"/>
  <c r="X749" i="4"/>
  <c r="U749" i="4"/>
  <c r="S749" i="4"/>
  <c r="P749" i="4"/>
  <c r="N749" i="4"/>
  <c r="K749" i="4"/>
  <c r="I749" i="4"/>
  <c r="F749" i="4"/>
  <c r="AA748" i="4"/>
  <c r="X748" i="4"/>
  <c r="U748" i="4"/>
  <c r="S748" i="4"/>
  <c r="P748" i="4"/>
  <c r="N748" i="4"/>
  <c r="K748" i="4"/>
  <c r="I748" i="4"/>
  <c r="F748" i="4"/>
  <c r="AA747" i="4"/>
  <c r="X747" i="4"/>
  <c r="U747" i="4"/>
  <c r="S747" i="4"/>
  <c r="P747" i="4"/>
  <c r="N747" i="4"/>
  <c r="K747" i="4"/>
  <c r="I747" i="4"/>
  <c r="F747" i="4"/>
  <c r="AA746" i="4"/>
  <c r="X746" i="4"/>
  <c r="U746" i="4"/>
  <c r="S746" i="4"/>
  <c r="P746" i="4"/>
  <c r="N746" i="4"/>
  <c r="K746" i="4"/>
  <c r="I746" i="4"/>
  <c r="F746" i="4"/>
  <c r="AA745" i="4"/>
  <c r="X745" i="4"/>
  <c r="U745" i="4"/>
  <c r="S745" i="4"/>
  <c r="P745" i="4"/>
  <c r="N745" i="4"/>
  <c r="K745" i="4"/>
  <c r="I745" i="4"/>
  <c r="F745" i="4"/>
  <c r="AA744" i="4"/>
  <c r="X744" i="4"/>
  <c r="U744" i="4"/>
  <c r="S744" i="4"/>
  <c r="P744" i="4"/>
  <c r="N744" i="4"/>
  <c r="K744" i="4"/>
  <c r="I744" i="4"/>
  <c r="F744" i="4"/>
  <c r="AA743" i="4"/>
  <c r="X743" i="4"/>
  <c r="U743" i="4"/>
  <c r="S743" i="4"/>
  <c r="P743" i="4"/>
  <c r="N743" i="4"/>
  <c r="K743" i="4"/>
  <c r="I743" i="4"/>
  <c r="F743" i="4"/>
  <c r="AA742" i="4"/>
  <c r="X742" i="4"/>
  <c r="U742" i="4"/>
  <c r="S742" i="4"/>
  <c r="P742" i="4"/>
  <c r="N742" i="4"/>
  <c r="K742" i="4"/>
  <c r="I742" i="4"/>
  <c r="F742" i="4"/>
  <c r="AA741" i="4"/>
  <c r="X741" i="4"/>
  <c r="U741" i="4"/>
  <c r="S741" i="4"/>
  <c r="P741" i="4"/>
  <c r="N741" i="4"/>
  <c r="K741" i="4"/>
  <c r="I741" i="4"/>
  <c r="F741" i="4"/>
  <c r="AA740" i="4"/>
  <c r="X740" i="4"/>
  <c r="U740" i="4"/>
  <c r="S740" i="4"/>
  <c r="P740" i="4"/>
  <c r="N740" i="4"/>
  <c r="K740" i="4"/>
  <c r="I740" i="4"/>
  <c r="F740" i="4"/>
  <c r="AA739" i="4"/>
  <c r="X739" i="4"/>
  <c r="U739" i="4"/>
  <c r="S739" i="4"/>
  <c r="P739" i="4"/>
  <c r="N739" i="4"/>
  <c r="K739" i="4"/>
  <c r="I739" i="4"/>
  <c r="F739" i="4"/>
  <c r="AA738" i="4"/>
  <c r="X738" i="4"/>
  <c r="U738" i="4"/>
  <c r="S738" i="4"/>
  <c r="P738" i="4"/>
  <c r="N738" i="4"/>
  <c r="K738" i="4"/>
  <c r="I738" i="4"/>
  <c r="F738" i="4"/>
  <c r="AA737" i="4"/>
  <c r="X737" i="4"/>
  <c r="U737" i="4"/>
  <c r="S737" i="4"/>
  <c r="P737" i="4"/>
  <c r="N737" i="4"/>
  <c r="K737" i="4"/>
  <c r="I737" i="4"/>
  <c r="F737" i="4"/>
  <c r="AA736" i="4"/>
  <c r="X736" i="4"/>
  <c r="U736" i="4"/>
  <c r="S736" i="4"/>
  <c r="P736" i="4"/>
  <c r="N736" i="4"/>
  <c r="K736" i="4"/>
  <c r="I736" i="4"/>
  <c r="F736" i="4"/>
  <c r="AA735" i="4"/>
  <c r="X735" i="4"/>
  <c r="U735" i="4"/>
  <c r="S735" i="4"/>
  <c r="P735" i="4"/>
  <c r="N735" i="4"/>
  <c r="K735" i="4"/>
  <c r="I735" i="4"/>
  <c r="F735" i="4"/>
  <c r="AA734" i="4"/>
  <c r="X734" i="4"/>
  <c r="U734" i="4"/>
  <c r="S734" i="4"/>
  <c r="P734" i="4"/>
  <c r="N734" i="4"/>
  <c r="K734" i="4"/>
  <c r="I734" i="4"/>
  <c r="F734" i="4"/>
  <c r="AA733" i="4"/>
  <c r="X733" i="4"/>
  <c r="U733" i="4"/>
  <c r="S733" i="4"/>
  <c r="P733" i="4"/>
  <c r="N733" i="4"/>
  <c r="K733" i="4"/>
  <c r="I733" i="4"/>
  <c r="F733" i="4"/>
  <c r="AA732" i="4"/>
  <c r="X732" i="4"/>
  <c r="U732" i="4"/>
  <c r="S732" i="4"/>
  <c r="P732" i="4"/>
  <c r="N732" i="4"/>
  <c r="K732" i="4"/>
  <c r="I732" i="4"/>
  <c r="F732" i="4"/>
  <c r="AA731" i="4"/>
  <c r="X731" i="4"/>
  <c r="U731" i="4"/>
  <c r="S731" i="4"/>
  <c r="P731" i="4"/>
  <c r="N731" i="4"/>
  <c r="K731" i="4"/>
  <c r="I731" i="4"/>
  <c r="F731" i="4"/>
  <c r="AA730" i="4"/>
  <c r="X730" i="4"/>
  <c r="U730" i="4"/>
  <c r="S730" i="4"/>
  <c r="P730" i="4"/>
  <c r="N730" i="4"/>
  <c r="K730" i="4"/>
  <c r="I730" i="4"/>
  <c r="F730" i="4"/>
  <c r="AA729" i="4"/>
  <c r="X729" i="4"/>
  <c r="U729" i="4"/>
  <c r="S729" i="4"/>
  <c r="P729" i="4"/>
  <c r="N729" i="4"/>
  <c r="K729" i="4"/>
  <c r="I729" i="4"/>
  <c r="F729" i="4"/>
  <c r="AA728" i="4"/>
  <c r="X728" i="4"/>
  <c r="U728" i="4"/>
  <c r="S728" i="4"/>
  <c r="P728" i="4"/>
  <c r="N728" i="4"/>
  <c r="K728" i="4"/>
  <c r="I728" i="4"/>
  <c r="F728" i="4"/>
  <c r="AA727" i="4"/>
  <c r="X727" i="4"/>
  <c r="U727" i="4"/>
  <c r="S727" i="4"/>
  <c r="P727" i="4"/>
  <c r="N727" i="4"/>
  <c r="K727" i="4"/>
  <c r="I727" i="4"/>
  <c r="F727" i="4"/>
  <c r="AA726" i="4"/>
  <c r="X726" i="4"/>
  <c r="U726" i="4"/>
  <c r="S726" i="4"/>
  <c r="P726" i="4"/>
  <c r="N726" i="4"/>
  <c r="K726" i="4"/>
  <c r="I726" i="4"/>
  <c r="F726" i="4"/>
  <c r="AA725" i="4"/>
  <c r="X725" i="4"/>
  <c r="U725" i="4"/>
  <c r="S725" i="4"/>
  <c r="P725" i="4"/>
  <c r="N725" i="4"/>
  <c r="K725" i="4"/>
  <c r="I725" i="4"/>
  <c r="F725" i="4"/>
  <c r="AA724" i="4"/>
  <c r="X724" i="4"/>
  <c r="U724" i="4"/>
  <c r="S724" i="4"/>
  <c r="P724" i="4"/>
  <c r="N724" i="4"/>
  <c r="K724" i="4"/>
  <c r="I724" i="4"/>
  <c r="F724" i="4"/>
  <c r="AA723" i="4"/>
  <c r="X723" i="4"/>
  <c r="U723" i="4"/>
  <c r="S723" i="4"/>
  <c r="P723" i="4"/>
  <c r="N723" i="4"/>
  <c r="K723" i="4"/>
  <c r="I723" i="4"/>
  <c r="F723" i="4"/>
  <c r="AA722" i="4"/>
  <c r="X722" i="4"/>
  <c r="U722" i="4"/>
  <c r="S722" i="4"/>
  <c r="P722" i="4"/>
  <c r="N722" i="4"/>
  <c r="K722" i="4"/>
  <c r="I722" i="4"/>
  <c r="F722" i="4"/>
  <c r="AA721" i="4"/>
  <c r="X721" i="4"/>
  <c r="U721" i="4"/>
  <c r="S721" i="4"/>
  <c r="P721" i="4"/>
  <c r="N721" i="4"/>
  <c r="K721" i="4"/>
  <c r="I721" i="4"/>
  <c r="F721" i="4"/>
  <c r="AA720" i="4"/>
  <c r="X720" i="4"/>
  <c r="U720" i="4"/>
  <c r="S720" i="4"/>
  <c r="P720" i="4"/>
  <c r="N720" i="4"/>
  <c r="K720" i="4"/>
  <c r="I720" i="4"/>
  <c r="F720" i="4"/>
  <c r="AA719" i="4"/>
  <c r="X719" i="4"/>
  <c r="U719" i="4"/>
  <c r="S719" i="4"/>
  <c r="P719" i="4"/>
  <c r="N719" i="4"/>
  <c r="K719" i="4"/>
  <c r="I719" i="4"/>
  <c r="F719" i="4"/>
  <c r="AA718" i="4"/>
  <c r="X718" i="4"/>
  <c r="U718" i="4"/>
  <c r="S718" i="4"/>
  <c r="P718" i="4"/>
  <c r="N718" i="4"/>
  <c r="K718" i="4"/>
  <c r="I718" i="4"/>
  <c r="F718" i="4"/>
  <c r="AA717" i="4"/>
  <c r="X717" i="4"/>
  <c r="U717" i="4"/>
  <c r="S717" i="4"/>
  <c r="P717" i="4"/>
  <c r="N717" i="4"/>
  <c r="K717" i="4"/>
  <c r="I717" i="4"/>
  <c r="F717" i="4"/>
  <c r="AA716" i="4"/>
  <c r="X716" i="4"/>
  <c r="U716" i="4"/>
  <c r="S716" i="4"/>
  <c r="P716" i="4"/>
  <c r="N716" i="4"/>
  <c r="K716" i="4"/>
  <c r="I716" i="4"/>
  <c r="F716" i="4"/>
  <c r="AA715" i="4"/>
  <c r="X715" i="4"/>
  <c r="U715" i="4"/>
  <c r="S715" i="4"/>
  <c r="P715" i="4"/>
  <c r="N715" i="4"/>
  <c r="K715" i="4"/>
  <c r="I715" i="4"/>
  <c r="F715" i="4"/>
  <c r="AA714" i="4"/>
  <c r="X714" i="4"/>
  <c r="U714" i="4"/>
  <c r="S714" i="4"/>
  <c r="P714" i="4"/>
  <c r="N714" i="4"/>
  <c r="K714" i="4"/>
  <c r="I714" i="4"/>
  <c r="F714" i="4"/>
  <c r="AA713" i="4"/>
  <c r="X713" i="4"/>
  <c r="U713" i="4"/>
  <c r="S713" i="4"/>
  <c r="P713" i="4"/>
  <c r="N713" i="4"/>
  <c r="K713" i="4"/>
  <c r="I713" i="4"/>
  <c r="F713" i="4"/>
  <c r="AA712" i="4"/>
  <c r="X712" i="4"/>
  <c r="U712" i="4"/>
  <c r="S712" i="4"/>
  <c r="P712" i="4"/>
  <c r="N712" i="4"/>
  <c r="K712" i="4"/>
  <c r="I712" i="4"/>
  <c r="F712" i="4"/>
  <c r="AA711" i="4"/>
  <c r="X711" i="4"/>
  <c r="U711" i="4"/>
  <c r="S711" i="4"/>
  <c r="P711" i="4"/>
  <c r="N711" i="4"/>
  <c r="K711" i="4"/>
  <c r="I711" i="4"/>
  <c r="F711" i="4"/>
  <c r="AA710" i="4"/>
  <c r="X710" i="4"/>
  <c r="U710" i="4"/>
  <c r="S710" i="4"/>
  <c r="P710" i="4"/>
  <c r="N710" i="4"/>
  <c r="K710" i="4"/>
  <c r="I710" i="4"/>
  <c r="F710" i="4"/>
  <c r="AA709" i="4"/>
  <c r="X709" i="4"/>
  <c r="U709" i="4"/>
  <c r="S709" i="4"/>
  <c r="P709" i="4"/>
  <c r="N709" i="4"/>
  <c r="K709" i="4"/>
  <c r="I709" i="4"/>
  <c r="F709" i="4"/>
  <c r="AA708" i="4"/>
  <c r="X708" i="4"/>
  <c r="U708" i="4"/>
  <c r="S708" i="4"/>
  <c r="P708" i="4"/>
  <c r="N708" i="4"/>
  <c r="K708" i="4"/>
  <c r="I708" i="4"/>
  <c r="F708" i="4"/>
  <c r="AA707" i="4"/>
  <c r="X707" i="4"/>
  <c r="U707" i="4"/>
  <c r="S707" i="4"/>
  <c r="P707" i="4"/>
  <c r="N707" i="4"/>
  <c r="K707" i="4"/>
  <c r="I707" i="4"/>
  <c r="F707" i="4"/>
  <c r="AA706" i="4"/>
  <c r="X706" i="4"/>
  <c r="U706" i="4"/>
  <c r="S706" i="4"/>
  <c r="P706" i="4"/>
  <c r="N706" i="4"/>
  <c r="K706" i="4"/>
  <c r="I706" i="4"/>
  <c r="F706" i="4"/>
  <c r="AA705" i="4"/>
  <c r="X705" i="4"/>
  <c r="U705" i="4"/>
  <c r="S705" i="4"/>
  <c r="P705" i="4"/>
  <c r="N705" i="4"/>
  <c r="K705" i="4"/>
  <c r="I705" i="4"/>
  <c r="F705" i="4"/>
  <c r="AA704" i="4"/>
  <c r="X704" i="4"/>
  <c r="U704" i="4"/>
  <c r="S704" i="4"/>
  <c r="P704" i="4"/>
  <c r="N704" i="4"/>
  <c r="K704" i="4"/>
  <c r="I704" i="4"/>
  <c r="F704" i="4"/>
  <c r="AA703" i="4"/>
  <c r="X703" i="4"/>
  <c r="U703" i="4"/>
  <c r="S703" i="4"/>
  <c r="P703" i="4"/>
  <c r="N703" i="4"/>
  <c r="K703" i="4"/>
  <c r="I703" i="4"/>
  <c r="F703" i="4"/>
  <c r="AA702" i="4"/>
  <c r="X702" i="4"/>
  <c r="U702" i="4"/>
  <c r="S702" i="4"/>
  <c r="P702" i="4"/>
  <c r="N702" i="4"/>
  <c r="K702" i="4"/>
  <c r="I702" i="4"/>
  <c r="F702" i="4"/>
  <c r="AA701" i="4"/>
  <c r="X701" i="4"/>
  <c r="U701" i="4"/>
  <c r="S701" i="4"/>
  <c r="P701" i="4"/>
  <c r="N701" i="4"/>
  <c r="K701" i="4"/>
  <c r="I701" i="4"/>
  <c r="F701" i="4"/>
  <c r="AA700" i="4"/>
  <c r="X700" i="4"/>
  <c r="U700" i="4"/>
  <c r="S700" i="4"/>
  <c r="P700" i="4"/>
  <c r="N700" i="4"/>
  <c r="K700" i="4"/>
  <c r="I700" i="4"/>
  <c r="F700" i="4"/>
  <c r="AA699" i="4"/>
  <c r="X699" i="4"/>
  <c r="U699" i="4"/>
  <c r="S699" i="4"/>
  <c r="P699" i="4"/>
  <c r="N699" i="4"/>
  <c r="K699" i="4"/>
  <c r="I699" i="4"/>
  <c r="F699" i="4"/>
  <c r="AA698" i="4"/>
  <c r="X698" i="4"/>
  <c r="U698" i="4"/>
  <c r="S698" i="4"/>
  <c r="P698" i="4"/>
  <c r="N698" i="4"/>
  <c r="K698" i="4"/>
  <c r="I698" i="4"/>
  <c r="F698" i="4"/>
  <c r="AA697" i="4"/>
  <c r="X697" i="4"/>
  <c r="U697" i="4"/>
  <c r="S697" i="4"/>
  <c r="P697" i="4"/>
  <c r="N697" i="4"/>
  <c r="K697" i="4"/>
  <c r="I697" i="4"/>
  <c r="F697" i="4"/>
  <c r="AA696" i="4"/>
  <c r="X696" i="4"/>
  <c r="U696" i="4"/>
  <c r="S696" i="4"/>
  <c r="P696" i="4"/>
  <c r="N696" i="4"/>
  <c r="K696" i="4"/>
  <c r="I696" i="4"/>
  <c r="F696" i="4"/>
  <c r="AA695" i="4"/>
  <c r="X695" i="4"/>
  <c r="U695" i="4"/>
  <c r="S695" i="4"/>
  <c r="P695" i="4"/>
  <c r="N695" i="4"/>
  <c r="K695" i="4"/>
  <c r="I695" i="4"/>
  <c r="F695" i="4"/>
  <c r="AA694" i="4"/>
  <c r="X694" i="4"/>
  <c r="U694" i="4"/>
  <c r="S694" i="4"/>
  <c r="P694" i="4"/>
  <c r="N694" i="4"/>
  <c r="K694" i="4"/>
  <c r="I694" i="4"/>
  <c r="F694" i="4"/>
  <c r="AA693" i="4"/>
  <c r="X693" i="4"/>
  <c r="U693" i="4"/>
  <c r="S693" i="4"/>
  <c r="P693" i="4"/>
  <c r="N693" i="4"/>
  <c r="K693" i="4"/>
  <c r="I693" i="4"/>
  <c r="F693" i="4"/>
  <c r="AA692" i="4"/>
  <c r="X692" i="4"/>
  <c r="U692" i="4"/>
  <c r="S692" i="4"/>
  <c r="P692" i="4"/>
  <c r="N692" i="4"/>
  <c r="K692" i="4"/>
  <c r="I692" i="4"/>
  <c r="F692" i="4"/>
  <c r="AA691" i="4"/>
  <c r="X691" i="4"/>
  <c r="U691" i="4"/>
  <c r="S691" i="4"/>
  <c r="P691" i="4"/>
  <c r="N691" i="4"/>
  <c r="K691" i="4"/>
  <c r="I691" i="4"/>
  <c r="F691" i="4"/>
  <c r="AA690" i="4"/>
  <c r="X690" i="4"/>
  <c r="U690" i="4"/>
  <c r="S690" i="4"/>
  <c r="P690" i="4"/>
  <c r="N690" i="4"/>
  <c r="K690" i="4"/>
  <c r="I690" i="4"/>
  <c r="F690" i="4"/>
  <c r="AA689" i="4"/>
  <c r="X689" i="4"/>
  <c r="U689" i="4"/>
  <c r="S689" i="4"/>
  <c r="P689" i="4"/>
  <c r="N689" i="4"/>
  <c r="K689" i="4"/>
  <c r="I689" i="4"/>
  <c r="F689" i="4"/>
  <c r="AA688" i="4"/>
  <c r="X688" i="4"/>
  <c r="U688" i="4"/>
  <c r="S688" i="4"/>
  <c r="P688" i="4"/>
  <c r="N688" i="4"/>
  <c r="K688" i="4"/>
  <c r="I688" i="4"/>
  <c r="F688" i="4"/>
  <c r="AA687" i="4"/>
  <c r="X687" i="4"/>
  <c r="U687" i="4"/>
  <c r="S687" i="4"/>
  <c r="P687" i="4"/>
  <c r="N687" i="4"/>
  <c r="K687" i="4"/>
  <c r="I687" i="4"/>
  <c r="F687" i="4"/>
  <c r="AA686" i="4"/>
  <c r="X686" i="4"/>
  <c r="U686" i="4"/>
  <c r="S686" i="4"/>
  <c r="P686" i="4"/>
  <c r="N686" i="4"/>
  <c r="K686" i="4"/>
  <c r="I686" i="4"/>
  <c r="F686" i="4"/>
  <c r="AA685" i="4"/>
  <c r="X685" i="4"/>
  <c r="U685" i="4"/>
  <c r="S685" i="4"/>
  <c r="P685" i="4"/>
  <c r="N685" i="4"/>
  <c r="K685" i="4"/>
  <c r="I685" i="4"/>
  <c r="F685" i="4"/>
  <c r="AA684" i="4"/>
  <c r="X684" i="4"/>
  <c r="U684" i="4"/>
  <c r="S684" i="4"/>
  <c r="P684" i="4"/>
  <c r="N684" i="4"/>
  <c r="K684" i="4"/>
  <c r="I684" i="4"/>
  <c r="F684" i="4"/>
  <c r="AA683" i="4"/>
  <c r="X683" i="4"/>
  <c r="U683" i="4"/>
  <c r="S683" i="4"/>
  <c r="P683" i="4"/>
  <c r="N683" i="4"/>
  <c r="K683" i="4"/>
  <c r="I683" i="4"/>
  <c r="F683" i="4"/>
  <c r="AA682" i="4"/>
  <c r="X682" i="4"/>
  <c r="U682" i="4"/>
  <c r="S682" i="4"/>
  <c r="P682" i="4"/>
  <c r="N682" i="4"/>
  <c r="K682" i="4"/>
  <c r="I682" i="4"/>
  <c r="F682" i="4"/>
  <c r="AA681" i="4"/>
  <c r="X681" i="4"/>
  <c r="U681" i="4"/>
  <c r="S681" i="4"/>
  <c r="P681" i="4"/>
  <c r="N681" i="4"/>
  <c r="K681" i="4"/>
  <c r="I681" i="4"/>
  <c r="F681" i="4"/>
  <c r="AA680" i="4"/>
  <c r="X680" i="4"/>
  <c r="U680" i="4"/>
  <c r="S680" i="4"/>
  <c r="P680" i="4"/>
  <c r="N680" i="4"/>
  <c r="K680" i="4"/>
  <c r="I680" i="4"/>
  <c r="F680" i="4"/>
  <c r="AA679" i="4"/>
  <c r="X679" i="4"/>
  <c r="U679" i="4"/>
  <c r="S679" i="4"/>
  <c r="P679" i="4"/>
  <c r="N679" i="4"/>
  <c r="K679" i="4"/>
  <c r="I679" i="4"/>
  <c r="F679" i="4"/>
  <c r="AA678" i="4"/>
  <c r="X678" i="4"/>
  <c r="U678" i="4"/>
  <c r="S678" i="4"/>
  <c r="P678" i="4"/>
  <c r="N678" i="4"/>
  <c r="K678" i="4"/>
  <c r="I678" i="4"/>
  <c r="F678" i="4"/>
  <c r="AA677" i="4"/>
  <c r="X677" i="4"/>
  <c r="U677" i="4"/>
  <c r="S677" i="4"/>
  <c r="P677" i="4"/>
  <c r="N677" i="4"/>
  <c r="K677" i="4"/>
  <c r="I677" i="4"/>
  <c r="F677" i="4"/>
  <c r="AA676" i="4"/>
  <c r="X676" i="4"/>
  <c r="U676" i="4"/>
  <c r="S676" i="4"/>
  <c r="P676" i="4"/>
  <c r="N676" i="4"/>
  <c r="K676" i="4"/>
  <c r="I676" i="4"/>
  <c r="F676" i="4"/>
  <c r="AA675" i="4"/>
  <c r="X675" i="4"/>
  <c r="U675" i="4"/>
  <c r="S675" i="4"/>
  <c r="P675" i="4"/>
  <c r="N675" i="4"/>
  <c r="K675" i="4"/>
  <c r="I675" i="4"/>
  <c r="F675" i="4"/>
  <c r="AA674" i="4"/>
  <c r="X674" i="4"/>
  <c r="U674" i="4"/>
  <c r="S674" i="4"/>
  <c r="P674" i="4"/>
  <c r="N674" i="4"/>
  <c r="K674" i="4"/>
  <c r="I674" i="4"/>
  <c r="F674" i="4"/>
  <c r="AA673" i="4"/>
  <c r="X673" i="4"/>
  <c r="U673" i="4"/>
  <c r="S673" i="4"/>
  <c r="P673" i="4"/>
  <c r="N673" i="4"/>
  <c r="K673" i="4"/>
  <c r="I673" i="4"/>
  <c r="F673" i="4"/>
  <c r="AA672" i="4"/>
  <c r="X672" i="4"/>
  <c r="U672" i="4"/>
  <c r="S672" i="4"/>
  <c r="P672" i="4"/>
  <c r="N672" i="4"/>
  <c r="K672" i="4"/>
  <c r="I672" i="4"/>
  <c r="F672" i="4"/>
  <c r="AA671" i="4"/>
  <c r="X671" i="4"/>
  <c r="U671" i="4"/>
  <c r="S671" i="4"/>
  <c r="P671" i="4"/>
  <c r="N671" i="4"/>
  <c r="K671" i="4"/>
  <c r="I671" i="4"/>
  <c r="F671" i="4"/>
  <c r="AA670" i="4"/>
  <c r="X670" i="4"/>
  <c r="U670" i="4"/>
  <c r="S670" i="4"/>
  <c r="P670" i="4"/>
  <c r="N670" i="4"/>
  <c r="K670" i="4"/>
  <c r="I670" i="4"/>
  <c r="F670" i="4"/>
  <c r="AA669" i="4"/>
  <c r="X669" i="4"/>
  <c r="U669" i="4"/>
  <c r="S669" i="4"/>
  <c r="P669" i="4"/>
  <c r="N669" i="4"/>
  <c r="K669" i="4"/>
  <c r="I669" i="4"/>
  <c r="F669" i="4"/>
  <c r="AA668" i="4"/>
  <c r="X668" i="4"/>
  <c r="U668" i="4"/>
  <c r="S668" i="4"/>
  <c r="P668" i="4"/>
  <c r="N668" i="4"/>
  <c r="K668" i="4"/>
  <c r="I668" i="4"/>
  <c r="F668" i="4"/>
  <c r="AA667" i="4"/>
  <c r="X667" i="4"/>
  <c r="U667" i="4"/>
  <c r="S667" i="4"/>
  <c r="P667" i="4"/>
  <c r="N667" i="4"/>
  <c r="K667" i="4"/>
  <c r="I667" i="4"/>
  <c r="F667" i="4"/>
  <c r="AA666" i="4"/>
  <c r="X666" i="4"/>
  <c r="U666" i="4"/>
  <c r="S666" i="4"/>
  <c r="P666" i="4"/>
  <c r="N666" i="4"/>
  <c r="K666" i="4"/>
  <c r="I666" i="4"/>
  <c r="F666" i="4"/>
  <c r="AA665" i="4"/>
  <c r="X665" i="4"/>
  <c r="U665" i="4"/>
  <c r="S665" i="4"/>
  <c r="P665" i="4"/>
  <c r="N665" i="4"/>
  <c r="K665" i="4"/>
  <c r="I665" i="4"/>
  <c r="F665" i="4"/>
  <c r="AA664" i="4"/>
  <c r="X664" i="4"/>
  <c r="U664" i="4"/>
  <c r="S664" i="4"/>
  <c r="P664" i="4"/>
  <c r="N664" i="4"/>
  <c r="K664" i="4"/>
  <c r="I664" i="4"/>
  <c r="F664" i="4"/>
  <c r="AA663" i="4"/>
  <c r="X663" i="4"/>
  <c r="U663" i="4"/>
  <c r="S663" i="4"/>
  <c r="P663" i="4"/>
  <c r="N663" i="4"/>
  <c r="K663" i="4"/>
  <c r="I663" i="4"/>
  <c r="F663" i="4"/>
  <c r="AA662" i="4"/>
  <c r="X662" i="4"/>
  <c r="U662" i="4"/>
  <c r="S662" i="4"/>
  <c r="P662" i="4"/>
  <c r="N662" i="4"/>
  <c r="K662" i="4"/>
  <c r="I662" i="4"/>
  <c r="F662" i="4"/>
  <c r="AA661" i="4"/>
  <c r="X661" i="4"/>
  <c r="U661" i="4"/>
  <c r="S661" i="4"/>
  <c r="P661" i="4"/>
  <c r="N661" i="4"/>
  <c r="K661" i="4"/>
  <c r="I661" i="4"/>
  <c r="F661" i="4"/>
  <c r="AA660" i="4"/>
  <c r="X660" i="4"/>
  <c r="U660" i="4"/>
  <c r="S660" i="4"/>
  <c r="P660" i="4"/>
  <c r="N660" i="4"/>
  <c r="K660" i="4"/>
  <c r="I660" i="4"/>
  <c r="F660" i="4"/>
  <c r="AA659" i="4"/>
  <c r="X659" i="4"/>
  <c r="U659" i="4"/>
  <c r="S659" i="4"/>
  <c r="P659" i="4"/>
  <c r="N659" i="4"/>
  <c r="K659" i="4"/>
  <c r="I659" i="4"/>
  <c r="F659" i="4"/>
  <c r="AA658" i="4"/>
  <c r="X658" i="4"/>
  <c r="U658" i="4"/>
  <c r="S658" i="4"/>
  <c r="P658" i="4"/>
  <c r="N658" i="4"/>
  <c r="K658" i="4"/>
  <c r="I658" i="4"/>
  <c r="F658" i="4"/>
  <c r="AA657" i="4"/>
  <c r="X657" i="4"/>
  <c r="U657" i="4"/>
  <c r="S657" i="4"/>
  <c r="P657" i="4"/>
  <c r="N657" i="4"/>
  <c r="K657" i="4"/>
  <c r="I657" i="4"/>
  <c r="F657" i="4"/>
  <c r="AA656" i="4"/>
  <c r="X656" i="4"/>
  <c r="U656" i="4"/>
  <c r="S656" i="4"/>
  <c r="P656" i="4"/>
  <c r="N656" i="4"/>
  <c r="K656" i="4"/>
  <c r="I656" i="4"/>
  <c r="F656" i="4"/>
  <c r="AA655" i="4"/>
  <c r="X655" i="4"/>
  <c r="U655" i="4"/>
  <c r="S655" i="4"/>
  <c r="P655" i="4"/>
  <c r="N655" i="4"/>
  <c r="K655" i="4"/>
  <c r="I655" i="4"/>
  <c r="F655" i="4"/>
  <c r="AA654" i="4"/>
  <c r="X654" i="4"/>
  <c r="U654" i="4"/>
  <c r="S654" i="4"/>
  <c r="P654" i="4"/>
  <c r="N654" i="4"/>
  <c r="K654" i="4"/>
  <c r="I654" i="4"/>
  <c r="F654" i="4"/>
  <c r="AA653" i="4"/>
  <c r="X653" i="4"/>
  <c r="U653" i="4"/>
  <c r="S653" i="4"/>
  <c r="P653" i="4"/>
  <c r="N653" i="4"/>
  <c r="K653" i="4"/>
  <c r="I653" i="4"/>
  <c r="F653" i="4"/>
  <c r="AA652" i="4"/>
  <c r="X652" i="4"/>
  <c r="U652" i="4"/>
  <c r="S652" i="4"/>
  <c r="P652" i="4"/>
  <c r="N652" i="4"/>
  <c r="K652" i="4"/>
  <c r="I652" i="4"/>
  <c r="F652" i="4"/>
  <c r="AA651" i="4"/>
  <c r="X651" i="4"/>
  <c r="U651" i="4"/>
  <c r="S651" i="4"/>
  <c r="P651" i="4"/>
  <c r="N651" i="4"/>
  <c r="K651" i="4"/>
  <c r="I651" i="4"/>
  <c r="F651" i="4"/>
  <c r="AA650" i="4"/>
  <c r="X650" i="4"/>
  <c r="U650" i="4"/>
  <c r="S650" i="4"/>
  <c r="P650" i="4"/>
  <c r="N650" i="4"/>
  <c r="K650" i="4"/>
  <c r="I650" i="4"/>
  <c r="F650" i="4"/>
  <c r="AA649" i="4"/>
  <c r="X649" i="4"/>
  <c r="U649" i="4"/>
  <c r="S649" i="4"/>
  <c r="P649" i="4"/>
  <c r="N649" i="4"/>
  <c r="K649" i="4"/>
  <c r="I649" i="4"/>
  <c r="F649" i="4"/>
  <c r="AA648" i="4"/>
  <c r="X648" i="4"/>
  <c r="U648" i="4"/>
  <c r="S648" i="4"/>
  <c r="P648" i="4"/>
  <c r="N648" i="4"/>
  <c r="K648" i="4"/>
  <c r="I648" i="4"/>
  <c r="F648" i="4"/>
  <c r="AA647" i="4"/>
  <c r="X647" i="4"/>
  <c r="U647" i="4"/>
  <c r="S647" i="4"/>
  <c r="P647" i="4"/>
  <c r="N647" i="4"/>
  <c r="K647" i="4"/>
  <c r="I647" i="4"/>
  <c r="F647" i="4"/>
  <c r="AA646" i="4"/>
  <c r="X646" i="4"/>
  <c r="U646" i="4"/>
  <c r="S646" i="4"/>
  <c r="P646" i="4"/>
  <c r="N646" i="4"/>
  <c r="K646" i="4"/>
  <c r="I646" i="4"/>
  <c r="F646" i="4"/>
  <c r="AA645" i="4"/>
  <c r="X645" i="4"/>
  <c r="U645" i="4"/>
  <c r="S645" i="4"/>
  <c r="P645" i="4"/>
  <c r="N645" i="4"/>
  <c r="K645" i="4"/>
  <c r="I645" i="4"/>
  <c r="F645" i="4"/>
  <c r="AA644" i="4"/>
  <c r="X644" i="4"/>
  <c r="U644" i="4"/>
  <c r="S644" i="4"/>
  <c r="P644" i="4"/>
  <c r="N644" i="4"/>
  <c r="K644" i="4"/>
  <c r="I644" i="4"/>
  <c r="F644" i="4"/>
  <c r="AA643" i="4"/>
  <c r="X643" i="4"/>
  <c r="U643" i="4"/>
  <c r="S643" i="4"/>
  <c r="P643" i="4"/>
  <c r="N643" i="4"/>
  <c r="K643" i="4"/>
  <c r="I643" i="4"/>
  <c r="F643" i="4"/>
  <c r="AA642" i="4"/>
  <c r="X642" i="4"/>
  <c r="U642" i="4"/>
  <c r="S642" i="4"/>
  <c r="P642" i="4"/>
  <c r="N642" i="4"/>
  <c r="K642" i="4"/>
  <c r="I642" i="4"/>
  <c r="F642" i="4"/>
  <c r="AA641" i="4"/>
  <c r="X641" i="4"/>
  <c r="U641" i="4"/>
  <c r="S641" i="4"/>
  <c r="P641" i="4"/>
  <c r="N641" i="4"/>
  <c r="K641" i="4"/>
  <c r="I641" i="4"/>
  <c r="F641" i="4"/>
  <c r="AA640" i="4"/>
  <c r="X640" i="4"/>
  <c r="U640" i="4"/>
  <c r="S640" i="4"/>
  <c r="P640" i="4"/>
  <c r="N640" i="4"/>
  <c r="K640" i="4"/>
  <c r="I640" i="4"/>
  <c r="F640" i="4"/>
  <c r="AA639" i="4"/>
  <c r="X639" i="4"/>
  <c r="U639" i="4"/>
  <c r="S639" i="4"/>
  <c r="P639" i="4"/>
  <c r="N639" i="4"/>
  <c r="K639" i="4"/>
  <c r="I639" i="4"/>
  <c r="F639" i="4"/>
  <c r="AA638" i="4"/>
  <c r="X638" i="4"/>
  <c r="U638" i="4"/>
  <c r="S638" i="4"/>
  <c r="P638" i="4"/>
  <c r="N638" i="4"/>
  <c r="K638" i="4"/>
  <c r="I638" i="4"/>
  <c r="F638" i="4"/>
  <c r="AA637" i="4"/>
  <c r="X637" i="4"/>
  <c r="U637" i="4"/>
  <c r="S637" i="4"/>
  <c r="P637" i="4"/>
  <c r="N637" i="4"/>
  <c r="K637" i="4"/>
  <c r="I637" i="4"/>
  <c r="F637" i="4"/>
  <c r="AA636" i="4"/>
  <c r="X636" i="4"/>
  <c r="U636" i="4"/>
  <c r="S636" i="4"/>
  <c r="P636" i="4"/>
  <c r="N636" i="4"/>
  <c r="K636" i="4"/>
  <c r="I636" i="4"/>
  <c r="F636" i="4"/>
  <c r="AA635" i="4"/>
  <c r="X635" i="4"/>
  <c r="U635" i="4"/>
  <c r="S635" i="4"/>
  <c r="P635" i="4"/>
  <c r="N635" i="4"/>
  <c r="K635" i="4"/>
  <c r="I635" i="4"/>
  <c r="F635" i="4"/>
  <c r="AA634" i="4"/>
  <c r="X634" i="4"/>
  <c r="U634" i="4"/>
  <c r="S634" i="4"/>
  <c r="P634" i="4"/>
  <c r="N634" i="4"/>
  <c r="K634" i="4"/>
  <c r="I634" i="4"/>
  <c r="F634" i="4"/>
  <c r="AA633" i="4"/>
  <c r="X633" i="4"/>
  <c r="U633" i="4"/>
  <c r="S633" i="4"/>
  <c r="P633" i="4"/>
  <c r="N633" i="4"/>
  <c r="K633" i="4"/>
  <c r="I633" i="4"/>
  <c r="F633" i="4"/>
  <c r="AA632" i="4"/>
  <c r="X632" i="4"/>
  <c r="U632" i="4"/>
  <c r="S632" i="4"/>
  <c r="P632" i="4"/>
  <c r="N632" i="4"/>
  <c r="K632" i="4"/>
  <c r="I632" i="4"/>
  <c r="F632" i="4"/>
  <c r="AA631" i="4"/>
  <c r="X631" i="4"/>
  <c r="U631" i="4"/>
  <c r="S631" i="4"/>
  <c r="P631" i="4"/>
  <c r="N631" i="4"/>
  <c r="K631" i="4"/>
  <c r="I631" i="4"/>
  <c r="F631" i="4"/>
  <c r="AA630" i="4"/>
  <c r="X630" i="4"/>
  <c r="U630" i="4"/>
  <c r="S630" i="4"/>
  <c r="P630" i="4"/>
  <c r="N630" i="4"/>
  <c r="K630" i="4"/>
  <c r="I630" i="4"/>
  <c r="F630" i="4"/>
  <c r="AA629" i="4"/>
  <c r="X629" i="4"/>
  <c r="U629" i="4"/>
  <c r="S629" i="4"/>
  <c r="P629" i="4"/>
  <c r="N629" i="4"/>
  <c r="K629" i="4"/>
  <c r="I629" i="4"/>
  <c r="F629" i="4"/>
  <c r="AA628" i="4"/>
  <c r="X628" i="4"/>
  <c r="U628" i="4"/>
  <c r="S628" i="4"/>
  <c r="P628" i="4"/>
  <c r="N628" i="4"/>
  <c r="K628" i="4"/>
  <c r="I628" i="4"/>
  <c r="F628" i="4"/>
  <c r="AA627" i="4"/>
  <c r="X627" i="4"/>
  <c r="U627" i="4"/>
  <c r="S627" i="4"/>
  <c r="P627" i="4"/>
  <c r="N627" i="4"/>
  <c r="K627" i="4"/>
  <c r="I627" i="4"/>
  <c r="F627" i="4"/>
  <c r="AA626" i="4"/>
  <c r="X626" i="4"/>
  <c r="U626" i="4"/>
  <c r="S626" i="4"/>
  <c r="P626" i="4"/>
  <c r="N626" i="4"/>
  <c r="K626" i="4"/>
  <c r="I626" i="4"/>
  <c r="F626" i="4"/>
  <c r="AA625" i="4"/>
  <c r="X625" i="4"/>
  <c r="U625" i="4"/>
  <c r="S625" i="4"/>
  <c r="P625" i="4"/>
  <c r="N625" i="4"/>
  <c r="K625" i="4"/>
  <c r="I625" i="4"/>
  <c r="F625" i="4"/>
  <c r="AA624" i="4"/>
  <c r="X624" i="4"/>
  <c r="U624" i="4"/>
  <c r="S624" i="4"/>
  <c r="P624" i="4"/>
  <c r="N624" i="4"/>
  <c r="K624" i="4"/>
  <c r="I624" i="4"/>
  <c r="F624" i="4"/>
  <c r="AA623" i="4"/>
  <c r="X623" i="4"/>
  <c r="U623" i="4"/>
  <c r="S623" i="4"/>
  <c r="P623" i="4"/>
  <c r="N623" i="4"/>
  <c r="K623" i="4"/>
  <c r="I623" i="4"/>
  <c r="F623" i="4"/>
  <c r="AA622" i="4"/>
  <c r="X622" i="4"/>
  <c r="U622" i="4"/>
  <c r="S622" i="4"/>
  <c r="P622" i="4"/>
  <c r="N622" i="4"/>
  <c r="K622" i="4"/>
  <c r="I622" i="4"/>
  <c r="F622" i="4"/>
  <c r="AA621" i="4"/>
  <c r="X621" i="4"/>
  <c r="U621" i="4"/>
  <c r="S621" i="4"/>
  <c r="P621" i="4"/>
  <c r="N621" i="4"/>
  <c r="K621" i="4"/>
  <c r="I621" i="4"/>
  <c r="F621" i="4"/>
  <c r="AA620" i="4"/>
  <c r="X620" i="4"/>
  <c r="U620" i="4"/>
  <c r="S620" i="4"/>
  <c r="P620" i="4"/>
  <c r="N620" i="4"/>
  <c r="K620" i="4"/>
  <c r="I620" i="4"/>
  <c r="F620" i="4"/>
  <c r="AA619" i="4"/>
  <c r="X619" i="4"/>
  <c r="U619" i="4"/>
  <c r="S619" i="4"/>
  <c r="P619" i="4"/>
  <c r="N619" i="4"/>
  <c r="K619" i="4"/>
  <c r="I619" i="4"/>
  <c r="F619" i="4"/>
  <c r="AA618" i="4"/>
  <c r="X618" i="4"/>
  <c r="U618" i="4"/>
  <c r="S618" i="4"/>
  <c r="P618" i="4"/>
  <c r="N618" i="4"/>
  <c r="K618" i="4"/>
  <c r="I618" i="4"/>
  <c r="F618" i="4"/>
  <c r="AA617" i="4"/>
  <c r="X617" i="4"/>
  <c r="U617" i="4"/>
  <c r="S617" i="4"/>
  <c r="P617" i="4"/>
  <c r="N617" i="4"/>
  <c r="K617" i="4"/>
  <c r="I617" i="4"/>
  <c r="F617" i="4"/>
  <c r="AA616" i="4"/>
  <c r="X616" i="4"/>
  <c r="U616" i="4"/>
  <c r="S616" i="4"/>
  <c r="P616" i="4"/>
  <c r="N616" i="4"/>
  <c r="K616" i="4"/>
  <c r="I616" i="4"/>
  <c r="F616" i="4"/>
  <c r="AA615" i="4"/>
  <c r="X615" i="4"/>
  <c r="U615" i="4"/>
  <c r="S615" i="4"/>
  <c r="P615" i="4"/>
  <c r="N615" i="4"/>
  <c r="K615" i="4"/>
  <c r="I615" i="4"/>
  <c r="F615" i="4"/>
  <c r="AA614" i="4"/>
  <c r="X614" i="4"/>
  <c r="U614" i="4"/>
  <c r="S614" i="4"/>
  <c r="P614" i="4"/>
  <c r="N614" i="4"/>
  <c r="K614" i="4"/>
  <c r="I614" i="4"/>
  <c r="F614" i="4"/>
  <c r="AA613" i="4"/>
  <c r="X613" i="4"/>
  <c r="U613" i="4"/>
  <c r="S613" i="4"/>
  <c r="P613" i="4"/>
  <c r="N613" i="4"/>
  <c r="K613" i="4"/>
  <c r="I613" i="4"/>
  <c r="F613" i="4"/>
  <c r="AA612" i="4"/>
  <c r="X612" i="4"/>
  <c r="U612" i="4"/>
  <c r="S612" i="4"/>
  <c r="P612" i="4"/>
  <c r="N612" i="4"/>
  <c r="K612" i="4"/>
  <c r="I612" i="4"/>
  <c r="F612" i="4"/>
  <c r="AA611" i="4"/>
  <c r="X611" i="4"/>
  <c r="U611" i="4"/>
  <c r="S611" i="4"/>
  <c r="P611" i="4"/>
  <c r="N611" i="4"/>
  <c r="K611" i="4"/>
  <c r="I611" i="4"/>
  <c r="F611" i="4"/>
  <c r="AA610" i="4"/>
  <c r="X610" i="4"/>
  <c r="U610" i="4"/>
  <c r="S610" i="4"/>
  <c r="P610" i="4"/>
  <c r="N610" i="4"/>
  <c r="K610" i="4"/>
  <c r="I610" i="4"/>
  <c r="F610" i="4"/>
  <c r="AA609" i="4"/>
  <c r="X609" i="4"/>
  <c r="U609" i="4"/>
  <c r="S609" i="4"/>
  <c r="P609" i="4"/>
  <c r="N609" i="4"/>
  <c r="K609" i="4"/>
  <c r="I609" i="4"/>
  <c r="F609" i="4"/>
  <c r="AA608" i="4"/>
  <c r="X608" i="4"/>
  <c r="U608" i="4"/>
  <c r="S608" i="4"/>
  <c r="P608" i="4"/>
  <c r="N608" i="4"/>
  <c r="K608" i="4"/>
  <c r="I608" i="4"/>
  <c r="F608" i="4"/>
  <c r="AA607" i="4"/>
  <c r="X607" i="4"/>
  <c r="U607" i="4"/>
  <c r="S607" i="4"/>
  <c r="P607" i="4"/>
  <c r="N607" i="4"/>
  <c r="K607" i="4"/>
  <c r="I607" i="4"/>
  <c r="F607" i="4"/>
  <c r="AA606" i="4"/>
  <c r="X606" i="4"/>
  <c r="U606" i="4"/>
  <c r="S606" i="4"/>
  <c r="P606" i="4"/>
  <c r="N606" i="4"/>
  <c r="K606" i="4"/>
  <c r="I606" i="4"/>
  <c r="F606" i="4"/>
  <c r="AA605" i="4"/>
  <c r="X605" i="4"/>
  <c r="U605" i="4"/>
  <c r="S605" i="4"/>
  <c r="P605" i="4"/>
  <c r="N605" i="4"/>
  <c r="K605" i="4"/>
  <c r="I605" i="4"/>
  <c r="F605" i="4"/>
  <c r="AA604" i="4"/>
  <c r="X604" i="4"/>
  <c r="U604" i="4"/>
  <c r="S604" i="4"/>
  <c r="P604" i="4"/>
  <c r="N604" i="4"/>
  <c r="K604" i="4"/>
  <c r="I604" i="4"/>
  <c r="F604" i="4"/>
  <c r="AA603" i="4"/>
  <c r="X603" i="4"/>
  <c r="U603" i="4"/>
  <c r="S603" i="4"/>
  <c r="P603" i="4"/>
  <c r="N603" i="4"/>
  <c r="K603" i="4"/>
  <c r="I603" i="4"/>
  <c r="F603" i="4"/>
  <c r="AA602" i="4"/>
  <c r="X602" i="4"/>
  <c r="U602" i="4"/>
  <c r="S602" i="4"/>
  <c r="P602" i="4"/>
  <c r="N602" i="4"/>
  <c r="K602" i="4"/>
  <c r="I602" i="4"/>
  <c r="F602" i="4"/>
  <c r="AA601" i="4"/>
  <c r="X601" i="4"/>
  <c r="U601" i="4"/>
  <c r="S601" i="4"/>
  <c r="P601" i="4"/>
  <c r="N601" i="4"/>
  <c r="K601" i="4"/>
  <c r="I601" i="4"/>
  <c r="F601" i="4"/>
  <c r="AA600" i="4"/>
  <c r="X600" i="4"/>
  <c r="U600" i="4"/>
  <c r="S600" i="4"/>
  <c r="P600" i="4"/>
  <c r="N600" i="4"/>
  <c r="K600" i="4"/>
  <c r="I600" i="4"/>
  <c r="F600" i="4"/>
  <c r="AA599" i="4"/>
  <c r="X599" i="4"/>
  <c r="U599" i="4"/>
  <c r="S599" i="4"/>
  <c r="P599" i="4"/>
  <c r="N599" i="4"/>
  <c r="K599" i="4"/>
  <c r="I599" i="4"/>
  <c r="F599" i="4"/>
  <c r="AA598" i="4"/>
  <c r="X598" i="4"/>
  <c r="U598" i="4"/>
  <c r="S598" i="4"/>
  <c r="P598" i="4"/>
  <c r="N598" i="4"/>
  <c r="K598" i="4"/>
  <c r="I598" i="4"/>
  <c r="F598" i="4"/>
  <c r="AA597" i="4"/>
  <c r="X597" i="4"/>
  <c r="U597" i="4"/>
  <c r="S597" i="4"/>
  <c r="P597" i="4"/>
  <c r="N597" i="4"/>
  <c r="K597" i="4"/>
  <c r="I597" i="4"/>
  <c r="F597" i="4"/>
  <c r="AA596" i="4"/>
  <c r="X596" i="4"/>
  <c r="U596" i="4"/>
  <c r="S596" i="4"/>
  <c r="P596" i="4"/>
  <c r="N596" i="4"/>
  <c r="K596" i="4"/>
  <c r="I596" i="4"/>
  <c r="F596" i="4"/>
  <c r="AA595" i="4"/>
  <c r="X595" i="4"/>
  <c r="U595" i="4"/>
  <c r="S595" i="4"/>
  <c r="P595" i="4"/>
  <c r="N595" i="4"/>
  <c r="K595" i="4"/>
  <c r="I595" i="4"/>
  <c r="F595" i="4"/>
  <c r="AA594" i="4"/>
  <c r="X594" i="4"/>
  <c r="U594" i="4"/>
  <c r="S594" i="4"/>
  <c r="P594" i="4"/>
  <c r="N594" i="4"/>
  <c r="K594" i="4"/>
  <c r="I594" i="4"/>
  <c r="F594" i="4"/>
  <c r="AA593" i="4"/>
  <c r="X593" i="4"/>
  <c r="U593" i="4"/>
  <c r="S593" i="4"/>
  <c r="P593" i="4"/>
  <c r="N593" i="4"/>
  <c r="K593" i="4"/>
  <c r="I593" i="4"/>
  <c r="F593" i="4"/>
  <c r="AA592" i="4"/>
  <c r="X592" i="4"/>
  <c r="U592" i="4"/>
  <c r="S592" i="4"/>
  <c r="P592" i="4"/>
  <c r="N592" i="4"/>
  <c r="K592" i="4"/>
  <c r="I592" i="4"/>
  <c r="F592" i="4"/>
  <c r="AA591" i="4"/>
  <c r="X591" i="4"/>
  <c r="U591" i="4"/>
  <c r="S591" i="4"/>
  <c r="P591" i="4"/>
  <c r="N591" i="4"/>
  <c r="K591" i="4"/>
  <c r="I591" i="4"/>
  <c r="F591" i="4"/>
  <c r="AA590" i="4"/>
  <c r="X590" i="4"/>
  <c r="U590" i="4"/>
  <c r="S590" i="4"/>
  <c r="P590" i="4"/>
  <c r="N590" i="4"/>
  <c r="K590" i="4"/>
  <c r="I590" i="4"/>
  <c r="F590" i="4"/>
  <c r="AA589" i="4"/>
  <c r="X589" i="4"/>
  <c r="U589" i="4"/>
  <c r="S589" i="4"/>
  <c r="P589" i="4"/>
  <c r="N589" i="4"/>
  <c r="K589" i="4"/>
  <c r="I589" i="4"/>
  <c r="F589" i="4"/>
  <c r="AA588" i="4"/>
  <c r="X588" i="4"/>
  <c r="U588" i="4"/>
  <c r="S588" i="4"/>
  <c r="P588" i="4"/>
  <c r="N588" i="4"/>
  <c r="K588" i="4"/>
  <c r="I588" i="4"/>
  <c r="F588" i="4"/>
  <c r="AA587" i="4"/>
  <c r="X587" i="4"/>
  <c r="U587" i="4"/>
  <c r="S587" i="4"/>
  <c r="P587" i="4"/>
  <c r="N587" i="4"/>
  <c r="K587" i="4"/>
  <c r="I587" i="4"/>
  <c r="F587" i="4"/>
  <c r="AA586" i="4"/>
  <c r="X586" i="4"/>
  <c r="U586" i="4"/>
  <c r="S586" i="4"/>
  <c r="P586" i="4"/>
  <c r="N586" i="4"/>
  <c r="K586" i="4"/>
  <c r="I586" i="4"/>
  <c r="F586" i="4"/>
  <c r="AA585" i="4"/>
  <c r="X585" i="4"/>
  <c r="U585" i="4"/>
  <c r="S585" i="4"/>
  <c r="P585" i="4"/>
  <c r="N585" i="4"/>
  <c r="K585" i="4"/>
  <c r="I585" i="4"/>
  <c r="F585" i="4"/>
  <c r="AA584" i="4"/>
  <c r="X584" i="4"/>
  <c r="U584" i="4"/>
  <c r="S584" i="4"/>
  <c r="P584" i="4"/>
  <c r="N584" i="4"/>
  <c r="K584" i="4"/>
  <c r="I584" i="4"/>
  <c r="F584" i="4"/>
  <c r="AA583" i="4"/>
  <c r="X583" i="4"/>
  <c r="U583" i="4"/>
  <c r="S583" i="4"/>
  <c r="P583" i="4"/>
  <c r="N583" i="4"/>
  <c r="K583" i="4"/>
  <c r="I583" i="4"/>
  <c r="F583" i="4"/>
  <c r="AA582" i="4"/>
  <c r="X582" i="4"/>
  <c r="U582" i="4"/>
  <c r="S582" i="4"/>
  <c r="P582" i="4"/>
  <c r="N582" i="4"/>
  <c r="K582" i="4"/>
  <c r="I582" i="4"/>
  <c r="F582" i="4"/>
  <c r="AA581" i="4"/>
  <c r="X581" i="4"/>
  <c r="U581" i="4"/>
  <c r="S581" i="4"/>
  <c r="P581" i="4"/>
  <c r="N581" i="4"/>
  <c r="K581" i="4"/>
  <c r="I581" i="4"/>
  <c r="F581" i="4"/>
  <c r="AA580" i="4"/>
  <c r="X580" i="4"/>
  <c r="U580" i="4"/>
  <c r="S580" i="4"/>
  <c r="P580" i="4"/>
  <c r="N580" i="4"/>
  <c r="K580" i="4"/>
  <c r="I580" i="4"/>
  <c r="F580" i="4"/>
  <c r="AA579" i="4"/>
  <c r="X579" i="4"/>
  <c r="U579" i="4"/>
  <c r="S579" i="4"/>
  <c r="P579" i="4"/>
  <c r="N579" i="4"/>
  <c r="K579" i="4"/>
  <c r="I579" i="4"/>
  <c r="F579" i="4"/>
  <c r="AA578" i="4"/>
  <c r="X578" i="4"/>
  <c r="U578" i="4"/>
  <c r="S578" i="4"/>
  <c r="P578" i="4"/>
  <c r="N578" i="4"/>
  <c r="K578" i="4"/>
  <c r="I578" i="4"/>
  <c r="F578" i="4"/>
  <c r="AA577" i="4"/>
  <c r="X577" i="4"/>
  <c r="U577" i="4"/>
  <c r="S577" i="4"/>
  <c r="P577" i="4"/>
  <c r="N577" i="4"/>
  <c r="K577" i="4"/>
  <c r="I577" i="4"/>
  <c r="F577" i="4"/>
  <c r="AA576" i="4"/>
  <c r="X576" i="4"/>
  <c r="U576" i="4"/>
  <c r="S576" i="4"/>
  <c r="P576" i="4"/>
  <c r="N576" i="4"/>
  <c r="K576" i="4"/>
  <c r="I576" i="4"/>
  <c r="F576" i="4"/>
  <c r="AA575" i="4"/>
  <c r="X575" i="4"/>
  <c r="U575" i="4"/>
  <c r="S575" i="4"/>
  <c r="P575" i="4"/>
  <c r="N575" i="4"/>
  <c r="K575" i="4"/>
  <c r="I575" i="4"/>
  <c r="F575" i="4"/>
  <c r="AA574" i="4"/>
  <c r="X574" i="4"/>
  <c r="U574" i="4"/>
  <c r="S574" i="4"/>
  <c r="P574" i="4"/>
  <c r="N574" i="4"/>
  <c r="K574" i="4"/>
  <c r="I574" i="4"/>
  <c r="F574" i="4"/>
  <c r="AA573" i="4"/>
  <c r="X573" i="4"/>
  <c r="U573" i="4"/>
  <c r="S573" i="4"/>
  <c r="P573" i="4"/>
  <c r="N573" i="4"/>
  <c r="K573" i="4"/>
  <c r="I573" i="4"/>
  <c r="F573" i="4"/>
  <c r="AA572" i="4"/>
  <c r="X572" i="4"/>
  <c r="U572" i="4"/>
  <c r="S572" i="4"/>
  <c r="P572" i="4"/>
  <c r="N572" i="4"/>
  <c r="K572" i="4"/>
  <c r="I572" i="4"/>
  <c r="F572" i="4"/>
  <c r="AA571" i="4"/>
  <c r="X571" i="4"/>
  <c r="U571" i="4"/>
  <c r="S571" i="4"/>
  <c r="P571" i="4"/>
  <c r="N571" i="4"/>
  <c r="K571" i="4"/>
  <c r="I571" i="4"/>
  <c r="F571" i="4"/>
  <c r="AA570" i="4"/>
  <c r="X570" i="4"/>
  <c r="U570" i="4"/>
  <c r="S570" i="4"/>
  <c r="P570" i="4"/>
  <c r="N570" i="4"/>
  <c r="K570" i="4"/>
  <c r="I570" i="4"/>
  <c r="F570" i="4"/>
  <c r="AA569" i="4"/>
  <c r="X569" i="4"/>
  <c r="U569" i="4"/>
  <c r="S569" i="4"/>
  <c r="P569" i="4"/>
  <c r="N569" i="4"/>
  <c r="K569" i="4"/>
  <c r="I569" i="4"/>
  <c r="F569" i="4"/>
  <c r="AA568" i="4"/>
  <c r="X568" i="4"/>
  <c r="U568" i="4"/>
  <c r="S568" i="4"/>
  <c r="P568" i="4"/>
  <c r="N568" i="4"/>
  <c r="K568" i="4"/>
  <c r="I568" i="4"/>
  <c r="F568" i="4"/>
  <c r="AA567" i="4"/>
  <c r="X567" i="4"/>
  <c r="U567" i="4"/>
  <c r="S567" i="4"/>
  <c r="P567" i="4"/>
  <c r="N567" i="4"/>
  <c r="K567" i="4"/>
  <c r="I567" i="4"/>
  <c r="F567" i="4"/>
  <c r="AA566" i="4"/>
  <c r="X566" i="4"/>
  <c r="U566" i="4"/>
  <c r="S566" i="4"/>
  <c r="P566" i="4"/>
  <c r="N566" i="4"/>
  <c r="K566" i="4"/>
  <c r="I566" i="4"/>
  <c r="F566" i="4"/>
  <c r="AA565" i="4"/>
  <c r="X565" i="4"/>
  <c r="U565" i="4"/>
  <c r="S565" i="4"/>
  <c r="P565" i="4"/>
  <c r="N565" i="4"/>
  <c r="K565" i="4"/>
  <c r="I565" i="4"/>
  <c r="F565" i="4"/>
  <c r="AA564" i="4"/>
  <c r="X564" i="4"/>
  <c r="U564" i="4"/>
  <c r="S564" i="4"/>
  <c r="P564" i="4"/>
  <c r="N564" i="4"/>
  <c r="K564" i="4"/>
  <c r="I564" i="4"/>
  <c r="F564" i="4"/>
  <c r="AA563" i="4"/>
  <c r="X563" i="4"/>
  <c r="U563" i="4"/>
  <c r="S563" i="4"/>
  <c r="P563" i="4"/>
  <c r="N563" i="4"/>
  <c r="K563" i="4"/>
  <c r="I563" i="4"/>
  <c r="F563" i="4"/>
  <c r="AA562" i="4"/>
  <c r="X562" i="4"/>
  <c r="U562" i="4"/>
  <c r="S562" i="4"/>
  <c r="P562" i="4"/>
  <c r="N562" i="4"/>
  <c r="K562" i="4"/>
  <c r="I562" i="4"/>
  <c r="F562" i="4"/>
  <c r="AA561" i="4"/>
  <c r="X561" i="4"/>
  <c r="U561" i="4"/>
  <c r="S561" i="4"/>
  <c r="P561" i="4"/>
  <c r="N561" i="4"/>
  <c r="K561" i="4"/>
  <c r="I561" i="4"/>
  <c r="F561" i="4"/>
  <c r="AA560" i="4"/>
  <c r="X560" i="4"/>
  <c r="U560" i="4"/>
  <c r="S560" i="4"/>
  <c r="P560" i="4"/>
  <c r="N560" i="4"/>
  <c r="K560" i="4"/>
  <c r="I560" i="4"/>
  <c r="F560" i="4"/>
  <c r="AA559" i="4"/>
  <c r="X559" i="4"/>
  <c r="U559" i="4"/>
  <c r="S559" i="4"/>
  <c r="P559" i="4"/>
  <c r="N559" i="4"/>
  <c r="K559" i="4"/>
  <c r="I559" i="4"/>
  <c r="F559" i="4"/>
  <c r="AA558" i="4"/>
  <c r="X558" i="4"/>
  <c r="U558" i="4"/>
  <c r="S558" i="4"/>
  <c r="P558" i="4"/>
  <c r="N558" i="4"/>
  <c r="K558" i="4"/>
  <c r="I558" i="4"/>
  <c r="F558" i="4"/>
  <c r="AA557" i="4"/>
  <c r="X557" i="4"/>
  <c r="U557" i="4"/>
  <c r="S557" i="4"/>
  <c r="P557" i="4"/>
  <c r="N557" i="4"/>
  <c r="K557" i="4"/>
  <c r="I557" i="4"/>
  <c r="F557" i="4"/>
  <c r="AA556" i="4"/>
  <c r="X556" i="4"/>
  <c r="U556" i="4"/>
  <c r="S556" i="4"/>
  <c r="P556" i="4"/>
  <c r="N556" i="4"/>
  <c r="K556" i="4"/>
  <c r="I556" i="4"/>
  <c r="F556" i="4"/>
  <c r="AA555" i="4"/>
  <c r="X555" i="4"/>
  <c r="U555" i="4"/>
  <c r="S555" i="4"/>
  <c r="P555" i="4"/>
  <c r="N555" i="4"/>
  <c r="K555" i="4"/>
  <c r="I555" i="4"/>
  <c r="F555" i="4"/>
  <c r="AA554" i="4"/>
  <c r="X554" i="4"/>
  <c r="U554" i="4"/>
  <c r="S554" i="4"/>
  <c r="P554" i="4"/>
  <c r="N554" i="4"/>
  <c r="K554" i="4"/>
  <c r="I554" i="4"/>
  <c r="F554" i="4"/>
  <c r="AA553" i="4"/>
  <c r="X553" i="4"/>
  <c r="U553" i="4"/>
  <c r="S553" i="4"/>
  <c r="P553" i="4"/>
  <c r="N553" i="4"/>
  <c r="K553" i="4"/>
  <c r="I553" i="4"/>
  <c r="F553" i="4"/>
  <c r="AA552" i="4"/>
  <c r="X552" i="4"/>
  <c r="U552" i="4"/>
  <c r="S552" i="4"/>
  <c r="P552" i="4"/>
  <c r="N552" i="4"/>
  <c r="K552" i="4"/>
  <c r="I552" i="4"/>
  <c r="F552" i="4"/>
  <c r="AA551" i="4"/>
  <c r="X551" i="4"/>
  <c r="U551" i="4"/>
  <c r="S551" i="4"/>
  <c r="P551" i="4"/>
  <c r="N551" i="4"/>
  <c r="K551" i="4"/>
  <c r="I551" i="4"/>
  <c r="F551" i="4"/>
  <c r="AA550" i="4"/>
  <c r="X550" i="4"/>
  <c r="U550" i="4"/>
  <c r="S550" i="4"/>
  <c r="P550" i="4"/>
  <c r="N550" i="4"/>
  <c r="K550" i="4"/>
  <c r="I550" i="4"/>
  <c r="F550" i="4"/>
  <c r="AA549" i="4"/>
  <c r="X549" i="4"/>
  <c r="U549" i="4"/>
  <c r="S549" i="4"/>
  <c r="P549" i="4"/>
  <c r="N549" i="4"/>
  <c r="K549" i="4"/>
  <c r="I549" i="4"/>
  <c r="F549" i="4"/>
  <c r="AA548" i="4"/>
  <c r="X548" i="4"/>
  <c r="U548" i="4"/>
  <c r="S548" i="4"/>
  <c r="P548" i="4"/>
  <c r="N548" i="4"/>
  <c r="K548" i="4"/>
  <c r="I548" i="4"/>
  <c r="F548" i="4"/>
  <c r="AA547" i="4"/>
  <c r="X547" i="4"/>
  <c r="U547" i="4"/>
  <c r="S547" i="4"/>
  <c r="P547" i="4"/>
  <c r="N547" i="4"/>
  <c r="K547" i="4"/>
  <c r="I547" i="4"/>
  <c r="F547" i="4"/>
  <c r="AA546" i="4"/>
  <c r="X546" i="4"/>
  <c r="U546" i="4"/>
  <c r="S546" i="4"/>
  <c r="P546" i="4"/>
  <c r="N546" i="4"/>
  <c r="K546" i="4"/>
  <c r="I546" i="4"/>
  <c r="F546" i="4"/>
  <c r="AA545" i="4"/>
  <c r="X545" i="4"/>
  <c r="U545" i="4"/>
  <c r="S545" i="4"/>
  <c r="P545" i="4"/>
  <c r="N545" i="4"/>
  <c r="K545" i="4"/>
  <c r="I545" i="4"/>
  <c r="F545" i="4"/>
  <c r="AA544" i="4"/>
  <c r="X544" i="4"/>
  <c r="U544" i="4"/>
  <c r="S544" i="4"/>
  <c r="P544" i="4"/>
  <c r="N544" i="4"/>
  <c r="K544" i="4"/>
  <c r="I544" i="4"/>
  <c r="F544" i="4"/>
  <c r="AA543" i="4"/>
  <c r="X543" i="4"/>
  <c r="U543" i="4"/>
  <c r="S543" i="4"/>
  <c r="P543" i="4"/>
  <c r="N543" i="4"/>
  <c r="K543" i="4"/>
  <c r="I543" i="4"/>
  <c r="F543" i="4"/>
  <c r="AA542" i="4"/>
  <c r="X542" i="4"/>
  <c r="U542" i="4"/>
  <c r="S542" i="4"/>
  <c r="P542" i="4"/>
  <c r="N542" i="4"/>
  <c r="K542" i="4"/>
  <c r="I542" i="4"/>
  <c r="F542" i="4"/>
  <c r="AA541" i="4"/>
  <c r="X541" i="4"/>
  <c r="U541" i="4"/>
  <c r="S541" i="4"/>
  <c r="P541" i="4"/>
  <c r="N541" i="4"/>
  <c r="K541" i="4"/>
  <c r="I541" i="4"/>
  <c r="F541" i="4"/>
  <c r="AA540" i="4"/>
  <c r="X540" i="4"/>
  <c r="U540" i="4"/>
  <c r="S540" i="4"/>
  <c r="P540" i="4"/>
  <c r="N540" i="4"/>
  <c r="K540" i="4"/>
  <c r="I540" i="4"/>
  <c r="F540" i="4"/>
  <c r="AA539" i="4"/>
  <c r="X539" i="4"/>
  <c r="U539" i="4"/>
  <c r="S539" i="4"/>
  <c r="P539" i="4"/>
  <c r="N539" i="4"/>
  <c r="K539" i="4"/>
  <c r="I539" i="4"/>
  <c r="F539" i="4"/>
  <c r="AA538" i="4"/>
  <c r="X538" i="4"/>
  <c r="U538" i="4"/>
  <c r="S538" i="4"/>
  <c r="P538" i="4"/>
  <c r="N538" i="4"/>
  <c r="K538" i="4"/>
  <c r="I538" i="4"/>
  <c r="F538" i="4"/>
  <c r="AA537" i="4"/>
  <c r="X537" i="4"/>
  <c r="U537" i="4"/>
  <c r="S537" i="4"/>
  <c r="P537" i="4"/>
  <c r="N537" i="4"/>
  <c r="K537" i="4"/>
  <c r="I537" i="4"/>
  <c r="F537" i="4"/>
  <c r="AA536" i="4"/>
  <c r="X536" i="4"/>
  <c r="U536" i="4"/>
  <c r="S536" i="4"/>
  <c r="P536" i="4"/>
  <c r="N536" i="4"/>
  <c r="K536" i="4"/>
  <c r="I536" i="4"/>
  <c r="F536" i="4"/>
  <c r="AA535" i="4"/>
  <c r="X535" i="4"/>
  <c r="U535" i="4"/>
  <c r="S535" i="4"/>
  <c r="P535" i="4"/>
  <c r="N535" i="4"/>
  <c r="K535" i="4"/>
  <c r="I535" i="4"/>
  <c r="F535" i="4"/>
  <c r="AA534" i="4"/>
  <c r="X534" i="4"/>
  <c r="U534" i="4"/>
  <c r="S534" i="4"/>
  <c r="P534" i="4"/>
  <c r="N534" i="4"/>
  <c r="K534" i="4"/>
  <c r="I534" i="4"/>
  <c r="F534" i="4"/>
  <c r="AA533" i="4"/>
  <c r="X533" i="4"/>
  <c r="U533" i="4"/>
  <c r="S533" i="4"/>
  <c r="P533" i="4"/>
  <c r="N533" i="4"/>
  <c r="K533" i="4"/>
  <c r="I533" i="4"/>
  <c r="F533" i="4"/>
  <c r="AA532" i="4"/>
  <c r="X532" i="4"/>
  <c r="U532" i="4"/>
  <c r="S532" i="4"/>
  <c r="P532" i="4"/>
  <c r="N532" i="4"/>
  <c r="K532" i="4"/>
  <c r="I532" i="4"/>
  <c r="F532" i="4"/>
  <c r="AA531" i="4"/>
  <c r="X531" i="4"/>
  <c r="U531" i="4"/>
  <c r="S531" i="4"/>
  <c r="P531" i="4"/>
  <c r="N531" i="4"/>
  <c r="K531" i="4"/>
  <c r="I531" i="4"/>
  <c r="F531" i="4"/>
  <c r="AA530" i="4"/>
  <c r="X530" i="4"/>
  <c r="U530" i="4"/>
  <c r="S530" i="4"/>
  <c r="P530" i="4"/>
  <c r="N530" i="4"/>
  <c r="K530" i="4"/>
  <c r="I530" i="4"/>
  <c r="F530" i="4"/>
  <c r="AA529" i="4"/>
  <c r="X529" i="4"/>
  <c r="U529" i="4"/>
  <c r="S529" i="4"/>
  <c r="P529" i="4"/>
  <c r="N529" i="4"/>
  <c r="K529" i="4"/>
  <c r="I529" i="4"/>
  <c r="F529" i="4"/>
  <c r="AA528" i="4"/>
  <c r="X528" i="4"/>
  <c r="U528" i="4"/>
  <c r="S528" i="4"/>
  <c r="P528" i="4"/>
  <c r="N528" i="4"/>
  <c r="K528" i="4"/>
  <c r="I528" i="4"/>
  <c r="F528" i="4"/>
  <c r="AA527" i="4"/>
  <c r="X527" i="4"/>
  <c r="U527" i="4"/>
  <c r="S527" i="4"/>
  <c r="P527" i="4"/>
  <c r="N527" i="4"/>
  <c r="K527" i="4"/>
  <c r="I527" i="4"/>
  <c r="F527" i="4"/>
  <c r="AA526" i="4"/>
  <c r="X526" i="4"/>
  <c r="U526" i="4"/>
  <c r="S526" i="4"/>
  <c r="P526" i="4"/>
  <c r="N526" i="4"/>
  <c r="K526" i="4"/>
  <c r="I526" i="4"/>
  <c r="F526" i="4"/>
  <c r="AA525" i="4"/>
  <c r="X525" i="4"/>
  <c r="U525" i="4"/>
  <c r="S525" i="4"/>
  <c r="P525" i="4"/>
  <c r="N525" i="4"/>
  <c r="K525" i="4"/>
  <c r="I525" i="4"/>
  <c r="F525" i="4"/>
  <c r="AA524" i="4"/>
  <c r="X524" i="4"/>
  <c r="U524" i="4"/>
  <c r="S524" i="4"/>
  <c r="P524" i="4"/>
  <c r="N524" i="4"/>
  <c r="K524" i="4"/>
  <c r="I524" i="4"/>
  <c r="F524" i="4"/>
  <c r="AA523" i="4"/>
  <c r="X523" i="4"/>
  <c r="U523" i="4"/>
  <c r="S523" i="4"/>
  <c r="P523" i="4"/>
  <c r="N523" i="4"/>
  <c r="K523" i="4"/>
  <c r="I523" i="4"/>
  <c r="F523" i="4"/>
  <c r="AA522" i="4"/>
  <c r="X522" i="4"/>
  <c r="U522" i="4"/>
  <c r="S522" i="4"/>
  <c r="P522" i="4"/>
  <c r="N522" i="4"/>
  <c r="K522" i="4"/>
  <c r="I522" i="4"/>
  <c r="F522" i="4"/>
  <c r="AA521" i="4"/>
  <c r="X521" i="4"/>
  <c r="U521" i="4"/>
  <c r="S521" i="4"/>
  <c r="P521" i="4"/>
  <c r="N521" i="4"/>
  <c r="K521" i="4"/>
  <c r="I521" i="4"/>
  <c r="F521" i="4"/>
  <c r="AA520" i="4"/>
  <c r="X520" i="4"/>
  <c r="U520" i="4"/>
  <c r="S520" i="4"/>
  <c r="P520" i="4"/>
  <c r="N520" i="4"/>
  <c r="K520" i="4"/>
  <c r="I520" i="4"/>
  <c r="F520" i="4"/>
  <c r="AA519" i="4"/>
  <c r="X519" i="4"/>
  <c r="U519" i="4"/>
  <c r="S519" i="4"/>
  <c r="P519" i="4"/>
  <c r="N519" i="4"/>
  <c r="K519" i="4"/>
  <c r="I519" i="4"/>
  <c r="F519" i="4"/>
  <c r="AA518" i="4"/>
  <c r="X518" i="4"/>
  <c r="U518" i="4"/>
  <c r="S518" i="4"/>
  <c r="P518" i="4"/>
  <c r="N518" i="4"/>
  <c r="K518" i="4"/>
  <c r="I518" i="4"/>
  <c r="F518" i="4"/>
  <c r="AA517" i="4"/>
  <c r="X517" i="4"/>
  <c r="U517" i="4"/>
  <c r="S517" i="4"/>
  <c r="P517" i="4"/>
  <c r="N517" i="4"/>
  <c r="K517" i="4"/>
  <c r="I517" i="4"/>
  <c r="F517" i="4"/>
  <c r="AA516" i="4"/>
  <c r="X516" i="4"/>
  <c r="U516" i="4"/>
  <c r="S516" i="4"/>
  <c r="P516" i="4"/>
  <c r="N516" i="4"/>
  <c r="K516" i="4"/>
  <c r="I516" i="4"/>
  <c r="F516" i="4"/>
  <c r="AA515" i="4"/>
  <c r="X515" i="4"/>
  <c r="U515" i="4"/>
  <c r="S515" i="4"/>
  <c r="P515" i="4"/>
  <c r="N515" i="4"/>
  <c r="K515" i="4"/>
  <c r="I515" i="4"/>
  <c r="F515" i="4"/>
  <c r="AA514" i="4"/>
  <c r="X514" i="4"/>
  <c r="U514" i="4"/>
  <c r="S514" i="4"/>
  <c r="P514" i="4"/>
  <c r="N514" i="4"/>
  <c r="K514" i="4"/>
  <c r="I514" i="4"/>
  <c r="F514" i="4"/>
  <c r="AA513" i="4"/>
  <c r="X513" i="4"/>
  <c r="U513" i="4"/>
  <c r="S513" i="4"/>
  <c r="P513" i="4"/>
  <c r="N513" i="4"/>
  <c r="K513" i="4"/>
  <c r="I513" i="4"/>
  <c r="F513" i="4"/>
  <c r="AA512" i="4"/>
  <c r="X512" i="4"/>
  <c r="U512" i="4"/>
  <c r="S512" i="4"/>
  <c r="P512" i="4"/>
  <c r="N512" i="4"/>
  <c r="K512" i="4"/>
  <c r="I512" i="4"/>
  <c r="F512" i="4"/>
  <c r="AA511" i="4"/>
  <c r="X511" i="4"/>
  <c r="U511" i="4"/>
  <c r="S511" i="4"/>
  <c r="P511" i="4"/>
  <c r="N511" i="4"/>
  <c r="K511" i="4"/>
  <c r="I511" i="4"/>
  <c r="F511" i="4"/>
  <c r="AA510" i="4"/>
  <c r="X510" i="4"/>
  <c r="U510" i="4"/>
  <c r="S510" i="4"/>
  <c r="P510" i="4"/>
  <c r="N510" i="4"/>
  <c r="K510" i="4"/>
  <c r="I510" i="4"/>
  <c r="F510" i="4"/>
  <c r="AA509" i="4"/>
  <c r="X509" i="4"/>
  <c r="U509" i="4"/>
  <c r="S509" i="4"/>
  <c r="P509" i="4"/>
  <c r="N509" i="4"/>
  <c r="K509" i="4"/>
  <c r="I509" i="4"/>
  <c r="F509" i="4"/>
  <c r="AA508" i="4"/>
  <c r="X508" i="4"/>
  <c r="U508" i="4"/>
  <c r="S508" i="4"/>
  <c r="P508" i="4"/>
  <c r="N508" i="4"/>
  <c r="K508" i="4"/>
  <c r="I508" i="4"/>
  <c r="F508" i="4"/>
  <c r="AA507" i="4"/>
  <c r="X507" i="4"/>
  <c r="U507" i="4"/>
  <c r="S507" i="4"/>
  <c r="P507" i="4"/>
  <c r="N507" i="4"/>
  <c r="K507" i="4"/>
  <c r="I507" i="4"/>
  <c r="F507" i="4"/>
  <c r="AA506" i="4"/>
  <c r="X506" i="4"/>
  <c r="U506" i="4"/>
  <c r="S506" i="4"/>
  <c r="P506" i="4"/>
  <c r="N506" i="4"/>
  <c r="K506" i="4"/>
  <c r="I506" i="4"/>
  <c r="F506" i="4"/>
  <c r="AA505" i="4"/>
  <c r="X505" i="4"/>
  <c r="U505" i="4"/>
  <c r="S505" i="4"/>
  <c r="P505" i="4"/>
  <c r="N505" i="4"/>
  <c r="K505" i="4"/>
  <c r="I505" i="4"/>
  <c r="F505" i="4"/>
  <c r="AA504" i="4"/>
  <c r="X504" i="4"/>
  <c r="U504" i="4"/>
  <c r="S504" i="4"/>
  <c r="P504" i="4"/>
  <c r="N504" i="4"/>
  <c r="K504" i="4"/>
  <c r="I504" i="4"/>
  <c r="F504" i="4"/>
  <c r="AA503" i="4"/>
  <c r="X503" i="4"/>
  <c r="U503" i="4"/>
  <c r="S503" i="4"/>
  <c r="P503" i="4"/>
  <c r="N503" i="4"/>
  <c r="K503" i="4"/>
  <c r="I503" i="4"/>
  <c r="F503" i="4"/>
  <c r="AA502" i="4"/>
  <c r="X502" i="4"/>
  <c r="U502" i="4"/>
  <c r="S502" i="4"/>
  <c r="P502" i="4"/>
  <c r="N502" i="4"/>
  <c r="K502" i="4"/>
  <c r="I502" i="4"/>
  <c r="F502" i="4"/>
  <c r="AA501" i="4"/>
  <c r="X501" i="4"/>
  <c r="U501" i="4"/>
  <c r="S501" i="4"/>
  <c r="P501" i="4"/>
  <c r="N501" i="4"/>
  <c r="K501" i="4"/>
  <c r="I501" i="4"/>
  <c r="F501" i="4"/>
  <c r="AA500" i="4"/>
  <c r="X500" i="4"/>
  <c r="U500" i="4"/>
  <c r="S500" i="4"/>
  <c r="P500" i="4"/>
  <c r="N500" i="4"/>
  <c r="K500" i="4"/>
  <c r="I500" i="4"/>
  <c r="F500" i="4"/>
  <c r="AA499" i="4"/>
  <c r="X499" i="4"/>
  <c r="U499" i="4"/>
  <c r="S499" i="4"/>
  <c r="P499" i="4"/>
  <c r="N499" i="4"/>
  <c r="K499" i="4"/>
  <c r="I499" i="4"/>
  <c r="F499" i="4"/>
  <c r="AA498" i="4"/>
  <c r="X498" i="4"/>
  <c r="U498" i="4"/>
  <c r="S498" i="4"/>
  <c r="P498" i="4"/>
  <c r="N498" i="4"/>
  <c r="K498" i="4"/>
  <c r="I498" i="4"/>
  <c r="F498" i="4"/>
  <c r="AA497" i="4"/>
  <c r="X497" i="4"/>
  <c r="U497" i="4"/>
  <c r="S497" i="4"/>
  <c r="P497" i="4"/>
  <c r="N497" i="4"/>
  <c r="K497" i="4"/>
  <c r="I497" i="4"/>
  <c r="F497" i="4"/>
  <c r="AA496" i="4"/>
  <c r="X496" i="4"/>
  <c r="U496" i="4"/>
  <c r="S496" i="4"/>
  <c r="P496" i="4"/>
  <c r="N496" i="4"/>
  <c r="K496" i="4"/>
  <c r="I496" i="4"/>
  <c r="F496" i="4"/>
  <c r="AA495" i="4"/>
  <c r="X495" i="4"/>
  <c r="U495" i="4"/>
  <c r="S495" i="4"/>
  <c r="P495" i="4"/>
  <c r="N495" i="4"/>
  <c r="K495" i="4"/>
  <c r="I495" i="4"/>
  <c r="F495" i="4"/>
  <c r="AA494" i="4"/>
  <c r="X494" i="4"/>
  <c r="U494" i="4"/>
  <c r="S494" i="4"/>
  <c r="P494" i="4"/>
  <c r="N494" i="4"/>
  <c r="K494" i="4"/>
  <c r="I494" i="4"/>
  <c r="F494" i="4"/>
  <c r="AA493" i="4"/>
  <c r="X493" i="4"/>
  <c r="U493" i="4"/>
  <c r="S493" i="4"/>
  <c r="P493" i="4"/>
  <c r="N493" i="4"/>
  <c r="K493" i="4"/>
  <c r="I493" i="4"/>
  <c r="F493" i="4"/>
  <c r="AA492" i="4"/>
  <c r="X492" i="4"/>
  <c r="U492" i="4"/>
  <c r="S492" i="4"/>
  <c r="P492" i="4"/>
  <c r="N492" i="4"/>
  <c r="K492" i="4"/>
  <c r="I492" i="4"/>
  <c r="F492" i="4"/>
  <c r="AA491" i="4"/>
  <c r="X491" i="4"/>
  <c r="U491" i="4"/>
  <c r="S491" i="4"/>
  <c r="P491" i="4"/>
  <c r="N491" i="4"/>
  <c r="K491" i="4"/>
  <c r="I491" i="4"/>
  <c r="F491" i="4"/>
  <c r="AA490" i="4"/>
  <c r="X490" i="4"/>
  <c r="U490" i="4"/>
  <c r="S490" i="4"/>
  <c r="P490" i="4"/>
  <c r="N490" i="4"/>
  <c r="K490" i="4"/>
  <c r="I490" i="4"/>
  <c r="F490" i="4"/>
  <c r="AA489" i="4"/>
  <c r="X489" i="4"/>
  <c r="U489" i="4"/>
  <c r="S489" i="4"/>
  <c r="P489" i="4"/>
  <c r="N489" i="4"/>
  <c r="K489" i="4"/>
  <c r="I489" i="4"/>
  <c r="F489" i="4"/>
  <c r="AA488" i="4"/>
  <c r="X488" i="4"/>
  <c r="U488" i="4"/>
  <c r="S488" i="4"/>
  <c r="P488" i="4"/>
  <c r="N488" i="4"/>
  <c r="K488" i="4"/>
  <c r="I488" i="4"/>
  <c r="F488" i="4"/>
  <c r="AA487" i="4"/>
  <c r="X487" i="4"/>
  <c r="U487" i="4"/>
  <c r="S487" i="4"/>
  <c r="P487" i="4"/>
  <c r="N487" i="4"/>
  <c r="K487" i="4"/>
  <c r="I487" i="4"/>
  <c r="F487" i="4"/>
  <c r="AA486" i="4"/>
  <c r="X486" i="4"/>
  <c r="U486" i="4"/>
  <c r="S486" i="4"/>
  <c r="P486" i="4"/>
  <c r="N486" i="4"/>
  <c r="K486" i="4"/>
  <c r="I486" i="4"/>
  <c r="F486" i="4"/>
  <c r="AA485" i="4"/>
  <c r="X485" i="4"/>
  <c r="U485" i="4"/>
  <c r="S485" i="4"/>
  <c r="P485" i="4"/>
  <c r="N485" i="4"/>
  <c r="K485" i="4"/>
  <c r="I485" i="4"/>
  <c r="F485" i="4"/>
  <c r="AA484" i="4"/>
  <c r="X484" i="4"/>
  <c r="U484" i="4"/>
  <c r="S484" i="4"/>
  <c r="P484" i="4"/>
  <c r="N484" i="4"/>
  <c r="K484" i="4"/>
  <c r="I484" i="4"/>
  <c r="F484" i="4"/>
  <c r="AA483" i="4"/>
  <c r="X483" i="4"/>
  <c r="U483" i="4"/>
  <c r="S483" i="4"/>
  <c r="P483" i="4"/>
  <c r="N483" i="4"/>
  <c r="K483" i="4"/>
  <c r="I483" i="4"/>
  <c r="F483" i="4"/>
  <c r="AA482" i="4"/>
  <c r="X482" i="4"/>
  <c r="U482" i="4"/>
  <c r="S482" i="4"/>
  <c r="P482" i="4"/>
  <c r="N482" i="4"/>
  <c r="K482" i="4"/>
  <c r="I482" i="4"/>
  <c r="F482" i="4"/>
  <c r="AA481" i="4"/>
  <c r="X481" i="4"/>
  <c r="U481" i="4"/>
  <c r="S481" i="4"/>
  <c r="P481" i="4"/>
  <c r="N481" i="4"/>
  <c r="K481" i="4"/>
  <c r="I481" i="4"/>
  <c r="F481" i="4"/>
  <c r="AA480" i="4"/>
  <c r="X480" i="4"/>
  <c r="U480" i="4"/>
  <c r="S480" i="4"/>
  <c r="P480" i="4"/>
  <c r="N480" i="4"/>
  <c r="K480" i="4"/>
  <c r="I480" i="4"/>
  <c r="F480" i="4"/>
  <c r="AA479" i="4"/>
  <c r="X479" i="4"/>
  <c r="U479" i="4"/>
  <c r="S479" i="4"/>
  <c r="P479" i="4"/>
  <c r="N479" i="4"/>
  <c r="K479" i="4"/>
  <c r="I479" i="4"/>
  <c r="F479" i="4"/>
  <c r="AA478" i="4"/>
  <c r="X478" i="4"/>
  <c r="U478" i="4"/>
  <c r="S478" i="4"/>
  <c r="P478" i="4"/>
  <c r="N478" i="4"/>
  <c r="K478" i="4"/>
  <c r="I478" i="4"/>
  <c r="F478" i="4"/>
  <c r="AA477" i="4"/>
  <c r="X477" i="4"/>
  <c r="U477" i="4"/>
  <c r="S477" i="4"/>
  <c r="P477" i="4"/>
  <c r="N477" i="4"/>
  <c r="K477" i="4"/>
  <c r="I477" i="4"/>
  <c r="F477" i="4"/>
  <c r="AA476" i="4"/>
  <c r="X476" i="4"/>
  <c r="U476" i="4"/>
  <c r="S476" i="4"/>
  <c r="P476" i="4"/>
  <c r="N476" i="4"/>
  <c r="K476" i="4"/>
  <c r="I476" i="4"/>
  <c r="F476" i="4"/>
  <c r="AA475" i="4"/>
  <c r="X475" i="4"/>
  <c r="U475" i="4"/>
  <c r="S475" i="4"/>
  <c r="P475" i="4"/>
  <c r="N475" i="4"/>
  <c r="K475" i="4"/>
  <c r="I475" i="4"/>
  <c r="F475" i="4"/>
  <c r="AA474" i="4"/>
  <c r="X474" i="4"/>
  <c r="U474" i="4"/>
  <c r="S474" i="4"/>
  <c r="P474" i="4"/>
  <c r="N474" i="4"/>
  <c r="K474" i="4"/>
  <c r="I474" i="4"/>
  <c r="F474" i="4"/>
  <c r="AA473" i="4"/>
  <c r="X473" i="4"/>
  <c r="U473" i="4"/>
  <c r="S473" i="4"/>
  <c r="P473" i="4"/>
  <c r="N473" i="4"/>
  <c r="K473" i="4"/>
  <c r="I473" i="4"/>
  <c r="F473" i="4"/>
  <c r="AA472" i="4"/>
  <c r="X472" i="4"/>
  <c r="U472" i="4"/>
  <c r="S472" i="4"/>
  <c r="P472" i="4"/>
  <c r="N472" i="4"/>
  <c r="K472" i="4"/>
  <c r="I472" i="4"/>
  <c r="F472" i="4"/>
  <c r="AA471" i="4"/>
  <c r="X471" i="4"/>
  <c r="U471" i="4"/>
  <c r="S471" i="4"/>
  <c r="P471" i="4"/>
  <c r="N471" i="4"/>
  <c r="K471" i="4"/>
  <c r="I471" i="4"/>
  <c r="F471" i="4"/>
  <c r="AA470" i="4"/>
  <c r="X470" i="4"/>
  <c r="U470" i="4"/>
  <c r="S470" i="4"/>
  <c r="P470" i="4"/>
  <c r="N470" i="4"/>
  <c r="K470" i="4"/>
  <c r="I470" i="4"/>
  <c r="F470" i="4"/>
  <c r="AA469" i="4"/>
  <c r="X469" i="4"/>
  <c r="U469" i="4"/>
  <c r="S469" i="4"/>
  <c r="P469" i="4"/>
  <c r="N469" i="4"/>
  <c r="K469" i="4"/>
  <c r="I469" i="4"/>
  <c r="F469" i="4"/>
  <c r="AA468" i="4"/>
  <c r="X468" i="4"/>
  <c r="U468" i="4"/>
  <c r="S468" i="4"/>
  <c r="P468" i="4"/>
  <c r="N468" i="4"/>
  <c r="K468" i="4"/>
  <c r="I468" i="4"/>
  <c r="F468" i="4"/>
  <c r="AA467" i="4"/>
  <c r="X467" i="4"/>
  <c r="U467" i="4"/>
  <c r="S467" i="4"/>
  <c r="P467" i="4"/>
  <c r="N467" i="4"/>
  <c r="K467" i="4"/>
  <c r="I467" i="4"/>
  <c r="F467" i="4"/>
  <c r="AA466" i="4"/>
  <c r="X466" i="4"/>
  <c r="U466" i="4"/>
  <c r="S466" i="4"/>
  <c r="P466" i="4"/>
  <c r="N466" i="4"/>
  <c r="K466" i="4"/>
  <c r="I466" i="4"/>
  <c r="F466" i="4"/>
  <c r="AA465" i="4"/>
  <c r="X465" i="4"/>
  <c r="U465" i="4"/>
  <c r="S465" i="4"/>
  <c r="P465" i="4"/>
  <c r="N465" i="4"/>
  <c r="K465" i="4"/>
  <c r="I465" i="4"/>
  <c r="F465" i="4"/>
  <c r="AA464" i="4"/>
  <c r="X464" i="4"/>
  <c r="U464" i="4"/>
  <c r="S464" i="4"/>
  <c r="P464" i="4"/>
  <c r="N464" i="4"/>
  <c r="K464" i="4"/>
  <c r="I464" i="4"/>
  <c r="F464" i="4"/>
  <c r="AA463" i="4"/>
  <c r="X463" i="4"/>
  <c r="U463" i="4"/>
  <c r="S463" i="4"/>
  <c r="P463" i="4"/>
  <c r="N463" i="4"/>
  <c r="K463" i="4"/>
  <c r="I463" i="4"/>
  <c r="F463" i="4"/>
  <c r="AA462" i="4"/>
  <c r="X462" i="4"/>
  <c r="U462" i="4"/>
  <c r="S462" i="4"/>
  <c r="P462" i="4"/>
  <c r="N462" i="4"/>
  <c r="K462" i="4"/>
  <c r="I462" i="4"/>
  <c r="F462" i="4"/>
  <c r="AA461" i="4"/>
  <c r="X461" i="4"/>
  <c r="U461" i="4"/>
  <c r="S461" i="4"/>
  <c r="P461" i="4"/>
  <c r="N461" i="4"/>
  <c r="K461" i="4"/>
  <c r="I461" i="4"/>
  <c r="F461" i="4"/>
  <c r="AA460" i="4"/>
  <c r="X460" i="4"/>
  <c r="U460" i="4"/>
  <c r="S460" i="4"/>
  <c r="P460" i="4"/>
  <c r="N460" i="4"/>
  <c r="K460" i="4"/>
  <c r="I460" i="4"/>
  <c r="F460" i="4"/>
  <c r="AA459" i="4"/>
  <c r="X459" i="4"/>
  <c r="U459" i="4"/>
  <c r="S459" i="4"/>
  <c r="P459" i="4"/>
  <c r="N459" i="4"/>
  <c r="K459" i="4"/>
  <c r="I459" i="4"/>
  <c r="F459" i="4"/>
  <c r="AA458" i="4"/>
  <c r="X458" i="4"/>
  <c r="U458" i="4"/>
  <c r="S458" i="4"/>
  <c r="P458" i="4"/>
  <c r="N458" i="4"/>
  <c r="K458" i="4"/>
  <c r="I458" i="4"/>
  <c r="F458" i="4"/>
  <c r="AA457" i="4"/>
  <c r="X457" i="4"/>
  <c r="U457" i="4"/>
  <c r="S457" i="4"/>
  <c r="P457" i="4"/>
  <c r="N457" i="4"/>
  <c r="K457" i="4"/>
  <c r="I457" i="4"/>
  <c r="F457" i="4"/>
  <c r="AA456" i="4"/>
  <c r="X456" i="4"/>
  <c r="U456" i="4"/>
  <c r="S456" i="4"/>
  <c r="P456" i="4"/>
  <c r="N456" i="4"/>
  <c r="K456" i="4"/>
  <c r="I456" i="4"/>
  <c r="F456" i="4"/>
  <c r="AA455" i="4"/>
  <c r="X455" i="4"/>
  <c r="U455" i="4"/>
  <c r="S455" i="4"/>
  <c r="P455" i="4"/>
  <c r="N455" i="4"/>
  <c r="K455" i="4"/>
  <c r="I455" i="4"/>
  <c r="F455" i="4"/>
  <c r="AA454" i="4"/>
  <c r="X454" i="4"/>
  <c r="U454" i="4"/>
  <c r="S454" i="4"/>
  <c r="P454" i="4"/>
  <c r="N454" i="4"/>
  <c r="K454" i="4"/>
  <c r="I454" i="4"/>
  <c r="F454" i="4"/>
  <c r="AA453" i="4"/>
  <c r="X453" i="4"/>
  <c r="U453" i="4"/>
  <c r="S453" i="4"/>
  <c r="P453" i="4"/>
  <c r="N453" i="4"/>
  <c r="K453" i="4"/>
  <c r="I453" i="4"/>
  <c r="F453" i="4"/>
  <c r="AA452" i="4"/>
  <c r="X452" i="4"/>
  <c r="U452" i="4"/>
  <c r="S452" i="4"/>
  <c r="P452" i="4"/>
  <c r="N452" i="4"/>
  <c r="K452" i="4"/>
  <c r="I452" i="4"/>
  <c r="F452" i="4"/>
  <c r="AA451" i="4"/>
  <c r="X451" i="4"/>
  <c r="U451" i="4"/>
  <c r="S451" i="4"/>
  <c r="P451" i="4"/>
  <c r="N451" i="4"/>
  <c r="K451" i="4"/>
  <c r="I451" i="4"/>
  <c r="F451" i="4"/>
  <c r="AA450" i="4"/>
  <c r="X450" i="4"/>
  <c r="U450" i="4"/>
  <c r="S450" i="4"/>
  <c r="P450" i="4"/>
  <c r="N450" i="4"/>
  <c r="K450" i="4"/>
  <c r="I450" i="4"/>
  <c r="F450" i="4"/>
  <c r="AA449" i="4"/>
  <c r="X449" i="4"/>
  <c r="U449" i="4"/>
  <c r="S449" i="4"/>
  <c r="P449" i="4"/>
  <c r="N449" i="4"/>
  <c r="K449" i="4"/>
  <c r="I449" i="4"/>
  <c r="F449" i="4"/>
  <c r="AA448" i="4"/>
  <c r="X448" i="4"/>
  <c r="U448" i="4"/>
  <c r="S448" i="4"/>
  <c r="P448" i="4"/>
  <c r="N448" i="4"/>
  <c r="K448" i="4"/>
  <c r="I448" i="4"/>
  <c r="F448" i="4"/>
  <c r="AA447" i="4"/>
  <c r="X447" i="4"/>
  <c r="U447" i="4"/>
  <c r="S447" i="4"/>
  <c r="P447" i="4"/>
  <c r="N447" i="4"/>
  <c r="K447" i="4"/>
  <c r="I447" i="4"/>
  <c r="F447" i="4"/>
  <c r="AA446" i="4"/>
  <c r="X446" i="4"/>
  <c r="U446" i="4"/>
  <c r="S446" i="4"/>
  <c r="P446" i="4"/>
  <c r="N446" i="4"/>
  <c r="K446" i="4"/>
  <c r="I446" i="4"/>
  <c r="F446" i="4"/>
  <c r="AA445" i="4"/>
  <c r="X445" i="4"/>
  <c r="U445" i="4"/>
  <c r="S445" i="4"/>
  <c r="P445" i="4"/>
  <c r="N445" i="4"/>
  <c r="K445" i="4"/>
  <c r="I445" i="4"/>
  <c r="F445" i="4"/>
  <c r="AA444" i="4"/>
  <c r="X444" i="4"/>
  <c r="U444" i="4"/>
  <c r="S444" i="4"/>
  <c r="P444" i="4"/>
  <c r="N444" i="4"/>
  <c r="K444" i="4"/>
  <c r="I444" i="4"/>
  <c r="F444" i="4"/>
  <c r="AA443" i="4"/>
  <c r="X443" i="4"/>
  <c r="U443" i="4"/>
  <c r="S443" i="4"/>
  <c r="P443" i="4"/>
  <c r="N443" i="4"/>
  <c r="K443" i="4"/>
  <c r="I443" i="4"/>
  <c r="F443" i="4"/>
  <c r="AA442" i="4"/>
  <c r="X442" i="4"/>
  <c r="U442" i="4"/>
  <c r="S442" i="4"/>
  <c r="P442" i="4"/>
  <c r="N442" i="4"/>
  <c r="K442" i="4"/>
  <c r="I442" i="4"/>
  <c r="F442" i="4"/>
  <c r="AA441" i="4"/>
  <c r="X441" i="4"/>
  <c r="U441" i="4"/>
  <c r="S441" i="4"/>
  <c r="P441" i="4"/>
  <c r="N441" i="4"/>
  <c r="K441" i="4"/>
  <c r="I441" i="4"/>
  <c r="F441" i="4"/>
  <c r="AA440" i="4"/>
  <c r="X440" i="4"/>
  <c r="U440" i="4"/>
  <c r="S440" i="4"/>
  <c r="P440" i="4"/>
  <c r="N440" i="4"/>
  <c r="K440" i="4"/>
  <c r="I440" i="4"/>
  <c r="F440" i="4"/>
  <c r="AA439" i="4"/>
  <c r="X439" i="4"/>
  <c r="U439" i="4"/>
  <c r="S439" i="4"/>
  <c r="P439" i="4"/>
  <c r="N439" i="4"/>
  <c r="K439" i="4"/>
  <c r="I439" i="4"/>
  <c r="F439" i="4"/>
  <c r="AA438" i="4"/>
  <c r="X438" i="4"/>
  <c r="U438" i="4"/>
  <c r="S438" i="4"/>
  <c r="P438" i="4"/>
  <c r="N438" i="4"/>
  <c r="K438" i="4"/>
  <c r="I438" i="4"/>
  <c r="F438" i="4"/>
  <c r="AA437" i="4"/>
  <c r="X437" i="4"/>
  <c r="U437" i="4"/>
  <c r="S437" i="4"/>
  <c r="P437" i="4"/>
  <c r="N437" i="4"/>
  <c r="K437" i="4"/>
  <c r="I437" i="4"/>
  <c r="F437" i="4"/>
  <c r="AA436" i="4"/>
  <c r="X436" i="4"/>
  <c r="U436" i="4"/>
  <c r="S436" i="4"/>
  <c r="P436" i="4"/>
  <c r="N436" i="4"/>
  <c r="K436" i="4"/>
  <c r="I436" i="4"/>
  <c r="F436" i="4"/>
  <c r="AA435" i="4"/>
  <c r="X435" i="4"/>
  <c r="U435" i="4"/>
  <c r="S435" i="4"/>
  <c r="P435" i="4"/>
  <c r="N435" i="4"/>
  <c r="K435" i="4"/>
  <c r="I435" i="4"/>
  <c r="F435" i="4"/>
  <c r="AA434" i="4"/>
  <c r="X434" i="4"/>
  <c r="U434" i="4"/>
  <c r="S434" i="4"/>
  <c r="P434" i="4"/>
  <c r="N434" i="4"/>
  <c r="K434" i="4"/>
  <c r="I434" i="4"/>
  <c r="F434" i="4"/>
  <c r="AA433" i="4"/>
  <c r="X433" i="4"/>
  <c r="U433" i="4"/>
  <c r="S433" i="4"/>
  <c r="P433" i="4"/>
  <c r="N433" i="4"/>
  <c r="K433" i="4"/>
  <c r="I433" i="4"/>
  <c r="F433" i="4"/>
  <c r="AA432" i="4"/>
  <c r="X432" i="4"/>
  <c r="U432" i="4"/>
  <c r="S432" i="4"/>
  <c r="P432" i="4"/>
  <c r="N432" i="4"/>
  <c r="K432" i="4"/>
  <c r="I432" i="4"/>
  <c r="F432" i="4"/>
  <c r="AA431" i="4"/>
  <c r="X431" i="4"/>
  <c r="U431" i="4"/>
  <c r="S431" i="4"/>
  <c r="P431" i="4"/>
  <c r="N431" i="4"/>
  <c r="K431" i="4"/>
  <c r="I431" i="4"/>
  <c r="F431" i="4"/>
  <c r="AA430" i="4"/>
  <c r="X430" i="4"/>
  <c r="U430" i="4"/>
  <c r="S430" i="4"/>
  <c r="P430" i="4"/>
  <c r="N430" i="4"/>
  <c r="K430" i="4"/>
  <c r="I430" i="4"/>
  <c r="F430" i="4"/>
  <c r="AA429" i="4"/>
  <c r="X429" i="4"/>
  <c r="U429" i="4"/>
  <c r="S429" i="4"/>
  <c r="P429" i="4"/>
  <c r="N429" i="4"/>
  <c r="K429" i="4"/>
  <c r="I429" i="4"/>
  <c r="F429" i="4"/>
  <c r="AA428" i="4"/>
  <c r="X428" i="4"/>
  <c r="U428" i="4"/>
  <c r="S428" i="4"/>
  <c r="P428" i="4"/>
  <c r="N428" i="4"/>
  <c r="K428" i="4"/>
  <c r="I428" i="4"/>
  <c r="F428" i="4"/>
  <c r="AA427" i="4"/>
  <c r="X427" i="4"/>
  <c r="U427" i="4"/>
  <c r="S427" i="4"/>
  <c r="P427" i="4"/>
  <c r="N427" i="4"/>
  <c r="K427" i="4"/>
  <c r="I427" i="4"/>
  <c r="F427" i="4"/>
  <c r="AA426" i="4"/>
  <c r="X426" i="4"/>
  <c r="U426" i="4"/>
  <c r="S426" i="4"/>
  <c r="P426" i="4"/>
  <c r="N426" i="4"/>
  <c r="K426" i="4"/>
  <c r="I426" i="4"/>
  <c r="F426" i="4"/>
  <c r="AA425" i="4"/>
  <c r="X425" i="4"/>
  <c r="U425" i="4"/>
  <c r="S425" i="4"/>
  <c r="P425" i="4"/>
  <c r="N425" i="4"/>
  <c r="K425" i="4"/>
  <c r="I425" i="4"/>
  <c r="F425" i="4"/>
  <c r="AA424" i="4"/>
  <c r="X424" i="4"/>
  <c r="U424" i="4"/>
  <c r="S424" i="4"/>
  <c r="P424" i="4"/>
  <c r="N424" i="4"/>
  <c r="K424" i="4"/>
  <c r="I424" i="4"/>
  <c r="F424" i="4"/>
  <c r="AA423" i="4"/>
  <c r="X423" i="4"/>
  <c r="U423" i="4"/>
  <c r="S423" i="4"/>
  <c r="P423" i="4"/>
  <c r="N423" i="4"/>
  <c r="K423" i="4"/>
  <c r="I423" i="4"/>
  <c r="F423" i="4"/>
  <c r="AA422" i="4"/>
  <c r="X422" i="4"/>
  <c r="U422" i="4"/>
  <c r="S422" i="4"/>
  <c r="P422" i="4"/>
  <c r="N422" i="4"/>
  <c r="K422" i="4"/>
  <c r="I422" i="4"/>
  <c r="F422" i="4"/>
  <c r="AA421" i="4"/>
  <c r="X421" i="4"/>
  <c r="U421" i="4"/>
  <c r="S421" i="4"/>
  <c r="P421" i="4"/>
  <c r="N421" i="4"/>
  <c r="K421" i="4"/>
  <c r="I421" i="4"/>
  <c r="F421" i="4"/>
  <c r="AA420" i="4"/>
  <c r="X420" i="4"/>
  <c r="U420" i="4"/>
  <c r="S420" i="4"/>
  <c r="P420" i="4"/>
  <c r="N420" i="4"/>
  <c r="K420" i="4"/>
  <c r="I420" i="4"/>
  <c r="F420" i="4"/>
  <c r="AA419" i="4"/>
  <c r="X419" i="4"/>
  <c r="U419" i="4"/>
  <c r="S419" i="4"/>
  <c r="P419" i="4"/>
  <c r="N419" i="4"/>
  <c r="K419" i="4"/>
  <c r="I419" i="4"/>
  <c r="F419" i="4"/>
  <c r="AA418" i="4"/>
  <c r="X418" i="4"/>
  <c r="U418" i="4"/>
  <c r="S418" i="4"/>
  <c r="P418" i="4"/>
  <c r="N418" i="4"/>
  <c r="K418" i="4"/>
  <c r="I418" i="4"/>
  <c r="F418" i="4"/>
  <c r="AA417" i="4"/>
  <c r="X417" i="4"/>
  <c r="U417" i="4"/>
  <c r="S417" i="4"/>
  <c r="P417" i="4"/>
  <c r="N417" i="4"/>
  <c r="K417" i="4"/>
  <c r="I417" i="4"/>
  <c r="F417" i="4"/>
  <c r="AA416" i="4"/>
  <c r="X416" i="4"/>
  <c r="U416" i="4"/>
  <c r="S416" i="4"/>
  <c r="P416" i="4"/>
  <c r="N416" i="4"/>
  <c r="K416" i="4"/>
  <c r="I416" i="4"/>
  <c r="F416" i="4"/>
  <c r="AA415" i="4"/>
  <c r="X415" i="4"/>
  <c r="U415" i="4"/>
  <c r="S415" i="4"/>
  <c r="P415" i="4"/>
  <c r="N415" i="4"/>
  <c r="K415" i="4"/>
  <c r="I415" i="4"/>
  <c r="F415" i="4"/>
  <c r="AA414" i="4"/>
  <c r="X414" i="4"/>
  <c r="U414" i="4"/>
  <c r="S414" i="4"/>
  <c r="P414" i="4"/>
  <c r="N414" i="4"/>
  <c r="K414" i="4"/>
  <c r="I414" i="4"/>
  <c r="F414" i="4"/>
  <c r="AA413" i="4"/>
  <c r="X413" i="4"/>
  <c r="U413" i="4"/>
  <c r="S413" i="4"/>
  <c r="P413" i="4"/>
  <c r="N413" i="4"/>
  <c r="K413" i="4"/>
  <c r="I413" i="4"/>
  <c r="F413" i="4"/>
  <c r="AA412" i="4"/>
  <c r="X412" i="4"/>
  <c r="U412" i="4"/>
  <c r="S412" i="4"/>
  <c r="P412" i="4"/>
  <c r="N412" i="4"/>
  <c r="K412" i="4"/>
  <c r="I412" i="4"/>
  <c r="F412" i="4"/>
  <c r="AA411" i="4"/>
  <c r="X411" i="4"/>
  <c r="U411" i="4"/>
  <c r="S411" i="4"/>
  <c r="P411" i="4"/>
  <c r="N411" i="4"/>
  <c r="K411" i="4"/>
  <c r="I411" i="4"/>
  <c r="F411" i="4"/>
  <c r="AA410" i="4"/>
  <c r="X410" i="4"/>
  <c r="U410" i="4"/>
  <c r="S410" i="4"/>
  <c r="P410" i="4"/>
  <c r="N410" i="4"/>
  <c r="K410" i="4"/>
  <c r="I410" i="4"/>
  <c r="F410" i="4"/>
  <c r="AA409" i="4"/>
  <c r="X409" i="4"/>
  <c r="U409" i="4"/>
  <c r="S409" i="4"/>
  <c r="P409" i="4"/>
  <c r="N409" i="4"/>
  <c r="K409" i="4"/>
  <c r="I409" i="4"/>
  <c r="F409" i="4"/>
  <c r="AA408" i="4"/>
  <c r="X408" i="4"/>
  <c r="U408" i="4"/>
  <c r="S408" i="4"/>
  <c r="P408" i="4"/>
  <c r="N408" i="4"/>
  <c r="K408" i="4"/>
  <c r="I408" i="4"/>
  <c r="F408" i="4"/>
  <c r="AA407" i="4"/>
  <c r="X407" i="4"/>
  <c r="U407" i="4"/>
  <c r="S407" i="4"/>
  <c r="P407" i="4"/>
  <c r="N407" i="4"/>
  <c r="K407" i="4"/>
  <c r="I407" i="4"/>
  <c r="F407" i="4"/>
  <c r="AA406" i="4"/>
  <c r="X406" i="4"/>
  <c r="U406" i="4"/>
  <c r="S406" i="4"/>
  <c r="P406" i="4"/>
  <c r="N406" i="4"/>
  <c r="K406" i="4"/>
  <c r="I406" i="4"/>
  <c r="F406" i="4"/>
  <c r="AA405" i="4"/>
  <c r="X405" i="4"/>
  <c r="U405" i="4"/>
  <c r="S405" i="4"/>
  <c r="P405" i="4"/>
  <c r="N405" i="4"/>
  <c r="K405" i="4"/>
  <c r="I405" i="4"/>
  <c r="F405" i="4"/>
  <c r="AA404" i="4"/>
  <c r="X404" i="4"/>
  <c r="U404" i="4"/>
  <c r="S404" i="4"/>
  <c r="P404" i="4"/>
  <c r="N404" i="4"/>
  <c r="K404" i="4"/>
  <c r="I404" i="4"/>
  <c r="F404" i="4"/>
  <c r="AA403" i="4"/>
  <c r="X403" i="4"/>
  <c r="U403" i="4"/>
  <c r="S403" i="4"/>
  <c r="P403" i="4"/>
  <c r="N403" i="4"/>
  <c r="K403" i="4"/>
  <c r="I403" i="4"/>
  <c r="F403" i="4"/>
  <c r="AA402" i="4"/>
  <c r="X402" i="4"/>
  <c r="U402" i="4"/>
  <c r="S402" i="4"/>
  <c r="P402" i="4"/>
  <c r="N402" i="4"/>
  <c r="K402" i="4"/>
  <c r="I402" i="4"/>
  <c r="F402" i="4"/>
  <c r="AA401" i="4"/>
  <c r="X401" i="4"/>
  <c r="U401" i="4"/>
  <c r="S401" i="4"/>
  <c r="P401" i="4"/>
  <c r="N401" i="4"/>
  <c r="K401" i="4"/>
  <c r="I401" i="4"/>
  <c r="F401" i="4"/>
  <c r="AA400" i="4"/>
  <c r="X400" i="4"/>
  <c r="U400" i="4"/>
  <c r="S400" i="4"/>
  <c r="P400" i="4"/>
  <c r="N400" i="4"/>
  <c r="K400" i="4"/>
  <c r="I400" i="4"/>
  <c r="F400" i="4"/>
  <c r="AA399" i="4"/>
  <c r="X399" i="4"/>
  <c r="U399" i="4"/>
  <c r="S399" i="4"/>
  <c r="P399" i="4"/>
  <c r="N399" i="4"/>
  <c r="K399" i="4"/>
  <c r="I399" i="4"/>
  <c r="F399" i="4"/>
  <c r="AA398" i="4"/>
  <c r="X398" i="4"/>
  <c r="U398" i="4"/>
  <c r="S398" i="4"/>
  <c r="P398" i="4"/>
  <c r="N398" i="4"/>
  <c r="K398" i="4"/>
  <c r="I398" i="4"/>
  <c r="F398" i="4"/>
  <c r="AA397" i="4"/>
  <c r="X397" i="4"/>
  <c r="U397" i="4"/>
  <c r="S397" i="4"/>
  <c r="P397" i="4"/>
  <c r="N397" i="4"/>
  <c r="K397" i="4"/>
  <c r="I397" i="4"/>
  <c r="F397" i="4"/>
  <c r="AA396" i="4"/>
  <c r="X396" i="4"/>
  <c r="U396" i="4"/>
  <c r="S396" i="4"/>
  <c r="P396" i="4"/>
  <c r="N396" i="4"/>
  <c r="K396" i="4"/>
  <c r="I396" i="4"/>
  <c r="F396" i="4"/>
  <c r="AA395" i="4"/>
  <c r="X395" i="4"/>
  <c r="U395" i="4"/>
  <c r="S395" i="4"/>
  <c r="P395" i="4"/>
  <c r="N395" i="4"/>
  <c r="K395" i="4"/>
  <c r="I395" i="4"/>
  <c r="F395" i="4"/>
  <c r="AA394" i="4"/>
  <c r="X394" i="4"/>
  <c r="U394" i="4"/>
  <c r="S394" i="4"/>
  <c r="P394" i="4"/>
  <c r="N394" i="4"/>
  <c r="K394" i="4"/>
  <c r="I394" i="4"/>
  <c r="F394" i="4"/>
  <c r="AA393" i="4"/>
  <c r="X393" i="4"/>
  <c r="U393" i="4"/>
  <c r="S393" i="4"/>
  <c r="P393" i="4"/>
  <c r="N393" i="4"/>
  <c r="K393" i="4"/>
  <c r="I393" i="4"/>
  <c r="F393" i="4"/>
  <c r="AA392" i="4"/>
  <c r="X392" i="4"/>
  <c r="U392" i="4"/>
  <c r="S392" i="4"/>
  <c r="P392" i="4"/>
  <c r="N392" i="4"/>
  <c r="K392" i="4"/>
  <c r="I392" i="4"/>
  <c r="F392" i="4"/>
  <c r="AA391" i="4"/>
  <c r="X391" i="4"/>
  <c r="U391" i="4"/>
  <c r="S391" i="4"/>
  <c r="P391" i="4"/>
  <c r="N391" i="4"/>
  <c r="K391" i="4"/>
  <c r="I391" i="4"/>
  <c r="F391" i="4"/>
  <c r="AA390" i="4"/>
  <c r="X390" i="4"/>
  <c r="U390" i="4"/>
  <c r="S390" i="4"/>
  <c r="P390" i="4"/>
  <c r="N390" i="4"/>
  <c r="K390" i="4"/>
  <c r="I390" i="4"/>
  <c r="F390" i="4"/>
  <c r="AA389" i="4"/>
  <c r="X389" i="4"/>
  <c r="U389" i="4"/>
  <c r="S389" i="4"/>
  <c r="P389" i="4"/>
  <c r="N389" i="4"/>
  <c r="K389" i="4"/>
  <c r="I389" i="4"/>
  <c r="F389" i="4"/>
  <c r="AA388" i="4"/>
  <c r="X388" i="4"/>
  <c r="U388" i="4"/>
  <c r="S388" i="4"/>
  <c r="P388" i="4"/>
  <c r="N388" i="4"/>
  <c r="K388" i="4"/>
  <c r="I388" i="4"/>
  <c r="F388" i="4"/>
  <c r="AA387" i="4"/>
  <c r="X387" i="4"/>
  <c r="U387" i="4"/>
  <c r="S387" i="4"/>
  <c r="P387" i="4"/>
  <c r="N387" i="4"/>
  <c r="K387" i="4"/>
  <c r="I387" i="4"/>
  <c r="F387" i="4"/>
  <c r="AA386" i="4"/>
  <c r="X386" i="4"/>
  <c r="U386" i="4"/>
  <c r="S386" i="4"/>
  <c r="P386" i="4"/>
  <c r="N386" i="4"/>
  <c r="K386" i="4"/>
  <c r="I386" i="4"/>
  <c r="F386" i="4"/>
  <c r="AA385" i="4"/>
  <c r="X385" i="4"/>
  <c r="U385" i="4"/>
  <c r="S385" i="4"/>
  <c r="P385" i="4"/>
  <c r="N385" i="4"/>
  <c r="K385" i="4"/>
  <c r="I385" i="4"/>
  <c r="F385" i="4"/>
  <c r="AA384" i="4"/>
  <c r="X384" i="4"/>
  <c r="U384" i="4"/>
  <c r="S384" i="4"/>
  <c r="P384" i="4"/>
  <c r="N384" i="4"/>
  <c r="K384" i="4"/>
  <c r="I384" i="4"/>
  <c r="F384" i="4"/>
  <c r="AA383" i="4"/>
  <c r="X383" i="4"/>
  <c r="U383" i="4"/>
  <c r="S383" i="4"/>
  <c r="P383" i="4"/>
  <c r="N383" i="4"/>
  <c r="K383" i="4"/>
  <c r="I383" i="4"/>
  <c r="F383" i="4"/>
  <c r="AA382" i="4"/>
  <c r="X382" i="4"/>
  <c r="U382" i="4"/>
  <c r="S382" i="4"/>
  <c r="P382" i="4"/>
  <c r="N382" i="4"/>
  <c r="K382" i="4"/>
  <c r="I382" i="4"/>
  <c r="F382" i="4"/>
  <c r="AA381" i="4"/>
  <c r="X381" i="4"/>
  <c r="U381" i="4"/>
  <c r="S381" i="4"/>
  <c r="P381" i="4"/>
  <c r="N381" i="4"/>
  <c r="K381" i="4"/>
  <c r="I381" i="4"/>
  <c r="F381" i="4"/>
  <c r="AA380" i="4"/>
  <c r="X380" i="4"/>
  <c r="U380" i="4"/>
  <c r="S380" i="4"/>
  <c r="P380" i="4"/>
  <c r="N380" i="4"/>
  <c r="K380" i="4"/>
  <c r="I380" i="4"/>
  <c r="F380" i="4"/>
  <c r="AA379" i="4"/>
  <c r="X379" i="4"/>
  <c r="U379" i="4"/>
  <c r="S379" i="4"/>
  <c r="P379" i="4"/>
  <c r="N379" i="4"/>
  <c r="K379" i="4"/>
  <c r="I379" i="4"/>
  <c r="F379" i="4"/>
  <c r="AA378" i="4"/>
  <c r="X378" i="4"/>
  <c r="U378" i="4"/>
  <c r="S378" i="4"/>
  <c r="P378" i="4"/>
  <c r="N378" i="4"/>
  <c r="K378" i="4"/>
  <c r="I378" i="4"/>
  <c r="F378" i="4"/>
  <c r="AA377" i="4"/>
  <c r="X377" i="4"/>
  <c r="U377" i="4"/>
  <c r="S377" i="4"/>
  <c r="P377" i="4"/>
  <c r="N377" i="4"/>
  <c r="K377" i="4"/>
  <c r="I377" i="4"/>
  <c r="F377" i="4"/>
  <c r="AA376" i="4"/>
  <c r="X376" i="4"/>
  <c r="U376" i="4"/>
  <c r="S376" i="4"/>
  <c r="P376" i="4"/>
  <c r="N376" i="4"/>
  <c r="K376" i="4"/>
  <c r="I376" i="4"/>
  <c r="F376" i="4"/>
  <c r="AA375" i="4"/>
  <c r="X375" i="4"/>
  <c r="U375" i="4"/>
  <c r="S375" i="4"/>
  <c r="P375" i="4"/>
  <c r="N375" i="4"/>
  <c r="K375" i="4"/>
  <c r="I375" i="4"/>
  <c r="F375" i="4"/>
  <c r="AA374" i="4"/>
  <c r="X374" i="4"/>
  <c r="U374" i="4"/>
  <c r="S374" i="4"/>
  <c r="P374" i="4"/>
  <c r="N374" i="4"/>
  <c r="K374" i="4"/>
  <c r="I374" i="4"/>
  <c r="F374" i="4"/>
  <c r="AA373" i="4"/>
  <c r="X373" i="4"/>
  <c r="U373" i="4"/>
  <c r="S373" i="4"/>
  <c r="P373" i="4"/>
  <c r="N373" i="4"/>
  <c r="K373" i="4"/>
  <c r="I373" i="4"/>
  <c r="F373" i="4"/>
  <c r="AA372" i="4"/>
  <c r="X372" i="4"/>
  <c r="U372" i="4"/>
  <c r="S372" i="4"/>
  <c r="P372" i="4"/>
  <c r="N372" i="4"/>
  <c r="K372" i="4"/>
  <c r="I372" i="4"/>
  <c r="F372" i="4"/>
  <c r="AA371" i="4"/>
  <c r="X371" i="4"/>
  <c r="U371" i="4"/>
  <c r="S371" i="4"/>
  <c r="P371" i="4"/>
  <c r="N371" i="4"/>
  <c r="K371" i="4"/>
  <c r="I371" i="4"/>
  <c r="F371" i="4"/>
  <c r="AA370" i="4"/>
  <c r="X370" i="4"/>
  <c r="U370" i="4"/>
  <c r="S370" i="4"/>
  <c r="P370" i="4"/>
  <c r="N370" i="4"/>
  <c r="K370" i="4"/>
  <c r="I370" i="4"/>
  <c r="F370" i="4"/>
  <c r="AA369" i="4"/>
  <c r="X369" i="4"/>
  <c r="U369" i="4"/>
  <c r="S369" i="4"/>
  <c r="P369" i="4"/>
  <c r="N369" i="4"/>
  <c r="K369" i="4"/>
  <c r="I369" i="4"/>
  <c r="F369" i="4"/>
  <c r="AA368" i="4"/>
  <c r="X368" i="4"/>
  <c r="U368" i="4"/>
  <c r="S368" i="4"/>
  <c r="P368" i="4"/>
  <c r="N368" i="4"/>
  <c r="K368" i="4"/>
  <c r="I368" i="4"/>
  <c r="F368" i="4"/>
  <c r="AA367" i="4"/>
  <c r="X367" i="4"/>
  <c r="U367" i="4"/>
  <c r="S367" i="4"/>
  <c r="P367" i="4"/>
  <c r="N367" i="4"/>
  <c r="K367" i="4"/>
  <c r="I367" i="4"/>
  <c r="F367" i="4"/>
  <c r="AA366" i="4"/>
  <c r="X366" i="4"/>
  <c r="U366" i="4"/>
  <c r="S366" i="4"/>
  <c r="P366" i="4"/>
  <c r="N366" i="4"/>
  <c r="K366" i="4"/>
  <c r="I366" i="4"/>
  <c r="F366" i="4"/>
  <c r="AA365" i="4"/>
  <c r="X365" i="4"/>
  <c r="U365" i="4"/>
  <c r="S365" i="4"/>
  <c r="P365" i="4"/>
  <c r="N365" i="4"/>
  <c r="K365" i="4"/>
  <c r="I365" i="4"/>
  <c r="F365" i="4"/>
  <c r="AA364" i="4"/>
  <c r="X364" i="4"/>
  <c r="U364" i="4"/>
  <c r="S364" i="4"/>
  <c r="P364" i="4"/>
  <c r="N364" i="4"/>
  <c r="K364" i="4"/>
  <c r="I364" i="4"/>
  <c r="F364" i="4"/>
  <c r="AA363" i="4"/>
  <c r="X363" i="4"/>
  <c r="U363" i="4"/>
  <c r="S363" i="4"/>
  <c r="P363" i="4"/>
  <c r="N363" i="4"/>
  <c r="K363" i="4"/>
  <c r="I363" i="4"/>
  <c r="F363" i="4"/>
  <c r="AA362" i="4"/>
  <c r="X362" i="4"/>
  <c r="U362" i="4"/>
  <c r="S362" i="4"/>
  <c r="P362" i="4"/>
  <c r="N362" i="4"/>
  <c r="K362" i="4"/>
  <c r="I362" i="4"/>
  <c r="F362" i="4"/>
  <c r="AA361" i="4"/>
  <c r="X361" i="4"/>
  <c r="U361" i="4"/>
  <c r="S361" i="4"/>
  <c r="P361" i="4"/>
  <c r="N361" i="4"/>
  <c r="K361" i="4"/>
  <c r="I361" i="4"/>
  <c r="F361" i="4"/>
  <c r="AA360" i="4"/>
  <c r="X360" i="4"/>
  <c r="U360" i="4"/>
  <c r="S360" i="4"/>
  <c r="P360" i="4"/>
  <c r="N360" i="4"/>
  <c r="K360" i="4"/>
  <c r="I360" i="4"/>
  <c r="F360" i="4"/>
  <c r="AA359" i="4"/>
  <c r="X359" i="4"/>
  <c r="U359" i="4"/>
  <c r="S359" i="4"/>
  <c r="P359" i="4"/>
  <c r="N359" i="4"/>
  <c r="K359" i="4"/>
  <c r="I359" i="4"/>
  <c r="F359" i="4"/>
  <c r="AA358" i="4"/>
  <c r="X358" i="4"/>
  <c r="U358" i="4"/>
  <c r="S358" i="4"/>
  <c r="P358" i="4"/>
  <c r="N358" i="4"/>
  <c r="K358" i="4"/>
  <c r="I358" i="4"/>
  <c r="F358" i="4"/>
  <c r="AA357" i="4"/>
  <c r="X357" i="4"/>
  <c r="U357" i="4"/>
  <c r="S357" i="4"/>
  <c r="P357" i="4"/>
  <c r="N357" i="4"/>
  <c r="K357" i="4"/>
  <c r="I357" i="4"/>
  <c r="F357" i="4"/>
  <c r="AA356" i="4"/>
  <c r="X356" i="4"/>
  <c r="U356" i="4"/>
  <c r="S356" i="4"/>
  <c r="P356" i="4"/>
  <c r="N356" i="4"/>
  <c r="K356" i="4"/>
  <c r="I356" i="4"/>
  <c r="F356" i="4"/>
  <c r="AA355" i="4"/>
  <c r="X355" i="4"/>
  <c r="U355" i="4"/>
  <c r="S355" i="4"/>
  <c r="P355" i="4"/>
  <c r="N355" i="4"/>
  <c r="K355" i="4"/>
  <c r="I355" i="4"/>
  <c r="F355" i="4"/>
  <c r="AA354" i="4"/>
  <c r="X354" i="4"/>
  <c r="U354" i="4"/>
  <c r="S354" i="4"/>
  <c r="P354" i="4"/>
  <c r="N354" i="4"/>
  <c r="K354" i="4"/>
  <c r="I354" i="4"/>
  <c r="F354" i="4"/>
  <c r="AA353" i="4"/>
  <c r="X353" i="4"/>
  <c r="U353" i="4"/>
  <c r="S353" i="4"/>
  <c r="P353" i="4"/>
  <c r="N353" i="4"/>
  <c r="K353" i="4"/>
  <c r="I353" i="4"/>
  <c r="F353" i="4"/>
  <c r="AA352" i="4"/>
  <c r="X352" i="4"/>
  <c r="U352" i="4"/>
  <c r="S352" i="4"/>
  <c r="P352" i="4"/>
  <c r="N352" i="4"/>
  <c r="K352" i="4"/>
  <c r="I352" i="4"/>
  <c r="F352" i="4"/>
  <c r="AA351" i="4"/>
  <c r="X351" i="4"/>
  <c r="U351" i="4"/>
  <c r="S351" i="4"/>
  <c r="P351" i="4"/>
  <c r="N351" i="4"/>
  <c r="K351" i="4"/>
  <c r="I351" i="4"/>
  <c r="F351" i="4"/>
  <c r="AA350" i="4"/>
  <c r="X350" i="4"/>
  <c r="U350" i="4"/>
  <c r="S350" i="4"/>
  <c r="P350" i="4"/>
  <c r="N350" i="4"/>
  <c r="K350" i="4"/>
  <c r="I350" i="4"/>
  <c r="F350" i="4"/>
  <c r="AA349" i="4"/>
  <c r="X349" i="4"/>
  <c r="U349" i="4"/>
  <c r="S349" i="4"/>
  <c r="P349" i="4"/>
  <c r="N349" i="4"/>
  <c r="K349" i="4"/>
  <c r="I349" i="4"/>
  <c r="F349" i="4"/>
  <c r="AA348" i="4"/>
  <c r="X348" i="4"/>
  <c r="U348" i="4"/>
  <c r="S348" i="4"/>
  <c r="P348" i="4"/>
  <c r="N348" i="4"/>
  <c r="K348" i="4"/>
  <c r="I348" i="4"/>
  <c r="F348" i="4"/>
  <c r="AA347" i="4"/>
  <c r="X347" i="4"/>
  <c r="U347" i="4"/>
  <c r="S347" i="4"/>
  <c r="P347" i="4"/>
  <c r="N347" i="4"/>
  <c r="K347" i="4"/>
  <c r="I347" i="4"/>
  <c r="F347" i="4"/>
  <c r="AA346" i="4"/>
  <c r="X346" i="4"/>
  <c r="U346" i="4"/>
  <c r="S346" i="4"/>
  <c r="P346" i="4"/>
  <c r="N346" i="4"/>
  <c r="K346" i="4"/>
  <c r="I346" i="4"/>
  <c r="F346" i="4"/>
  <c r="AA345" i="4"/>
  <c r="X345" i="4"/>
  <c r="U345" i="4"/>
  <c r="S345" i="4"/>
  <c r="P345" i="4"/>
  <c r="N345" i="4"/>
  <c r="K345" i="4"/>
  <c r="I345" i="4"/>
  <c r="F345" i="4"/>
  <c r="AA344" i="4"/>
  <c r="X344" i="4"/>
  <c r="U344" i="4"/>
  <c r="S344" i="4"/>
  <c r="P344" i="4"/>
  <c r="N344" i="4"/>
  <c r="K344" i="4"/>
  <c r="I344" i="4"/>
  <c r="F344" i="4"/>
  <c r="AA343" i="4"/>
  <c r="X343" i="4"/>
  <c r="U343" i="4"/>
  <c r="S343" i="4"/>
  <c r="P343" i="4"/>
  <c r="N343" i="4"/>
  <c r="K343" i="4"/>
  <c r="I343" i="4"/>
  <c r="F343" i="4"/>
  <c r="AA342" i="4"/>
  <c r="X342" i="4"/>
  <c r="U342" i="4"/>
  <c r="S342" i="4"/>
  <c r="P342" i="4"/>
  <c r="N342" i="4"/>
  <c r="K342" i="4"/>
  <c r="I342" i="4"/>
  <c r="F342" i="4"/>
  <c r="AA341" i="4"/>
  <c r="X341" i="4"/>
  <c r="U341" i="4"/>
  <c r="S341" i="4"/>
  <c r="P341" i="4"/>
  <c r="N341" i="4"/>
  <c r="K341" i="4"/>
  <c r="I341" i="4"/>
  <c r="F341" i="4"/>
  <c r="AA340" i="4"/>
  <c r="X340" i="4"/>
  <c r="U340" i="4"/>
  <c r="S340" i="4"/>
  <c r="P340" i="4"/>
  <c r="N340" i="4"/>
  <c r="K340" i="4"/>
  <c r="I340" i="4"/>
  <c r="F340" i="4"/>
  <c r="AA339" i="4"/>
  <c r="X339" i="4"/>
  <c r="U339" i="4"/>
  <c r="S339" i="4"/>
  <c r="P339" i="4"/>
  <c r="N339" i="4"/>
  <c r="K339" i="4"/>
  <c r="I339" i="4"/>
  <c r="F339" i="4"/>
  <c r="AA338" i="4"/>
  <c r="X338" i="4"/>
  <c r="U338" i="4"/>
  <c r="S338" i="4"/>
  <c r="P338" i="4"/>
  <c r="N338" i="4"/>
  <c r="K338" i="4"/>
  <c r="I338" i="4"/>
  <c r="F338" i="4"/>
  <c r="AA337" i="4"/>
  <c r="X337" i="4"/>
  <c r="U337" i="4"/>
  <c r="S337" i="4"/>
  <c r="P337" i="4"/>
  <c r="N337" i="4"/>
  <c r="K337" i="4"/>
  <c r="I337" i="4"/>
  <c r="F337" i="4"/>
  <c r="AA336" i="4"/>
  <c r="X336" i="4"/>
  <c r="U336" i="4"/>
  <c r="S336" i="4"/>
  <c r="P336" i="4"/>
  <c r="N336" i="4"/>
  <c r="K336" i="4"/>
  <c r="I336" i="4"/>
  <c r="F336" i="4"/>
  <c r="AA335" i="4"/>
  <c r="X335" i="4"/>
  <c r="U335" i="4"/>
  <c r="S335" i="4"/>
  <c r="P335" i="4"/>
  <c r="N335" i="4"/>
  <c r="K335" i="4"/>
  <c r="I335" i="4"/>
  <c r="F335" i="4"/>
  <c r="AA334" i="4"/>
  <c r="X334" i="4"/>
  <c r="U334" i="4"/>
  <c r="S334" i="4"/>
  <c r="P334" i="4"/>
  <c r="N334" i="4"/>
  <c r="K334" i="4"/>
  <c r="I334" i="4"/>
  <c r="F334" i="4"/>
  <c r="AA333" i="4"/>
  <c r="X333" i="4"/>
  <c r="U333" i="4"/>
  <c r="S333" i="4"/>
  <c r="P333" i="4"/>
  <c r="N333" i="4"/>
  <c r="K333" i="4"/>
  <c r="I333" i="4"/>
  <c r="F333" i="4"/>
  <c r="AA332" i="4"/>
  <c r="X332" i="4"/>
  <c r="U332" i="4"/>
  <c r="S332" i="4"/>
  <c r="P332" i="4"/>
  <c r="N332" i="4"/>
  <c r="K332" i="4"/>
  <c r="I332" i="4"/>
  <c r="F332" i="4"/>
  <c r="AA331" i="4"/>
  <c r="X331" i="4"/>
  <c r="U331" i="4"/>
  <c r="S331" i="4"/>
  <c r="P331" i="4"/>
  <c r="N331" i="4"/>
  <c r="K331" i="4"/>
  <c r="I331" i="4"/>
  <c r="F331" i="4"/>
  <c r="AA330" i="4"/>
  <c r="X330" i="4"/>
  <c r="U330" i="4"/>
  <c r="S330" i="4"/>
  <c r="P330" i="4"/>
  <c r="N330" i="4"/>
  <c r="K330" i="4"/>
  <c r="I330" i="4"/>
  <c r="F330" i="4"/>
  <c r="AA329" i="4"/>
  <c r="X329" i="4"/>
  <c r="U329" i="4"/>
  <c r="S329" i="4"/>
  <c r="P329" i="4"/>
  <c r="N329" i="4"/>
  <c r="K329" i="4"/>
  <c r="I329" i="4"/>
  <c r="F329" i="4"/>
  <c r="AA328" i="4"/>
  <c r="X328" i="4"/>
  <c r="U328" i="4"/>
  <c r="S328" i="4"/>
  <c r="P328" i="4"/>
  <c r="N328" i="4"/>
  <c r="K328" i="4"/>
  <c r="I328" i="4"/>
  <c r="F328" i="4"/>
  <c r="AA327" i="4"/>
  <c r="X327" i="4"/>
  <c r="U327" i="4"/>
  <c r="S327" i="4"/>
  <c r="P327" i="4"/>
  <c r="N327" i="4"/>
  <c r="K327" i="4"/>
  <c r="I327" i="4"/>
  <c r="F327" i="4"/>
  <c r="AA326" i="4"/>
  <c r="X326" i="4"/>
  <c r="U326" i="4"/>
  <c r="S326" i="4"/>
  <c r="P326" i="4"/>
  <c r="N326" i="4"/>
  <c r="K326" i="4"/>
  <c r="I326" i="4"/>
  <c r="F326" i="4"/>
  <c r="AA325" i="4"/>
  <c r="X325" i="4"/>
  <c r="U325" i="4"/>
  <c r="S325" i="4"/>
  <c r="P325" i="4"/>
  <c r="N325" i="4"/>
  <c r="K325" i="4"/>
  <c r="I325" i="4"/>
  <c r="F325" i="4"/>
  <c r="AA324" i="4"/>
  <c r="X324" i="4"/>
  <c r="U324" i="4"/>
  <c r="S324" i="4"/>
  <c r="P324" i="4"/>
  <c r="N324" i="4"/>
  <c r="K324" i="4"/>
  <c r="I324" i="4"/>
  <c r="F324" i="4"/>
  <c r="AA323" i="4"/>
  <c r="X323" i="4"/>
  <c r="U323" i="4"/>
  <c r="S323" i="4"/>
  <c r="P323" i="4"/>
  <c r="N323" i="4"/>
  <c r="K323" i="4"/>
  <c r="I323" i="4"/>
  <c r="F323" i="4"/>
  <c r="AA322" i="4"/>
  <c r="X322" i="4"/>
  <c r="U322" i="4"/>
  <c r="S322" i="4"/>
  <c r="P322" i="4"/>
  <c r="N322" i="4"/>
  <c r="K322" i="4"/>
  <c r="I322" i="4"/>
  <c r="F322" i="4"/>
  <c r="AA321" i="4"/>
  <c r="X321" i="4"/>
  <c r="U321" i="4"/>
  <c r="S321" i="4"/>
  <c r="P321" i="4"/>
  <c r="N321" i="4"/>
  <c r="K321" i="4"/>
  <c r="I321" i="4"/>
  <c r="F321" i="4"/>
  <c r="AA320" i="4"/>
  <c r="X320" i="4"/>
  <c r="U320" i="4"/>
  <c r="S320" i="4"/>
  <c r="P320" i="4"/>
  <c r="N320" i="4"/>
  <c r="K320" i="4"/>
  <c r="I320" i="4"/>
  <c r="F320" i="4"/>
  <c r="AA319" i="4"/>
  <c r="X319" i="4"/>
  <c r="U319" i="4"/>
  <c r="S319" i="4"/>
  <c r="P319" i="4"/>
  <c r="N319" i="4"/>
  <c r="K319" i="4"/>
  <c r="I319" i="4"/>
  <c r="F319" i="4"/>
  <c r="AA318" i="4"/>
  <c r="X318" i="4"/>
  <c r="U318" i="4"/>
  <c r="S318" i="4"/>
  <c r="P318" i="4"/>
  <c r="N318" i="4"/>
  <c r="K318" i="4"/>
  <c r="I318" i="4"/>
  <c r="F318" i="4"/>
  <c r="AA317" i="4"/>
  <c r="X317" i="4"/>
  <c r="U317" i="4"/>
  <c r="S317" i="4"/>
  <c r="P317" i="4"/>
  <c r="N317" i="4"/>
  <c r="K317" i="4"/>
  <c r="I317" i="4"/>
  <c r="F317" i="4"/>
  <c r="AA316" i="4"/>
  <c r="X316" i="4"/>
  <c r="U316" i="4"/>
  <c r="S316" i="4"/>
  <c r="P316" i="4"/>
  <c r="N316" i="4"/>
  <c r="K316" i="4"/>
  <c r="I316" i="4"/>
  <c r="F316" i="4"/>
  <c r="AA315" i="4"/>
  <c r="X315" i="4"/>
  <c r="U315" i="4"/>
  <c r="S315" i="4"/>
  <c r="P315" i="4"/>
  <c r="N315" i="4"/>
  <c r="K315" i="4"/>
  <c r="I315" i="4"/>
  <c r="F315" i="4"/>
  <c r="AA314" i="4"/>
  <c r="X314" i="4"/>
  <c r="U314" i="4"/>
  <c r="S314" i="4"/>
  <c r="P314" i="4"/>
  <c r="N314" i="4"/>
  <c r="K314" i="4"/>
  <c r="I314" i="4"/>
  <c r="F314" i="4"/>
  <c r="AA313" i="4"/>
  <c r="X313" i="4"/>
  <c r="U313" i="4"/>
  <c r="S313" i="4"/>
  <c r="P313" i="4"/>
  <c r="N313" i="4"/>
  <c r="K313" i="4"/>
  <c r="I313" i="4"/>
  <c r="F313" i="4"/>
  <c r="AA312" i="4"/>
  <c r="X312" i="4"/>
  <c r="U312" i="4"/>
  <c r="S312" i="4"/>
  <c r="P312" i="4"/>
  <c r="N312" i="4"/>
  <c r="K312" i="4"/>
  <c r="I312" i="4"/>
  <c r="F312" i="4"/>
  <c r="AA311" i="4"/>
  <c r="X311" i="4"/>
  <c r="U311" i="4"/>
  <c r="S311" i="4"/>
  <c r="P311" i="4"/>
  <c r="N311" i="4"/>
  <c r="K311" i="4"/>
  <c r="I311" i="4"/>
  <c r="F311" i="4"/>
  <c r="AA310" i="4"/>
  <c r="X310" i="4"/>
  <c r="U310" i="4"/>
  <c r="S310" i="4"/>
  <c r="P310" i="4"/>
  <c r="N310" i="4"/>
  <c r="K310" i="4"/>
  <c r="I310" i="4"/>
  <c r="F310" i="4"/>
  <c r="AA309" i="4"/>
  <c r="X309" i="4"/>
  <c r="U309" i="4"/>
  <c r="S309" i="4"/>
  <c r="P309" i="4"/>
  <c r="N309" i="4"/>
  <c r="K309" i="4"/>
  <c r="I309" i="4"/>
  <c r="F309" i="4"/>
  <c r="AA308" i="4"/>
  <c r="X308" i="4"/>
  <c r="U308" i="4"/>
  <c r="S308" i="4"/>
  <c r="P308" i="4"/>
  <c r="N308" i="4"/>
  <c r="K308" i="4"/>
  <c r="I308" i="4"/>
  <c r="F308" i="4"/>
  <c r="AA307" i="4"/>
  <c r="X307" i="4"/>
  <c r="U307" i="4"/>
  <c r="S307" i="4"/>
  <c r="P307" i="4"/>
  <c r="N307" i="4"/>
  <c r="K307" i="4"/>
  <c r="I307" i="4"/>
  <c r="F307" i="4"/>
  <c r="AA306" i="4"/>
  <c r="X306" i="4"/>
  <c r="U306" i="4"/>
  <c r="S306" i="4"/>
  <c r="P306" i="4"/>
  <c r="N306" i="4"/>
  <c r="K306" i="4"/>
  <c r="I306" i="4"/>
  <c r="F306" i="4"/>
  <c r="AA305" i="4"/>
  <c r="X305" i="4"/>
  <c r="U305" i="4"/>
  <c r="S305" i="4"/>
  <c r="P305" i="4"/>
  <c r="N305" i="4"/>
  <c r="K305" i="4"/>
  <c r="I305" i="4"/>
  <c r="F305" i="4"/>
  <c r="AA304" i="4"/>
  <c r="X304" i="4"/>
  <c r="U304" i="4"/>
  <c r="S304" i="4"/>
  <c r="P304" i="4"/>
  <c r="N304" i="4"/>
  <c r="K304" i="4"/>
  <c r="I304" i="4"/>
  <c r="F304" i="4"/>
  <c r="AA303" i="4"/>
  <c r="X303" i="4"/>
  <c r="U303" i="4"/>
  <c r="S303" i="4"/>
  <c r="P303" i="4"/>
  <c r="N303" i="4"/>
  <c r="K303" i="4"/>
  <c r="I303" i="4"/>
  <c r="F303" i="4"/>
  <c r="AA302" i="4"/>
  <c r="X302" i="4"/>
  <c r="U302" i="4"/>
  <c r="S302" i="4"/>
  <c r="P302" i="4"/>
  <c r="N302" i="4"/>
  <c r="K302" i="4"/>
  <c r="I302" i="4"/>
  <c r="F302" i="4"/>
  <c r="AA301" i="4"/>
  <c r="X301" i="4"/>
  <c r="U301" i="4"/>
  <c r="S301" i="4"/>
  <c r="P301" i="4"/>
  <c r="N301" i="4"/>
  <c r="K301" i="4"/>
  <c r="I301" i="4"/>
  <c r="F301" i="4"/>
  <c r="AA300" i="4"/>
  <c r="X300" i="4"/>
  <c r="U300" i="4"/>
  <c r="S300" i="4"/>
  <c r="P300" i="4"/>
  <c r="N300" i="4"/>
  <c r="K300" i="4"/>
  <c r="I300" i="4"/>
  <c r="F300" i="4"/>
  <c r="AA299" i="4"/>
  <c r="X299" i="4"/>
  <c r="U299" i="4"/>
  <c r="S299" i="4"/>
  <c r="P299" i="4"/>
  <c r="N299" i="4"/>
  <c r="K299" i="4"/>
  <c r="I299" i="4"/>
  <c r="F299" i="4"/>
  <c r="AA298" i="4"/>
  <c r="X298" i="4"/>
  <c r="U298" i="4"/>
  <c r="S298" i="4"/>
  <c r="P298" i="4"/>
  <c r="N298" i="4"/>
  <c r="K298" i="4"/>
  <c r="I298" i="4"/>
  <c r="F298" i="4"/>
  <c r="AA297" i="4"/>
  <c r="X297" i="4"/>
  <c r="U297" i="4"/>
  <c r="S297" i="4"/>
  <c r="P297" i="4"/>
  <c r="N297" i="4"/>
  <c r="K297" i="4"/>
  <c r="I297" i="4"/>
  <c r="F297" i="4"/>
  <c r="AA296" i="4"/>
  <c r="X296" i="4"/>
  <c r="U296" i="4"/>
  <c r="S296" i="4"/>
  <c r="P296" i="4"/>
  <c r="N296" i="4"/>
  <c r="K296" i="4"/>
  <c r="I296" i="4"/>
  <c r="F296" i="4"/>
  <c r="AA295" i="4"/>
  <c r="X295" i="4"/>
  <c r="U295" i="4"/>
  <c r="S295" i="4"/>
  <c r="P295" i="4"/>
  <c r="N295" i="4"/>
  <c r="K295" i="4"/>
  <c r="I295" i="4"/>
  <c r="F295" i="4"/>
  <c r="AA294" i="4"/>
  <c r="X294" i="4"/>
  <c r="U294" i="4"/>
  <c r="S294" i="4"/>
  <c r="P294" i="4"/>
  <c r="N294" i="4"/>
  <c r="K294" i="4"/>
  <c r="I294" i="4"/>
  <c r="F294" i="4"/>
  <c r="AA293" i="4"/>
  <c r="X293" i="4"/>
  <c r="U293" i="4"/>
  <c r="S293" i="4"/>
  <c r="P293" i="4"/>
  <c r="N293" i="4"/>
  <c r="K293" i="4"/>
  <c r="I293" i="4"/>
  <c r="F293" i="4"/>
  <c r="AA292" i="4"/>
  <c r="X292" i="4"/>
  <c r="F292" i="4"/>
  <c r="AA291" i="4"/>
  <c r="X291" i="4"/>
  <c r="F291" i="4"/>
  <c r="AA290" i="4"/>
  <c r="X290" i="4"/>
  <c r="F290" i="4"/>
  <c r="AA289" i="4"/>
  <c r="X289" i="4"/>
  <c r="F289" i="4"/>
  <c r="AA288" i="4"/>
  <c r="X288" i="4"/>
  <c r="F288" i="4"/>
  <c r="AA287" i="4"/>
  <c r="X287" i="4"/>
  <c r="F287" i="4"/>
  <c r="AA286" i="4"/>
  <c r="X286" i="4"/>
  <c r="F286" i="4"/>
  <c r="AA285" i="4"/>
  <c r="X285" i="4"/>
  <c r="F285" i="4"/>
  <c r="AA284" i="4"/>
  <c r="X284" i="4"/>
  <c r="F284" i="4"/>
  <c r="AA283" i="4"/>
  <c r="X283" i="4"/>
  <c r="F283" i="4"/>
  <c r="AA282" i="4"/>
  <c r="X282" i="4"/>
  <c r="F282" i="4"/>
  <c r="AA281" i="4"/>
  <c r="X281" i="4"/>
  <c r="F281" i="4"/>
  <c r="AA280" i="4"/>
  <c r="X280" i="4"/>
  <c r="F280" i="4"/>
  <c r="AA279" i="4"/>
  <c r="X279" i="4"/>
  <c r="F279" i="4"/>
  <c r="AA278" i="4"/>
  <c r="X278" i="4"/>
  <c r="F278" i="4"/>
  <c r="AA277" i="4"/>
  <c r="X277" i="4"/>
  <c r="F277" i="4"/>
  <c r="AA276" i="4"/>
  <c r="X276" i="4"/>
  <c r="F276" i="4"/>
  <c r="AA275" i="4"/>
  <c r="X275" i="4"/>
  <c r="F275" i="4"/>
  <c r="AA274" i="4"/>
  <c r="X274" i="4"/>
  <c r="F274" i="4"/>
  <c r="AA273" i="4"/>
  <c r="X273" i="4"/>
  <c r="F273" i="4"/>
  <c r="AA272" i="4"/>
  <c r="X272" i="4"/>
  <c r="F272" i="4"/>
  <c r="AA271" i="4"/>
  <c r="X271" i="4"/>
  <c r="F271" i="4"/>
  <c r="AA270" i="4"/>
  <c r="X270" i="4"/>
  <c r="F270" i="4"/>
  <c r="AA269" i="4"/>
  <c r="X269" i="4"/>
  <c r="F269" i="4"/>
  <c r="AA268" i="4"/>
  <c r="X268" i="4"/>
  <c r="F268" i="4"/>
  <c r="AA267" i="4"/>
  <c r="X267" i="4"/>
  <c r="F267" i="4"/>
  <c r="AA266" i="4"/>
  <c r="X266" i="4"/>
  <c r="F266" i="4"/>
  <c r="AA265" i="4"/>
  <c r="X265" i="4"/>
  <c r="F265" i="4"/>
  <c r="AA264" i="4"/>
  <c r="X264" i="4"/>
  <c r="F264" i="4"/>
  <c r="AA263" i="4"/>
  <c r="X263" i="4"/>
  <c r="F263" i="4"/>
  <c r="AA262" i="4"/>
  <c r="X262" i="4"/>
  <c r="F262" i="4"/>
  <c r="AA261" i="4"/>
  <c r="X261" i="4"/>
  <c r="F261" i="4"/>
  <c r="AA260" i="4"/>
  <c r="X260" i="4"/>
  <c r="F260" i="4"/>
  <c r="AA259" i="4"/>
  <c r="X259" i="4"/>
  <c r="F259" i="4"/>
  <c r="AA258" i="4"/>
  <c r="X258" i="4"/>
  <c r="F258" i="4"/>
  <c r="AA257" i="4"/>
  <c r="X257" i="4"/>
  <c r="F257" i="4"/>
  <c r="AA256" i="4"/>
  <c r="X256" i="4"/>
  <c r="F256" i="4"/>
  <c r="AA255" i="4"/>
  <c r="X255" i="4"/>
  <c r="F255" i="4"/>
  <c r="AA254" i="4"/>
  <c r="X254" i="4"/>
  <c r="F254" i="4"/>
  <c r="AA253" i="4"/>
  <c r="X253" i="4"/>
  <c r="F253" i="4"/>
  <c r="AA252" i="4"/>
  <c r="X252" i="4"/>
  <c r="F252" i="4"/>
  <c r="AA251" i="4"/>
  <c r="X251" i="4"/>
  <c r="F251" i="4"/>
  <c r="AA250" i="4"/>
  <c r="X250" i="4"/>
  <c r="F250" i="4"/>
  <c r="AA249" i="4"/>
  <c r="X249" i="4"/>
  <c r="F249" i="4"/>
  <c r="AA248" i="4"/>
  <c r="X248" i="4"/>
  <c r="F248" i="4"/>
  <c r="AA247" i="4"/>
  <c r="X247" i="4"/>
  <c r="F247" i="4"/>
  <c r="AA246" i="4"/>
  <c r="X246" i="4"/>
  <c r="F246" i="4"/>
  <c r="AA245" i="4"/>
  <c r="F245" i="4"/>
  <c r="AA244" i="4"/>
  <c r="F244" i="4"/>
  <c r="AA243" i="4"/>
  <c r="F243" i="4"/>
  <c r="AA242" i="4"/>
  <c r="F242" i="4"/>
  <c r="AA241" i="4"/>
  <c r="F241" i="4"/>
  <c r="AA240" i="4"/>
  <c r="F240" i="4"/>
  <c r="AA239" i="4"/>
  <c r="F239" i="4"/>
  <c r="AA238" i="4"/>
  <c r="F238" i="4"/>
  <c r="AA237" i="4"/>
  <c r="F237" i="4"/>
  <c r="AA236" i="4"/>
  <c r="F236" i="4"/>
  <c r="AA235" i="4"/>
  <c r="F235" i="4"/>
  <c r="AA234" i="4"/>
  <c r="F234" i="4"/>
  <c r="AA233" i="4"/>
  <c r="F233" i="4"/>
  <c r="AA232" i="4"/>
  <c r="F232" i="4"/>
  <c r="AA231" i="4"/>
  <c r="F231" i="4"/>
  <c r="AA230" i="4"/>
  <c r="F230" i="4"/>
  <c r="AA229" i="4"/>
  <c r="F229" i="4"/>
  <c r="AA228" i="4"/>
  <c r="F228" i="4"/>
  <c r="AA227" i="4"/>
  <c r="F227" i="4"/>
  <c r="AA226" i="4"/>
  <c r="F226" i="4"/>
  <c r="AA225" i="4"/>
  <c r="F225" i="4"/>
  <c r="AA224" i="4"/>
  <c r="F224" i="4"/>
  <c r="AA223" i="4"/>
  <c r="F223" i="4"/>
  <c r="AA222" i="4"/>
  <c r="F222" i="4"/>
  <c r="AA221" i="4"/>
  <c r="F221" i="4"/>
  <c r="AA220" i="4"/>
  <c r="F220" i="4"/>
  <c r="AA219" i="4"/>
  <c r="F219" i="4"/>
  <c r="AA218" i="4"/>
  <c r="F218" i="4"/>
  <c r="AA217" i="4"/>
  <c r="F217" i="4"/>
  <c r="AA216" i="4"/>
  <c r="F216" i="4"/>
  <c r="AA215" i="4"/>
  <c r="F215" i="4"/>
  <c r="AA214" i="4"/>
  <c r="F214" i="4"/>
  <c r="AA213" i="4"/>
  <c r="F213" i="4"/>
  <c r="AA212" i="4"/>
  <c r="F212" i="4"/>
  <c r="AA211" i="4"/>
  <c r="F211" i="4"/>
  <c r="AA210" i="4"/>
  <c r="F210" i="4"/>
  <c r="AA209" i="4"/>
  <c r="F209" i="4"/>
  <c r="AA208" i="4"/>
  <c r="F208" i="4"/>
  <c r="AA207" i="4"/>
  <c r="F207" i="4"/>
  <c r="AA206" i="4"/>
  <c r="F206" i="4"/>
  <c r="AA205" i="4"/>
  <c r="F205" i="4"/>
  <c r="AA204" i="4"/>
  <c r="F204" i="4"/>
  <c r="AA203" i="4"/>
  <c r="F203" i="4"/>
  <c r="AA202" i="4"/>
  <c r="F202" i="4"/>
  <c r="AA201" i="4"/>
  <c r="F201" i="4"/>
  <c r="AA200" i="4"/>
  <c r="F200" i="4"/>
  <c r="AA199" i="4"/>
  <c r="F199" i="4"/>
  <c r="AA198" i="4"/>
  <c r="F198" i="4"/>
  <c r="AA197" i="4"/>
  <c r="F197" i="4"/>
  <c r="AA196" i="4"/>
  <c r="F196" i="4"/>
  <c r="AA195" i="4"/>
  <c r="F195" i="4"/>
  <c r="AA194" i="4"/>
  <c r="F194" i="4"/>
  <c r="AA193" i="4"/>
  <c r="F193" i="4"/>
  <c r="AA192" i="4"/>
  <c r="F192" i="4"/>
  <c r="AA191" i="4"/>
  <c r="F191" i="4"/>
  <c r="AA190" i="4"/>
  <c r="F190" i="4"/>
  <c r="AA189" i="4"/>
  <c r="F189" i="4"/>
  <c r="AA188" i="4"/>
  <c r="F188" i="4"/>
  <c r="AA187" i="4"/>
  <c r="F187" i="4"/>
  <c r="AA186" i="4"/>
  <c r="F186" i="4"/>
  <c r="AA185" i="4"/>
  <c r="F185" i="4"/>
  <c r="AA184" i="4"/>
  <c r="F184" i="4"/>
  <c r="AA183" i="4"/>
  <c r="F183" i="4"/>
  <c r="AA182" i="4"/>
  <c r="F182" i="4"/>
  <c r="AA181" i="4"/>
  <c r="F181" i="4"/>
  <c r="AA180" i="4"/>
  <c r="F180" i="4"/>
  <c r="AA179" i="4"/>
  <c r="F179" i="4"/>
  <c r="AA178" i="4"/>
  <c r="F178" i="4"/>
  <c r="AA177" i="4"/>
  <c r="F177" i="4"/>
  <c r="AA176" i="4"/>
  <c r="F176" i="4"/>
  <c r="AA175" i="4"/>
  <c r="F175" i="4"/>
  <c r="AA174" i="4"/>
  <c r="F174" i="4"/>
  <c r="AA173" i="4"/>
  <c r="F173" i="4"/>
  <c r="AA172" i="4"/>
  <c r="F172" i="4"/>
  <c r="AA171" i="4"/>
  <c r="F171" i="4"/>
  <c r="AA170" i="4"/>
  <c r="F170" i="4"/>
  <c r="AA169" i="4"/>
  <c r="F169" i="4"/>
  <c r="AA168" i="4"/>
  <c r="F168" i="4"/>
  <c r="AA167" i="4"/>
  <c r="F167" i="4"/>
  <c r="AA166" i="4"/>
  <c r="F166" i="4"/>
  <c r="AA165" i="4"/>
  <c r="F165" i="4"/>
  <c r="AA164" i="4"/>
  <c r="F164" i="4"/>
  <c r="AA163" i="4"/>
  <c r="F163" i="4"/>
  <c r="AA162" i="4"/>
  <c r="F162" i="4"/>
  <c r="AA161" i="4"/>
  <c r="F161" i="4"/>
  <c r="AA160" i="4"/>
  <c r="F160" i="4"/>
  <c r="AA159" i="4"/>
  <c r="F159" i="4"/>
  <c r="AA158" i="4"/>
  <c r="F158" i="4"/>
  <c r="AA157" i="4"/>
  <c r="F157" i="4"/>
  <c r="AA156" i="4"/>
  <c r="F156" i="4"/>
  <c r="AA155" i="4"/>
  <c r="F155" i="4"/>
  <c r="AA154" i="4"/>
  <c r="F154" i="4"/>
  <c r="AA153" i="4"/>
  <c r="F153" i="4"/>
  <c r="AA152" i="4"/>
  <c r="F152" i="4"/>
  <c r="AA151" i="4"/>
  <c r="F151" i="4"/>
  <c r="AA150" i="4"/>
  <c r="F150" i="4"/>
  <c r="AA149" i="4"/>
  <c r="F149" i="4"/>
  <c r="AA148" i="4"/>
  <c r="F148" i="4"/>
  <c r="AA147" i="4"/>
  <c r="F147" i="4"/>
  <c r="AA146" i="4"/>
  <c r="F146" i="4"/>
  <c r="AA145" i="4"/>
  <c r="F145" i="4"/>
  <c r="AA144" i="4"/>
  <c r="F144" i="4"/>
  <c r="AA143" i="4"/>
  <c r="F143" i="4"/>
  <c r="AA142" i="4"/>
  <c r="F142" i="4"/>
  <c r="AA141" i="4"/>
  <c r="F141" i="4"/>
  <c r="AA140" i="4"/>
  <c r="F140" i="4"/>
  <c r="AA139" i="4"/>
  <c r="F139" i="4"/>
  <c r="AA138" i="4"/>
  <c r="F138" i="4"/>
  <c r="AA137" i="4"/>
  <c r="F137" i="4"/>
  <c r="AA136" i="4"/>
  <c r="F136" i="4"/>
  <c r="AA135" i="4"/>
  <c r="F135" i="4"/>
  <c r="AA134" i="4"/>
  <c r="F134" i="4"/>
  <c r="AA133" i="4"/>
  <c r="F133" i="4"/>
  <c r="AA132" i="4"/>
  <c r="F132" i="4"/>
  <c r="AA131" i="4"/>
  <c r="F131" i="4"/>
  <c r="AA130" i="4"/>
  <c r="F130" i="4"/>
  <c r="AA129" i="4"/>
  <c r="F129" i="4"/>
  <c r="AA128" i="4"/>
  <c r="F128" i="4"/>
  <c r="AA127" i="4"/>
  <c r="F127" i="4"/>
  <c r="AA126" i="4"/>
  <c r="F126" i="4"/>
  <c r="AA125" i="4"/>
  <c r="F125" i="4"/>
  <c r="AA124" i="4"/>
  <c r="F124" i="4"/>
  <c r="AA123" i="4"/>
  <c r="F123" i="4"/>
  <c r="F32" i="4"/>
  <c r="F31" i="4"/>
  <c r="F30" i="4"/>
  <c r="F29" i="4"/>
  <c r="F28" i="4"/>
  <c r="F27" i="4"/>
  <c r="F24" i="4"/>
  <c r="F21" i="4"/>
  <c r="F20" i="4"/>
  <c r="F19" i="4"/>
  <c r="F18" i="4"/>
  <c r="F14" i="4"/>
  <c r="AB428" i="4" l="1"/>
  <c r="AB432" i="4"/>
  <c r="AB436" i="4"/>
  <c r="AB440" i="4"/>
  <c r="AB444" i="4"/>
  <c r="AB448" i="4"/>
  <c r="AB452" i="4"/>
  <c r="AB456" i="4"/>
  <c r="AB460" i="4"/>
  <c r="AB464" i="4"/>
  <c r="AB468" i="4"/>
  <c r="AB472" i="4"/>
  <c r="AB476" i="4"/>
  <c r="AB480" i="4"/>
  <c r="AB484" i="4"/>
  <c r="AB488" i="4"/>
  <c r="AB492" i="4"/>
  <c r="AB496" i="4"/>
  <c r="AB500" i="4"/>
  <c r="AB504" i="4"/>
  <c r="AB508" i="4"/>
  <c r="AB512" i="4"/>
  <c r="AB516" i="4"/>
  <c r="AB520" i="4"/>
  <c r="AB524" i="4"/>
  <c r="AB528" i="4"/>
  <c r="AB532" i="4"/>
  <c r="AB536" i="4"/>
  <c r="AB540" i="4"/>
  <c r="AB544" i="4"/>
  <c r="AB548" i="4"/>
  <c r="AB552" i="4"/>
  <c r="AB556" i="4"/>
  <c r="AB560" i="4"/>
  <c r="AB564" i="4"/>
  <c r="AB568" i="4"/>
  <c r="AB572" i="4"/>
  <c r="AB576" i="4"/>
  <c r="AB580" i="4"/>
  <c r="AB584" i="4"/>
  <c r="AB588" i="4"/>
  <c r="AB592" i="4"/>
  <c r="AB596" i="4"/>
  <c r="AB600" i="4"/>
  <c r="AB604" i="4"/>
  <c r="AB608" i="4"/>
  <c r="AB612" i="4"/>
  <c r="AB1072" i="4"/>
  <c r="AB123" i="4"/>
  <c r="AB127" i="4"/>
  <c r="AB131" i="4"/>
  <c r="AB135" i="4"/>
  <c r="AB139" i="4"/>
  <c r="AB143" i="4"/>
  <c r="AB147" i="4"/>
  <c r="AB151" i="4"/>
  <c r="AB155" i="4"/>
  <c r="AB159" i="4"/>
  <c r="AB163" i="4"/>
  <c r="AB167" i="4"/>
  <c r="AB171" i="4"/>
  <c r="AB175" i="4"/>
  <c r="AB179" i="4"/>
  <c r="AB183" i="4"/>
  <c r="AB187" i="4"/>
  <c r="AB191" i="4"/>
  <c r="AB195" i="4"/>
  <c r="AB199" i="4"/>
  <c r="AB203" i="4"/>
  <c r="AB207" i="4"/>
  <c r="AB211" i="4"/>
  <c r="AB215" i="4"/>
  <c r="AB219" i="4"/>
  <c r="AB223" i="4"/>
  <c r="AB227" i="4"/>
  <c r="AB231" i="4"/>
  <c r="AB235" i="4"/>
  <c r="AB239" i="4"/>
  <c r="AB243" i="4"/>
  <c r="AB247" i="4"/>
  <c r="AB251" i="4"/>
  <c r="AB255" i="4"/>
  <c r="AB259" i="4"/>
  <c r="AB263" i="4"/>
  <c r="AB267" i="4"/>
  <c r="AB271" i="4"/>
  <c r="AB275" i="4"/>
  <c r="AB279" i="4"/>
  <c r="AB283" i="4"/>
  <c r="AB287" i="4"/>
  <c r="AB291" i="4"/>
  <c r="AB295" i="4"/>
  <c r="AB299" i="4"/>
  <c r="AB303" i="4"/>
  <c r="AB307" i="4"/>
  <c r="AB311" i="4"/>
  <c r="AB315" i="4"/>
  <c r="AB319" i="4"/>
  <c r="AB323" i="4"/>
  <c r="AB327" i="4"/>
  <c r="AB331" i="4"/>
  <c r="AB335" i="4"/>
  <c r="AB339" i="4"/>
  <c r="AB616" i="4"/>
  <c r="AB620" i="4"/>
  <c r="AB624" i="4"/>
  <c r="AB628" i="4"/>
  <c r="AB632" i="4"/>
  <c r="AB636" i="4"/>
  <c r="AB640" i="4"/>
  <c r="AB644" i="4"/>
  <c r="AB648" i="4"/>
  <c r="AB652" i="4"/>
  <c r="AB656" i="4"/>
  <c r="AB660" i="4"/>
  <c r="AB664" i="4"/>
  <c r="AB668" i="4"/>
  <c r="AB672" i="4"/>
  <c r="AB676" i="4"/>
  <c r="AB680" i="4"/>
  <c r="AB684" i="4"/>
  <c r="AB688" i="4"/>
  <c r="AB692" i="4"/>
  <c r="AB696" i="4"/>
  <c r="AB700" i="4"/>
  <c r="AB704" i="4"/>
  <c r="AB708" i="4"/>
  <c r="AB712" i="4"/>
  <c r="AB716" i="4"/>
  <c r="AB720" i="4"/>
  <c r="AB724" i="4"/>
  <c r="AB728" i="4"/>
  <c r="AB732" i="4"/>
  <c r="AB736" i="4"/>
  <c r="AB740" i="4"/>
  <c r="AB744" i="4"/>
  <c r="AB748" i="4"/>
  <c r="AB752" i="4"/>
  <c r="AB756" i="4"/>
  <c r="AB760" i="4"/>
  <c r="AB764" i="4"/>
  <c r="AB768" i="4"/>
  <c r="AB772" i="4"/>
  <c r="AB776" i="4"/>
  <c r="AB780" i="4"/>
  <c r="AB784" i="4"/>
  <c r="AB788" i="4"/>
  <c r="AB792" i="4"/>
  <c r="AB796" i="4"/>
  <c r="AB800" i="4"/>
  <c r="AB804" i="4"/>
  <c r="AB808" i="4"/>
  <c r="AB812" i="4"/>
  <c r="AB816" i="4"/>
  <c r="AB820" i="4"/>
  <c r="AB824" i="4"/>
  <c r="AB828" i="4"/>
  <c r="AB832" i="4"/>
  <c r="AB836" i="4"/>
  <c r="AB840" i="4"/>
  <c r="AB844" i="4"/>
  <c r="AB848" i="4"/>
  <c r="AB852" i="4"/>
  <c r="AB856" i="4"/>
  <c r="AB860" i="4"/>
  <c r="AB864" i="4"/>
  <c r="AB868" i="4"/>
  <c r="AB872" i="4"/>
  <c r="AB876" i="4"/>
  <c r="AB880" i="4"/>
  <c r="AB884" i="4"/>
  <c r="AB888" i="4"/>
  <c r="AB892" i="4"/>
  <c r="AB896" i="4"/>
  <c r="AB900" i="4"/>
  <c r="AB904" i="4"/>
  <c r="AB908" i="4"/>
  <c r="AB912" i="4"/>
  <c r="AB916" i="4"/>
  <c r="AB920" i="4"/>
  <c r="AB924" i="4"/>
  <c r="AB928" i="4"/>
  <c r="AB932" i="4"/>
  <c r="AB936" i="4"/>
  <c r="AB940" i="4"/>
  <c r="AB944" i="4"/>
  <c r="AB948" i="4"/>
  <c r="AB952" i="4"/>
  <c r="AB956" i="4"/>
  <c r="AB960" i="4"/>
  <c r="AB964" i="4"/>
  <c r="AB968" i="4"/>
  <c r="AB972" i="4"/>
  <c r="AB976" i="4"/>
  <c r="AB980" i="4"/>
  <c r="AB984" i="4"/>
  <c r="AB988" i="4"/>
  <c r="AB992" i="4"/>
  <c r="AB996" i="4"/>
  <c r="AB1000" i="4"/>
  <c r="AB1004" i="4"/>
  <c r="AB1008" i="4"/>
  <c r="AB1012" i="4"/>
  <c r="AB1016" i="4"/>
  <c r="AB1020" i="4"/>
  <c r="AB1024" i="4"/>
  <c r="AB336" i="4"/>
  <c r="AB1047" i="4"/>
  <c r="AB1063" i="4"/>
  <c r="AB1071" i="4"/>
  <c r="AB1026" i="4"/>
  <c r="AB1030" i="4"/>
  <c r="AB1034" i="4"/>
  <c r="AB1038" i="4"/>
  <c r="AB1042" i="4"/>
  <c r="AB1046" i="4"/>
  <c r="AB1050" i="4"/>
  <c r="AB1054" i="4"/>
  <c r="AB1058" i="4"/>
  <c r="AB1062" i="4"/>
  <c r="AB1066" i="4"/>
  <c r="AB317" i="4"/>
  <c r="AB321" i="4"/>
  <c r="AB325" i="4"/>
  <c r="AB333" i="4"/>
  <c r="AB429" i="4"/>
  <c r="AB433" i="4"/>
  <c r="AB437" i="4"/>
  <c r="AB441" i="4"/>
  <c r="AB445" i="4"/>
  <c r="AB449" i="4"/>
  <c r="AB453" i="4"/>
  <c r="AB457" i="4"/>
  <c r="AB461" i="4"/>
  <c r="AB465" i="4"/>
  <c r="AB469" i="4"/>
  <c r="AB473" i="4"/>
  <c r="AB477" i="4"/>
  <c r="AB481" i="4"/>
  <c r="AB485" i="4"/>
  <c r="AB489" i="4"/>
  <c r="AB493" i="4"/>
  <c r="AB497" i="4"/>
  <c r="AB501" i="4"/>
  <c r="AB505" i="4"/>
  <c r="AB509" i="4"/>
  <c r="AB513" i="4"/>
  <c r="AB517" i="4"/>
  <c r="AB521" i="4"/>
  <c r="AB525" i="4"/>
  <c r="AB529" i="4"/>
  <c r="AB533" i="4"/>
  <c r="AB537" i="4"/>
  <c r="AB541" i="4"/>
  <c r="AB545" i="4"/>
  <c r="AB549" i="4"/>
  <c r="AB553" i="4"/>
  <c r="AB557" i="4"/>
  <c r="AB561" i="4"/>
  <c r="AB569" i="4"/>
  <c r="AB577" i="4"/>
  <c r="AB585" i="4"/>
  <c r="AB593" i="4"/>
  <c r="AB601" i="4"/>
  <c r="AB609" i="4"/>
  <c r="AB617" i="4"/>
  <c r="AB625" i="4"/>
  <c r="AB633" i="4"/>
  <c r="AB641" i="4"/>
  <c r="AB649" i="4"/>
  <c r="AB657" i="4"/>
  <c r="AB665" i="4"/>
  <c r="AB673" i="4"/>
  <c r="AB681" i="4"/>
  <c r="AB689" i="4"/>
  <c r="AB929" i="4"/>
  <c r="AB937" i="4"/>
  <c r="AB945" i="4"/>
  <c r="AB953" i="4"/>
  <c r="AB961" i="4"/>
  <c r="AB969" i="4"/>
  <c r="AB977" i="4"/>
  <c r="AB985" i="4"/>
  <c r="AB993" i="4"/>
  <c r="AB1001" i="4"/>
  <c r="AB1009" i="4"/>
  <c r="AB1017" i="4"/>
  <c r="AB1025" i="4"/>
  <c r="AB1033" i="4"/>
  <c r="AB1041" i="4"/>
  <c r="AB1049" i="4"/>
  <c r="AB1057" i="4"/>
  <c r="AB1065" i="4"/>
  <c r="AB124" i="4"/>
  <c r="AB128" i="4"/>
  <c r="AB132" i="4"/>
  <c r="AB136" i="4"/>
  <c r="AB140" i="4"/>
  <c r="AB144" i="4"/>
  <c r="AB148" i="4"/>
  <c r="AB152" i="4"/>
  <c r="AB156" i="4"/>
  <c r="AB160" i="4"/>
  <c r="AB164" i="4"/>
  <c r="AB168" i="4"/>
  <c r="AB172" i="4"/>
  <c r="AB176" i="4"/>
  <c r="AB180" i="4"/>
  <c r="AB184" i="4"/>
  <c r="AB188" i="4"/>
  <c r="AB192" i="4"/>
  <c r="AB196" i="4"/>
  <c r="AB200" i="4"/>
  <c r="AB204" i="4"/>
  <c r="AB208" i="4"/>
  <c r="AB212" i="4"/>
  <c r="AB216" i="4"/>
  <c r="AB220" i="4"/>
  <c r="AB224" i="4"/>
  <c r="AB228" i="4"/>
  <c r="AB232" i="4"/>
  <c r="AB236" i="4"/>
  <c r="AB240" i="4"/>
  <c r="AB244" i="4"/>
  <c r="AB248" i="4"/>
  <c r="AB252" i="4"/>
  <c r="AB256" i="4"/>
  <c r="AB260" i="4"/>
  <c r="AB264" i="4"/>
  <c r="AB268" i="4"/>
  <c r="AB272" i="4"/>
  <c r="AB276" i="4"/>
  <c r="AB280" i="4"/>
  <c r="AB284" i="4"/>
  <c r="AB288" i="4"/>
  <c r="AB292" i="4"/>
  <c r="AB296" i="4"/>
  <c r="AB300" i="4"/>
  <c r="AB304" i="4"/>
  <c r="AB312" i="4"/>
  <c r="AB320" i="4"/>
  <c r="AB328" i="4"/>
  <c r="AB1028" i="4"/>
  <c r="AB1032" i="4"/>
  <c r="AB1036" i="4"/>
  <c r="AB1040" i="4"/>
  <c r="AB1044" i="4"/>
  <c r="AB1048" i="4"/>
  <c r="AB1052" i="4"/>
  <c r="AB1056" i="4"/>
  <c r="AB1060" i="4"/>
  <c r="AB1064" i="4"/>
  <c r="AB1068" i="4"/>
  <c r="AB343" i="4"/>
  <c r="AB347" i="4"/>
  <c r="AB351" i="4"/>
  <c r="AB355" i="4"/>
  <c r="AB359" i="4"/>
  <c r="AB363" i="4"/>
  <c r="AB367" i="4"/>
  <c r="AB371" i="4"/>
  <c r="AB375" i="4"/>
  <c r="AB379" i="4"/>
  <c r="AB383" i="4"/>
  <c r="AB387" i="4"/>
  <c r="AB391" i="4"/>
  <c r="AB395" i="4"/>
  <c r="AB399" i="4"/>
  <c r="AB403" i="4"/>
  <c r="AB407" i="4"/>
  <c r="AB411" i="4"/>
  <c r="AB415" i="4"/>
  <c r="AB419" i="4"/>
  <c r="AB423" i="4"/>
  <c r="AB427" i="4"/>
  <c r="AB431" i="4"/>
  <c r="AB435" i="4"/>
  <c r="AB439" i="4"/>
  <c r="AB443" i="4"/>
  <c r="AB447" i="4"/>
  <c r="AB451" i="4"/>
  <c r="AB455" i="4"/>
  <c r="AB459" i="4"/>
  <c r="AB463" i="4"/>
  <c r="AB467" i="4"/>
  <c r="AB471" i="4"/>
  <c r="AB475" i="4"/>
  <c r="AB479" i="4"/>
  <c r="AB483" i="4"/>
  <c r="AB487" i="4"/>
  <c r="AB491" i="4"/>
  <c r="AB495" i="4"/>
  <c r="AB499" i="4"/>
  <c r="AB503" i="4"/>
  <c r="AB507" i="4"/>
  <c r="AB511" i="4"/>
  <c r="AB515" i="4"/>
  <c r="AB519" i="4"/>
  <c r="AB523" i="4"/>
  <c r="AB527" i="4"/>
  <c r="AB531" i="4"/>
  <c r="AB535" i="4"/>
  <c r="AB539" i="4"/>
  <c r="AB543" i="4"/>
  <c r="AB547" i="4"/>
  <c r="AB551" i="4"/>
  <c r="AB555" i="4"/>
  <c r="AB559" i="4"/>
  <c r="AB695" i="4"/>
  <c r="AB703" i="4"/>
  <c r="AB711" i="4"/>
  <c r="AB719" i="4"/>
  <c r="AB727" i="4"/>
  <c r="AB735" i="4"/>
  <c r="AB743" i="4"/>
  <c r="AB751" i="4"/>
  <c r="AB759" i="4"/>
  <c r="AB767" i="4"/>
  <c r="AB775" i="4"/>
  <c r="AB783" i="4"/>
  <c r="AB791" i="4"/>
  <c r="AB799" i="4"/>
  <c r="AB807" i="4"/>
  <c r="AB815" i="4"/>
  <c r="AB823" i="4"/>
  <c r="AB831" i="4"/>
  <c r="AB839" i="4"/>
  <c r="AB847" i="4"/>
  <c r="AB855" i="4"/>
  <c r="AB863" i="4"/>
  <c r="AB871" i="4"/>
  <c r="AB879" i="4"/>
  <c r="AB887" i="4"/>
  <c r="AB895" i="4"/>
  <c r="AB903" i="4"/>
  <c r="AB911" i="4"/>
  <c r="AB919" i="4"/>
  <c r="AB927" i="4"/>
  <c r="AB935" i="4"/>
  <c r="AB943" i="4"/>
  <c r="AB951" i="4"/>
  <c r="AB959" i="4"/>
  <c r="AB967" i="4"/>
  <c r="AB975" i="4"/>
  <c r="AB983" i="4"/>
  <c r="AB991" i="4"/>
  <c r="AB999" i="4"/>
  <c r="AB1007" i="4"/>
  <c r="AB1015" i="4"/>
  <c r="AB1023" i="4"/>
  <c r="AB1031" i="4"/>
  <c r="AB1039" i="4"/>
  <c r="AB1055" i="4"/>
  <c r="AB430" i="4"/>
  <c r="AB434" i="4"/>
  <c r="AB438" i="4"/>
  <c r="AB442" i="4"/>
  <c r="AB446" i="4"/>
  <c r="AB450" i="4"/>
  <c r="AB454" i="4"/>
  <c r="AB458" i="4"/>
  <c r="AB462" i="4"/>
  <c r="AB466" i="4"/>
  <c r="AB470" i="4"/>
  <c r="AB474" i="4"/>
  <c r="AB478" i="4"/>
  <c r="AB482" i="4"/>
  <c r="AB486" i="4"/>
  <c r="AB490" i="4"/>
  <c r="AB494" i="4"/>
  <c r="AB498" i="4"/>
  <c r="AB502" i="4"/>
  <c r="AB506" i="4"/>
  <c r="AB510" i="4"/>
  <c r="AB514" i="4"/>
  <c r="AB518" i="4"/>
  <c r="AB522" i="4"/>
  <c r="AB526" i="4"/>
  <c r="AB530" i="4"/>
  <c r="AB534" i="4"/>
  <c r="AB538" i="4"/>
  <c r="AB542" i="4"/>
  <c r="AB546" i="4"/>
  <c r="AB550" i="4"/>
  <c r="AB554" i="4"/>
  <c r="AB558" i="4"/>
  <c r="AB562" i="4"/>
  <c r="AB566" i="4"/>
  <c r="AB570" i="4"/>
  <c r="AB574" i="4"/>
  <c r="AB578" i="4"/>
  <c r="AB582" i="4"/>
  <c r="AB586" i="4"/>
  <c r="AB590" i="4"/>
  <c r="AB594" i="4"/>
  <c r="AB598" i="4"/>
  <c r="AB602" i="4"/>
  <c r="AB606" i="4"/>
  <c r="AB610" i="4"/>
  <c r="AB614" i="4"/>
  <c r="AB618" i="4"/>
  <c r="AB622" i="4"/>
  <c r="AB626" i="4"/>
  <c r="AB630" i="4"/>
  <c r="AB634" i="4"/>
  <c r="AB638" i="4"/>
  <c r="AB642" i="4"/>
  <c r="AB646" i="4"/>
  <c r="AB650" i="4"/>
  <c r="AB654" i="4"/>
  <c r="AB658" i="4"/>
  <c r="AB662" i="4"/>
  <c r="AB666" i="4"/>
  <c r="AB670" i="4"/>
  <c r="AB674" i="4"/>
  <c r="AB678" i="4"/>
  <c r="AB682" i="4"/>
  <c r="AB686" i="4"/>
  <c r="AB690" i="4"/>
  <c r="AB694" i="4"/>
  <c r="AB698" i="4"/>
  <c r="AB702" i="4"/>
  <c r="AB706" i="4"/>
  <c r="AB710" i="4"/>
  <c r="AB714" i="4"/>
  <c r="AB718" i="4"/>
  <c r="AB722" i="4"/>
  <c r="AB726" i="4"/>
  <c r="AB730" i="4"/>
  <c r="AB734" i="4"/>
  <c r="AB738" i="4"/>
  <c r="AB742" i="4"/>
  <c r="AB746" i="4"/>
  <c r="AB750" i="4"/>
  <c r="AB754" i="4"/>
  <c r="AB758" i="4"/>
  <c r="AB762" i="4"/>
  <c r="AB766" i="4"/>
  <c r="AB770" i="4"/>
  <c r="AB774" i="4"/>
  <c r="AB778" i="4"/>
  <c r="AB782" i="4"/>
  <c r="AB786" i="4"/>
  <c r="AB790" i="4"/>
  <c r="AB794" i="4"/>
  <c r="AB798" i="4"/>
  <c r="AB802" i="4"/>
  <c r="AB806" i="4"/>
  <c r="AB810" i="4"/>
  <c r="AB814" i="4"/>
  <c r="AB818" i="4"/>
  <c r="AB822" i="4"/>
  <c r="AB826" i="4"/>
  <c r="AB830" i="4"/>
  <c r="AB834" i="4"/>
  <c r="AB838" i="4"/>
  <c r="AB842" i="4"/>
  <c r="AB846" i="4"/>
  <c r="AB850" i="4"/>
  <c r="AB854" i="4"/>
  <c r="AB858" i="4"/>
  <c r="AB862" i="4"/>
  <c r="AB866" i="4"/>
  <c r="AB870" i="4"/>
  <c r="AB874" i="4"/>
  <c r="AB878" i="4"/>
  <c r="AB882" i="4"/>
  <c r="AB886" i="4"/>
  <c r="AB890" i="4"/>
  <c r="AB894" i="4"/>
  <c r="AB898" i="4"/>
  <c r="AB902" i="4"/>
  <c r="AB906" i="4"/>
  <c r="AB910" i="4"/>
  <c r="AB914" i="4"/>
  <c r="AB918" i="4"/>
  <c r="AB922" i="4"/>
  <c r="AB926" i="4"/>
  <c r="AB930" i="4"/>
  <c r="AB934" i="4"/>
  <c r="AB938" i="4"/>
  <c r="AB942" i="4"/>
  <c r="AB946" i="4"/>
  <c r="AB950" i="4"/>
  <c r="AB954" i="4"/>
  <c r="AB958" i="4"/>
  <c r="AB962" i="4"/>
  <c r="AB966" i="4"/>
  <c r="AB970" i="4"/>
  <c r="AB974" i="4"/>
  <c r="AB978" i="4"/>
  <c r="AB982" i="4"/>
  <c r="AB986" i="4"/>
  <c r="AB990" i="4"/>
  <c r="AB994" i="4"/>
  <c r="AB998" i="4"/>
  <c r="AB1002" i="4"/>
  <c r="AB1006" i="4"/>
  <c r="AB1010" i="4"/>
  <c r="AB1014" i="4"/>
  <c r="AB1018" i="4"/>
  <c r="AB1022" i="4"/>
  <c r="AB1070" i="4"/>
  <c r="AB126" i="4"/>
  <c r="AB130" i="4"/>
  <c r="AB134" i="4"/>
  <c r="AB138" i="4"/>
  <c r="AB142" i="4"/>
  <c r="AB146" i="4"/>
  <c r="AB150" i="4"/>
  <c r="AB154" i="4"/>
  <c r="AB158" i="4"/>
  <c r="AB162" i="4"/>
  <c r="AB166" i="4"/>
  <c r="AB170" i="4"/>
  <c r="AB174" i="4"/>
  <c r="AB178" i="4"/>
  <c r="AB182" i="4"/>
  <c r="AB186" i="4"/>
  <c r="AB190" i="4"/>
  <c r="AB194" i="4"/>
  <c r="AB198" i="4"/>
  <c r="AB202" i="4"/>
  <c r="AB206" i="4"/>
  <c r="AB210" i="4"/>
  <c r="AB214" i="4"/>
  <c r="AB218" i="4"/>
  <c r="AB222" i="4"/>
  <c r="AB226" i="4"/>
  <c r="AB230" i="4"/>
  <c r="AB234" i="4"/>
  <c r="AB238" i="4"/>
  <c r="AB242" i="4"/>
  <c r="AB246" i="4"/>
  <c r="AB250" i="4"/>
  <c r="AB254" i="4"/>
  <c r="AB258" i="4"/>
  <c r="AB262" i="4"/>
  <c r="AB266" i="4"/>
  <c r="AB270" i="4"/>
  <c r="AB274" i="4"/>
  <c r="AB278" i="4"/>
  <c r="AB282" i="4"/>
  <c r="AB286" i="4"/>
  <c r="AB290" i="4"/>
  <c r="AB294" i="4"/>
  <c r="AB298" i="4"/>
  <c r="AB302" i="4"/>
  <c r="AB309" i="4"/>
  <c r="AB313" i="4"/>
  <c r="AB125" i="4"/>
  <c r="AB129" i="4"/>
  <c r="AB133" i="4"/>
  <c r="AB137" i="4"/>
  <c r="AB141" i="4"/>
  <c r="AB145" i="4"/>
  <c r="AB149" i="4"/>
  <c r="AB153" i="4"/>
  <c r="AB157" i="4"/>
  <c r="AB161" i="4"/>
  <c r="AB165" i="4"/>
  <c r="AB169" i="4"/>
  <c r="AB173" i="4"/>
  <c r="AB177" i="4"/>
  <c r="AB181" i="4"/>
  <c r="AB185" i="4"/>
  <c r="AB189" i="4"/>
  <c r="AB193" i="4"/>
  <c r="AB197" i="4"/>
  <c r="AB201" i="4"/>
  <c r="AB205" i="4"/>
  <c r="AB209" i="4"/>
  <c r="AB213" i="4"/>
  <c r="AB217" i="4"/>
  <c r="AB221" i="4"/>
  <c r="AB225" i="4"/>
  <c r="AB229" i="4"/>
  <c r="AB233" i="4"/>
  <c r="AB237" i="4"/>
  <c r="AB241" i="4"/>
  <c r="AB245" i="4"/>
  <c r="AB249" i="4"/>
  <c r="AB253" i="4"/>
  <c r="AB257" i="4"/>
  <c r="AB261" i="4"/>
  <c r="AB265" i="4"/>
  <c r="AB269" i="4"/>
  <c r="AB273" i="4"/>
  <c r="AB277" i="4"/>
  <c r="AB281" i="4"/>
  <c r="AB285" i="4"/>
  <c r="AB289" i="4"/>
  <c r="AB293" i="4"/>
  <c r="AB297" i="4"/>
  <c r="AB301" i="4"/>
  <c r="AB305" i="4"/>
  <c r="AB337" i="4"/>
  <c r="AB329" i="4"/>
  <c r="AB306" i="4"/>
  <c r="AB314" i="4"/>
  <c r="AB322" i="4"/>
  <c r="AB330" i="4"/>
  <c r="AB338" i="4"/>
  <c r="AB342" i="4"/>
  <c r="AB346" i="4"/>
  <c r="AB350" i="4"/>
  <c r="AB354" i="4"/>
  <c r="AB358" i="4"/>
  <c r="AB362" i="4"/>
  <c r="AB366" i="4"/>
  <c r="AB370" i="4"/>
  <c r="AB374" i="4"/>
  <c r="AB378" i="4"/>
  <c r="AB382" i="4"/>
  <c r="AB386" i="4"/>
  <c r="AB390" i="4"/>
  <c r="AB394" i="4"/>
  <c r="AB398" i="4"/>
  <c r="AB402" i="4"/>
  <c r="AB406" i="4"/>
  <c r="AB410" i="4"/>
  <c r="AB414" i="4"/>
  <c r="AB418" i="4"/>
  <c r="AB422" i="4"/>
  <c r="AB426" i="4"/>
  <c r="AB308" i="4"/>
  <c r="AB316" i="4"/>
  <c r="AB324" i="4"/>
  <c r="AB332" i="4"/>
  <c r="AB341" i="4"/>
  <c r="AB345" i="4"/>
  <c r="AB349" i="4"/>
  <c r="AB353" i="4"/>
  <c r="AB357" i="4"/>
  <c r="AB361" i="4"/>
  <c r="AB365" i="4"/>
  <c r="AB369" i="4"/>
  <c r="AB373" i="4"/>
  <c r="AB377" i="4"/>
  <c r="AB381" i="4"/>
  <c r="AB385" i="4"/>
  <c r="AB389" i="4"/>
  <c r="AB393" i="4"/>
  <c r="AB397" i="4"/>
  <c r="AB401" i="4"/>
  <c r="AB405" i="4"/>
  <c r="AB409" i="4"/>
  <c r="AB413" i="4"/>
  <c r="AB417" i="4"/>
  <c r="AB421" i="4"/>
  <c r="AB425" i="4"/>
  <c r="AB310" i="4"/>
  <c r="AB318" i="4"/>
  <c r="AB326" i="4"/>
  <c r="AB334" i="4"/>
  <c r="AB340" i="4"/>
  <c r="AB344" i="4"/>
  <c r="AB348" i="4"/>
  <c r="AB352" i="4"/>
  <c r="AB356" i="4"/>
  <c r="AB360" i="4"/>
  <c r="AB364" i="4"/>
  <c r="AB368" i="4"/>
  <c r="AB372" i="4"/>
  <c r="AB376" i="4"/>
  <c r="AB380" i="4"/>
  <c r="AB384" i="4"/>
  <c r="AB388" i="4"/>
  <c r="AB392" i="4"/>
  <c r="AB396" i="4"/>
  <c r="AB400" i="4"/>
  <c r="AB404" i="4"/>
  <c r="AB408" i="4"/>
  <c r="AB412" i="4"/>
  <c r="AB416" i="4"/>
  <c r="AB420" i="4"/>
  <c r="AB424" i="4"/>
  <c r="AB565" i="4"/>
  <c r="AB573" i="4"/>
  <c r="AB581" i="4"/>
  <c r="AB589" i="4"/>
  <c r="AB597" i="4"/>
  <c r="AB605" i="4"/>
  <c r="AB613" i="4"/>
  <c r="AB621" i="4"/>
  <c r="AB629" i="4"/>
  <c r="AB637" i="4"/>
  <c r="AB645" i="4"/>
  <c r="AB653" i="4"/>
  <c r="AB661" i="4"/>
  <c r="AB669" i="4"/>
  <c r="AB677" i="4"/>
  <c r="AB685" i="4"/>
  <c r="AB693" i="4"/>
  <c r="AB701" i="4"/>
  <c r="AB709" i="4"/>
  <c r="AB717" i="4"/>
  <c r="AB725" i="4"/>
  <c r="AB733" i="4"/>
  <c r="AB741" i="4"/>
  <c r="AB749" i="4"/>
  <c r="AB757" i="4"/>
  <c r="AB765" i="4"/>
  <c r="AB773" i="4"/>
  <c r="AB781" i="4"/>
  <c r="AB789" i="4"/>
  <c r="AB797" i="4"/>
  <c r="AB805" i="4"/>
  <c r="AB813" i="4"/>
  <c r="AB821" i="4"/>
  <c r="AB829" i="4"/>
  <c r="AB837" i="4"/>
  <c r="AB845" i="4"/>
  <c r="AB853" i="4"/>
  <c r="AB861" i="4"/>
  <c r="AB869" i="4"/>
  <c r="AB877" i="4"/>
  <c r="AB885" i="4"/>
  <c r="AB893" i="4"/>
  <c r="AB901" i="4"/>
  <c r="AB909" i="4"/>
  <c r="AB917" i="4"/>
  <c r="AB925" i="4"/>
  <c r="AB933" i="4"/>
  <c r="AB941" i="4"/>
  <c r="AB949" i="4"/>
  <c r="AB957" i="4"/>
  <c r="AB965" i="4"/>
  <c r="AB973" i="4"/>
  <c r="AB981" i="4"/>
  <c r="AB989" i="4"/>
  <c r="AB997" i="4"/>
  <c r="AB1005" i="4"/>
  <c r="AB1013" i="4"/>
  <c r="AB1021" i="4"/>
  <c r="AB1029" i="4"/>
  <c r="AB1037" i="4"/>
  <c r="AB1045" i="4"/>
  <c r="AB1053" i="4"/>
  <c r="AB1061" i="4"/>
  <c r="AB1069" i="4"/>
  <c r="AB567" i="4"/>
  <c r="AB575" i="4"/>
  <c r="AB583" i="4"/>
  <c r="AB591" i="4"/>
  <c r="AB599" i="4"/>
  <c r="AB607" i="4"/>
  <c r="AB615" i="4"/>
  <c r="AB623" i="4"/>
  <c r="AB631" i="4"/>
  <c r="AB639" i="4"/>
  <c r="AB647" i="4"/>
  <c r="AB655" i="4"/>
  <c r="AB663" i="4"/>
  <c r="AB671" i="4"/>
  <c r="AB679" i="4"/>
  <c r="AB687" i="4"/>
  <c r="AB697" i="4"/>
  <c r="AB705" i="4"/>
  <c r="AB713" i="4"/>
  <c r="AB721" i="4"/>
  <c r="AB729" i="4"/>
  <c r="AB737" i="4"/>
  <c r="AB745" i="4"/>
  <c r="AB753" i="4"/>
  <c r="AB761" i="4"/>
  <c r="AB769" i="4"/>
  <c r="AB777" i="4"/>
  <c r="AB785" i="4"/>
  <c r="AB793" i="4"/>
  <c r="AB801" i="4"/>
  <c r="AB809" i="4"/>
  <c r="AB817" i="4"/>
  <c r="AB825" i="4"/>
  <c r="AB833" i="4"/>
  <c r="AB841" i="4"/>
  <c r="AB849" i="4"/>
  <c r="AB857" i="4"/>
  <c r="AB865" i="4"/>
  <c r="AB873" i="4"/>
  <c r="AB881" i="4"/>
  <c r="AB889" i="4"/>
  <c r="AB897" i="4"/>
  <c r="AB905" i="4"/>
  <c r="AB913" i="4"/>
  <c r="AB921" i="4"/>
  <c r="AB563" i="4"/>
  <c r="AB571" i="4"/>
  <c r="AB579" i="4"/>
  <c r="AB587" i="4"/>
  <c r="AB595" i="4"/>
  <c r="AB603" i="4"/>
  <c r="AB611" i="4"/>
  <c r="AB619" i="4"/>
  <c r="AB627" i="4"/>
  <c r="AB635" i="4"/>
  <c r="AB643" i="4"/>
  <c r="AB651" i="4"/>
  <c r="AB659" i="4"/>
  <c r="AB667" i="4"/>
  <c r="AB675" i="4"/>
  <c r="AB683" i="4"/>
  <c r="AB691" i="4"/>
  <c r="AB699" i="4"/>
  <c r="AB707" i="4"/>
  <c r="AB715" i="4"/>
  <c r="AB723" i="4"/>
  <c r="AB731" i="4"/>
  <c r="AB739" i="4"/>
  <c r="AB747" i="4"/>
  <c r="AB755" i="4"/>
  <c r="AB763" i="4"/>
  <c r="AB771" i="4"/>
  <c r="AB779" i="4"/>
  <c r="AB787" i="4"/>
  <c r="AB795" i="4"/>
  <c r="AB803" i="4"/>
  <c r="AB811" i="4"/>
  <c r="AB819" i="4"/>
  <c r="AB827" i="4"/>
  <c r="AB835" i="4"/>
  <c r="AB843" i="4"/>
  <c r="AB851" i="4"/>
  <c r="AB859" i="4"/>
  <c r="AB867" i="4"/>
  <c r="AB875" i="4"/>
  <c r="AB883" i="4"/>
  <c r="AB891" i="4"/>
  <c r="AB899" i="4"/>
  <c r="AB907" i="4"/>
  <c r="AB915" i="4"/>
  <c r="AB923" i="4"/>
  <c r="AB931" i="4"/>
  <c r="AB939" i="4"/>
  <c r="AB947" i="4"/>
  <c r="AB955" i="4"/>
  <c r="AB963" i="4"/>
  <c r="AB971" i="4"/>
  <c r="AB979" i="4"/>
  <c r="AB987" i="4"/>
  <c r="AB995" i="4"/>
  <c r="AB1003" i="4"/>
  <c r="AB1011" i="4"/>
  <c r="AB1019" i="4"/>
  <c r="AB1027" i="4"/>
  <c r="AB1035" i="4"/>
  <c r="AB1043" i="4"/>
  <c r="AB1051" i="4"/>
  <c r="AB1059" i="4"/>
  <c r="AB1067" i="4"/>
  <c r="G1622" i="7"/>
  <c r="G1621" i="7"/>
  <c r="G1620" i="7"/>
  <c r="G1619" i="7"/>
  <c r="G1618" i="7"/>
  <c r="G1617" i="7"/>
  <c r="G1616" i="7"/>
  <c r="G1615" i="7"/>
  <c r="G1614" i="7"/>
  <c r="G1613" i="7"/>
  <c r="G1612" i="7"/>
  <c r="G1611" i="7"/>
  <c r="G1610" i="7"/>
  <c r="G1609" i="7"/>
  <c r="G1608" i="7"/>
  <c r="G1607" i="7"/>
  <c r="G1606" i="7"/>
  <c r="G1605" i="7"/>
  <c r="G1604" i="7"/>
  <c r="G1603" i="7"/>
  <c r="G1602" i="7"/>
  <c r="G1601" i="7"/>
  <c r="G1600" i="7"/>
  <c r="G1599" i="7"/>
  <c r="G1598" i="7"/>
  <c r="G1597" i="7"/>
  <c r="G1596" i="7"/>
  <c r="G1595" i="7"/>
  <c r="G1594" i="7"/>
  <c r="G1593" i="7"/>
  <c r="G1592" i="7"/>
  <c r="G1591" i="7"/>
  <c r="G1590" i="7"/>
  <c r="G1589" i="7"/>
  <c r="G1588" i="7"/>
  <c r="G1587" i="7"/>
  <c r="G1586" i="7"/>
  <c r="G1585" i="7"/>
  <c r="G1584" i="7"/>
  <c r="G1583" i="7"/>
  <c r="G1582" i="7"/>
  <c r="G1581" i="7"/>
  <c r="G1580" i="7"/>
  <c r="G1579" i="7"/>
  <c r="G1578" i="7"/>
  <c r="G1577" i="7"/>
  <c r="G1576" i="7"/>
  <c r="G1575" i="7"/>
  <c r="G1574" i="7"/>
  <c r="G1573" i="7"/>
  <c r="G1572" i="7"/>
  <c r="G1571" i="7"/>
  <c r="G1570" i="7"/>
  <c r="G1569" i="7"/>
  <c r="G1568" i="7"/>
  <c r="G1567" i="7"/>
  <c r="G1566" i="7"/>
  <c r="G1565" i="7"/>
  <c r="G1564" i="7"/>
  <c r="G1563" i="7"/>
  <c r="G1562" i="7"/>
  <c r="G1561" i="7"/>
  <c r="G1560" i="7"/>
  <c r="G1559" i="7"/>
  <c r="G1558" i="7"/>
  <c r="G1557" i="7"/>
  <c r="G1556" i="7"/>
  <c r="G1555" i="7"/>
  <c r="G1554" i="7"/>
  <c r="G1553" i="7"/>
  <c r="G1552" i="7"/>
  <c r="G1551" i="7"/>
  <c r="G1550" i="7"/>
  <c r="G1549" i="7"/>
  <c r="G1548" i="7"/>
  <c r="G1547" i="7"/>
  <c r="G1546" i="7"/>
  <c r="G1545" i="7"/>
  <c r="G1544" i="7"/>
  <c r="G1543" i="7"/>
  <c r="G1542" i="7"/>
  <c r="G1541" i="7"/>
  <c r="G1540" i="7"/>
  <c r="G1539" i="7"/>
  <c r="G1538" i="7"/>
  <c r="G1537" i="7"/>
  <c r="G1536" i="7"/>
  <c r="G1535" i="7"/>
  <c r="G1534" i="7"/>
  <c r="G1533" i="7"/>
  <c r="G1532" i="7"/>
  <c r="G1531" i="7"/>
  <c r="G1530" i="7"/>
  <c r="G1529" i="7"/>
  <c r="G1528" i="7"/>
  <c r="G1527" i="7"/>
  <c r="G1526" i="7"/>
  <c r="G1525" i="7"/>
  <c r="G1524" i="7"/>
  <c r="G1523" i="7"/>
  <c r="G1522" i="7"/>
  <c r="G1521" i="7"/>
  <c r="G1520" i="7"/>
  <c r="G1519" i="7"/>
  <c r="G1518" i="7"/>
  <c r="G1517" i="7"/>
  <c r="G1516" i="7"/>
  <c r="G1515" i="7"/>
  <c r="G1514" i="7"/>
  <c r="G1513" i="7"/>
  <c r="G1512" i="7"/>
  <c r="G1511" i="7"/>
  <c r="G1510" i="7"/>
  <c r="G1509" i="7"/>
  <c r="G1508" i="7"/>
  <c r="G1507" i="7"/>
  <c r="G1506" i="7"/>
  <c r="G1505" i="7"/>
  <c r="G1504" i="7"/>
  <c r="G1503" i="7"/>
  <c r="G1502" i="7"/>
  <c r="G1501" i="7"/>
  <c r="G1500" i="7"/>
  <c r="G1499" i="7"/>
  <c r="G1498" i="7"/>
  <c r="G1497" i="7"/>
  <c r="G1496" i="7"/>
  <c r="G1495" i="7"/>
  <c r="G1494" i="7"/>
  <c r="G1493" i="7"/>
  <c r="G1492" i="7"/>
  <c r="G1491" i="7"/>
  <c r="G1490" i="7"/>
  <c r="G1489" i="7"/>
  <c r="G1488" i="7"/>
  <c r="G1487" i="7"/>
  <c r="G1486" i="7"/>
  <c r="G1485" i="7"/>
  <c r="G1484" i="7"/>
  <c r="G1483" i="7"/>
  <c r="G1482" i="7"/>
  <c r="G1481" i="7"/>
  <c r="G1480" i="7"/>
  <c r="G1479" i="7"/>
  <c r="G1478" i="7"/>
  <c r="G1477" i="7"/>
  <c r="G1476" i="7"/>
  <c r="G1475" i="7"/>
  <c r="G1474" i="7"/>
  <c r="G1473" i="7"/>
  <c r="G1472" i="7"/>
  <c r="G1471" i="7"/>
  <c r="G1470" i="7"/>
  <c r="G1469" i="7"/>
  <c r="G1468" i="7"/>
  <c r="G1467" i="7"/>
  <c r="G1466" i="7"/>
  <c r="G1465" i="7"/>
  <c r="G1464" i="7"/>
  <c r="G1463" i="7"/>
  <c r="G1462" i="7"/>
  <c r="G1461" i="7"/>
  <c r="G1460" i="7"/>
  <c r="G1459" i="7"/>
  <c r="G1458" i="7"/>
  <c r="G1457" i="7"/>
  <c r="G1456" i="7"/>
  <c r="G1455" i="7"/>
  <c r="G1454" i="7"/>
  <c r="G1453" i="7"/>
  <c r="G1452" i="7"/>
  <c r="G1451" i="7"/>
  <c r="G1450" i="7"/>
  <c r="G1449" i="7"/>
  <c r="G1448" i="7"/>
  <c r="G1447" i="7"/>
  <c r="G1446" i="7"/>
  <c r="G1445" i="7"/>
  <c r="G1444" i="7"/>
  <c r="G1443" i="7"/>
  <c r="G1442" i="7"/>
  <c r="G1441" i="7"/>
  <c r="G1440" i="7"/>
  <c r="G1439" i="7"/>
  <c r="G1438" i="7"/>
  <c r="G1437" i="7"/>
  <c r="G1436" i="7"/>
  <c r="G1435" i="7"/>
  <c r="G1434" i="7"/>
  <c r="G1433" i="7"/>
  <c r="G1432" i="7"/>
  <c r="G1431" i="7"/>
  <c r="G1430" i="7"/>
  <c r="G1429" i="7"/>
  <c r="G1428" i="7"/>
  <c r="G1427" i="7"/>
  <c r="G1426" i="7"/>
  <c r="G1425" i="7"/>
  <c r="G1424" i="7"/>
  <c r="G1423" i="7"/>
  <c r="G1422" i="7"/>
  <c r="G1421" i="7"/>
  <c r="G1420" i="7"/>
  <c r="G1419" i="7"/>
  <c r="G1418" i="7"/>
  <c r="G1417" i="7"/>
  <c r="G1416" i="7"/>
  <c r="G1415" i="7"/>
  <c r="G1414" i="7"/>
  <c r="G1413" i="7"/>
  <c r="G1412" i="7"/>
  <c r="G1411" i="7"/>
  <c r="G1410" i="7"/>
  <c r="G1409" i="7"/>
  <c r="G1408" i="7"/>
  <c r="G1407" i="7"/>
  <c r="G1406" i="7"/>
  <c r="G1405" i="7"/>
  <c r="G1404" i="7"/>
  <c r="G1403" i="7"/>
  <c r="G1402" i="7"/>
  <c r="G1401" i="7"/>
  <c r="G1400" i="7"/>
  <c r="G1399" i="7"/>
  <c r="G1398" i="7"/>
  <c r="G1397" i="7"/>
  <c r="G1396" i="7"/>
  <c r="G1395" i="7"/>
  <c r="G1394" i="7"/>
  <c r="G1393" i="7"/>
  <c r="G1392" i="7"/>
  <c r="G1391" i="7"/>
  <c r="G1390" i="7"/>
  <c r="G1389" i="7"/>
  <c r="G1388" i="7"/>
  <c r="G1387" i="7"/>
  <c r="G1386" i="7"/>
  <c r="G1385" i="7"/>
  <c r="G1384" i="7"/>
  <c r="G1383" i="7"/>
  <c r="G1382" i="7"/>
  <c r="G1381" i="7"/>
  <c r="G1380" i="7"/>
  <c r="G1379" i="7"/>
  <c r="G1378" i="7"/>
  <c r="G1377" i="7"/>
  <c r="G1376" i="7"/>
  <c r="G1375" i="7"/>
  <c r="G1374" i="7"/>
  <c r="G1373" i="7"/>
  <c r="G1372" i="7"/>
  <c r="G1371" i="7"/>
  <c r="G1370" i="7"/>
  <c r="G1369" i="7"/>
  <c r="G1368" i="7"/>
  <c r="G1367" i="7"/>
  <c r="G1366" i="7"/>
  <c r="G1365" i="7"/>
  <c r="G1364" i="7"/>
  <c r="G1363" i="7"/>
  <c r="G1362" i="7"/>
  <c r="G1361" i="7"/>
  <c r="G1360" i="7"/>
  <c r="G1359" i="7"/>
  <c r="G1358" i="7"/>
  <c r="G1357" i="7"/>
  <c r="G1356" i="7"/>
  <c r="G1355" i="7"/>
  <c r="G1354" i="7"/>
  <c r="G1353" i="7"/>
  <c r="G1352" i="7"/>
  <c r="G1351" i="7"/>
  <c r="G1350" i="7"/>
  <c r="G1349" i="7"/>
  <c r="G1348" i="7"/>
  <c r="G1347" i="7"/>
  <c r="G1346" i="7"/>
  <c r="G1345" i="7"/>
  <c r="G1344" i="7"/>
  <c r="G1343" i="7"/>
  <c r="G1342" i="7"/>
  <c r="G1341" i="7"/>
  <c r="G1340" i="7"/>
  <c r="G1339" i="7"/>
  <c r="G1338" i="7"/>
  <c r="G1337" i="7"/>
  <c r="G1336" i="7"/>
  <c r="G1335" i="7"/>
  <c r="G1334" i="7"/>
  <c r="G1333" i="7"/>
  <c r="G1332" i="7"/>
  <c r="G1331" i="7"/>
  <c r="G1330" i="7"/>
  <c r="G1329" i="7"/>
  <c r="G1328" i="7"/>
  <c r="G1327" i="7"/>
  <c r="G1326" i="7"/>
  <c r="G1325" i="7"/>
  <c r="G1324" i="7"/>
  <c r="G1323" i="7"/>
  <c r="G1322" i="7"/>
  <c r="G1321" i="7"/>
  <c r="G1320" i="7"/>
  <c r="G1319" i="7"/>
  <c r="G1318" i="7"/>
  <c r="G1317" i="7"/>
  <c r="G1316" i="7"/>
  <c r="G1315" i="7"/>
  <c r="G1314" i="7"/>
  <c r="G1313" i="7"/>
  <c r="G1312" i="7"/>
  <c r="G1311" i="7"/>
  <c r="G1310" i="7"/>
  <c r="G1309" i="7"/>
  <c r="G1308" i="7"/>
  <c r="G1307" i="7"/>
  <c r="G1306" i="7"/>
  <c r="G1305" i="7"/>
  <c r="G1304" i="7"/>
  <c r="G1303" i="7"/>
  <c r="G1302" i="7"/>
  <c r="G1301" i="7"/>
  <c r="G1300" i="7"/>
  <c r="G1299" i="7"/>
  <c r="G1298" i="7"/>
  <c r="G1297" i="7"/>
  <c r="G1296" i="7"/>
  <c r="G1295" i="7"/>
  <c r="G1294" i="7"/>
  <c r="G1293" i="7"/>
  <c r="G1292" i="7"/>
  <c r="G1291" i="7"/>
  <c r="G1290" i="7"/>
  <c r="G1289" i="7"/>
  <c r="G1288" i="7"/>
  <c r="G1287" i="7"/>
  <c r="G1286" i="7"/>
  <c r="G1285" i="7"/>
  <c r="G1284" i="7"/>
  <c r="G1283" i="7"/>
  <c r="G1282" i="7"/>
  <c r="G1281" i="7"/>
  <c r="G1280" i="7"/>
  <c r="G1279" i="7"/>
  <c r="G1278" i="7"/>
  <c r="G1277" i="7"/>
  <c r="G1276" i="7"/>
  <c r="G1275" i="7"/>
  <c r="G1274" i="7"/>
  <c r="G1273" i="7"/>
  <c r="G1272" i="7"/>
  <c r="G1271" i="7"/>
  <c r="G1270" i="7"/>
  <c r="G1269" i="7"/>
  <c r="G1268" i="7"/>
  <c r="G1267" i="7"/>
  <c r="G1266" i="7"/>
  <c r="G1265" i="7"/>
  <c r="G1264" i="7"/>
  <c r="G1263" i="7"/>
  <c r="G1262" i="7"/>
  <c r="G1261" i="7"/>
  <c r="G1260" i="7"/>
  <c r="G1259" i="7"/>
  <c r="G1258" i="7"/>
  <c r="G1257" i="7"/>
  <c r="G1256" i="7"/>
  <c r="G1255" i="7"/>
  <c r="G1254" i="7"/>
  <c r="G1253" i="7"/>
  <c r="G1252" i="7"/>
  <c r="G1251" i="7"/>
  <c r="G1250" i="7"/>
  <c r="G1249" i="7"/>
  <c r="G1248" i="7"/>
  <c r="G1247" i="7"/>
  <c r="G1246" i="7"/>
  <c r="G1245" i="7"/>
  <c r="G1244" i="7"/>
  <c r="G1243" i="7"/>
  <c r="G1242" i="7"/>
  <c r="G1241" i="7"/>
  <c r="G1240" i="7"/>
  <c r="G1239" i="7"/>
  <c r="G1238" i="7"/>
  <c r="G1237" i="7"/>
  <c r="G1236" i="7"/>
  <c r="G1235" i="7"/>
  <c r="G1234" i="7"/>
  <c r="G1233" i="7"/>
  <c r="G1232" i="7"/>
  <c r="G1231" i="7"/>
  <c r="G1230" i="7"/>
  <c r="G1229" i="7"/>
  <c r="G1228" i="7"/>
  <c r="G1227" i="7"/>
  <c r="G1226" i="7"/>
  <c r="G1225" i="7"/>
  <c r="G1224" i="7"/>
  <c r="G1223" i="7"/>
  <c r="G1222" i="7"/>
  <c r="G1221" i="7"/>
  <c r="G1220" i="7"/>
  <c r="G1219" i="7"/>
  <c r="G1218" i="7"/>
  <c r="G1217" i="7"/>
  <c r="G1216" i="7"/>
  <c r="G1215" i="7"/>
  <c r="G1214" i="7"/>
  <c r="G1213" i="7"/>
  <c r="G1212" i="7"/>
  <c r="G1211" i="7"/>
  <c r="G1210" i="7"/>
  <c r="G1209" i="7"/>
  <c r="G1208" i="7"/>
  <c r="G1207" i="7"/>
  <c r="G1206" i="7"/>
  <c r="G1205" i="7"/>
  <c r="G1204" i="7"/>
  <c r="G1203" i="7"/>
  <c r="G1202" i="7"/>
  <c r="G1201" i="7"/>
  <c r="G1200" i="7"/>
  <c r="G1199" i="7"/>
  <c r="G1198" i="7"/>
  <c r="G1197" i="7"/>
  <c r="G1196" i="7"/>
  <c r="G1195" i="7"/>
  <c r="G1194" i="7"/>
  <c r="G1193" i="7"/>
  <c r="G1192" i="7"/>
  <c r="G1191" i="7"/>
  <c r="G1190" i="7"/>
  <c r="G1189" i="7"/>
  <c r="G1188" i="7"/>
  <c r="G1187" i="7"/>
  <c r="G1186" i="7"/>
  <c r="G1185" i="7"/>
  <c r="G1184" i="7"/>
  <c r="G1183" i="7"/>
  <c r="G1182" i="7"/>
  <c r="G1181" i="7"/>
  <c r="G1180" i="7"/>
  <c r="G1179" i="7"/>
  <c r="G1178" i="7"/>
  <c r="G1177" i="7"/>
  <c r="G1176" i="7"/>
  <c r="G1175" i="7"/>
  <c r="G1174" i="7"/>
  <c r="G1173" i="7"/>
  <c r="G1172" i="7"/>
  <c r="G1171" i="7"/>
  <c r="G1170" i="7"/>
  <c r="G1169" i="7"/>
  <c r="G1168" i="7"/>
  <c r="G1167" i="7"/>
  <c r="G1166" i="7"/>
  <c r="G1165" i="7"/>
  <c r="G1164" i="7"/>
  <c r="G1163" i="7"/>
  <c r="G1162" i="7"/>
  <c r="G1161" i="7"/>
  <c r="G1160" i="7"/>
  <c r="G1159" i="7"/>
  <c r="G1158" i="7"/>
  <c r="G1157" i="7"/>
  <c r="G1156" i="7"/>
  <c r="G1155" i="7"/>
  <c r="G1154" i="7"/>
  <c r="G1153" i="7"/>
  <c r="G1152" i="7"/>
  <c r="G1151" i="7"/>
  <c r="G1150" i="7"/>
  <c r="G1149" i="7"/>
  <c r="G1148" i="7"/>
  <c r="G1147" i="7"/>
  <c r="G1146" i="7"/>
  <c r="G1145" i="7"/>
  <c r="G1144" i="7"/>
  <c r="G1143" i="7"/>
  <c r="G1142" i="7"/>
  <c r="G1141" i="7"/>
  <c r="G1140" i="7"/>
  <c r="G1139" i="7"/>
  <c r="G1138" i="7"/>
  <c r="G1137" i="7"/>
  <c r="G1136" i="7"/>
  <c r="G1135" i="7"/>
  <c r="G1134" i="7"/>
  <c r="G1133" i="7"/>
  <c r="G1132" i="7"/>
  <c r="G1131" i="7"/>
  <c r="G1130" i="7"/>
  <c r="G1129" i="7"/>
  <c r="G1128" i="7"/>
  <c r="G1127" i="7"/>
  <c r="G1126" i="7"/>
  <c r="G1125" i="7"/>
  <c r="G1124" i="7"/>
  <c r="G1123" i="7"/>
  <c r="G1122" i="7"/>
  <c r="G1121" i="7"/>
  <c r="G1120" i="7"/>
  <c r="G1119" i="7"/>
  <c r="G1118" i="7"/>
  <c r="G1117" i="7"/>
  <c r="G1116" i="7"/>
  <c r="G1115" i="7"/>
  <c r="G1114" i="7"/>
  <c r="G1113" i="7"/>
  <c r="G1112" i="7"/>
  <c r="G1111" i="7"/>
  <c r="G1110" i="7"/>
  <c r="G1109" i="7"/>
  <c r="G1108" i="7"/>
  <c r="G1107" i="7"/>
  <c r="G1106" i="7"/>
  <c r="G1105" i="7"/>
  <c r="G1104" i="7"/>
  <c r="G1103" i="7"/>
  <c r="G1102" i="7"/>
  <c r="G1101" i="7"/>
  <c r="G1100" i="7"/>
  <c r="G1099" i="7"/>
  <c r="G1098" i="7"/>
  <c r="G1097" i="7"/>
  <c r="G1096" i="7"/>
  <c r="G1095" i="7"/>
  <c r="G1094" i="7"/>
  <c r="G1093" i="7"/>
  <c r="G1092" i="7"/>
  <c r="G1091" i="7"/>
  <c r="G1090" i="7"/>
  <c r="G1089" i="7"/>
  <c r="G1088" i="7"/>
  <c r="G1087" i="7"/>
  <c r="G1086" i="7"/>
  <c r="G1085" i="7"/>
  <c r="G1084" i="7"/>
  <c r="G1083" i="7"/>
  <c r="G1082" i="7"/>
  <c r="G1081" i="7"/>
  <c r="G1080" i="7"/>
  <c r="G1079" i="7"/>
  <c r="G1078" i="7"/>
  <c r="G1077" i="7"/>
  <c r="G1076" i="7"/>
  <c r="G1075" i="7"/>
  <c r="G1074" i="7"/>
  <c r="G1073" i="7"/>
  <c r="G1072" i="7"/>
  <c r="G1071" i="7"/>
  <c r="G1070" i="7"/>
  <c r="G1069" i="7"/>
  <c r="G1068" i="7"/>
  <c r="G1067" i="7"/>
  <c r="G1066" i="7"/>
  <c r="G1065" i="7"/>
  <c r="G1064" i="7"/>
  <c r="G1063" i="7"/>
  <c r="G1062" i="7"/>
  <c r="G1061" i="7"/>
  <c r="G1060" i="7"/>
  <c r="G1059" i="7"/>
  <c r="G1058" i="7"/>
  <c r="G1057" i="7"/>
  <c r="G1056" i="7"/>
  <c r="G1055" i="7"/>
  <c r="G1054" i="7"/>
  <c r="G1053" i="7"/>
  <c r="G1052" i="7"/>
  <c r="G1051" i="7"/>
  <c r="G1050" i="7"/>
  <c r="G1049" i="7"/>
  <c r="G1048" i="7"/>
  <c r="G1047" i="7"/>
  <c r="G1046" i="7"/>
  <c r="G1045" i="7"/>
  <c r="G1044" i="7"/>
  <c r="G1043" i="7"/>
  <c r="G1042" i="7"/>
  <c r="G1041" i="7"/>
  <c r="G1040" i="7"/>
  <c r="G1039" i="7"/>
  <c r="G1038" i="7"/>
  <c r="G1037" i="7"/>
  <c r="G1036" i="7"/>
  <c r="G1035" i="7"/>
  <c r="G1034" i="7"/>
  <c r="G1033" i="7"/>
  <c r="G1032" i="7"/>
  <c r="G1031" i="7"/>
  <c r="G1030" i="7"/>
  <c r="G1029" i="7"/>
  <c r="G1028" i="7"/>
  <c r="G1027" i="7"/>
  <c r="G1026" i="7"/>
  <c r="G1025" i="7"/>
  <c r="G1024" i="7"/>
  <c r="G1023" i="7"/>
  <c r="G1022" i="7"/>
  <c r="G1021" i="7"/>
  <c r="G1020" i="7"/>
  <c r="G1019" i="7"/>
  <c r="G1018" i="7"/>
  <c r="G1017" i="7"/>
  <c r="G1016" i="7"/>
  <c r="G1015" i="7"/>
  <c r="G1014" i="7"/>
  <c r="G1013" i="7"/>
  <c r="G1012" i="7"/>
  <c r="G1011" i="7"/>
  <c r="G1010" i="7"/>
  <c r="G1009" i="7"/>
  <c r="G1008" i="7"/>
  <c r="G1007" i="7"/>
  <c r="G1006" i="7"/>
  <c r="G1005" i="7"/>
  <c r="G1004" i="7"/>
  <c r="G1003" i="7"/>
  <c r="G1002" i="7"/>
  <c r="G1001" i="7"/>
  <c r="G1000" i="7"/>
  <c r="G999" i="7"/>
  <c r="G998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8" i="7"/>
  <c r="G937" i="7"/>
  <c r="G936" i="7"/>
  <c r="G935" i="7"/>
  <c r="G934" i="7"/>
  <c r="G933" i="7"/>
  <c r="G932" i="7"/>
  <c r="G931" i="7"/>
  <c r="G930" i="7"/>
  <c r="G929" i="7"/>
  <c r="G928" i="7"/>
  <c r="G927" i="7"/>
  <c r="G926" i="7"/>
  <c r="G925" i="7"/>
  <c r="G924" i="7"/>
  <c r="G923" i="7"/>
  <c r="G922" i="7"/>
  <c r="G921" i="7"/>
  <c r="G920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F736" i="7" l="1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M2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  <author>Rosa</author>
    <author>Antonio</author>
    <author>Gestion</author>
  </authors>
  <commentList>
    <comment ref="A1" authorId="0" shapeId="0" xr:uid="{00000000-0006-0000-02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2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2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G1" authorId="0" shapeId="0" xr:uid="{00000000-0006-0000-0200-000004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200-000005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200-000006000000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D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  <comment ref="AE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  <comment ref="E4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Rosa:</t>
        </r>
        <r>
          <rPr>
            <sz val="9"/>
            <color indexed="81"/>
            <rFont val="Tahoma"/>
            <family val="2"/>
          </rPr>
          <t xml:space="preserve">
CAJA MARBELLA
</t>
        </r>
      </text>
    </comment>
    <comment ref="E5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Rosa:</t>
        </r>
        <r>
          <rPr>
            <sz val="9"/>
            <color indexed="81"/>
            <rFont val="Tahoma"/>
            <family val="2"/>
          </rPr>
          <t xml:space="preserve">
CAJA MARBELLA
</t>
        </r>
      </text>
    </comment>
    <comment ref="E6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Rosa:</t>
        </r>
        <r>
          <rPr>
            <sz val="9"/>
            <color indexed="81"/>
            <rFont val="Tahoma"/>
            <family val="2"/>
          </rPr>
          <t xml:space="preserve">
CAJA MARBELLA
</t>
        </r>
      </text>
    </comment>
    <comment ref="E7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Rosa:</t>
        </r>
        <r>
          <rPr>
            <sz val="9"/>
            <color indexed="81"/>
            <rFont val="Tahoma"/>
            <family val="2"/>
          </rPr>
          <t xml:space="preserve">
CAJA MARBELLA
</t>
        </r>
      </text>
    </comment>
    <comment ref="E14" authorId="2" shapeId="0" xr:uid="{00000000-0006-0000-0200-00000E000000}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PAGADO CAJA OFICINA</t>
        </r>
      </text>
    </comment>
    <comment ref="E15" authorId="1" shapeId="0" xr:uid="{00000000-0006-0000-0200-00000F000000}">
      <text>
        <r>
          <rPr>
            <b/>
            <sz val="9"/>
            <color indexed="81"/>
            <rFont val="Tahoma"/>
            <charset val="1"/>
          </rPr>
          <t>Rosa:</t>
        </r>
        <r>
          <rPr>
            <sz val="9"/>
            <color indexed="81"/>
            <rFont val="Tahoma"/>
            <charset val="1"/>
          </rPr>
          <t xml:space="preserve">
TARJETA SEP</t>
        </r>
      </text>
    </comment>
    <comment ref="F25" authorId="2" shapeId="0" xr:uid="{00000000-0006-0000-0200-000010000000}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TARJETA OFICINA</t>
        </r>
      </text>
    </comment>
    <comment ref="E35" authorId="3" shapeId="0" xr:uid="{00000000-0006-0000-0200-000011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36" authorId="3" shapeId="0" xr:uid="{00000000-0006-0000-0200-000012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37" authorId="3" shapeId="0" xr:uid="{00000000-0006-0000-0200-000013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38" authorId="3" shapeId="0" xr:uid="{00000000-0006-0000-0200-000014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39" authorId="3" shapeId="0" xr:uid="{00000000-0006-0000-0200-000015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40" authorId="3" shapeId="0" xr:uid="{00000000-0006-0000-0200-000016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L40" authorId="1" shapeId="0" xr:uid="{00000000-0006-0000-0200-000017000000}">
      <text>
        <r>
          <rPr>
            <b/>
            <sz val="9"/>
            <color indexed="81"/>
            <rFont val="Tahoma"/>
            <family val="2"/>
          </rPr>
          <t>Rosa:</t>
        </r>
        <r>
          <rPr>
            <sz val="9"/>
            <color indexed="81"/>
            <rFont val="Tahoma"/>
            <family val="2"/>
          </rPr>
          <t xml:space="preserve">
TASA DE TRAFICO</t>
        </r>
      </text>
    </comment>
    <comment ref="E41" authorId="3" shapeId="0" xr:uid="{00000000-0006-0000-0200-000018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42" authorId="3" shapeId="0" xr:uid="{00000000-0006-0000-0200-000019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43" authorId="3" shapeId="0" xr:uid="{00000000-0006-0000-0200-00001A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44" authorId="3" shapeId="0" xr:uid="{00000000-0006-0000-0200-00001B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45" authorId="3" shapeId="0" xr:uid="{00000000-0006-0000-0200-00001C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46" authorId="3" shapeId="0" xr:uid="{00000000-0006-0000-0200-00001D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47" authorId="3" shapeId="0" xr:uid="{00000000-0006-0000-0200-00001E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48" authorId="3" shapeId="0" xr:uid="{00000000-0006-0000-0200-00001F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49" authorId="3" shapeId="0" xr:uid="{00000000-0006-0000-0200-000020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50" authorId="3" shapeId="0" xr:uid="{00000000-0006-0000-0200-000021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51" authorId="3" shapeId="0" xr:uid="{00000000-0006-0000-0200-000022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52" authorId="3" shapeId="0" xr:uid="{00000000-0006-0000-0200-000023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53" authorId="3" shapeId="0" xr:uid="{00000000-0006-0000-0200-000024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54" authorId="3" shapeId="0" xr:uid="{00000000-0006-0000-0200-000025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55" authorId="3" shapeId="0" xr:uid="{00000000-0006-0000-0200-000026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56" authorId="3" shapeId="0" xr:uid="{00000000-0006-0000-0200-000027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68" authorId="2" shapeId="0" xr:uid="{00000000-0006-0000-0200-000028000000}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VISA OFICINA
</t>
        </r>
      </text>
    </comment>
    <comment ref="E69" authorId="1" shapeId="0" xr:uid="{00000000-0006-0000-0200-000029000000}">
      <text>
        <r>
          <rPr>
            <b/>
            <sz val="9"/>
            <color indexed="81"/>
            <rFont val="Tahoma"/>
            <charset val="1"/>
          </rPr>
          <t>Rosa:</t>
        </r>
        <r>
          <rPr>
            <sz val="9"/>
            <color indexed="81"/>
            <rFont val="Tahoma"/>
            <charset val="1"/>
          </rPr>
          <t xml:space="preserve">
pagado por caja</t>
        </r>
      </text>
    </comment>
    <comment ref="E73" authorId="1" shapeId="0" xr:uid="{00000000-0006-0000-0200-00002A000000}">
      <text>
        <r>
          <rPr>
            <b/>
            <sz val="9"/>
            <color indexed="81"/>
            <rFont val="Tahoma"/>
            <charset val="1"/>
          </rPr>
          <t>Rosa:</t>
        </r>
        <r>
          <rPr>
            <sz val="9"/>
            <color indexed="81"/>
            <rFont val="Tahoma"/>
            <charset val="1"/>
          </rPr>
          <t xml:space="preserve">
PAGADO POR CAJA</t>
        </r>
      </text>
    </comment>
    <comment ref="E80" authorId="3" shapeId="0" xr:uid="{00000000-0006-0000-0200-00002B000000}">
      <text>
        <r>
          <rPr>
            <b/>
            <sz val="9"/>
            <color indexed="81"/>
            <rFont val="Tahoma"/>
            <family val="2"/>
          </rPr>
          <t xml:space="preserve">TARJETA TIENDA AL 21/09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7" authorId="2" shapeId="0" xr:uid="{00000000-0006-0000-0200-00002C000000}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VISA OFICINA</t>
        </r>
      </text>
    </comment>
    <comment ref="E93" authorId="3" shapeId="0" xr:uid="{00000000-0006-0000-0200-00002D000000}">
      <text>
        <r>
          <rPr>
            <b/>
            <sz val="9"/>
            <color indexed="81"/>
            <rFont val="Tahoma"/>
            <family val="2"/>
          </rPr>
          <t xml:space="preserve">TARJETA TIENDA AL 21/11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4" authorId="3" shapeId="0" xr:uid="{00000000-0006-0000-0200-00002E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 nov
</t>
        </r>
      </text>
    </comment>
    <comment ref="E95" authorId="1" shapeId="0" xr:uid="{00000000-0006-0000-0200-00002F000000}">
      <text>
        <r>
          <rPr>
            <b/>
            <sz val="9"/>
            <color indexed="81"/>
            <rFont val="Tahoma"/>
            <charset val="1"/>
          </rPr>
          <t>Rosa:</t>
        </r>
        <r>
          <rPr>
            <sz val="9"/>
            <color indexed="81"/>
            <rFont val="Tahoma"/>
            <charset val="1"/>
          </rPr>
          <t xml:space="preserve">
visa noviembre</t>
        </r>
      </text>
    </comment>
    <comment ref="E96" authorId="3" shapeId="0" xr:uid="{00000000-0006-0000-0200-000030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OCT
</t>
        </r>
      </text>
    </comment>
    <comment ref="E97" authorId="3" shapeId="0" xr:uid="{00000000-0006-0000-0200-000031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nov
</t>
        </r>
      </text>
    </comment>
    <comment ref="E98" authorId="3" shapeId="0" xr:uid="{00000000-0006-0000-0200-000032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nov
</t>
        </r>
      </text>
    </comment>
    <comment ref="E99" authorId="3" shapeId="0" xr:uid="{00000000-0006-0000-0200-000033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nov
</t>
        </r>
      </text>
    </comment>
    <comment ref="E100" authorId="3" shapeId="0" xr:uid="{00000000-0006-0000-0200-000034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nov
</t>
        </r>
      </text>
    </comment>
    <comment ref="E101" authorId="3" shapeId="0" xr:uid="{00000000-0006-0000-0200-000035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ITALIAnov
</t>
        </r>
      </text>
    </comment>
    <comment ref="E102" authorId="2" shapeId="0" xr:uid="{00000000-0006-0000-0200-000036000000}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PAGADO CAJA OFICINA</t>
        </r>
      </text>
    </comment>
    <comment ref="E106" authorId="2" shapeId="0" xr:uid="{00000000-0006-0000-0200-000037000000}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VISA OFICINA</t>
        </r>
      </text>
    </comment>
    <comment ref="E107" authorId="1" shapeId="0" xr:uid="{00000000-0006-0000-0200-000038000000}">
      <text>
        <r>
          <rPr>
            <b/>
            <sz val="9"/>
            <color indexed="81"/>
            <rFont val="Tahoma"/>
            <family val="2"/>
          </rPr>
          <t>Rosa:</t>
        </r>
        <r>
          <rPr>
            <sz val="9"/>
            <color indexed="81"/>
            <rFont val="Tahoma"/>
            <family val="2"/>
          </rPr>
          <t xml:space="preserve">
visa tienda
</t>
        </r>
      </text>
    </comment>
    <comment ref="E108" authorId="3" shapeId="0" xr:uid="{00000000-0006-0000-0200-000039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PAGADO CAJA MARBELLA</t>
        </r>
      </text>
    </comment>
    <comment ref="E115" authorId="3" shapeId="0" xr:uid="{00000000-0006-0000-0200-00003A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 dic
</t>
        </r>
      </text>
    </comment>
    <comment ref="E116" authorId="3" shapeId="0" xr:uid="{00000000-0006-0000-0200-00003B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 dic
</t>
        </r>
      </text>
    </comment>
    <comment ref="E117" authorId="3" shapeId="0" xr:uid="{00000000-0006-0000-0200-00003C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 dic
</t>
        </r>
      </text>
    </comment>
    <comment ref="E118" authorId="3" shapeId="0" xr:uid="{00000000-0006-0000-0200-00003D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 dic
</t>
        </r>
      </text>
    </comment>
    <comment ref="E119" authorId="3" shapeId="0" xr:uid="{00000000-0006-0000-0200-00003E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 dic
</t>
        </r>
      </text>
    </comment>
    <comment ref="E120" authorId="3" shapeId="0" xr:uid="{00000000-0006-0000-0200-00003F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 dic
</t>
        </r>
      </text>
    </comment>
    <comment ref="E121" authorId="3" shapeId="0" xr:uid="{00000000-0006-0000-0200-000040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 dic
</t>
        </r>
      </text>
    </comment>
    <comment ref="E122" authorId="3" shapeId="0" xr:uid="{00000000-0006-0000-0200-000041000000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TARJETA VISA NN ITALIA  dic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3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3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3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3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3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</commentList>
</comments>
</file>

<file path=xl/sharedStrings.xml><?xml version="1.0" encoding="utf-8"?>
<sst xmlns="http://schemas.openxmlformats.org/spreadsheetml/2006/main" count="891" uniqueCount="586">
  <si>
    <t>%IVA</t>
  </si>
  <si>
    <t>IMPORTE IVA</t>
  </si>
  <si>
    <t>BASE RETENCION</t>
  </si>
  <si>
    <t>NOMBRE</t>
  </si>
  <si>
    <t>PAIS</t>
  </si>
  <si>
    <t>CUENTA</t>
  </si>
  <si>
    <t>BASE</t>
  </si>
  <si>
    <t>NIF</t>
  </si>
  <si>
    <t>DESCRIPCIÓN</t>
  </si>
  <si>
    <t>PROVINCIA</t>
  </si>
  <si>
    <t>PAGO AUTOMATICO</t>
  </si>
  <si>
    <t>OPERACION ARRENDAMIENTO</t>
  </si>
  <si>
    <t>%IVA 2</t>
  </si>
  <si>
    <t>IMPORTE IVA 2</t>
  </si>
  <si>
    <t>%IVA 3</t>
  </si>
  <si>
    <t>IMPORTE IVA 3</t>
  </si>
  <si>
    <t>BASE 2</t>
  </si>
  <si>
    <t>BASE 3</t>
  </si>
  <si>
    <t>CONTRAPARTIDA 3</t>
  </si>
  <si>
    <t>%REQ. EQUIV.</t>
  </si>
  <si>
    <t>IMPORTE REC. EQUIV.</t>
  </si>
  <si>
    <t>%REQ. EQUIV. 2</t>
  </si>
  <si>
    <t>IMPORTE REC. EQUIV. 2</t>
  </si>
  <si>
    <t>IMPORTE REC. EQUIV. 3</t>
  </si>
  <si>
    <t>%REQ. EQUIV. 3</t>
  </si>
  <si>
    <t>BASE RETENCION 2</t>
  </si>
  <si>
    <t>%RET</t>
  </si>
  <si>
    <t>%RET 2</t>
  </si>
  <si>
    <t>IMPORTE RET</t>
  </si>
  <si>
    <t>IMPORTE RET 2</t>
  </si>
  <si>
    <t>TOTAL FACTURA</t>
  </si>
  <si>
    <t>N.I.F.</t>
  </si>
  <si>
    <t>Nombre</t>
  </si>
  <si>
    <t>Cta. contable</t>
  </si>
  <si>
    <t>Cód. país</t>
  </si>
  <si>
    <t>Provincia</t>
  </si>
  <si>
    <t>011</t>
  </si>
  <si>
    <t>MADRID</t>
  </si>
  <si>
    <t>BURGOS</t>
  </si>
  <si>
    <t>TOLEDO</t>
  </si>
  <si>
    <t>ALICANTE</t>
  </si>
  <si>
    <t>VIZCAYA</t>
  </si>
  <si>
    <t>PROVEEDORES VARIOS</t>
  </si>
  <si>
    <t>B79283982</t>
  </si>
  <si>
    <t>CONTAMAR ASESORES DE EMPRESA</t>
  </si>
  <si>
    <t>B84775816</t>
  </si>
  <si>
    <t>ATRIUM CENTRO DE NEGOCIOS</t>
  </si>
  <si>
    <t>A28364412</t>
  </si>
  <si>
    <t>EUROPCAR</t>
  </si>
  <si>
    <t>B79624318</t>
  </si>
  <si>
    <t>TRICK MAGIC, S.L.</t>
  </si>
  <si>
    <t>A81331951</t>
  </si>
  <si>
    <t>WORKCENTER, S.A.</t>
  </si>
  <si>
    <t>Q2863001J</t>
  </si>
  <si>
    <t>ILUSTRE COLEGIO NOTARIAL</t>
  </si>
  <si>
    <t>E81458556</t>
  </si>
  <si>
    <t>REGISTRO MERCANTIL DE MADRID</t>
  </si>
  <si>
    <t>02512475R</t>
  </si>
  <si>
    <t>ALFREDO BARRAU ROMERO</t>
  </si>
  <si>
    <t>B07947591</t>
  </si>
  <si>
    <t>SIST RENT A CAR</t>
  </si>
  <si>
    <t>B83002782</t>
  </si>
  <si>
    <t>AZNEITA ZAPLA INVERSIONES, S.L.</t>
  </si>
  <si>
    <t>B85049435</t>
  </si>
  <si>
    <t>1 &amp; 1 INTERNET ESPAÑA, S.L.U.</t>
  </si>
  <si>
    <t>B84027010</t>
  </si>
  <si>
    <t>INVERSIONES SANROFER, S.L.</t>
  </si>
  <si>
    <t>B73347494</t>
  </si>
  <si>
    <t>PC COMPONENTES Y MULTIMEDIA, S.L.</t>
  </si>
  <si>
    <t>B83291666</t>
  </si>
  <si>
    <t>SUMINISTROS SALGADO, S.L.</t>
  </si>
  <si>
    <t>B84480482</t>
  </si>
  <si>
    <t>EUROBOX, EUROPEA DE MODULOS, S.L.</t>
  </si>
  <si>
    <t>A18413302</t>
  </si>
  <si>
    <t>AXESOR CONOCER PARA DECIDIR, S.A.</t>
  </si>
  <si>
    <t>B82977836</t>
  </si>
  <si>
    <t>AKER PREVENCION DE RIESGOS LABORALES, S.L.</t>
  </si>
  <si>
    <t>LAYAL CENTER SERV. INMOB., S.L.</t>
  </si>
  <si>
    <t>B16127789</t>
  </si>
  <si>
    <t>TRATANSA, S.L.</t>
  </si>
  <si>
    <t>B45676590</t>
  </si>
  <si>
    <t>URPACHE, S.L.</t>
  </si>
  <si>
    <t>A78489259</t>
  </si>
  <si>
    <t>TRAVET, S.A.</t>
  </si>
  <si>
    <t>A28659423</t>
  </si>
  <si>
    <t>NORTHGATE RENTING FLEXIBLE</t>
  </si>
  <si>
    <t>B85599819</t>
  </si>
  <si>
    <t>LUJOIS</t>
  </si>
  <si>
    <t>50876941K</t>
  </si>
  <si>
    <t>ANTONIO PERONA SANCHEZ</t>
  </si>
  <si>
    <t>53134379D</t>
  </si>
  <si>
    <t>BRUNO PERONA SANCHEZ</t>
  </si>
  <si>
    <t>B78861564</t>
  </si>
  <si>
    <t>ARQUITECTURA VIVA</t>
  </si>
  <si>
    <t>B48436042</t>
  </si>
  <si>
    <t>ALQUIMOBIL, S.L.</t>
  </si>
  <si>
    <t>A79956793</t>
  </si>
  <si>
    <t>IDATERM, S.A.</t>
  </si>
  <si>
    <t>B45803491</t>
  </si>
  <si>
    <t>GRUPO ALEBEN, S.L.</t>
  </si>
  <si>
    <t>A80393812</t>
  </si>
  <si>
    <t>EESSA ES PARLA</t>
  </si>
  <si>
    <t>A80298839</t>
  </si>
  <si>
    <t>REPSOL COM PROD. PETROF</t>
  </si>
  <si>
    <t>A85850394</t>
  </si>
  <si>
    <t>IBERIA LAE SA</t>
  </si>
  <si>
    <t>A63907539</t>
  </si>
  <si>
    <t>MEDIA MARKT</t>
  </si>
  <si>
    <t>A60526928</t>
  </si>
  <si>
    <t>INTERPARKING</t>
  </si>
  <si>
    <t>A07129430</t>
  </si>
  <si>
    <t>AIR EUROPA</t>
  </si>
  <si>
    <t>BALEARES</t>
  </si>
  <si>
    <t>B86711637</t>
  </si>
  <si>
    <t>TLS BUREAU</t>
  </si>
  <si>
    <t>A28078541</t>
  </si>
  <si>
    <t>JABER, S.A.</t>
  </si>
  <si>
    <t>B78299013</t>
  </si>
  <si>
    <t>PINTURAS ARANJUEZ, S.L.</t>
  </si>
  <si>
    <t>B82826991</t>
  </si>
  <si>
    <t>DESTINIA, S.L.</t>
  </si>
  <si>
    <t>A30113021</t>
  </si>
  <si>
    <t>EE.SS. JUAN LECHUGA, S.A. "ES VENTA OLIVO"</t>
  </si>
  <si>
    <t>B80388754</t>
  </si>
  <si>
    <t>TRANSPORTES GOMEZ ESCUDERO, S.L.</t>
  </si>
  <si>
    <t>A28559573</t>
  </si>
  <si>
    <t>GALP ENERGÍA ESPAÑA, S.A.U.</t>
  </si>
  <si>
    <t>B80305428</t>
  </si>
  <si>
    <t>LAFERMU, S.L.</t>
  </si>
  <si>
    <t>B86162443</t>
  </si>
  <si>
    <t>ROGUMAR 2011, S.L. -APP INFORMÁTICA-</t>
  </si>
  <si>
    <t>A28960201</t>
  </si>
  <si>
    <t>CONTENEDORES EXTRAMADRILEÑOS, S.A.</t>
  </si>
  <si>
    <t>B84736354</t>
  </si>
  <si>
    <t>HUNE RENTAL, S.L.</t>
  </si>
  <si>
    <t>B79033122</t>
  </si>
  <si>
    <t>MAQUIGRUAS, S.L.</t>
  </si>
  <si>
    <t>B80138217</t>
  </si>
  <si>
    <t>TRANSPORTES ARRANQUE, S.L.</t>
  </si>
  <si>
    <t>B39341128</t>
  </si>
  <si>
    <t>MANUEL FIRVIDA, S.L.</t>
  </si>
  <si>
    <t>SANTANDER</t>
  </si>
  <si>
    <t>B48752323</t>
  </si>
  <si>
    <t>GRUAS GALLARTA, S.L.</t>
  </si>
  <si>
    <t>A09080219</t>
  </si>
  <si>
    <t>EE.SS. Y GAS A DOMIC. BLAS DE LA VILLA, S.A.</t>
  </si>
  <si>
    <t>A28745834</t>
  </si>
  <si>
    <t>LOS OLIVOS E.S. S.A.</t>
  </si>
  <si>
    <t>B85844736</t>
  </si>
  <si>
    <t>DICOR OIL, S.L.</t>
  </si>
  <si>
    <t>B86731403</t>
  </si>
  <si>
    <t>SUPER GASOIL, S.L.</t>
  </si>
  <si>
    <t>A28598993</t>
  </si>
  <si>
    <t>CAUCHOS JEMA, S.A.</t>
  </si>
  <si>
    <t>B80356579</t>
  </si>
  <si>
    <t>GABINO NICOLAS E HIJOS, S.L.</t>
  </si>
  <si>
    <t>B28240075</t>
  </si>
  <si>
    <t>E.S. REPSOL URTINSA, S.L.</t>
  </si>
  <si>
    <t>A28341956</t>
  </si>
  <si>
    <t>LORENZO MUÑOZ, S.A.</t>
  </si>
  <si>
    <t>B84374982</t>
  </si>
  <si>
    <t>TERMISER SERVICIOS INTEGRALES, S.L.U.</t>
  </si>
  <si>
    <t>52085076N</t>
  </si>
  <si>
    <t>TOMAS PEREZ DOMINGUEZ</t>
  </si>
  <si>
    <t>B33382433</t>
  </si>
  <si>
    <t>GAM ESPAÑA SERVICIOS DE MAQUINARIA, S.L.U.</t>
  </si>
  <si>
    <t>OVIEDO</t>
  </si>
  <si>
    <t>A86488087</t>
  </si>
  <si>
    <t>CANAL DE ISABEL II GESTIÓN, S.A.</t>
  </si>
  <si>
    <t>B86687837</t>
  </si>
  <si>
    <t>AC2 SYSTEMS CONSULTANCY, S.L.U.</t>
  </si>
  <si>
    <t>26036546V</t>
  </si>
  <si>
    <t>MARIA PAZ NAVAS LOPEZ</t>
  </si>
  <si>
    <t>A28229813</t>
  </si>
  <si>
    <t>EL CORTE INGLÉS</t>
  </si>
  <si>
    <t>RIVERO &amp; GUSTAFSON ABOGADOS</t>
  </si>
  <si>
    <t>B84465160</t>
  </si>
  <si>
    <t>JOSÉ CÁMARAS INGERNIEROS CONSULTORES S.L.</t>
  </si>
  <si>
    <t>A80500200</t>
  </si>
  <si>
    <t>GRANDES ALMACENES FNAC ESPAÑA</t>
  </si>
  <si>
    <t>01174283H</t>
  </si>
  <si>
    <t>CRISTINA LORENZO ARRIBAS</t>
  </si>
  <si>
    <t>B84980135</t>
  </si>
  <si>
    <t>MODULAB ARQUITECTURA Y VIVIENDA S.L.</t>
  </si>
  <si>
    <t>B02185684</t>
  </si>
  <si>
    <t>E.S. SAN PRUDENCIO, S.L.</t>
  </si>
  <si>
    <t>ALBACETE</t>
  </si>
  <si>
    <t>HOTEL MEDELLIN ROYAL</t>
  </si>
  <si>
    <t>B85428464</t>
  </si>
  <si>
    <t>EXPLOTADORA MADRID TOWER, S.L.U.</t>
  </si>
  <si>
    <t>E.S. SUPER GASOIL, S.L</t>
  </si>
  <si>
    <t>A95554630</t>
  </si>
  <si>
    <t>IBERDROLA COMERCIALIZADOR DE ÚLTIMO RECURSO, S.A.U</t>
  </si>
  <si>
    <t>B81475279</t>
  </si>
  <si>
    <t>CONTENEDORES PACO, S.L.</t>
  </si>
  <si>
    <t>A28996403</t>
  </si>
  <si>
    <t>CENTRAL DE PINTURAS INDUSTRIALES, S.A.</t>
  </si>
  <si>
    <t>B86597747</t>
  </si>
  <si>
    <t>ADA SERVICIOS SOSTENIBLES, S.L.</t>
  </si>
  <si>
    <t>8997629Y</t>
  </si>
  <si>
    <t>JAVIER PEÑALVER GUTIERREZ</t>
  </si>
  <si>
    <t>18945527J</t>
  </si>
  <si>
    <t>RUBEN PONS CASTELLET</t>
  </si>
  <si>
    <t>CASTELLON</t>
  </si>
  <si>
    <t>B82750241</t>
  </si>
  <si>
    <t>VALDEMORO TRANSCORTIDIMA URGENTE, S.L.</t>
  </si>
  <si>
    <t>B79844692</t>
  </si>
  <si>
    <t>GRUAS Y CONTENEDORES, S.L.</t>
  </si>
  <si>
    <t>A29021334</t>
  </si>
  <si>
    <t>CENTRO DE ESTUDIOS DE MATERIALES Y CONTROL DE OBRA</t>
  </si>
  <si>
    <t>MALAGA</t>
  </si>
  <si>
    <t>A82018474</t>
  </si>
  <si>
    <t>TELEFONICA DE ESPAÑA, S.A.U.</t>
  </si>
  <si>
    <t>B28137594</t>
  </si>
  <si>
    <t>E.S. DISCO</t>
  </si>
  <si>
    <t>A78779634</t>
  </si>
  <si>
    <t>ROZAS INDUSTRIAL, S.A.</t>
  </si>
  <si>
    <t>B83411652</t>
  </si>
  <si>
    <t>SCHIBSTED CLASSIFIED MEDIA SPAIN, S.L.</t>
  </si>
  <si>
    <t>A28812618</t>
  </si>
  <si>
    <t>IKEA IBERICA, S.A.</t>
  </si>
  <si>
    <t>B01007012</t>
  </si>
  <si>
    <t>LA PILASTRA, S.L.</t>
  </si>
  <si>
    <t>A28379170</t>
  </si>
  <si>
    <t>JULMO, S.A.</t>
  </si>
  <si>
    <t>2887335F</t>
  </si>
  <si>
    <t>LUIS BAEZA-ROJANO MONTES</t>
  </si>
  <si>
    <t>B81759797</t>
  </si>
  <si>
    <t>PROD. SINTETICOS INTECNIA, S.L.</t>
  </si>
  <si>
    <t>A28095495</t>
  </si>
  <si>
    <t>VILLAGAS, S.A.</t>
  </si>
  <si>
    <t>B84204056</t>
  </si>
  <si>
    <t>ALTA 303 PROMOCIOINES INMOBILIARIAS</t>
  </si>
  <si>
    <t>A60917978</t>
  </si>
  <si>
    <t>AXA SEGUROS GENRALES</t>
  </si>
  <si>
    <t>A82527458</t>
  </si>
  <si>
    <t>DAIKIN</t>
  </si>
  <si>
    <t>B81495251</t>
  </si>
  <si>
    <t>DAYCOM COMUNICACIONES, S.L.</t>
  </si>
  <si>
    <t>B81909582</t>
  </si>
  <si>
    <t>ENCOFRADOS 2000 S.L.</t>
  </si>
  <si>
    <t>B83393066</t>
  </si>
  <si>
    <t>ENERGYA VM GESTION DE ENERGIA S.L.</t>
  </si>
  <si>
    <t>B84412683</t>
  </si>
  <si>
    <t>PREMAP SEGURIDAD Y SALUD, S.L.U</t>
  </si>
  <si>
    <t>B83191205</t>
  </si>
  <si>
    <t>OCIMA 2002, S.L.</t>
  </si>
  <si>
    <t>2247313Y</t>
  </si>
  <si>
    <t>JESUS VELASCO MORA</t>
  </si>
  <si>
    <t>B33043860</t>
  </si>
  <si>
    <t>GOMEZ OVIEDO, S.L.</t>
  </si>
  <si>
    <t>B80762982</t>
  </si>
  <si>
    <t>TRATAMIENTOS 3M, S.L.</t>
  </si>
  <si>
    <t>A78008596</t>
  </si>
  <si>
    <t>SANEAMIENTO NAVACERRADA, S.A.</t>
  </si>
  <si>
    <t>B45705894</t>
  </si>
  <si>
    <t>ORETANA LOGISTICA, S.L.</t>
  </si>
  <si>
    <t>B83708735</t>
  </si>
  <si>
    <t>GALVANIZACION TOLEDO, S.L.</t>
  </si>
  <si>
    <t>B87029971</t>
  </si>
  <si>
    <t>GTS HEAVY LIFT, S.L.</t>
  </si>
  <si>
    <t>A82009812</t>
  </si>
  <si>
    <t>ORANGE ESPAÑA, S.A.U</t>
  </si>
  <si>
    <t>41418748A</t>
  </si>
  <si>
    <t>VICENTE MARI FERRER</t>
  </si>
  <si>
    <t>28677777C</t>
  </si>
  <si>
    <t>RAFAEL JIMENEZ-CARLES</t>
  </si>
  <si>
    <t>51445358Q</t>
  </si>
  <si>
    <t>JOSE SANTOS ROMERO ( SANTOS SOLDADURA)</t>
  </si>
  <si>
    <t>B74318338</t>
  </si>
  <si>
    <t>INSTALPRIN, S.L.U</t>
  </si>
  <si>
    <t>B73838139</t>
  </si>
  <si>
    <t>OBYSA ESTRUCTURAS Y SERVICIOS, S.L.L.</t>
  </si>
  <si>
    <t>B85665669</t>
  </si>
  <si>
    <t>SERLINGO SERVICIOS, S.L.</t>
  </si>
  <si>
    <t>B57328320</t>
  </si>
  <si>
    <t>TRANSPORTES Y EXCAVACIONES RIERA, S.L.</t>
  </si>
  <si>
    <t>B07908767</t>
  </si>
  <si>
    <t>LABARTEC IBIZA, S.L.</t>
  </si>
  <si>
    <t>01109407W</t>
  </si>
  <si>
    <t>ENRIQUE MARTINEZ YUSTE</t>
  </si>
  <si>
    <t>B45532132</t>
  </si>
  <si>
    <t>EUROPREVEN SERVICIOS PRL, S.L.</t>
  </si>
  <si>
    <t>52364594B</t>
  </si>
  <si>
    <t>PAULA ARROYO PRIETO</t>
  </si>
  <si>
    <t>B07426133</t>
  </si>
  <si>
    <t>CAMUCO, S.L.</t>
  </si>
  <si>
    <t>B57396822</t>
  </si>
  <si>
    <t>HOTEL SEGLES, S.L.</t>
  </si>
  <si>
    <t>B83898551</t>
  </si>
  <si>
    <t>AEROMAR LOGISTICA, S.L.</t>
  </si>
  <si>
    <t>B83723247</t>
  </si>
  <si>
    <t>ALTA 3 ARQUITECTOS, S.L.</t>
  </si>
  <si>
    <t>B78959855</t>
  </si>
  <si>
    <t>CERRAJERIA TEOFILO, S.L.U.</t>
  </si>
  <si>
    <t>B73579880</t>
  </si>
  <si>
    <t>CLIMASOL, CLIMATIZACION Y REPARACION, S.L.U.</t>
  </si>
  <si>
    <t>B79943734</t>
  </si>
  <si>
    <t>ELECTRICIDAD JUYCOR, S.L.</t>
  </si>
  <si>
    <t>00678070F</t>
  </si>
  <si>
    <t>FERNANDO ALDA FOTOGRAFO</t>
  </si>
  <si>
    <t>A78518529</t>
  </si>
  <si>
    <t>FUNDACIÓN UNIVERSIDAD ALFONSO X EL SABIO</t>
  </si>
  <si>
    <t>B46674503</t>
  </si>
  <si>
    <t>GRUAS DOTAHUR, S.L.</t>
  </si>
  <si>
    <t>A07070584</t>
  </si>
  <si>
    <t>GRUAS POL, S.A.</t>
  </si>
  <si>
    <t>B82080227</t>
  </si>
  <si>
    <t>GRUAS Y TTES. 11 NOVIEMBRE, S.L.</t>
  </si>
  <si>
    <t>19463403K</t>
  </si>
  <si>
    <t>LEONOR FORTEA SANAHUJA (HOSTAL TORRIJOS)</t>
  </si>
  <si>
    <t>B57208878</t>
  </si>
  <si>
    <t>MAC INSULAR, S.L.</t>
  </si>
  <si>
    <t>B87208450</t>
  </si>
  <si>
    <t>PORTA FIRE, S.L.</t>
  </si>
  <si>
    <t>B07542673</t>
  </si>
  <si>
    <t>POTENCIA ALQUILER DE MAQUINARIA, S.L.</t>
  </si>
  <si>
    <t>A08472276</t>
  </si>
  <si>
    <t>WÜRTH ESPAÑA, S.A.</t>
  </si>
  <si>
    <t>DISCESUR</t>
  </si>
  <si>
    <t>ESTA HOJA NO SE RELLENA</t>
  </si>
  <si>
    <t xml:space="preserve">FECHA </t>
  </si>
  <si>
    <t>FECHA</t>
  </si>
  <si>
    <t>%IVA 1</t>
  </si>
  <si>
    <t>NUMERO DE FACTURA</t>
  </si>
  <si>
    <t>TOTAL VENTA</t>
  </si>
  <si>
    <t>COMPROBACION</t>
  </si>
  <si>
    <t>Nº FACTURA</t>
  </si>
  <si>
    <t>TARJETAS</t>
  </si>
  <si>
    <t>CARGO BANCO</t>
  </si>
  <si>
    <t>TRIMESTR</t>
  </si>
  <si>
    <t>2410c00666926</t>
  </si>
  <si>
    <t>A26106013</t>
  </si>
  <si>
    <t>SECURITAS DIRECT ESPAÑA, SAU.</t>
  </si>
  <si>
    <t>BR2024000500311649</t>
  </si>
  <si>
    <t>A28037042</t>
  </si>
  <si>
    <t>SANITAS, S.A.</t>
  </si>
  <si>
    <t>05281607W</t>
  </si>
  <si>
    <t>NEREA NIETO ARAMBURU</t>
  </si>
  <si>
    <t>14216554R</t>
  </si>
  <si>
    <t>MªDE LA VEGA ARAMBURU PLAZA</t>
  </si>
  <si>
    <t>10/24</t>
  </si>
  <si>
    <t>29/24</t>
  </si>
  <si>
    <t>TA7DP0109302</t>
  </si>
  <si>
    <t>TELEFONICA DE ESPAÑA</t>
  </si>
  <si>
    <t>A78923125</t>
  </si>
  <si>
    <t>TELEFONICA MOVILES ESPAÑA, S.A.</t>
  </si>
  <si>
    <t>28J4M0056163</t>
  </si>
  <si>
    <t>2024-744</t>
  </si>
  <si>
    <t>2024-745</t>
  </si>
  <si>
    <t>2024-746</t>
  </si>
  <si>
    <t>2024-747</t>
  </si>
  <si>
    <t>2024-748</t>
  </si>
  <si>
    <t>2024-749</t>
  </si>
  <si>
    <t>2024-750</t>
  </si>
  <si>
    <t>2024-751</t>
  </si>
  <si>
    <t>2024-752</t>
  </si>
  <si>
    <t>2024-753</t>
  </si>
  <si>
    <t>2024-754</t>
  </si>
  <si>
    <t>2024-755</t>
  </si>
  <si>
    <t>2024-756</t>
  </si>
  <si>
    <t>2024-757</t>
  </si>
  <si>
    <t>2024-758</t>
  </si>
  <si>
    <t>004561/A/24/008223</t>
  </si>
  <si>
    <t>REPSOL COMERCIAL DE PRODUCTOS PETROLIFEROS, S.A.</t>
  </si>
  <si>
    <t>NO TENGO AUN LA FACTURA</t>
  </si>
  <si>
    <t>CRUISELINE</t>
  </si>
  <si>
    <t>M. WORLD CORPORATE (TARJETA) </t>
  </si>
  <si>
    <t>VISA SEPTIEMBRE</t>
  </si>
  <si>
    <t>2024000813</t>
  </si>
  <si>
    <t>B83583559</t>
  </si>
  <si>
    <t>COURIER CONSULTING, S.L.</t>
  </si>
  <si>
    <t>06470</t>
  </si>
  <si>
    <t>B80426067</t>
  </si>
  <si>
    <t>PROVIMAD DE VERIFICACIONES REGISTRALES, S.L.</t>
  </si>
  <si>
    <t>343</t>
  </si>
  <si>
    <t>08921948H</t>
  </si>
  <si>
    <t>ISRAEL LLAVERO PEREZ</t>
  </si>
  <si>
    <t>ta7db0022785</t>
  </si>
  <si>
    <t>A2024/35</t>
  </si>
  <si>
    <t>B83074682</t>
  </si>
  <si>
    <t>JESUS MARTINEZ TOBARRA - 2 INFO</t>
  </si>
  <si>
    <t>24/1404</t>
  </si>
  <si>
    <t>B87428983</t>
  </si>
  <si>
    <t>BACO BELLAS ARTES,S.L.</t>
  </si>
  <si>
    <t>24/10048</t>
  </si>
  <si>
    <t>b93340693</t>
  </si>
  <si>
    <t>VIARBELLA TAPAS, S.L.</t>
  </si>
  <si>
    <t>2240558788</t>
  </si>
  <si>
    <t>B64076482</t>
  </si>
  <si>
    <t>QUIRON PREVENCION, S.L.</t>
  </si>
  <si>
    <t>40600466</t>
  </si>
  <si>
    <t>B81948069</t>
  </si>
  <si>
    <t>AB SERVICIOS SELECTA ESPAÑA, S.L.</t>
  </si>
  <si>
    <t>V7876</t>
  </si>
  <si>
    <t>B72307010</t>
  </si>
  <si>
    <t>REM OLIVA S.L.</t>
  </si>
  <si>
    <t>F243975</t>
  </si>
  <si>
    <t>CONTAMAR ASESORES DE EMPRESA, S.L.</t>
  </si>
  <si>
    <t>A46103834</t>
  </si>
  <si>
    <t>A-V2024-00005207250</t>
  </si>
  <si>
    <t>MERCADONA S.A.</t>
  </si>
  <si>
    <t>BR012024000500344549</t>
  </si>
  <si>
    <t>2411C00599699</t>
  </si>
  <si>
    <t>P24CON043845997</t>
  </si>
  <si>
    <t>A81948077</t>
  </si>
  <si>
    <t>ENDESA ENERGIA, S.A.</t>
  </si>
  <si>
    <t>28KAMOO53223</t>
  </si>
  <si>
    <t>TA7DQ0108790</t>
  </si>
  <si>
    <t>11/24</t>
  </si>
  <si>
    <t>32/24</t>
  </si>
  <si>
    <t>HOTEL HURRICANE, S.L.</t>
  </si>
  <si>
    <t>A79209854</t>
  </si>
  <si>
    <t xml:space="preserve">M. WORLD CORPORATE (TARJETA)  </t>
  </si>
  <si>
    <t>255520</t>
  </si>
  <si>
    <t>N7203228G</t>
  </si>
  <si>
    <t>SHENZHEN WUDAOZI TECHNOLOGY CO.LTD (AMAZON)</t>
  </si>
  <si>
    <t>83124FE00026569</t>
  </si>
  <si>
    <t>MARKOIL,S.A.</t>
  </si>
  <si>
    <t>MM4O005467</t>
  </si>
  <si>
    <t>B866832825</t>
  </si>
  <si>
    <t>DANKE HOTELS, S.L.</t>
  </si>
  <si>
    <t>258/2024</t>
  </si>
  <si>
    <t>IT04859510655</t>
  </si>
  <si>
    <t>BLIZT, S.R.L</t>
  </si>
  <si>
    <t>389</t>
  </si>
  <si>
    <t>56/2024</t>
  </si>
  <si>
    <t>IT05648350650</t>
  </si>
  <si>
    <t>CASA MASTRO DI IVAN MASTRO , SNC</t>
  </si>
  <si>
    <t>4830083</t>
  </si>
  <si>
    <t>60088</t>
  </si>
  <si>
    <t>B16848699</t>
  </si>
  <si>
    <t>SIDERIA MANOLO BOBES</t>
  </si>
  <si>
    <t>064101</t>
  </si>
  <si>
    <t>A41398645</t>
  </si>
  <si>
    <t>VERIFICACION INSDUSTRIALES DE ANDALUCIA, S.A. (ITV)</t>
  </si>
  <si>
    <t>VJ00000014878779</t>
  </si>
  <si>
    <t>A86868189</t>
  </si>
  <si>
    <t>RENFE VIAJEROS SME</t>
  </si>
  <si>
    <t>VJ00000014878778</t>
  </si>
  <si>
    <t>83124FE000027886</t>
  </si>
  <si>
    <t>16928</t>
  </si>
  <si>
    <t>B11034675</t>
  </si>
  <si>
    <t>MOTOSUR, S.L.</t>
  </si>
  <si>
    <t>VJ00000014929871</t>
  </si>
  <si>
    <t>VJ00000014929870</t>
  </si>
  <si>
    <t>VJ00000014929881</t>
  </si>
  <si>
    <t>VJ00000014929980</t>
  </si>
  <si>
    <t>VJ00000014929981</t>
  </si>
  <si>
    <t>VJ00000014930056</t>
  </si>
  <si>
    <t>DGT MULTA</t>
  </si>
  <si>
    <t>ES0000027330656-1024</t>
  </si>
  <si>
    <t>A86969607</t>
  </si>
  <si>
    <t>BIP¬DRIVE, E.D.E., S.A.</t>
  </si>
  <si>
    <t>2024000962</t>
  </si>
  <si>
    <t>b83583559</t>
  </si>
  <si>
    <t>F244174</t>
  </si>
  <si>
    <t>FRA. A2024/39</t>
  </si>
  <si>
    <t>07556306R</t>
  </si>
  <si>
    <t>24/1448</t>
  </si>
  <si>
    <t>20240747</t>
  </si>
  <si>
    <t>B78451119</t>
  </si>
  <si>
    <t>INTEX, S.L.</t>
  </si>
  <si>
    <t>20240748</t>
  </si>
  <si>
    <t>45</t>
  </si>
  <si>
    <t>X9739398W</t>
  </si>
  <si>
    <t>ADAMA SECK- EL COSTURERO DE MARBELLA</t>
  </si>
  <si>
    <t>004561/A/24/009434</t>
  </si>
  <si>
    <t>2024003766</t>
  </si>
  <si>
    <t>B86812872</t>
  </si>
  <si>
    <t>ASIA HOME MODA, S.L.</t>
  </si>
  <si>
    <t>A41461856</t>
  </si>
  <si>
    <t>HIDRALIA GESTION INTEGRAL DE AGUAS DE ANDALUCIA</t>
  </si>
  <si>
    <t>A29658416</t>
  </si>
  <si>
    <t>ACOSOL</t>
  </si>
  <si>
    <t>260974</t>
  </si>
  <si>
    <t>258090</t>
  </si>
  <si>
    <t>169</t>
  </si>
  <si>
    <t>IT04566190650</t>
  </si>
  <si>
    <t>LUISA POSITANO S.r.I.</t>
  </si>
  <si>
    <t>8823</t>
  </si>
  <si>
    <t>106802-24</t>
  </si>
  <si>
    <t>2400158</t>
  </si>
  <si>
    <t>B44551817</t>
  </si>
  <si>
    <t>SERVICIOS MERCANICOS ICB</t>
  </si>
  <si>
    <t>60368</t>
  </si>
  <si>
    <t>83124FE000029051</t>
  </si>
  <si>
    <t>2024021768</t>
  </si>
  <si>
    <t>B80837784</t>
  </si>
  <si>
    <t>LA CHINA BAZAR, S.L.</t>
  </si>
  <si>
    <t>22401857</t>
  </si>
  <si>
    <t>A82433954</t>
  </si>
  <si>
    <t>MARCIL MADRID, S.A.</t>
  </si>
  <si>
    <t>24/1478</t>
  </si>
  <si>
    <t>ta7DC0022433</t>
  </si>
  <si>
    <t>F244387</t>
  </si>
  <si>
    <t>2240617567</t>
  </si>
  <si>
    <t>BR012024000500377859</t>
  </si>
  <si>
    <t>28I4M0055755</t>
  </si>
  <si>
    <t>141</t>
  </si>
  <si>
    <t>X2306040Z</t>
  </si>
  <si>
    <t xml:space="preserve">CHEN WEIMI - HIPER EURO </t>
  </si>
  <si>
    <t>2024048335</t>
  </si>
  <si>
    <t>2024047978</t>
  </si>
  <si>
    <t>2024046939</t>
  </si>
  <si>
    <t>2024044607</t>
  </si>
  <si>
    <t>27343337V</t>
  </si>
  <si>
    <t>DANIEL LIMA TIRADO- FLORISTERIA LIMA</t>
  </si>
  <si>
    <t>BUSSINES SILVER - TARJETA TIENDA</t>
  </si>
  <si>
    <t>2761</t>
  </si>
  <si>
    <t>2412c00661388</t>
  </si>
  <si>
    <t>12/24</t>
  </si>
  <si>
    <t>36/24</t>
  </si>
  <si>
    <t>CONTAMAR 04/12</t>
  </si>
  <si>
    <t>28LAMOO55565</t>
  </si>
  <si>
    <t>TA7DR0108840</t>
  </si>
  <si>
    <t>429</t>
  </si>
  <si>
    <t>2894fo000087735</t>
  </si>
  <si>
    <t>A78999612</t>
  </si>
  <si>
    <t>TUV RHEILAND IBERICA, S.A.</t>
  </si>
  <si>
    <t>P24CON048626657</t>
  </si>
  <si>
    <t>F244587</t>
  </si>
  <si>
    <t>ES0000027563723-1124</t>
  </si>
  <si>
    <t>2024001037</t>
  </si>
  <si>
    <t>FH40600679</t>
  </si>
  <si>
    <t>CUOTA TARJETA</t>
  </si>
  <si>
    <t>HOTEL LA BOUGAUNVULLE</t>
  </si>
  <si>
    <t>IT05685471210</t>
  </si>
  <si>
    <t>27</t>
  </si>
  <si>
    <t>411/2024</t>
  </si>
  <si>
    <t>IT02091310652</t>
  </si>
  <si>
    <t>POSITANO CAR SERVICE</t>
  </si>
  <si>
    <t>24/2400614</t>
  </si>
  <si>
    <t>B09628306</t>
  </si>
  <si>
    <t>PARKING RED SUR 2022, S.L.</t>
  </si>
  <si>
    <t>INVDE7593808952024623</t>
  </si>
  <si>
    <t>DE323274783</t>
  </si>
  <si>
    <t>SHEENZHEN HAISHANGWEI TRADING CO, LTD</t>
  </si>
  <si>
    <t>INVES4004584620246164</t>
  </si>
  <si>
    <t>INVDE7593808952024674</t>
  </si>
  <si>
    <t>MADR002453625</t>
  </si>
  <si>
    <t>B20861282</t>
  </si>
  <si>
    <t>DHL EXPRESS SAÀIN SLU</t>
  </si>
  <si>
    <t>B11413184</t>
  </si>
  <si>
    <t>B87513776</t>
  </si>
  <si>
    <t>VELOCIDAD TOTAL S.L.</t>
  </si>
  <si>
    <t>69</t>
  </si>
  <si>
    <t>TA7DD0024390</t>
  </si>
  <si>
    <t>F244832</t>
  </si>
  <si>
    <t>77865</t>
  </si>
  <si>
    <t>004561/A/24/010593</t>
  </si>
  <si>
    <t>2776</t>
  </si>
  <si>
    <t>2024095278</t>
  </si>
  <si>
    <t>BAR BISTRO GUADALMINA, SL.</t>
  </si>
  <si>
    <t>B70875588</t>
  </si>
  <si>
    <t>1/24-000024</t>
  </si>
  <si>
    <t>33/2024</t>
  </si>
  <si>
    <t>B55280663</t>
  </si>
  <si>
    <t>CON FUEGO Y DUENDE, S.L.</t>
  </si>
  <si>
    <t>A-V2024-00005922214</t>
  </si>
  <si>
    <t>MERCADONA, S.A.</t>
  </si>
  <si>
    <t>83124FE000032476</t>
  </si>
  <si>
    <t>32/2024</t>
  </si>
  <si>
    <t>27341422B</t>
  </si>
  <si>
    <t>Mª ISABEL TEJADA FUNES</t>
  </si>
  <si>
    <t>INVES11415534120243837</t>
  </si>
  <si>
    <t>ESY4306459E</t>
  </si>
  <si>
    <t>SEBASTIAN SONNTAG</t>
  </si>
  <si>
    <t>F03-534</t>
  </si>
  <si>
    <t>A78474756</t>
  </si>
  <si>
    <t>UCRANIA, S.A.</t>
  </si>
  <si>
    <t>FALTA FRA</t>
  </si>
  <si>
    <t>EST MALAGA</t>
  </si>
  <si>
    <t>A2024/47</t>
  </si>
  <si>
    <t>A2024/43</t>
  </si>
  <si>
    <t>22407134</t>
  </si>
  <si>
    <t>ES0000027802377-1224</t>
  </si>
  <si>
    <t>P24C0N054033649</t>
  </si>
  <si>
    <t>F245028</t>
  </si>
  <si>
    <t>a/2024001121</t>
  </si>
  <si>
    <t>51062024AA00320472</t>
  </si>
  <si>
    <t>51062024A500317194</t>
  </si>
  <si>
    <t>481</t>
  </si>
  <si>
    <t>hay dos importes de tarjeta visa de 6300€ y 3300€</t>
  </si>
  <si>
    <t xml:space="preserve">de  cruseline, que es un crucero de Nerea con su madre </t>
  </si>
  <si>
    <t>y no acaban de mandar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</si>
</sst>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.000\ _€_-;\-* #,##0.000\ _€_-;_-* &quot;-&quot;???\ _€_-;_-@_-"/>
  </numFmts>
  <fonts count="2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Verdan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0000"/>
      <name val="Verdana"/>
      <family val="2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B0F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F6F9"/>
        <bgColor indexed="64"/>
      </patternFill>
    </fill>
    <fill>
      <patternFill patternType="solid">
        <fgColor rgb="FFD4ECBA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31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2" fontId="0" fillId="4" borderId="0" xfId="0" applyNumberFormat="1" applyFill="1"/>
    <xf numFmtId="14" fontId="0" fillId="3" borderId="0" xfId="0" applyNumberFormat="1" applyFill="1"/>
    <xf numFmtId="49" fontId="0" fillId="3" borderId="0" xfId="0" applyNumberFormat="1" applyFill="1"/>
    <xf numFmtId="0" fontId="0" fillId="3" borderId="0" xfId="0" applyFill="1" applyProtection="1">
      <protection locked="0"/>
    </xf>
    <xf numFmtId="0" fontId="8" fillId="5" borderId="0" xfId="0" applyFont="1" applyFill="1" applyProtection="1">
      <protection locked="0"/>
    </xf>
    <xf numFmtId="2" fontId="8" fillId="5" borderId="0" xfId="0" applyNumberFormat="1" applyFont="1" applyFill="1" applyProtection="1">
      <protection locked="0"/>
    </xf>
    <xf numFmtId="49" fontId="8" fillId="5" borderId="0" xfId="0" applyNumberFormat="1" applyFont="1" applyFill="1" applyProtection="1">
      <protection locked="0"/>
    </xf>
    <xf numFmtId="0" fontId="6" fillId="0" borderId="0" xfId="1" applyFont="1" applyAlignment="1" applyProtection="1">
      <alignment horizontal="left"/>
      <protection locked="0"/>
    </xf>
    <xf numFmtId="49" fontId="10" fillId="6" borderId="0" xfId="0" applyNumberFormat="1" applyFont="1" applyFill="1" applyProtection="1">
      <protection locked="0"/>
    </xf>
    <xf numFmtId="0" fontId="0" fillId="0" borderId="0" xfId="0" applyProtection="1">
      <protection locked="0"/>
    </xf>
    <xf numFmtId="2" fontId="6" fillId="0" borderId="0" xfId="1" applyNumberFormat="1" applyFont="1" applyAlignment="1" applyProtection="1">
      <alignment horizontal="left"/>
      <protection locked="0"/>
    </xf>
    <xf numFmtId="2" fontId="9" fillId="0" borderId="0" xfId="0" applyNumberFormat="1" applyFont="1" applyProtection="1">
      <protection locked="0"/>
    </xf>
    <xf numFmtId="0" fontId="0" fillId="4" borderId="0" xfId="0" applyFill="1"/>
    <xf numFmtId="0" fontId="7" fillId="5" borderId="0" xfId="0" applyFont="1" applyFill="1" applyProtection="1">
      <protection locked="0"/>
    </xf>
    <xf numFmtId="0" fontId="11" fillId="7" borderId="0" xfId="0" applyFont="1" applyFill="1" applyAlignment="1" applyProtection="1">
      <alignment horizontal="center"/>
      <protection locked="0"/>
    </xf>
    <xf numFmtId="0" fontId="0" fillId="3" borderId="0" xfId="0" applyFill="1"/>
    <xf numFmtId="0" fontId="12" fillId="0" borderId="0" xfId="1" applyFont="1" applyAlignment="1" applyProtection="1">
      <alignment horizontal="left"/>
      <protection locked="0"/>
    </xf>
    <xf numFmtId="49" fontId="0" fillId="3" borderId="0" xfId="0" applyNumberFormat="1" applyFill="1" applyAlignment="1" applyProtection="1">
      <alignment horizontal="right"/>
      <protection locked="0"/>
    </xf>
    <xf numFmtId="49" fontId="0" fillId="0" borderId="0" xfId="0" applyNumberFormat="1" applyAlignment="1">
      <alignment horizontal="right"/>
    </xf>
    <xf numFmtId="4" fontId="9" fillId="2" borderId="2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2" fontId="9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Protection="1">
      <protection locked="0"/>
    </xf>
    <xf numFmtId="2" fontId="0" fillId="0" borderId="0" xfId="0" applyNumberFormat="1"/>
    <xf numFmtId="49" fontId="0" fillId="3" borderId="0" xfId="0" applyNumberFormat="1" applyFill="1" applyAlignment="1">
      <alignment horizontal="right"/>
    </xf>
    <xf numFmtId="2" fontId="0" fillId="3" borderId="0" xfId="0" applyNumberFormat="1" applyFill="1"/>
    <xf numFmtId="164" fontId="0" fillId="3" borderId="0" xfId="0" applyNumberFormat="1" applyFill="1"/>
    <xf numFmtId="164" fontId="10" fillId="3" borderId="0" xfId="0" applyNumberFormat="1" applyFont="1" applyFill="1"/>
    <xf numFmtId="4" fontId="9" fillId="2" borderId="1" xfId="0" applyNumberFormat="1" applyFont="1" applyFill="1" applyBorder="1" applyAlignment="1">
      <alignment horizontal="center" vertical="center" wrapText="1"/>
    </xf>
    <xf numFmtId="4" fontId="13" fillId="3" borderId="0" xfId="0" applyNumberFormat="1" applyFont="1" applyFill="1"/>
    <xf numFmtId="0" fontId="10" fillId="3" borderId="0" xfId="0" applyFont="1" applyFill="1"/>
    <xf numFmtId="0" fontId="14" fillId="2" borderId="1" xfId="0" applyFont="1" applyFill="1" applyBorder="1" applyAlignment="1">
      <alignment horizontal="center" vertical="center" wrapText="1"/>
    </xf>
    <xf numFmtId="4" fontId="0" fillId="3" borderId="0" xfId="0" applyNumberFormat="1" applyFill="1"/>
    <xf numFmtId="14" fontId="10" fillId="9" borderId="0" xfId="0" applyNumberFormat="1" applyFont="1" applyFill="1"/>
    <xf numFmtId="164" fontId="10" fillId="9" borderId="0" xfId="0" applyNumberFormat="1" applyFont="1" applyFill="1"/>
    <xf numFmtId="49" fontId="10" fillId="9" borderId="0" xfId="0" applyNumberFormat="1" applyFont="1" applyFill="1"/>
    <xf numFmtId="2" fontId="0" fillId="3" borderId="0" xfId="0" applyNumberFormat="1" applyFill="1" applyProtection="1">
      <protection locked="0"/>
    </xf>
    <xf numFmtId="0" fontId="14" fillId="9" borderId="1" xfId="0" applyFont="1" applyFill="1" applyBorder="1" applyAlignment="1">
      <alignment horizontal="center" vertical="center" wrapText="1"/>
    </xf>
    <xf numFmtId="49" fontId="14" fillId="9" borderId="1" xfId="0" applyNumberFormat="1" applyFont="1" applyFill="1" applyBorder="1" applyAlignment="1">
      <alignment horizontal="center" vertical="center" wrapText="1"/>
    </xf>
    <xf numFmtId="2" fontId="10" fillId="9" borderId="0" xfId="0" applyNumberFormat="1" applyFont="1" applyFill="1"/>
    <xf numFmtId="0" fontId="14" fillId="9" borderId="0" xfId="0" applyFont="1" applyFill="1" applyAlignment="1">
      <alignment horizontal="center" vertical="center" wrapText="1"/>
    </xf>
    <xf numFmtId="4" fontId="10" fillId="9" borderId="0" xfId="0" applyNumberFormat="1" applyFont="1" applyFill="1"/>
    <xf numFmtId="1" fontId="10" fillId="9" borderId="0" xfId="0" applyNumberFormat="1" applyFont="1" applyFill="1" applyProtection="1">
      <protection locked="0"/>
    </xf>
    <xf numFmtId="4" fontId="10" fillId="9" borderId="0" xfId="0" applyNumberFormat="1" applyFont="1" applyFill="1" applyProtection="1">
      <protection locked="0"/>
    </xf>
    <xf numFmtId="1" fontId="10" fillId="9" borderId="0" xfId="0" applyNumberFormat="1" applyFont="1" applyFill="1"/>
    <xf numFmtId="0" fontId="10" fillId="9" borderId="0" xfId="0" applyFont="1" applyFill="1"/>
    <xf numFmtId="49" fontId="10" fillId="9" borderId="0" xfId="0" applyNumberFormat="1" applyFont="1" applyFill="1" applyAlignment="1">
      <alignment horizontal="center"/>
    </xf>
    <xf numFmtId="0" fontId="10" fillId="9" borderId="0" xfId="0" applyFont="1" applyFill="1" applyProtection="1">
      <protection locked="0"/>
    </xf>
    <xf numFmtId="49" fontId="0" fillId="9" borderId="0" xfId="0" applyNumberFormat="1" applyFill="1"/>
    <xf numFmtId="4" fontId="0" fillId="9" borderId="0" xfId="0" applyNumberFormat="1" applyFill="1"/>
    <xf numFmtId="1" fontId="0" fillId="9" borderId="0" xfId="0" applyNumberFormat="1" applyFill="1" applyProtection="1">
      <protection locked="0"/>
    </xf>
    <xf numFmtId="4" fontId="0" fillId="9" borderId="0" xfId="0" applyNumberFormat="1" applyFill="1" applyProtection="1">
      <protection locked="0"/>
    </xf>
    <xf numFmtId="1" fontId="0" fillId="9" borderId="0" xfId="0" applyNumberFormat="1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 applyAlignment="1">
      <alignment horizontal="center"/>
    </xf>
    <xf numFmtId="49" fontId="15" fillId="9" borderId="1" xfId="0" applyNumberFormat="1" applyFont="1" applyFill="1" applyBorder="1" applyAlignment="1">
      <alignment horizontal="center" vertical="center" wrapText="1"/>
    </xf>
    <xf numFmtId="2" fontId="0" fillId="9" borderId="0" xfId="0" applyNumberFormat="1" applyFill="1"/>
    <xf numFmtId="164" fontId="16" fillId="6" borderId="0" xfId="0" applyNumberFormat="1" applyFont="1" applyFill="1"/>
    <xf numFmtId="0" fontId="13" fillId="9" borderId="0" xfId="0" applyFont="1" applyFill="1"/>
    <xf numFmtId="0" fontId="14" fillId="6" borderId="2" xfId="0" applyFont="1" applyFill="1" applyBorder="1" applyAlignment="1">
      <alignment horizontal="center" vertical="center" wrapText="1"/>
    </xf>
    <xf numFmtId="164" fontId="10" fillId="6" borderId="0" xfId="0" applyNumberFormat="1" applyFont="1" applyFill="1"/>
    <xf numFmtId="0" fontId="10" fillId="6" borderId="0" xfId="0" applyFont="1" applyFill="1"/>
    <xf numFmtId="0" fontId="14" fillId="10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64" fontId="13" fillId="6" borderId="0" xfId="0" applyNumberFormat="1" applyFont="1" applyFill="1"/>
    <xf numFmtId="4" fontId="0" fillId="8" borderId="0" xfId="0" applyNumberFormat="1" applyFill="1"/>
    <xf numFmtId="4" fontId="13" fillId="8" borderId="0" xfId="0" applyNumberFormat="1" applyFont="1" applyFill="1"/>
    <xf numFmtId="0" fontId="13" fillId="0" borderId="0" xfId="0" applyFont="1"/>
    <xf numFmtId="14" fontId="16" fillId="11" borderId="0" xfId="0" applyNumberFormat="1" applyFont="1" applyFill="1"/>
    <xf numFmtId="49" fontId="13" fillId="11" borderId="0" xfId="0" applyNumberFormat="1" applyFont="1" applyFill="1"/>
    <xf numFmtId="49" fontId="16" fillId="11" borderId="0" xfId="0" applyNumberFormat="1" applyFont="1" applyFill="1"/>
    <xf numFmtId="2" fontId="16" fillId="11" borderId="0" xfId="0" applyNumberFormat="1" applyFont="1" applyFill="1"/>
    <xf numFmtId="4" fontId="16" fillId="11" borderId="0" xfId="0" applyNumberFormat="1" applyFont="1" applyFill="1"/>
    <xf numFmtId="1" fontId="16" fillId="11" borderId="0" xfId="0" applyNumberFormat="1" applyFont="1" applyFill="1" applyProtection="1">
      <protection locked="0"/>
    </xf>
    <xf numFmtId="4" fontId="16" fillId="11" borderId="0" xfId="0" applyNumberFormat="1" applyFont="1" applyFill="1" applyProtection="1">
      <protection locked="0"/>
    </xf>
    <xf numFmtId="1" fontId="16" fillId="11" borderId="0" xfId="0" applyNumberFormat="1" applyFont="1" applyFill="1"/>
    <xf numFmtId="0" fontId="16" fillId="11" borderId="0" xfId="0" applyFont="1" applyFill="1"/>
    <xf numFmtId="164" fontId="16" fillId="11" borderId="0" xfId="0" applyNumberFormat="1" applyFont="1" applyFill="1"/>
    <xf numFmtId="0" fontId="16" fillId="6" borderId="0" xfId="0" applyFont="1" applyFill="1"/>
    <xf numFmtId="49" fontId="10" fillId="6" borderId="0" xfId="0" applyNumberFormat="1" applyFont="1" applyFill="1" applyAlignment="1">
      <alignment horizontal="center"/>
    </xf>
    <xf numFmtId="0" fontId="13" fillId="6" borderId="0" xfId="0" applyFont="1" applyFill="1"/>
    <xf numFmtId="4" fontId="0" fillId="6" borderId="0" xfId="0" applyNumberFormat="1" applyFill="1"/>
    <xf numFmtId="49" fontId="16" fillId="6" borderId="0" xfId="0" applyNumberFormat="1" applyFont="1" applyFill="1" applyAlignment="1">
      <alignment horizontal="center"/>
    </xf>
    <xf numFmtId="164" fontId="16" fillId="12" borderId="0" xfId="0" applyNumberFormat="1" applyFont="1" applyFill="1"/>
    <xf numFmtId="4" fontId="13" fillId="11" borderId="0" xfId="0" applyNumberFormat="1" applyFont="1" applyFill="1"/>
    <xf numFmtId="4" fontId="16" fillId="9" borderId="0" xfId="0" applyNumberFormat="1" applyFont="1" applyFill="1"/>
    <xf numFmtId="14" fontId="20" fillId="9" borderId="0" xfId="0" applyNumberFormat="1" applyFont="1" applyFill="1"/>
    <xf numFmtId="49" fontId="20" fillId="9" borderId="0" xfId="0" applyNumberFormat="1" applyFont="1" applyFill="1"/>
    <xf numFmtId="2" fontId="20" fillId="9" borderId="0" xfId="0" applyNumberFormat="1" applyFont="1" applyFill="1"/>
    <xf numFmtId="4" fontId="20" fillId="9" borderId="0" xfId="0" applyNumberFormat="1" applyFont="1" applyFill="1"/>
    <xf numFmtId="1" fontId="20" fillId="9" borderId="0" xfId="0" applyNumberFormat="1" applyFont="1" applyFill="1" applyProtection="1">
      <protection locked="0"/>
    </xf>
    <xf numFmtId="4" fontId="20" fillId="9" borderId="0" xfId="0" applyNumberFormat="1" applyFont="1" applyFill="1" applyProtection="1">
      <protection locked="0"/>
    </xf>
    <xf numFmtId="1" fontId="20" fillId="9" borderId="0" xfId="0" applyNumberFormat="1" applyFont="1" applyFill="1"/>
    <xf numFmtId="0" fontId="20" fillId="9" borderId="0" xfId="0" applyFont="1" applyFill="1"/>
    <xf numFmtId="164" fontId="20" fillId="9" borderId="0" xfId="0" applyNumberFormat="1" applyFont="1" applyFill="1"/>
    <xf numFmtId="164" fontId="20" fillId="6" borderId="0" xfId="0" applyNumberFormat="1" applyFont="1" applyFill="1"/>
    <xf numFmtId="14" fontId="20" fillId="6" borderId="0" xfId="0" applyNumberFormat="1" applyFont="1" applyFill="1"/>
    <xf numFmtId="49" fontId="20" fillId="6" borderId="0" xfId="0" applyNumberFormat="1" applyFont="1" applyFill="1" applyAlignment="1">
      <alignment horizontal="center"/>
    </xf>
    <xf numFmtId="14" fontId="0" fillId="13" borderId="0" xfId="0" applyNumberFormat="1" applyFill="1"/>
    <xf numFmtId="49" fontId="0" fillId="13" borderId="0" xfId="0" applyNumberFormat="1" applyFill="1" applyAlignment="1" applyProtection="1">
      <alignment horizontal="right"/>
      <protection locked="0"/>
    </xf>
    <xf numFmtId="49" fontId="0" fillId="13" borderId="0" xfId="0" applyNumberFormat="1" applyFill="1" applyAlignment="1">
      <alignment horizontal="right"/>
    </xf>
    <xf numFmtId="4" fontId="13" fillId="13" borderId="0" xfId="0" applyNumberFormat="1" applyFont="1" applyFill="1"/>
    <xf numFmtId="49" fontId="0" fillId="13" borderId="0" xfId="0" applyNumberFormat="1" applyFill="1"/>
    <xf numFmtId="2" fontId="0" fillId="13" borderId="0" xfId="0" applyNumberFormat="1" applyFill="1"/>
    <xf numFmtId="2" fontId="0" fillId="13" borderId="0" xfId="0" applyNumberFormat="1" applyFill="1" applyProtection="1">
      <protection locked="0"/>
    </xf>
    <xf numFmtId="0" fontId="0" fillId="13" borderId="0" xfId="0" applyFill="1" applyProtection="1">
      <protection locked="0"/>
    </xf>
    <xf numFmtId="164" fontId="0" fillId="13" borderId="0" xfId="0" applyNumberFormat="1" applyFill="1"/>
    <xf numFmtId="164" fontId="10" fillId="13" borderId="0" xfId="0" applyNumberFormat="1" applyFont="1" applyFill="1"/>
    <xf numFmtId="0" fontId="0" fillId="13" borderId="0" xfId="0" applyFill="1"/>
    <xf numFmtId="14" fontId="10" fillId="13" borderId="0" xfId="0" applyNumberFormat="1" applyFont="1" applyFill="1"/>
    <xf numFmtId="2" fontId="10" fillId="13" borderId="0" xfId="0" applyNumberFormat="1" applyFont="1" applyFill="1"/>
    <xf numFmtId="4" fontId="0" fillId="13" borderId="0" xfId="0" applyNumberFormat="1" applyFill="1"/>
    <xf numFmtId="1" fontId="0" fillId="13" borderId="0" xfId="0" applyNumberFormat="1" applyFill="1" applyProtection="1">
      <protection locked="0"/>
    </xf>
    <xf numFmtId="4" fontId="0" fillId="13" borderId="0" xfId="0" applyNumberFormat="1" applyFill="1" applyProtection="1">
      <protection locked="0"/>
    </xf>
    <xf numFmtId="1" fontId="0" fillId="13" borderId="0" xfId="0" applyNumberFormat="1" applyFill="1"/>
    <xf numFmtId="0" fontId="10" fillId="13" borderId="0" xfId="0" applyFont="1" applyFill="1"/>
    <xf numFmtId="165" fontId="16" fillId="12" borderId="0" xfId="0" applyNumberFormat="1" applyFont="1" applyFill="1"/>
    <xf numFmtId="14" fontId="10" fillId="11" borderId="0" xfId="0" applyNumberFormat="1" applyFont="1" applyFill="1"/>
    <xf numFmtId="49" fontId="10" fillId="11" borderId="0" xfId="0" applyNumberFormat="1" applyFont="1" applyFill="1"/>
    <xf numFmtId="2" fontId="10" fillId="11" borderId="0" xfId="0" applyNumberFormat="1" applyFont="1" applyFill="1"/>
    <xf numFmtId="4" fontId="10" fillId="11" borderId="0" xfId="0" applyNumberFormat="1" applyFont="1" applyFill="1"/>
    <xf numFmtId="1" fontId="10" fillId="11" borderId="0" xfId="0" applyNumberFormat="1" applyFont="1" applyFill="1" applyProtection="1">
      <protection locked="0"/>
    </xf>
    <xf numFmtId="4" fontId="10" fillId="11" borderId="0" xfId="0" applyNumberFormat="1" applyFont="1" applyFill="1" applyProtection="1">
      <protection locked="0"/>
    </xf>
    <xf numFmtId="49" fontId="13" fillId="9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EBF6F9"/>
      <color rgb="FFD8F3F6"/>
      <color rgb="FFD4EC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155393</xdr:colOff>
      <xdr:row>13</xdr:row>
      <xdr:rowOff>81643</xdr:rowOff>
    </xdr:from>
    <xdr:to>
      <xdr:col>11</xdr:col>
      <xdr:colOff>527393</xdr:colOff>
      <xdr:row>29</xdr:row>
      <xdr:rowOff>79996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17428" y="2558143"/>
          <a:ext cx="4953000" cy="30616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z="2500" b="1">
              <a:solidFill>
                <a:srgbClr val="FF0000"/>
              </a:solidFill>
            </a:rPr>
            <a:t>NO ELIMINAR JAMÁS NINGUNA COLUMNA (A</a:t>
          </a:r>
          <a:r>
            <a:rPr lang="es-ES" sz="2500" b="1" baseline="0">
              <a:solidFill>
                <a:srgbClr val="FF0000"/>
              </a:solidFill>
            </a:rPr>
            <a:t> B C)!!!!!!</a:t>
          </a:r>
        </a:p>
        <a:p>
          <a:r>
            <a:rPr lang="es-ES" sz="2500" b="1" baseline="0">
              <a:solidFill>
                <a:srgbClr val="FF0000"/>
              </a:solidFill>
            </a:rPr>
            <a:t>NO MANIPULAR NINGÚN DATO A MANO. </a:t>
          </a:r>
        </a:p>
        <a:p>
          <a:r>
            <a:rPr lang="es-ES" sz="2500" b="1" baseline="0">
              <a:solidFill>
                <a:srgbClr val="FF0000"/>
              </a:solidFill>
            </a:rPr>
            <a:t>SOLO PEGAR LA TABLA DE 3 COLUMNAS DESDE SUASOR</a:t>
          </a:r>
          <a:endParaRPr lang="es-ES" sz="25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37283</xdr:colOff>
      <xdr:row>10</xdr:row>
      <xdr:rowOff>168456</xdr:rowOff>
    </xdr:from>
    <xdr:to>
      <xdr:col>5</xdr:col>
      <xdr:colOff>68098</xdr:colOff>
      <xdr:row>14</xdr:row>
      <xdr:rowOff>82130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 flipV="1">
          <a:off x="7264853" y="2041071"/>
          <a:ext cx="1470932" cy="7075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655320</xdr:colOff>
      <xdr:row>19</xdr:row>
      <xdr:rowOff>151584</xdr:rowOff>
    </xdr:from>
    <xdr:ext cx="6099207" cy="266700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877425" y="3769179"/>
          <a:ext cx="5946321" cy="2667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s-ES" sz="2500" b="1">
              <a:solidFill>
                <a:srgbClr val="FF0000"/>
              </a:solidFill>
              <a:latin typeface="+mn-lt"/>
              <a:ea typeface="+mn-ea"/>
              <a:cs typeface="+mn-cs"/>
            </a:rPr>
            <a:t>NO ELIMINAR JAMÁS NINGUNA COLUMNA (A</a:t>
          </a:r>
          <a:r>
            <a:rPr lang="es-ES" sz="25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B C)!!!!!!</a:t>
          </a:r>
          <a:endParaRPr lang="es-ES" sz="2500">
            <a:solidFill>
              <a:srgbClr val="FF0000"/>
            </a:solidFill>
          </a:endParaRPr>
        </a:p>
        <a:p>
          <a:r>
            <a:rPr lang="es-ES" sz="25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NO MANIPULAR NINGÚN DATO A MANO. </a:t>
          </a:r>
          <a:endParaRPr lang="es-ES" sz="2500">
            <a:solidFill>
              <a:srgbClr val="FF0000"/>
            </a:solidFill>
          </a:endParaRPr>
        </a:p>
        <a:p>
          <a:r>
            <a:rPr lang="es-ES" sz="25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SOLO PEGAR LA TABLA DE 3 COLUMNAS DESDE SUASOR</a:t>
          </a:r>
          <a:endParaRPr lang="es-ES" sz="2500" b="1">
            <a:solidFill>
              <a:srgbClr val="FF0000"/>
            </a:solidFill>
            <a:latin typeface="+mn-lt"/>
            <a:ea typeface="+mn-ea"/>
            <a:cs typeface="+mn-cs"/>
          </a:endParaRPr>
        </a:p>
        <a:p>
          <a:endParaRPr lang="es-ES" sz="1100"/>
        </a:p>
      </xdr:txBody>
    </xdr:sp>
    <xdr:clientData/>
  </xdr:oneCellAnchor>
  <xdr:twoCellAnchor>
    <xdr:from>
      <xdr:col>3</xdr:col>
      <xdr:colOff>40821</xdr:colOff>
      <xdr:row>17</xdr:row>
      <xdr:rowOff>169273</xdr:rowOff>
    </xdr:from>
    <xdr:to>
      <xdr:col>3</xdr:col>
      <xdr:colOff>694021</xdr:colOff>
      <xdr:row>21</xdr:row>
      <xdr:rowOff>27263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9251496" y="3415393"/>
          <a:ext cx="666750" cy="6123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Q819"/>
  <sheetViews>
    <sheetView zoomScale="70" zoomScaleNormal="70" workbookViewId="0">
      <selection activeCell="B10" sqref="B10"/>
    </sheetView>
  </sheetViews>
  <sheetFormatPr baseColWidth="10" defaultColWidth="11.42578125" defaultRowHeight="15" x14ac:dyDescent="0.25"/>
  <cols>
    <col min="1" max="1" width="12.42578125" style="15" bestFit="1" customWidth="1"/>
    <col min="2" max="2" width="78.28515625" style="15" customWidth="1"/>
    <col min="3" max="3" width="17.42578125" style="17" customWidth="1"/>
    <col min="4" max="4" width="7.28515625" style="5" bestFit="1" customWidth="1"/>
    <col min="5" max="5" width="14.5703125" style="5" bestFit="1" customWidth="1"/>
    <col min="6" max="17" width="11.42578125" style="18"/>
  </cols>
  <sheetData>
    <row r="1" spans="1:5" customFormat="1" x14ac:dyDescent="0.25">
      <c r="A1" s="10" t="s">
        <v>31</v>
      </c>
      <c r="B1" s="10" t="s">
        <v>32</v>
      </c>
      <c r="C1" s="11" t="s">
        <v>33</v>
      </c>
      <c r="D1" s="10" t="s">
        <v>34</v>
      </c>
      <c r="E1" s="12" t="s">
        <v>35</v>
      </c>
    </row>
    <row r="2" spans="1:5" customFormat="1" x14ac:dyDescent="0.25">
      <c r="A2" s="13"/>
      <c r="B2" s="13"/>
      <c r="C2" s="13"/>
      <c r="D2" s="5"/>
      <c r="E2" s="5"/>
    </row>
    <row r="3" spans="1:5" customFormat="1" x14ac:dyDescent="0.25">
      <c r="A3" s="13"/>
      <c r="B3" s="13"/>
      <c r="C3" s="13"/>
      <c r="D3" s="5"/>
      <c r="E3" s="5"/>
    </row>
    <row r="4" spans="1:5" customFormat="1" x14ac:dyDescent="0.25">
      <c r="A4" s="13"/>
      <c r="B4" s="13"/>
      <c r="C4" s="13"/>
      <c r="D4" s="5"/>
      <c r="E4" s="5"/>
    </row>
    <row r="5" spans="1:5" customFormat="1" x14ac:dyDescent="0.25">
      <c r="A5" s="13"/>
      <c r="B5" s="13"/>
      <c r="C5" s="13"/>
      <c r="D5" s="5"/>
      <c r="E5" s="5"/>
    </row>
    <row r="6" spans="1:5" customFormat="1" x14ac:dyDescent="0.25">
      <c r="A6" s="13"/>
      <c r="B6" s="13"/>
      <c r="C6" s="13"/>
      <c r="D6" s="5"/>
      <c r="E6" s="5"/>
    </row>
    <row r="7" spans="1:5" customFormat="1" x14ac:dyDescent="0.25">
      <c r="A7" s="13"/>
      <c r="B7" s="13"/>
      <c r="C7" s="13"/>
      <c r="D7" s="5"/>
      <c r="E7" s="5"/>
    </row>
    <row r="8" spans="1:5" customFormat="1" x14ac:dyDescent="0.25">
      <c r="A8" s="13"/>
      <c r="B8" s="13"/>
      <c r="C8" s="13"/>
      <c r="D8" s="5"/>
      <c r="E8" s="5"/>
    </row>
    <row r="9" spans="1:5" customFormat="1" x14ac:dyDescent="0.25">
      <c r="A9" s="13"/>
      <c r="B9" s="13"/>
      <c r="C9" s="13"/>
      <c r="D9" s="5"/>
      <c r="E9" s="5"/>
    </row>
    <row r="10" spans="1:5" customFormat="1" x14ac:dyDescent="0.25">
      <c r="A10" s="13"/>
      <c r="B10" s="22" t="s">
        <v>320</v>
      </c>
      <c r="C10" s="13"/>
      <c r="D10" s="5"/>
      <c r="E10" s="5"/>
    </row>
    <row r="11" spans="1:5" customFormat="1" x14ac:dyDescent="0.25">
      <c r="A11" s="13"/>
      <c r="B11" s="13"/>
      <c r="C11" s="13"/>
      <c r="D11" s="5"/>
      <c r="E11" s="5"/>
    </row>
    <row r="12" spans="1:5" customFormat="1" x14ac:dyDescent="0.25">
      <c r="A12" s="13"/>
      <c r="B12" s="13"/>
      <c r="C12" s="13"/>
      <c r="D12" s="5"/>
      <c r="E12" s="5"/>
    </row>
    <row r="13" spans="1:5" customFormat="1" x14ac:dyDescent="0.25">
      <c r="A13" s="13"/>
      <c r="B13" s="13"/>
      <c r="C13" s="13"/>
      <c r="D13" s="5"/>
      <c r="E13" s="5"/>
    </row>
    <row r="14" spans="1:5" customFormat="1" x14ac:dyDescent="0.25">
      <c r="A14" s="13"/>
      <c r="B14" s="13"/>
      <c r="C14" s="13"/>
      <c r="D14" s="5"/>
      <c r="E14" s="5"/>
    </row>
    <row r="15" spans="1:5" customFormat="1" x14ac:dyDescent="0.25">
      <c r="A15" s="13"/>
      <c r="B15" s="13"/>
      <c r="C15" s="13"/>
      <c r="D15" s="5"/>
      <c r="E15" s="5"/>
    </row>
    <row r="16" spans="1:5" customFormat="1" x14ac:dyDescent="0.25">
      <c r="A16" s="13"/>
      <c r="B16" s="13"/>
      <c r="C16" s="13"/>
      <c r="D16" s="5"/>
      <c r="E16" s="5"/>
    </row>
    <row r="17" spans="1:5" customFormat="1" x14ac:dyDescent="0.25">
      <c r="A17" s="13"/>
      <c r="B17" s="13"/>
      <c r="C17" s="13"/>
      <c r="D17" s="5"/>
      <c r="E17" s="5"/>
    </row>
    <row r="18" spans="1:5" customFormat="1" x14ac:dyDescent="0.25">
      <c r="A18" s="13"/>
      <c r="B18" s="13"/>
      <c r="C18" s="13"/>
      <c r="D18" s="5"/>
      <c r="E18" s="5"/>
    </row>
    <row r="19" spans="1:5" customFormat="1" x14ac:dyDescent="0.25">
      <c r="A19" s="13"/>
      <c r="B19" s="13"/>
      <c r="C19" s="13"/>
      <c r="D19" s="5"/>
      <c r="E19" s="5"/>
    </row>
    <row r="20" spans="1:5" customFormat="1" x14ac:dyDescent="0.25">
      <c r="A20" s="13"/>
      <c r="B20" s="13"/>
      <c r="C20" s="13"/>
      <c r="D20" s="5"/>
      <c r="E20" s="5"/>
    </row>
    <row r="21" spans="1:5" customFormat="1" x14ac:dyDescent="0.25">
      <c r="A21" s="13"/>
      <c r="B21" s="13"/>
      <c r="C21" s="13"/>
      <c r="D21" s="5"/>
      <c r="E21" s="5"/>
    </row>
    <row r="22" spans="1:5" customFormat="1" x14ac:dyDescent="0.25">
      <c r="A22" s="13"/>
      <c r="B22" s="13"/>
      <c r="C22" s="13"/>
      <c r="D22" s="5"/>
      <c r="E22" s="5"/>
    </row>
    <row r="23" spans="1:5" customFormat="1" x14ac:dyDescent="0.25">
      <c r="A23" s="13"/>
      <c r="B23" s="13"/>
      <c r="C23" s="13"/>
      <c r="D23" s="5"/>
      <c r="E23" s="5"/>
    </row>
    <row r="24" spans="1:5" customFormat="1" x14ac:dyDescent="0.25">
      <c r="A24" s="13"/>
      <c r="B24" s="13"/>
      <c r="C24" s="13"/>
      <c r="D24" s="5"/>
      <c r="E24" s="5"/>
    </row>
    <row r="25" spans="1:5" customFormat="1" x14ac:dyDescent="0.25">
      <c r="A25" s="13"/>
      <c r="B25" s="13"/>
      <c r="C25" s="13"/>
      <c r="D25" s="5"/>
      <c r="E25" s="5"/>
    </row>
    <row r="26" spans="1:5" customFormat="1" x14ac:dyDescent="0.25">
      <c r="A26" s="13"/>
      <c r="B26" s="13"/>
      <c r="C26" s="13"/>
      <c r="D26" s="5"/>
      <c r="E26" s="5"/>
    </row>
    <row r="27" spans="1:5" customFormat="1" x14ac:dyDescent="0.25">
      <c r="A27" s="13"/>
      <c r="B27" s="13"/>
      <c r="C27" s="13"/>
      <c r="D27" s="5"/>
      <c r="E27" s="5"/>
    </row>
    <row r="28" spans="1:5" customFormat="1" x14ac:dyDescent="0.25">
      <c r="A28" s="13"/>
      <c r="B28" s="13"/>
      <c r="C28" s="13"/>
      <c r="D28" s="5"/>
      <c r="E28" s="5"/>
    </row>
    <row r="29" spans="1:5" customFormat="1" x14ac:dyDescent="0.25">
      <c r="A29" s="13"/>
      <c r="B29" s="13"/>
      <c r="C29" s="13"/>
      <c r="D29" s="5"/>
      <c r="E29" s="5"/>
    </row>
    <row r="30" spans="1:5" customFormat="1" x14ac:dyDescent="0.25">
      <c r="A30" s="13"/>
      <c r="B30" s="13"/>
      <c r="C30" s="13"/>
      <c r="D30" s="5"/>
      <c r="E30" s="5"/>
    </row>
    <row r="31" spans="1:5" customFormat="1" x14ac:dyDescent="0.25">
      <c r="A31" s="13"/>
      <c r="B31" s="13"/>
      <c r="C31" s="13"/>
      <c r="D31" s="5"/>
      <c r="E31" s="5"/>
    </row>
    <row r="32" spans="1:5" customFormat="1" x14ac:dyDescent="0.25">
      <c r="A32" s="13"/>
      <c r="B32" s="13"/>
      <c r="C32" s="13"/>
      <c r="D32" s="5"/>
      <c r="E32" s="5"/>
    </row>
    <row r="33" spans="1:5" customFormat="1" x14ac:dyDescent="0.25">
      <c r="A33" s="13"/>
      <c r="B33" s="13"/>
      <c r="C33" s="13"/>
      <c r="D33" s="5"/>
      <c r="E33" s="5"/>
    </row>
    <row r="34" spans="1:5" customFormat="1" x14ac:dyDescent="0.25">
      <c r="A34" s="13"/>
      <c r="B34" s="13"/>
      <c r="C34" s="13"/>
      <c r="D34" s="5"/>
      <c r="E34" s="5"/>
    </row>
    <row r="35" spans="1:5" customFormat="1" x14ac:dyDescent="0.25">
      <c r="A35" s="14"/>
      <c r="B35" s="14"/>
      <c r="C35" s="13"/>
      <c r="D35" s="5"/>
      <c r="E35" s="5"/>
    </row>
    <row r="36" spans="1:5" customFormat="1" x14ac:dyDescent="0.25">
      <c r="A36" s="14"/>
      <c r="B36" s="14"/>
      <c r="C36" s="13"/>
      <c r="D36" s="5"/>
      <c r="E36" s="5"/>
    </row>
    <row r="37" spans="1:5" customFormat="1" x14ac:dyDescent="0.25">
      <c r="A37" s="14"/>
      <c r="B37" s="14"/>
      <c r="C37" s="13"/>
      <c r="D37" s="5"/>
      <c r="E37" s="5"/>
    </row>
    <row r="38" spans="1:5" customFormat="1" x14ac:dyDescent="0.25">
      <c r="A38" s="14"/>
      <c r="B38" s="14"/>
      <c r="C38" s="13"/>
      <c r="D38" s="5"/>
      <c r="E38" s="5"/>
    </row>
    <row r="39" spans="1:5" customFormat="1" x14ac:dyDescent="0.25">
      <c r="A39" s="14"/>
      <c r="B39" s="14"/>
      <c r="C39" s="13"/>
      <c r="D39" s="5"/>
      <c r="E39" s="5"/>
    </row>
    <row r="40" spans="1:5" customFormat="1" x14ac:dyDescent="0.25">
      <c r="A40" s="15"/>
      <c r="B40" s="15"/>
      <c r="C40" s="13"/>
      <c r="D40" s="5"/>
      <c r="E40" s="5"/>
    </row>
    <row r="41" spans="1:5" customFormat="1" x14ac:dyDescent="0.25">
      <c r="A41" s="15"/>
      <c r="B41" s="15"/>
      <c r="C41" s="13"/>
      <c r="D41" s="5"/>
      <c r="E41" s="5"/>
    </row>
    <row r="42" spans="1:5" customFormat="1" x14ac:dyDescent="0.25">
      <c r="A42" s="15"/>
      <c r="B42" s="15"/>
      <c r="C42" s="13"/>
      <c r="D42" s="5"/>
      <c r="E42" s="5"/>
    </row>
    <row r="43" spans="1:5" customFormat="1" x14ac:dyDescent="0.25">
      <c r="A43" s="15"/>
      <c r="B43" s="15"/>
      <c r="C43" s="13"/>
      <c r="D43" s="5"/>
      <c r="E43" s="5"/>
    </row>
    <row r="44" spans="1:5" customFormat="1" x14ac:dyDescent="0.25">
      <c r="A44" s="15"/>
      <c r="B44" s="15"/>
      <c r="C44" s="13"/>
      <c r="D44" s="5"/>
      <c r="E44" s="5"/>
    </row>
    <row r="45" spans="1:5" customFormat="1" x14ac:dyDescent="0.25">
      <c r="A45" s="15"/>
      <c r="B45" s="15"/>
      <c r="C45" s="13"/>
      <c r="D45" s="5"/>
      <c r="E45" s="5"/>
    </row>
    <row r="46" spans="1:5" customFormat="1" x14ac:dyDescent="0.25">
      <c r="A46" s="15"/>
      <c r="B46" s="15"/>
      <c r="C46" s="13"/>
      <c r="D46" s="5"/>
      <c r="E46" s="5"/>
    </row>
    <row r="47" spans="1:5" customFormat="1" x14ac:dyDescent="0.25">
      <c r="A47" s="15"/>
      <c r="B47" s="15"/>
      <c r="C47" s="13"/>
      <c r="D47" s="5"/>
      <c r="E47" s="5"/>
    </row>
    <row r="48" spans="1:5" customFormat="1" x14ac:dyDescent="0.25">
      <c r="A48" s="15"/>
      <c r="B48" s="15"/>
      <c r="C48" s="13"/>
      <c r="D48" s="5"/>
      <c r="E48" s="5"/>
    </row>
    <row r="49" spans="3:5" customFormat="1" x14ac:dyDescent="0.25">
      <c r="C49" s="13"/>
      <c r="D49" s="5"/>
      <c r="E49" s="5"/>
    </row>
    <row r="50" spans="3:5" customFormat="1" x14ac:dyDescent="0.25">
      <c r="C50" s="13"/>
      <c r="D50" s="5"/>
      <c r="E50" s="5"/>
    </row>
    <row r="51" spans="3:5" customFormat="1" x14ac:dyDescent="0.25">
      <c r="C51" s="13"/>
      <c r="D51" s="5"/>
      <c r="E51" s="5"/>
    </row>
    <row r="52" spans="3:5" customFormat="1" x14ac:dyDescent="0.25">
      <c r="C52" s="13"/>
      <c r="D52" s="5"/>
      <c r="E52" s="5"/>
    </row>
    <row r="53" spans="3:5" customFormat="1" x14ac:dyDescent="0.25">
      <c r="C53" s="13"/>
      <c r="D53" s="5"/>
      <c r="E53" s="5"/>
    </row>
    <row r="54" spans="3:5" customFormat="1" x14ac:dyDescent="0.25">
      <c r="C54" s="13"/>
      <c r="D54" s="5"/>
      <c r="E54" s="5"/>
    </row>
    <row r="55" spans="3:5" customFormat="1" x14ac:dyDescent="0.25">
      <c r="C55" s="13"/>
      <c r="D55" s="5"/>
      <c r="E55" s="5"/>
    </row>
    <row r="56" spans="3:5" customFormat="1" x14ac:dyDescent="0.25">
      <c r="C56" s="13"/>
      <c r="D56" s="5"/>
      <c r="E56" s="5"/>
    </row>
    <row r="57" spans="3:5" customFormat="1" x14ac:dyDescent="0.25">
      <c r="C57" s="13"/>
      <c r="D57" s="5"/>
      <c r="E57" s="5"/>
    </row>
    <row r="58" spans="3:5" customFormat="1" x14ac:dyDescent="0.25">
      <c r="C58" s="13"/>
      <c r="D58" s="5"/>
      <c r="E58" s="5"/>
    </row>
    <row r="59" spans="3:5" customFormat="1" x14ac:dyDescent="0.25">
      <c r="C59" s="13"/>
      <c r="D59" s="5"/>
      <c r="E59" s="5"/>
    </row>
    <row r="60" spans="3:5" customFormat="1" x14ac:dyDescent="0.25">
      <c r="C60" s="13"/>
      <c r="D60" s="5"/>
      <c r="E60" s="5"/>
    </row>
    <row r="61" spans="3:5" customFormat="1" x14ac:dyDescent="0.25">
      <c r="C61" s="13"/>
      <c r="D61" s="5"/>
      <c r="E61" s="5"/>
    </row>
    <row r="62" spans="3:5" customFormat="1" x14ac:dyDescent="0.25">
      <c r="C62" s="13"/>
      <c r="D62" s="5"/>
      <c r="E62" s="5"/>
    </row>
    <row r="63" spans="3:5" customFormat="1" x14ac:dyDescent="0.25">
      <c r="C63" s="13"/>
      <c r="D63" s="5"/>
      <c r="E63" s="5"/>
    </row>
    <row r="64" spans="3:5" customFormat="1" x14ac:dyDescent="0.25">
      <c r="C64" s="13"/>
      <c r="D64" s="5"/>
      <c r="E64" s="5"/>
    </row>
    <row r="65" spans="3:5" customFormat="1" x14ac:dyDescent="0.25">
      <c r="C65" s="13"/>
      <c r="D65" s="5"/>
      <c r="E65" s="5"/>
    </row>
    <row r="66" spans="3:5" customFormat="1" x14ac:dyDescent="0.25">
      <c r="C66" s="13"/>
      <c r="D66" s="5"/>
      <c r="E66" s="5"/>
    </row>
    <row r="67" spans="3:5" customFormat="1" x14ac:dyDescent="0.25">
      <c r="C67" s="13"/>
      <c r="D67" s="5"/>
      <c r="E67" s="5"/>
    </row>
    <row r="68" spans="3:5" customFormat="1" x14ac:dyDescent="0.25">
      <c r="C68" s="13"/>
      <c r="D68" s="5"/>
      <c r="E68" s="5"/>
    </row>
    <row r="69" spans="3:5" customFormat="1" x14ac:dyDescent="0.25">
      <c r="C69" s="13"/>
      <c r="D69" s="5"/>
      <c r="E69" s="5"/>
    </row>
    <row r="70" spans="3:5" customFormat="1" x14ac:dyDescent="0.25">
      <c r="C70" s="13"/>
      <c r="D70" s="5"/>
      <c r="E70" s="5"/>
    </row>
    <row r="71" spans="3:5" customFormat="1" x14ac:dyDescent="0.25">
      <c r="C71" s="13"/>
      <c r="D71" s="5"/>
      <c r="E71" s="5"/>
    </row>
    <row r="72" spans="3:5" customFormat="1" x14ac:dyDescent="0.25">
      <c r="C72" s="13"/>
      <c r="D72" s="5"/>
      <c r="E72" s="5"/>
    </row>
    <row r="73" spans="3:5" customFormat="1" x14ac:dyDescent="0.25">
      <c r="C73" s="13"/>
      <c r="D73" s="5"/>
      <c r="E73" s="5"/>
    </row>
    <row r="74" spans="3:5" customFormat="1" x14ac:dyDescent="0.25">
      <c r="C74" s="13"/>
      <c r="D74" s="5"/>
      <c r="E74" s="5"/>
    </row>
    <row r="75" spans="3:5" customFormat="1" x14ac:dyDescent="0.25">
      <c r="C75" s="13"/>
      <c r="D75" s="5"/>
      <c r="E75" s="5"/>
    </row>
    <row r="76" spans="3:5" customFormat="1" x14ac:dyDescent="0.25">
      <c r="C76" s="13"/>
      <c r="D76" s="5"/>
      <c r="E76" s="5"/>
    </row>
    <row r="77" spans="3:5" customFormat="1" x14ac:dyDescent="0.25">
      <c r="C77" s="13"/>
      <c r="D77" s="5"/>
      <c r="E77" s="5"/>
    </row>
    <row r="78" spans="3:5" customFormat="1" x14ac:dyDescent="0.25">
      <c r="C78" s="13"/>
      <c r="D78" s="5"/>
      <c r="E78" s="5"/>
    </row>
    <row r="79" spans="3:5" customFormat="1" x14ac:dyDescent="0.25">
      <c r="C79" s="13"/>
      <c r="D79" s="5"/>
      <c r="E79" s="5"/>
    </row>
    <row r="80" spans="3:5" customFormat="1" x14ac:dyDescent="0.25">
      <c r="C80" s="13"/>
      <c r="D80" s="5"/>
      <c r="E80" s="5"/>
    </row>
    <row r="81" spans="3:5" customFormat="1" x14ac:dyDescent="0.25">
      <c r="C81" s="13"/>
      <c r="D81" s="5"/>
      <c r="E81" s="5"/>
    </row>
    <row r="82" spans="3:5" customFormat="1" x14ac:dyDescent="0.25">
      <c r="C82" s="13"/>
      <c r="D82" s="5"/>
      <c r="E82" s="5"/>
    </row>
    <row r="83" spans="3:5" customFormat="1" x14ac:dyDescent="0.25">
      <c r="C83" s="13"/>
      <c r="D83" s="5"/>
      <c r="E83" s="5"/>
    </row>
    <row r="84" spans="3:5" customFormat="1" x14ac:dyDescent="0.25">
      <c r="C84" s="13"/>
      <c r="D84" s="5"/>
      <c r="E84" s="5"/>
    </row>
    <row r="85" spans="3:5" customFormat="1" x14ac:dyDescent="0.25">
      <c r="C85" s="13"/>
      <c r="D85" s="5"/>
      <c r="E85" s="5"/>
    </row>
    <row r="86" spans="3:5" customFormat="1" x14ac:dyDescent="0.25">
      <c r="C86" s="13"/>
      <c r="D86" s="5"/>
      <c r="E86" s="5"/>
    </row>
    <row r="87" spans="3:5" customFormat="1" x14ac:dyDescent="0.25">
      <c r="C87" s="13"/>
      <c r="D87" s="5"/>
      <c r="E87" s="5"/>
    </row>
    <row r="88" spans="3:5" customFormat="1" x14ac:dyDescent="0.25">
      <c r="C88" s="13"/>
      <c r="D88" s="5"/>
      <c r="E88" s="5"/>
    </row>
    <row r="89" spans="3:5" customFormat="1" x14ac:dyDescent="0.25">
      <c r="C89" s="13"/>
      <c r="D89" s="5"/>
      <c r="E89" s="5"/>
    </row>
    <row r="90" spans="3:5" customFormat="1" x14ac:dyDescent="0.25">
      <c r="C90" s="13"/>
      <c r="D90" s="5"/>
      <c r="E90" s="5"/>
    </row>
    <row r="91" spans="3:5" customFormat="1" x14ac:dyDescent="0.25">
      <c r="C91" s="13"/>
      <c r="D91" s="5"/>
      <c r="E91" s="5"/>
    </row>
    <row r="92" spans="3:5" customFormat="1" x14ac:dyDescent="0.25">
      <c r="C92" s="13"/>
      <c r="D92" s="5"/>
      <c r="E92" s="5"/>
    </row>
    <row r="93" spans="3:5" customFormat="1" x14ac:dyDescent="0.25">
      <c r="C93" s="13"/>
      <c r="D93" s="5"/>
      <c r="E93" s="5"/>
    </row>
    <row r="94" spans="3:5" customFormat="1" x14ac:dyDescent="0.25">
      <c r="C94" s="13"/>
      <c r="D94" s="5"/>
      <c r="E94" s="5"/>
    </row>
    <row r="95" spans="3:5" customFormat="1" x14ac:dyDescent="0.25">
      <c r="C95" s="13"/>
      <c r="D95" s="5"/>
      <c r="E95" s="5"/>
    </row>
    <row r="96" spans="3:5" customFormat="1" x14ac:dyDescent="0.25">
      <c r="C96" s="13"/>
      <c r="D96" s="5"/>
      <c r="E96" s="5"/>
    </row>
    <row r="97" spans="3:5" customFormat="1" x14ac:dyDescent="0.25">
      <c r="C97" s="13"/>
      <c r="D97" s="5"/>
      <c r="E97" s="5"/>
    </row>
    <row r="98" spans="3:5" customFormat="1" x14ac:dyDescent="0.25">
      <c r="C98" s="13"/>
      <c r="D98" s="5"/>
      <c r="E98" s="5"/>
    </row>
    <row r="99" spans="3:5" customFormat="1" x14ac:dyDescent="0.25">
      <c r="C99" s="13"/>
      <c r="D99" s="5"/>
      <c r="E99" s="5"/>
    </row>
    <row r="100" spans="3:5" customFormat="1" x14ac:dyDescent="0.25">
      <c r="C100" s="13"/>
      <c r="D100" s="5"/>
      <c r="E100" s="5"/>
    </row>
    <row r="101" spans="3:5" customFormat="1" x14ac:dyDescent="0.25">
      <c r="C101" s="13"/>
      <c r="D101" s="5"/>
      <c r="E101" s="5"/>
    </row>
    <row r="102" spans="3:5" customFormat="1" x14ac:dyDescent="0.25">
      <c r="C102" s="13"/>
      <c r="D102" s="5"/>
      <c r="E102" s="5"/>
    </row>
    <row r="103" spans="3:5" customFormat="1" x14ac:dyDescent="0.25">
      <c r="C103" s="13"/>
      <c r="D103" s="5"/>
      <c r="E103" s="5"/>
    </row>
    <row r="104" spans="3:5" customFormat="1" x14ac:dyDescent="0.25">
      <c r="C104" s="13"/>
      <c r="D104" s="5"/>
      <c r="E104" s="5"/>
    </row>
    <row r="105" spans="3:5" customFormat="1" x14ac:dyDescent="0.25">
      <c r="C105" s="13"/>
      <c r="D105" s="5"/>
      <c r="E105" s="5"/>
    </row>
    <row r="106" spans="3:5" customFormat="1" x14ac:dyDescent="0.25">
      <c r="C106" s="13"/>
      <c r="D106" s="5"/>
      <c r="E106" s="5"/>
    </row>
    <row r="107" spans="3:5" customFormat="1" x14ac:dyDescent="0.25">
      <c r="C107" s="13"/>
      <c r="D107" s="5"/>
      <c r="E107" s="5"/>
    </row>
    <row r="108" spans="3:5" customFormat="1" x14ac:dyDescent="0.25">
      <c r="C108" s="13"/>
      <c r="D108" s="5"/>
      <c r="E108" s="5"/>
    </row>
    <row r="109" spans="3:5" customFormat="1" x14ac:dyDescent="0.25">
      <c r="C109" s="13"/>
      <c r="D109" s="5"/>
      <c r="E109" s="5"/>
    </row>
    <row r="110" spans="3:5" customFormat="1" x14ac:dyDescent="0.25">
      <c r="C110" s="13"/>
      <c r="D110" s="5"/>
      <c r="E110" s="5"/>
    </row>
    <row r="111" spans="3:5" customFormat="1" x14ac:dyDescent="0.25">
      <c r="C111" s="13"/>
      <c r="D111" s="5"/>
      <c r="E111" s="5"/>
    </row>
    <row r="112" spans="3:5" customFormat="1" x14ac:dyDescent="0.25">
      <c r="C112" s="13"/>
      <c r="D112" s="5"/>
      <c r="E112" s="5"/>
    </row>
    <row r="113" spans="3:5" customFormat="1" x14ac:dyDescent="0.25">
      <c r="C113" s="13"/>
      <c r="D113" s="5"/>
      <c r="E113" s="5"/>
    </row>
    <row r="114" spans="3:5" customFormat="1" x14ac:dyDescent="0.25">
      <c r="C114" s="13"/>
      <c r="D114" s="5"/>
      <c r="E114" s="5"/>
    </row>
    <row r="115" spans="3:5" customFormat="1" x14ac:dyDescent="0.25">
      <c r="C115" s="13"/>
      <c r="D115" s="5"/>
      <c r="E115" s="5"/>
    </row>
    <row r="116" spans="3:5" customFormat="1" x14ac:dyDescent="0.25">
      <c r="C116" s="13"/>
      <c r="D116" s="5"/>
      <c r="E116" s="5"/>
    </row>
    <row r="117" spans="3:5" customFormat="1" x14ac:dyDescent="0.25">
      <c r="C117" s="13"/>
      <c r="D117" s="5"/>
      <c r="E117" s="5"/>
    </row>
    <row r="118" spans="3:5" customFormat="1" x14ac:dyDescent="0.25">
      <c r="C118" s="13"/>
      <c r="D118" s="5"/>
      <c r="E118" s="5"/>
    </row>
    <row r="119" spans="3:5" customFormat="1" x14ac:dyDescent="0.25">
      <c r="C119" s="13"/>
      <c r="D119" s="5"/>
      <c r="E119" s="5"/>
    </row>
    <row r="120" spans="3:5" customFormat="1" x14ac:dyDescent="0.25">
      <c r="C120" s="13"/>
      <c r="D120" s="5"/>
      <c r="E120" s="5"/>
    </row>
    <row r="121" spans="3:5" customFormat="1" x14ac:dyDescent="0.25">
      <c r="C121" s="13"/>
      <c r="D121" s="5"/>
      <c r="E121" s="5"/>
    </row>
    <row r="122" spans="3:5" customFormat="1" x14ac:dyDescent="0.25">
      <c r="C122" s="13"/>
      <c r="D122" s="5"/>
      <c r="E122" s="5"/>
    </row>
    <row r="123" spans="3:5" customFormat="1" x14ac:dyDescent="0.25">
      <c r="C123" s="13"/>
      <c r="D123" s="5"/>
      <c r="E123" s="5"/>
    </row>
    <row r="124" spans="3:5" customFormat="1" x14ac:dyDescent="0.25">
      <c r="C124" s="13"/>
      <c r="D124" s="5"/>
      <c r="E124" s="5"/>
    </row>
    <row r="125" spans="3:5" customFormat="1" x14ac:dyDescent="0.25">
      <c r="C125" s="13"/>
      <c r="D125" s="5"/>
      <c r="E125" s="5"/>
    </row>
    <row r="126" spans="3:5" customFormat="1" x14ac:dyDescent="0.25">
      <c r="C126" s="13"/>
      <c r="D126" s="5"/>
      <c r="E126" s="5"/>
    </row>
    <row r="127" spans="3:5" customFormat="1" x14ac:dyDescent="0.25">
      <c r="C127" s="13"/>
      <c r="D127" s="5"/>
      <c r="E127" s="5"/>
    </row>
    <row r="128" spans="3:5" customFormat="1" x14ac:dyDescent="0.25">
      <c r="C128" s="13"/>
      <c r="D128" s="5"/>
      <c r="E128" s="5"/>
    </row>
    <row r="129" spans="3:5" customFormat="1" x14ac:dyDescent="0.25">
      <c r="C129" s="13"/>
      <c r="D129" s="5"/>
      <c r="E129" s="5"/>
    </row>
    <row r="130" spans="3:5" customFormat="1" x14ac:dyDescent="0.25">
      <c r="C130" s="13"/>
      <c r="D130" s="5"/>
      <c r="E130" s="5"/>
    </row>
    <row r="131" spans="3:5" customFormat="1" x14ac:dyDescent="0.25">
      <c r="C131" s="13"/>
      <c r="D131" s="5"/>
      <c r="E131" s="5"/>
    </row>
    <row r="132" spans="3:5" customFormat="1" x14ac:dyDescent="0.25">
      <c r="C132" s="13"/>
      <c r="D132" s="5"/>
      <c r="E132" s="5"/>
    </row>
    <row r="133" spans="3:5" customFormat="1" x14ac:dyDescent="0.25">
      <c r="C133" s="13"/>
      <c r="D133" s="5"/>
      <c r="E133" s="5"/>
    </row>
    <row r="134" spans="3:5" customFormat="1" x14ac:dyDescent="0.25">
      <c r="C134" s="13"/>
      <c r="D134" s="5"/>
      <c r="E134" s="5"/>
    </row>
    <row r="135" spans="3:5" customFormat="1" x14ac:dyDescent="0.25">
      <c r="C135" s="13"/>
      <c r="D135" s="5"/>
      <c r="E135" s="5"/>
    </row>
    <row r="136" spans="3:5" customFormat="1" x14ac:dyDescent="0.25">
      <c r="C136" s="13"/>
      <c r="D136" s="5"/>
      <c r="E136" s="5"/>
    </row>
    <row r="137" spans="3:5" customFormat="1" x14ac:dyDescent="0.25">
      <c r="C137" s="13"/>
      <c r="D137" s="5"/>
      <c r="E137" s="5"/>
    </row>
    <row r="138" spans="3:5" customFormat="1" x14ac:dyDescent="0.25">
      <c r="C138" s="13"/>
      <c r="D138" s="5"/>
      <c r="E138" s="5"/>
    </row>
    <row r="139" spans="3:5" customFormat="1" x14ac:dyDescent="0.25">
      <c r="C139" s="13"/>
      <c r="D139" s="5"/>
      <c r="E139" s="5"/>
    </row>
    <row r="140" spans="3:5" customFormat="1" x14ac:dyDescent="0.25">
      <c r="C140" s="13"/>
      <c r="D140" s="5"/>
      <c r="E140" s="5"/>
    </row>
    <row r="141" spans="3:5" customFormat="1" x14ac:dyDescent="0.25">
      <c r="C141" s="13"/>
      <c r="D141" s="5"/>
      <c r="E141" s="5"/>
    </row>
    <row r="142" spans="3:5" customFormat="1" x14ac:dyDescent="0.25">
      <c r="C142" s="13"/>
      <c r="D142" s="5"/>
      <c r="E142" s="5"/>
    </row>
    <row r="143" spans="3:5" customFormat="1" x14ac:dyDescent="0.25">
      <c r="C143" s="13"/>
      <c r="D143" s="5"/>
      <c r="E143" s="5"/>
    </row>
    <row r="144" spans="3:5" customFormat="1" x14ac:dyDescent="0.25">
      <c r="C144" s="13"/>
      <c r="D144" s="5"/>
      <c r="E144" s="5"/>
    </row>
    <row r="145" spans="3:5" customFormat="1" x14ac:dyDescent="0.25">
      <c r="C145" s="13"/>
      <c r="D145" s="5"/>
      <c r="E145" s="5"/>
    </row>
    <row r="146" spans="3:5" customFormat="1" x14ac:dyDescent="0.25">
      <c r="C146" s="13"/>
      <c r="D146" s="5"/>
      <c r="E146" s="5"/>
    </row>
    <row r="147" spans="3:5" customFormat="1" x14ac:dyDescent="0.25">
      <c r="C147" s="13"/>
      <c r="D147" s="5"/>
      <c r="E147" s="5"/>
    </row>
    <row r="148" spans="3:5" customFormat="1" x14ac:dyDescent="0.25">
      <c r="C148" s="13"/>
      <c r="D148" s="5"/>
      <c r="E148" s="5"/>
    </row>
    <row r="149" spans="3:5" customFormat="1" x14ac:dyDescent="0.25">
      <c r="C149" s="13"/>
      <c r="D149" s="5"/>
      <c r="E149" s="5"/>
    </row>
    <row r="150" spans="3:5" customFormat="1" x14ac:dyDescent="0.25">
      <c r="C150" s="13"/>
      <c r="D150" s="5"/>
      <c r="E150" s="5"/>
    </row>
    <row r="151" spans="3:5" customFormat="1" x14ac:dyDescent="0.25">
      <c r="C151" s="13"/>
      <c r="D151" s="5"/>
      <c r="E151" s="5"/>
    </row>
    <row r="152" spans="3:5" customFormat="1" x14ac:dyDescent="0.25">
      <c r="C152" s="13"/>
      <c r="D152" s="5"/>
      <c r="E152" s="5"/>
    </row>
    <row r="153" spans="3:5" customFormat="1" x14ac:dyDescent="0.25">
      <c r="C153" s="13"/>
      <c r="D153" s="5"/>
      <c r="E153" s="5"/>
    </row>
    <row r="154" spans="3:5" customFormat="1" x14ac:dyDescent="0.25">
      <c r="C154" s="13"/>
      <c r="D154" s="5"/>
      <c r="E154" s="5"/>
    </row>
    <row r="155" spans="3:5" customFormat="1" x14ac:dyDescent="0.25">
      <c r="C155" s="13"/>
      <c r="D155" s="5"/>
      <c r="E155" s="5"/>
    </row>
    <row r="156" spans="3:5" customFormat="1" x14ac:dyDescent="0.25">
      <c r="C156" s="13"/>
      <c r="D156" s="5"/>
      <c r="E156" s="5"/>
    </row>
    <row r="157" spans="3:5" customFormat="1" x14ac:dyDescent="0.25">
      <c r="C157" s="13"/>
      <c r="D157" s="5"/>
      <c r="E157" s="5"/>
    </row>
    <row r="158" spans="3:5" customFormat="1" x14ac:dyDescent="0.25">
      <c r="C158" s="13"/>
      <c r="D158" s="5"/>
      <c r="E158" s="5"/>
    </row>
    <row r="159" spans="3:5" customFormat="1" x14ac:dyDescent="0.25">
      <c r="C159" s="13"/>
      <c r="D159" s="5"/>
      <c r="E159" s="5"/>
    </row>
    <row r="160" spans="3:5" customFormat="1" x14ac:dyDescent="0.25">
      <c r="C160" s="13"/>
      <c r="D160" s="5"/>
      <c r="E160" s="5"/>
    </row>
    <row r="161" spans="1:5" customFormat="1" x14ac:dyDescent="0.25">
      <c r="C161" s="13"/>
      <c r="D161" s="5"/>
      <c r="E161" s="5"/>
    </row>
    <row r="162" spans="1:5" customFormat="1" x14ac:dyDescent="0.25">
      <c r="C162" s="13"/>
      <c r="D162" s="5"/>
      <c r="E162" s="5"/>
    </row>
    <row r="163" spans="1:5" customFormat="1" x14ac:dyDescent="0.25">
      <c r="C163" s="13"/>
      <c r="D163" s="5"/>
      <c r="E163" s="5"/>
    </row>
    <row r="164" spans="1:5" customFormat="1" x14ac:dyDescent="0.25">
      <c r="C164" s="13"/>
      <c r="D164" s="5"/>
      <c r="E164" s="5"/>
    </row>
    <row r="165" spans="1:5" customFormat="1" x14ac:dyDescent="0.25">
      <c r="B165" t="s">
        <v>42</v>
      </c>
      <c r="C165" s="13">
        <v>40000999</v>
      </c>
      <c r="D165" s="5"/>
      <c r="E165" s="5"/>
    </row>
    <row r="166" spans="1:5" customFormat="1" x14ac:dyDescent="0.25">
      <c r="A166" t="s">
        <v>43</v>
      </c>
      <c r="B166" t="s">
        <v>44</v>
      </c>
      <c r="C166" s="13">
        <v>41000001</v>
      </c>
      <c r="D166" s="5"/>
      <c r="E166" s="5" t="s">
        <v>37</v>
      </c>
    </row>
    <row r="167" spans="1:5" customFormat="1" x14ac:dyDescent="0.25">
      <c r="A167" t="s">
        <v>45</v>
      </c>
      <c r="B167" t="s">
        <v>46</v>
      </c>
      <c r="C167" s="13">
        <v>41000002</v>
      </c>
      <c r="D167" s="5"/>
      <c r="E167" s="5"/>
    </row>
    <row r="168" spans="1:5" customFormat="1" x14ac:dyDescent="0.25">
      <c r="A168" t="s">
        <v>47</v>
      </c>
      <c r="B168" t="s">
        <v>48</v>
      </c>
      <c r="C168" s="13">
        <v>41000003</v>
      </c>
      <c r="D168" s="5"/>
      <c r="E168" s="5"/>
    </row>
    <row r="169" spans="1:5" customFormat="1" x14ac:dyDescent="0.25">
      <c r="A169" t="s">
        <v>49</v>
      </c>
      <c r="B169" t="s">
        <v>50</v>
      </c>
      <c r="C169" s="13">
        <v>41000004</v>
      </c>
      <c r="D169" s="5"/>
      <c r="E169" s="5"/>
    </row>
    <row r="170" spans="1:5" customFormat="1" x14ac:dyDescent="0.25">
      <c r="A170" t="s">
        <v>51</v>
      </c>
      <c r="B170" t="s">
        <v>52</v>
      </c>
      <c r="C170" s="13">
        <v>41000005</v>
      </c>
      <c r="D170" s="5"/>
      <c r="E170" s="5"/>
    </row>
    <row r="171" spans="1:5" customFormat="1" x14ac:dyDescent="0.25">
      <c r="A171" t="s">
        <v>53</v>
      </c>
      <c r="B171" t="s">
        <v>54</v>
      </c>
      <c r="C171" s="13">
        <v>41000006</v>
      </c>
      <c r="D171" s="5"/>
      <c r="E171" s="5"/>
    </row>
    <row r="172" spans="1:5" customFormat="1" x14ac:dyDescent="0.25">
      <c r="A172" t="s">
        <v>55</v>
      </c>
      <c r="B172" t="s">
        <v>56</v>
      </c>
      <c r="C172" s="13">
        <v>41000007</v>
      </c>
      <c r="D172" s="5"/>
      <c r="E172" s="5"/>
    </row>
    <row r="173" spans="1:5" customFormat="1" x14ac:dyDescent="0.25">
      <c r="A173" t="s">
        <v>57</v>
      </c>
      <c r="B173" t="s">
        <v>58</v>
      </c>
      <c r="C173" s="13">
        <v>41000008</v>
      </c>
      <c r="D173" s="5"/>
      <c r="E173" s="5"/>
    </row>
    <row r="174" spans="1:5" customFormat="1" x14ac:dyDescent="0.25">
      <c r="A174" t="s">
        <v>59</v>
      </c>
      <c r="B174" t="s">
        <v>60</v>
      </c>
      <c r="C174" s="13">
        <v>41000009</v>
      </c>
      <c r="D174" s="5"/>
      <c r="E174" s="5"/>
    </row>
    <row r="175" spans="1:5" customFormat="1" x14ac:dyDescent="0.25">
      <c r="A175" t="s">
        <v>61</v>
      </c>
      <c r="B175" t="s">
        <v>62</v>
      </c>
      <c r="C175" s="13">
        <v>41000010</v>
      </c>
      <c r="D175" s="5"/>
      <c r="E175" s="5"/>
    </row>
    <row r="176" spans="1:5" customFormat="1" x14ac:dyDescent="0.25">
      <c r="A176" t="s">
        <v>63</v>
      </c>
      <c r="B176" t="s">
        <v>64</v>
      </c>
      <c r="C176" s="13">
        <v>41000011</v>
      </c>
      <c r="D176" s="5"/>
      <c r="E176" s="5"/>
    </row>
    <row r="177" spans="1:5" customFormat="1" x14ac:dyDescent="0.25">
      <c r="A177" t="s">
        <v>65</v>
      </c>
      <c r="B177" t="s">
        <v>66</v>
      </c>
      <c r="C177" s="13">
        <v>41000012</v>
      </c>
      <c r="D177" s="5"/>
      <c r="E177" s="5"/>
    </row>
    <row r="178" spans="1:5" customFormat="1" x14ac:dyDescent="0.25">
      <c r="A178" t="s">
        <v>67</v>
      </c>
      <c r="B178" t="s">
        <v>68</v>
      </c>
      <c r="C178" s="13">
        <v>41000013</v>
      </c>
      <c r="D178" s="5"/>
      <c r="E178" s="5"/>
    </row>
    <row r="179" spans="1:5" customFormat="1" x14ac:dyDescent="0.25">
      <c r="A179" t="s">
        <v>69</v>
      </c>
      <c r="B179" t="s">
        <v>70</v>
      </c>
      <c r="C179" s="13">
        <v>41000014</v>
      </c>
      <c r="D179" s="5" t="s">
        <v>36</v>
      </c>
      <c r="E179" s="5" t="s">
        <v>37</v>
      </c>
    </row>
    <row r="180" spans="1:5" customFormat="1" x14ac:dyDescent="0.25">
      <c r="A180" t="s">
        <v>71</v>
      </c>
      <c r="B180" t="s">
        <v>72</v>
      </c>
      <c r="C180" s="13">
        <v>41000015</v>
      </c>
      <c r="D180" s="5"/>
      <c r="E180" s="5"/>
    </row>
    <row r="181" spans="1:5" customFormat="1" x14ac:dyDescent="0.25">
      <c r="A181" t="s">
        <v>73</v>
      </c>
      <c r="B181" t="s">
        <v>74</v>
      </c>
      <c r="C181" s="13">
        <v>41000016</v>
      </c>
      <c r="D181" s="5"/>
      <c r="E181" s="5"/>
    </row>
    <row r="182" spans="1:5" customFormat="1" x14ac:dyDescent="0.25">
      <c r="A182" t="s">
        <v>75</v>
      </c>
      <c r="B182" t="s">
        <v>76</v>
      </c>
      <c r="C182" s="13">
        <v>41000017</v>
      </c>
      <c r="D182" s="5"/>
      <c r="E182" s="5"/>
    </row>
    <row r="183" spans="1:5" customFormat="1" x14ac:dyDescent="0.25">
      <c r="A183" t="s">
        <v>45</v>
      </c>
      <c r="B183" t="s">
        <v>77</v>
      </c>
      <c r="C183" s="13">
        <v>41000018</v>
      </c>
      <c r="D183" s="5"/>
      <c r="E183" s="5"/>
    </row>
    <row r="184" spans="1:5" customFormat="1" x14ac:dyDescent="0.25">
      <c r="A184" t="s">
        <v>78</v>
      </c>
      <c r="B184" t="s">
        <v>79</v>
      </c>
      <c r="C184" s="13">
        <v>41000019</v>
      </c>
      <c r="D184" s="5" t="s">
        <v>36</v>
      </c>
      <c r="E184" s="5" t="s">
        <v>37</v>
      </c>
    </row>
    <row r="185" spans="1:5" customFormat="1" x14ac:dyDescent="0.25">
      <c r="A185" t="s">
        <v>80</v>
      </c>
      <c r="B185" t="s">
        <v>81</v>
      </c>
      <c r="C185" s="13">
        <v>41000020</v>
      </c>
      <c r="D185" s="5" t="s">
        <v>36</v>
      </c>
      <c r="E185" s="5" t="s">
        <v>39</v>
      </c>
    </row>
    <row r="186" spans="1:5" customFormat="1" x14ac:dyDescent="0.25">
      <c r="A186" t="s">
        <v>82</v>
      </c>
      <c r="B186" t="s">
        <v>83</v>
      </c>
      <c r="C186" s="13">
        <v>41000025</v>
      </c>
      <c r="D186" s="5" t="s">
        <v>36</v>
      </c>
      <c r="E186" s="5" t="s">
        <v>37</v>
      </c>
    </row>
    <row r="187" spans="1:5" customFormat="1" x14ac:dyDescent="0.25">
      <c r="A187" t="s">
        <v>84</v>
      </c>
      <c r="B187" t="s">
        <v>85</v>
      </c>
      <c r="C187" s="13">
        <v>41000026</v>
      </c>
      <c r="D187" s="5" t="s">
        <v>36</v>
      </c>
      <c r="E187" s="5" t="s">
        <v>37</v>
      </c>
    </row>
    <row r="188" spans="1:5" customFormat="1" x14ac:dyDescent="0.25">
      <c r="A188" t="s">
        <v>86</v>
      </c>
      <c r="B188" t="s">
        <v>87</v>
      </c>
      <c r="C188" s="13">
        <v>41000027</v>
      </c>
      <c r="D188" s="5" t="s">
        <v>36</v>
      </c>
      <c r="E188" s="5" t="s">
        <v>37</v>
      </c>
    </row>
    <row r="189" spans="1:5" customFormat="1" x14ac:dyDescent="0.25">
      <c r="A189" t="s">
        <v>88</v>
      </c>
      <c r="B189" t="s">
        <v>89</v>
      </c>
      <c r="C189" s="13">
        <v>41000029</v>
      </c>
      <c r="D189" s="5" t="s">
        <v>36</v>
      </c>
      <c r="E189" s="5" t="s">
        <v>37</v>
      </c>
    </row>
    <row r="190" spans="1:5" customFormat="1" x14ac:dyDescent="0.25">
      <c r="A190" t="s">
        <v>90</v>
      </c>
      <c r="B190" t="s">
        <v>91</v>
      </c>
      <c r="C190" s="13">
        <v>41000030</v>
      </c>
      <c r="D190" s="5" t="s">
        <v>36</v>
      </c>
      <c r="E190" s="5" t="s">
        <v>37</v>
      </c>
    </row>
    <row r="191" spans="1:5" customFormat="1" x14ac:dyDescent="0.25">
      <c r="A191" t="s">
        <v>92</v>
      </c>
      <c r="B191" t="s">
        <v>93</v>
      </c>
      <c r="C191" s="13">
        <v>41000031</v>
      </c>
      <c r="D191" s="5" t="s">
        <v>36</v>
      </c>
      <c r="E191" s="5" t="s">
        <v>37</v>
      </c>
    </row>
    <row r="192" spans="1:5" customFormat="1" x14ac:dyDescent="0.25">
      <c r="A192" t="s">
        <v>94</v>
      </c>
      <c r="B192" t="s">
        <v>95</v>
      </c>
      <c r="C192" s="13">
        <v>41000038</v>
      </c>
      <c r="D192" s="5" t="s">
        <v>36</v>
      </c>
      <c r="E192" s="5" t="s">
        <v>37</v>
      </c>
    </row>
    <row r="193" spans="1:5" customFormat="1" x14ac:dyDescent="0.25">
      <c r="A193" t="s">
        <v>96</v>
      </c>
      <c r="B193" t="s">
        <v>97</v>
      </c>
      <c r="C193" s="13">
        <v>41000039</v>
      </c>
      <c r="D193" s="5" t="s">
        <v>36</v>
      </c>
      <c r="E193" s="5" t="s">
        <v>37</v>
      </c>
    </row>
    <row r="194" spans="1:5" customFormat="1" x14ac:dyDescent="0.25">
      <c r="A194" t="s">
        <v>98</v>
      </c>
      <c r="B194" t="s">
        <v>99</v>
      </c>
      <c r="C194" s="13">
        <v>41000041</v>
      </c>
      <c r="D194" s="5" t="s">
        <v>36</v>
      </c>
      <c r="E194" s="5" t="s">
        <v>39</v>
      </c>
    </row>
    <row r="195" spans="1:5" customFormat="1" x14ac:dyDescent="0.25">
      <c r="A195" t="s">
        <v>100</v>
      </c>
      <c r="B195" t="s">
        <v>101</v>
      </c>
      <c r="C195" s="13">
        <v>41000042</v>
      </c>
      <c r="D195" s="5" t="s">
        <v>36</v>
      </c>
      <c r="E195" s="5" t="s">
        <v>37</v>
      </c>
    </row>
    <row r="196" spans="1:5" customFormat="1" x14ac:dyDescent="0.25">
      <c r="A196" t="s">
        <v>102</v>
      </c>
      <c r="B196" t="s">
        <v>103</v>
      </c>
      <c r="C196" s="13">
        <v>41000043</v>
      </c>
      <c r="D196" s="5" t="s">
        <v>36</v>
      </c>
      <c r="E196" s="5" t="s">
        <v>37</v>
      </c>
    </row>
    <row r="197" spans="1:5" customFormat="1" x14ac:dyDescent="0.25">
      <c r="A197" t="s">
        <v>104</v>
      </c>
      <c r="B197" t="s">
        <v>105</v>
      </c>
      <c r="C197" s="13">
        <v>41000044</v>
      </c>
      <c r="D197" s="5" t="s">
        <v>36</v>
      </c>
      <c r="E197" s="5" t="s">
        <v>37</v>
      </c>
    </row>
    <row r="198" spans="1:5" customFormat="1" x14ac:dyDescent="0.25">
      <c r="A198" t="s">
        <v>106</v>
      </c>
      <c r="B198" t="s">
        <v>107</v>
      </c>
      <c r="C198" s="13">
        <v>41000045</v>
      </c>
      <c r="D198" s="5" t="s">
        <v>36</v>
      </c>
      <c r="E198" s="5" t="s">
        <v>37</v>
      </c>
    </row>
    <row r="199" spans="1:5" customFormat="1" x14ac:dyDescent="0.25">
      <c r="A199" t="s">
        <v>108</v>
      </c>
      <c r="B199" t="s">
        <v>109</v>
      </c>
      <c r="C199" s="13">
        <v>41000046</v>
      </c>
      <c r="D199" s="5" t="s">
        <v>36</v>
      </c>
      <c r="E199" s="5" t="s">
        <v>37</v>
      </c>
    </row>
    <row r="200" spans="1:5" customFormat="1" x14ac:dyDescent="0.25">
      <c r="A200" t="s">
        <v>110</v>
      </c>
      <c r="B200" t="s">
        <v>111</v>
      </c>
      <c r="C200" s="13">
        <v>41000047</v>
      </c>
      <c r="D200" s="5" t="s">
        <v>36</v>
      </c>
      <c r="E200" s="5" t="s">
        <v>112</v>
      </c>
    </row>
    <row r="201" spans="1:5" customFormat="1" x14ac:dyDescent="0.25">
      <c r="A201" t="s">
        <v>113</v>
      </c>
      <c r="B201" t="s">
        <v>114</v>
      </c>
      <c r="C201" s="13">
        <v>41000048</v>
      </c>
      <c r="D201" s="5" t="s">
        <v>36</v>
      </c>
      <c r="E201" s="5" t="s">
        <v>37</v>
      </c>
    </row>
    <row r="202" spans="1:5" customFormat="1" x14ac:dyDescent="0.25">
      <c r="A202" t="s">
        <v>115</v>
      </c>
      <c r="B202" t="s">
        <v>116</v>
      </c>
      <c r="C202" s="13">
        <v>41000049</v>
      </c>
      <c r="D202" s="5" t="s">
        <v>36</v>
      </c>
      <c r="E202" s="5" t="s">
        <v>37</v>
      </c>
    </row>
    <row r="203" spans="1:5" customFormat="1" x14ac:dyDescent="0.25">
      <c r="A203" t="s">
        <v>117</v>
      </c>
      <c r="B203" t="s">
        <v>118</v>
      </c>
      <c r="C203" s="13">
        <v>41000050</v>
      </c>
      <c r="D203" s="5" t="s">
        <v>36</v>
      </c>
      <c r="E203" s="5" t="s">
        <v>37</v>
      </c>
    </row>
    <row r="204" spans="1:5" customFormat="1" x14ac:dyDescent="0.25">
      <c r="A204" t="s">
        <v>119</v>
      </c>
      <c r="B204" t="s">
        <v>120</v>
      </c>
      <c r="C204" s="13">
        <v>41000052</v>
      </c>
      <c r="D204" s="5" t="s">
        <v>36</v>
      </c>
      <c r="E204" s="5" t="s">
        <v>37</v>
      </c>
    </row>
    <row r="205" spans="1:5" customFormat="1" x14ac:dyDescent="0.25">
      <c r="A205" t="s">
        <v>121</v>
      </c>
      <c r="B205" t="s">
        <v>122</v>
      </c>
      <c r="C205" s="13">
        <v>41000053</v>
      </c>
      <c r="D205" s="5" t="s">
        <v>36</v>
      </c>
      <c r="E205" s="5" t="s">
        <v>40</v>
      </c>
    </row>
    <row r="206" spans="1:5" customFormat="1" x14ac:dyDescent="0.25">
      <c r="A206" t="s">
        <v>123</v>
      </c>
      <c r="B206" t="s">
        <v>124</v>
      </c>
      <c r="C206" s="13">
        <v>41000054</v>
      </c>
      <c r="D206" s="5" t="s">
        <v>36</v>
      </c>
      <c r="E206" s="5" t="s">
        <v>37</v>
      </c>
    </row>
    <row r="207" spans="1:5" customFormat="1" x14ac:dyDescent="0.25">
      <c r="A207" t="s">
        <v>125</v>
      </c>
      <c r="B207" t="s">
        <v>126</v>
      </c>
      <c r="C207" s="13">
        <v>41000055</v>
      </c>
      <c r="D207" s="5" t="s">
        <v>36</v>
      </c>
      <c r="E207" s="5" t="s">
        <v>37</v>
      </c>
    </row>
    <row r="208" spans="1:5" customFormat="1" x14ac:dyDescent="0.25">
      <c r="A208" t="s">
        <v>127</v>
      </c>
      <c r="B208" t="s">
        <v>128</v>
      </c>
      <c r="C208" s="13">
        <v>41000056</v>
      </c>
      <c r="D208" s="5" t="s">
        <v>36</v>
      </c>
      <c r="E208" s="5" t="s">
        <v>37</v>
      </c>
    </row>
    <row r="209" spans="1:5" customFormat="1" x14ac:dyDescent="0.25">
      <c r="A209" t="s">
        <v>129</v>
      </c>
      <c r="B209" t="s">
        <v>130</v>
      </c>
      <c r="C209" s="13">
        <v>41000057</v>
      </c>
      <c r="D209" s="5" t="s">
        <v>36</v>
      </c>
      <c r="E209" s="5" t="s">
        <v>37</v>
      </c>
    </row>
    <row r="210" spans="1:5" customFormat="1" x14ac:dyDescent="0.25">
      <c r="A210" t="s">
        <v>131</v>
      </c>
      <c r="B210" t="s">
        <v>132</v>
      </c>
      <c r="C210" s="13">
        <v>41000060</v>
      </c>
      <c r="D210" s="5" t="s">
        <v>36</v>
      </c>
      <c r="E210" s="5" t="s">
        <v>37</v>
      </c>
    </row>
    <row r="211" spans="1:5" customFormat="1" x14ac:dyDescent="0.25">
      <c r="A211" t="s">
        <v>133</v>
      </c>
      <c r="B211" t="s">
        <v>134</v>
      </c>
      <c r="C211" s="13">
        <v>41000061</v>
      </c>
      <c r="D211" s="5" t="s">
        <v>36</v>
      </c>
      <c r="E211" s="5" t="s">
        <v>37</v>
      </c>
    </row>
    <row r="212" spans="1:5" customFormat="1" x14ac:dyDescent="0.25">
      <c r="A212" t="s">
        <v>135</v>
      </c>
      <c r="B212" t="s">
        <v>136</v>
      </c>
      <c r="C212" s="13">
        <v>41000062</v>
      </c>
      <c r="D212" s="5" t="s">
        <v>36</v>
      </c>
      <c r="E212" s="5" t="s">
        <v>37</v>
      </c>
    </row>
    <row r="213" spans="1:5" customFormat="1" x14ac:dyDescent="0.25">
      <c r="A213" t="s">
        <v>137</v>
      </c>
      <c r="B213" t="s">
        <v>138</v>
      </c>
      <c r="C213" s="13">
        <v>41000063</v>
      </c>
      <c r="D213" s="5" t="s">
        <v>36</v>
      </c>
      <c r="E213" s="5" t="s">
        <v>37</v>
      </c>
    </row>
    <row r="214" spans="1:5" customFormat="1" x14ac:dyDescent="0.25">
      <c r="A214" t="s">
        <v>139</v>
      </c>
      <c r="B214" t="s">
        <v>140</v>
      </c>
      <c r="C214" s="13">
        <v>41000064</v>
      </c>
      <c r="D214" s="5" t="s">
        <v>36</v>
      </c>
      <c r="E214" s="5" t="s">
        <v>141</v>
      </c>
    </row>
    <row r="215" spans="1:5" customFormat="1" x14ac:dyDescent="0.25">
      <c r="A215" t="s">
        <v>142</v>
      </c>
      <c r="B215" t="s">
        <v>143</v>
      </c>
      <c r="C215" s="13">
        <v>41000065</v>
      </c>
      <c r="D215" s="5" t="s">
        <v>36</v>
      </c>
      <c r="E215" s="5" t="s">
        <v>41</v>
      </c>
    </row>
    <row r="216" spans="1:5" customFormat="1" x14ac:dyDescent="0.25">
      <c r="A216" t="s">
        <v>144</v>
      </c>
      <c r="B216" t="s">
        <v>145</v>
      </c>
      <c r="C216" s="13">
        <v>41000066</v>
      </c>
      <c r="D216" s="5" t="s">
        <v>36</v>
      </c>
      <c r="E216" s="5" t="s">
        <v>38</v>
      </c>
    </row>
    <row r="217" spans="1:5" customFormat="1" x14ac:dyDescent="0.25">
      <c r="A217" t="s">
        <v>146</v>
      </c>
      <c r="B217" t="s">
        <v>147</v>
      </c>
      <c r="C217" s="13">
        <v>41000067</v>
      </c>
      <c r="D217" s="5" t="s">
        <v>36</v>
      </c>
      <c r="E217" s="5" t="s">
        <v>37</v>
      </c>
    </row>
    <row r="218" spans="1:5" customFormat="1" x14ac:dyDescent="0.25">
      <c r="A218" t="s">
        <v>148</v>
      </c>
      <c r="B218" t="s">
        <v>149</v>
      </c>
      <c r="C218" s="13">
        <v>41000068</v>
      </c>
      <c r="D218" s="5" t="s">
        <v>36</v>
      </c>
      <c r="E218" s="5" t="s">
        <v>37</v>
      </c>
    </row>
    <row r="219" spans="1:5" customFormat="1" x14ac:dyDescent="0.25">
      <c r="A219" t="s">
        <v>150</v>
      </c>
      <c r="B219" t="s">
        <v>151</v>
      </c>
      <c r="C219" s="13">
        <v>41000069</v>
      </c>
      <c r="D219" s="5"/>
      <c r="E219" s="5"/>
    </row>
    <row r="220" spans="1:5" customFormat="1" x14ac:dyDescent="0.25">
      <c r="A220" t="s">
        <v>152</v>
      </c>
      <c r="B220" t="s">
        <v>153</v>
      </c>
      <c r="C220" s="13">
        <v>41000070</v>
      </c>
      <c r="D220" s="5" t="s">
        <v>36</v>
      </c>
      <c r="E220" s="5" t="s">
        <v>37</v>
      </c>
    </row>
    <row r="221" spans="1:5" customFormat="1" x14ac:dyDescent="0.25">
      <c r="A221" t="s">
        <v>154</v>
      </c>
      <c r="B221" t="s">
        <v>155</v>
      </c>
      <c r="C221" s="13">
        <v>41000071</v>
      </c>
      <c r="D221" s="5"/>
      <c r="E221" s="5"/>
    </row>
    <row r="222" spans="1:5" customFormat="1" x14ac:dyDescent="0.25">
      <c r="A222" t="s">
        <v>156</v>
      </c>
      <c r="B222" t="s">
        <v>157</v>
      </c>
      <c r="C222" s="13">
        <v>41000072</v>
      </c>
      <c r="D222" s="5" t="s">
        <v>36</v>
      </c>
      <c r="E222" s="5" t="s">
        <v>37</v>
      </c>
    </row>
    <row r="223" spans="1:5" customFormat="1" x14ac:dyDescent="0.25">
      <c r="A223" t="s">
        <v>158</v>
      </c>
      <c r="B223" t="s">
        <v>159</v>
      </c>
      <c r="C223" s="13">
        <v>41000073</v>
      </c>
      <c r="D223" s="5" t="s">
        <v>36</v>
      </c>
      <c r="E223" s="5" t="s">
        <v>37</v>
      </c>
    </row>
    <row r="224" spans="1:5" customFormat="1" x14ac:dyDescent="0.25">
      <c r="A224" t="s">
        <v>160</v>
      </c>
      <c r="B224" t="s">
        <v>161</v>
      </c>
      <c r="C224" s="13">
        <v>41000074</v>
      </c>
      <c r="D224" s="5" t="s">
        <v>36</v>
      </c>
      <c r="E224" s="5" t="s">
        <v>37</v>
      </c>
    </row>
    <row r="225" spans="1:5" customFormat="1" x14ac:dyDescent="0.25">
      <c r="A225" t="s">
        <v>162</v>
      </c>
      <c r="B225" t="s">
        <v>163</v>
      </c>
      <c r="C225" s="13">
        <v>41000075</v>
      </c>
      <c r="D225" s="5" t="s">
        <v>36</v>
      </c>
      <c r="E225" s="5" t="s">
        <v>37</v>
      </c>
    </row>
    <row r="226" spans="1:5" customFormat="1" x14ac:dyDescent="0.25">
      <c r="A226" t="s">
        <v>164</v>
      </c>
      <c r="B226" t="s">
        <v>165</v>
      </c>
      <c r="C226" s="13">
        <v>41000076</v>
      </c>
      <c r="D226" s="5" t="s">
        <v>36</v>
      </c>
      <c r="E226" s="5" t="s">
        <v>166</v>
      </c>
    </row>
    <row r="227" spans="1:5" customFormat="1" x14ac:dyDescent="0.25">
      <c r="A227" t="s">
        <v>167</v>
      </c>
      <c r="B227" t="s">
        <v>168</v>
      </c>
      <c r="C227" s="13">
        <v>41000077</v>
      </c>
      <c r="D227" s="5" t="s">
        <v>36</v>
      </c>
      <c r="E227" s="5" t="s">
        <v>37</v>
      </c>
    </row>
    <row r="228" spans="1:5" customFormat="1" x14ac:dyDescent="0.25">
      <c r="A228" t="s">
        <v>169</v>
      </c>
      <c r="B228" t="s">
        <v>170</v>
      </c>
      <c r="C228" s="13">
        <v>41000078</v>
      </c>
      <c r="D228" s="5" t="s">
        <v>36</v>
      </c>
      <c r="E228" s="5" t="s">
        <v>37</v>
      </c>
    </row>
    <row r="229" spans="1:5" customFormat="1" x14ac:dyDescent="0.25">
      <c r="A229" t="s">
        <v>171</v>
      </c>
      <c r="B229" t="s">
        <v>172</v>
      </c>
      <c r="C229" s="13">
        <v>41000079</v>
      </c>
      <c r="D229" s="5" t="s">
        <v>36</v>
      </c>
      <c r="E229" s="5" t="s">
        <v>37</v>
      </c>
    </row>
    <row r="230" spans="1:5" customFormat="1" x14ac:dyDescent="0.25">
      <c r="A230" t="s">
        <v>173</v>
      </c>
      <c r="B230" t="s">
        <v>174</v>
      </c>
      <c r="C230" s="13">
        <v>41000080</v>
      </c>
      <c r="D230" s="5"/>
      <c r="E230" s="5"/>
    </row>
    <row r="231" spans="1:5" customFormat="1" x14ac:dyDescent="0.25">
      <c r="B231" t="s">
        <v>175</v>
      </c>
      <c r="C231" s="13">
        <v>41000081</v>
      </c>
      <c r="D231" s="5"/>
      <c r="E231" s="5"/>
    </row>
    <row r="232" spans="1:5" customFormat="1" x14ac:dyDescent="0.25">
      <c r="A232" t="s">
        <v>176</v>
      </c>
      <c r="B232" t="s">
        <v>177</v>
      </c>
      <c r="C232" s="13">
        <v>41000082</v>
      </c>
      <c r="D232" s="5"/>
      <c r="E232" s="5"/>
    </row>
    <row r="233" spans="1:5" customFormat="1" x14ac:dyDescent="0.25">
      <c r="A233" t="s">
        <v>178</v>
      </c>
      <c r="B233" t="s">
        <v>179</v>
      </c>
      <c r="C233" s="13">
        <v>41000083</v>
      </c>
      <c r="D233" s="5"/>
      <c r="E233" s="5"/>
    </row>
    <row r="234" spans="1:5" customFormat="1" x14ac:dyDescent="0.25">
      <c r="A234" t="s">
        <v>180</v>
      </c>
      <c r="B234" t="s">
        <v>181</v>
      </c>
      <c r="C234" s="13">
        <v>41000084</v>
      </c>
      <c r="D234" s="5"/>
      <c r="E234" s="5"/>
    </row>
    <row r="235" spans="1:5" customFormat="1" x14ac:dyDescent="0.25">
      <c r="A235" t="s">
        <v>182</v>
      </c>
      <c r="B235" t="s">
        <v>183</v>
      </c>
      <c r="C235" s="13">
        <v>41000085</v>
      </c>
      <c r="D235" s="5"/>
      <c r="E235" s="5"/>
    </row>
    <row r="236" spans="1:5" customFormat="1" x14ac:dyDescent="0.25">
      <c r="A236" t="s">
        <v>184</v>
      </c>
      <c r="B236" t="s">
        <v>185</v>
      </c>
      <c r="C236" s="13">
        <v>41000086</v>
      </c>
      <c r="D236" s="5" t="s">
        <v>36</v>
      </c>
      <c r="E236" s="5" t="s">
        <v>186</v>
      </c>
    </row>
    <row r="237" spans="1:5" customFormat="1" x14ac:dyDescent="0.25">
      <c r="B237" t="s">
        <v>187</v>
      </c>
      <c r="C237" s="13">
        <v>41000087</v>
      </c>
      <c r="D237" s="5"/>
      <c r="E237" s="5"/>
    </row>
    <row r="238" spans="1:5" customFormat="1" x14ac:dyDescent="0.25">
      <c r="A238" t="s">
        <v>188</v>
      </c>
      <c r="B238" t="s">
        <v>189</v>
      </c>
      <c r="C238" s="13">
        <v>41000088</v>
      </c>
      <c r="D238" s="5" t="s">
        <v>36</v>
      </c>
      <c r="E238" s="5" t="s">
        <v>37</v>
      </c>
    </row>
    <row r="239" spans="1:5" customFormat="1" x14ac:dyDescent="0.25">
      <c r="A239" t="s">
        <v>150</v>
      </c>
      <c r="B239" t="s">
        <v>190</v>
      </c>
      <c r="C239" s="13">
        <v>41000089</v>
      </c>
      <c r="D239" s="5"/>
      <c r="E239" s="5"/>
    </row>
    <row r="240" spans="1:5" customFormat="1" x14ac:dyDescent="0.25">
      <c r="A240" t="s">
        <v>191</v>
      </c>
      <c r="B240" t="s">
        <v>192</v>
      </c>
      <c r="C240" s="13">
        <v>41000090</v>
      </c>
      <c r="D240" s="5" t="s">
        <v>36</v>
      </c>
      <c r="E240" s="5" t="s">
        <v>41</v>
      </c>
    </row>
    <row r="241" spans="1:5" customFormat="1" x14ac:dyDescent="0.25">
      <c r="A241" t="s">
        <v>193</v>
      </c>
      <c r="B241" t="s">
        <v>194</v>
      </c>
      <c r="C241" s="13">
        <v>41000091</v>
      </c>
      <c r="D241" s="5" t="s">
        <v>36</v>
      </c>
      <c r="E241" s="5" t="s">
        <v>37</v>
      </c>
    </row>
    <row r="242" spans="1:5" customFormat="1" x14ac:dyDescent="0.25">
      <c r="A242" t="s">
        <v>195</v>
      </c>
      <c r="B242" t="s">
        <v>196</v>
      </c>
      <c r="C242" s="13">
        <v>41000092</v>
      </c>
      <c r="D242" s="5" t="s">
        <v>36</v>
      </c>
      <c r="E242" s="5" t="s">
        <v>37</v>
      </c>
    </row>
    <row r="243" spans="1:5" customFormat="1" x14ac:dyDescent="0.25">
      <c r="A243" t="s">
        <v>197</v>
      </c>
      <c r="B243" t="s">
        <v>198</v>
      </c>
      <c r="C243" s="13">
        <v>41000093</v>
      </c>
      <c r="D243" s="5" t="s">
        <v>36</v>
      </c>
      <c r="E243" s="5" t="s">
        <v>37</v>
      </c>
    </row>
    <row r="244" spans="1:5" customFormat="1" x14ac:dyDescent="0.25">
      <c r="A244" t="s">
        <v>199</v>
      </c>
      <c r="B244" t="s">
        <v>200</v>
      </c>
      <c r="C244" s="13">
        <v>41000094</v>
      </c>
      <c r="D244" s="5" t="s">
        <v>36</v>
      </c>
      <c r="E244" s="5" t="s">
        <v>37</v>
      </c>
    </row>
    <row r="245" spans="1:5" customFormat="1" x14ac:dyDescent="0.25">
      <c r="A245" t="s">
        <v>201</v>
      </c>
      <c r="B245" t="s">
        <v>202</v>
      </c>
      <c r="C245" s="13">
        <v>41000095</v>
      </c>
      <c r="D245" s="5" t="s">
        <v>36</v>
      </c>
      <c r="E245" s="5" t="s">
        <v>203</v>
      </c>
    </row>
    <row r="246" spans="1:5" customFormat="1" x14ac:dyDescent="0.25">
      <c r="A246" t="s">
        <v>204</v>
      </c>
      <c r="B246" t="s">
        <v>205</v>
      </c>
      <c r="C246" s="13">
        <v>41000096</v>
      </c>
      <c r="D246" s="5"/>
      <c r="E246" s="5"/>
    </row>
    <row r="247" spans="1:5" customFormat="1" x14ac:dyDescent="0.25">
      <c r="A247" t="s">
        <v>206</v>
      </c>
      <c r="B247" t="s">
        <v>207</v>
      </c>
      <c r="C247" s="13">
        <v>41000097</v>
      </c>
      <c r="D247" s="5" t="s">
        <v>36</v>
      </c>
      <c r="E247" s="5" t="s">
        <v>37</v>
      </c>
    </row>
    <row r="248" spans="1:5" customFormat="1" x14ac:dyDescent="0.25">
      <c r="A248" t="s">
        <v>208</v>
      </c>
      <c r="B248" t="s">
        <v>209</v>
      </c>
      <c r="C248" s="13">
        <v>41000098</v>
      </c>
      <c r="D248" s="5" t="s">
        <v>36</v>
      </c>
      <c r="E248" s="5" t="s">
        <v>210</v>
      </c>
    </row>
    <row r="249" spans="1:5" customFormat="1" x14ac:dyDescent="0.25">
      <c r="A249" t="s">
        <v>211</v>
      </c>
      <c r="B249" t="s">
        <v>212</v>
      </c>
      <c r="C249" s="13">
        <v>41000099</v>
      </c>
      <c r="D249" s="5" t="s">
        <v>36</v>
      </c>
      <c r="E249" s="5" t="s">
        <v>37</v>
      </c>
    </row>
    <row r="250" spans="1:5" customFormat="1" x14ac:dyDescent="0.25">
      <c r="A250" t="s">
        <v>213</v>
      </c>
      <c r="B250" t="s">
        <v>214</v>
      </c>
      <c r="C250" s="13">
        <v>41000100</v>
      </c>
      <c r="D250" s="5" t="s">
        <v>36</v>
      </c>
      <c r="E250" s="5" t="s">
        <v>37</v>
      </c>
    </row>
    <row r="251" spans="1:5" customFormat="1" x14ac:dyDescent="0.25">
      <c r="A251" t="s">
        <v>215</v>
      </c>
      <c r="B251" t="s">
        <v>216</v>
      </c>
      <c r="C251" s="13">
        <v>41000101</v>
      </c>
      <c r="D251" s="5" t="s">
        <v>36</v>
      </c>
      <c r="E251" s="5" t="s">
        <v>37</v>
      </c>
    </row>
    <row r="252" spans="1:5" customFormat="1" x14ac:dyDescent="0.25">
      <c r="A252" t="s">
        <v>217</v>
      </c>
      <c r="B252" t="s">
        <v>218</v>
      </c>
      <c r="C252" s="13">
        <v>41000102</v>
      </c>
      <c r="D252" s="5"/>
      <c r="E252" s="5"/>
    </row>
    <row r="253" spans="1:5" customFormat="1" x14ac:dyDescent="0.25">
      <c r="A253" t="s">
        <v>219</v>
      </c>
      <c r="B253" t="s">
        <v>220</v>
      </c>
      <c r="C253" s="13">
        <v>41000103</v>
      </c>
      <c r="D253" s="5"/>
      <c r="E253" s="5"/>
    </row>
    <row r="254" spans="1:5" customFormat="1" x14ac:dyDescent="0.25">
      <c r="A254" t="s">
        <v>221</v>
      </c>
      <c r="B254" t="s">
        <v>222</v>
      </c>
      <c r="C254" s="13">
        <v>41000104</v>
      </c>
      <c r="D254" s="5"/>
      <c r="E254" s="5"/>
    </row>
    <row r="255" spans="1:5" customFormat="1" x14ac:dyDescent="0.25">
      <c r="A255" t="s">
        <v>223</v>
      </c>
      <c r="B255" t="s">
        <v>224</v>
      </c>
      <c r="C255" s="13">
        <v>41000105</v>
      </c>
      <c r="D255" s="5" t="s">
        <v>36</v>
      </c>
      <c r="E255" s="5" t="s">
        <v>37</v>
      </c>
    </row>
    <row r="256" spans="1:5" customFormat="1" x14ac:dyDescent="0.25">
      <c r="A256" t="s">
        <v>225</v>
      </c>
      <c r="B256" t="s">
        <v>226</v>
      </c>
      <c r="C256" s="13">
        <v>41000106</v>
      </c>
      <c r="D256" s="5" t="s">
        <v>36</v>
      </c>
      <c r="E256" s="5" t="s">
        <v>37</v>
      </c>
    </row>
    <row r="257" spans="1:5" customFormat="1" x14ac:dyDescent="0.25">
      <c r="A257" t="s">
        <v>227</v>
      </c>
      <c r="B257" t="s">
        <v>228</v>
      </c>
      <c r="C257" s="13">
        <v>41000107</v>
      </c>
      <c r="D257" s="5" t="s">
        <v>36</v>
      </c>
      <c r="E257" s="5" t="s">
        <v>37</v>
      </c>
    </row>
    <row r="258" spans="1:5" customFormat="1" x14ac:dyDescent="0.25">
      <c r="A258" t="s">
        <v>229</v>
      </c>
      <c r="B258" t="s">
        <v>230</v>
      </c>
      <c r="C258" s="13">
        <v>41000108</v>
      </c>
      <c r="D258" s="5" t="s">
        <v>36</v>
      </c>
      <c r="E258" s="5" t="s">
        <v>37</v>
      </c>
    </row>
    <row r="259" spans="1:5" customFormat="1" x14ac:dyDescent="0.25">
      <c r="A259" t="s">
        <v>231</v>
      </c>
      <c r="B259" t="s">
        <v>232</v>
      </c>
      <c r="C259" s="13">
        <v>41000109</v>
      </c>
      <c r="D259" s="5"/>
      <c r="E259" s="5"/>
    </row>
    <row r="260" spans="1:5" customFormat="1" x14ac:dyDescent="0.25">
      <c r="A260" t="s">
        <v>233</v>
      </c>
      <c r="B260" t="s">
        <v>234</v>
      </c>
      <c r="C260" s="13">
        <v>41000110</v>
      </c>
      <c r="D260" s="5"/>
      <c r="E260" s="5"/>
    </row>
    <row r="261" spans="1:5" customFormat="1" x14ac:dyDescent="0.25">
      <c r="A261" t="s">
        <v>235</v>
      </c>
      <c r="B261" t="s">
        <v>236</v>
      </c>
      <c r="C261" s="13">
        <v>41000111</v>
      </c>
      <c r="D261" s="5"/>
      <c r="E261" s="5"/>
    </row>
    <row r="262" spans="1:5" customFormat="1" x14ac:dyDescent="0.25">
      <c r="A262" t="s">
        <v>237</v>
      </c>
      <c r="B262" t="s">
        <v>238</v>
      </c>
      <c r="C262" s="13">
        <v>41000112</v>
      </c>
      <c r="D262" s="5"/>
      <c r="E262" s="5"/>
    </row>
    <row r="263" spans="1:5" customFormat="1" x14ac:dyDescent="0.25">
      <c r="A263" t="s">
        <v>239</v>
      </c>
      <c r="B263" t="s">
        <v>240</v>
      </c>
      <c r="C263" s="13">
        <v>41000113</v>
      </c>
      <c r="D263" s="5"/>
      <c r="E263" s="5"/>
    </row>
    <row r="264" spans="1:5" customFormat="1" x14ac:dyDescent="0.25">
      <c r="A264" t="s">
        <v>241</v>
      </c>
      <c r="B264" t="s">
        <v>242</v>
      </c>
      <c r="C264" s="13">
        <v>41000114</v>
      </c>
      <c r="D264" s="5"/>
      <c r="E264" s="5"/>
    </row>
    <row r="265" spans="1:5" customFormat="1" x14ac:dyDescent="0.25">
      <c r="A265" t="s">
        <v>243</v>
      </c>
      <c r="B265" t="s">
        <v>244</v>
      </c>
      <c r="C265" s="13">
        <v>41000115</v>
      </c>
      <c r="D265" s="5"/>
      <c r="E265" s="5"/>
    </row>
    <row r="266" spans="1:5" customFormat="1" x14ac:dyDescent="0.25">
      <c r="A266" t="s">
        <v>245</v>
      </c>
      <c r="B266" t="s">
        <v>246</v>
      </c>
      <c r="C266" s="13">
        <v>41000116</v>
      </c>
      <c r="D266" s="5"/>
      <c r="E266" s="5"/>
    </row>
    <row r="267" spans="1:5" customFormat="1" x14ac:dyDescent="0.25">
      <c r="A267" t="s">
        <v>247</v>
      </c>
      <c r="B267" t="s">
        <v>248</v>
      </c>
      <c r="C267" s="13">
        <v>41000117</v>
      </c>
      <c r="D267" s="5"/>
      <c r="E267" s="5"/>
    </row>
    <row r="268" spans="1:5" customFormat="1" x14ac:dyDescent="0.25">
      <c r="A268" t="s">
        <v>249</v>
      </c>
      <c r="B268" t="s">
        <v>250</v>
      </c>
      <c r="C268" s="13">
        <v>41000118</v>
      </c>
      <c r="D268" s="5"/>
      <c r="E268" s="5"/>
    </row>
    <row r="269" spans="1:5" customFormat="1" x14ac:dyDescent="0.25">
      <c r="A269" t="s">
        <v>251</v>
      </c>
      <c r="B269" t="s">
        <v>252</v>
      </c>
      <c r="C269" s="13">
        <v>41000119</v>
      </c>
      <c r="D269" s="5"/>
      <c r="E269" s="5"/>
    </row>
    <row r="270" spans="1:5" customFormat="1" x14ac:dyDescent="0.25">
      <c r="A270" t="s">
        <v>253</v>
      </c>
      <c r="B270" t="s">
        <v>254</v>
      </c>
      <c r="C270" s="13">
        <v>41000120</v>
      </c>
      <c r="D270" s="5"/>
      <c r="E270" s="5"/>
    </row>
    <row r="271" spans="1:5" customFormat="1" x14ac:dyDescent="0.25">
      <c r="A271" t="s">
        <v>255</v>
      </c>
      <c r="B271" t="s">
        <v>256</v>
      </c>
      <c r="C271" s="13">
        <v>41000121</v>
      </c>
      <c r="D271" s="5"/>
      <c r="E271" s="5"/>
    </row>
    <row r="272" spans="1:5" customFormat="1" x14ac:dyDescent="0.25">
      <c r="A272" t="s">
        <v>257</v>
      </c>
      <c r="B272" t="s">
        <v>258</v>
      </c>
      <c r="C272" s="13">
        <v>41000122</v>
      </c>
      <c r="D272" s="5"/>
      <c r="E272" s="5"/>
    </row>
    <row r="273" spans="1:5" customFormat="1" x14ac:dyDescent="0.25">
      <c r="A273" t="s">
        <v>259</v>
      </c>
      <c r="B273" t="s">
        <v>260</v>
      </c>
      <c r="C273" s="13">
        <v>41000123</v>
      </c>
      <c r="D273" s="5"/>
      <c r="E273" s="5"/>
    </row>
    <row r="274" spans="1:5" customFormat="1" x14ac:dyDescent="0.25">
      <c r="A274" t="s">
        <v>261</v>
      </c>
      <c r="B274" t="s">
        <v>262</v>
      </c>
      <c r="C274" s="13">
        <v>41000124</v>
      </c>
      <c r="D274" s="5"/>
      <c r="E274" s="5"/>
    </row>
    <row r="275" spans="1:5" customFormat="1" x14ac:dyDescent="0.25">
      <c r="A275" t="s">
        <v>263</v>
      </c>
      <c r="B275" t="s">
        <v>264</v>
      </c>
      <c r="C275" s="13">
        <v>41000125</v>
      </c>
      <c r="D275" s="5"/>
      <c r="E275" s="5"/>
    </row>
    <row r="276" spans="1:5" customFormat="1" x14ac:dyDescent="0.25">
      <c r="A276" t="s">
        <v>265</v>
      </c>
      <c r="B276" t="s">
        <v>266</v>
      </c>
      <c r="C276" s="13">
        <v>41000126</v>
      </c>
      <c r="D276" s="5"/>
      <c r="E276" s="5"/>
    </row>
    <row r="277" spans="1:5" customFormat="1" x14ac:dyDescent="0.25">
      <c r="A277" t="s">
        <v>267</v>
      </c>
      <c r="B277" t="s">
        <v>268</v>
      </c>
      <c r="C277" s="13">
        <v>41000127</v>
      </c>
      <c r="D277" s="5"/>
      <c r="E277" s="5"/>
    </row>
    <row r="278" spans="1:5" customFormat="1" x14ac:dyDescent="0.25">
      <c r="A278" t="s">
        <v>269</v>
      </c>
      <c r="B278" t="s">
        <v>270</v>
      </c>
      <c r="C278" s="13">
        <v>41000128</v>
      </c>
      <c r="D278" s="5"/>
      <c r="E278" s="5"/>
    </row>
    <row r="279" spans="1:5" customFormat="1" x14ac:dyDescent="0.25">
      <c r="A279" t="s">
        <v>271</v>
      </c>
      <c r="B279" t="s">
        <v>272</v>
      </c>
      <c r="C279" s="13">
        <v>41000129</v>
      </c>
      <c r="D279" s="5"/>
      <c r="E279" s="5"/>
    </row>
    <row r="280" spans="1:5" customFormat="1" x14ac:dyDescent="0.25">
      <c r="A280" t="s">
        <v>273</v>
      </c>
      <c r="B280" t="s">
        <v>274</v>
      </c>
      <c r="C280" s="13">
        <v>41000130</v>
      </c>
      <c r="D280" s="5"/>
      <c r="E280" s="5"/>
    </row>
    <row r="281" spans="1:5" customFormat="1" x14ac:dyDescent="0.25">
      <c r="A281" t="s">
        <v>275</v>
      </c>
      <c r="B281" t="s">
        <v>276</v>
      </c>
      <c r="C281" s="13">
        <v>41000131</v>
      </c>
      <c r="D281" s="5"/>
      <c r="E281" s="5"/>
    </row>
    <row r="282" spans="1:5" customFormat="1" x14ac:dyDescent="0.25">
      <c r="A282" t="s">
        <v>277</v>
      </c>
      <c r="B282" t="s">
        <v>278</v>
      </c>
      <c r="C282" s="13">
        <v>41000132</v>
      </c>
      <c r="D282" s="5"/>
      <c r="E282" s="5"/>
    </row>
    <row r="283" spans="1:5" customFormat="1" x14ac:dyDescent="0.25">
      <c r="A283" t="s">
        <v>279</v>
      </c>
      <c r="B283" t="s">
        <v>280</v>
      </c>
      <c r="C283" s="13">
        <v>41000133</v>
      </c>
      <c r="D283" s="5"/>
      <c r="E283" s="5"/>
    </row>
    <row r="284" spans="1:5" customFormat="1" x14ac:dyDescent="0.25">
      <c r="A284" t="s">
        <v>281</v>
      </c>
      <c r="B284" t="s">
        <v>282</v>
      </c>
      <c r="C284" s="13">
        <v>41000134</v>
      </c>
      <c r="D284" s="5"/>
      <c r="E284" s="5"/>
    </row>
    <row r="285" spans="1:5" customFormat="1" x14ac:dyDescent="0.25">
      <c r="A285" t="s">
        <v>283</v>
      </c>
      <c r="B285" t="s">
        <v>284</v>
      </c>
      <c r="C285" s="13">
        <v>41000135</v>
      </c>
      <c r="D285" s="5"/>
      <c r="E285" s="5"/>
    </row>
    <row r="286" spans="1:5" customFormat="1" x14ac:dyDescent="0.25">
      <c r="A286" t="s">
        <v>285</v>
      </c>
      <c r="B286" t="s">
        <v>286</v>
      </c>
      <c r="C286" s="13">
        <v>41000136</v>
      </c>
      <c r="D286" s="5"/>
      <c r="E286" s="5"/>
    </row>
    <row r="287" spans="1:5" customFormat="1" x14ac:dyDescent="0.25">
      <c r="A287" t="s">
        <v>287</v>
      </c>
      <c r="B287" t="s">
        <v>288</v>
      </c>
      <c r="C287" s="13">
        <v>41000137</v>
      </c>
      <c r="D287" s="5"/>
      <c r="E287" s="5"/>
    </row>
    <row r="288" spans="1:5" customFormat="1" x14ac:dyDescent="0.25">
      <c r="A288" t="s">
        <v>289</v>
      </c>
      <c r="B288" t="s">
        <v>290</v>
      </c>
      <c r="C288" s="13">
        <v>41000138</v>
      </c>
      <c r="D288" s="5"/>
      <c r="E288" s="5"/>
    </row>
    <row r="289" spans="1:5" customFormat="1" x14ac:dyDescent="0.25">
      <c r="A289" t="s">
        <v>291</v>
      </c>
      <c r="B289" t="s">
        <v>292</v>
      </c>
      <c r="C289" s="13">
        <v>41000139</v>
      </c>
      <c r="D289" s="5"/>
      <c r="E289" s="5"/>
    </row>
    <row r="290" spans="1:5" customFormat="1" x14ac:dyDescent="0.25">
      <c r="A290" t="s">
        <v>293</v>
      </c>
      <c r="B290" t="s">
        <v>294</v>
      </c>
      <c r="C290" s="13">
        <v>41000140</v>
      </c>
      <c r="D290" s="5"/>
      <c r="E290" s="5"/>
    </row>
    <row r="291" spans="1:5" customFormat="1" x14ac:dyDescent="0.25">
      <c r="A291" t="s">
        <v>295</v>
      </c>
      <c r="B291" t="s">
        <v>296</v>
      </c>
      <c r="C291" s="13">
        <v>41000141</v>
      </c>
      <c r="D291" s="5"/>
      <c r="E291" s="5"/>
    </row>
    <row r="292" spans="1:5" customFormat="1" x14ac:dyDescent="0.25">
      <c r="A292" t="s">
        <v>297</v>
      </c>
      <c r="B292" t="s">
        <v>298</v>
      </c>
      <c r="C292" s="13">
        <v>41000142</v>
      </c>
      <c r="D292" s="5"/>
      <c r="E292" s="5"/>
    </row>
    <row r="293" spans="1:5" customFormat="1" x14ac:dyDescent="0.25">
      <c r="A293" t="s">
        <v>299</v>
      </c>
      <c r="B293" t="s">
        <v>300</v>
      </c>
      <c r="C293" s="13">
        <v>41000143</v>
      </c>
      <c r="D293" s="5"/>
      <c r="E293" s="5"/>
    </row>
    <row r="294" spans="1:5" customFormat="1" x14ac:dyDescent="0.25">
      <c r="A294" t="s">
        <v>301</v>
      </c>
      <c r="B294" t="s">
        <v>302</v>
      </c>
      <c r="C294" s="13">
        <v>41000144</v>
      </c>
      <c r="D294" s="5"/>
      <c r="E294" s="5"/>
    </row>
    <row r="295" spans="1:5" customFormat="1" x14ac:dyDescent="0.25">
      <c r="A295" t="s">
        <v>303</v>
      </c>
      <c r="B295" t="s">
        <v>304</v>
      </c>
      <c r="C295" s="13">
        <v>41000145</v>
      </c>
      <c r="D295" s="5"/>
      <c r="E295" s="5"/>
    </row>
    <row r="296" spans="1:5" customFormat="1" x14ac:dyDescent="0.25">
      <c r="A296" t="s">
        <v>305</v>
      </c>
      <c r="B296" t="s">
        <v>306</v>
      </c>
      <c r="C296" s="13">
        <v>41000146</v>
      </c>
      <c r="D296" s="5"/>
      <c r="E296" s="5"/>
    </row>
    <row r="297" spans="1:5" customFormat="1" x14ac:dyDescent="0.25">
      <c r="A297" t="s">
        <v>307</v>
      </c>
      <c r="B297" t="s">
        <v>308</v>
      </c>
      <c r="C297" s="13">
        <v>41000147</v>
      </c>
      <c r="D297" s="5"/>
      <c r="E297" s="5"/>
    </row>
    <row r="298" spans="1:5" customFormat="1" x14ac:dyDescent="0.25">
      <c r="A298" t="s">
        <v>309</v>
      </c>
      <c r="B298" t="s">
        <v>310</v>
      </c>
      <c r="C298" s="13">
        <v>41000148</v>
      </c>
      <c r="D298" s="5"/>
      <c r="E298" s="5"/>
    </row>
    <row r="299" spans="1:5" customFormat="1" x14ac:dyDescent="0.25">
      <c r="A299" t="s">
        <v>311</v>
      </c>
      <c r="B299" t="s">
        <v>312</v>
      </c>
      <c r="C299" s="13">
        <v>41000149</v>
      </c>
      <c r="D299" s="5"/>
      <c r="E299" s="5"/>
    </row>
    <row r="300" spans="1:5" customFormat="1" x14ac:dyDescent="0.25">
      <c r="A300" t="s">
        <v>313</v>
      </c>
      <c r="B300" t="s">
        <v>314</v>
      </c>
      <c r="C300" s="13">
        <v>41000150</v>
      </c>
      <c r="D300" s="5"/>
      <c r="E300" s="5"/>
    </row>
    <row r="301" spans="1:5" customFormat="1" x14ac:dyDescent="0.25">
      <c r="A301" t="s">
        <v>315</v>
      </c>
      <c r="B301" t="s">
        <v>316</v>
      </c>
      <c r="C301" s="13">
        <v>41000151</v>
      </c>
      <c r="D301" s="5"/>
      <c r="E301" s="5"/>
    </row>
    <row r="302" spans="1:5" customFormat="1" x14ac:dyDescent="0.25">
      <c r="A302" t="s">
        <v>317</v>
      </c>
      <c r="B302" t="s">
        <v>318</v>
      </c>
      <c r="C302" s="13">
        <v>41000152</v>
      </c>
      <c r="D302" s="5"/>
      <c r="E302" s="5"/>
    </row>
    <row r="303" spans="1:5" customFormat="1" x14ac:dyDescent="0.25">
      <c r="B303" t="s">
        <v>319</v>
      </c>
      <c r="C303" s="13">
        <v>41000153</v>
      </c>
      <c r="D303" s="5"/>
      <c r="E303" s="5"/>
    </row>
    <row r="304" spans="1:5" customFormat="1" x14ac:dyDescent="0.25">
      <c r="C304" s="13"/>
      <c r="D304" s="5"/>
      <c r="E304" s="5"/>
    </row>
    <row r="305" spans="3:5" customFormat="1" x14ac:dyDescent="0.25">
      <c r="C305" s="13"/>
      <c r="D305" s="5"/>
      <c r="E305" s="5"/>
    </row>
    <row r="306" spans="3:5" customFormat="1" x14ac:dyDescent="0.25">
      <c r="C306" s="16"/>
      <c r="D306" s="5"/>
      <c r="E306" s="5"/>
    </row>
    <row r="307" spans="3:5" customFormat="1" x14ac:dyDescent="0.25">
      <c r="C307" s="16"/>
      <c r="D307" s="5"/>
      <c r="E307" s="5"/>
    </row>
    <row r="308" spans="3:5" customFormat="1" x14ac:dyDescent="0.25">
      <c r="C308" s="16"/>
      <c r="D308" s="5"/>
      <c r="E308" s="5"/>
    </row>
    <row r="309" spans="3:5" customFormat="1" x14ac:dyDescent="0.25">
      <c r="C309" s="16"/>
      <c r="D309" s="5"/>
      <c r="E309" s="5"/>
    </row>
    <row r="310" spans="3:5" customFormat="1" x14ac:dyDescent="0.25">
      <c r="C310" s="16"/>
      <c r="D310" s="5"/>
      <c r="E310" s="5"/>
    </row>
    <row r="311" spans="3:5" customFormat="1" x14ac:dyDescent="0.25">
      <c r="C311" s="16"/>
      <c r="D311" s="5"/>
      <c r="E311" s="5"/>
    </row>
    <row r="312" spans="3:5" customFormat="1" x14ac:dyDescent="0.25">
      <c r="C312" s="16"/>
      <c r="D312" s="5"/>
      <c r="E312" s="5"/>
    </row>
    <row r="313" spans="3:5" customFormat="1" x14ac:dyDescent="0.25">
      <c r="C313" s="16"/>
      <c r="D313" s="5"/>
      <c r="E313" s="5"/>
    </row>
    <row r="314" spans="3:5" customFormat="1" x14ac:dyDescent="0.25">
      <c r="C314" s="16"/>
      <c r="D314" s="5"/>
      <c r="E314" s="5"/>
    </row>
    <row r="315" spans="3:5" customFormat="1" x14ac:dyDescent="0.25">
      <c r="C315" s="16"/>
      <c r="D315" s="5"/>
      <c r="E315" s="5"/>
    </row>
    <row r="316" spans="3:5" customFormat="1" x14ac:dyDescent="0.25">
      <c r="C316" s="16"/>
      <c r="D316" s="5"/>
      <c r="E316" s="5"/>
    </row>
    <row r="317" spans="3:5" customFormat="1" x14ac:dyDescent="0.25">
      <c r="C317" s="16"/>
      <c r="D317" s="5"/>
      <c r="E317" s="5"/>
    </row>
    <row r="318" spans="3:5" customFormat="1" x14ac:dyDescent="0.25">
      <c r="C318" s="16"/>
      <c r="D318" s="5"/>
      <c r="E318" s="5"/>
    </row>
    <row r="319" spans="3:5" customFormat="1" x14ac:dyDescent="0.25">
      <c r="C319" s="16"/>
      <c r="D319" s="5"/>
      <c r="E319" s="5"/>
    </row>
    <row r="320" spans="3:5" customFormat="1" x14ac:dyDescent="0.25">
      <c r="C320" s="16"/>
      <c r="D320" s="5"/>
      <c r="E320" s="5"/>
    </row>
    <row r="321" spans="3:5" customFormat="1" x14ac:dyDescent="0.25">
      <c r="C321" s="16"/>
      <c r="D321" s="5"/>
      <c r="E321" s="5"/>
    </row>
    <row r="322" spans="3:5" customFormat="1" x14ac:dyDescent="0.25">
      <c r="C322" s="16"/>
      <c r="D322" s="5"/>
      <c r="E322" s="5"/>
    </row>
    <row r="323" spans="3:5" customFormat="1" x14ac:dyDescent="0.25">
      <c r="C323" s="16"/>
      <c r="D323" s="5"/>
      <c r="E323" s="5"/>
    </row>
    <row r="324" spans="3:5" customFormat="1" x14ac:dyDescent="0.25">
      <c r="C324" s="16"/>
      <c r="D324" s="5"/>
      <c r="E324" s="5"/>
    </row>
    <row r="325" spans="3:5" customFormat="1" x14ac:dyDescent="0.25">
      <c r="C325" s="16"/>
      <c r="D325" s="5"/>
      <c r="E325" s="5"/>
    </row>
    <row r="326" spans="3:5" customFormat="1" x14ac:dyDescent="0.25">
      <c r="C326" s="16"/>
      <c r="D326" s="5"/>
      <c r="E326" s="5"/>
    </row>
    <row r="327" spans="3:5" customFormat="1" x14ac:dyDescent="0.25">
      <c r="C327" s="16"/>
      <c r="D327" s="5"/>
      <c r="E327" s="5"/>
    </row>
    <row r="328" spans="3:5" customFormat="1" x14ac:dyDescent="0.25">
      <c r="C328" s="16"/>
      <c r="D328" s="5"/>
      <c r="E328" s="5"/>
    </row>
    <row r="329" spans="3:5" customFormat="1" x14ac:dyDescent="0.25">
      <c r="C329" s="16"/>
      <c r="D329" s="5"/>
      <c r="E329" s="5"/>
    </row>
    <row r="330" spans="3:5" customFormat="1" x14ac:dyDescent="0.25">
      <c r="C330" s="16"/>
      <c r="D330" s="5"/>
      <c r="E330" s="5"/>
    </row>
    <row r="331" spans="3:5" customFormat="1" x14ac:dyDescent="0.25">
      <c r="C331" s="16"/>
      <c r="D331" s="5"/>
      <c r="E331" s="5"/>
    </row>
    <row r="332" spans="3:5" customFormat="1" x14ac:dyDescent="0.25">
      <c r="C332" s="16"/>
      <c r="D332" s="5"/>
      <c r="E332" s="5"/>
    </row>
    <row r="333" spans="3:5" customFormat="1" x14ac:dyDescent="0.25">
      <c r="C333" s="16"/>
      <c r="D333" s="5"/>
      <c r="E333" s="5"/>
    </row>
    <row r="334" spans="3:5" customFormat="1" x14ac:dyDescent="0.25">
      <c r="C334" s="16"/>
      <c r="D334" s="5"/>
      <c r="E334" s="5"/>
    </row>
    <row r="335" spans="3:5" customFormat="1" x14ac:dyDescent="0.25">
      <c r="C335" s="16"/>
      <c r="D335" s="5"/>
      <c r="E335" s="5"/>
    </row>
    <row r="336" spans="3:5" customFormat="1" x14ac:dyDescent="0.25">
      <c r="C336" s="16"/>
      <c r="D336" s="5"/>
      <c r="E336" s="5"/>
    </row>
    <row r="337" spans="3:5" customFormat="1" x14ac:dyDescent="0.25">
      <c r="C337" s="16"/>
      <c r="D337" s="5"/>
      <c r="E337" s="5"/>
    </row>
    <row r="338" spans="3:5" customFormat="1" x14ac:dyDescent="0.25">
      <c r="C338" s="16"/>
      <c r="D338" s="5"/>
      <c r="E338" s="5"/>
    </row>
    <row r="339" spans="3:5" customFormat="1" x14ac:dyDescent="0.25">
      <c r="C339" s="16"/>
      <c r="D339" s="5"/>
      <c r="E339" s="5"/>
    </row>
    <row r="340" spans="3:5" customFormat="1" x14ac:dyDescent="0.25">
      <c r="C340" s="16"/>
      <c r="D340" s="5"/>
      <c r="E340" s="5"/>
    </row>
    <row r="341" spans="3:5" customFormat="1" x14ac:dyDescent="0.25">
      <c r="C341" s="16"/>
      <c r="D341" s="5"/>
      <c r="E341" s="5"/>
    </row>
    <row r="342" spans="3:5" customFormat="1" x14ac:dyDescent="0.25">
      <c r="C342" s="16"/>
      <c r="D342" s="5"/>
      <c r="E342" s="5"/>
    </row>
    <row r="343" spans="3:5" customFormat="1" x14ac:dyDescent="0.25">
      <c r="C343" s="16"/>
      <c r="D343" s="5"/>
      <c r="E343" s="5"/>
    </row>
    <row r="344" spans="3:5" customFormat="1" x14ac:dyDescent="0.25">
      <c r="C344" s="16"/>
      <c r="D344" s="5"/>
      <c r="E344" s="5"/>
    </row>
    <row r="345" spans="3:5" customFormat="1" x14ac:dyDescent="0.25">
      <c r="C345" s="16"/>
      <c r="D345" s="5"/>
      <c r="E345" s="5"/>
    </row>
    <row r="346" spans="3:5" customFormat="1" x14ac:dyDescent="0.25">
      <c r="C346" s="16"/>
      <c r="D346" s="5"/>
      <c r="E346" s="5"/>
    </row>
    <row r="347" spans="3:5" customFormat="1" x14ac:dyDescent="0.25">
      <c r="C347" s="16"/>
      <c r="D347" s="5"/>
      <c r="E347" s="5"/>
    </row>
    <row r="348" spans="3:5" customFormat="1" x14ac:dyDescent="0.25">
      <c r="C348" s="16"/>
      <c r="D348" s="5"/>
      <c r="E348" s="5"/>
    </row>
    <row r="349" spans="3:5" customFormat="1" x14ac:dyDescent="0.25">
      <c r="C349" s="16"/>
      <c r="D349" s="5"/>
      <c r="E349" s="5"/>
    </row>
    <row r="350" spans="3:5" customFormat="1" x14ac:dyDescent="0.25">
      <c r="C350" s="16"/>
      <c r="D350" s="5"/>
      <c r="E350" s="5"/>
    </row>
    <row r="351" spans="3:5" customFormat="1" x14ac:dyDescent="0.25">
      <c r="C351" s="16"/>
      <c r="D351" s="5"/>
      <c r="E351" s="5"/>
    </row>
    <row r="352" spans="3:5" customFormat="1" x14ac:dyDescent="0.25">
      <c r="C352" s="16"/>
      <c r="D352" s="5"/>
      <c r="E352" s="5"/>
    </row>
    <row r="353" spans="3:5" customFormat="1" x14ac:dyDescent="0.25">
      <c r="C353" s="16"/>
      <c r="D353" s="5"/>
      <c r="E353" s="5"/>
    </row>
    <row r="354" spans="3:5" customFormat="1" x14ac:dyDescent="0.25">
      <c r="C354" s="16"/>
      <c r="D354" s="5"/>
      <c r="E354" s="5"/>
    </row>
    <row r="355" spans="3:5" customFormat="1" x14ac:dyDescent="0.25">
      <c r="C355" s="16"/>
      <c r="D355" s="5"/>
      <c r="E355" s="5"/>
    </row>
    <row r="356" spans="3:5" customFormat="1" x14ac:dyDescent="0.25">
      <c r="C356" s="16"/>
      <c r="D356" s="5"/>
      <c r="E356" s="5"/>
    </row>
    <row r="357" spans="3:5" customFormat="1" x14ac:dyDescent="0.25">
      <c r="C357" s="16"/>
      <c r="D357" s="5"/>
      <c r="E357" s="5"/>
    </row>
    <row r="358" spans="3:5" customFormat="1" x14ac:dyDescent="0.25">
      <c r="C358" s="16"/>
      <c r="D358" s="5"/>
      <c r="E358" s="5"/>
    </row>
    <row r="359" spans="3:5" customFormat="1" x14ac:dyDescent="0.25">
      <c r="C359" s="16"/>
      <c r="D359" s="5"/>
      <c r="E359" s="5"/>
    </row>
    <row r="360" spans="3:5" customFormat="1" x14ac:dyDescent="0.25">
      <c r="C360" s="16"/>
      <c r="D360" s="5"/>
      <c r="E360" s="5"/>
    </row>
    <row r="361" spans="3:5" customFormat="1" x14ac:dyDescent="0.25">
      <c r="C361" s="16"/>
      <c r="D361" s="5"/>
      <c r="E361" s="5"/>
    </row>
    <row r="362" spans="3:5" customFormat="1" x14ac:dyDescent="0.25">
      <c r="C362" s="16"/>
      <c r="D362" s="5"/>
      <c r="E362" s="5"/>
    </row>
    <row r="363" spans="3:5" customFormat="1" x14ac:dyDescent="0.25">
      <c r="C363" s="16"/>
      <c r="D363" s="5"/>
      <c r="E363" s="5"/>
    </row>
    <row r="364" spans="3:5" customFormat="1" x14ac:dyDescent="0.25">
      <c r="C364" s="16"/>
      <c r="D364" s="5"/>
      <c r="E364" s="5"/>
    </row>
    <row r="365" spans="3:5" customFormat="1" x14ac:dyDescent="0.25">
      <c r="C365" s="16"/>
      <c r="D365" s="5"/>
      <c r="E365" s="5"/>
    </row>
    <row r="366" spans="3:5" customFormat="1" x14ac:dyDescent="0.25">
      <c r="C366" s="16"/>
      <c r="D366" s="5"/>
      <c r="E366" s="5"/>
    </row>
    <row r="367" spans="3:5" customFormat="1" x14ac:dyDescent="0.25">
      <c r="C367" s="16"/>
      <c r="D367" s="5"/>
      <c r="E367" s="5"/>
    </row>
    <row r="368" spans="3:5" customFormat="1" x14ac:dyDescent="0.25">
      <c r="C368" s="16"/>
      <c r="D368" s="5"/>
      <c r="E368" s="5"/>
    </row>
    <row r="369" spans="3:5" customFormat="1" x14ac:dyDescent="0.25">
      <c r="C369" s="16"/>
      <c r="D369" s="5"/>
      <c r="E369" s="5"/>
    </row>
    <row r="370" spans="3:5" customFormat="1" x14ac:dyDescent="0.25">
      <c r="C370" s="16"/>
      <c r="D370" s="5"/>
      <c r="E370" s="5"/>
    </row>
    <row r="371" spans="3:5" customFormat="1" x14ac:dyDescent="0.25">
      <c r="C371" s="16"/>
      <c r="D371" s="5"/>
      <c r="E371" s="5"/>
    </row>
    <row r="372" spans="3:5" customFormat="1" x14ac:dyDescent="0.25">
      <c r="C372" s="16"/>
      <c r="D372" s="5"/>
      <c r="E372" s="5"/>
    </row>
    <row r="373" spans="3:5" customFormat="1" x14ac:dyDescent="0.25">
      <c r="C373" s="16"/>
      <c r="D373" s="5"/>
      <c r="E373" s="5"/>
    </row>
    <row r="374" spans="3:5" customFormat="1" x14ac:dyDescent="0.25">
      <c r="C374" s="16"/>
      <c r="D374" s="5"/>
      <c r="E374" s="5"/>
    </row>
    <row r="375" spans="3:5" customFormat="1" x14ac:dyDescent="0.25">
      <c r="C375" s="16"/>
      <c r="D375" s="5"/>
      <c r="E375" s="5"/>
    </row>
    <row r="376" spans="3:5" customFormat="1" x14ac:dyDescent="0.25">
      <c r="C376" s="16"/>
      <c r="D376" s="5"/>
      <c r="E376" s="5"/>
    </row>
    <row r="377" spans="3:5" customFormat="1" x14ac:dyDescent="0.25">
      <c r="C377" s="16"/>
      <c r="D377" s="5"/>
      <c r="E377" s="5"/>
    </row>
    <row r="378" spans="3:5" customFormat="1" x14ac:dyDescent="0.25">
      <c r="C378" s="16"/>
      <c r="D378" s="5"/>
      <c r="E378" s="5"/>
    </row>
    <row r="379" spans="3:5" customFormat="1" x14ac:dyDescent="0.25">
      <c r="C379" s="16"/>
      <c r="D379" s="5"/>
      <c r="E379" s="5"/>
    </row>
    <row r="380" spans="3:5" customFormat="1" x14ac:dyDescent="0.25">
      <c r="C380" s="16"/>
      <c r="D380" s="5"/>
      <c r="E380" s="5"/>
    </row>
    <row r="381" spans="3:5" customFormat="1" x14ac:dyDescent="0.25">
      <c r="C381" s="16"/>
      <c r="D381" s="5"/>
      <c r="E381" s="5"/>
    </row>
    <row r="382" spans="3:5" customFormat="1" x14ac:dyDescent="0.25">
      <c r="C382" s="16"/>
      <c r="D382" s="5"/>
      <c r="E382" s="5"/>
    </row>
    <row r="383" spans="3:5" customFormat="1" x14ac:dyDescent="0.25">
      <c r="C383" s="16"/>
      <c r="D383" s="5"/>
      <c r="E383" s="5"/>
    </row>
    <row r="384" spans="3:5" customFormat="1" x14ac:dyDescent="0.25">
      <c r="C384" s="16"/>
      <c r="D384" s="5"/>
      <c r="E384" s="5"/>
    </row>
    <row r="385" spans="3:5" customFormat="1" x14ac:dyDescent="0.25">
      <c r="C385" s="16"/>
      <c r="D385" s="5"/>
      <c r="E385" s="5"/>
    </row>
    <row r="386" spans="3:5" customFormat="1" x14ac:dyDescent="0.25">
      <c r="C386" s="16"/>
      <c r="D386" s="5"/>
      <c r="E386" s="5"/>
    </row>
    <row r="387" spans="3:5" customFormat="1" x14ac:dyDescent="0.25">
      <c r="C387" s="16"/>
      <c r="D387" s="5"/>
      <c r="E387" s="5"/>
    </row>
    <row r="388" spans="3:5" customFormat="1" x14ac:dyDescent="0.25">
      <c r="C388" s="16"/>
      <c r="D388" s="5"/>
      <c r="E388" s="5"/>
    </row>
    <row r="389" spans="3:5" customFormat="1" x14ac:dyDescent="0.25">
      <c r="C389" s="16"/>
      <c r="D389" s="5"/>
      <c r="E389" s="5"/>
    </row>
    <row r="390" spans="3:5" customFormat="1" x14ac:dyDescent="0.25">
      <c r="C390" s="16"/>
      <c r="D390" s="5"/>
      <c r="E390" s="5"/>
    </row>
    <row r="391" spans="3:5" customFormat="1" x14ac:dyDescent="0.25">
      <c r="C391" s="16"/>
      <c r="D391" s="5"/>
      <c r="E391" s="5"/>
    </row>
    <row r="392" spans="3:5" customFormat="1" x14ac:dyDescent="0.25">
      <c r="C392" s="16"/>
      <c r="D392" s="5"/>
      <c r="E392" s="5"/>
    </row>
    <row r="393" spans="3:5" customFormat="1" x14ac:dyDescent="0.25">
      <c r="C393" s="16"/>
      <c r="D393" s="5"/>
      <c r="E393" s="5"/>
    </row>
    <row r="394" spans="3:5" customFormat="1" x14ac:dyDescent="0.25">
      <c r="C394" s="16"/>
      <c r="D394" s="5"/>
      <c r="E394" s="5"/>
    </row>
    <row r="395" spans="3:5" customFormat="1" x14ac:dyDescent="0.25">
      <c r="C395" s="16"/>
      <c r="D395" s="5"/>
      <c r="E395" s="5"/>
    </row>
    <row r="396" spans="3:5" customFormat="1" x14ac:dyDescent="0.25">
      <c r="C396" s="16"/>
      <c r="D396" s="5"/>
      <c r="E396" s="5"/>
    </row>
    <row r="397" spans="3:5" customFormat="1" x14ac:dyDescent="0.25">
      <c r="C397" s="16"/>
      <c r="D397" s="5"/>
      <c r="E397" s="5"/>
    </row>
    <row r="398" spans="3:5" customFormat="1" x14ac:dyDescent="0.25">
      <c r="C398" s="16"/>
      <c r="D398" s="5"/>
      <c r="E398" s="5"/>
    </row>
    <row r="399" spans="3:5" customFormat="1" x14ac:dyDescent="0.25">
      <c r="C399" s="16"/>
      <c r="D399" s="5"/>
      <c r="E399" s="5"/>
    </row>
    <row r="400" spans="3:5" customFormat="1" x14ac:dyDescent="0.25">
      <c r="C400" s="16"/>
      <c r="D400" s="5"/>
      <c r="E400" s="5"/>
    </row>
    <row r="401" spans="3:5" customFormat="1" x14ac:dyDescent="0.25">
      <c r="C401" s="16"/>
      <c r="D401" s="5"/>
      <c r="E401" s="5"/>
    </row>
    <row r="402" spans="3:5" customFormat="1" x14ac:dyDescent="0.25">
      <c r="C402" s="16"/>
      <c r="D402" s="5"/>
      <c r="E402" s="5"/>
    </row>
    <row r="403" spans="3:5" customFormat="1" x14ac:dyDescent="0.25">
      <c r="C403" s="16"/>
      <c r="D403" s="5"/>
      <c r="E403" s="5"/>
    </row>
    <row r="404" spans="3:5" customFormat="1" x14ac:dyDescent="0.25">
      <c r="C404" s="16"/>
      <c r="D404" s="5"/>
      <c r="E404" s="5"/>
    </row>
    <row r="405" spans="3:5" customFormat="1" x14ac:dyDescent="0.25">
      <c r="C405" s="16"/>
      <c r="D405" s="5"/>
      <c r="E405" s="5"/>
    </row>
    <row r="406" spans="3:5" customFormat="1" x14ac:dyDescent="0.25">
      <c r="C406" s="16"/>
      <c r="D406" s="5"/>
      <c r="E406" s="5"/>
    </row>
    <row r="407" spans="3:5" customFormat="1" x14ac:dyDescent="0.25">
      <c r="C407" s="16"/>
      <c r="D407" s="5"/>
      <c r="E407" s="5"/>
    </row>
    <row r="408" spans="3:5" customFormat="1" x14ac:dyDescent="0.25">
      <c r="C408" s="16"/>
      <c r="D408" s="5"/>
      <c r="E408" s="5"/>
    </row>
    <row r="409" spans="3:5" customFormat="1" x14ac:dyDescent="0.25">
      <c r="C409" s="16"/>
      <c r="D409" s="5"/>
      <c r="E409" s="5"/>
    </row>
    <row r="410" spans="3:5" customFormat="1" x14ac:dyDescent="0.25">
      <c r="C410" s="16"/>
      <c r="D410" s="5"/>
      <c r="E410" s="5"/>
    </row>
    <row r="411" spans="3:5" customFormat="1" x14ac:dyDescent="0.25">
      <c r="C411" s="16"/>
      <c r="D411" s="5"/>
      <c r="E411" s="5"/>
    </row>
    <row r="412" spans="3:5" customFormat="1" x14ac:dyDescent="0.25">
      <c r="C412" s="16"/>
      <c r="D412" s="5"/>
      <c r="E412" s="5"/>
    </row>
    <row r="413" spans="3:5" customFormat="1" x14ac:dyDescent="0.25">
      <c r="C413" s="16"/>
      <c r="D413" s="5"/>
      <c r="E413" s="5"/>
    </row>
    <row r="414" spans="3:5" customFormat="1" x14ac:dyDescent="0.25">
      <c r="C414" s="16"/>
      <c r="D414" s="5"/>
      <c r="E414" s="5"/>
    </row>
    <row r="415" spans="3:5" customFormat="1" x14ac:dyDescent="0.25">
      <c r="C415" s="16"/>
      <c r="D415" s="5"/>
      <c r="E415" s="5"/>
    </row>
    <row r="416" spans="3:5" customFormat="1" x14ac:dyDescent="0.25">
      <c r="C416" s="16"/>
      <c r="D416" s="5"/>
      <c r="E416" s="5"/>
    </row>
    <row r="417" spans="3:5" customFormat="1" x14ac:dyDescent="0.25">
      <c r="C417" s="16"/>
      <c r="D417" s="5"/>
      <c r="E417" s="5"/>
    </row>
    <row r="418" spans="3:5" customFormat="1" x14ac:dyDescent="0.25">
      <c r="C418" s="16"/>
      <c r="D418" s="5"/>
      <c r="E418" s="5"/>
    </row>
    <row r="419" spans="3:5" customFormat="1" x14ac:dyDescent="0.25">
      <c r="C419" s="16"/>
      <c r="D419" s="5"/>
      <c r="E419" s="5"/>
    </row>
    <row r="420" spans="3:5" customFormat="1" x14ac:dyDescent="0.25">
      <c r="C420" s="16"/>
      <c r="D420" s="5"/>
      <c r="E420" s="5"/>
    </row>
    <row r="421" spans="3:5" customFormat="1" x14ac:dyDescent="0.25">
      <c r="C421" s="16"/>
      <c r="D421" s="5"/>
      <c r="E421" s="5"/>
    </row>
    <row r="422" spans="3:5" customFormat="1" x14ac:dyDescent="0.25">
      <c r="C422" s="16"/>
      <c r="D422" s="5"/>
      <c r="E422" s="5"/>
    </row>
    <row r="423" spans="3:5" customFormat="1" x14ac:dyDescent="0.25">
      <c r="C423" s="16"/>
      <c r="D423" s="5"/>
      <c r="E423" s="5"/>
    </row>
    <row r="424" spans="3:5" customFormat="1" x14ac:dyDescent="0.25">
      <c r="C424" s="16"/>
      <c r="D424" s="5"/>
      <c r="E424" s="5"/>
    </row>
    <row r="425" spans="3:5" customFormat="1" x14ac:dyDescent="0.25">
      <c r="C425" s="16"/>
      <c r="D425" s="5"/>
      <c r="E425" s="5"/>
    </row>
    <row r="426" spans="3:5" customFormat="1" x14ac:dyDescent="0.25">
      <c r="C426" s="16"/>
      <c r="D426" s="5"/>
      <c r="E426" s="5"/>
    </row>
    <row r="427" spans="3:5" customFormat="1" x14ac:dyDescent="0.25">
      <c r="C427" s="16"/>
      <c r="D427" s="5"/>
      <c r="E427" s="5"/>
    </row>
    <row r="428" spans="3:5" customFormat="1" x14ac:dyDescent="0.25">
      <c r="C428" s="16"/>
      <c r="D428" s="5"/>
      <c r="E428" s="5"/>
    </row>
    <row r="429" spans="3:5" customFormat="1" x14ac:dyDescent="0.25">
      <c r="C429" s="16"/>
      <c r="D429" s="5"/>
      <c r="E429" s="5"/>
    </row>
    <row r="430" spans="3:5" customFormat="1" x14ac:dyDescent="0.25">
      <c r="C430" s="16"/>
      <c r="D430" s="5"/>
      <c r="E430" s="5"/>
    </row>
    <row r="431" spans="3:5" customFormat="1" x14ac:dyDescent="0.25">
      <c r="C431" s="16"/>
      <c r="D431" s="5"/>
      <c r="E431" s="5"/>
    </row>
    <row r="432" spans="3:5" customFormat="1" x14ac:dyDescent="0.25">
      <c r="C432" s="16"/>
      <c r="D432" s="5"/>
      <c r="E432" s="5"/>
    </row>
    <row r="433" spans="3:5" customFormat="1" x14ac:dyDescent="0.25">
      <c r="C433" s="16"/>
      <c r="D433" s="5"/>
      <c r="E433" s="5"/>
    </row>
    <row r="434" spans="3:5" customFormat="1" x14ac:dyDescent="0.25">
      <c r="C434" s="16"/>
      <c r="D434" s="5"/>
      <c r="E434" s="5"/>
    </row>
    <row r="435" spans="3:5" customFormat="1" x14ac:dyDescent="0.25">
      <c r="C435" s="16"/>
      <c r="D435" s="5"/>
      <c r="E435" s="5"/>
    </row>
    <row r="436" spans="3:5" customFormat="1" x14ac:dyDescent="0.25">
      <c r="C436" s="16"/>
      <c r="D436" s="5"/>
      <c r="E436" s="5"/>
    </row>
    <row r="437" spans="3:5" customFormat="1" x14ac:dyDescent="0.25">
      <c r="C437" s="16"/>
      <c r="D437" s="5"/>
      <c r="E437" s="5"/>
    </row>
    <row r="438" spans="3:5" customFormat="1" x14ac:dyDescent="0.25">
      <c r="C438" s="16"/>
      <c r="D438" s="5"/>
      <c r="E438" s="5"/>
    </row>
    <row r="439" spans="3:5" customFormat="1" x14ac:dyDescent="0.25">
      <c r="C439" s="16"/>
      <c r="D439" s="5"/>
      <c r="E439" s="5"/>
    </row>
    <row r="440" spans="3:5" customFormat="1" x14ac:dyDescent="0.25">
      <c r="C440" s="16"/>
      <c r="D440" s="5"/>
      <c r="E440" s="5"/>
    </row>
    <row r="441" spans="3:5" customFormat="1" x14ac:dyDescent="0.25">
      <c r="C441" s="16"/>
      <c r="D441" s="5"/>
      <c r="E441" s="5"/>
    </row>
    <row r="442" spans="3:5" customFormat="1" x14ac:dyDescent="0.25">
      <c r="C442" s="16"/>
      <c r="D442" s="5"/>
      <c r="E442" s="5"/>
    </row>
    <row r="443" spans="3:5" customFormat="1" x14ac:dyDescent="0.25">
      <c r="C443" s="16"/>
      <c r="D443" s="5"/>
      <c r="E443" s="5"/>
    </row>
    <row r="444" spans="3:5" customFormat="1" x14ac:dyDescent="0.25">
      <c r="C444" s="16"/>
      <c r="D444" s="5"/>
      <c r="E444" s="5"/>
    </row>
    <row r="445" spans="3:5" customFormat="1" x14ac:dyDescent="0.25">
      <c r="C445" s="16"/>
      <c r="D445" s="5"/>
      <c r="E445" s="5"/>
    </row>
    <row r="446" spans="3:5" customFormat="1" x14ac:dyDescent="0.25">
      <c r="C446" s="16"/>
      <c r="D446" s="5"/>
      <c r="E446" s="5"/>
    </row>
    <row r="447" spans="3:5" customFormat="1" x14ac:dyDescent="0.25">
      <c r="C447" s="16"/>
      <c r="D447" s="5"/>
      <c r="E447" s="5"/>
    </row>
    <row r="448" spans="3:5" customFormat="1" x14ac:dyDescent="0.25">
      <c r="C448" s="16"/>
      <c r="D448" s="5"/>
      <c r="E448" s="5"/>
    </row>
    <row r="449" spans="3:5" customFormat="1" x14ac:dyDescent="0.25">
      <c r="C449" s="16"/>
      <c r="D449" s="5"/>
      <c r="E449" s="5"/>
    </row>
    <row r="450" spans="3:5" customFormat="1" x14ac:dyDescent="0.25">
      <c r="C450" s="16"/>
      <c r="D450" s="5"/>
      <c r="E450" s="5"/>
    </row>
    <row r="451" spans="3:5" customFormat="1" x14ac:dyDescent="0.25">
      <c r="C451" s="16"/>
      <c r="D451" s="5"/>
      <c r="E451" s="5"/>
    </row>
    <row r="452" spans="3:5" customFormat="1" x14ac:dyDescent="0.25">
      <c r="C452" s="16"/>
      <c r="D452" s="5"/>
      <c r="E452" s="5"/>
    </row>
    <row r="453" spans="3:5" customFormat="1" x14ac:dyDescent="0.25">
      <c r="C453" s="16"/>
      <c r="D453" s="5"/>
      <c r="E453" s="5"/>
    </row>
    <row r="454" spans="3:5" customFormat="1" x14ac:dyDescent="0.25">
      <c r="C454" s="16"/>
      <c r="D454" s="5"/>
      <c r="E454" s="5"/>
    </row>
    <row r="455" spans="3:5" customFormat="1" x14ac:dyDescent="0.25">
      <c r="C455" s="16"/>
      <c r="D455" s="5"/>
      <c r="E455" s="5"/>
    </row>
    <row r="456" spans="3:5" customFormat="1" x14ac:dyDescent="0.25">
      <c r="C456" s="16"/>
      <c r="D456" s="5"/>
      <c r="E456" s="5"/>
    </row>
    <row r="457" spans="3:5" customFormat="1" x14ac:dyDescent="0.25">
      <c r="C457" s="16"/>
      <c r="D457" s="5"/>
      <c r="E457" s="5"/>
    </row>
    <row r="458" spans="3:5" customFormat="1" x14ac:dyDescent="0.25">
      <c r="C458" s="16"/>
      <c r="D458" s="5"/>
      <c r="E458" s="5"/>
    </row>
    <row r="459" spans="3:5" customFormat="1" x14ac:dyDescent="0.25">
      <c r="C459" s="16"/>
      <c r="D459" s="5"/>
      <c r="E459" s="5"/>
    </row>
    <row r="460" spans="3:5" customFormat="1" x14ac:dyDescent="0.25">
      <c r="C460" s="16"/>
      <c r="D460" s="5"/>
      <c r="E460" s="5"/>
    </row>
    <row r="461" spans="3:5" customFormat="1" x14ac:dyDescent="0.25">
      <c r="C461" s="16"/>
      <c r="D461" s="5"/>
      <c r="E461" s="5"/>
    </row>
    <row r="462" spans="3:5" customFormat="1" x14ac:dyDescent="0.25">
      <c r="C462" s="16"/>
      <c r="D462" s="5"/>
      <c r="E462" s="5"/>
    </row>
    <row r="463" spans="3:5" customFormat="1" x14ac:dyDescent="0.25">
      <c r="C463" s="16"/>
      <c r="D463" s="5"/>
      <c r="E463" s="5"/>
    </row>
    <row r="464" spans="3:5" customFormat="1" x14ac:dyDescent="0.25">
      <c r="C464" s="16"/>
      <c r="D464" s="5"/>
      <c r="E464" s="5"/>
    </row>
    <row r="465" spans="3:5" customFormat="1" x14ac:dyDescent="0.25">
      <c r="C465" s="16"/>
      <c r="D465" s="5"/>
      <c r="E465" s="5"/>
    </row>
    <row r="466" spans="3:5" customFormat="1" x14ac:dyDescent="0.25">
      <c r="C466" s="16"/>
      <c r="D466" s="5"/>
      <c r="E466" s="5"/>
    </row>
    <row r="467" spans="3:5" customFormat="1" x14ac:dyDescent="0.25">
      <c r="C467" s="16"/>
      <c r="D467" s="5"/>
      <c r="E467" s="5"/>
    </row>
    <row r="468" spans="3:5" customFormat="1" x14ac:dyDescent="0.25">
      <c r="C468" s="16"/>
      <c r="D468" s="5"/>
      <c r="E468" s="5"/>
    </row>
    <row r="469" spans="3:5" customFormat="1" x14ac:dyDescent="0.25">
      <c r="C469" s="16"/>
      <c r="D469" s="5"/>
      <c r="E469" s="5"/>
    </row>
    <row r="470" spans="3:5" customFormat="1" x14ac:dyDescent="0.25">
      <c r="C470" s="16"/>
      <c r="D470" s="5"/>
      <c r="E470" s="5"/>
    </row>
    <row r="471" spans="3:5" customFormat="1" x14ac:dyDescent="0.25">
      <c r="C471" s="16"/>
      <c r="D471" s="5"/>
      <c r="E471" s="5"/>
    </row>
    <row r="472" spans="3:5" customFormat="1" x14ac:dyDescent="0.25">
      <c r="C472" s="16"/>
      <c r="D472" s="5"/>
      <c r="E472" s="5"/>
    </row>
    <row r="473" spans="3:5" customFormat="1" x14ac:dyDescent="0.25">
      <c r="C473" s="16"/>
      <c r="D473" s="5"/>
      <c r="E473" s="5"/>
    </row>
    <row r="474" spans="3:5" customFormat="1" x14ac:dyDescent="0.25">
      <c r="C474" s="16"/>
      <c r="D474" s="5"/>
      <c r="E474" s="5"/>
    </row>
    <row r="475" spans="3:5" customFormat="1" x14ac:dyDescent="0.25">
      <c r="C475" s="16"/>
      <c r="D475" s="5"/>
      <c r="E475" s="5"/>
    </row>
    <row r="476" spans="3:5" customFormat="1" x14ac:dyDescent="0.25">
      <c r="C476" s="16"/>
      <c r="D476" s="5"/>
      <c r="E476" s="5"/>
    </row>
    <row r="477" spans="3:5" customFormat="1" x14ac:dyDescent="0.25">
      <c r="C477" s="16"/>
      <c r="D477" s="5"/>
      <c r="E477" s="5"/>
    </row>
    <row r="478" spans="3:5" customFormat="1" x14ac:dyDescent="0.25">
      <c r="C478" s="16"/>
      <c r="D478" s="5"/>
      <c r="E478" s="5"/>
    </row>
    <row r="479" spans="3:5" customFormat="1" x14ac:dyDescent="0.25">
      <c r="C479" s="16"/>
      <c r="D479" s="5"/>
      <c r="E479" s="5"/>
    </row>
    <row r="480" spans="3:5" customFormat="1" x14ac:dyDescent="0.25">
      <c r="C480" s="16"/>
      <c r="D480" s="5"/>
      <c r="E480" s="5"/>
    </row>
    <row r="481" spans="3:5" customFormat="1" x14ac:dyDescent="0.25">
      <c r="C481" s="16"/>
      <c r="D481" s="5"/>
      <c r="E481" s="5"/>
    </row>
    <row r="482" spans="3:5" customFormat="1" x14ac:dyDescent="0.25">
      <c r="C482" s="16"/>
      <c r="D482" s="5"/>
      <c r="E482" s="5"/>
    </row>
    <row r="483" spans="3:5" customFormat="1" x14ac:dyDescent="0.25">
      <c r="C483" s="16"/>
      <c r="D483" s="5"/>
      <c r="E483" s="5"/>
    </row>
    <row r="484" spans="3:5" customFormat="1" x14ac:dyDescent="0.25">
      <c r="C484" s="16"/>
      <c r="D484" s="5"/>
      <c r="E484" s="5"/>
    </row>
    <row r="485" spans="3:5" customFormat="1" x14ac:dyDescent="0.25">
      <c r="C485" s="16"/>
      <c r="D485" s="5"/>
      <c r="E485" s="5"/>
    </row>
    <row r="486" spans="3:5" customFormat="1" x14ac:dyDescent="0.25">
      <c r="C486" s="16"/>
      <c r="D486" s="5"/>
      <c r="E486" s="5"/>
    </row>
    <row r="487" spans="3:5" customFormat="1" x14ac:dyDescent="0.25">
      <c r="C487" s="16"/>
      <c r="D487" s="5"/>
      <c r="E487" s="5"/>
    </row>
    <row r="488" spans="3:5" customFormat="1" x14ac:dyDescent="0.25">
      <c r="C488" s="16"/>
      <c r="D488" s="5"/>
      <c r="E488" s="5"/>
    </row>
    <row r="489" spans="3:5" customFormat="1" x14ac:dyDescent="0.25">
      <c r="C489" s="16"/>
      <c r="D489" s="5"/>
      <c r="E489" s="5"/>
    </row>
    <row r="490" spans="3:5" customFormat="1" x14ac:dyDescent="0.25">
      <c r="C490" s="16"/>
      <c r="D490" s="5"/>
      <c r="E490" s="5"/>
    </row>
    <row r="491" spans="3:5" customFormat="1" x14ac:dyDescent="0.25">
      <c r="C491" s="16"/>
      <c r="D491" s="5"/>
      <c r="E491" s="5"/>
    </row>
    <row r="492" spans="3:5" customFormat="1" x14ac:dyDescent="0.25">
      <c r="C492" s="16"/>
      <c r="D492" s="5"/>
      <c r="E492" s="5"/>
    </row>
    <row r="493" spans="3:5" customFormat="1" x14ac:dyDescent="0.25">
      <c r="C493" s="16"/>
      <c r="D493" s="5"/>
      <c r="E493" s="5"/>
    </row>
    <row r="494" spans="3:5" customFormat="1" x14ac:dyDescent="0.25">
      <c r="C494" s="16"/>
      <c r="D494" s="5"/>
      <c r="E494" s="5"/>
    </row>
    <row r="495" spans="3:5" customFormat="1" x14ac:dyDescent="0.25">
      <c r="C495" s="16"/>
      <c r="D495" s="5"/>
      <c r="E495" s="5"/>
    </row>
    <row r="496" spans="3:5" customFormat="1" x14ac:dyDescent="0.25">
      <c r="C496" s="16"/>
      <c r="D496" s="5"/>
      <c r="E496" s="5"/>
    </row>
    <row r="497" spans="3:5" customFormat="1" x14ac:dyDescent="0.25">
      <c r="C497" s="16"/>
      <c r="D497" s="5"/>
      <c r="E497" s="5"/>
    </row>
    <row r="498" spans="3:5" customFormat="1" x14ac:dyDescent="0.25">
      <c r="C498" s="16"/>
      <c r="D498" s="5"/>
      <c r="E498" s="5"/>
    </row>
    <row r="499" spans="3:5" customFormat="1" x14ac:dyDescent="0.25">
      <c r="C499" s="16"/>
      <c r="D499" s="5"/>
      <c r="E499" s="5"/>
    </row>
    <row r="500" spans="3:5" customFormat="1" x14ac:dyDescent="0.25">
      <c r="C500" s="16"/>
      <c r="D500" s="5"/>
      <c r="E500" s="5"/>
    </row>
    <row r="501" spans="3:5" customFormat="1" x14ac:dyDescent="0.25">
      <c r="C501" s="16"/>
      <c r="D501" s="5"/>
      <c r="E501" s="5"/>
    </row>
    <row r="502" spans="3:5" customFormat="1" x14ac:dyDescent="0.25">
      <c r="C502" s="16"/>
      <c r="D502" s="5"/>
      <c r="E502" s="5"/>
    </row>
    <row r="503" spans="3:5" customFormat="1" x14ac:dyDescent="0.25">
      <c r="C503" s="16"/>
      <c r="D503" s="5"/>
      <c r="E503" s="5"/>
    </row>
    <row r="504" spans="3:5" customFormat="1" x14ac:dyDescent="0.25">
      <c r="C504" s="16"/>
      <c r="D504" s="5"/>
      <c r="E504" s="5"/>
    </row>
    <row r="505" spans="3:5" customFormat="1" x14ac:dyDescent="0.25">
      <c r="C505" s="16"/>
      <c r="D505" s="5"/>
      <c r="E505" s="5"/>
    </row>
    <row r="506" spans="3:5" customFormat="1" x14ac:dyDescent="0.25">
      <c r="C506" s="16"/>
      <c r="D506" s="5"/>
      <c r="E506" s="5"/>
    </row>
    <row r="507" spans="3:5" customFormat="1" x14ac:dyDescent="0.25">
      <c r="C507" s="16"/>
      <c r="D507" s="5"/>
      <c r="E507" s="5"/>
    </row>
    <row r="508" spans="3:5" customFormat="1" x14ac:dyDescent="0.25">
      <c r="C508" s="16"/>
      <c r="D508" s="5"/>
      <c r="E508" s="5"/>
    </row>
    <row r="509" spans="3:5" customFormat="1" x14ac:dyDescent="0.25">
      <c r="C509" s="16"/>
      <c r="D509" s="5"/>
      <c r="E509" s="5"/>
    </row>
    <row r="510" spans="3:5" customFormat="1" x14ac:dyDescent="0.25">
      <c r="C510" s="16"/>
      <c r="D510" s="5"/>
      <c r="E510" s="5"/>
    </row>
    <row r="511" spans="3:5" customFormat="1" x14ac:dyDescent="0.25">
      <c r="C511" s="16"/>
      <c r="D511" s="5"/>
      <c r="E511" s="5"/>
    </row>
    <row r="512" spans="3:5" customFormat="1" x14ac:dyDescent="0.25">
      <c r="C512" s="16"/>
      <c r="D512" s="5"/>
      <c r="E512" s="5"/>
    </row>
    <row r="513" spans="3:5" customFormat="1" x14ac:dyDescent="0.25">
      <c r="C513" s="16"/>
      <c r="D513" s="5"/>
      <c r="E513" s="5"/>
    </row>
    <row r="514" spans="3:5" customFormat="1" x14ac:dyDescent="0.25">
      <c r="C514" s="16"/>
      <c r="D514" s="5"/>
      <c r="E514" s="5"/>
    </row>
    <row r="515" spans="3:5" customFormat="1" x14ac:dyDescent="0.25">
      <c r="C515" s="16"/>
      <c r="D515" s="5"/>
      <c r="E515" s="5"/>
    </row>
    <row r="516" spans="3:5" customFormat="1" x14ac:dyDescent="0.25">
      <c r="C516" s="16"/>
      <c r="D516" s="5"/>
      <c r="E516" s="5"/>
    </row>
    <row r="517" spans="3:5" customFormat="1" x14ac:dyDescent="0.25">
      <c r="C517" s="16"/>
      <c r="D517" s="5"/>
      <c r="E517" s="5"/>
    </row>
    <row r="518" spans="3:5" customFormat="1" x14ac:dyDescent="0.25">
      <c r="C518" s="16"/>
      <c r="D518" s="5"/>
      <c r="E518" s="5"/>
    </row>
    <row r="519" spans="3:5" customFormat="1" x14ac:dyDescent="0.25">
      <c r="C519" s="16"/>
      <c r="D519" s="5"/>
      <c r="E519" s="5"/>
    </row>
    <row r="520" spans="3:5" customFormat="1" x14ac:dyDescent="0.25">
      <c r="C520" s="16"/>
      <c r="D520" s="5"/>
      <c r="E520" s="5"/>
    </row>
    <row r="521" spans="3:5" customFormat="1" x14ac:dyDescent="0.25">
      <c r="C521" s="16"/>
      <c r="D521" s="5"/>
      <c r="E521" s="5"/>
    </row>
    <row r="522" spans="3:5" customFormat="1" x14ac:dyDescent="0.25">
      <c r="C522" s="16"/>
      <c r="D522" s="5"/>
      <c r="E522" s="5"/>
    </row>
    <row r="523" spans="3:5" customFormat="1" x14ac:dyDescent="0.25">
      <c r="C523" s="16"/>
      <c r="D523" s="5"/>
      <c r="E523" s="5"/>
    </row>
    <row r="524" spans="3:5" customFormat="1" x14ac:dyDescent="0.25">
      <c r="C524" s="16"/>
      <c r="D524" s="5"/>
      <c r="E524" s="5"/>
    </row>
    <row r="525" spans="3:5" customFormat="1" x14ac:dyDescent="0.25">
      <c r="C525" s="16"/>
      <c r="D525" s="5"/>
      <c r="E525" s="5"/>
    </row>
    <row r="526" spans="3:5" customFormat="1" x14ac:dyDescent="0.25">
      <c r="C526" s="16"/>
      <c r="D526" s="5"/>
      <c r="E526" s="5"/>
    </row>
    <row r="527" spans="3:5" customFormat="1" x14ac:dyDescent="0.25">
      <c r="C527" s="16"/>
      <c r="D527" s="5"/>
      <c r="E527" s="5"/>
    </row>
    <row r="528" spans="3:5" customFormat="1" x14ac:dyDescent="0.25">
      <c r="C528" s="16"/>
      <c r="D528" s="5"/>
      <c r="E528" s="5"/>
    </row>
    <row r="529" spans="3:5" customFormat="1" x14ac:dyDescent="0.25">
      <c r="C529" s="16"/>
      <c r="D529" s="5"/>
      <c r="E529" s="5"/>
    </row>
    <row r="530" spans="3:5" customFormat="1" x14ac:dyDescent="0.25">
      <c r="C530" s="16"/>
      <c r="D530" s="5"/>
      <c r="E530" s="5"/>
    </row>
    <row r="531" spans="3:5" customFormat="1" x14ac:dyDescent="0.25">
      <c r="C531" s="16"/>
      <c r="D531" s="5"/>
      <c r="E531" s="5"/>
    </row>
    <row r="532" spans="3:5" customFormat="1" x14ac:dyDescent="0.25">
      <c r="C532" s="16"/>
      <c r="D532" s="5"/>
      <c r="E532" s="5"/>
    </row>
    <row r="533" spans="3:5" customFormat="1" x14ac:dyDescent="0.25">
      <c r="C533" s="16"/>
      <c r="D533" s="5"/>
      <c r="E533" s="5"/>
    </row>
    <row r="534" spans="3:5" customFormat="1" x14ac:dyDescent="0.25">
      <c r="C534" s="16"/>
      <c r="D534" s="5"/>
      <c r="E534" s="5"/>
    </row>
    <row r="535" spans="3:5" customFormat="1" x14ac:dyDescent="0.25">
      <c r="C535" s="16"/>
      <c r="D535" s="5"/>
      <c r="E535" s="5"/>
    </row>
    <row r="536" spans="3:5" customFormat="1" x14ac:dyDescent="0.25">
      <c r="C536" s="16"/>
      <c r="D536" s="5"/>
      <c r="E536" s="5"/>
    </row>
    <row r="537" spans="3:5" customFormat="1" x14ac:dyDescent="0.25">
      <c r="C537" s="16"/>
      <c r="D537" s="5"/>
      <c r="E537" s="5"/>
    </row>
    <row r="538" spans="3:5" customFormat="1" x14ac:dyDescent="0.25">
      <c r="C538" s="16"/>
      <c r="D538" s="5"/>
      <c r="E538" s="5"/>
    </row>
    <row r="539" spans="3:5" customFormat="1" x14ac:dyDescent="0.25">
      <c r="C539" s="16"/>
      <c r="D539" s="5"/>
      <c r="E539" s="5"/>
    </row>
    <row r="540" spans="3:5" customFormat="1" x14ac:dyDescent="0.25">
      <c r="C540" s="16"/>
      <c r="D540" s="5"/>
      <c r="E540" s="5"/>
    </row>
    <row r="541" spans="3:5" customFormat="1" x14ac:dyDescent="0.25">
      <c r="C541" s="16"/>
      <c r="D541" s="5"/>
      <c r="E541" s="5"/>
    </row>
    <row r="542" spans="3:5" customFormat="1" x14ac:dyDescent="0.25">
      <c r="C542" s="16"/>
      <c r="D542" s="5"/>
      <c r="E542" s="5"/>
    </row>
    <row r="543" spans="3:5" customFormat="1" x14ac:dyDescent="0.25">
      <c r="C543" s="16"/>
      <c r="D543" s="5"/>
      <c r="E543" s="5"/>
    </row>
    <row r="544" spans="3:5" customFormat="1" x14ac:dyDescent="0.25">
      <c r="C544" s="16"/>
      <c r="D544" s="5"/>
      <c r="E544" s="5"/>
    </row>
    <row r="545" spans="3:5" customFormat="1" x14ac:dyDescent="0.25">
      <c r="C545" s="16"/>
      <c r="D545" s="5"/>
      <c r="E545" s="5"/>
    </row>
    <row r="546" spans="3:5" customFormat="1" x14ac:dyDescent="0.25">
      <c r="C546" s="16"/>
      <c r="D546" s="5"/>
      <c r="E546" s="5"/>
    </row>
    <row r="547" spans="3:5" customFormat="1" x14ac:dyDescent="0.25">
      <c r="C547" s="16"/>
      <c r="D547" s="5"/>
      <c r="E547" s="5"/>
    </row>
    <row r="548" spans="3:5" customFormat="1" x14ac:dyDescent="0.25">
      <c r="C548" s="16"/>
      <c r="D548" s="5"/>
      <c r="E548" s="5"/>
    </row>
    <row r="549" spans="3:5" customFormat="1" x14ac:dyDescent="0.25">
      <c r="C549" s="16"/>
      <c r="D549" s="5"/>
      <c r="E549" s="5"/>
    </row>
    <row r="550" spans="3:5" customFormat="1" x14ac:dyDescent="0.25">
      <c r="C550" s="16"/>
      <c r="D550" s="5"/>
      <c r="E550" s="5"/>
    </row>
    <row r="551" spans="3:5" customFormat="1" x14ac:dyDescent="0.25">
      <c r="C551" s="16"/>
      <c r="D551" s="5"/>
      <c r="E551" s="5"/>
    </row>
    <row r="552" spans="3:5" customFormat="1" x14ac:dyDescent="0.25">
      <c r="C552" s="16"/>
      <c r="D552" s="5"/>
      <c r="E552" s="5"/>
    </row>
    <row r="553" spans="3:5" customFormat="1" x14ac:dyDescent="0.25">
      <c r="C553" s="16"/>
      <c r="D553" s="5"/>
      <c r="E553" s="5"/>
    </row>
    <row r="554" spans="3:5" customFormat="1" x14ac:dyDescent="0.25">
      <c r="C554" s="16"/>
      <c r="D554" s="5"/>
      <c r="E554" s="5"/>
    </row>
    <row r="555" spans="3:5" customFormat="1" x14ac:dyDescent="0.25">
      <c r="C555" s="16"/>
      <c r="D555" s="5"/>
      <c r="E555" s="5"/>
    </row>
    <row r="556" spans="3:5" customFormat="1" x14ac:dyDescent="0.25">
      <c r="C556" s="16"/>
      <c r="D556" s="5"/>
      <c r="E556" s="5"/>
    </row>
    <row r="557" spans="3:5" customFormat="1" x14ac:dyDescent="0.25">
      <c r="C557" s="16"/>
      <c r="D557" s="5"/>
      <c r="E557" s="5"/>
    </row>
    <row r="558" spans="3:5" customFormat="1" x14ac:dyDescent="0.25">
      <c r="C558" s="16"/>
      <c r="D558" s="5"/>
      <c r="E558" s="5"/>
    </row>
    <row r="559" spans="3:5" customFormat="1" x14ac:dyDescent="0.25">
      <c r="C559" s="16"/>
      <c r="D559" s="5"/>
      <c r="E559" s="5"/>
    </row>
    <row r="560" spans="3:5" customFormat="1" x14ac:dyDescent="0.25">
      <c r="C560" s="16"/>
      <c r="D560" s="5"/>
      <c r="E560" s="5"/>
    </row>
    <row r="561" spans="3:5" customFormat="1" x14ac:dyDescent="0.25">
      <c r="C561" s="16"/>
      <c r="D561" s="5"/>
      <c r="E561" s="5"/>
    </row>
    <row r="562" spans="3:5" customFormat="1" x14ac:dyDescent="0.25">
      <c r="C562" s="16"/>
      <c r="D562" s="5"/>
      <c r="E562" s="5"/>
    </row>
    <row r="563" spans="3:5" customFormat="1" x14ac:dyDescent="0.25">
      <c r="C563" s="16"/>
      <c r="D563" s="5"/>
      <c r="E563" s="5"/>
    </row>
    <row r="564" spans="3:5" customFormat="1" x14ac:dyDescent="0.25">
      <c r="C564" s="16"/>
      <c r="D564" s="5"/>
      <c r="E564" s="5"/>
    </row>
    <row r="565" spans="3:5" customFormat="1" x14ac:dyDescent="0.25">
      <c r="C565" s="16"/>
      <c r="D565" s="5"/>
      <c r="E565" s="5"/>
    </row>
    <row r="566" spans="3:5" customFormat="1" x14ac:dyDescent="0.25">
      <c r="C566" s="16"/>
      <c r="D566" s="5"/>
      <c r="E566" s="5"/>
    </row>
    <row r="567" spans="3:5" customFormat="1" x14ac:dyDescent="0.25">
      <c r="C567" s="16"/>
      <c r="D567" s="5"/>
      <c r="E567" s="5"/>
    </row>
    <row r="568" spans="3:5" customFormat="1" x14ac:dyDescent="0.25">
      <c r="C568" s="16"/>
      <c r="D568" s="5"/>
      <c r="E568" s="5"/>
    </row>
    <row r="569" spans="3:5" customFormat="1" x14ac:dyDescent="0.25">
      <c r="C569" s="16"/>
      <c r="D569" s="5"/>
      <c r="E569" s="5"/>
    </row>
    <row r="570" spans="3:5" customFormat="1" x14ac:dyDescent="0.25">
      <c r="C570" s="16"/>
      <c r="D570" s="5"/>
      <c r="E570" s="5"/>
    </row>
    <row r="571" spans="3:5" customFormat="1" x14ac:dyDescent="0.25">
      <c r="C571" s="16"/>
      <c r="D571" s="5"/>
      <c r="E571" s="5"/>
    </row>
    <row r="572" spans="3:5" customFormat="1" x14ac:dyDescent="0.25">
      <c r="C572" s="16"/>
      <c r="D572" s="5"/>
      <c r="E572" s="5"/>
    </row>
    <row r="573" spans="3:5" customFormat="1" x14ac:dyDescent="0.25">
      <c r="C573" s="16"/>
      <c r="D573" s="5"/>
      <c r="E573" s="5"/>
    </row>
    <row r="574" spans="3:5" customFormat="1" x14ac:dyDescent="0.25">
      <c r="C574" s="16"/>
      <c r="D574" s="5"/>
      <c r="E574" s="5"/>
    </row>
    <row r="575" spans="3:5" customFormat="1" x14ac:dyDescent="0.25">
      <c r="C575" s="16"/>
      <c r="D575" s="5"/>
      <c r="E575" s="5"/>
    </row>
    <row r="576" spans="3:5" customFormat="1" x14ac:dyDescent="0.25">
      <c r="C576" s="16"/>
      <c r="D576" s="5"/>
      <c r="E576" s="5"/>
    </row>
    <row r="577" spans="3:5" customFormat="1" x14ac:dyDescent="0.25">
      <c r="C577" s="16"/>
      <c r="D577" s="5"/>
      <c r="E577" s="5"/>
    </row>
    <row r="578" spans="3:5" customFormat="1" x14ac:dyDescent="0.25">
      <c r="C578" s="16"/>
      <c r="D578" s="5"/>
      <c r="E578" s="5"/>
    </row>
    <row r="579" spans="3:5" customFormat="1" x14ac:dyDescent="0.25">
      <c r="C579" s="16"/>
      <c r="D579" s="5"/>
      <c r="E579" s="5"/>
    </row>
    <row r="580" spans="3:5" customFormat="1" x14ac:dyDescent="0.25">
      <c r="C580" s="16"/>
      <c r="D580" s="5"/>
      <c r="E580" s="5"/>
    </row>
    <row r="581" spans="3:5" customFormat="1" x14ac:dyDescent="0.25">
      <c r="C581" s="16"/>
      <c r="D581" s="5"/>
      <c r="E581" s="5"/>
    </row>
    <row r="582" spans="3:5" customFormat="1" x14ac:dyDescent="0.25">
      <c r="C582" s="16"/>
      <c r="D582" s="5"/>
      <c r="E582" s="5"/>
    </row>
    <row r="583" spans="3:5" customFormat="1" x14ac:dyDescent="0.25">
      <c r="C583" s="16"/>
      <c r="D583" s="5"/>
      <c r="E583" s="5"/>
    </row>
    <row r="584" spans="3:5" customFormat="1" x14ac:dyDescent="0.25">
      <c r="C584" s="16"/>
      <c r="D584" s="5"/>
      <c r="E584" s="5"/>
    </row>
    <row r="585" spans="3:5" customFormat="1" x14ac:dyDescent="0.25">
      <c r="C585" s="16"/>
      <c r="D585" s="5"/>
      <c r="E585" s="5"/>
    </row>
    <row r="586" spans="3:5" customFormat="1" x14ac:dyDescent="0.25">
      <c r="C586" s="16"/>
      <c r="D586" s="5"/>
      <c r="E586" s="5"/>
    </row>
    <row r="587" spans="3:5" customFormat="1" x14ac:dyDescent="0.25">
      <c r="C587" s="16"/>
      <c r="D587" s="5"/>
      <c r="E587" s="5"/>
    </row>
    <row r="588" spans="3:5" customFormat="1" x14ac:dyDescent="0.25">
      <c r="C588" s="16"/>
      <c r="D588" s="5"/>
      <c r="E588" s="5"/>
    </row>
    <row r="589" spans="3:5" customFormat="1" x14ac:dyDescent="0.25">
      <c r="C589" s="16"/>
      <c r="D589" s="5"/>
      <c r="E589" s="5"/>
    </row>
    <row r="590" spans="3:5" customFormat="1" x14ac:dyDescent="0.25">
      <c r="C590" s="16"/>
      <c r="D590" s="5"/>
      <c r="E590" s="5"/>
    </row>
    <row r="591" spans="3:5" customFormat="1" x14ac:dyDescent="0.25">
      <c r="C591" s="16"/>
      <c r="D591" s="5"/>
      <c r="E591" s="5"/>
    </row>
    <row r="592" spans="3:5" customFormat="1" x14ac:dyDescent="0.25">
      <c r="C592" s="16"/>
      <c r="D592" s="5"/>
      <c r="E592" s="5"/>
    </row>
    <row r="593" spans="3:5" customFormat="1" x14ac:dyDescent="0.25">
      <c r="C593" s="16"/>
      <c r="D593" s="5"/>
      <c r="E593" s="5"/>
    </row>
    <row r="594" spans="3:5" customFormat="1" x14ac:dyDescent="0.25">
      <c r="C594" s="16"/>
      <c r="D594" s="5"/>
      <c r="E594" s="5"/>
    </row>
    <row r="595" spans="3:5" customFormat="1" x14ac:dyDescent="0.25">
      <c r="C595" s="16"/>
      <c r="D595" s="5"/>
      <c r="E595" s="5"/>
    </row>
    <row r="596" spans="3:5" customFormat="1" x14ac:dyDescent="0.25">
      <c r="C596" s="16"/>
      <c r="D596" s="5"/>
      <c r="E596" s="5"/>
    </row>
    <row r="597" spans="3:5" customFormat="1" x14ac:dyDescent="0.25">
      <c r="C597" s="16"/>
      <c r="D597" s="5"/>
      <c r="E597" s="5"/>
    </row>
    <row r="598" spans="3:5" customFormat="1" x14ac:dyDescent="0.25">
      <c r="C598" s="16"/>
      <c r="D598" s="5"/>
      <c r="E598" s="5"/>
    </row>
    <row r="599" spans="3:5" customFormat="1" x14ac:dyDescent="0.25">
      <c r="C599" s="16"/>
      <c r="D599" s="5"/>
      <c r="E599" s="5"/>
    </row>
    <row r="600" spans="3:5" customFormat="1" x14ac:dyDescent="0.25">
      <c r="C600" s="16"/>
      <c r="D600" s="5"/>
      <c r="E600" s="5"/>
    </row>
    <row r="601" spans="3:5" customFormat="1" x14ac:dyDescent="0.25">
      <c r="C601" s="16"/>
      <c r="D601" s="5"/>
      <c r="E601" s="5"/>
    </row>
    <row r="602" spans="3:5" customFormat="1" x14ac:dyDescent="0.25">
      <c r="C602" s="16"/>
      <c r="D602" s="5"/>
      <c r="E602" s="5"/>
    </row>
    <row r="603" spans="3:5" customFormat="1" x14ac:dyDescent="0.25">
      <c r="C603" s="16"/>
      <c r="D603" s="5"/>
      <c r="E603" s="5"/>
    </row>
    <row r="604" spans="3:5" customFormat="1" x14ac:dyDescent="0.25">
      <c r="C604" s="16"/>
      <c r="D604" s="5"/>
      <c r="E604" s="5"/>
    </row>
    <row r="605" spans="3:5" customFormat="1" x14ac:dyDescent="0.25">
      <c r="C605" s="16"/>
      <c r="D605" s="5"/>
      <c r="E605" s="5"/>
    </row>
    <row r="606" spans="3:5" customFormat="1" x14ac:dyDescent="0.25">
      <c r="C606" s="16"/>
      <c r="D606" s="5"/>
      <c r="E606" s="5"/>
    </row>
    <row r="607" spans="3:5" customFormat="1" x14ac:dyDescent="0.25">
      <c r="C607" s="16"/>
      <c r="D607" s="5"/>
      <c r="E607" s="5"/>
    </row>
    <row r="608" spans="3:5" customFormat="1" x14ac:dyDescent="0.25">
      <c r="C608" s="16"/>
      <c r="D608" s="5"/>
      <c r="E608" s="5"/>
    </row>
    <row r="609" spans="3:5" customFormat="1" x14ac:dyDescent="0.25">
      <c r="C609" s="16"/>
      <c r="D609" s="5"/>
      <c r="E609" s="5"/>
    </row>
    <row r="610" spans="3:5" customFormat="1" x14ac:dyDescent="0.25">
      <c r="C610" s="16"/>
      <c r="D610" s="5"/>
      <c r="E610" s="5"/>
    </row>
    <row r="611" spans="3:5" customFormat="1" x14ac:dyDescent="0.25">
      <c r="C611" s="16"/>
      <c r="D611" s="5"/>
      <c r="E611" s="5"/>
    </row>
    <row r="612" spans="3:5" customFormat="1" x14ac:dyDescent="0.25">
      <c r="C612" s="16"/>
      <c r="D612" s="5"/>
      <c r="E612" s="5"/>
    </row>
    <row r="613" spans="3:5" customFormat="1" x14ac:dyDescent="0.25">
      <c r="C613" s="16"/>
      <c r="D613" s="5"/>
      <c r="E613" s="5"/>
    </row>
    <row r="614" spans="3:5" customFormat="1" x14ac:dyDescent="0.25">
      <c r="C614" s="16"/>
      <c r="D614" s="5"/>
      <c r="E614" s="5"/>
    </row>
    <row r="615" spans="3:5" customFormat="1" x14ac:dyDescent="0.25">
      <c r="C615" s="16"/>
      <c r="D615" s="5"/>
      <c r="E615" s="5"/>
    </row>
    <row r="616" spans="3:5" customFormat="1" x14ac:dyDescent="0.25">
      <c r="C616" s="16"/>
      <c r="D616" s="5"/>
      <c r="E616" s="5"/>
    </row>
    <row r="617" spans="3:5" customFormat="1" x14ac:dyDescent="0.25">
      <c r="C617" s="16"/>
      <c r="D617" s="5"/>
      <c r="E617" s="5"/>
    </row>
    <row r="618" spans="3:5" customFormat="1" x14ac:dyDescent="0.25">
      <c r="C618" s="16"/>
      <c r="D618" s="5"/>
      <c r="E618" s="5"/>
    </row>
    <row r="619" spans="3:5" customFormat="1" x14ac:dyDescent="0.25">
      <c r="C619" s="16"/>
      <c r="D619" s="5"/>
      <c r="E619" s="5"/>
    </row>
    <row r="620" spans="3:5" customFormat="1" x14ac:dyDescent="0.25">
      <c r="C620" s="16"/>
      <c r="D620" s="5"/>
      <c r="E620" s="5"/>
    </row>
    <row r="621" spans="3:5" customFormat="1" x14ac:dyDescent="0.25">
      <c r="C621" s="16"/>
      <c r="D621" s="5"/>
      <c r="E621" s="5"/>
    </row>
    <row r="622" spans="3:5" customFormat="1" x14ac:dyDescent="0.25">
      <c r="C622" s="16"/>
      <c r="D622" s="5"/>
      <c r="E622" s="5"/>
    </row>
    <row r="623" spans="3:5" customFormat="1" x14ac:dyDescent="0.25">
      <c r="C623" s="16"/>
      <c r="D623" s="5"/>
      <c r="E623" s="5"/>
    </row>
    <row r="624" spans="3:5" customFormat="1" x14ac:dyDescent="0.25">
      <c r="C624" s="16"/>
      <c r="D624" s="5"/>
      <c r="E624" s="5"/>
    </row>
    <row r="625" spans="3:5" customFormat="1" x14ac:dyDescent="0.25">
      <c r="C625" s="16"/>
      <c r="D625" s="5"/>
      <c r="E625" s="5"/>
    </row>
    <row r="626" spans="3:5" customFormat="1" x14ac:dyDescent="0.25">
      <c r="C626" s="16"/>
      <c r="D626" s="5"/>
      <c r="E626" s="5"/>
    </row>
    <row r="627" spans="3:5" customFormat="1" x14ac:dyDescent="0.25">
      <c r="C627" s="16"/>
      <c r="D627" s="5"/>
      <c r="E627" s="5"/>
    </row>
    <row r="628" spans="3:5" customFormat="1" x14ac:dyDescent="0.25">
      <c r="C628" s="16"/>
      <c r="D628" s="5"/>
      <c r="E628" s="5"/>
    </row>
    <row r="629" spans="3:5" customFormat="1" x14ac:dyDescent="0.25">
      <c r="C629" s="16"/>
      <c r="D629" s="5"/>
      <c r="E629" s="5"/>
    </row>
    <row r="630" spans="3:5" customFormat="1" x14ac:dyDescent="0.25">
      <c r="C630" s="16"/>
      <c r="D630" s="5"/>
      <c r="E630" s="5"/>
    </row>
    <row r="631" spans="3:5" customFormat="1" x14ac:dyDescent="0.25">
      <c r="C631" s="16"/>
      <c r="D631" s="5"/>
      <c r="E631" s="5"/>
    </row>
    <row r="632" spans="3:5" customFormat="1" x14ac:dyDescent="0.25">
      <c r="C632" s="16"/>
      <c r="D632" s="5"/>
      <c r="E632" s="5"/>
    </row>
    <row r="633" spans="3:5" customFormat="1" x14ac:dyDescent="0.25">
      <c r="C633" s="16"/>
      <c r="D633" s="5"/>
      <c r="E633" s="5"/>
    </row>
    <row r="634" spans="3:5" customFormat="1" x14ac:dyDescent="0.25">
      <c r="C634" s="16"/>
      <c r="D634" s="5"/>
      <c r="E634" s="5"/>
    </row>
    <row r="635" spans="3:5" customFormat="1" x14ac:dyDescent="0.25">
      <c r="C635" s="16"/>
      <c r="D635" s="5"/>
      <c r="E635" s="5"/>
    </row>
    <row r="636" spans="3:5" customFormat="1" x14ac:dyDescent="0.25">
      <c r="C636" s="16"/>
      <c r="D636" s="5"/>
      <c r="E636" s="5"/>
    </row>
    <row r="637" spans="3:5" customFormat="1" x14ac:dyDescent="0.25">
      <c r="C637" s="16"/>
      <c r="D637" s="5"/>
      <c r="E637" s="5"/>
    </row>
    <row r="638" spans="3:5" customFormat="1" x14ac:dyDescent="0.25">
      <c r="C638" s="16"/>
      <c r="D638" s="5"/>
      <c r="E638" s="5"/>
    </row>
    <row r="639" spans="3:5" customFormat="1" x14ac:dyDescent="0.25">
      <c r="C639" s="16"/>
      <c r="D639" s="5"/>
      <c r="E639" s="5"/>
    </row>
    <row r="640" spans="3:5" customFormat="1" x14ac:dyDescent="0.25">
      <c r="C640" s="16"/>
      <c r="D640" s="5"/>
      <c r="E640" s="5"/>
    </row>
    <row r="641" spans="3:5" customFormat="1" x14ac:dyDescent="0.25">
      <c r="C641" s="16"/>
      <c r="D641" s="5"/>
      <c r="E641" s="5"/>
    </row>
    <row r="642" spans="3:5" customFormat="1" x14ac:dyDescent="0.25">
      <c r="C642" s="16"/>
      <c r="D642" s="5"/>
      <c r="E642" s="5"/>
    </row>
    <row r="643" spans="3:5" customFormat="1" x14ac:dyDescent="0.25">
      <c r="C643" s="16"/>
      <c r="D643" s="5"/>
      <c r="E643" s="5"/>
    </row>
    <row r="644" spans="3:5" customFormat="1" x14ac:dyDescent="0.25">
      <c r="C644" s="16"/>
      <c r="D644" s="5"/>
      <c r="E644" s="5"/>
    </row>
    <row r="645" spans="3:5" customFormat="1" x14ac:dyDescent="0.25">
      <c r="C645" s="16"/>
      <c r="D645" s="5"/>
      <c r="E645" s="5"/>
    </row>
    <row r="646" spans="3:5" customFormat="1" x14ac:dyDescent="0.25">
      <c r="C646" s="16"/>
      <c r="D646" s="5"/>
      <c r="E646" s="5"/>
    </row>
    <row r="647" spans="3:5" customFormat="1" x14ac:dyDescent="0.25">
      <c r="C647" s="16"/>
      <c r="D647" s="5"/>
      <c r="E647" s="5"/>
    </row>
    <row r="648" spans="3:5" customFormat="1" x14ac:dyDescent="0.25">
      <c r="C648" s="16"/>
      <c r="D648" s="5"/>
      <c r="E648" s="5"/>
    </row>
    <row r="649" spans="3:5" customFormat="1" x14ac:dyDescent="0.25">
      <c r="C649" s="16"/>
      <c r="D649" s="5"/>
      <c r="E649" s="5"/>
    </row>
    <row r="650" spans="3:5" customFormat="1" x14ac:dyDescent="0.25">
      <c r="C650" s="16"/>
      <c r="D650" s="5"/>
      <c r="E650" s="5"/>
    </row>
    <row r="651" spans="3:5" customFormat="1" x14ac:dyDescent="0.25">
      <c r="C651" s="16"/>
      <c r="D651" s="5"/>
      <c r="E651" s="5"/>
    </row>
    <row r="652" spans="3:5" customFormat="1" x14ac:dyDescent="0.25">
      <c r="C652" s="16"/>
      <c r="D652" s="5"/>
      <c r="E652" s="5"/>
    </row>
    <row r="653" spans="3:5" customFormat="1" x14ac:dyDescent="0.25">
      <c r="C653" s="16"/>
      <c r="D653" s="5"/>
      <c r="E653" s="5"/>
    </row>
    <row r="654" spans="3:5" customFormat="1" x14ac:dyDescent="0.25">
      <c r="C654" s="16"/>
      <c r="D654" s="5"/>
      <c r="E654" s="5"/>
    </row>
    <row r="655" spans="3:5" customFormat="1" x14ac:dyDescent="0.25">
      <c r="C655" s="16"/>
      <c r="D655" s="5"/>
      <c r="E655" s="5"/>
    </row>
    <row r="656" spans="3:5" customFormat="1" x14ac:dyDescent="0.25">
      <c r="C656" s="16"/>
      <c r="D656" s="5"/>
      <c r="E656" s="5"/>
    </row>
    <row r="657" spans="3:5" customFormat="1" x14ac:dyDescent="0.25">
      <c r="C657" s="16"/>
      <c r="D657" s="5"/>
      <c r="E657" s="5"/>
    </row>
    <row r="658" spans="3:5" customFormat="1" x14ac:dyDescent="0.25">
      <c r="C658" s="16"/>
      <c r="D658" s="5"/>
      <c r="E658" s="5"/>
    </row>
    <row r="659" spans="3:5" customFormat="1" x14ac:dyDescent="0.25">
      <c r="C659" s="16"/>
      <c r="D659" s="5"/>
      <c r="E659" s="5"/>
    </row>
    <row r="660" spans="3:5" customFormat="1" x14ac:dyDescent="0.25">
      <c r="C660" s="16"/>
      <c r="D660" s="5"/>
      <c r="E660" s="5"/>
    </row>
    <row r="661" spans="3:5" customFormat="1" x14ac:dyDescent="0.25">
      <c r="C661" s="16"/>
      <c r="D661" s="5"/>
      <c r="E661" s="5"/>
    </row>
    <row r="662" spans="3:5" customFormat="1" x14ac:dyDescent="0.25">
      <c r="C662" s="16"/>
      <c r="D662" s="5"/>
      <c r="E662" s="5"/>
    </row>
    <row r="663" spans="3:5" customFormat="1" x14ac:dyDescent="0.25">
      <c r="C663" s="16"/>
      <c r="D663" s="5"/>
      <c r="E663" s="5"/>
    </row>
    <row r="664" spans="3:5" customFormat="1" x14ac:dyDescent="0.25">
      <c r="C664" s="16"/>
      <c r="D664" s="5"/>
      <c r="E664" s="5"/>
    </row>
    <row r="665" spans="3:5" customFormat="1" x14ac:dyDescent="0.25">
      <c r="C665" s="16"/>
      <c r="D665" s="5"/>
      <c r="E665" s="5"/>
    </row>
    <row r="666" spans="3:5" customFormat="1" x14ac:dyDescent="0.25">
      <c r="C666" s="16"/>
      <c r="D666" s="5"/>
      <c r="E666" s="5"/>
    </row>
    <row r="667" spans="3:5" customFormat="1" x14ac:dyDescent="0.25">
      <c r="C667" s="16"/>
      <c r="D667" s="5"/>
      <c r="E667" s="5"/>
    </row>
    <row r="668" spans="3:5" customFormat="1" x14ac:dyDescent="0.25">
      <c r="C668" s="16"/>
      <c r="D668" s="5"/>
      <c r="E668" s="5"/>
    </row>
    <row r="669" spans="3:5" customFormat="1" x14ac:dyDescent="0.25">
      <c r="C669" s="16"/>
      <c r="D669" s="5"/>
      <c r="E669" s="5"/>
    </row>
    <row r="670" spans="3:5" customFormat="1" x14ac:dyDescent="0.25">
      <c r="C670" s="16"/>
      <c r="D670" s="5"/>
      <c r="E670" s="5"/>
    </row>
    <row r="671" spans="3:5" customFormat="1" x14ac:dyDescent="0.25">
      <c r="C671" s="16"/>
      <c r="D671" s="5"/>
      <c r="E671" s="5"/>
    </row>
    <row r="672" spans="3:5" customFormat="1" x14ac:dyDescent="0.25">
      <c r="C672" s="16"/>
      <c r="D672" s="5"/>
      <c r="E672" s="5"/>
    </row>
    <row r="673" spans="3:5" customFormat="1" x14ac:dyDescent="0.25">
      <c r="C673" s="16"/>
      <c r="D673" s="5"/>
      <c r="E673" s="5"/>
    </row>
    <row r="674" spans="3:5" customFormat="1" x14ac:dyDescent="0.25">
      <c r="C674" s="16"/>
      <c r="D674" s="5"/>
      <c r="E674" s="5"/>
    </row>
    <row r="675" spans="3:5" customFormat="1" x14ac:dyDescent="0.25">
      <c r="C675" s="16"/>
      <c r="D675" s="5"/>
      <c r="E675" s="5"/>
    </row>
    <row r="676" spans="3:5" customFormat="1" x14ac:dyDescent="0.25">
      <c r="C676" s="16"/>
      <c r="D676" s="5"/>
      <c r="E676" s="5"/>
    </row>
    <row r="677" spans="3:5" customFormat="1" x14ac:dyDescent="0.25">
      <c r="C677" s="16"/>
      <c r="D677" s="5"/>
      <c r="E677" s="5"/>
    </row>
    <row r="678" spans="3:5" customFormat="1" x14ac:dyDescent="0.25">
      <c r="C678" s="16"/>
      <c r="D678" s="5"/>
      <c r="E678" s="5"/>
    </row>
    <row r="679" spans="3:5" customFormat="1" x14ac:dyDescent="0.25">
      <c r="C679" s="16"/>
      <c r="D679" s="5"/>
      <c r="E679" s="5"/>
    </row>
    <row r="680" spans="3:5" customFormat="1" x14ac:dyDescent="0.25">
      <c r="C680" s="16"/>
      <c r="D680" s="5"/>
      <c r="E680" s="5"/>
    </row>
    <row r="681" spans="3:5" customFormat="1" x14ac:dyDescent="0.25">
      <c r="C681" s="16"/>
      <c r="D681" s="5"/>
      <c r="E681" s="5"/>
    </row>
    <row r="682" spans="3:5" customFormat="1" x14ac:dyDescent="0.25">
      <c r="C682" s="16"/>
      <c r="D682" s="5"/>
      <c r="E682" s="5"/>
    </row>
    <row r="683" spans="3:5" customFormat="1" x14ac:dyDescent="0.25">
      <c r="C683" s="16"/>
      <c r="D683" s="5"/>
      <c r="E683" s="5"/>
    </row>
    <row r="684" spans="3:5" customFormat="1" x14ac:dyDescent="0.25">
      <c r="C684" s="16"/>
      <c r="D684" s="5"/>
      <c r="E684" s="5"/>
    </row>
    <row r="685" spans="3:5" customFormat="1" x14ac:dyDescent="0.25">
      <c r="C685" s="16"/>
      <c r="D685" s="5"/>
      <c r="E685" s="5"/>
    </row>
    <row r="686" spans="3:5" customFormat="1" x14ac:dyDescent="0.25">
      <c r="C686" s="16"/>
      <c r="D686" s="5"/>
      <c r="E686" s="5"/>
    </row>
    <row r="687" spans="3:5" customFormat="1" x14ac:dyDescent="0.25">
      <c r="C687" s="16"/>
      <c r="D687" s="5"/>
      <c r="E687" s="5"/>
    </row>
    <row r="688" spans="3:5" customFormat="1" x14ac:dyDescent="0.25">
      <c r="C688" s="16"/>
      <c r="D688" s="5"/>
      <c r="E688" s="5"/>
    </row>
    <row r="689" spans="3:5" customFormat="1" x14ac:dyDescent="0.25">
      <c r="C689" s="16"/>
      <c r="D689" s="5"/>
      <c r="E689" s="5"/>
    </row>
    <row r="690" spans="3:5" customFormat="1" x14ac:dyDescent="0.25">
      <c r="C690" s="16"/>
      <c r="D690" s="5"/>
      <c r="E690" s="5"/>
    </row>
    <row r="691" spans="3:5" customFormat="1" x14ac:dyDescent="0.25">
      <c r="C691" s="16"/>
      <c r="D691" s="5"/>
      <c r="E691" s="5"/>
    </row>
    <row r="692" spans="3:5" customFormat="1" x14ac:dyDescent="0.25">
      <c r="C692" s="16"/>
      <c r="D692" s="5"/>
      <c r="E692" s="5"/>
    </row>
    <row r="693" spans="3:5" customFormat="1" x14ac:dyDescent="0.25">
      <c r="C693" s="16"/>
      <c r="D693" s="5"/>
      <c r="E693" s="5"/>
    </row>
    <row r="694" spans="3:5" customFormat="1" x14ac:dyDescent="0.25">
      <c r="C694" s="16"/>
      <c r="D694" s="5"/>
      <c r="E694" s="5"/>
    </row>
    <row r="695" spans="3:5" customFormat="1" x14ac:dyDescent="0.25">
      <c r="C695" s="16"/>
      <c r="D695" s="5"/>
      <c r="E695" s="5"/>
    </row>
    <row r="696" spans="3:5" customFormat="1" x14ac:dyDescent="0.25">
      <c r="C696" s="16"/>
      <c r="D696" s="5"/>
      <c r="E696" s="5"/>
    </row>
    <row r="697" spans="3:5" customFormat="1" x14ac:dyDescent="0.25">
      <c r="C697" s="16"/>
      <c r="D697" s="5"/>
      <c r="E697" s="5"/>
    </row>
    <row r="698" spans="3:5" customFormat="1" x14ac:dyDescent="0.25">
      <c r="C698" s="16"/>
      <c r="D698" s="5"/>
      <c r="E698" s="5"/>
    </row>
    <row r="699" spans="3:5" customFormat="1" x14ac:dyDescent="0.25">
      <c r="C699" s="16"/>
      <c r="D699" s="5"/>
      <c r="E699" s="5"/>
    </row>
    <row r="700" spans="3:5" customFormat="1" x14ac:dyDescent="0.25">
      <c r="C700" s="16"/>
      <c r="D700" s="5"/>
      <c r="E700" s="5"/>
    </row>
    <row r="701" spans="3:5" customFormat="1" x14ac:dyDescent="0.25">
      <c r="C701" s="16"/>
      <c r="D701" s="5"/>
      <c r="E701" s="5"/>
    </row>
    <row r="702" spans="3:5" customFormat="1" x14ac:dyDescent="0.25">
      <c r="C702" s="16"/>
      <c r="D702" s="5"/>
      <c r="E702" s="5"/>
    </row>
    <row r="703" spans="3:5" customFormat="1" x14ac:dyDescent="0.25">
      <c r="C703" s="16"/>
      <c r="D703" s="5"/>
      <c r="E703" s="5"/>
    </row>
    <row r="704" spans="3:5" customFormat="1" x14ac:dyDescent="0.25">
      <c r="C704" s="16"/>
      <c r="D704" s="5"/>
      <c r="E704" s="5"/>
    </row>
    <row r="705" spans="3:5" customFormat="1" x14ac:dyDescent="0.25">
      <c r="C705" s="16"/>
      <c r="D705" s="5"/>
      <c r="E705" s="5"/>
    </row>
    <row r="706" spans="3:5" customFormat="1" x14ac:dyDescent="0.25">
      <c r="C706" s="16"/>
      <c r="D706" s="5"/>
      <c r="E706" s="5"/>
    </row>
    <row r="707" spans="3:5" customFormat="1" x14ac:dyDescent="0.25">
      <c r="C707" s="16"/>
      <c r="D707" s="5"/>
      <c r="E707" s="5"/>
    </row>
    <row r="708" spans="3:5" customFormat="1" x14ac:dyDescent="0.25">
      <c r="C708" s="16"/>
      <c r="D708" s="5"/>
      <c r="E708" s="5"/>
    </row>
    <row r="709" spans="3:5" customFormat="1" x14ac:dyDescent="0.25">
      <c r="C709" s="16"/>
      <c r="D709" s="5"/>
      <c r="E709" s="5"/>
    </row>
    <row r="710" spans="3:5" customFormat="1" x14ac:dyDescent="0.25">
      <c r="C710" s="16"/>
      <c r="D710" s="5"/>
      <c r="E710" s="5"/>
    </row>
    <row r="711" spans="3:5" customFormat="1" x14ac:dyDescent="0.25">
      <c r="C711" s="16"/>
      <c r="D711" s="5"/>
      <c r="E711" s="5"/>
    </row>
    <row r="712" spans="3:5" customFormat="1" x14ac:dyDescent="0.25">
      <c r="C712" s="16"/>
      <c r="D712" s="5"/>
      <c r="E712" s="5"/>
    </row>
    <row r="713" spans="3:5" customFormat="1" x14ac:dyDescent="0.25">
      <c r="C713" s="16"/>
      <c r="D713" s="5"/>
      <c r="E713" s="5"/>
    </row>
    <row r="714" spans="3:5" customFormat="1" x14ac:dyDescent="0.25">
      <c r="C714" s="16"/>
      <c r="D714" s="5"/>
      <c r="E714" s="5"/>
    </row>
    <row r="715" spans="3:5" customFormat="1" x14ac:dyDescent="0.25">
      <c r="C715" s="16"/>
      <c r="D715" s="5"/>
      <c r="E715" s="5"/>
    </row>
    <row r="716" spans="3:5" customFormat="1" x14ac:dyDescent="0.25">
      <c r="C716" s="16"/>
      <c r="D716" s="5"/>
      <c r="E716" s="5"/>
    </row>
    <row r="717" spans="3:5" customFormat="1" x14ac:dyDescent="0.25">
      <c r="C717" s="16"/>
      <c r="D717" s="5"/>
      <c r="E717" s="5"/>
    </row>
    <row r="718" spans="3:5" customFormat="1" x14ac:dyDescent="0.25">
      <c r="C718" s="16"/>
      <c r="D718" s="5"/>
      <c r="E718" s="5"/>
    </row>
    <row r="719" spans="3:5" customFormat="1" x14ac:dyDescent="0.25">
      <c r="C719" s="16"/>
      <c r="D719" s="5"/>
      <c r="E719" s="5"/>
    </row>
    <row r="720" spans="3:5" customFormat="1" x14ac:dyDescent="0.25">
      <c r="C720" s="16"/>
      <c r="D720" s="5"/>
      <c r="E720" s="5"/>
    </row>
    <row r="721" spans="3:5" customFormat="1" x14ac:dyDescent="0.25">
      <c r="C721" s="16"/>
      <c r="D721" s="5"/>
      <c r="E721" s="5"/>
    </row>
    <row r="722" spans="3:5" customFormat="1" x14ac:dyDescent="0.25">
      <c r="C722" s="16"/>
      <c r="D722" s="5"/>
      <c r="E722" s="5"/>
    </row>
    <row r="723" spans="3:5" customFormat="1" x14ac:dyDescent="0.25">
      <c r="C723" s="16"/>
      <c r="D723" s="5"/>
      <c r="E723" s="5"/>
    </row>
    <row r="724" spans="3:5" customFormat="1" x14ac:dyDescent="0.25">
      <c r="C724" s="16"/>
      <c r="D724" s="5"/>
      <c r="E724" s="5"/>
    </row>
    <row r="725" spans="3:5" customFormat="1" x14ac:dyDescent="0.25">
      <c r="C725" s="16"/>
      <c r="D725" s="5"/>
      <c r="E725" s="5"/>
    </row>
    <row r="726" spans="3:5" customFormat="1" x14ac:dyDescent="0.25">
      <c r="C726" s="16"/>
      <c r="D726" s="5"/>
      <c r="E726" s="5"/>
    </row>
    <row r="727" spans="3:5" customFormat="1" x14ac:dyDescent="0.25">
      <c r="C727" s="16"/>
      <c r="D727" s="5"/>
      <c r="E727" s="5"/>
    </row>
    <row r="728" spans="3:5" customFormat="1" x14ac:dyDescent="0.25">
      <c r="C728" s="16"/>
      <c r="D728" s="5"/>
      <c r="E728" s="5"/>
    </row>
    <row r="729" spans="3:5" customFormat="1" x14ac:dyDescent="0.25">
      <c r="C729" s="16"/>
      <c r="D729" s="5"/>
      <c r="E729" s="5"/>
    </row>
    <row r="730" spans="3:5" customFormat="1" x14ac:dyDescent="0.25">
      <c r="C730" s="16"/>
      <c r="D730" s="5"/>
      <c r="E730" s="5"/>
    </row>
    <row r="731" spans="3:5" customFormat="1" x14ac:dyDescent="0.25">
      <c r="C731" s="16"/>
      <c r="D731" s="5"/>
      <c r="E731" s="5"/>
    </row>
    <row r="732" spans="3:5" customFormat="1" x14ac:dyDescent="0.25">
      <c r="C732" s="16"/>
      <c r="D732" s="5"/>
      <c r="E732" s="5"/>
    </row>
    <row r="733" spans="3:5" customFormat="1" x14ac:dyDescent="0.25">
      <c r="C733" s="16"/>
      <c r="D733" s="5"/>
      <c r="E733" s="5"/>
    </row>
    <row r="734" spans="3:5" customFormat="1" x14ac:dyDescent="0.25">
      <c r="C734" s="16"/>
      <c r="D734" s="5"/>
      <c r="E734" s="5"/>
    </row>
    <row r="735" spans="3:5" customFormat="1" x14ac:dyDescent="0.25">
      <c r="C735" s="16"/>
      <c r="D735" s="5"/>
      <c r="E735" s="5"/>
    </row>
    <row r="736" spans="3:5" customFormat="1" x14ac:dyDescent="0.25">
      <c r="C736" s="16"/>
      <c r="D736" s="5"/>
      <c r="E736" s="5"/>
    </row>
    <row r="737" spans="3:5" customFormat="1" x14ac:dyDescent="0.25">
      <c r="C737" s="16"/>
      <c r="D737" s="5"/>
      <c r="E737" s="5"/>
    </row>
    <row r="738" spans="3:5" customFormat="1" x14ac:dyDescent="0.25">
      <c r="C738" s="16"/>
      <c r="D738" s="5"/>
      <c r="E738" s="5"/>
    </row>
    <row r="739" spans="3:5" customFormat="1" x14ac:dyDescent="0.25">
      <c r="C739" s="16"/>
      <c r="D739" s="5"/>
      <c r="E739" s="5"/>
    </row>
    <row r="740" spans="3:5" customFormat="1" x14ac:dyDescent="0.25">
      <c r="C740" s="16"/>
      <c r="D740" s="5"/>
      <c r="E740" s="5"/>
    </row>
    <row r="741" spans="3:5" customFormat="1" x14ac:dyDescent="0.25">
      <c r="C741" s="16"/>
      <c r="D741" s="5"/>
      <c r="E741" s="5"/>
    </row>
    <row r="742" spans="3:5" customFormat="1" x14ac:dyDescent="0.25">
      <c r="C742" s="16"/>
      <c r="D742" s="5"/>
      <c r="E742" s="5"/>
    </row>
    <row r="743" spans="3:5" customFormat="1" x14ac:dyDescent="0.25">
      <c r="C743" s="16"/>
      <c r="D743" s="5"/>
      <c r="E743" s="5"/>
    </row>
    <row r="744" spans="3:5" customFormat="1" x14ac:dyDescent="0.25">
      <c r="C744" s="16"/>
      <c r="D744" s="5"/>
      <c r="E744" s="5"/>
    </row>
    <row r="745" spans="3:5" customFormat="1" x14ac:dyDescent="0.25">
      <c r="C745" s="16"/>
      <c r="D745" s="5"/>
      <c r="E745" s="5"/>
    </row>
    <row r="746" spans="3:5" customFormat="1" x14ac:dyDescent="0.25">
      <c r="C746" s="16"/>
      <c r="D746" s="5"/>
      <c r="E746" s="5"/>
    </row>
    <row r="747" spans="3:5" customFormat="1" x14ac:dyDescent="0.25">
      <c r="C747" s="16"/>
      <c r="D747" s="5"/>
      <c r="E747" s="5"/>
    </row>
    <row r="748" spans="3:5" customFormat="1" x14ac:dyDescent="0.25">
      <c r="C748" s="16"/>
      <c r="D748" s="5"/>
      <c r="E748" s="5"/>
    </row>
    <row r="749" spans="3:5" customFormat="1" x14ac:dyDescent="0.25">
      <c r="C749" s="16"/>
      <c r="D749" s="5"/>
      <c r="E749" s="5"/>
    </row>
    <row r="750" spans="3:5" customFormat="1" x14ac:dyDescent="0.25">
      <c r="C750" s="16"/>
      <c r="D750" s="5"/>
      <c r="E750" s="5"/>
    </row>
    <row r="751" spans="3:5" customFormat="1" x14ac:dyDescent="0.25">
      <c r="C751" s="16"/>
      <c r="D751" s="5"/>
      <c r="E751" s="5"/>
    </row>
    <row r="752" spans="3:5" customFormat="1" x14ac:dyDescent="0.25">
      <c r="C752" s="16"/>
      <c r="D752" s="5"/>
      <c r="E752" s="5"/>
    </row>
    <row r="753" spans="3:5" customFormat="1" x14ac:dyDescent="0.25">
      <c r="C753" s="16"/>
      <c r="D753" s="5"/>
      <c r="E753" s="5"/>
    </row>
    <row r="754" spans="3:5" customFormat="1" x14ac:dyDescent="0.25">
      <c r="C754" s="16"/>
      <c r="D754" s="5"/>
      <c r="E754" s="5"/>
    </row>
    <row r="755" spans="3:5" customFormat="1" x14ac:dyDescent="0.25">
      <c r="C755" s="16"/>
      <c r="D755" s="5"/>
      <c r="E755" s="5"/>
    </row>
    <row r="756" spans="3:5" customFormat="1" x14ac:dyDescent="0.25">
      <c r="C756" s="16"/>
      <c r="D756" s="5"/>
      <c r="E756" s="5"/>
    </row>
    <row r="757" spans="3:5" customFormat="1" x14ac:dyDescent="0.25">
      <c r="C757" s="16"/>
      <c r="D757" s="5"/>
      <c r="E757" s="5"/>
    </row>
    <row r="758" spans="3:5" customFormat="1" x14ac:dyDescent="0.25">
      <c r="C758" s="16"/>
      <c r="D758" s="5"/>
      <c r="E758" s="5"/>
    </row>
    <row r="759" spans="3:5" customFormat="1" x14ac:dyDescent="0.25">
      <c r="C759" s="16"/>
      <c r="D759" s="5"/>
      <c r="E759" s="5"/>
    </row>
    <row r="760" spans="3:5" customFormat="1" x14ac:dyDescent="0.25">
      <c r="C760" s="16"/>
      <c r="D760" s="5"/>
      <c r="E760" s="5"/>
    </row>
    <row r="761" spans="3:5" customFormat="1" x14ac:dyDescent="0.25">
      <c r="C761" s="16"/>
      <c r="D761" s="5"/>
      <c r="E761" s="5"/>
    </row>
    <row r="762" spans="3:5" customFormat="1" x14ac:dyDescent="0.25">
      <c r="C762" s="16"/>
      <c r="D762" s="5"/>
      <c r="E762" s="5"/>
    </row>
    <row r="763" spans="3:5" customFormat="1" x14ac:dyDescent="0.25">
      <c r="C763" s="16"/>
      <c r="D763" s="5"/>
      <c r="E763" s="5"/>
    </row>
    <row r="764" spans="3:5" customFormat="1" x14ac:dyDescent="0.25">
      <c r="C764" s="16"/>
      <c r="D764" s="5"/>
      <c r="E764" s="5"/>
    </row>
    <row r="765" spans="3:5" customFormat="1" x14ac:dyDescent="0.25">
      <c r="C765" s="16"/>
      <c r="D765" s="5"/>
      <c r="E765" s="5"/>
    </row>
    <row r="766" spans="3:5" customFormat="1" x14ac:dyDescent="0.25">
      <c r="C766" s="16"/>
      <c r="D766" s="5"/>
      <c r="E766" s="5"/>
    </row>
    <row r="767" spans="3:5" customFormat="1" x14ac:dyDescent="0.25">
      <c r="C767" s="16"/>
      <c r="D767" s="5"/>
      <c r="E767" s="5"/>
    </row>
    <row r="768" spans="3:5" customFormat="1" x14ac:dyDescent="0.25">
      <c r="C768" s="16"/>
      <c r="D768" s="5"/>
      <c r="E768" s="5"/>
    </row>
    <row r="769" spans="3:5" customFormat="1" x14ac:dyDescent="0.25">
      <c r="C769" s="16"/>
      <c r="D769" s="5"/>
      <c r="E769" s="5"/>
    </row>
    <row r="770" spans="3:5" customFormat="1" x14ac:dyDescent="0.25">
      <c r="C770" s="16"/>
      <c r="D770" s="5"/>
      <c r="E770" s="5"/>
    </row>
    <row r="771" spans="3:5" customFormat="1" x14ac:dyDescent="0.25">
      <c r="C771" s="16"/>
      <c r="D771" s="5"/>
      <c r="E771" s="5"/>
    </row>
    <row r="772" spans="3:5" customFormat="1" x14ac:dyDescent="0.25">
      <c r="C772" s="16"/>
      <c r="D772" s="5"/>
      <c r="E772" s="5"/>
    </row>
    <row r="773" spans="3:5" customFormat="1" x14ac:dyDescent="0.25">
      <c r="C773" s="16"/>
      <c r="D773" s="5"/>
      <c r="E773" s="5"/>
    </row>
    <row r="774" spans="3:5" customFormat="1" x14ac:dyDescent="0.25">
      <c r="C774" s="16"/>
      <c r="D774" s="5"/>
      <c r="E774" s="5"/>
    </row>
    <row r="775" spans="3:5" customFormat="1" x14ac:dyDescent="0.25">
      <c r="C775" s="16"/>
      <c r="D775" s="5"/>
      <c r="E775" s="5"/>
    </row>
    <row r="776" spans="3:5" customFormat="1" x14ac:dyDescent="0.25">
      <c r="C776" s="16"/>
      <c r="D776" s="5"/>
      <c r="E776" s="5"/>
    </row>
    <row r="777" spans="3:5" customFormat="1" x14ac:dyDescent="0.25">
      <c r="C777" s="16"/>
      <c r="D777" s="5"/>
      <c r="E777" s="5"/>
    </row>
    <row r="778" spans="3:5" customFormat="1" x14ac:dyDescent="0.25">
      <c r="C778" s="16"/>
      <c r="D778" s="5"/>
      <c r="E778" s="5"/>
    </row>
    <row r="779" spans="3:5" customFormat="1" x14ac:dyDescent="0.25">
      <c r="C779" s="16"/>
      <c r="D779" s="5"/>
      <c r="E779" s="5"/>
    </row>
    <row r="780" spans="3:5" customFormat="1" x14ac:dyDescent="0.25">
      <c r="C780" s="16"/>
      <c r="D780" s="5"/>
      <c r="E780" s="5"/>
    </row>
    <row r="781" spans="3:5" customFormat="1" x14ac:dyDescent="0.25">
      <c r="C781" s="16"/>
      <c r="D781" s="5"/>
      <c r="E781" s="5"/>
    </row>
    <row r="782" spans="3:5" customFormat="1" x14ac:dyDescent="0.25">
      <c r="C782" s="16"/>
      <c r="D782" s="5"/>
      <c r="E782" s="5"/>
    </row>
    <row r="783" spans="3:5" customFormat="1" x14ac:dyDescent="0.25">
      <c r="C783" s="16"/>
      <c r="D783" s="5"/>
      <c r="E783" s="5"/>
    </row>
    <row r="784" spans="3:5" customFormat="1" x14ac:dyDescent="0.25">
      <c r="C784" s="16"/>
      <c r="D784" s="5"/>
      <c r="E784" s="5"/>
    </row>
    <row r="785" spans="3:5" customFormat="1" x14ac:dyDescent="0.25">
      <c r="C785" s="16"/>
      <c r="D785" s="5"/>
      <c r="E785" s="5"/>
    </row>
    <row r="786" spans="3:5" customFormat="1" x14ac:dyDescent="0.25">
      <c r="C786" s="16"/>
      <c r="D786" s="5"/>
      <c r="E786" s="5"/>
    </row>
    <row r="787" spans="3:5" customFormat="1" x14ac:dyDescent="0.25">
      <c r="C787" s="16"/>
      <c r="D787" s="5"/>
      <c r="E787" s="5"/>
    </row>
    <row r="788" spans="3:5" customFormat="1" x14ac:dyDescent="0.25">
      <c r="C788" s="16"/>
      <c r="D788" s="5"/>
      <c r="E788" s="5"/>
    </row>
    <row r="789" spans="3:5" customFormat="1" x14ac:dyDescent="0.25">
      <c r="C789" s="16"/>
      <c r="D789" s="5"/>
      <c r="E789" s="5"/>
    </row>
    <row r="790" spans="3:5" customFormat="1" x14ac:dyDescent="0.25">
      <c r="C790" s="16"/>
      <c r="D790" s="5"/>
      <c r="E790" s="5"/>
    </row>
    <row r="791" spans="3:5" customFormat="1" x14ac:dyDescent="0.25">
      <c r="C791" s="16"/>
      <c r="D791" s="5"/>
      <c r="E791" s="5"/>
    </row>
    <row r="792" spans="3:5" customFormat="1" x14ac:dyDescent="0.25">
      <c r="C792" s="16"/>
      <c r="D792" s="5"/>
      <c r="E792" s="5"/>
    </row>
    <row r="793" spans="3:5" customFormat="1" x14ac:dyDescent="0.25">
      <c r="C793" s="16"/>
      <c r="D793" s="5"/>
      <c r="E793" s="5"/>
    </row>
    <row r="794" spans="3:5" customFormat="1" x14ac:dyDescent="0.25">
      <c r="C794" s="16"/>
      <c r="D794" s="5"/>
      <c r="E794" s="5"/>
    </row>
    <row r="795" spans="3:5" customFormat="1" x14ac:dyDescent="0.25">
      <c r="C795" s="16"/>
      <c r="D795" s="5"/>
      <c r="E795" s="5"/>
    </row>
    <row r="796" spans="3:5" customFormat="1" x14ac:dyDescent="0.25">
      <c r="C796" s="16"/>
      <c r="D796" s="5"/>
      <c r="E796" s="5"/>
    </row>
    <row r="797" spans="3:5" customFormat="1" x14ac:dyDescent="0.25">
      <c r="C797" s="16"/>
      <c r="D797" s="5"/>
      <c r="E797" s="5"/>
    </row>
    <row r="798" spans="3:5" customFormat="1" x14ac:dyDescent="0.25">
      <c r="C798" s="16"/>
      <c r="D798" s="5"/>
      <c r="E798" s="5"/>
    </row>
    <row r="799" spans="3:5" customFormat="1" x14ac:dyDescent="0.25">
      <c r="C799" s="16"/>
      <c r="D799" s="5"/>
      <c r="E799" s="5"/>
    </row>
    <row r="800" spans="3:5" customFormat="1" x14ac:dyDescent="0.25">
      <c r="C800" s="16"/>
      <c r="D800" s="5"/>
      <c r="E800" s="5"/>
    </row>
    <row r="801" spans="3:5" customFormat="1" x14ac:dyDescent="0.25">
      <c r="C801" s="16"/>
      <c r="D801" s="5"/>
      <c r="E801" s="5"/>
    </row>
    <row r="802" spans="3:5" customFormat="1" x14ac:dyDescent="0.25">
      <c r="C802" s="16"/>
      <c r="D802" s="5"/>
      <c r="E802" s="5"/>
    </row>
    <row r="803" spans="3:5" customFormat="1" x14ac:dyDescent="0.25">
      <c r="C803" s="16"/>
      <c r="D803" s="5"/>
      <c r="E803" s="5"/>
    </row>
    <row r="804" spans="3:5" customFormat="1" x14ac:dyDescent="0.25">
      <c r="C804" s="16"/>
      <c r="D804" s="5"/>
      <c r="E804" s="5"/>
    </row>
    <row r="805" spans="3:5" customFormat="1" x14ac:dyDescent="0.25">
      <c r="C805" s="16"/>
      <c r="D805" s="5"/>
      <c r="E805" s="5"/>
    </row>
    <row r="806" spans="3:5" customFormat="1" x14ac:dyDescent="0.25">
      <c r="C806" s="16"/>
      <c r="D806" s="5"/>
      <c r="E806" s="5"/>
    </row>
    <row r="807" spans="3:5" customFormat="1" x14ac:dyDescent="0.25">
      <c r="C807" s="16"/>
      <c r="D807" s="5"/>
      <c r="E807" s="5"/>
    </row>
    <row r="808" spans="3:5" customFormat="1" x14ac:dyDescent="0.25">
      <c r="C808" s="16"/>
      <c r="D808" s="5"/>
      <c r="E808" s="5"/>
    </row>
    <row r="809" spans="3:5" customFormat="1" x14ac:dyDescent="0.25">
      <c r="C809" s="16"/>
      <c r="D809" s="5"/>
      <c r="E809" s="5"/>
    </row>
    <row r="810" spans="3:5" customFormat="1" x14ac:dyDescent="0.25">
      <c r="C810" s="16"/>
      <c r="D810" s="5"/>
      <c r="E810" s="5"/>
    </row>
    <row r="811" spans="3:5" customFormat="1" x14ac:dyDescent="0.25">
      <c r="C811" s="16"/>
      <c r="D811" s="5"/>
      <c r="E811" s="5"/>
    </row>
    <row r="812" spans="3:5" customFormat="1" x14ac:dyDescent="0.25">
      <c r="C812" s="16"/>
      <c r="D812" s="5"/>
      <c r="E812" s="5"/>
    </row>
    <row r="813" spans="3:5" customFormat="1" x14ac:dyDescent="0.25">
      <c r="C813" s="16"/>
      <c r="D813" s="5"/>
      <c r="E813" s="5"/>
    </row>
    <row r="814" spans="3:5" customFormat="1" x14ac:dyDescent="0.25">
      <c r="C814" s="16"/>
      <c r="D814" s="5"/>
      <c r="E814" s="5"/>
    </row>
    <row r="815" spans="3:5" customFormat="1" x14ac:dyDescent="0.25">
      <c r="C815" s="16"/>
      <c r="D815" s="5"/>
      <c r="E815" s="5"/>
    </row>
    <row r="816" spans="3:5" customFormat="1" x14ac:dyDescent="0.25">
      <c r="C816" s="16"/>
      <c r="D816" s="5"/>
      <c r="E816" s="5"/>
    </row>
    <row r="817" spans="3:5" customFormat="1" x14ac:dyDescent="0.25">
      <c r="C817" s="16"/>
      <c r="D817" s="5"/>
      <c r="E817" s="5"/>
    </row>
    <row r="818" spans="3:5" customFormat="1" x14ac:dyDescent="0.25">
      <c r="C818" s="16"/>
      <c r="D818" s="5"/>
      <c r="E818" s="5"/>
    </row>
    <row r="819" spans="3:5" customFormat="1" x14ac:dyDescent="0.25">
      <c r="C819" s="16"/>
      <c r="D819" s="5"/>
      <c r="E819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A13"/>
  <sheetViews>
    <sheetView zoomScale="70" zoomScaleNormal="70" workbookViewId="0">
      <selection activeCell="B11" sqref="B11"/>
    </sheetView>
  </sheetViews>
  <sheetFormatPr baseColWidth="10" defaultRowHeight="15" x14ac:dyDescent="0.25"/>
  <cols>
    <col min="1" max="1" width="25" style="15" customWidth="1"/>
    <col min="2" max="2" width="86.7109375" style="15" customWidth="1"/>
    <col min="3" max="3" width="26.42578125" style="15" customWidth="1"/>
    <col min="4" max="27" width="11.42578125" style="18" customWidth="1"/>
  </cols>
  <sheetData>
    <row r="1" spans="1:3" customFormat="1" x14ac:dyDescent="0.25">
      <c r="A1" s="19" t="s">
        <v>31</v>
      </c>
      <c r="B1" s="20" t="s">
        <v>32</v>
      </c>
      <c r="C1" s="19" t="s">
        <v>33</v>
      </c>
    </row>
    <row r="13" spans="1:3" x14ac:dyDescent="0.25">
      <c r="B13" s="22" t="s">
        <v>320</v>
      </c>
    </row>
  </sheetData>
  <sheetProtection sheet="1" objects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72"/>
  <sheetViews>
    <sheetView tabSelected="1" zoomScale="90" zoomScaleNormal="90" workbookViewId="0">
      <pane ySplit="1" topLeftCell="A110" activePane="bottomLeft" state="frozen"/>
      <selection pane="bottomLeft" activeCell="A121" sqref="A121:XFD121"/>
    </sheetView>
  </sheetViews>
  <sheetFormatPr baseColWidth="10" defaultColWidth="11.42578125" defaultRowHeight="15" x14ac:dyDescent="0.25"/>
  <cols>
    <col min="1" max="1" width="11.5703125" style="51" customWidth="1"/>
    <col min="2" max="2" width="17.85546875" style="41" customWidth="1"/>
    <col min="3" max="3" width="5.5703125" style="41" customWidth="1"/>
    <col min="4" max="4" width="15" style="41" customWidth="1"/>
    <col min="5" max="5" width="19.140625" style="41" customWidth="1"/>
    <col min="6" max="6" width="73.28515625" style="41" hidden="1" customWidth="1"/>
    <col min="7" max="7" width="10.140625" style="51" customWidth="1"/>
    <col min="8" max="8" width="6.7109375" style="51" customWidth="1"/>
    <col min="9" max="9" width="13.5703125" style="51" bestFit="1" customWidth="1"/>
    <col min="10" max="10" width="1.140625" style="51" customWidth="1"/>
    <col min="11" max="11" width="15.85546875" style="51" hidden="1" customWidth="1"/>
    <col min="12" max="12" width="8.28515625" style="51" customWidth="1"/>
    <col min="13" max="13" width="6.7109375" style="51" customWidth="1"/>
    <col min="14" max="14" width="9.85546875" style="51" customWidth="1"/>
    <col min="15" max="15" width="0.5703125" style="51" customWidth="1"/>
    <col min="16" max="16" width="17.5703125" style="51" hidden="1" customWidth="1"/>
    <col min="17" max="17" width="5.7109375" style="51" customWidth="1"/>
    <col min="18" max="18" width="10.42578125" style="51" bestFit="1" customWidth="1"/>
    <col min="19" max="19" width="13.42578125" style="51" customWidth="1"/>
    <col min="20" max="20" width="13.28515625" style="51" hidden="1" customWidth="1"/>
    <col min="21" max="21" width="10.28515625" style="51" customWidth="1"/>
    <col min="22" max="22" width="9.7109375" style="51" customWidth="1"/>
    <col min="23" max="23" width="5.42578125" style="51" customWidth="1"/>
    <col min="24" max="24" width="10" style="51" customWidth="1"/>
    <col min="25" max="25" width="17" style="51" hidden="1" customWidth="1"/>
    <col min="26" max="26" width="9.7109375" style="51" hidden="1" customWidth="1"/>
    <col min="27" max="27" width="12.7109375" style="51" hidden="1" customWidth="1"/>
    <col min="28" max="28" width="13.5703125" style="51" bestFit="1" customWidth="1"/>
    <col min="29" max="29" width="0.28515625" style="68" hidden="1" customWidth="1"/>
    <col min="30" max="31" width="18.5703125" style="51" bestFit="1" customWidth="1"/>
    <col min="32" max="32" width="20.140625" style="52" customWidth="1"/>
    <col min="33" max="34" width="11.42578125" style="52"/>
    <col min="35" max="35" width="14.42578125" style="41" bestFit="1" customWidth="1"/>
    <col min="36" max="36" width="18.7109375" style="51" bestFit="1" customWidth="1"/>
    <col min="37" max="16384" width="11.42578125" style="51"/>
  </cols>
  <sheetData>
    <row r="1" spans="1:36" s="46" customFormat="1" ht="30" customHeight="1" x14ac:dyDescent="0.25">
      <c r="A1" s="43" t="s">
        <v>321</v>
      </c>
      <c r="B1" s="44" t="s">
        <v>327</v>
      </c>
      <c r="C1" s="44" t="s">
        <v>5</v>
      </c>
      <c r="D1" s="44" t="s">
        <v>7</v>
      </c>
      <c r="E1" s="44"/>
      <c r="F1" s="45"/>
      <c r="G1" s="43" t="s">
        <v>6</v>
      </c>
      <c r="H1" s="43" t="s">
        <v>323</v>
      </c>
      <c r="I1" s="69" t="s">
        <v>1</v>
      </c>
      <c r="J1" s="43" t="s">
        <v>19</v>
      </c>
      <c r="K1" s="43" t="s">
        <v>20</v>
      </c>
      <c r="L1" s="43" t="s">
        <v>16</v>
      </c>
      <c r="M1" s="43" t="s">
        <v>12</v>
      </c>
      <c r="N1" s="69" t="s">
        <v>13</v>
      </c>
      <c r="O1" s="43" t="s">
        <v>21</v>
      </c>
      <c r="P1" s="43" t="s">
        <v>22</v>
      </c>
      <c r="Q1" s="43" t="s">
        <v>17</v>
      </c>
      <c r="R1" s="43" t="s">
        <v>14</v>
      </c>
      <c r="S1" s="69" t="s">
        <v>15</v>
      </c>
      <c r="T1" s="43" t="s">
        <v>24</v>
      </c>
      <c r="U1" s="43" t="s">
        <v>23</v>
      </c>
      <c r="V1" s="43" t="s">
        <v>2</v>
      </c>
      <c r="W1" s="43" t="s">
        <v>26</v>
      </c>
      <c r="X1" s="43" t="s">
        <v>28</v>
      </c>
      <c r="Y1" s="43" t="s">
        <v>25</v>
      </c>
      <c r="Z1" s="43" t="s">
        <v>27</v>
      </c>
      <c r="AA1" s="43" t="s">
        <v>29</v>
      </c>
      <c r="AB1" s="43" t="s">
        <v>30</v>
      </c>
      <c r="AC1" s="70"/>
      <c r="AD1" s="62" t="s">
        <v>329</v>
      </c>
      <c r="AE1" s="62" t="s">
        <v>328</v>
      </c>
      <c r="AF1" s="44" t="s">
        <v>18</v>
      </c>
      <c r="AG1" s="44" t="s">
        <v>4</v>
      </c>
      <c r="AH1" s="44" t="s">
        <v>9</v>
      </c>
      <c r="AI1" s="44" t="s">
        <v>10</v>
      </c>
      <c r="AJ1" s="43" t="s">
        <v>11</v>
      </c>
    </row>
    <row r="2" spans="1:36" s="59" customFormat="1" x14ac:dyDescent="0.25">
      <c r="A2" s="39">
        <v>45566</v>
      </c>
      <c r="B2" s="54" t="s">
        <v>331</v>
      </c>
      <c r="C2" s="54"/>
      <c r="D2" s="41" t="s">
        <v>332</v>
      </c>
      <c r="E2" s="41" t="s">
        <v>333</v>
      </c>
      <c r="F2" s="63" t="str">
        <f t="shared" ref="F2:F75" si="0">"S/F "&amp;B2&amp;" "&amp;E2</f>
        <v>S/F 2410c00666926 SECURITAS DIRECT ESPAÑA, SAU.</v>
      </c>
      <c r="G2" s="55">
        <v>52.74</v>
      </c>
      <c r="H2" s="56">
        <v>21</v>
      </c>
      <c r="I2" s="55">
        <f t="shared" ref="I2" si="1">+IF(G2&lt;&gt;0,G2*H2/100,0)</f>
        <v>11.0754</v>
      </c>
      <c r="J2" s="57"/>
      <c r="K2" s="55">
        <f t="shared" ref="K2" si="2">+IF(G2&lt;&gt;0,G2*J2/100,0)</f>
        <v>0</v>
      </c>
      <c r="L2" s="55">
        <v>0</v>
      </c>
      <c r="M2" s="56">
        <v>0</v>
      </c>
      <c r="N2" s="55">
        <f t="shared" ref="N2" si="3">+IF(L2&lt;&gt;0,L2*M2/100,0)</f>
        <v>0</v>
      </c>
      <c r="O2" s="55"/>
      <c r="P2" s="55">
        <f t="shared" ref="P2" si="4">+IF(L2&lt;&gt;0,L2*O2/100,0)</f>
        <v>0</v>
      </c>
      <c r="Q2" s="55">
        <v>0</v>
      </c>
      <c r="R2" s="56">
        <v>0</v>
      </c>
      <c r="S2" s="55">
        <f t="shared" ref="S2" si="5">+IF(Q2&lt;&gt;0,Q2*R2/100,0)</f>
        <v>0</v>
      </c>
      <c r="T2" s="55"/>
      <c r="U2" s="55">
        <f t="shared" ref="U2" si="6">+IF(Q2&lt;&gt;0,Q2*T2/100,0)</f>
        <v>0</v>
      </c>
      <c r="V2" s="55">
        <v>0</v>
      </c>
      <c r="W2" s="58">
        <v>0</v>
      </c>
      <c r="X2" s="55">
        <f t="shared" ref="X2" si="7">+IF(W2&lt;&gt;0,V2*W2/100,0)</f>
        <v>0</v>
      </c>
      <c r="AA2" s="60">
        <f t="shared" ref="AA2" si="8">+IF(Z2&lt;&gt;0,Y2*Z2/100,0)</f>
        <v>0</v>
      </c>
      <c r="AB2" s="40">
        <f t="shared" ref="AB2" si="9">+G2+I2+K2+L2+N2+P2+Q2+S2+U2-X2-AA2</f>
        <v>63.815400000000004</v>
      </c>
      <c r="AC2" s="67"/>
      <c r="AF2" s="61"/>
      <c r="AG2" s="61"/>
      <c r="AH2" s="61"/>
      <c r="AI2" s="54"/>
    </row>
    <row r="3" spans="1:36" s="59" customFormat="1" x14ac:dyDescent="0.25">
      <c r="A3" s="39">
        <v>45566</v>
      </c>
      <c r="B3" s="54" t="s">
        <v>334</v>
      </c>
      <c r="C3" s="54"/>
      <c r="D3" s="54" t="s">
        <v>335</v>
      </c>
      <c r="E3" s="54" t="s">
        <v>336</v>
      </c>
      <c r="F3" s="63" t="str">
        <f t="shared" si="0"/>
        <v>S/F BR2024000500311649 SANITAS, S.A.</v>
      </c>
      <c r="G3" s="55">
        <v>297.22000000000003</v>
      </c>
      <c r="H3" s="56">
        <v>0</v>
      </c>
      <c r="I3" s="55">
        <f t="shared" ref="I3:I32" si="10">+IF(G3&lt;&gt;0,G3*H3/100,0)</f>
        <v>0</v>
      </c>
      <c r="J3" s="57"/>
      <c r="K3" s="55">
        <f t="shared" ref="K3:K32" si="11">+IF(G3&lt;&gt;0,G3*J3/100,0)</f>
        <v>0</v>
      </c>
      <c r="L3" s="55">
        <v>0</v>
      </c>
      <c r="M3" s="56">
        <v>0</v>
      </c>
      <c r="N3" s="55">
        <f t="shared" ref="N3:N32" si="12">+IF(L3&lt;&gt;0,L3*M3/100,0)</f>
        <v>0</v>
      </c>
      <c r="O3" s="55"/>
      <c r="P3" s="55">
        <f t="shared" ref="P3:P32" si="13">+IF(L3&lt;&gt;0,L3*O3/100,0)</f>
        <v>0</v>
      </c>
      <c r="Q3" s="55">
        <v>0</v>
      </c>
      <c r="R3" s="56">
        <v>0</v>
      </c>
      <c r="S3" s="55">
        <f t="shared" ref="S3:S32" si="14">+IF(Q3&lt;&gt;0,Q3*R3/100,0)</f>
        <v>0</v>
      </c>
      <c r="T3" s="55"/>
      <c r="U3" s="55">
        <f t="shared" ref="U3:U32" si="15">+IF(Q3&lt;&gt;0,Q3*T3/100,0)</f>
        <v>0</v>
      </c>
      <c r="V3" s="55">
        <v>0</v>
      </c>
      <c r="W3" s="58">
        <v>0</v>
      </c>
      <c r="X3" s="55">
        <f t="shared" ref="X3:X32" si="16">+IF(W3&lt;&gt;0,V3*W3/100,0)</f>
        <v>0</v>
      </c>
      <c r="AA3" s="60">
        <f t="shared" ref="AA3:AA32" si="17">+IF(Z3&lt;&gt;0,Y3*Z3/100,0)</f>
        <v>0</v>
      </c>
      <c r="AB3" s="40">
        <f t="shared" ref="AB3:AB32" si="18">+G3+I3+K3+L3+N3+P3+Q3+S3+U3-X3-AA3</f>
        <v>297.22000000000003</v>
      </c>
      <c r="AC3" s="67"/>
      <c r="AF3" s="61"/>
      <c r="AG3" s="61"/>
      <c r="AH3" s="61"/>
      <c r="AI3" s="54"/>
    </row>
    <row r="4" spans="1:36" x14ac:dyDescent="0.25">
      <c r="A4" s="39">
        <v>45475</v>
      </c>
      <c r="B4" s="41" t="s">
        <v>502</v>
      </c>
      <c r="D4" s="41" t="s">
        <v>500</v>
      </c>
      <c r="E4" s="41" t="s">
        <v>501</v>
      </c>
      <c r="F4" s="45" t="str">
        <f>"S/F "&amp;B4&amp;" "&amp;E4</f>
        <v xml:space="preserve">S/F 2024048335 CHEN WEIMI - HIPER EURO </v>
      </c>
      <c r="G4" s="47">
        <v>33.18</v>
      </c>
      <c r="H4" s="48">
        <v>21</v>
      </c>
      <c r="I4" s="47">
        <f>+IF(G4&lt;&gt;0,G4*H4/100,0)</f>
        <v>6.9677999999999995</v>
      </c>
      <c r="J4" s="49"/>
      <c r="K4" s="47">
        <f>+IF(G4&lt;&gt;0,G4*J4/100,0)</f>
        <v>0</v>
      </c>
      <c r="L4" s="47">
        <v>0</v>
      </c>
      <c r="M4" s="48">
        <v>0</v>
      </c>
      <c r="N4" s="47">
        <f>+IF(L4&lt;&gt;0,L4*M4/100,0)</f>
        <v>0</v>
      </c>
      <c r="O4" s="47"/>
      <c r="P4" s="47">
        <f>+IF(L4&lt;&gt;0,L4*O4/100,0)</f>
        <v>0</v>
      </c>
      <c r="Q4" s="47">
        <v>0</v>
      </c>
      <c r="R4" s="48">
        <v>0</v>
      </c>
      <c r="S4" s="47">
        <f>+IF(Q4&lt;&gt;0,Q4*R4/100,0)</f>
        <v>0</v>
      </c>
      <c r="T4" s="47"/>
      <c r="U4" s="47">
        <f>+IF(Q4&lt;&gt;0,Q4*T4/100,0)</f>
        <v>0</v>
      </c>
      <c r="V4" s="47">
        <v>0</v>
      </c>
      <c r="W4" s="50">
        <v>0</v>
      </c>
      <c r="X4" s="47">
        <f>+IF(W4&lt;&gt;0,V4*W4/100,0)</f>
        <v>0</v>
      </c>
      <c r="AA4" s="40">
        <f>+IF(Z4&lt;&gt;0,Y4*Z4/100,0)</f>
        <v>0</v>
      </c>
      <c r="AB4" s="40">
        <f>+G4+I4+K4+L4+N4+P4+Q4+S4+U4-X4-AA4</f>
        <v>40.147799999999997</v>
      </c>
      <c r="AC4" s="67"/>
    </row>
    <row r="5" spans="1:36" x14ac:dyDescent="0.25">
      <c r="A5" s="39">
        <v>45474</v>
      </c>
      <c r="B5" s="41" t="s">
        <v>503</v>
      </c>
      <c r="D5" s="41" t="s">
        <v>500</v>
      </c>
      <c r="E5" s="41" t="s">
        <v>501</v>
      </c>
      <c r="F5" s="45" t="str">
        <f t="shared" ref="F5:F7" si="19">"S/F "&amp;B5&amp;" "&amp;E5</f>
        <v xml:space="preserve">S/F 2024047978 CHEN WEIMI - HIPER EURO </v>
      </c>
      <c r="G5" s="47">
        <v>8.35</v>
      </c>
      <c r="H5" s="48">
        <v>21</v>
      </c>
      <c r="I5" s="47">
        <f t="shared" ref="I5:I7" si="20">+IF(G5&lt;&gt;0,G5*H5/100,0)</f>
        <v>1.7534999999999998</v>
      </c>
      <c r="J5" s="49"/>
      <c r="K5" s="47">
        <f t="shared" ref="K5:K7" si="21">+IF(G5&lt;&gt;0,G5*J5/100,0)</f>
        <v>0</v>
      </c>
      <c r="L5" s="47">
        <v>0</v>
      </c>
      <c r="M5" s="48">
        <v>0</v>
      </c>
      <c r="N5" s="47">
        <f t="shared" ref="N5:N7" si="22">+IF(L5&lt;&gt;0,L5*M5/100,0)</f>
        <v>0</v>
      </c>
      <c r="O5" s="47"/>
      <c r="P5" s="47">
        <f t="shared" ref="P5:P7" si="23">+IF(L5&lt;&gt;0,L5*O5/100,0)</f>
        <v>0</v>
      </c>
      <c r="Q5" s="47">
        <v>0</v>
      </c>
      <c r="R5" s="48">
        <v>0</v>
      </c>
      <c r="S5" s="47">
        <f t="shared" ref="S5:S7" si="24">+IF(Q5&lt;&gt;0,Q5*R5/100,0)</f>
        <v>0</v>
      </c>
      <c r="T5" s="47"/>
      <c r="U5" s="47">
        <f t="shared" ref="U5:U7" si="25">+IF(Q5&lt;&gt;0,Q5*T5/100,0)</f>
        <v>0</v>
      </c>
      <c r="V5" s="47">
        <v>0</v>
      </c>
      <c r="W5" s="50">
        <v>0</v>
      </c>
      <c r="X5" s="47">
        <f t="shared" ref="X5:X7" si="26">+IF(W5&lt;&gt;0,V5*W5/100,0)</f>
        <v>0</v>
      </c>
      <c r="AA5" s="40">
        <f t="shared" ref="AA5:AA7" si="27">+IF(Z5&lt;&gt;0,Y5*Z5/100,0)</f>
        <v>0</v>
      </c>
      <c r="AB5" s="40">
        <f t="shared" ref="AB5:AB7" si="28">+G5+I5+K5+L5+N5+P5+Q5+S5+U5-X5-AA5</f>
        <v>10.1035</v>
      </c>
      <c r="AC5" s="67"/>
    </row>
    <row r="6" spans="1:36" x14ac:dyDescent="0.25">
      <c r="A6" s="39">
        <v>45470</v>
      </c>
      <c r="B6" s="41" t="s">
        <v>504</v>
      </c>
      <c r="D6" s="41" t="s">
        <v>500</v>
      </c>
      <c r="E6" s="41" t="s">
        <v>501</v>
      </c>
      <c r="F6" s="45" t="str">
        <f t="shared" si="19"/>
        <v xml:space="preserve">S/F 2024046939 CHEN WEIMI - HIPER EURO </v>
      </c>
      <c r="G6" s="47">
        <v>3.51</v>
      </c>
      <c r="H6" s="48">
        <v>21</v>
      </c>
      <c r="I6" s="47">
        <f t="shared" si="20"/>
        <v>0.73709999999999998</v>
      </c>
      <c r="J6" s="49"/>
      <c r="K6" s="47">
        <f t="shared" si="21"/>
        <v>0</v>
      </c>
      <c r="L6" s="47">
        <v>0</v>
      </c>
      <c r="M6" s="48">
        <v>0</v>
      </c>
      <c r="N6" s="47">
        <f t="shared" si="22"/>
        <v>0</v>
      </c>
      <c r="O6" s="47"/>
      <c r="P6" s="47">
        <f t="shared" si="23"/>
        <v>0</v>
      </c>
      <c r="Q6" s="47">
        <v>0</v>
      </c>
      <c r="R6" s="48">
        <v>0</v>
      </c>
      <c r="S6" s="47">
        <f t="shared" si="24"/>
        <v>0</v>
      </c>
      <c r="T6" s="47"/>
      <c r="U6" s="47">
        <f t="shared" si="25"/>
        <v>0</v>
      </c>
      <c r="V6" s="47">
        <v>0</v>
      </c>
      <c r="W6" s="50">
        <v>0</v>
      </c>
      <c r="X6" s="47">
        <f t="shared" si="26"/>
        <v>0</v>
      </c>
      <c r="AA6" s="40">
        <f t="shared" si="27"/>
        <v>0</v>
      </c>
      <c r="AB6" s="40">
        <f t="shared" si="28"/>
        <v>4.2470999999999997</v>
      </c>
      <c r="AC6" s="67"/>
    </row>
    <row r="7" spans="1:36" x14ac:dyDescent="0.25">
      <c r="A7" s="39">
        <v>45462</v>
      </c>
      <c r="B7" s="41" t="s">
        <v>505</v>
      </c>
      <c r="D7" s="41" t="s">
        <v>500</v>
      </c>
      <c r="E7" s="41" t="s">
        <v>501</v>
      </c>
      <c r="F7" s="45" t="str">
        <f t="shared" si="19"/>
        <v xml:space="preserve">S/F 2024044607 CHEN WEIMI - HIPER EURO </v>
      </c>
      <c r="G7" s="47">
        <v>22.56</v>
      </c>
      <c r="H7" s="48">
        <v>21</v>
      </c>
      <c r="I7" s="47">
        <f t="shared" si="20"/>
        <v>4.7375999999999996</v>
      </c>
      <c r="J7" s="49"/>
      <c r="K7" s="47">
        <f t="shared" si="21"/>
        <v>0</v>
      </c>
      <c r="L7" s="47">
        <v>0</v>
      </c>
      <c r="M7" s="48">
        <v>0</v>
      </c>
      <c r="N7" s="47">
        <f t="shared" si="22"/>
        <v>0</v>
      </c>
      <c r="O7" s="47"/>
      <c r="P7" s="47">
        <f t="shared" si="23"/>
        <v>0</v>
      </c>
      <c r="Q7" s="47">
        <v>0</v>
      </c>
      <c r="R7" s="48">
        <v>0</v>
      </c>
      <c r="S7" s="47">
        <f t="shared" si="24"/>
        <v>0</v>
      </c>
      <c r="T7" s="47"/>
      <c r="U7" s="47">
        <f t="shared" si="25"/>
        <v>0</v>
      </c>
      <c r="V7" s="47">
        <v>0</v>
      </c>
      <c r="W7" s="50">
        <v>0</v>
      </c>
      <c r="X7" s="47">
        <f t="shared" si="26"/>
        <v>0</v>
      </c>
      <c r="AA7" s="40">
        <f t="shared" si="27"/>
        <v>0</v>
      </c>
      <c r="AB7" s="40">
        <f t="shared" si="28"/>
        <v>27.297599999999999</v>
      </c>
      <c r="AC7" s="67"/>
    </row>
    <row r="8" spans="1:36" x14ac:dyDescent="0.25">
      <c r="A8" s="39">
        <v>45537</v>
      </c>
      <c r="B8" s="54" t="s">
        <v>341</v>
      </c>
      <c r="C8" s="54"/>
      <c r="D8" s="54" t="s">
        <v>337</v>
      </c>
      <c r="E8" s="54" t="s">
        <v>338</v>
      </c>
      <c r="F8" s="45" t="str">
        <f t="shared" si="0"/>
        <v>S/F 10/24 NEREA NIETO ARAMBURU</v>
      </c>
      <c r="G8" s="55">
        <v>400</v>
      </c>
      <c r="H8" s="56">
        <v>21</v>
      </c>
      <c r="I8" s="55">
        <f t="shared" si="10"/>
        <v>84</v>
      </c>
      <c r="J8" s="57"/>
      <c r="K8" s="55">
        <f t="shared" si="11"/>
        <v>0</v>
      </c>
      <c r="L8" s="55">
        <v>0</v>
      </c>
      <c r="M8" s="56">
        <v>0</v>
      </c>
      <c r="N8" s="55">
        <f t="shared" si="12"/>
        <v>0</v>
      </c>
      <c r="O8" s="55"/>
      <c r="P8" s="55">
        <f t="shared" si="13"/>
        <v>0</v>
      </c>
      <c r="Q8" s="55">
        <v>0</v>
      </c>
      <c r="R8" s="56">
        <v>0</v>
      </c>
      <c r="S8" s="55">
        <f t="shared" si="14"/>
        <v>0</v>
      </c>
      <c r="T8" s="55"/>
      <c r="U8" s="55">
        <v>0</v>
      </c>
      <c r="V8" s="55">
        <v>400</v>
      </c>
      <c r="W8" s="58">
        <v>19</v>
      </c>
      <c r="X8" s="55">
        <f t="shared" si="16"/>
        <v>76</v>
      </c>
      <c r="AA8" s="40">
        <f t="shared" si="17"/>
        <v>0</v>
      </c>
      <c r="AB8" s="40">
        <f t="shared" si="18"/>
        <v>408</v>
      </c>
      <c r="AC8" s="67"/>
    </row>
    <row r="9" spans="1:36" x14ac:dyDescent="0.25">
      <c r="A9" s="39">
        <v>45537</v>
      </c>
      <c r="B9" s="54" t="s">
        <v>342</v>
      </c>
      <c r="C9" s="54"/>
      <c r="D9" s="54" t="s">
        <v>339</v>
      </c>
      <c r="E9" s="54" t="s">
        <v>340</v>
      </c>
      <c r="F9" s="45" t="str">
        <f t="shared" si="0"/>
        <v>S/F 29/24 MªDE LA VEGA ARAMBURU PLAZA</v>
      </c>
      <c r="G9" s="55">
        <v>350</v>
      </c>
      <c r="H9" s="56">
        <v>21</v>
      </c>
      <c r="I9" s="55">
        <f t="shared" si="10"/>
        <v>73.5</v>
      </c>
      <c r="J9" s="57"/>
      <c r="K9" s="55">
        <f t="shared" si="11"/>
        <v>0</v>
      </c>
      <c r="L9" s="55">
        <v>0</v>
      </c>
      <c r="M9" s="56">
        <v>0</v>
      </c>
      <c r="N9" s="55">
        <f t="shared" si="12"/>
        <v>0</v>
      </c>
      <c r="O9" s="55"/>
      <c r="P9" s="55">
        <f t="shared" si="13"/>
        <v>0</v>
      </c>
      <c r="Q9" s="55">
        <v>0</v>
      </c>
      <c r="R9" s="56">
        <v>0</v>
      </c>
      <c r="S9" s="55">
        <f t="shared" si="14"/>
        <v>0</v>
      </c>
      <c r="T9" s="55"/>
      <c r="U9" s="55">
        <f t="shared" ref="U9:U10" si="29">+IF(Q9&lt;&gt;0,Q9*T9/100,0)</f>
        <v>0</v>
      </c>
      <c r="V9" s="55">
        <v>350</v>
      </c>
      <c r="W9" s="58">
        <v>19</v>
      </c>
      <c r="X9" s="55">
        <f t="shared" si="16"/>
        <v>66.5</v>
      </c>
      <c r="AA9" s="40">
        <f t="shared" si="17"/>
        <v>0</v>
      </c>
      <c r="AB9" s="40">
        <f t="shared" si="18"/>
        <v>357</v>
      </c>
      <c r="AC9" s="67"/>
    </row>
    <row r="10" spans="1:36" x14ac:dyDescent="0.25">
      <c r="A10" s="39">
        <v>45498</v>
      </c>
      <c r="B10" s="54" t="s">
        <v>499</v>
      </c>
      <c r="C10" s="54"/>
      <c r="D10" s="41" t="s">
        <v>478</v>
      </c>
      <c r="E10" s="41" t="s">
        <v>479</v>
      </c>
      <c r="F10" s="45" t="str">
        <f t="shared" ref="F10" si="30">"S/F "&amp;B10&amp;" "&amp;E10</f>
        <v>S/F 141 LUISA POSITANO S.r.I.</v>
      </c>
      <c r="G10" s="55">
        <v>3580.7</v>
      </c>
      <c r="H10" s="56">
        <v>0</v>
      </c>
      <c r="I10" s="55">
        <f t="shared" ref="I10" si="31">+IF(G10&lt;&gt;0,G10*H10/100,0)</f>
        <v>0</v>
      </c>
      <c r="J10" s="57"/>
      <c r="K10" s="55">
        <f t="shared" ref="K10" si="32">+IF(G10&lt;&gt;0,G10*J10/100,0)</f>
        <v>0</v>
      </c>
      <c r="L10" s="55">
        <v>0</v>
      </c>
      <c r="M10" s="56">
        <v>0</v>
      </c>
      <c r="N10" s="55">
        <f t="shared" ref="N10" si="33">+IF(L10&lt;&gt;0,L10*M10/100,0)</f>
        <v>0</v>
      </c>
      <c r="O10" s="55"/>
      <c r="P10" s="55">
        <f t="shared" ref="P10" si="34">+IF(L10&lt;&gt;0,L10*O10/100,0)</f>
        <v>0</v>
      </c>
      <c r="Q10" s="55">
        <v>0</v>
      </c>
      <c r="R10" s="56">
        <v>0</v>
      </c>
      <c r="S10" s="55">
        <f t="shared" ref="S10" si="35">+IF(Q10&lt;&gt;0,Q10*R10/100,0)</f>
        <v>0</v>
      </c>
      <c r="T10" s="55"/>
      <c r="U10" s="55">
        <f t="shared" si="29"/>
        <v>0</v>
      </c>
      <c r="V10" s="55">
        <v>0</v>
      </c>
      <c r="W10" s="58">
        <v>0</v>
      </c>
      <c r="X10" s="55">
        <f t="shared" ref="X10" si="36">+IF(W10&lt;&gt;0,V10*W10/100,0)</f>
        <v>0</v>
      </c>
      <c r="Y10" s="59"/>
      <c r="Z10" s="59"/>
      <c r="AA10" s="60">
        <f t="shared" ref="AA10" si="37">+IF(Z10&lt;&gt;0,Y10*Z10/100,0)</f>
        <v>0</v>
      </c>
      <c r="AB10" s="40">
        <f t="shared" ref="AB10" si="38">+G10+I10+K10+L10+N10+P10+Q10+S10+U10-X10-AA10</f>
        <v>3580.7</v>
      </c>
      <c r="AC10" s="67"/>
    </row>
    <row r="11" spans="1:36" x14ac:dyDescent="0.25">
      <c r="A11" s="39">
        <v>45566</v>
      </c>
      <c r="B11" s="54" t="s">
        <v>343</v>
      </c>
      <c r="C11" s="54"/>
      <c r="D11" s="54" t="s">
        <v>211</v>
      </c>
      <c r="E11" s="54" t="s">
        <v>344</v>
      </c>
      <c r="F11" s="45" t="str">
        <f t="shared" si="0"/>
        <v>S/F TA7DP0109302 TELEFONICA DE ESPAÑA</v>
      </c>
      <c r="G11" s="55">
        <v>158.12479999999999</v>
      </c>
      <c r="H11" s="56">
        <v>21</v>
      </c>
      <c r="I11" s="55">
        <f t="shared" si="10"/>
        <v>33.206207999999997</v>
      </c>
      <c r="J11" s="57"/>
      <c r="K11" s="55">
        <f t="shared" si="11"/>
        <v>0</v>
      </c>
      <c r="L11" s="55">
        <v>0</v>
      </c>
      <c r="M11" s="56">
        <v>0</v>
      </c>
      <c r="N11" s="55">
        <f t="shared" si="12"/>
        <v>0</v>
      </c>
      <c r="O11" s="55"/>
      <c r="P11" s="55">
        <f t="shared" si="13"/>
        <v>0</v>
      </c>
      <c r="Q11" s="55">
        <v>0</v>
      </c>
      <c r="R11" s="56">
        <v>0</v>
      </c>
      <c r="S11" s="55">
        <f t="shared" si="14"/>
        <v>0</v>
      </c>
      <c r="T11" s="55"/>
      <c r="U11" s="55">
        <f t="shared" si="15"/>
        <v>0</v>
      </c>
      <c r="V11" s="55">
        <v>0</v>
      </c>
      <c r="W11" s="58">
        <v>0</v>
      </c>
      <c r="X11" s="55">
        <f t="shared" si="16"/>
        <v>0</v>
      </c>
      <c r="Y11" s="59"/>
      <c r="Z11" s="59"/>
      <c r="AA11" s="60">
        <f t="shared" si="17"/>
        <v>0</v>
      </c>
      <c r="AB11" s="40">
        <f t="shared" si="18"/>
        <v>191.331008</v>
      </c>
      <c r="AC11" s="67"/>
    </row>
    <row r="12" spans="1:36" x14ac:dyDescent="0.25">
      <c r="A12" s="39">
        <v>45566</v>
      </c>
      <c r="B12" s="54" t="s">
        <v>347</v>
      </c>
      <c r="C12" s="54"/>
      <c r="D12" s="54" t="s">
        <v>345</v>
      </c>
      <c r="E12" s="54" t="s">
        <v>346</v>
      </c>
      <c r="F12" s="45" t="str">
        <f t="shared" si="0"/>
        <v>S/F 28J4M0056163 TELEFONICA MOVILES ESPAÑA, S.A.</v>
      </c>
      <c r="G12" s="55">
        <v>22</v>
      </c>
      <c r="H12" s="56">
        <v>21</v>
      </c>
      <c r="I12" s="55">
        <f t="shared" si="10"/>
        <v>4.62</v>
      </c>
      <c r="J12" s="57"/>
      <c r="K12" s="55">
        <f t="shared" si="11"/>
        <v>0</v>
      </c>
      <c r="L12" s="55">
        <v>0</v>
      </c>
      <c r="M12" s="56">
        <v>0</v>
      </c>
      <c r="N12" s="55">
        <f t="shared" si="12"/>
        <v>0</v>
      </c>
      <c r="O12" s="55"/>
      <c r="P12" s="55">
        <f t="shared" si="13"/>
        <v>0</v>
      </c>
      <c r="Q12" s="55">
        <v>0</v>
      </c>
      <c r="R12" s="56">
        <v>0</v>
      </c>
      <c r="S12" s="55">
        <f t="shared" si="14"/>
        <v>0</v>
      </c>
      <c r="T12" s="55"/>
      <c r="U12" s="55">
        <f t="shared" si="15"/>
        <v>0</v>
      </c>
      <c r="V12" s="55">
        <v>0</v>
      </c>
      <c r="W12" s="58">
        <v>0</v>
      </c>
      <c r="X12" s="55">
        <f t="shared" si="16"/>
        <v>0</v>
      </c>
      <c r="Y12" s="59"/>
      <c r="Z12" s="59"/>
      <c r="AA12" s="60">
        <f t="shared" si="17"/>
        <v>0</v>
      </c>
      <c r="AB12" s="40">
        <f t="shared" si="18"/>
        <v>26.62</v>
      </c>
      <c r="AC12" s="67"/>
    </row>
    <row r="13" spans="1:36" x14ac:dyDescent="0.25">
      <c r="A13" s="39">
        <v>45536</v>
      </c>
      <c r="B13" s="54" t="s">
        <v>498</v>
      </c>
      <c r="C13" s="54"/>
      <c r="D13" s="54" t="s">
        <v>345</v>
      </c>
      <c r="E13" s="54" t="s">
        <v>346</v>
      </c>
      <c r="F13" s="45" t="str">
        <f t="shared" ref="F13" si="39">"S/F "&amp;B13&amp;" "&amp;E13</f>
        <v>S/F 28I4M0055755 TELEFONICA MOVILES ESPAÑA, S.A.</v>
      </c>
      <c r="G13" s="55">
        <v>22.93</v>
      </c>
      <c r="H13" s="56">
        <v>21</v>
      </c>
      <c r="I13" s="55">
        <v>4.8099999999999996</v>
      </c>
      <c r="J13" s="57"/>
      <c r="K13" s="55">
        <f t="shared" ref="K13" si="40">+IF(G13&lt;&gt;0,G13*J13/100,0)</f>
        <v>0</v>
      </c>
      <c r="L13" s="55">
        <v>0</v>
      </c>
      <c r="M13" s="56">
        <v>0</v>
      </c>
      <c r="N13" s="55">
        <f t="shared" ref="N13" si="41">+IF(L13&lt;&gt;0,L13*M13/100,0)</f>
        <v>0</v>
      </c>
      <c r="O13" s="55"/>
      <c r="P13" s="55">
        <f t="shared" ref="P13" si="42">+IF(L13&lt;&gt;0,L13*O13/100,0)</f>
        <v>0</v>
      </c>
      <c r="Q13" s="55">
        <v>0</v>
      </c>
      <c r="R13" s="56">
        <v>0</v>
      </c>
      <c r="S13" s="55">
        <f t="shared" ref="S13" si="43">+IF(Q13&lt;&gt;0,Q13*R13/100,0)</f>
        <v>0</v>
      </c>
      <c r="T13" s="55"/>
      <c r="U13" s="55">
        <f t="shared" ref="U13" si="44">+IF(Q13&lt;&gt;0,Q13*T13/100,0)</f>
        <v>0</v>
      </c>
      <c r="V13" s="55">
        <v>0</v>
      </c>
      <c r="W13" s="58">
        <v>0</v>
      </c>
      <c r="X13" s="55">
        <f t="shared" ref="X13" si="45">+IF(W13&lt;&gt;0,V13*W13/100,0)</f>
        <v>0</v>
      </c>
      <c r="Y13" s="59"/>
      <c r="Z13" s="59"/>
      <c r="AA13" s="60">
        <f t="shared" ref="AA13" si="46">+IF(Z13&lt;&gt;0,Y13*Z13/100,0)</f>
        <v>0</v>
      </c>
      <c r="AB13" s="40">
        <f t="shared" ref="AB13" si="47">+G13+I13+K13+L13+N13+P13+Q13+S13+U13-X13-AA13</f>
        <v>27.74</v>
      </c>
      <c r="AC13" s="67"/>
    </row>
    <row r="14" spans="1:36" x14ac:dyDescent="0.25">
      <c r="A14" s="39">
        <v>45568</v>
      </c>
      <c r="B14" s="41" t="s">
        <v>363</v>
      </c>
      <c r="D14" s="54" t="s">
        <v>102</v>
      </c>
      <c r="E14" s="54" t="s">
        <v>364</v>
      </c>
      <c r="F14" s="45" t="str">
        <f t="shared" si="0"/>
        <v>S/F 004561/A/24/008223 REPSOL COMERCIAL DE PRODUCTOS PETROLIFEROS, S.A.</v>
      </c>
      <c r="G14" s="55">
        <v>49.59</v>
      </c>
      <c r="H14" s="56">
        <v>21</v>
      </c>
      <c r="I14" s="55">
        <f t="shared" si="10"/>
        <v>10.413900000000002</v>
      </c>
      <c r="J14" s="57"/>
      <c r="K14" s="55">
        <f t="shared" si="11"/>
        <v>0</v>
      </c>
      <c r="L14" s="55">
        <v>0</v>
      </c>
      <c r="M14" s="56">
        <v>0</v>
      </c>
      <c r="N14" s="55">
        <f t="shared" si="12"/>
        <v>0</v>
      </c>
      <c r="O14" s="55"/>
      <c r="P14" s="55">
        <f t="shared" si="13"/>
        <v>0</v>
      </c>
      <c r="Q14" s="55">
        <v>0</v>
      </c>
      <c r="R14" s="56">
        <v>0</v>
      </c>
      <c r="S14" s="55">
        <f t="shared" si="14"/>
        <v>0</v>
      </c>
      <c r="T14" s="55"/>
      <c r="U14" s="55">
        <f t="shared" si="15"/>
        <v>0</v>
      </c>
      <c r="V14" s="55">
        <v>0</v>
      </c>
      <c r="W14" s="58">
        <v>0</v>
      </c>
      <c r="X14" s="55">
        <f t="shared" si="16"/>
        <v>0</v>
      </c>
      <c r="Y14" s="59"/>
      <c r="Z14" s="59"/>
      <c r="AA14" s="60">
        <f t="shared" si="17"/>
        <v>0</v>
      </c>
      <c r="AB14" s="40">
        <f t="shared" si="18"/>
        <v>60.003900000000002</v>
      </c>
      <c r="AC14" s="67"/>
    </row>
    <row r="15" spans="1:36" x14ac:dyDescent="0.25">
      <c r="A15" s="75">
        <v>45537</v>
      </c>
      <c r="B15" s="76" t="s">
        <v>365</v>
      </c>
      <c r="C15" s="77"/>
      <c r="D15" s="77"/>
      <c r="E15" s="77" t="s">
        <v>366</v>
      </c>
      <c r="F15" s="78" t="str">
        <f t="shared" si="0"/>
        <v>S/F NO TENGO AUN LA FACTURA CRUISELINE</v>
      </c>
      <c r="G15" s="79">
        <v>6300</v>
      </c>
      <c r="H15" s="80">
        <v>0</v>
      </c>
      <c r="I15" s="79">
        <f t="shared" si="10"/>
        <v>0</v>
      </c>
      <c r="J15" s="81"/>
      <c r="K15" s="79">
        <v>0</v>
      </c>
      <c r="L15" s="79">
        <v>0</v>
      </c>
      <c r="M15" s="80">
        <v>0</v>
      </c>
      <c r="N15" s="79">
        <f t="shared" si="12"/>
        <v>0</v>
      </c>
      <c r="O15" s="79"/>
      <c r="P15" s="79">
        <v>0</v>
      </c>
      <c r="Q15" s="79"/>
      <c r="R15" s="81"/>
      <c r="S15" s="79">
        <f t="shared" si="14"/>
        <v>0</v>
      </c>
      <c r="T15" s="79"/>
      <c r="U15" s="79">
        <f t="shared" si="15"/>
        <v>0</v>
      </c>
      <c r="V15" s="79">
        <v>0</v>
      </c>
      <c r="W15" s="82">
        <v>0</v>
      </c>
      <c r="X15" s="79">
        <f t="shared" si="16"/>
        <v>0</v>
      </c>
      <c r="Y15" s="83"/>
      <c r="Z15" s="83"/>
      <c r="AA15" s="84">
        <f t="shared" si="17"/>
        <v>0</v>
      </c>
      <c r="AB15" s="84">
        <f t="shared" si="18"/>
        <v>6300</v>
      </c>
      <c r="AC15" s="64"/>
      <c r="AD15" s="87" t="s">
        <v>368</v>
      </c>
      <c r="AE15" s="85" t="s">
        <v>367</v>
      </c>
      <c r="AF15" s="86"/>
    </row>
    <row r="16" spans="1:36" x14ac:dyDescent="0.25">
      <c r="A16" s="39">
        <v>45565</v>
      </c>
      <c r="B16" s="41" t="s">
        <v>369</v>
      </c>
      <c r="D16" s="41" t="s">
        <v>370</v>
      </c>
      <c r="E16" s="54" t="s">
        <v>371</v>
      </c>
      <c r="F16" s="45" t="str">
        <f t="shared" si="0"/>
        <v>S/F 2024000813 COURIER CONSULTING, S.L.</v>
      </c>
      <c r="G16" s="55">
        <v>10.25</v>
      </c>
      <c r="H16" s="56">
        <v>21</v>
      </c>
      <c r="I16" s="55">
        <f t="shared" si="10"/>
        <v>2.1524999999999999</v>
      </c>
      <c r="J16" s="57"/>
      <c r="K16" s="55">
        <f t="shared" si="11"/>
        <v>0</v>
      </c>
      <c r="L16" s="55">
        <v>0</v>
      </c>
      <c r="M16" s="56">
        <v>0</v>
      </c>
      <c r="N16" s="55">
        <f t="shared" si="12"/>
        <v>0</v>
      </c>
      <c r="O16" s="55"/>
      <c r="P16" s="55">
        <f t="shared" si="13"/>
        <v>0</v>
      </c>
      <c r="Q16" s="55">
        <v>0</v>
      </c>
      <c r="R16" s="56">
        <v>0</v>
      </c>
      <c r="S16" s="55">
        <f t="shared" si="14"/>
        <v>0</v>
      </c>
      <c r="T16" s="55"/>
      <c r="U16" s="55">
        <f t="shared" si="15"/>
        <v>0</v>
      </c>
      <c r="V16" s="55">
        <v>0</v>
      </c>
      <c r="W16" s="58">
        <v>0</v>
      </c>
      <c r="X16" s="55">
        <f t="shared" si="16"/>
        <v>0</v>
      </c>
      <c r="Y16" s="59"/>
      <c r="Z16" s="59"/>
      <c r="AA16" s="60">
        <f t="shared" si="17"/>
        <v>0</v>
      </c>
      <c r="AB16" s="40">
        <f t="shared" si="18"/>
        <v>12.4025</v>
      </c>
      <c r="AC16" s="67"/>
    </row>
    <row r="17" spans="1:35" x14ac:dyDescent="0.25">
      <c r="A17" s="39">
        <v>45567</v>
      </c>
      <c r="B17" s="41" t="s">
        <v>372</v>
      </c>
      <c r="D17" s="41" t="s">
        <v>373</v>
      </c>
      <c r="E17" s="41" t="s">
        <v>374</v>
      </c>
      <c r="F17" s="45" t="str">
        <f t="shared" si="0"/>
        <v>S/F 06470 PROVIMAD DE VERIFICACIONES REGISTRALES, S.L.</v>
      </c>
      <c r="G17" s="55">
        <v>56.08</v>
      </c>
      <c r="H17" s="56">
        <v>21</v>
      </c>
      <c r="I17" s="55">
        <f t="shared" si="10"/>
        <v>11.776800000000001</v>
      </c>
      <c r="J17" s="57"/>
      <c r="K17" s="55">
        <f t="shared" si="11"/>
        <v>0</v>
      </c>
      <c r="L17" s="55">
        <v>0</v>
      </c>
      <c r="M17" s="56">
        <v>0</v>
      </c>
      <c r="N17" s="55">
        <f t="shared" si="12"/>
        <v>0</v>
      </c>
      <c r="O17" s="55"/>
      <c r="P17" s="55">
        <f t="shared" si="13"/>
        <v>0</v>
      </c>
      <c r="Q17" s="55">
        <v>0</v>
      </c>
      <c r="R17" s="56">
        <v>0</v>
      </c>
      <c r="S17" s="55">
        <f t="shared" si="14"/>
        <v>0</v>
      </c>
      <c r="T17" s="55"/>
      <c r="U17" s="55">
        <f t="shared" si="15"/>
        <v>0</v>
      </c>
      <c r="V17" s="55">
        <v>0</v>
      </c>
      <c r="W17" s="58">
        <v>0</v>
      </c>
      <c r="X17" s="55">
        <f t="shared" si="16"/>
        <v>0</v>
      </c>
      <c r="Y17" s="59"/>
      <c r="Z17" s="59"/>
      <c r="AA17" s="60">
        <f t="shared" si="17"/>
        <v>0</v>
      </c>
      <c r="AB17" s="40">
        <f t="shared" si="18"/>
        <v>67.856799999999993</v>
      </c>
      <c r="AC17" s="67"/>
    </row>
    <row r="18" spans="1:35" x14ac:dyDescent="0.25">
      <c r="A18" s="39">
        <v>45565</v>
      </c>
      <c r="B18" s="41" t="s">
        <v>375</v>
      </c>
      <c r="D18" s="41" t="s">
        <v>376</v>
      </c>
      <c r="E18" s="41" t="s">
        <v>377</v>
      </c>
      <c r="F18" s="45" t="str">
        <f t="shared" si="0"/>
        <v>S/F 343 ISRAEL LLAVERO PEREZ</v>
      </c>
      <c r="G18" s="55">
        <v>928.86</v>
      </c>
      <c r="H18" s="56">
        <v>21</v>
      </c>
      <c r="I18" s="55">
        <f t="shared" si="10"/>
        <v>195.06060000000002</v>
      </c>
      <c r="J18" s="57"/>
      <c r="K18" s="55">
        <f t="shared" si="11"/>
        <v>0</v>
      </c>
      <c r="L18" s="55">
        <v>0</v>
      </c>
      <c r="M18" s="56">
        <v>0</v>
      </c>
      <c r="N18" s="55">
        <f t="shared" si="12"/>
        <v>0</v>
      </c>
      <c r="O18" s="55"/>
      <c r="P18" s="55">
        <f t="shared" si="13"/>
        <v>0</v>
      </c>
      <c r="Q18" s="55">
        <v>0</v>
      </c>
      <c r="R18" s="56">
        <v>0</v>
      </c>
      <c r="S18" s="55">
        <f t="shared" si="14"/>
        <v>0</v>
      </c>
      <c r="T18" s="55"/>
      <c r="U18" s="55">
        <f t="shared" si="15"/>
        <v>0</v>
      </c>
      <c r="V18" s="55">
        <v>0</v>
      </c>
      <c r="W18" s="58">
        <v>0</v>
      </c>
      <c r="X18" s="55">
        <f t="shared" si="16"/>
        <v>0</v>
      </c>
      <c r="Y18" s="59"/>
      <c r="Z18" s="59"/>
      <c r="AA18" s="60">
        <f t="shared" si="17"/>
        <v>0</v>
      </c>
      <c r="AB18" s="40">
        <f t="shared" si="18"/>
        <v>1123.9205999999999</v>
      </c>
      <c r="AC18" s="67"/>
    </row>
    <row r="19" spans="1:35" x14ac:dyDescent="0.25">
      <c r="A19" s="39">
        <v>45578</v>
      </c>
      <c r="B19" s="41" t="s">
        <v>378</v>
      </c>
      <c r="D19" s="54" t="s">
        <v>211</v>
      </c>
      <c r="E19" s="54" t="s">
        <v>344</v>
      </c>
      <c r="F19" s="45" t="str">
        <f t="shared" si="0"/>
        <v>S/F ta7db0022785 TELEFONICA DE ESPAÑA</v>
      </c>
      <c r="G19" s="55">
        <v>82.48</v>
      </c>
      <c r="H19" s="56">
        <v>21</v>
      </c>
      <c r="I19" s="55">
        <f t="shared" si="10"/>
        <v>17.320800000000002</v>
      </c>
      <c r="J19" s="57"/>
      <c r="K19" s="55">
        <f t="shared" si="11"/>
        <v>0</v>
      </c>
      <c r="L19" s="55">
        <v>0</v>
      </c>
      <c r="M19" s="56">
        <v>0</v>
      </c>
      <c r="N19" s="55">
        <f t="shared" si="12"/>
        <v>0</v>
      </c>
      <c r="O19" s="55"/>
      <c r="P19" s="55">
        <f t="shared" si="13"/>
        <v>0</v>
      </c>
      <c r="Q19" s="55">
        <v>0</v>
      </c>
      <c r="R19" s="56">
        <v>0</v>
      </c>
      <c r="S19" s="55">
        <f t="shared" si="14"/>
        <v>0</v>
      </c>
      <c r="T19" s="55"/>
      <c r="U19" s="55">
        <f t="shared" si="15"/>
        <v>0</v>
      </c>
      <c r="V19" s="55">
        <v>0</v>
      </c>
      <c r="W19" s="58">
        <v>0</v>
      </c>
      <c r="X19" s="55">
        <f t="shared" si="16"/>
        <v>0</v>
      </c>
      <c r="Y19" s="59"/>
      <c r="Z19" s="59"/>
      <c r="AA19" s="60">
        <f t="shared" si="17"/>
        <v>0</v>
      </c>
      <c r="AB19" s="40">
        <f t="shared" si="18"/>
        <v>99.80080000000001</v>
      </c>
      <c r="AC19" s="67"/>
    </row>
    <row r="20" spans="1:35" x14ac:dyDescent="0.25">
      <c r="A20" s="39">
        <v>45561</v>
      </c>
      <c r="B20" s="41" t="s">
        <v>379</v>
      </c>
      <c r="D20" s="41" t="s">
        <v>458</v>
      </c>
      <c r="E20" s="54" t="s">
        <v>381</v>
      </c>
      <c r="F20" s="45" t="str">
        <f t="shared" si="0"/>
        <v>S/F A2024/35 JESUS MARTINEZ TOBARRA - 2 INFO</v>
      </c>
      <c r="G20" s="55">
        <v>125.62</v>
      </c>
      <c r="H20" s="56">
        <v>21</v>
      </c>
      <c r="I20" s="55">
        <f t="shared" si="10"/>
        <v>26.380199999999999</v>
      </c>
      <c r="J20" s="57"/>
      <c r="K20" s="55">
        <f t="shared" si="11"/>
        <v>0</v>
      </c>
      <c r="L20" s="55">
        <v>0</v>
      </c>
      <c r="M20" s="56">
        <v>0</v>
      </c>
      <c r="N20" s="55">
        <f t="shared" si="12"/>
        <v>0</v>
      </c>
      <c r="O20" s="55"/>
      <c r="P20" s="55">
        <f t="shared" si="13"/>
        <v>0</v>
      </c>
      <c r="Q20" s="55">
        <v>0</v>
      </c>
      <c r="R20" s="56">
        <v>0</v>
      </c>
      <c r="S20" s="55">
        <f t="shared" si="14"/>
        <v>0</v>
      </c>
      <c r="T20" s="55"/>
      <c r="U20" s="55">
        <f t="shared" si="15"/>
        <v>0</v>
      </c>
      <c r="V20" s="55">
        <v>0</v>
      </c>
      <c r="W20" s="58">
        <v>0</v>
      </c>
      <c r="X20" s="55">
        <f t="shared" si="16"/>
        <v>0</v>
      </c>
      <c r="Y20" s="59"/>
      <c r="Z20" s="59"/>
      <c r="AA20" s="60">
        <f t="shared" si="17"/>
        <v>0</v>
      </c>
      <c r="AB20" s="40">
        <f t="shared" si="18"/>
        <v>152.00020000000001</v>
      </c>
      <c r="AC20" s="67"/>
    </row>
    <row r="21" spans="1:35" x14ac:dyDescent="0.25">
      <c r="A21" s="39">
        <v>45580</v>
      </c>
      <c r="B21" s="41" t="s">
        <v>382</v>
      </c>
      <c r="D21" s="41" t="s">
        <v>383</v>
      </c>
      <c r="E21" s="41" t="s">
        <v>384</v>
      </c>
      <c r="F21" s="45" t="str">
        <f t="shared" si="0"/>
        <v>S/F 24/1404 BACO BELLAS ARTES,S.L.</v>
      </c>
      <c r="G21" s="55">
        <v>259.36</v>
      </c>
      <c r="H21" s="56">
        <v>21</v>
      </c>
      <c r="I21" s="55">
        <f t="shared" si="10"/>
        <v>54.465600000000002</v>
      </c>
      <c r="J21" s="57"/>
      <c r="K21" s="55">
        <f t="shared" si="11"/>
        <v>0</v>
      </c>
      <c r="L21" s="55">
        <v>0</v>
      </c>
      <c r="M21" s="56">
        <v>0</v>
      </c>
      <c r="N21" s="55">
        <f t="shared" si="12"/>
        <v>0</v>
      </c>
      <c r="O21" s="55"/>
      <c r="P21" s="55">
        <f t="shared" si="13"/>
        <v>0</v>
      </c>
      <c r="Q21" s="55">
        <v>0</v>
      </c>
      <c r="R21" s="56">
        <v>0</v>
      </c>
      <c r="S21" s="55">
        <f t="shared" si="14"/>
        <v>0</v>
      </c>
      <c r="T21" s="55"/>
      <c r="U21" s="55">
        <f t="shared" si="15"/>
        <v>0</v>
      </c>
      <c r="V21" s="55">
        <v>0</v>
      </c>
      <c r="W21" s="58">
        <v>0</v>
      </c>
      <c r="X21" s="55">
        <f t="shared" si="16"/>
        <v>0</v>
      </c>
      <c r="Y21" s="59"/>
      <c r="Z21" s="59"/>
      <c r="AA21" s="60">
        <f t="shared" si="17"/>
        <v>0</v>
      </c>
      <c r="AB21" s="40">
        <f t="shared" si="18"/>
        <v>313.82560000000001</v>
      </c>
      <c r="AC21" s="67"/>
    </row>
    <row r="22" spans="1:35" x14ac:dyDescent="0.25">
      <c r="A22" s="39">
        <v>45587</v>
      </c>
      <c r="B22" s="41" t="s">
        <v>385</v>
      </c>
      <c r="D22" s="54" t="s">
        <v>386</v>
      </c>
      <c r="E22" s="54" t="s">
        <v>387</v>
      </c>
      <c r="F22" s="45" t="str">
        <f t="shared" si="0"/>
        <v>S/F 24/10048 VIARBELLA TAPAS, S.L.</v>
      </c>
      <c r="G22" s="55">
        <v>133.55000000000001</v>
      </c>
      <c r="H22" s="56">
        <v>10</v>
      </c>
      <c r="I22" s="55">
        <v>13.35</v>
      </c>
      <c r="J22" s="57"/>
      <c r="K22" s="55">
        <f t="shared" si="11"/>
        <v>0</v>
      </c>
      <c r="L22" s="55">
        <v>0</v>
      </c>
      <c r="M22" s="56">
        <v>0</v>
      </c>
      <c r="N22" s="55">
        <f t="shared" si="12"/>
        <v>0</v>
      </c>
      <c r="O22" s="55"/>
      <c r="P22" s="55">
        <f t="shared" si="13"/>
        <v>0</v>
      </c>
      <c r="Q22" s="55">
        <v>0</v>
      </c>
      <c r="R22" s="56">
        <v>0</v>
      </c>
      <c r="S22" s="55">
        <f t="shared" si="14"/>
        <v>0</v>
      </c>
      <c r="T22" s="55"/>
      <c r="U22" s="55">
        <f t="shared" si="15"/>
        <v>0</v>
      </c>
      <c r="V22" s="55">
        <v>0</v>
      </c>
      <c r="W22" s="58">
        <v>0</v>
      </c>
      <c r="X22" s="55">
        <f t="shared" si="16"/>
        <v>0</v>
      </c>
      <c r="Y22" s="59"/>
      <c r="Z22" s="59"/>
      <c r="AA22" s="60">
        <f t="shared" si="17"/>
        <v>0</v>
      </c>
      <c r="AB22" s="40">
        <f t="shared" si="18"/>
        <v>146.9</v>
      </c>
      <c r="AC22" s="67"/>
    </row>
    <row r="23" spans="1:35" x14ac:dyDescent="0.25">
      <c r="A23" s="39">
        <v>45589</v>
      </c>
      <c r="B23" s="41" t="s">
        <v>388</v>
      </c>
      <c r="D23" s="54" t="s">
        <v>389</v>
      </c>
      <c r="E23" s="54" t="s">
        <v>390</v>
      </c>
      <c r="F23" s="45" t="str">
        <f t="shared" si="0"/>
        <v>S/F 2240558788 QUIRON PREVENCION, S.L.</v>
      </c>
      <c r="G23" s="55">
        <v>82.13</v>
      </c>
      <c r="H23" s="56">
        <v>21</v>
      </c>
      <c r="I23" s="55">
        <f t="shared" si="10"/>
        <v>17.247299999999999</v>
      </c>
      <c r="J23" s="57"/>
      <c r="K23" s="55">
        <f t="shared" si="11"/>
        <v>0</v>
      </c>
      <c r="L23" s="55">
        <v>29.83</v>
      </c>
      <c r="M23" s="56">
        <v>0</v>
      </c>
      <c r="N23" s="55">
        <f t="shared" si="12"/>
        <v>0</v>
      </c>
      <c r="O23" s="55"/>
      <c r="P23" s="55">
        <f t="shared" si="13"/>
        <v>0</v>
      </c>
      <c r="Q23" s="55">
        <v>0</v>
      </c>
      <c r="R23" s="56">
        <v>0</v>
      </c>
      <c r="S23" s="55">
        <f t="shared" si="14"/>
        <v>0</v>
      </c>
      <c r="T23" s="55"/>
      <c r="U23" s="55">
        <f t="shared" si="15"/>
        <v>0</v>
      </c>
      <c r="V23" s="55">
        <v>0</v>
      </c>
      <c r="W23" s="58">
        <v>0</v>
      </c>
      <c r="X23" s="55">
        <f t="shared" si="16"/>
        <v>0</v>
      </c>
      <c r="Y23" s="59"/>
      <c r="Z23" s="59"/>
      <c r="AA23" s="60">
        <f t="shared" si="17"/>
        <v>0</v>
      </c>
      <c r="AB23" s="40">
        <f t="shared" si="18"/>
        <v>129.20729999999998</v>
      </c>
      <c r="AC23" s="67"/>
    </row>
    <row r="24" spans="1:35" x14ac:dyDescent="0.25">
      <c r="A24" s="39">
        <v>45504</v>
      </c>
      <c r="B24" s="41" t="s">
        <v>391</v>
      </c>
      <c r="D24" s="54" t="s">
        <v>392</v>
      </c>
      <c r="E24" s="54" t="s">
        <v>393</v>
      </c>
      <c r="F24" s="45" t="str">
        <f t="shared" si="0"/>
        <v>S/F 40600466 AB SERVICIOS SELECTA ESPAÑA, S.L.</v>
      </c>
      <c r="G24" s="55">
        <v>45.53</v>
      </c>
      <c r="H24" s="56">
        <v>10</v>
      </c>
      <c r="I24" s="55">
        <f t="shared" si="10"/>
        <v>4.5529999999999999</v>
      </c>
      <c r="J24" s="57"/>
      <c r="K24" s="55">
        <f t="shared" si="11"/>
        <v>0</v>
      </c>
      <c r="L24" s="55">
        <v>15.61</v>
      </c>
      <c r="M24" s="56">
        <v>21</v>
      </c>
      <c r="N24" s="55">
        <f t="shared" si="12"/>
        <v>3.2781000000000002</v>
      </c>
      <c r="O24" s="55"/>
      <c r="P24" s="55">
        <f t="shared" si="13"/>
        <v>0</v>
      </c>
      <c r="Q24" s="55">
        <v>0</v>
      </c>
      <c r="R24" s="56">
        <v>0</v>
      </c>
      <c r="S24" s="55">
        <f t="shared" si="14"/>
        <v>0</v>
      </c>
      <c r="T24" s="55"/>
      <c r="U24" s="55">
        <f t="shared" si="15"/>
        <v>0</v>
      </c>
      <c r="V24" s="55">
        <v>0</v>
      </c>
      <c r="W24" s="58">
        <v>0</v>
      </c>
      <c r="X24" s="55">
        <f t="shared" si="16"/>
        <v>0</v>
      </c>
      <c r="Y24" s="59"/>
      <c r="Z24" s="59"/>
      <c r="AA24" s="60">
        <f t="shared" si="17"/>
        <v>0</v>
      </c>
      <c r="AB24" s="40">
        <f t="shared" si="18"/>
        <v>68.971099999999993</v>
      </c>
      <c r="AC24" s="67"/>
    </row>
    <row r="25" spans="1:35" s="59" customFormat="1" x14ac:dyDescent="0.25">
      <c r="A25" s="39">
        <v>45590</v>
      </c>
      <c r="B25" s="41" t="s">
        <v>394</v>
      </c>
      <c r="C25" s="41"/>
      <c r="D25" s="54" t="s">
        <v>395</v>
      </c>
      <c r="E25" s="54" t="s">
        <v>396</v>
      </c>
      <c r="F25" s="45" t="str">
        <f t="shared" si="0"/>
        <v>S/F V7876 REM OLIVA S.L.</v>
      </c>
      <c r="G25" s="55">
        <v>125.55</v>
      </c>
      <c r="H25" s="56">
        <v>10</v>
      </c>
      <c r="I25" s="55">
        <f t="shared" si="10"/>
        <v>12.555</v>
      </c>
      <c r="J25" s="57"/>
      <c r="K25" s="55">
        <f t="shared" si="11"/>
        <v>0</v>
      </c>
      <c r="L25" s="55">
        <v>0</v>
      </c>
      <c r="M25" s="56">
        <v>0</v>
      </c>
      <c r="N25" s="55">
        <f t="shared" si="12"/>
        <v>0</v>
      </c>
      <c r="O25" s="55"/>
      <c r="P25" s="55">
        <f t="shared" si="13"/>
        <v>0</v>
      </c>
      <c r="Q25" s="55">
        <v>0</v>
      </c>
      <c r="R25" s="56">
        <v>0</v>
      </c>
      <c r="S25" s="55">
        <f t="shared" si="14"/>
        <v>0</v>
      </c>
      <c r="T25" s="55"/>
      <c r="U25" s="55">
        <f t="shared" si="15"/>
        <v>0</v>
      </c>
      <c r="V25" s="55">
        <v>0</v>
      </c>
      <c r="W25" s="58">
        <v>0</v>
      </c>
      <c r="X25" s="55">
        <f t="shared" si="16"/>
        <v>0</v>
      </c>
      <c r="AA25" s="60">
        <f t="shared" si="17"/>
        <v>0</v>
      </c>
      <c r="AB25" s="40">
        <f t="shared" si="18"/>
        <v>138.10499999999999</v>
      </c>
      <c r="AC25" s="71"/>
      <c r="AF25" s="61"/>
      <c r="AG25" s="61"/>
      <c r="AH25" s="61"/>
      <c r="AI25" s="54"/>
    </row>
    <row r="26" spans="1:35" s="59" customFormat="1" x14ac:dyDescent="0.25">
      <c r="A26" s="39">
        <v>45596</v>
      </c>
      <c r="B26" s="41" t="s">
        <v>397</v>
      </c>
      <c r="C26" s="41"/>
      <c r="D26" s="41" t="s">
        <v>43</v>
      </c>
      <c r="E26" s="41" t="s">
        <v>398</v>
      </c>
      <c r="F26" s="45" t="str">
        <f t="shared" si="0"/>
        <v>S/F F243975 CONTAMAR ASESORES DE EMPRESA, S.L.</v>
      </c>
      <c r="G26" s="55">
        <v>310.56</v>
      </c>
      <c r="H26" s="56">
        <v>21</v>
      </c>
      <c r="I26" s="55">
        <f t="shared" si="10"/>
        <v>65.217600000000004</v>
      </c>
      <c r="J26" s="57"/>
      <c r="K26" s="55">
        <f t="shared" si="11"/>
        <v>0</v>
      </c>
      <c r="L26" s="55">
        <v>0</v>
      </c>
      <c r="M26" s="56">
        <v>0</v>
      </c>
      <c r="N26" s="55">
        <f t="shared" si="12"/>
        <v>0</v>
      </c>
      <c r="O26" s="55"/>
      <c r="P26" s="55">
        <f t="shared" si="13"/>
        <v>0</v>
      </c>
      <c r="Q26" s="55">
        <v>0</v>
      </c>
      <c r="R26" s="56">
        <v>0</v>
      </c>
      <c r="S26" s="55">
        <f t="shared" si="14"/>
        <v>0</v>
      </c>
      <c r="T26" s="55"/>
      <c r="U26" s="55">
        <f t="shared" si="15"/>
        <v>0</v>
      </c>
      <c r="V26" s="55">
        <v>0</v>
      </c>
      <c r="W26" s="58">
        <v>0</v>
      </c>
      <c r="X26" s="55">
        <f t="shared" si="16"/>
        <v>0</v>
      </c>
      <c r="AA26" s="60">
        <f t="shared" si="17"/>
        <v>0</v>
      </c>
      <c r="AB26" s="40">
        <f t="shared" si="18"/>
        <v>375.77760000000001</v>
      </c>
      <c r="AC26" s="71"/>
      <c r="AD26" s="65"/>
      <c r="AF26" s="61"/>
      <c r="AG26" s="61"/>
      <c r="AH26" s="61"/>
      <c r="AI26" s="54"/>
    </row>
    <row r="27" spans="1:35" x14ac:dyDescent="0.25">
      <c r="A27" s="39">
        <v>45596</v>
      </c>
      <c r="B27" s="41" t="s">
        <v>400</v>
      </c>
      <c r="D27" s="54" t="s">
        <v>399</v>
      </c>
      <c r="E27" s="54" t="s">
        <v>401</v>
      </c>
      <c r="F27" s="45" t="str">
        <f t="shared" si="0"/>
        <v>S/F A-V2024-00005207250 MERCADONA S.A.</v>
      </c>
      <c r="G27" s="55">
        <v>45.784999999999997</v>
      </c>
      <c r="H27" s="56">
        <v>21</v>
      </c>
      <c r="I27" s="55">
        <f t="shared" si="10"/>
        <v>9.6148499999999988</v>
      </c>
      <c r="J27" s="57"/>
      <c r="K27" s="55">
        <f t="shared" si="11"/>
        <v>0</v>
      </c>
      <c r="L27" s="55">
        <v>0</v>
      </c>
      <c r="M27" s="56">
        <v>0</v>
      </c>
      <c r="N27" s="55">
        <f t="shared" si="12"/>
        <v>0</v>
      </c>
      <c r="O27" s="55"/>
      <c r="P27" s="55">
        <f t="shared" si="13"/>
        <v>0</v>
      </c>
      <c r="Q27" s="55">
        <v>0</v>
      </c>
      <c r="R27" s="56">
        <v>0</v>
      </c>
      <c r="S27" s="55">
        <f t="shared" si="14"/>
        <v>0</v>
      </c>
      <c r="T27" s="55"/>
      <c r="U27" s="55">
        <f t="shared" si="15"/>
        <v>0</v>
      </c>
      <c r="V27" s="55">
        <v>0</v>
      </c>
      <c r="W27" s="58">
        <v>0</v>
      </c>
      <c r="X27" s="55">
        <f t="shared" si="16"/>
        <v>0</v>
      </c>
      <c r="Y27" s="59"/>
      <c r="Z27" s="59"/>
      <c r="AA27" s="60">
        <f t="shared" si="17"/>
        <v>0</v>
      </c>
      <c r="AB27" s="40">
        <f t="shared" si="18"/>
        <v>55.399849999999994</v>
      </c>
      <c r="AC27" s="67"/>
    </row>
    <row r="28" spans="1:35" x14ac:dyDescent="0.25">
      <c r="A28" s="39">
        <v>45597</v>
      </c>
      <c r="B28" s="41" t="s">
        <v>402</v>
      </c>
      <c r="D28" s="54" t="s">
        <v>335</v>
      </c>
      <c r="E28" s="54" t="s">
        <v>336</v>
      </c>
      <c r="F28" s="45" t="str">
        <f t="shared" si="0"/>
        <v>S/F BR012024000500344549 SANITAS, S.A.</v>
      </c>
      <c r="G28" s="55">
        <v>297.22000000000003</v>
      </c>
      <c r="H28" s="56">
        <v>0</v>
      </c>
      <c r="I28" s="55">
        <f t="shared" si="10"/>
        <v>0</v>
      </c>
      <c r="J28" s="57"/>
      <c r="K28" s="55">
        <f t="shared" si="11"/>
        <v>0</v>
      </c>
      <c r="L28" s="55">
        <v>0</v>
      </c>
      <c r="M28" s="56">
        <v>0</v>
      </c>
      <c r="N28" s="55">
        <f t="shared" si="12"/>
        <v>0</v>
      </c>
      <c r="O28" s="55"/>
      <c r="P28" s="55">
        <f t="shared" si="13"/>
        <v>0</v>
      </c>
      <c r="Q28" s="55">
        <v>0</v>
      </c>
      <c r="R28" s="56">
        <v>0</v>
      </c>
      <c r="S28" s="55">
        <f t="shared" si="14"/>
        <v>0</v>
      </c>
      <c r="T28" s="55"/>
      <c r="U28" s="55">
        <f t="shared" si="15"/>
        <v>0</v>
      </c>
      <c r="V28" s="55">
        <v>0</v>
      </c>
      <c r="W28" s="58">
        <v>0</v>
      </c>
      <c r="X28" s="55">
        <f t="shared" si="16"/>
        <v>0</v>
      </c>
      <c r="Y28" s="59"/>
      <c r="Z28" s="59"/>
      <c r="AA28" s="60">
        <f t="shared" si="17"/>
        <v>0</v>
      </c>
      <c r="AB28" s="40">
        <f t="shared" si="18"/>
        <v>297.22000000000003</v>
      </c>
      <c r="AC28" s="67"/>
    </row>
    <row r="29" spans="1:35" x14ac:dyDescent="0.25">
      <c r="A29" s="39">
        <v>45597</v>
      </c>
      <c r="B29" s="41" t="s">
        <v>403</v>
      </c>
      <c r="D29" s="54" t="s">
        <v>332</v>
      </c>
      <c r="E29" s="41" t="s">
        <v>333</v>
      </c>
      <c r="F29" s="45" t="str">
        <f t="shared" si="0"/>
        <v>S/F 2411C00599699 SECURITAS DIRECT ESPAÑA, SAU.</v>
      </c>
      <c r="G29" s="55">
        <v>52.74</v>
      </c>
      <c r="H29" s="56">
        <v>21</v>
      </c>
      <c r="I29" s="55">
        <f t="shared" si="10"/>
        <v>11.0754</v>
      </c>
      <c r="J29" s="57"/>
      <c r="K29" s="55">
        <f t="shared" si="11"/>
        <v>0</v>
      </c>
      <c r="L29" s="55">
        <v>0</v>
      </c>
      <c r="M29" s="56">
        <v>0</v>
      </c>
      <c r="N29" s="55">
        <f t="shared" si="12"/>
        <v>0</v>
      </c>
      <c r="O29" s="55"/>
      <c r="P29" s="55">
        <f t="shared" si="13"/>
        <v>0</v>
      </c>
      <c r="Q29" s="55">
        <v>0</v>
      </c>
      <c r="R29" s="56">
        <v>0</v>
      </c>
      <c r="S29" s="55">
        <f t="shared" si="14"/>
        <v>0</v>
      </c>
      <c r="T29" s="55"/>
      <c r="U29" s="55">
        <f t="shared" si="15"/>
        <v>0</v>
      </c>
      <c r="V29" s="55">
        <v>0</v>
      </c>
      <c r="W29" s="58">
        <v>0</v>
      </c>
      <c r="X29" s="55">
        <f t="shared" si="16"/>
        <v>0</v>
      </c>
      <c r="Y29" s="59"/>
      <c r="Z29" s="59"/>
      <c r="AA29" s="60">
        <f t="shared" si="17"/>
        <v>0</v>
      </c>
      <c r="AB29" s="40">
        <f t="shared" si="18"/>
        <v>63.815400000000004</v>
      </c>
      <c r="AC29" s="67"/>
    </row>
    <row r="30" spans="1:35" x14ac:dyDescent="0.25">
      <c r="A30" s="39">
        <v>45590</v>
      </c>
      <c r="B30" s="41" t="s">
        <v>404</v>
      </c>
      <c r="D30" s="54" t="s">
        <v>405</v>
      </c>
      <c r="E30" s="41" t="s">
        <v>406</v>
      </c>
      <c r="F30" s="45" t="str">
        <f t="shared" si="0"/>
        <v>S/F P24CON043845997 ENDESA ENERGIA, S.A.</v>
      </c>
      <c r="G30" s="55">
        <v>88.05</v>
      </c>
      <c r="H30" s="56">
        <v>10</v>
      </c>
      <c r="I30" s="55">
        <f t="shared" si="10"/>
        <v>8.8049999999999997</v>
      </c>
      <c r="J30" s="57"/>
      <c r="K30" s="55">
        <f t="shared" si="11"/>
        <v>0</v>
      </c>
      <c r="L30" s="55">
        <v>0</v>
      </c>
      <c r="M30" s="56">
        <v>0</v>
      </c>
      <c r="N30" s="55">
        <f t="shared" si="12"/>
        <v>0</v>
      </c>
      <c r="O30" s="55"/>
      <c r="P30" s="55">
        <f t="shared" si="13"/>
        <v>0</v>
      </c>
      <c r="Q30" s="55">
        <v>0</v>
      </c>
      <c r="R30" s="56">
        <v>0</v>
      </c>
      <c r="S30" s="55">
        <f t="shared" si="14"/>
        <v>0</v>
      </c>
      <c r="T30" s="55"/>
      <c r="U30" s="55">
        <f t="shared" si="15"/>
        <v>0</v>
      </c>
      <c r="V30" s="55">
        <v>0</v>
      </c>
      <c r="W30" s="58">
        <v>0</v>
      </c>
      <c r="X30" s="55">
        <f t="shared" si="16"/>
        <v>0</v>
      </c>
      <c r="Y30" s="59"/>
      <c r="Z30" s="59"/>
      <c r="AA30" s="60">
        <f t="shared" si="17"/>
        <v>0</v>
      </c>
      <c r="AB30" s="40">
        <f t="shared" si="18"/>
        <v>96.85499999999999</v>
      </c>
      <c r="AC30" s="67"/>
    </row>
    <row r="31" spans="1:35" x14ac:dyDescent="0.25">
      <c r="A31" s="39">
        <v>45597</v>
      </c>
      <c r="B31" s="54" t="s">
        <v>408</v>
      </c>
      <c r="C31" s="54"/>
      <c r="D31" s="54" t="s">
        <v>211</v>
      </c>
      <c r="E31" s="54" t="s">
        <v>344</v>
      </c>
      <c r="F31" s="45" t="str">
        <f t="shared" si="0"/>
        <v>S/F TA7DQ0108790 TELEFONICA DE ESPAÑA</v>
      </c>
      <c r="G31" s="55">
        <v>154.63999999999999</v>
      </c>
      <c r="H31" s="56">
        <v>21</v>
      </c>
      <c r="I31" s="55">
        <f t="shared" si="10"/>
        <v>32.474399999999996</v>
      </c>
      <c r="J31" s="57"/>
      <c r="K31" s="55">
        <f t="shared" si="11"/>
        <v>0</v>
      </c>
      <c r="L31" s="55">
        <v>0</v>
      </c>
      <c r="M31" s="56">
        <v>0</v>
      </c>
      <c r="N31" s="55">
        <f t="shared" si="12"/>
        <v>0</v>
      </c>
      <c r="O31" s="55"/>
      <c r="P31" s="55">
        <f t="shared" si="13"/>
        <v>0</v>
      </c>
      <c r="Q31" s="55">
        <v>0</v>
      </c>
      <c r="R31" s="56">
        <v>0</v>
      </c>
      <c r="S31" s="55">
        <f t="shared" si="14"/>
        <v>0</v>
      </c>
      <c r="T31" s="55"/>
      <c r="U31" s="55">
        <f t="shared" si="15"/>
        <v>0</v>
      </c>
      <c r="V31" s="55">
        <v>0</v>
      </c>
      <c r="W31" s="58">
        <v>0</v>
      </c>
      <c r="X31" s="55">
        <f t="shared" si="16"/>
        <v>0</v>
      </c>
      <c r="Y31" s="59"/>
      <c r="Z31" s="59"/>
      <c r="AA31" s="60">
        <f t="shared" si="17"/>
        <v>0</v>
      </c>
      <c r="AB31" s="40">
        <f t="shared" si="18"/>
        <v>187.11439999999999</v>
      </c>
      <c r="AC31" s="67"/>
    </row>
    <row r="32" spans="1:35" x14ac:dyDescent="0.25">
      <c r="A32" s="39">
        <v>45597</v>
      </c>
      <c r="B32" s="54" t="s">
        <v>407</v>
      </c>
      <c r="C32" s="54"/>
      <c r="D32" s="54" t="s">
        <v>345</v>
      </c>
      <c r="E32" s="54" t="s">
        <v>346</v>
      </c>
      <c r="F32" s="45" t="str">
        <f t="shared" si="0"/>
        <v>S/F 28KAMOO53223 TELEFONICA MOVILES ESPAÑA, S.A.</v>
      </c>
      <c r="G32" s="55">
        <v>23.28</v>
      </c>
      <c r="H32" s="56">
        <v>21</v>
      </c>
      <c r="I32" s="55">
        <f t="shared" si="10"/>
        <v>4.8887999999999998</v>
      </c>
      <c r="J32" s="57"/>
      <c r="K32" s="55">
        <f t="shared" si="11"/>
        <v>0</v>
      </c>
      <c r="L32" s="55">
        <v>0</v>
      </c>
      <c r="M32" s="56">
        <v>0</v>
      </c>
      <c r="N32" s="55">
        <f t="shared" si="12"/>
        <v>0</v>
      </c>
      <c r="O32" s="55"/>
      <c r="P32" s="55">
        <f t="shared" si="13"/>
        <v>0</v>
      </c>
      <c r="Q32" s="55">
        <v>0</v>
      </c>
      <c r="R32" s="56">
        <v>0</v>
      </c>
      <c r="S32" s="55">
        <f t="shared" si="14"/>
        <v>0</v>
      </c>
      <c r="T32" s="55"/>
      <c r="U32" s="55">
        <f t="shared" si="15"/>
        <v>0</v>
      </c>
      <c r="V32" s="55">
        <v>0</v>
      </c>
      <c r="W32" s="58">
        <v>0</v>
      </c>
      <c r="X32" s="55">
        <f t="shared" si="16"/>
        <v>0</v>
      </c>
      <c r="Y32" s="59"/>
      <c r="Z32" s="59"/>
      <c r="AA32" s="60">
        <f t="shared" si="17"/>
        <v>0</v>
      </c>
      <c r="AB32" s="40">
        <f t="shared" si="18"/>
        <v>28.168800000000001</v>
      </c>
      <c r="AC32" s="67"/>
    </row>
    <row r="33" spans="1:32" x14ac:dyDescent="0.25">
      <c r="A33" s="39">
        <v>45597</v>
      </c>
      <c r="B33" s="54" t="s">
        <v>409</v>
      </c>
      <c r="C33" s="54"/>
      <c r="D33" s="54" t="s">
        <v>337</v>
      </c>
      <c r="E33" s="54" t="s">
        <v>338</v>
      </c>
      <c r="F33" s="45" t="str">
        <f t="shared" ref="F33:F34" si="48">"S/F "&amp;B33&amp;" "&amp;E33</f>
        <v>S/F 11/24 NEREA NIETO ARAMBURU</v>
      </c>
      <c r="G33" s="55">
        <v>400</v>
      </c>
      <c r="H33" s="56">
        <v>21</v>
      </c>
      <c r="I33" s="55">
        <f t="shared" ref="I33:I46" si="49">+IF(G33&lt;&gt;0,G33*H33/100,0)</f>
        <v>84</v>
      </c>
      <c r="J33" s="57"/>
      <c r="K33" s="55">
        <f t="shared" ref="K33:K34" si="50">+IF(G33&lt;&gt;0,G33*J33/100,0)</f>
        <v>0</v>
      </c>
      <c r="L33" s="55">
        <v>0</v>
      </c>
      <c r="M33" s="56">
        <v>0</v>
      </c>
      <c r="N33" s="55">
        <f t="shared" ref="N33:N56" si="51">+IF(L33&lt;&gt;0,L33*M33/100,0)</f>
        <v>0</v>
      </c>
      <c r="O33" s="55"/>
      <c r="P33" s="55">
        <f t="shared" ref="P33:P34" si="52">+IF(L33&lt;&gt;0,L33*O33/100,0)</f>
        <v>0</v>
      </c>
      <c r="Q33" s="55">
        <v>0</v>
      </c>
      <c r="R33" s="56">
        <v>0</v>
      </c>
      <c r="S33" s="55">
        <f t="shared" ref="S33:S56" si="53">+IF(Q33&lt;&gt;0,Q33*R33/100,0)</f>
        <v>0</v>
      </c>
      <c r="T33" s="55"/>
      <c r="U33" s="55">
        <v>0</v>
      </c>
      <c r="V33" s="55">
        <v>400</v>
      </c>
      <c r="W33" s="58">
        <v>19</v>
      </c>
      <c r="X33" s="55">
        <f t="shared" ref="X33:X56" si="54">+IF(W33&lt;&gt;0,V33*W33/100,0)</f>
        <v>76</v>
      </c>
      <c r="AA33" s="40">
        <f t="shared" ref="AA33:AA56" si="55">+IF(Z33&lt;&gt;0,Y33*Z33/100,0)</f>
        <v>0</v>
      </c>
      <c r="AB33" s="40">
        <f t="shared" ref="AB33:AB56" si="56">+G33+I33+K33+L33+N33+P33+Q33+S33+U33-X33-AA33</f>
        <v>408</v>
      </c>
      <c r="AC33" s="67"/>
    </row>
    <row r="34" spans="1:32" x14ac:dyDescent="0.25">
      <c r="A34" s="39">
        <v>45601</v>
      </c>
      <c r="B34" s="54" t="s">
        <v>410</v>
      </c>
      <c r="C34" s="54"/>
      <c r="D34" s="54" t="s">
        <v>339</v>
      </c>
      <c r="E34" s="54" t="s">
        <v>340</v>
      </c>
      <c r="F34" s="45" t="str">
        <f t="shared" si="48"/>
        <v>S/F 32/24 MªDE LA VEGA ARAMBURU PLAZA</v>
      </c>
      <c r="G34" s="55">
        <v>350</v>
      </c>
      <c r="H34" s="56">
        <v>21</v>
      </c>
      <c r="I34" s="55">
        <f t="shared" si="49"/>
        <v>73.5</v>
      </c>
      <c r="J34" s="57"/>
      <c r="K34" s="55">
        <f t="shared" si="50"/>
        <v>0</v>
      </c>
      <c r="L34" s="55">
        <v>0</v>
      </c>
      <c r="M34" s="56">
        <v>0</v>
      </c>
      <c r="N34" s="55">
        <f t="shared" si="51"/>
        <v>0</v>
      </c>
      <c r="O34" s="55"/>
      <c r="P34" s="55">
        <f t="shared" si="52"/>
        <v>0</v>
      </c>
      <c r="Q34" s="55">
        <v>0</v>
      </c>
      <c r="R34" s="56">
        <v>0</v>
      </c>
      <c r="S34" s="55">
        <f t="shared" si="53"/>
        <v>0</v>
      </c>
      <c r="T34" s="55"/>
      <c r="U34" s="55">
        <f t="shared" ref="U34:U56" si="57">+IF(Q34&lt;&gt;0,Q34*T34/100,0)</f>
        <v>0</v>
      </c>
      <c r="V34" s="55">
        <v>350</v>
      </c>
      <c r="W34" s="58">
        <v>19</v>
      </c>
      <c r="X34" s="55">
        <f t="shared" si="54"/>
        <v>66.5</v>
      </c>
      <c r="AA34" s="40">
        <f t="shared" si="55"/>
        <v>0</v>
      </c>
      <c r="AB34" s="40">
        <f t="shared" si="56"/>
        <v>357</v>
      </c>
      <c r="AC34" s="67"/>
    </row>
    <row r="35" spans="1:32" x14ac:dyDescent="0.25">
      <c r="A35" s="75">
        <v>45568</v>
      </c>
      <c r="B35" s="77" t="s">
        <v>414</v>
      </c>
      <c r="C35" s="77"/>
      <c r="D35" s="77" t="s">
        <v>415</v>
      </c>
      <c r="E35" s="77" t="s">
        <v>416</v>
      </c>
      <c r="F35" s="78" t="str">
        <f>"S/F "&amp;B35&amp;" "&amp;E35</f>
        <v>S/F 255520 SHENZHEN WUDAOZI TECHNOLOGY CO.LTD (AMAZON)</v>
      </c>
      <c r="G35" s="79">
        <v>7.19</v>
      </c>
      <c r="H35" s="80">
        <v>0</v>
      </c>
      <c r="I35" s="79">
        <f t="shared" si="49"/>
        <v>0</v>
      </c>
      <c r="J35" s="81"/>
      <c r="K35" s="79">
        <v>0</v>
      </c>
      <c r="L35" s="79">
        <v>0</v>
      </c>
      <c r="M35" s="80">
        <v>0</v>
      </c>
      <c r="N35" s="79">
        <f t="shared" si="51"/>
        <v>0</v>
      </c>
      <c r="O35" s="79"/>
      <c r="P35" s="79">
        <v>0</v>
      </c>
      <c r="Q35" s="79"/>
      <c r="R35" s="81"/>
      <c r="S35" s="79">
        <f t="shared" si="53"/>
        <v>0</v>
      </c>
      <c r="T35" s="79"/>
      <c r="U35" s="79">
        <f t="shared" si="57"/>
        <v>0</v>
      </c>
      <c r="V35" s="79">
        <v>0</v>
      </c>
      <c r="W35" s="82">
        <v>0</v>
      </c>
      <c r="X35" s="79">
        <f t="shared" si="54"/>
        <v>0</v>
      </c>
      <c r="Y35" s="83"/>
      <c r="Z35" s="83"/>
      <c r="AA35" s="84">
        <f t="shared" si="55"/>
        <v>0</v>
      </c>
      <c r="AB35" s="84">
        <f t="shared" si="56"/>
        <v>7.19</v>
      </c>
      <c r="AC35" s="64"/>
      <c r="AD35" s="85"/>
      <c r="AE35" s="85" t="s">
        <v>367</v>
      </c>
      <c r="AF35" s="86"/>
    </row>
    <row r="36" spans="1:32" x14ac:dyDescent="0.25">
      <c r="A36" s="75">
        <v>45567</v>
      </c>
      <c r="B36" s="77" t="s">
        <v>417</v>
      </c>
      <c r="C36" s="77"/>
      <c r="D36" s="77" t="s">
        <v>412</v>
      </c>
      <c r="E36" s="77" t="s">
        <v>418</v>
      </c>
      <c r="F36" s="78" t="str">
        <f t="shared" ref="F36:F37" si="58">"S/F "&amp;B36&amp;" "&amp;E36</f>
        <v>S/F 83124FE00026569 MARKOIL,S.A.</v>
      </c>
      <c r="G36" s="79">
        <v>33.06</v>
      </c>
      <c r="H36" s="80">
        <v>21</v>
      </c>
      <c r="I36" s="79">
        <f t="shared" si="49"/>
        <v>6.9425999999999997</v>
      </c>
      <c r="J36" s="81"/>
      <c r="K36" s="79">
        <v>0</v>
      </c>
      <c r="L36" s="79">
        <v>0</v>
      </c>
      <c r="M36" s="80">
        <v>0</v>
      </c>
      <c r="N36" s="79">
        <f t="shared" si="51"/>
        <v>0</v>
      </c>
      <c r="O36" s="79"/>
      <c r="P36" s="79">
        <v>0</v>
      </c>
      <c r="Q36" s="79"/>
      <c r="R36" s="81"/>
      <c r="S36" s="79">
        <f t="shared" si="53"/>
        <v>0</v>
      </c>
      <c r="T36" s="79"/>
      <c r="U36" s="79">
        <f t="shared" si="57"/>
        <v>0</v>
      </c>
      <c r="V36" s="79">
        <v>0</v>
      </c>
      <c r="W36" s="82">
        <v>0</v>
      </c>
      <c r="X36" s="79">
        <f t="shared" si="54"/>
        <v>0</v>
      </c>
      <c r="Y36" s="83"/>
      <c r="Z36" s="83"/>
      <c r="AA36" s="84">
        <f t="shared" si="55"/>
        <v>0</v>
      </c>
      <c r="AB36" s="84">
        <f t="shared" si="56"/>
        <v>40.002600000000001</v>
      </c>
      <c r="AC36" s="64"/>
      <c r="AD36" s="85"/>
      <c r="AE36" s="85" t="s">
        <v>367</v>
      </c>
      <c r="AF36" s="86"/>
    </row>
    <row r="37" spans="1:32" x14ac:dyDescent="0.25">
      <c r="A37" s="75">
        <v>45572</v>
      </c>
      <c r="B37" s="77" t="s">
        <v>419</v>
      </c>
      <c r="C37" s="77"/>
      <c r="D37" s="77" t="s">
        <v>420</v>
      </c>
      <c r="E37" s="77" t="s">
        <v>421</v>
      </c>
      <c r="F37" s="78" t="str">
        <f t="shared" si="58"/>
        <v>S/F MM4O005467 DANKE HOTELS, S.L.</v>
      </c>
      <c r="G37" s="79">
        <v>148.26</v>
      </c>
      <c r="H37" s="80">
        <v>10</v>
      </c>
      <c r="I37" s="79">
        <v>14.84</v>
      </c>
      <c r="J37" s="81"/>
      <c r="K37" s="79">
        <v>0</v>
      </c>
      <c r="L37" s="79">
        <v>0</v>
      </c>
      <c r="M37" s="80">
        <v>0</v>
      </c>
      <c r="N37" s="79">
        <f t="shared" si="51"/>
        <v>0</v>
      </c>
      <c r="O37" s="79"/>
      <c r="P37" s="79">
        <v>0</v>
      </c>
      <c r="Q37" s="79"/>
      <c r="R37" s="81"/>
      <c r="S37" s="79">
        <f t="shared" si="53"/>
        <v>0</v>
      </c>
      <c r="T37" s="79"/>
      <c r="U37" s="79">
        <f t="shared" si="57"/>
        <v>0</v>
      </c>
      <c r="V37" s="79">
        <v>0</v>
      </c>
      <c r="W37" s="82">
        <v>0</v>
      </c>
      <c r="X37" s="79">
        <f t="shared" si="54"/>
        <v>0</v>
      </c>
      <c r="Y37" s="83"/>
      <c r="Z37" s="83"/>
      <c r="AA37" s="84">
        <f t="shared" si="55"/>
        <v>0</v>
      </c>
      <c r="AB37" s="84">
        <f t="shared" si="56"/>
        <v>163.1</v>
      </c>
      <c r="AC37" s="64"/>
      <c r="AD37" s="85"/>
      <c r="AE37" s="85" t="s">
        <v>367</v>
      </c>
      <c r="AF37" s="89"/>
    </row>
    <row r="38" spans="1:32" x14ac:dyDescent="0.25">
      <c r="A38" s="75">
        <v>45573</v>
      </c>
      <c r="B38" s="77" t="s">
        <v>429</v>
      </c>
      <c r="C38" s="77"/>
      <c r="D38" s="77" t="s">
        <v>399</v>
      </c>
      <c r="E38" s="77" t="s">
        <v>401</v>
      </c>
      <c r="F38" s="78" t="str">
        <f>"S/F "&amp;B38&amp;" "&amp;E38</f>
        <v>S/F 4830083 MERCADONA S.A.</v>
      </c>
      <c r="G38" s="79">
        <v>55.46</v>
      </c>
      <c r="H38" s="80">
        <v>10</v>
      </c>
      <c r="I38" s="79">
        <f t="shared" si="49"/>
        <v>5.5460000000000003</v>
      </c>
      <c r="J38" s="81"/>
      <c r="K38" s="79">
        <v>0</v>
      </c>
      <c r="L38" s="79">
        <v>42.82</v>
      </c>
      <c r="M38" s="80">
        <v>21</v>
      </c>
      <c r="N38" s="79">
        <v>8.98</v>
      </c>
      <c r="O38" s="79"/>
      <c r="P38" s="79">
        <v>0</v>
      </c>
      <c r="Q38" s="79"/>
      <c r="R38" s="81"/>
      <c r="S38" s="79">
        <f t="shared" si="53"/>
        <v>0</v>
      </c>
      <c r="T38" s="79"/>
      <c r="U38" s="79">
        <f t="shared" si="57"/>
        <v>0</v>
      </c>
      <c r="V38" s="79">
        <v>0</v>
      </c>
      <c r="W38" s="82">
        <v>0</v>
      </c>
      <c r="X38" s="79">
        <f t="shared" si="54"/>
        <v>0</v>
      </c>
      <c r="Y38" s="83"/>
      <c r="Z38" s="83"/>
      <c r="AA38" s="84">
        <f t="shared" si="55"/>
        <v>0</v>
      </c>
      <c r="AB38" s="84">
        <f t="shared" si="56"/>
        <v>112.806</v>
      </c>
      <c r="AC38" s="64"/>
      <c r="AD38" s="85"/>
      <c r="AE38" s="85" t="s">
        <v>367</v>
      </c>
      <c r="AF38" s="89"/>
    </row>
    <row r="39" spans="1:32" x14ac:dyDescent="0.25">
      <c r="A39" s="75">
        <v>45575</v>
      </c>
      <c r="B39" s="77" t="s">
        <v>430</v>
      </c>
      <c r="C39" s="77"/>
      <c r="D39" s="77" t="s">
        <v>431</v>
      </c>
      <c r="E39" s="77" t="s">
        <v>432</v>
      </c>
      <c r="F39" s="78" t="str">
        <f>"S/F "&amp;B39&amp;" "&amp;E39</f>
        <v>S/F 60088 SIDERIA MANOLO BOBES</v>
      </c>
      <c r="G39" s="79">
        <v>88.18</v>
      </c>
      <c r="H39" s="80">
        <v>10</v>
      </c>
      <c r="I39" s="79">
        <f t="shared" si="49"/>
        <v>8.8180000000000014</v>
      </c>
      <c r="J39" s="81"/>
      <c r="K39" s="79">
        <v>0</v>
      </c>
      <c r="L39" s="79">
        <v>0</v>
      </c>
      <c r="M39" s="80">
        <v>0</v>
      </c>
      <c r="N39" s="79">
        <f t="shared" si="51"/>
        <v>0</v>
      </c>
      <c r="O39" s="79"/>
      <c r="P39" s="79">
        <v>0</v>
      </c>
      <c r="Q39" s="79"/>
      <c r="R39" s="81"/>
      <c r="S39" s="79">
        <f t="shared" si="53"/>
        <v>0</v>
      </c>
      <c r="T39" s="79"/>
      <c r="U39" s="79">
        <f t="shared" si="57"/>
        <v>0</v>
      </c>
      <c r="V39" s="79">
        <v>0</v>
      </c>
      <c r="W39" s="82">
        <v>0</v>
      </c>
      <c r="X39" s="79">
        <f t="shared" si="54"/>
        <v>0</v>
      </c>
      <c r="Y39" s="83"/>
      <c r="Z39" s="83"/>
      <c r="AA39" s="84">
        <f t="shared" si="55"/>
        <v>0</v>
      </c>
      <c r="AB39" s="84">
        <f t="shared" si="56"/>
        <v>96.998000000000005</v>
      </c>
      <c r="AC39" s="64"/>
      <c r="AD39" s="85"/>
      <c r="AE39" s="85" t="s">
        <v>367</v>
      </c>
      <c r="AF39" s="89"/>
    </row>
    <row r="40" spans="1:32" x14ac:dyDescent="0.25">
      <c r="A40" s="75">
        <v>45580</v>
      </c>
      <c r="B40" s="77" t="s">
        <v>433</v>
      </c>
      <c r="C40" s="77"/>
      <c r="D40" s="77" t="s">
        <v>434</v>
      </c>
      <c r="E40" s="77" t="s">
        <v>435</v>
      </c>
      <c r="F40" s="78" t="str">
        <f t="shared" ref="F40:F43" si="59">"S/F "&amp;B40&amp;" "&amp;E40</f>
        <v>S/F 064101 VERIFICACION INSDUSTRIALES DE ANDALUCIA, S.A. (ITV)</v>
      </c>
      <c r="G40" s="79">
        <v>33.06</v>
      </c>
      <c r="H40" s="80">
        <v>21</v>
      </c>
      <c r="I40" s="79">
        <f t="shared" si="49"/>
        <v>6.9425999999999997</v>
      </c>
      <c r="J40" s="81"/>
      <c r="K40" s="79">
        <v>0</v>
      </c>
      <c r="L40" s="79">
        <v>4.18</v>
      </c>
      <c r="M40" s="80">
        <v>0</v>
      </c>
      <c r="N40" s="79">
        <f t="shared" si="51"/>
        <v>0</v>
      </c>
      <c r="O40" s="79"/>
      <c r="P40" s="79">
        <v>0</v>
      </c>
      <c r="Q40" s="79"/>
      <c r="R40" s="81"/>
      <c r="S40" s="79">
        <f t="shared" si="53"/>
        <v>0</v>
      </c>
      <c r="T40" s="79"/>
      <c r="U40" s="79">
        <f t="shared" si="57"/>
        <v>0</v>
      </c>
      <c r="V40" s="79">
        <v>0</v>
      </c>
      <c r="W40" s="82">
        <v>0</v>
      </c>
      <c r="X40" s="79">
        <f t="shared" si="54"/>
        <v>0</v>
      </c>
      <c r="Y40" s="83"/>
      <c r="Z40" s="83"/>
      <c r="AA40" s="84">
        <f t="shared" si="55"/>
        <v>0</v>
      </c>
      <c r="AB40" s="84">
        <f t="shared" si="56"/>
        <v>44.182600000000001</v>
      </c>
      <c r="AC40" s="64"/>
      <c r="AD40" s="85"/>
      <c r="AE40" s="85" t="s">
        <v>367</v>
      </c>
      <c r="AF40" s="89"/>
    </row>
    <row r="41" spans="1:32" x14ac:dyDescent="0.25">
      <c r="A41" s="75">
        <v>45580</v>
      </c>
      <c r="B41" s="77" t="s">
        <v>436</v>
      </c>
      <c r="C41" s="77"/>
      <c r="D41" s="77" t="s">
        <v>437</v>
      </c>
      <c r="E41" s="77" t="s">
        <v>438</v>
      </c>
      <c r="F41" s="78" t="str">
        <f t="shared" si="59"/>
        <v>S/F VJ00000014878779 RENFE VIAJEROS SME</v>
      </c>
      <c r="G41" s="79">
        <v>42.72</v>
      </c>
      <c r="H41" s="80">
        <v>10</v>
      </c>
      <c r="I41" s="79">
        <v>4.28</v>
      </c>
      <c r="J41" s="81"/>
      <c r="K41" s="79">
        <v>0</v>
      </c>
      <c r="L41" s="79">
        <v>0</v>
      </c>
      <c r="M41" s="80">
        <v>0</v>
      </c>
      <c r="N41" s="79">
        <f t="shared" si="51"/>
        <v>0</v>
      </c>
      <c r="O41" s="79"/>
      <c r="P41" s="79">
        <v>0</v>
      </c>
      <c r="Q41" s="79"/>
      <c r="R41" s="81"/>
      <c r="S41" s="79">
        <f t="shared" si="53"/>
        <v>0</v>
      </c>
      <c r="T41" s="79"/>
      <c r="U41" s="79">
        <f t="shared" si="57"/>
        <v>0</v>
      </c>
      <c r="V41" s="79">
        <v>0</v>
      </c>
      <c r="W41" s="82">
        <v>0</v>
      </c>
      <c r="X41" s="79">
        <f t="shared" si="54"/>
        <v>0</v>
      </c>
      <c r="Y41" s="83"/>
      <c r="Z41" s="83"/>
      <c r="AA41" s="84">
        <f t="shared" si="55"/>
        <v>0</v>
      </c>
      <c r="AB41" s="84">
        <f t="shared" si="56"/>
        <v>47</v>
      </c>
      <c r="AC41" s="64"/>
      <c r="AD41" s="85"/>
      <c r="AE41" s="85" t="s">
        <v>367</v>
      </c>
      <c r="AF41" s="89"/>
    </row>
    <row r="42" spans="1:32" x14ac:dyDescent="0.25">
      <c r="A42" s="75">
        <v>45580</v>
      </c>
      <c r="B42" s="77" t="s">
        <v>439</v>
      </c>
      <c r="C42" s="77"/>
      <c r="D42" s="77" t="s">
        <v>437</v>
      </c>
      <c r="E42" s="77" t="s">
        <v>438</v>
      </c>
      <c r="F42" s="78" t="str">
        <f t="shared" ref="F42" si="60">"S/F "&amp;B42&amp;" "&amp;E42</f>
        <v>S/F VJ00000014878778 RENFE VIAJEROS SME</v>
      </c>
      <c r="G42" s="79">
        <v>42.72</v>
      </c>
      <c r="H42" s="80">
        <v>10</v>
      </c>
      <c r="I42" s="79">
        <v>4.28</v>
      </c>
      <c r="J42" s="81"/>
      <c r="K42" s="79">
        <v>0</v>
      </c>
      <c r="L42" s="79">
        <v>0</v>
      </c>
      <c r="M42" s="80">
        <v>0</v>
      </c>
      <c r="N42" s="79">
        <f t="shared" si="51"/>
        <v>0</v>
      </c>
      <c r="O42" s="79"/>
      <c r="P42" s="79">
        <v>0</v>
      </c>
      <c r="Q42" s="79"/>
      <c r="R42" s="81"/>
      <c r="S42" s="79">
        <f t="shared" si="53"/>
        <v>0</v>
      </c>
      <c r="T42" s="79"/>
      <c r="U42" s="79">
        <f t="shared" si="57"/>
        <v>0</v>
      </c>
      <c r="V42" s="79">
        <v>0</v>
      </c>
      <c r="W42" s="82">
        <v>0</v>
      </c>
      <c r="X42" s="79">
        <f t="shared" si="54"/>
        <v>0</v>
      </c>
      <c r="Y42" s="83"/>
      <c r="Z42" s="83"/>
      <c r="AA42" s="84">
        <f t="shared" si="55"/>
        <v>0</v>
      </c>
      <c r="AB42" s="84">
        <f t="shared" si="56"/>
        <v>47</v>
      </c>
      <c r="AC42" s="64"/>
      <c r="AD42" s="85"/>
      <c r="AE42" s="85" t="s">
        <v>367</v>
      </c>
      <c r="AF42" s="89"/>
    </row>
    <row r="43" spans="1:32" x14ac:dyDescent="0.25">
      <c r="A43" s="75">
        <v>45582</v>
      </c>
      <c r="B43" s="77" t="s">
        <v>440</v>
      </c>
      <c r="C43" s="77"/>
      <c r="D43" s="77" t="s">
        <v>412</v>
      </c>
      <c r="E43" s="77" t="s">
        <v>418</v>
      </c>
      <c r="F43" s="78" t="str">
        <f t="shared" si="59"/>
        <v>S/F 83124FE000027886 MARKOIL,S.A.</v>
      </c>
      <c r="G43" s="79">
        <v>38.5</v>
      </c>
      <c r="H43" s="80">
        <v>21</v>
      </c>
      <c r="I43" s="79">
        <v>8.08</v>
      </c>
      <c r="J43" s="81"/>
      <c r="K43" s="79">
        <v>0</v>
      </c>
      <c r="L43" s="79">
        <v>0</v>
      </c>
      <c r="M43" s="80">
        <v>0</v>
      </c>
      <c r="N43" s="79">
        <f t="shared" si="51"/>
        <v>0</v>
      </c>
      <c r="O43" s="79"/>
      <c r="P43" s="79">
        <v>0</v>
      </c>
      <c r="Q43" s="79"/>
      <c r="R43" s="81"/>
      <c r="S43" s="79">
        <f t="shared" si="53"/>
        <v>0</v>
      </c>
      <c r="T43" s="79"/>
      <c r="U43" s="79">
        <f t="shared" si="57"/>
        <v>0</v>
      </c>
      <c r="V43" s="79">
        <v>0</v>
      </c>
      <c r="W43" s="82">
        <v>0</v>
      </c>
      <c r="X43" s="79">
        <f t="shared" si="54"/>
        <v>0</v>
      </c>
      <c r="Y43" s="83"/>
      <c r="Z43" s="83"/>
      <c r="AA43" s="84">
        <f t="shared" si="55"/>
        <v>0</v>
      </c>
      <c r="AB43" s="84">
        <f t="shared" si="56"/>
        <v>46.58</v>
      </c>
      <c r="AC43" s="64"/>
      <c r="AD43" s="85"/>
      <c r="AE43" s="85" t="s">
        <v>367</v>
      </c>
      <c r="AF43" s="89"/>
    </row>
    <row r="44" spans="1:32" x14ac:dyDescent="0.25">
      <c r="A44" s="75">
        <v>45585</v>
      </c>
      <c r="B44" s="77" t="s">
        <v>441</v>
      </c>
      <c r="C44" s="77"/>
      <c r="D44" s="77" t="s">
        <v>442</v>
      </c>
      <c r="E44" s="77" t="s">
        <v>443</v>
      </c>
      <c r="F44" s="78" t="str">
        <f>"S/F "&amp;B44&amp;" "&amp;E44</f>
        <v>S/F 16928 MOTOSUR, S.L.</v>
      </c>
      <c r="G44" s="79">
        <v>60.71</v>
      </c>
      <c r="H44" s="80">
        <v>21</v>
      </c>
      <c r="I44" s="79">
        <f t="shared" si="49"/>
        <v>12.7491</v>
      </c>
      <c r="J44" s="81"/>
      <c r="K44" s="79">
        <v>0</v>
      </c>
      <c r="L44" s="79">
        <v>0</v>
      </c>
      <c r="M44" s="80">
        <v>0</v>
      </c>
      <c r="N44" s="79">
        <f t="shared" si="51"/>
        <v>0</v>
      </c>
      <c r="O44" s="79"/>
      <c r="P44" s="79">
        <v>0</v>
      </c>
      <c r="Q44" s="79"/>
      <c r="R44" s="81"/>
      <c r="S44" s="79">
        <f t="shared" si="53"/>
        <v>0</v>
      </c>
      <c r="T44" s="79"/>
      <c r="U44" s="79">
        <f t="shared" si="57"/>
        <v>0</v>
      </c>
      <c r="V44" s="79">
        <v>0</v>
      </c>
      <c r="W44" s="82">
        <v>0</v>
      </c>
      <c r="X44" s="79">
        <f t="shared" si="54"/>
        <v>0</v>
      </c>
      <c r="Y44" s="83"/>
      <c r="Z44" s="83"/>
      <c r="AA44" s="84">
        <f t="shared" si="55"/>
        <v>0</v>
      </c>
      <c r="AB44" s="84">
        <f t="shared" si="56"/>
        <v>73.459100000000007</v>
      </c>
      <c r="AC44" s="64"/>
      <c r="AD44" s="85"/>
      <c r="AE44" s="85" t="s">
        <v>367</v>
      </c>
      <c r="AF44" s="89"/>
    </row>
    <row r="45" spans="1:32" x14ac:dyDescent="0.25">
      <c r="A45" s="75">
        <v>45589</v>
      </c>
      <c r="B45" s="77" t="s">
        <v>482</v>
      </c>
      <c r="C45" s="77"/>
      <c r="D45" s="77" t="s">
        <v>483</v>
      </c>
      <c r="E45" s="77" t="s">
        <v>484</v>
      </c>
      <c r="F45" s="78" t="str">
        <f t="shared" ref="F45:F56" si="61">"S/F "&amp;B45&amp;" "&amp;E45</f>
        <v>S/F 2400158 SERVICIOS MERCANICOS ICB</v>
      </c>
      <c r="G45" s="79">
        <v>265.58</v>
      </c>
      <c r="H45" s="80">
        <v>21</v>
      </c>
      <c r="I45" s="79">
        <f t="shared" si="49"/>
        <v>55.771799999999992</v>
      </c>
      <c r="J45" s="81"/>
      <c r="K45" s="79">
        <v>0</v>
      </c>
      <c r="L45" s="79">
        <v>0</v>
      </c>
      <c r="M45" s="80">
        <v>0</v>
      </c>
      <c r="N45" s="79">
        <f t="shared" si="51"/>
        <v>0</v>
      </c>
      <c r="O45" s="79"/>
      <c r="P45" s="79">
        <v>0</v>
      </c>
      <c r="Q45" s="79"/>
      <c r="R45" s="81"/>
      <c r="S45" s="79">
        <f t="shared" si="53"/>
        <v>0</v>
      </c>
      <c r="T45" s="79"/>
      <c r="U45" s="79">
        <f t="shared" si="57"/>
        <v>0</v>
      </c>
      <c r="V45" s="79">
        <v>0</v>
      </c>
      <c r="W45" s="82">
        <v>0</v>
      </c>
      <c r="X45" s="79">
        <f t="shared" si="54"/>
        <v>0</v>
      </c>
      <c r="Y45" s="83"/>
      <c r="Z45" s="83"/>
      <c r="AA45" s="84">
        <f t="shared" si="55"/>
        <v>0</v>
      </c>
      <c r="AB45" s="84">
        <f t="shared" si="56"/>
        <v>321.35179999999997</v>
      </c>
      <c r="AC45" s="64"/>
      <c r="AD45" s="85"/>
      <c r="AE45" s="85" t="s">
        <v>367</v>
      </c>
      <c r="AF45" s="89"/>
    </row>
    <row r="46" spans="1:32" x14ac:dyDescent="0.25">
      <c r="A46" s="75">
        <v>45591</v>
      </c>
      <c r="B46" s="77" t="s">
        <v>485</v>
      </c>
      <c r="C46" s="77"/>
      <c r="D46" s="77" t="s">
        <v>431</v>
      </c>
      <c r="E46" s="77" t="s">
        <v>432</v>
      </c>
      <c r="F46" s="78" t="str">
        <f t="shared" si="61"/>
        <v>S/F 60368 SIDERIA MANOLO BOBES</v>
      </c>
      <c r="G46" s="79">
        <v>117.73</v>
      </c>
      <c r="H46" s="80">
        <v>10</v>
      </c>
      <c r="I46" s="79">
        <f t="shared" si="49"/>
        <v>11.773</v>
      </c>
      <c r="J46" s="81"/>
      <c r="K46" s="79">
        <v>0</v>
      </c>
      <c r="L46" s="79">
        <v>0</v>
      </c>
      <c r="M46" s="80">
        <v>0</v>
      </c>
      <c r="N46" s="79">
        <f t="shared" si="51"/>
        <v>0</v>
      </c>
      <c r="O46" s="79"/>
      <c r="P46" s="79">
        <v>0</v>
      </c>
      <c r="Q46" s="79"/>
      <c r="R46" s="81"/>
      <c r="S46" s="79">
        <f t="shared" si="53"/>
        <v>0</v>
      </c>
      <c r="T46" s="79"/>
      <c r="U46" s="79">
        <f t="shared" si="57"/>
        <v>0</v>
      </c>
      <c r="V46" s="79">
        <v>0</v>
      </c>
      <c r="W46" s="82">
        <v>0</v>
      </c>
      <c r="X46" s="79">
        <f t="shared" si="54"/>
        <v>0</v>
      </c>
      <c r="Y46" s="83"/>
      <c r="Z46" s="83"/>
      <c r="AA46" s="84">
        <f t="shared" si="55"/>
        <v>0</v>
      </c>
      <c r="AB46" s="84">
        <f t="shared" si="56"/>
        <v>129.50300000000001</v>
      </c>
      <c r="AC46" s="64"/>
      <c r="AD46" s="85"/>
      <c r="AE46" s="85" t="s">
        <v>367</v>
      </c>
      <c r="AF46" s="89"/>
    </row>
    <row r="47" spans="1:32" x14ac:dyDescent="0.25">
      <c r="A47" s="75">
        <v>45594</v>
      </c>
      <c r="B47" s="77" t="s">
        <v>444</v>
      </c>
      <c r="C47" s="77"/>
      <c r="D47" s="77" t="s">
        <v>437</v>
      </c>
      <c r="E47" s="77" t="s">
        <v>438</v>
      </c>
      <c r="F47" s="78" t="str">
        <f t="shared" si="61"/>
        <v>S/F VJ00000014929871 RENFE VIAJEROS SME</v>
      </c>
      <c r="G47" s="79">
        <v>75.45</v>
      </c>
      <c r="H47" s="80">
        <v>10</v>
      </c>
      <c r="I47" s="79">
        <v>7.55</v>
      </c>
      <c r="J47" s="81"/>
      <c r="K47" s="79">
        <v>0</v>
      </c>
      <c r="L47" s="79">
        <v>0</v>
      </c>
      <c r="M47" s="80">
        <v>0</v>
      </c>
      <c r="N47" s="79">
        <f t="shared" si="51"/>
        <v>0</v>
      </c>
      <c r="O47" s="79"/>
      <c r="P47" s="79">
        <v>0</v>
      </c>
      <c r="Q47" s="79"/>
      <c r="R47" s="81"/>
      <c r="S47" s="79">
        <f t="shared" si="53"/>
        <v>0</v>
      </c>
      <c r="T47" s="79"/>
      <c r="U47" s="79">
        <f t="shared" si="57"/>
        <v>0</v>
      </c>
      <c r="V47" s="79">
        <v>0</v>
      </c>
      <c r="W47" s="82">
        <v>0</v>
      </c>
      <c r="X47" s="79">
        <f t="shared" si="54"/>
        <v>0</v>
      </c>
      <c r="Y47" s="83"/>
      <c r="Z47" s="83"/>
      <c r="AA47" s="84">
        <f t="shared" si="55"/>
        <v>0</v>
      </c>
      <c r="AB47" s="84">
        <f t="shared" si="56"/>
        <v>83</v>
      </c>
      <c r="AC47" s="64"/>
      <c r="AD47" s="85"/>
      <c r="AE47" s="85" t="s">
        <v>367</v>
      </c>
      <c r="AF47" s="89"/>
    </row>
    <row r="48" spans="1:32" x14ac:dyDescent="0.25">
      <c r="A48" s="75">
        <v>45594</v>
      </c>
      <c r="B48" s="77" t="s">
        <v>445</v>
      </c>
      <c r="C48" s="77"/>
      <c r="D48" s="77" t="s">
        <v>437</v>
      </c>
      <c r="E48" s="77" t="s">
        <v>438</v>
      </c>
      <c r="F48" s="78" t="str">
        <f t="shared" ref="F48:F53" si="62">"S/F "&amp;B48&amp;" "&amp;E48</f>
        <v>S/F VJ00000014929870 RENFE VIAJEROS SME</v>
      </c>
      <c r="G48" s="79">
        <v>75.45</v>
      </c>
      <c r="H48" s="80">
        <v>10</v>
      </c>
      <c r="I48" s="79">
        <v>7.55</v>
      </c>
      <c r="J48" s="81"/>
      <c r="K48" s="79">
        <v>0</v>
      </c>
      <c r="L48" s="79">
        <v>0</v>
      </c>
      <c r="M48" s="80">
        <v>0</v>
      </c>
      <c r="N48" s="79">
        <f t="shared" ref="N48:N53" si="63">+IF(L48&lt;&gt;0,L48*M48/100,0)</f>
        <v>0</v>
      </c>
      <c r="O48" s="79"/>
      <c r="P48" s="79">
        <v>0</v>
      </c>
      <c r="Q48" s="79"/>
      <c r="R48" s="81"/>
      <c r="S48" s="79">
        <f t="shared" ref="S48:S53" si="64">+IF(Q48&lt;&gt;0,Q48*R48/100,0)</f>
        <v>0</v>
      </c>
      <c r="T48" s="79"/>
      <c r="U48" s="79">
        <f t="shared" ref="U48:U53" si="65">+IF(Q48&lt;&gt;0,Q48*T48/100,0)</f>
        <v>0</v>
      </c>
      <c r="V48" s="79">
        <v>0</v>
      </c>
      <c r="W48" s="82">
        <v>0</v>
      </c>
      <c r="X48" s="79">
        <f t="shared" ref="X48:X53" si="66">+IF(W48&lt;&gt;0,V48*W48/100,0)</f>
        <v>0</v>
      </c>
      <c r="Y48" s="83"/>
      <c r="Z48" s="83"/>
      <c r="AA48" s="84">
        <f t="shared" ref="AA48:AA53" si="67">+IF(Z48&lt;&gt;0,Y48*Z48/100,0)</f>
        <v>0</v>
      </c>
      <c r="AB48" s="84">
        <f t="shared" ref="AB48:AB53" si="68">+G48+I48+K48+L48+N48+P48+Q48+S48+U48-X48-AA48</f>
        <v>83</v>
      </c>
      <c r="AC48" s="64"/>
      <c r="AD48" s="85"/>
      <c r="AE48" s="85" t="s">
        <v>367</v>
      </c>
      <c r="AF48" s="89"/>
    </row>
    <row r="49" spans="1:32" x14ac:dyDescent="0.25">
      <c r="A49" s="75">
        <v>45594</v>
      </c>
      <c r="B49" s="77" t="s">
        <v>446</v>
      </c>
      <c r="C49" s="77"/>
      <c r="D49" s="77" t="s">
        <v>437</v>
      </c>
      <c r="E49" s="77" t="s">
        <v>438</v>
      </c>
      <c r="F49" s="78" t="str">
        <f t="shared" si="62"/>
        <v>S/F VJ00000014929881 RENFE VIAJEROS SME</v>
      </c>
      <c r="G49" s="79">
        <v>43.5</v>
      </c>
      <c r="H49" s="80">
        <v>10</v>
      </c>
      <c r="I49" s="92">
        <f t="shared" ref="I49:I56" si="69">+IF(G49&lt;&gt;0,G49*H49/100,0)</f>
        <v>4.3499999999999996</v>
      </c>
      <c r="J49" s="81"/>
      <c r="K49" s="79">
        <v>0</v>
      </c>
      <c r="L49" s="79">
        <v>0</v>
      </c>
      <c r="M49" s="80">
        <v>0</v>
      </c>
      <c r="N49" s="79">
        <f t="shared" si="63"/>
        <v>0</v>
      </c>
      <c r="O49" s="79"/>
      <c r="P49" s="79">
        <v>0</v>
      </c>
      <c r="Q49" s="79"/>
      <c r="R49" s="81"/>
      <c r="S49" s="79">
        <f t="shared" si="64"/>
        <v>0</v>
      </c>
      <c r="T49" s="79"/>
      <c r="U49" s="79">
        <f t="shared" si="65"/>
        <v>0</v>
      </c>
      <c r="V49" s="79">
        <v>0</v>
      </c>
      <c r="W49" s="82">
        <v>0</v>
      </c>
      <c r="X49" s="79">
        <f t="shared" si="66"/>
        <v>0</v>
      </c>
      <c r="Y49" s="83"/>
      <c r="Z49" s="83"/>
      <c r="AA49" s="84">
        <f t="shared" si="67"/>
        <v>0</v>
      </c>
      <c r="AB49" s="84">
        <f t="shared" si="68"/>
        <v>47.85</v>
      </c>
      <c r="AC49" s="64"/>
      <c r="AD49" s="85"/>
      <c r="AE49" s="85" t="s">
        <v>367</v>
      </c>
      <c r="AF49" s="89"/>
    </row>
    <row r="50" spans="1:32" x14ac:dyDescent="0.25">
      <c r="A50" s="75">
        <v>45594</v>
      </c>
      <c r="B50" s="77" t="s">
        <v>447</v>
      </c>
      <c r="C50" s="77"/>
      <c r="D50" s="77" t="s">
        <v>437</v>
      </c>
      <c r="E50" s="77" t="s">
        <v>438</v>
      </c>
      <c r="F50" s="78" t="str">
        <f t="shared" si="62"/>
        <v>S/F VJ00000014929980 RENFE VIAJEROS SME</v>
      </c>
      <c r="G50" s="79">
        <v>35.729999999999997</v>
      </c>
      <c r="H50" s="80">
        <v>10</v>
      </c>
      <c r="I50" s="92">
        <f t="shared" si="69"/>
        <v>3.5729999999999995</v>
      </c>
      <c r="J50" s="81"/>
      <c r="K50" s="79">
        <v>0</v>
      </c>
      <c r="L50" s="79">
        <v>0</v>
      </c>
      <c r="M50" s="80">
        <v>0</v>
      </c>
      <c r="N50" s="79">
        <f t="shared" si="63"/>
        <v>0</v>
      </c>
      <c r="O50" s="79"/>
      <c r="P50" s="79">
        <v>0</v>
      </c>
      <c r="Q50" s="79"/>
      <c r="R50" s="81"/>
      <c r="S50" s="79">
        <f t="shared" si="64"/>
        <v>0</v>
      </c>
      <c r="T50" s="79"/>
      <c r="U50" s="79">
        <f t="shared" si="65"/>
        <v>0</v>
      </c>
      <c r="V50" s="79">
        <v>0</v>
      </c>
      <c r="W50" s="82">
        <v>0</v>
      </c>
      <c r="X50" s="79">
        <f t="shared" si="66"/>
        <v>0</v>
      </c>
      <c r="Y50" s="83"/>
      <c r="Z50" s="83"/>
      <c r="AA50" s="84">
        <f t="shared" si="67"/>
        <v>0</v>
      </c>
      <c r="AB50" s="84">
        <f t="shared" si="68"/>
        <v>39.302999999999997</v>
      </c>
      <c r="AC50" s="64"/>
      <c r="AD50" s="85"/>
      <c r="AE50" s="85" t="s">
        <v>367</v>
      </c>
      <c r="AF50" s="89"/>
    </row>
    <row r="51" spans="1:32" x14ac:dyDescent="0.25">
      <c r="A51" s="75">
        <v>45594</v>
      </c>
      <c r="B51" s="77" t="s">
        <v>448</v>
      </c>
      <c r="C51" s="77"/>
      <c r="D51" s="77" t="s">
        <v>437</v>
      </c>
      <c r="E51" s="77" t="s">
        <v>438</v>
      </c>
      <c r="F51" s="78" t="str">
        <f t="shared" si="62"/>
        <v>S/F VJ00000014929981 RENFE VIAJEROS SME</v>
      </c>
      <c r="G51" s="79">
        <v>35.729999999999997</v>
      </c>
      <c r="H51" s="80">
        <v>10</v>
      </c>
      <c r="I51" s="92">
        <f t="shared" si="69"/>
        <v>3.5729999999999995</v>
      </c>
      <c r="J51" s="81"/>
      <c r="K51" s="79">
        <v>0</v>
      </c>
      <c r="L51" s="79">
        <v>0</v>
      </c>
      <c r="M51" s="80">
        <v>0</v>
      </c>
      <c r="N51" s="79">
        <f t="shared" si="63"/>
        <v>0</v>
      </c>
      <c r="O51" s="79"/>
      <c r="P51" s="79">
        <v>0</v>
      </c>
      <c r="Q51" s="79"/>
      <c r="R51" s="81"/>
      <c r="S51" s="79">
        <f t="shared" si="64"/>
        <v>0</v>
      </c>
      <c r="T51" s="79"/>
      <c r="U51" s="79">
        <f t="shared" si="65"/>
        <v>0</v>
      </c>
      <c r="V51" s="79">
        <v>0</v>
      </c>
      <c r="W51" s="82">
        <v>0</v>
      </c>
      <c r="X51" s="79">
        <f t="shared" si="66"/>
        <v>0</v>
      </c>
      <c r="Y51" s="83"/>
      <c r="Z51" s="83"/>
      <c r="AA51" s="84">
        <f t="shared" si="67"/>
        <v>0</v>
      </c>
      <c r="AB51" s="84">
        <f t="shared" si="68"/>
        <v>39.302999999999997</v>
      </c>
      <c r="AC51" s="64"/>
      <c r="AD51" s="85"/>
      <c r="AE51" s="85" t="s">
        <v>367</v>
      </c>
      <c r="AF51" s="89"/>
    </row>
    <row r="52" spans="1:32" x14ac:dyDescent="0.25">
      <c r="A52" s="75">
        <v>45594</v>
      </c>
      <c r="B52" s="77" t="s">
        <v>449</v>
      </c>
      <c r="C52" s="77"/>
      <c r="D52" s="77" t="s">
        <v>437</v>
      </c>
      <c r="E52" s="77" t="s">
        <v>438</v>
      </c>
      <c r="F52" s="78" t="str">
        <f t="shared" si="62"/>
        <v>S/F VJ00000014930056 RENFE VIAJEROS SME</v>
      </c>
      <c r="G52" s="79">
        <v>43.5</v>
      </c>
      <c r="H52" s="80">
        <v>10</v>
      </c>
      <c r="I52" s="92">
        <f t="shared" si="69"/>
        <v>4.3499999999999996</v>
      </c>
      <c r="J52" s="81"/>
      <c r="K52" s="79">
        <v>0</v>
      </c>
      <c r="L52" s="79">
        <v>0</v>
      </c>
      <c r="M52" s="80">
        <v>0</v>
      </c>
      <c r="N52" s="79">
        <f t="shared" si="63"/>
        <v>0</v>
      </c>
      <c r="O52" s="79"/>
      <c r="P52" s="79">
        <v>0</v>
      </c>
      <c r="Q52" s="79"/>
      <c r="R52" s="81"/>
      <c r="S52" s="79">
        <f t="shared" si="64"/>
        <v>0</v>
      </c>
      <c r="T52" s="79"/>
      <c r="U52" s="79">
        <f t="shared" si="65"/>
        <v>0</v>
      </c>
      <c r="V52" s="79">
        <v>0</v>
      </c>
      <c r="W52" s="82">
        <v>0</v>
      </c>
      <c r="X52" s="79">
        <f t="shared" si="66"/>
        <v>0</v>
      </c>
      <c r="Y52" s="83"/>
      <c r="Z52" s="83"/>
      <c r="AA52" s="84">
        <f t="shared" si="67"/>
        <v>0</v>
      </c>
      <c r="AB52" s="84">
        <f t="shared" si="68"/>
        <v>47.85</v>
      </c>
      <c r="AC52" s="64"/>
      <c r="AD52" s="85"/>
      <c r="AE52" s="85" t="s">
        <v>367</v>
      </c>
      <c r="AF52" s="89"/>
    </row>
    <row r="53" spans="1:32" x14ac:dyDescent="0.25">
      <c r="A53" s="75">
        <v>45566</v>
      </c>
      <c r="B53" s="77" t="s">
        <v>480</v>
      </c>
      <c r="C53" s="77"/>
      <c r="D53" s="77" t="s">
        <v>543</v>
      </c>
      <c r="E53" s="77" t="s">
        <v>411</v>
      </c>
      <c r="F53" s="78" t="str">
        <f t="shared" si="62"/>
        <v>S/F 8823 HOTEL HURRICANE, S.L.</v>
      </c>
      <c r="G53" s="79">
        <v>242.51</v>
      </c>
      <c r="H53" s="80">
        <v>10</v>
      </c>
      <c r="I53" s="92">
        <f t="shared" si="69"/>
        <v>24.250999999999998</v>
      </c>
      <c r="J53" s="81"/>
      <c r="K53" s="79">
        <v>0</v>
      </c>
      <c r="L53" s="79">
        <v>0</v>
      </c>
      <c r="M53" s="80">
        <v>0</v>
      </c>
      <c r="N53" s="79">
        <f t="shared" si="63"/>
        <v>0</v>
      </c>
      <c r="O53" s="79"/>
      <c r="P53" s="79">
        <v>0</v>
      </c>
      <c r="Q53" s="79"/>
      <c r="R53" s="81"/>
      <c r="S53" s="79">
        <f t="shared" si="64"/>
        <v>0</v>
      </c>
      <c r="T53" s="79"/>
      <c r="U53" s="79">
        <f t="shared" si="65"/>
        <v>0</v>
      </c>
      <c r="V53" s="79">
        <v>0</v>
      </c>
      <c r="W53" s="82">
        <v>0</v>
      </c>
      <c r="X53" s="79">
        <f t="shared" si="66"/>
        <v>0</v>
      </c>
      <c r="Y53" s="83"/>
      <c r="Z53" s="83"/>
      <c r="AA53" s="84">
        <f t="shared" si="67"/>
        <v>0</v>
      </c>
      <c r="AB53" s="84">
        <f t="shared" si="68"/>
        <v>266.76099999999997</v>
      </c>
      <c r="AC53" s="64"/>
      <c r="AD53" s="85"/>
      <c r="AE53" s="85" t="s">
        <v>367</v>
      </c>
      <c r="AF53" s="89"/>
    </row>
    <row r="54" spans="1:32" x14ac:dyDescent="0.25">
      <c r="A54" s="75">
        <v>45569</v>
      </c>
      <c r="B54" s="76" t="s">
        <v>365</v>
      </c>
      <c r="C54" s="77"/>
      <c r="D54" s="77"/>
      <c r="E54" s="77" t="s">
        <v>366</v>
      </c>
      <c r="F54" s="78" t="str">
        <f t="shared" si="61"/>
        <v>S/F NO TENGO AUN LA FACTURA CRUISELINE</v>
      </c>
      <c r="G54" s="91">
        <v>3300</v>
      </c>
      <c r="H54" s="80">
        <v>0</v>
      </c>
      <c r="I54" s="92">
        <f t="shared" si="69"/>
        <v>0</v>
      </c>
      <c r="J54" s="81"/>
      <c r="K54" s="79">
        <v>0</v>
      </c>
      <c r="L54" s="79">
        <v>0</v>
      </c>
      <c r="M54" s="80">
        <v>0</v>
      </c>
      <c r="N54" s="79">
        <f t="shared" si="51"/>
        <v>0</v>
      </c>
      <c r="O54" s="79"/>
      <c r="P54" s="79">
        <v>0</v>
      </c>
      <c r="Q54" s="79"/>
      <c r="R54" s="81"/>
      <c r="S54" s="79">
        <f t="shared" si="53"/>
        <v>0</v>
      </c>
      <c r="T54" s="79"/>
      <c r="U54" s="79">
        <f t="shared" si="57"/>
        <v>0</v>
      </c>
      <c r="V54" s="79">
        <v>0</v>
      </c>
      <c r="W54" s="82">
        <v>0</v>
      </c>
      <c r="X54" s="79">
        <f t="shared" si="54"/>
        <v>0</v>
      </c>
      <c r="Y54" s="83"/>
      <c r="Z54" s="83"/>
      <c r="AA54" s="84">
        <f t="shared" si="55"/>
        <v>0</v>
      </c>
      <c r="AB54" s="84">
        <f t="shared" si="56"/>
        <v>3300</v>
      </c>
      <c r="AC54" s="64"/>
      <c r="AD54" s="85"/>
      <c r="AE54" s="85" t="s">
        <v>367</v>
      </c>
      <c r="AF54" s="89"/>
    </row>
    <row r="55" spans="1:32" x14ac:dyDescent="0.25">
      <c r="A55" s="75">
        <v>45595</v>
      </c>
      <c r="B55" s="77" t="s">
        <v>486</v>
      </c>
      <c r="C55" s="77"/>
      <c r="D55" s="77" t="s">
        <v>412</v>
      </c>
      <c r="E55" s="77" t="s">
        <v>418</v>
      </c>
      <c r="F55" s="78" t="str">
        <f t="shared" si="61"/>
        <v>S/F 83124FE000029051 MARKOIL,S.A.</v>
      </c>
      <c r="G55" s="79">
        <v>33.4</v>
      </c>
      <c r="H55" s="80">
        <v>21</v>
      </c>
      <c r="I55" s="92">
        <f t="shared" ref="I55" si="70">+IF(G55&lt;&gt;0,G55*H55/100,0)</f>
        <v>7.0139999999999993</v>
      </c>
      <c r="J55" s="81"/>
      <c r="K55" s="79">
        <v>0</v>
      </c>
      <c r="L55" s="79">
        <v>0</v>
      </c>
      <c r="M55" s="80">
        <v>0</v>
      </c>
      <c r="N55" s="79">
        <f t="shared" si="51"/>
        <v>0</v>
      </c>
      <c r="O55" s="79"/>
      <c r="P55" s="79">
        <v>0</v>
      </c>
      <c r="Q55" s="79"/>
      <c r="R55" s="81"/>
      <c r="S55" s="79">
        <f t="shared" si="53"/>
        <v>0</v>
      </c>
      <c r="T55" s="79"/>
      <c r="U55" s="79">
        <f t="shared" si="57"/>
        <v>0</v>
      </c>
      <c r="V55" s="79">
        <v>0</v>
      </c>
      <c r="W55" s="82">
        <v>0</v>
      </c>
      <c r="X55" s="79">
        <f t="shared" si="54"/>
        <v>0</v>
      </c>
      <c r="Y55" s="83"/>
      <c r="Z55" s="83"/>
      <c r="AA55" s="84">
        <f t="shared" si="55"/>
        <v>0</v>
      </c>
      <c r="AB55" s="84">
        <f t="shared" si="56"/>
        <v>40.414000000000001</v>
      </c>
      <c r="AC55" s="64"/>
      <c r="AD55" s="85"/>
      <c r="AE55" s="85" t="s">
        <v>367</v>
      </c>
      <c r="AF55" s="89"/>
    </row>
    <row r="56" spans="1:32" x14ac:dyDescent="0.25">
      <c r="A56" s="75">
        <v>45596</v>
      </c>
      <c r="B56" s="77" t="s">
        <v>481</v>
      </c>
      <c r="C56" s="77"/>
      <c r="D56" s="77"/>
      <c r="E56" s="77" t="s">
        <v>450</v>
      </c>
      <c r="F56" s="78" t="str">
        <f t="shared" si="61"/>
        <v>S/F 106802-24 DGT MULTA</v>
      </c>
      <c r="G56" s="79">
        <v>50</v>
      </c>
      <c r="H56" s="80">
        <v>0</v>
      </c>
      <c r="I56" s="55">
        <f t="shared" si="69"/>
        <v>0</v>
      </c>
      <c r="J56" s="81"/>
      <c r="K56" s="79">
        <v>0</v>
      </c>
      <c r="L56" s="79">
        <v>0</v>
      </c>
      <c r="M56" s="80">
        <v>0</v>
      </c>
      <c r="N56" s="79">
        <f t="shared" si="51"/>
        <v>0</v>
      </c>
      <c r="O56" s="79"/>
      <c r="P56" s="79">
        <v>0</v>
      </c>
      <c r="Q56" s="79"/>
      <c r="R56" s="81"/>
      <c r="S56" s="79">
        <f t="shared" si="53"/>
        <v>0</v>
      </c>
      <c r="T56" s="79"/>
      <c r="U56" s="79">
        <f t="shared" si="57"/>
        <v>0</v>
      </c>
      <c r="V56" s="79">
        <v>0</v>
      </c>
      <c r="W56" s="82">
        <v>0</v>
      </c>
      <c r="X56" s="79">
        <f t="shared" si="54"/>
        <v>0</v>
      </c>
      <c r="Y56" s="83"/>
      <c r="Z56" s="83"/>
      <c r="AA56" s="84">
        <f t="shared" si="55"/>
        <v>0</v>
      </c>
      <c r="AB56" s="84">
        <f t="shared" si="56"/>
        <v>50</v>
      </c>
      <c r="AC56" s="64"/>
      <c r="AD56" s="90">
        <f>SUM(AB35:AB56)</f>
        <v>5126.6540999999988</v>
      </c>
      <c r="AE56" s="85" t="s">
        <v>413</v>
      </c>
      <c r="AF56" s="89"/>
    </row>
    <row r="57" spans="1:32" x14ac:dyDescent="0.25">
      <c r="A57" s="39">
        <v>45600</v>
      </c>
      <c r="B57" s="41" t="s">
        <v>422</v>
      </c>
      <c r="D57" s="41" t="s">
        <v>423</v>
      </c>
      <c r="E57" s="41" t="s">
        <v>424</v>
      </c>
      <c r="F57" s="45" t="str">
        <f t="shared" si="0"/>
        <v>S/F 258/2024 BLIZT, S.R.L</v>
      </c>
      <c r="G57" s="47">
        <v>2345.6999999999998</v>
      </c>
      <c r="H57" s="56">
        <v>0</v>
      </c>
      <c r="I57" s="55">
        <f t="shared" ref="I57:I76" si="71">+IF(G57&lt;&gt;0,G57*H57/100,0)</f>
        <v>0</v>
      </c>
      <c r="J57" s="57"/>
      <c r="K57" s="55">
        <f t="shared" ref="K57:K76" si="72">+IF(G57&lt;&gt;0,G57*J57/100,0)</f>
        <v>0</v>
      </c>
      <c r="L57" s="55">
        <v>0</v>
      </c>
      <c r="M57" s="56">
        <v>0</v>
      </c>
      <c r="N57" s="55">
        <f t="shared" ref="N57:N76" si="73">+IF(L57&lt;&gt;0,L57*M57/100,0)</f>
        <v>0</v>
      </c>
      <c r="O57" s="55"/>
      <c r="P57" s="55">
        <f t="shared" ref="P57:P76" si="74">+IF(L57&lt;&gt;0,L57*O57/100,0)</f>
        <v>0</v>
      </c>
      <c r="Q57" s="55">
        <v>0</v>
      </c>
      <c r="R57" s="56">
        <v>0</v>
      </c>
      <c r="S57" s="55">
        <f t="shared" ref="S57:S76" si="75">+IF(Q57&lt;&gt;0,Q57*R57/100,0)</f>
        <v>0</v>
      </c>
      <c r="T57" s="55"/>
      <c r="U57" s="55">
        <f t="shared" ref="U57:U76" si="76">+IF(Q57&lt;&gt;0,Q57*T57/100,0)</f>
        <v>0</v>
      </c>
      <c r="V57" s="55">
        <v>0</v>
      </c>
      <c r="W57" s="58">
        <v>0</v>
      </c>
      <c r="X57" s="55">
        <f t="shared" ref="X57:X76" si="77">+IF(W57&lt;&gt;0,V57*W57/100,0)</f>
        <v>0</v>
      </c>
      <c r="Y57" s="59"/>
      <c r="Z57" s="59"/>
      <c r="AA57" s="60">
        <f t="shared" ref="AA57:AA76" si="78">+IF(Z57&lt;&gt;0,Y57*Z57/100,0)</f>
        <v>0</v>
      </c>
      <c r="AB57" s="40">
        <f t="shared" ref="AB57:AB76" si="79">+G57+I57+K57+L57+N57+P57+Q57+S57+U57-X57-AA57</f>
        <v>2345.6999999999998</v>
      </c>
      <c r="AC57" s="67"/>
    </row>
    <row r="58" spans="1:32" x14ac:dyDescent="0.25">
      <c r="A58" s="39">
        <v>45596</v>
      </c>
      <c r="B58" s="41" t="s">
        <v>425</v>
      </c>
      <c r="D58" s="41" t="s">
        <v>376</v>
      </c>
      <c r="E58" s="41" t="s">
        <v>377</v>
      </c>
      <c r="F58" s="45" t="str">
        <f t="shared" si="0"/>
        <v>S/F 389 ISRAEL LLAVERO PEREZ</v>
      </c>
      <c r="G58" s="47">
        <v>947.51</v>
      </c>
      <c r="H58" s="56">
        <v>21</v>
      </c>
      <c r="I58" s="55">
        <f t="shared" si="71"/>
        <v>198.97709999999998</v>
      </c>
      <c r="J58" s="57"/>
      <c r="K58" s="55">
        <f t="shared" si="72"/>
        <v>0</v>
      </c>
      <c r="L58" s="55">
        <v>0</v>
      </c>
      <c r="M58" s="56">
        <v>0</v>
      </c>
      <c r="N58" s="55">
        <f t="shared" si="73"/>
        <v>0</v>
      </c>
      <c r="O58" s="55"/>
      <c r="P58" s="55">
        <f t="shared" si="74"/>
        <v>0</v>
      </c>
      <c r="Q58" s="55">
        <v>0</v>
      </c>
      <c r="R58" s="56">
        <v>0</v>
      </c>
      <c r="S58" s="55">
        <f t="shared" si="75"/>
        <v>0</v>
      </c>
      <c r="T58" s="55"/>
      <c r="U58" s="55">
        <f t="shared" si="76"/>
        <v>0</v>
      </c>
      <c r="V58" s="55">
        <v>0</v>
      </c>
      <c r="W58" s="58">
        <v>0</v>
      </c>
      <c r="X58" s="55">
        <f t="shared" si="77"/>
        <v>0</v>
      </c>
      <c r="Y58" s="59"/>
      <c r="Z58" s="59"/>
      <c r="AA58" s="60">
        <f t="shared" si="78"/>
        <v>0</v>
      </c>
      <c r="AB58" s="40">
        <f t="shared" si="79"/>
        <v>1146.4871000000001</v>
      </c>
      <c r="AC58" s="67"/>
    </row>
    <row r="59" spans="1:32" x14ac:dyDescent="0.25">
      <c r="A59" s="39">
        <v>45600</v>
      </c>
      <c r="B59" s="41" t="s">
        <v>426</v>
      </c>
      <c r="D59" s="41" t="s">
        <v>427</v>
      </c>
      <c r="E59" s="41" t="s">
        <v>428</v>
      </c>
      <c r="F59" s="45" t="str">
        <f t="shared" si="0"/>
        <v>S/F 56/2024 CASA MASTRO DI IVAN MASTRO , SNC</v>
      </c>
      <c r="G59" s="47">
        <v>5460</v>
      </c>
      <c r="H59" s="56">
        <v>0</v>
      </c>
      <c r="I59" s="55">
        <f t="shared" si="71"/>
        <v>0</v>
      </c>
      <c r="J59" s="57"/>
      <c r="K59" s="55">
        <f t="shared" si="72"/>
        <v>0</v>
      </c>
      <c r="L59" s="55">
        <v>0</v>
      </c>
      <c r="M59" s="56">
        <v>0</v>
      </c>
      <c r="N59" s="55">
        <f t="shared" si="73"/>
        <v>0</v>
      </c>
      <c r="O59" s="55"/>
      <c r="P59" s="55">
        <f t="shared" si="74"/>
        <v>0</v>
      </c>
      <c r="Q59" s="55">
        <v>0</v>
      </c>
      <c r="R59" s="56">
        <v>0</v>
      </c>
      <c r="S59" s="55">
        <f t="shared" si="75"/>
        <v>0</v>
      </c>
      <c r="T59" s="55"/>
      <c r="U59" s="55">
        <f t="shared" si="76"/>
        <v>0</v>
      </c>
      <c r="V59" s="55">
        <v>0</v>
      </c>
      <c r="W59" s="58">
        <v>0</v>
      </c>
      <c r="X59" s="55">
        <f t="shared" si="77"/>
        <v>0</v>
      </c>
      <c r="Y59" s="59"/>
      <c r="Z59" s="59"/>
      <c r="AA59" s="60">
        <f t="shared" si="78"/>
        <v>0</v>
      </c>
      <c r="AB59" s="40">
        <f t="shared" si="79"/>
        <v>5460</v>
      </c>
      <c r="AC59" s="67"/>
    </row>
    <row r="60" spans="1:32" x14ac:dyDescent="0.25">
      <c r="A60" s="39">
        <v>45596</v>
      </c>
      <c r="B60" s="41" t="s">
        <v>451</v>
      </c>
      <c r="D60" s="41" t="s">
        <v>452</v>
      </c>
      <c r="E60" s="41" t="s">
        <v>453</v>
      </c>
      <c r="F60" s="45" t="str">
        <f t="shared" si="0"/>
        <v>S/F ES0000027330656-1024 BIP¬DRIVE, E.D.E., S.A.</v>
      </c>
      <c r="G60" s="55">
        <v>99.99</v>
      </c>
      <c r="H60" s="56">
        <v>21</v>
      </c>
      <c r="I60" s="55">
        <f t="shared" si="71"/>
        <v>20.997900000000001</v>
      </c>
      <c r="J60" s="57"/>
      <c r="K60" s="55">
        <f t="shared" si="72"/>
        <v>0</v>
      </c>
      <c r="L60" s="55">
        <v>0</v>
      </c>
      <c r="M60" s="56">
        <v>0</v>
      </c>
      <c r="N60" s="55">
        <f t="shared" si="73"/>
        <v>0</v>
      </c>
      <c r="O60" s="55"/>
      <c r="P60" s="55">
        <f t="shared" si="74"/>
        <v>0</v>
      </c>
      <c r="Q60" s="55">
        <v>0</v>
      </c>
      <c r="R60" s="56">
        <v>0</v>
      </c>
      <c r="S60" s="55">
        <f t="shared" si="75"/>
        <v>0</v>
      </c>
      <c r="T60" s="55"/>
      <c r="U60" s="55">
        <f t="shared" si="76"/>
        <v>0</v>
      </c>
      <c r="V60" s="55">
        <v>0</v>
      </c>
      <c r="W60" s="58">
        <v>0</v>
      </c>
      <c r="X60" s="55">
        <f t="shared" si="77"/>
        <v>0</v>
      </c>
      <c r="Y60" s="59"/>
      <c r="Z60" s="59"/>
      <c r="AA60" s="60">
        <f t="shared" si="78"/>
        <v>0</v>
      </c>
      <c r="AB60" s="40">
        <f t="shared" si="79"/>
        <v>120.9879</v>
      </c>
      <c r="AC60" s="67"/>
    </row>
    <row r="61" spans="1:32" x14ac:dyDescent="0.25">
      <c r="A61" s="39">
        <v>45596</v>
      </c>
      <c r="B61" s="41" t="s">
        <v>454</v>
      </c>
      <c r="D61" s="41" t="s">
        <v>455</v>
      </c>
      <c r="E61" s="41" t="s">
        <v>371</v>
      </c>
      <c r="F61" s="45" t="str">
        <f t="shared" si="0"/>
        <v>S/F 2024000962 COURIER CONSULTING, S.L.</v>
      </c>
      <c r="G61" s="55">
        <v>119.47</v>
      </c>
      <c r="H61" s="56">
        <v>21</v>
      </c>
      <c r="I61" s="55">
        <f t="shared" si="71"/>
        <v>25.088699999999999</v>
      </c>
      <c r="J61" s="57"/>
      <c r="K61" s="55">
        <f t="shared" si="72"/>
        <v>0</v>
      </c>
      <c r="L61" s="55">
        <v>0</v>
      </c>
      <c r="M61" s="56">
        <v>0</v>
      </c>
      <c r="N61" s="55">
        <f t="shared" si="73"/>
        <v>0</v>
      </c>
      <c r="O61" s="55"/>
      <c r="P61" s="55">
        <f t="shared" si="74"/>
        <v>0</v>
      </c>
      <c r="Q61" s="55">
        <v>0</v>
      </c>
      <c r="R61" s="56">
        <v>0</v>
      </c>
      <c r="S61" s="55">
        <f t="shared" si="75"/>
        <v>0</v>
      </c>
      <c r="T61" s="55"/>
      <c r="U61" s="55">
        <f t="shared" si="76"/>
        <v>0</v>
      </c>
      <c r="V61" s="55">
        <v>0</v>
      </c>
      <c r="W61" s="58">
        <v>0</v>
      </c>
      <c r="X61" s="55">
        <f t="shared" si="77"/>
        <v>0</v>
      </c>
      <c r="Y61" s="59"/>
      <c r="Z61" s="59"/>
      <c r="AA61" s="60">
        <f t="shared" si="78"/>
        <v>0</v>
      </c>
      <c r="AB61" s="40">
        <f t="shared" si="79"/>
        <v>144.55869999999999</v>
      </c>
      <c r="AC61" s="67"/>
    </row>
    <row r="62" spans="1:32" x14ac:dyDescent="0.25">
      <c r="A62" s="39">
        <v>45596</v>
      </c>
      <c r="B62" s="41" t="s">
        <v>456</v>
      </c>
      <c r="D62" s="41" t="s">
        <v>380</v>
      </c>
      <c r="E62" s="41" t="s">
        <v>398</v>
      </c>
      <c r="F62" s="45" t="str">
        <f t="shared" si="0"/>
        <v>S/F F244174 CONTAMAR ASESORES DE EMPRESA, S.L.</v>
      </c>
      <c r="G62" s="55">
        <v>79.099999999999994</v>
      </c>
      <c r="H62" s="56">
        <v>21</v>
      </c>
      <c r="I62" s="55">
        <f t="shared" si="71"/>
        <v>16.611000000000001</v>
      </c>
      <c r="J62" s="57"/>
      <c r="K62" s="55">
        <f t="shared" si="72"/>
        <v>0</v>
      </c>
      <c r="L62" s="55">
        <v>0</v>
      </c>
      <c r="M62" s="56">
        <v>0</v>
      </c>
      <c r="N62" s="55">
        <f t="shared" si="73"/>
        <v>0</v>
      </c>
      <c r="O62" s="55"/>
      <c r="P62" s="55">
        <f t="shared" si="74"/>
        <v>0</v>
      </c>
      <c r="Q62" s="55">
        <v>0</v>
      </c>
      <c r="R62" s="56">
        <v>0</v>
      </c>
      <c r="S62" s="55">
        <f t="shared" si="75"/>
        <v>0</v>
      </c>
      <c r="T62" s="55"/>
      <c r="U62" s="55">
        <f t="shared" si="76"/>
        <v>0</v>
      </c>
      <c r="V62" s="55">
        <v>0</v>
      </c>
      <c r="W62" s="58">
        <v>0</v>
      </c>
      <c r="X62" s="55">
        <f t="shared" si="77"/>
        <v>0</v>
      </c>
      <c r="Y62" s="59"/>
      <c r="Z62" s="59"/>
      <c r="AA62" s="60">
        <f t="shared" si="78"/>
        <v>0</v>
      </c>
      <c r="AB62" s="40">
        <f t="shared" si="79"/>
        <v>95.710999999999999</v>
      </c>
      <c r="AC62" s="67"/>
    </row>
    <row r="63" spans="1:32" x14ac:dyDescent="0.25">
      <c r="A63" s="39">
        <v>45591</v>
      </c>
      <c r="B63" s="41" t="s">
        <v>457</v>
      </c>
      <c r="D63" s="41" t="s">
        <v>458</v>
      </c>
      <c r="E63" s="41" t="s">
        <v>381</v>
      </c>
      <c r="F63" s="45" t="str">
        <f t="shared" si="0"/>
        <v>S/F FRA. A2024/39 JESUS MARTINEZ TOBARRA - 2 INFO</v>
      </c>
      <c r="G63" s="55">
        <v>125.62</v>
      </c>
      <c r="H63" s="56">
        <v>21</v>
      </c>
      <c r="I63" s="55">
        <f t="shared" si="71"/>
        <v>26.380199999999999</v>
      </c>
      <c r="J63" s="57"/>
      <c r="K63" s="55">
        <f t="shared" si="72"/>
        <v>0</v>
      </c>
      <c r="L63" s="55">
        <v>0</v>
      </c>
      <c r="M63" s="56">
        <v>0</v>
      </c>
      <c r="N63" s="55">
        <f t="shared" si="73"/>
        <v>0</v>
      </c>
      <c r="O63" s="55"/>
      <c r="P63" s="55">
        <f t="shared" si="74"/>
        <v>0</v>
      </c>
      <c r="Q63" s="55">
        <v>0</v>
      </c>
      <c r="R63" s="56">
        <v>0</v>
      </c>
      <c r="S63" s="55">
        <f t="shared" si="75"/>
        <v>0</v>
      </c>
      <c r="T63" s="55"/>
      <c r="U63" s="55">
        <f t="shared" si="76"/>
        <v>0</v>
      </c>
      <c r="V63" s="55">
        <v>0</v>
      </c>
      <c r="W63" s="58">
        <v>0</v>
      </c>
      <c r="X63" s="55">
        <f t="shared" si="77"/>
        <v>0</v>
      </c>
      <c r="Y63" s="59"/>
      <c r="Z63" s="59"/>
      <c r="AA63" s="60">
        <f t="shared" si="78"/>
        <v>0</v>
      </c>
      <c r="AB63" s="40">
        <f t="shared" si="79"/>
        <v>152.00020000000001</v>
      </c>
      <c r="AC63" s="67"/>
    </row>
    <row r="64" spans="1:32" x14ac:dyDescent="0.25">
      <c r="A64" s="39">
        <v>45602</v>
      </c>
      <c r="B64" s="41" t="s">
        <v>459</v>
      </c>
      <c r="D64" s="41" t="s">
        <v>383</v>
      </c>
      <c r="E64" s="41" t="s">
        <v>384</v>
      </c>
      <c r="F64" s="45" t="str">
        <f t="shared" si="0"/>
        <v>S/F 24/1448 BACO BELLAS ARTES,S.L.</v>
      </c>
      <c r="G64" s="55">
        <v>145.22999999999999</v>
      </c>
      <c r="H64" s="56">
        <v>21</v>
      </c>
      <c r="I64" s="55">
        <f t="shared" si="71"/>
        <v>30.4983</v>
      </c>
      <c r="J64" s="57"/>
      <c r="K64" s="55">
        <f t="shared" si="72"/>
        <v>0</v>
      </c>
      <c r="L64" s="55">
        <v>0</v>
      </c>
      <c r="M64" s="56">
        <v>0</v>
      </c>
      <c r="N64" s="55">
        <f t="shared" si="73"/>
        <v>0</v>
      </c>
      <c r="O64" s="55"/>
      <c r="P64" s="55">
        <f t="shared" si="74"/>
        <v>0</v>
      </c>
      <c r="Q64" s="55">
        <v>0</v>
      </c>
      <c r="R64" s="56">
        <v>0</v>
      </c>
      <c r="S64" s="55">
        <f t="shared" si="75"/>
        <v>0</v>
      </c>
      <c r="T64" s="55"/>
      <c r="U64" s="55">
        <f t="shared" si="76"/>
        <v>0</v>
      </c>
      <c r="V64" s="55">
        <v>0</v>
      </c>
      <c r="W64" s="58">
        <v>0</v>
      </c>
      <c r="X64" s="55">
        <f t="shared" si="77"/>
        <v>0</v>
      </c>
      <c r="Y64" s="59"/>
      <c r="Z64" s="59"/>
      <c r="AA64" s="60">
        <f t="shared" si="78"/>
        <v>0</v>
      </c>
      <c r="AB64" s="40">
        <f t="shared" si="79"/>
        <v>175.72829999999999</v>
      </c>
      <c r="AC64" s="67"/>
    </row>
    <row r="65" spans="1:32" x14ac:dyDescent="0.25">
      <c r="A65" s="39">
        <v>45601</v>
      </c>
      <c r="B65" s="41" t="s">
        <v>460</v>
      </c>
      <c r="D65" s="41" t="s">
        <v>461</v>
      </c>
      <c r="E65" s="41" t="s">
        <v>462</v>
      </c>
      <c r="F65" s="45" t="str">
        <f t="shared" si="0"/>
        <v>S/F 20240747 INTEX, S.L.</v>
      </c>
      <c r="G65" s="55">
        <v>213.44</v>
      </c>
      <c r="H65" s="56">
        <v>21</v>
      </c>
      <c r="I65" s="55">
        <f t="shared" si="71"/>
        <v>44.822399999999995</v>
      </c>
      <c r="J65" s="57"/>
      <c r="K65" s="55">
        <f t="shared" si="72"/>
        <v>0</v>
      </c>
      <c r="L65" s="55">
        <v>0</v>
      </c>
      <c r="M65" s="56">
        <v>0</v>
      </c>
      <c r="N65" s="55">
        <f t="shared" si="73"/>
        <v>0</v>
      </c>
      <c r="O65" s="55"/>
      <c r="P65" s="55">
        <f t="shared" si="74"/>
        <v>0</v>
      </c>
      <c r="Q65" s="55">
        <v>0</v>
      </c>
      <c r="R65" s="56">
        <v>0</v>
      </c>
      <c r="S65" s="55">
        <f t="shared" si="75"/>
        <v>0</v>
      </c>
      <c r="T65" s="55"/>
      <c r="U65" s="55">
        <f t="shared" si="76"/>
        <v>0</v>
      </c>
      <c r="V65" s="55">
        <v>0</v>
      </c>
      <c r="W65" s="58">
        <v>0</v>
      </c>
      <c r="X65" s="55">
        <f t="shared" si="77"/>
        <v>0</v>
      </c>
      <c r="Y65" s="59"/>
      <c r="Z65" s="59"/>
      <c r="AA65" s="60">
        <f t="shared" si="78"/>
        <v>0</v>
      </c>
      <c r="AB65" s="40">
        <f t="shared" si="79"/>
        <v>258.26240000000001</v>
      </c>
      <c r="AC65" s="67"/>
    </row>
    <row r="66" spans="1:32" x14ac:dyDescent="0.25">
      <c r="A66" s="39">
        <v>45601</v>
      </c>
      <c r="B66" s="41" t="s">
        <v>463</v>
      </c>
      <c r="D66" s="41" t="s">
        <v>461</v>
      </c>
      <c r="E66" s="41" t="s">
        <v>462</v>
      </c>
      <c r="F66" s="45" t="str">
        <f t="shared" si="0"/>
        <v>S/F 20240748 INTEX, S.L.</v>
      </c>
      <c r="G66" s="55">
        <v>344.99</v>
      </c>
      <c r="H66" s="56">
        <v>21</v>
      </c>
      <c r="I66" s="55">
        <f t="shared" si="71"/>
        <v>72.447900000000004</v>
      </c>
      <c r="J66" s="57"/>
      <c r="K66" s="55">
        <f t="shared" si="72"/>
        <v>0</v>
      </c>
      <c r="L66" s="55">
        <v>0</v>
      </c>
      <c r="M66" s="56">
        <v>0</v>
      </c>
      <c r="N66" s="55">
        <f t="shared" si="73"/>
        <v>0</v>
      </c>
      <c r="O66" s="55"/>
      <c r="P66" s="55">
        <f t="shared" si="74"/>
        <v>0</v>
      </c>
      <c r="Q66" s="55">
        <v>0</v>
      </c>
      <c r="R66" s="56">
        <v>0</v>
      </c>
      <c r="S66" s="55">
        <f t="shared" si="75"/>
        <v>0</v>
      </c>
      <c r="T66" s="55"/>
      <c r="U66" s="55">
        <f t="shared" si="76"/>
        <v>0</v>
      </c>
      <c r="V66" s="55">
        <v>0</v>
      </c>
      <c r="W66" s="58">
        <v>0</v>
      </c>
      <c r="X66" s="55">
        <f t="shared" si="77"/>
        <v>0</v>
      </c>
      <c r="Y66" s="59"/>
      <c r="Z66" s="59"/>
      <c r="AA66" s="60">
        <f t="shared" si="78"/>
        <v>0</v>
      </c>
      <c r="AB66" s="40">
        <f t="shared" si="79"/>
        <v>417.43790000000001</v>
      </c>
      <c r="AC66" s="67"/>
    </row>
    <row r="67" spans="1:32" x14ac:dyDescent="0.25">
      <c r="A67" s="39">
        <v>45603</v>
      </c>
      <c r="B67" s="41" t="s">
        <v>464</v>
      </c>
      <c r="D67" s="41" t="s">
        <v>465</v>
      </c>
      <c r="E67" s="54" t="s">
        <v>466</v>
      </c>
      <c r="F67" s="45" t="str">
        <f t="shared" si="0"/>
        <v>S/F 45 ADAMA SECK- EL COSTURERO DE MARBELLA</v>
      </c>
      <c r="G67" s="55">
        <v>105.78</v>
      </c>
      <c r="H67" s="56">
        <v>21</v>
      </c>
      <c r="I67" s="55">
        <v>22.22</v>
      </c>
      <c r="J67" s="57"/>
      <c r="K67" s="55">
        <f t="shared" si="72"/>
        <v>0</v>
      </c>
      <c r="L67" s="55">
        <v>0</v>
      </c>
      <c r="M67" s="56">
        <v>0</v>
      </c>
      <c r="N67" s="55">
        <f t="shared" si="73"/>
        <v>0</v>
      </c>
      <c r="O67" s="55"/>
      <c r="P67" s="55">
        <f t="shared" si="74"/>
        <v>0</v>
      </c>
      <c r="Q67" s="55">
        <v>0</v>
      </c>
      <c r="R67" s="56">
        <v>0</v>
      </c>
      <c r="S67" s="55">
        <f t="shared" si="75"/>
        <v>0</v>
      </c>
      <c r="T67" s="55"/>
      <c r="U67" s="55">
        <f t="shared" si="76"/>
        <v>0</v>
      </c>
      <c r="V67" s="55">
        <v>0</v>
      </c>
      <c r="W67" s="58">
        <v>0</v>
      </c>
      <c r="X67" s="55">
        <f t="shared" si="77"/>
        <v>0</v>
      </c>
      <c r="Y67" s="59"/>
      <c r="Z67" s="59"/>
      <c r="AA67" s="60">
        <f t="shared" si="78"/>
        <v>0</v>
      </c>
      <c r="AB67" s="40">
        <f t="shared" si="79"/>
        <v>128</v>
      </c>
      <c r="AC67" s="67"/>
    </row>
    <row r="68" spans="1:32" x14ac:dyDescent="0.25">
      <c r="A68" s="39">
        <v>45610</v>
      </c>
      <c r="B68" s="41" t="s">
        <v>467</v>
      </c>
      <c r="D68" s="41" t="s">
        <v>102</v>
      </c>
      <c r="E68" s="41" t="s">
        <v>364</v>
      </c>
      <c r="F68" s="45" t="str">
        <f t="shared" si="0"/>
        <v>S/F 004561/A/24/009434 REPSOL COMERCIAL DE PRODUCTOS PETROLIFEROS, S.A.</v>
      </c>
      <c r="G68" s="55">
        <v>41.34</v>
      </c>
      <c r="H68" s="56">
        <v>21</v>
      </c>
      <c r="I68" s="55">
        <f t="shared" si="71"/>
        <v>8.6814000000000018</v>
      </c>
      <c r="J68" s="57"/>
      <c r="K68" s="55">
        <f t="shared" si="72"/>
        <v>0</v>
      </c>
      <c r="L68" s="55">
        <v>0</v>
      </c>
      <c r="M68" s="56">
        <v>0</v>
      </c>
      <c r="N68" s="55">
        <f t="shared" si="73"/>
        <v>0</v>
      </c>
      <c r="O68" s="55"/>
      <c r="P68" s="55">
        <f t="shared" si="74"/>
        <v>0</v>
      </c>
      <c r="Q68" s="55">
        <v>0</v>
      </c>
      <c r="R68" s="56">
        <v>0</v>
      </c>
      <c r="S68" s="55">
        <f t="shared" si="75"/>
        <v>0</v>
      </c>
      <c r="T68" s="55"/>
      <c r="U68" s="55">
        <f t="shared" si="76"/>
        <v>0</v>
      </c>
      <c r="V68" s="55">
        <v>0</v>
      </c>
      <c r="W68" s="58">
        <v>0</v>
      </c>
      <c r="X68" s="55">
        <f t="shared" si="77"/>
        <v>0</v>
      </c>
      <c r="Y68" s="59"/>
      <c r="Z68" s="59"/>
      <c r="AA68" s="60">
        <f t="shared" si="78"/>
        <v>0</v>
      </c>
      <c r="AB68" s="40">
        <f t="shared" si="79"/>
        <v>50.021400000000007</v>
      </c>
      <c r="AC68" s="67"/>
    </row>
    <row r="69" spans="1:32" x14ac:dyDescent="0.25">
      <c r="A69" s="39">
        <v>45612</v>
      </c>
      <c r="B69" s="41" t="s">
        <v>468</v>
      </c>
      <c r="D69" s="41" t="s">
        <v>469</v>
      </c>
      <c r="E69" s="41" t="s">
        <v>470</v>
      </c>
      <c r="F69" s="45" t="str">
        <f t="shared" si="0"/>
        <v>S/F 2024003766 ASIA HOME MODA, S.L.</v>
      </c>
      <c r="G69" s="55">
        <v>52.4</v>
      </c>
      <c r="H69" s="56">
        <v>21</v>
      </c>
      <c r="I69" s="55">
        <f t="shared" si="71"/>
        <v>11.003999999999998</v>
      </c>
      <c r="J69" s="57"/>
      <c r="K69" s="55">
        <f t="shared" si="72"/>
        <v>0</v>
      </c>
      <c r="L69" s="55">
        <v>0</v>
      </c>
      <c r="M69" s="56">
        <v>0</v>
      </c>
      <c r="N69" s="55">
        <f t="shared" si="73"/>
        <v>0</v>
      </c>
      <c r="O69" s="55"/>
      <c r="P69" s="55">
        <f t="shared" si="74"/>
        <v>0</v>
      </c>
      <c r="Q69" s="55">
        <v>0</v>
      </c>
      <c r="R69" s="56">
        <v>0</v>
      </c>
      <c r="S69" s="55">
        <f t="shared" si="75"/>
        <v>0</v>
      </c>
      <c r="T69" s="55"/>
      <c r="U69" s="55">
        <f t="shared" si="76"/>
        <v>0</v>
      </c>
      <c r="V69" s="55">
        <v>0</v>
      </c>
      <c r="W69" s="58">
        <v>0</v>
      </c>
      <c r="X69" s="55">
        <f t="shared" si="77"/>
        <v>0</v>
      </c>
      <c r="Y69" s="59"/>
      <c r="Z69" s="59"/>
      <c r="AA69" s="60">
        <f t="shared" si="78"/>
        <v>0</v>
      </c>
      <c r="AB69" s="40">
        <f t="shared" si="79"/>
        <v>63.403999999999996</v>
      </c>
      <c r="AC69" s="67"/>
    </row>
    <row r="70" spans="1:32" x14ac:dyDescent="0.25">
      <c r="A70" s="39">
        <v>45562</v>
      </c>
      <c r="B70" s="41" t="s">
        <v>475</v>
      </c>
      <c r="D70" s="54" t="s">
        <v>471</v>
      </c>
      <c r="E70" s="54" t="s">
        <v>472</v>
      </c>
      <c r="F70" s="45" t="str">
        <f t="shared" si="0"/>
        <v>S/F 260974 HIDRALIA GESTION INTEGRAL DE AGUAS DE ANDALUCIA</v>
      </c>
      <c r="G70" s="55">
        <v>17.88</v>
      </c>
      <c r="H70" s="56">
        <v>10</v>
      </c>
      <c r="I70" s="55">
        <f t="shared" si="71"/>
        <v>1.7879999999999998</v>
      </c>
      <c r="J70" s="57"/>
      <c r="K70" s="55">
        <f t="shared" si="72"/>
        <v>0</v>
      </c>
      <c r="L70" s="55">
        <v>2.4</v>
      </c>
      <c r="M70" s="56">
        <v>0</v>
      </c>
      <c r="N70" s="55">
        <f t="shared" si="73"/>
        <v>0</v>
      </c>
      <c r="O70" s="55"/>
      <c r="P70" s="55">
        <f t="shared" si="74"/>
        <v>0</v>
      </c>
      <c r="Q70" s="55">
        <v>0</v>
      </c>
      <c r="R70" s="56">
        <v>0</v>
      </c>
      <c r="S70" s="55">
        <f t="shared" si="75"/>
        <v>0</v>
      </c>
      <c r="T70" s="55"/>
      <c r="U70" s="55">
        <f t="shared" si="76"/>
        <v>0</v>
      </c>
      <c r="V70" s="55">
        <v>0</v>
      </c>
      <c r="W70" s="58">
        <v>0</v>
      </c>
      <c r="X70" s="55">
        <f t="shared" si="77"/>
        <v>0</v>
      </c>
      <c r="Y70" s="59"/>
      <c r="Z70" s="59"/>
      <c r="AA70" s="60">
        <f t="shared" si="78"/>
        <v>0</v>
      </c>
      <c r="AB70" s="40">
        <f t="shared" si="79"/>
        <v>22.067999999999998</v>
      </c>
      <c r="AC70" s="67"/>
    </row>
    <row r="71" spans="1:32" x14ac:dyDescent="0.25">
      <c r="A71" s="39">
        <v>45562</v>
      </c>
      <c r="B71" s="41" t="s">
        <v>476</v>
      </c>
      <c r="D71" s="54" t="s">
        <v>473</v>
      </c>
      <c r="E71" s="54" t="s">
        <v>474</v>
      </c>
      <c r="F71" s="45" t="str">
        <f t="shared" si="0"/>
        <v>S/F 258090 ACOSOL</v>
      </c>
      <c r="G71" s="55">
        <v>5.92</v>
      </c>
      <c r="H71" s="56">
        <v>10</v>
      </c>
      <c r="I71" s="55">
        <f t="shared" si="71"/>
        <v>0.59200000000000008</v>
      </c>
      <c r="J71" s="57"/>
      <c r="K71" s="55">
        <f t="shared" si="72"/>
        <v>0</v>
      </c>
      <c r="L71" s="55">
        <v>0</v>
      </c>
      <c r="M71" s="56">
        <v>0</v>
      </c>
      <c r="N71" s="55">
        <f t="shared" si="73"/>
        <v>0</v>
      </c>
      <c r="O71" s="55"/>
      <c r="P71" s="55">
        <f t="shared" si="74"/>
        <v>0</v>
      </c>
      <c r="Q71" s="55">
        <v>0</v>
      </c>
      <c r="R71" s="56">
        <v>0</v>
      </c>
      <c r="S71" s="55">
        <f t="shared" si="75"/>
        <v>0</v>
      </c>
      <c r="T71" s="55"/>
      <c r="U71" s="55">
        <f t="shared" si="76"/>
        <v>0</v>
      </c>
      <c r="V71" s="55">
        <v>0</v>
      </c>
      <c r="W71" s="58">
        <v>0</v>
      </c>
      <c r="X71" s="55">
        <f t="shared" si="77"/>
        <v>0</v>
      </c>
      <c r="Y71" s="59"/>
      <c r="Z71" s="59"/>
      <c r="AA71" s="60">
        <f t="shared" si="78"/>
        <v>0</v>
      </c>
      <c r="AB71" s="40">
        <f t="shared" si="79"/>
        <v>6.5120000000000005</v>
      </c>
      <c r="AC71" s="67"/>
    </row>
    <row r="72" spans="1:32" x14ac:dyDescent="0.25">
      <c r="A72" s="39">
        <v>45601</v>
      </c>
      <c r="B72" s="41" t="s">
        <v>477</v>
      </c>
      <c r="D72" s="41" t="s">
        <v>478</v>
      </c>
      <c r="E72" s="41" t="s">
        <v>479</v>
      </c>
      <c r="F72" s="45" t="str">
        <f t="shared" si="0"/>
        <v>S/F 169 LUISA POSITANO S.r.I.</v>
      </c>
      <c r="G72" s="55">
        <v>4415</v>
      </c>
      <c r="H72" s="56">
        <v>0</v>
      </c>
      <c r="I72" s="55">
        <f t="shared" si="71"/>
        <v>0</v>
      </c>
      <c r="J72" s="57"/>
      <c r="K72" s="55">
        <f t="shared" si="72"/>
        <v>0</v>
      </c>
      <c r="L72" s="55">
        <v>0</v>
      </c>
      <c r="M72" s="56">
        <v>0</v>
      </c>
      <c r="N72" s="55">
        <f t="shared" si="73"/>
        <v>0</v>
      </c>
      <c r="O72" s="55"/>
      <c r="P72" s="55">
        <f t="shared" si="74"/>
        <v>0</v>
      </c>
      <c r="Q72" s="55">
        <v>0</v>
      </c>
      <c r="R72" s="56">
        <v>0</v>
      </c>
      <c r="S72" s="55">
        <f t="shared" si="75"/>
        <v>0</v>
      </c>
      <c r="T72" s="55"/>
      <c r="U72" s="55">
        <f t="shared" si="76"/>
        <v>0</v>
      </c>
      <c r="V72" s="55">
        <v>0</v>
      </c>
      <c r="W72" s="58">
        <v>0</v>
      </c>
      <c r="X72" s="55">
        <f t="shared" si="77"/>
        <v>0</v>
      </c>
      <c r="Y72" s="59"/>
      <c r="Z72" s="59"/>
      <c r="AA72" s="60">
        <f t="shared" si="78"/>
        <v>0</v>
      </c>
      <c r="AB72" s="40">
        <f t="shared" si="79"/>
        <v>4415</v>
      </c>
      <c r="AC72" s="67"/>
    </row>
    <row r="73" spans="1:32" x14ac:dyDescent="0.25">
      <c r="A73" s="39">
        <v>45615</v>
      </c>
      <c r="B73" s="41" t="s">
        <v>487</v>
      </c>
      <c r="D73" s="41" t="s">
        <v>488</v>
      </c>
      <c r="E73" s="41" t="s">
        <v>489</v>
      </c>
      <c r="F73" s="45" t="str">
        <f t="shared" si="0"/>
        <v>S/F 2024021768 LA CHINA BAZAR, S.L.</v>
      </c>
      <c r="G73" s="55">
        <v>10.66</v>
      </c>
      <c r="H73" s="56">
        <v>21</v>
      </c>
      <c r="I73" s="55">
        <f t="shared" si="71"/>
        <v>2.2385999999999999</v>
      </c>
      <c r="J73" s="57"/>
      <c r="K73" s="55">
        <f t="shared" si="72"/>
        <v>0</v>
      </c>
      <c r="L73" s="55">
        <v>0</v>
      </c>
      <c r="M73" s="56">
        <v>0</v>
      </c>
      <c r="N73" s="55">
        <f t="shared" si="73"/>
        <v>0</v>
      </c>
      <c r="O73" s="55"/>
      <c r="P73" s="55">
        <f t="shared" si="74"/>
        <v>0</v>
      </c>
      <c r="Q73" s="55">
        <v>0</v>
      </c>
      <c r="R73" s="56">
        <v>0</v>
      </c>
      <c r="S73" s="55">
        <f t="shared" si="75"/>
        <v>0</v>
      </c>
      <c r="T73" s="55"/>
      <c r="U73" s="55">
        <f t="shared" si="76"/>
        <v>0</v>
      </c>
      <c r="V73" s="55">
        <v>0</v>
      </c>
      <c r="W73" s="58">
        <v>0</v>
      </c>
      <c r="X73" s="55">
        <f t="shared" si="77"/>
        <v>0</v>
      </c>
      <c r="Y73" s="59"/>
      <c r="Z73" s="59"/>
      <c r="AA73" s="60">
        <f t="shared" si="78"/>
        <v>0</v>
      </c>
      <c r="AB73" s="40">
        <f t="shared" si="79"/>
        <v>12.8986</v>
      </c>
      <c r="AC73" s="67"/>
    </row>
    <row r="74" spans="1:32" x14ac:dyDescent="0.25">
      <c r="A74" s="39">
        <v>45615</v>
      </c>
      <c r="B74" s="41" t="s">
        <v>490</v>
      </c>
      <c r="D74" s="41" t="s">
        <v>491</v>
      </c>
      <c r="E74" s="41" t="s">
        <v>492</v>
      </c>
      <c r="F74" s="45" t="str">
        <f t="shared" si="0"/>
        <v>S/F 22401857 MARCIL MADRID, S.A.</v>
      </c>
      <c r="G74" s="55">
        <v>656.22</v>
      </c>
      <c r="H74" s="56">
        <v>10</v>
      </c>
      <c r="I74" s="55">
        <f t="shared" si="71"/>
        <v>65.622000000000014</v>
      </c>
      <c r="J74" s="57"/>
      <c r="K74" s="55">
        <f t="shared" si="72"/>
        <v>0</v>
      </c>
      <c r="L74" s="55">
        <v>668.8</v>
      </c>
      <c r="M74" s="56">
        <v>21</v>
      </c>
      <c r="N74" s="55">
        <f t="shared" si="73"/>
        <v>140.44799999999998</v>
      </c>
      <c r="O74" s="55"/>
      <c r="P74" s="55">
        <f t="shared" si="74"/>
        <v>0</v>
      </c>
      <c r="Q74" s="55">
        <v>0</v>
      </c>
      <c r="R74" s="56">
        <v>0</v>
      </c>
      <c r="S74" s="55">
        <f t="shared" si="75"/>
        <v>0</v>
      </c>
      <c r="T74" s="55"/>
      <c r="U74" s="55">
        <f t="shared" si="76"/>
        <v>0</v>
      </c>
      <c r="V74" s="55">
        <v>0</v>
      </c>
      <c r="W74" s="58">
        <v>0</v>
      </c>
      <c r="X74" s="55">
        <f t="shared" si="77"/>
        <v>0</v>
      </c>
      <c r="Y74" s="59"/>
      <c r="Z74" s="59"/>
      <c r="AA74" s="60">
        <f t="shared" si="78"/>
        <v>0</v>
      </c>
      <c r="AB74" s="40">
        <f t="shared" si="79"/>
        <v>1531.0900000000001</v>
      </c>
      <c r="AC74" s="67"/>
    </row>
    <row r="75" spans="1:32" x14ac:dyDescent="0.25">
      <c r="A75" s="39">
        <v>45615</v>
      </c>
      <c r="B75" s="41" t="s">
        <v>493</v>
      </c>
      <c r="D75" s="41" t="s">
        <v>383</v>
      </c>
      <c r="E75" s="41" t="s">
        <v>384</v>
      </c>
      <c r="F75" s="45" t="str">
        <f t="shared" si="0"/>
        <v>S/F 24/1478 BACO BELLAS ARTES,S.L.</v>
      </c>
      <c r="G75" s="55">
        <v>249.02</v>
      </c>
      <c r="H75" s="56">
        <v>21</v>
      </c>
      <c r="I75" s="55">
        <f t="shared" si="71"/>
        <v>52.294200000000004</v>
      </c>
      <c r="J75" s="57"/>
      <c r="K75" s="55">
        <f t="shared" si="72"/>
        <v>0</v>
      </c>
      <c r="L75" s="55">
        <v>0</v>
      </c>
      <c r="M75" s="56">
        <v>0</v>
      </c>
      <c r="N75" s="55">
        <f t="shared" si="73"/>
        <v>0</v>
      </c>
      <c r="O75" s="55"/>
      <c r="P75" s="55">
        <f t="shared" si="74"/>
        <v>0</v>
      </c>
      <c r="Q75" s="55">
        <v>0</v>
      </c>
      <c r="R75" s="56">
        <v>0</v>
      </c>
      <c r="S75" s="55">
        <f t="shared" si="75"/>
        <v>0</v>
      </c>
      <c r="T75" s="55"/>
      <c r="U75" s="55">
        <f t="shared" si="76"/>
        <v>0</v>
      </c>
      <c r="V75" s="55">
        <v>0</v>
      </c>
      <c r="W75" s="58">
        <v>0</v>
      </c>
      <c r="X75" s="55">
        <f t="shared" si="77"/>
        <v>0</v>
      </c>
      <c r="Y75" s="59"/>
      <c r="Z75" s="59"/>
      <c r="AA75" s="60">
        <f t="shared" si="78"/>
        <v>0</v>
      </c>
      <c r="AB75" s="40">
        <f t="shared" si="79"/>
        <v>301.31420000000003</v>
      </c>
      <c r="AC75" s="67"/>
    </row>
    <row r="76" spans="1:32" x14ac:dyDescent="0.25">
      <c r="A76" s="39">
        <v>45609</v>
      </c>
      <c r="B76" s="41" t="s">
        <v>494</v>
      </c>
      <c r="D76" s="54" t="s">
        <v>211</v>
      </c>
      <c r="E76" s="54" t="s">
        <v>344</v>
      </c>
      <c r="F76" s="45" t="str">
        <f t="shared" ref="F76" si="80">"S/F "&amp;B76&amp;" "&amp;E76</f>
        <v>S/F ta7DC0022433 TELEFONICA DE ESPAÑA</v>
      </c>
      <c r="G76" s="55">
        <v>82.48</v>
      </c>
      <c r="H76" s="56">
        <v>21</v>
      </c>
      <c r="I76" s="55">
        <f t="shared" si="71"/>
        <v>17.320800000000002</v>
      </c>
      <c r="J76" s="57"/>
      <c r="K76" s="55">
        <f t="shared" si="72"/>
        <v>0</v>
      </c>
      <c r="L76" s="55">
        <v>0</v>
      </c>
      <c r="M76" s="56">
        <v>0</v>
      </c>
      <c r="N76" s="55">
        <f t="shared" si="73"/>
        <v>0</v>
      </c>
      <c r="O76" s="55"/>
      <c r="P76" s="55">
        <f t="shared" si="74"/>
        <v>0</v>
      </c>
      <c r="Q76" s="55">
        <v>0</v>
      </c>
      <c r="R76" s="56">
        <v>0</v>
      </c>
      <c r="S76" s="55">
        <f t="shared" si="75"/>
        <v>0</v>
      </c>
      <c r="T76" s="55"/>
      <c r="U76" s="55">
        <f t="shared" si="76"/>
        <v>0</v>
      </c>
      <c r="V76" s="55">
        <v>0</v>
      </c>
      <c r="W76" s="58">
        <v>0</v>
      </c>
      <c r="X76" s="55">
        <f t="shared" si="77"/>
        <v>0</v>
      </c>
      <c r="Y76" s="59"/>
      <c r="Z76" s="59"/>
      <c r="AA76" s="60">
        <f t="shared" si="78"/>
        <v>0</v>
      </c>
      <c r="AB76" s="40">
        <f t="shared" si="79"/>
        <v>99.80080000000001</v>
      </c>
      <c r="AC76" s="67"/>
    </row>
    <row r="77" spans="1:32" x14ac:dyDescent="0.25">
      <c r="A77" s="39">
        <v>45625</v>
      </c>
      <c r="B77" s="41" t="s">
        <v>495</v>
      </c>
      <c r="D77" s="41" t="s">
        <v>380</v>
      </c>
      <c r="E77" s="41" t="s">
        <v>398</v>
      </c>
      <c r="F77" s="45" t="str">
        <f t="shared" ref="F77:F140" si="81">"S/F "&amp;B77&amp;" "&amp;E77</f>
        <v>S/F F244387 CONTAMAR ASESORES DE EMPRESA, S.L.</v>
      </c>
      <c r="G77" s="55">
        <v>280.56</v>
      </c>
      <c r="H77" s="56">
        <v>21</v>
      </c>
      <c r="I77" s="55">
        <f t="shared" ref="I77:I88" si="82">+IF(G77&lt;&gt;0,G77*H77/100,0)</f>
        <v>58.9176</v>
      </c>
      <c r="J77" s="57"/>
      <c r="K77" s="55">
        <f t="shared" ref="K77:K88" si="83">+IF(G77&lt;&gt;0,G77*J77/100,0)</f>
        <v>0</v>
      </c>
      <c r="L77" s="55">
        <v>0</v>
      </c>
      <c r="M77" s="56">
        <v>0</v>
      </c>
      <c r="N77" s="55">
        <f t="shared" ref="N77:N88" si="84">+IF(L77&lt;&gt;0,L77*M77/100,0)</f>
        <v>0</v>
      </c>
      <c r="O77" s="55"/>
      <c r="P77" s="55">
        <f t="shared" ref="P77:P88" si="85">+IF(L77&lt;&gt;0,L77*O77/100,0)</f>
        <v>0</v>
      </c>
      <c r="Q77" s="55">
        <v>0</v>
      </c>
      <c r="R77" s="56">
        <v>0</v>
      </c>
      <c r="S77" s="55">
        <f t="shared" ref="S77:S88" si="86">+IF(Q77&lt;&gt;0,Q77*R77/100,0)</f>
        <v>0</v>
      </c>
      <c r="T77" s="55"/>
      <c r="U77" s="55">
        <f t="shared" ref="U77:U88" si="87">+IF(Q77&lt;&gt;0,Q77*T77/100,0)</f>
        <v>0</v>
      </c>
      <c r="V77" s="55">
        <v>0</v>
      </c>
      <c r="W77" s="58">
        <v>0</v>
      </c>
      <c r="X77" s="55">
        <f t="shared" ref="X77:X88" si="88">+IF(W77&lt;&gt;0,V77*W77/100,0)</f>
        <v>0</v>
      </c>
      <c r="AA77" s="40">
        <f t="shared" ref="AA77:AA88" si="89">+IF(Z77&lt;&gt;0,Y77*Z77/100,0)</f>
        <v>0</v>
      </c>
      <c r="AB77" s="40">
        <f t="shared" ref="AB77:AB88" si="90">+G77+I77+K77+L77+N77+P77+Q77+S77+U77-X77-AA77</f>
        <v>339.4776</v>
      </c>
      <c r="AC77" s="67"/>
    </row>
    <row r="78" spans="1:32" x14ac:dyDescent="0.25">
      <c r="A78" s="39">
        <v>45618</v>
      </c>
      <c r="B78" s="41" t="s">
        <v>496</v>
      </c>
      <c r="D78" s="54" t="s">
        <v>389</v>
      </c>
      <c r="E78" s="54" t="s">
        <v>390</v>
      </c>
      <c r="F78" s="45" t="str">
        <f t="shared" si="81"/>
        <v>S/F 2240617567 QUIRON PREVENCION, S.L.</v>
      </c>
      <c r="G78" s="55">
        <v>82.13</v>
      </c>
      <c r="H78" s="56">
        <v>21</v>
      </c>
      <c r="I78" s="55">
        <f t="shared" si="82"/>
        <v>17.247299999999999</v>
      </c>
      <c r="J78" s="57"/>
      <c r="K78" s="55">
        <f t="shared" si="83"/>
        <v>0</v>
      </c>
      <c r="L78" s="55">
        <v>29.83</v>
      </c>
      <c r="M78" s="56">
        <v>0</v>
      </c>
      <c r="N78" s="55">
        <f t="shared" si="84"/>
        <v>0</v>
      </c>
      <c r="O78" s="55"/>
      <c r="P78" s="55">
        <f t="shared" si="85"/>
        <v>0</v>
      </c>
      <c r="Q78" s="55">
        <v>0</v>
      </c>
      <c r="R78" s="56">
        <v>0</v>
      </c>
      <c r="S78" s="55">
        <f t="shared" si="86"/>
        <v>0</v>
      </c>
      <c r="T78" s="55"/>
      <c r="U78" s="55">
        <f t="shared" si="87"/>
        <v>0</v>
      </c>
      <c r="V78" s="55">
        <v>0</v>
      </c>
      <c r="W78" s="58">
        <v>0</v>
      </c>
      <c r="X78" s="55">
        <f t="shared" si="88"/>
        <v>0</v>
      </c>
      <c r="AA78" s="40">
        <f t="shared" si="89"/>
        <v>0</v>
      </c>
      <c r="AB78" s="40">
        <f t="shared" si="90"/>
        <v>129.20729999999998</v>
      </c>
      <c r="AC78" s="67"/>
    </row>
    <row r="79" spans="1:32" x14ac:dyDescent="0.25">
      <c r="A79" s="39">
        <v>45627</v>
      </c>
      <c r="B79" s="41" t="s">
        <v>497</v>
      </c>
      <c r="D79" s="54" t="s">
        <v>335</v>
      </c>
      <c r="E79" s="54" t="s">
        <v>336</v>
      </c>
      <c r="F79" s="45" t="str">
        <f t="shared" si="81"/>
        <v>S/F BR012024000500377859 SANITAS, S.A.</v>
      </c>
      <c r="G79" s="55">
        <v>297.22000000000003</v>
      </c>
      <c r="H79" s="56">
        <v>0</v>
      </c>
      <c r="I79" s="55">
        <f t="shared" si="82"/>
        <v>0</v>
      </c>
      <c r="J79" s="57"/>
      <c r="K79" s="55">
        <f t="shared" si="83"/>
        <v>0</v>
      </c>
      <c r="L79" s="55">
        <v>0</v>
      </c>
      <c r="M79" s="56">
        <v>0</v>
      </c>
      <c r="N79" s="55">
        <f t="shared" si="84"/>
        <v>0</v>
      </c>
      <c r="O79" s="55"/>
      <c r="P79" s="55">
        <f t="shared" si="85"/>
        <v>0</v>
      </c>
      <c r="Q79" s="55">
        <v>0</v>
      </c>
      <c r="R79" s="56">
        <v>0</v>
      </c>
      <c r="S79" s="55">
        <f t="shared" si="86"/>
        <v>0</v>
      </c>
      <c r="T79" s="55"/>
      <c r="U79" s="55">
        <f t="shared" si="87"/>
        <v>0</v>
      </c>
      <c r="V79" s="55">
        <v>0</v>
      </c>
      <c r="W79" s="58">
        <v>0</v>
      </c>
      <c r="X79" s="55">
        <f t="shared" si="88"/>
        <v>0</v>
      </c>
      <c r="AA79" s="40">
        <f t="shared" si="89"/>
        <v>0</v>
      </c>
      <c r="AB79" s="40">
        <f t="shared" si="90"/>
        <v>297.22000000000003</v>
      </c>
      <c r="AC79" s="67"/>
    </row>
    <row r="80" spans="1:32" x14ac:dyDescent="0.25">
      <c r="A80" s="93">
        <v>45596</v>
      </c>
      <c r="B80" s="94" t="s">
        <v>509</v>
      </c>
      <c r="C80" s="94"/>
      <c r="D80" s="94" t="s">
        <v>506</v>
      </c>
      <c r="E80" s="94" t="s">
        <v>507</v>
      </c>
      <c r="F80" s="95" t="str">
        <f>"S/F "&amp;B80&amp;" "&amp;E80</f>
        <v>S/F 2761 DANIEL LIMA TIRADO- FLORISTERIA LIMA</v>
      </c>
      <c r="G80" s="96">
        <v>20</v>
      </c>
      <c r="H80" s="97">
        <v>10</v>
      </c>
      <c r="I80" s="96">
        <f>+IF(G80&lt;&gt;0,G80*H80/100,0)</f>
        <v>2</v>
      </c>
      <c r="J80" s="98"/>
      <c r="K80" s="96">
        <v>0</v>
      </c>
      <c r="L80" s="96">
        <v>0</v>
      </c>
      <c r="M80" s="97">
        <v>0</v>
      </c>
      <c r="N80" s="96">
        <v>0</v>
      </c>
      <c r="O80" s="96"/>
      <c r="P80" s="96">
        <f>+IF(L80&lt;&gt;0,L80*O80/100,0)</f>
        <v>0</v>
      </c>
      <c r="Q80" s="96">
        <v>0</v>
      </c>
      <c r="R80" s="97">
        <v>0</v>
      </c>
      <c r="S80" s="96">
        <f>+IF(Q80&lt;&gt;0,Q80*R80/100,0)</f>
        <v>0</v>
      </c>
      <c r="T80" s="96"/>
      <c r="U80" s="96">
        <f>+IF(Q80&lt;&gt;0,Q80*T80/100,0)</f>
        <v>0</v>
      </c>
      <c r="V80" s="96">
        <v>0</v>
      </c>
      <c r="W80" s="99">
        <v>0</v>
      </c>
      <c r="X80" s="96">
        <f>+IF(W80&lt;&gt;0,V80*W80/100,0)</f>
        <v>0</v>
      </c>
      <c r="Y80" s="100"/>
      <c r="Z80" s="100"/>
      <c r="AA80" s="101">
        <f>+IF(Z80&lt;&gt;0,Y80*Z80/100,0)</f>
        <v>0</v>
      </c>
      <c r="AB80" s="101">
        <f>+G80+I80+K80+L80+N80+P80+Q80+S80+U80-X80-AA80</f>
        <v>22</v>
      </c>
      <c r="AC80" s="102"/>
      <c r="AD80" s="102"/>
      <c r="AE80" s="103" t="s">
        <v>508</v>
      </c>
      <c r="AF80" s="104"/>
    </row>
    <row r="81" spans="1:32" x14ac:dyDescent="0.25">
      <c r="A81" s="39">
        <v>45627</v>
      </c>
      <c r="B81" s="41" t="s">
        <v>510</v>
      </c>
      <c r="D81" s="54" t="s">
        <v>332</v>
      </c>
      <c r="E81" s="41" t="s">
        <v>333</v>
      </c>
      <c r="F81" s="45" t="str">
        <f t="shared" ref="F81:F83" si="91">"S/F "&amp;B81&amp;" "&amp;E81</f>
        <v>S/F 2412c00661388 SECURITAS DIRECT ESPAÑA, SAU.</v>
      </c>
      <c r="G81" s="55">
        <v>52.74</v>
      </c>
      <c r="H81" s="56">
        <v>21</v>
      </c>
      <c r="I81" s="55">
        <f t="shared" ref="I81:I83" si="92">+IF(G81&lt;&gt;0,G81*H81/100,0)</f>
        <v>11.0754</v>
      </c>
      <c r="J81" s="57"/>
      <c r="K81" s="55">
        <f t="shared" si="83"/>
        <v>0</v>
      </c>
      <c r="L81" s="55">
        <v>0</v>
      </c>
      <c r="M81" s="56">
        <v>0</v>
      </c>
      <c r="N81" s="55">
        <f t="shared" si="84"/>
        <v>0</v>
      </c>
      <c r="O81" s="55"/>
      <c r="P81" s="55">
        <f t="shared" si="85"/>
        <v>0</v>
      </c>
      <c r="Q81" s="55">
        <v>0</v>
      </c>
      <c r="R81" s="56">
        <v>0</v>
      </c>
      <c r="S81" s="55">
        <f t="shared" si="86"/>
        <v>0</v>
      </c>
      <c r="T81" s="55"/>
      <c r="U81" s="55">
        <f t="shared" si="87"/>
        <v>0</v>
      </c>
      <c r="V81" s="55">
        <v>0</v>
      </c>
      <c r="W81" s="58">
        <v>0</v>
      </c>
      <c r="X81" s="55">
        <f t="shared" si="88"/>
        <v>0</v>
      </c>
      <c r="AA81" s="40">
        <f t="shared" si="89"/>
        <v>0</v>
      </c>
      <c r="AB81" s="40">
        <f t="shared" si="90"/>
        <v>63.815400000000004</v>
      </c>
      <c r="AC81" s="64"/>
    </row>
    <row r="82" spans="1:32" x14ac:dyDescent="0.25">
      <c r="A82" s="39">
        <v>45629</v>
      </c>
      <c r="B82" s="54" t="s">
        <v>511</v>
      </c>
      <c r="C82" s="54"/>
      <c r="D82" s="54" t="s">
        <v>337</v>
      </c>
      <c r="E82" s="54" t="s">
        <v>338</v>
      </c>
      <c r="F82" s="45" t="str">
        <f t="shared" si="91"/>
        <v>S/F 12/24 NEREA NIETO ARAMBURU</v>
      </c>
      <c r="G82" s="55">
        <v>400</v>
      </c>
      <c r="H82" s="56">
        <v>21</v>
      </c>
      <c r="I82" s="55">
        <f t="shared" si="92"/>
        <v>84</v>
      </c>
      <c r="J82" s="57"/>
      <c r="K82" s="55">
        <f t="shared" si="83"/>
        <v>0</v>
      </c>
      <c r="L82" s="55">
        <v>0</v>
      </c>
      <c r="M82" s="56">
        <v>0</v>
      </c>
      <c r="N82" s="55">
        <f t="shared" si="84"/>
        <v>0</v>
      </c>
      <c r="O82" s="55"/>
      <c r="P82" s="55">
        <f t="shared" si="85"/>
        <v>0</v>
      </c>
      <c r="Q82" s="55">
        <v>0</v>
      </c>
      <c r="R82" s="56">
        <v>0</v>
      </c>
      <c r="S82" s="55">
        <f t="shared" si="86"/>
        <v>0</v>
      </c>
      <c r="T82" s="55"/>
      <c r="U82" s="55">
        <v>0</v>
      </c>
      <c r="V82" s="55">
        <v>400</v>
      </c>
      <c r="W82" s="58">
        <v>19</v>
      </c>
      <c r="X82" s="55">
        <f t="shared" si="88"/>
        <v>76</v>
      </c>
      <c r="AA82" s="40">
        <f t="shared" si="89"/>
        <v>0</v>
      </c>
      <c r="AB82" s="40">
        <f t="shared" si="90"/>
        <v>408</v>
      </c>
      <c r="AC82" s="67"/>
    </row>
    <row r="83" spans="1:32" x14ac:dyDescent="0.25">
      <c r="A83" s="116">
        <v>45629</v>
      </c>
      <c r="B83" s="109" t="s">
        <v>512</v>
      </c>
      <c r="C83" s="109"/>
      <c r="D83" s="109" t="s">
        <v>339</v>
      </c>
      <c r="E83" s="109" t="s">
        <v>340</v>
      </c>
      <c r="F83" s="117" t="str">
        <f t="shared" si="91"/>
        <v>S/F 36/24 MªDE LA VEGA ARAMBURU PLAZA</v>
      </c>
      <c r="G83" s="118">
        <v>350</v>
      </c>
      <c r="H83" s="119">
        <v>21</v>
      </c>
      <c r="I83" s="118">
        <f t="shared" si="92"/>
        <v>73.5</v>
      </c>
      <c r="J83" s="120"/>
      <c r="K83" s="118">
        <f t="shared" si="83"/>
        <v>0</v>
      </c>
      <c r="L83" s="118">
        <v>0</v>
      </c>
      <c r="M83" s="119">
        <v>0</v>
      </c>
      <c r="N83" s="118">
        <f t="shared" si="84"/>
        <v>0</v>
      </c>
      <c r="O83" s="118"/>
      <c r="P83" s="118">
        <f t="shared" si="85"/>
        <v>0</v>
      </c>
      <c r="Q83" s="118">
        <v>0</v>
      </c>
      <c r="R83" s="119">
        <v>0</v>
      </c>
      <c r="S83" s="118">
        <f t="shared" si="86"/>
        <v>0</v>
      </c>
      <c r="T83" s="118"/>
      <c r="U83" s="118">
        <f t="shared" ref="U83" si="93">+IF(Q83&lt;&gt;0,Q83*T83/100,0)</f>
        <v>0</v>
      </c>
      <c r="V83" s="118">
        <v>350</v>
      </c>
      <c r="W83" s="121">
        <v>19</v>
      </c>
      <c r="X83" s="118">
        <f t="shared" si="88"/>
        <v>66.5</v>
      </c>
      <c r="Y83" s="122"/>
      <c r="Z83" s="122"/>
      <c r="AA83" s="114">
        <f t="shared" si="89"/>
        <v>0</v>
      </c>
      <c r="AB83" s="114">
        <f t="shared" si="90"/>
        <v>357</v>
      </c>
      <c r="AC83" s="114"/>
      <c r="AD83" s="122" t="s">
        <v>513</v>
      </c>
    </row>
    <row r="84" spans="1:32" x14ac:dyDescent="0.25">
      <c r="A84" s="39">
        <v>45627</v>
      </c>
      <c r="B84" s="41" t="s">
        <v>514</v>
      </c>
      <c r="D84" s="54" t="s">
        <v>345</v>
      </c>
      <c r="E84" s="54" t="s">
        <v>346</v>
      </c>
      <c r="F84" s="45" t="str">
        <f t="shared" si="81"/>
        <v>S/F 28LAMOO55565 TELEFONICA MOVILES ESPAÑA, S.A.</v>
      </c>
      <c r="G84" s="55">
        <v>22</v>
      </c>
      <c r="H84" s="56">
        <v>21</v>
      </c>
      <c r="I84" s="55">
        <f t="shared" si="82"/>
        <v>4.62</v>
      </c>
      <c r="J84" s="57"/>
      <c r="K84" s="55">
        <f t="shared" si="83"/>
        <v>0</v>
      </c>
      <c r="L84" s="55">
        <v>0</v>
      </c>
      <c r="M84" s="56">
        <v>0</v>
      </c>
      <c r="N84" s="55">
        <f t="shared" si="84"/>
        <v>0</v>
      </c>
      <c r="O84" s="55"/>
      <c r="P84" s="55">
        <f t="shared" si="85"/>
        <v>0</v>
      </c>
      <c r="Q84" s="55">
        <v>0</v>
      </c>
      <c r="R84" s="56">
        <v>0</v>
      </c>
      <c r="S84" s="55">
        <f t="shared" si="86"/>
        <v>0</v>
      </c>
      <c r="T84" s="55"/>
      <c r="U84" s="55">
        <f t="shared" si="87"/>
        <v>0</v>
      </c>
      <c r="V84" s="55">
        <v>0</v>
      </c>
      <c r="W84" s="58">
        <v>0</v>
      </c>
      <c r="X84" s="55">
        <f t="shared" si="88"/>
        <v>0</v>
      </c>
      <c r="AA84" s="40">
        <f t="shared" si="89"/>
        <v>0</v>
      </c>
      <c r="AB84" s="40">
        <f t="shared" si="90"/>
        <v>26.62</v>
      </c>
      <c r="AC84" s="64"/>
    </row>
    <row r="85" spans="1:32" x14ac:dyDescent="0.25">
      <c r="A85" s="39">
        <v>45627</v>
      </c>
      <c r="B85" s="41" t="s">
        <v>515</v>
      </c>
      <c r="D85" s="54" t="s">
        <v>211</v>
      </c>
      <c r="E85" s="54" t="s">
        <v>344</v>
      </c>
      <c r="F85" s="45" t="str">
        <f t="shared" si="81"/>
        <v>S/F TA7DR0108840 TELEFONICA DE ESPAÑA</v>
      </c>
      <c r="G85" s="55">
        <v>155.13</v>
      </c>
      <c r="H85" s="56">
        <v>21</v>
      </c>
      <c r="I85" s="55">
        <f t="shared" si="82"/>
        <v>32.577300000000001</v>
      </c>
      <c r="J85" s="57"/>
      <c r="K85" s="55">
        <f t="shared" si="83"/>
        <v>0</v>
      </c>
      <c r="L85" s="55">
        <v>0</v>
      </c>
      <c r="M85" s="56">
        <v>0</v>
      </c>
      <c r="N85" s="55">
        <f t="shared" si="84"/>
        <v>0</v>
      </c>
      <c r="O85" s="55"/>
      <c r="P85" s="55">
        <f t="shared" si="85"/>
        <v>0</v>
      </c>
      <c r="Q85" s="55">
        <v>0</v>
      </c>
      <c r="R85" s="56">
        <v>0</v>
      </c>
      <c r="S85" s="55">
        <f t="shared" si="86"/>
        <v>0</v>
      </c>
      <c r="T85" s="55"/>
      <c r="U85" s="55">
        <f t="shared" si="87"/>
        <v>0</v>
      </c>
      <c r="V85" s="55">
        <v>0</v>
      </c>
      <c r="W85" s="58">
        <v>0</v>
      </c>
      <c r="X85" s="55">
        <f t="shared" si="88"/>
        <v>0</v>
      </c>
      <c r="AA85" s="40">
        <f t="shared" si="89"/>
        <v>0</v>
      </c>
      <c r="AB85" s="40">
        <f t="shared" si="90"/>
        <v>187.7073</v>
      </c>
      <c r="AC85" s="64"/>
    </row>
    <row r="86" spans="1:32" x14ac:dyDescent="0.25">
      <c r="A86" s="39">
        <v>45626</v>
      </c>
      <c r="B86" s="41" t="s">
        <v>516</v>
      </c>
      <c r="D86" s="41" t="s">
        <v>376</v>
      </c>
      <c r="E86" s="41" t="s">
        <v>377</v>
      </c>
      <c r="F86" s="45" t="str">
        <f t="shared" si="81"/>
        <v>S/F 429 ISRAEL LLAVERO PEREZ</v>
      </c>
      <c r="G86" s="55">
        <v>913.26</v>
      </c>
      <c r="H86" s="56">
        <v>21</v>
      </c>
      <c r="I86" s="55">
        <f t="shared" si="82"/>
        <v>191.78459999999998</v>
      </c>
      <c r="J86" s="57"/>
      <c r="K86" s="55">
        <f t="shared" si="83"/>
        <v>0</v>
      </c>
      <c r="L86" s="55">
        <v>0</v>
      </c>
      <c r="M86" s="56">
        <v>0</v>
      </c>
      <c r="N86" s="55">
        <f t="shared" si="84"/>
        <v>0</v>
      </c>
      <c r="O86" s="55"/>
      <c r="P86" s="55">
        <f t="shared" si="85"/>
        <v>0</v>
      </c>
      <c r="Q86" s="55">
        <v>0</v>
      </c>
      <c r="R86" s="56">
        <v>0</v>
      </c>
      <c r="S86" s="55">
        <f t="shared" si="86"/>
        <v>0</v>
      </c>
      <c r="T86" s="55"/>
      <c r="U86" s="55">
        <f t="shared" si="87"/>
        <v>0</v>
      </c>
      <c r="V86" s="55">
        <v>0</v>
      </c>
      <c r="W86" s="58">
        <v>0</v>
      </c>
      <c r="X86" s="55">
        <f t="shared" si="88"/>
        <v>0</v>
      </c>
      <c r="AA86" s="40">
        <f t="shared" si="89"/>
        <v>0</v>
      </c>
      <c r="AB86" s="40">
        <f t="shared" si="90"/>
        <v>1105.0445999999999</v>
      </c>
      <c r="AC86" s="64"/>
    </row>
    <row r="87" spans="1:32" x14ac:dyDescent="0.25">
      <c r="A87" s="39">
        <v>45631</v>
      </c>
      <c r="B87" s="41" t="s">
        <v>517</v>
      </c>
      <c r="D87" s="41" t="s">
        <v>518</v>
      </c>
      <c r="E87" s="41" t="s">
        <v>519</v>
      </c>
      <c r="F87" s="45" t="str">
        <f t="shared" si="81"/>
        <v>S/F 2894fo000087735 TUV RHEILAND IBERICA, S.A.</v>
      </c>
      <c r="G87" s="55">
        <v>40.299999999999997</v>
      </c>
      <c r="H87" s="56">
        <v>21</v>
      </c>
      <c r="I87" s="55">
        <f t="shared" si="82"/>
        <v>8.4629999999999992</v>
      </c>
      <c r="J87" s="57"/>
      <c r="K87" s="55">
        <f t="shared" si="83"/>
        <v>0</v>
      </c>
      <c r="L87" s="55">
        <v>0</v>
      </c>
      <c r="M87" s="56">
        <v>0</v>
      </c>
      <c r="N87" s="55">
        <f t="shared" si="84"/>
        <v>0</v>
      </c>
      <c r="O87" s="55"/>
      <c r="P87" s="55">
        <f t="shared" si="85"/>
        <v>0</v>
      </c>
      <c r="Q87" s="55">
        <v>0</v>
      </c>
      <c r="R87" s="56">
        <v>0</v>
      </c>
      <c r="S87" s="55">
        <f t="shared" si="86"/>
        <v>0</v>
      </c>
      <c r="T87" s="55"/>
      <c r="U87" s="55">
        <v>4.18</v>
      </c>
      <c r="V87" s="55">
        <v>0</v>
      </c>
      <c r="W87" s="58">
        <v>0</v>
      </c>
      <c r="X87" s="55">
        <f t="shared" si="88"/>
        <v>0</v>
      </c>
      <c r="AA87" s="40">
        <f t="shared" si="89"/>
        <v>0</v>
      </c>
      <c r="AB87" s="40">
        <f t="shared" si="90"/>
        <v>52.942999999999998</v>
      </c>
      <c r="AC87" s="64"/>
    </row>
    <row r="88" spans="1:32" x14ac:dyDescent="0.25">
      <c r="A88" s="39">
        <v>45623</v>
      </c>
      <c r="B88" s="41" t="s">
        <v>520</v>
      </c>
      <c r="D88" s="54" t="s">
        <v>405</v>
      </c>
      <c r="E88" s="41" t="s">
        <v>406</v>
      </c>
      <c r="F88" s="45" t="str">
        <f t="shared" si="81"/>
        <v>S/F P24CON048626657 ENDESA ENERGIA, S.A.</v>
      </c>
      <c r="G88" s="55">
        <v>54.75</v>
      </c>
      <c r="H88" s="56">
        <v>10</v>
      </c>
      <c r="I88" s="55">
        <f t="shared" si="82"/>
        <v>5.4749999999999996</v>
      </c>
      <c r="J88" s="57"/>
      <c r="K88" s="55">
        <f t="shared" si="83"/>
        <v>0</v>
      </c>
      <c r="L88" s="55">
        <v>0</v>
      </c>
      <c r="M88" s="56">
        <v>0</v>
      </c>
      <c r="N88" s="55">
        <f t="shared" si="84"/>
        <v>0</v>
      </c>
      <c r="O88" s="55"/>
      <c r="P88" s="55">
        <f t="shared" si="85"/>
        <v>0</v>
      </c>
      <c r="Q88" s="55">
        <v>0</v>
      </c>
      <c r="R88" s="56">
        <v>0</v>
      </c>
      <c r="S88" s="55">
        <f t="shared" si="86"/>
        <v>0</v>
      </c>
      <c r="T88" s="55"/>
      <c r="U88" s="55">
        <f t="shared" si="87"/>
        <v>0</v>
      </c>
      <c r="V88" s="55">
        <v>0</v>
      </c>
      <c r="W88" s="58">
        <v>0</v>
      </c>
      <c r="X88" s="55">
        <f t="shared" si="88"/>
        <v>0</v>
      </c>
      <c r="AA88" s="40">
        <f t="shared" si="89"/>
        <v>0</v>
      </c>
      <c r="AB88" s="40">
        <f t="shared" si="90"/>
        <v>60.225000000000001</v>
      </c>
      <c r="AC88" s="64"/>
    </row>
    <row r="89" spans="1:32" x14ac:dyDescent="0.25">
      <c r="A89" s="39">
        <v>45626</v>
      </c>
      <c r="B89" s="41" t="s">
        <v>521</v>
      </c>
      <c r="D89" s="41" t="s">
        <v>380</v>
      </c>
      <c r="E89" s="41" t="s">
        <v>398</v>
      </c>
      <c r="F89" s="45" t="str">
        <f t="shared" si="81"/>
        <v>S/F F244587 CONTAMAR ASESORES DE EMPRESA, S.L.</v>
      </c>
      <c r="G89" s="55">
        <v>79.099999999999994</v>
      </c>
      <c r="H89" s="56">
        <v>21</v>
      </c>
      <c r="I89" s="55">
        <f t="shared" ref="I89:I122" si="94">+IF(G89&lt;&gt;0,G89*H89/100,0)</f>
        <v>16.611000000000001</v>
      </c>
      <c r="J89" s="57"/>
      <c r="K89" s="55">
        <f t="shared" ref="K89:K113" si="95">+IF(G89&lt;&gt;0,G89*J89/100,0)</f>
        <v>0</v>
      </c>
      <c r="L89" s="55">
        <v>0</v>
      </c>
      <c r="M89" s="56">
        <v>0</v>
      </c>
      <c r="N89" s="55">
        <f t="shared" ref="N89:N122" si="96">+IF(L89&lt;&gt;0,L89*M89/100,0)</f>
        <v>0</v>
      </c>
      <c r="O89" s="55"/>
      <c r="P89" s="55">
        <f t="shared" ref="P89:P113" si="97">+IF(L89&lt;&gt;0,L89*O89/100,0)</f>
        <v>0</v>
      </c>
      <c r="Q89" s="55">
        <v>0</v>
      </c>
      <c r="R89" s="56">
        <v>0</v>
      </c>
      <c r="S89" s="55">
        <f t="shared" ref="S89:S122" si="98">+IF(Q89&lt;&gt;0,Q89*R89/100,0)</f>
        <v>0</v>
      </c>
      <c r="T89" s="55"/>
      <c r="U89" s="55">
        <f t="shared" ref="U89:U122" si="99">+IF(Q89&lt;&gt;0,Q89*T89/100,0)</f>
        <v>0</v>
      </c>
      <c r="V89" s="55">
        <v>0</v>
      </c>
      <c r="W89" s="58">
        <v>0</v>
      </c>
      <c r="X89" s="55">
        <f t="shared" ref="X89:X122" si="100">+IF(W89&lt;&gt;0,V89*W89/100,0)</f>
        <v>0</v>
      </c>
      <c r="AA89" s="40">
        <f t="shared" ref="AA89:AA122" si="101">+IF(Z89&lt;&gt;0,Y89*Z89/100,0)</f>
        <v>0</v>
      </c>
      <c r="AB89" s="40">
        <f t="shared" ref="AB89:AB121" si="102">+G89+I89+K89+L89+N89+P89+Q89+S89+U89-X89-AA89</f>
        <v>95.710999999999999</v>
      </c>
      <c r="AC89" s="64"/>
    </row>
    <row r="90" spans="1:32" x14ac:dyDescent="0.25">
      <c r="A90" s="39">
        <v>45626</v>
      </c>
      <c r="B90" s="41" t="s">
        <v>522</v>
      </c>
      <c r="D90" s="41" t="s">
        <v>452</v>
      </c>
      <c r="E90" s="41" t="s">
        <v>453</v>
      </c>
      <c r="F90" s="45" t="str">
        <f t="shared" si="81"/>
        <v>S/F ES0000027563723-1124 BIP¬DRIVE, E.D.E., S.A.</v>
      </c>
      <c r="G90" s="55">
        <v>25.73</v>
      </c>
      <c r="H90" s="56">
        <v>21</v>
      </c>
      <c r="I90" s="55">
        <f t="shared" si="94"/>
        <v>5.4033000000000007</v>
      </c>
      <c r="J90" s="57"/>
      <c r="K90" s="55">
        <f t="shared" si="95"/>
        <v>0</v>
      </c>
      <c r="L90" s="55">
        <v>0</v>
      </c>
      <c r="M90" s="56">
        <v>0</v>
      </c>
      <c r="N90" s="55">
        <f t="shared" si="96"/>
        <v>0</v>
      </c>
      <c r="O90" s="55"/>
      <c r="P90" s="55">
        <f t="shared" si="97"/>
        <v>0</v>
      </c>
      <c r="Q90" s="55">
        <v>0</v>
      </c>
      <c r="R90" s="56">
        <v>0</v>
      </c>
      <c r="S90" s="55">
        <f t="shared" si="98"/>
        <v>0</v>
      </c>
      <c r="T90" s="55"/>
      <c r="U90" s="55">
        <f t="shared" si="99"/>
        <v>0</v>
      </c>
      <c r="V90" s="55">
        <v>0</v>
      </c>
      <c r="W90" s="58">
        <v>0</v>
      </c>
      <c r="X90" s="55">
        <f t="shared" si="100"/>
        <v>0</v>
      </c>
      <c r="AA90" s="40">
        <f t="shared" si="101"/>
        <v>0</v>
      </c>
      <c r="AB90" s="40">
        <f t="shared" si="102"/>
        <v>31.133300000000002</v>
      </c>
      <c r="AC90" s="64"/>
    </row>
    <row r="91" spans="1:32" x14ac:dyDescent="0.25">
      <c r="A91" s="39">
        <v>45626</v>
      </c>
      <c r="B91" s="41" t="s">
        <v>523</v>
      </c>
      <c r="D91" s="41" t="s">
        <v>455</v>
      </c>
      <c r="E91" s="41" t="s">
        <v>371</v>
      </c>
      <c r="F91" s="45" t="str">
        <f t="shared" si="81"/>
        <v>S/F 2024001037 COURIER CONSULTING, S.L.</v>
      </c>
      <c r="G91" s="55">
        <v>60.53</v>
      </c>
      <c r="H91" s="56">
        <v>21</v>
      </c>
      <c r="I91" s="55">
        <f t="shared" si="94"/>
        <v>12.711300000000001</v>
      </c>
      <c r="J91" s="57"/>
      <c r="K91" s="55">
        <f t="shared" si="95"/>
        <v>0</v>
      </c>
      <c r="L91" s="55">
        <v>0</v>
      </c>
      <c r="M91" s="56">
        <v>0</v>
      </c>
      <c r="N91" s="55">
        <f t="shared" si="96"/>
        <v>0</v>
      </c>
      <c r="O91" s="55"/>
      <c r="P91" s="55">
        <f t="shared" si="97"/>
        <v>0</v>
      </c>
      <c r="Q91" s="55">
        <v>0</v>
      </c>
      <c r="R91" s="56">
        <v>0</v>
      </c>
      <c r="S91" s="55">
        <f t="shared" si="98"/>
        <v>0</v>
      </c>
      <c r="T91" s="55"/>
      <c r="U91" s="55">
        <f t="shared" si="99"/>
        <v>0</v>
      </c>
      <c r="V91" s="55">
        <v>0</v>
      </c>
      <c r="W91" s="58">
        <v>0</v>
      </c>
      <c r="X91" s="55">
        <f t="shared" si="100"/>
        <v>0</v>
      </c>
      <c r="AA91" s="40">
        <f t="shared" si="101"/>
        <v>0</v>
      </c>
      <c r="AB91" s="40">
        <f t="shared" si="102"/>
        <v>73.241299999999995</v>
      </c>
      <c r="AC91" s="64"/>
    </row>
    <row r="92" spans="1:32" x14ac:dyDescent="0.25">
      <c r="A92" s="39">
        <v>45626</v>
      </c>
      <c r="B92" s="41" t="s">
        <v>524</v>
      </c>
      <c r="D92" s="41" t="s">
        <v>392</v>
      </c>
      <c r="E92" s="41" t="s">
        <v>393</v>
      </c>
      <c r="F92" s="45" t="str">
        <f t="shared" si="81"/>
        <v>S/F FH40600679 AB SERVICIOS SELECTA ESPAÑA, S.L.</v>
      </c>
      <c r="G92" s="55">
        <v>45.53</v>
      </c>
      <c r="H92" s="56">
        <v>10</v>
      </c>
      <c r="I92" s="55">
        <f t="shared" si="94"/>
        <v>4.5529999999999999</v>
      </c>
      <c r="J92" s="57"/>
      <c r="K92" s="55">
        <f t="shared" si="95"/>
        <v>0</v>
      </c>
      <c r="L92" s="55">
        <v>15.61</v>
      </c>
      <c r="M92" s="56">
        <v>21</v>
      </c>
      <c r="N92" s="55">
        <f t="shared" si="96"/>
        <v>3.2781000000000002</v>
      </c>
      <c r="O92" s="55"/>
      <c r="P92" s="55">
        <f t="shared" si="97"/>
        <v>0</v>
      </c>
      <c r="Q92" s="55">
        <v>0</v>
      </c>
      <c r="R92" s="56">
        <v>0</v>
      </c>
      <c r="S92" s="55">
        <f t="shared" si="98"/>
        <v>0</v>
      </c>
      <c r="T92" s="55"/>
      <c r="U92" s="55">
        <f t="shared" si="99"/>
        <v>0</v>
      </c>
      <c r="V92" s="55">
        <v>0</v>
      </c>
      <c r="W92" s="58">
        <v>0</v>
      </c>
      <c r="X92" s="55">
        <f t="shared" si="100"/>
        <v>0</v>
      </c>
      <c r="AA92" s="40">
        <f t="shared" si="101"/>
        <v>0</v>
      </c>
      <c r="AB92" s="40">
        <f t="shared" si="102"/>
        <v>68.971099999999993</v>
      </c>
      <c r="AC92" s="64"/>
    </row>
    <row r="93" spans="1:32" x14ac:dyDescent="0.25">
      <c r="A93" s="93">
        <v>45644</v>
      </c>
      <c r="B93" s="94" t="s">
        <v>551</v>
      </c>
      <c r="C93" s="94"/>
      <c r="D93" s="94" t="s">
        <v>506</v>
      </c>
      <c r="E93" s="94" t="s">
        <v>507</v>
      </c>
      <c r="F93" s="95" t="str">
        <f>"S/F "&amp;B93&amp;" "&amp;E93</f>
        <v>S/F 2776 DANIEL LIMA TIRADO- FLORISTERIA LIMA</v>
      </c>
      <c r="G93" s="96">
        <v>27.27</v>
      </c>
      <c r="H93" s="97">
        <v>10</v>
      </c>
      <c r="I93" s="96">
        <f>+IF(G93&lt;&gt;0,G93*H93/100,0)</f>
        <v>2.7269999999999999</v>
      </c>
      <c r="J93" s="98"/>
      <c r="K93" s="96">
        <v>0</v>
      </c>
      <c r="L93" s="96">
        <v>0</v>
      </c>
      <c r="M93" s="97">
        <v>0</v>
      </c>
      <c r="N93" s="96">
        <v>0</v>
      </c>
      <c r="O93" s="96"/>
      <c r="P93" s="96">
        <f>+IF(L93&lt;&gt;0,L93*O93/100,0)</f>
        <v>0</v>
      </c>
      <c r="Q93" s="96">
        <v>0</v>
      </c>
      <c r="R93" s="97">
        <v>0</v>
      </c>
      <c r="S93" s="96">
        <f>+IF(Q93&lt;&gt;0,Q93*R93/100,0)</f>
        <v>0</v>
      </c>
      <c r="T93" s="96"/>
      <c r="U93" s="96">
        <f>+IF(Q93&lt;&gt;0,Q93*T93/100,0)</f>
        <v>0</v>
      </c>
      <c r="V93" s="96">
        <v>0</v>
      </c>
      <c r="W93" s="99">
        <v>0</v>
      </c>
      <c r="X93" s="96">
        <f>+IF(W93&lt;&gt;0,V93*W93/100,0)</f>
        <v>0</v>
      </c>
      <c r="Y93" s="100"/>
      <c r="Z93" s="100"/>
      <c r="AA93" s="101">
        <f>+IF(Z93&lt;&gt;0,Y93*Z93/100,0)</f>
        <v>0</v>
      </c>
      <c r="AB93" s="101">
        <f>+G93+I93+K93+L93+N93+P93+Q93+S93+U93-X93-AA93</f>
        <v>29.997</v>
      </c>
      <c r="AC93" s="102"/>
      <c r="AD93" s="102"/>
      <c r="AE93" s="103" t="s">
        <v>508</v>
      </c>
      <c r="AF93" s="104"/>
    </row>
    <row r="94" spans="1:32" x14ac:dyDescent="0.25">
      <c r="A94" s="75">
        <v>45597</v>
      </c>
      <c r="B94" s="77" t="s">
        <v>525</v>
      </c>
      <c r="C94" s="77"/>
      <c r="D94" s="77"/>
      <c r="E94" s="77" t="s">
        <v>525</v>
      </c>
      <c r="F94" s="78" t="str">
        <f t="shared" ref="F94:F101" si="103">"S/F "&amp;B94&amp;" "&amp;E94</f>
        <v>S/F CUOTA TARJETA CUOTA TARJETA</v>
      </c>
      <c r="G94" s="79">
        <v>80</v>
      </c>
      <c r="H94" s="80">
        <v>0</v>
      </c>
      <c r="I94" s="92">
        <f t="shared" ref="I94:I101" si="104">+IF(G94&lt;&gt;0,G94*H94/100,0)</f>
        <v>0</v>
      </c>
      <c r="J94" s="81"/>
      <c r="K94" s="79">
        <v>0</v>
      </c>
      <c r="L94" s="79">
        <v>0</v>
      </c>
      <c r="M94" s="80">
        <v>0</v>
      </c>
      <c r="N94" s="79">
        <f t="shared" ref="N94:N101" si="105">+IF(L94&lt;&gt;0,L94*M94/100,0)</f>
        <v>0</v>
      </c>
      <c r="O94" s="79"/>
      <c r="P94" s="79">
        <v>0</v>
      </c>
      <c r="Q94" s="79"/>
      <c r="R94" s="81"/>
      <c r="S94" s="79">
        <f t="shared" ref="S94:S101" si="106">+IF(Q94&lt;&gt;0,Q94*R94/100,0)</f>
        <v>0</v>
      </c>
      <c r="T94" s="79"/>
      <c r="U94" s="79">
        <f t="shared" ref="U94:U101" si="107">+IF(Q94&lt;&gt;0,Q94*T94/100,0)</f>
        <v>0</v>
      </c>
      <c r="V94" s="79">
        <v>0</v>
      </c>
      <c r="W94" s="82">
        <v>0</v>
      </c>
      <c r="X94" s="79">
        <f t="shared" ref="X94:X101" si="108">+IF(W94&lt;&gt;0,V94*W94/100,0)</f>
        <v>0</v>
      </c>
      <c r="Y94" s="83"/>
      <c r="Z94" s="83"/>
      <c r="AA94" s="84">
        <f t="shared" ref="AA94:AA101" si="109">+IF(Z94&lt;&gt;0,Y94*Z94/100,0)</f>
        <v>0</v>
      </c>
      <c r="AB94" s="84">
        <f t="shared" ref="AB94:AB101" si="110">+G94+I94+K94+L94+N94+P94+Q94+S94+U94-X94-AA94</f>
        <v>80</v>
      </c>
      <c r="AC94" s="64"/>
      <c r="AD94" s="85"/>
      <c r="AE94" s="85" t="s">
        <v>367</v>
      </c>
      <c r="AF94" s="89"/>
    </row>
    <row r="95" spans="1:32" x14ac:dyDescent="0.25">
      <c r="A95" s="75">
        <v>45599</v>
      </c>
      <c r="B95" s="77" t="s">
        <v>528</v>
      </c>
      <c r="C95" s="77"/>
      <c r="D95" s="77" t="s">
        <v>527</v>
      </c>
      <c r="E95" s="77" t="s">
        <v>526</v>
      </c>
      <c r="F95" s="78" t="str">
        <f t="shared" si="103"/>
        <v>S/F 27 HOTEL LA BOUGAUNVULLE</v>
      </c>
      <c r="G95" s="79">
        <v>520</v>
      </c>
      <c r="H95" s="80">
        <v>0</v>
      </c>
      <c r="I95" s="92">
        <f t="shared" si="104"/>
        <v>0</v>
      </c>
      <c r="J95" s="81"/>
      <c r="K95" s="79">
        <v>0</v>
      </c>
      <c r="L95" s="79">
        <v>0</v>
      </c>
      <c r="M95" s="80">
        <v>0</v>
      </c>
      <c r="N95" s="79">
        <f t="shared" si="105"/>
        <v>0</v>
      </c>
      <c r="O95" s="79"/>
      <c r="P95" s="79">
        <v>0</v>
      </c>
      <c r="Q95" s="79"/>
      <c r="R95" s="81"/>
      <c r="S95" s="79">
        <f t="shared" si="106"/>
        <v>0</v>
      </c>
      <c r="T95" s="79"/>
      <c r="U95" s="79">
        <f t="shared" si="107"/>
        <v>0</v>
      </c>
      <c r="V95" s="79">
        <v>0</v>
      </c>
      <c r="W95" s="82">
        <v>0</v>
      </c>
      <c r="X95" s="79">
        <f t="shared" si="108"/>
        <v>0</v>
      </c>
      <c r="Y95" s="83"/>
      <c r="Z95" s="83"/>
      <c r="AA95" s="84">
        <f t="shared" si="109"/>
        <v>0</v>
      </c>
      <c r="AB95" s="84">
        <f t="shared" si="110"/>
        <v>520</v>
      </c>
      <c r="AC95" s="64"/>
      <c r="AD95" s="85"/>
      <c r="AE95" s="85" t="s">
        <v>367</v>
      </c>
      <c r="AF95" s="89"/>
    </row>
    <row r="96" spans="1:32" x14ac:dyDescent="0.25">
      <c r="A96" s="75">
        <v>45600</v>
      </c>
      <c r="B96" s="77" t="s">
        <v>529</v>
      </c>
      <c r="C96" s="77"/>
      <c r="D96" s="77" t="s">
        <v>530</v>
      </c>
      <c r="E96" s="77" t="s">
        <v>531</v>
      </c>
      <c r="F96" s="78" t="str">
        <f t="shared" si="103"/>
        <v>S/F 411/2024 POSITANO CAR SERVICE</v>
      </c>
      <c r="G96" s="79">
        <v>180</v>
      </c>
      <c r="H96" s="80">
        <v>0</v>
      </c>
      <c r="I96" s="92">
        <f t="shared" si="104"/>
        <v>0</v>
      </c>
      <c r="J96" s="81"/>
      <c r="K96" s="79">
        <v>0</v>
      </c>
      <c r="L96" s="79">
        <v>0</v>
      </c>
      <c r="M96" s="80">
        <v>0</v>
      </c>
      <c r="N96" s="79">
        <f t="shared" si="105"/>
        <v>0</v>
      </c>
      <c r="O96" s="79"/>
      <c r="P96" s="79">
        <v>0</v>
      </c>
      <c r="Q96" s="79"/>
      <c r="R96" s="81"/>
      <c r="S96" s="79">
        <f t="shared" si="106"/>
        <v>0</v>
      </c>
      <c r="T96" s="79"/>
      <c r="U96" s="79">
        <f t="shared" si="107"/>
        <v>0</v>
      </c>
      <c r="V96" s="79">
        <v>0</v>
      </c>
      <c r="W96" s="82">
        <v>0</v>
      </c>
      <c r="X96" s="79">
        <f t="shared" si="108"/>
        <v>0</v>
      </c>
      <c r="Y96" s="83"/>
      <c r="Z96" s="83"/>
      <c r="AA96" s="84">
        <f t="shared" si="109"/>
        <v>0</v>
      </c>
      <c r="AB96" s="84">
        <f t="shared" si="110"/>
        <v>180</v>
      </c>
      <c r="AC96" s="64"/>
      <c r="AD96" s="85"/>
      <c r="AE96" s="85" t="s">
        <v>367</v>
      </c>
      <c r="AF96" s="89"/>
    </row>
    <row r="97" spans="1:32" x14ac:dyDescent="0.25">
      <c r="A97" s="75">
        <v>45603</v>
      </c>
      <c r="B97" s="77" t="s">
        <v>535</v>
      </c>
      <c r="C97" s="77"/>
      <c r="D97" s="77" t="s">
        <v>536</v>
      </c>
      <c r="E97" s="77" t="s">
        <v>537</v>
      </c>
      <c r="F97" s="78" t="str">
        <f t="shared" si="103"/>
        <v>S/F INVDE7593808952024623 SHEENZHEN HAISHANGWEI TRADING CO, LTD</v>
      </c>
      <c r="G97" s="79">
        <v>47.92</v>
      </c>
      <c r="H97" s="80">
        <v>0</v>
      </c>
      <c r="I97" s="92">
        <f t="shared" si="104"/>
        <v>0</v>
      </c>
      <c r="J97" s="81"/>
      <c r="K97" s="79">
        <v>0</v>
      </c>
      <c r="L97" s="79">
        <v>0</v>
      </c>
      <c r="M97" s="80">
        <v>0</v>
      </c>
      <c r="N97" s="79">
        <f t="shared" si="105"/>
        <v>0</v>
      </c>
      <c r="O97" s="79"/>
      <c r="P97" s="79">
        <v>0</v>
      </c>
      <c r="Q97" s="79"/>
      <c r="R97" s="81"/>
      <c r="S97" s="79">
        <f t="shared" si="106"/>
        <v>0</v>
      </c>
      <c r="T97" s="79"/>
      <c r="U97" s="79">
        <f t="shared" si="107"/>
        <v>0</v>
      </c>
      <c r="V97" s="79">
        <v>0</v>
      </c>
      <c r="W97" s="82">
        <v>0</v>
      </c>
      <c r="X97" s="79">
        <f t="shared" si="108"/>
        <v>0</v>
      </c>
      <c r="Y97" s="83"/>
      <c r="Z97" s="83"/>
      <c r="AA97" s="84">
        <f t="shared" si="109"/>
        <v>0</v>
      </c>
      <c r="AB97" s="84">
        <f t="shared" si="110"/>
        <v>47.92</v>
      </c>
      <c r="AC97" s="64"/>
      <c r="AD97" s="85"/>
      <c r="AE97" s="85" t="s">
        <v>367</v>
      </c>
      <c r="AF97" s="89"/>
    </row>
    <row r="98" spans="1:32" x14ac:dyDescent="0.25">
      <c r="A98" s="75">
        <v>45615</v>
      </c>
      <c r="B98" s="77" t="s">
        <v>538</v>
      </c>
      <c r="C98" s="77"/>
      <c r="D98" s="77" t="s">
        <v>536</v>
      </c>
      <c r="E98" s="77" t="s">
        <v>537</v>
      </c>
      <c r="F98" s="78" t="str">
        <f t="shared" si="103"/>
        <v>S/F INVES4004584620246164 SHEENZHEN HAISHANGWEI TRADING CO, LTD</v>
      </c>
      <c r="G98" s="79">
        <v>22.03</v>
      </c>
      <c r="H98" s="80">
        <v>0</v>
      </c>
      <c r="I98" s="92">
        <f t="shared" si="104"/>
        <v>0</v>
      </c>
      <c r="J98" s="81"/>
      <c r="K98" s="79">
        <v>0</v>
      </c>
      <c r="L98" s="79">
        <v>0</v>
      </c>
      <c r="M98" s="80">
        <v>0</v>
      </c>
      <c r="N98" s="79">
        <f t="shared" si="105"/>
        <v>0</v>
      </c>
      <c r="O98" s="79"/>
      <c r="P98" s="79">
        <v>0</v>
      </c>
      <c r="Q98" s="79"/>
      <c r="R98" s="81"/>
      <c r="S98" s="79">
        <f t="shared" si="106"/>
        <v>0</v>
      </c>
      <c r="T98" s="79"/>
      <c r="U98" s="79">
        <f t="shared" si="107"/>
        <v>0</v>
      </c>
      <c r="V98" s="79">
        <v>0</v>
      </c>
      <c r="W98" s="82">
        <v>0</v>
      </c>
      <c r="X98" s="79">
        <f t="shared" si="108"/>
        <v>0</v>
      </c>
      <c r="Y98" s="83"/>
      <c r="Z98" s="83"/>
      <c r="AA98" s="84">
        <f t="shared" si="109"/>
        <v>0</v>
      </c>
      <c r="AB98" s="84">
        <f t="shared" si="110"/>
        <v>22.03</v>
      </c>
      <c r="AC98" s="64"/>
      <c r="AD98" s="85"/>
      <c r="AE98" s="85" t="s">
        <v>367</v>
      </c>
      <c r="AF98" s="89"/>
    </row>
    <row r="99" spans="1:32" x14ac:dyDescent="0.25">
      <c r="A99" s="75">
        <v>45621</v>
      </c>
      <c r="B99" s="77" t="s">
        <v>539</v>
      </c>
      <c r="C99" s="77"/>
      <c r="D99" s="77" t="s">
        <v>536</v>
      </c>
      <c r="E99" s="77" t="s">
        <v>537</v>
      </c>
      <c r="F99" s="78" t="str">
        <f t="shared" ref="F99" si="111">"S/F "&amp;B99&amp;" "&amp;E99</f>
        <v>S/F INVDE7593808952024674 SHEENZHEN HAISHANGWEI TRADING CO, LTD</v>
      </c>
      <c r="G99" s="79">
        <v>20.36</v>
      </c>
      <c r="H99" s="80">
        <v>0</v>
      </c>
      <c r="I99" s="92">
        <f t="shared" ref="I99" si="112">+IF(G99&lt;&gt;0,G99*H99/100,0)</f>
        <v>0</v>
      </c>
      <c r="J99" s="81"/>
      <c r="K99" s="79">
        <v>0</v>
      </c>
      <c r="L99" s="79">
        <v>0</v>
      </c>
      <c r="M99" s="80">
        <v>0</v>
      </c>
      <c r="N99" s="79">
        <f t="shared" ref="N99" si="113">+IF(L99&lt;&gt;0,L99*M99/100,0)</f>
        <v>0</v>
      </c>
      <c r="O99" s="79"/>
      <c r="P99" s="79">
        <v>0</v>
      </c>
      <c r="Q99" s="79"/>
      <c r="R99" s="81"/>
      <c r="S99" s="79">
        <f t="shared" ref="S99" si="114">+IF(Q99&lt;&gt;0,Q99*R99/100,0)</f>
        <v>0</v>
      </c>
      <c r="T99" s="79"/>
      <c r="U99" s="79">
        <f t="shared" ref="U99" si="115">+IF(Q99&lt;&gt;0,Q99*T99/100,0)</f>
        <v>0</v>
      </c>
      <c r="V99" s="79">
        <v>0</v>
      </c>
      <c r="W99" s="82">
        <v>0</v>
      </c>
      <c r="X99" s="79">
        <f t="shared" ref="X99" si="116">+IF(W99&lt;&gt;0,V99*W99/100,0)</f>
        <v>0</v>
      </c>
      <c r="Y99" s="83"/>
      <c r="Z99" s="83"/>
      <c r="AA99" s="84">
        <f t="shared" ref="AA99" si="117">+IF(Z99&lt;&gt;0,Y99*Z99/100,0)</f>
        <v>0</v>
      </c>
      <c r="AB99" s="84">
        <f t="shared" ref="AB99" si="118">+G99+I99+K99+L99+N99+P99+Q99+S99+U99-X99-AA99</f>
        <v>20.36</v>
      </c>
      <c r="AC99" s="64"/>
      <c r="AD99" s="85"/>
      <c r="AE99" s="85" t="s">
        <v>367</v>
      </c>
      <c r="AF99" s="89"/>
    </row>
    <row r="100" spans="1:32" x14ac:dyDescent="0.25">
      <c r="A100" s="75">
        <v>45621</v>
      </c>
      <c r="B100" s="77" t="s">
        <v>540</v>
      </c>
      <c r="C100" s="77"/>
      <c r="D100" s="77" t="s">
        <v>541</v>
      </c>
      <c r="E100" s="77" t="s">
        <v>542</v>
      </c>
      <c r="F100" s="78" t="str">
        <f t="shared" si="103"/>
        <v>S/F MADR002453625 DHL EXPRESS SAÀIN SLU</v>
      </c>
      <c r="G100" s="79">
        <v>38.15</v>
      </c>
      <c r="H100" s="80">
        <v>0</v>
      </c>
      <c r="I100" s="92">
        <f t="shared" si="104"/>
        <v>0</v>
      </c>
      <c r="J100" s="81"/>
      <c r="K100" s="79">
        <v>0</v>
      </c>
      <c r="L100" s="79">
        <v>0</v>
      </c>
      <c r="M100" s="80">
        <v>0</v>
      </c>
      <c r="N100" s="79">
        <f t="shared" si="105"/>
        <v>0</v>
      </c>
      <c r="O100" s="79"/>
      <c r="P100" s="79">
        <v>0</v>
      </c>
      <c r="Q100" s="79"/>
      <c r="R100" s="81"/>
      <c r="S100" s="79">
        <f t="shared" si="106"/>
        <v>0</v>
      </c>
      <c r="T100" s="79"/>
      <c r="U100" s="79">
        <f t="shared" si="107"/>
        <v>0</v>
      </c>
      <c r="V100" s="79">
        <v>0</v>
      </c>
      <c r="W100" s="82">
        <v>0</v>
      </c>
      <c r="X100" s="79">
        <f t="shared" si="108"/>
        <v>0</v>
      </c>
      <c r="Y100" s="83"/>
      <c r="Z100" s="83"/>
      <c r="AA100" s="84">
        <f t="shared" si="109"/>
        <v>0</v>
      </c>
      <c r="AB100" s="84">
        <f t="shared" si="110"/>
        <v>38.15</v>
      </c>
      <c r="AC100" s="64"/>
      <c r="AD100" s="85"/>
      <c r="AE100" s="85" t="s">
        <v>367</v>
      </c>
      <c r="AF100" s="89"/>
    </row>
    <row r="101" spans="1:32" x14ac:dyDescent="0.25">
      <c r="A101" s="75">
        <v>45609</v>
      </c>
      <c r="B101" s="77" t="s">
        <v>532</v>
      </c>
      <c r="C101" s="77"/>
      <c r="D101" s="77" t="s">
        <v>533</v>
      </c>
      <c r="E101" s="77" t="s">
        <v>534</v>
      </c>
      <c r="F101" s="78" t="str">
        <f t="shared" si="103"/>
        <v>S/F 24/2400614 PARKING RED SUR 2022, S.L.</v>
      </c>
      <c r="G101" s="79">
        <v>22.81</v>
      </c>
      <c r="H101" s="80">
        <v>21</v>
      </c>
      <c r="I101" s="92">
        <f t="shared" si="104"/>
        <v>4.7900999999999998</v>
      </c>
      <c r="J101" s="81"/>
      <c r="K101" s="79">
        <v>0</v>
      </c>
      <c r="L101" s="79">
        <v>0</v>
      </c>
      <c r="M101" s="80">
        <v>0</v>
      </c>
      <c r="N101" s="79">
        <f t="shared" si="105"/>
        <v>0</v>
      </c>
      <c r="O101" s="79"/>
      <c r="P101" s="79">
        <v>0</v>
      </c>
      <c r="Q101" s="79"/>
      <c r="R101" s="81"/>
      <c r="S101" s="79">
        <f t="shared" si="106"/>
        <v>0</v>
      </c>
      <c r="T101" s="79"/>
      <c r="U101" s="79">
        <f t="shared" si="107"/>
        <v>0</v>
      </c>
      <c r="V101" s="79">
        <v>0</v>
      </c>
      <c r="W101" s="82">
        <v>0</v>
      </c>
      <c r="X101" s="79">
        <f t="shared" si="108"/>
        <v>0</v>
      </c>
      <c r="Y101" s="83"/>
      <c r="Z101" s="83"/>
      <c r="AA101" s="84">
        <f t="shared" si="109"/>
        <v>0</v>
      </c>
      <c r="AB101" s="84">
        <f t="shared" si="110"/>
        <v>27.600099999999998</v>
      </c>
      <c r="AC101" s="64"/>
      <c r="AD101" s="90">
        <f>SUM(AB94:AB101)</f>
        <v>936.06009999999992</v>
      </c>
      <c r="AE101" s="85" t="s">
        <v>413</v>
      </c>
      <c r="AF101" s="89"/>
    </row>
    <row r="102" spans="1:32" x14ac:dyDescent="0.25">
      <c r="A102" s="39">
        <v>45644</v>
      </c>
      <c r="B102" s="41" t="s">
        <v>546</v>
      </c>
      <c r="D102" s="41" t="s">
        <v>544</v>
      </c>
      <c r="E102" s="41" t="s">
        <v>545</v>
      </c>
      <c r="F102" s="45" t="str">
        <f t="shared" si="81"/>
        <v>S/F 69 VELOCIDAD TOTAL S.L.</v>
      </c>
      <c r="G102" s="55">
        <v>284</v>
      </c>
      <c r="H102" s="56">
        <v>21</v>
      </c>
      <c r="I102" s="55">
        <f t="shared" si="94"/>
        <v>59.64</v>
      </c>
      <c r="J102" s="57"/>
      <c r="K102" s="55">
        <f t="shared" si="95"/>
        <v>0</v>
      </c>
      <c r="L102" s="55">
        <v>0</v>
      </c>
      <c r="M102" s="56">
        <v>0</v>
      </c>
      <c r="N102" s="55">
        <f t="shared" si="96"/>
        <v>0</v>
      </c>
      <c r="O102" s="55"/>
      <c r="P102" s="55">
        <f t="shared" si="97"/>
        <v>0</v>
      </c>
      <c r="Q102" s="55">
        <v>0</v>
      </c>
      <c r="R102" s="56">
        <v>0</v>
      </c>
      <c r="S102" s="55">
        <f t="shared" si="98"/>
        <v>0</v>
      </c>
      <c r="T102" s="55"/>
      <c r="U102" s="55">
        <f t="shared" si="99"/>
        <v>0</v>
      </c>
      <c r="V102" s="55">
        <v>0</v>
      </c>
      <c r="W102" s="58">
        <v>0</v>
      </c>
      <c r="X102" s="55">
        <f t="shared" si="100"/>
        <v>0</v>
      </c>
      <c r="AA102" s="40">
        <f t="shared" si="101"/>
        <v>0</v>
      </c>
      <c r="AB102" s="40">
        <f t="shared" si="102"/>
        <v>343.64</v>
      </c>
      <c r="AC102" s="64"/>
    </row>
    <row r="103" spans="1:32" x14ac:dyDescent="0.25">
      <c r="A103" s="39">
        <v>45639</v>
      </c>
      <c r="B103" s="41" t="s">
        <v>547</v>
      </c>
      <c r="D103" s="54" t="s">
        <v>345</v>
      </c>
      <c r="E103" s="54" t="s">
        <v>346</v>
      </c>
      <c r="F103" s="45" t="str">
        <f t="shared" si="81"/>
        <v>S/F TA7DD0024390 TELEFONICA MOVILES ESPAÑA, S.A.</v>
      </c>
      <c r="G103" s="55">
        <v>147.47999999999999</v>
      </c>
      <c r="H103" s="56">
        <v>21</v>
      </c>
      <c r="I103" s="55">
        <f t="shared" si="94"/>
        <v>30.970800000000001</v>
      </c>
      <c r="J103" s="57"/>
      <c r="K103" s="55">
        <f t="shared" si="95"/>
        <v>0</v>
      </c>
      <c r="L103" s="55">
        <v>0</v>
      </c>
      <c r="M103" s="56">
        <v>0</v>
      </c>
      <c r="N103" s="55">
        <f t="shared" si="96"/>
        <v>0</v>
      </c>
      <c r="O103" s="55"/>
      <c r="P103" s="55">
        <f t="shared" si="97"/>
        <v>0</v>
      </c>
      <c r="Q103" s="55">
        <v>0</v>
      </c>
      <c r="R103" s="56">
        <v>0</v>
      </c>
      <c r="S103" s="55">
        <f t="shared" si="98"/>
        <v>0</v>
      </c>
      <c r="T103" s="55"/>
      <c r="U103" s="55">
        <f t="shared" si="99"/>
        <v>0</v>
      </c>
      <c r="V103" s="55">
        <v>0</v>
      </c>
      <c r="W103" s="58">
        <v>0</v>
      </c>
      <c r="X103" s="55">
        <f t="shared" si="100"/>
        <v>0</v>
      </c>
      <c r="AA103" s="40">
        <f t="shared" si="101"/>
        <v>0</v>
      </c>
      <c r="AB103" s="40">
        <f t="shared" si="102"/>
        <v>178.45079999999999</v>
      </c>
      <c r="AC103" s="64"/>
    </row>
    <row r="104" spans="1:32" x14ac:dyDescent="0.25">
      <c r="A104" s="39">
        <v>45657</v>
      </c>
      <c r="B104" s="41" t="s">
        <v>548</v>
      </c>
      <c r="D104" s="41" t="s">
        <v>380</v>
      </c>
      <c r="E104" s="41" t="s">
        <v>398</v>
      </c>
      <c r="F104" s="45" t="str">
        <f t="shared" si="81"/>
        <v>S/F F244832 CONTAMAR ASESORES DE EMPRESA, S.L.</v>
      </c>
      <c r="G104" s="55">
        <v>280.56</v>
      </c>
      <c r="H104" s="56">
        <v>21</v>
      </c>
      <c r="I104" s="55">
        <f t="shared" si="94"/>
        <v>58.9176</v>
      </c>
      <c r="J104" s="57"/>
      <c r="K104" s="55">
        <f t="shared" si="95"/>
        <v>0</v>
      </c>
      <c r="L104" s="55">
        <v>0</v>
      </c>
      <c r="M104" s="56">
        <v>0</v>
      </c>
      <c r="N104" s="55">
        <f t="shared" si="96"/>
        <v>0</v>
      </c>
      <c r="O104" s="55"/>
      <c r="P104" s="55">
        <f t="shared" si="97"/>
        <v>0</v>
      </c>
      <c r="Q104" s="55">
        <v>0</v>
      </c>
      <c r="R104" s="56">
        <v>0</v>
      </c>
      <c r="S104" s="55">
        <f t="shared" si="98"/>
        <v>0</v>
      </c>
      <c r="T104" s="55"/>
      <c r="U104" s="55">
        <f t="shared" si="99"/>
        <v>0</v>
      </c>
      <c r="V104" s="55">
        <v>0</v>
      </c>
      <c r="W104" s="58">
        <v>0</v>
      </c>
      <c r="X104" s="55">
        <f t="shared" si="100"/>
        <v>0</v>
      </c>
      <c r="AA104" s="40">
        <f t="shared" si="101"/>
        <v>0</v>
      </c>
      <c r="AB104" s="40">
        <f t="shared" si="102"/>
        <v>339.4776</v>
      </c>
      <c r="AC104" s="64"/>
    </row>
    <row r="105" spans="1:32" x14ac:dyDescent="0.25">
      <c r="A105" s="39">
        <v>45644</v>
      </c>
      <c r="B105" s="41" t="s">
        <v>549</v>
      </c>
      <c r="D105" s="54" t="s">
        <v>389</v>
      </c>
      <c r="E105" s="54" t="s">
        <v>390</v>
      </c>
      <c r="F105" s="45" t="str">
        <f t="shared" si="81"/>
        <v>S/F 77865 QUIRON PREVENCION, S.L.</v>
      </c>
      <c r="G105" s="55">
        <v>29.83</v>
      </c>
      <c r="H105" s="56">
        <v>0</v>
      </c>
      <c r="I105" s="55">
        <f t="shared" si="94"/>
        <v>0</v>
      </c>
      <c r="J105" s="57"/>
      <c r="K105" s="55">
        <f t="shared" si="95"/>
        <v>0</v>
      </c>
      <c r="L105" s="55">
        <v>82.13</v>
      </c>
      <c r="M105" s="56">
        <v>21</v>
      </c>
      <c r="N105" s="55">
        <f t="shared" si="96"/>
        <v>17.247299999999999</v>
      </c>
      <c r="O105" s="55"/>
      <c r="P105" s="55">
        <f t="shared" si="97"/>
        <v>0</v>
      </c>
      <c r="Q105" s="55">
        <v>0</v>
      </c>
      <c r="R105" s="56">
        <v>0</v>
      </c>
      <c r="S105" s="55">
        <f t="shared" si="98"/>
        <v>0</v>
      </c>
      <c r="T105" s="55"/>
      <c r="U105" s="55">
        <f t="shared" si="99"/>
        <v>0</v>
      </c>
      <c r="V105" s="55">
        <v>0</v>
      </c>
      <c r="W105" s="58">
        <v>0</v>
      </c>
      <c r="X105" s="55">
        <f t="shared" si="100"/>
        <v>0</v>
      </c>
      <c r="AA105" s="40">
        <f t="shared" si="101"/>
        <v>0</v>
      </c>
      <c r="AB105" s="40">
        <f t="shared" si="102"/>
        <v>129.2073</v>
      </c>
      <c r="AC105" s="64"/>
    </row>
    <row r="106" spans="1:32" x14ac:dyDescent="0.25">
      <c r="A106" s="39">
        <v>45648</v>
      </c>
      <c r="B106" s="41" t="s">
        <v>550</v>
      </c>
      <c r="D106" s="41" t="s">
        <v>102</v>
      </c>
      <c r="E106" s="41" t="s">
        <v>364</v>
      </c>
      <c r="F106" s="45" t="str">
        <f t="shared" si="81"/>
        <v>S/F 004561/A/24/010593 REPSOL COMERCIAL DE PRODUCTOS PETROLIFEROS, S.A.</v>
      </c>
      <c r="G106" s="55">
        <v>41.32</v>
      </c>
      <c r="H106" s="56">
        <v>21</v>
      </c>
      <c r="I106" s="55">
        <f t="shared" si="94"/>
        <v>8.6772000000000009</v>
      </c>
      <c r="J106" s="57"/>
      <c r="K106" s="55">
        <f t="shared" si="95"/>
        <v>0</v>
      </c>
      <c r="L106" s="55">
        <v>0</v>
      </c>
      <c r="M106" s="56">
        <v>0</v>
      </c>
      <c r="N106" s="55">
        <f t="shared" si="96"/>
        <v>0</v>
      </c>
      <c r="O106" s="55"/>
      <c r="P106" s="55">
        <f t="shared" si="97"/>
        <v>0</v>
      </c>
      <c r="Q106" s="55">
        <v>0</v>
      </c>
      <c r="R106" s="56">
        <v>0</v>
      </c>
      <c r="S106" s="55">
        <f t="shared" si="98"/>
        <v>0</v>
      </c>
      <c r="T106" s="55"/>
      <c r="U106" s="55">
        <f t="shared" si="99"/>
        <v>0</v>
      </c>
      <c r="V106" s="55">
        <v>0</v>
      </c>
      <c r="W106" s="58">
        <v>0</v>
      </c>
      <c r="X106" s="55">
        <f t="shared" si="100"/>
        <v>0</v>
      </c>
      <c r="AA106" s="40">
        <f t="shared" si="101"/>
        <v>0</v>
      </c>
      <c r="AB106" s="40">
        <f t="shared" si="102"/>
        <v>49.997199999999999</v>
      </c>
      <c r="AC106" s="64"/>
    </row>
    <row r="107" spans="1:32" x14ac:dyDescent="0.25">
      <c r="A107" s="93">
        <v>45639</v>
      </c>
      <c r="B107" s="94" t="s">
        <v>552</v>
      </c>
      <c r="C107" s="94"/>
      <c r="D107" s="94" t="s">
        <v>500</v>
      </c>
      <c r="E107" s="94" t="s">
        <v>501</v>
      </c>
      <c r="F107" s="95" t="str">
        <f>"S/F "&amp;B107&amp;" "&amp;E107</f>
        <v xml:space="preserve">S/F 2024095278 CHEN WEIMI - HIPER EURO </v>
      </c>
      <c r="G107" s="96">
        <v>37.64</v>
      </c>
      <c r="H107" s="97">
        <v>21</v>
      </c>
      <c r="I107" s="96">
        <v>7.91</v>
      </c>
      <c r="J107" s="98"/>
      <c r="K107" s="96">
        <v>0</v>
      </c>
      <c r="L107" s="96">
        <v>0</v>
      </c>
      <c r="M107" s="97">
        <v>0</v>
      </c>
      <c r="N107" s="96">
        <v>0</v>
      </c>
      <c r="O107" s="96"/>
      <c r="P107" s="96">
        <f>+IF(L107&lt;&gt;0,L107*O107/100,0)</f>
        <v>0</v>
      </c>
      <c r="Q107" s="96">
        <v>0</v>
      </c>
      <c r="R107" s="97">
        <v>0</v>
      </c>
      <c r="S107" s="96">
        <f>+IF(Q107&lt;&gt;0,Q107*R107/100,0)</f>
        <v>0</v>
      </c>
      <c r="T107" s="96"/>
      <c r="U107" s="96">
        <f>+IF(Q107&lt;&gt;0,Q107*T107/100,0)</f>
        <v>0</v>
      </c>
      <c r="V107" s="96">
        <v>0</v>
      </c>
      <c r="W107" s="99">
        <v>0</v>
      </c>
      <c r="X107" s="96">
        <f>+IF(W107&lt;&gt;0,V107*W107/100,0)</f>
        <v>0</v>
      </c>
      <c r="Y107" s="100"/>
      <c r="Z107" s="100"/>
      <c r="AA107" s="101">
        <f>+IF(Z107&lt;&gt;0,Y107*Z107/100,0)</f>
        <v>0</v>
      </c>
      <c r="AB107" s="101">
        <f>+G107+I107+K107+L107+N107+P107+Q107+S107+U107-X107-AA107</f>
        <v>45.55</v>
      </c>
      <c r="AC107" s="102"/>
      <c r="AD107" s="102"/>
      <c r="AE107" s="103" t="s">
        <v>508</v>
      </c>
      <c r="AF107" s="104"/>
    </row>
    <row r="108" spans="1:32" x14ac:dyDescent="0.25">
      <c r="A108" s="124">
        <v>45631</v>
      </c>
      <c r="B108" s="125" t="s">
        <v>562</v>
      </c>
      <c r="C108" s="125"/>
      <c r="D108" s="125" t="s">
        <v>557</v>
      </c>
      <c r="E108" s="125" t="s">
        <v>558</v>
      </c>
      <c r="F108" s="126" t="str">
        <f t="shared" ref="F108" si="119">"S/F "&amp;B108&amp;" "&amp;E108</f>
        <v>S/F 32/2024 CON FUEGO Y DUENDE, S.L.</v>
      </c>
      <c r="G108" s="127">
        <v>137.82</v>
      </c>
      <c r="H108" s="128">
        <v>10</v>
      </c>
      <c r="I108" s="47">
        <f t="shared" ref="I108" si="120">+IF(G108&lt;&gt;0,G108*H108/100,0)</f>
        <v>13.781999999999998</v>
      </c>
      <c r="J108" s="129"/>
      <c r="K108" s="127">
        <v>0</v>
      </c>
      <c r="L108" s="127">
        <v>0</v>
      </c>
      <c r="M108" s="128">
        <v>0</v>
      </c>
      <c r="N108" s="127">
        <f t="shared" ref="N108" si="121">+IF(L108&lt;&gt;0,L108*M108/100,0)</f>
        <v>0</v>
      </c>
      <c r="O108" s="127"/>
      <c r="P108" s="127">
        <v>0</v>
      </c>
      <c r="Q108" s="55">
        <v>0</v>
      </c>
      <c r="R108" s="56">
        <v>0</v>
      </c>
      <c r="S108" s="55">
        <f t="shared" si="98"/>
        <v>0</v>
      </c>
      <c r="T108" s="55"/>
      <c r="U108" s="55">
        <f t="shared" si="99"/>
        <v>0</v>
      </c>
      <c r="V108" s="55">
        <v>0</v>
      </c>
      <c r="W108" s="58">
        <v>0</v>
      </c>
      <c r="X108" s="55">
        <f t="shared" si="100"/>
        <v>0</v>
      </c>
      <c r="AA108" s="40">
        <f t="shared" si="101"/>
        <v>0</v>
      </c>
      <c r="AB108" s="40">
        <f t="shared" si="102"/>
        <v>151.602</v>
      </c>
      <c r="AC108" s="67"/>
    </row>
    <row r="109" spans="1:32" x14ac:dyDescent="0.25">
      <c r="A109" s="39">
        <v>45652</v>
      </c>
      <c r="B109" s="41" t="s">
        <v>573</v>
      </c>
      <c r="D109" s="41" t="s">
        <v>458</v>
      </c>
      <c r="E109" s="41" t="s">
        <v>381</v>
      </c>
      <c r="F109" s="45" t="str">
        <f t="shared" si="81"/>
        <v>S/F A2024/47 JESUS MARTINEZ TOBARRA - 2 INFO</v>
      </c>
      <c r="G109" s="55">
        <v>125.62</v>
      </c>
      <c r="H109" s="56">
        <v>21</v>
      </c>
      <c r="I109" s="55">
        <f t="shared" si="94"/>
        <v>26.380199999999999</v>
      </c>
      <c r="J109" s="57"/>
      <c r="K109" s="55">
        <f t="shared" si="95"/>
        <v>0</v>
      </c>
      <c r="L109" s="55">
        <v>0</v>
      </c>
      <c r="M109" s="56">
        <v>0</v>
      </c>
      <c r="N109" s="55">
        <f t="shared" si="96"/>
        <v>0</v>
      </c>
      <c r="O109" s="55"/>
      <c r="P109" s="55">
        <f t="shared" si="97"/>
        <v>0</v>
      </c>
      <c r="Q109" s="55">
        <v>0</v>
      </c>
      <c r="R109" s="56">
        <v>0</v>
      </c>
      <c r="S109" s="55">
        <f t="shared" si="98"/>
        <v>0</v>
      </c>
      <c r="T109" s="55"/>
      <c r="U109" s="55">
        <f t="shared" si="99"/>
        <v>0</v>
      </c>
      <c r="V109" s="55">
        <v>0</v>
      </c>
      <c r="W109" s="58">
        <v>0</v>
      </c>
      <c r="X109" s="55">
        <f t="shared" si="100"/>
        <v>0</v>
      </c>
      <c r="AA109" s="40">
        <f t="shared" si="101"/>
        <v>0</v>
      </c>
      <c r="AB109" s="40">
        <f t="shared" si="102"/>
        <v>152.00020000000001</v>
      </c>
      <c r="AC109" s="67"/>
    </row>
    <row r="110" spans="1:32" x14ac:dyDescent="0.25">
      <c r="A110" s="39">
        <v>45622</v>
      </c>
      <c r="B110" s="41" t="s">
        <v>574</v>
      </c>
      <c r="D110" s="41" t="s">
        <v>458</v>
      </c>
      <c r="E110" s="41" t="s">
        <v>381</v>
      </c>
      <c r="F110" s="45" t="str">
        <f t="shared" si="81"/>
        <v>S/F A2024/43 JESUS MARTINEZ TOBARRA - 2 INFO</v>
      </c>
      <c r="G110" s="55">
        <v>125.62</v>
      </c>
      <c r="H110" s="56">
        <v>21</v>
      </c>
      <c r="I110" s="55">
        <f t="shared" si="94"/>
        <v>26.380199999999999</v>
      </c>
      <c r="J110" s="57"/>
      <c r="K110" s="55">
        <f t="shared" si="95"/>
        <v>0</v>
      </c>
      <c r="L110" s="55">
        <v>0</v>
      </c>
      <c r="M110" s="56">
        <v>0</v>
      </c>
      <c r="N110" s="55">
        <f t="shared" si="96"/>
        <v>0</v>
      </c>
      <c r="O110" s="55"/>
      <c r="P110" s="55">
        <f t="shared" si="97"/>
        <v>0</v>
      </c>
      <c r="Q110" s="55">
        <v>0</v>
      </c>
      <c r="R110" s="56">
        <v>0</v>
      </c>
      <c r="S110" s="55">
        <f t="shared" si="98"/>
        <v>0</v>
      </c>
      <c r="T110" s="55"/>
      <c r="U110" s="55">
        <f t="shared" si="99"/>
        <v>0</v>
      </c>
      <c r="V110" s="55">
        <v>0</v>
      </c>
      <c r="W110" s="58">
        <v>0</v>
      </c>
      <c r="X110" s="55">
        <f t="shared" si="100"/>
        <v>0</v>
      </c>
      <c r="AA110" s="40">
        <f t="shared" si="101"/>
        <v>0</v>
      </c>
      <c r="AB110" s="40">
        <f t="shared" si="102"/>
        <v>152.00020000000001</v>
      </c>
      <c r="AC110" s="67"/>
    </row>
    <row r="111" spans="1:32" x14ac:dyDescent="0.25">
      <c r="A111" s="39">
        <v>45657</v>
      </c>
      <c r="B111" s="41" t="s">
        <v>575</v>
      </c>
      <c r="D111" s="41" t="s">
        <v>491</v>
      </c>
      <c r="E111" s="41" t="s">
        <v>492</v>
      </c>
      <c r="F111" s="45" t="str">
        <f t="shared" si="81"/>
        <v>S/F 22407134 MARCIL MADRID, S.A.</v>
      </c>
      <c r="G111" s="55">
        <v>140.77000000000001</v>
      </c>
      <c r="H111" s="56">
        <v>10</v>
      </c>
      <c r="I111" s="55">
        <f t="shared" si="94"/>
        <v>14.077</v>
      </c>
      <c r="J111" s="57"/>
      <c r="K111" s="55">
        <f t="shared" si="95"/>
        <v>0</v>
      </c>
      <c r="L111" s="55">
        <v>33.47</v>
      </c>
      <c r="M111" s="56">
        <v>21</v>
      </c>
      <c r="N111" s="55">
        <f t="shared" si="96"/>
        <v>7.0286999999999997</v>
      </c>
      <c r="O111" s="55"/>
      <c r="P111" s="55">
        <f t="shared" si="97"/>
        <v>0</v>
      </c>
      <c r="Q111" s="55">
        <v>0</v>
      </c>
      <c r="R111" s="56">
        <v>0</v>
      </c>
      <c r="S111" s="55">
        <f t="shared" si="98"/>
        <v>0</v>
      </c>
      <c r="T111" s="55"/>
      <c r="U111" s="55">
        <f t="shared" si="99"/>
        <v>0</v>
      </c>
      <c r="V111" s="55">
        <v>0</v>
      </c>
      <c r="W111" s="58">
        <v>0</v>
      </c>
      <c r="X111" s="55">
        <f t="shared" si="100"/>
        <v>0</v>
      </c>
      <c r="AA111" s="40">
        <f t="shared" si="101"/>
        <v>0</v>
      </c>
      <c r="AB111" s="40">
        <f t="shared" si="102"/>
        <v>195.34569999999999</v>
      </c>
      <c r="AC111" s="67"/>
    </row>
    <row r="112" spans="1:32" x14ac:dyDescent="0.25">
      <c r="A112" s="39">
        <v>45657</v>
      </c>
      <c r="B112" s="41" t="s">
        <v>576</v>
      </c>
      <c r="D112" s="41" t="s">
        <v>452</v>
      </c>
      <c r="E112" s="41" t="s">
        <v>453</v>
      </c>
      <c r="F112" s="45" t="str">
        <f t="shared" si="81"/>
        <v>S/F ES0000027802377-1224 BIP¬DRIVE, E.D.E., S.A.</v>
      </c>
      <c r="G112" s="55">
        <v>90.74</v>
      </c>
      <c r="H112" s="56">
        <v>21</v>
      </c>
      <c r="I112" s="55">
        <f t="shared" si="94"/>
        <v>19.055399999999999</v>
      </c>
      <c r="J112" s="57"/>
      <c r="K112" s="55">
        <f t="shared" si="95"/>
        <v>0</v>
      </c>
      <c r="L112" s="55">
        <v>0</v>
      </c>
      <c r="M112" s="56">
        <v>0</v>
      </c>
      <c r="N112" s="55">
        <f t="shared" si="96"/>
        <v>0</v>
      </c>
      <c r="O112" s="55"/>
      <c r="P112" s="55">
        <f t="shared" si="97"/>
        <v>0</v>
      </c>
      <c r="Q112" s="55">
        <v>0</v>
      </c>
      <c r="R112" s="56">
        <v>0</v>
      </c>
      <c r="S112" s="55">
        <f t="shared" si="98"/>
        <v>0</v>
      </c>
      <c r="T112" s="55"/>
      <c r="U112" s="55">
        <f t="shared" si="99"/>
        <v>0</v>
      </c>
      <c r="V112" s="55">
        <v>0</v>
      </c>
      <c r="W112" s="58">
        <v>0</v>
      </c>
      <c r="X112" s="55">
        <f t="shared" si="100"/>
        <v>0</v>
      </c>
      <c r="AA112" s="40">
        <f t="shared" si="101"/>
        <v>0</v>
      </c>
      <c r="AB112" s="40">
        <f t="shared" si="102"/>
        <v>109.7954</v>
      </c>
      <c r="AC112" s="67"/>
    </row>
    <row r="113" spans="1:32" x14ac:dyDescent="0.25">
      <c r="A113" s="39">
        <v>45653</v>
      </c>
      <c r="B113" s="41" t="s">
        <v>577</v>
      </c>
      <c r="D113" s="41" t="s">
        <v>405</v>
      </c>
      <c r="E113" s="41" t="s">
        <v>406</v>
      </c>
      <c r="F113" s="45" t="str">
        <f t="shared" si="81"/>
        <v>S/F P24C0N054033649 ENDESA ENERGIA, S.A.</v>
      </c>
      <c r="G113" s="55">
        <v>60.67</v>
      </c>
      <c r="H113" s="56">
        <v>10</v>
      </c>
      <c r="I113" s="55">
        <f t="shared" si="94"/>
        <v>6.0670000000000002</v>
      </c>
      <c r="J113" s="57"/>
      <c r="K113" s="55">
        <f t="shared" si="95"/>
        <v>0</v>
      </c>
      <c r="L113" s="55">
        <v>0</v>
      </c>
      <c r="M113" s="56">
        <v>0</v>
      </c>
      <c r="N113" s="55">
        <f t="shared" si="96"/>
        <v>0</v>
      </c>
      <c r="O113" s="55"/>
      <c r="P113" s="55">
        <f t="shared" si="97"/>
        <v>0</v>
      </c>
      <c r="Q113" s="55">
        <v>0</v>
      </c>
      <c r="R113" s="56">
        <v>0</v>
      </c>
      <c r="S113" s="55">
        <f t="shared" si="98"/>
        <v>0</v>
      </c>
      <c r="T113" s="55"/>
      <c r="U113" s="55">
        <f t="shared" si="99"/>
        <v>0</v>
      </c>
      <c r="V113" s="55">
        <v>0</v>
      </c>
      <c r="W113" s="58">
        <v>0</v>
      </c>
      <c r="X113" s="55">
        <f t="shared" si="100"/>
        <v>0</v>
      </c>
      <c r="AA113" s="40">
        <f t="shared" si="101"/>
        <v>0</v>
      </c>
      <c r="AB113" s="40">
        <f t="shared" si="102"/>
        <v>66.736999999999995</v>
      </c>
      <c r="AC113" s="67"/>
    </row>
    <row r="114" spans="1:32" x14ac:dyDescent="0.25">
      <c r="A114" s="75">
        <v>45633</v>
      </c>
      <c r="B114" s="77" t="s">
        <v>555</v>
      </c>
      <c r="C114" s="77"/>
      <c r="D114" s="77" t="s">
        <v>554</v>
      </c>
      <c r="E114" s="77" t="s">
        <v>553</v>
      </c>
      <c r="F114" s="78" t="str">
        <f t="shared" ref="F114" si="122">"S/F "&amp;B114&amp;" "&amp;E114</f>
        <v>S/F 1/24-000024 BAR BISTRO GUADALMINA, SL.</v>
      </c>
      <c r="G114" s="79">
        <v>160.91</v>
      </c>
      <c r="H114" s="80">
        <v>10</v>
      </c>
      <c r="I114" s="92">
        <f t="shared" ref="I114" si="123">+IF(G114&lt;&gt;0,G114*H114/100,0)</f>
        <v>16.090999999999998</v>
      </c>
      <c r="J114" s="81"/>
      <c r="K114" s="79">
        <v>0</v>
      </c>
      <c r="L114" s="79">
        <v>0</v>
      </c>
      <c r="M114" s="80">
        <v>0</v>
      </c>
      <c r="N114" s="79">
        <f t="shared" ref="N114" si="124">+IF(L114&lt;&gt;0,L114*M114/100,0)</f>
        <v>0</v>
      </c>
      <c r="O114" s="79"/>
      <c r="P114" s="79">
        <v>0</v>
      </c>
      <c r="Q114" s="79"/>
      <c r="R114" s="81"/>
      <c r="S114" s="79">
        <f t="shared" ref="S114" si="125">+IF(Q114&lt;&gt;0,Q114*R114/100,0)</f>
        <v>0</v>
      </c>
      <c r="T114" s="79"/>
      <c r="U114" s="79">
        <f t="shared" ref="U114" si="126">+IF(Q114&lt;&gt;0,Q114*T114/100,0)</f>
        <v>0</v>
      </c>
      <c r="V114" s="79">
        <v>0</v>
      </c>
      <c r="W114" s="82">
        <v>0</v>
      </c>
      <c r="X114" s="79">
        <f t="shared" ref="X114" si="127">+IF(W114&lt;&gt;0,V114*W114/100,0)</f>
        <v>0</v>
      </c>
      <c r="Y114" s="83"/>
      <c r="Z114" s="83"/>
      <c r="AA114" s="84">
        <f t="shared" ref="AA114" si="128">+IF(Z114&lt;&gt;0,Y114*Z114/100,0)</f>
        <v>0</v>
      </c>
      <c r="AB114" s="84">
        <f t="shared" ref="AB114" si="129">+G114+I114+K114+L114+N114+P114+Q114+S114+U114-X114-AA114</f>
        <v>177.001</v>
      </c>
      <c r="AC114" s="64"/>
      <c r="AD114" s="85"/>
      <c r="AE114" s="85" t="s">
        <v>367</v>
      </c>
      <c r="AF114" s="89"/>
    </row>
    <row r="115" spans="1:32" x14ac:dyDescent="0.25">
      <c r="A115" s="75">
        <v>45636</v>
      </c>
      <c r="B115" s="77" t="s">
        <v>556</v>
      </c>
      <c r="C115" s="77"/>
      <c r="D115" s="77" t="s">
        <v>557</v>
      </c>
      <c r="E115" s="77" t="s">
        <v>558</v>
      </c>
      <c r="F115" s="78" t="str">
        <f t="shared" si="81"/>
        <v>S/F 33/2024 CON FUEGO Y DUENDE, S.L.</v>
      </c>
      <c r="G115" s="79">
        <v>133.72999999999999</v>
      </c>
      <c r="H115" s="80">
        <v>10</v>
      </c>
      <c r="I115" s="92">
        <f t="shared" si="94"/>
        <v>13.372999999999999</v>
      </c>
      <c r="J115" s="81"/>
      <c r="K115" s="79">
        <v>0</v>
      </c>
      <c r="L115" s="79">
        <v>0</v>
      </c>
      <c r="M115" s="80">
        <v>0</v>
      </c>
      <c r="N115" s="79">
        <f t="shared" si="96"/>
        <v>0</v>
      </c>
      <c r="O115" s="79"/>
      <c r="P115" s="79">
        <v>0</v>
      </c>
      <c r="Q115" s="79"/>
      <c r="R115" s="81"/>
      <c r="S115" s="79">
        <f t="shared" si="98"/>
        <v>0</v>
      </c>
      <c r="T115" s="79"/>
      <c r="U115" s="79">
        <f t="shared" si="99"/>
        <v>0</v>
      </c>
      <c r="V115" s="79">
        <v>0</v>
      </c>
      <c r="W115" s="82">
        <v>0</v>
      </c>
      <c r="X115" s="79">
        <f t="shared" si="100"/>
        <v>0</v>
      </c>
      <c r="Y115" s="83"/>
      <c r="Z115" s="83"/>
      <c r="AA115" s="84">
        <f t="shared" si="101"/>
        <v>0</v>
      </c>
      <c r="AB115" s="84">
        <f t="shared" si="102"/>
        <v>147.10299999999998</v>
      </c>
      <c r="AC115" s="64"/>
      <c r="AD115" s="85"/>
      <c r="AE115" s="85" t="s">
        <v>367</v>
      </c>
      <c r="AF115" s="89"/>
    </row>
    <row r="116" spans="1:32" x14ac:dyDescent="0.25">
      <c r="A116" s="75">
        <v>45638</v>
      </c>
      <c r="B116" s="77" t="s">
        <v>559</v>
      </c>
      <c r="C116" s="77"/>
      <c r="D116" s="77" t="s">
        <v>399</v>
      </c>
      <c r="E116" s="77" t="s">
        <v>560</v>
      </c>
      <c r="F116" s="78" t="str">
        <f t="shared" si="81"/>
        <v>S/F A-V2024-00005922214 MERCADONA, S.A.</v>
      </c>
      <c r="G116" s="79">
        <v>27.17</v>
      </c>
      <c r="H116" s="80">
        <v>2</v>
      </c>
      <c r="I116" s="92">
        <v>0.56000000000000005</v>
      </c>
      <c r="J116" s="81"/>
      <c r="K116" s="79">
        <v>0</v>
      </c>
      <c r="L116" s="79">
        <v>74.92</v>
      </c>
      <c r="M116" s="80">
        <v>10</v>
      </c>
      <c r="N116" s="79">
        <v>7.5</v>
      </c>
      <c r="O116" s="79"/>
      <c r="P116" s="79">
        <v>0</v>
      </c>
      <c r="Q116" s="79">
        <v>34.18</v>
      </c>
      <c r="R116" s="81">
        <v>21</v>
      </c>
      <c r="S116" s="79">
        <v>7.17</v>
      </c>
      <c r="T116" s="79"/>
      <c r="U116" s="79">
        <f t="shared" si="99"/>
        <v>0</v>
      </c>
      <c r="V116" s="79">
        <v>0</v>
      </c>
      <c r="W116" s="82">
        <v>0</v>
      </c>
      <c r="X116" s="79">
        <f t="shared" si="100"/>
        <v>0</v>
      </c>
      <c r="Y116" s="83"/>
      <c r="Z116" s="83"/>
      <c r="AA116" s="84">
        <f t="shared" si="101"/>
        <v>0</v>
      </c>
      <c r="AB116" s="84">
        <f t="shared" si="102"/>
        <v>151.5</v>
      </c>
      <c r="AC116" s="64"/>
      <c r="AD116" s="85"/>
      <c r="AE116" s="85" t="s">
        <v>367</v>
      </c>
      <c r="AF116" s="89"/>
    </row>
    <row r="117" spans="1:32" x14ac:dyDescent="0.25">
      <c r="A117" s="75">
        <v>45639</v>
      </c>
      <c r="B117" s="77" t="s">
        <v>561</v>
      </c>
      <c r="C117" s="77"/>
      <c r="D117" s="77" t="s">
        <v>412</v>
      </c>
      <c r="E117" s="77" t="s">
        <v>418</v>
      </c>
      <c r="F117" s="78" t="str">
        <f t="shared" si="81"/>
        <v>S/F 83124FE000032476 MARKOIL,S.A.</v>
      </c>
      <c r="G117" s="79">
        <v>58.65</v>
      </c>
      <c r="H117" s="80">
        <v>21</v>
      </c>
      <c r="I117" s="92">
        <v>12.31</v>
      </c>
      <c r="J117" s="81"/>
      <c r="K117" s="79">
        <v>0</v>
      </c>
      <c r="L117" s="79">
        <v>0</v>
      </c>
      <c r="M117" s="80">
        <v>0</v>
      </c>
      <c r="N117" s="79">
        <f t="shared" si="96"/>
        <v>0</v>
      </c>
      <c r="O117" s="79"/>
      <c r="P117" s="79">
        <v>0</v>
      </c>
      <c r="Q117" s="79"/>
      <c r="R117" s="81"/>
      <c r="S117" s="79">
        <f t="shared" si="98"/>
        <v>0</v>
      </c>
      <c r="T117" s="79"/>
      <c r="U117" s="79">
        <f t="shared" si="99"/>
        <v>0</v>
      </c>
      <c r="V117" s="79">
        <v>0</v>
      </c>
      <c r="W117" s="82">
        <v>0</v>
      </c>
      <c r="X117" s="79">
        <f t="shared" si="100"/>
        <v>0</v>
      </c>
      <c r="Y117" s="83"/>
      <c r="Z117" s="83"/>
      <c r="AA117" s="84">
        <f t="shared" si="101"/>
        <v>0</v>
      </c>
      <c r="AB117" s="84">
        <f t="shared" si="102"/>
        <v>70.959999999999994</v>
      </c>
      <c r="AC117" s="64"/>
      <c r="AD117" s="85"/>
      <c r="AE117" s="85" t="s">
        <v>367</v>
      </c>
      <c r="AF117" s="89"/>
    </row>
    <row r="118" spans="1:32" x14ac:dyDescent="0.25">
      <c r="A118" s="75">
        <v>45642</v>
      </c>
      <c r="B118" s="77" t="s">
        <v>562</v>
      </c>
      <c r="C118" s="77"/>
      <c r="D118" s="77" t="s">
        <v>563</v>
      </c>
      <c r="E118" s="77" t="s">
        <v>564</v>
      </c>
      <c r="F118" s="78" t="str">
        <f t="shared" si="81"/>
        <v>S/F 32/2024 Mª ISABEL TEJADA FUNES</v>
      </c>
      <c r="G118" s="79">
        <v>400</v>
      </c>
      <c r="H118" s="80">
        <v>10</v>
      </c>
      <c r="I118" s="92">
        <f t="shared" si="94"/>
        <v>40</v>
      </c>
      <c r="J118" s="81"/>
      <c r="K118" s="79">
        <v>0</v>
      </c>
      <c r="L118" s="79">
        <v>0</v>
      </c>
      <c r="M118" s="80">
        <v>0</v>
      </c>
      <c r="N118" s="79">
        <f t="shared" si="96"/>
        <v>0</v>
      </c>
      <c r="O118" s="79"/>
      <c r="P118" s="79">
        <v>0</v>
      </c>
      <c r="Q118" s="79"/>
      <c r="R118" s="81"/>
      <c r="S118" s="79">
        <f t="shared" si="98"/>
        <v>0</v>
      </c>
      <c r="T118" s="79"/>
      <c r="U118" s="79">
        <f t="shared" si="99"/>
        <v>0</v>
      </c>
      <c r="V118" s="79">
        <v>0</v>
      </c>
      <c r="W118" s="82">
        <v>0</v>
      </c>
      <c r="X118" s="79">
        <f t="shared" si="100"/>
        <v>0</v>
      </c>
      <c r="Y118" s="83"/>
      <c r="Z118" s="83"/>
      <c r="AA118" s="84">
        <f t="shared" si="101"/>
        <v>0</v>
      </c>
      <c r="AB118" s="84">
        <f t="shared" si="102"/>
        <v>440</v>
      </c>
      <c r="AC118" s="64"/>
      <c r="AD118" s="85"/>
      <c r="AE118" s="85" t="s">
        <v>367</v>
      </c>
      <c r="AF118" s="89"/>
    </row>
    <row r="119" spans="1:32" x14ac:dyDescent="0.25">
      <c r="A119" s="75">
        <v>45643</v>
      </c>
      <c r="B119" s="77" t="s">
        <v>565</v>
      </c>
      <c r="C119" s="77"/>
      <c r="D119" s="77" t="s">
        <v>566</v>
      </c>
      <c r="E119" s="77" t="s">
        <v>567</v>
      </c>
      <c r="F119" s="78" t="str">
        <f t="shared" si="81"/>
        <v>S/F INVES11415534120243837 SEBASTIAN SONNTAG</v>
      </c>
      <c r="G119" s="79">
        <v>28.08</v>
      </c>
      <c r="H119" s="80">
        <v>0</v>
      </c>
      <c r="I119" s="92">
        <f t="shared" si="94"/>
        <v>0</v>
      </c>
      <c r="J119" s="81"/>
      <c r="K119" s="79">
        <v>0</v>
      </c>
      <c r="L119" s="79">
        <v>0</v>
      </c>
      <c r="M119" s="80">
        <v>0</v>
      </c>
      <c r="N119" s="79">
        <f t="shared" si="96"/>
        <v>0</v>
      </c>
      <c r="O119" s="79"/>
      <c r="P119" s="79">
        <v>0</v>
      </c>
      <c r="Q119" s="79"/>
      <c r="R119" s="81"/>
      <c r="S119" s="79">
        <f t="shared" si="98"/>
        <v>0</v>
      </c>
      <c r="T119" s="79"/>
      <c r="U119" s="79">
        <f t="shared" si="99"/>
        <v>0</v>
      </c>
      <c r="V119" s="79">
        <v>0</v>
      </c>
      <c r="W119" s="82">
        <v>0</v>
      </c>
      <c r="X119" s="79">
        <f t="shared" si="100"/>
        <v>0</v>
      </c>
      <c r="Y119" s="83"/>
      <c r="Z119" s="83"/>
      <c r="AA119" s="84">
        <f t="shared" si="101"/>
        <v>0</v>
      </c>
      <c r="AB119" s="84">
        <f t="shared" si="102"/>
        <v>28.08</v>
      </c>
      <c r="AC119" s="64"/>
      <c r="AD119" s="85"/>
      <c r="AE119" s="85" t="s">
        <v>367</v>
      </c>
      <c r="AF119" s="89"/>
    </row>
    <row r="120" spans="1:32" x14ac:dyDescent="0.25">
      <c r="A120" s="75">
        <v>45649</v>
      </c>
      <c r="B120" s="77" t="s">
        <v>568</v>
      </c>
      <c r="C120" s="77"/>
      <c r="D120" s="77" t="s">
        <v>569</v>
      </c>
      <c r="E120" s="77" t="s">
        <v>570</v>
      </c>
      <c r="F120" s="78" t="str">
        <f t="shared" si="81"/>
        <v>S/F F03-534 UCRANIA, S.A.</v>
      </c>
      <c r="G120" s="79">
        <v>288.73</v>
      </c>
      <c r="H120" s="80">
        <v>10</v>
      </c>
      <c r="I120" s="92">
        <f t="shared" si="94"/>
        <v>28.873000000000001</v>
      </c>
      <c r="J120" s="81"/>
      <c r="K120" s="79">
        <v>0</v>
      </c>
      <c r="L120" s="79">
        <v>0</v>
      </c>
      <c r="M120" s="80">
        <v>0</v>
      </c>
      <c r="N120" s="79">
        <f t="shared" si="96"/>
        <v>0</v>
      </c>
      <c r="O120" s="79"/>
      <c r="P120" s="79">
        <v>0</v>
      </c>
      <c r="Q120" s="79"/>
      <c r="R120" s="81"/>
      <c r="S120" s="79">
        <f t="shared" si="98"/>
        <v>0</v>
      </c>
      <c r="T120" s="79"/>
      <c r="U120" s="79">
        <f t="shared" si="99"/>
        <v>0</v>
      </c>
      <c r="V120" s="79">
        <v>0</v>
      </c>
      <c r="W120" s="82">
        <v>0</v>
      </c>
      <c r="X120" s="79">
        <f t="shared" si="100"/>
        <v>0</v>
      </c>
      <c r="Y120" s="83"/>
      <c r="Z120" s="83"/>
      <c r="AA120" s="84">
        <f t="shared" si="101"/>
        <v>0</v>
      </c>
      <c r="AB120" s="84">
        <f t="shared" si="102"/>
        <v>317.60300000000001</v>
      </c>
      <c r="AC120" s="64"/>
      <c r="AD120" s="85"/>
      <c r="AE120" s="85" t="s">
        <v>367</v>
      </c>
      <c r="AF120" s="89"/>
    </row>
    <row r="121" spans="1:32" x14ac:dyDescent="0.25">
      <c r="A121" s="75">
        <v>45644</v>
      </c>
      <c r="B121" s="76" t="s">
        <v>571</v>
      </c>
      <c r="C121" s="77"/>
      <c r="D121" s="77" t="s">
        <v>412</v>
      </c>
      <c r="E121" s="77" t="s">
        <v>418</v>
      </c>
      <c r="F121" s="78" t="str">
        <f t="shared" si="81"/>
        <v>S/F FALTA FRA MARKOIL,S.A.</v>
      </c>
      <c r="G121" s="79">
        <f>44.41/1.21</f>
        <v>36.70247933884297</v>
      </c>
      <c r="H121" s="80">
        <v>21</v>
      </c>
      <c r="I121" s="92">
        <f t="shared" si="94"/>
        <v>7.7075206611570239</v>
      </c>
      <c r="J121" s="81"/>
      <c r="K121" s="79">
        <v>0</v>
      </c>
      <c r="L121" s="79">
        <v>0</v>
      </c>
      <c r="M121" s="80">
        <v>0</v>
      </c>
      <c r="N121" s="79">
        <f t="shared" si="96"/>
        <v>0</v>
      </c>
      <c r="O121" s="79"/>
      <c r="P121" s="79">
        <v>0</v>
      </c>
      <c r="Q121" s="79"/>
      <c r="R121" s="81"/>
      <c r="S121" s="79">
        <f t="shared" si="98"/>
        <v>0</v>
      </c>
      <c r="T121" s="79"/>
      <c r="U121" s="79">
        <f t="shared" si="99"/>
        <v>0</v>
      </c>
      <c r="V121" s="79">
        <v>0</v>
      </c>
      <c r="W121" s="82">
        <v>0</v>
      </c>
      <c r="X121" s="79">
        <f t="shared" si="100"/>
        <v>0</v>
      </c>
      <c r="Y121" s="83"/>
      <c r="Z121" s="83"/>
      <c r="AA121" s="84">
        <f t="shared" si="101"/>
        <v>0</v>
      </c>
      <c r="AB121" s="84">
        <f t="shared" si="102"/>
        <v>44.41</v>
      </c>
      <c r="AC121" s="64"/>
      <c r="AD121" s="85"/>
      <c r="AE121" s="85" t="s">
        <v>367</v>
      </c>
      <c r="AF121" s="89"/>
    </row>
    <row r="122" spans="1:32" x14ac:dyDescent="0.25">
      <c r="A122" s="75">
        <v>45648</v>
      </c>
      <c r="B122" s="76" t="s">
        <v>571</v>
      </c>
      <c r="C122" s="77"/>
      <c r="D122" s="77"/>
      <c r="E122" s="77" t="s">
        <v>572</v>
      </c>
      <c r="F122" s="78" t="str">
        <f t="shared" si="81"/>
        <v>S/F FALTA FRA EST MALAGA</v>
      </c>
      <c r="G122" s="79">
        <f>59.8/1.21</f>
        <v>49.421487603305785</v>
      </c>
      <c r="H122" s="80">
        <v>21</v>
      </c>
      <c r="I122" s="92">
        <f t="shared" si="94"/>
        <v>10.378512396694214</v>
      </c>
      <c r="J122" s="81"/>
      <c r="K122" s="79">
        <v>0</v>
      </c>
      <c r="L122" s="79">
        <v>0</v>
      </c>
      <c r="M122" s="80">
        <v>0</v>
      </c>
      <c r="N122" s="79">
        <f t="shared" si="96"/>
        <v>0</v>
      </c>
      <c r="O122" s="79"/>
      <c r="P122" s="79">
        <v>0</v>
      </c>
      <c r="Q122" s="79"/>
      <c r="R122" s="81"/>
      <c r="S122" s="79">
        <f t="shared" si="98"/>
        <v>0</v>
      </c>
      <c r="T122" s="79"/>
      <c r="U122" s="79">
        <f t="shared" si="99"/>
        <v>0</v>
      </c>
      <c r="V122" s="79">
        <v>0</v>
      </c>
      <c r="W122" s="82">
        <v>0</v>
      </c>
      <c r="X122" s="79">
        <f t="shared" si="100"/>
        <v>0</v>
      </c>
      <c r="Y122" s="83"/>
      <c r="Z122" s="83"/>
      <c r="AA122" s="84">
        <f t="shared" si="101"/>
        <v>0</v>
      </c>
      <c r="AB122" s="84">
        <f>+G122+I122+K122+L122+N122+P122+Q122+S122+U122-X122</f>
        <v>59.8</v>
      </c>
      <c r="AC122" s="64"/>
      <c r="AD122" s="123">
        <f>SUM(AB114:AB122)</f>
        <v>1436.4570000000001</v>
      </c>
      <c r="AE122" s="85" t="s">
        <v>413</v>
      </c>
      <c r="AF122" s="89"/>
    </row>
    <row r="123" spans="1:32" x14ac:dyDescent="0.25">
      <c r="A123" s="39">
        <v>45657</v>
      </c>
      <c r="B123" s="41" t="s">
        <v>578</v>
      </c>
      <c r="D123" s="41" t="s">
        <v>380</v>
      </c>
      <c r="E123" s="41" t="s">
        <v>398</v>
      </c>
      <c r="F123" s="45" t="str">
        <f t="shared" si="81"/>
        <v>S/F F245028 CONTAMAR ASESORES DE EMPRESA, S.L.</v>
      </c>
      <c r="G123" s="55">
        <v>79.099999999999994</v>
      </c>
      <c r="H123" s="56">
        <v>21</v>
      </c>
      <c r="I123" s="55">
        <f t="shared" ref="I123:I136" si="130">+IF(G123&lt;&gt;0,G123*H123/100,0)</f>
        <v>16.611000000000001</v>
      </c>
      <c r="J123" s="57"/>
      <c r="K123" s="55">
        <f t="shared" ref="K123:K136" si="131">+IF(G123&lt;&gt;0,G123*J123/100,0)</f>
        <v>0</v>
      </c>
      <c r="L123" s="55">
        <v>0</v>
      </c>
      <c r="M123" s="56">
        <v>0</v>
      </c>
      <c r="N123" s="55">
        <f t="shared" ref="N123:N136" si="132">+IF(L123&lt;&gt;0,L123*M123/100,0)</f>
        <v>0</v>
      </c>
      <c r="O123" s="55"/>
      <c r="P123" s="55">
        <f t="shared" ref="P123:P136" si="133">+IF(L123&lt;&gt;0,L123*O123/100,0)</f>
        <v>0</v>
      </c>
      <c r="Q123" s="55">
        <v>0</v>
      </c>
      <c r="R123" s="56">
        <v>0</v>
      </c>
      <c r="S123" s="55">
        <f t="shared" ref="S123:S136" si="134">+IF(Q123&lt;&gt;0,Q123*R123/100,0)</f>
        <v>0</v>
      </c>
      <c r="T123" s="55"/>
      <c r="U123" s="55">
        <f t="shared" ref="U123:U136" si="135">+IF(Q123&lt;&gt;0,Q123*T123/100,0)</f>
        <v>0</v>
      </c>
      <c r="V123" s="55">
        <v>0</v>
      </c>
      <c r="W123" s="58">
        <v>0</v>
      </c>
      <c r="X123" s="55">
        <f t="shared" ref="X123:X136" si="136">+IF(W123&lt;&gt;0,V123*W123/100,0)</f>
        <v>0</v>
      </c>
      <c r="AA123" s="40">
        <f t="shared" ref="AA123:AA148" si="137">+IF(Z123&lt;&gt;0,Y123*Z123/100,0)</f>
        <v>0</v>
      </c>
      <c r="AB123" s="40">
        <f t="shared" ref="AB123:AB148" si="138">+G123+I123+K123+L123+N123+P123+Q123+S123+U123-X123-AA123</f>
        <v>95.710999999999999</v>
      </c>
      <c r="AC123" s="67"/>
    </row>
    <row r="124" spans="1:32" x14ac:dyDescent="0.25">
      <c r="A124" s="39">
        <v>45657</v>
      </c>
      <c r="B124" s="41" t="s">
        <v>579</v>
      </c>
      <c r="D124" s="41" t="s">
        <v>455</v>
      </c>
      <c r="E124" s="41" t="s">
        <v>371</v>
      </c>
      <c r="F124" s="45" t="str">
        <f t="shared" si="81"/>
        <v>S/F a/2024001121 COURIER CONSULTING, S.L.</v>
      </c>
      <c r="G124" s="55">
        <v>88.99</v>
      </c>
      <c r="H124" s="56">
        <v>21</v>
      </c>
      <c r="I124" s="55">
        <f t="shared" si="130"/>
        <v>18.687899999999999</v>
      </c>
      <c r="J124" s="57"/>
      <c r="K124" s="55">
        <f t="shared" si="131"/>
        <v>0</v>
      </c>
      <c r="L124" s="55">
        <v>0</v>
      </c>
      <c r="M124" s="56">
        <v>0</v>
      </c>
      <c r="N124" s="55">
        <f t="shared" si="132"/>
        <v>0</v>
      </c>
      <c r="O124" s="55"/>
      <c r="P124" s="55">
        <f t="shared" si="133"/>
        <v>0</v>
      </c>
      <c r="Q124" s="55">
        <v>0</v>
      </c>
      <c r="R124" s="56">
        <v>0</v>
      </c>
      <c r="S124" s="55">
        <f t="shared" si="134"/>
        <v>0</v>
      </c>
      <c r="T124" s="55"/>
      <c r="U124" s="55">
        <f t="shared" si="135"/>
        <v>0</v>
      </c>
      <c r="V124" s="55">
        <v>0</v>
      </c>
      <c r="W124" s="58">
        <v>0</v>
      </c>
      <c r="X124" s="55">
        <f t="shared" si="136"/>
        <v>0</v>
      </c>
      <c r="AA124" s="40">
        <f t="shared" si="137"/>
        <v>0</v>
      </c>
      <c r="AB124" s="40">
        <f t="shared" si="138"/>
        <v>107.67789999999999</v>
      </c>
      <c r="AC124" s="67"/>
    </row>
    <row r="125" spans="1:32" x14ac:dyDescent="0.25">
      <c r="A125" s="39">
        <v>45622</v>
      </c>
      <c r="B125" s="41" t="s">
        <v>580</v>
      </c>
      <c r="D125" s="54" t="s">
        <v>471</v>
      </c>
      <c r="E125" s="54" t="s">
        <v>472</v>
      </c>
      <c r="F125" s="45" t="str">
        <f t="shared" si="81"/>
        <v>S/F 51062024AA00320472 HIDRALIA GESTION INTEGRAL DE AGUAS DE ANDALUCIA</v>
      </c>
      <c r="G125" s="55">
        <v>13.95</v>
      </c>
      <c r="H125" s="56">
        <v>10</v>
      </c>
      <c r="I125" s="55">
        <f t="shared" si="130"/>
        <v>1.395</v>
      </c>
      <c r="J125" s="57"/>
      <c r="K125" s="55">
        <f t="shared" si="131"/>
        <v>0</v>
      </c>
      <c r="L125" s="55">
        <v>2</v>
      </c>
      <c r="M125" s="56">
        <v>0</v>
      </c>
      <c r="N125" s="55">
        <f t="shared" si="132"/>
        <v>0</v>
      </c>
      <c r="O125" s="55"/>
      <c r="P125" s="55">
        <f t="shared" si="133"/>
        <v>0</v>
      </c>
      <c r="Q125" s="55">
        <v>0</v>
      </c>
      <c r="R125" s="56">
        <v>0</v>
      </c>
      <c r="S125" s="55">
        <f t="shared" si="134"/>
        <v>0</v>
      </c>
      <c r="T125" s="55"/>
      <c r="U125" s="55">
        <f t="shared" si="135"/>
        <v>0</v>
      </c>
      <c r="V125" s="55">
        <v>0</v>
      </c>
      <c r="W125" s="58">
        <v>0</v>
      </c>
      <c r="X125" s="55">
        <f t="shared" si="136"/>
        <v>0</v>
      </c>
      <c r="AA125" s="40">
        <f t="shared" si="137"/>
        <v>0</v>
      </c>
      <c r="AB125" s="40">
        <f t="shared" si="138"/>
        <v>17.344999999999999</v>
      </c>
      <c r="AC125" s="67"/>
    </row>
    <row r="126" spans="1:32" x14ac:dyDescent="0.25">
      <c r="A126" s="39">
        <v>45622</v>
      </c>
      <c r="B126" s="41" t="s">
        <v>581</v>
      </c>
      <c r="D126" s="54" t="s">
        <v>473</v>
      </c>
      <c r="E126" s="54" t="s">
        <v>474</v>
      </c>
      <c r="F126" s="45" t="str">
        <f t="shared" si="81"/>
        <v>S/F 51062024A500317194 ACOSOL</v>
      </c>
      <c r="G126" s="55">
        <v>4.82</v>
      </c>
      <c r="H126" s="56">
        <v>10</v>
      </c>
      <c r="I126" s="55">
        <f t="shared" si="130"/>
        <v>0.48200000000000004</v>
      </c>
      <c r="J126" s="57"/>
      <c r="K126" s="55">
        <f t="shared" si="131"/>
        <v>0</v>
      </c>
      <c r="L126" s="55">
        <v>0</v>
      </c>
      <c r="M126" s="56">
        <v>0</v>
      </c>
      <c r="N126" s="55">
        <f t="shared" si="132"/>
        <v>0</v>
      </c>
      <c r="O126" s="55"/>
      <c r="P126" s="55">
        <f t="shared" si="133"/>
        <v>0</v>
      </c>
      <c r="Q126" s="55">
        <v>0</v>
      </c>
      <c r="R126" s="56">
        <v>0</v>
      </c>
      <c r="S126" s="55">
        <f t="shared" si="134"/>
        <v>0</v>
      </c>
      <c r="T126" s="55"/>
      <c r="U126" s="55">
        <f t="shared" si="135"/>
        <v>0</v>
      </c>
      <c r="V126" s="55">
        <v>0</v>
      </c>
      <c r="W126" s="58">
        <v>0</v>
      </c>
      <c r="X126" s="55">
        <f t="shared" si="136"/>
        <v>0</v>
      </c>
      <c r="AA126" s="40">
        <f t="shared" si="137"/>
        <v>0</v>
      </c>
      <c r="AB126" s="40">
        <f t="shared" si="138"/>
        <v>5.3020000000000005</v>
      </c>
      <c r="AC126" s="67"/>
    </row>
    <row r="127" spans="1:32" x14ac:dyDescent="0.25">
      <c r="A127" s="39">
        <v>45657</v>
      </c>
      <c r="B127" s="41" t="s">
        <v>582</v>
      </c>
      <c r="D127" s="41" t="s">
        <v>376</v>
      </c>
      <c r="E127" s="41" t="s">
        <v>377</v>
      </c>
      <c r="F127" s="45" t="str">
        <f t="shared" si="81"/>
        <v>S/F 481 ISRAEL LLAVERO PEREZ</v>
      </c>
      <c r="G127" s="55">
        <v>1562.97</v>
      </c>
      <c r="H127" s="56">
        <v>21</v>
      </c>
      <c r="I127" s="55">
        <f t="shared" si="130"/>
        <v>328.22370000000001</v>
      </c>
      <c r="J127" s="57"/>
      <c r="K127" s="55">
        <f t="shared" si="131"/>
        <v>0</v>
      </c>
      <c r="L127" s="55">
        <v>0</v>
      </c>
      <c r="M127" s="56">
        <v>0</v>
      </c>
      <c r="N127" s="55">
        <f t="shared" si="132"/>
        <v>0</v>
      </c>
      <c r="O127" s="55"/>
      <c r="P127" s="55">
        <f t="shared" si="133"/>
        <v>0</v>
      </c>
      <c r="Q127" s="55">
        <v>0</v>
      </c>
      <c r="R127" s="56">
        <v>0</v>
      </c>
      <c r="S127" s="55">
        <f t="shared" si="134"/>
        <v>0</v>
      </c>
      <c r="T127" s="55"/>
      <c r="U127" s="55">
        <f t="shared" si="135"/>
        <v>0</v>
      </c>
      <c r="V127" s="55">
        <v>0</v>
      </c>
      <c r="W127" s="58">
        <v>0</v>
      </c>
      <c r="X127" s="55">
        <f t="shared" si="136"/>
        <v>0</v>
      </c>
      <c r="AA127" s="40">
        <f t="shared" si="137"/>
        <v>0</v>
      </c>
      <c r="AB127" s="40">
        <f t="shared" si="138"/>
        <v>1891.1937</v>
      </c>
      <c r="AC127" s="67"/>
    </row>
    <row r="128" spans="1:32" x14ac:dyDescent="0.25">
      <c r="A128" s="39"/>
      <c r="F128" s="45" t="str">
        <f t="shared" si="81"/>
        <v xml:space="preserve">S/F  </v>
      </c>
      <c r="G128" s="55">
        <v>0</v>
      </c>
      <c r="H128" s="56">
        <v>0</v>
      </c>
      <c r="I128" s="55">
        <f t="shared" si="130"/>
        <v>0</v>
      </c>
      <c r="J128" s="57"/>
      <c r="K128" s="55">
        <f t="shared" si="131"/>
        <v>0</v>
      </c>
      <c r="L128" s="55">
        <v>0</v>
      </c>
      <c r="M128" s="56">
        <v>0</v>
      </c>
      <c r="N128" s="55">
        <f t="shared" si="132"/>
        <v>0</v>
      </c>
      <c r="O128" s="55"/>
      <c r="P128" s="55">
        <f t="shared" si="133"/>
        <v>0</v>
      </c>
      <c r="Q128" s="55">
        <v>0</v>
      </c>
      <c r="R128" s="56">
        <v>0</v>
      </c>
      <c r="S128" s="55">
        <f t="shared" si="134"/>
        <v>0</v>
      </c>
      <c r="T128" s="55"/>
      <c r="U128" s="55">
        <f t="shared" si="135"/>
        <v>0</v>
      </c>
      <c r="V128" s="55">
        <v>0</v>
      </c>
      <c r="W128" s="58">
        <v>0</v>
      </c>
      <c r="X128" s="55">
        <f t="shared" si="136"/>
        <v>0</v>
      </c>
      <c r="AA128" s="40">
        <f t="shared" si="137"/>
        <v>0</v>
      </c>
      <c r="AB128" s="40">
        <f t="shared" si="138"/>
        <v>0</v>
      </c>
      <c r="AC128" s="67"/>
    </row>
    <row r="129" spans="1:29" x14ac:dyDescent="0.25">
      <c r="A129" s="39"/>
      <c r="F129" s="45" t="str">
        <f t="shared" si="81"/>
        <v xml:space="preserve">S/F  </v>
      </c>
      <c r="G129" s="55">
        <v>0</v>
      </c>
      <c r="H129" s="56">
        <v>0</v>
      </c>
      <c r="I129" s="55">
        <f t="shared" si="130"/>
        <v>0</v>
      </c>
      <c r="J129" s="57"/>
      <c r="K129" s="55">
        <f t="shared" si="131"/>
        <v>0</v>
      </c>
      <c r="L129" s="55">
        <v>0</v>
      </c>
      <c r="M129" s="56">
        <v>0</v>
      </c>
      <c r="N129" s="55">
        <f t="shared" si="132"/>
        <v>0</v>
      </c>
      <c r="O129" s="55"/>
      <c r="P129" s="55">
        <f t="shared" si="133"/>
        <v>0</v>
      </c>
      <c r="Q129" s="55">
        <v>0</v>
      </c>
      <c r="R129" s="56">
        <v>0</v>
      </c>
      <c r="S129" s="55">
        <f t="shared" si="134"/>
        <v>0</v>
      </c>
      <c r="T129" s="55"/>
      <c r="U129" s="55">
        <f t="shared" si="135"/>
        <v>0</v>
      </c>
      <c r="V129" s="55">
        <v>0</v>
      </c>
      <c r="W129" s="58">
        <v>0</v>
      </c>
      <c r="X129" s="55">
        <f t="shared" si="136"/>
        <v>0</v>
      </c>
      <c r="AA129" s="40">
        <f t="shared" si="137"/>
        <v>0</v>
      </c>
      <c r="AB129" s="40">
        <f t="shared" si="138"/>
        <v>0</v>
      </c>
      <c r="AC129" s="67"/>
    </row>
    <row r="130" spans="1:29" x14ac:dyDescent="0.25">
      <c r="A130" s="39"/>
      <c r="F130" s="45" t="str">
        <f t="shared" si="81"/>
        <v xml:space="preserve">S/F  </v>
      </c>
      <c r="G130" s="55">
        <v>0</v>
      </c>
      <c r="H130" s="56">
        <v>0</v>
      </c>
      <c r="I130" s="55">
        <f t="shared" si="130"/>
        <v>0</v>
      </c>
      <c r="J130" s="57"/>
      <c r="K130" s="55">
        <f t="shared" si="131"/>
        <v>0</v>
      </c>
      <c r="L130" s="55">
        <v>0</v>
      </c>
      <c r="M130" s="56">
        <v>0</v>
      </c>
      <c r="N130" s="55">
        <f t="shared" si="132"/>
        <v>0</v>
      </c>
      <c r="O130" s="55"/>
      <c r="P130" s="55">
        <f t="shared" si="133"/>
        <v>0</v>
      </c>
      <c r="Q130" s="55">
        <v>0</v>
      </c>
      <c r="R130" s="56">
        <v>0</v>
      </c>
      <c r="S130" s="55">
        <f t="shared" si="134"/>
        <v>0</v>
      </c>
      <c r="T130" s="55"/>
      <c r="U130" s="55">
        <f t="shared" si="135"/>
        <v>0</v>
      </c>
      <c r="V130" s="55">
        <v>0</v>
      </c>
      <c r="W130" s="58">
        <v>0</v>
      </c>
      <c r="X130" s="55">
        <f t="shared" si="136"/>
        <v>0</v>
      </c>
      <c r="AA130" s="40">
        <f t="shared" si="137"/>
        <v>0</v>
      </c>
      <c r="AB130" s="40">
        <f t="shared" si="138"/>
        <v>0</v>
      </c>
      <c r="AC130" s="67"/>
    </row>
    <row r="131" spans="1:29" x14ac:dyDescent="0.25">
      <c r="A131" s="39"/>
      <c r="F131" s="45" t="str">
        <f t="shared" si="81"/>
        <v xml:space="preserve">S/F  </v>
      </c>
      <c r="G131" s="55">
        <v>0</v>
      </c>
      <c r="H131" s="56">
        <v>0</v>
      </c>
      <c r="I131" s="55">
        <f t="shared" si="130"/>
        <v>0</v>
      </c>
      <c r="J131" s="57"/>
      <c r="K131" s="55">
        <f t="shared" si="131"/>
        <v>0</v>
      </c>
      <c r="L131" s="55">
        <v>0</v>
      </c>
      <c r="M131" s="56">
        <v>0</v>
      </c>
      <c r="N131" s="55">
        <f t="shared" si="132"/>
        <v>0</v>
      </c>
      <c r="O131" s="55"/>
      <c r="P131" s="55">
        <f t="shared" si="133"/>
        <v>0</v>
      </c>
      <c r="Q131" s="55">
        <v>0</v>
      </c>
      <c r="R131" s="56">
        <v>0</v>
      </c>
      <c r="S131" s="55">
        <f t="shared" si="134"/>
        <v>0</v>
      </c>
      <c r="T131" s="55"/>
      <c r="U131" s="55">
        <f t="shared" si="135"/>
        <v>0</v>
      </c>
      <c r="V131" s="55">
        <v>0</v>
      </c>
      <c r="W131" s="58">
        <v>0</v>
      </c>
      <c r="X131" s="55">
        <f t="shared" si="136"/>
        <v>0</v>
      </c>
      <c r="AA131" s="40">
        <f t="shared" si="137"/>
        <v>0</v>
      </c>
      <c r="AB131" s="40">
        <f t="shared" si="138"/>
        <v>0</v>
      </c>
      <c r="AC131" s="67"/>
    </row>
    <row r="132" spans="1:29" x14ac:dyDescent="0.25">
      <c r="A132" s="39"/>
      <c r="D132" s="130" t="s">
        <v>583</v>
      </c>
      <c r="F132" s="45" t="str">
        <f t="shared" si="81"/>
        <v xml:space="preserve">S/F  </v>
      </c>
      <c r="G132" s="55">
        <v>0</v>
      </c>
      <c r="H132" s="56">
        <v>0</v>
      </c>
      <c r="I132" s="55">
        <f t="shared" si="130"/>
        <v>0</v>
      </c>
      <c r="J132" s="57"/>
      <c r="K132" s="55">
        <f t="shared" si="131"/>
        <v>0</v>
      </c>
      <c r="L132" s="55">
        <v>0</v>
      </c>
      <c r="M132" s="56">
        <v>0</v>
      </c>
      <c r="N132" s="55">
        <f t="shared" si="132"/>
        <v>0</v>
      </c>
      <c r="O132" s="55"/>
      <c r="P132" s="55">
        <f t="shared" si="133"/>
        <v>0</v>
      </c>
      <c r="Q132" s="55">
        <v>0</v>
      </c>
      <c r="R132" s="56">
        <v>0</v>
      </c>
      <c r="S132" s="55">
        <f t="shared" si="134"/>
        <v>0</v>
      </c>
      <c r="T132" s="55"/>
      <c r="U132" s="55">
        <f t="shared" si="135"/>
        <v>0</v>
      </c>
      <c r="V132" s="55">
        <v>0</v>
      </c>
      <c r="W132" s="58">
        <v>0</v>
      </c>
      <c r="X132" s="55">
        <f t="shared" si="136"/>
        <v>0</v>
      </c>
      <c r="AA132" s="40">
        <f t="shared" si="137"/>
        <v>0</v>
      </c>
      <c r="AB132" s="40">
        <f t="shared" si="138"/>
        <v>0</v>
      </c>
      <c r="AC132" s="67"/>
    </row>
    <row r="133" spans="1:29" x14ac:dyDescent="0.25">
      <c r="A133" s="39"/>
      <c r="D133" s="130" t="s">
        <v>584</v>
      </c>
      <c r="F133" s="45" t="str">
        <f t="shared" si="81"/>
        <v xml:space="preserve">S/F  </v>
      </c>
      <c r="G133" s="55">
        <v>0</v>
      </c>
      <c r="H133" s="56">
        <v>0</v>
      </c>
      <c r="I133" s="55">
        <f t="shared" si="130"/>
        <v>0</v>
      </c>
      <c r="J133" s="57"/>
      <c r="K133" s="55">
        <f t="shared" si="131"/>
        <v>0</v>
      </c>
      <c r="L133" s="55">
        <v>0</v>
      </c>
      <c r="M133" s="56">
        <v>0</v>
      </c>
      <c r="N133" s="55">
        <f t="shared" si="132"/>
        <v>0</v>
      </c>
      <c r="O133" s="55"/>
      <c r="P133" s="55">
        <f t="shared" si="133"/>
        <v>0</v>
      </c>
      <c r="Q133" s="55">
        <v>0</v>
      </c>
      <c r="R133" s="56">
        <v>0</v>
      </c>
      <c r="S133" s="55">
        <f t="shared" si="134"/>
        <v>0</v>
      </c>
      <c r="T133" s="55"/>
      <c r="U133" s="55">
        <f t="shared" si="135"/>
        <v>0</v>
      </c>
      <c r="V133" s="55">
        <v>0</v>
      </c>
      <c r="W133" s="58">
        <v>0</v>
      </c>
      <c r="X133" s="55">
        <f t="shared" si="136"/>
        <v>0</v>
      </c>
      <c r="AA133" s="40">
        <f t="shared" si="137"/>
        <v>0</v>
      </c>
      <c r="AB133" s="40">
        <f t="shared" si="138"/>
        <v>0</v>
      </c>
      <c r="AC133" s="67"/>
    </row>
    <row r="134" spans="1:29" x14ac:dyDescent="0.25">
      <c r="A134" s="39"/>
      <c r="D134" s="130" t="s">
        <v>585</v>
      </c>
      <c r="F134" s="45" t="str">
        <f t="shared" si="81"/>
        <v xml:space="preserve">S/F  </v>
      </c>
      <c r="G134" s="55">
        <v>0</v>
      </c>
      <c r="H134" s="56">
        <v>0</v>
      </c>
      <c r="I134" s="55">
        <f t="shared" si="130"/>
        <v>0</v>
      </c>
      <c r="J134" s="57"/>
      <c r="K134" s="55">
        <f t="shared" si="131"/>
        <v>0</v>
      </c>
      <c r="L134" s="55">
        <v>0</v>
      </c>
      <c r="M134" s="56">
        <v>0</v>
      </c>
      <c r="N134" s="55">
        <f t="shared" si="132"/>
        <v>0</v>
      </c>
      <c r="O134" s="55"/>
      <c r="P134" s="55">
        <f t="shared" si="133"/>
        <v>0</v>
      </c>
      <c r="Q134" s="55">
        <v>0</v>
      </c>
      <c r="R134" s="56">
        <v>0</v>
      </c>
      <c r="S134" s="55">
        <f t="shared" si="134"/>
        <v>0</v>
      </c>
      <c r="T134" s="55"/>
      <c r="U134" s="55">
        <f t="shared" si="135"/>
        <v>0</v>
      </c>
      <c r="V134" s="55">
        <v>0</v>
      </c>
      <c r="W134" s="58">
        <v>0</v>
      </c>
      <c r="X134" s="55">
        <f t="shared" si="136"/>
        <v>0</v>
      </c>
      <c r="AA134" s="40">
        <f t="shared" si="137"/>
        <v>0</v>
      </c>
      <c r="AB134" s="40">
        <f t="shared" si="138"/>
        <v>0</v>
      </c>
      <c r="AC134" s="67"/>
    </row>
    <row r="135" spans="1:29" x14ac:dyDescent="0.25">
      <c r="A135" s="39"/>
      <c r="F135" s="45" t="str">
        <f t="shared" si="81"/>
        <v xml:space="preserve">S/F  </v>
      </c>
      <c r="G135" s="55">
        <v>0</v>
      </c>
      <c r="H135" s="56">
        <v>0</v>
      </c>
      <c r="I135" s="55">
        <f t="shared" si="130"/>
        <v>0</v>
      </c>
      <c r="J135" s="57"/>
      <c r="K135" s="55">
        <f t="shared" si="131"/>
        <v>0</v>
      </c>
      <c r="L135" s="55">
        <v>0</v>
      </c>
      <c r="M135" s="56">
        <v>0</v>
      </c>
      <c r="N135" s="55">
        <f t="shared" si="132"/>
        <v>0</v>
      </c>
      <c r="O135" s="55"/>
      <c r="P135" s="55">
        <f t="shared" si="133"/>
        <v>0</v>
      </c>
      <c r="Q135" s="55">
        <v>0</v>
      </c>
      <c r="R135" s="56">
        <v>0</v>
      </c>
      <c r="S135" s="55">
        <f t="shared" si="134"/>
        <v>0</v>
      </c>
      <c r="T135" s="55"/>
      <c r="U135" s="55">
        <f t="shared" si="135"/>
        <v>0</v>
      </c>
      <c r="V135" s="55">
        <v>0</v>
      </c>
      <c r="W135" s="58">
        <v>0</v>
      </c>
      <c r="X135" s="55">
        <f t="shared" si="136"/>
        <v>0</v>
      </c>
      <c r="AA135" s="40">
        <f t="shared" si="137"/>
        <v>0</v>
      </c>
      <c r="AB135" s="40">
        <f t="shared" si="138"/>
        <v>0</v>
      </c>
      <c r="AC135" s="67"/>
    </row>
    <row r="136" spans="1:29" x14ac:dyDescent="0.25">
      <c r="A136" s="39"/>
      <c r="F136" s="45" t="str">
        <f t="shared" si="81"/>
        <v xml:space="preserve">S/F  </v>
      </c>
      <c r="G136" s="55">
        <v>0</v>
      </c>
      <c r="H136" s="56">
        <v>0</v>
      </c>
      <c r="I136" s="55">
        <f t="shared" si="130"/>
        <v>0</v>
      </c>
      <c r="J136" s="57"/>
      <c r="K136" s="55">
        <f t="shared" si="131"/>
        <v>0</v>
      </c>
      <c r="L136" s="55">
        <v>0</v>
      </c>
      <c r="M136" s="56">
        <v>0</v>
      </c>
      <c r="N136" s="55">
        <f t="shared" si="132"/>
        <v>0</v>
      </c>
      <c r="O136" s="55"/>
      <c r="P136" s="55">
        <f t="shared" si="133"/>
        <v>0</v>
      </c>
      <c r="Q136" s="55">
        <v>0</v>
      </c>
      <c r="R136" s="56">
        <v>0</v>
      </c>
      <c r="S136" s="55">
        <f t="shared" si="134"/>
        <v>0</v>
      </c>
      <c r="T136" s="55"/>
      <c r="U136" s="55">
        <f t="shared" si="135"/>
        <v>0</v>
      </c>
      <c r="V136" s="55">
        <v>0</v>
      </c>
      <c r="W136" s="58">
        <v>0</v>
      </c>
      <c r="X136" s="55">
        <f t="shared" si="136"/>
        <v>0</v>
      </c>
      <c r="AA136" s="40">
        <f t="shared" si="137"/>
        <v>0</v>
      </c>
      <c r="AB136" s="40">
        <f t="shared" si="138"/>
        <v>0</v>
      </c>
      <c r="AC136" s="67"/>
    </row>
    <row r="137" spans="1:29" x14ac:dyDescent="0.25">
      <c r="A137" s="39"/>
      <c r="F137" s="45" t="str">
        <f t="shared" si="81"/>
        <v xml:space="preserve">S/F  </v>
      </c>
      <c r="G137" s="55">
        <v>0</v>
      </c>
      <c r="H137" s="56">
        <v>0</v>
      </c>
      <c r="I137" s="55">
        <f t="shared" ref="I137:I200" si="139">+IF(G137&lt;&gt;0,G137*H137/100,0)</f>
        <v>0</v>
      </c>
      <c r="J137" s="57"/>
      <c r="K137" s="55">
        <f t="shared" ref="K137:K200" si="140">+IF(G137&lt;&gt;0,G137*J137/100,0)</f>
        <v>0</v>
      </c>
      <c r="L137" s="55">
        <v>0</v>
      </c>
      <c r="M137" s="56">
        <v>0</v>
      </c>
      <c r="N137" s="55">
        <f t="shared" ref="N137:N200" si="141">+IF(L137&lt;&gt;0,L137*M137/100,0)</f>
        <v>0</v>
      </c>
      <c r="O137" s="55"/>
      <c r="P137" s="55">
        <f t="shared" ref="P137:P200" si="142">+IF(L137&lt;&gt;0,L137*O137/100,0)</f>
        <v>0</v>
      </c>
      <c r="Q137" s="55">
        <v>0</v>
      </c>
      <c r="R137" s="56">
        <v>0</v>
      </c>
      <c r="S137" s="55">
        <f t="shared" ref="S137:S200" si="143">+IF(Q137&lt;&gt;0,Q137*R137/100,0)</f>
        <v>0</v>
      </c>
      <c r="T137" s="55"/>
      <c r="U137" s="55">
        <f t="shared" ref="U137:U200" si="144">+IF(Q137&lt;&gt;0,Q137*T137/100,0)</f>
        <v>0</v>
      </c>
      <c r="V137" s="55">
        <v>0</v>
      </c>
      <c r="W137" s="58">
        <v>0</v>
      </c>
      <c r="X137" s="55">
        <f t="shared" ref="X137:X200" si="145">+IF(W137&lt;&gt;0,V137*W137/100,0)</f>
        <v>0</v>
      </c>
      <c r="AA137" s="40">
        <f t="shared" si="137"/>
        <v>0</v>
      </c>
      <c r="AB137" s="40">
        <f t="shared" si="138"/>
        <v>0</v>
      </c>
      <c r="AC137" s="67"/>
    </row>
    <row r="138" spans="1:29" x14ac:dyDescent="0.25">
      <c r="A138" s="39"/>
      <c r="F138" s="45" t="str">
        <f t="shared" si="81"/>
        <v xml:space="preserve">S/F  </v>
      </c>
      <c r="G138" s="55">
        <v>0</v>
      </c>
      <c r="H138" s="56">
        <v>0</v>
      </c>
      <c r="I138" s="55">
        <f t="shared" si="139"/>
        <v>0</v>
      </c>
      <c r="J138" s="57"/>
      <c r="K138" s="55">
        <f t="shared" si="140"/>
        <v>0</v>
      </c>
      <c r="L138" s="55">
        <v>0</v>
      </c>
      <c r="M138" s="56">
        <v>0</v>
      </c>
      <c r="N138" s="55">
        <f t="shared" si="141"/>
        <v>0</v>
      </c>
      <c r="O138" s="55"/>
      <c r="P138" s="55">
        <f t="shared" si="142"/>
        <v>0</v>
      </c>
      <c r="Q138" s="55">
        <v>0</v>
      </c>
      <c r="R138" s="56">
        <v>0</v>
      </c>
      <c r="S138" s="55">
        <f t="shared" si="143"/>
        <v>0</v>
      </c>
      <c r="T138" s="55"/>
      <c r="U138" s="55">
        <f t="shared" si="144"/>
        <v>0</v>
      </c>
      <c r="V138" s="55">
        <v>0</v>
      </c>
      <c r="W138" s="58">
        <v>0</v>
      </c>
      <c r="X138" s="55">
        <f t="shared" si="145"/>
        <v>0</v>
      </c>
      <c r="AA138" s="40">
        <f t="shared" si="137"/>
        <v>0</v>
      </c>
      <c r="AB138" s="40">
        <f t="shared" si="138"/>
        <v>0</v>
      </c>
      <c r="AC138" s="67"/>
    </row>
    <row r="139" spans="1:29" x14ac:dyDescent="0.25">
      <c r="A139" s="39"/>
      <c r="F139" s="45" t="str">
        <f t="shared" si="81"/>
        <v xml:space="preserve">S/F  </v>
      </c>
      <c r="G139" s="55">
        <v>0</v>
      </c>
      <c r="H139" s="56">
        <v>0</v>
      </c>
      <c r="I139" s="55">
        <f t="shared" si="139"/>
        <v>0</v>
      </c>
      <c r="J139" s="57"/>
      <c r="K139" s="55">
        <f t="shared" si="140"/>
        <v>0</v>
      </c>
      <c r="L139" s="55">
        <v>0</v>
      </c>
      <c r="M139" s="56">
        <v>0</v>
      </c>
      <c r="N139" s="55">
        <f t="shared" si="141"/>
        <v>0</v>
      </c>
      <c r="O139" s="55"/>
      <c r="P139" s="55">
        <f t="shared" si="142"/>
        <v>0</v>
      </c>
      <c r="Q139" s="55">
        <v>0</v>
      </c>
      <c r="R139" s="56">
        <v>0</v>
      </c>
      <c r="S139" s="55">
        <f t="shared" si="143"/>
        <v>0</v>
      </c>
      <c r="T139" s="55"/>
      <c r="U139" s="55">
        <f t="shared" si="144"/>
        <v>0</v>
      </c>
      <c r="V139" s="55">
        <v>0</v>
      </c>
      <c r="W139" s="58">
        <v>0</v>
      </c>
      <c r="X139" s="55">
        <f t="shared" si="145"/>
        <v>0</v>
      </c>
      <c r="AA139" s="40">
        <f t="shared" si="137"/>
        <v>0</v>
      </c>
      <c r="AB139" s="40">
        <f t="shared" si="138"/>
        <v>0</v>
      </c>
      <c r="AC139" s="67"/>
    </row>
    <row r="140" spans="1:29" x14ac:dyDescent="0.25">
      <c r="F140" s="45" t="str">
        <f t="shared" si="81"/>
        <v xml:space="preserve">S/F  </v>
      </c>
      <c r="G140" s="55">
        <v>0</v>
      </c>
      <c r="H140" s="56">
        <v>0</v>
      </c>
      <c r="I140" s="55">
        <f t="shared" si="139"/>
        <v>0</v>
      </c>
      <c r="J140" s="57"/>
      <c r="K140" s="55">
        <f t="shared" si="140"/>
        <v>0</v>
      </c>
      <c r="L140" s="55">
        <v>0</v>
      </c>
      <c r="M140" s="56">
        <v>0</v>
      </c>
      <c r="N140" s="55">
        <f t="shared" si="141"/>
        <v>0</v>
      </c>
      <c r="O140" s="55"/>
      <c r="P140" s="55">
        <f t="shared" si="142"/>
        <v>0</v>
      </c>
      <c r="Q140" s="55">
        <v>0</v>
      </c>
      <c r="R140" s="56">
        <v>0</v>
      </c>
      <c r="S140" s="55">
        <f t="shared" si="143"/>
        <v>0</v>
      </c>
      <c r="T140" s="55"/>
      <c r="U140" s="55">
        <f t="shared" si="144"/>
        <v>0</v>
      </c>
      <c r="V140" s="55">
        <v>0</v>
      </c>
      <c r="W140" s="58">
        <v>0</v>
      </c>
      <c r="X140" s="55">
        <f t="shared" si="145"/>
        <v>0</v>
      </c>
      <c r="AA140" s="40">
        <f t="shared" si="137"/>
        <v>0</v>
      </c>
      <c r="AB140" s="40">
        <f t="shared" si="138"/>
        <v>0</v>
      </c>
      <c r="AC140" s="67"/>
    </row>
    <row r="141" spans="1:29" x14ac:dyDescent="0.25">
      <c r="F141" s="45" t="str">
        <f t="shared" ref="F141:F204" si="146">"S/F "&amp;B141&amp;" "&amp;E141</f>
        <v xml:space="preserve">S/F  </v>
      </c>
      <c r="G141" s="55">
        <v>0</v>
      </c>
      <c r="H141" s="56">
        <v>0</v>
      </c>
      <c r="I141" s="55">
        <f t="shared" si="139"/>
        <v>0</v>
      </c>
      <c r="J141" s="57"/>
      <c r="K141" s="55">
        <f t="shared" si="140"/>
        <v>0</v>
      </c>
      <c r="L141" s="55">
        <v>0</v>
      </c>
      <c r="M141" s="56">
        <v>0</v>
      </c>
      <c r="N141" s="55">
        <f t="shared" si="141"/>
        <v>0</v>
      </c>
      <c r="O141" s="55"/>
      <c r="P141" s="55">
        <f t="shared" si="142"/>
        <v>0</v>
      </c>
      <c r="Q141" s="55">
        <v>0</v>
      </c>
      <c r="R141" s="56">
        <v>0</v>
      </c>
      <c r="S141" s="55">
        <f t="shared" si="143"/>
        <v>0</v>
      </c>
      <c r="T141" s="55"/>
      <c r="U141" s="55">
        <f t="shared" si="144"/>
        <v>0</v>
      </c>
      <c r="V141" s="55">
        <v>0</v>
      </c>
      <c r="W141" s="58">
        <v>0</v>
      </c>
      <c r="X141" s="55">
        <f t="shared" si="145"/>
        <v>0</v>
      </c>
      <c r="AA141" s="40">
        <f t="shared" si="137"/>
        <v>0</v>
      </c>
      <c r="AB141" s="40">
        <f t="shared" si="138"/>
        <v>0</v>
      </c>
      <c r="AC141" s="67"/>
    </row>
    <row r="142" spans="1:29" x14ac:dyDescent="0.25">
      <c r="F142" s="45" t="str">
        <f t="shared" si="146"/>
        <v xml:space="preserve">S/F  </v>
      </c>
      <c r="G142" s="55">
        <v>0</v>
      </c>
      <c r="H142" s="56">
        <v>0</v>
      </c>
      <c r="I142" s="55">
        <f t="shared" si="139"/>
        <v>0</v>
      </c>
      <c r="J142" s="57"/>
      <c r="K142" s="55">
        <f t="shared" si="140"/>
        <v>0</v>
      </c>
      <c r="L142" s="55">
        <v>0</v>
      </c>
      <c r="M142" s="56">
        <v>0</v>
      </c>
      <c r="N142" s="55">
        <f t="shared" si="141"/>
        <v>0</v>
      </c>
      <c r="O142" s="55"/>
      <c r="P142" s="55">
        <f t="shared" si="142"/>
        <v>0</v>
      </c>
      <c r="Q142" s="55">
        <v>0</v>
      </c>
      <c r="R142" s="56">
        <v>0</v>
      </c>
      <c r="S142" s="55">
        <f t="shared" si="143"/>
        <v>0</v>
      </c>
      <c r="T142" s="55"/>
      <c r="U142" s="55">
        <f t="shared" si="144"/>
        <v>0</v>
      </c>
      <c r="V142" s="55">
        <v>0</v>
      </c>
      <c r="W142" s="58">
        <v>0</v>
      </c>
      <c r="X142" s="55">
        <f t="shared" si="145"/>
        <v>0</v>
      </c>
      <c r="AA142" s="40">
        <f t="shared" si="137"/>
        <v>0</v>
      </c>
      <c r="AB142" s="40">
        <f t="shared" si="138"/>
        <v>0</v>
      </c>
      <c r="AC142" s="67"/>
    </row>
    <row r="143" spans="1:29" x14ac:dyDescent="0.25">
      <c r="F143" s="45" t="str">
        <f t="shared" si="146"/>
        <v xml:space="preserve">S/F  </v>
      </c>
      <c r="G143" s="55">
        <v>0</v>
      </c>
      <c r="H143" s="56">
        <v>0</v>
      </c>
      <c r="I143" s="55">
        <f t="shared" si="139"/>
        <v>0</v>
      </c>
      <c r="J143" s="57"/>
      <c r="K143" s="55">
        <f t="shared" si="140"/>
        <v>0</v>
      </c>
      <c r="L143" s="55">
        <v>0</v>
      </c>
      <c r="M143" s="56">
        <v>0</v>
      </c>
      <c r="N143" s="55">
        <f t="shared" si="141"/>
        <v>0</v>
      </c>
      <c r="O143" s="55"/>
      <c r="P143" s="55">
        <f t="shared" si="142"/>
        <v>0</v>
      </c>
      <c r="Q143" s="55">
        <v>0</v>
      </c>
      <c r="R143" s="56">
        <v>0</v>
      </c>
      <c r="S143" s="55">
        <f t="shared" si="143"/>
        <v>0</v>
      </c>
      <c r="T143" s="55"/>
      <c r="U143" s="55">
        <f t="shared" si="144"/>
        <v>0</v>
      </c>
      <c r="V143" s="55">
        <v>0</v>
      </c>
      <c r="W143" s="58">
        <v>0</v>
      </c>
      <c r="X143" s="55">
        <f t="shared" si="145"/>
        <v>0</v>
      </c>
      <c r="AA143" s="40">
        <f t="shared" si="137"/>
        <v>0</v>
      </c>
      <c r="AB143" s="40">
        <f t="shared" si="138"/>
        <v>0</v>
      </c>
      <c r="AC143" s="67"/>
    </row>
    <row r="144" spans="1:29" x14ac:dyDescent="0.25">
      <c r="F144" s="45" t="str">
        <f t="shared" si="146"/>
        <v xml:space="preserve">S/F  </v>
      </c>
      <c r="G144" s="55">
        <v>0</v>
      </c>
      <c r="H144" s="56">
        <v>0</v>
      </c>
      <c r="I144" s="55">
        <f t="shared" si="139"/>
        <v>0</v>
      </c>
      <c r="J144" s="57"/>
      <c r="K144" s="55">
        <f t="shared" si="140"/>
        <v>0</v>
      </c>
      <c r="L144" s="55">
        <v>0</v>
      </c>
      <c r="M144" s="56">
        <v>0</v>
      </c>
      <c r="N144" s="55">
        <f t="shared" si="141"/>
        <v>0</v>
      </c>
      <c r="O144" s="55"/>
      <c r="P144" s="55">
        <f t="shared" si="142"/>
        <v>0</v>
      </c>
      <c r="Q144" s="55">
        <v>0</v>
      </c>
      <c r="R144" s="56">
        <v>0</v>
      </c>
      <c r="S144" s="55">
        <f t="shared" si="143"/>
        <v>0</v>
      </c>
      <c r="T144" s="55"/>
      <c r="U144" s="55">
        <f t="shared" si="144"/>
        <v>0</v>
      </c>
      <c r="V144" s="55">
        <v>0</v>
      </c>
      <c r="W144" s="58">
        <v>0</v>
      </c>
      <c r="X144" s="55">
        <f t="shared" si="145"/>
        <v>0</v>
      </c>
      <c r="AA144" s="40">
        <f t="shared" si="137"/>
        <v>0</v>
      </c>
      <c r="AB144" s="40">
        <f t="shared" si="138"/>
        <v>0</v>
      </c>
      <c r="AC144" s="67"/>
    </row>
    <row r="145" spans="6:29" x14ac:dyDescent="0.25">
      <c r="F145" s="45" t="str">
        <f t="shared" si="146"/>
        <v xml:space="preserve">S/F  </v>
      </c>
      <c r="G145" s="55">
        <v>0</v>
      </c>
      <c r="H145" s="56">
        <v>0</v>
      </c>
      <c r="I145" s="55">
        <f t="shared" si="139"/>
        <v>0</v>
      </c>
      <c r="J145" s="57"/>
      <c r="K145" s="55">
        <f t="shared" si="140"/>
        <v>0</v>
      </c>
      <c r="L145" s="55">
        <v>0</v>
      </c>
      <c r="M145" s="56">
        <v>0</v>
      </c>
      <c r="N145" s="55">
        <f t="shared" si="141"/>
        <v>0</v>
      </c>
      <c r="O145" s="55"/>
      <c r="P145" s="55">
        <f t="shared" si="142"/>
        <v>0</v>
      </c>
      <c r="Q145" s="55">
        <v>0</v>
      </c>
      <c r="R145" s="56">
        <v>0</v>
      </c>
      <c r="S145" s="55">
        <f t="shared" si="143"/>
        <v>0</v>
      </c>
      <c r="T145" s="55"/>
      <c r="U145" s="55">
        <f t="shared" si="144"/>
        <v>0</v>
      </c>
      <c r="V145" s="55">
        <v>0</v>
      </c>
      <c r="W145" s="58">
        <v>0</v>
      </c>
      <c r="X145" s="55">
        <f t="shared" si="145"/>
        <v>0</v>
      </c>
      <c r="AA145" s="40">
        <f t="shared" si="137"/>
        <v>0</v>
      </c>
      <c r="AB145" s="40">
        <f t="shared" si="138"/>
        <v>0</v>
      </c>
      <c r="AC145" s="67"/>
    </row>
    <row r="146" spans="6:29" x14ac:dyDescent="0.25">
      <c r="F146" s="45" t="str">
        <f t="shared" si="146"/>
        <v xml:space="preserve">S/F  </v>
      </c>
      <c r="G146" s="55">
        <v>0</v>
      </c>
      <c r="H146" s="56">
        <v>0</v>
      </c>
      <c r="I146" s="55">
        <f t="shared" si="139"/>
        <v>0</v>
      </c>
      <c r="J146" s="57"/>
      <c r="K146" s="55">
        <f t="shared" si="140"/>
        <v>0</v>
      </c>
      <c r="L146" s="55">
        <v>0</v>
      </c>
      <c r="M146" s="56">
        <v>0</v>
      </c>
      <c r="N146" s="55">
        <f t="shared" si="141"/>
        <v>0</v>
      </c>
      <c r="O146" s="55"/>
      <c r="P146" s="55">
        <f t="shared" si="142"/>
        <v>0</v>
      </c>
      <c r="Q146" s="55">
        <v>0</v>
      </c>
      <c r="R146" s="56">
        <v>0</v>
      </c>
      <c r="S146" s="55">
        <f t="shared" si="143"/>
        <v>0</v>
      </c>
      <c r="T146" s="55"/>
      <c r="U146" s="55">
        <f t="shared" si="144"/>
        <v>0</v>
      </c>
      <c r="V146" s="55">
        <v>0</v>
      </c>
      <c r="W146" s="58">
        <v>0</v>
      </c>
      <c r="X146" s="55">
        <f t="shared" si="145"/>
        <v>0</v>
      </c>
      <c r="AA146" s="40">
        <f t="shared" si="137"/>
        <v>0</v>
      </c>
      <c r="AB146" s="40">
        <f t="shared" si="138"/>
        <v>0</v>
      </c>
      <c r="AC146" s="67"/>
    </row>
    <row r="147" spans="6:29" x14ac:dyDescent="0.25">
      <c r="F147" s="45" t="str">
        <f t="shared" si="146"/>
        <v xml:space="preserve">S/F  </v>
      </c>
      <c r="G147" s="55">
        <v>0</v>
      </c>
      <c r="H147" s="56">
        <v>0</v>
      </c>
      <c r="I147" s="55">
        <f t="shared" si="139"/>
        <v>0</v>
      </c>
      <c r="J147" s="57"/>
      <c r="K147" s="55">
        <f t="shared" si="140"/>
        <v>0</v>
      </c>
      <c r="L147" s="55">
        <v>0</v>
      </c>
      <c r="M147" s="56">
        <v>0</v>
      </c>
      <c r="N147" s="55">
        <f t="shared" si="141"/>
        <v>0</v>
      </c>
      <c r="O147" s="55"/>
      <c r="P147" s="55">
        <f t="shared" si="142"/>
        <v>0</v>
      </c>
      <c r="Q147" s="55">
        <v>0</v>
      </c>
      <c r="R147" s="56">
        <v>0</v>
      </c>
      <c r="S147" s="55">
        <f t="shared" si="143"/>
        <v>0</v>
      </c>
      <c r="T147" s="55"/>
      <c r="U147" s="55">
        <f t="shared" si="144"/>
        <v>0</v>
      </c>
      <c r="V147" s="55">
        <v>0</v>
      </c>
      <c r="W147" s="58">
        <v>0</v>
      </c>
      <c r="X147" s="55">
        <f t="shared" si="145"/>
        <v>0</v>
      </c>
      <c r="AA147" s="40">
        <f t="shared" si="137"/>
        <v>0</v>
      </c>
      <c r="AB147" s="40">
        <f t="shared" si="138"/>
        <v>0</v>
      </c>
      <c r="AC147" s="67"/>
    </row>
    <row r="148" spans="6:29" x14ac:dyDescent="0.25">
      <c r="F148" s="45" t="str">
        <f t="shared" si="146"/>
        <v xml:space="preserve">S/F  </v>
      </c>
      <c r="G148" s="55">
        <v>0</v>
      </c>
      <c r="H148" s="56">
        <v>0</v>
      </c>
      <c r="I148" s="55">
        <f t="shared" si="139"/>
        <v>0</v>
      </c>
      <c r="J148" s="57"/>
      <c r="K148" s="55">
        <f t="shared" si="140"/>
        <v>0</v>
      </c>
      <c r="L148" s="55">
        <v>0</v>
      </c>
      <c r="M148" s="56">
        <v>0</v>
      </c>
      <c r="N148" s="55">
        <f t="shared" si="141"/>
        <v>0</v>
      </c>
      <c r="O148" s="55"/>
      <c r="P148" s="55">
        <f t="shared" si="142"/>
        <v>0</v>
      </c>
      <c r="Q148" s="55">
        <v>0</v>
      </c>
      <c r="R148" s="56">
        <v>0</v>
      </c>
      <c r="S148" s="55">
        <f t="shared" si="143"/>
        <v>0</v>
      </c>
      <c r="T148" s="55"/>
      <c r="U148" s="55">
        <f t="shared" si="144"/>
        <v>0</v>
      </c>
      <c r="V148" s="55">
        <v>0</v>
      </c>
      <c r="W148" s="58">
        <v>0</v>
      </c>
      <c r="X148" s="55">
        <f t="shared" si="145"/>
        <v>0</v>
      </c>
      <c r="AA148" s="40">
        <f t="shared" si="137"/>
        <v>0</v>
      </c>
      <c r="AB148" s="40">
        <f t="shared" si="138"/>
        <v>0</v>
      </c>
      <c r="AC148" s="67"/>
    </row>
    <row r="149" spans="6:29" x14ac:dyDescent="0.25">
      <c r="F149" s="45" t="str">
        <f t="shared" si="146"/>
        <v xml:space="preserve">S/F  </v>
      </c>
      <c r="G149" s="55">
        <v>0</v>
      </c>
      <c r="H149" s="56">
        <v>0</v>
      </c>
      <c r="I149" s="55">
        <f t="shared" si="139"/>
        <v>0</v>
      </c>
      <c r="J149" s="57"/>
      <c r="K149" s="55">
        <f t="shared" si="140"/>
        <v>0</v>
      </c>
      <c r="L149" s="55">
        <v>0</v>
      </c>
      <c r="M149" s="56">
        <v>0</v>
      </c>
      <c r="N149" s="55">
        <f t="shared" si="141"/>
        <v>0</v>
      </c>
      <c r="O149" s="55"/>
      <c r="P149" s="55">
        <f t="shared" si="142"/>
        <v>0</v>
      </c>
      <c r="Q149" s="55">
        <v>0</v>
      </c>
      <c r="R149" s="56">
        <v>0</v>
      </c>
      <c r="S149" s="55">
        <f t="shared" si="143"/>
        <v>0</v>
      </c>
      <c r="T149" s="55"/>
      <c r="U149" s="55">
        <f t="shared" si="144"/>
        <v>0</v>
      </c>
      <c r="V149" s="55">
        <v>0</v>
      </c>
      <c r="W149" s="58">
        <v>0</v>
      </c>
      <c r="X149" s="55">
        <f t="shared" si="145"/>
        <v>0</v>
      </c>
      <c r="AA149" s="40">
        <f t="shared" ref="AA149:AA212" si="147">+IF(Z149&lt;&gt;0,Y149*Z149/100,0)</f>
        <v>0</v>
      </c>
      <c r="AB149" s="40">
        <f t="shared" ref="AB149:AB212" si="148">+G149+I149+K149+L149+N149+P149+Q149+S149+U149-X149-AA149</f>
        <v>0</v>
      </c>
      <c r="AC149" s="67"/>
    </row>
    <row r="150" spans="6:29" x14ac:dyDescent="0.25">
      <c r="F150" s="45" t="str">
        <f t="shared" si="146"/>
        <v xml:space="preserve">S/F  </v>
      </c>
      <c r="G150" s="55">
        <v>0</v>
      </c>
      <c r="H150" s="56">
        <v>0</v>
      </c>
      <c r="I150" s="55">
        <f t="shared" si="139"/>
        <v>0</v>
      </c>
      <c r="J150" s="57"/>
      <c r="K150" s="55">
        <f t="shared" si="140"/>
        <v>0</v>
      </c>
      <c r="L150" s="55">
        <v>0</v>
      </c>
      <c r="M150" s="56">
        <v>0</v>
      </c>
      <c r="N150" s="55">
        <f t="shared" si="141"/>
        <v>0</v>
      </c>
      <c r="O150" s="55"/>
      <c r="P150" s="55">
        <f t="shared" si="142"/>
        <v>0</v>
      </c>
      <c r="Q150" s="55">
        <v>0</v>
      </c>
      <c r="R150" s="56">
        <v>0</v>
      </c>
      <c r="S150" s="55">
        <f t="shared" si="143"/>
        <v>0</v>
      </c>
      <c r="T150" s="55"/>
      <c r="U150" s="55">
        <f t="shared" si="144"/>
        <v>0</v>
      </c>
      <c r="V150" s="55">
        <v>0</v>
      </c>
      <c r="W150" s="58">
        <v>0</v>
      </c>
      <c r="X150" s="55">
        <f t="shared" si="145"/>
        <v>0</v>
      </c>
      <c r="AA150" s="40">
        <f t="shared" si="147"/>
        <v>0</v>
      </c>
      <c r="AB150" s="40">
        <f t="shared" si="148"/>
        <v>0</v>
      </c>
      <c r="AC150" s="67"/>
    </row>
    <row r="151" spans="6:29" x14ac:dyDescent="0.25">
      <c r="F151" s="45" t="str">
        <f t="shared" si="146"/>
        <v xml:space="preserve">S/F  </v>
      </c>
      <c r="G151" s="55">
        <v>0</v>
      </c>
      <c r="H151" s="56">
        <v>0</v>
      </c>
      <c r="I151" s="55">
        <f t="shared" si="139"/>
        <v>0</v>
      </c>
      <c r="J151" s="57"/>
      <c r="K151" s="55">
        <f t="shared" si="140"/>
        <v>0</v>
      </c>
      <c r="L151" s="55">
        <v>0</v>
      </c>
      <c r="M151" s="56">
        <v>0</v>
      </c>
      <c r="N151" s="55">
        <f t="shared" si="141"/>
        <v>0</v>
      </c>
      <c r="O151" s="55"/>
      <c r="P151" s="55">
        <f t="shared" si="142"/>
        <v>0</v>
      </c>
      <c r="Q151" s="55">
        <v>0</v>
      </c>
      <c r="R151" s="56">
        <v>0</v>
      </c>
      <c r="S151" s="55">
        <f t="shared" si="143"/>
        <v>0</v>
      </c>
      <c r="T151" s="55"/>
      <c r="U151" s="55">
        <f t="shared" si="144"/>
        <v>0</v>
      </c>
      <c r="V151" s="55">
        <v>0</v>
      </c>
      <c r="W151" s="58">
        <v>0</v>
      </c>
      <c r="X151" s="55">
        <f t="shared" si="145"/>
        <v>0</v>
      </c>
      <c r="AA151" s="40">
        <f t="shared" si="147"/>
        <v>0</v>
      </c>
      <c r="AB151" s="40">
        <f t="shared" si="148"/>
        <v>0</v>
      </c>
      <c r="AC151" s="67"/>
    </row>
    <row r="152" spans="6:29" x14ac:dyDescent="0.25">
      <c r="F152" s="45" t="str">
        <f t="shared" si="146"/>
        <v xml:space="preserve">S/F  </v>
      </c>
      <c r="G152" s="55">
        <v>0</v>
      </c>
      <c r="H152" s="56">
        <v>0</v>
      </c>
      <c r="I152" s="55">
        <f t="shared" si="139"/>
        <v>0</v>
      </c>
      <c r="J152" s="57"/>
      <c r="K152" s="55">
        <f t="shared" si="140"/>
        <v>0</v>
      </c>
      <c r="L152" s="55">
        <v>0</v>
      </c>
      <c r="M152" s="56">
        <v>0</v>
      </c>
      <c r="N152" s="55">
        <f t="shared" si="141"/>
        <v>0</v>
      </c>
      <c r="O152" s="55"/>
      <c r="P152" s="55">
        <f t="shared" si="142"/>
        <v>0</v>
      </c>
      <c r="Q152" s="55">
        <v>0</v>
      </c>
      <c r="R152" s="56">
        <v>0</v>
      </c>
      <c r="S152" s="55">
        <f t="shared" si="143"/>
        <v>0</v>
      </c>
      <c r="T152" s="55"/>
      <c r="U152" s="55">
        <f t="shared" si="144"/>
        <v>0</v>
      </c>
      <c r="V152" s="55">
        <v>0</v>
      </c>
      <c r="W152" s="58">
        <v>0</v>
      </c>
      <c r="X152" s="55">
        <f t="shared" si="145"/>
        <v>0</v>
      </c>
      <c r="AA152" s="40">
        <f t="shared" si="147"/>
        <v>0</v>
      </c>
      <c r="AB152" s="40">
        <f t="shared" si="148"/>
        <v>0</v>
      </c>
      <c r="AC152" s="67"/>
    </row>
    <row r="153" spans="6:29" x14ac:dyDescent="0.25">
      <c r="F153" s="45" t="str">
        <f t="shared" si="146"/>
        <v xml:space="preserve">S/F  </v>
      </c>
      <c r="G153" s="55">
        <v>0</v>
      </c>
      <c r="H153" s="56">
        <v>0</v>
      </c>
      <c r="I153" s="55">
        <f t="shared" si="139"/>
        <v>0</v>
      </c>
      <c r="J153" s="57"/>
      <c r="K153" s="55">
        <f t="shared" si="140"/>
        <v>0</v>
      </c>
      <c r="L153" s="55">
        <v>0</v>
      </c>
      <c r="M153" s="56">
        <v>0</v>
      </c>
      <c r="N153" s="55">
        <f t="shared" si="141"/>
        <v>0</v>
      </c>
      <c r="O153" s="55"/>
      <c r="P153" s="55">
        <f t="shared" si="142"/>
        <v>0</v>
      </c>
      <c r="Q153" s="55">
        <v>0</v>
      </c>
      <c r="R153" s="56">
        <v>0</v>
      </c>
      <c r="S153" s="55">
        <f t="shared" si="143"/>
        <v>0</v>
      </c>
      <c r="T153" s="55"/>
      <c r="U153" s="55">
        <f t="shared" si="144"/>
        <v>0</v>
      </c>
      <c r="V153" s="55">
        <v>0</v>
      </c>
      <c r="W153" s="58">
        <v>0</v>
      </c>
      <c r="X153" s="55">
        <f t="shared" si="145"/>
        <v>0</v>
      </c>
      <c r="AA153" s="40">
        <f t="shared" si="147"/>
        <v>0</v>
      </c>
      <c r="AB153" s="40">
        <f t="shared" si="148"/>
        <v>0</v>
      </c>
      <c r="AC153" s="67"/>
    </row>
    <row r="154" spans="6:29" x14ac:dyDescent="0.25">
      <c r="F154" s="45" t="str">
        <f t="shared" si="146"/>
        <v xml:space="preserve">S/F  </v>
      </c>
      <c r="G154" s="55">
        <v>0</v>
      </c>
      <c r="H154" s="56">
        <v>0</v>
      </c>
      <c r="I154" s="55">
        <f t="shared" si="139"/>
        <v>0</v>
      </c>
      <c r="J154" s="57"/>
      <c r="K154" s="55">
        <f t="shared" si="140"/>
        <v>0</v>
      </c>
      <c r="L154" s="55">
        <v>0</v>
      </c>
      <c r="M154" s="56">
        <v>0</v>
      </c>
      <c r="N154" s="55">
        <f t="shared" si="141"/>
        <v>0</v>
      </c>
      <c r="O154" s="55"/>
      <c r="P154" s="55">
        <f t="shared" si="142"/>
        <v>0</v>
      </c>
      <c r="Q154" s="55">
        <v>0</v>
      </c>
      <c r="R154" s="56">
        <v>0</v>
      </c>
      <c r="S154" s="55">
        <f t="shared" si="143"/>
        <v>0</v>
      </c>
      <c r="T154" s="55"/>
      <c r="U154" s="55">
        <f t="shared" si="144"/>
        <v>0</v>
      </c>
      <c r="V154" s="55">
        <v>0</v>
      </c>
      <c r="W154" s="58">
        <v>0</v>
      </c>
      <c r="X154" s="55">
        <f t="shared" si="145"/>
        <v>0</v>
      </c>
      <c r="AA154" s="40">
        <f t="shared" si="147"/>
        <v>0</v>
      </c>
      <c r="AB154" s="40">
        <f t="shared" si="148"/>
        <v>0</v>
      </c>
      <c r="AC154" s="67"/>
    </row>
    <row r="155" spans="6:29" x14ac:dyDescent="0.25">
      <c r="F155" s="45" t="str">
        <f t="shared" si="146"/>
        <v xml:space="preserve">S/F  </v>
      </c>
      <c r="G155" s="55">
        <v>0</v>
      </c>
      <c r="H155" s="56">
        <v>0</v>
      </c>
      <c r="I155" s="55">
        <f t="shared" si="139"/>
        <v>0</v>
      </c>
      <c r="J155" s="57"/>
      <c r="K155" s="55">
        <f t="shared" si="140"/>
        <v>0</v>
      </c>
      <c r="L155" s="55">
        <v>0</v>
      </c>
      <c r="M155" s="56">
        <v>0</v>
      </c>
      <c r="N155" s="55">
        <f t="shared" si="141"/>
        <v>0</v>
      </c>
      <c r="O155" s="55"/>
      <c r="P155" s="55">
        <f t="shared" si="142"/>
        <v>0</v>
      </c>
      <c r="Q155" s="55">
        <v>0</v>
      </c>
      <c r="R155" s="56">
        <v>0</v>
      </c>
      <c r="S155" s="55">
        <f t="shared" si="143"/>
        <v>0</v>
      </c>
      <c r="T155" s="55"/>
      <c r="U155" s="55">
        <f t="shared" si="144"/>
        <v>0</v>
      </c>
      <c r="V155" s="55">
        <v>0</v>
      </c>
      <c r="W155" s="58">
        <v>0</v>
      </c>
      <c r="X155" s="55">
        <f t="shared" si="145"/>
        <v>0</v>
      </c>
      <c r="AA155" s="40">
        <f t="shared" si="147"/>
        <v>0</v>
      </c>
      <c r="AB155" s="40">
        <f t="shared" si="148"/>
        <v>0</v>
      </c>
      <c r="AC155" s="67"/>
    </row>
    <row r="156" spans="6:29" x14ac:dyDescent="0.25">
      <c r="F156" s="45" t="str">
        <f t="shared" si="146"/>
        <v xml:space="preserve">S/F  </v>
      </c>
      <c r="G156" s="55">
        <v>0</v>
      </c>
      <c r="H156" s="56">
        <v>0</v>
      </c>
      <c r="I156" s="55">
        <f t="shared" si="139"/>
        <v>0</v>
      </c>
      <c r="J156" s="57"/>
      <c r="K156" s="55">
        <f t="shared" si="140"/>
        <v>0</v>
      </c>
      <c r="L156" s="55">
        <v>0</v>
      </c>
      <c r="M156" s="56">
        <v>0</v>
      </c>
      <c r="N156" s="55">
        <f t="shared" si="141"/>
        <v>0</v>
      </c>
      <c r="O156" s="55"/>
      <c r="P156" s="55">
        <f t="shared" si="142"/>
        <v>0</v>
      </c>
      <c r="Q156" s="55">
        <v>0</v>
      </c>
      <c r="R156" s="56">
        <v>0</v>
      </c>
      <c r="S156" s="55">
        <f t="shared" si="143"/>
        <v>0</v>
      </c>
      <c r="T156" s="55"/>
      <c r="U156" s="55">
        <f t="shared" si="144"/>
        <v>0</v>
      </c>
      <c r="V156" s="55">
        <v>0</v>
      </c>
      <c r="W156" s="58">
        <v>0</v>
      </c>
      <c r="X156" s="55">
        <f t="shared" si="145"/>
        <v>0</v>
      </c>
      <c r="AA156" s="40">
        <f t="shared" si="147"/>
        <v>0</v>
      </c>
      <c r="AB156" s="40">
        <f t="shared" si="148"/>
        <v>0</v>
      </c>
      <c r="AC156" s="67"/>
    </row>
    <row r="157" spans="6:29" x14ac:dyDescent="0.25">
      <c r="F157" s="45" t="str">
        <f t="shared" si="146"/>
        <v xml:space="preserve">S/F  </v>
      </c>
      <c r="G157" s="55">
        <v>0</v>
      </c>
      <c r="H157" s="56">
        <v>0</v>
      </c>
      <c r="I157" s="55">
        <f t="shared" si="139"/>
        <v>0</v>
      </c>
      <c r="J157" s="57"/>
      <c r="K157" s="55">
        <f t="shared" si="140"/>
        <v>0</v>
      </c>
      <c r="L157" s="55">
        <v>0</v>
      </c>
      <c r="M157" s="56">
        <v>0</v>
      </c>
      <c r="N157" s="55">
        <f t="shared" si="141"/>
        <v>0</v>
      </c>
      <c r="O157" s="55"/>
      <c r="P157" s="55">
        <f t="shared" si="142"/>
        <v>0</v>
      </c>
      <c r="Q157" s="55">
        <v>0</v>
      </c>
      <c r="R157" s="56">
        <v>0</v>
      </c>
      <c r="S157" s="55">
        <f t="shared" si="143"/>
        <v>0</v>
      </c>
      <c r="T157" s="55"/>
      <c r="U157" s="55">
        <f t="shared" si="144"/>
        <v>0</v>
      </c>
      <c r="V157" s="55">
        <v>0</v>
      </c>
      <c r="W157" s="58">
        <v>0</v>
      </c>
      <c r="X157" s="55">
        <f t="shared" si="145"/>
        <v>0</v>
      </c>
      <c r="AA157" s="40">
        <f t="shared" si="147"/>
        <v>0</v>
      </c>
      <c r="AB157" s="40">
        <f t="shared" si="148"/>
        <v>0</v>
      </c>
      <c r="AC157" s="67"/>
    </row>
    <row r="158" spans="6:29" x14ac:dyDescent="0.25">
      <c r="F158" s="45" t="str">
        <f t="shared" si="146"/>
        <v xml:space="preserve">S/F  </v>
      </c>
      <c r="G158" s="55">
        <v>0</v>
      </c>
      <c r="H158" s="56">
        <v>0</v>
      </c>
      <c r="I158" s="55">
        <f t="shared" si="139"/>
        <v>0</v>
      </c>
      <c r="J158" s="57"/>
      <c r="K158" s="55">
        <f t="shared" si="140"/>
        <v>0</v>
      </c>
      <c r="L158" s="55">
        <v>0</v>
      </c>
      <c r="M158" s="56">
        <v>0</v>
      </c>
      <c r="N158" s="55">
        <f t="shared" si="141"/>
        <v>0</v>
      </c>
      <c r="O158" s="55"/>
      <c r="P158" s="55">
        <f t="shared" si="142"/>
        <v>0</v>
      </c>
      <c r="Q158" s="55">
        <v>0</v>
      </c>
      <c r="R158" s="56">
        <v>0</v>
      </c>
      <c r="S158" s="55">
        <f t="shared" si="143"/>
        <v>0</v>
      </c>
      <c r="T158" s="55"/>
      <c r="U158" s="55">
        <f t="shared" si="144"/>
        <v>0</v>
      </c>
      <c r="V158" s="55">
        <v>0</v>
      </c>
      <c r="W158" s="58">
        <v>0</v>
      </c>
      <c r="X158" s="55">
        <f t="shared" si="145"/>
        <v>0</v>
      </c>
      <c r="AA158" s="40">
        <f t="shared" si="147"/>
        <v>0</v>
      </c>
      <c r="AB158" s="40">
        <f t="shared" si="148"/>
        <v>0</v>
      </c>
      <c r="AC158" s="67"/>
    </row>
    <row r="159" spans="6:29" x14ac:dyDescent="0.25">
      <c r="F159" s="45" t="str">
        <f t="shared" si="146"/>
        <v xml:space="preserve">S/F  </v>
      </c>
      <c r="G159" s="55">
        <v>0</v>
      </c>
      <c r="H159" s="56">
        <v>0</v>
      </c>
      <c r="I159" s="55">
        <f t="shared" si="139"/>
        <v>0</v>
      </c>
      <c r="J159" s="57"/>
      <c r="K159" s="55">
        <f t="shared" si="140"/>
        <v>0</v>
      </c>
      <c r="L159" s="55">
        <v>0</v>
      </c>
      <c r="M159" s="56">
        <v>0</v>
      </c>
      <c r="N159" s="55">
        <f t="shared" si="141"/>
        <v>0</v>
      </c>
      <c r="O159" s="55"/>
      <c r="P159" s="55">
        <f t="shared" si="142"/>
        <v>0</v>
      </c>
      <c r="Q159" s="55">
        <v>0</v>
      </c>
      <c r="R159" s="56">
        <v>0</v>
      </c>
      <c r="S159" s="55">
        <f t="shared" si="143"/>
        <v>0</v>
      </c>
      <c r="T159" s="55"/>
      <c r="U159" s="55">
        <f t="shared" si="144"/>
        <v>0</v>
      </c>
      <c r="V159" s="55">
        <v>0</v>
      </c>
      <c r="W159" s="58">
        <v>0</v>
      </c>
      <c r="X159" s="55">
        <f t="shared" si="145"/>
        <v>0</v>
      </c>
      <c r="AA159" s="40">
        <f t="shared" si="147"/>
        <v>0</v>
      </c>
      <c r="AB159" s="40">
        <f t="shared" si="148"/>
        <v>0</v>
      </c>
      <c r="AC159" s="67"/>
    </row>
    <row r="160" spans="6:29" x14ac:dyDescent="0.25">
      <c r="F160" s="45" t="str">
        <f t="shared" si="146"/>
        <v xml:space="preserve">S/F  </v>
      </c>
      <c r="G160" s="55">
        <v>0</v>
      </c>
      <c r="H160" s="56">
        <v>0</v>
      </c>
      <c r="I160" s="55">
        <f t="shared" si="139"/>
        <v>0</v>
      </c>
      <c r="J160" s="57"/>
      <c r="K160" s="55">
        <f t="shared" si="140"/>
        <v>0</v>
      </c>
      <c r="L160" s="55">
        <v>0</v>
      </c>
      <c r="M160" s="56">
        <v>0</v>
      </c>
      <c r="N160" s="55">
        <f t="shared" si="141"/>
        <v>0</v>
      </c>
      <c r="O160" s="55"/>
      <c r="P160" s="55">
        <f t="shared" si="142"/>
        <v>0</v>
      </c>
      <c r="Q160" s="55">
        <v>0</v>
      </c>
      <c r="R160" s="56">
        <v>0</v>
      </c>
      <c r="S160" s="55">
        <f t="shared" si="143"/>
        <v>0</v>
      </c>
      <c r="T160" s="55"/>
      <c r="U160" s="55">
        <f t="shared" si="144"/>
        <v>0</v>
      </c>
      <c r="V160" s="55">
        <v>0</v>
      </c>
      <c r="W160" s="58">
        <v>0</v>
      </c>
      <c r="X160" s="55">
        <f t="shared" si="145"/>
        <v>0</v>
      </c>
      <c r="AA160" s="40">
        <f t="shared" si="147"/>
        <v>0</v>
      </c>
      <c r="AB160" s="40">
        <f t="shared" si="148"/>
        <v>0</v>
      </c>
      <c r="AC160" s="67"/>
    </row>
    <row r="161" spans="6:29" x14ac:dyDescent="0.25">
      <c r="F161" s="45" t="str">
        <f t="shared" si="146"/>
        <v xml:space="preserve">S/F  </v>
      </c>
      <c r="G161" s="55">
        <v>0</v>
      </c>
      <c r="H161" s="56">
        <v>0</v>
      </c>
      <c r="I161" s="55">
        <f t="shared" si="139"/>
        <v>0</v>
      </c>
      <c r="J161" s="57"/>
      <c r="K161" s="55">
        <f t="shared" si="140"/>
        <v>0</v>
      </c>
      <c r="L161" s="55">
        <v>0</v>
      </c>
      <c r="M161" s="56">
        <v>0</v>
      </c>
      <c r="N161" s="55">
        <f t="shared" si="141"/>
        <v>0</v>
      </c>
      <c r="O161" s="55"/>
      <c r="P161" s="55">
        <f t="shared" si="142"/>
        <v>0</v>
      </c>
      <c r="Q161" s="55">
        <v>0</v>
      </c>
      <c r="R161" s="56">
        <v>0</v>
      </c>
      <c r="S161" s="55">
        <f t="shared" si="143"/>
        <v>0</v>
      </c>
      <c r="T161" s="55"/>
      <c r="U161" s="55">
        <f t="shared" si="144"/>
        <v>0</v>
      </c>
      <c r="V161" s="55">
        <v>0</v>
      </c>
      <c r="W161" s="58">
        <v>0</v>
      </c>
      <c r="X161" s="55">
        <f t="shared" si="145"/>
        <v>0</v>
      </c>
      <c r="AA161" s="40">
        <f t="shared" si="147"/>
        <v>0</v>
      </c>
      <c r="AB161" s="40">
        <f t="shared" si="148"/>
        <v>0</v>
      </c>
      <c r="AC161" s="67"/>
    </row>
    <row r="162" spans="6:29" x14ac:dyDescent="0.25">
      <c r="F162" s="45" t="str">
        <f t="shared" si="146"/>
        <v xml:space="preserve">S/F  </v>
      </c>
      <c r="G162" s="55">
        <v>0</v>
      </c>
      <c r="H162" s="56">
        <v>0</v>
      </c>
      <c r="I162" s="55">
        <f t="shared" si="139"/>
        <v>0</v>
      </c>
      <c r="J162" s="57"/>
      <c r="K162" s="55">
        <f t="shared" si="140"/>
        <v>0</v>
      </c>
      <c r="L162" s="55">
        <v>0</v>
      </c>
      <c r="M162" s="56">
        <v>0</v>
      </c>
      <c r="N162" s="55">
        <f t="shared" si="141"/>
        <v>0</v>
      </c>
      <c r="O162" s="55"/>
      <c r="P162" s="55">
        <f t="shared" si="142"/>
        <v>0</v>
      </c>
      <c r="Q162" s="55">
        <v>0</v>
      </c>
      <c r="R162" s="56">
        <v>0</v>
      </c>
      <c r="S162" s="55">
        <f t="shared" si="143"/>
        <v>0</v>
      </c>
      <c r="T162" s="55"/>
      <c r="U162" s="55">
        <f t="shared" si="144"/>
        <v>0</v>
      </c>
      <c r="V162" s="55">
        <v>0</v>
      </c>
      <c r="W162" s="58">
        <v>0</v>
      </c>
      <c r="X162" s="55">
        <f t="shared" si="145"/>
        <v>0</v>
      </c>
      <c r="AA162" s="40">
        <f t="shared" si="147"/>
        <v>0</v>
      </c>
      <c r="AB162" s="40">
        <f t="shared" si="148"/>
        <v>0</v>
      </c>
      <c r="AC162" s="67"/>
    </row>
    <row r="163" spans="6:29" x14ac:dyDescent="0.25">
      <c r="F163" s="45" t="str">
        <f t="shared" si="146"/>
        <v xml:space="preserve">S/F  </v>
      </c>
      <c r="G163" s="55">
        <v>0</v>
      </c>
      <c r="H163" s="56">
        <v>0</v>
      </c>
      <c r="I163" s="55">
        <f t="shared" si="139"/>
        <v>0</v>
      </c>
      <c r="J163" s="57"/>
      <c r="K163" s="55">
        <f t="shared" si="140"/>
        <v>0</v>
      </c>
      <c r="L163" s="55">
        <v>0</v>
      </c>
      <c r="M163" s="56">
        <v>0</v>
      </c>
      <c r="N163" s="55">
        <f t="shared" si="141"/>
        <v>0</v>
      </c>
      <c r="O163" s="55"/>
      <c r="P163" s="55">
        <f t="shared" si="142"/>
        <v>0</v>
      </c>
      <c r="Q163" s="55">
        <v>0</v>
      </c>
      <c r="R163" s="56">
        <v>0</v>
      </c>
      <c r="S163" s="55">
        <f t="shared" si="143"/>
        <v>0</v>
      </c>
      <c r="T163" s="55"/>
      <c r="U163" s="55">
        <f t="shared" si="144"/>
        <v>0</v>
      </c>
      <c r="V163" s="55">
        <v>0</v>
      </c>
      <c r="W163" s="58">
        <v>0</v>
      </c>
      <c r="X163" s="55">
        <f t="shared" si="145"/>
        <v>0</v>
      </c>
      <c r="AA163" s="40">
        <f t="shared" si="147"/>
        <v>0</v>
      </c>
      <c r="AB163" s="40">
        <f t="shared" si="148"/>
        <v>0</v>
      </c>
      <c r="AC163" s="67"/>
    </row>
    <row r="164" spans="6:29" x14ac:dyDescent="0.25">
      <c r="F164" s="45" t="str">
        <f t="shared" si="146"/>
        <v xml:space="preserve">S/F  </v>
      </c>
      <c r="G164" s="55">
        <v>0</v>
      </c>
      <c r="H164" s="56">
        <v>0</v>
      </c>
      <c r="I164" s="55">
        <f t="shared" si="139"/>
        <v>0</v>
      </c>
      <c r="J164" s="57"/>
      <c r="K164" s="55">
        <f t="shared" si="140"/>
        <v>0</v>
      </c>
      <c r="L164" s="55">
        <v>0</v>
      </c>
      <c r="M164" s="56">
        <v>0</v>
      </c>
      <c r="N164" s="55">
        <f t="shared" si="141"/>
        <v>0</v>
      </c>
      <c r="O164" s="55"/>
      <c r="P164" s="55">
        <f t="shared" si="142"/>
        <v>0</v>
      </c>
      <c r="Q164" s="55">
        <v>0</v>
      </c>
      <c r="R164" s="56">
        <v>0</v>
      </c>
      <c r="S164" s="55">
        <f t="shared" si="143"/>
        <v>0</v>
      </c>
      <c r="T164" s="55"/>
      <c r="U164" s="55">
        <f t="shared" si="144"/>
        <v>0</v>
      </c>
      <c r="V164" s="55">
        <v>0</v>
      </c>
      <c r="W164" s="58">
        <v>0</v>
      </c>
      <c r="X164" s="55">
        <f t="shared" si="145"/>
        <v>0</v>
      </c>
      <c r="AA164" s="40">
        <f t="shared" si="147"/>
        <v>0</v>
      </c>
      <c r="AB164" s="40">
        <f t="shared" si="148"/>
        <v>0</v>
      </c>
      <c r="AC164" s="67"/>
    </row>
    <row r="165" spans="6:29" x14ac:dyDescent="0.25">
      <c r="F165" s="45" t="str">
        <f t="shared" si="146"/>
        <v xml:space="preserve">S/F  </v>
      </c>
      <c r="G165" s="55">
        <v>0</v>
      </c>
      <c r="H165" s="56">
        <v>0</v>
      </c>
      <c r="I165" s="55">
        <f t="shared" si="139"/>
        <v>0</v>
      </c>
      <c r="J165" s="57"/>
      <c r="K165" s="55">
        <f t="shared" si="140"/>
        <v>0</v>
      </c>
      <c r="L165" s="55">
        <v>0</v>
      </c>
      <c r="M165" s="56">
        <v>0</v>
      </c>
      <c r="N165" s="55">
        <f t="shared" si="141"/>
        <v>0</v>
      </c>
      <c r="O165" s="55"/>
      <c r="P165" s="55">
        <f t="shared" si="142"/>
        <v>0</v>
      </c>
      <c r="Q165" s="55">
        <v>0</v>
      </c>
      <c r="R165" s="56">
        <v>0</v>
      </c>
      <c r="S165" s="55">
        <f t="shared" si="143"/>
        <v>0</v>
      </c>
      <c r="T165" s="55"/>
      <c r="U165" s="55">
        <f t="shared" si="144"/>
        <v>0</v>
      </c>
      <c r="V165" s="55">
        <v>0</v>
      </c>
      <c r="W165" s="58">
        <v>0</v>
      </c>
      <c r="X165" s="55">
        <f t="shared" si="145"/>
        <v>0</v>
      </c>
      <c r="AA165" s="40">
        <f t="shared" si="147"/>
        <v>0</v>
      </c>
      <c r="AB165" s="40">
        <f t="shared" si="148"/>
        <v>0</v>
      </c>
      <c r="AC165" s="67"/>
    </row>
    <row r="166" spans="6:29" x14ac:dyDescent="0.25">
      <c r="F166" s="45" t="str">
        <f t="shared" si="146"/>
        <v xml:space="preserve">S/F  </v>
      </c>
      <c r="G166" s="55">
        <v>0</v>
      </c>
      <c r="H166" s="56">
        <v>0</v>
      </c>
      <c r="I166" s="55">
        <f t="shared" si="139"/>
        <v>0</v>
      </c>
      <c r="J166" s="57"/>
      <c r="K166" s="55">
        <f t="shared" si="140"/>
        <v>0</v>
      </c>
      <c r="L166" s="55">
        <v>0</v>
      </c>
      <c r="M166" s="56">
        <v>0</v>
      </c>
      <c r="N166" s="55">
        <f t="shared" si="141"/>
        <v>0</v>
      </c>
      <c r="O166" s="55"/>
      <c r="P166" s="55">
        <f t="shared" si="142"/>
        <v>0</v>
      </c>
      <c r="Q166" s="55">
        <v>0</v>
      </c>
      <c r="R166" s="56">
        <v>0</v>
      </c>
      <c r="S166" s="55">
        <f t="shared" si="143"/>
        <v>0</v>
      </c>
      <c r="T166" s="55"/>
      <c r="U166" s="55">
        <f t="shared" si="144"/>
        <v>0</v>
      </c>
      <c r="V166" s="55">
        <v>0</v>
      </c>
      <c r="W166" s="58">
        <v>0</v>
      </c>
      <c r="X166" s="55">
        <f t="shared" si="145"/>
        <v>0</v>
      </c>
      <c r="AA166" s="40">
        <f t="shared" si="147"/>
        <v>0</v>
      </c>
      <c r="AB166" s="40">
        <f t="shared" si="148"/>
        <v>0</v>
      </c>
      <c r="AC166" s="67"/>
    </row>
    <row r="167" spans="6:29" x14ac:dyDescent="0.25">
      <c r="F167" s="45" t="str">
        <f t="shared" si="146"/>
        <v xml:space="preserve">S/F  </v>
      </c>
      <c r="G167" s="55">
        <v>0</v>
      </c>
      <c r="H167" s="56">
        <v>0</v>
      </c>
      <c r="I167" s="55">
        <f t="shared" si="139"/>
        <v>0</v>
      </c>
      <c r="J167" s="57"/>
      <c r="K167" s="55">
        <f t="shared" si="140"/>
        <v>0</v>
      </c>
      <c r="L167" s="55">
        <v>0</v>
      </c>
      <c r="M167" s="56">
        <v>0</v>
      </c>
      <c r="N167" s="55">
        <f t="shared" si="141"/>
        <v>0</v>
      </c>
      <c r="O167" s="55"/>
      <c r="P167" s="55">
        <f t="shared" si="142"/>
        <v>0</v>
      </c>
      <c r="Q167" s="55">
        <v>0</v>
      </c>
      <c r="R167" s="56">
        <v>0</v>
      </c>
      <c r="S167" s="55">
        <f t="shared" si="143"/>
        <v>0</v>
      </c>
      <c r="T167" s="55"/>
      <c r="U167" s="55">
        <f t="shared" si="144"/>
        <v>0</v>
      </c>
      <c r="V167" s="55">
        <v>0</v>
      </c>
      <c r="W167" s="58">
        <v>0</v>
      </c>
      <c r="X167" s="55">
        <f t="shared" si="145"/>
        <v>0</v>
      </c>
      <c r="AA167" s="40">
        <f t="shared" si="147"/>
        <v>0</v>
      </c>
      <c r="AB167" s="40">
        <f t="shared" si="148"/>
        <v>0</v>
      </c>
      <c r="AC167" s="67"/>
    </row>
    <row r="168" spans="6:29" x14ac:dyDescent="0.25">
      <c r="F168" s="45" t="str">
        <f t="shared" si="146"/>
        <v xml:space="preserve">S/F  </v>
      </c>
      <c r="G168" s="55">
        <v>0</v>
      </c>
      <c r="H168" s="56">
        <v>0</v>
      </c>
      <c r="I168" s="55">
        <f t="shared" si="139"/>
        <v>0</v>
      </c>
      <c r="J168" s="57"/>
      <c r="K168" s="55">
        <f t="shared" si="140"/>
        <v>0</v>
      </c>
      <c r="L168" s="55">
        <v>0</v>
      </c>
      <c r="M168" s="56">
        <v>0</v>
      </c>
      <c r="N168" s="55">
        <f t="shared" si="141"/>
        <v>0</v>
      </c>
      <c r="O168" s="55"/>
      <c r="P168" s="55">
        <f t="shared" si="142"/>
        <v>0</v>
      </c>
      <c r="Q168" s="55">
        <v>0</v>
      </c>
      <c r="R168" s="56">
        <v>0</v>
      </c>
      <c r="S168" s="55">
        <f t="shared" si="143"/>
        <v>0</v>
      </c>
      <c r="T168" s="55"/>
      <c r="U168" s="55">
        <f t="shared" si="144"/>
        <v>0</v>
      </c>
      <c r="V168" s="55">
        <v>0</v>
      </c>
      <c r="W168" s="58">
        <v>0</v>
      </c>
      <c r="X168" s="55">
        <f t="shared" si="145"/>
        <v>0</v>
      </c>
      <c r="AA168" s="40">
        <f t="shared" si="147"/>
        <v>0</v>
      </c>
      <c r="AB168" s="40">
        <f t="shared" si="148"/>
        <v>0</v>
      </c>
      <c r="AC168" s="67"/>
    </row>
    <row r="169" spans="6:29" x14ac:dyDescent="0.25">
      <c r="F169" s="45" t="str">
        <f t="shared" si="146"/>
        <v xml:space="preserve">S/F  </v>
      </c>
      <c r="G169" s="55">
        <v>0</v>
      </c>
      <c r="H169" s="56">
        <v>0</v>
      </c>
      <c r="I169" s="55">
        <f t="shared" si="139"/>
        <v>0</v>
      </c>
      <c r="J169" s="57"/>
      <c r="K169" s="55">
        <f t="shared" si="140"/>
        <v>0</v>
      </c>
      <c r="L169" s="55">
        <v>0</v>
      </c>
      <c r="M169" s="56">
        <v>0</v>
      </c>
      <c r="N169" s="55">
        <f t="shared" si="141"/>
        <v>0</v>
      </c>
      <c r="O169" s="55"/>
      <c r="P169" s="55">
        <f t="shared" si="142"/>
        <v>0</v>
      </c>
      <c r="Q169" s="55">
        <v>0</v>
      </c>
      <c r="R169" s="56">
        <v>0</v>
      </c>
      <c r="S169" s="55">
        <f t="shared" si="143"/>
        <v>0</v>
      </c>
      <c r="T169" s="55"/>
      <c r="U169" s="55">
        <f t="shared" si="144"/>
        <v>0</v>
      </c>
      <c r="V169" s="55">
        <v>0</v>
      </c>
      <c r="W169" s="58">
        <v>0</v>
      </c>
      <c r="X169" s="55">
        <f t="shared" si="145"/>
        <v>0</v>
      </c>
      <c r="AA169" s="40">
        <f t="shared" si="147"/>
        <v>0</v>
      </c>
      <c r="AB169" s="40">
        <f t="shared" si="148"/>
        <v>0</v>
      </c>
      <c r="AC169" s="67"/>
    </row>
    <row r="170" spans="6:29" x14ac:dyDescent="0.25">
      <c r="F170" s="45" t="str">
        <f t="shared" si="146"/>
        <v xml:space="preserve">S/F  </v>
      </c>
      <c r="G170" s="55">
        <v>0</v>
      </c>
      <c r="H170" s="56">
        <v>0</v>
      </c>
      <c r="I170" s="55">
        <f t="shared" si="139"/>
        <v>0</v>
      </c>
      <c r="J170" s="57"/>
      <c r="K170" s="55">
        <f t="shared" si="140"/>
        <v>0</v>
      </c>
      <c r="L170" s="55">
        <v>0</v>
      </c>
      <c r="M170" s="56">
        <v>0</v>
      </c>
      <c r="N170" s="55">
        <f t="shared" si="141"/>
        <v>0</v>
      </c>
      <c r="O170" s="55"/>
      <c r="P170" s="55">
        <f t="shared" si="142"/>
        <v>0</v>
      </c>
      <c r="Q170" s="55">
        <v>0</v>
      </c>
      <c r="R170" s="56">
        <v>0</v>
      </c>
      <c r="S170" s="55">
        <f t="shared" si="143"/>
        <v>0</v>
      </c>
      <c r="T170" s="55"/>
      <c r="U170" s="55">
        <f t="shared" si="144"/>
        <v>0</v>
      </c>
      <c r="V170" s="55">
        <v>0</v>
      </c>
      <c r="W170" s="58">
        <v>0</v>
      </c>
      <c r="X170" s="55">
        <f t="shared" si="145"/>
        <v>0</v>
      </c>
      <c r="AA170" s="40">
        <f t="shared" si="147"/>
        <v>0</v>
      </c>
      <c r="AB170" s="40">
        <f t="shared" si="148"/>
        <v>0</v>
      </c>
      <c r="AC170" s="67"/>
    </row>
    <row r="171" spans="6:29" x14ac:dyDescent="0.25">
      <c r="F171" s="45" t="str">
        <f t="shared" si="146"/>
        <v xml:space="preserve">S/F  </v>
      </c>
      <c r="G171" s="55">
        <v>0</v>
      </c>
      <c r="H171" s="56">
        <v>0</v>
      </c>
      <c r="I171" s="55">
        <f t="shared" si="139"/>
        <v>0</v>
      </c>
      <c r="J171" s="57"/>
      <c r="K171" s="55">
        <f t="shared" si="140"/>
        <v>0</v>
      </c>
      <c r="L171" s="55">
        <v>0</v>
      </c>
      <c r="M171" s="56">
        <v>0</v>
      </c>
      <c r="N171" s="55">
        <f t="shared" si="141"/>
        <v>0</v>
      </c>
      <c r="O171" s="55"/>
      <c r="P171" s="55">
        <f t="shared" si="142"/>
        <v>0</v>
      </c>
      <c r="Q171" s="55">
        <v>0</v>
      </c>
      <c r="R171" s="56">
        <v>0</v>
      </c>
      <c r="S171" s="55">
        <f t="shared" si="143"/>
        <v>0</v>
      </c>
      <c r="T171" s="55"/>
      <c r="U171" s="55">
        <f t="shared" si="144"/>
        <v>0</v>
      </c>
      <c r="V171" s="55">
        <v>0</v>
      </c>
      <c r="W171" s="58">
        <v>0</v>
      </c>
      <c r="X171" s="55">
        <f t="shared" si="145"/>
        <v>0</v>
      </c>
      <c r="AA171" s="40">
        <f t="shared" si="147"/>
        <v>0</v>
      </c>
      <c r="AB171" s="40">
        <f t="shared" si="148"/>
        <v>0</v>
      </c>
      <c r="AC171" s="67"/>
    </row>
    <row r="172" spans="6:29" x14ac:dyDescent="0.25">
      <c r="F172" s="45" t="str">
        <f t="shared" si="146"/>
        <v xml:space="preserve">S/F  </v>
      </c>
      <c r="G172" s="55">
        <v>0</v>
      </c>
      <c r="H172" s="56">
        <v>0</v>
      </c>
      <c r="I172" s="55">
        <f t="shared" si="139"/>
        <v>0</v>
      </c>
      <c r="J172" s="57"/>
      <c r="K172" s="55">
        <f t="shared" si="140"/>
        <v>0</v>
      </c>
      <c r="L172" s="55">
        <v>0</v>
      </c>
      <c r="M172" s="56">
        <v>0</v>
      </c>
      <c r="N172" s="55">
        <f t="shared" si="141"/>
        <v>0</v>
      </c>
      <c r="O172" s="55"/>
      <c r="P172" s="55">
        <f t="shared" si="142"/>
        <v>0</v>
      </c>
      <c r="Q172" s="55">
        <v>0</v>
      </c>
      <c r="R172" s="56">
        <v>0</v>
      </c>
      <c r="S172" s="55">
        <f t="shared" si="143"/>
        <v>0</v>
      </c>
      <c r="T172" s="55"/>
      <c r="U172" s="55">
        <f t="shared" si="144"/>
        <v>0</v>
      </c>
      <c r="V172" s="55">
        <v>0</v>
      </c>
      <c r="W172" s="58">
        <v>0</v>
      </c>
      <c r="X172" s="55">
        <f t="shared" si="145"/>
        <v>0</v>
      </c>
      <c r="AA172" s="40">
        <f t="shared" si="147"/>
        <v>0</v>
      </c>
      <c r="AB172" s="40">
        <f t="shared" si="148"/>
        <v>0</v>
      </c>
      <c r="AC172" s="67"/>
    </row>
    <row r="173" spans="6:29" x14ac:dyDescent="0.25">
      <c r="F173" s="45" t="str">
        <f t="shared" si="146"/>
        <v xml:space="preserve">S/F  </v>
      </c>
      <c r="G173" s="55">
        <v>0</v>
      </c>
      <c r="H173" s="56">
        <v>0</v>
      </c>
      <c r="I173" s="55">
        <f t="shared" si="139"/>
        <v>0</v>
      </c>
      <c r="J173" s="57"/>
      <c r="K173" s="55">
        <f t="shared" si="140"/>
        <v>0</v>
      </c>
      <c r="L173" s="55">
        <v>0</v>
      </c>
      <c r="M173" s="56">
        <v>0</v>
      </c>
      <c r="N173" s="55">
        <f t="shared" si="141"/>
        <v>0</v>
      </c>
      <c r="O173" s="55"/>
      <c r="P173" s="55">
        <f t="shared" si="142"/>
        <v>0</v>
      </c>
      <c r="Q173" s="55">
        <v>0</v>
      </c>
      <c r="R173" s="56">
        <v>0</v>
      </c>
      <c r="S173" s="55">
        <f t="shared" si="143"/>
        <v>0</v>
      </c>
      <c r="T173" s="55"/>
      <c r="U173" s="55">
        <f t="shared" si="144"/>
        <v>0</v>
      </c>
      <c r="V173" s="55">
        <v>0</v>
      </c>
      <c r="W173" s="58">
        <v>0</v>
      </c>
      <c r="X173" s="55">
        <f t="shared" si="145"/>
        <v>0</v>
      </c>
      <c r="AA173" s="40">
        <f t="shared" si="147"/>
        <v>0</v>
      </c>
      <c r="AB173" s="40">
        <f t="shared" si="148"/>
        <v>0</v>
      </c>
      <c r="AC173" s="67"/>
    </row>
    <row r="174" spans="6:29" x14ac:dyDescent="0.25">
      <c r="F174" s="45" t="str">
        <f t="shared" si="146"/>
        <v xml:space="preserve">S/F  </v>
      </c>
      <c r="G174" s="55">
        <v>0</v>
      </c>
      <c r="H174" s="56">
        <v>0</v>
      </c>
      <c r="I174" s="55">
        <f t="shared" si="139"/>
        <v>0</v>
      </c>
      <c r="J174" s="57"/>
      <c r="K174" s="55">
        <f t="shared" si="140"/>
        <v>0</v>
      </c>
      <c r="L174" s="55">
        <v>0</v>
      </c>
      <c r="M174" s="56">
        <v>0</v>
      </c>
      <c r="N174" s="55">
        <f t="shared" si="141"/>
        <v>0</v>
      </c>
      <c r="O174" s="55"/>
      <c r="P174" s="55">
        <f t="shared" si="142"/>
        <v>0</v>
      </c>
      <c r="Q174" s="55">
        <v>0</v>
      </c>
      <c r="R174" s="56">
        <v>0</v>
      </c>
      <c r="S174" s="55">
        <f t="shared" si="143"/>
        <v>0</v>
      </c>
      <c r="T174" s="55"/>
      <c r="U174" s="55">
        <f t="shared" si="144"/>
        <v>0</v>
      </c>
      <c r="V174" s="55">
        <v>0</v>
      </c>
      <c r="W174" s="58">
        <v>0</v>
      </c>
      <c r="X174" s="55">
        <f t="shared" si="145"/>
        <v>0</v>
      </c>
      <c r="AA174" s="40">
        <f t="shared" si="147"/>
        <v>0</v>
      </c>
      <c r="AB174" s="40">
        <f t="shared" si="148"/>
        <v>0</v>
      </c>
      <c r="AC174" s="67"/>
    </row>
    <row r="175" spans="6:29" x14ac:dyDescent="0.25">
      <c r="F175" s="45" t="str">
        <f t="shared" si="146"/>
        <v xml:space="preserve">S/F  </v>
      </c>
      <c r="G175" s="55">
        <v>0</v>
      </c>
      <c r="H175" s="56">
        <v>0</v>
      </c>
      <c r="I175" s="55">
        <f t="shared" si="139"/>
        <v>0</v>
      </c>
      <c r="J175" s="57"/>
      <c r="K175" s="55">
        <f t="shared" si="140"/>
        <v>0</v>
      </c>
      <c r="L175" s="55">
        <v>0</v>
      </c>
      <c r="M175" s="56">
        <v>0</v>
      </c>
      <c r="N175" s="55">
        <f t="shared" si="141"/>
        <v>0</v>
      </c>
      <c r="O175" s="55"/>
      <c r="P175" s="55">
        <f t="shared" si="142"/>
        <v>0</v>
      </c>
      <c r="Q175" s="55">
        <v>0</v>
      </c>
      <c r="R175" s="56">
        <v>0</v>
      </c>
      <c r="S175" s="55">
        <f t="shared" si="143"/>
        <v>0</v>
      </c>
      <c r="T175" s="55"/>
      <c r="U175" s="55">
        <f t="shared" si="144"/>
        <v>0</v>
      </c>
      <c r="V175" s="55">
        <v>0</v>
      </c>
      <c r="W175" s="58">
        <v>0</v>
      </c>
      <c r="X175" s="55">
        <f t="shared" si="145"/>
        <v>0</v>
      </c>
      <c r="AA175" s="40">
        <f t="shared" si="147"/>
        <v>0</v>
      </c>
      <c r="AB175" s="40">
        <f t="shared" si="148"/>
        <v>0</v>
      </c>
      <c r="AC175" s="67"/>
    </row>
    <row r="176" spans="6:29" x14ac:dyDescent="0.25">
      <c r="F176" s="45" t="str">
        <f t="shared" si="146"/>
        <v xml:space="preserve">S/F  </v>
      </c>
      <c r="G176" s="55">
        <v>0</v>
      </c>
      <c r="H176" s="56">
        <v>0</v>
      </c>
      <c r="I176" s="55">
        <f t="shared" si="139"/>
        <v>0</v>
      </c>
      <c r="J176" s="57"/>
      <c r="K176" s="55">
        <f t="shared" si="140"/>
        <v>0</v>
      </c>
      <c r="L176" s="55">
        <v>0</v>
      </c>
      <c r="M176" s="56">
        <v>0</v>
      </c>
      <c r="N176" s="55">
        <f t="shared" si="141"/>
        <v>0</v>
      </c>
      <c r="O176" s="55"/>
      <c r="P176" s="55">
        <f t="shared" si="142"/>
        <v>0</v>
      </c>
      <c r="Q176" s="55">
        <v>0</v>
      </c>
      <c r="R176" s="56">
        <v>0</v>
      </c>
      <c r="S176" s="55">
        <f t="shared" si="143"/>
        <v>0</v>
      </c>
      <c r="T176" s="55"/>
      <c r="U176" s="55">
        <f t="shared" si="144"/>
        <v>0</v>
      </c>
      <c r="V176" s="55">
        <v>0</v>
      </c>
      <c r="W176" s="58">
        <v>0</v>
      </c>
      <c r="X176" s="55">
        <f t="shared" si="145"/>
        <v>0</v>
      </c>
      <c r="AA176" s="40">
        <f t="shared" si="147"/>
        <v>0</v>
      </c>
      <c r="AB176" s="40">
        <f t="shared" si="148"/>
        <v>0</v>
      </c>
      <c r="AC176" s="67"/>
    </row>
    <row r="177" spans="6:29" x14ac:dyDescent="0.25">
      <c r="F177" s="45" t="str">
        <f t="shared" si="146"/>
        <v xml:space="preserve">S/F  </v>
      </c>
      <c r="G177" s="55">
        <v>0</v>
      </c>
      <c r="H177" s="56">
        <v>0</v>
      </c>
      <c r="I177" s="55">
        <f t="shared" si="139"/>
        <v>0</v>
      </c>
      <c r="J177" s="57"/>
      <c r="K177" s="55">
        <f t="shared" si="140"/>
        <v>0</v>
      </c>
      <c r="L177" s="55">
        <v>0</v>
      </c>
      <c r="M177" s="56">
        <v>0</v>
      </c>
      <c r="N177" s="55">
        <f t="shared" si="141"/>
        <v>0</v>
      </c>
      <c r="O177" s="55"/>
      <c r="P177" s="55">
        <f t="shared" si="142"/>
        <v>0</v>
      </c>
      <c r="Q177" s="55">
        <v>0</v>
      </c>
      <c r="R177" s="56">
        <v>0</v>
      </c>
      <c r="S177" s="55">
        <f t="shared" si="143"/>
        <v>0</v>
      </c>
      <c r="T177" s="55"/>
      <c r="U177" s="55">
        <f t="shared" si="144"/>
        <v>0</v>
      </c>
      <c r="V177" s="55">
        <v>0</v>
      </c>
      <c r="W177" s="58">
        <v>0</v>
      </c>
      <c r="X177" s="55">
        <f t="shared" si="145"/>
        <v>0</v>
      </c>
      <c r="AA177" s="40">
        <f t="shared" si="147"/>
        <v>0</v>
      </c>
      <c r="AB177" s="40">
        <f t="shared" si="148"/>
        <v>0</v>
      </c>
      <c r="AC177" s="67"/>
    </row>
    <row r="178" spans="6:29" x14ac:dyDescent="0.25">
      <c r="F178" s="45" t="str">
        <f t="shared" si="146"/>
        <v xml:space="preserve">S/F  </v>
      </c>
      <c r="G178" s="55">
        <v>0</v>
      </c>
      <c r="H178" s="56">
        <v>0</v>
      </c>
      <c r="I178" s="55">
        <f t="shared" si="139"/>
        <v>0</v>
      </c>
      <c r="J178" s="57"/>
      <c r="K178" s="55">
        <f t="shared" si="140"/>
        <v>0</v>
      </c>
      <c r="L178" s="55">
        <v>0</v>
      </c>
      <c r="M178" s="56">
        <v>0</v>
      </c>
      <c r="N178" s="55">
        <f t="shared" si="141"/>
        <v>0</v>
      </c>
      <c r="O178" s="55"/>
      <c r="P178" s="55">
        <f t="shared" si="142"/>
        <v>0</v>
      </c>
      <c r="Q178" s="55">
        <v>0</v>
      </c>
      <c r="R178" s="56">
        <v>0</v>
      </c>
      <c r="S178" s="55">
        <f t="shared" si="143"/>
        <v>0</v>
      </c>
      <c r="T178" s="55"/>
      <c r="U178" s="55">
        <f t="shared" si="144"/>
        <v>0</v>
      </c>
      <c r="V178" s="55">
        <v>0</v>
      </c>
      <c r="W178" s="58">
        <v>0</v>
      </c>
      <c r="X178" s="55">
        <f t="shared" si="145"/>
        <v>0</v>
      </c>
      <c r="AA178" s="40">
        <f t="shared" si="147"/>
        <v>0</v>
      </c>
      <c r="AB178" s="40">
        <f t="shared" si="148"/>
        <v>0</v>
      </c>
      <c r="AC178" s="67"/>
    </row>
    <row r="179" spans="6:29" x14ac:dyDescent="0.25">
      <c r="F179" s="45" t="str">
        <f t="shared" si="146"/>
        <v xml:space="preserve">S/F  </v>
      </c>
      <c r="G179" s="55">
        <v>0</v>
      </c>
      <c r="H179" s="56">
        <v>0</v>
      </c>
      <c r="I179" s="55">
        <f t="shared" si="139"/>
        <v>0</v>
      </c>
      <c r="J179" s="57"/>
      <c r="K179" s="55">
        <f t="shared" si="140"/>
        <v>0</v>
      </c>
      <c r="L179" s="55">
        <v>0</v>
      </c>
      <c r="M179" s="56">
        <v>0</v>
      </c>
      <c r="N179" s="55">
        <f t="shared" si="141"/>
        <v>0</v>
      </c>
      <c r="O179" s="55"/>
      <c r="P179" s="55">
        <f t="shared" si="142"/>
        <v>0</v>
      </c>
      <c r="Q179" s="55">
        <v>0</v>
      </c>
      <c r="R179" s="56">
        <v>0</v>
      </c>
      <c r="S179" s="55">
        <f t="shared" si="143"/>
        <v>0</v>
      </c>
      <c r="T179" s="55"/>
      <c r="U179" s="55">
        <f t="shared" si="144"/>
        <v>0</v>
      </c>
      <c r="V179" s="55">
        <v>0</v>
      </c>
      <c r="W179" s="58">
        <v>0</v>
      </c>
      <c r="X179" s="55">
        <f t="shared" si="145"/>
        <v>0</v>
      </c>
      <c r="AA179" s="40">
        <f t="shared" si="147"/>
        <v>0</v>
      </c>
      <c r="AB179" s="40">
        <f t="shared" si="148"/>
        <v>0</v>
      </c>
      <c r="AC179" s="67"/>
    </row>
    <row r="180" spans="6:29" x14ac:dyDescent="0.25">
      <c r="F180" s="45" t="str">
        <f t="shared" si="146"/>
        <v xml:space="preserve">S/F  </v>
      </c>
      <c r="G180" s="55">
        <v>0</v>
      </c>
      <c r="H180" s="56">
        <v>0</v>
      </c>
      <c r="I180" s="55">
        <f t="shared" si="139"/>
        <v>0</v>
      </c>
      <c r="J180" s="57"/>
      <c r="K180" s="55">
        <f t="shared" si="140"/>
        <v>0</v>
      </c>
      <c r="L180" s="55">
        <v>0</v>
      </c>
      <c r="M180" s="56">
        <v>0</v>
      </c>
      <c r="N180" s="55">
        <f t="shared" si="141"/>
        <v>0</v>
      </c>
      <c r="O180" s="55"/>
      <c r="P180" s="55">
        <f t="shared" si="142"/>
        <v>0</v>
      </c>
      <c r="Q180" s="55">
        <v>0</v>
      </c>
      <c r="R180" s="56">
        <v>0</v>
      </c>
      <c r="S180" s="55">
        <f t="shared" si="143"/>
        <v>0</v>
      </c>
      <c r="T180" s="55"/>
      <c r="U180" s="55">
        <f t="shared" si="144"/>
        <v>0</v>
      </c>
      <c r="V180" s="55">
        <v>0</v>
      </c>
      <c r="W180" s="58">
        <v>0</v>
      </c>
      <c r="X180" s="55">
        <f t="shared" si="145"/>
        <v>0</v>
      </c>
      <c r="AA180" s="40">
        <f t="shared" si="147"/>
        <v>0</v>
      </c>
      <c r="AB180" s="40">
        <f t="shared" si="148"/>
        <v>0</v>
      </c>
      <c r="AC180" s="67"/>
    </row>
    <row r="181" spans="6:29" x14ac:dyDescent="0.25">
      <c r="F181" s="45" t="str">
        <f t="shared" si="146"/>
        <v xml:space="preserve">S/F  </v>
      </c>
      <c r="G181" s="55">
        <v>0</v>
      </c>
      <c r="H181" s="56">
        <v>0</v>
      </c>
      <c r="I181" s="55">
        <f t="shared" si="139"/>
        <v>0</v>
      </c>
      <c r="J181" s="57"/>
      <c r="K181" s="55">
        <f t="shared" si="140"/>
        <v>0</v>
      </c>
      <c r="L181" s="55">
        <v>0</v>
      </c>
      <c r="M181" s="56">
        <v>0</v>
      </c>
      <c r="N181" s="55">
        <f t="shared" si="141"/>
        <v>0</v>
      </c>
      <c r="O181" s="55"/>
      <c r="P181" s="55">
        <f t="shared" si="142"/>
        <v>0</v>
      </c>
      <c r="Q181" s="55">
        <v>0</v>
      </c>
      <c r="R181" s="56">
        <v>0</v>
      </c>
      <c r="S181" s="55">
        <f t="shared" si="143"/>
        <v>0</v>
      </c>
      <c r="T181" s="55"/>
      <c r="U181" s="55">
        <f t="shared" si="144"/>
        <v>0</v>
      </c>
      <c r="V181" s="55">
        <v>0</v>
      </c>
      <c r="W181" s="58">
        <v>0</v>
      </c>
      <c r="X181" s="55">
        <f t="shared" si="145"/>
        <v>0</v>
      </c>
      <c r="AA181" s="40">
        <f t="shared" si="147"/>
        <v>0</v>
      </c>
      <c r="AB181" s="40">
        <f t="shared" si="148"/>
        <v>0</v>
      </c>
      <c r="AC181" s="67"/>
    </row>
    <row r="182" spans="6:29" x14ac:dyDescent="0.25">
      <c r="F182" s="45" t="str">
        <f t="shared" si="146"/>
        <v xml:space="preserve">S/F  </v>
      </c>
      <c r="G182" s="55">
        <v>0</v>
      </c>
      <c r="H182" s="56">
        <v>0</v>
      </c>
      <c r="I182" s="55">
        <f t="shared" si="139"/>
        <v>0</v>
      </c>
      <c r="J182" s="57"/>
      <c r="K182" s="55">
        <f t="shared" si="140"/>
        <v>0</v>
      </c>
      <c r="L182" s="55">
        <v>0</v>
      </c>
      <c r="M182" s="56">
        <v>0</v>
      </c>
      <c r="N182" s="55">
        <f t="shared" si="141"/>
        <v>0</v>
      </c>
      <c r="O182" s="55"/>
      <c r="P182" s="55">
        <f t="shared" si="142"/>
        <v>0</v>
      </c>
      <c r="Q182" s="55">
        <v>0</v>
      </c>
      <c r="R182" s="56">
        <v>0</v>
      </c>
      <c r="S182" s="55">
        <f t="shared" si="143"/>
        <v>0</v>
      </c>
      <c r="T182" s="55"/>
      <c r="U182" s="55">
        <f t="shared" si="144"/>
        <v>0</v>
      </c>
      <c r="V182" s="55">
        <v>0</v>
      </c>
      <c r="W182" s="58">
        <v>0</v>
      </c>
      <c r="X182" s="55">
        <f t="shared" si="145"/>
        <v>0</v>
      </c>
      <c r="AA182" s="40">
        <f t="shared" si="147"/>
        <v>0</v>
      </c>
      <c r="AB182" s="40">
        <f t="shared" si="148"/>
        <v>0</v>
      </c>
      <c r="AC182" s="67"/>
    </row>
    <row r="183" spans="6:29" x14ac:dyDescent="0.25">
      <c r="F183" s="45" t="str">
        <f t="shared" si="146"/>
        <v xml:space="preserve">S/F  </v>
      </c>
      <c r="G183" s="55">
        <v>0</v>
      </c>
      <c r="H183" s="56">
        <v>0</v>
      </c>
      <c r="I183" s="55">
        <f t="shared" si="139"/>
        <v>0</v>
      </c>
      <c r="J183" s="57"/>
      <c r="K183" s="55">
        <f t="shared" si="140"/>
        <v>0</v>
      </c>
      <c r="L183" s="55">
        <v>0</v>
      </c>
      <c r="M183" s="56">
        <v>0</v>
      </c>
      <c r="N183" s="55">
        <f t="shared" si="141"/>
        <v>0</v>
      </c>
      <c r="O183" s="55"/>
      <c r="P183" s="55">
        <f t="shared" si="142"/>
        <v>0</v>
      </c>
      <c r="Q183" s="55">
        <v>0</v>
      </c>
      <c r="R183" s="56">
        <v>0</v>
      </c>
      <c r="S183" s="55">
        <f t="shared" si="143"/>
        <v>0</v>
      </c>
      <c r="T183" s="55"/>
      <c r="U183" s="55">
        <f t="shared" si="144"/>
        <v>0</v>
      </c>
      <c r="V183" s="55">
        <v>0</v>
      </c>
      <c r="W183" s="58">
        <v>0</v>
      </c>
      <c r="X183" s="55">
        <f t="shared" si="145"/>
        <v>0</v>
      </c>
      <c r="AA183" s="40">
        <f t="shared" si="147"/>
        <v>0</v>
      </c>
      <c r="AB183" s="40">
        <f t="shared" si="148"/>
        <v>0</v>
      </c>
      <c r="AC183" s="67"/>
    </row>
    <row r="184" spans="6:29" x14ac:dyDescent="0.25">
      <c r="F184" s="45" t="str">
        <f t="shared" si="146"/>
        <v xml:space="preserve">S/F  </v>
      </c>
      <c r="G184" s="55">
        <v>0</v>
      </c>
      <c r="H184" s="56">
        <v>0</v>
      </c>
      <c r="I184" s="55">
        <f t="shared" si="139"/>
        <v>0</v>
      </c>
      <c r="J184" s="57"/>
      <c r="K184" s="55">
        <f t="shared" si="140"/>
        <v>0</v>
      </c>
      <c r="L184" s="55">
        <v>0</v>
      </c>
      <c r="M184" s="56">
        <v>0</v>
      </c>
      <c r="N184" s="55">
        <f t="shared" si="141"/>
        <v>0</v>
      </c>
      <c r="O184" s="55"/>
      <c r="P184" s="55">
        <f t="shared" si="142"/>
        <v>0</v>
      </c>
      <c r="Q184" s="55">
        <v>0</v>
      </c>
      <c r="R184" s="56">
        <v>0</v>
      </c>
      <c r="S184" s="55">
        <f t="shared" si="143"/>
        <v>0</v>
      </c>
      <c r="T184" s="55"/>
      <c r="U184" s="55">
        <f t="shared" si="144"/>
        <v>0</v>
      </c>
      <c r="V184" s="55">
        <v>0</v>
      </c>
      <c r="W184" s="58">
        <v>0</v>
      </c>
      <c r="X184" s="55">
        <f t="shared" si="145"/>
        <v>0</v>
      </c>
      <c r="AA184" s="40">
        <f t="shared" si="147"/>
        <v>0</v>
      </c>
      <c r="AB184" s="40">
        <f t="shared" si="148"/>
        <v>0</v>
      </c>
      <c r="AC184" s="67"/>
    </row>
    <row r="185" spans="6:29" x14ac:dyDescent="0.25">
      <c r="F185" s="45" t="str">
        <f t="shared" si="146"/>
        <v xml:space="preserve">S/F  </v>
      </c>
      <c r="G185" s="55">
        <v>0</v>
      </c>
      <c r="H185" s="56">
        <v>0</v>
      </c>
      <c r="I185" s="55">
        <f t="shared" si="139"/>
        <v>0</v>
      </c>
      <c r="J185" s="57"/>
      <c r="K185" s="55">
        <f t="shared" si="140"/>
        <v>0</v>
      </c>
      <c r="L185" s="55">
        <v>0</v>
      </c>
      <c r="M185" s="56">
        <v>0</v>
      </c>
      <c r="N185" s="55">
        <f t="shared" si="141"/>
        <v>0</v>
      </c>
      <c r="O185" s="55"/>
      <c r="P185" s="55">
        <f t="shared" si="142"/>
        <v>0</v>
      </c>
      <c r="Q185" s="55">
        <v>0</v>
      </c>
      <c r="R185" s="56">
        <v>0</v>
      </c>
      <c r="S185" s="55">
        <f t="shared" si="143"/>
        <v>0</v>
      </c>
      <c r="T185" s="55"/>
      <c r="U185" s="55">
        <f t="shared" si="144"/>
        <v>0</v>
      </c>
      <c r="V185" s="55">
        <v>0</v>
      </c>
      <c r="W185" s="58">
        <v>0</v>
      </c>
      <c r="X185" s="55">
        <f t="shared" si="145"/>
        <v>0</v>
      </c>
      <c r="AA185" s="40">
        <f t="shared" si="147"/>
        <v>0</v>
      </c>
      <c r="AB185" s="40">
        <f t="shared" si="148"/>
        <v>0</v>
      </c>
      <c r="AC185" s="67"/>
    </row>
    <row r="186" spans="6:29" x14ac:dyDescent="0.25">
      <c r="F186" s="45" t="str">
        <f t="shared" si="146"/>
        <v xml:space="preserve">S/F  </v>
      </c>
      <c r="G186" s="55">
        <v>0</v>
      </c>
      <c r="H186" s="56">
        <v>0</v>
      </c>
      <c r="I186" s="55">
        <f t="shared" si="139"/>
        <v>0</v>
      </c>
      <c r="J186" s="57"/>
      <c r="K186" s="55">
        <f t="shared" si="140"/>
        <v>0</v>
      </c>
      <c r="L186" s="55">
        <v>0</v>
      </c>
      <c r="M186" s="56">
        <v>0</v>
      </c>
      <c r="N186" s="55">
        <f t="shared" si="141"/>
        <v>0</v>
      </c>
      <c r="O186" s="55"/>
      <c r="P186" s="55">
        <f t="shared" si="142"/>
        <v>0</v>
      </c>
      <c r="Q186" s="55">
        <v>0</v>
      </c>
      <c r="R186" s="56">
        <v>0</v>
      </c>
      <c r="S186" s="55">
        <f t="shared" si="143"/>
        <v>0</v>
      </c>
      <c r="T186" s="55"/>
      <c r="U186" s="55">
        <f t="shared" si="144"/>
        <v>0</v>
      </c>
      <c r="V186" s="55">
        <v>0</v>
      </c>
      <c r="W186" s="58">
        <v>0</v>
      </c>
      <c r="X186" s="55">
        <f t="shared" si="145"/>
        <v>0</v>
      </c>
      <c r="AA186" s="40">
        <f t="shared" si="147"/>
        <v>0</v>
      </c>
      <c r="AB186" s="40">
        <f t="shared" si="148"/>
        <v>0</v>
      </c>
      <c r="AC186" s="67"/>
    </row>
    <row r="187" spans="6:29" x14ac:dyDescent="0.25">
      <c r="F187" s="45" t="str">
        <f t="shared" si="146"/>
        <v xml:space="preserve">S/F  </v>
      </c>
      <c r="G187" s="55">
        <v>0</v>
      </c>
      <c r="H187" s="56">
        <v>0</v>
      </c>
      <c r="I187" s="55">
        <f t="shared" si="139"/>
        <v>0</v>
      </c>
      <c r="J187" s="57"/>
      <c r="K187" s="55">
        <f t="shared" si="140"/>
        <v>0</v>
      </c>
      <c r="L187" s="55">
        <v>0</v>
      </c>
      <c r="M187" s="56">
        <v>0</v>
      </c>
      <c r="N187" s="55">
        <f t="shared" si="141"/>
        <v>0</v>
      </c>
      <c r="O187" s="55"/>
      <c r="P187" s="55">
        <f t="shared" si="142"/>
        <v>0</v>
      </c>
      <c r="Q187" s="55">
        <v>0</v>
      </c>
      <c r="R187" s="56">
        <v>0</v>
      </c>
      <c r="S187" s="55">
        <f t="shared" si="143"/>
        <v>0</v>
      </c>
      <c r="T187" s="55"/>
      <c r="U187" s="55">
        <f t="shared" si="144"/>
        <v>0</v>
      </c>
      <c r="V187" s="55">
        <v>0</v>
      </c>
      <c r="W187" s="58">
        <v>0</v>
      </c>
      <c r="X187" s="55">
        <f t="shared" si="145"/>
        <v>0</v>
      </c>
      <c r="AA187" s="40">
        <f t="shared" si="147"/>
        <v>0</v>
      </c>
      <c r="AB187" s="40">
        <f t="shared" si="148"/>
        <v>0</v>
      </c>
      <c r="AC187" s="67"/>
    </row>
    <row r="188" spans="6:29" x14ac:dyDescent="0.25">
      <c r="F188" s="45" t="str">
        <f t="shared" si="146"/>
        <v xml:space="preserve">S/F  </v>
      </c>
      <c r="G188" s="55">
        <v>0</v>
      </c>
      <c r="H188" s="56">
        <v>0</v>
      </c>
      <c r="I188" s="55">
        <f t="shared" si="139"/>
        <v>0</v>
      </c>
      <c r="J188" s="57"/>
      <c r="K188" s="55">
        <f t="shared" si="140"/>
        <v>0</v>
      </c>
      <c r="L188" s="55">
        <v>0</v>
      </c>
      <c r="M188" s="56">
        <v>0</v>
      </c>
      <c r="N188" s="55">
        <f t="shared" si="141"/>
        <v>0</v>
      </c>
      <c r="O188" s="55"/>
      <c r="P188" s="55">
        <f t="shared" si="142"/>
        <v>0</v>
      </c>
      <c r="Q188" s="55">
        <v>0</v>
      </c>
      <c r="R188" s="56">
        <v>0</v>
      </c>
      <c r="S188" s="55">
        <f t="shared" si="143"/>
        <v>0</v>
      </c>
      <c r="T188" s="55"/>
      <c r="U188" s="55">
        <f t="shared" si="144"/>
        <v>0</v>
      </c>
      <c r="V188" s="55">
        <v>0</v>
      </c>
      <c r="W188" s="58">
        <v>0</v>
      </c>
      <c r="X188" s="55">
        <f t="shared" si="145"/>
        <v>0</v>
      </c>
      <c r="AA188" s="40">
        <f t="shared" si="147"/>
        <v>0</v>
      </c>
      <c r="AB188" s="40">
        <f t="shared" si="148"/>
        <v>0</v>
      </c>
      <c r="AC188" s="67"/>
    </row>
    <row r="189" spans="6:29" x14ac:dyDescent="0.25">
      <c r="F189" s="45" t="str">
        <f t="shared" si="146"/>
        <v xml:space="preserve">S/F  </v>
      </c>
      <c r="G189" s="55">
        <v>0</v>
      </c>
      <c r="H189" s="56">
        <v>0</v>
      </c>
      <c r="I189" s="55">
        <f t="shared" si="139"/>
        <v>0</v>
      </c>
      <c r="J189" s="57"/>
      <c r="K189" s="55">
        <f t="shared" si="140"/>
        <v>0</v>
      </c>
      <c r="L189" s="55">
        <v>0</v>
      </c>
      <c r="M189" s="56">
        <v>0</v>
      </c>
      <c r="N189" s="55">
        <f t="shared" si="141"/>
        <v>0</v>
      </c>
      <c r="O189" s="55"/>
      <c r="P189" s="55">
        <f t="shared" si="142"/>
        <v>0</v>
      </c>
      <c r="Q189" s="55">
        <v>0</v>
      </c>
      <c r="R189" s="56">
        <v>0</v>
      </c>
      <c r="S189" s="55">
        <f t="shared" si="143"/>
        <v>0</v>
      </c>
      <c r="T189" s="55"/>
      <c r="U189" s="55">
        <f t="shared" si="144"/>
        <v>0</v>
      </c>
      <c r="V189" s="55">
        <v>0</v>
      </c>
      <c r="W189" s="58">
        <v>0</v>
      </c>
      <c r="X189" s="55">
        <f t="shared" si="145"/>
        <v>0</v>
      </c>
      <c r="AA189" s="40">
        <f t="shared" si="147"/>
        <v>0</v>
      </c>
      <c r="AB189" s="40">
        <f t="shared" si="148"/>
        <v>0</v>
      </c>
      <c r="AC189" s="67"/>
    </row>
    <row r="190" spans="6:29" x14ac:dyDescent="0.25">
      <c r="F190" s="45" t="str">
        <f t="shared" si="146"/>
        <v xml:space="preserve">S/F  </v>
      </c>
      <c r="G190" s="55">
        <v>0</v>
      </c>
      <c r="H190" s="56">
        <v>0</v>
      </c>
      <c r="I190" s="55">
        <f t="shared" si="139"/>
        <v>0</v>
      </c>
      <c r="J190" s="57"/>
      <c r="K190" s="55">
        <f t="shared" si="140"/>
        <v>0</v>
      </c>
      <c r="L190" s="55">
        <v>0</v>
      </c>
      <c r="M190" s="56">
        <v>0</v>
      </c>
      <c r="N190" s="55">
        <f t="shared" si="141"/>
        <v>0</v>
      </c>
      <c r="O190" s="55"/>
      <c r="P190" s="55">
        <f t="shared" si="142"/>
        <v>0</v>
      </c>
      <c r="Q190" s="55">
        <v>0</v>
      </c>
      <c r="R190" s="56">
        <v>0</v>
      </c>
      <c r="S190" s="55">
        <f t="shared" si="143"/>
        <v>0</v>
      </c>
      <c r="T190" s="55"/>
      <c r="U190" s="55">
        <f t="shared" si="144"/>
        <v>0</v>
      </c>
      <c r="V190" s="55">
        <v>0</v>
      </c>
      <c r="W190" s="58">
        <v>0</v>
      </c>
      <c r="X190" s="55">
        <f t="shared" si="145"/>
        <v>0</v>
      </c>
      <c r="AA190" s="40">
        <f t="shared" si="147"/>
        <v>0</v>
      </c>
      <c r="AB190" s="40">
        <f t="shared" si="148"/>
        <v>0</v>
      </c>
      <c r="AC190" s="67"/>
    </row>
    <row r="191" spans="6:29" x14ac:dyDescent="0.25">
      <c r="F191" s="45" t="str">
        <f t="shared" si="146"/>
        <v xml:space="preserve">S/F  </v>
      </c>
      <c r="G191" s="55">
        <v>0</v>
      </c>
      <c r="H191" s="56">
        <v>0</v>
      </c>
      <c r="I191" s="55">
        <f t="shared" si="139"/>
        <v>0</v>
      </c>
      <c r="J191" s="57"/>
      <c r="K191" s="55">
        <f t="shared" si="140"/>
        <v>0</v>
      </c>
      <c r="L191" s="55">
        <v>0</v>
      </c>
      <c r="M191" s="56">
        <v>0</v>
      </c>
      <c r="N191" s="55">
        <f t="shared" si="141"/>
        <v>0</v>
      </c>
      <c r="O191" s="55"/>
      <c r="P191" s="55">
        <f t="shared" si="142"/>
        <v>0</v>
      </c>
      <c r="Q191" s="55">
        <v>0</v>
      </c>
      <c r="R191" s="56">
        <v>0</v>
      </c>
      <c r="S191" s="55">
        <f t="shared" si="143"/>
        <v>0</v>
      </c>
      <c r="T191" s="55"/>
      <c r="U191" s="55">
        <f t="shared" si="144"/>
        <v>0</v>
      </c>
      <c r="V191" s="55">
        <v>0</v>
      </c>
      <c r="W191" s="58">
        <v>0</v>
      </c>
      <c r="X191" s="55">
        <f t="shared" si="145"/>
        <v>0</v>
      </c>
      <c r="AA191" s="40">
        <f t="shared" si="147"/>
        <v>0</v>
      </c>
      <c r="AB191" s="40">
        <f t="shared" si="148"/>
        <v>0</v>
      </c>
      <c r="AC191" s="67"/>
    </row>
    <row r="192" spans="6:29" x14ac:dyDescent="0.25">
      <c r="F192" s="45" t="str">
        <f t="shared" si="146"/>
        <v xml:space="preserve">S/F  </v>
      </c>
      <c r="G192" s="55">
        <v>0</v>
      </c>
      <c r="H192" s="56">
        <v>0</v>
      </c>
      <c r="I192" s="55">
        <f t="shared" si="139"/>
        <v>0</v>
      </c>
      <c r="J192" s="57"/>
      <c r="K192" s="55">
        <f t="shared" si="140"/>
        <v>0</v>
      </c>
      <c r="L192" s="55">
        <v>0</v>
      </c>
      <c r="M192" s="56">
        <v>0</v>
      </c>
      <c r="N192" s="55">
        <f t="shared" si="141"/>
        <v>0</v>
      </c>
      <c r="O192" s="55"/>
      <c r="P192" s="55">
        <f t="shared" si="142"/>
        <v>0</v>
      </c>
      <c r="Q192" s="55">
        <v>0</v>
      </c>
      <c r="R192" s="56">
        <v>0</v>
      </c>
      <c r="S192" s="55">
        <f t="shared" si="143"/>
        <v>0</v>
      </c>
      <c r="T192" s="55"/>
      <c r="U192" s="55">
        <f t="shared" si="144"/>
        <v>0</v>
      </c>
      <c r="V192" s="55">
        <v>0</v>
      </c>
      <c r="W192" s="58">
        <v>0</v>
      </c>
      <c r="X192" s="55">
        <f t="shared" si="145"/>
        <v>0</v>
      </c>
      <c r="AA192" s="40">
        <f t="shared" si="147"/>
        <v>0</v>
      </c>
      <c r="AB192" s="40">
        <f t="shared" si="148"/>
        <v>0</v>
      </c>
      <c r="AC192" s="67"/>
    </row>
    <row r="193" spans="6:29" x14ac:dyDescent="0.25">
      <c r="F193" s="45" t="str">
        <f t="shared" si="146"/>
        <v xml:space="preserve">S/F  </v>
      </c>
      <c r="G193" s="55">
        <v>0</v>
      </c>
      <c r="H193" s="56">
        <v>0</v>
      </c>
      <c r="I193" s="55">
        <f t="shared" si="139"/>
        <v>0</v>
      </c>
      <c r="J193" s="57"/>
      <c r="K193" s="55">
        <f t="shared" si="140"/>
        <v>0</v>
      </c>
      <c r="L193" s="55">
        <v>0</v>
      </c>
      <c r="M193" s="56">
        <v>0</v>
      </c>
      <c r="N193" s="55">
        <f t="shared" si="141"/>
        <v>0</v>
      </c>
      <c r="O193" s="55"/>
      <c r="P193" s="55">
        <f t="shared" si="142"/>
        <v>0</v>
      </c>
      <c r="Q193" s="55">
        <v>0</v>
      </c>
      <c r="R193" s="56">
        <v>0</v>
      </c>
      <c r="S193" s="55">
        <f t="shared" si="143"/>
        <v>0</v>
      </c>
      <c r="T193" s="55"/>
      <c r="U193" s="55">
        <f t="shared" si="144"/>
        <v>0</v>
      </c>
      <c r="V193" s="55">
        <v>0</v>
      </c>
      <c r="W193" s="58">
        <v>0</v>
      </c>
      <c r="X193" s="55">
        <f t="shared" si="145"/>
        <v>0</v>
      </c>
      <c r="AA193" s="40">
        <f t="shared" si="147"/>
        <v>0</v>
      </c>
      <c r="AB193" s="40">
        <f t="shared" si="148"/>
        <v>0</v>
      </c>
      <c r="AC193" s="67"/>
    </row>
    <row r="194" spans="6:29" x14ac:dyDescent="0.25">
      <c r="F194" s="45" t="str">
        <f t="shared" si="146"/>
        <v xml:space="preserve">S/F  </v>
      </c>
      <c r="G194" s="55">
        <v>0</v>
      </c>
      <c r="H194" s="56">
        <v>0</v>
      </c>
      <c r="I194" s="55">
        <f t="shared" si="139"/>
        <v>0</v>
      </c>
      <c r="J194" s="57"/>
      <c r="K194" s="55">
        <f t="shared" si="140"/>
        <v>0</v>
      </c>
      <c r="L194" s="55">
        <v>0</v>
      </c>
      <c r="M194" s="56">
        <v>0</v>
      </c>
      <c r="N194" s="55">
        <f t="shared" si="141"/>
        <v>0</v>
      </c>
      <c r="O194" s="55"/>
      <c r="P194" s="55">
        <f t="shared" si="142"/>
        <v>0</v>
      </c>
      <c r="Q194" s="55">
        <v>0</v>
      </c>
      <c r="R194" s="56">
        <v>0</v>
      </c>
      <c r="S194" s="55">
        <f t="shared" si="143"/>
        <v>0</v>
      </c>
      <c r="T194" s="55"/>
      <c r="U194" s="55">
        <f t="shared" si="144"/>
        <v>0</v>
      </c>
      <c r="V194" s="55">
        <v>0</v>
      </c>
      <c r="W194" s="58">
        <v>0</v>
      </c>
      <c r="X194" s="55">
        <f t="shared" si="145"/>
        <v>0</v>
      </c>
      <c r="AA194" s="40">
        <f t="shared" si="147"/>
        <v>0</v>
      </c>
      <c r="AB194" s="40">
        <f t="shared" si="148"/>
        <v>0</v>
      </c>
      <c r="AC194" s="67"/>
    </row>
    <row r="195" spans="6:29" x14ac:dyDescent="0.25">
      <c r="F195" s="45" t="str">
        <f t="shared" si="146"/>
        <v xml:space="preserve">S/F  </v>
      </c>
      <c r="G195" s="55">
        <v>0</v>
      </c>
      <c r="H195" s="56">
        <v>0</v>
      </c>
      <c r="I195" s="55">
        <f t="shared" si="139"/>
        <v>0</v>
      </c>
      <c r="J195" s="57"/>
      <c r="K195" s="55">
        <f t="shared" si="140"/>
        <v>0</v>
      </c>
      <c r="L195" s="55">
        <v>0</v>
      </c>
      <c r="M195" s="56">
        <v>0</v>
      </c>
      <c r="N195" s="55">
        <f t="shared" si="141"/>
        <v>0</v>
      </c>
      <c r="O195" s="55"/>
      <c r="P195" s="55">
        <f t="shared" si="142"/>
        <v>0</v>
      </c>
      <c r="Q195" s="55">
        <v>0</v>
      </c>
      <c r="R195" s="56">
        <v>0</v>
      </c>
      <c r="S195" s="55">
        <f t="shared" si="143"/>
        <v>0</v>
      </c>
      <c r="T195" s="55"/>
      <c r="U195" s="55">
        <f t="shared" si="144"/>
        <v>0</v>
      </c>
      <c r="V195" s="55">
        <v>0</v>
      </c>
      <c r="W195" s="58">
        <v>0</v>
      </c>
      <c r="X195" s="55">
        <f t="shared" si="145"/>
        <v>0</v>
      </c>
      <c r="AA195" s="40">
        <f t="shared" si="147"/>
        <v>0</v>
      </c>
      <c r="AB195" s="40">
        <f t="shared" si="148"/>
        <v>0</v>
      </c>
      <c r="AC195" s="67"/>
    </row>
    <row r="196" spans="6:29" x14ac:dyDescent="0.25">
      <c r="F196" s="45" t="str">
        <f t="shared" si="146"/>
        <v xml:space="preserve">S/F  </v>
      </c>
      <c r="G196" s="55">
        <v>0</v>
      </c>
      <c r="H196" s="56">
        <v>0</v>
      </c>
      <c r="I196" s="55">
        <f t="shared" si="139"/>
        <v>0</v>
      </c>
      <c r="J196" s="57"/>
      <c r="K196" s="55">
        <f t="shared" si="140"/>
        <v>0</v>
      </c>
      <c r="L196" s="55">
        <v>0</v>
      </c>
      <c r="M196" s="56">
        <v>0</v>
      </c>
      <c r="N196" s="55">
        <f t="shared" si="141"/>
        <v>0</v>
      </c>
      <c r="O196" s="55"/>
      <c r="P196" s="55">
        <f t="shared" si="142"/>
        <v>0</v>
      </c>
      <c r="Q196" s="55">
        <v>0</v>
      </c>
      <c r="R196" s="56">
        <v>0</v>
      </c>
      <c r="S196" s="55">
        <f t="shared" si="143"/>
        <v>0</v>
      </c>
      <c r="T196" s="55"/>
      <c r="U196" s="55">
        <f t="shared" si="144"/>
        <v>0</v>
      </c>
      <c r="V196" s="55">
        <v>0</v>
      </c>
      <c r="W196" s="58">
        <v>0</v>
      </c>
      <c r="X196" s="55">
        <f t="shared" si="145"/>
        <v>0</v>
      </c>
      <c r="AA196" s="40">
        <f t="shared" si="147"/>
        <v>0</v>
      </c>
      <c r="AB196" s="40">
        <f t="shared" si="148"/>
        <v>0</v>
      </c>
      <c r="AC196" s="67"/>
    </row>
    <row r="197" spans="6:29" x14ac:dyDescent="0.25">
      <c r="F197" s="45" t="str">
        <f t="shared" si="146"/>
        <v xml:space="preserve">S/F  </v>
      </c>
      <c r="G197" s="55">
        <v>0</v>
      </c>
      <c r="H197" s="56">
        <v>0</v>
      </c>
      <c r="I197" s="55">
        <f t="shared" si="139"/>
        <v>0</v>
      </c>
      <c r="J197" s="57"/>
      <c r="K197" s="55">
        <f t="shared" si="140"/>
        <v>0</v>
      </c>
      <c r="L197" s="55">
        <v>0</v>
      </c>
      <c r="M197" s="56">
        <v>0</v>
      </c>
      <c r="N197" s="55">
        <f t="shared" si="141"/>
        <v>0</v>
      </c>
      <c r="O197" s="55"/>
      <c r="P197" s="55">
        <f t="shared" si="142"/>
        <v>0</v>
      </c>
      <c r="Q197" s="55">
        <v>0</v>
      </c>
      <c r="R197" s="56">
        <v>0</v>
      </c>
      <c r="S197" s="55">
        <f t="shared" si="143"/>
        <v>0</v>
      </c>
      <c r="T197" s="55"/>
      <c r="U197" s="55">
        <f t="shared" si="144"/>
        <v>0</v>
      </c>
      <c r="V197" s="55">
        <v>0</v>
      </c>
      <c r="W197" s="58">
        <v>0</v>
      </c>
      <c r="X197" s="55">
        <f t="shared" si="145"/>
        <v>0</v>
      </c>
      <c r="AA197" s="40">
        <f t="shared" si="147"/>
        <v>0</v>
      </c>
      <c r="AB197" s="40">
        <f t="shared" si="148"/>
        <v>0</v>
      </c>
      <c r="AC197" s="67"/>
    </row>
    <row r="198" spans="6:29" x14ac:dyDescent="0.25">
      <c r="F198" s="45" t="str">
        <f t="shared" si="146"/>
        <v xml:space="preserve">S/F  </v>
      </c>
      <c r="G198" s="55">
        <v>0</v>
      </c>
      <c r="H198" s="56">
        <v>0</v>
      </c>
      <c r="I198" s="55">
        <f t="shared" si="139"/>
        <v>0</v>
      </c>
      <c r="J198" s="57"/>
      <c r="K198" s="55">
        <f t="shared" si="140"/>
        <v>0</v>
      </c>
      <c r="L198" s="55">
        <v>0</v>
      </c>
      <c r="M198" s="56">
        <v>0</v>
      </c>
      <c r="N198" s="55">
        <f t="shared" si="141"/>
        <v>0</v>
      </c>
      <c r="O198" s="55"/>
      <c r="P198" s="55">
        <f t="shared" si="142"/>
        <v>0</v>
      </c>
      <c r="Q198" s="55">
        <v>0</v>
      </c>
      <c r="R198" s="56">
        <v>0</v>
      </c>
      <c r="S198" s="55">
        <f t="shared" si="143"/>
        <v>0</v>
      </c>
      <c r="T198" s="55"/>
      <c r="U198" s="55">
        <f t="shared" si="144"/>
        <v>0</v>
      </c>
      <c r="V198" s="55">
        <v>0</v>
      </c>
      <c r="W198" s="58">
        <v>0</v>
      </c>
      <c r="X198" s="55">
        <f t="shared" si="145"/>
        <v>0</v>
      </c>
      <c r="AA198" s="40">
        <f t="shared" si="147"/>
        <v>0</v>
      </c>
      <c r="AB198" s="40">
        <f t="shared" si="148"/>
        <v>0</v>
      </c>
      <c r="AC198" s="67"/>
    </row>
    <row r="199" spans="6:29" x14ac:dyDescent="0.25">
      <c r="F199" s="45" t="str">
        <f t="shared" si="146"/>
        <v xml:space="preserve">S/F  </v>
      </c>
      <c r="G199" s="55">
        <v>0</v>
      </c>
      <c r="H199" s="56">
        <v>0</v>
      </c>
      <c r="I199" s="55">
        <f t="shared" si="139"/>
        <v>0</v>
      </c>
      <c r="J199" s="57"/>
      <c r="K199" s="55">
        <f t="shared" si="140"/>
        <v>0</v>
      </c>
      <c r="L199" s="55">
        <v>0</v>
      </c>
      <c r="M199" s="56">
        <v>0</v>
      </c>
      <c r="N199" s="55">
        <f t="shared" si="141"/>
        <v>0</v>
      </c>
      <c r="O199" s="55"/>
      <c r="P199" s="55">
        <f t="shared" si="142"/>
        <v>0</v>
      </c>
      <c r="Q199" s="55">
        <v>0</v>
      </c>
      <c r="R199" s="56">
        <v>0</v>
      </c>
      <c r="S199" s="55">
        <f t="shared" si="143"/>
        <v>0</v>
      </c>
      <c r="T199" s="55"/>
      <c r="U199" s="55">
        <f t="shared" si="144"/>
        <v>0</v>
      </c>
      <c r="V199" s="55">
        <v>0</v>
      </c>
      <c r="W199" s="58">
        <v>0</v>
      </c>
      <c r="X199" s="55">
        <f t="shared" si="145"/>
        <v>0</v>
      </c>
      <c r="AA199" s="40">
        <f t="shared" si="147"/>
        <v>0</v>
      </c>
      <c r="AB199" s="40">
        <f t="shared" si="148"/>
        <v>0</v>
      </c>
      <c r="AC199" s="67"/>
    </row>
    <row r="200" spans="6:29" x14ac:dyDescent="0.25">
      <c r="F200" s="45" t="str">
        <f t="shared" si="146"/>
        <v xml:space="preserve">S/F  </v>
      </c>
      <c r="G200" s="55">
        <v>0</v>
      </c>
      <c r="H200" s="56">
        <v>0</v>
      </c>
      <c r="I200" s="55">
        <f t="shared" si="139"/>
        <v>0</v>
      </c>
      <c r="J200" s="57"/>
      <c r="K200" s="55">
        <f t="shared" si="140"/>
        <v>0</v>
      </c>
      <c r="L200" s="55">
        <v>0</v>
      </c>
      <c r="M200" s="56">
        <v>0</v>
      </c>
      <c r="N200" s="55">
        <f t="shared" si="141"/>
        <v>0</v>
      </c>
      <c r="O200" s="55"/>
      <c r="P200" s="55">
        <f t="shared" si="142"/>
        <v>0</v>
      </c>
      <c r="Q200" s="55">
        <v>0</v>
      </c>
      <c r="R200" s="56">
        <v>0</v>
      </c>
      <c r="S200" s="55">
        <f t="shared" si="143"/>
        <v>0</v>
      </c>
      <c r="T200" s="55"/>
      <c r="U200" s="55">
        <f t="shared" si="144"/>
        <v>0</v>
      </c>
      <c r="V200" s="55">
        <v>0</v>
      </c>
      <c r="W200" s="58">
        <v>0</v>
      </c>
      <c r="X200" s="55">
        <f t="shared" si="145"/>
        <v>0</v>
      </c>
      <c r="AA200" s="40">
        <f t="shared" si="147"/>
        <v>0</v>
      </c>
      <c r="AB200" s="40">
        <f t="shared" si="148"/>
        <v>0</v>
      </c>
      <c r="AC200" s="67"/>
    </row>
    <row r="201" spans="6:29" x14ac:dyDescent="0.25">
      <c r="F201" s="45" t="str">
        <f t="shared" si="146"/>
        <v xml:space="preserve">S/F  </v>
      </c>
      <c r="G201" s="55">
        <v>0</v>
      </c>
      <c r="H201" s="56">
        <v>0</v>
      </c>
      <c r="I201" s="55">
        <f t="shared" ref="I201:I245" si="149">+IF(G201&lt;&gt;0,G201*H201/100,0)</f>
        <v>0</v>
      </c>
      <c r="J201" s="57"/>
      <c r="K201" s="55">
        <f t="shared" ref="K201:K245" si="150">+IF(G201&lt;&gt;0,G201*J201/100,0)</f>
        <v>0</v>
      </c>
      <c r="L201" s="55">
        <v>0</v>
      </c>
      <c r="M201" s="56">
        <v>0</v>
      </c>
      <c r="N201" s="55">
        <f t="shared" ref="N201:N245" si="151">+IF(L201&lt;&gt;0,L201*M201/100,0)</f>
        <v>0</v>
      </c>
      <c r="O201" s="55"/>
      <c r="P201" s="55">
        <f t="shared" ref="P201:P245" si="152">+IF(L201&lt;&gt;0,L201*O201/100,0)</f>
        <v>0</v>
      </c>
      <c r="Q201" s="55">
        <v>0</v>
      </c>
      <c r="R201" s="56">
        <v>0</v>
      </c>
      <c r="S201" s="55">
        <f t="shared" ref="S201:S245" si="153">+IF(Q201&lt;&gt;0,Q201*R201/100,0)</f>
        <v>0</v>
      </c>
      <c r="T201" s="55"/>
      <c r="U201" s="55">
        <f t="shared" ref="U201:U245" si="154">+IF(Q201&lt;&gt;0,Q201*T201/100,0)</f>
        <v>0</v>
      </c>
      <c r="V201" s="55">
        <v>0</v>
      </c>
      <c r="W201" s="58">
        <v>0</v>
      </c>
      <c r="X201" s="55">
        <f t="shared" ref="X201:X245" si="155">+IF(W201&lt;&gt;0,V201*W201/100,0)</f>
        <v>0</v>
      </c>
      <c r="AA201" s="40">
        <f t="shared" si="147"/>
        <v>0</v>
      </c>
      <c r="AB201" s="40">
        <f t="shared" si="148"/>
        <v>0</v>
      </c>
      <c r="AC201" s="67"/>
    </row>
    <row r="202" spans="6:29" x14ac:dyDescent="0.25">
      <c r="F202" s="45" t="str">
        <f t="shared" si="146"/>
        <v xml:space="preserve">S/F  </v>
      </c>
      <c r="G202" s="55">
        <v>0</v>
      </c>
      <c r="H202" s="56">
        <v>0</v>
      </c>
      <c r="I202" s="55">
        <f t="shared" si="149"/>
        <v>0</v>
      </c>
      <c r="J202" s="57"/>
      <c r="K202" s="55">
        <f t="shared" si="150"/>
        <v>0</v>
      </c>
      <c r="L202" s="55">
        <v>0</v>
      </c>
      <c r="M202" s="56">
        <v>0</v>
      </c>
      <c r="N202" s="55">
        <f t="shared" si="151"/>
        <v>0</v>
      </c>
      <c r="O202" s="55"/>
      <c r="P202" s="55">
        <f t="shared" si="152"/>
        <v>0</v>
      </c>
      <c r="Q202" s="55">
        <v>0</v>
      </c>
      <c r="R202" s="56">
        <v>0</v>
      </c>
      <c r="S202" s="55">
        <f t="shared" si="153"/>
        <v>0</v>
      </c>
      <c r="T202" s="55"/>
      <c r="U202" s="55">
        <f t="shared" si="154"/>
        <v>0</v>
      </c>
      <c r="V202" s="55">
        <v>0</v>
      </c>
      <c r="W202" s="58">
        <v>0</v>
      </c>
      <c r="X202" s="55">
        <f t="shared" si="155"/>
        <v>0</v>
      </c>
      <c r="AA202" s="40">
        <f t="shared" si="147"/>
        <v>0</v>
      </c>
      <c r="AB202" s="40">
        <f t="shared" si="148"/>
        <v>0</v>
      </c>
      <c r="AC202" s="67"/>
    </row>
    <row r="203" spans="6:29" x14ac:dyDescent="0.25">
      <c r="F203" s="45" t="str">
        <f t="shared" si="146"/>
        <v xml:space="preserve">S/F  </v>
      </c>
      <c r="G203" s="55">
        <v>0</v>
      </c>
      <c r="H203" s="56">
        <v>0</v>
      </c>
      <c r="I203" s="55">
        <f t="shared" si="149"/>
        <v>0</v>
      </c>
      <c r="J203" s="57"/>
      <c r="K203" s="55">
        <f t="shared" si="150"/>
        <v>0</v>
      </c>
      <c r="L203" s="55">
        <v>0</v>
      </c>
      <c r="M203" s="56">
        <v>0</v>
      </c>
      <c r="N203" s="55">
        <f t="shared" si="151"/>
        <v>0</v>
      </c>
      <c r="O203" s="55"/>
      <c r="P203" s="55">
        <f t="shared" si="152"/>
        <v>0</v>
      </c>
      <c r="Q203" s="55">
        <v>0</v>
      </c>
      <c r="R203" s="56">
        <v>0</v>
      </c>
      <c r="S203" s="55">
        <f t="shared" si="153"/>
        <v>0</v>
      </c>
      <c r="T203" s="55"/>
      <c r="U203" s="55">
        <f t="shared" si="154"/>
        <v>0</v>
      </c>
      <c r="V203" s="55">
        <v>0</v>
      </c>
      <c r="W203" s="58">
        <v>0</v>
      </c>
      <c r="X203" s="55">
        <f t="shared" si="155"/>
        <v>0</v>
      </c>
      <c r="AA203" s="40">
        <f t="shared" si="147"/>
        <v>0</v>
      </c>
      <c r="AB203" s="40">
        <f t="shared" si="148"/>
        <v>0</v>
      </c>
      <c r="AC203" s="67"/>
    </row>
    <row r="204" spans="6:29" x14ac:dyDescent="0.25">
      <c r="F204" s="45" t="str">
        <f t="shared" si="146"/>
        <v xml:space="preserve">S/F  </v>
      </c>
      <c r="G204" s="55">
        <v>0</v>
      </c>
      <c r="H204" s="56">
        <v>0</v>
      </c>
      <c r="I204" s="55">
        <f t="shared" si="149"/>
        <v>0</v>
      </c>
      <c r="J204" s="57"/>
      <c r="K204" s="55">
        <f t="shared" si="150"/>
        <v>0</v>
      </c>
      <c r="L204" s="55">
        <v>0</v>
      </c>
      <c r="M204" s="56">
        <v>0</v>
      </c>
      <c r="N204" s="55">
        <f t="shared" si="151"/>
        <v>0</v>
      </c>
      <c r="O204" s="55"/>
      <c r="P204" s="55">
        <f t="shared" si="152"/>
        <v>0</v>
      </c>
      <c r="Q204" s="55">
        <v>0</v>
      </c>
      <c r="R204" s="56">
        <v>0</v>
      </c>
      <c r="S204" s="55">
        <f t="shared" si="153"/>
        <v>0</v>
      </c>
      <c r="T204" s="55"/>
      <c r="U204" s="55">
        <f t="shared" si="154"/>
        <v>0</v>
      </c>
      <c r="V204" s="55">
        <v>0</v>
      </c>
      <c r="W204" s="58">
        <v>0</v>
      </c>
      <c r="X204" s="55">
        <f t="shared" si="155"/>
        <v>0</v>
      </c>
      <c r="AA204" s="40">
        <f t="shared" si="147"/>
        <v>0</v>
      </c>
      <c r="AB204" s="40">
        <f t="shared" si="148"/>
        <v>0</v>
      </c>
      <c r="AC204" s="67"/>
    </row>
    <row r="205" spans="6:29" x14ac:dyDescent="0.25">
      <c r="F205" s="45" t="str">
        <f t="shared" ref="F205:F268" si="156">"S/F "&amp;B205&amp;" "&amp;E205</f>
        <v xml:space="preserve">S/F  </v>
      </c>
      <c r="G205" s="55">
        <v>0</v>
      </c>
      <c r="H205" s="56">
        <v>0</v>
      </c>
      <c r="I205" s="55">
        <f t="shared" si="149"/>
        <v>0</v>
      </c>
      <c r="J205" s="57"/>
      <c r="K205" s="55">
        <f t="shared" si="150"/>
        <v>0</v>
      </c>
      <c r="L205" s="55">
        <v>0</v>
      </c>
      <c r="M205" s="56">
        <v>0</v>
      </c>
      <c r="N205" s="55">
        <f t="shared" si="151"/>
        <v>0</v>
      </c>
      <c r="O205" s="55"/>
      <c r="P205" s="55">
        <f t="shared" si="152"/>
        <v>0</v>
      </c>
      <c r="Q205" s="55">
        <v>0</v>
      </c>
      <c r="R205" s="56">
        <v>0</v>
      </c>
      <c r="S205" s="55">
        <f t="shared" si="153"/>
        <v>0</v>
      </c>
      <c r="T205" s="55"/>
      <c r="U205" s="55">
        <f t="shared" si="154"/>
        <v>0</v>
      </c>
      <c r="V205" s="55">
        <v>0</v>
      </c>
      <c r="W205" s="58">
        <v>0</v>
      </c>
      <c r="X205" s="55">
        <f t="shared" si="155"/>
        <v>0</v>
      </c>
      <c r="AA205" s="40">
        <f t="shared" si="147"/>
        <v>0</v>
      </c>
      <c r="AB205" s="40">
        <f t="shared" si="148"/>
        <v>0</v>
      </c>
      <c r="AC205" s="67"/>
    </row>
    <row r="206" spans="6:29" x14ac:dyDescent="0.25">
      <c r="F206" s="45" t="str">
        <f t="shared" si="156"/>
        <v xml:space="preserve">S/F  </v>
      </c>
      <c r="G206" s="55">
        <v>0</v>
      </c>
      <c r="H206" s="56">
        <v>0</v>
      </c>
      <c r="I206" s="55">
        <f t="shared" si="149"/>
        <v>0</v>
      </c>
      <c r="J206" s="57"/>
      <c r="K206" s="55">
        <f t="shared" si="150"/>
        <v>0</v>
      </c>
      <c r="L206" s="55">
        <v>0</v>
      </c>
      <c r="M206" s="56">
        <v>0</v>
      </c>
      <c r="N206" s="55">
        <f t="shared" si="151"/>
        <v>0</v>
      </c>
      <c r="O206" s="55"/>
      <c r="P206" s="55">
        <f t="shared" si="152"/>
        <v>0</v>
      </c>
      <c r="Q206" s="55">
        <v>0</v>
      </c>
      <c r="R206" s="56">
        <v>0</v>
      </c>
      <c r="S206" s="55">
        <f t="shared" si="153"/>
        <v>0</v>
      </c>
      <c r="T206" s="55"/>
      <c r="U206" s="55">
        <f t="shared" si="154"/>
        <v>0</v>
      </c>
      <c r="V206" s="55">
        <v>0</v>
      </c>
      <c r="W206" s="58">
        <v>0</v>
      </c>
      <c r="X206" s="55">
        <f t="shared" si="155"/>
        <v>0</v>
      </c>
      <c r="AA206" s="40">
        <f t="shared" si="147"/>
        <v>0</v>
      </c>
      <c r="AB206" s="40">
        <f t="shared" si="148"/>
        <v>0</v>
      </c>
      <c r="AC206" s="67"/>
    </row>
    <row r="207" spans="6:29" x14ac:dyDescent="0.25">
      <c r="F207" s="45" t="str">
        <f t="shared" si="156"/>
        <v xml:space="preserve">S/F  </v>
      </c>
      <c r="G207" s="55">
        <v>0</v>
      </c>
      <c r="H207" s="56">
        <v>0</v>
      </c>
      <c r="I207" s="55">
        <f t="shared" si="149"/>
        <v>0</v>
      </c>
      <c r="J207" s="57"/>
      <c r="K207" s="55">
        <f t="shared" si="150"/>
        <v>0</v>
      </c>
      <c r="L207" s="55">
        <v>0</v>
      </c>
      <c r="M207" s="56">
        <v>0</v>
      </c>
      <c r="N207" s="55">
        <f t="shared" si="151"/>
        <v>0</v>
      </c>
      <c r="O207" s="55"/>
      <c r="P207" s="55">
        <f t="shared" si="152"/>
        <v>0</v>
      </c>
      <c r="Q207" s="55">
        <v>0</v>
      </c>
      <c r="R207" s="56">
        <v>0</v>
      </c>
      <c r="S207" s="55">
        <f t="shared" si="153"/>
        <v>0</v>
      </c>
      <c r="T207" s="55"/>
      <c r="U207" s="55">
        <f t="shared" si="154"/>
        <v>0</v>
      </c>
      <c r="V207" s="55">
        <v>0</v>
      </c>
      <c r="W207" s="58">
        <v>0</v>
      </c>
      <c r="X207" s="55">
        <f t="shared" si="155"/>
        <v>0</v>
      </c>
      <c r="AA207" s="40">
        <f t="shared" si="147"/>
        <v>0</v>
      </c>
      <c r="AB207" s="40">
        <f t="shared" si="148"/>
        <v>0</v>
      </c>
      <c r="AC207" s="67"/>
    </row>
    <row r="208" spans="6:29" x14ac:dyDescent="0.25">
      <c r="F208" s="45" t="str">
        <f t="shared" si="156"/>
        <v xml:space="preserve">S/F  </v>
      </c>
      <c r="G208" s="55">
        <v>0</v>
      </c>
      <c r="H208" s="56">
        <v>0</v>
      </c>
      <c r="I208" s="55">
        <f t="shared" si="149"/>
        <v>0</v>
      </c>
      <c r="J208" s="57"/>
      <c r="K208" s="55">
        <f t="shared" si="150"/>
        <v>0</v>
      </c>
      <c r="L208" s="55">
        <v>0</v>
      </c>
      <c r="M208" s="56">
        <v>0</v>
      </c>
      <c r="N208" s="55">
        <f t="shared" si="151"/>
        <v>0</v>
      </c>
      <c r="O208" s="55"/>
      <c r="P208" s="55">
        <f t="shared" si="152"/>
        <v>0</v>
      </c>
      <c r="Q208" s="55">
        <v>0</v>
      </c>
      <c r="R208" s="56">
        <v>0</v>
      </c>
      <c r="S208" s="55">
        <f t="shared" si="153"/>
        <v>0</v>
      </c>
      <c r="T208" s="55"/>
      <c r="U208" s="55">
        <f t="shared" si="154"/>
        <v>0</v>
      </c>
      <c r="V208" s="55">
        <v>0</v>
      </c>
      <c r="W208" s="58">
        <v>0</v>
      </c>
      <c r="X208" s="55">
        <f t="shared" si="155"/>
        <v>0</v>
      </c>
      <c r="AA208" s="40">
        <f t="shared" si="147"/>
        <v>0</v>
      </c>
      <c r="AB208" s="40">
        <f t="shared" si="148"/>
        <v>0</v>
      </c>
      <c r="AC208" s="67"/>
    </row>
    <row r="209" spans="6:29" x14ac:dyDescent="0.25">
      <c r="F209" s="45" t="str">
        <f t="shared" si="156"/>
        <v xml:space="preserve">S/F  </v>
      </c>
      <c r="G209" s="55">
        <v>0</v>
      </c>
      <c r="H209" s="56">
        <v>0</v>
      </c>
      <c r="I209" s="55">
        <f t="shared" si="149"/>
        <v>0</v>
      </c>
      <c r="J209" s="57"/>
      <c r="K209" s="55">
        <f t="shared" si="150"/>
        <v>0</v>
      </c>
      <c r="L209" s="55">
        <v>0</v>
      </c>
      <c r="M209" s="56">
        <v>0</v>
      </c>
      <c r="N209" s="55">
        <f t="shared" si="151"/>
        <v>0</v>
      </c>
      <c r="O209" s="55"/>
      <c r="P209" s="55">
        <f t="shared" si="152"/>
        <v>0</v>
      </c>
      <c r="Q209" s="55">
        <v>0</v>
      </c>
      <c r="R209" s="56">
        <v>0</v>
      </c>
      <c r="S209" s="55">
        <f t="shared" si="153"/>
        <v>0</v>
      </c>
      <c r="T209" s="55"/>
      <c r="U209" s="55">
        <f t="shared" si="154"/>
        <v>0</v>
      </c>
      <c r="V209" s="55">
        <v>0</v>
      </c>
      <c r="W209" s="58">
        <v>0</v>
      </c>
      <c r="X209" s="55">
        <f t="shared" si="155"/>
        <v>0</v>
      </c>
      <c r="AA209" s="40">
        <f t="shared" si="147"/>
        <v>0</v>
      </c>
      <c r="AB209" s="40">
        <f t="shared" si="148"/>
        <v>0</v>
      </c>
      <c r="AC209" s="67"/>
    </row>
    <row r="210" spans="6:29" x14ac:dyDescent="0.25">
      <c r="F210" s="45" t="str">
        <f t="shared" si="156"/>
        <v xml:space="preserve">S/F  </v>
      </c>
      <c r="G210" s="55">
        <v>0</v>
      </c>
      <c r="H210" s="56">
        <v>0</v>
      </c>
      <c r="I210" s="55">
        <f t="shared" si="149"/>
        <v>0</v>
      </c>
      <c r="J210" s="57"/>
      <c r="K210" s="55">
        <f t="shared" si="150"/>
        <v>0</v>
      </c>
      <c r="L210" s="55">
        <v>0</v>
      </c>
      <c r="M210" s="56">
        <v>0</v>
      </c>
      <c r="N210" s="55">
        <f t="shared" si="151"/>
        <v>0</v>
      </c>
      <c r="O210" s="55"/>
      <c r="P210" s="55">
        <f t="shared" si="152"/>
        <v>0</v>
      </c>
      <c r="Q210" s="55">
        <v>0</v>
      </c>
      <c r="R210" s="56">
        <v>0</v>
      </c>
      <c r="S210" s="55">
        <f t="shared" si="153"/>
        <v>0</v>
      </c>
      <c r="T210" s="55"/>
      <c r="U210" s="55">
        <f t="shared" si="154"/>
        <v>0</v>
      </c>
      <c r="V210" s="55">
        <v>0</v>
      </c>
      <c r="W210" s="58">
        <v>0</v>
      </c>
      <c r="X210" s="55">
        <f t="shared" si="155"/>
        <v>0</v>
      </c>
      <c r="AA210" s="40">
        <f t="shared" si="147"/>
        <v>0</v>
      </c>
      <c r="AB210" s="40">
        <f t="shared" si="148"/>
        <v>0</v>
      </c>
      <c r="AC210" s="67"/>
    </row>
    <row r="211" spans="6:29" x14ac:dyDescent="0.25">
      <c r="F211" s="45" t="str">
        <f t="shared" si="156"/>
        <v xml:space="preserve">S/F  </v>
      </c>
      <c r="G211" s="55">
        <v>0</v>
      </c>
      <c r="H211" s="56">
        <v>0</v>
      </c>
      <c r="I211" s="55">
        <f t="shared" si="149"/>
        <v>0</v>
      </c>
      <c r="J211" s="57"/>
      <c r="K211" s="55">
        <f t="shared" si="150"/>
        <v>0</v>
      </c>
      <c r="L211" s="55">
        <v>0</v>
      </c>
      <c r="M211" s="56">
        <v>0</v>
      </c>
      <c r="N211" s="55">
        <f t="shared" si="151"/>
        <v>0</v>
      </c>
      <c r="O211" s="55"/>
      <c r="P211" s="55">
        <f t="shared" si="152"/>
        <v>0</v>
      </c>
      <c r="Q211" s="55">
        <v>0</v>
      </c>
      <c r="R211" s="56">
        <v>0</v>
      </c>
      <c r="S211" s="55">
        <f t="shared" si="153"/>
        <v>0</v>
      </c>
      <c r="T211" s="55"/>
      <c r="U211" s="55">
        <f t="shared" si="154"/>
        <v>0</v>
      </c>
      <c r="V211" s="55">
        <v>0</v>
      </c>
      <c r="W211" s="58">
        <v>0</v>
      </c>
      <c r="X211" s="55">
        <f t="shared" si="155"/>
        <v>0</v>
      </c>
      <c r="AA211" s="40">
        <f t="shared" si="147"/>
        <v>0</v>
      </c>
      <c r="AB211" s="40">
        <f t="shared" si="148"/>
        <v>0</v>
      </c>
      <c r="AC211" s="67"/>
    </row>
    <row r="212" spans="6:29" x14ac:dyDescent="0.25">
      <c r="F212" s="45" t="str">
        <f t="shared" si="156"/>
        <v xml:space="preserve">S/F  </v>
      </c>
      <c r="G212" s="55">
        <v>0</v>
      </c>
      <c r="H212" s="56">
        <v>0</v>
      </c>
      <c r="I212" s="55">
        <f t="shared" si="149"/>
        <v>0</v>
      </c>
      <c r="J212" s="57"/>
      <c r="K212" s="55">
        <f t="shared" si="150"/>
        <v>0</v>
      </c>
      <c r="L212" s="55">
        <v>0</v>
      </c>
      <c r="M212" s="56">
        <v>0</v>
      </c>
      <c r="N212" s="55">
        <f t="shared" si="151"/>
        <v>0</v>
      </c>
      <c r="O212" s="55"/>
      <c r="P212" s="55">
        <f t="shared" si="152"/>
        <v>0</v>
      </c>
      <c r="Q212" s="55">
        <v>0</v>
      </c>
      <c r="R212" s="56">
        <v>0</v>
      </c>
      <c r="S212" s="55">
        <f t="shared" si="153"/>
        <v>0</v>
      </c>
      <c r="T212" s="55"/>
      <c r="U212" s="55">
        <f t="shared" si="154"/>
        <v>0</v>
      </c>
      <c r="V212" s="55">
        <v>0</v>
      </c>
      <c r="W212" s="58">
        <v>0</v>
      </c>
      <c r="X212" s="55">
        <f t="shared" si="155"/>
        <v>0</v>
      </c>
      <c r="AA212" s="40">
        <f t="shared" si="147"/>
        <v>0</v>
      </c>
      <c r="AB212" s="40">
        <f t="shared" si="148"/>
        <v>0</v>
      </c>
      <c r="AC212" s="67"/>
    </row>
    <row r="213" spans="6:29" x14ac:dyDescent="0.25">
      <c r="F213" s="45" t="str">
        <f t="shared" si="156"/>
        <v xml:space="preserve">S/F  </v>
      </c>
      <c r="G213" s="55">
        <v>0</v>
      </c>
      <c r="H213" s="56">
        <v>0</v>
      </c>
      <c r="I213" s="55">
        <f t="shared" si="149"/>
        <v>0</v>
      </c>
      <c r="J213" s="57"/>
      <c r="K213" s="55">
        <f t="shared" si="150"/>
        <v>0</v>
      </c>
      <c r="L213" s="55">
        <v>0</v>
      </c>
      <c r="M213" s="56">
        <v>0</v>
      </c>
      <c r="N213" s="55">
        <f t="shared" si="151"/>
        <v>0</v>
      </c>
      <c r="O213" s="55"/>
      <c r="P213" s="55">
        <f t="shared" si="152"/>
        <v>0</v>
      </c>
      <c r="Q213" s="55">
        <v>0</v>
      </c>
      <c r="R213" s="56">
        <v>0</v>
      </c>
      <c r="S213" s="55">
        <f t="shared" si="153"/>
        <v>0</v>
      </c>
      <c r="T213" s="55"/>
      <c r="U213" s="55">
        <f t="shared" si="154"/>
        <v>0</v>
      </c>
      <c r="V213" s="55">
        <v>0</v>
      </c>
      <c r="W213" s="58">
        <v>0</v>
      </c>
      <c r="X213" s="55">
        <f t="shared" si="155"/>
        <v>0</v>
      </c>
      <c r="AA213" s="40">
        <f t="shared" ref="AA213:AA276" si="157">+IF(Z213&lt;&gt;0,Y213*Z213/100,0)</f>
        <v>0</v>
      </c>
      <c r="AB213" s="40">
        <f t="shared" ref="AB213:AB276" si="158">+G213+I213+K213+L213+N213+P213+Q213+S213+U213-X213-AA213</f>
        <v>0</v>
      </c>
      <c r="AC213" s="67"/>
    </row>
    <row r="214" spans="6:29" x14ac:dyDescent="0.25">
      <c r="F214" s="45" t="str">
        <f t="shared" si="156"/>
        <v xml:space="preserve">S/F  </v>
      </c>
      <c r="G214" s="55">
        <v>0</v>
      </c>
      <c r="H214" s="56">
        <v>0</v>
      </c>
      <c r="I214" s="55">
        <f t="shared" si="149"/>
        <v>0</v>
      </c>
      <c r="J214" s="57"/>
      <c r="K214" s="55">
        <f t="shared" si="150"/>
        <v>0</v>
      </c>
      <c r="L214" s="55">
        <v>0</v>
      </c>
      <c r="M214" s="56">
        <v>0</v>
      </c>
      <c r="N214" s="55">
        <f t="shared" si="151"/>
        <v>0</v>
      </c>
      <c r="O214" s="55"/>
      <c r="P214" s="55">
        <f t="shared" si="152"/>
        <v>0</v>
      </c>
      <c r="Q214" s="55">
        <v>0</v>
      </c>
      <c r="R214" s="56">
        <v>0</v>
      </c>
      <c r="S214" s="55">
        <f t="shared" si="153"/>
        <v>0</v>
      </c>
      <c r="T214" s="55"/>
      <c r="U214" s="55">
        <f t="shared" si="154"/>
        <v>0</v>
      </c>
      <c r="V214" s="55">
        <v>0</v>
      </c>
      <c r="W214" s="58">
        <v>0</v>
      </c>
      <c r="X214" s="55">
        <f t="shared" si="155"/>
        <v>0</v>
      </c>
      <c r="AA214" s="40">
        <f t="shared" si="157"/>
        <v>0</v>
      </c>
      <c r="AB214" s="40">
        <f t="shared" si="158"/>
        <v>0</v>
      </c>
      <c r="AC214" s="67"/>
    </row>
    <row r="215" spans="6:29" x14ac:dyDescent="0.25">
      <c r="F215" s="45" t="str">
        <f t="shared" si="156"/>
        <v xml:space="preserve">S/F  </v>
      </c>
      <c r="G215" s="55">
        <v>0</v>
      </c>
      <c r="H215" s="56">
        <v>0</v>
      </c>
      <c r="I215" s="55">
        <f t="shared" si="149"/>
        <v>0</v>
      </c>
      <c r="J215" s="57"/>
      <c r="K215" s="55">
        <f t="shared" si="150"/>
        <v>0</v>
      </c>
      <c r="L215" s="55">
        <v>0</v>
      </c>
      <c r="M215" s="56">
        <v>0</v>
      </c>
      <c r="N215" s="55">
        <f t="shared" si="151"/>
        <v>0</v>
      </c>
      <c r="O215" s="55"/>
      <c r="P215" s="55">
        <f t="shared" si="152"/>
        <v>0</v>
      </c>
      <c r="Q215" s="55">
        <v>0</v>
      </c>
      <c r="R215" s="56">
        <v>0</v>
      </c>
      <c r="S215" s="55">
        <f t="shared" si="153"/>
        <v>0</v>
      </c>
      <c r="T215" s="55"/>
      <c r="U215" s="55">
        <f t="shared" si="154"/>
        <v>0</v>
      </c>
      <c r="V215" s="55">
        <v>0</v>
      </c>
      <c r="W215" s="58">
        <v>0</v>
      </c>
      <c r="X215" s="55">
        <f t="shared" si="155"/>
        <v>0</v>
      </c>
      <c r="AA215" s="40">
        <f t="shared" si="157"/>
        <v>0</v>
      </c>
      <c r="AB215" s="40">
        <f t="shared" si="158"/>
        <v>0</v>
      </c>
      <c r="AC215" s="67"/>
    </row>
    <row r="216" spans="6:29" x14ac:dyDescent="0.25">
      <c r="F216" s="45" t="str">
        <f t="shared" si="156"/>
        <v xml:space="preserve">S/F  </v>
      </c>
      <c r="G216" s="55">
        <v>0</v>
      </c>
      <c r="H216" s="56">
        <v>0</v>
      </c>
      <c r="I216" s="55">
        <f t="shared" si="149"/>
        <v>0</v>
      </c>
      <c r="J216" s="57"/>
      <c r="K216" s="55">
        <f t="shared" si="150"/>
        <v>0</v>
      </c>
      <c r="L216" s="55">
        <v>0</v>
      </c>
      <c r="M216" s="56">
        <v>0</v>
      </c>
      <c r="N216" s="55">
        <f t="shared" si="151"/>
        <v>0</v>
      </c>
      <c r="O216" s="55"/>
      <c r="P216" s="55">
        <f t="shared" si="152"/>
        <v>0</v>
      </c>
      <c r="Q216" s="55">
        <v>0</v>
      </c>
      <c r="R216" s="56">
        <v>0</v>
      </c>
      <c r="S216" s="55">
        <f t="shared" si="153"/>
        <v>0</v>
      </c>
      <c r="T216" s="55"/>
      <c r="U216" s="55">
        <f t="shared" si="154"/>
        <v>0</v>
      </c>
      <c r="V216" s="55">
        <v>0</v>
      </c>
      <c r="W216" s="58">
        <v>0</v>
      </c>
      <c r="X216" s="55">
        <f t="shared" si="155"/>
        <v>0</v>
      </c>
      <c r="AA216" s="40">
        <f t="shared" si="157"/>
        <v>0</v>
      </c>
      <c r="AB216" s="40">
        <f t="shared" si="158"/>
        <v>0</v>
      </c>
      <c r="AC216" s="67"/>
    </row>
    <row r="217" spans="6:29" x14ac:dyDescent="0.25">
      <c r="F217" s="45" t="str">
        <f t="shared" si="156"/>
        <v xml:space="preserve">S/F  </v>
      </c>
      <c r="G217" s="55">
        <v>0</v>
      </c>
      <c r="H217" s="56">
        <v>0</v>
      </c>
      <c r="I217" s="55">
        <f t="shared" si="149"/>
        <v>0</v>
      </c>
      <c r="J217" s="57"/>
      <c r="K217" s="55">
        <f t="shared" si="150"/>
        <v>0</v>
      </c>
      <c r="L217" s="55">
        <v>0</v>
      </c>
      <c r="M217" s="56">
        <v>0</v>
      </c>
      <c r="N217" s="55">
        <f t="shared" si="151"/>
        <v>0</v>
      </c>
      <c r="O217" s="55"/>
      <c r="P217" s="55">
        <f t="shared" si="152"/>
        <v>0</v>
      </c>
      <c r="Q217" s="55">
        <v>0</v>
      </c>
      <c r="R217" s="56">
        <v>0</v>
      </c>
      <c r="S217" s="55">
        <f t="shared" si="153"/>
        <v>0</v>
      </c>
      <c r="T217" s="55"/>
      <c r="U217" s="55">
        <f t="shared" si="154"/>
        <v>0</v>
      </c>
      <c r="V217" s="55">
        <v>0</v>
      </c>
      <c r="W217" s="58">
        <v>0</v>
      </c>
      <c r="X217" s="55">
        <f t="shared" si="155"/>
        <v>0</v>
      </c>
      <c r="AA217" s="40">
        <f t="shared" si="157"/>
        <v>0</v>
      </c>
      <c r="AB217" s="40">
        <f t="shared" si="158"/>
        <v>0</v>
      </c>
      <c r="AC217" s="67"/>
    </row>
    <row r="218" spans="6:29" x14ac:dyDescent="0.25">
      <c r="F218" s="45" t="str">
        <f t="shared" si="156"/>
        <v xml:space="preserve">S/F  </v>
      </c>
      <c r="G218" s="55">
        <v>0</v>
      </c>
      <c r="H218" s="56">
        <v>0</v>
      </c>
      <c r="I218" s="55">
        <f t="shared" si="149"/>
        <v>0</v>
      </c>
      <c r="J218" s="57"/>
      <c r="K218" s="55">
        <f t="shared" si="150"/>
        <v>0</v>
      </c>
      <c r="L218" s="55">
        <v>0</v>
      </c>
      <c r="M218" s="56">
        <v>0</v>
      </c>
      <c r="N218" s="55">
        <f t="shared" si="151"/>
        <v>0</v>
      </c>
      <c r="O218" s="55"/>
      <c r="P218" s="55">
        <f t="shared" si="152"/>
        <v>0</v>
      </c>
      <c r="Q218" s="55">
        <v>0</v>
      </c>
      <c r="R218" s="56">
        <v>0</v>
      </c>
      <c r="S218" s="55">
        <f t="shared" si="153"/>
        <v>0</v>
      </c>
      <c r="T218" s="55"/>
      <c r="U218" s="55">
        <f t="shared" si="154"/>
        <v>0</v>
      </c>
      <c r="V218" s="55">
        <v>0</v>
      </c>
      <c r="W218" s="58">
        <v>0</v>
      </c>
      <c r="X218" s="55">
        <f t="shared" si="155"/>
        <v>0</v>
      </c>
      <c r="AA218" s="40">
        <f t="shared" si="157"/>
        <v>0</v>
      </c>
      <c r="AB218" s="40">
        <f t="shared" si="158"/>
        <v>0</v>
      </c>
      <c r="AC218" s="67"/>
    </row>
    <row r="219" spans="6:29" x14ac:dyDescent="0.25">
      <c r="F219" s="45" t="str">
        <f t="shared" si="156"/>
        <v xml:space="preserve">S/F  </v>
      </c>
      <c r="G219" s="55">
        <v>0</v>
      </c>
      <c r="H219" s="56">
        <v>0</v>
      </c>
      <c r="I219" s="55">
        <f t="shared" si="149"/>
        <v>0</v>
      </c>
      <c r="J219" s="57"/>
      <c r="K219" s="55">
        <f t="shared" si="150"/>
        <v>0</v>
      </c>
      <c r="L219" s="55">
        <v>0</v>
      </c>
      <c r="M219" s="56">
        <v>0</v>
      </c>
      <c r="N219" s="55">
        <f t="shared" si="151"/>
        <v>0</v>
      </c>
      <c r="O219" s="55"/>
      <c r="P219" s="55">
        <f t="shared" si="152"/>
        <v>0</v>
      </c>
      <c r="Q219" s="55">
        <v>0</v>
      </c>
      <c r="R219" s="56">
        <v>0</v>
      </c>
      <c r="S219" s="55">
        <f t="shared" si="153"/>
        <v>0</v>
      </c>
      <c r="T219" s="55"/>
      <c r="U219" s="55">
        <f t="shared" si="154"/>
        <v>0</v>
      </c>
      <c r="V219" s="55">
        <v>0</v>
      </c>
      <c r="W219" s="58">
        <v>0</v>
      </c>
      <c r="X219" s="55">
        <f t="shared" si="155"/>
        <v>0</v>
      </c>
      <c r="AA219" s="40">
        <f t="shared" si="157"/>
        <v>0</v>
      </c>
      <c r="AB219" s="40">
        <f t="shared" si="158"/>
        <v>0</v>
      </c>
      <c r="AC219" s="67"/>
    </row>
    <row r="220" spans="6:29" x14ac:dyDescent="0.25">
      <c r="F220" s="45" t="str">
        <f t="shared" si="156"/>
        <v xml:space="preserve">S/F  </v>
      </c>
      <c r="G220" s="55">
        <v>0</v>
      </c>
      <c r="H220" s="56">
        <v>0</v>
      </c>
      <c r="I220" s="55">
        <f t="shared" si="149"/>
        <v>0</v>
      </c>
      <c r="J220" s="57"/>
      <c r="K220" s="55">
        <f t="shared" si="150"/>
        <v>0</v>
      </c>
      <c r="L220" s="55">
        <v>0</v>
      </c>
      <c r="M220" s="56">
        <v>0</v>
      </c>
      <c r="N220" s="55">
        <f t="shared" si="151"/>
        <v>0</v>
      </c>
      <c r="O220" s="55"/>
      <c r="P220" s="55">
        <f t="shared" si="152"/>
        <v>0</v>
      </c>
      <c r="Q220" s="55">
        <v>0</v>
      </c>
      <c r="R220" s="56">
        <v>0</v>
      </c>
      <c r="S220" s="55">
        <f t="shared" si="153"/>
        <v>0</v>
      </c>
      <c r="T220" s="55"/>
      <c r="U220" s="55">
        <f t="shared" si="154"/>
        <v>0</v>
      </c>
      <c r="V220" s="55">
        <v>0</v>
      </c>
      <c r="W220" s="58">
        <v>0</v>
      </c>
      <c r="X220" s="55">
        <f t="shared" si="155"/>
        <v>0</v>
      </c>
      <c r="AA220" s="40">
        <f t="shared" si="157"/>
        <v>0</v>
      </c>
      <c r="AB220" s="40">
        <f t="shared" si="158"/>
        <v>0</v>
      </c>
      <c r="AC220" s="67"/>
    </row>
    <row r="221" spans="6:29" x14ac:dyDescent="0.25">
      <c r="F221" s="45" t="str">
        <f t="shared" si="156"/>
        <v xml:space="preserve">S/F  </v>
      </c>
      <c r="G221" s="55">
        <v>0</v>
      </c>
      <c r="H221" s="56">
        <v>0</v>
      </c>
      <c r="I221" s="55">
        <f t="shared" si="149"/>
        <v>0</v>
      </c>
      <c r="J221" s="57"/>
      <c r="K221" s="55">
        <f t="shared" si="150"/>
        <v>0</v>
      </c>
      <c r="L221" s="55">
        <v>0</v>
      </c>
      <c r="M221" s="56">
        <v>0</v>
      </c>
      <c r="N221" s="55">
        <f t="shared" si="151"/>
        <v>0</v>
      </c>
      <c r="O221" s="55"/>
      <c r="P221" s="55">
        <f t="shared" si="152"/>
        <v>0</v>
      </c>
      <c r="Q221" s="55">
        <v>0</v>
      </c>
      <c r="R221" s="56">
        <v>0</v>
      </c>
      <c r="S221" s="55">
        <f t="shared" si="153"/>
        <v>0</v>
      </c>
      <c r="T221" s="55"/>
      <c r="U221" s="55">
        <f t="shared" si="154"/>
        <v>0</v>
      </c>
      <c r="V221" s="55">
        <v>0</v>
      </c>
      <c r="W221" s="58">
        <v>0</v>
      </c>
      <c r="X221" s="55">
        <f t="shared" si="155"/>
        <v>0</v>
      </c>
      <c r="AA221" s="40">
        <f t="shared" si="157"/>
        <v>0</v>
      </c>
      <c r="AB221" s="40">
        <f t="shared" si="158"/>
        <v>0</v>
      </c>
      <c r="AC221" s="67"/>
    </row>
    <row r="222" spans="6:29" x14ac:dyDescent="0.25">
      <c r="F222" s="45" t="str">
        <f t="shared" si="156"/>
        <v xml:space="preserve">S/F  </v>
      </c>
      <c r="G222" s="55">
        <v>0</v>
      </c>
      <c r="H222" s="56">
        <v>0</v>
      </c>
      <c r="I222" s="55">
        <f t="shared" si="149"/>
        <v>0</v>
      </c>
      <c r="J222" s="57"/>
      <c r="K222" s="55">
        <f t="shared" si="150"/>
        <v>0</v>
      </c>
      <c r="L222" s="55">
        <v>0</v>
      </c>
      <c r="M222" s="56">
        <v>0</v>
      </c>
      <c r="N222" s="55">
        <f t="shared" si="151"/>
        <v>0</v>
      </c>
      <c r="O222" s="55"/>
      <c r="P222" s="55">
        <f t="shared" si="152"/>
        <v>0</v>
      </c>
      <c r="Q222" s="55">
        <v>0</v>
      </c>
      <c r="R222" s="56">
        <v>0</v>
      </c>
      <c r="S222" s="55">
        <f t="shared" si="153"/>
        <v>0</v>
      </c>
      <c r="T222" s="55"/>
      <c r="U222" s="55">
        <f t="shared" si="154"/>
        <v>0</v>
      </c>
      <c r="V222" s="55">
        <v>0</v>
      </c>
      <c r="W222" s="58">
        <v>0</v>
      </c>
      <c r="X222" s="55">
        <f t="shared" si="155"/>
        <v>0</v>
      </c>
      <c r="AA222" s="40">
        <f t="shared" si="157"/>
        <v>0</v>
      </c>
      <c r="AB222" s="40">
        <f t="shared" si="158"/>
        <v>0</v>
      </c>
      <c r="AC222" s="67"/>
    </row>
    <row r="223" spans="6:29" x14ac:dyDescent="0.25">
      <c r="F223" s="45" t="str">
        <f t="shared" si="156"/>
        <v xml:space="preserve">S/F  </v>
      </c>
      <c r="G223" s="55">
        <v>0</v>
      </c>
      <c r="H223" s="56">
        <v>0</v>
      </c>
      <c r="I223" s="55">
        <f t="shared" si="149"/>
        <v>0</v>
      </c>
      <c r="J223" s="57"/>
      <c r="K223" s="55">
        <f t="shared" si="150"/>
        <v>0</v>
      </c>
      <c r="L223" s="55">
        <v>0</v>
      </c>
      <c r="M223" s="56">
        <v>0</v>
      </c>
      <c r="N223" s="55">
        <f t="shared" si="151"/>
        <v>0</v>
      </c>
      <c r="O223" s="55"/>
      <c r="P223" s="55">
        <f t="shared" si="152"/>
        <v>0</v>
      </c>
      <c r="Q223" s="55">
        <v>0</v>
      </c>
      <c r="R223" s="56">
        <v>0</v>
      </c>
      <c r="S223" s="55">
        <f t="shared" si="153"/>
        <v>0</v>
      </c>
      <c r="T223" s="55"/>
      <c r="U223" s="55">
        <f t="shared" si="154"/>
        <v>0</v>
      </c>
      <c r="V223" s="55">
        <v>0</v>
      </c>
      <c r="W223" s="58">
        <v>0</v>
      </c>
      <c r="X223" s="55">
        <f t="shared" si="155"/>
        <v>0</v>
      </c>
      <c r="AA223" s="40">
        <f t="shared" si="157"/>
        <v>0</v>
      </c>
      <c r="AB223" s="40">
        <f t="shared" si="158"/>
        <v>0</v>
      </c>
      <c r="AC223" s="67"/>
    </row>
    <row r="224" spans="6:29" x14ac:dyDescent="0.25">
      <c r="F224" s="45" t="str">
        <f t="shared" si="156"/>
        <v xml:space="preserve">S/F  </v>
      </c>
      <c r="G224" s="55">
        <v>0</v>
      </c>
      <c r="H224" s="56">
        <v>0</v>
      </c>
      <c r="I224" s="55">
        <f t="shared" si="149"/>
        <v>0</v>
      </c>
      <c r="J224" s="57"/>
      <c r="K224" s="55">
        <f t="shared" si="150"/>
        <v>0</v>
      </c>
      <c r="L224" s="55">
        <v>0</v>
      </c>
      <c r="M224" s="56">
        <v>0</v>
      </c>
      <c r="N224" s="55">
        <f t="shared" si="151"/>
        <v>0</v>
      </c>
      <c r="O224" s="55"/>
      <c r="P224" s="55">
        <f t="shared" si="152"/>
        <v>0</v>
      </c>
      <c r="Q224" s="55">
        <v>0</v>
      </c>
      <c r="R224" s="56">
        <v>0</v>
      </c>
      <c r="S224" s="55">
        <f t="shared" si="153"/>
        <v>0</v>
      </c>
      <c r="T224" s="55"/>
      <c r="U224" s="55">
        <f t="shared" si="154"/>
        <v>0</v>
      </c>
      <c r="V224" s="55">
        <v>0</v>
      </c>
      <c r="W224" s="58">
        <v>0</v>
      </c>
      <c r="X224" s="55">
        <f t="shared" si="155"/>
        <v>0</v>
      </c>
      <c r="AA224" s="40">
        <f t="shared" si="157"/>
        <v>0</v>
      </c>
      <c r="AB224" s="40">
        <f t="shared" si="158"/>
        <v>0</v>
      </c>
      <c r="AC224" s="67"/>
    </row>
    <row r="225" spans="6:29" x14ac:dyDescent="0.25">
      <c r="F225" s="45" t="str">
        <f t="shared" si="156"/>
        <v xml:space="preserve">S/F  </v>
      </c>
      <c r="G225" s="55">
        <v>0</v>
      </c>
      <c r="H225" s="56">
        <v>0</v>
      </c>
      <c r="I225" s="55">
        <f t="shared" si="149"/>
        <v>0</v>
      </c>
      <c r="J225" s="57"/>
      <c r="K225" s="55">
        <f t="shared" si="150"/>
        <v>0</v>
      </c>
      <c r="L225" s="55">
        <v>0</v>
      </c>
      <c r="M225" s="56">
        <v>0</v>
      </c>
      <c r="N225" s="55">
        <f t="shared" si="151"/>
        <v>0</v>
      </c>
      <c r="O225" s="55"/>
      <c r="P225" s="55">
        <f t="shared" si="152"/>
        <v>0</v>
      </c>
      <c r="Q225" s="55">
        <v>0</v>
      </c>
      <c r="R225" s="56">
        <v>0</v>
      </c>
      <c r="S225" s="55">
        <f t="shared" si="153"/>
        <v>0</v>
      </c>
      <c r="T225" s="55"/>
      <c r="U225" s="55">
        <f t="shared" si="154"/>
        <v>0</v>
      </c>
      <c r="V225" s="55">
        <v>0</v>
      </c>
      <c r="W225" s="58">
        <v>0</v>
      </c>
      <c r="X225" s="55">
        <f t="shared" si="155"/>
        <v>0</v>
      </c>
      <c r="AA225" s="40">
        <f t="shared" si="157"/>
        <v>0</v>
      </c>
      <c r="AB225" s="40">
        <f t="shared" si="158"/>
        <v>0</v>
      </c>
      <c r="AC225" s="67"/>
    </row>
    <row r="226" spans="6:29" x14ac:dyDescent="0.25">
      <c r="F226" s="45" t="str">
        <f t="shared" si="156"/>
        <v xml:space="preserve">S/F  </v>
      </c>
      <c r="G226" s="55">
        <v>0</v>
      </c>
      <c r="H226" s="56">
        <v>0</v>
      </c>
      <c r="I226" s="55">
        <f t="shared" si="149"/>
        <v>0</v>
      </c>
      <c r="J226" s="57"/>
      <c r="K226" s="55">
        <f t="shared" si="150"/>
        <v>0</v>
      </c>
      <c r="L226" s="55">
        <v>0</v>
      </c>
      <c r="M226" s="56">
        <v>0</v>
      </c>
      <c r="N226" s="55">
        <f t="shared" si="151"/>
        <v>0</v>
      </c>
      <c r="O226" s="55"/>
      <c r="P226" s="55">
        <f t="shared" si="152"/>
        <v>0</v>
      </c>
      <c r="Q226" s="55">
        <v>0</v>
      </c>
      <c r="R226" s="56">
        <v>0</v>
      </c>
      <c r="S226" s="55">
        <f t="shared" si="153"/>
        <v>0</v>
      </c>
      <c r="T226" s="55"/>
      <c r="U226" s="55">
        <f t="shared" si="154"/>
        <v>0</v>
      </c>
      <c r="V226" s="55">
        <v>0</v>
      </c>
      <c r="W226" s="58">
        <v>0</v>
      </c>
      <c r="X226" s="55">
        <f t="shared" si="155"/>
        <v>0</v>
      </c>
      <c r="AA226" s="40">
        <f t="shared" si="157"/>
        <v>0</v>
      </c>
      <c r="AB226" s="40">
        <f t="shared" si="158"/>
        <v>0</v>
      </c>
      <c r="AC226" s="67"/>
    </row>
    <row r="227" spans="6:29" x14ac:dyDescent="0.25">
      <c r="F227" s="45" t="str">
        <f t="shared" si="156"/>
        <v xml:space="preserve">S/F  </v>
      </c>
      <c r="G227" s="55">
        <v>0</v>
      </c>
      <c r="H227" s="56">
        <v>0</v>
      </c>
      <c r="I227" s="55">
        <f t="shared" si="149"/>
        <v>0</v>
      </c>
      <c r="J227" s="57"/>
      <c r="K227" s="55">
        <f t="shared" si="150"/>
        <v>0</v>
      </c>
      <c r="L227" s="55">
        <v>0</v>
      </c>
      <c r="M227" s="56">
        <v>0</v>
      </c>
      <c r="N227" s="55">
        <f t="shared" si="151"/>
        <v>0</v>
      </c>
      <c r="O227" s="55"/>
      <c r="P227" s="55">
        <f t="shared" si="152"/>
        <v>0</v>
      </c>
      <c r="Q227" s="55">
        <v>0</v>
      </c>
      <c r="R227" s="56">
        <v>0</v>
      </c>
      <c r="S227" s="55">
        <f t="shared" si="153"/>
        <v>0</v>
      </c>
      <c r="T227" s="55"/>
      <c r="U227" s="55">
        <f t="shared" si="154"/>
        <v>0</v>
      </c>
      <c r="V227" s="55">
        <v>0</v>
      </c>
      <c r="W227" s="58">
        <v>0</v>
      </c>
      <c r="X227" s="55">
        <f t="shared" si="155"/>
        <v>0</v>
      </c>
      <c r="AA227" s="40">
        <f t="shared" si="157"/>
        <v>0</v>
      </c>
      <c r="AB227" s="40">
        <f t="shared" si="158"/>
        <v>0</v>
      </c>
      <c r="AC227" s="67"/>
    </row>
    <row r="228" spans="6:29" x14ac:dyDescent="0.25">
      <c r="F228" s="45" t="str">
        <f t="shared" si="156"/>
        <v xml:space="preserve">S/F  </v>
      </c>
      <c r="G228" s="55">
        <v>0</v>
      </c>
      <c r="H228" s="56">
        <v>0</v>
      </c>
      <c r="I228" s="55">
        <f t="shared" si="149"/>
        <v>0</v>
      </c>
      <c r="J228" s="57"/>
      <c r="K228" s="55">
        <f t="shared" si="150"/>
        <v>0</v>
      </c>
      <c r="L228" s="55">
        <v>0</v>
      </c>
      <c r="M228" s="56">
        <v>0</v>
      </c>
      <c r="N228" s="55">
        <f t="shared" si="151"/>
        <v>0</v>
      </c>
      <c r="O228" s="55"/>
      <c r="P228" s="55">
        <f t="shared" si="152"/>
        <v>0</v>
      </c>
      <c r="Q228" s="55">
        <v>0</v>
      </c>
      <c r="R228" s="56">
        <v>0</v>
      </c>
      <c r="S228" s="55">
        <f t="shared" si="153"/>
        <v>0</v>
      </c>
      <c r="T228" s="55"/>
      <c r="U228" s="55">
        <f t="shared" si="154"/>
        <v>0</v>
      </c>
      <c r="V228" s="55">
        <v>0</v>
      </c>
      <c r="W228" s="58">
        <v>0</v>
      </c>
      <c r="X228" s="55">
        <f t="shared" si="155"/>
        <v>0</v>
      </c>
      <c r="AA228" s="40">
        <f t="shared" si="157"/>
        <v>0</v>
      </c>
      <c r="AB228" s="40">
        <f t="shared" si="158"/>
        <v>0</v>
      </c>
      <c r="AC228" s="67"/>
    </row>
    <row r="229" spans="6:29" x14ac:dyDescent="0.25">
      <c r="F229" s="45" t="str">
        <f t="shared" si="156"/>
        <v xml:space="preserve">S/F  </v>
      </c>
      <c r="G229" s="55">
        <v>0</v>
      </c>
      <c r="H229" s="56">
        <v>0</v>
      </c>
      <c r="I229" s="55">
        <f t="shared" si="149"/>
        <v>0</v>
      </c>
      <c r="J229" s="57"/>
      <c r="K229" s="55">
        <f t="shared" si="150"/>
        <v>0</v>
      </c>
      <c r="L229" s="55">
        <v>0</v>
      </c>
      <c r="M229" s="56">
        <v>0</v>
      </c>
      <c r="N229" s="55">
        <f t="shared" si="151"/>
        <v>0</v>
      </c>
      <c r="O229" s="55"/>
      <c r="P229" s="55">
        <f t="shared" si="152"/>
        <v>0</v>
      </c>
      <c r="Q229" s="55">
        <v>0</v>
      </c>
      <c r="R229" s="56">
        <v>0</v>
      </c>
      <c r="S229" s="55">
        <f t="shared" si="153"/>
        <v>0</v>
      </c>
      <c r="T229" s="55"/>
      <c r="U229" s="55">
        <f t="shared" si="154"/>
        <v>0</v>
      </c>
      <c r="V229" s="55">
        <v>0</v>
      </c>
      <c r="W229" s="58">
        <v>0</v>
      </c>
      <c r="X229" s="55">
        <f t="shared" si="155"/>
        <v>0</v>
      </c>
      <c r="AA229" s="40">
        <f t="shared" si="157"/>
        <v>0</v>
      </c>
      <c r="AB229" s="40">
        <f t="shared" si="158"/>
        <v>0</v>
      </c>
      <c r="AC229" s="67"/>
    </row>
    <row r="230" spans="6:29" x14ac:dyDescent="0.25">
      <c r="F230" s="45" t="str">
        <f t="shared" si="156"/>
        <v xml:space="preserve">S/F  </v>
      </c>
      <c r="G230" s="55">
        <v>0</v>
      </c>
      <c r="H230" s="56">
        <v>0</v>
      </c>
      <c r="I230" s="55">
        <f t="shared" si="149"/>
        <v>0</v>
      </c>
      <c r="J230" s="57"/>
      <c r="K230" s="55">
        <f t="shared" si="150"/>
        <v>0</v>
      </c>
      <c r="L230" s="55">
        <v>0</v>
      </c>
      <c r="M230" s="56">
        <v>0</v>
      </c>
      <c r="N230" s="55">
        <f t="shared" si="151"/>
        <v>0</v>
      </c>
      <c r="O230" s="55"/>
      <c r="P230" s="55">
        <f t="shared" si="152"/>
        <v>0</v>
      </c>
      <c r="Q230" s="55">
        <v>0</v>
      </c>
      <c r="R230" s="56">
        <v>0</v>
      </c>
      <c r="S230" s="55">
        <f t="shared" si="153"/>
        <v>0</v>
      </c>
      <c r="T230" s="55"/>
      <c r="U230" s="55">
        <f t="shared" si="154"/>
        <v>0</v>
      </c>
      <c r="V230" s="55">
        <v>0</v>
      </c>
      <c r="W230" s="58">
        <v>0</v>
      </c>
      <c r="X230" s="55">
        <f t="shared" si="155"/>
        <v>0</v>
      </c>
      <c r="AA230" s="40">
        <f t="shared" si="157"/>
        <v>0</v>
      </c>
      <c r="AB230" s="40">
        <f t="shared" si="158"/>
        <v>0</v>
      </c>
      <c r="AC230" s="67"/>
    </row>
    <row r="231" spans="6:29" x14ac:dyDescent="0.25">
      <c r="F231" s="45" t="str">
        <f t="shared" si="156"/>
        <v xml:space="preserve">S/F  </v>
      </c>
      <c r="G231" s="55">
        <v>0</v>
      </c>
      <c r="H231" s="56">
        <v>0</v>
      </c>
      <c r="I231" s="55">
        <f t="shared" si="149"/>
        <v>0</v>
      </c>
      <c r="J231" s="57"/>
      <c r="K231" s="55">
        <f t="shared" si="150"/>
        <v>0</v>
      </c>
      <c r="L231" s="55">
        <v>0</v>
      </c>
      <c r="M231" s="56">
        <v>0</v>
      </c>
      <c r="N231" s="55">
        <f t="shared" si="151"/>
        <v>0</v>
      </c>
      <c r="O231" s="55"/>
      <c r="P231" s="55">
        <f t="shared" si="152"/>
        <v>0</v>
      </c>
      <c r="Q231" s="55">
        <v>0</v>
      </c>
      <c r="R231" s="56">
        <v>0</v>
      </c>
      <c r="S231" s="55">
        <f t="shared" si="153"/>
        <v>0</v>
      </c>
      <c r="T231" s="55"/>
      <c r="U231" s="55">
        <f t="shared" si="154"/>
        <v>0</v>
      </c>
      <c r="V231" s="55">
        <v>0</v>
      </c>
      <c r="W231" s="58">
        <v>0</v>
      </c>
      <c r="X231" s="55">
        <f t="shared" si="155"/>
        <v>0</v>
      </c>
      <c r="AA231" s="40">
        <f t="shared" si="157"/>
        <v>0</v>
      </c>
      <c r="AB231" s="40">
        <f t="shared" si="158"/>
        <v>0</v>
      </c>
      <c r="AC231" s="67"/>
    </row>
    <row r="232" spans="6:29" x14ac:dyDescent="0.25">
      <c r="F232" s="45" t="str">
        <f t="shared" si="156"/>
        <v xml:space="preserve">S/F  </v>
      </c>
      <c r="G232" s="55">
        <v>0</v>
      </c>
      <c r="H232" s="56">
        <v>0</v>
      </c>
      <c r="I232" s="55">
        <f t="shared" si="149"/>
        <v>0</v>
      </c>
      <c r="J232" s="57"/>
      <c r="K232" s="55">
        <f t="shared" si="150"/>
        <v>0</v>
      </c>
      <c r="L232" s="55">
        <v>0</v>
      </c>
      <c r="M232" s="56">
        <v>0</v>
      </c>
      <c r="N232" s="55">
        <f t="shared" si="151"/>
        <v>0</v>
      </c>
      <c r="O232" s="55"/>
      <c r="P232" s="55">
        <f t="shared" si="152"/>
        <v>0</v>
      </c>
      <c r="Q232" s="55">
        <v>0</v>
      </c>
      <c r="R232" s="56">
        <v>0</v>
      </c>
      <c r="S232" s="55">
        <f t="shared" si="153"/>
        <v>0</v>
      </c>
      <c r="T232" s="55"/>
      <c r="U232" s="55">
        <f t="shared" si="154"/>
        <v>0</v>
      </c>
      <c r="V232" s="55">
        <v>0</v>
      </c>
      <c r="W232" s="58">
        <v>0</v>
      </c>
      <c r="X232" s="55">
        <f t="shared" si="155"/>
        <v>0</v>
      </c>
      <c r="AA232" s="40">
        <f t="shared" si="157"/>
        <v>0</v>
      </c>
      <c r="AB232" s="40">
        <f t="shared" si="158"/>
        <v>0</v>
      </c>
      <c r="AC232" s="67"/>
    </row>
    <row r="233" spans="6:29" x14ac:dyDescent="0.25">
      <c r="F233" s="45" t="str">
        <f t="shared" si="156"/>
        <v xml:space="preserve">S/F  </v>
      </c>
      <c r="G233" s="55">
        <v>0</v>
      </c>
      <c r="H233" s="56">
        <v>0</v>
      </c>
      <c r="I233" s="55">
        <f t="shared" si="149"/>
        <v>0</v>
      </c>
      <c r="J233" s="57"/>
      <c r="K233" s="55">
        <f t="shared" si="150"/>
        <v>0</v>
      </c>
      <c r="L233" s="55">
        <v>0</v>
      </c>
      <c r="M233" s="56">
        <v>0</v>
      </c>
      <c r="N233" s="55">
        <f t="shared" si="151"/>
        <v>0</v>
      </c>
      <c r="O233" s="55"/>
      <c r="P233" s="55">
        <f t="shared" si="152"/>
        <v>0</v>
      </c>
      <c r="Q233" s="55">
        <v>0</v>
      </c>
      <c r="R233" s="56">
        <v>0</v>
      </c>
      <c r="S233" s="55">
        <f t="shared" si="153"/>
        <v>0</v>
      </c>
      <c r="T233" s="55"/>
      <c r="U233" s="55">
        <f t="shared" si="154"/>
        <v>0</v>
      </c>
      <c r="V233" s="55">
        <v>0</v>
      </c>
      <c r="W233" s="58">
        <v>0</v>
      </c>
      <c r="X233" s="55">
        <f t="shared" si="155"/>
        <v>0</v>
      </c>
      <c r="AA233" s="40">
        <f t="shared" si="157"/>
        <v>0</v>
      </c>
      <c r="AB233" s="40">
        <f t="shared" si="158"/>
        <v>0</v>
      </c>
      <c r="AC233" s="67"/>
    </row>
    <row r="234" spans="6:29" x14ac:dyDescent="0.25">
      <c r="F234" s="45" t="str">
        <f t="shared" si="156"/>
        <v xml:space="preserve">S/F  </v>
      </c>
      <c r="G234" s="55">
        <v>0</v>
      </c>
      <c r="H234" s="56">
        <v>0</v>
      </c>
      <c r="I234" s="55">
        <f t="shared" si="149"/>
        <v>0</v>
      </c>
      <c r="J234" s="57"/>
      <c r="K234" s="55">
        <f t="shared" si="150"/>
        <v>0</v>
      </c>
      <c r="L234" s="55">
        <v>0</v>
      </c>
      <c r="M234" s="56">
        <v>0</v>
      </c>
      <c r="N234" s="55">
        <f t="shared" si="151"/>
        <v>0</v>
      </c>
      <c r="O234" s="55"/>
      <c r="P234" s="55">
        <f t="shared" si="152"/>
        <v>0</v>
      </c>
      <c r="Q234" s="55">
        <v>0</v>
      </c>
      <c r="R234" s="56">
        <v>0</v>
      </c>
      <c r="S234" s="55">
        <f t="shared" si="153"/>
        <v>0</v>
      </c>
      <c r="T234" s="55"/>
      <c r="U234" s="55">
        <f t="shared" si="154"/>
        <v>0</v>
      </c>
      <c r="V234" s="55">
        <v>0</v>
      </c>
      <c r="W234" s="58">
        <v>0</v>
      </c>
      <c r="X234" s="55">
        <f t="shared" si="155"/>
        <v>0</v>
      </c>
      <c r="AA234" s="40">
        <f t="shared" si="157"/>
        <v>0</v>
      </c>
      <c r="AB234" s="40">
        <f t="shared" si="158"/>
        <v>0</v>
      </c>
      <c r="AC234" s="67"/>
    </row>
    <row r="235" spans="6:29" x14ac:dyDescent="0.25">
      <c r="F235" s="45" t="str">
        <f t="shared" si="156"/>
        <v xml:space="preserve">S/F  </v>
      </c>
      <c r="G235" s="55">
        <v>0</v>
      </c>
      <c r="H235" s="56">
        <v>0</v>
      </c>
      <c r="I235" s="55">
        <f t="shared" si="149"/>
        <v>0</v>
      </c>
      <c r="J235" s="57"/>
      <c r="K235" s="55">
        <f t="shared" si="150"/>
        <v>0</v>
      </c>
      <c r="L235" s="55">
        <v>0</v>
      </c>
      <c r="M235" s="56">
        <v>0</v>
      </c>
      <c r="N235" s="55">
        <f t="shared" si="151"/>
        <v>0</v>
      </c>
      <c r="O235" s="55"/>
      <c r="P235" s="55">
        <f t="shared" si="152"/>
        <v>0</v>
      </c>
      <c r="Q235" s="55">
        <v>0</v>
      </c>
      <c r="R235" s="56">
        <v>0</v>
      </c>
      <c r="S235" s="55">
        <f t="shared" si="153"/>
        <v>0</v>
      </c>
      <c r="T235" s="55"/>
      <c r="U235" s="55">
        <f t="shared" si="154"/>
        <v>0</v>
      </c>
      <c r="V235" s="55">
        <v>0</v>
      </c>
      <c r="W235" s="58">
        <v>0</v>
      </c>
      <c r="X235" s="55">
        <f t="shared" si="155"/>
        <v>0</v>
      </c>
      <c r="AA235" s="40">
        <f t="shared" si="157"/>
        <v>0</v>
      </c>
      <c r="AB235" s="40">
        <f t="shared" si="158"/>
        <v>0</v>
      </c>
      <c r="AC235" s="67"/>
    </row>
    <row r="236" spans="6:29" x14ac:dyDescent="0.25">
      <c r="F236" s="45" t="str">
        <f t="shared" si="156"/>
        <v xml:space="preserve">S/F  </v>
      </c>
      <c r="G236" s="55">
        <v>0</v>
      </c>
      <c r="H236" s="56">
        <v>0</v>
      </c>
      <c r="I236" s="55">
        <f t="shared" si="149"/>
        <v>0</v>
      </c>
      <c r="J236" s="57"/>
      <c r="K236" s="55">
        <f t="shared" si="150"/>
        <v>0</v>
      </c>
      <c r="L236" s="55">
        <v>0</v>
      </c>
      <c r="M236" s="56">
        <v>0</v>
      </c>
      <c r="N236" s="55">
        <f t="shared" si="151"/>
        <v>0</v>
      </c>
      <c r="O236" s="55"/>
      <c r="P236" s="55">
        <f t="shared" si="152"/>
        <v>0</v>
      </c>
      <c r="Q236" s="55">
        <v>0</v>
      </c>
      <c r="R236" s="56">
        <v>0</v>
      </c>
      <c r="S236" s="55">
        <f t="shared" si="153"/>
        <v>0</v>
      </c>
      <c r="T236" s="55"/>
      <c r="U236" s="55">
        <f t="shared" si="154"/>
        <v>0</v>
      </c>
      <c r="V236" s="55">
        <v>0</v>
      </c>
      <c r="W236" s="58">
        <v>0</v>
      </c>
      <c r="X236" s="55">
        <f t="shared" si="155"/>
        <v>0</v>
      </c>
      <c r="AA236" s="40">
        <f t="shared" si="157"/>
        <v>0</v>
      </c>
      <c r="AB236" s="40">
        <f t="shared" si="158"/>
        <v>0</v>
      </c>
      <c r="AC236" s="67"/>
    </row>
    <row r="237" spans="6:29" x14ac:dyDescent="0.25">
      <c r="F237" s="45" t="str">
        <f t="shared" si="156"/>
        <v xml:space="preserve">S/F  </v>
      </c>
      <c r="G237" s="55">
        <v>0</v>
      </c>
      <c r="H237" s="56">
        <v>0</v>
      </c>
      <c r="I237" s="55">
        <f t="shared" si="149"/>
        <v>0</v>
      </c>
      <c r="J237" s="57"/>
      <c r="K237" s="55">
        <f t="shared" si="150"/>
        <v>0</v>
      </c>
      <c r="L237" s="55">
        <v>0</v>
      </c>
      <c r="M237" s="56">
        <v>0</v>
      </c>
      <c r="N237" s="55">
        <f t="shared" si="151"/>
        <v>0</v>
      </c>
      <c r="O237" s="55"/>
      <c r="P237" s="55">
        <f t="shared" si="152"/>
        <v>0</v>
      </c>
      <c r="Q237" s="55">
        <v>0</v>
      </c>
      <c r="R237" s="56">
        <v>0</v>
      </c>
      <c r="S237" s="55">
        <f t="shared" si="153"/>
        <v>0</v>
      </c>
      <c r="T237" s="55"/>
      <c r="U237" s="55">
        <f t="shared" si="154"/>
        <v>0</v>
      </c>
      <c r="V237" s="55">
        <v>0</v>
      </c>
      <c r="W237" s="58">
        <v>0</v>
      </c>
      <c r="X237" s="55">
        <f t="shared" si="155"/>
        <v>0</v>
      </c>
      <c r="AA237" s="40">
        <f t="shared" si="157"/>
        <v>0</v>
      </c>
      <c r="AB237" s="40">
        <f t="shared" si="158"/>
        <v>0</v>
      </c>
      <c r="AC237" s="67"/>
    </row>
    <row r="238" spans="6:29" x14ac:dyDescent="0.25">
      <c r="F238" s="45" t="str">
        <f t="shared" si="156"/>
        <v xml:space="preserve">S/F  </v>
      </c>
      <c r="G238" s="55">
        <v>0</v>
      </c>
      <c r="H238" s="56">
        <v>0</v>
      </c>
      <c r="I238" s="55">
        <f t="shared" si="149"/>
        <v>0</v>
      </c>
      <c r="J238" s="57"/>
      <c r="K238" s="55">
        <f t="shared" si="150"/>
        <v>0</v>
      </c>
      <c r="L238" s="55">
        <v>0</v>
      </c>
      <c r="M238" s="56">
        <v>0</v>
      </c>
      <c r="N238" s="55">
        <f t="shared" si="151"/>
        <v>0</v>
      </c>
      <c r="O238" s="55"/>
      <c r="P238" s="55">
        <f t="shared" si="152"/>
        <v>0</v>
      </c>
      <c r="Q238" s="55">
        <v>0</v>
      </c>
      <c r="R238" s="56">
        <v>0</v>
      </c>
      <c r="S238" s="55">
        <f t="shared" si="153"/>
        <v>0</v>
      </c>
      <c r="T238" s="55"/>
      <c r="U238" s="55">
        <f t="shared" si="154"/>
        <v>0</v>
      </c>
      <c r="V238" s="55">
        <v>0</v>
      </c>
      <c r="W238" s="58">
        <v>0</v>
      </c>
      <c r="X238" s="55">
        <f t="shared" si="155"/>
        <v>0</v>
      </c>
      <c r="AA238" s="40">
        <f t="shared" si="157"/>
        <v>0</v>
      </c>
      <c r="AB238" s="40">
        <f t="shared" si="158"/>
        <v>0</v>
      </c>
      <c r="AC238" s="67"/>
    </row>
    <row r="239" spans="6:29" x14ac:dyDescent="0.25">
      <c r="F239" s="45" t="str">
        <f t="shared" si="156"/>
        <v xml:space="preserve">S/F  </v>
      </c>
      <c r="G239" s="55">
        <v>0</v>
      </c>
      <c r="H239" s="56">
        <v>0</v>
      </c>
      <c r="I239" s="55">
        <f t="shared" si="149"/>
        <v>0</v>
      </c>
      <c r="J239" s="57"/>
      <c r="K239" s="55">
        <f t="shared" si="150"/>
        <v>0</v>
      </c>
      <c r="L239" s="55">
        <v>0</v>
      </c>
      <c r="M239" s="56">
        <v>0</v>
      </c>
      <c r="N239" s="55">
        <f t="shared" si="151"/>
        <v>0</v>
      </c>
      <c r="O239" s="55"/>
      <c r="P239" s="55">
        <f t="shared" si="152"/>
        <v>0</v>
      </c>
      <c r="Q239" s="55">
        <v>0</v>
      </c>
      <c r="R239" s="56">
        <v>0</v>
      </c>
      <c r="S239" s="55">
        <f t="shared" si="153"/>
        <v>0</v>
      </c>
      <c r="T239" s="55"/>
      <c r="U239" s="55">
        <f t="shared" si="154"/>
        <v>0</v>
      </c>
      <c r="V239" s="55">
        <v>0</v>
      </c>
      <c r="W239" s="58">
        <v>0</v>
      </c>
      <c r="X239" s="55">
        <f t="shared" si="155"/>
        <v>0</v>
      </c>
      <c r="AA239" s="40">
        <f t="shared" si="157"/>
        <v>0</v>
      </c>
      <c r="AB239" s="40">
        <f t="shared" si="158"/>
        <v>0</v>
      </c>
      <c r="AC239" s="67"/>
    </row>
    <row r="240" spans="6:29" x14ac:dyDescent="0.25">
      <c r="F240" s="45" t="str">
        <f t="shared" si="156"/>
        <v xml:space="preserve">S/F  </v>
      </c>
      <c r="G240" s="55">
        <v>0</v>
      </c>
      <c r="H240" s="56">
        <v>0</v>
      </c>
      <c r="I240" s="55">
        <f t="shared" si="149"/>
        <v>0</v>
      </c>
      <c r="J240" s="57"/>
      <c r="K240" s="55">
        <f t="shared" si="150"/>
        <v>0</v>
      </c>
      <c r="L240" s="55">
        <v>0</v>
      </c>
      <c r="M240" s="56">
        <v>0</v>
      </c>
      <c r="N240" s="55">
        <f t="shared" si="151"/>
        <v>0</v>
      </c>
      <c r="O240" s="55"/>
      <c r="P240" s="55">
        <f t="shared" si="152"/>
        <v>0</v>
      </c>
      <c r="Q240" s="55">
        <v>0</v>
      </c>
      <c r="R240" s="56">
        <v>0</v>
      </c>
      <c r="S240" s="55">
        <f t="shared" si="153"/>
        <v>0</v>
      </c>
      <c r="T240" s="55"/>
      <c r="U240" s="55">
        <f t="shared" si="154"/>
        <v>0</v>
      </c>
      <c r="V240" s="55">
        <v>0</v>
      </c>
      <c r="W240" s="58">
        <v>0</v>
      </c>
      <c r="X240" s="55">
        <f t="shared" si="155"/>
        <v>0</v>
      </c>
      <c r="AA240" s="40">
        <f t="shared" si="157"/>
        <v>0</v>
      </c>
      <c r="AB240" s="40">
        <f t="shared" si="158"/>
        <v>0</v>
      </c>
      <c r="AC240" s="67"/>
    </row>
    <row r="241" spans="6:29" x14ac:dyDescent="0.25">
      <c r="F241" s="45" t="str">
        <f t="shared" si="156"/>
        <v xml:space="preserve">S/F  </v>
      </c>
      <c r="G241" s="55">
        <v>0</v>
      </c>
      <c r="H241" s="56">
        <v>0</v>
      </c>
      <c r="I241" s="55">
        <f t="shared" si="149"/>
        <v>0</v>
      </c>
      <c r="J241" s="57"/>
      <c r="K241" s="55">
        <f t="shared" si="150"/>
        <v>0</v>
      </c>
      <c r="L241" s="55">
        <v>0</v>
      </c>
      <c r="M241" s="56">
        <v>0</v>
      </c>
      <c r="N241" s="55">
        <f t="shared" si="151"/>
        <v>0</v>
      </c>
      <c r="O241" s="55"/>
      <c r="P241" s="55">
        <f t="shared" si="152"/>
        <v>0</v>
      </c>
      <c r="Q241" s="55">
        <v>0</v>
      </c>
      <c r="R241" s="56">
        <v>0</v>
      </c>
      <c r="S241" s="55">
        <f t="shared" si="153"/>
        <v>0</v>
      </c>
      <c r="T241" s="55"/>
      <c r="U241" s="55">
        <f t="shared" si="154"/>
        <v>0</v>
      </c>
      <c r="V241" s="55">
        <v>0</v>
      </c>
      <c r="W241" s="58">
        <v>0</v>
      </c>
      <c r="X241" s="55">
        <f t="shared" si="155"/>
        <v>0</v>
      </c>
      <c r="AA241" s="40">
        <f t="shared" si="157"/>
        <v>0</v>
      </c>
      <c r="AB241" s="40">
        <f t="shared" si="158"/>
        <v>0</v>
      </c>
      <c r="AC241" s="67"/>
    </row>
    <row r="242" spans="6:29" x14ac:dyDescent="0.25">
      <c r="F242" s="45" t="str">
        <f t="shared" si="156"/>
        <v xml:space="preserve">S/F  </v>
      </c>
      <c r="G242" s="55">
        <v>0</v>
      </c>
      <c r="H242" s="56">
        <v>0</v>
      </c>
      <c r="I242" s="55">
        <f t="shared" si="149"/>
        <v>0</v>
      </c>
      <c r="J242" s="57"/>
      <c r="K242" s="55">
        <f t="shared" si="150"/>
        <v>0</v>
      </c>
      <c r="L242" s="55">
        <v>0</v>
      </c>
      <c r="M242" s="56">
        <v>0</v>
      </c>
      <c r="N242" s="55">
        <f t="shared" si="151"/>
        <v>0</v>
      </c>
      <c r="O242" s="55"/>
      <c r="P242" s="55">
        <f t="shared" si="152"/>
        <v>0</v>
      </c>
      <c r="Q242" s="55">
        <v>0</v>
      </c>
      <c r="R242" s="56">
        <v>0</v>
      </c>
      <c r="S242" s="55">
        <f t="shared" si="153"/>
        <v>0</v>
      </c>
      <c r="T242" s="55"/>
      <c r="U242" s="55">
        <f t="shared" si="154"/>
        <v>0</v>
      </c>
      <c r="V242" s="55">
        <v>0</v>
      </c>
      <c r="W242" s="58">
        <v>0</v>
      </c>
      <c r="X242" s="55">
        <f t="shared" si="155"/>
        <v>0</v>
      </c>
      <c r="AA242" s="40">
        <f t="shared" si="157"/>
        <v>0</v>
      </c>
      <c r="AB242" s="40">
        <f t="shared" si="158"/>
        <v>0</v>
      </c>
      <c r="AC242" s="67"/>
    </row>
    <row r="243" spans="6:29" x14ac:dyDescent="0.25">
      <c r="F243" s="45" t="str">
        <f t="shared" si="156"/>
        <v xml:space="preserve">S/F  </v>
      </c>
      <c r="G243" s="55">
        <v>0</v>
      </c>
      <c r="H243" s="56">
        <v>0</v>
      </c>
      <c r="I243" s="55">
        <f t="shared" si="149"/>
        <v>0</v>
      </c>
      <c r="J243" s="57"/>
      <c r="K243" s="55">
        <f t="shared" si="150"/>
        <v>0</v>
      </c>
      <c r="L243" s="55">
        <v>0</v>
      </c>
      <c r="M243" s="56">
        <v>0</v>
      </c>
      <c r="N243" s="55">
        <f t="shared" si="151"/>
        <v>0</v>
      </c>
      <c r="O243" s="55"/>
      <c r="P243" s="55">
        <f t="shared" si="152"/>
        <v>0</v>
      </c>
      <c r="Q243" s="55">
        <v>0</v>
      </c>
      <c r="R243" s="56">
        <v>0</v>
      </c>
      <c r="S243" s="55">
        <f t="shared" si="153"/>
        <v>0</v>
      </c>
      <c r="T243" s="55"/>
      <c r="U243" s="55">
        <f t="shared" si="154"/>
        <v>0</v>
      </c>
      <c r="V243" s="55">
        <v>0</v>
      </c>
      <c r="W243" s="58">
        <v>0</v>
      </c>
      <c r="X243" s="55">
        <f t="shared" si="155"/>
        <v>0</v>
      </c>
      <c r="AA243" s="40">
        <f t="shared" si="157"/>
        <v>0</v>
      </c>
      <c r="AB243" s="40">
        <f t="shared" si="158"/>
        <v>0</v>
      </c>
      <c r="AC243" s="67"/>
    </row>
    <row r="244" spans="6:29" x14ac:dyDescent="0.25">
      <c r="F244" s="45" t="str">
        <f t="shared" si="156"/>
        <v xml:space="preserve">S/F  </v>
      </c>
      <c r="G244" s="55">
        <v>0</v>
      </c>
      <c r="H244" s="56">
        <v>0</v>
      </c>
      <c r="I244" s="55">
        <f t="shared" si="149"/>
        <v>0</v>
      </c>
      <c r="J244" s="57"/>
      <c r="K244" s="55">
        <f t="shared" si="150"/>
        <v>0</v>
      </c>
      <c r="L244" s="55">
        <v>0</v>
      </c>
      <c r="M244" s="56">
        <v>0</v>
      </c>
      <c r="N244" s="55">
        <f t="shared" si="151"/>
        <v>0</v>
      </c>
      <c r="O244" s="55"/>
      <c r="P244" s="55">
        <f t="shared" si="152"/>
        <v>0</v>
      </c>
      <c r="Q244" s="55">
        <v>0</v>
      </c>
      <c r="R244" s="56">
        <v>0</v>
      </c>
      <c r="S244" s="55">
        <f t="shared" si="153"/>
        <v>0</v>
      </c>
      <c r="T244" s="55"/>
      <c r="U244" s="55">
        <f t="shared" si="154"/>
        <v>0</v>
      </c>
      <c r="V244" s="55">
        <v>0</v>
      </c>
      <c r="W244" s="58">
        <v>0</v>
      </c>
      <c r="X244" s="55">
        <f t="shared" si="155"/>
        <v>0</v>
      </c>
      <c r="AA244" s="40">
        <f t="shared" si="157"/>
        <v>0</v>
      </c>
      <c r="AB244" s="40">
        <f t="shared" si="158"/>
        <v>0</v>
      </c>
      <c r="AC244" s="67"/>
    </row>
    <row r="245" spans="6:29" x14ac:dyDescent="0.25">
      <c r="F245" s="45" t="str">
        <f t="shared" si="156"/>
        <v xml:space="preserve">S/F  </v>
      </c>
      <c r="G245" s="55">
        <v>0</v>
      </c>
      <c r="H245" s="56">
        <v>0</v>
      </c>
      <c r="I245" s="55">
        <f t="shared" si="149"/>
        <v>0</v>
      </c>
      <c r="J245" s="57"/>
      <c r="K245" s="55">
        <f t="shared" si="150"/>
        <v>0</v>
      </c>
      <c r="L245" s="55">
        <v>0</v>
      </c>
      <c r="M245" s="56">
        <v>0</v>
      </c>
      <c r="N245" s="55">
        <f t="shared" si="151"/>
        <v>0</v>
      </c>
      <c r="O245" s="55"/>
      <c r="P245" s="55">
        <f t="shared" si="152"/>
        <v>0</v>
      </c>
      <c r="Q245" s="55">
        <v>0</v>
      </c>
      <c r="R245" s="56">
        <v>0</v>
      </c>
      <c r="S245" s="55">
        <f t="shared" si="153"/>
        <v>0</v>
      </c>
      <c r="T245" s="55"/>
      <c r="U245" s="55">
        <f t="shared" si="154"/>
        <v>0</v>
      </c>
      <c r="V245" s="55">
        <v>0</v>
      </c>
      <c r="W245" s="58">
        <v>0</v>
      </c>
      <c r="X245" s="55">
        <f t="shared" si="155"/>
        <v>0</v>
      </c>
      <c r="AA245" s="40">
        <f t="shared" si="157"/>
        <v>0</v>
      </c>
      <c r="AB245" s="40">
        <f t="shared" si="158"/>
        <v>0</v>
      </c>
      <c r="AC245" s="67"/>
    </row>
    <row r="246" spans="6:29" x14ac:dyDescent="0.25">
      <c r="F246" s="45" t="str">
        <f t="shared" si="156"/>
        <v xml:space="preserve">S/F  </v>
      </c>
      <c r="G246" s="47">
        <v>0</v>
      </c>
      <c r="H246" s="56">
        <v>0</v>
      </c>
      <c r="I246" s="47">
        <f t="shared" ref="I246:I256" si="159">+IF(G246&lt;&gt;0,G246*H246/100,0)</f>
        <v>0</v>
      </c>
      <c r="J246" s="49"/>
      <c r="K246" s="47">
        <f t="shared" ref="K246:K256" si="160">+IF(G246&lt;&gt;0,G246*J246/100,0)</f>
        <v>0</v>
      </c>
      <c r="L246" s="47">
        <v>0</v>
      </c>
      <c r="M246" s="48">
        <v>0</v>
      </c>
      <c r="N246" s="47">
        <f t="shared" ref="N246:N256" si="161">+IF(L246&lt;&gt;0,L246*M246/100,0)</f>
        <v>0</v>
      </c>
      <c r="O246" s="47"/>
      <c r="P246" s="47">
        <f t="shared" ref="P246:P256" si="162">+IF(L246&lt;&gt;0,L246*O246/100,0)</f>
        <v>0</v>
      </c>
      <c r="Q246" s="47"/>
      <c r="R246" s="49"/>
      <c r="S246" s="47">
        <f t="shared" ref="S246:S256" si="163">+IF(Q246&lt;&gt;0,Q246*R246/100,0)</f>
        <v>0</v>
      </c>
      <c r="T246" s="47"/>
      <c r="U246" s="47">
        <f t="shared" ref="U246:U256" si="164">+IF(Q246&lt;&gt;0,Q246*T246/100,0)</f>
        <v>0</v>
      </c>
      <c r="V246" s="47">
        <v>0</v>
      </c>
      <c r="W246" s="50">
        <v>0</v>
      </c>
      <c r="X246" s="47">
        <f t="shared" ref="X246:X276" si="165">+IF(W246&lt;&gt;0,V246*W246/100,0)</f>
        <v>0</v>
      </c>
      <c r="AA246" s="40">
        <f t="shared" si="157"/>
        <v>0</v>
      </c>
      <c r="AB246" s="40">
        <f t="shared" si="158"/>
        <v>0</v>
      </c>
      <c r="AC246" s="67"/>
    </row>
    <row r="247" spans="6:29" x14ac:dyDescent="0.25">
      <c r="F247" s="45" t="str">
        <f t="shared" si="156"/>
        <v xml:space="preserve">S/F  </v>
      </c>
      <c r="G247" s="47">
        <v>0</v>
      </c>
      <c r="H247" s="56">
        <v>0</v>
      </c>
      <c r="I247" s="47">
        <f t="shared" si="159"/>
        <v>0</v>
      </c>
      <c r="J247" s="49"/>
      <c r="K247" s="47">
        <f t="shared" si="160"/>
        <v>0</v>
      </c>
      <c r="L247" s="47">
        <v>0</v>
      </c>
      <c r="M247" s="48">
        <v>0</v>
      </c>
      <c r="N247" s="47">
        <f t="shared" si="161"/>
        <v>0</v>
      </c>
      <c r="O247" s="47"/>
      <c r="P247" s="47">
        <f t="shared" si="162"/>
        <v>0</v>
      </c>
      <c r="Q247" s="47"/>
      <c r="R247" s="49"/>
      <c r="S247" s="47">
        <f t="shared" si="163"/>
        <v>0</v>
      </c>
      <c r="T247" s="47"/>
      <c r="U247" s="47">
        <f t="shared" si="164"/>
        <v>0</v>
      </c>
      <c r="V247" s="47">
        <v>0</v>
      </c>
      <c r="W247" s="50">
        <v>0</v>
      </c>
      <c r="X247" s="47">
        <f t="shared" si="165"/>
        <v>0</v>
      </c>
      <c r="AA247" s="40">
        <f t="shared" si="157"/>
        <v>0</v>
      </c>
      <c r="AB247" s="40">
        <f t="shared" si="158"/>
        <v>0</v>
      </c>
      <c r="AC247" s="67"/>
    </row>
    <row r="248" spans="6:29" x14ac:dyDescent="0.25">
      <c r="F248" s="45" t="str">
        <f t="shared" si="156"/>
        <v xml:space="preserve">S/F  </v>
      </c>
      <c r="G248" s="47">
        <v>0</v>
      </c>
      <c r="H248" s="56">
        <v>0</v>
      </c>
      <c r="I248" s="47">
        <f t="shared" si="159"/>
        <v>0</v>
      </c>
      <c r="J248" s="49"/>
      <c r="K248" s="47">
        <f t="shared" si="160"/>
        <v>0</v>
      </c>
      <c r="L248" s="47">
        <v>0</v>
      </c>
      <c r="M248" s="48">
        <v>0</v>
      </c>
      <c r="N248" s="47">
        <f t="shared" si="161"/>
        <v>0</v>
      </c>
      <c r="O248" s="47"/>
      <c r="P248" s="47">
        <f t="shared" si="162"/>
        <v>0</v>
      </c>
      <c r="Q248" s="47"/>
      <c r="R248" s="49"/>
      <c r="S248" s="47">
        <f t="shared" si="163"/>
        <v>0</v>
      </c>
      <c r="T248" s="47"/>
      <c r="U248" s="47">
        <f t="shared" si="164"/>
        <v>0</v>
      </c>
      <c r="V248" s="47">
        <v>0</v>
      </c>
      <c r="W248" s="50">
        <v>0</v>
      </c>
      <c r="X248" s="47">
        <f t="shared" si="165"/>
        <v>0</v>
      </c>
      <c r="AA248" s="40">
        <f t="shared" si="157"/>
        <v>0</v>
      </c>
      <c r="AB248" s="40">
        <f t="shared" si="158"/>
        <v>0</v>
      </c>
      <c r="AC248" s="67"/>
    </row>
    <row r="249" spans="6:29" x14ac:dyDescent="0.25">
      <c r="F249" s="45" t="str">
        <f t="shared" si="156"/>
        <v xml:space="preserve">S/F  </v>
      </c>
      <c r="G249" s="47">
        <v>0</v>
      </c>
      <c r="H249" s="56">
        <v>0</v>
      </c>
      <c r="I249" s="47">
        <f t="shared" si="159"/>
        <v>0</v>
      </c>
      <c r="J249" s="49"/>
      <c r="K249" s="47">
        <f t="shared" si="160"/>
        <v>0</v>
      </c>
      <c r="L249" s="47">
        <v>0</v>
      </c>
      <c r="M249" s="48">
        <v>0</v>
      </c>
      <c r="N249" s="47">
        <f t="shared" si="161"/>
        <v>0</v>
      </c>
      <c r="O249" s="47"/>
      <c r="P249" s="47">
        <f t="shared" si="162"/>
        <v>0</v>
      </c>
      <c r="Q249" s="47"/>
      <c r="R249" s="49"/>
      <c r="S249" s="47">
        <f t="shared" si="163"/>
        <v>0</v>
      </c>
      <c r="T249" s="47"/>
      <c r="U249" s="47">
        <f t="shared" si="164"/>
        <v>0</v>
      </c>
      <c r="V249" s="47">
        <v>0</v>
      </c>
      <c r="W249" s="50">
        <v>0</v>
      </c>
      <c r="X249" s="47">
        <f t="shared" si="165"/>
        <v>0</v>
      </c>
      <c r="AA249" s="40">
        <f t="shared" si="157"/>
        <v>0</v>
      </c>
      <c r="AB249" s="40">
        <f t="shared" si="158"/>
        <v>0</v>
      </c>
      <c r="AC249" s="67"/>
    </row>
    <row r="250" spans="6:29" x14ac:dyDescent="0.25">
      <c r="F250" s="45" t="str">
        <f t="shared" si="156"/>
        <v xml:space="preserve">S/F  </v>
      </c>
      <c r="G250" s="47">
        <v>0</v>
      </c>
      <c r="H250" s="56">
        <v>0</v>
      </c>
      <c r="I250" s="47">
        <f t="shared" si="159"/>
        <v>0</v>
      </c>
      <c r="J250" s="49"/>
      <c r="K250" s="47">
        <f t="shared" si="160"/>
        <v>0</v>
      </c>
      <c r="L250" s="47">
        <v>0</v>
      </c>
      <c r="M250" s="48">
        <v>0</v>
      </c>
      <c r="N250" s="47">
        <f t="shared" si="161"/>
        <v>0</v>
      </c>
      <c r="O250" s="47"/>
      <c r="P250" s="47">
        <f t="shared" si="162"/>
        <v>0</v>
      </c>
      <c r="Q250" s="47"/>
      <c r="R250" s="49"/>
      <c r="S250" s="47">
        <f t="shared" si="163"/>
        <v>0</v>
      </c>
      <c r="T250" s="47"/>
      <c r="U250" s="47">
        <f t="shared" si="164"/>
        <v>0</v>
      </c>
      <c r="V250" s="47">
        <v>0</v>
      </c>
      <c r="W250" s="50">
        <v>0</v>
      </c>
      <c r="X250" s="47">
        <f t="shared" si="165"/>
        <v>0</v>
      </c>
      <c r="AA250" s="40">
        <f t="shared" si="157"/>
        <v>0</v>
      </c>
      <c r="AB250" s="40">
        <f t="shared" si="158"/>
        <v>0</v>
      </c>
      <c r="AC250" s="67"/>
    </row>
    <row r="251" spans="6:29" x14ac:dyDescent="0.25">
      <c r="F251" s="45" t="str">
        <f t="shared" si="156"/>
        <v xml:space="preserve">S/F  </v>
      </c>
      <c r="G251" s="47">
        <v>0</v>
      </c>
      <c r="H251" s="56">
        <v>0</v>
      </c>
      <c r="I251" s="47">
        <f t="shared" si="159"/>
        <v>0</v>
      </c>
      <c r="J251" s="49"/>
      <c r="K251" s="47">
        <f t="shared" si="160"/>
        <v>0</v>
      </c>
      <c r="L251" s="47">
        <v>0</v>
      </c>
      <c r="M251" s="48">
        <v>0</v>
      </c>
      <c r="N251" s="47">
        <f t="shared" si="161"/>
        <v>0</v>
      </c>
      <c r="O251" s="47"/>
      <c r="P251" s="47">
        <f t="shared" si="162"/>
        <v>0</v>
      </c>
      <c r="Q251" s="47"/>
      <c r="R251" s="49"/>
      <c r="S251" s="47">
        <f t="shared" si="163"/>
        <v>0</v>
      </c>
      <c r="T251" s="47"/>
      <c r="U251" s="47">
        <f t="shared" si="164"/>
        <v>0</v>
      </c>
      <c r="V251" s="47">
        <v>0</v>
      </c>
      <c r="W251" s="50">
        <v>0</v>
      </c>
      <c r="X251" s="47">
        <f t="shared" si="165"/>
        <v>0</v>
      </c>
      <c r="AA251" s="40">
        <f t="shared" si="157"/>
        <v>0</v>
      </c>
      <c r="AB251" s="40">
        <f t="shared" si="158"/>
        <v>0</v>
      </c>
      <c r="AC251" s="67"/>
    </row>
    <row r="252" spans="6:29" x14ac:dyDescent="0.25">
      <c r="F252" s="45" t="str">
        <f t="shared" si="156"/>
        <v xml:space="preserve">S/F  </v>
      </c>
      <c r="G252" s="47">
        <v>0</v>
      </c>
      <c r="H252" s="56">
        <v>0</v>
      </c>
      <c r="I252" s="47">
        <f t="shared" si="159"/>
        <v>0</v>
      </c>
      <c r="J252" s="49"/>
      <c r="K252" s="47">
        <f t="shared" si="160"/>
        <v>0</v>
      </c>
      <c r="L252" s="47">
        <v>0</v>
      </c>
      <c r="M252" s="48">
        <v>0</v>
      </c>
      <c r="N252" s="47">
        <f t="shared" si="161"/>
        <v>0</v>
      </c>
      <c r="O252" s="47"/>
      <c r="P252" s="47">
        <f t="shared" si="162"/>
        <v>0</v>
      </c>
      <c r="Q252" s="47"/>
      <c r="R252" s="49"/>
      <c r="S252" s="47">
        <f t="shared" si="163"/>
        <v>0</v>
      </c>
      <c r="T252" s="47"/>
      <c r="U252" s="47">
        <f t="shared" si="164"/>
        <v>0</v>
      </c>
      <c r="V252" s="47">
        <v>0</v>
      </c>
      <c r="W252" s="50">
        <v>0</v>
      </c>
      <c r="X252" s="47">
        <f t="shared" si="165"/>
        <v>0</v>
      </c>
      <c r="AA252" s="40">
        <f t="shared" si="157"/>
        <v>0</v>
      </c>
      <c r="AB252" s="40">
        <f t="shared" si="158"/>
        <v>0</v>
      </c>
      <c r="AC252" s="67"/>
    </row>
    <row r="253" spans="6:29" x14ac:dyDescent="0.25">
      <c r="F253" s="45" t="str">
        <f t="shared" si="156"/>
        <v xml:space="preserve">S/F  </v>
      </c>
      <c r="G253" s="47">
        <v>0</v>
      </c>
      <c r="H253" s="56">
        <v>0</v>
      </c>
      <c r="I253" s="47">
        <f t="shared" si="159"/>
        <v>0</v>
      </c>
      <c r="J253" s="49"/>
      <c r="K253" s="47">
        <f t="shared" si="160"/>
        <v>0</v>
      </c>
      <c r="L253" s="47">
        <v>0</v>
      </c>
      <c r="M253" s="48">
        <v>0</v>
      </c>
      <c r="N253" s="47">
        <f t="shared" si="161"/>
        <v>0</v>
      </c>
      <c r="O253" s="47"/>
      <c r="P253" s="47">
        <f t="shared" si="162"/>
        <v>0</v>
      </c>
      <c r="Q253" s="47"/>
      <c r="R253" s="49"/>
      <c r="S253" s="47">
        <f t="shared" si="163"/>
        <v>0</v>
      </c>
      <c r="T253" s="47"/>
      <c r="U253" s="47">
        <f t="shared" si="164"/>
        <v>0</v>
      </c>
      <c r="V253" s="47">
        <v>0</v>
      </c>
      <c r="W253" s="50">
        <v>0</v>
      </c>
      <c r="X253" s="47">
        <f t="shared" si="165"/>
        <v>0</v>
      </c>
      <c r="AA253" s="40">
        <f t="shared" si="157"/>
        <v>0</v>
      </c>
      <c r="AB253" s="40">
        <f t="shared" si="158"/>
        <v>0</v>
      </c>
      <c r="AC253" s="67"/>
    </row>
    <row r="254" spans="6:29" x14ac:dyDescent="0.25">
      <c r="F254" s="45" t="str">
        <f t="shared" si="156"/>
        <v xml:space="preserve">S/F  </v>
      </c>
      <c r="G254" s="47">
        <v>0</v>
      </c>
      <c r="H254" s="56">
        <v>0</v>
      </c>
      <c r="I254" s="47">
        <f t="shared" si="159"/>
        <v>0</v>
      </c>
      <c r="J254" s="49"/>
      <c r="K254" s="47">
        <f t="shared" si="160"/>
        <v>0</v>
      </c>
      <c r="L254" s="47">
        <v>0</v>
      </c>
      <c r="M254" s="48">
        <v>0</v>
      </c>
      <c r="N254" s="47">
        <f t="shared" si="161"/>
        <v>0</v>
      </c>
      <c r="O254" s="47"/>
      <c r="P254" s="47">
        <f t="shared" si="162"/>
        <v>0</v>
      </c>
      <c r="Q254" s="47"/>
      <c r="R254" s="49"/>
      <c r="S254" s="47">
        <f t="shared" si="163"/>
        <v>0</v>
      </c>
      <c r="T254" s="47"/>
      <c r="U254" s="47">
        <f t="shared" si="164"/>
        <v>0</v>
      </c>
      <c r="V254" s="47">
        <v>0</v>
      </c>
      <c r="W254" s="50">
        <v>0</v>
      </c>
      <c r="X254" s="47">
        <f t="shared" si="165"/>
        <v>0</v>
      </c>
      <c r="AA254" s="40">
        <f t="shared" si="157"/>
        <v>0</v>
      </c>
      <c r="AB254" s="40">
        <f t="shared" si="158"/>
        <v>0</v>
      </c>
      <c r="AC254" s="67"/>
    </row>
    <row r="255" spans="6:29" x14ac:dyDescent="0.25">
      <c r="F255" s="45" t="str">
        <f t="shared" si="156"/>
        <v xml:space="preserve">S/F  </v>
      </c>
      <c r="G255" s="47">
        <v>0</v>
      </c>
      <c r="H255" s="56">
        <v>0</v>
      </c>
      <c r="I255" s="47">
        <f t="shared" si="159"/>
        <v>0</v>
      </c>
      <c r="J255" s="49"/>
      <c r="K255" s="47">
        <f t="shared" si="160"/>
        <v>0</v>
      </c>
      <c r="L255" s="47">
        <v>0</v>
      </c>
      <c r="M255" s="48">
        <v>0</v>
      </c>
      <c r="N255" s="47">
        <f t="shared" si="161"/>
        <v>0</v>
      </c>
      <c r="O255" s="47"/>
      <c r="P255" s="47">
        <f t="shared" si="162"/>
        <v>0</v>
      </c>
      <c r="Q255" s="47"/>
      <c r="R255" s="49"/>
      <c r="S255" s="47">
        <f t="shared" si="163"/>
        <v>0</v>
      </c>
      <c r="T255" s="47"/>
      <c r="U255" s="47">
        <f t="shared" si="164"/>
        <v>0</v>
      </c>
      <c r="V255" s="47">
        <v>0</v>
      </c>
      <c r="W255" s="50">
        <v>0</v>
      </c>
      <c r="X255" s="47">
        <f t="shared" si="165"/>
        <v>0</v>
      </c>
      <c r="AA255" s="40">
        <f t="shared" si="157"/>
        <v>0</v>
      </c>
      <c r="AB255" s="40">
        <f t="shared" si="158"/>
        <v>0</v>
      </c>
      <c r="AC255" s="67"/>
    </row>
    <row r="256" spans="6:29" x14ac:dyDescent="0.25">
      <c r="F256" s="45" t="str">
        <f t="shared" si="156"/>
        <v xml:space="preserve">S/F  </v>
      </c>
      <c r="G256" s="47">
        <v>0</v>
      </c>
      <c r="H256" s="56">
        <v>0</v>
      </c>
      <c r="I256" s="47">
        <f t="shared" si="159"/>
        <v>0</v>
      </c>
      <c r="J256" s="49"/>
      <c r="K256" s="47">
        <f t="shared" si="160"/>
        <v>0</v>
      </c>
      <c r="L256" s="47">
        <v>0</v>
      </c>
      <c r="M256" s="48">
        <v>0</v>
      </c>
      <c r="N256" s="47">
        <f t="shared" si="161"/>
        <v>0</v>
      </c>
      <c r="O256" s="47"/>
      <c r="P256" s="47">
        <f t="shared" si="162"/>
        <v>0</v>
      </c>
      <c r="Q256" s="47"/>
      <c r="R256" s="49"/>
      <c r="S256" s="47">
        <f t="shared" si="163"/>
        <v>0</v>
      </c>
      <c r="T256" s="47"/>
      <c r="U256" s="47">
        <f t="shared" si="164"/>
        <v>0</v>
      </c>
      <c r="V256" s="47">
        <v>0</v>
      </c>
      <c r="W256" s="50">
        <v>0</v>
      </c>
      <c r="X256" s="47">
        <f t="shared" si="165"/>
        <v>0</v>
      </c>
      <c r="AA256" s="40">
        <f t="shared" si="157"/>
        <v>0</v>
      </c>
      <c r="AB256" s="40">
        <f t="shared" si="158"/>
        <v>0</v>
      </c>
      <c r="AC256" s="67"/>
    </row>
    <row r="257" spans="6:29" x14ac:dyDescent="0.25">
      <c r="F257" s="45" t="str">
        <f t="shared" si="156"/>
        <v xml:space="preserve">S/F  </v>
      </c>
      <c r="G257" s="47">
        <v>0</v>
      </c>
      <c r="H257" s="56">
        <v>0</v>
      </c>
      <c r="I257" s="47">
        <f t="shared" ref="I257:I292" si="166">+IF(G257&lt;&gt;0,G257*H257/100,0)</f>
        <v>0</v>
      </c>
      <c r="J257" s="49"/>
      <c r="K257" s="47">
        <f t="shared" ref="K257:K292" si="167">+IF(G257&lt;&gt;0,G257*J257/100,0)</f>
        <v>0</v>
      </c>
      <c r="L257" s="47">
        <v>0</v>
      </c>
      <c r="M257" s="48">
        <v>0</v>
      </c>
      <c r="N257" s="47">
        <f t="shared" ref="N257:N292" si="168">+IF(L257&lt;&gt;0,L257*M257/100,0)</f>
        <v>0</v>
      </c>
      <c r="O257" s="47"/>
      <c r="P257" s="47">
        <f t="shared" ref="P257:P292" si="169">+IF(L257&lt;&gt;0,L257*O257/100,0)</f>
        <v>0</v>
      </c>
      <c r="Q257" s="47"/>
      <c r="R257" s="49"/>
      <c r="S257" s="47">
        <f t="shared" ref="S257:S292" si="170">+IF(Q257&lt;&gt;0,Q257*R257/100,0)</f>
        <v>0</v>
      </c>
      <c r="T257" s="47"/>
      <c r="U257" s="47">
        <f t="shared" ref="U257:U292" si="171">+IF(Q257&lt;&gt;0,Q257*T257/100,0)</f>
        <v>0</v>
      </c>
      <c r="V257" s="47">
        <v>0</v>
      </c>
      <c r="W257" s="50">
        <v>0</v>
      </c>
      <c r="X257" s="47">
        <f t="shared" si="165"/>
        <v>0</v>
      </c>
      <c r="AA257" s="40">
        <f t="shared" si="157"/>
        <v>0</v>
      </c>
      <c r="AB257" s="40">
        <f t="shared" si="158"/>
        <v>0</v>
      </c>
      <c r="AC257" s="67"/>
    </row>
    <row r="258" spans="6:29" x14ac:dyDescent="0.25">
      <c r="F258" s="45" t="str">
        <f t="shared" si="156"/>
        <v xml:space="preserve">S/F  </v>
      </c>
      <c r="G258" s="47">
        <v>0</v>
      </c>
      <c r="H258" s="56">
        <v>0</v>
      </c>
      <c r="I258" s="47">
        <f t="shared" si="166"/>
        <v>0</v>
      </c>
      <c r="J258" s="49"/>
      <c r="K258" s="47">
        <f t="shared" si="167"/>
        <v>0</v>
      </c>
      <c r="L258" s="47">
        <v>0</v>
      </c>
      <c r="M258" s="48">
        <v>0</v>
      </c>
      <c r="N258" s="47">
        <f t="shared" si="168"/>
        <v>0</v>
      </c>
      <c r="O258" s="47"/>
      <c r="P258" s="47">
        <f t="shared" si="169"/>
        <v>0</v>
      </c>
      <c r="Q258" s="47"/>
      <c r="R258" s="49"/>
      <c r="S258" s="47">
        <f t="shared" si="170"/>
        <v>0</v>
      </c>
      <c r="T258" s="47"/>
      <c r="U258" s="47">
        <f t="shared" si="171"/>
        <v>0</v>
      </c>
      <c r="V258" s="47">
        <v>0</v>
      </c>
      <c r="W258" s="50">
        <v>0</v>
      </c>
      <c r="X258" s="47">
        <f t="shared" si="165"/>
        <v>0</v>
      </c>
      <c r="AA258" s="40">
        <f t="shared" si="157"/>
        <v>0</v>
      </c>
      <c r="AB258" s="40">
        <f t="shared" si="158"/>
        <v>0</v>
      </c>
      <c r="AC258" s="67"/>
    </row>
    <row r="259" spans="6:29" x14ac:dyDescent="0.25">
      <c r="F259" s="45" t="str">
        <f t="shared" si="156"/>
        <v xml:space="preserve">S/F  </v>
      </c>
      <c r="G259" s="47">
        <v>0</v>
      </c>
      <c r="H259" s="56">
        <v>0</v>
      </c>
      <c r="I259" s="47">
        <f t="shared" si="166"/>
        <v>0</v>
      </c>
      <c r="J259" s="49"/>
      <c r="K259" s="47">
        <f t="shared" si="167"/>
        <v>0</v>
      </c>
      <c r="L259" s="47">
        <v>0</v>
      </c>
      <c r="M259" s="48">
        <v>0</v>
      </c>
      <c r="N259" s="47">
        <f t="shared" si="168"/>
        <v>0</v>
      </c>
      <c r="O259" s="47"/>
      <c r="P259" s="47">
        <f t="shared" si="169"/>
        <v>0</v>
      </c>
      <c r="Q259" s="47"/>
      <c r="R259" s="49"/>
      <c r="S259" s="47">
        <f t="shared" si="170"/>
        <v>0</v>
      </c>
      <c r="T259" s="47"/>
      <c r="U259" s="47">
        <f t="shared" si="171"/>
        <v>0</v>
      </c>
      <c r="V259" s="47">
        <v>0</v>
      </c>
      <c r="W259" s="50">
        <v>0</v>
      </c>
      <c r="X259" s="47">
        <f t="shared" si="165"/>
        <v>0</v>
      </c>
      <c r="AA259" s="40">
        <f t="shared" si="157"/>
        <v>0</v>
      </c>
      <c r="AB259" s="40">
        <f t="shared" si="158"/>
        <v>0</v>
      </c>
      <c r="AC259" s="67"/>
    </row>
    <row r="260" spans="6:29" x14ac:dyDescent="0.25">
      <c r="F260" s="45" t="str">
        <f t="shared" si="156"/>
        <v xml:space="preserve">S/F  </v>
      </c>
      <c r="G260" s="47">
        <v>0</v>
      </c>
      <c r="H260" s="56">
        <v>0</v>
      </c>
      <c r="I260" s="47">
        <f t="shared" si="166"/>
        <v>0</v>
      </c>
      <c r="J260" s="49"/>
      <c r="K260" s="47">
        <f t="shared" si="167"/>
        <v>0</v>
      </c>
      <c r="L260" s="47">
        <v>0</v>
      </c>
      <c r="M260" s="48">
        <v>0</v>
      </c>
      <c r="N260" s="47">
        <f t="shared" si="168"/>
        <v>0</v>
      </c>
      <c r="O260" s="47"/>
      <c r="P260" s="47">
        <f t="shared" si="169"/>
        <v>0</v>
      </c>
      <c r="Q260" s="47"/>
      <c r="R260" s="49"/>
      <c r="S260" s="47">
        <f t="shared" si="170"/>
        <v>0</v>
      </c>
      <c r="T260" s="47"/>
      <c r="U260" s="47">
        <f t="shared" si="171"/>
        <v>0</v>
      </c>
      <c r="V260" s="47">
        <v>0</v>
      </c>
      <c r="W260" s="50">
        <v>0</v>
      </c>
      <c r="X260" s="47">
        <f t="shared" si="165"/>
        <v>0</v>
      </c>
      <c r="AA260" s="40">
        <f t="shared" si="157"/>
        <v>0</v>
      </c>
      <c r="AB260" s="40">
        <f t="shared" si="158"/>
        <v>0</v>
      </c>
      <c r="AC260" s="67"/>
    </row>
    <row r="261" spans="6:29" x14ac:dyDescent="0.25">
      <c r="F261" s="45" t="str">
        <f t="shared" si="156"/>
        <v xml:space="preserve">S/F  </v>
      </c>
      <c r="G261" s="47">
        <v>0</v>
      </c>
      <c r="H261" s="56">
        <v>0</v>
      </c>
      <c r="I261" s="47">
        <f t="shared" si="166"/>
        <v>0</v>
      </c>
      <c r="J261" s="49"/>
      <c r="K261" s="47">
        <f t="shared" si="167"/>
        <v>0</v>
      </c>
      <c r="L261" s="47">
        <v>0</v>
      </c>
      <c r="M261" s="48">
        <v>0</v>
      </c>
      <c r="N261" s="47">
        <f t="shared" si="168"/>
        <v>0</v>
      </c>
      <c r="O261" s="47"/>
      <c r="P261" s="47">
        <f t="shared" si="169"/>
        <v>0</v>
      </c>
      <c r="Q261" s="47"/>
      <c r="R261" s="49"/>
      <c r="S261" s="47">
        <f t="shared" si="170"/>
        <v>0</v>
      </c>
      <c r="T261" s="47"/>
      <c r="U261" s="47">
        <f t="shared" si="171"/>
        <v>0</v>
      </c>
      <c r="V261" s="47">
        <v>0</v>
      </c>
      <c r="W261" s="50">
        <v>0</v>
      </c>
      <c r="X261" s="47">
        <f t="shared" si="165"/>
        <v>0</v>
      </c>
      <c r="AA261" s="40">
        <f t="shared" si="157"/>
        <v>0</v>
      </c>
      <c r="AB261" s="40">
        <f t="shared" si="158"/>
        <v>0</v>
      </c>
      <c r="AC261" s="67"/>
    </row>
    <row r="262" spans="6:29" x14ac:dyDescent="0.25">
      <c r="F262" s="45" t="str">
        <f t="shared" si="156"/>
        <v xml:space="preserve">S/F  </v>
      </c>
      <c r="G262" s="47">
        <v>0</v>
      </c>
      <c r="H262" s="56">
        <v>0</v>
      </c>
      <c r="I262" s="47">
        <f t="shared" si="166"/>
        <v>0</v>
      </c>
      <c r="J262" s="49"/>
      <c r="K262" s="47">
        <f t="shared" si="167"/>
        <v>0</v>
      </c>
      <c r="L262" s="47">
        <v>0</v>
      </c>
      <c r="M262" s="48">
        <v>0</v>
      </c>
      <c r="N262" s="47">
        <f t="shared" si="168"/>
        <v>0</v>
      </c>
      <c r="O262" s="47"/>
      <c r="P262" s="47">
        <f t="shared" si="169"/>
        <v>0</v>
      </c>
      <c r="Q262" s="47"/>
      <c r="R262" s="49"/>
      <c r="S262" s="47">
        <f t="shared" si="170"/>
        <v>0</v>
      </c>
      <c r="T262" s="47"/>
      <c r="U262" s="47">
        <f t="shared" si="171"/>
        <v>0</v>
      </c>
      <c r="V262" s="47">
        <v>0</v>
      </c>
      <c r="W262" s="50">
        <v>0</v>
      </c>
      <c r="X262" s="47">
        <f t="shared" si="165"/>
        <v>0</v>
      </c>
      <c r="AA262" s="40">
        <f t="shared" si="157"/>
        <v>0</v>
      </c>
      <c r="AB262" s="40">
        <f t="shared" si="158"/>
        <v>0</v>
      </c>
      <c r="AC262" s="67"/>
    </row>
    <row r="263" spans="6:29" x14ac:dyDescent="0.25">
      <c r="F263" s="45" t="str">
        <f t="shared" si="156"/>
        <v xml:space="preserve">S/F  </v>
      </c>
      <c r="G263" s="47">
        <v>0</v>
      </c>
      <c r="H263" s="56">
        <v>0</v>
      </c>
      <c r="I263" s="47">
        <f t="shared" si="166"/>
        <v>0</v>
      </c>
      <c r="J263" s="49"/>
      <c r="K263" s="47">
        <f t="shared" si="167"/>
        <v>0</v>
      </c>
      <c r="L263" s="47">
        <v>0</v>
      </c>
      <c r="M263" s="48">
        <v>0</v>
      </c>
      <c r="N263" s="47">
        <f t="shared" si="168"/>
        <v>0</v>
      </c>
      <c r="O263" s="47"/>
      <c r="P263" s="47">
        <f t="shared" si="169"/>
        <v>0</v>
      </c>
      <c r="Q263" s="47"/>
      <c r="R263" s="49"/>
      <c r="S263" s="47">
        <f t="shared" si="170"/>
        <v>0</v>
      </c>
      <c r="T263" s="47"/>
      <c r="U263" s="47">
        <f t="shared" si="171"/>
        <v>0</v>
      </c>
      <c r="V263" s="47">
        <v>0</v>
      </c>
      <c r="W263" s="50">
        <v>0</v>
      </c>
      <c r="X263" s="47">
        <f t="shared" si="165"/>
        <v>0</v>
      </c>
      <c r="AA263" s="40">
        <f t="shared" si="157"/>
        <v>0</v>
      </c>
      <c r="AB263" s="40">
        <f t="shared" si="158"/>
        <v>0</v>
      </c>
      <c r="AC263" s="67"/>
    </row>
    <row r="264" spans="6:29" x14ac:dyDescent="0.25">
      <c r="F264" s="45" t="str">
        <f t="shared" si="156"/>
        <v xml:space="preserve">S/F  </v>
      </c>
      <c r="G264" s="47">
        <v>0</v>
      </c>
      <c r="H264" s="56">
        <v>0</v>
      </c>
      <c r="I264" s="47">
        <f t="shared" si="166"/>
        <v>0</v>
      </c>
      <c r="J264" s="49"/>
      <c r="K264" s="47">
        <f t="shared" si="167"/>
        <v>0</v>
      </c>
      <c r="L264" s="47">
        <v>0</v>
      </c>
      <c r="M264" s="48">
        <v>0</v>
      </c>
      <c r="N264" s="47">
        <f t="shared" si="168"/>
        <v>0</v>
      </c>
      <c r="O264" s="47"/>
      <c r="P264" s="47">
        <f t="shared" si="169"/>
        <v>0</v>
      </c>
      <c r="Q264" s="47"/>
      <c r="R264" s="49"/>
      <c r="S264" s="47">
        <f t="shared" si="170"/>
        <v>0</v>
      </c>
      <c r="T264" s="47"/>
      <c r="U264" s="47">
        <f t="shared" si="171"/>
        <v>0</v>
      </c>
      <c r="V264" s="47">
        <v>0</v>
      </c>
      <c r="W264" s="50">
        <v>0</v>
      </c>
      <c r="X264" s="47">
        <f t="shared" si="165"/>
        <v>0</v>
      </c>
      <c r="AA264" s="40">
        <f t="shared" si="157"/>
        <v>0</v>
      </c>
      <c r="AB264" s="40">
        <f t="shared" si="158"/>
        <v>0</v>
      </c>
      <c r="AC264" s="67"/>
    </row>
    <row r="265" spans="6:29" x14ac:dyDescent="0.25">
      <c r="F265" s="45" t="str">
        <f t="shared" si="156"/>
        <v xml:space="preserve">S/F  </v>
      </c>
      <c r="G265" s="47">
        <v>0</v>
      </c>
      <c r="H265" s="56">
        <v>0</v>
      </c>
      <c r="I265" s="47">
        <f t="shared" si="166"/>
        <v>0</v>
      </c>
      <c r="J265" s="49"/>
      <c r="K265" s="47">
        <f t="shared" si="167"/>
        <v>0</v>
      </c>
      <c r="L265" s="47">
        <v>0</v>
      </c>
      <c r="M265" s="48">
        <v>0</v>
      </c>
      <c r="N265" s="47">
        <f t="shared" si="168"/>
        <v>0</v>
      </c>
      <c r="O265" s="47"/>
      <c r="P265" s="47">
        <f t="shared" si="169"/>
        <v>0</v>
      </c>
      <c r="Q265" s="47"/>
      <c r="R265" s="49"/>
      <c r="S265" s="47">
        <f t="shared" si="170"/>
        <v>0</v>
      </c>
      <c r="T265" s="47"/>
      <c r="U265" s="47">
        <f t="shared" si="171"/>
        <v>0</v>
      </c>
      <c r="V265" s="47">
        <v>0</v>
      </c>
      <c r="W265" s="50">
        <v>0</v>
      </c>
      <c r="X265" s="47">
        <f t="shared" si="165"/>
        <v>0</v>
      </c>
      <c r="AA265" s="40">
        <f t="shared" si="157"/>
        <v>0</v>
      </c>
      <c r="AB265" s="40">
        <f t="shared" si="158"/>
        <v>0</v>
      </c>
      <c r="AC265" s="67"/>
    </row>
    <row r="266" spans="6:29" x14ac:dyDescent="0.25">
      <c r="F266" s="45" t="str">
        <f t="shared" si="156"/>
        <v xml:space="preserve">S/F  </v>
      </c>
      <c r="G266" s="47">
        <v>0</v>
      </c>
      <c r="H266" s="56">
        <v>0</v>
      </c>
      <c r="I266" s="47">
        <f t="shared" si="166"/>
        <v>0</v>
      </c>
      <c r="J266" s="49"/>
      <c r="K266" s="47">
        <f t="shared" si="167"/>
        <v>0</v>
      </c>
      <c r="L266" s="47">
        <v>0</v>
      </c>
      <c r="M266" s="48">
        <v>0</v>
      </c>
      <c r="N266" s="47">
        <f t="shared" si="168"/>
        <v>0</v>
      </c>
      <c r="O266" s="47"/>
      <c r="P266" s="47">
        <f t="shared" si="169"/>
        <v>0</v>
      </c>
      <c r="Q266" s="47"/>
      <c r="R266" s="49"/>
      <c r="S266" s="47">
        <f t="shared" si="170"/>
        <v>0</v>
      </c>
      <c r="T266" s="47"/>
      <c r="U266" s="47">
        <f t="shared" si="171"/>
        <v>0</v>
      </c>
      <c r="V266" s="47">
        <v>0</v>
      </c>
      <c r="W266" s="50">
        <v>0</v>
      </c>
      <c r="X266" s="47">
        <f t="shared" si="165"/>
        <v>0</v>
      </c>
      <c r="AA266" s="40">
        <f t="shared" si="157"/>
        <v>0</v>
      </c>
      <c r="AB266" s="40">
        <f t="shared" si="158"/>
        <v>0</v>
      </c>
      <c r="AC266" s="67"/>
    </row>
    <row r="267" spans="6:29" x14ac:dyDescent="0.25">
      <c r="F267" s="45" t="str">
        <f t="shared" si="156"/>
        <v xml:space="preserve">S/F  </v>
      </c>
      <c r="G267" s="47">
        <v>0</v>
      </c>
      <c r="H267" s="56">
        <v>0</v>
      </c>
      <c r="I267" s="47">
        <f t="shared" si="166"/>
        <v>0</v>
      </c>
      <c r="J267" s="49"/>
      <c r="K267" s="47">
        <f t="shared" si="167"/>
        <v>0</v>
      </c>
      <c r="L267" s="47">
        <v>0</v>
      </c>
      <c r="M267" s="48">
        <v>0</v>
      </c>
      <c r="N267" s="47">
        <f t="shared" si="168"/>
        <v>0</v>
      </c>
      <c r="O267" s="47"/>
      <c r="P267" s="47">
        <f t="shared" si="169"/>
        <v>0</v>
      </c>
      <c r="Q267" s="47"/>
      <c r="R267" s="49"/>
      <c r="S267" s="47">
        <f t="shared" si="170"/>
        <v>0</v>
      </c>
      <c r="T267" s="47"/>
      <c r="U267" s="47">
        <f t="shared" si="171"/>
        <v>0</v>
      </c>
      <c r="V267" s="47">
        <v>0</v>
      </c>
      <c r="W267" s="50">
        <v>0</v>
      </c>
      <c r="X267" s="47">
        <f t="shared" si="165"/>
        <v>0</v>
      </c>
      <c r="AA267" s="40">
        <f t="shared" si="157"/>
        <v>0</v>
      </c>
      <c r="AB267" s="40">
        <f t="shared" si="158"/>
        <v>0</v>
      </c>
      <c r="AC267" s="67"/>
    </row>
    <row r="268" spans="6:29" x14ac:dyDescent="0.25">
      <c r="F268" s="45" t="str">
        <f t="shared" si="156"/>
        <v xml:space="preserve">S/F  </v>
      </c>
      <c r="G268" s="47">
        <v>0</v>
      </c>
      <c r="H268" s="56">
        <v>0</v>
      </c>
      <c r="I268" s="47">
        <f t="shared" si="166"/>
        <v>0</v>
      </c>
      <c r="J268" s="49"/>
      <c r="K268" s="47">
        <f t="shared" si="167"/>
        <v>0</v>
      </c>
      <c r="L268" s="47">
        <v>0</v>
      </c>
      <c r="M268" s="48">
        <v>0</v>
      </c>
      <c r="N268" s="47">
        <f t="shared" si="168"/>
        <v>0</v>
      </c>
      <c r="O268" s="47"/>
      <c r="P268" s="47">
        <f t="shared" si="169"/>
        <v>0</v>
      </c>
      <c r="Q268" s="47"/>
      <c r="R268" s="49"/>
      <c r="S268" s="47">
        <f t="shared" si="170"/>
        <v>0</v>
      </c>
      <c r="T268" s="47"/>
      <c r="U268" s="47">
        <f t="shared" si="171"/>
        <v>0</v>
      </c>
      <c r="V268" s="47">
        <v>0</v>
      </c>
      <c r="W268" s="50">
        <v>0</v>
      </c>
      <c r="X268" s="47">
        <f t="shared" si="165"/>
        <v>0</v>
      </c>
      <c r="AA268" s="40">
        <f t="shared" si="157"/>
        <v>0</v>
      </c>
      <c r="AB268" s="40">
        <f t="shared" si="158"/>
        <v>0</v>
      </c>
      <c r="AC268" s="67"/>
    </row>
    <row r="269" spans="6:29" x14ac:dyDescent="0.25">
      <c r="F269" s="45" t="str">
        <f t="shared" ref="F269:F332" si="172">"S/F "&amp;B269&amp;" "&amp;E269</f>
        <v xml:space="preserve">S/F  </v>
      </c>
      <c r="G269" s="47">
        <v>0</v>
      </c>
      <c r="H269" s="56">
        <v>0</v>
      </c>
      <c r="I269" s="47">
        <f t="shared" si="166"/>
        <v>0</v>
      </c>
      <c r="J269" s="49"/>
      <c r="K269" s="47">
        <f t="shared" si="167"/>
        <v>0</v>
      </c>
      <c r="L269" s="47">
        <v>0</v>
      </c>
      <c r="M269" s="48">
        <v>0</v>
      </c>
      <c r="N269" s="47">
        <f t="shared" si="168"/>
        <v>0</v>
      </c>
      <c r="O269" s="47"/>
      <c r="P269" s="47">
        <f t="shared" si="169"/>
        <v>0</v>
      </c>
      <c r="Q269" s="47"/>
      <c r="R269" s="49"/>
      <c r="S269" s="47">
        <f t="shared" si="170"/>
        <v>0</v>
      </c>
      <c r="T269" s="47"/>
      <c r="U269" s="47">
        <f t="shared" si="171"/>
        <v>0</v>
      </c>
      <c r="V269" s="47">
        <v>0</v>
      </c>
      <c r="W269" s="50">
        <v>0</v>
      </c>
      <c r="X269" s="47">
        <f t="shared" si="165"/>
        <v>0</v>
      </c>
      <c r="AA269" s="40">
        <f t="shared" si="157"/>
        <v>0</v>
      </c>
      <c r="AB269" s="40">
        <f t="shared" si="158"/>
        <v>0</v>
      </c>
      <c r="AC269" s="67"/>
    </row>
    <row r="270" spans="6:29" x14ac:dyDescent="0.25">
      <c r="F270" s="45" t="str">
        <f t="shared" si="172"/>
        <v xml:space="preserve">S/F  </v>
      </c>
      <c r="G270" s="47">
        <v>0</v>
      </c>
      <c r="H270" s="56">
        <v>0</v>
      </c>
      <c r="I270" s="47">
        <f t="shared" si="166"/>
        <v>0</v>
      </c>
      <c r="J270" s="49"/>
      <c r="K270" s="47">
        <f t="shared" si="167"/>
        <v>0</v>
      </c>
      <c r="L270" s="47">
        <v>0</v>
      </c>
      <c r="M270" s="48">
        <v>0</v>
      </c>
      <c r="N270" s="47">
        <f t="shared" si="168"/>
        <v>0</v>
      </c>
      <c r="O270" s="47"/>
      <c r="P270" s="47">
        <f t="shared" si="169"/>
        <v>0</v>
      </c>
      <c r="Q270" s="47"/>
      <c r="R270" s="49"/>
      <c r="S270" s="47">
        <f t="shared" si="170"/>
        <v>0</v>
      </c>
      <c r="T270" s="47"/>
      <c r="U270" s="47">
        <f t="shared" si="171"/>
        <v>0</v>
      </c>
      <c r="V270" s="47">
        <v>0</v>
      </c>
      <c r="W270" s="50">
        <v>0</v>
      </c>
      <c r="X270" s="47">
        <f t="shared" si="165"/>
        <v>0</v>
      </c>
      <c r="AA270" s="40">
        <f t="shared" si="157"/>
        <v>0</v>
      </c>
      <c r="AB270" s="40">
        <f t="shared" si="158"/>
        <v>0</v>
      </c>
      <c r="AC270" s="67"/>
    </row>
    <row r="271" spans="6:29" x14ac:dyDescent="0.25">
      <c r="F271" s="45" t="str">
        <f t="shared" si="172"/>
        <v xml:space="preserve">S/F  </v>
      </c>
      <c r="G271" s="47">
        <v>0</v>
      </c>
      <c r="H271" s="56">
        <v>0</v>
      </c>
      <c r="I271" s="47">
        <f t="shared" si="166"/>
        <v>0</v>
      </c>
      <c r="J271" s="49"/>
      <c r="K271" s="47">
        <f t="shared" si="167"/>
        <v>0</v>
      </c>
      <c r="L271" s="47">
        <v>0</v>
      </c>
      <c r="M271" s="48">
        <v>0</v>
      </c>
      <c r="N271" s="47">
        <f t="shared" si="168"/>
        <v>0</v>
      </c>
      <c r="O271" s="47"/>
      <c r="P271" s="47">
        <f t="shared" si="169"/>
        <v>0</v>
      </c>
      <c r="Q271" s="47"/>
      <c r="R271" s="49"/>
      <c r="S271" s="47">
        <f t="shared" si="170"/>
        <v>0</v>
      </c>
      <c r="T271" s="47"/>
      <c r="U271" s="47">
        <f t="shared" si="171"/>
        <v>0</v>
      </c>
      <c r="V271" s="47">
        <v>0</v>
      </c>
      <c r="W271" s="50">
        <v>0</v>
      </c>
      <c r="X271" s="47">
        <f t="shared" si="165"/>
        <v>0</v>
      </c>
      <c r="AA271" s="40">
        <f t="shared" si="157"/>
        <v>0</v>
      </c>
      <c r="AB271" s="40">
        <f t="shared" si="158"/>
        <v>0</v>
      </c>
      <c r="AC271" s="67"/>
    </row>
    <row r="272" spans="6:29" x14ac:dyDescent="0.25">
      <c r="F272" s="45" t="str">
        <f t="shared" si="172"/>
        <v xml:space="preserve">S/F  </v>
      </c>
      <c r="G272" s="47">
        <v>0</v>
      </c>
      <c r="H272" s="56">
        <v>0</v>
      </c>
      <c r="I272" s="47">
        <f t="shared" si="166"/>
        <v>0</v>
      </c>
      <c r="J272" s="49"/>
      <c r="K272" s="47">
        <f t="shared" si="167"/>
        <v>0</v>
      </c>
      <c r="L272" s="47">
        <v>0</v>
      </c>
      <c r="M272" s="48">
        <v>0</v>
      </c>
      <c r="N272" s="47">
        <f t="shared" si="168"/>
        <v>0</v>
      </c>
      <c r="O272" s="47"/>
      <c r="P272" s="47">
        <f t="shared" si="169"/>
        <v>0</v>
      </c>
      <c r="Q272" s="47"/>
      <c r="R272" s="49"/>
      <c r="S272" s="47">
        <f t="shared" si="170"/>
        <v>0</v>
      </c>
      <c r="T272" s="47"/>
      <c r="U272" s="47">
        <f t="shared" si="171"/>
        <v>0</v>
      </c>
      <c r="V272" s="47">
        <v>0</v>
      </c>
      <c r="W272" s="50">
        <v>0</v>
      </c>
      <c r="X272" s="47">
        <f t="shared" si="165"/>
        <v>0</v>
      </c>
      <c r="AA272" s="40">
        <f t="shared" si="157"/>
        <v>0</v>
      </c>
      <c r="AB272" s="40">
        <f t="shared" si="158"/>
        <v>0</v>
      </c>
      <c r="AC272" s="67"/>
    </row>
    <row r="273" spans="6:29" x14ac:dyDescent="0.25">
      <c r="F273" s="45" t="str">
        <f t="shared" si="172"/>
        <v xml:space="preserve">S/F  </v>
      </c>
      <c r="G273" s="47">
        <v>0</v>
      </c>
      <c r="H273" s="56">
        <v>0</v>
      </c>
      <c r="I273" s="47">
        <f t="shared" si="166"/>
        <v>0</v>
      </c>
      <c r="J273" s="49"/>
      <c r="K273" s="47">
        <f t="shared" si="167"/>
        <v>0</v>
      </c>
      <c r="L273" s="47">
        <v>0</v>
      </c>
      <c r="M273" s="48">
        <v>0</v>
      </c>
      <c r="N273" s="47">
        <f t="shared" si="168"/>
        <v>0</v>
      </c>
      <c r="O273" s="47"/>
      <c r="P273" s="47">
        <f t="shared" si="169"/>
        <v>0</v>
      </c>
      <c r="Q273" s="47"/>
      <c r="R273" s="49"/>
      <c r="S273" s="47">
        <f t="shared" si="170"/>
        <v>0</v>
      </c>
      <c r="T273" s="47"/>
      <c r="U273" s="47">
        <f t="shared" si="171"/>
        <v>0</v>
      </c>
      <c r="V273" s="47">
        <v>0</v>
      </c>
      <c r="W273" s="50">
        <v>0</v>
      </c>
      <c r="X273" s="47">
        <f t="shared" si="165"/>
        <v>0</v>
      </c>
      <c r="AA273" s="40">
        <f t="shared" si="157"/>
        <v>0</v>
      </c>
      <c r="AB273" s="40">
        <f t="shared" si="158"/>
        <v>0</v>
      </c>
      <c r="AC273" s="67"/>
    </row>
    <row r="274" spans="6:29" x14ac:dyDescent="0.25">
      <c r="F274" s="45" t="str">
        <f t="shared" si="172"/>
        <v xml:space="preserve">S/F  </v>
      </c>
      <c r="G274" s="47">
        <v>0</v>
      </c>
      <c r="H274" s="56">
        <v>0</v>
      </c>
      <c r="I274" s="47">
        <f t="shared" si="166"/>
        <v>0</v>
      </c>
      <c r="J274" s="49"/>
      <c r="K274" s="47">
        <f t="shared" si="167"/>
        <v>0</v>
      </c>
      <c r="L274" s="47">
        <v>0</v>
      </c>
      <c r="M274" s="48">
        <v>0</v>
      </c>
      <c r="N274" s="47">
        <f t="shared" si="168"/>
        <v>0</v>
      </c>
      <c r="O274" s="47"/>
      <c r="P274" s="47">
        <f t="shared" si="169"/>
        <v>0</v>
      </c>
      <c r="Q274" s="47"/>
      <c r="R274" s="49"/>
      <c r="S274" s="47">
        <f t="shared" si="170"/>
        <v>0</v>
      </c>
      <c r="T274" s="47"/>
      <c r="U274" s="47">
        <f t="shared" si="171"/>
        <v>0</v>
      </c>
      <c r="V274" s="47">
        <v>0</v>
      </c>
      <c r="W274" s="50">
        <v>0</v>
      </c>
      <c r="X274" s="47">
        <f t="shared" si="165"/>
        <v>0</v>
      </c>
      <c r="AA274" s="40">
        <f t="shared" si="157"/>
        <v>0</v>
      </c>
      <c r="AB274" s="40">
        <f t="shared" si="158"/>
        <v>0</v>
      </c>
      <c r="AC274" s="67"/>
    </row>
    <row r="275" spans="6:29" x14ac:dyDescent="0.25">
      <c r="F275" s="45" t="str">
        <f t="shared" si="172"/>
        <v xml:space="preserve">S/F  </v>
      </c>
      <c r="G275" s="47">
        <v>0</v>
      </c>
      <c r="H275" s="56">
        <v>0</v>
      </c>
      <c r="I275" s="47">
        <f t="shared" si="166"/>
        <v>0</v>
      </c>
      <c r="J275" s="49"/>
      <c r="K275" s="47">
        <f t="shared" si="167"/>
        <v>0</v>
      </c>
      <c r="L275" s="47">
        <v>0</v>
      </c>
      <c r="M275" s="48">
        <v>0</v>
      </c>
      <c r="N275" s="47">
        <f t="shared" si="168"/>
        <v>0</v>
      </c>
      <c r="O275" s="47"/>
      <c r="P275" s="47">
        <f t="shared" si="169"/>
        <v>0</v>
      </c>
      <c r="Q275" s="47"/>
      <c r="R275" s="49"/>
      <c r="S275" s="47">
        <f t="shared" si="170"/>
        <v>0</v>
      </c>
      <c r="T275" s="47"/>
      <c r="U275" s="47">
        <f t="shared" si="171"/>
        <v>0</v>
      </c>
      <c r="V275" s="47">
        <v>0</v>
      </c>
      <c r="W275" s="50">
        <v>0</v>
      </c>
      <c r="X275" s="47">
        <f t="shared" si="165"/>
        <v>0</v>
      </c>
      <c r="AA275" s="40">
        <f t="shared" si="157"/>
        <v>0</v>
      </c>
      <c r="AB275" s="40">
        <f t="shared" si="158"/>
        <v>0</v>
      </c>
      <c r="AC275" s="67"/>
    </row>
    <row r="276" spans="6:29" x14ac:dyDescent="0.25">
      <c r="F276" s="45" t="str">
        <f t="shared" si="172"/>
        <v xml:space="preserve">S/F  </v>
      </c>
      <c r="G276" s="47">
        <v>0</v>
      </c>
      <c r="H276" s="56">
        <v>0</v>
      </c>
      <c r="I276" s="47">
        <f t="shared" si="166"/>
        <v>0</v>
      </c>
      <c r="J276" s="49"/>
      <c r="K276" s="47">
        <f t="shared" si="167"/>
        <v>0</v>
      </c>
      <c r="L276" s="47">
        <v>0</v>
      </c>
      <c r="M276" s="48">
        <v>0</v>
      </c>
      <c r="N276" s="47">
        <f t="shared" si="168"/>
        <v>0</v>
      </c>
      <c r="O276" s="47"/>
      <c r="P276" s="47">
        <f t="shared" si="169"/>
        <v>0</v>
      </c>
      <c r="Q276" s="47"/>
      <c r="R276" s="49"/>
      <c r="S276" s="47">
        <f t="shared" si="170"/>
        <v>0</v>
      </c>
      <c r="T276" s="47"/>
      <c r="U276" s="47">
        <f t="shared" si="171"/>
        <v>0</v>
      </c>
      <c r="V276" s="47">
        <v>0</v>
      </c>
      <c r="W276" s="50">
        <v>0</v>
      </c>
      <c r="X276" s="47">
        <f t="shared" si="165"/>
        <v>0</v>
      </c>
      <c r="AA276" s="40">
        <f t="shared" si="157"/>
        <v>0</v>
      </c>
      <c r="AB276" s="40">
        <f t="shared" si="158"/>
        <v>0</v>
      </c>
      <c r="AC276" s="67"/>
    </row>
    <row r="277" spans="6:29" x14ac:dyDescent="0.25">
      <c r="F277" s="45" t="str">
        <f t="shared" si="172"/>
        <v xml:space="preserve">S/F  </v>
      </c>
      <c r="G277" s="47">
        <v>0</v>
      </c>
      <c r="H277" s="56">
        <v>0</v>
      </c>
      <c r="I277" s="47">
        <f t="shared" si="166"/>
        <v>0</v>
      </c>
      <c r="J277" s="49"/>
      <c r="K277" s="47">
        <f t="shared" si="167"/>
        <v>0</v>
      </c>
      <c r="L277" s="47">
        <v>0</v>
      </c>
      <c r="M277" s="48">
        <v>0</v>
      </c>
      <c r="N277" s="47">
        <f t="shared" si="168"/>
        <v>0</v>
      </c>
      <c r="O277" s="47"/>
      <c r="P277" s="47">
        <f t="shared" si="169"/>
        <v>0</v>
      </c>
      <c r="Q277" s="47"/>
      <c r="R277" s="49"/>
      <c r="S277" s="47">
        <f t="shared" si="170"/>
        <v>0</v>
      </c>
      <c r="T277" s="47"/>
      <c r="U277" s="47">
        <f t="shared" si="171"/>
        <v>0</v>
      </c>
      <c r="V277" s="47">
        <v>0</v>
      </c>
      <c r="W277" s="50">
        <v>0</v>
      </c>
      <c r="X277" s="47">
        <f t="shared" ref="X277:X340" si="173">+IF(W277&lt;&gt;0,V277*W277/100,0)</f>
        <v>0</v>
      </c>
      <c r="AA277" s="40">
        <f t="shared" ref="AA277:AA340" si="174">+IF(Z277&lt;&gt;0,Y277*Z277/100,0)</f>
        <v>0</v>
      </c>
      <c r="AB277" s="40">
        <f t="shared" ref="AB277:AB340" si="175">+G277+I277+K277+L277+N277+P277+Q277+S277+U277-X277-AA277</f>
        <v>0</v>
      </c>
      <c r="AC277" s="67"/>
    </row>
    <row r="278" spans="6:29" x14ac:dyDescent="0.25">
      <c r="F278" s="45" t="str">
        <f t="shared" si="172"/>
        <v xml:space="preserve">S/F  </v>
      </c>
      <c r="G278" s="47">
        <v>0</v>
      </c>
      <c r="H278" s="56">
        <v>0</v>
      </c>
      <c r="I278" s="47">
        <f t="shared" si="166"/>
        <v>0</v>
      </c>
      <c r="J278" s="49"/>
      <c r="K278" s="47">
        <f t="shared" si="167"/>
        <v>0</v>
      </c>
      <c r="L278" s="47">
        <v>0</v>
      </c>
      <c r="M278" s="48">
        <v>0</v>
      </c>
      <c r="N278" s="47">
        <f t="shared" si="168"/>
        <v>0</v>
      </c>
      <c r="O278" s="47"/>
      <c r="P278" s="47">
        <f t="shared" si="169"/>
        <v>0</v>
      </c>
      <c r="Q278" s="47"/>
      <c r="R278" s="49"/>
      <c r="S278" s="47">
        <f t="shared" si="170"/>
        <v>0</v>
      </c>
      <c r="T278" s="47"/>
      <c r="U278" s="47">
        <f t="shared" si="171"/>
        <v>0</v>
      </c>
      <c r="V278" s="47">
        <v>0</v>
      </c>
      <c r="W278" s="50">
        <v>0</v>
      </c>
      <c r="X278" s="47">
        <f t="shared" si="173"/>
        <v>0</v>
      </c>
      <c r="AA278" s="40">
        <f t="shared" si="174"/>
        <v>0</v>
      </c>
      <c r="AB278" s="40">
        <f t="shared" si="175"/>
        <v>0</v>
      </c>
      <c r="AC278" s="67"/>
    </row>
    <row r="279" spans="6:29" x14ac:dyDescent="0.25">
      <c r="F279" s="45" t="str">
        <f t="shared" si="172"/>
        <v xml:space="preserve">S/F  </v>
      </c>
      <c r="G279" s="47">
        <v>0</v>
      </c>
      <c r="H279" s="56">
        <v>0</v>
      </c>
      <c r="I279" s="47">
        <f t="shared" si="166"/>
        <v>0</v>
      </c>
      <c r="J279" s="49"/>
      <c r="K279" s="47">
        <f t="shared" si="167"/>
        <v>0</v>
      </c>
      <c r="L279" s="47">
        <v>0</v>
      </c>
      <c r="M279" s="48">
        <v>0</v>
      </c>
      <c r="N279" s="47">
        <f t="shared" si="168"/>
        <v>0</v>
      </c>
      <c r="O279" s="47"/>
      <c r="P279" s="47">
        <f t="shared" si="169"/>
        <v>0</v>
      </c>
      <c r="Q279" s="47"/>
      <c r="R279" s="49"/>
      <c r="S279" s="47">
        <f t="shared" si="170"/>
        <v>0</v>
      </c>
      <c r="T279" s="47"/>
      <c r="U279" s="47">
        <f t="shared" si="171"/>
        <v>0</v>
      </c>
      <c r="V279" s="47">
        <v>0</v>
      </c>
      <c r="W279" s="50">
        <v>0</v>
      </c>
      <c r="X279" s="47">
        <f t="shared" si="173"/>
        <v>0</v>
      </c>
      <c r="AA279" s="40">
        <f t="shared" si="174"/>
        <v>0</v>
      </c>
      <c r="AB279" s="40">
        <f t="shared" si="175"/>
        <v>0</v>
      </c>
      <c r="AC279" s="67"/>
    </row>
    <row r="280" spans="6:29" x14ac:dyDescent="0.25">
      <c r="F280" s="45" t="str">
        <f t="shared" si="172"/>
        <v xml:space="preserve">S/F  </v>
      </c>
      <c r="G280" s="47">
        <v>0</v>
      </c>
      <c r="H280" s="56">
        <v>0</v>
      </c>
      <c r="I280" s="47">
        <f t="shared" si="166"/>
        <v>0</v>
      </c>
      <c r="J280" s="49"/>
      <c r="K280" s="47">
        <f t="shared" si="167"/>
        <v>0</v>
      </c>
      <c r="L280" s="47">
        <v>0</v>
      </c>
      <c r="M280" s="48">
        <v>0</v>
      </c>
      <c r="N280" s="47">
        <f t="shared" si="168"/>
        <v>0</v>
      </c>
      <c r="O280" s="47"/>
      <c r="P280" s="47">
        <f t="shared" si="169"/>
        <v>0</v>
      </c>
      <c r="Q280" s="47"/>
      <c r="R280" s="49"/>
      <c r="S280" s="47">
        <f t="shared" si="170"/>
        <v>0</v>
      </c>
      <c r="T280" s="47"/>
      <c r="U280" s="47">
        <f t="shared" si="171"/>
        <v>0</v>
      </c>
      <c r="V280" s="47">
        <v>0</v>
      </c>
      <c r="W280" s="50">
        <v>0</v>
      </c>
      <c r="X280" s="47">
        <f t="shared" si="173"/>
        <v>0</v>
      </c>
      <c r="AA280" s="40">
        <f t="shared" si="174"/>
        <v>0</v>
      </c>
      <c r="AB280" s="40">
        <f t="shared" si="175"/>
        <v>0</v>
      </c>
      <c r="AC280" s="67"/>
    </row>
    <row r="281" spans="6:29" x14ac:dyDescent="0.25">
      <c r="F281" s="45" t="str">
        <f t="shared" si="172"/>
        <v xml:space="preserve">S/F  </v>
      </c>
      <c r="G281" s="47">
        <v>0</v>
      </c>
      <c r="H281" s="56">
        <v>0</v>
      </c>
      <c r="I281" s="47">
        <f t="shared" si="166"/>
        <v>0</v>
      </c>
      <c r="J281" s="49"/>
      <c r="K281" s="47">
        <f t="shared" si="167"/>
        <v>0</v>
      </c>
      <c r="L281" s="47">
        <v>0</v>
      </c>
      <c r="M281" s="48">
        <v>0</v>
      </c>
      <c r="N281" s="47">
        <f t="shared" si="168"/>
        <v>0</v>
      </c>
      <c r="O281" s="47"/>
      <c r="P281" s="47">
        <f t="shared" si="169"/>
        <v>0</v>
      </c>
      <c r="Q281" s="47"/>
      <c r="R281" s="49"/>
      <c r="S281" s="47">
        <f t="shared" si="170"/>
        <v>0</v>
      </c>
      <c r="T281" s="47"/>
      <c r="U281" s="47">
        <f t="shared" si="171"/>
        <v>0</v>
      </c>
      <c r="V281" s="47">
        <v>0</v>
      </c>
      <c r="W281" s="50">
        <v>0</v>
      </c>
      <c r="X281" s="47">
        <f t="shared" si="173"/>
        <v>0</v>
      </c>
      <c r="AA281" s="40">
        <f t="shared" si="174"/>
        <v>0</v>
      </c>
      <c r="AB281" s="40">
        <f t="shared" si="175"/>
        <v>0</v>
      </c>
      <c r="AC281" s="67"/>
    </row>
    <row r="282" spans="6:29" x14ac:dyDescent="0.25">
      <c r="F282" s="45" t="str">
        <f t="shared" si="172"/>
        <v xml:space="preserve">S/F  </v>
      </c>
      <c r="G282" s="47">
        <v>0</v>
      </c>
      <c r="H282" s="56">
        <v>0</v>
      </c>
      <c r="I282" s="47">
        <f t="shared" si="166"/>
        <v>0</v>
      </c>
      <c r="J282" s="49"/>
      <c r="K282" s="47">
        <f t="shared" si="167"/>
        <v>0</v>
      </c>
      <c r="L282" s="47">
        <v>0</v>
      </c>
      <c r="M282" s="48">
        <v>0</v>
      </c>
      <c r="N282" s="47">
        <f t="shared" si="168"/>
        <v>0</v>
      </c>
      <c r="O282" s="47"/>
      <c r="P282" s="47">
        <f t="shared" si="169"/>
        <v>0</v>
      </c>
      <c r="Q282" s="47"/>
      <c r="R282" s="49"/>
      <c r="S282" s="47">
        <f t="shared" si="170"/>
        <v>0</v>
      </c>
      <c r="T282" s="47"/>
      <c r="U282" s="47">
        <f t="shared" si="171"/>
        <v>0</v>
      </c>
      <c r="V282" s="47">
        <v>0</v>
      </c>
      <c r="W282" s="50">
        <v>0</v>
      </c>
      <c r="X282" s="47">
        <f t="shared" si="173"/>
        <v>0</v>
      </c>
      <c r="AA282" s="40">
        <f t="shared" si="174"/>
        <v>0</v>
      </c>
      <c r="AB282" s="40">
        <f t="shared" si="175"/>
        <v>0</v>
      </c>
      <c r="AC282" s="67"/>
    </row>
    <row r="283" spans="6:29" x14ac:dyDescent="0.25">
      <c r="F283" s="45" t="str">
        <f t="shared" si="172"/>
        <v xml:space="preserve">S/F  </v>
      </c>
      <c r="G283" s="47">
        <v>0</v>
      </c>
      <c r="H283" s="56">
        <v>0</v>
      </c>
      <c r="I283" s="47">
        <f t="shared" si="166"/>
        <v>0</v>
      </c>
      <c r="J283" s="49"/>
      <c r="K283" s="47">
        <f t="shared" si="167"/>
        <v>0</v>
      </c>
      <c r="L283" s="47">
        <v>0</v>
      </c>
      <c r="M283" s="48">
        <v>0</v>
      </c>
      <c r="N283" s="47">
        <f t="shared" si="168"/>
        <v>0</v>
      </c>
      <c r="O283" s="47"/>
      <c r="P283" s="47">
        <f t="shared" si="169"/>
        <v>0</v>
      </c>
      <c r="Q283" s="47"/>
      <c r="R283" s="49"/>
      <c r="S283" s="47">
        <f t="shared" si="170"/>
        <v>0</v>
      </c>
      <c r="T283" s="47"/>
      <c r="U283" s="47">
        <f t="shared" si="171"/>
        <v>0</v>
      </c>
      <c r="V283" s="47">
        <v>0</v>
      </c>
      <c r="W283" s="50">
        <v>0</v>
      </c>
      <c r="X283" s="47">
        <f t="shared" si="173"/>
        <v>0</v>
      </c>
      <c r="AA283" s="40">
        <f t="shared" si="174"/>
        <v>0</v>
      </c>
      <c r="AB283" s="40">
        <f t="shared" si="175"/>
        <v>0</v>
      </c>
      <c r="AC283" s="67"/>
    </row>
    <row r="284" spans="6:29" x14ac:dyDescent="0.25">
      <c r="F284" s="45" t="str">
        <f t="shared" si="172"/>
        <v xml:space="preserve">S/F  </v>
      </c>
      <c r="G284" s="47">
        <v>0</v>
      </c>
      <c r="H284" s="56">
        <v>0</v>
      </c>
      <c r="I284" s="47">
        <f t="shared" si="166"/>
        <v>0</v>
      </c>
      <c r="J284" s="49"/>
      <c r="K284" s="47">
        <f t="shared" si="167"/>
        <v>0</v>
      </c>
      <c r="L284" s="47">
        <v>0</v>
      </c>
      <c r="M284" s="48">
        <v>0</v>
      </c>
      <c r="N284" s="47">
        <f t="shared" si="168"/>
        <v>0</v>
      </c>
      <c r="O284" s="47"/>
      <c r="P284" s="47">
        <f t="shared" si="169"/>
        <v>0</v>
      </c>
      <c r="Q284" s="47"/>
      <c r="R284" s="49"/>
      <c r="S284" s="47">
        <f t="shared" si="170"/>
        <v>0</v>
      </c>
      <c r="T284" s="47"/>
      <c r="U284" s="47">
        <f t="shared" si="171"/>
        <v>0</v>
      </c>
      <c r="V284" s="47">
        <v>0</v>
      </c>
      <c r="W284" s="50">
        <v>0</v>
      </c>
      <c r="X284" s="47">
        <f t="shared" si="173"/>
        <v>0</v>
      </c>
      <c r="AA284" s="40">
        <f t="shared" si="174"/>
        <v>0</v>
      </c>
      <c r="AB284" s="40">
        <f t="shared" si="175"/>
        <v>0</v>
      </c>
      <c r="AC284" s="67"/>
    </row>
    <row r="285" spans="6:29" x14ac:dyDescent="0.25">
      <c r="F285" s="45" t="str">
        <f t="shared" si="172"/>
        <v xml:space="preserve">S/F  </v>
      </c>
      <c r="G285" s="47">
        <v>0</v>
      </c>
      <c r="H285" s="56">
        <v>0</v>
      </c>
      <c r="I285" s="47">
        <f t="shared" si="166"/>
        <v>0</v>
      </c>
      <c r="J285" s="49"/>
      <c r="K285" s="47">
        <f t="shared" si="167"/>
        <v>0</v>
      </c>
      <c r="L285" s="47">
        <v>0</v>
      </c>
      <c r="M285" s="48">
        <v>0</v>
      </c>
      <c r="N285" s="47">
        <f t="shared" si="168"/>
        <v>0</v>
      </c>
      <c r="O285" s="47"/>
      <c r="P285" s="47">
        <f t="shared" si="169"/>
        <v>0</v>
      </c>
      <c r="Q285" s="47"/>
      <c r="R285" s="49"/>
      <c r="S285" s="47">
        <f t="shared" si="170"/>
        <v>0</v>
      </c>
      <c r="T285" s="47"/>
      <c r="U285" s="47">
        <f t="shared" si="171"/>
        <v>0</v>
      </c>
      <c r="V285" s="47">
        <v>0</v>
      </c>
      <c r="W285" s="50">
        <v>0</v>
      </c>
      <c r="X285" s="47">
        <f t="shared" si="173"/>
        <v>0</v>
      </c>
      <c r="AA285" s="40">
        <f t="shared" si="174"/>
        <v>0</v>
      </c>
      <c r="AB285" s="40">
        <f t="shared" si="175"/>
        <v>0</v>
      </c>
      <c r="AC285" s="67"/>
    </row>
    <row r="286" spans="6:29" x14ac:dyDescent="0.25">
      <c r="F286" s="45" t="str">
        <f t="shared" si="172"/>
        <v xml:space="preserve">S/F  </v>
      </c>
      <c r="G286" s="47">
        <v>0</v>
      </c>
      <c r="H286" s="56">
        <v>0</v>
      </c>
      <c r="I286" s="47">
        <f t="shared" si="166"/>
        <v>0</v>
      </c>
      <c r="J286" s="49"/>
      <c r="K286" s="47">
        <f t="shared" si="167"/>
        <v>0</v>
      </c>
      <c r="L286" s="47">
        <v>0</v>
      </c>
      <c r="M286" s="48">
        <v>0</v>
      </c>
      <c r="N286" s="47">
        <f t="shared" si="168"/>
        <v>0</v>
      </c>
      <c r="O286" s="47"/>
      <c r="P286" s="47">
        <f t="shared" si="169"/>
        <v>0</v>
      </c>
      <c r="Q286" s="47"/>
      <c r="R286" s="49"/>
      <c r="S286" s="47">
        <f t="shared" si="170"/>
        <v>0</v>
      </c>
      <c r="T286" s="47"/>
      <c r="U286" s="47">
        <f t="shared" si="171"/>
        <v>0</v>
      </c>
      <c r="V286" s="47">
        <v>0</v>
      </c>
      <c r="W286" s="50">
        <v>0</v>
      </c>
      <c r="X286" s="47">
        <f t="shared" si="173"/>
        <v>0</v>
      </c>
      <c r="AA286" s="40">
        <f t="shared" si="174"/>
        <v>0</v>
      </c>
      <c r="AB286" s="40">
        <f t="shared" si="175"/>
        <v>0</v>
      </c>
      <c r="AC286" s="67"/>
    </row>
    <row r="287" spans="6:29" x14ac:dyDescent="0.25">
      <c r="F287" s="45" t="str">
        <f t="shared" si="172"/>
        <v xml:space="preserve">S/F  </v>
      </c>
      <c r="G287" s="47">
        <v>0</v>
      </c>
      <c r="H287" s="56">
        <v>0</v>
      </c>
      <c r="I287" s="47">
        <f t="shared" si="166"/>
        <v>0</v>
      </c>
      <c r="J287" s="49"/>
      <c r="K287" s="47">
        <f t="shared" si="167"/>
        <v>0</v>
      </c>
      <c r="L287" s="47">
        <v>0</v>
      </c>
      <c r="M287" s="48">
        <v>0</v>
      </c>
      <c r="N287" s="47">
        <f t="shared" si="168"/>
        <v>0</v>
      </c>
      <c r="O287" s="47"/>
      <c r="P287" s="47">
        <f t="shared" si="169"/>
        <v>0</v>
      </c>
      <c r="Q287" s="47"/>
      <c r="R287" s="49"/>
      <c r="S287" s="47">
        <f t="shared" si="170"/>
        <v>0</v>
      </c>
      <c r="T287" s="47"/>
      <c r="U287" s="47">
        <f t="shared" si="171"/>
        <v>0</v>
      </c>
      <c r="V287" s="47">
        <v>0</v>
      </c>
      <c r="W287" s="50">
        <v>0</v>
      </c>
      <c r="X287" s="47">
        <f t="shared" si="173"/>
        <v>0</v>
      </c>
      <c r="AA287" s="40">
        <f t="shared" si="174"/>
        <v>0</v>
      </c>
      <c r="AB287" s="40">
        <f t="shared" si="175"/>
        <v>0</v>
      </c>
      <c r="AC287" s="67"/>
    </row>
    <row r="288" spans="6:29" x14ac:dyDescent="0.25">
      <c r="F288" s="45" t="str">
        <f t="shared" si="172"/>
        <v xml:space="preserve">S/F  </v>
      </c>
      <c r="G288" s="47">
        <v>0</v>
      </c>
      <c r="H288" s="56">
        <v>0</v>
      </c>
      <c r="I288" s="47">
        <f t="shared" si="166"/>
        <v>0</v>
      </c>
      <c r="J288" s="49"/>
      <c r="K288" s="47">
        <f t="shared" si="167"/>
        <v>0</v>
      </c>
      <c r="L288" s="47">
        <v>0</v>
      </c>
      <c r="M288" s="48">
        <v>0</v>
      </c>
      <c r="N288" s="47">
        <f t="shared" si="168"/>
        <v>0</v>
      </c>
      <c r="O288" s="47"/>
      <c r="P288" s="47">
        <f t="shared" si="169"/>
        <v>0</v>
      </c>
      <c r="Q288" s="47"/>
      <c r="R288" s="49"/>
      <c r="S288" s="47">
        <f t="shared" si="170"/>
        <v>0</v>
      </c>
      <c r="T288" s="47"/>
      <c r="U288" s="47">
        <f t="shared" si="171"/>
        <v>0</v>
      </c>
      <c r="V288" s="47">
        <v>0</v>
      </c>
      <c r="W288" s="50">
        <v>0</v>
      </c>
      <c r="X288" s="47">
        <f t="shared" si="173"/>
        <v>0</v>
      </c>
      <c r="AA288" s="40">
        <f t="shared" si="174"/>
        <v>0</v>
      </c>
      <c r="AB288" s="40">
        <f t="shared" si="175"/>
        <v>0</v>
      </c>
      <c r="AC288" s="67"/>
    </row>
    <row r="289" spans="6:29" x14ac:dyDescent="0.25">
      <c r="F289" s="45" t="str">
        <f t="shared" si="172"/>
        <v xml:space="preserve">S/F  </v>
      </c>
      <c r="G289" s="47">
        <v>0</v>
      </c>
      <c r="H289" s="56">
        <v>0</v>
      </c>
      <c r="I289" s="47">
        <f t="shared" si="166"/>
        <v>0</v>
      </c>
      <c r="J289" s="49"/>
      <c r="K289" s="47">
        <f t="shared" si="167"/>
        <v>0</v>
      </c>
      <c r="L289" s="47">
        <v>0</v>
      </c>
      <c r="M289" s="48">
        <v>0</v>
      </c>
      <c r="N289" s="47">
        <f t="shared" si="168"/>
        <v>0</v>
      </c>
      <c r="O289" s="47"/>
      <c r="P289" s="47">
        <f t="shared" si="169"/>
        <v>0</v>
      </c>
      <c r="Q289" s="47"/>
      <c r="R289" s="49"/>
      <c r="S289" s="47">
        <f t="shared" si="170"/>
        <v>0</v>
      </c>
      <c r="T289" s="47"/>
      <c r="U289" s="47">
        <f t="shared" si="171"/>
        <v>0</v>
      </c>
      <c r="V289" s="47">
        <v>0</v>
      </c>
      <c r="W289" s="50">
        <v>0</v>
      </c>
      <c r="X289" s="47">
        <f t="shared" si="173"/>
        <v>0</v>
      </c>
      <c r="AA289" s="40">
        <f t="shared" si="174"/>
        <v>0</v>
      </c>
      <c r="AB289" s="40">
        <f t="shared" si="175"/>
        <v>0</v>
      </c>
      <c r="AC289" s="67"/>
    </row>
    <row r="290" spans="6:29" x14ac:dyDescent="0.25">
      <c r="F290" s="45" t="str">
        <f t="shared" si="172"/>
        <v xml:space="preserve">S/F  </v>
      </c>
      <c r="G290" s="47">
        <v>0</v>
      </c>
      <c r="H290" s="56">
        <v>0</v>
      </c>
      <c r="I290" s="47">
        <f t="shared" si="166"/>
        <v>0</v>
      </c>
      <c r="J290" s="49"/>
      <c r="K290" s="47">
        <f t="shared" si="167"/>
        <v>0</v>
      </c>
      <c r="L290" s="47">
        <v>0</v>
      </c>
      <c r="M290" s="48">
        <v>0</v>
      </c>
      <c r="N290" s="47">
        <f t="shared" si="168"/>
        <v>0</v>
      </c>
      <c r="O290" s="47"/>
      <c r="P290" s="47">
        <f t="shared" si="169"/>
        <v>0</v>
      </c>
      <c r="Q290" s="47"/>
      <c r="R290" s="49"/>
      <c r="S290" s="47">
        <f t="shared" si="170"/>
        <v>0</v>
      </c>
      <c r="T290" s="47"/>
      <c r="U290" s="47">
        <f t="shared" si="171"/>
        <v>0</v>
      </c>
      <c r="V290" s="47">
        <v>0</v>
      </c>
      <c r="W290" s="50">
        <v>0</v>
      </c>
      <c r="X290" s="47">
        <f t="shared" si="173"/>
        <v>0</v>
      </c>
      <c r="AA290" s="40">
        <f t="shared" si="174"/>
        <v>0</v>
      </c>
      <c r="AB290" s="40">
        <f t="shared" si="175"/>
        <v>0</v>
      </c>
      <c r="AC290" s="67"/>
    </row>
    <row r="291" spans="6:29" x14ac:dyDescent="0.25">
      <c r="F291" s="45" t="str">
        <f t="shared" si="172"/>
        <v xml:space="preserve">S/F  </v>
      </c>
      <c r="G291" s="47">
        <v>0</v>
      </c>
      <c r="H291" s="56">
        <v>0</v>
      </c>
      <c r="I291" s="47">
        <f t="shared" si="166"/>
        <v>0</v>
      </c>
      <c r="J291" s="49"/>
      <c r="K291" s="47">
        <f t="shared" si="167"/>
        <v>0</v>
      </c>
      <c r="L291" s="47">
        <v>0</v>
      </c>
      <c r="M291" s="48">
        <v>0</v>
      </c>
      <c r="N291" s="47">
        <f t="shared" si="168"/>
        <v>0</v>
      </c>
      <c r="O291" s="47"/>
      <c r="P291" s="47">
        <f t="shared" si="169"/>
        <v>0</v>
      </c>
      <c r="Q291" s="47"/>
      <c r="R291" s="49"/>
      <c r="S291" s="47">
        <f t="shared" si="170"/>
        <v>0</v>
      </c>
      <c r="T291" s="47"/>
      <c r="U291" s="47">
        <f t="shared" si="171"/>
        <v>0</v>
      </c>
      <c r="V291" s="47">
        <v>0</v>
      </c>
      <c r="W291" s="50">
        <v>0</v>
      </c>
      <c r="X291" s="47">
        <f t="shared" si="173"/>
        <v>0</v>
      </c>
      <c r="AA291" s="40">
        <f t="shared" si="174"/>
        <v>0</v>
      </c>
      <c r="AB291" s="40">
        <f t="shared" si="175"/>
        <v>0</v>
      </c>
      <c r="AC291" s="67"/>
    </row>
    <row r="292" spans="6:29" x14ac:dyDescent="0.25">
      <c r="F292" s="45" t="str">
        <f t="shared" si="172"/>
        <v xml:space="preserve">S/F  </v>
      </c>
      <c r="G292" s="47">
        <v>0</v>
      </c>
      <c r="H292" s="56">
        <v>0</v>
      </c>
      <c r="I292" s="47">
        <f t="shared" si="166"/>
        <v>0</v>
      </c>
      <c r="J292" s="49"/>
      <c r="K292" s="47">
        <f t="shared" si="167"/>
        <v>0</v>
      </c>
      <c r="L292" s="47">
        <v>0</v>
      </c>
      <c r="M292" s="48">
        <v>0</v>
      </c>
      <c r="N292" s="47">
        <f t="shared" si="168"/>
        <v>0</v>
      </c>
      <c r="O292" s="47"/>
      <c r="P292" s="47">
        <f t="shared" si="169"/>
        <v>0</v>
      </c>
      <c r="Q292" s="47"/>
      <c r="R292" s="49"/>
      <c r="S292" s="47">
        <f t="shared" si="170"/>
        <v>0</v>
      </c>
      <c r="T292" s="47"/>
      <c r="U292" s="47">
        <f t="shared" si="171"/>
        <v>0</v>
      </c>
      <c r="V292" s="47">
        <v>0</v>
      </c>
      <c r="W292" s="50">
        <v>0</v>
      </c>
      <c r="X292" s="47">
        <f t="shared" si="173"/>
        <v>0</v>
      </c>
      <c r="AA292" s="40">
        <f t="shared" si="174"/>
        <v>0</v>
      </c>
      <c r="AB292" s="40">
        <f t="shared" si="175"/>
        <v>0</v>
      </c>
      <c r="AC292" s="67"/>
    </row>
    <row r="293" spans="6:29" x14ac:dyDescent="0.25">
      <c r="F293" s="45" t="str">
        <f t="shared" si="172"/>
        <v xml:space="preserve">S/F  </v>
      </c>
      <c r="G293" s="47">
        <v>0</v>
      </c>
      <c r="H293" s="56">
        <v>0</v>
      </c>
      <c r="I293" s="47">
        <f t="shared" ref="I293:I340" si="176">+IF(G293&lt;&gt;0,G293*H293/100,0)</f>
        <v>0</v>
      </c>
      <c r="J293" s="49"/>
      <c r="K293" s="47">
        <f t="shared" ref="K293:K340" si="177">+IF(G293&lt;&gt;0,G293*J293/100,0)</f>
        <v>0</v>
      </c>
      <c r="L293" s="47">
        <v>0</v>
      </c>
      <c r="M293" s="49">
        <v>0</v>
      </c>
      <c r="N293" s="47">
        <f t="shared" ref="N293:N340" si="178">+IF(L293&lt;&gt;0,L293*M293/100,0)</f>
        <v>0</v>
      </c>
      <c r="O293" s="47"/>
      <c r="P293" s="47">
        <f t="shared" ref="P293:P340" si="179">+IF(L293&lt;&gt;0,L293*O293/100,0)</f>
        <v>0</v>
      </c>
      <c r="Q293" s="47">
        <v>0</v>
      </c>
      <c r="R293" s="48">
        <v>0</v>
      </c>
      <c r="S293" s="47">
        <f t="shared" ref="S293:S340" si="180">+IF(Q293&lt;&gt;0,Q293*R293/100,0)</f>
        <v>0</v>
      </c>
      <c r="T293" s="47"/>
      <c r="U293" s="47">
        <f t="shared" ref="U293:U340" si="181">+IF(Q293&lt;&gt;0,Q293*T293/100,0)</f>
        <v>0</v>
      </c>
      <c r="V293" s="47">
        <v>0</v>
      </c>
      <c r="W293" s="50">
        <v>0</v>
      </c>
      <c r="X293" s="47">
        <f t="shared" si="173"/>
        <v>0</v>
      </c>
      <c r="AA293" s="40">
        <f t="shared" si="174"/>
        <v>0</v>
      </c>
      <c r="AB293" s="40">
        <f t="shared" si="175"/>
        <v>0</v>
      </c>
      <c r="AC293" s="67"/>
    </row>
    <row r="294" spans="6:29" x14ac:dyDescent="0.25">
      <c r="F294" s="45" t="str">
        <f t="shared" si="172"/>
        <v xml:space="preserve">S/F  </v>
      </c>
      <c r="G294" s="47">
        <v>0</v>
      </c>
      <c r="H294" s="56">
        <v>0</v>
      </c>
      <c r="I294" s="47">
        <f t="shared" si="176"/>
        <v>0</v>
      </c>
      <c r="J294" s="49"/>
      <c r="K294" s="47">
        <f t="shared" si="177"/>
        <v>0</v>
      </c>
      <c r="L294" s="47">
        <v>0</v>
      </c>
      <c r="M294" s="49">
        <v>0</v>
      </c>
      <c r="N294" s="47">
        <f t="shared" si="178"/>
        <v>0</v>
      </c>
      <c r="O294" s="47"/>
      <c r="P294" s="47">
        <f t="shared" si="179"/>
        <v>0</v>
      </c>
      <c r="Q294" s="47">
        <v>0</v>
      </c>
      <c r="R294" s="48">
        <v>0</v>
      </c>
      <c r="S294" s="47">
        <f t="shared" si="180"/>
        <v>0</v>
      </c>
      <c r="T294" s="47"/>
      <c r="U294" s="47">
        <f t="shared" si="181"/>
        <v>0</v>
      </c>
      <c r="V294" s="47">
        <v>0</v>
      </c>
      <c r="W294" s="50">
        <v>0</v>
      </c>
      <c r="X294" s="47">
        <f t="shared" si="173"/>
        <v>0</v>
      </c>
      <c r="AA294" s="40">
        <f t="shared" si="174"/>
        <v>0</v>
      </c>
      <c r="AB294" s="40">
        <f t="shared" si="175"/>
        <v>0</v>
      </c>
      <c r="AC294" s="67"/>
    </row>
    <row r="295" spans="6:29" x14ac:dyDescent="0.25">
      <c r="F295" s="45" t="str">
        <f t="shared" si="172"/>
        <v xml:space="preserve">S/F  </v>
      </c>
      <c r="G295" s="47">
        <v>0</v>
      </c>
      <c r="H295" s="56">
        <v>0</v>
      </c>
      <c r="I295" s="47">
        <f t="shared" si="176"/>
        <v>0</v>
      </c>
      <c r="J295" s="49"/>
      <c r="K295" s="47">
        <f t="shared" si="177"/>
        <v>0</v>
      </c>
      <c r="L295" s="47">
        <v>0</v>
      </c>
      <c r="M295" s="49">
        <v>0</v>
      </c>
      <c r="N295" s="47">
        <f t="shared" si="178"/>
        <v>0</v>
      </c>
      <c r="O295" s="47"/>
      <c r="P295" s="47">
        <f t="shared" si="179"/>
        <v>0</v>
      </c>
      <c r="Q295" s="47">
        <v>0</v>
      </c>
      <c r="R295" s="48">
        <v>0</v>
      </c>
      <c r="S295" s="47">
        <f t="shared" si="180"/>
        <v>0</v>
      </c>
      <c r="T295" s="47"/>
      <c r="U295" s="47">
        <f t="shared" si="181"/>
        <v>0</v>
      </c>
      <c r="V295" s="47">
        <v>0</v>
      </c>
      <c r="W295" s="50">
        <v>0</v>
      </c>
      <c r="X295" s="47">
        <f t="shared" si="173"/>
        <v>0</v>
      </c>
      <c r="AA295" s="40">
        <f t="shared" si="174"/>
        <v>0</v>
      </c>
      <c r="AB295" s="40">
        <f t="shared" si="175"/>
        <v>0</v>
      </c>
      <c r="AC295" s="67"/>
    </row>
    <row r="296" spans="6:29" x14ac:dyDescent="0.25">
      <c r="F296" s="45" t="str">
        <f t="shared" si="172"/>
        <v xml:space="preserve">S/F  </v>
      </c>
      <c r="G296" s="47">
        <v>0</v>
      </c>
      <c r="H296" s="56">
        <v>0</v>
      </c>
      <c r="I296" s="47">
        <f t="shared" si="176"/>
        <v>0</v>
      </c>
      <c r="J296" s="49"/>
      <c r="K296" s="47">
        <f t="shared" si="177"/>
        <v>0</v>
      </c>
      <c r="L296" s="47">
        <v>0</v>
      </c>
      <c r="M296" s="49">
        <v>0</v>
      </c>
      <c r="N296" s="47">
        <f t="shared" si="178"/>
        <v>0</v>
      </c>
      <c r="O296" s="47"/>
      <c r="P296" s="47">
        <f t="shared" si="179"/>
        <v>0</v>
      </c>
      <c r="Q296" s="47">
        <v>0</v>
      </c>
      <c r="R296" s="48">
        <v>0</v>
      </c>
      <c r="S296" s="47">
        <f t="shared" si="180"/>
        <v>0</v>
      </c>
      <c r="T296" s="47"/>
      <c r="U296" s="47">
        <f t="shared" si="181"/>
        <v>0</v>
      </c>
      <c r="V296" s="47">
        <v>0</v>
      </c>
      <c r="W296" s="50">
        <v>0</v>
      </c>
      <c r="X296" s="47">
        <f t="shared" si="173"/>
        <v>0</v>
      </c>
      <c r="AA296" s="40">
        <f t="shared" si="174"/>
        <v>0</v>
      </c>
      <c r="AB296" s="40">
        <f t="shared" si="175"/>
        <v>0</v>
      </c>
      <c r="AC296" s="67"/>
    </row>
    <row r="297" spans="6:29" x14ac:dyDescent="0.25">
      <c r="F297" s="45" t="str">
        <f t="shared" si="172"/>
        <v xml:space="preserve">S/F  </v>
      </c>
      <c r="G297" s="47">
        <v>0</v>
      </c>
      <c r="H297" s="56">
        <v>0</v>
      </c>
      <c r="I297" s="47">
        <f t="shared" si="176"/>
        <v>0</v>
      </c>
      <c r="J297" s="49"/>
      <c r="K297" s="47">
        <f t="shared" si="177"/>
        <v>0</v>
      </c>
      <c r="L297" s="47">
        <v>0</v>
      </c>
      <c r="M297" s="49">
        <v>0</v>
      </c>
      <c r="N297" s="47">
        <f t="shared" si="178"/>
        <v>0</v>
      </c>
      <c r="O297" s="47"/>
      <c r="P297" s="47">
        <f t="shared" si="179"/>
        <v>0</v>
      </c>
      <c r="Q297" s="47">
        <v>0</v>
      </c>
      <c r="R297" s="48">
        <v>0</v>
      </c>
      <c r="S297" s="47">
        <f t="shared" si="180"/>
        <v>0</v>
      </c>
      <c r="T297" s="47"/>
      <c r="U297" s="47">
        <f t="shared" si="181"/>
        <v>0</v>
      </c>
      <c r="V297" s="47">
        <v>0</v>
      </c>
      <c r="W297" s="50">
        <v>0</v>
      </c>
      <c r="X297" s="47">
        <f t="shared" si="173"/>
        <v>0</v>
      </c>
      <c r="AA297" s="40">
        <f t="shared" si="174"/>
        <v>0</v>
      </c>
      <c r="AB297" s="40">
        <f t="shared" si="175"/>
        <v>0</v>
      </c>
      <c r="AC297" s="67"/>
    </row>
    <row r="298" spans="6:29" x14ac:dyDescent="0.25">
      <c r="F298" s="45" t="str">
        <f t="shared" si="172"/>
        <v xml:space="preserve">S/F  </v>
      </c>
      <c r="G298" s="47">
        <v>0</v>
      </c>
      <c r="H298" s="56">
        <v>0</v>
      </c>
      <c r="I298" s="47">
        <f t="shared" si="176"/>
        <v>0</v>
      </c>
      <c r="J298" s="49"/>
      <c r="K298" s="47">
        <f t="shared" si="177"/>
        <v>0</v>
      </c>
      <c r="L298" s="47">
        <v>0</v>
      </c>
      <c r="M298" s="49">
        <v>0</v>
      </c>
      <c r="N298" s="47">
        <f t="shared" si="178"/>
        <v>0</v>
      </c>
      <c r="O298" s="47"/>
      <c r="P298" s="47">
        <f t="shared" si="179"/>
        <v>0</v>
      </c>
      <c r="Q298" s="47">
        <v>0</v>
      </c>
      <c r="R298" s="48">
        <v>0</v>
      </c>
      <c r="S298" s="47">
        <f t="shared" si="180"/>
        <v>0</v>
      </c>
      <c r="T298" s="47"/>
      <c r="U298" s="47">
        <f t="shared" si="181"/>
        <v>0</v>
      </c>
      <c r="V298" s="47">
        <v>0</v>
      </c>
      <c r="W298" s="50">
        <v>0</v>
      </c>
      <c r="X298" s="47">
        <f t="shared" si="173"/>
        <v>0</v>
      </c>
      <c r="AA298" s="40">
        <f t="shared" si="174"/>
        <v>0</v>
      </c>
      <c r="AB298" s="40">
        <f t="shared" si="175"/>
        <v>0</v>
      </c>
      <c r="AC298" s="67"/>
    </row>
    <row r="299" spans="6:29" x14ac:dyDescent="0.25">
      <c r="F299" s="45" t="str">
        <f t="shared" si="172"/>
        <v xml:space="preserve">S/F  </v>
      </c>
      <c r="G299" s="47">
        <v>0</v>
      </c>
      <c r="H299" s="56">
        <v>0</v>
      </c>
      <c r="I299" s="47">
        <f t="shared" si="176"/>
        <v>0</v>
      </c>
      <c r="J299" s="49"/>
      <c r="K299" s="47">
        <f t="shared" si="177"/>
        <v>0</v>
      </c>
      <c r="L299" s="47">
        <v>0</v>
      </c>
      <c r="M299" s="49">
        <v>0</v>
      </c>
      <c r="N299" s="47">
        <f t="shared" si="178"/>
        <v>0</v>
      </c>
      <c r="O299" s="47"/>
      <c r="P299" s="47">
        <f t="shared" si="179"/>
        <v>0</v>
      </c>
      <c r="Q299" s="47">
        <v>0</v>
      </c>
      <c r="R299" s="48">
        <v>0</v>
      </c>
      <c r="S299" s="47">
        <f t="shared" si="180"/>
        <v>0</v>
      </c>
      <c r="T299" s="47"/>
      <c r="U299" s="47">
        <f t="shared" si="181"/>
        <v>0</v>
      </c>
      <c r="V299" s="47">
        <v>0</v>
      </c>
      <c r="W299" s="50">
        <v>0</v>
      </c>
      <c r="X299" s="47">
        <f t="shared" si="173"/>
        <v>0</v>
      </c>
      <c r="AA299" s="40">
        <f t="shared" si="174"/>
        <v>0</v>
      </c>
      <c r="AB299" s="40">
        <f t="shared" si="175"/>
        <v>0</v>
      </c>
      <c r="AC299" s="67"/>
    </row>
    <row r="300" spans="6:29" x14ac:dyDescent="0.25">
      <c r="F300" s="45" t="str">
        <f t="shared" si="172"/>
        <v xml:space="preserve">S/F  </v>
      </c>
      <c r="G300" s="47">
        <v>0</v>
      </c>
      <c r="H300" s="56">
        <v>0</v>
      </c>
      <c r="I300" s="47">
        <f t="shared" si="176"/>
        <v>0</v>
      </c>
      <c r="J300" s="49"/>
      <c r="K300" s="47">
        <f t="shared" si="177"/>
        <v>0</v>
      </c>
      <c r="L300" s="47">
        <v>0</v>
      </c>
      <c r="M300" s="49">
        <v>0</v>
      </c>
      <c r="N300" s="47">
        <f t="shared" si="178"/>
        <v>0</v>
      </c>
      <c r="O300" s="47"/>
      <c r="P300" s="47">
        <f t="shared" si="179"/>
        <v>0</v>
      </c>
      <c r="Q300" s="47">
        <v>0</v>
      </c>
      <c r="R300" s="48">
        <v>0</v>
      </c>
      <c r="S300" s="47">
        <f t="shared" si="180"/>
        <v>0</v>
      </c>
      <c r="T300" s="47"/>
      <c r="U300" s="47">
        <f t="shared" si="181"/>
        <v>0</v>
      </c>
      <c r="V300" s="47">
        <v>0</v>
      </c>
      <c r="W300" s="50">
        <v>0</v>
      </c>
      <c r="X300" s="47">
        <f t="shared" si="173"/>
        <v>0</v>
      </c>
      <c r="AA300" s="40">
        <f t="shared" si="174"/>
        <v>0</v>
      </c>
      <c r="AB300" s="40">
        <f t="shared" si="175"/>
        <v>0</v>
      </c>
      <c r="AC300" s="67"/>
    </row>
    <row r="301" spans="6:29" x14ac:dyDescent="0.25">
      <c r="F301" s="45" t="str">
        <f t="shared" si="172"/>
        <v xml:space="preserve">S/F  </v>
      </c>
      <c r="G301" s="47">
        <v>0</v>
      </c>
      <c r="H301" s="56">
        <v>0</v>
      </c>
      <c r="I301" s="47">
        <f t="shared" si="176"/>
        <v>0</v>
      </c>
      <c r="J301" s="49"/>
      <c r="K301" s="47">
        <f t="shared" si="177"/>
        <v>0</v>
      </c>
      <c r="L301" s="47">
        <v>0</v>
      </c>
      <c r="M301" s="49">
        <v>0</v>
      </c>
      <c r="N301" s="47">
        <f t="shared" si="178"/>
        <v>0</v>
      </c>
      <c r="O301" s="47"/>
      <c r="P301" s="47">
        <f t="shared" si="179"/>
        <v>0</v>
      </c>
      <c r="Q301" s="47">
        <v>0</v>
      </c>
      <c r="R301" s="48">
        <v>0</v>
      </c>
      <c r="S301" s="47">
        <f t="shared" si="180"/>
        <v>0</v>
      </c>
      <c r="T301" s="47"/>
      <c r="U301" s="47">
        <f t="shared" si="181"/>
        <v>0</v>
      </c>
      <c r="V301" s="47">
        <v>0</v>
      </c>
      <c r="W301" s="50">
        <v>0</v>
      </c>
      <c r="X301" s="47">
        <f t="shared" si="173"/>
        <v>0</v>
      </c>
      <c r="AA301" s="40">
        <f t="shared" si="174"/>
        <v>0</v>
      </c>
      <c r="AB301" s="40">
        <f t="shared" si="175"/>
        <v>0</v>
      </c>
      <c r="AC301" s="67"/>
    </row>
    <row r="302" spans="6:29" x14ac:dyDescent="0.25">
      <c r="F302" s="45" t="str">
        <f t="shared" si="172"/>
        <v xml:space="preserve">S/F  </v>
      </c>
      <c r="G302" s="47">
        <v>0</v>
      </c>
      <c r="H302" s="56">
        <v>0</v>
      </c>
      <c r="I302" s="47">
        <f t="shared" si="176"/>
        <v>0</v>
      </c>
      <c r="J302" s="49"/>
      <c r="K302" s="47">
        <f t="shared" si="177"/>
        <v>0</v>
      </c>
      <c r="L302" s="47">
        <v>0</v>
      </c>
      <c r="M302" s="49">
        <v>0</v>
      </c>
      <c r="N302" s="47">
        <f t="shared" si="178"/>
        <v>0</v>
      </c>
      <c r="O302" s="47"/>
      <c r="P302" s="47">
        <f t="shared" si="179"/>
        <v>0</v>
      </c>
      <c r="Q302" s="47">
        <v>0</v>
      </c>
      <c r="R302" s="48">
        <v>0</v>
      </c>
      <c r="S302" s="47">
        <f t="shared" si="180"/>
        <v>0</v>
      </c>
      <c r="T302" s="47"/>
      <c r="U302" s="47">
        <f t="shared" si="181"/>
        <v>0</v>
      </c>
      <c r="V302" s="47">
        <v>0</v>
      </c>
      <c r="W302" s="50">
        <v>0</v>
      </c>
      <c r="X302" s="47">
        <f t="shared" si="173"/>
        <v>0</v>
      </c>
      <c r="AA302" s="40">
        <f t="shared" si="174"/>
        <v>0</v>
      </c>
      <c r="AB302" s="40">
        <f t="shared" si="175"/>
        <v>0</v>
      </c>
      <c r="AC302" s="67"/>
    </row>
    <row r="303" spans="6:29" x14ac:dyDescent="0.25">
      <c r="F303" s="45" t="str">
        <f t="shared" si="172"/>
        <v xml:space="preserve">S/F  </v>
      </c>
      <c r="G303" s="47">
        <v>0</v>
      </c>
      <c r="H303" s="56">
        <v>0</v>
      </c>
      <c r="I303" s="47">
        <f t="shared" si="176"/>
        <v>0</v>
      </c>
      <c r="J303" s="49"/>
      <c r="K303" s="47">
        <f t="shared" si="177"/>
        <v>0</v>
      </c>
      <c r="L303" s="47">
        <v>0</v>
      </c>
      <c r="M303" s="49">
        <v>0</v>
      </c>
      <c r="N303" s="47">
        <f t="shared" si="178"/>
        <v>0</v>
      </c>
      <c r="O303" s="47"/>
      <c r="P303" s="47">
        <f t="shared" si="179"/>
        <v>0</v>
      </c>
      <c r="Q303" s="47">
        <v>0</v>
      </c>
      <c r="R303" s="48">
        <v>0</v>
      </c>
      <c r="S303" s="47">
        <f t="shared" si="180"/>
        <v>0</v>
      </c>
      <c r="T303" s="47"/>
      <c r="U303" s="47">
        <f t="shared" si="181"/>
        <v>0</v>
      </c>
      <c r="V303" s="47">
        <v>0</v>
      </c>
      <c r="W303" s="50">
        <v>0</v>
      </c>
      <c r="X303" s="47">
        <f t="shared" si="173"/>
        <v>0</v>
      </c>
      <c r="AA303" s="40">
        <f t="shared" si="174"/>
        <v>0</v>
      </c>
      <c r="AB303" s="40">
        <f t="shared" si="175"/>
        <v>0</v>
      </c>
      <c r="AC303" s="67"/>
    </row>
    <row r="304" spans="6:29" x14ac:dyDescent="0.25">
      <c r="F304" s="45" t="str">
        <f t="shared" si="172"/>
        <v xml:space="preserve">S/F  </v>
      </c>
      <c r="G304" s="47">
        <v>0</v>
      </c>
      <c r="H304" s="56">
        <v>0</v>
      </c>
      <c r="I304" s="47">
        <f t="shared" si="176"/>
        <v>0</v>
      </c>
      <c r="J304" s="49"/>
      <c r="K304" s="47">
        <f t="shared" si="177"/>
        <v>0</v>
      </c>
      <c r="L304" s="47">
        <v>0</v>
      </c>
      <c r="M304" s="49">
        <v>0</v>
      </c>
      <c r="N304" s="47">
        <f t="shared" si="178"/>
        <v>0</v>
      </c>
      <c r="O304" s="47"/>
      <c r="P304" s="47">
        <f t="shared" si="179"/>
        <v>0</v>
      </c>
      <c r="Q304" s="47">
        <v>0</v>
      </c>
      <c r="R304" s="48">
        <v>0</v>
      </c>
      <c r="S304" s="47">
        <f t="shared" si="180"/>
        <v>0</v>
      </c>
      <c r="T304" s="47"/>
      <c r="U304" s="47">
        <f t="shared" si="181"/>
        <v>0</v>
      </c>
      <c r="V304" s="47">
        <v>0</v>
      </c>
      <c r="W304" s="50">
        <v>0</v>
      </c>
      <c r="X304" s="47">
        <f t="shared" si="173"/>
        <v>0</v>
      </c>
      <c r="AA304" s="40">
        <f t="shared" si="174"/>
        <v>0</v>
      </c>
      <c r="AB304" s="40">
        <f t="shared" si="175"/>
        <v>0</v>
      </c>
      <c r="AC304" s="67"/>
    </row>
    <row r="305" spans="6:29" x14ac:dyDescent="0.25">
      <c r="F305" s="45" t="str">
        <f t="shared" si="172"/>
        <v xml:space="preserve">S/F  </v>
      </c>
      <c r="G305" s="47">
        <v>0</v>
      </c>
      <c r="H305" s="56">
        <v>0</v>
      </c>
      <c r="I305" s="47">
        <f t="shared" si="176"/>
        <v>0</v>
      </c>
      <c r="J305" s="49"/>
      <c r="K305" s="47">
        <f t="shared" si="177"/>
        <v>0</v>
      </c>
      <c r="L305" s="47">
        <v>0</v>
      </c>
      <c r="M305" s="49">
        <v>0</v>
      </c>
      <c r="N305" s="47">
        <f t="shared" si="178"/>
        <v>0</v>
      </c>
      <c r="O305" s="47"/>
      <c r="P305" s="47">
        <f t="shared" si="179"/>
        <v>0</v>
      </c>
      <c r="Q305" s="47">
        <v>0</v>
      </c>
      <c r="R305" s="48">
        <v>0</v>
      </c>
      <c r="S305" s="47">
        <f t="shared" si="180"/>
        <v>0</v>
      </c>
      <c r="T305" s="47"/>
      <c r="U305" s="47">
        <f t="shared" si="181"/>
        <v>0</v>
      </c>
      <c r="V305" s="47">
        <v>0</v>
      </c>
      <c r="W305" s="50">
        <v>0</v>
      </c>
      <c r="X305" s="47">
        <f t="shared" si="173"/>
        <v>0</v>
      </c>
      <c r="AA305" s="40">
        <f t="shared" si="174"/>
        <v>0</v>
      </c>
      <c r="AB305" s="40">
        <f t="shared" si="175"/>
        <v>0</v>
      </c>
      <c r="AC305" s="67"/>
    </row>
    <row r="306" spans="6:29" x14ac:dyDescent="0.25">
      <c r="F306" s="45" t="str">
        <f t="shared" si="172"/>
        <v xml:space="preserve">S/F  </v>
      </c>
      <c r="G306" s="47">
        <v>0</v>
      </c>
      <c r="H306" s="56">
        <v>0</v>
      </c>
      <c r="I306" s="47">
        <f t="shared" si="176"/>
        <v>0</v>
      </c>
      <c r="J306" s="49"/>
      <c r="K306" s="47">
        <f t="shared" si="177"/>
        <v>0</v>
      </c>
      <c r="L306" s="47">
        <v>0</v>
      </c>
      <c r="M306" s="49">
        <v>0</v>
      </c>
      <c r="N306" s="47">
        <f t="shared" si="178"/>
        <v>0</v>
      </c>
      <c r="O306" s="47"/>
      <c r="P306" s="47">
        <f t="shared" si="179"/>
        <v>0</v>
      </c>
      <c r="Q306" s="47">
        <v>0</v>
      </c>
      <c r="R306" s="48">
        <v>0</v>
      </c>
      <c r="S306" s="47">
        <f t="shared" si="180"/>
        <v>0</v>
      </c>
      <c r="T306" s="47"/>
      <c r="U306" s="47">
        <f t="shared" si="181"/>
        <v>0</v>
      </c>
      <c r="V306" s="47">
        <v>0</v>
      </c>
      <c r="W306" s="50">
        <v>0</v>
      </c>
      <c r="X306" s="47">
        <f t="shared" si="173"/>
        <v>0</v>
      </c>
      <c r="AA306" s="40">
        <f t="shared" si="174"/>
        <v>0</v>
      </c>
      <c r="AB306" s="40">
        <f t="shared" si="175"/>
        <v>0</v>
      </c>
      <c r="AC306" s="67"/>
    </row>
    <row r="307" spans="6:29" x14ac:dyDescent="0.25">
      <c r="F307" s="45" t="str">
        <f t="shared" si="172"/>
        <v xml:space="preserve">S/F  </v>
      </c>
      <c r="G307" s="47">
        <v>0</v>
      </c>
      <c r="H307" s="56">
        <v>0</v>
      </c>
      <c r="I307" s="47">
        <f t="shared" si="176"/>
        <v>0</v>
      </c>
      <c r="J307" s="49"/>
      <c r="K307" s="47">
        <f t="shared" si="177"/>
        <v>0</v>
      </c>
      <c r="L307" s="47">
        <v>0</v>
      </c>
      <c r="M307" s="49">
        <v>0</v>
      </c>
      <c r="N307" s="47">
        <f t="shared" si="178"/>
        <v>0</v>
      </c>
      <c r="O307" s="47"/>
      <c r="P307" s="47">
        <f t="shared" si="179"/>
        <v>0</v>
      </c>
      <c r="Q307" s="47">
        <v>0</v>
      </c>
      <c r="R307" s="48">
        <v>0</v>
      </c>
      <c r="S307" s="47">
        <f t="shared" si="180"/>
        <v>0</v>
      </c>
      <c r="T307" s="47"/>
      <c r="U307" s="47">
        <f t="shared" si="181"/>
        <v>0</v>
      </c>
      <c r="V307" s="47">
        <v>0</v>
      </c>
      <c r="W307" s="50">
        <v>0</v>
      </c>
      <c r="X307" s="47">
        <f t="shared" si="173"/>
        <v>0</v>
      </c>
      <c r="AA307" s="40">
        <f t="shared" si="174"/>
        <v>0</v>
      </c>
      <c r="AB307" s="40">
        <f t="shared" si="175"/>
        <v>0</v>
      </c>
      <c r="AC307" s="67"/>
    </row>
    <row r="308" spans="6:29" x14ac:dyDescent="0.25">
      <c r="F308" s="45" t="str">
        <f t="shared" si="172"/>
        <v xml:space="preserve">S/F  </v>
      </c>
      <c r="G308" s="47">
        <v>0</v>
      </c>
      <c r="H308" s="56">
        <v>0</v>
      </c>
      <c r="I308" s="47">
        <f t="shared" si="176"/>
        <v>0</v>
      </c>
      <c r="J308" s="49"/>
      <c r="K308" s="47">
        <f t="shared" si="177"/>
        <v>0</v>
      </c>
      <c r="L308" s="47">
        <v>0</v>
      </c>
      <c r="M308" s="49">
        <v>0</v>
      </c>
      <c r="N308" s="47">
        <f t="shared" si="178"/>
        <v>0</v>
      </c>
      <c r="O308" s="47"/>
      <c r="P308" s="47">
        <f t="shared" si="179"/>
        <v>0</v>
      </c>
      <c r="Q308" s="47">
        <v>0</v>
      </c>
      <c r="R308" s="48">
        <v>0</v>
      </c>
      <c r="S308" s="47">
        <f t="shared" si="180"/>
        <v>0</v>
      </c>
      <c r="T308" s="47"/>
      <c r="U308" s="47">
        <f t="shared" si="181"/>
        <v>0</v>
      </c>
      <c r="V308" s="47">
        <v>0</v>
      </c>
      <c r="W308" s="50">
        <v>0</v>
      </c>
      <c r="X308" s="47">
        <f t="shared" si="173"/>
        <v>0</v>
      </c>
      <c r="AA308" s="40">
        <f t="shared" si="174"/>
        <v>0</v>
      </c>
      <c r="AB308" s="40">
        <f t="shared" si="175"/>
        <v>0</v>
      </c>
      <c r="AC308" s="67"/>
    </row>
    <row r="309" spans="6:29" x14ac:dyDescent="0.25">
      <c r="F309" s="45" t="str">
        <f t="shared" si="172"/>
        <v xml:space="preserve">S/F  </v>
      </c>
      <c r="G309" s="47">
        <v>0</v>
      </c>
      <c r="H309" s="56">
        <v>0</v>
      </c>
      <c r="I309" s="47">
        <f t="shared" si="176"/>
        <v>0</v>
      </c>
      <c r="J309" s="49"/>
      <c r="K309" s="47">
        <f t="shared" si="177"/>
        <v>0</v>
      </c>
      <c r="L309" s="47">
        <v>0</v>
      </c>
      <c r="M309" s="49">
        <v>0</v>
      </c>
      <c r="N309" s="47">
        <f t="shared" si="178"/>
        <v>0</v>
      </c>
      <c r="O309" s="47"/>
      <c r="P309" s="47">
        <f t="shared" si="179"/>
        <v>0</v>
      </c>
      <c r="Q309" s="47">
        <v>0</v>
      </c>
      <c r="R309" s="48">
        <v>0</v>
      </c>
      <c r="S309" s="47">
        <f t="shared" si="180"/>
        <v>0</v>
      </c>
      <c r="T309" s="47"/>
      <c r="U309" s="47">
        <f t="shared" si="181"/>
        <v>0</v>
      </c>
      <c r="V309" s="47">
        <v>0</v>
      </c>
      <c r="W309" s="50">
        <v>0</v>
      </c>
      <c r="X309" s="47">
        <f t="shared" si="173"/>
        <v>0</v>
      </c>
      <c r="AA309" s="40">
        <f t="shared" si="174"/>
        <v>0</v>
      </c>
      <c r="AB309" s="40">
        <f t="shared" si="175"/>
        <v>0</v>
      </c>
      <c r="AC309" s="67"/>
    </row>
    <row r="310" spans="6:29" x14ac:dyDescent="0.25">
      <c r="F310" s="45" t="str">
        <f t="shared" si="172"/>
        <v xml:space="preserve">S/F  </v>
      </c>
      <c r="G310" s="47">
        <v>0</v>
      </c>
      <c r="H310" s="56">
        <v>0</v>
      </c>
      <c r="I310" s="47">
        <f t="shared" si="176"/>
        <v>0</v>
      </c>
      <c r="J310" s="49"/>
      <c r="K310" s="47">
        <f t="shared" si="177"/>
        <v>0</v>
      </c>
      <c r="L310" s="47">
        <v>0</v>
      </c>
      <c r="M310" s="49">
        <v>0</v>
      </c>
      <c r="N310" s="47">
        <f t="shared" si="178"/>
        <v>0</v>
      </c>
      <c r="O310" s="47"/>
      <c r="P310" s="47">
        <f t="shared" si="179"/>
        <v>0</v>
      </c>
      <c r="Q310" s="47">
        <v>0</v>
      </c>
      <c r="R310" s="48">
        <v>0</v>
      </c>
      <c r="S310" s="47">
        <f t="shared" si="180"/>
        <v>0</v>
      </c>
      <c r="T310" s="47"/>
      <c r="U310" s="47">
        <f t="shared" si="181"/>
        <v>0</v>
      </c>
      <c r="V310" s="47">
        <v>0</v>
      </c>
      <c r="W310" s="50">
        <v>0</v>
      </c>
      <c r="X310" s="47">
        <f t="shared" si="173"/>
        <v>0</v>
      </c>
      <c r="AA310" s="40">
        <f t="shared" si="174"/>
        <v>0</v>
      </c>
      <c r="AB310" s="40">
        <f t="shared" si="175"/>
        <v>0</v>
      </c>
      <c r="AC310" s="67"/>
    </row>
    <row r="311" spans="6:29" x14ac:dyDescent="0.25">
      <c r="F311" s="45" t="str">
        <f t="shared" si="172"/>
        <v xml:space="preserve">S/F  </v>
      </c>
      <c r="G311" s="47">
        <v>0</v>
      </c>
      <c r="H311" s="56">
        <v>0</v>
      </c>
      <c r="I311" s="47">
        <f t="shared" si="176"/>
        <v>0</v>
      </c>
      <c r="J311" s="49"/>
      <c r="K311" s="47">
        <f t="shared" si="177"/>
        <v>0</v>
      </c>
      <c r="L311" s="47">
        <v>0</v>
      </c>
      <c r="M311" s="49">
        <v>0</v>
      </c>
      <c r="N311" s="47">
        <f t="shared" si="178"/>
        <v>0</v>
      </c>
      <c r="O311" s="47"/>
      <c r="P311" s="47">
        <f t="shared" si="179"/>
        <v>0</v>
      </c>
      <c r="Q311" s="47">
        <v>0</v>
      </c>
      <c r="R311" s="48">
        <v>0</v>
      </c>
      <c r="S311" s="47">
        <f t="shared" si="180"/>
        <v>0</v>
      </c>
      <c r="T311" s="47"/>
      <c r="U311" s="47">
        <f t="shared" si="181"/>
        <v>0</v>
      </c>
      <c r="V311" s="47">
        <v>0</v>
      </c>
      <c r="W311" s="50">
        <v>0</v>
      </c>
      <c r="X311" s="47">
        <f t="shared" si="173"/>
        <v>0</v>
      </c>
      <c r="AA311" s="40">
        <f t="shared" si="174"/>
        <v>0</v>
      </c>
      <c r="AB311" s="40">
        <f t="shared" si="175"/>
        <v>0</v>
      </c>
      <c r="AC311" s="67"/>
    </row>
    <row r="312" spans="6:29" x14ac:dyDescent="0.25">
      <c r="F312" s="45" t="str">
        <f t="shared" si="172"/>
        <v xml:space="preserve">S/F  </v>
      </c>
      <c r="G312" s="47">
        <v>0</v>
      </c>
      <c r="H312" s="56">
        <v>0</v>
      </c>
      <c r="I312" s="47">
        <f t="shared" si="176"/>
        <v>0</v>
      </c>
      <c r="J312" s="49"/>
      <c r="K312" s="47">
        <f t="shared" si="177"/>
        <v>0</v>
      </c>
      <c r="L312" s="47">
        <v>0</v>
      </c>
      <c r="M312" s="49">
        <v>0</v>
      </c>
      <c r="N312" s="47">
        <f t="shared" si="178"/>
        <v>0</v>
      </c>
      <c r="O312" s="47"/>
      <c r="P312" s="47">
        <f t="shared" si="179"/>
        <v>0</v>
      </c>
      <c r="Q312" s="47">
        <v>0</v>
      </c>
      <c r="R312" s="48">
        <v>0</v>
      </c>
      <c r="S312" s="47">
        <f t="shared" si="180"/>
        <v>0</v>
      </c>
      <c r="T312" s="47"/>
      <c r="U312" s="47">
        <f t="shared" si="181"/>
        <v>0</v>
      </c>
      <c r="V312" s="47">
        <v>0</v>
      </c>
      <c r="W312" s="50">
        <v>0</v>
      </c>
      <c r="X312" s="47">
        <f t="shared" si="173"/>
        <v>0</v>
      </c>
      <c r="AA312" s="40">
        <f t="shared" si="174"/>
        <v>0</v>
      </c>
      <c r="AB312" s="40">
        <f t="shared" si="175"/>
        <v>0</v>
      </c>
      <c r="AC312" s="67"/>
    </row>
    <row r="313" spans="6:29" x14ac:dyDescent="0.25">
      <c r="F313" s="45" t="str">
        <f t="shared" si="172"/>
        <v xml:space="preserve">S/F  </v>
      </c>
      <c r="G313" s="47">
        <v>0</v>
      </c>
      <c r="H313" s="56">
        <v>0</v>
      </c>
      <c r="I313" s="47">
        <f t="shared" si="176"/>
        <v>0</v>
      </c>
      <c r="J313" s="49"/>
      <c r="K313" s="47">
        <f t="shared" si="177"/>
        <v>0</v>
      </c>
      <c r="L313" s="47">
        <v>0</v>
      </c>
      <c r="M313" s="49">
        <v>0</v>
      </c>
      <c r="N313" s="47">
        <f t="shared" si="178"/>
        <v>0</v>
      </c>
      <c r="O313" s="47"/>
      <c r="P313" s="47">
        <f t="shared" si="179"/>
        <v>0</v>
      </c>
      <c r="Q313" s="47">
        <v>0</v>
      </c>
      <c r="R313" s="48">
        <v>0</v>
      </c>
      <c r="S313" s="47">
        <f t="shared" si="180"/>
        <v>0</v>
      </c>
      <c r="T313" s="47"/>
      <c r="U313" s="47">
        <f t="shared" si="181"/>
        <v>0</v>
      </c>
      <c r="V313" s="47">
        <v>0</v>
      </c>
      <c r="W313" s="50">
        <v>0</v>
      </c>
      <c r="X313" s="47">
        <f t="shared" si="173"/>
        <v>0</v>
      </c>
      <c r="AA313" s="40">
        <f t="shared" si="174"/>
        <v>0</v>
      </c>
      <c r="AB313" s="40">
        <f t="shared" si="175"/>
        <v>0</v>
      </c>
      <c r="AC313" s="67"/>
    </row>
    <row r="314" spans="6:29" x14ac:dyDescent="0.25">
      <c r="F314" s="45" t="str">
        <f t="shared" si="172"/>
        <v xml:space="preserve">S/F  </v>
      </c>
      <c r="G314" s="47">
        <v>0</v>
      </c>
      <c r="H314" s="56">
        <v>0</v>
      </c>
      <c r="I314" s="47">
        <f t="shared" si="176"/>
        <v>0</v>
      </c>
      <c r="J314" s="49"/>
      <c r="K314" s="47">
        <f t="shared" si="177"/>
        <v>0</v>
      </c>
      <c r="L314" s="47">
        <v>0</v>
      </c>
      <c r="M314" s="49">
        <v>0</v>
      </c>
      <c r="N314" s="47">
        <f t="shared" si="178"/>
        <v>0</v>
      </c>
      <c r="O314" s="47"/>
      <c r="P314" s="47">
        <f t="shared" si="179"/>
        <v>0</v>
      </c>
      <c r="Q314" s="47">
        <v>0</v>
      </c>
      <c r="R314" s="48">
        <v>0</v>
      </c>
      <c r="S314" s="47">
        <f t="shared" si="180"/>
        <v>0</v>
      </c>
      <c r="T314" s="47"/>
      <c r="U314" s="47">
        <f t="shared" si="181"/>
        <v>0</v>
      </c>
      <c r="V314" s="47">
        <v>0</v>
      </c>
      <c r="W314" s="50">
        <v>0</v>
      </c>
      <c r="X314" s="47">
        <f t="shared" si="173"/>
        <v>0</v>
      </c>
      <c r="AA314" s="40">
        <f t="shared" si="174"/>
        <v>0</v>
      </c>
      <c r="AB314" s="40">
        <f t="shared" si="175"/>
        <v>0</v>
      </c>
      <c r="AC314" s="67"/>
    </row>
    <row r="315" spans="6:29" x14ac:dyDescent="0.25">
      <c r="F315" s="45" t="str">
        <f t="shared" si="172"/>
        <v xml:space="preserve">S/F  </v>
      </c>
      <c r="G315" s="47">
        <v>0</v>
      </c>
      <c r="H315" s="56">
        <v>0</v>
      </c>
      <c r="I315" s="47">
        <f t="shared" si="176"/>
        <v>0</v>
      </c>
      <c r="J315" s="49"/>
      <c r="K315" s="47">
        <f t="shared" si="177"/>
        <v>0</v>
      </c>
      <c r="L315" s="47">
        <v>0</v>
      </c>
      <c r="M315" s="49">
        <v>0</v>
      </c>
      <c r="N315" s="47">
        <f t="shared" si="178"/>
        <v>0</v>
      </c>
      <c r="O315" s="47"/>
      <c r="P315" s="47">
        <f t="shared" si="179"/>
        <v>0</v>
      </c>
      <c r="Q315" s="47">
        <v>0</v>
      </c>
      <c r="R315" s="48">
        <v>0</v>
      </c>
      <c r="S315" s="47">
        <f t="shared" si="180"/>
        <v>0</v>
      </c>
      <c r="T315" s="47"/>
      <c r="U315" s="47">
        <f t="shared" si="181"/>
        <v>0</v>
      </c>
      <c r="V315" s="47">
        <v>0</v>
      </c>
      <c r="W315" s="50">
        <v>0</v>
      </c>
      <c r="X315" s="47">
        <f t="shared" si="173"/>
        <v>0</v>
      </c>
      <c r="AA315" s="40">
        <f t="shared" si="174"/>
        <v>0</v>
      </c>
      <c r="AB315" s="40">
        <f t="shared" si="175"/>
        <v>0</v>
      </c>
      <c r="AC315" s="67"/>
    </row>
    <row r="316" spans="6:29" x14ac:dyDescent="0.25">
      <c r="F316" s="45" t="str">
        <f t="shared" si="172"/>
        <v xml:space="preserve">S/F  </v>
      </c>
      <c r="G316" s="47">
        <v>0</v>
      </c>
      <c r="H316" s="56">
        <v>0</v>
      </c>
      <c r="I316" s="47">
        <f t="shared" si="176"/>
        <v>0</v>
      </c>
      <c r="J316" s="49"/>
      <c r="K316" s="47">
        <f t="shared" si="177"/>
        <v>0</v>
      </c>
      <c r="L316" s="47">
        <v>0</v>
      </c>
      <c r="M316" s="49">
        <v>0</v>
      </c>
      <c r="N316" s="47">
        <f t="shared" si="178"/>
        <v>0</v>
      </c>
      <c r="O316" s="47"/>
      <c r="P316" s="47">
        <f t="shared" si="179"/>
        <v>0</v>
      </c>
      <c r="Q316" s="47">
        <v>0</v>
      </c>
      <c r="R316" s="49">
        <v>0</v>
      </c>
      <c r="S316" s="47">
        <f t="shared" si="180"/>
        <v>0</v>
      </c>
      <c r="T316" s="47"/>
      <c r="U316" s="47">
        <f t="shared" si="181"/>
        <v>0</v>
      </c>
      <c r="V316" s="47">
        <v>0</v>
      </c>
      <c r="W316" s="50">
        <v>0</v>
      </c>
      <c r="X316" s="47">
        <f t="shared" si="173"/>
        <v>0</v>
      </c>
      <c r="AA316" s="40">
        <f t="shared" si="174"/>
        <v>0</v>
      </c>
      <c r="AB316" s="40">
        <f t="shared" si="175"/>
        <v>0</v>
      </c>
      <c r="AC316" s="67"/>
    </row>
    <row r="317" spans="6:29" x14ac:dyDescent="0.25">
      <c r="F317" s="45" t="str">
        <f t="shared" si="172"/>
        <v xml:space="preserve">S/F  </v>
      </c>
      <c r="G317" s="47">
        <v>0</v>
      </c>
      <c r="H317" s="56">
        <v>0</v>
      </c>
      <c r="I317" s="47">
        <f t="shared" si="176"/>
        <v>0</v>
      </c>
      <c r="J317" s="49"/>
      <c r="K317" s="47">
        <f t="shared" si="177"/>
        <v>0</v>
      </c>
      <c r="L317" s="47">
        <v>0</v>
      </c>
      <c r="M317" s="49">
        <v>0</v>
      </c>
      <c r="N317" s="47">
        <f t="shared" si="178"/>
        <v>0</v>
      </c>
      <c r="O317" s="47"/>
      <c r="P317" s="47">
        <f t="shared" si="179"/>
        <v>0</v>
      </c>
      <c r="Q317" s="47">
        <v>0</v>
      </c>
      <c r="R317" s="49">
        <v>0</v>
      </c>
      <c r="S317" s="47">
        <f t="shared" si="180"/>
        <v>0</v>
      </c>
      <c r="T317" s="47"/>
      <c r="U317" s="47">
        <f t="shared" si="181"/>
        <v>0</v>
      </c>
      <c r="V317" s="47">
        <v>0</v>
      </c>
      <c r="W317" s="50">
        <v>0</v>
      </c>
      <c r="X317" s="47">
        <f t="shared" si="173"/>
        <v>0</v>
      </c>
      <c r="AA317" s="40">
        <f t="shared" si="174"/>
        <v>0</v>
      </c>
      <c r="AB317" s="40">
        <f t="shared" si="175"/>
        <v>0</v>
      </c>
      <c r="AC317" s="67"/>
    </row>
    <row r="318" spans="6:29" x14ac:dyDescent="0.25">
      <c r="F318" s="45" t="str">
        <f t="shared" si="172"/>
        <v xml:space="preserve">S/F  </v>
      </c>
      <c r="G318" s="47">
        <v>0</v>
      </c>
      <c r="H318" s="56">
        <v>0</v>
      </c>
      <c r="I318" s="47">
        <f t="shared" si="176"/>
        <v>0</v>
      </c>
      <c r="J318" s="49"/>
      <c r="K318" s="47">
        <f t="shared" si="177"/>
        <v>0</v>
      </c>
      <c r="L318" s="47">
        <v>0</v>
      </c>
      <c r="M318" s="49">
        <v>0</v>
      </c>
      <c r="N318" s="47">
        <f t="shared" si="178"/>
        <v>0</v>
      </c>
      <c r="O318" s="47"/>
      <c r="P318" s="47">
        <f t="shared" si="179"/>
        <v>0</v>
      </c>
      <c r="Q318" s="47">
        <v>0</v>
      </c>
      <c r="R318" s="49">
        <v>0</v>
      </c>
      <c r="S318" s="47">
        <f t="shared" si="180"/>
        <v>0</v>
      </c>
      <c r="T318" s="47"/>
      <c r="U318" s="47">
        <f t="shared" si="181"/>
        <v>0</v>
      </c>
      <c r="V318" s="47">
        <v>0</v>
      </c>
      <c r="W318" s="50">
        <v>0</v>
      </c>
      <c r="X318" s="47">
        <f t="shared" si="173"/>
        <v>0</v>
      </c>
      <c r="AA318" s="40">
        <f t="shared" si="174"/>
        <v>0</v>
      </c>
      <c r="AB318" s="40">
        <f t="shared" si="175"/>
        <v>0</v>
      </c>
      <c r="AC318" s="67"/>
    </row>
    <row r="319" spans="6:29" x14ac:dyDescent="0.25">
      <c r="F319" s="45" t="str">
        <f t="shared" si="172"/>
        <v xml:space="preserve">S/F  </v>
      </c>
      <c r="G319" s="47">
        <v>0</v>
      </c>
      <c r="H319" s="56">
        <v>0</v>
      </c>
      <c r="I319" s="47">
        <f t="shared" si="176"/>
        <v>0</v>
      </c>
      <c r="J319" s="49"/>
      <c r="K319" s="47">
        <f t="shared" si="177"/>
        <v>0</v>
      </c>
      <c r="L319" s="47">
        <v>0</v>
      </c>
      <c r="M319" s="49">
        <v>0</v>
      </c>
      <c r="N319" s="47">
        <f t="shared" si="178"/>
        <v>0</v>
      </c>
      <c r="O319" s="47"/>
      <c r="P319" s="47">
        <f t="shared" si="179"/>
        <v>0</v>
      </c>
      <c r="Q319" s="47">
        <v>0</v>
      </c>
      <c r="R319" s="49">
        <v>0</v>
      </c>
      <c r="S319" s="47">
        <f t="shared" si="180"/>
        <v>0</v>
      </c>
      <c r="T319" s="47"/>
      <c r="U319" s="47">
        <f t="shared" si="181"/>
        <v>0</v>
      </c>
      <c r="V319" s="47">
        <v>0</v>
      </c>
      <c r="W319" s="50">
        <v>0</v>
      </c>
      <c r="X319" s="47">
        <f t="shared" si="173"/>
        <v>0</v>
      </c>
      <c r="AA319" s="40">
        <f t="shared" si="174"/>
        <v>0</v>
      </c>
      <c r="AB319" s="40">
        <f t="shared" si="175"/>
        <v>0</v>
      </c>
      <c r="AC319" s="67"/>
    </row>
    <row r="320" spans="6:29" x14ac:dyDescent="0.25">
      <c r="F320" s="45" t="str">
        <f t="shared" si="172"/>
        <v xml:space="preserve">S/F  </v>
      </c>
      <c r="G320" s="47">
        <v>0</v>
      </c>
      <c r="H320" s="56">
        <v>0</v>
      </c>
      <c r="I320" s="47">
        <f t="shared" si="176"/>
        <v>0</v>
      </c>
      <c r="J320" s="49"/>
      <c r="K320" s="47">
        <f t="shared" si="177"/>
        <v>0</v>
      </c>
      <c r="L320" s="47">
        <v>0</v>
      </c>
      <c r="M320" s="49">
        <v>0</v>
      </c>
      <c r="N320" s="47">
        <f t="shared" si="178"/>
        <v>0</v>
      </c>
      <c r="O320" s="47"/>
      <c r="P320" s="47">
        <f t="shared" si="179"/>
        <v>0</v>
      </c>
      <c r="Q320" s="47">
        <v>0</v>
      </c>
      <c r="R320" s="49">
        <v>0</v>
      </c>
      <c r="S320" s="47">
        <f t="shared" si="180"/>
        <v>0</v>
      </c>
      <c r="T320" s="47"/>
      <c r="U320" s="47">
        <f t="shared" si="181"/>
        <v>0</v>
      </c>
      <c r="V320" s="47">
        <v>0</v>
      </c>
      <c r="W320" s="50">
        <v>0</v>
      </c>
      <c r="X320" s="47">
        <f t="shared" si="173"/>
        <v>0</v>
      </c>
      <c r="AA320" s="40">
        <f t="shared" si="174"/>
        <v>0</v>
      </c>
      <c r="AB320" s="40">
        <f t="shared" si="175"/>
        <v>0</v>
      </c>
      <c r="AC320" s="67"/>
    </row>
    <row r="321" spans="6:29" x14ac:dyDescent="0.25">
      <c r="F321" s="45" t="str">
        <f t="shared" si="172"/>
        <v xml:space="preserve">S/F  </v>
      </c>
      <c r="G321" s="47">
        <v>0</v>
      </c>
      <c r="H321" s="56">
        <v>0</v>
      </c>
      <c r="I321" s="47">
        <f t="shared" si="176"/>
        <v>0</v>
      </c>
      <c r="J321" s="49"/>
      <c r="K321" s="47">
        <f t="shared" si="177"/>
        <v>0</v>
      </c>
      <c r="L321" s="47">
        <v>0</v>
      </c>
      <c r="M321" s="49">
        <v>0</v>
      </c>
      <c r="N321" s="47">
        <f t="shared" si="178"/>
        <v>0</v>
      </c>
      <c r="O321" s="47"/>
      <c r="P321" s="47">
        <f t="shared" si="179"/>
        <v>0</v>
      </c>
      <c r="Q321" s="47">
        <v>0</v>
      </c>
      <c r="R321" s="49">
        <v>0</v>
      </c>
      <c r="S321" s="47">
        <f t="shared" si="180"/>
        <v>0</v>
      </c>
      <c r="T321" s="47"/>
      <c r="U321" s="47">
        <f t="shared" si="181"/>
        <v>0</v>
      </c>
      <c r="V321" s="47">
        <v>0</v>
      </c>
      <c r="W321" s="50">
        <v>0</v>
      </c>
      <c r="X321" s="47">
        <f t="shared" si="173"/>
        <v>0</v>
      </c>
      <c r="AA321" s="40">
        <f t="shared" si="174"/>
        <v>0</v>
      </c>
      <c r="AB321" s="40">
        <f t="shared" si="175"/>
        <v>0</v>
      </c>
      <c r="AC321" s="67"/>
    </row>
    <row r="322" spans="6:29" x14ac:dyDescent="0.25">
      <c r="F322" s="45" t="str">
        <f t="shared" si="172"/>
        <v xml:space="preserve">S/F  </v>
      </c>
      <c r="G322" s="47">
        <v>0</v>
      </c>
      <c r="H322" s="56">
        <v>0</v>
      </c>
      <c r="I322" s="47">
        <f t="shared" si="176"/>
        <v>0</v>
      </c>
      <c r="J322" s="49"/>
      <c r="K322" s="47">
        <f t="shared" si="177"/>
        <v>0</v>
      </c>
      <c r="L322" s="47">
        <v>0</v>
      </c>
      <c r="M322" s="49">
        <v>0</v>
      </c>
      <c r="N322" s="47">
        <f t="shared" si="178"/>
        <v>0</v>
      </c>
      <c r="O322" s="47"/>
      <c r="P322" s="47">
        <f t="shared" si="179"/>
        <v>0</v>
      </c>
      <c r="Q322" s="47">
        <v>0</v>
      </c>
      <c r="R322" s="49">
        <v>0</v>
      </c>
      <c r="S322" s="47">
        <f t="shared" si="180"/>
        <v>0</v>
      </c>
      <c r="T322" s="47"/>
      <c r="U322" s="47">
        <f t="shared" si="181"/>
        <v>0</v>
      </c>
      <c r="V322" s="47">
        <v>0</v>
      </c>
      <c r="W322" s="50">
        <v>0</v>
      </c>
      <c r="X322" s="47">
        <f t="shared" si="173"/>
        <v>0</v>
      </c>
      <c r="AA322" s="40">
        <f t="shared" si="174"/>
        <v>0</v>
      </c>
      <c r="AB322" s="40">
        <f t="shared" si="175"/>
        <v>0</v>
      </c>
      <c r="AC322" s="67"/>
    </row>
    <row r="323" spans="6:29" x14ac:dyDescent="0.25">
      <c r="F323" s="45" t="str">
        <f t="shared" si="172"/>
        <v xml:space="preserve">S/F  </v>
      </c>
      <c r="G323" s="47">
        <v>0</v>
      </c>
      <c r="H323" s="56">
        <v>0</v>
      </c>
      <c r="I323" s="47">
        <f t="shared" si="176"/>
        <v>0</v>
      </c>
      <c r="J323" s="49"/>
      <c r="K323" s="47">
        <f t="shared" si="177"/>
        <v>0</v>
      </c>
      <c r="L323" s="47">
        <v>0</v>
      </c>
      <c r="M323" s="49">
        <v>0</v>
      </c>
      <c r="N323" s="47">
        <f t="shared" si="178"/>
        <v>0</v>
      </c>
      <c r="O323" s="47"/>
      <c r="P323" s="47">
        <f t="shared" si="179"/>
        <v>0</v>
      </c>
      <c r="Q323" s="47">
        <v>0</v>
      </c>
      <c r="R323" s="49">
        <v>0</v>
      </c>
      <c r="S323" s="47">
        <f t="shared" si="180"/>
        <v>0</v>
      </c>
      <c r="T323" s="47"/>
      <c r="U323" s="47">
        <f t="shared" si="181"/>
        <v>0</v>
      </c>
      <c r="V323" s="47">
        <v>0</v>
      </c>
      <c r="W323" s="50">
        <v>0</v>
      </c>
      <c r="X323" s="47">
        <f t="shared" si="173"/>
        <v>0</v>
      </c>
      <c r="AA323" s="40">
        <f t="shared" si="174"/>
        <v>0</v>
      </c>
      <c r="AB323" s="40">
        <f t="shared" si="175"/>
        <v>0</v>
      </c>
      <c r="AC323" s="67"/>
    </row>
    <row r="324" spans="6:29" x14ac:dyDescent="0.25">
      <c r="F324" s="45" t="str">
        <f t="shared" si="172"/>
        <v xml:space="preserve">S/F  </v>
      </c>
      <c r="G324" s="47">
        <v>0</v>
      </c>
      <c r="H324" s="56">
        <v>0</v>
      </c>
      <c r="I324" s="47">
        <f t="shared" si="176"/>
        <v>0</v>
      </c>
      <c r="J324" s="49"/>
      <c r="K324" s="47">
        <f t="shared" si="177"/>
        <v>0</v>
      </c>
      <c r="L324" s="47">
        <v>0</v>
      </c>
      <c r="M324" s="49">
        <v>0</v>
      </c>
      <c r="N324" s="47">
        <f t="shared" si="178"/>
        <v>0</v>
      </c>
      <c r="O324" s="47"/>
      <c r="P324" s="47">
        <f t="shared" si="179"/>
        <v>0</v>
      </c>
      <c r="Q324" s="47">
        <v>0</v>
      </c>
      <c r="R324" s="49">
        <v>0</v>
      </c>
      <c r="S324" s="47">
        <f t="shared" si="180"/>
        <v>0</v>
      </c>
      <c r="T324" s="47"/>
      <c r="U324" s="47">
        <f t="shared" si="181"/>
        <v>0</v>
      </c>
      <c r="V324" s="47">
        <v>0</v>
      </c>
      <c r="W324" s="50">
        <v>0</v>
      </c>
      <c r="X324" s="47">
        <f t="shared" si="173"/>
        <v>0</v>
      </c>
      <c r="AA324" s="40">
        <f t="shared" si="174"/>
        <v>0</v>
      </c>
      <c r="AB324" s="40">
        <f t="shared" si="175"/>
        <v>0</v>
      </c>
      <c r="AC324" s="67"/>
    </row>
    <row r="325" spans="6:29" x14ac:dyDescent="0.25">
      <c r="F325" s="45" t="str">
        <f t="shared" si="172"/>
        <v xml:space="preserve">S/F  </v>
      </c>
      <c r="G325" s="47">
        <v>0</v>
      </c>
      <c r="H325" s="56">
        <v>0</v>
      </c>
      <c r="I325" s="47">
        <f t="shared" si="176"/>
        <v>0</v>
      </c>
      <c r="J325" s="49"/>
      <c r="K325" s="47">
        <f t="shared" si="177"/>
        <v>0</v>
      </c>
      <c r="L325" s="47">
        <v>0</v>
      </c>
      <c r="M325" s="49">
        <v>0</v>
      </c>
      <c r="N325" s="47">
        <f t="shared" si="178"/>
        <v>0</v>
      </c>
      <c r="O325" s="47"/>
      <c r="P325" s="47">
        <f t="shared" si="179"/>
        <v>0</v>
      </c>
      <c r="Q325" s="47">
        <v>0</v>
      </c>
      <c r="R325" s="49">
        <v>0</v>
      </c>
      <c r="S325" s="47">
        <f t="shared" si="180"/>
        <v>0</v>
      </c>
      <c r="T325" s="47"/>
      <c r="U325" s="47">
        <f t="shared" si="181"/>
        <v>0</v>
      </c>
      <c r="V325" s="47">
        <v>0</v>
      </c>
      <c r="W325" s="50">
        <v>0</v>
      </c>
      <c r="X325" s="47">
        <f t="shared" si="173"/>
        <v>0</v>
      </c>
      <c r="AA325" s="40">
        <f t="shared" si="174"/>
        <v>0</v>
      </c>
      <c r="AB325" s="40">
        <f t="shared" si="175"/>
        <v>0</v>
      </c>
      <c r="AC325" s="67"/>
    </row>
    <row r="326" spans="6:29" x14ac:dyDescent="0.25">
      <c r="F326" s="45" t="str">
        <f t="shared" si="172"/>
        <v xml:space="preserve">S/F  </v>
      </c>
      <c r="G326" s="47">
        <v>0</v>
      </c>
      <c r="H326" s="56">
        <v>0</v>
      </c>
      <c r="I326" s="47">
        <f t="shared" si="176"/>
        <v>0</v>
      </c>
      <c r="J326" s="49"/>
      <c r="K326" s="47">
        <f t="shared" si="177"/>
        <v>0</v>
      </c>
      <c r="L326" s="47">
        <v>0</v>
      </c>
      <c r="M326" s="49">
        <v>0</v>
      </c>
      <c r="N326" s="47">
        <f t="shared" si="178"/>
        <v>0</v>
      </c>
      <c r="O326" s="47"/>
      <c r="P326" s="47">
        <f t="shared" si="179"/>
        <v>0</v>
      </c>
      <c r="Q326" s="47">
        <v>0</v>
      </c>
      <c r="R326" s="49">
        <v>0</v>
      </c>
      <c r="S326" s="47">
        <f t="shared" si="180"/>
        <v>0</v>
      </c>
      <c r="T326" s="47"/>
      <c r="U326" s="47">
        <f t="shared" si="181"/>
        <v>0</v>
      </c>
      <c r="V326" s="47">
        <v>0</v>
      </c>
      <c r="W326" s="50">
        <v>0</v>
      </c>
      <c r="X326" s="47">
        <f t="shared" si="173"/>
        <v>0</v>
      </c>
      <c r="AA326" s="40">
        <f t="shared" si="174"/>
        <v>0</v>
      </c>
      <c r="AB326" s="40">
        <f t="shared" si="175"/>
        <v>0</v>
      </c>
      <c r="AC326" s="67"/>
    </row>
    <row r="327" spans="6:29" x14ac:dyDescent="0.25">
      <c r="F327" s="45" t="str">
        <f t="shared" si="172"/>
        <v xml:space="preserve">S/F  </v>
      </c>
      <c r="G327" s="47">
        <v>0</v>
      </c>
      <c r="H327" s="56">
        <v>0</v>
      </c>
      <c r="I327" s="47">
        <f t="shared" si="176"/>
        <v>0</v>
      </c>
      <c r="J327" s="49"/>
      <c r="K327" s="47">
        <f t="shared" si="177"/>
        <v>0</v>
      </c>
      <c r="L327" s="47">
        <v>0</v>
      </c>
      <c r="M327" s="49">
        <v>0</v>
      </c>
      <c r="N327" s="47">
        <f t="shared" si="178"/>
        <v>0</v>
      </c>
      <c r="O327" s="47"/>
      <c r="P327" s="47">
        <f t="shared" si="179"/>
        <v>0</v>
      </c>
      <c r="Q327" s="47">
        <v>0</v>
      </c>
      <c r="R327" s="49">
        <v>0</v>
      </c>
      <c r="S327" s="47">
        <f t="shared" si="180"/>
        <v>0</v>
      </c>
      <c r="T327" s="47"/>
      <c r="U327" s="47">
        <f t="shared" si="181"/>
        <v>0</v>
      </c>
      <c r="V327" s="47">
        <v>0</v>
      </c>
      <c r="W327" s="50">
        <v>0</v>
      </c>
      <c r="X327" s="47">
        <f t="shared" si="173"/>
        <v>0</v>
      </c>
      <c r="AA327" s="40">
        <f t="shared" si="174"/>
        <v>0</v>
      </c>
      <c r="AB327" s="40">
        <f t="shared" si="175"/>
        <v>0</v>
      </c>
      <c r="AC327" s="67"/>
    </row>
    <row r="328" spans="6:29" x14ac:dyDescent="0.25">
      <c r="F328" s="45" t="str">
        <f t="shared" si="172"/>
        <v xml:space="preserve">S/F  </v>
      </c>
      <c r="G328" s="47">
        <v>0</v>
      </c>
      <c r="H328" s="56">
        <v>0</v>
      </c>
      <c r="I328" s="47">
        <f t="shared" si="176"/>
        <v>0</v>
      </c>
      <c r="J328" s="49"/>
      <c r="K328" s="47">
        <f t="shared" si="177"/>
        <v>0</v>
      </c>
      <c r="L328" s="47">
        <v>0</v>
      </c>
      <c r="M328" s="49">
        <v>0</v>
      </c>
      <c r="N328" s="47">
        <f t="shared" si="178"/>
        <v>0</v>
      </c>
      <c r="O328" s="47"/>
      <c r="P328" s="47">
        <f t="shared" si="179"/>
        <v>0</v>
      </c>
      <c r="Q328" s="47">
        <v>0</v>
      </c>
      <c r="R328" s="49">
        <v>0</v>
      </c>
      <c r="S328" s="47">
        <f t="shared" si="180"/>
        <v>0</v>
      </c>
      <c r="T328" s="47"/>
      <c r="U328" s="47">
        <f t="shared" si="181"/>
        <v>0</v>
      </c>
      <c r="V328" s="47">
        <v>0</v>
      </c>
      <c r="W328" s="50">
        <v>0</v>
      </c>
      <c r="X328" s="47">
        <f t="shared" si="173"/>
        <v>0</v>
      </c>
      <c r="AA328" s="40">
        <f t="shared" si="174"/>
        <v>0</v>
      </c>
      <c r="AB328" s="40">
        <f t="shared" si="175"/>
        <v>0</v>
      </c>
      <c r="AC328" s="67"/>
    </row>
    <row r="329" spans="6:29" x14ac:dyDescent="0.25">
      <c r="F329" s="45" t="str">
        <f t="shared" si="172"/>
        <v xml:space="preserve">S/F  </v>
      </c>
      <c r="G329" s="47">
        <v>0</v>
      </c>
      <c r="H329" s="56">
        <v>0</v>
      </c>
      <c r="I329" s="47">
        <f t="shared" si="176"/>
        <v>0</v>
      </c>
      <c r="J329" s="49"/>
      <c r="K329" s="47">
        <f t="shared" si="177"/>
        <v>0</v>
      </c>
      <c r="L329" s="47">
        <v>0</v>
      </c>
      <c r="M329" s="49">
        <v>0</v>
      </c>
      <c r="N329" s="47">
        <f t="shared" si="178"/>
        <v>0</v>
      </c>
      <c r="O329" s="47"/>
      <c r="P329" s="47">
        <f t="shared" si="179"/>
        <v>0</v>
      </c>
      <c r="Q329" s="47">
        <v>0</v>
      </c>
      <c r="R329" s="49">
        <v>0</v>
      </c>
      <c r="S329" s="47">
        <f t="shared" si="180"/>
        <v>0</v>
      </c>
      <c r="T329" s="47"/>
      <c r="U329" s="47">
        <f t="shared" si="181"/>
        <v>0</v>
      </c>
      <c r="V329" s="47">
        <v>0</v>
      </c>
      <c r="W329" s="50">
        <v>0</v>
      </c>
      <c r="X329" s="47">
        <f t="shared" si="173"/>
        <v>0</v>
      </c>
      <c r="AA329" s="40">
        <f t="shared" si="174"/>
        <v>0</v>
      </c>
      <c r="AB329" s="40">
        <f t="shared" si="175"/>
        <v>0</v>
      </c>
      <c r="AC329" s="67"/>
    </row>
    <row r="330" spans="6:29" x14ac:dyDescent="0.25">
      <c r="F330" s="45" t="str">
        <f t="shared" si="172"/>
        <v xml:space="preserve">S/F  </v>
      </c>
      <c r="G330" s="47">
        <v>0</v>
      </c>
      <c r="H330" s="56">
        <v>0</v>
      </c>
      <c r="I330" s="47">
        <f t="shared" si="176"/>
        <v>0</v>
      </c>
      <c r="J330" s="49"/>
      <c r="K330" s="47">
        <f t="shared" si="177"/>
        <v>0</v>
      </c>
      <c r="L330" s="47">
        <v>0</v>
      </c>
      <c r="M330" s="49">
        <v>0</v>
      </c>
      <c r="N330" s="47">
        <f t="shared" si="178"/>
        <v>0</v>
      </c>
      <c r="O330" s="47"/>
      <c r="P330" s="47">
        <f t="shared" si="179"/>
        <v>0</v>
      </c>
      <c r="Q330" s="47">
        <v>0</v>
      </c>
      <c r="R330" s="49">
        <v>0</v>
      </c>
      <c r="S330" s="47">
        <f t="shared" si="180"/>
        <v>0</v>
      </c>
      <c r="T330" s="47"/>
      <c r="U330" s="47">
        <f t="shared" si="181"/>
        <v>0</v>
      </c>
      <c r="V330" s="47">
        <v>0</v>
      </c>
      <c r="W330" s="50">
        <v>0</v>
      </c>
      <c r="X330" s="47">
        <f t="shared" si="173"/>
        <v>0</v>
      </c>
      <c r="AA330" s="40">
        <f t="shared" si="174"/>
        <v>0</v>
      </c>
      <c r="AB330" s="40">
        <f t="shared" si="175"/>
        <v>0</v>
      </c>
      <c r="AC330" s="67"/>
    </row>
    <row r="331" spans="6:29" x14ac:dyDescent="0.25">
      <c r="F331" s="45" t="str">
        <f t="shared" si="172"/>
        <v xml:space="preserve">S/F  </v>
      </c>
      <c r="G331" s="47">
        <v>0</v>
      </c>
      <c r="H331" s="56">
        <v>0</v>
      </c>
      <c r="I331" s="47">
        <f t="shared" si="176"/>
        <v>0</v>
      </c>
      <c r="J331" s="49"/>
      <c r="K331" s="47">
        <f t="shared" si="177"/>
        <v>0</v>
      </c>
      <c r="L331" s="47">
        <v>0</v>
      </c>
      <c r="M331" s="49">
        <v>0</v>
      </c>
      <c r="N331" s="47">
        <f t="shared" si="178"/>
        <v>0</v>
      </c>
      <c r="O331" s="47"/>
      <c r="P331" s="47">
        <f t="shared" si="179"/>
        <v>0</v>
      </c>
      <c r="Q331" s="47">
        <v>0</v>
      </c>
      <c r="R331" s="49">
        <v>0</v>
      </c>
      <c r="S331" s="47">
        <f t="shared" si="180"/>
        <v>0</v>
      </c>
      <c r="T331" s="47"/>
      <c r="U331" s="47">
        <f t="shared" si="181"/>
        <v>0</v>
      </c>
      <c r="V331" s="47">
        <v>0</v>
      </c>
      <c r="W331" s="50">
        <v>0</v>
      </c>
      <c r="X331" s="47">
        <f t="shared" si="173"/>
        <v>0</v>
      </c>
      <c r="AA331" s="40">
        <f t="shared" si="174"/>
        <v>0</v>
      </c>
      <c r="AB331" s="40">
        <f t="shared" si="175"/>
        <v>0</v>
      </c>
      <c r="AC331" s="67"/>
    </row>
    <row r="332" spans="6:29" x14ac:dyDescent="0.25">
      <c r="F332" s="45" t="str">
        <f t="shared" si="172"/>
        <v xml:space="preserve">S/F  </v>
      </c>
      <c r="G332" s="47">
        <v>0</v>
      </c>
      <c r="H332" s="56">
        <v>0</v>
      </c>
      <c r="I332" s="47">
        <f t="shared" si="176"/>
        <v>0</v>
      </c>
      <c r="J332" s="49"/>
      <c r="K332" s="47">
        <f t="shared" si="177"/>
        <v>0</v>
      </c>
      <c r="L332" s="47">
        <v>0</v>
      </c>
      <c r="M332" s="49">
        <v>0</v>
      </c>
      <c r="N332" s="47">
        <f t="shared" si="178"/>
        <v>0</v>
      </c>
      <c r="O332" s="47"/>
      <c r="P332" s="47">
        <f t="shared" si="179"/>
        <v>0</v>
      </c>
      <c r="Q332" s="47">
        <v>0</v>
      </c>
      <c r="R332" s="49">
        <v>0</v>
      </c>
      <c r="S332" s="47">
        <f t="shared" si="180"/>
        <v>0</v>
      </c>
      <c r="T332" s="47"/>
      <c r="U332" s="47">
        <f t="shared" si="181"/>
        <v>0</v>
      </c>
      <c r="V332" s="47">
        <v>0</v>
      </c>
      <c r="W332" s="50">
        <v>0</v>
      </c>
      <c r="X332" s="47">
        <f t="shared" si="173"/>
        <v>0</v>
      </c>
      <c r="AA332" s="40">
        <f t="shared" si="174"/>
        <v>0</v>
      </c>
      <c r="AB332" s="40">
        <f t="shared" si="175"/>
        <v>0</v>
      </c>
      <c r="AC332" s="67"/>
    </row>
    <row r="333" spans="6:29" x14ac:dyDescent="0.25">
      <c r="F333" s="45" t="str">
        <f t="shared" ref="F333:F396" si="182">"S/F "&amp;B333&amp;" "&amp;E333</f>
        <v xml:space="preserve">S/F  </v>
      </c>
      <c r="G333" s="45">
        <v>0</v>
      </c>
      <c r="H333" s="56">
        <v>0</v>
      </c>
      <c r="I333" s="40">
        <f t="shared" si="176"/>
        <v>0</v>
      </c>
      <c r="J333" s="53"/>
      <c r="K333" s="40">
        <f t="shared" si="177"/>
        <v>0</v>
      </c>
      <c r="L333" s="45">
        <v>0</v>
      </c>
      <c r="M333" s="53">
        <v>0</v>
      </c>
      <c r="N333" s="40">
        <f t="shared" si="178"/>
        <v>0</v>
      </c>
      <c r="P333" s="40">
        <f t="shared" si="179"/>
        <v>0</v>
      </c>
      <c r="Q333" s="47">
        <v>0</v>
      </c>
      <c r="R333" s="49">
        <v>0</v>
      </c>
      <c r="S333" s="40">
        <f t="shared" si="180"/>
        <v>0</v>
      </c>
      <c r="U333" s="40">
        <f t="shared" si="181"/>
        <v>0</v>
      </c>
      <c r="V333" s="51">
        <v>0</v>
      </c>
      <c r="W333" s="50">
        <v>0</v>
      </c>
      <c r="X333" s="40">
        <f t="shared" si="173"/>
        <v>0</v>
      </c>
      <c r="AA333" s="40">
        <f t="shared" si="174"/>
        <v>0</v>
      </c>
      <c r="AB333" s="40">
        <f t="shared" si="175"/>
        <v>0</v>
      </c>
      <c r="AC333" s="67"/>
    </row>
    <row r="334" spans="6:29" x14ac:dyDescent="0.25">
      <c r="F334" s="45" t="str">
        <f t="shared" si="182"/>
        <v xml:space="preserve">S/F  </v>
      </c>
      <c r="G334" s="45">
        <v>0</v>
      </c>
      <c r="H334" s="56">
        <v>0</v>
      </c>
      <c r="I334" s="40">
        <f t="shared" si="176"/>
        <v>0</v>
      </c>
      <c r="J334" s="53"/>
      <c r="K334" s="40">
        <f t="shared" si="177"/>
        <v>0</v>
      </c>
      <c r="L334" s="45">
        <v>0</v>
      </c>
      <c r="M334" s="53">
        <v>0</v>
      </c>
      <c r="N334" s="40">
        <f t="shared" si="178"/>
        <v>0</v>
      </c>
      <c r="P334" s="40">
        <f t="shared" si="179"/>
        <v>0</v>
      </c>
      <c r="Q334" s="47">
        <v>0</v>
      </c>
      <c r="R334" s="49">
        <v>0</v>
      </c>
      <c r="S334" s="40">
        <f t="shared" si="180"/>
        <v>0</v>
      </c>
      <c r="U334" s="40">
        <f t="shared" si="181"/>
        <v>0</v>
      </c>
      <c r="V334" s="51">
        <v>0</v>
      </c>
      <c r="W334" s="50">
        <v>0</v>
      </c>
      <c r="X334" s="40">
        <f t="shared" si="173"/>
        <v>0</v>
      </c>
      <c r="AA334" s="40">
        <f t="shared" si="174"/>
        <v>0</v>
      </c>
      <c r="AB334" s="40">
        <f t="shared" si="175"/>
        <v>0</v>
      </c>
      <c r="AC334" s="67"/>
    </row>
    <row r="335" spans="6:29" x14ac:dyDescent="0.25">
      <c r="F335" s="45" t="str">
        <f t="shared" si="182"/>
        <v xml:space="preserve">S/F  </v>
      </c>
      <c r="G335" s="45">
        <v>0</v>
      </c>
      <c r="H335" s="56">
        <v>0</v>
      </c>
      <c r="I335" s="40">
        <f t="shared" si="176"/>
        <v>0</v>
      </c>
      <c r="J335" s="53"/>
      <c r="K335" s="40">
        <f t="shared" si="177"/>
        <v>0</v>
      </c>
      <c r="L335" s="45">
        <v>0</v>
      </c>
      <c r="M335" s="53">
        <v>0</v>
      </c>
      <c r="N335" s="40">
        <f t="shared" si="178"/>
        <v>0</v>
      </c>
      <c r="P335" s="40">
        <f t="shared" si="179"/>
        <v>0</v>
      </c>
      <c r="Q335" s="47">
        <v>0</v>
      </c>
      <c r="R335" s="49">
        <v>0</v>
      </c>
      <c r="S335" s="40">
        <f t="shared" si="180"/>
        <v>0</v>
      </c>
      <c r="U335" s="40">
        <f t="shared" si="181"/>
        <v>0</v>
      </c>
      <c r="V335" s="51">
        <v>0</v>
      </c>
      <c r="W335" s="50">
        <v>0</v>
      </c>
      <c r="X335" s="40">
        <f t="shared" si="173"/>
        <v>0</v>
      </c>
      <c r="AA335" s="40">
        <f t="shared" si="174"/>
        <v>0</v>
      </c>
      <c r="AB335" s="40">
        <f t="shared" si="175"/>
        <v>0</v>
      </c>
      <c r="AC335" s="67"/>
    </row>
    <row r="336" spans="6:29" x14ac:dyDescent="0.25">
      <c r="F336" s="45" t="str">
        <f t="shared" si="182"/>
        <v xml:space="preserve">S/F  </v>
      </c>
      <c r="G336" s="45">
        <v>0</v>
      </c>
      <c r="H336" s="56">
        <v>0</v>
      </c>
      <c r="I336" s="40">
        <f t="shared" si="176"/>
        <v>0</v>
      </c>
      <c r="J336" s="53"/>
      <c r="K336" s="40">
        <f t="shared" si="177"/>
        <v>0</v>
      </c>
      <c r="L336" s="45">
        <v>0</v>
      </c>
      <c r="M336" s="53">
        <v>0</v>
      </c>
      <c r="N336" s="40">
        <f t="shared" si="178"/>
        <v>0</v>
      </c>
      <c r="P336" s="40">
        <f t="shared" si="179"/>
        <v>0</v>
      </c>
      <c r="Q336" s="47">
        <v>0</v>
      </c>
      <c r="R336" s="49">
        <v>0</v>
      </c>
      <c r="S336" s="40">
        <f t="shared" si="180"/>
        <v>0</v>
      </c>
      <c r="U336" s="40">
        <f t="shared" si="181"/>
        <v>0</v>
      </c>
      <c r="V336" s="51">
        <v>0</v>
      </c>
      <c r="W336" s="50">
        <v>0</v>
      </c>
      <c r="X336" s="40">
        <f t="shared" si="173"/>
        <v>0</v>
      </c>
      <c r="AA336" s="40">
        <f t="shared" si="174"/>
        <v>0</v>
      </c>
      <c r="AB336" s="40">
        <f t="shared" si="175"/>
        <v>0</v>
      </c>
      <c r="AC336" s="67"/>
    </row>
    <row r="337" spans="6:29" x14ac:dyDescent="0.25">
      <c r="F337" s="45" t="str">
        <f t="shared" si="182"/>
        <v xml:space="preserve">S/F  </v>
      </c>
      <c r="G337" s="45">
        <v>0</v>
      </c>
      <c r="H337" s="56">
        <v>0</v>
      </c>
      <c r="I337" s="40">
        <f t="shared" si="176"/>
        <v>0</v>
      </c>
      <c r="J337" s="53"/>
      <c r="K337" s="40">
        <f t="shared" si="177"/>
        <v>0</v>
      </c>
      <c r="L337" s="45">
        <v>0</v>
      </c>
      <c r="M337" s="53">
        <v>0</v>
      </c>
      <c r="N337" s="40">
        <f t="shared" si="178"/>
        <v>0</v>
      </c>
      <c r="P337" s="40">
        <f t="shared" si="179"/>
        <v>0</v>
      </c>
      <c r="Q337" s="47">
        <v>0</v>
      </c>
      <c r="R337" s="49">
        <v>0</v>
      </c>
      <c r="S337" s="40">
        <f t="shared" si="180"/>
        <v>0</v>
      </c>
      <c r="U337" s="40">
        <f t="shared" si="181"/>
        <v>0</v>
      </c>
      <c r="V337" s="51">
        <v>0</v>
      </c>
      <c r="W337" s="50">
        <v>0</v>
      </c>
      <c r="X337" s="40">
        <f t="shared" si="173"/>
        <v>0</v>
      </c>
      <c r="AA337" s="40">
        <f t="shared" si="174"/>
        <v>0</v>
      </c>
      <c r="AB337" s="40">
        <f t="shared" si="175"/>
        <v>0</v>
      </c>
      <c r="AC337" s="67"/>
    </row>
    <row r="338" spans="6:29" x14ac:dyDescent="0.25">
      <c r="F338" s="45" t="str">
        <f t="shared" si="182"/>
        <v xml:space="preserve">S/F  </v>
      </c>
      <c r="G338" s="45">
        <v>0</v>
      </c>
      <c r="H338" s="56">
        <v>0</v>
      </c>
      <c r="I338" s="40">
        <f t="shared" si="176"/>
        <v>0</v>
      </c>
      <c r="J338" s="53"/>
      <c r="K338" s="40">
        <f t="shared" si="177"/>
        <v>0</v>
      </c>
      <c r="L338" s="45">
        <v>0</v>
      </c>
      <c r="M338" s="53">
        <v>0</v>
      </c>
      <c r="N338" s="40">
        <f t="shared" si="178"/>
        <v>0</v>
      </c>
      <c r="P338" s="40">
        <f t="shared" si="179"/>
        <v>0</v>
      </c>
      <c r="Q338" s="47">
        <v>0</v>
      </c>
      <c r="R338" s="49">
        <v>0</v>
      </c>
      <c r="S338" s="40">
        <f t="shared" si="180"/>
        <v>0</v>
      </c>
      <c r="U338" s="40">
        <f t="shared" si="181"/>
        <v>0</v>
      </c>
      <c r="V338" s="51">
        <v>0</v>
      </c>
      <c r="W338" s="50">
        <v>0</v>
      </c>
      <c r="X338" s="40">
        <f t="shared" si="173"/>
        <v>0</v>
      </c>
      <c r="AA338" s="40">
        <f t="shared" si="174"/>
        <v>0</v>
      </c>
      <c r="AB338" s="40">
        <f t="shared" si="175"/>
        <v>0</v>
      </c>
      <c r="AC338" s="67"/>
    </row>
    <row r="339" spans="6:29" x14ac:dyDescent="0.25">
      <c r="F339" s="45" t="str">
        <f t="shared" si="182"/>
        <v xml:space="preserve">S/F  </v>
      </c>
      <c r="G339" s="45">
        <v>0</v>
      </c>
      <c r="H339" s="56">
        <v>0</v>
      </c>
      <c r="I339" s="40">
        <f t="shared" si="176"/>
        <v>0</v>
      </c>
      <c r="J339" s="53"/>
      <c r="K339" s="40">
        <f t="shared" si="177"/>
        <v>0</v>
      </c>
      <c r="L339" s="45">
        <v>0</v>
      </c>
      <c r="M339" s="53">
        <v>0</v>
      </c>
      <c r="N339" s="40">
        <f t="shared" si="178"/>
        <v>0</v>
      </c>
      <c r="P339" s="40">
        <f t="shared" si="179"/>
        <v>0</v>
      </c>
      <c r="Q339" s="47">
        <v>0</v>
      </c>
      <c r="R339" s="49">
        <v>0</v>
      </c>
      <c r="S339" s="40">
        <f t="shared" si="180"/>
        <v>0</v>
      </c>
      <c r="U339" s="40">
        <f t="shared" si="181"/>
        <v>0</v>
      </c>
      <c r="V339" s="51">
        <v>0</v>
      </c>
      <c r="W339" s="50">
        <v>0</v>
      </c>
      <c r="X339" s="40">
        <f t="shared" si="173"/>
        <v>0</v>
      </c>
      <c r="AA339" s="40">
        <f t="shared" si="174"/>
        <v>0</v>
      </c>
      <c r="AB339" s="40">
        <f t="shared" si="175"/>
        <v>0</v>
      </c>
      <c r="AC339" s="67"/>
    </row>
    <row r="340" spans="6:29" x14ac:dyDescent="0.25">
      <c r="F340" s="45" t="str">
        <f t="shared" si="182"/>
        <v xml:space="preserve">S/F  </v>
      </c>
      <c r="G340" s="45">
        <v>0</v>
      </c>
      <c r="H340" s="56">
        <v>0</v>
      </c>
      <c r="I340" s="40">
        <f t="shared" si="176"/>
        <v>0</v>
      </c>
      <c r="J340" s="53"/>
      <c r="K340" s="40">
        <f t="shared" si="177"/>
        <v>0</v>
      </c>
      <c r="L340" s="45">
        <v>0</v>
      </c>
      <c r="M340" s="53">
        <v>0</v>
      </c>
      <c r="N340" s="40">
        <f t="shared" si="178"/>
        <v>0</v>
      </c>
      <c r="P340" s="40">
        <f t="shared" si="179"/>
        <v>0</v>
      </c>
      <c r="Q340" s="47">
        <v>0</v>
      </c>
      <c r="R340" s="49">
        <v>0</v>
      </c>
      <c r="S340" s="40">
        <f t="shared" si="180"/>
        <v>0</v>
      </c>
      <c r="U340" s="40">
        <f t="shared" si="181"/>
        <v>0</v>
      </c>
      <c r="V340" s="51">
        <v>0</v>
      </c>
      <c r="W340" s="50">
        <v>0</v>
      </c>
      <c r="X340" s="40">
        <f t="shared" si="173"/>
        <v>0</v>
      </c>
      <c r="AA340" s="40">
        <f t="shared" si="174"/>
        <v>0</v>
      </c>
      <c r="AB340" s="40">
        <f t="shared" si="175"/>
        <v>0</v>
      </c>
      <c r="AC340" s="67"/>
    </row>
    <row r="341" spans="6:29" x14ac:dyDescent="0.25">
      <c r="F341" s="45" t="str">
        <f t="shared" si="182"/>
        <v xml:space="preserve">S/F  </v>
      </c>
      <c r="G341" s="45">
        <v>0</v>
      </c>
      <c r="H341" s="48">
        <v>0</v>
      </c>
      <c r="I341" s="40">
        <f t="shared" ref="I341:I404" si="183">+IF(G341&lt;&gt;0,G341*H341/100,0)</f>
        <v>0</v>
      </c>
      <c r="J341" s="53"/>
      <c r="K341" s="40">
        <f t="shared" ref="K341:K404" si="184">+IF(G341&lt;&gt;0,G341*J341/100,0)</f>
        <v>0</v>
      </c>
      <c r="L341" s="45">
        <v>0</v>
      </c>
      <c r="M341" s="53">
        <v>0</v>
      </c>
      <c r="N341" s="40">
        <f t="shared" ref="N341:N404" si="185">+IF(L341&lt;&gt;0,L341*M341/100,0)</f>
        <v>0</v>
      </c>
      <c r="P341" s="40">
        <f t="shared" ref="P341:P404" si="186">+IF(L341&lt;&gt;0,L341*O341/100,0)</f>
        <v>0</v>
      </c>
      <c r="Q341" s="47">
        <v>0</v>
      </c>
      <c r="R341" s="49">
        <v>0</v>
      </c>
      <c r="S341" s="40">
        <f t="shared" ref="S341:S404" si="187">+IF(Q341&lt;&gt;0,Q341*R341/100,0)</f>
        <v>0</v>
      </c>
      <c r="U341" s="40">
        <f t="shared" ref="U341:U404" si="188">+IF(Q341&lt;&gt;0,Q341*T341/100,0)</f>
        <v>0</v>
      </c>
      <c r="V341" s="51">
        <v>0</v>
      </c>
      <c r="W341" s="50">
        <v>0</v>
      </c>
      <c r="X341" s="40">
        <f t="shared" ref="X341:X404" si="189">+IF(W341&lt;&gt;0,V341*W341/100,0)</f>
        <v>0</v>
      </c>
      <c r="AA341" s="40">
        <f t="shared" ref="AA341:AA404" si="190">+IF(Z341&lt;&gt;0,Y341*Z341/100,0)</f>
        <v>0</v>
      </c>
      <c r="AB341" s="40">
        <f t="shared" ref="AB341:AB404" si="191">+G341+I341+K341+L341+N341+P341+Q341+S341+U341-X341-AA341</f>
        <v>0</v>
      </c>
      <c r="AC341" s="67"/>
    </row>
    <row r="342" spans="6:29" x14ac:dyDescent="0.25">
      <c r="F342" s="45" t="str">
        <f t="shared" si="182"/>
        <v xml:space="preserve">S/F  </v>
      </c>
      <c r="G342" s="45">
        <v>0</v>
      </c>
      <c r="H342" s="48">
        <v>0</v>
      </c>
      <c r="I342" s="40">
        <f t="shared" si="183"/>
        <v>0</v>
      </c>
      <c r="J342" s="53"/>
      <c r="K342" s="40">
        <f t="shared" si="184"/>
        <v>0</v>
      </c>
      <c r="L342" s="45">
        <v>0</v>
      </c>
      <c r="M342" s="53">
        <v>0</v>
      </c>
      <c r="N342" s="40">
        <f t="shared" si="185"/>
        <v>0</v>
      </c>
      <c r="P342" s="40">
        <f t="shared" si="186"/>
        <v>0</v>
      </c>
      <c r="Q342" s="47">
        <v>0</v>
      </c>
      <c r="R342" s="49">
        <v>0</v>
      </c>
      <c r="S342" s="40">
        <f t="shared" si="187"/>
        <v>0</v>
      </c>
      <c r="U342" s="40">
        <f t="shared" si="188"/>
        <v>0</v>
      </c>
      <c r="V342" s="51">
        <v>0</v>
      </c>
      <c r="W342" s="50">
        <v>0</v>
      </c>
      <c r="X342" s="40">
        <f t="shared" si="189"/>
        <v>0</v>
      </c>
      <c r="AA342" s="40">
        <f t="shared" si="190"/>
        <v>0</v>
      </c>
      <c r="AB342" s="40">
        <f t="shared" si="191"/>
        <v>0</v>
      </c>
      <c r="AC342" s="67"/>
    </row>
    <row r="343" spans="6:29" x14ac:dyDescent="0.25">
      <c r="F343" s="45" t="str">
        <f t="shared" si="182"/>
        <v xml:space="preserve">S/F  </v>
      </c>
      <c r="G343" s="45">
        <v>0</v>
      </c>
      <c r="H343" s="48">
        <v>0</v>
      </c>
      <c r="I343" s="40">
        <f t="shared" si="183"/>
        <v>0</v>
      </c>
      <c r="J343" s="53"/>
      <c r="K343" s="40">
        <f t="shared" si="184"/>
        <v>0</v>
      </c>
      <c r="L343" s="45">
        <v>0</v>
      </c>
      <c r="M343" s="53">
        <v>0</v>
      </c>
      <c r="N343" s="40">
        <f t="shared" si="185"/>
        <v>0</v>
      </c>
      <c r="P343" s="40">
        <f t="shared" si="186"/>
        <v>0</v>
      </c>
      <c r="Q343" s="47">
        <v>0</v>
      </c>
      <c r="R343" s="49">
        <v>0</v>
      </c>
      <c r="S343" s="40">
        <f t="shared" si="187"/>
        <v>0</v>
      </c>
      <c r="U343" s="40">
        <f t="shared" si="188"/>
        <v>0</v>
      </c>
      <c r="V343" s="51">
        <v>0</v>
      </c>
      <c r="W343" s="50">
        <v>0</v>
      </c>
      <c r="X343" s="40">
        <f t="shared" si="189"/>
        <v>0</v>
      </c>
      <c r="AA343" s="40">
        <f t="shared" si="190"/>
        <v>0</v>
      </c>
      <c r="AB343" s="40">
        <f t="shared" si="191"/>
        <v>0</v>
      </c>
      <c r="AC343" s="67"/>
    </row>
    <row r="344" spans="6:29" x14ac:dyDescent="0.25">
      <c r="F344" s="45" t="str">
        <f t="shared" si="182"/>
        <v xml:space="preserve">S/F  </v>
      </c>
      <c r="G344" s="45">
        <v>0</v>
      </c>
      <c r="H344" s="48">
        <v>0</v>
      </c>
      <c r="I344" s="40">
        <f t="shared" si="183"/>
        <v>0</v>
      </c>
      <c r="J344" s="53"/>
      <c r="K344" s="40">
        <f t="shared" si="184"/>
        <v>0</v>
      </c>
      <c r="L344" s="45">
        <v>0</v>
      </c>
      <c r="M344" s="53">
        <v>0</v>
      </c>
      <c r="N344" s="40">
        <f t="shared" si="185"/>
        <v>0</v>
      </c>
      <c r="P344" s="40">
        <f t="shared" si="186"/>
        <v>0</v>
      </c>
      <c r="Q344" s="47">
        <v>0</v>
      </c>
      <c r="R344" s="49">
        <v>0</v>
      </c>
      <c r="S344" s="40">
        <f t="shared" si="187"/>
        <v>0</v>
      </c>
      <c r="U344" s="40">
        <f t="shared" si="188"/>
        <v>0</v>
      </c>
      <c r="V344" s="51">
        <v>0</v>
      </c>
      <c r="W344" s="50">
        <v>0</v>
      </c>
      <c r="X344" s="40">
        <f t="shared" si="189"/>
        <v>0</v>
      </c>
      <c r="AA344" s="40">
        <f t="shared" si="190"/>
        <v>0</v>
      </c>
      <c r="AB344" s="40">
        <f t="shared" si="191"/>
        <v>0</v>
      </c>
      <c r="AC344" s="67"/>
    </row>
    <row r="345" spans="6:29" x14ac:dyDescent="0.25">
      <c r="F345" s="45" t="str">
        <f t="shared" si="182"/>
        <v xml:space="preserve">S/F  </v>
      </c>
      <c r="G345" s="45">
        <v>0</v>
      </c>
      <c r="H345" s="48">
        <v>0</v>
      </c>
      <c r="I345" s="40">
        <f t="shared" si="183"/>
        <v>0</v>
      </c>
      <c r="J345" s="53"/>
      <c r="K345" s="40">
        <f t="shared" si="184"/>
        <v>0</v>
      </c>
      <c r="L345" s="45">
        <v>0</v>
      </c>
      <c r="M345" s="53">
        <v>0</v>
      </c>
      <c r="N345" s="40">
        <f t="shared" si="185"/>
        <v>0</v>
      </c>
      <c r="P345" s="40">
        <f t="shared" si="186"/>
        <v>0</v>
      </c>
      <c r="Q345" s="47">
        <v>0</v>
      </c>
      <c r="R345" s="49">
        <v>0</v>
      </c>
      <c r="S345" s="40">
        <f t="shared" si="187"/>
        <v>0</v>
      </c>
      <c r="U345" s="40">
        <f t="shared" si="188"/>
        <v>0</v>
      </c>
      <c r="V345" s="51">
        <v>0</v>
      </c>
      <c r="W345" s="50">
        <v>0</v>
      </c>
      <c r="X345" s="40">
        <f t="shared" si="189"/>
        <v>0</v>
      </c>
      <c r="AA345" s="40">
        <f t="shared" si="190"/>
        <v>0</v>
      </c>
      <c r="AB345" s="40">
        <f t="shared" si="191"/>
        <v>0</v>
      </c>
      <c r="AC345" s="67"/>
    </row>
    <row r="346" spans="6:29" x14ac:dyDescent="0.25">
      <c r="F346" s="45" t="str">
        <f t="shared" si="182"/>
        <v xml:space="preserve">S/F  </v>
      </c>
      <c r="G346" s="45">
        <v>0</v>
      </c>
      <c r="H346" s="48">
        <v>0</v>
      </c>
      <c r="I346" s="40">
        <f t="shared" si="183"/>
        <v>0</v>
      </c>
      <c r="J346" s="53"/>
      <c r="K346" s="40">
        <f t="shared" si="184"/>
        <v>0</v>
      </c>
      <c r="L346" s="45">
        <v>0</v>
      </c>
      <c r="M346" s="53">
        <v>0</v>
      </c>
      <c r="N346" s="40">
        <f t="shared" si="185"/>
        <v>0</v>
      </c>
      <c r="P346" s="40">
        <f t="shared" si="186"/>
        <v>0</v>
      </c>
      <c r="Q346" s="47">
        <v>0</v>
      </c>
      <c r="R346" s="49">
        <v>0</v>
      </c>
      <c r="S346" s="40">
        <f t="shared" si="187"/>
        <v>0</v>
      </c>
      <c r="U346" s="40">
        <f t="shared" si="188"/>
        <v>0</v>
      </c>
      <c r="V346" s="51">
        <v>0</v>
      </c>
      <c r="W346" s="50">
        <v>0</v>
      </c>
      <c r="X346" s="40">
        <f t="shared" si="189"/>
        <v>0</v>
      </c>
      <c r="AA346" s="40">
        <f t="shared" si="190"/>
        <v>0</v>
      </c>
      <c r="AB346" s="40">
        <f t="shared" si="191"/>
        <v>0</v>
      </c>
      <c r="AC346" s="67"/>
    </row>
    <row r="347" spans="6:29" x14ac:dyDescent="0.25">
      <c r="F347" s="45" t="str">
        <f t="shared" si="182"/>
        <v xml:space="preserve">S/F  </v>
      </c>
      <c r="G347" s="45">
        <v>0</v>
      </c>
      <c r="H347" s="48">
        <v>0</v>
      </c>
      <c r="I347" s="40">
        <f t="shared" si="183"/>
        <v>0</v>
      </c>
      <c r="J347" s="53"/>
      <c r="K347" s="40">
        <f t="shared" si="184"/>
        <v>0</v>
      </c>
      <c r="L347" s="45">
        <v>0</v>
      </c>
      <c r="M347" s="53">
        <v>0</v>
      </c>
      <c r="N347" s="40">
        <f t="shared" si="185"/>
        <v>0</v>
      </c>
      <c r="P347" s="40">
        <f t="shared" si="186"/>
        <v>0</v>
      </c>
      <c r="Q347" s="47">
        <v>0</v>
      </c>
      <c r="R347" s="49">
        <v>0</v>
      </c>
      <c r="S347" s="40">
        <f t="shared" si="187"/>
        <v>0</v>
      </c>
      <c r="U347" s="40">
        <f t="shared" si="188"/>
        <v>0</v>
      </c>
      <c r="V347" s="51">
        <v>0</v>
      </c>
      <c r="W347" s="50">
        <v>0</v>
      </c>
      <c r="X347" s="40">
        <f t="shared" si="189"/>
        <v>0</v>
      </c>
      <c r="AA347" s="40">
        <f t="shared" si="190"/>
        <v>0</v>
      </c>
      <c r="AB347" s="40">
        <f t="shared" si="191"/>
        <v>0</v>
      </c>
      <c r="AC347" s="67"/>
    </row>
    <row r="348" spans="6:29" x14ac:dyDescent="0.25">
      <c r="F348" s="45" t="str">
        <f t="shared" si="182"/>
        <v xml:space="preserve">S/F  </v>
      </c>
      <c r="G348" s="45">
        <v>0</v>
      </c>
      <c r="H348" s="48">
        <v>0</v>
      </c>
      <c r="I348" s="40">
        <f t="shared" si="183"/>
        <v>0</v>
      </c>
      <c r="J348" s="53"/>
      <c r="K348" s="40">
        <f t="shared" si="184"/>
        <v>0</v>
      </c>
      <c r="L348" s="45">
        <v>0</v>
      </c>
      <c r="M348" s="53">
        <v>0</v>
      </c>
      <c r="N348" s="40">
        <f t="shared" si="185"/>
        <v>0</v>
      </c>
      <c r="P348" s="40">
        <f t="shared" si="186"/>
        <v>0</v>
      </c>
      <c r="Q348" s="47">
        <v>0</v>
      </c>
      <c r="R348" s="49">
        <v>0</v>
      </c>
      <c r="S348" s="40">
        <f t="shared" si="187"/>
        <v>0</v>
      </c>
      <c r="U348" s="40">
        <f t="shared" si="188"/>
        <v>0</v>
      </c>
      <c r="V348" s="51">
        <v>0</v>
      </c>
      <c r="W348" s="50">
        <v>0</v>
      </c>
      <c r="X348" s="40">
        <f t="shared" si="189"/>
        <v>0</v>
      </c>
      <c r="AA348" s="40">
        <f t="shared" si="190"/>
        <v>0</v>
      </c>
      <c r="AB348" s="40">
        <f t="shared" si="191"/>
        <v>0</v>
      </c>
      <c r="AC348" s="67"/>
    </row>
    <row r="349" spans="6:29" x14ac:dyDescent="0.25">
      <c r="F349" s="45" t="str">
        <f t="shared" si="182"/>
        <v xml:space="preserve">S/F  </v>
      </c>
      <c r="G349" s="45">
        <v>0</v>
      </c>
      <c r="H349" s="48">
        <v>0</v>
      </c>
      <c r="I349" s="40">
        <f t="shared" si="183"/>
        <v>0</v>
      </c>
      <c r="J349" s="53"/>
      <c r="K349" s="40">
        <f t="shared" si="184"/>
        <v>0</v>
      </c>
      <c r="L349" s="45">
        <v>0</v>
      </c>
      <c r="M349" s="53">
        <v>0</v>
      </c>
      <c r="N349" s="40">
        <f t="shared" si="185"/>
        <v>0</v>
      </c>
      <c r="P349" s="40">
        <f t="shared" si="186"/>
        <v>0</v>
      </c>
      <c r="Q349" s="47">
        <v>0</v>
      </c>
      <c r="R349" s="49">
        <v>0</v>
      </c>
      <c r="S349" s="40">
        <f t="shared" si="187"/>
        <v>0</v>
      </c>
      <c r="U349" s="40">
        <f t="shared" si="188"/>
        <v>0</v>
      </c>
      <c r="V349" s="51">
        <v>0</v>
      </c>
      <c r="W349" s="50">
        <v>0</v>
      </c>
      <c r="X349" s="40">
        <f t="shared" si="189"/>
        <v>0</v>
      </c>
      <c r="AA349" s="40">
        <f t="shared" si="190"/>
        <v>0</v>
      </c>
      <c r="AB349" s="40">
        <f t="shared" si="191"/>
        <v>0</v>
      </c>
      <c r="AC349" s="67"/>
    </row>
    <row r="350" spans="6:29" x14ac:dyDescent="0.25">
      <c r="F350" s="45" t="str">
        <f t="shared" si="182"/>
        <v xml:space="preserve">S/F  </v>
      </c>
      <c r="G350" s="45">
        <v>0</v>
      </c>
      <c r="H350" s="48">
        <v>0</v>
      </c>
      <c r="I350" s="40">
        <f t="shared" si="183"/>
        <v>0</v>
      </c>
      <c r="J350" s="53"/>
      <c r="K350" s="40">
        <f t="shared" si="184"/>
        <v>0</v>
      </c>
      <c r="L350" s="45">
        <v>0</v>
      </c>
      <c r="M350" s="53">
        <v>0</v>
      </c>
      <c r="N350" s="40">
        <f t="shared" si="185"/>
        <v>0</v>
      </c>
      <c r="P350" s="40">
        <f t="shared" si="186"/>
        <v>0</v>
      </c>
      <c r="Q350" s="47">
        <v>0</v>
      </c>
      <c r="R350" s="49">
        <v>0</v>
      </c>
      <c r="S350" s="40">
        <f t="shared" si="187"/>
        <v>0</v>
      </c>
      <c r="U350" s="40">
        <f t="shared" si="188"/>
        <v>0</v>
      </c>
      <c r="V350" s="51">
        <v>0</v>
      </c>
      <c r="W350" s="50">
        <v>0</v>
      </c>
      <c r="X350" s="40">
        <f t="shared" si="189"/>
        <v>0</v>
      </c>
      <c r="AA350" s="40">
        <f t="shared" si="190"/>
        <v>0</v>
      </c>
      <c r="AB350" s="40">
        <f t="shared" si="191"/>
        <v>0</v>
      </c>
      <c r="AC350" s="67"/>
    </row>
    <row r="351" spans="6:29" x14ac:dyDescent="0.25">
      <c r="F351" s="45" t="str">
        <f t="shared" si="182"/>
        <v xml:space="preserve">S/F  </v>
      </c>
      <c r="G351" s="45">
        <v>0</v>
      </c>
      <c r="H351" s="48">
        <v>0</v>
      </c>
      <c r="I351" s="40">
        <f t="shared" si="183"/>
        <v>0</v>
      </c>
      <c r="J351" s="53"/>
      <c r="K351" s="40">
        <f t="shared" si="184"/>
        <v>0</v>
      </c>
      <c r="L351" s="45">
        <v>0</v>
      </c>
      <c r="M351" s="53">
        <v>0</v>
      </c>
      <c r="N351" s="40">
        <f t="shared" si="185"/>
        <v>0</v>
      </c>
      <c r="P351" s="40">
        <f t="shared" si="186"/>
        <v>0</v>
      </c>
      <c r="Q351" s="47">
        <v>0</v>
      </c>
      <c r="R351" s="49">
        <v>0</v>
      </c>
      <c r="S351" s="40">
        <f t="shared" si="187"/>
        <v>0</v>
      </c>
      <c r="U351" s="40">
        <f t="shared" si="188"/>
        <v>0</v>
      </c>
      <c r="V351" s="51">
        <v>0</v>
      </c>
      <c r="W351" s="50">
        <v>0</v>
      </c>
      <c r="X351" s="40">
        <f t="shared" si="189"/>
        <v>0</v>
      </c>
      <c r="AA351" s="40">
        <f t="shared" si="190"/>
        <v>0</v>
      </c>
      <c r="AB351" s="40">
        <f t="shared" si="191"/>
        <v>0</v>
      </c>
      <c r="AC351" s="67"/>
    </row>
    <row r="352" spans="6:29" x14ac:dyDescent="0.25">
      <c r="F352" s="45" t="str">
        <f t="shared" si="182"/>
        <v xml:space="preserve">S/F  </v>
      </c>
      <c r="G352" s="45">
        <v>0</v>
      </c>
      <c r="H352" s="48">
        <v>0</v>
      </c>
      <c r="I352" s="40">
        <f t="shared" si="183"/>
        <v>0</v>
      </c>
      <c r="J352" s="53"/>
      <c r="K352" s="40">
        <f t="shared" si="184"/>
        <v>0</v>
      </c>
      <c r="L352" s="45">
        <v>0</v>
      </c>
      <c r="M352" s="53">
        <v>0</v>
      </c>
      <c r="N352" s="40">
        <f t="shared" si="185"/>
        <v>0</v>
      </c>
      <c r="P352" s="40">
        <f t="shared" si="186"/>
        <v>0</v>
      </c>
      <c r="Q352" s="47">
        <v>0</v>
      </c>
      <c r="R352" s="49">
        <v>0</v>
      </c>
      <c r="S352" s="40">
        <f t="shared" si="187"/>
        <v>0</v>
      </c>
      <c r="U352" s="40">
        <f t="shared" si="188"/>
        <v>0</v>
      </c>
      <c r="V352" s="51">
        <v>0</v>
      </c>
      <c r="W352" s="50">
        <v>0</v>
      </c>
      <c r="X352" s="40">
        <f t="shared" si="189"/>
        <v>0</v>
      </c>
      <c r="AA352" s="40">
        <f t="shared" si="190"/>
        <v>0</v>
      </c>
      <c r="AB352" s="40">
        <f t="shared" si="191"/>
        <v>0</v>
      </c>
      <c r="AC352" s="67"/>
    </row>
    <row r="353" spans="6:29" x14ac:dyDescent="0.25">
      <c r="F353" s="45" t="str">
        <f t="shared" si="182"/>
        <v xml:space="preserve">S/F  </v>
      </c>
      <c r="G353" s="45">
        <v>0</v>
      </c>
      <c r="H353" s="48">
        <v>0</v>
      </c>
      <c r="I353" s="40">
        <f t="shared" si="183"/>
        <v>0</v>
      </c>
      <c r="J353" s="53"/>
      <c r="K353" s="40">
        <f t="shared" si="184"/>
        <v>0</v>
      </c>
      <c r="L353" s="45">
        <v>0</v>
      </c>
      <c r="M353" s="53">
        <v>0</v>
      </c>
      <c r="N353" s="40">
        <f t="shared" si="185"/>
        <v>0</v>
      </c>
      <c r="P353" s="40">
        <f t="shared" si="186"/>
        <v>0</v>
      </c>
      <c r="Q353" s="47">
        <v>0</v>
      </c>
      <c r="R353" s="49">
        <v>0</v>
      </c>
      <c r="S353" s="40">
        <f t="shared" si="187"/>
        <v>0</v>
      </c>
      <c r="U353" s="40">
        <f t="shared" si="188"/>
        <v>0</v>
      </c>
      <c r="V353" s="51">
        <v>0</v>
      </c>
      <c r="W353" s="50">
        <v>0</v>
      </c>
      <c r="X353" s="40">
        <f t="shared" si="189"/>
        <v>0</v>
      </c>
      <c r="AA353" s="40">
        <f t="shared" si="190"/>
        <v>0</v>
      </c>
      <c r="AB353" s="40">
        <f t="shared" si="191"/>
        <v>0</v>
      </c>
      <c r="AC353" s="67"/>
    </row>
    <row r="354" spans="6:29" x14ac:dyDescent="0.25">
      <c r="F354" s="45" t="str">
        <f t="shared" si="182"/>
        <v xml:space="preserve">S/F  </v>
      </c>
      <c r="G354" s="45">
        <v>0</v>
      </c>
      <c r="H354" s="48">
        <v>0</v>
      </c>
      <c r="I354" s="40">
        <f t="shared" si="183"/>
        <v>0</v>
      </c>
      <c r="J354" s="53"/>
      <c r="K354" s="40">
        <f t="shared" si="184"/>
        <v>0</v>
      </c>
      <c r="L354" s="45">
        <v>0</v>
      </c>
      <c r="M354" s="53">
        <v>0</v>
      </c>
      <c r="N354" s="40">
        <f t="shared" si="185"/>
        <v>0</v>
      </c>
      <c r="P354" s="40">
        <f t="shared" si="186"/>
        <v>0</v>
      </c>
      <c r="Q354" s="47">
        <v>0</v>
      </c>
      <c r="R354" s="49">
        <v>0</v>
      </c>
      <c r="S354" s="40">
        <f t="shared" si="187"/>
        <v>0</v>
      </c>
      <c r="U354" s="40">
        <f t="shared" si="188"/>
        <v>0</v>
      </c>
      <c r="V354" s="51">
        <v>0</v>
      </c>
      <c r="W354" s="50">
        <v>0</v>
      </c>
      <c r="X354" s="40">
        <f t="shared" si="189"/>
        <v>0</v>
      </c>
      <c r="AA354" s="40">
        <f t="shared" si="190"/>
        <v>0</v>
      </c>
      <c r="AB354" s="40">
        <f t="shared" si="191"/>
        <v>0</v>
      </c>
      <c r="AC354" s="67"/>
    </row>
    <row r="355" spans="6:29" x14ac:dyDescent="0.25">
      <c r="F355" s="45" t="str">
        <f t="shared" si="182"/>
        <v xml:space="preserve">S/F  </v>
      </c>
      <c r="G355" s="45">
        <v>0</v>
      </c>
      <c r="H355" s="48">
        <v>0</v>
      </c>
      <c r="I355" s="40">
        <f t="shared" si="183"/>
        <v>0</v>
      </c>
      <c r="J355" s="53"/>
      <c r="K355" s="40">
        <f t="shared" si="184"/>
        <v>0</v>
      </c>
      <c r="L355" s="45">
        <v>0</v>
      </c>
      <c r="M355" s="53">
        <v>0</v>
      </c>
      <c r="N355" s="40">
        <f t="shared" si="185"/>
        <v>0</v>
      </c>
      <c r="P355" s="40">
        <f t="shared" si="186"/>
        <v>0</v>
      </c>
      <c r="Q355" s="47">
        <v>0</v>
      </c>
      <c r="R355" s="49">
        <v>0</v>
      </c>
      <c r="S355" s="40">
        <f t="shared" si="187"/>
        <v>0</v>
      </c>
      <c r="U355" s="40">
        <f t="shared" si="188"/>
        <v>0</v>
      </c>
      <c r="V355" s="51">
        <v>0</v>
      </c>
      <c r="W355" s="50">
        <v>0</v>
      </c>
      <c r="X355" s="40">
        <f t="shared" si="189"/>
        <v>0</v>
      </c>
      <c r="AA355" s="40">
        <f t="shared" si="190"/>
        <v>0</v>
      </c>
      <c r="AB355" s="40">
        <f t="shared" si="191"/>
        <v>0</v>
      </c>
      <c r="AC355" s="67"/>
    </row>
    <row r="356" spans="6:29" x14ac:dyDescent="0.25">
      <c r="F356" s="45" t="str">
        <f t="shared" si="182"/>
        <v xml:space="preserve">S/F  </v>
      </c>
      <c r="G356" s="45">
        <v>0</v>
      </c>
      <c r="H356" s="48">
        <v>0</v>
      </c>
      <c r="I356" s="40">
        <f t="shared" si="183"/>
        <v>0</v>
      </c>
      <c r="J356" s="53"/>
      <c r="K356" s="40">
        <f t="shared" si="184"/>
        <v>0</v>
      </c>
      <c r="L356" s="45">
        <v>0</v>
      </c>
      <c r="M356" s="53">
        <v>0</v>
      </c>
      <c r="N356" s="40">
        <f t="shared" si="185"/>
        <v>0</v>
      </c>
      <c r="P356" s="40">
        <f t="shared" si="186"/>
        <v>0</v>
      </c>
      <c r="Q356" s="47">
        <v>0</v>
      </c>
      <c r="R356" s="49">
        <v>0</v>
      </c>
      <c r="S356" s="40">
        <f t="shared" si="187"/>
        <v>0</v>
      </c>
      <c r="U356" s="40">
        <f t="shared" si="188"/>
        <v>0</v>
      </c>
      <c r="V356" s="51">
        <v>0</v>
      </c>
      <c r="W356" s="50">
        <v>0</v>
      </c>
      <c r="X356" s="40">
        <f t="shared" si="189"/>
        <v>0</v>
      </c>
      <c r="AA356" s="40">
        <f t="shared" si="190"/>
        <v>0</v>
      </c>
      <c r="AB356" s="40">
        <f t="shared" si="191"/>
        <v>0</v>
      </c>
      <c r="AC356" s="67"/>
    </row>
    <row r="357" spans="6:29" x14ac:dyDescent="0.25">
      <c r="F357" s="45" t="str">
        <f t="shared" si="182"/>
        <v xml:space="preserve">S/F  </v>
      </c>
      <c r="G357" s="45">
        <v>0</v>
      </c>
      <c r="H357" s="48">
        <v>0</v>
      </c>
      <c r="I357" s="40">
        <f t="shared" si="183"/>
        <v>0</v>
      </c>
      <c r="J357" s="53"/>
      <c r="K357" s="40">
        <f t="shared" si="184"/>
        <v>0</v>
      </c>
      <c r="L357" s="45">
        <v>0</v>
      </c>
      <c r="M357" s="53">
        <v>0</v>
      </c>
      <c r="N357" s="40">
        <f t="shared" si="185"/>
        <v>0</v>
      </c>
      <c r="P357" s="40">
        <f t="shared" si="186"/>
        <v>0</v>
      </c>
      <c r="Q357" s="47">
        <v>0</v>
      </c>
      <c r="R357" s="49">
        <v>0</v>
      </c>
      <c r="S357" s="40">
        <f t="shared" si="187"/>
        <v>0</v>
      </c>
      <c r="U357" s="40">
        <f t="shared" si="188"/>
        <v>0</v>
      </c>
      <c r="V357" s="51">
        <v>0</v>
      </c>
      <c r="W357" s="50">
        <v>0</v>
      </c>
      <c r="X357" s="40">
        <f t="shared" si="189"/>
        <v>0</v>
      </c>
      <c r="AA357" s="40">
        <f t="shared" si="190"/>
        <v>0</v>
      </c>
      <c r="AB357" s="40">
        <f t="shared" si="191"/>
        <v>0</v>
      </c>
      <c r="AC357" s="67"/>
    </row>
    <row r="358" spans="6:29" x14ac:dyDescent="0.25">
      <c r="F358" s="45" t="str">
        <f t="shared" si="182"/>
        <v xml:space="preserve">S/F  </v>
      </c>
      <c r="G358" s="45">
        <v>0</v>
      </c>
      <c r="H358" s="48">
        <v>0</v>
      </c>
      <c r="I358" s="40">
        <f t="shared" si="183"/>
        <v>0</v>
      </c>
      <c r="J358" s="53"/>
      <c r="K358" s="40">
        <f t="shared" si="184"/>
        <v>0</v>
      </c>
      <c r="L358" s="45">
        <v>0</v>
      </c>
      <c r="M358" s="53">
        <v>0</v>
      </c>
      <c r="N358" s="40">
        <f t="shared" si="185"/>
        <v>0</v>
      </c>
      <c r="P358" s="40">
        <f t="shared" si="186"/>
        <v>0</v>
      </c>
      <c r="Q358" s="45"/>
      <c r="R358" s="53"/>
      <c r="S358" s="40">
        <f t="shared" si="187"/>
        <v>0</v>
      </c>
      <c r="U358" s="40">
        <f t="shared" si="188"/>
        <v>0</v>
      </c>
      <c r="V358" s="51">
        <v>0</v>
      </c>
      <c r="W358" s="50">
        <v>0</v>
      </c>
      <c r="X358" s="40">
        <f t="shared" si="189"/>
        <v>0</v>
      </c>
      <c r="AA358" s="40">
        <f t="shared" si="190"/>
        <v>0</v>
      </c>
      <c r="AB358" s="40">
        <f t="shared" si="191"/>
        <v>0</v>
      </c>
      <c r="AC358" s="67"/>
    </row>
    <row r="359" spans="6:29" x14ac:dyDescent="0.25">
      <c r="F359" s="45" t="str">
        <f t="shared" si="182"/>
        <v xml:space="preserve">S/F  </v>
      </c>
      <c r="G359" s="45">
        <v>0</v>
      </c>
      <c r="H359" s="48">
        <v>0</v>
      </c>
      <c r="I359" s="40">
        <f t="shared" si="183"/>
        <v>0</v>
      </c>
      <c r="J359" s="53"/>
      <c r="K359" s="40">
        <f t="shared" si="184"/>
        <v>0</v>
      </c>
      <c r="L359" s="45">
        <v>0</v>
      </c>
      <c r="M359" s="53">
        <v>0</v>
      </c>
      <c r="N359" s="40">
        <f t="shared" si="185"/>
        <v>0</v>
      </c>
      <c r="P359" s="40">
        <f t="shared" si="186"/>
        <v>0</v>
      </c>
      <c r="Q359" s="45"/>
      <c r="R359" s="53"/>
      <c r="S359" s="40">
        <f t="shared" si="187"/>
        <v>0</v>
      </c>
      <c r="U359" s="40">
        <f t="shared" si="188"/>
        <v>0</v>
      </c>
      <c r="V359" s="51">
        <v>0</v>
      </c>
      <c r="W359" s="50">
        <v>0</v>
      </c>
      <c r="X359" s="40">
        <f t="shared" si="189"/>
        <v>0</v>
      </c>
      <c r="AA359" s="40">
        <f t="shared" si="190"/>
        <v>0</v>
      </c>
      <c r="AB359" s="40">
        <f t="shared" si="191"/>
        <v>0</v>
      </c>
      <c r="AC359" s="67"/>
    </row>
    <row r="360" spans="6:29" x14ac:dyDescent="0.25">
      <c r="F360" s="45" t="str">
        <f t="shared" si="182"/>
        <v xml:space="preserve">S/F  </v>
      </c>
      <c r="G360" s="45">
        <v>0</v>
      </c>
      <c r="H360" s="48">
        <v>0</v>
      </c>
      <c r="I360" s="40">
        <f t="shared" si="183"/>
        <v>0</v>
      </c>
      <c r="J360" s="53"/>
      <c r="K360" s="40">
        <f t="shared" si="184"/>
        <v>0</v>
      </c>
      <c r="L360" s="45">
        <v>0</v>
      </c>
      <c r="M360" s="53">
        <v>0</v>
      </c>
      <c r="N360" s="40">
        <f t="shared" si="185"/>
        <v>0</v>
      </c>
      <c r="P360" s="40">
        <f t="shared" si="186"/>
        <v>0</v>
      </c>
      <c r="Q360" s="45"/>
      <c r="R360" s="53"/>
      <c r="S360" s="40">
        <f t="shared" si="187"/>
        <v>0</v>
      </c>
      <c r="U360" s="40">
        <f t="shared" si="188"/>
        <v>0</v>
      </c>
      <c r="V360" s="51">
        <v>0</v>
      </c>
      <c r="W360" s="50">
        <v>0</v>
      </c>
      <c r="X360" s="40">
        <f t="shared" si="189"/>
        <v>0</v>
      </c>
      <c r="AA360" s="40">
        <f t="shared" si="190"/>
        <v>0</v>
      </c>
      <c r="AB360" s="40">
        <f t="shared" si="191"/>
        <v>0</v>
      </c>
      <c r="AC360" s="67"/>
    </row>
    <row r="361" spans="6:29" x14ac:dyDescent="0.25">
      <c r="F361" s="45" t="str">
        <f t="shared" si="182"/>
        <v xml:space="preserve">S/F  </v>
      </c>
      <c r="G361" s="45">
        <v>0</v>
      </c>
      <c r="H361" s="48">
        <v>0</v>
      </c>
      <c r="I361" s="40">
        <f t="shared" si="183"/>
        <v>0</v>
      </c>
      <c r="J361" s="53"/>
      <c r="K361" s="40">
        <f t="shared" si="184"/>
        <v>0</v>
      </c>
      <c r="L361" s="45">
        <v>0</v>
      </c>
      <c r="M361" s="53">
        <v>0</v>
      </c>
      <c r="N361" s="40">
        <f t="shared" si="185"/>
        <v>0</v>
      </c>
      <c r="P361" s="40">
        <f t="shared" si="186"/>
        <v>0</v>
      </c>
      <c r="Q361" s="45"/>
      <c r="R361" s="53"/>
      <c r="S361" s="40">
        <f t="shared" si="187"/>
        <v>0</v>
      </c>
      <c r="U361" s="40">
        <f t="shared" si="188"/>
        <v>0</v>
      </c>
      <c r="V361" s="51">
        <v>0</v>
      </c>
      <c r="W361" s="50">
        <v>0</v>
      </c>
      <c r="X361" s="40">
        <f t="shared" si="189"/>
        <v>0</v>
      </c>
      <c r="AA361" s="40">
        <f t="shared" si="190"/>
        <v>0</v>
      </c>
      <c r="AB361" s="40">
        <f t="shared" si="191"/>
        <v>0</v>
      </c>
      <c r="AC361" s="67"/>
    </row>
    <row r="362" spans="6:29" x14ac:dyDescent="0.25">
      <c r="F362" s="45" t="str">
        <f t="shared" si="182"/>
        <v xml:space="preserve">S/F  </v>
      </c>
      <c r="G362" s="45">
        <v>0</v>
      </c>
      <c r="H362" s="48">
        <v>0</v>
      </c>
      <c r="I362" s="40">
        <f t="shared" si="183"/>
        <v>0</v>
      </c>
      <c r="J362" s="53"/>
      <c r="K362" s="40">
        <f t="shared" si="184"/>
        <v>0</v>
      </c>
      <c r="L362" s="45">
        <v>0</v>
      </c>
      <c r="M362" s="53">
        <v>0</v>
      </c>
      <c r="N362" s="40">
        <f t="shared" si="185"/>
        <v>0</v>
      </c>
      <c r="P362" s="40">
        <f t="shared" si="186"/>
        <v>0</v>
      </c>
      <c r="Q362" s="45"/>
      <c r="R362" s="53"/>
      <c r="S362" s="40">
        <f t="shared" si="187"/>
        <v>0</v>
      </c>
      <c r="U362" s="40">
        <f t="shared" si="188"/>
        <v>0</v>
      </c>
      <c r="V362" s="51">
        <v>0</v>
      </c>
      <c r="W362" s="50">
        <v>0</v>
      </c>
      <c r="X362" s="40">
        <f t="shared" si="189"/>
        <v>0</v>
      </c>
      <c r="AA362" s="40">
        <f t="shared" si="190"/>
        <v>0</v>
      </c>
      <c r="AB362" s="40">
        <f t="shared" si="191"/>
        <v>0</v>
      </c>
      <c r="AC362" s="67"/>
    </row>
    <row r="363" spans="6:29" x14ac:dyDescent="0.25">
      <c r="F363" s="45" t="str">
        <f t="shared" si="182"/>
        <v xml:space="preserve">S/F  </v>
      </c>
      <c r="G363" s="45">
        <v>0</v>
      </c>
      <c r="H363" s="48">
        <v>0</v>
      </c>
      <c r="I363" s="40">
        <f t="shared" si="183"/>
        <v>0</v>
      </c>
      <c r="J363" s="53"/>
      <c r="K363" s="40">
        <f t="shared" si="184"/>
        <v>0</v>
      </c>
      <c r="L363" s="45">
        <v>0</v>
      </c>
      <c r="M363" s="53">
        <v>0</v>
      </c>
      <c r="N363" s="40">
        <f t="shared" si="185"/>
        <v>0</v>
      </c>
      <c r="P363" s="40">
        <f t="shared" si="186"/>
        <v>0</v>
      </c>
      <c r="Q363" s="45"/>
      <c r="R363" s="53"/>
      <c r="S363" s="40">
        <f t="shared" si="187"/>
        <v>0</v>
      </c>
      <c r="U363" s="40">
        <f t="shared" si="188"/>
        <v>0</v>
      </c>
      <c r="V363" s="51">
        <v>0</v>
      </c>
      <c r="W363" s="50">
        <v>0</v>
      </c>
      <c r="X363" s="40">
        <f t="shared" si="189"/>
        <v>0</v>
      </c>
      <c r="AA363" s="40">
        <f t="shared" si="190"/>
        <v>0</v>
      </c>
      <c r="AB363" s="40">
        <f t="shared" si="191"/>
        <v>0</v>
      </c>
      <c r="AC363" s="67"/>
    </row>
    <row r="364" spans="6:29" x14ac:dyDescent="0.25">
      <c r="F364" s="45" t="str">
        <f t="shared" si="182"/>
        <v xml:space="preserve">S/F  </v>
      </c>
      <c r="G364" s="45">
        <v>0</v>
      </c>
      <c r="H364" s="48">
        <v>0</v>
      </c>
      <c r="I364" s="40">
        <f t="shared" si="183"/>
        <v>0</v>
      </c>
      <c r="J364" s="53"/>
      <c r="K364" s="40">
        <f t="shared" si="184"/>
        <v>0</v>
      </c>
      <c r="L364" s="45">
        <v>0</v>
      </c>
      <c r="M364" s="53">
        <v>0</v>
      </c>
      <c r="N364" s="40">
        <f t="shared" si="185"/>
        <v>0</v>
      </c>
      <c r="P364" s="40">
        <f t="shared" si="186"/>
        <v>0</v>
      </c>
      <c r="Q364" s="45"/>
      <c r="R364" s="53"/>
      <c r="S364" s="40">
        <f t="shared" si="187"/>
        <v>0</v>
      </c>
      <c r="U364" s="40">
        <f t="shared" si="188"/>
        <v>0</v>
      </c>
      <c r="V364" s="51">
        <v>0</v>
      </c>
      <c r="W364" s="50">
        <v>0</v>
      </c>
      <c r="X364" s="40">
        <f t="shared" si="189"/>
        <v>0</v>
      </c>
      <c r="AA364" s="40">
        <f t="shared" si="190"/>
        <v>0</v>
      </c>
      <c r="AB364" s="40">
        <f t="shared" si="191"/>
        <v>0</v>
      </c>
      <c r="AC364" s="67"/>
    </row>
    <row r="365" spans="6:29" x14ac:dyDescent="0.25">
      <c r="F365" s="45" t="str">
        <f t="shared" si="182"/>
        <v xml:space="preserve">S/F  </v>
      </c>
      <c r="G365" s="45">
        <v>0</v>
      </c>
      <c r="H365" s="48">
        <v>0</v>
      </c>
      <c r="I365" s="40">
        <f t="shared" si="183"/>
        <v>0</v>
      </c>
      <c r="J365" s="53"/>
      <c r="K365" s="40">
        <f t="shared" si="184"/>
        <v>0</v>
      </c>
      <c r="L365" s="45">
        <v>0</v>
      </c>
      <c r="M365" s="53">
        <v>0</v>
      </c>
      <c r="N365" s="40">
        <f t="shared" si="185"/>
        <v>0</v>
      </c>
      <c r="P365" s="40">
        <f t="shared" si="186"/>
        <v>0</v>
      </c>
      <c r="Q365" s="45"/>
      <c r="R365" s="53"/>
      <c r="S365" s="40">
        <f t="shared" si="187"/>
        <v>0</v>
      </c>
      <c r="U365" s="40">
        <f t="shared" si="188"/>
        <v>0</v>
      </c>
      <c r="V365" s="51">
        <v>0</v>
      </c>
      <c r="W365" s="50">
        <v>0</v>
      </c>
      <c r="X365" s="40">
        <f t="shared" si="189"/>
        <v>0</v>
      </c>
      <c r="AA365" s="40">
        <f t="shared" si="190"/>
        <v>0</v>
      </c>
      <c r="AB365" s="40">
        <f t="shared" si="191"/>
        <v>0</v>
      </c>
      <c r="AC365" s="67"/>
    </row>
    <row r="366" spans="6:29" x14ac:dyDescent="0.25">
      <c r="F366" s="45" t="str">
        <f t="shared" si="182"/>
        <v xml:space="preserve">S/F  </v>
      </c>
      <c r="G366" s="45">
        <v>0</v>
      </c>
      <c r="H366" s="48">
        <v>0</v>
      </c>
      <c r="I366" s="40">
        <f t="shared" si="183"/>
        <v>0</v>
      </c>
      <c r="J366" s="53"/>
      <c r="K366" s="40">
        <f t="shared" si="184"/>
        <v>0</v>
      </c>
      <c r="L366" s="45">
        <v>0</v>
      </c>
      <c r="M366" s="53">
        <v>0</v>
      </c>
      <c r="N366" s="40">
        <f t="shared" si="185"/>
        <v>0</v>
      </c>
      <c r="P366" s="40">
        <f t="shared" si="186"/>
        <v>0</v>
      </c>
      <c r="Q366" s="45"/>
      <c r="R366" s="53"/>
      <c r="S366" s="40">
        <f t="shared" si="187"/>
        <v>0</v>
      </c>
      <c r="U366" s="40">
        <f t="shared" si="188"/>
        <v>0</v>
      </c>
      <c r="V366" s="51">
        <v>0</v>
      </c>
      <c r="W366" s="50">
        <v>0</v>
      </c>
      <c r="X366" s="40">
        <f t="shared" si="189"/>
        <v>0</v>
      </c>
      <c r="AA366" s="40">
        <f t="shared" si="190"/>
        <v>0</v>
      </c>
      <c r="AB366" s="40">
        <f t="shared" si="191"/>
        <v>0</v>
      </c>
      <c r="AC366" s="67"/>
    </row>
    <row r="367" spans="6:29" x14ac:dyDescent="0.25">
      <c r="F367" s="45" t="str">
        <f t="shared" si="182"/>
        <v xml:space="preserve">S/F  </v>
      </c>
      <c r="G367" s="45">
        <v>0</v>
      </c>
      <c r="H367" s="48">
        <v>0</v>
      </c>
      <c r="I367" s="40">
        <f t="shared" si="183"/>
        <v>0</v>
      </c>
      <c r="J367" s="53"/>
      <c r="K367" s="40">
        <f t="shared" si="184"/>
        <v>0</v>
      </c>
      <c r="L367" s="45">
        <v>0</v>
      </c>
      <c r="M367" s="53">
        <v>0</v>
      </c>
      <c r="N367" s="40">
        <f t="shared" si="185"/>
        <v>0</v>
      </c>
      <c r="P367" s="40">
        <f t="shared" si="186"/>
        <v>0</v>
      </c>
      <c r="Q367" s="45"/>
      <c r="R367" s="53"/>
      <c r="S367" s="40">
        <f t="shared" si="187"/>
        <v>0</v>
      </c>
      <c r="U367" s="40">
        <f t="shared" si="188"/>
        <v>0</v>
      </c>
      <c r="V367" s="51">
        <v>0</v>
      </c>
      <c r="W367" s="50">
        <v>0</v>
      </c>
      <c r="X367" s="40">
        <f t="shared" si="189"/>
        <v>0</v>
      </c>
      <c r="AA367" s="40">
        <f t="shared" si="190"/>
        <v>0</v>
      </c>
      <c r="AB367" s="40">
        <f t="shared" si="191"/>
        <v>0</v>
      </c>
      <c r="AC367" s="67"/>
    </row>
    <row r="368" spans="6:29" x14ac:dyDescent="0.25">
      <c r="F368" s="45" t="str">
        <f t="shared" si="182"/>
        <v xml:space="preserve">S/F  </v>
      </c>
      <c r="G368" s="45">
        <v>0</v>
      </c>
      <c r="H368" s="48">
        <v>0</v>
      </c>
      <c r="I368" s="40">
        <f t="shared" si="183"/>
        <v>0</v>
      </c>
      <c r="J368" s="53"/>
      <c r="K368" s="40">
        <f t="shared" si="184"/>
        <v>0</v>
      </c>
      <c r="L368" s="45">
        <v>0</v>
      </c>
      <c r="M368" s="53">
        <v>0</v>
      </c>
      <c r="N368" s="40">
        <f t="shared" si="185"/>
        <v>0</v>
      </c>
      <c r="P368" s="40">
        <f t="shared" si="186"/>
        <v>0</v>
      </c>
      <c r="Q368" s="45"/>
      <c r="R368" s="53"/>
      <c r="S368" s="40">
        <f t="shared" si="187"/>
        <v>0</v>
      </c>
      <c r="U368" s="40">
        <f t="shared" si="188"/>
        <v>0</v>
      </c>
      <c r="V368" s="51">
        <v>0</v>
      </c>
      <c r="W368" s="50">
        <v>0</v>
      </c>
      <c r="X368" s="40">
        <f t="shared" si="189"/>
        <v>0</v>
      </c>
      <c r="AA368" s="40">
        <f t="shared" si="190"/>
        <v>0</v>
      </c>
      <c r="AB368" s="40">
        <f t="shared" si="191"/>
        <v>0</v>
      </c>
      <c r="AC368" s="67"/>
    </row>
    <row r="369" spans="6:29" x14ac:dyDescent="0.25">
      <c r="F369" s="45" t="str">
        <f t="shared" si="182"/>
        <v xml:space="preserve">S/F  </v>
      </c>
      <c r="G369" s="45">
        <v>0</v>
      </c>
      <c r="H369" s="48">
        <v>0</v>
      </c>
      <c r="I369" s="40">
        <f t="shared" si="183"/>
        <v>0</v>
      </c>
      <c r="J369" s="53"/>
      <c r="K369" s="40">
        <f t="shared" si="184"/>
        <v>0</v>
      </c>
      <c r="L369" s="45">
        <v>0</v>
      </c>
      <c r="M369" s="53">
        <v>0</v>
      </c>
      <c r="N369" s="40">
        <f t="shared" si="185"/>
        <v>0</v>
      </c>
      <c r="P369" s="40">
        <f t="shared" si="186"/>
        <v>0</v>
      </c>
      <c r="Q369" s="45"/>
      <c r="R369" s="53"/>
      <c r="S369" s="40">
        <f t="shared" si="187"/>
        <v>0</v>
      </c>
      <c r="U369" s="40">
        <f t="shared" si="188"/>
        <v>0</v>
      </c>
      <c r="V369" s="51">
        <v>0</v>
      </c>
      <c r="W369" s="50">
        <v>0</v>
      </c>
      <c r="X369" s="40">
        <f t="shared" si="189"/>
        <v>0</v>
      </c>
      <c r="AA369" s="40">
        <f t="shared" si="190"/>
        <v>0</v>
      </c>
      <c r="AB369" s="40">
        <f t="shared" si="191"/>
        <v>0</v>
      </c>
      <c r="AC369" s="67"/>
    </row>
    <row r="370" spans="6:29" x14ac:dyDescent="0.25">
      <c r="F370" s="45" t="str">
        <f t="shared" si="182"/>
        <v xml:space="preserve">S/F  </v>
      </c>
      <c r="G370" s="45">
        <v>0</v>
      </c>
      <c r="H370" s="48">
        <v>0</v>
      </c>
      <c r="I370" s="40">
        <f t="shared" si="183"/>
        <v>0</v>
      </c>
      <c r="J370" s="53"/>
      <c r="K370" s="40">
        <f t="shared" si="184"/>
        <v>0</v>
      </c>
      <c r="L370" s="45">
        <v>0</v>
      </c>
      <c r="M370" s="53">
        <v>0</v>
      </c>
      <c r="N370" s="40">
        <f t="shared" si="185"/>
        <v>0</v>
      </c>
      <c r="P370" s="40">
        <f t="shared" si="186"/>
        <v>0</v>
      </c>
      <c r="Q370" s="45"/>
      <c r="R370" s="53"/>
      <c r="S370" s="40">
        <f t="shared" si="187"/>
        <v>0</v>
      </c>
      <c r="U370" s="40">
        <f t="shared" si="188"/>
        <v>0</v>
      </c>
      <c r="V370" s="51">
        <v>0</v>
      </c>
      <c r="W370" s="50">
        <v>0</v>
      </c>
      <c r="X370" s="40">
        <f t="shared" si="189"/>
        <v>0</v>
      </c>
      <c r="AA370" s="40">
        <f t="shared" si="190"/>
        <v>0</v>
      </c>
      <c r="AB370" s="40">
        <f t="shared" si="191"/>
        <v>0</v>
      </c>
      <c r="AC370" s="67"/>
    </row>
    <row r="371" spans="6:29" x14ac:dyDescent="0.25">
      <c r="F371" s="45" t="str">
        <f t="shared" si="182"/>
        <v xml:space="preserve">S/F  </v>
      </c>
      <c r="G371" s="45">
        <v>0</v>
      </c>
      <c r="H371" s="48">
        <v>0</v>
      </c>
      <c r="I371" s="40">
        <f t="shared" si="183"/>
        <v>0</v>
      </c>
      <c r="J371" s="53"/>
      <c r="K371" s="40">
        <f t="shared" si="184"/>
        <v>0</v>
      </c>
      <c r="L371" s="45">
        <v>0</v>
      </c>
      <c r="M371" s="53">
        <v>0</v>
      </c>
      <c r="N371" s="40">
        <f t="shared" si="185"/>
        <v>0</v>
      </c>
      <c r="P371" s="40">
        <f t="shared" si="186"/>
        <v>0</v>
      </c>
      <c r="Q371" s="45"/>
      <c r="R371" s="53"/>
      <c r="S371" s="40">
        <f t="shared" si="187"/>
        <v>0</v>
      </c>
      <c r="U371" s="40">
        <f t="shared" si="188"/>
        <v>0</v>
      </c>
      <c r="V371" s="51">
        <v>0</v>
      </c>
      <c r="W371" s="50">
        <v>0</v>
      </c>
      <c r="X371" s="40">
        <f t="shared" si="189"/>
        <v>0</v>
      </c>
      <c r="AA371" s="40">
        <f t="shared" si="190"/>
        <v>0</v>
      </c>
      <c r="AB371" s="40">
        <f t="shared" si="191"/>
        <v>0</v>
      </c>
      <c r="AC371" s="67"/>
    </row>
    <row r="372" spans="6:29" x14ac:dyDescent="0.25">
      <c r="F372" s="45" t="str">
        <f t="shared" si="182"/>
        <v xml:space="preserve">S/F  </v>
      </c>
      <c r="G372" s="45">
        <v>0</v>
      </c>
      <c r="H372" s="48">
        <v>0</v>
      </c>
      <c r="I372" s="40">
        <f t="shared" si="183"/>
        <v>0</v>
      </c>
      <c r="J372" s="53"/>
      <c r="K372" s="40">
        <f t="shared" si="184"/>
        <v>0</v>
      </c>
      <c r="L372" s="45">
        <v>0</v>
      </c>
      <c r="M372" s="53">
        <v>0</v>
      </c>
      <c r="N372" s="40">
        <f t="shared" si="185"/>
        <v>0</v>
      </c>
      <c r="P372" s="40">
        <f t="shared" si="186"/>
        <v>0</v>
      </c>
      <c r="Q372" s="45"/>
      <c r="R372" s="53"/>
      <c r="S372" s="40">
        <f t="shared" si="187"/>
        <v>0</v>
      </c>
      <c r="U372" s="40">
        <f t="shared" si="188"/>
        <v>0</v>
      </c>
      <c r="V372" s="51">
        <v>0</v>
      </c>
      <c r="W372" s="50">
        <v>0</v>
      </c>
      <c r="X372" s="40">
        <f t="shared" si="189"/>
        <v>0</v>
      </c>
      <c r="AA372" s="40">
        <f t="shared" si="190"/>
        <v>0</v>
      </c>
      <c r="AB372" s="40">
        <f t="shared" si="191"/>
        <v>0</v>
      </c>
      <c r="AC372" s="67"/>
    </row>
    <row r="373" spans="6:29" x14ac:dyDescent="0.25">
      <c r="F373" s="45" t="str">
        <f t="shared" si="182"/>
        <v xml:space="preserve">S/F  </v>
      </c>
      <c r="G373" s="45">
        <v>0</v>
      </c>
      <c r="H373" s="48">
        <v>0</v>
      </c>
      <c r="I373" s="40">
        <f t="shared" si="183"/>
        <v>0</v>
      </c>
      <c r="J373" s="53"/>
      <c r="K373" s="40">
        <f t="shared" si="184"/>
        <v>0</v>
      </c>
      <c r="L373" s="45">
        <v>0</v>
      </c>
      <c r="M373" s="53">
        <v>0</v>
      </c>
      <c r="N373" s="40">
        <f t="shared" si="185"/>
        <v>0</v>
      </c>
      <c r="P373" s="40">
        <f t="shared" si="186"/>
        <v>0</v>
      </c>
      <c r="Q373" s="45"/>
      <c r="R373" s="53"/>
      <c r="S373" s="40">
        <f t="shared" si="187"/>
        <v>0</v>
      </c>
      <c r="U373" s="40">
        <f t="shared" si="188"/>
        <v>0</v>
      </c>
      <c r="V373" s="51">
        <v>0</v>
      </c>
      <c r="W373" s="50">
        <v>0</v>
      </c>
      <c r="X373" s="40">
        <f t="shared" si="189"/>
        <v>0</v>
      </c>
      <c r="AA373" s="40">
        <f t="shared" si="190"/>
        <v>0</v>
      </c>
      <c r="AB373" s="40">
        <f t="shared" si="191"/>
        <v>0</v>
      </c>
      <c r="AC373" s="67"/>
    </row>
    <row r="374" spans="6:29" x14ac:dyDescent="0.25">
      <c r="F374" s="45" t="str">
        <f t="shared" si="182"/>
        <v xml:space="preserve">S/F  </v>
      </c>
      <c r="G374" s="45">
        <v>0</v>
      </c>
      <c r="H374" s="48">
        <v>0</v>
      </c>
      <c r="I374" s="40">
        <f t="shared" si="183"/>
        <v>0</v>
      </c>
      <c r="J374" s="53"/>
      <c r="K374" s="40">
        <f t="shared" si="184"/>
        <v>0</v>
      </c>
      <c r="L374" s="45">
        <v>0</v>
      </c>
      <c r="M374" s="53">
        <v>0</v>
      </c>
      <c r="N374" s="40">
        <f t="shared" si="185"/>
        <v>0</v>
      </c>
      <c r="P374" s="40">
        <f t="shared" si="186"/>
        <v>0</v>
      </c>
      <c r="Q374" s="45"/>
      <c r="R374" s="53"/>
      <c r="S374" s="40">
        <f t="shared" si="187"/>
        <v>0</v>
      </c>
      <c r="U374" s="40">
        <f t="shared" si="188"/>
        <v>0</v>
      </c>
      <c r="V374" s="51">
        <v>0</v>
      </c>
      <c r="W374" s="50">
        <v>0</v>
      </c>
      <c r="X374" s="40">
        <f t="shared" si="189"/>
        <v>0</v>
      </c>
      <c r="AA374" s="40">
        <f t="shared" si="190"/>
        <v>0</v>
      </c>
      <c r="AB374" s="40">
        <f t="shared" si="191"/>
        <v>0</v>
      </c>
      <c r="AC374" s="67"/>
    </row>
    <row r="375" spans="6:29" x14ac:dyDescent="0.25">
      <c r="F375" s="45" t="str">
        <f t="shared" si="182"/>
        <v xml:space="preserve">S/F  </v>
      </c>
      <c r="G375" s="45">
        <v>0</v>
      </c>
      <c r="H375" s="48">
        <v>0</v>
      </c>
      <c r="I375" s="40">
        <f t="shared" si="183"/>
        <v>0</v>
      </c>
      <c r="J375" s="53"/>
      <c r="K375" s="40">
        <f t="shared" si="184"/>
        <v>0</v>
      </c>
      <c r="L375" s="45">
        <v>0</v>
      </c>
      <c r="M375" s="53">
        <v>0</v>
      </c>
      <c r="N375" s="40">
        <f t="shared" si="185"/>
        <v>0</v>
      </c>
      <c r="P375" s="40">
        <f t="shared" si="186"/>
        <v>0</v>
      </c>
      <c r="Q375" s="45"/>
      <c r="R375" s="53"/>
      <c r="S375" s="40">
        <f t="shared" si="187"/>
        <v>0</v>
      </c>
      <c r="U375" s="40">
        <f t="shared" si="188"/>
        <v>0</v>
      </c>
      <c r="V375" s="51">
        <v>0</v>
      </c>
      <c r="W375" s="50">
        <v>0</v>
      </c>
      <c r="X375" s="40">
        <f t="shared" si="189"/>
        <v>0</v>
      </c>
      <c r="AA375" s="40">
        <f t="shared" si="190"/>
        <v>0</v>
      </c>
      <c r="AB375" s="40">
        <f t="shared" si="191"/>
        <v>0</v>
      </c>
      <c r="AC375" s="67"/>
    </row>
    <row r="376" spans="6:29" x14ac:dyDescent="0.25">
      <c r="F376" s="45" t="str">
        <f t="shared" si="182"/>
        <v xml:space="preserve">S/F  </v>
      </c>
      <c r="G376" s="45">
        <v>0</v>
      </c>
      <c r="H376" s="48">
        <v>0</v>
      </c>
      <c r="I376" s="40">
        <f t="shared" si="183"/>
        <v>0</v>
      </c>
      <c r="J376" s="53"/>
      <c r="K376" s="40">
        <f t="shared" si="184"/>
        <v>0</v>
      </c>
      <c r="L376" s="45">
        <v>0</v>
      </c>
      <c r="M376" s="53">
        <v>0</v>
      </c>
      <c r="N376" s="40">
        <f t="shared" si="185"/>
        <v>0</v>
      </c>
      <c r="P376" s="40">
        <f t="shared" si="186"/>
        <v>0</v>
      </c>
      <c r="Q376" s="45"/>
      <c r="R376" s="53"/>
      <c r="S376" s="40">
        <f t="shared" si="187"/>
        <v>0</v>
      </c>
      <c r="U376" s="40">
        <f t="shared" si="188"/>
        <v>0</v>
      </c>
      <c r="V376" s="51">
        <v>0</v>
      </c>
      <c r="W376" s="50">
        <v>0</v>
      </c>
      <c r="X376" s="40">
        <f t="shared" si="189"/>
        <v>0</v>
      </c>
      <c r="AA376" s="40">
        <f t="shared" si="190"/>
        <v>0</v>
      </c>
      <c r="AB376" s="40">
        <f t="shared" si="191"/>
        <v>0</v>
      </c>
      <c r="AC376" s="67"/>
    </row>
    <row r="377" spans="6:29" x14ac:dyDescent="0.25">
      <c r="F377" s="45" t="str">
        <f t="shared" si="182"/>
        <v xml:space="preserve">S/F  </v>
      </c>
      <c r="G377" s="45">
        <v>0</v>
      </c>
      <c r="H377" s="48">
        <v>0</v>
      </c>
      <c r="I377" s="40">
        <f t="shared" si="183"/>
        <v>0</v>
      </c>
      <c r="J377" s="53"/>
      <c r="K377" s="40">
        <f t="shared" si="184"/>
        <v>0</v>
      </c>
      <c r="L377" s="45">
        <v>0</v>
      </c>
      <c r="M377" s="53">
        <v>0</v>
      </c>
      <c r="N377" s="40">
        <f t="shared" si="185"/>
        <v>0</v>
      </c>
      <c r="P377" s="40">
        <f t="shared" si="186"/>
        <v>0</v>
      </c>
      <c r="Q377" s="45"/>
      <c r="R377" s="53"/>
      <c r="S377" s="40">
        <f t="shared" si="187"/>
        <v>0</v>
      </c>
      <c r="U377" s="40">
        <f t="shared" si="188"/>
        <v>0</v>
      </c>
      <c r="V377" s="51">
        <v>0</v>
      </c>
      <c r="W377" s="50">
        <v>0</v>
      </c>
      <c r="X377" s="40">
        <f t="shared" si="189"/>
        <v>0</v>
      </c>
      <c r="AA377" s="40">
        <f t="shared" si="190"/>
        <v>0</v>
      </c>
      <c r="AB377" s="40">
        <f t="shared" si="191"/>
        <v>0</v>
      </c>
      <c r="AC377" s="67"/>
    </row>
    <row r="378" spans="6:29" x14ac:dyDescent="0.25">
      <c r="F378" s="45" t="str">
        <f t="shared" si="182"/>
        <v xml:space="preserve">S/F  </v>
      </c>
      <c r="G378" s="45">
        <v>0</v>
      </c>
      <c r="H378" s="48">
        <v>0</v>
      </c>
      <c r="I378" s="40">
        <f t="shared" si="183"/>
        <v>0</v>
      </c>
      <c r="J378" s="53"/>
      <c r="K378" s="40">
        <f t="shared" si="184"/>
        <v>0</v>
      </c>
      <c r="L378" s="45">
        <v>0</v>
      </c>
      <c r="M378" s="53">
        <v>0</v>
      </c>
      <c r="N378" s="40">
        <f t="shared" si="185"/>
        <v>0</v>
      </c>
      <c r="P378" s="40">
        <f t="shared" si="186"/>
        <v>0</v>
      </c>
      <c r="Q378" s="45"/>
      <c r="R378" s="53"/>
      <c r="S378" s="40">
        <f t="shared" si="187"/>
        <v>0</v>
      </c>
      <c r="U378" s="40">
        <f t="shared" si="188"/>
        <v>0</v>
      </c>
      <c r="V378" s="51">
        <v>0</v>
      </c>
      <c r="W378" s="50">
        <v>0</v>
      </c>
      <c r="X378" s="40">
        <f t="shared" si="189"/>
        <v>0</v>
      </c>
      <c r="AA378" s="40">
        <f t="shared" si="190"/>
        <v>0</v>
      </c>
      <c r="AB378" s="40">
        <f t="shared" si="191"/>
        <v>0</v>
      </c>
      <c r="AC378" s="67"/>
    </row>
    <row r="379" spans="6:29" x14ac:dyDescent="0.25">
      <c r="F379" s="45" t="str">
        <f t="shared" si="182"/>
        <v xml:space="preserve">S/F  </v>
      </c>
      <c r="G379" s="45">
        <v>0</v>
      </c>
      <c r="H379" s="48">
        <v>0</v>
      </c>
      <c r="I379" s="40">
        <f t="shared" si="183"/>
        <v>0</v>
      </c>
      <c r="J379" s="53"/>
      <c r="K379" s="40">
        <f t="shared" si="184"/>
        <v>0</v>
      </c>
      <c r="L379" s="45">
        <v>0</v>
      </c>
      <c r="M379" s="53">
        <v>0</v>
      </c>
      <c r="N379" s="40">
        <f t="shared" si="185"/>
        <v>0</v>
      </c>
      <c r="P379" s="40">
        <f t="shared" si="186"/>
        <v>0</v>
      </c>
      <c r="Q379" s="45"/>
      <c r="R379" s="53"/>
      <c r="S379" s="40">
        <f t="shared" si="187"/>
        <v>0</v>
      </c>
      <c r="U379" s="40">
        <f t="shared" si="188"/>
        <v>0</v>
      </c>
      <c r="V379" s="51">
        <v>0</v>
      </c>
      <c r="W379" s="50">
        <v>0</v>
      </c>
      <c r="X379" s="40">
        <f t="shared" si="189"/>
        <v>0</v>
      </c>
      <c r="AA379" s="40">
        <f t="shared" si="190"/>
        <v>0</v>
      </c>
      <c r="AB379" s="40">
        <f t="shared" si="191"/>
        <v>0</v>
      </c>
      <c r="AC379" s="67"/>
    </row>
    <row r="380" spans="6:29" x14ac:dyDescent="0.25">
      <c r="F380" s="45" t="str">
        <f t="shared" si="182"/>
        <v xml:space="preserve">S/F  </v>
      </c>
      <c r="G380" s="45">
        <v>0</v>
      </c>
      <c r="H380" s="48">
        <v>0</v>
      </c>
      <c r="I380" s="40">
        <f t="shared" si="183"/>
        <v>0</v>
      </c>
      <c r="J380" s="53"/>
      <c r="K380" s="40">
        <f t="shared" si="184"/>
        <v>0</v>
      </c>
      <c r="L380" s="45">
        <v>0</v>
      </c>
      <c r="M380" s="53">
        <v>0</v>
      </c>
      <c r="N380" s="40">
        <f t="shared" si="185"/>
        <v>0</v>
      </c>
      <c r="P380" s="40">
        <f t="shared" si="186"/>
        <v>0</v>
      </c>
      <c r="Q380" s="45"/>
      <c r="R380" s="53"/>
      <c r="S380" s="40">
        <f t="shared" si="187"/>
        <v>0</v>
      </c>
      <c r="U380" s="40">
        <f t="shared" si="188"/>
        <v>0</v>
      </c>
      <c r="V380" s="51">
        <v>0</v>
      </c>
      <c r="W380" s="50">
        <v>0</v>
      </c>
      <c r="X380" s="40">
        <f t="shared" si="189"/>
        <v>0</v>
      </c>
      <c r="AA380" s="40">
        <f t="shared" si="190"/>
        <v>0</v>
      </c>
      <c r="AB380" s="40">
        <f t="shared" si="191"/>
        <v>0</v>
      </c>
      <c r="AC380" s="67"/>
    </row>
    <row r="381" spans="6:29" x14ac:dyDescent="0.25">
      <c r="F381" s="45" t="str">
        <f t="shared" si="182"/>
        <v xml:space="preserve">S/F  </v>
      </c>
      <c r="G381" s="45">
        <v>0</v>
      </c>
      <c r="H381" s="48">
        <v>0</v>
      </c>
      <c r="I381" s="40">
        <f t="shared" si="183"/>
        <v>0</v>
      </c>
      <c r="J381" s="53"/>
      <c r="K381" s="40">
        <f t="shared" si="184"/>
        <v>0</v>
      </c>
      <c r="L381" s="45">
        <v>0</v>
      </c>
      <c r="M381" s="53">
        <v>0</v>
      </c>
      <c r="N381" s="40">
        <f t="shared" si="185"/>
        <v>0</v>
      </c>
      <c r="P381" s="40">
        <f t="shared" si="186"/>
        <v>0</v>
      </c>
      <c r="Q381" s="45"/>
      <c r="R381" s="53"/>
      <c r="S381" s="40">
        <f t="shared" si="187"/>
        <v>0</v>
      </c>
      <c r="U381" s="40">
        <f t="shared" si="188"/>
        <v>0</v>
      </c>
      <c r="V381" s="51">
        <v>0</v>
      </c>
      <c r="W381" s="50">
        <v>0</v>
      </c>
      <c r="X381" s="40">
        <f t="shared" si="189"/>
        <v>0</v>
      </c>
      <c r="AA381" s="40">
        <f t="shared" si="190"/>
        <v>0</v>
      </c>
      <c r="AB381" s="40">
        <f t="shared" si="191"/>
        <v>0</v>
      </c>
      <c r="AC381" s="67"/>
    </row>
    <row r="382" spans="6:29" x14ac:dyDescent="0.25">
      <c r="F382" s="45" t="str">
        <f t="shared" si="182"/>
        <v xml:space="preserve">S/F  </v>
      </c>
      <c r="G382" s="45">
        <v>0</v>
      </c>
      <c r="H382" s="48">
        <v>0</v>
      </c>
      <c r="I382" s="40">
        <f t="shared" si="183"/>
        <v>0</v>
      </c>
      <c r="J382" s="53"/>
      <c r="K382" s="40">
        <f t="shared" si="184"/>
        <v>0</v>
      </c>
      <c r="L382" s="45">
        <v>0</v>
      </c>
      <c r="M382" s="53">
        <v>0</v>
      </c>
      <c r="N382" s="40">
        <f t="shared" si="185"/>
        <v>0</v>
      </c>
      <c r="P382" s="40">
        <f t="shared" si="186"/>
        <v>0</v>
      </c>
      <c r="Q382" s="45"/>
      <c r="R382" s="53"/>
      <c r="S382" s="40">
        <f t="shared" si="187"/>
        <v>0</v>
      </c>
      <c r="U382" s="40">
        <f t="shared" si="188"/>
        <v>0</v>
      </c>
      <c r="V382" s="51">
        <v>0</v>
      </c>
      <c r="W382" s="50">
        <v>0</v>
      </c>
      <c r="X382" s="40">
        <f t="shared" si="189"/>
        <v>0</v>
      </c>
      <c r="AA382" s="40">
        <f t="shared" si="190"/>
        <v>0</v>
      </c>
      <c r="AB382" s="40">
        <f t="shared" si="191"/>
        <v>0</v>
      </c>
      <c r="AC382" s="67"/>
    </row>
    <row r="383" spans="6:29" x14ac:dyDescent="0.25">
      <c r="F383" s="45" t="str">
        <f t="shared" si="182"/>
        <v xml:space="preserve">S/F  </v>
      </c>
      <c r="G383" s="45">
        <v>0</v>
      </c>
      <c r="H383" s="48">
        <v>0</v>
      </c>
      <c r="I383" s="40">
        <f t="shared" si="183"/>
        <v>0</v>
      </c>
      <c r="J383" s="53"/>
      <c r="K383" s="40">
        <f t="shared" si="184"/>
        <v>0</v>
      </c>
      <c r="L383" s="45">
        <v>0</v>
      </c>
      <c r="M383" s="53">
        <v>0</v>
      </c>
      <c r="N383" s="40">
        <f t="shared" si="185"/>
        <v>0</v>
      </c>
      <c r="P383" s="40">
        <f t="shared" si="186"/>
        <v>0</v>
      </c>
      <c r="Q383" s="45"/>
      <c r="R383" s="53"/>
      <c r="S383" s="40">
        <f t="shared" si="187"/>
        <v>0</v>
      </c>
      <c r="U383" s="40">
        <f t="shared" si="188"/>
        <v>0</v>
      </c>
      <c r="V383" s="51">
        <v>0</v>
      </c>
      <c r="W383" s="50">
        <v>0</v>
      </c>
      <c r="X383" s="40">
        <f t="shared" si="189"/>
        <v>0</v>
      </c>
      <c r="AA383" s="40">
        <f t="shared" si="190"/>
        <v>0</v>
      </c>
      <c r="AB383" s="40">
        <f t="shared" si="191"/>
        <v>0</v>
      </c>
      <c r="AC383" s="67"/>
    </row>
    <row r="384" spans="6:29" x14ac:dyDescent="0.25">
      <c r="F384" s="45" t="str">
        <f t="shared" si="182"/>
        <v xml:space="preserve">S/F  </v>
      </c>
      <c r="G384" s="45">
        <v>0</v>
      </c>
      <c r="H384" s="48">
        <v>0</v>
      </c>
      <c r="I384" s="40">
        <f t="shared" si="183"/>
        <v>0</v>
      </c>
      <c r="J384" s="53"/>
      <c r="K384" s="40">
        <f t="shared" si="184"/>
        <v>0</v>
      </c>
      <c r="L384" s="45">
        <v>0</v>
      </c>
      <c r="M384" s="53">
        <v>0</v>
      </c>
      <c r="N384" s="40">
        <f t="shared" si="185"/>
        <v>0</v>
      </c>
      <c r="P384" s="40">
        <f t="shared" si="186"/>
        <v>0</v>
      </c>
      <c r="Q384" s="45"/>
      <c r="R384" s="53"/>
      <c r="S384" s="40">
        <f t="shared" si="187"/>
        <v>0</v>
      </c>
      <c r="U384" s="40">
        <f t="shared" si="188"/>
        <v>0</v>
      </c>
      <c r="V384" s="51">
        <v>0</v>
      </c>
      <c r="W384" s="50">
        <v>0</v>
      </c>
      <c r="X384" s="40">
        <f t="shared" si="189"/>
        <v>0</v>
      </c>
      <c r="AA384" s="40">
        <f t="shared" si="190"/>
        <v>0</v>
      </c>
      <c r="AB384" s="40">
        <f t="shared" si="191"/>
        <v>0</v>
      </c>
      <c r="AC384" s="67"/>
    </row>
    <row r="385" spans="6:29" x14ac:dyDescent="0.25">
      <c r="F385" s="45" t="str">
        <f t="shared" si="182"/>
        <v xml:space="preserve">S/F  </v>
      </c>
      <c r="G385" s="45">
        <v>0</v>
      </c>
      <c r="H385" s="48">
        <v>0</v>
      </c>
      <c r="I385" s="40">
        <f t="shared" si="183"/>
        <v>0</v>
      </c>
      <c r="J385" s="53"/>
      <c r="K385" s="40">
        <f t="shared" si="184"/>
        <v>0</v>
      </c>
      <c r="L385" s="45">
        <v>0</v>
      </c>
      <c r="M385" s="53">
        <v>0</v>
      </c>
      <c r="N385" s="40">
        <f t="shared" si="185"/>
        <v>0</v>
      </c>
      <c r="P385" s="40">
        <f t="shared" si="186"/>
        <v>0</v>
      </c>
      <c r="Q385" s="45"/>
      <c r="R385" s="53"/>
      <c r="S385" s="40">
        <f t="shared" si="187"/>
        <v>0</v>
      </c>
      <c r="U385" s="40">
        <f t="shared" si="188"/>
        <v>0</v>
      </c>
      <c r="V385" s="51">
        <v>0</v>
      </c>
      <c r="W385" s="50">
        <v>0</v>
      </c>
      <c r="X385" s="40">
        <f t="shared" si="189"/>
        <v>0</v>
      </c>
      <c r="AA385" s="40">
        <f t="shared" si="190"/>
        <v>0</v>
      </c>
      <c r="AB385" s="40">
        <f t="shared" si="191"/>
        <v>0</v>
      </c>
      <c r="AC385" s="67"/>
    </row>
    <row r="386" spans="6:29" x14ac:dyDescent="0.25">
      <c r="F386" s="45" t="str">
        <f t="shared" si="182"/>
        <v xml:space="preserve">S/F  </v>
      </c>
      <c r="G386" s="45">
        <v>0</v>
      </c>
      <c r="H386" s="48">
        <v>0</v>
      </c>
      <c r="I386" s="40">
        <f t="shared" si="183"/>
        <v>0</v>
      </c>
      <c r="J386" s="53"/>
      <c r="K386" s="40">
        <f t="shared" si="184"/>
        <v>0</v>
      </c>
      <c r="L386" s="45">
        <v>0</v>
      </c>
      <c r="M386" s="53">
        <v>0</v>
      </c>
      <c r="N386" s="40">
        <f t="shared" si="185"/>
        <v>0</v>
      </c>
      <c r="P386" s="40">
        <f t="shared" si="186"/>
        <v>0</v>
      </c>
      <c r="Q386" s="45"/>
      <c r="R386" s="53"/>
      <c r="S386" s="40">
        <f t="shared" si="187"/>
        <v>0</v>
      </c>
      <c r="U386" s="40">
        <f t="shared" si="188"/>
        <v>0</v>
      </c>
      <c r="V386" s="51">
        <v>0</v>
      </c>
      <c r="W386" s="50">
        <v>0</v>
      </c>
      <c r="X386" s="40">
        <f t="shared" si="189"/>
        <v>0</v>
      </c>
      <c r="AA386" s="40">
        <f t="shared" si="190"/>
        <v>0</v>
      </c>
      <c r="AB386" s="40">
        <f t="shared" si="191"/>
        <v>0</v>
      </c>
      <c r="AC386" s="67"/>
    </row>
    <row r="387" spans="6:29" x14ac:dyDescent="0.25">
      <c r="F387" s="45" t="str">
        <f t="shared" si="182"/>
        <v xml:space="preserve">S/F  </v>
      </c>
      <c r="G387" s="45">
        <v>0</v>
      </c>
      <c r="H387" s="48">
        <v>0</v>
      </c>
      <c r="I387" s="40">
        <f t="shared" si="183"/>
        <v>0</v>
      </c>
      <c r="J387" s="53"/>
      <c r="K387" s="40">
        <f t="shared" si="184"/>
        <v>0</v>
      </c>
      <c r="L387" s="45">
        <v>0</v>
      </c>
      <c r="M387" s="53">
        <v>0</v>
      </c>
      <c r="N387" s="40">
        <f t="shared" si="185"/>
        <v>0</v>
      </c>
      <c r="P387" s="40">
        <f t="shared" si="186"/>
        <v>0</v>
      </c>
      <c r="Q387" s="45"/>
      <c r="R387" s="53"/>
      <c r="S387" s="40">
        <f t="shared" si="187"/>
        <v>0</v>
      </c>
      <c r="U387" s="40">
        <f t="shared" si="188"/>
        <v>0</v>
      </c>
      <c r="V387" s="51">
        <v>0</v>
      </c>
      <c r="W387" s="50">
        <v>0</v>
      </c>
      <c r="X387" s="40">
        <f t="shared" si="189"/>
        <v>0</v>
      </c>
      <c r="AA387" s="40">
        <f t="shared" si="190"/>
        <v>0</v>
      </c>
      <c r="AB387" s="40">
        <f t="shared" si="191"/>
        <v>0</v>
      </c>
      <c r="AC387" s="67"/>
    </row>
    <row r="388" spans="6:29" x14ac:dyDescent="0.25">
      <c r="F388" s="45" t="str">
        <f t="shared" si="182"/>
        <v xml:space="preserve">S/F  </v>
      </c>
      <c r="G388" s="45">
        <v>0</v>
      </c>
      <c r="H388" s="48">
        <v>0</v>
      </c>
      <c r="I388" s="40">
        <f t="shared" si="183"/>
        <v>0</v>
      </c>
      <c r="J388" s="53"/>
      <c r="K388" s="40">
        <f t="shared" si="184"/>
        <v>0</v>
      </c>
      <c r="L388" s="45">
        <v>0</v>
      </c>
      <c r="M388" s="53">
        <v>0</v>
      </c>
      <c r="N388" s="40">
        <f t="shared" si="185"/>
        <v>0</v>
      </c>
      <c r="P388" s="40">
        <f t="shared" si="186"/>
        <v>0</v>
      </c>
      <c r="Q388" s="45"/>
      <c r="R388" s="53"/>
      <c r="S388" s="40">
        <f t="shared" si="187"/>
        <v>0</v>
      </c>
      <c r="U388" s="40">
        <f t="shared" si="188"/>
        <v>0</v>
      </c>
      <c r="V388" s="51">
        <v>0</v>
      </c>
      <c r="W388" s="50">
        <v>0</v>
      </c>
      <c r="X388" s="40">
        <f t="shared" si="189"/>
        <v>0</v>
      </c>
      <c r="AA388" s="40">
        <f t="shared" si="190"/>
        <v>0</v>
      </c>
      <c r="AB388" s="40">
        <f t="shared" si="191"/>
        <v>0</v>
      </c>
      <c r="AC388" s="67"/>
    </row>
    <row r="389" spans="6:29" x14ac:dyDescent="0.25">
      <c r="F389" s="45" t="str">
        <f t="shared" si="182"/>
        <v xml:space="preserve">S/F  </v>
      </c>
      <c r="G389" s="45">
        <v>0</v>
      </c>
      <c r="H389" s="48">
        <v>0</v>
      </c>
      <c r="I389" s="40">
        <f t="shared" si="183"/>
        <v>0</v>
      </c>
      <c r="J389" s="53"/>
      <c r="K389" s="40">
        <f t="shared" si="184"/>
        <v>0</v>
      </c>
      <c r="L389" s="45">
        <v>0</v>
      </c>
      <c r="M389" s="53">
        <v>0</v>
      </c>
      <c r="N389" s="40">
        <f t="shared" si="185"/>
        <v>0</v>
      </c>
      <c r="P389" s="40">
        <f t="shared" si="186"/>
        <v>0</v>
      </c>
      <c r="Q389" s="45"/>
      <c r="R389" s="53"/>
      <c r="S389" s="40">
        <f t="shared" si="187"/>
        <v>0</v>
      </c>
      <c r="U389" s="40">
        <f t="shared" si="188"/>
        <v>0</v>
      </c>
      <c r="V389" s="51">
        <v>0</v>
      </c>
      <c r="W389" s="50">
        <v>0</v>
      </c>
      <c r="X389" s="40">
        <f t="shared" si="189"/>
        <v>0</v>
      </c>
      <c r="AA389" s="40">
        <f t="shared" si="190"/>
        <v>0</v>
      </c>
      <c r="AB389" s="40">
        <f t="shared" si="191"/>
        <v>0</v>
      </c>
      <c r="AC389" s="67"/>
    </row>
    <row r="390" spans="6:29" x14ac:dyDescent="0.25">
      <c r="F390" s="45" t="str">
        <f t="shared" si="182"/>
        <v xml:space="preserve">S/F  </v>
      </c>
      <c r="G390" s="45">
        <v>0</v>
      </c>
      <c r="H390" s="48">
        <v>0</v>
      </c>
      <c r="I390" s="40">
        <f t="shared" si="183"/>
        <v>0</v>
      </c>
      <c r="J390" s="53"/>
      <c r="K390" s="40">
        <f t="shared" si="184"/>
        <v>0</v>
      </c>
      <c r="L390" s="45">
        <v>0</v>
      </c>
      <c r="M390" s="53">
        <v>0</v>
      </c>
      <c r="N390" s="40">
        <f t="shared" si="185"/>
        <v>0</v>
      </c>
      <c r="P390" s="40">
        <f t="shared" si="186"/>
        <v>0</v>
      </c>
      <c r="Q390" s="45"/>
      <c r="R390" s="53"/>
      <c r="S390" s="40">
        <f t="shared" si="187"/>
        <v>0</v>
      </c>
      <c r="U390" s="40">
        <f t="shared" si="188"/>
        <v>0</v>
      </c>
      <c r="V390" s="51">
        <v>0</v>
      </c>
      <c r="W390" s="50">
        <v>0</v>
      </c>
      <c r="X390" s="40">
        <f t="shared" si="189"/>
        <v>0</v>
      </c>
      <c r="AA390" s="40">
        <f t="shared" si="190"/>
        <v>0</v>
      </c>
      <c r="AB390" s="40">
        <f t="shared" si="191"/>
        <v>0</v>
      </c>
      <c r="AC390" s="67"/>
    </row>
    <row r="391" spans="6:29" x14ac:dyDescent="0.25">
      <c r="F391" s="45" t="str">
        <f t="shared" si="182"/>
        <v xml:space="preserve">S/F  </v>
      </c>
      <c r="G391" s="45">
        <v>0</v>
      </c>
      <c r="H391" s="48">
        <v>0</v>
      </c>
      <c r="I391" s="40">
        <f t="shared" si="183"/>
        <v>0</v>
      </c>
      <c r="J391" s="53"/>
      <c r="K391" s="40">
        <f t="shared" si="184"/>
        <v>0</v>
      </c>
      <c r="L391" s="45">
        <v>0</v>
      </c>
      <c r="M391" s="53">
        <v>0</v>
      </c>
      <c r="N391" s="40">
        <f t="shared" si="185"/>
        <v>0</v>
      </c>
      <c r="P391" s="40">
        <f t="shared" si="186"/>
        <v>0</v>
      </c>
      <c r="Q391" s="45"/>
      <c r="R391" s="53"/>
      <c r="S391" s="40">
        <f t="shared" si="187"/>
        <v>0</v>
      </c>
      <c r="U391" s="40">
        <f t="shared" si="188"/>
        <v>0</v>
      </c>
      <c r="V391" s="51">
        <v>0</v>
      </c>
      <c r="W391" s="50">
        <v>0</v>
      </c>
      <c r="X391" s="40">
        <f t="shared" si="189"/>
        <v>0</v>
      </c>
      <c r="AA391" s="40">
        <f t="shared" si="190"/>
        <v>0</v>
      </c>
      <c r="AB391" s="40">
        <f t="shared" si="191"/>
        <v>0</v>
      </c>
      <c r="AC391" s="67"/>
    </row>
    <row r="392" spans="6:29" x14ac:dyDescent="0.25">
      <c r="F392" s="45" t="str">
        <f t="shared" si="182"/>
        <v xml:space="preserve">S/F  </v>
      </c>
      <c r="G392" s="45">
        <v>0</v>
      </c>
      <c r="H392" s="48">
        <v>0</v>
      </c>
      <c r="I392" s="40">
        <f t="shared" si="183"/>
        <v>0</v>
      </c>
      <c r="J392" s="53"/>
      <c r="K392" s="40">
        <f t="shared" si="184"/>
        <v>0</v>
      </c>
      <c r="L392" s="45">
        <v>0</v>
      </c>
      <c r="M392" s="53">
        <v>0</v>
      </c>
      <c r="N392" s="40">
        <f t="shared" si="185"/>
        <v>0</v>
      </c>
      <c r="P392" s="40">
        <f t="shared" si="186"/>
        <v>0</v>
      </c>
      <c r="Q392" s="45"/>
      <c r="R392" s="53"/>
      <c r="S392" s="40">
        <f t="shared" si="187"/>
        <v>0</v>
      </c>
      <c r="U392" s="40">
        <f t="shared" si="188"/>
        <v>0</v>
      </c>
      <c r="V392" s="51">
        <v>0</v>
      </c>
      <c r="W392" s="50">
        <v>0</v>
      </c>
      <c r="X392" s="40">
        <f t="shared" si="189"/>
        <v>0</v>
      </c>
      <c r="AA392" s="40">
        <f t="shared" si="190"/>
        <v>0</v>
      </c>
      <c r="AB392" s="40">
        <f t="shared" si="191"/>
        <v>0</v>
      </c>
      <c r="AC392" s="67"/>
    </row>
    <row r="393" spans="6:29" x14ac:dyDescent="0.25">
      <c r="F393" s="45" t="str">
        <f t="shared" si="182"/>
        <v xml:space="preserve">S/F  </v>
      </c>
      <c r="G393" s="45">
        <v>0</v>
      </c>
      <c r="H393" s="48">
        <v>0</v>
      </c>
      <c r="I393" s="40">
        <f t="shared" si="183"/>
        <v>0</v>
      </c>
      <c r="J393" s="53"/>
      <c r="K393" s="40">
        <f t="shared" si="184"/>
        <v>0</v>
      </c>
      <c r="L393" s="45">
        <v>0</v>
      </c>
      <c r="M393" s="53">
        <v>0</v>
      </c>
      <c r="N393" s="40">
        <f t="shared" si="185"/>
        <v>0</v>
      </c>
      <c r="P393" s="40">
        <f t="shared" si="186"/>
        <v>0</v>
      </c>
      <c r="Q393" s="45"/>
      <c r="R393" s="53"/>
      <c r="S393" s="40">
        <f t="shared" si="187"/>
        <v>0</v>
      </c>
      <c r="U393" s="40">
        <f t="shared" si="188"/>
        <v>0</v>
      </c>
      <c r="V393" s="51">
        <v>0</v>
      </c>
      <c r="W393" s="50">
        <v>0</v>
      </c>
      <c r="X393" s="40">
        <f t="shared" si="189"/>
        <v>0</v>
      </c>
      <c r="AA393" s="40">
        <f t="shared" si="190"/>
        <v>0</v>
      </c>
      <c r="AB393" s="40">
        <f t="shared" si="191"/>
        <v>0</v>
      </c>
      <c r="AC393" s="67"/>
    </row>
    <row r="394" spans="6:29" x14ac:dyDescent="0.25">
      <c r="F394" s="45" t="str">
        <f t="shared" si="182"/>
        <v xml:space="preserve">S/F  </v>
      </c>
      <c r="G394" s="45">
        <v>0</v>
      </c>
      <c r="H394" s="48">
        <v>0</v>
      </c>
      <c r="I394" s="40">
        <f t="shared" si="183"/>
        <v>0</v>
      </c>
      <c r="J394" s="53"/>
      <c r="K394" s="40">
        <f t="shared" si="184"/>
        <v>0</v>
      </c>
      <c r="L394" s="45">
        <v>0</v>
      </c>
      <c r="M394" s="53">
        <v>0</v>
      </c>
      <c r="N394" s="40">
        <f t="shared" si="185"/>
        <v>0</v>
      </c>
      <c r="P394" s="40">
        <f t="shared" si="186"/>
        <v>0</v>
      </c>
      <c r="Q394" s="45"/>
      <c r="R394" s="53"/>
      <c r="S394" s="40">
        <f t="shared" si="187"/>
        <v>0</v>
      </c>
      <c r="U394" s="40">
        <f t="shared" si="188"/>
        <v>0</v>
      </c>
      <c r="V394" s="51">
        <v>0</v>
      </c>
      <c r="W394" s="50">
        <v>0</v>
      </c>
      <c r="X394" s="40">
        <f t="shared" si="189"/>
        <v>0</v>
      </c>
      <c r="AA394" s="40">
        <f t="shared" si="190"/>
        <v>0</v>
      </c>
      <c r="AB394" s="40">
        <f t="shared" si="191"/>
        <v>0</v>
      </c>
      <c r="AC394" s="67"/>
    </row>
    <row r="395" spans="6:29" x14ac:dyDescent="0.25">
      <c r="F395" s="45" t="str">
        <f t="shared" si="182"/>
        <v xml:space="preserve">S/F  </v>
      </c>
      <c r="G395" s="45">
        <v>0</v>
      </c>
      <c r="H395" s="48">
        <v>0</v>
      </c>
      <c r="I395" s="40">
        <f t="shared" si="183"/>
        <v>0</v>
      </c>
      <c r="J395" s="53"/>
      <c r="K395" s="40">
        <f t="shared" si="184"/>
        <v>0</v>
      </c>
      <c r="L395" s="45">
        <v>0</v>
      </c>
      <c r="M395" s="53">
        <v>0</v>
      </c>
      <c r="N395" s="40">
        <f t="shared" si="185"/>
        <v>0</v>
      </c>
      <c r="P395" s="40">
        <f t="shared" si="186"/>
        <v>0</v>
      </c>
      <c r="Q395" s="45"/>
      <c r="R395" s="53"/>
      <c r="S395" s="40">
        <f t="shared" si="187"/>
        <v>0</v>
      </c>
      <c r="U395" s="40">
        <f t="shared" si="188"/>
        <v>0</v>
      </c>
      <c r="V395" s="51">
        <v>0</v>
      </c>
      <c r="W395" s="50">
        <v>0</v>
      </c>
      <c r="X395" s="40">
        <f t="shared" si="189"/>
        <v>0</v>
      </c>
      <c r="AA395" s="40">
        <f t="shared" si="190"/>
        <v>0</v>
      </c>
      <c r="AB395" s="40">
        <f t="shared" si="191"/>
        <v>0</v>
      </c>
      <c r="AC395" s="67"/>
    </row>
    <row r="396" spans="6:29" x14ac:dyDescent="0.25">
      <c r="F396" s="45" t="str">
        <f t="shared" si="182"/>
        <v xml:space="preserve">S/F  </v>
      </c>
      <c r="G396" s="45">
        <v>0</v>
      </c>
      <c r="H396" s="48">
        <v>0</v>
      </c>
      <c r="I396" s="40">
        <f t="shared" si="183"/>
        <v>0</v>
      </c>
      <c r="J396" s="53"/>
      <c r="K396" s="40">
        <f t="shared" si="184"/>
        <v>0</v>
      </c>
      <c r="L396" s="45">
        <v>0</v>
      </c>
      <c r="M396" s="53">
        <v>0</v>
      </c>
      <c r="N396" s="40">
        <f t="shared" si="185"/>
        <v>0</v>
      </c>
      <c r="P396" s="40">
        <f t="shared" si="186"/>
        <v>0</v>
      </c>
      <c r="Q396" s="45"/>
      <c r="R396" s="53"/>
      <c r="S396" s="40">
        <f t="shared" si="187"/>
        <v>0</v>
      </c>
      <c r="U396" s="40">
        <f t="shared" si="188"/>
        <v>0</v>
      </c>
      <c r="V396" s="51">
        <v>0</v>
      </c>
      <c r="W396" s="50">
        <v>0</v>
      </c>
      <c r="X396" s="40">
        <f t="shared" si="189"/>
        <v>0</v>
      </c>
      <c r="AA396" s="40">
        <f t="shared" si="190"/>
        <v>0</v>
      </c>
      <c r="AB396" s="40">
        <f t="shared" si="191"/>
        <v>0</v>
      </c>
      <c r="AC396" s="67"/>
    </row>
    <row r="397" spans="6:29" x14ac:dyDescent="0.25">
      <c r="F397" s="45" t="str">
        <f t="shared" ref="F397:F460" si="192">"S/F "&amp;B397&amp;" "&amp;E397</f>
        <v xml:space="preserve">S/F  </v>
      </c>
      <c r="G397" s="45">
        <v>0</v>
      </c>
      <c r="H397" s="48">
        <v>0</v>
      </c>
      <c r="I397" s="40">
        <f t="shared" si="183"/>
        <v>0</v>
      </c>
      <c r="J397" s="53"/>
      <c r="K397" s="40">
        <f t="shared" si="184"/>
        <v>0</v>
      </c>
      <c r="L397" s="45">
        <v>0</v>
      </c>
      <c r="M397" s="53">
        <v>0</v>
      </c>
      <c r="N397" s="40">
        <f t="shared" si="185"/>
        <v>0</v>
      </c>
      <c r="P397" s="40">
        <f t="shared" si="186"/>
        <v>0</v>
      </c>
      <c r="Q397" s="45"/>
      <c r="R397" s="53"/>
      <c r="S397" s="40">
        <f t="shared" si="187"/>
        <v>0</v>
      </c>
      <c r="U397" s="40">
        <f t="shared" si="188"/>
        <v>0</v>
      </c>
      <c r="V397" s="51">
        <v>0</v>
      </c>
      <c r="W397" s="50">
        <v>0</v>
      </c>
      <c r="X397" s="40">
        <f t="shared" si="189"/>
        <v>0</v>
      </c>
      <c r="AA397" s="40">
        <f t="shared" si="190"/>
        <v>0</v>
      </c>
      <c r="AB397" s="40">
        <f t="shared" si="191"/>
        <v>0</v>
      </c>
      <c r="AC397" s="67"/>
    </row>
    <row r="398" spans="6:29" x14ac:dyDescent="0.25">
      <c r="F398" s="45" t="str">
        <f t="shared" si="192"/>
        <v xml:space="preserve">S/F  </v>
      </c>
      <c r="G398" s="45">
        <v>0</v>
      </c>
      <c r="H398" s="48">
        <v>0</v>
      </c>
      <c r="I398" s="40">
        <f t="shared" si="183"/>
        <v>0</v>
      </c>
      <c r="J398" s="53"/>
      <c r="K398" s="40">
        <f t="shared" si="184"/>
        <v>0</v>
      </c>
      <c r="L398" s="45">
        <v>0</v>
      </c>
      <c r="M398" s="53">
        <v>0</v>
      </c>
      <c r="N398" s="40">
        <f t="shared" si="185"/>
        <v>0</v>
      </c>
      <c r="P398" s="40">
        <f t="shared" si="186"/>
        <v>0</v>
      </c>
      <c r="Q398" s="45"/>
      <c r="R398" s="53"/>
      <c r="S398" s="40">
        <f t="shared" si="187"/>
        <v>0</v>
      </c>
      <c r="U398" s="40">
        <f t="shared" si="188"/>
        <v>0</v>
      </c>
      <c r="V398" s="51">
        <v>0</v>
      </c>
      <c r="W398" s="50">
        <v>0</v>
      </c>
      <c r="X398" s="40">
        <f t="shared" si="189"/>
        <v>0</v>
      </c>
      <c r="AA398" s="40">
        <f t="shared" si="190"/>
        <v>0</v>
      </c>
      <c r="AB398" s="40">
        <f t="shared" si="191"/>
        <v>0</v>
      </c>
      <c r="AC398" s="67"/>
    </row>
    <row r="399" spans="6:29" x14ac:dyDescent="0.25">
      <c r="F399" s="45" t="str">
        <f t="shared" si="192"/>
        <v xml:space="preserve">S/F  </v>
      </c>
      <c r="G399" s="45">
        <v>0</v>
      </c>
      <c r="H399" s="48">
        <v>0</v>
      </c>
      <c r="I399" s="40">
        <f t="shared" si="183"/>
        <v>0</v>
      </c>
      <c r="J399" s="53"/>
      <c r="K399" s="40">
        <f t="shared" si="184"/>
        <v>0</v>
      </c>
      <c r="L399" s="45">
        <v>0</v>
      </c>
      <c r="M399" s="53">
        <v>0</v>
      </c>
      <c r="N399" s="40">
        <f t="shared" si="185"/>
        <v>0</v>
      </c>
      <c r="P399" s="40">
        <f t="shared" si="186"/>
        <v>0</v>
      </c>
      <c r="Q399" s="45"/>
      <c r="R399" s="53"/>
      <c r="S399" s="40">
        <f t="shared" si="187"/>
        <v>0</v>
      </c>
      <c r="U399" s="40">
        <f t="shared" si="188"/>
        <v>0</v>
      </c>
      <c r="V399" s="51">
        <v>0</v>
      </c>
      <c r="W399" s="50">
        <v>0</v>
      </c>
      <c r="X399" s="40">
        <f t="shared" si="189"/>
        <v>0</v>
      </c>
      <c r="AA399" s="40">
        <f t="shared" si="190"/>
        <v>0</v>
      </c>
      <c r="AB399" s="40">
        <f t="shared" si="191"/>
        <v>0</v>
      </c>
      <c r="AC399" s="67"/>
    </row>
    <row r="400" spans="6:29" x14ac:dyDescent="0.25">
      <c r="F400" s="45" t="str">
        <f t="shared" si="192"/>
        <v xml:space="preserve">S/F  </v>
      </c>
      <c r="G400" s="45">
        <v>0</v>
      </c>
      <c r="H400" s="48">
        <v>0</v>
      </c>
      <c r="I400" s="40">
        <f t="shared" si="183"/>
        <v>0</v>
      </c>
      <c r="J400" s="53"/>
      <c r="K400" s="40">
        <f t="shared" si="184"/>
        <v>0</v>
      </c>
      <c r="L400" s="45">
        <v>0</v>
      </c>
      <c r="M400" s="53">
        <v>0</v>
      </c>
      <c r="N400" s="40">
        <f t="shared" si="185"/>
        <v>0</v>
      </c>
      <c r="P400" s="40">
        <f t="shared" si="186"/>
        <v>0</v>
      </c>
      <c r="Q400" s="45"/>
      <c r="R400" s="53"/>
      <c r="S400" s="40">
        <f t="shared" si="187"/>
        <v>0</v>
      </c>
      <c r="U400" s="40">
        <f t="shared" si="188"/>
        <v>0</v>
      </c>
      <c r="V400" s="51">
        <v>0</v>
      </c>
      <c r="W400" s="50">
        <v>0</v>
      </c>
      <c r="X400" s="40">
        <f t="shared" si="189"/>
        <v>0</v>
      </c>
      <c r="AA400" s="40">
        <f t="shared" si="190"/>
        <v>0</v>
      </c>
      <c r="AB400" s="40">
        <f t="shared" si="191"/>
        <v>0</v>
      </c>
      <c r="AC400" s="67"/>
    </row>
    <row r="401" spans="6:29" x14ac:dyDescent="0.25">
      <c r="F401" s="45" t="str">
        <f t="shared" si="192"/>
        <v xml:space="preserve">S/F  </v>
      </c>
      <c r="G401" s="45">
        <v>0</v>
      </c>
      <c r="H401" s="48">
        <v>0</v>
      </c>
      <c r="I401" s="40">
        <f t="shared" si="183"/>
        <v>0</v>
      </c>
      <c r="J401" s="53"/>
      <c r="K401" s="40">
        <f t="shared" si="184"/>
        <v>0</v>
      </c>
      <c r="L401" s="45">
        <v>0</v>
      </c>
      <c r="M401" s="53">
        <v>0</v>
      </c>
      <c r="N401" s="40">
        <f t="shared" si="185"/>
        <v>0</v>
      </c>
      <c r="P401" s="40">
        <f t="shared" si="186"/>
        <v>0</v>
      </c>
      <c r="Q401" s="45"/>
      <c r="R401" s="53"/>
      <c r="S401" s="40">
        <f t="shared" si="187"/>
        <v>0</v>
      </c>
      <c r="U401" s="40">
        <f t="shared" si="188"/>
        <v>0</v>
      </c>
      <c r="V401" s="51">
        <v>0</v>
      </c>
      <c r="W401" s="50">
        <v>0</v>
      </c>
      <c r="X401" s="40">
        <f t="shared" si="189"/>
        <v>0</v>
      </c>
      <c r="AA401" s="40">
        <f t="shared" si="190"/>
        <v>0</v>
      </c>
      <c r="AB401" s="40">
        <f t="shared" si="191"/>
        <v>0</v>
      </c>
      <c r="AC401" s="67"/>
    </row>
    <row r="402" spans="6:29" x14ac:dyDescent="0.25">
      <c r="F402" s="45" t="str">
        <f t="shared" si="192"/>
        <v xml:space="preserve">S/F  </v>
      </c>
      <c r="G402" s="45">
        <v>0</v>
      </c>
      <c r="H402" s="48">
        <v>0</v>
      </c>
      <c r="I402" s="40">
        <f t="shared" si="183"/>
        <v>0</v>
      </c>
      <c r="J402" s="53"/>
      <c r="K402" s="40">
        <f t="shared" si="184"/>
        <v>0</v>
      </c>
      <c r="L402" s="45">
        <v>0</v>
      </c>
      <c r="M402" s="53">
        <v>0</v>
      </c>
      <c r="N402" s="40">
        <f t="shared" si="185"/>
        <v>0</v>
      </c>
      <c r="P402" s="40">
        <f t="shared" si="186"/>
        <v>0</v>
      </c>
      <c r="Q402" s="45"/>
      <c r="R402" s="53"/>
      <c r="S402" s="40">
        <f t="shared" si="187"/>
        <v>0</v>
      </c>
      <c r="U402" s="40">
        <f t="shared" si="188"/>
        <v>0</v>
      </c>
      <c r="V402" s="51">
        <v>0</v>
      </c>
      <c r="W402" s="50">
        <v>0</v>
      </c>
      <c r="X402" s="40">
        <f t="shared" si="189"/>
        <v>0</v>
      </c>
      <c r="AA402" s="40">
        <f t="shared" si="190"/>
        <v>0</v>
      </c>
      <c r="AB402" s="40">
        <f t="shared" si="191"/>
        <v>0</v>
      </c>
      <c r="AC402" s="67"/>
    </row>
    <row r="403" spans="6:29" x14ac:dyDescent="0.25">
      <c r="F403" s="45" t="str">
        <f t="shared" si="192"/>
        <v xml:space="preserve">S/F  </v>
      </c>
      <c r="G403" s="45">
        <v>0</v>
      </c>
      <c r="H403" s="48">
        <v>0</v>
      </c>
      <c r="I403" s="40">
        <f t="shared" si="183"/>
        <v>0</v>
      </c>
      <c r="J403" s="53"/>
      <c r="K403" s="40">
        <f t="shared" si="184"/>
        <v>0</v>
      </c>
      <c r="L403" s="45">
        <v>0</v>
      </c>
      <c r="M403" s="53">
        <v>0</v>
      </c>
      <c r="N403" s="40">
        <f t="shared" si="185"/>
        <v>0</v>
      </c>
      <c r="P403" s="40">
        <f t="shared" si="186"/>
        <v>0</v>
      </c>
      <c r="Q403" s="45"/>
      <c r="R403" s="53"/>
      <c r="S403" s="40">
        <f t="shared" si="187"/>
        <v>0</v>
      </c>
      <c r="U403" s="40">
        <f t="shared" si="188"/>
        <v>0</v>
      </c>
      <c r="V403" s="51">
        <v>0</v>
      </c>
      <c r="W403" s="50">
        <v>0</v>
      </c>
      <c r="X403" s="40">
        <f t="shared" si="189"/>
        <v>0</v>
      </c>
      <c r="AA403" s="40">
        <f t="shared" si="190"/>
        <v>0</v>
      </c>
      <c r="AB403" s="40">
        <f t="shared" si="191"/>
        <v>0</v>
      </c>
      <c r="AC403" s="67"/>
    </row>
    <row r="404" spans="6:29" x14ac:dyDescent="0.25">
      <c r="F404" s="45" t="str">
        <f t="shared" si="192"/>
        <v xml:space="preserve">S/F  </v>
      </c>
      <c r="G404" s="45">
        <v>0</v>
      </c>
      <c r="H404" s="48">
        <v>0</v>
      </c>
      <c r="I404" s="40">
        <f t="shared" si="183"/>
        <v>0</v>
      </c>
      <c r="J404" s="53"/>
      <c r="K404" s="40">
        <f t="shared" si="184"/>
        <v>0</v>
      </c>
      <c r="L404" s="45">
        <v>0</v>
      </c>
      <c r="M404" s="53">
        <v>0</v>
      </c>
      <c r="N404" s="40">
        <f t="shared" si="185"/>
        <v>0</v>
      </c>
      <c r="P404" s="40">
        <f t="shared" si="186"/>
        <v>0</v>
      </c>
      <c r="Q404" s="45"/>
      <c r="R404" s="53"/>
      <c r="S404" s="40">
        <f t="shared" si="187"/>
        <v>0</v>
      </c>
      <c r="U404" s="40">
        <f t="shared" si="188"/>
        <v>0</v>
      </c>
      <c r="V404" s="51">
        <v>0</v>
      </c>
      <c r="W404" s="50">
        <v>0</v>
      </c>
      <c r="X404" s="40">
        <f t="shared" si="189"/>
        <v>0</v>
      </c>
      <c r="AA404" s="40">
        <f t="shared" si="190"/>
        <v>0</v>
      </c>
      <c r="AB404" s="40">
        <f t="shared" si="191"/>
        <v>0</v>
      </c>
      <c r="AC404" s="67"/>
    </row>
    <row r="405" spans="6:29" x14ac:dyDescent="0.25">
      <c r="F405" s="45" t="str">
        <f t="shared" si="192"/>
        <v xml:space="preserve">S/F  </v>
      </c>
      <c r="G405" s="45">
        <v>0</v>
      </c>
      <c r="H405" s="48">
        <v>0</v>
      </c>
      <c r="I405" s="40">
        <f t="shared" ref="I405:I468" si="193">+IF(G405&lt;&gt;0,G405*H405/100,0)</f>
        <v>0</v>
      </c>
      <c r="J405" s="53"/>
      <c r="K405" s="40">
        <f t="shared" ref="K405:K468" si="194">+IF(G405&lt;&gt;0,G405*J405/100,0)</f>
        <v>0</v>
      </c>
      <c r="L405" s="45">
        <v>0</v>
      </c>
      <c r="M405" s="53">
        <v>0</v>
      </c>
      <c r="N405" s="40">
        <f t="shared" ref="N405:N468" si="195">+IF(L405&lt;&gt;0,L405*M405/100,0)</f>
        <v>0</v>
      </c>
      <c r="P405" s="40">
        <f t="shared" ref="P405:P468" si="196">+IF(L405&lt;&gt;0,L405*O405/100,0)</f>
        <v>0</v>
      </c>
      <c r="Q405" s="45"/>
      <c r="R405" s="53"/>
      <c r="S405" s="40">
        <f t="shared" ref="S405:S468" si="197">+IF(Q405&lt;&gt;0,Q405*R405/100,0)</f>
        <v>0</v>
      </c>
      <c r="U405" s="40">
        <f t="shared" ref="U405:U468" si="198">+IF(Q405&lt;&gt;0,Q405*T405/100,0)</f>
        <v>0</v>
      </c>
      <c r="V405" s="51">
        <v>0</v>
      </c>
      <c r="W405" s="50">
        <v>0</v>
      </c>
      <c r="X405" s="40">
        <f t="shared" ref="X405:X468" si="199">+IF(W405&lt;&gt;0,V405*W405/100,0)</f>
        <v>0</v>
      </c>
      <c r="AA405" s="40">
        <f t="shared" ref="AA405:AA468" si="200">+IF(Z405&lt;&gt;0,Y405*Z405/100,0)</f>
        <v>0</v>
      </c>
      <c r="AB405" s="40">
        <f t="shared" ref="AB405:AB468" si="201">+G405+I405+K405+L405+N405+P405+Q405+S405+U405-X405-AA405</f>
        <v>0</v>
      </c>
      <c r="AC405" s="67"/>
    </row>
    <row r="406" spans="6:29" x14ac:dyDescent="0.25">
      <c r="F406" s="45" t="str">
        <f t="shared" si="192"/>
        <v xml:space="preserve">S/F  </v>
      </c>
      <c r="G406" s="45">
        <v>0</v>
      </c>
      <c r="H406" s="48">
        <v>0</v>
      </c>
      <c r="I406" s="40">
        <f t="shared" si="193"/>
        <v>0</v>
      </c>
      <c r="J406" s="53"/>
      <c r="K406" s="40">
        <f t="shared" si="194"/>
        <v>0</v>
      </c>
      <c r="L406" s="45">
        <v>0</v>
      </c>
      <c r="M406" s="53">
        <v>0</v>
      </c>
      <c r="N406" s="40">
        <f t="shared" si="195"/>
        <v>0</v>
      </c>
      <c r="P406" s="40">
        <f t="shared" si="196"/>
        <v>0</v>
      </c>
      <c r="Q406" s="45"/>
      <c r="R406" s="53"/>
      <c r="S406" s="40">
        <f t="shared" si="197"/>
        <v>0</v>
      </c>
      <c r="U406" s="40">
        <f t="shared" si="198"/>
        <v>0</v>
      </c>
      <c r="V406" s="51">
        <v>0</v>
      </c>
      <c r="W406" s="50">
        <v>0</v>
      </c>
      <c r="X406" s="40">
        <f t="shared" si="199"/>
        <v>0</v>
      </c>
      <c r="AA406" s="40">
        <f t="shared" si="200"/>
        <v>0</v>
      </c>
      <c r="AB406" s="40">
        <f t="shared" si="201"/>
        <v>0</v>
      </c>
      <c r="AC406" s="67"/>
    </row>
    <row r="407" spans="6:29" x14ac:dyDescent="0.25">
      <c r="F407" s="45" t="str">
        <f t="shared" si="192"/>
        <v xml:space="preserve">S/F  </v>
      </c>
      <c r="G407" s="45">
        <v>0</v>
      </c>
      <c r="H407" s="48">
        <v>0</v>
      </c>
      <c r="I407" s="40">
        <f t="shared" si="193"/>
        <v>0</v>
      </c>
      <c r="J407" s="53"/>
      <c r="K407" s="40">
        <f t="shared" si="194"/>
        <v>0</v>
      </c>
      <c r="L407" s="45">
        <v>0</v>
      </c>
      <c r="M407" s="53">
        <v>0</v>
      </c>
      <c r="N407" s="40">
        <f t="shared" si="195"/>
        <v>0</v>
      </c>
      <c r="P407" s="40">
        <f t="shared" si="196"/>
        <v>0</v>
      </c>
      <c r="Q407" s="45"/>
      <c r="R407" s="53"/>
      <c r="S407" s="40">
        <f t="shared" si="197"/>
        <v>0</v>
      </c>
      <c r="U407" s="40">
        <f t="shared" si="198"/>
        <v>0</v>
      </c>
      <c r="V407" s="51">
        <v>0</v>
      </c>
      <c r="W407" s="50">
        <v>0</v>
      </c>
      <c r="X407" s="40">
        <f t="shared" si="199"/>
        <v>0</v>
      </c>
      <c r="AA407" s="40">
        <f t="shared" si="200"/>
        <v>0</v>
      </c>
      <c r="AB407" s="40">
        <f t="shared" si="201"/>
        <v>0</v>
      </c>
      <c r="AC407" s="67"/>
    </row>
    <row r="408" spans="6:29" x14ac:dyDescent="0.25">
      <c r="F408" s="45" t="str">
        <f t="shared" si="192"/>
        <v xml:space="preserve">S/F  </v>
      </c>
      <c r="G408" s="45">
        <v>0</v>
      </c>
      <c r="H408" s="48">
        <v>0</v>
      </c>
      <c r="I408" s="40">
        <f t="shared" si="193"/>
        <v>0</v>
      </c>
      <c r="J408" s="53"/>
      <c r="K408" s="40">
        <f t="shared" si="194"/>
        <v>0</v>
      </c>
      <c r="L408" s="45">
        <v>0</v>
      </c>
      <c r="M408" s="53">
        <v>0</v>
      </c>
      <c r="N408" s="40">
        <f t="shared" si="195"/>
        <v>0</v>
      </c>
      <c r="P408" s="40">
        <f t="shared" si="196"/>
        <v>0</v>
      </c>
      <c r="Q408" s="45"/>
      <c r="R408" s="53"/>
      <c r="S408" s="40">
        <f t="shared" si="197"/>
        <v>0</v>
      </c>
      <c r="U408" s="40">
        <f t="shared" si="198"/>
        <v>0</v>
      </c>
      <c r="V408" s="51">
        <v>0</v>
      </c>
      <c r="W408" s="50">
        <v>0</v>
      </c>
      <c r="X408" s="40">
        <f t="shared" si="199"/>
        <v>0</v>
      </c>
      <c r="AA408" s="40">
        <f t="shared" si="200"/>
        <v>0</v>
      </c>
      <c r="AB408" s="40">
        <f t="shared" si="201"/>
        <v>0</v>
      </c>
      <c r="AC408" s="67"/>
    </row>
    <row r="409" spans="6:29" x14ac:dyDescent="0.25">
      <c r="F409" s="45" t="str">
        <f t="shared" si="192"/>
        <v xml:space="preserve">S/F  </v>
      </c>
      <c r="G409" s="45">
        <v>0</v>
      </c>
      <c r="H409" s="48">
        <v>0</v>
      </c>
      <c r="I409" s="40">
        <f t="shared" si="193"/>
        <v>0</v>
      </c>
      <c r="J409" s="53"/>
      <c r="K409" s="40">
        <f t="shared" si="194"/>
        <v>0</v>
      </c>
      <c r="L409" s="45">
        <v>0</v>
      </c>
      <c r="M409" s="53">
        <v>0</v>
      </c>
      <c r="N409" s="40">
        <f t="shared" si="195"/>
        <v>0</v>
      </c>
      <c r="P409" s="40">
        <f t="shared" si="196"/>
        <v>0</v>
      </c>
      <c r="Q409" s="45"/>
      <c r="R409" s="53"/>
      <c r="S409" s="40">
        <f t="shared" si="197"/>
        <v>0</v>
      </c>
      <c r="U409" s="40">
        <f t="shared" si="198"/>
        <v>0</v>
      </c>
      <c r="V409" s="51">
        <v>0</v>
      </c>
      <c r="W409" s="50">
        <v>0</v>
      </c>
      <c r="X409" s="40">
        <f t="shared" si="199"/>
        <v>0</v>
      </c>
      <c r="AA409" s="40">
        <f t="shared" si="200"/>
        <v>0</v>
      </c>
      <c r="AB409" s="40">
        <f t="shared" si="201"/>
        <v>0</v>
      </c>
      <c r="AC409" s="67"/>
    </row>
    <row r="410" spans="6:29" x14ac:dyDescent="0.25">
      <c r="F410" s="45" t="str">
        <f t="shared" si="192"/>
        <v xml:space="preserve">S/F  </v>
      </c>
      <c r="G410" s="45">
        <v>0</v>
      </c>
      <c r="H410" s="48">
        <v>0</v>
      </c>
      <c r="I410" s="40">
        <f t="shared" si="193"/>
        <v>0</v>
      </c>
      <c r="J410" s="53"/>
      <c r="K410" s="40">
        <f t="shared" si="194"/>
        <v>0</v>
      </c>
      <c r="L410" s="45">
        <v>0</v>
      </c>
      <c r="M410" s="53">
        <v>0</v>
      </c>
      <c r="N410" s="40">
        <f t="shared" si="195"/>
        <v>0</v>
      </c>
      <c r="P410" s="40">
        <f t="shared" si="196"/>
        <v>0</v>
      </c>
      <c r="Q410" s="45"/>
      <c r="R410" s="53"/>
      <c r="S410" s="40">
        <f t="shared" si="197"/>
        <v>0</v>
      </c>
      <c r="U410" s="40">
        <f t="shared" si="198"/>
        <v>0</v>
      </c>
      <c r="V410" s="51">
        <v>0</v>
      </c>
      <c r="W410" s="50">
        <v>0</v>
      </c>
      <c r="X410" s="40">
        <f t="shared" si="199"/>
        <v>0</v>
      </c>
      <c r="AA410" s="40">
        <f t="shared" si="200"/>
        <v>0</v>
      </c>
      <c r="AB410" s="40">
        <f t="shared" si="201"/>
        <v>0</v>
      </c>
      <c r="AC410" s="67"/>
    </row>
    <row r="411" spans="6:29" x14ac:dyDescent="0.25">
      <c r="F411" s="45" t="str">
        <f t="shared" si="192"/>
        <v xml:space="preserve">S/F  </v>
      </c>
      <c r="G411" s="45">
        <v>0</v>
      </c>
      <c r="H411" s="48">
        <v>0</v>
      </c>
      <c r="I411" s="40">
        <f t="shared" si="193"/>
        <v>0</v>
      </c>
      <c r="J411" s="53"/>
      <c r="K411" s="40">
        <f t="shared" si="194"/>
        <v>0</v>
      </c>
      <c r="L411" s="45">
        <v>0</v>
      </c>
      <c r="M411" s="53">
        <v>0</v>
      </c>
      <c r="N411" s="40">
        <f t="shared" si="195"/>
        <v>0</v>
      </c>
      <c r="P411" s="40">
        <f t="shared" si="196"/>
        <v>0</v>
      </c>
      <c r="Q411" s="45"/>
      <c r="R411" s="53"/>
      <c r="S411" s="40">
        <f t="shared" si="197"/>
        <v>0</v>
      </c>
      <c r="U411" s="40">
        <f t="shared" si="198"/>
        <v>0</v>
      </c>
      <c r="V411" s="51">
        <v>0</v>
      </c>
      <c r="W411" s="50">
        <v>0</v>
      </c>
      <c r="X411" s="40">
        <f t="shared" si="199"/>
        <v>0</v>
      </c>
      <c r="AA411" s="40">
        <f t="shared" si="200"/>
        <v>0</v>
      </c>
      <c r="AB411" s="40">
        <f t="shared" si="201"/>
        <v>0</v>
      </c>
      <c r="AC411" s="67"/>
    </row>
    <row r="412" spans="6:29" x14ac:dyDescent="0.25">
      <c r="F412" s="45" t="str">
        <f t="shared" si="192"/>
        <v xml:space="preserve">S/F  </v>
      </c>
      <c r="G412" s="45">
        <v>0</v>
      </c>
      <c r="H412" s="48">
        <v>0</v>
      </c>
      <c r="I412" s="40">
        <f t="shared" si="193"/>
        <v>0</v>
      </c>
      <c r="J412" s="53"/>
      <c r="K412" s="40">
        <f t="shared" si="194"/>
        <v>0</v>
      </c>
      <c r="L412" s="45">
        <v>0</v>
      </c>
      <c r="M412" s="53">
        <v>0</v>
      </c>
      <c r="N412" s="40">
        <f t="shared" si="195"/>
        <v>0</v>
      </c>
      <c r="P412" s="40">
        <f t="shared" si="196"/>
        <v>0</v>
      </c>
      <c r="Q412" s="45"/>
      <c r="R412" s="53"/>
      <c r="S412" s="40">
        <f t="shared" si="197"/>
        <v>0</v>
      </c>
      <c r="U412" s="40">
        <f t="shared" si="198"/>
        <v>0</v>
      </c>
      <c r="V412" s="51">
        <v>0</v>
      </c>
      <c r="W412" s="50">
        <v>0</v>
      </c>
      <c r="X412" s="40">
        <f t="shared" si="199"/>
        <v>0</v>
      </c>
      <c r="AA412" s="40">
        <f t="shared" si="200"/>
        <v>0</v>
      </c>
      <c r="AB412" s="40">
        <f t="shared" si="201"/>
        <v>0</v>
      </c>
      <c r="AC412" s="67"/>
    </row>
    <row r="413" spans="6:29" x14ac:dyDescent="0.25">
      <c r="F413" s="45" t="str">
        <f t="shared" si="192"/>
        <v xml:space="preserve">S/F  </v>
      </c>
      <c r="G413" s="45">
        <v>0</v>
      </c>
      <c r="H413" s="48">
        <v>0</v>
      </c>
      <c r="I413" s="40">
        <f t="shared" si="193"/>
        <v>0</v>
      </c>
      <c r="J413" s="53"/>
      <c r="K413" s="40">
        <f t="shared" si="194"/>
        <v>0</v>
      </c>
      <c r="L413" s="45">
        <v>0</v>
      </c>
      <c r="M413" s="53">
        <v>0</v>
      </c>
      <c r="N413" s="40">
        <f t="shared" si="195"/>
        <v>0</v>
      </c>
      <c r="P413" s="40">
        <f t="shared" si="196"/>
        <v>0</v>
      </c>
      <c r="Q413" s="45"/>
      <c r="R413" s="53"/>
      <c r="S413" s="40">
        <f t="shared" si="197"/>
        <v>0</v>
      </c>
      <c r="U413" s="40">
        <f t="shared" si="198"/>
        <v>0</v>
      </c>
      <c r="V413" s="51">
        <v>0</v>
      </c>
      <c r="W413" s="50">
        <v>0</v>
      </c>
      <c r="X413" s="40">
        <f t="shared" si="199"/>
        <v>0</v>
      </c>
      <c r="AA413" s="40">
        <f t="shared" si="200"/>
        <v>0</v>
      </c>
      <c r="AB413" s="40">
        <f t="shared" si="201"/>
        <v>0</v>
      </c>
      <c r="AC413" s="67"/>
    </row>
    <row r="414" spans="6:29" x14ac:dyDescent="0.25">
      <c r="F414" s="45" t="str">
        <f t="shared" si="192"/>
        <v xml:space="preserve">S/F  </v>
      </c>
      <c r="G414" s="45">
        <v>0</v>
      </c>
      <c r="H414" s="48">
        <v>0</v>
      </c>
      <c r="I414" s="40">
        <f t="shared" si="193"/>
        <v>0</v>
      </c>
      <c r="J414" s="53"/>
      <c r="K414" s="40">
        <f t="shared" si="194"/>
        <v>0</v>
      </c>
      <c r="L414" s="45">
        <v>0</v>
      </c>
      <c r="M414" s="53">
        <v>0</v>
      </c>
      <c r="N414" s="40">
        <f t="shared" si="195"/>
        <v>0</v>
      </c>
      <c r="P414" s="40">
        <f t="shared" si="196"/>
        <v>0</v>
      </c>
      <c r="Q414" s="45"/>
      <c r="R414" s="53"/>
      <c r="S414" s="40">
        <f t="shared" si="197"/>
        <v>0</v>
      </c>
      <c r="U414" s="40">
        <f t="shared" si="198"/>
        <v>0</v>
      </c>
      <c r="V414" s="51">
        <v>0</v>
      </c>
      <c r="W414" s="50">
        <v>0</v>
      </c>
      <c r="X414" s="40">
        <f t="shared" si="199"/>
        <v>0</v>
      </c>
      <c r="AA414" s="40">
        <f t="shared" si="200"/>
        <v>0</v>
      </c>
      <c r="AB414" s="40">
        <f t="shared" si="201"/>
        <v>0</v>
      </c>
      <c r="AC414" s="67"/>
    </row>
    <row r="415" spans="6:29" x14ac:dyDescent="0.25">
      <c r="F415" s="45" t="str">
        <f t="shared" si="192"/>
        <v xml:space="preserve">S/F  </v>
      </c>
      <c r="G415" s="45">
        <v>0</v>
      </c>
      <c r="H415" s="48">
        <v>0</v>
      </c>
      <c r="I415" s="40">
        <f t="shared" si="193"/>
        <v>0</v>
      </c>
      <c r="J415" s="53"/>
      <c r="K415" s="40">
        <f t="shared" si="194"/>
        <v>0</v>
      </c>
      <c r="L415" s="45">
        <v>0</v>
      </c>
      <c r="M415" s="53">
        <v>0</v>
      </c>
      <c r="N415" s="40">
        <f t="shared" si="195"/>
        <v>0</v>
      </c>
      <c r="P415" s="40">
        <f t="shared" si="196"/>
        <v>0</v>
      </c>
      <c r="Q415" s="45"/>
      <c r="R415" s="53"/>
      <c r="S415" s="40">
        <f t="shared" si="197"/>
        <v>0</v>
      </c>
      <c r="U415" s="40">
        <f t="shared" si="198"/>
        <v>0</v>
      </c>
      <c r="V415" s="51">
        <v>0</v>
      </c>
      <c r="W415" s="50">
        <v>0</v>
      </c>
      <c r="X415" s="40">
        <f t="shared" si="199"/>
        <v>0</v>
      </c>
      <c r="AA415" s="40">
        <f t="shared" si="200"/>
        <v>0</v>
      </c>
      <c r="AB415" s="40">
        <f t="shared" si="201"/>
        <v>0</v>
      </c>
      <c r="AC415" s="67"/>
    </row>
    <row r="416" spans="6:29" x14ac:dyDescent="0.25">
      <c r="F416" s="45" t="str">
        <f t="shared" si="192"/>
        <v xml:space="preserve">S/F  </v>
      </c>
      <c r="G416" s="45">
        <v>0</v>
      </c>
      <c r="H416" s="48">
        <v>0</v>
      </c>
      <c r="I416" s="40">
        <f t="shared" si="193"/>
        <v>0</v>
      </c>
      <c r="J416" s="53"/>
      <c r="K416" s="40">
        <f t="shared" si="194"/>
        <v>0</v>
      </c>
      <c r="L416" s="45">
        <v>0</v>
      </c>
      <c r="M416" s="53">
        <v>0</v>
      </c>
      <c r="N416" s="40">
        <f t="shared" si="195"/>
        <v>0</v>
      </c>
      <c r="P416" s="40">
        <f t="shared" si="196"/>
        <v>0</v>
      </c>
      <c r="Q416" s="45"/>
      <c r="R416" s="53"/>
      <c r="S416" s="40">
        <f t="shared" si="197"/>
        <v>0</v>
      </c>
      <c r="U416" s="40">
        <f t="shared" si="198"/>
        <v>0</v>
      </c>
      <c r="V416" s="51">
        <v>0</v>
      </c>
      <c r="W416" s="50">
        <v>0</v>
      </c>
      <c r="X416" s="40">
        <f t="shared" si="199"/>
        <v>0</v>
      </c>
      <c r="AA416" s="40">
        <f t="shared" si="200"/>
        <v>0</v>
      </c>
      <c r="AB416" s="40">
        <f t="shared" si="201"/>
        <v>0</v>
      </c>
      <c r="AC416" s="67"/>
    </row>
    <row r="417" spans="6:29" x14ac:dyDescent="0.25">
      <c r="F417" s="45" t="str">
        <f t="shared" si="192"/>
        <v xml:space="preserve">S/F  </v>
      </c>
      <c r="G417" s="45">
        <v>0</v>
      </c>
      <c r="H417" s="48">
        <v>0</v>
      </c>
      <c r="I417" s="40">
        <f t="shared" si="193"/>
        <v>0</v>
      </c>
      <c r="J417" s="53"/>
      <c r="K417" s="40">
        <f t="shared" si="194"/>
        <v>0</v>
      </c>
      <c r="L417" s="45">
        <v>0</v>
      </c>
      <c r="M417" s="53">
        <v>0</v>
      </c>
      <c r="N417" s="40">
        <f t="shared" si="195"/>
        <v>0</v>
      </c>
      <c r="P417" s="40">
        <f t="shared" si="196"/>
        <v>0</v>
      </c>
      <c r="Q417" s="45"/>
      <c r="R417" s="53"/>
      <c r="S417" s="40">
        <f t="shared" si="197"/>
        <v>0</v>
      </c>
      <c r="U417" s="40">
        <f t="shared" si="198"/>
        <v>0</v>
      </c>
      <c r="V417" s="51">
        <v>0</v>
      </c>
      <c r="W417" s="50">
        <v>0</v>
      </c>
      <c r="X417" s="40">
        <f t="shared" si="199"/>
        <v>0</v>
      </c>
      <c r="AA417" s="40">
        <f t="shared" si="200"/>
        <v>0</v>
      </c>
      <c r="AB417" s="40">
        <f t="shared" si="201"/>
        <v>0</v>
      </c>
      <c r="AC417" s="67"/>
    </row>
    <row r="418" spans="6:29" x14ac:dyDescent="0.25">
      <c r="F418" s="45" t="str">
        <f t="shared" si="192"/>
        <v xml:space="preserve">S/F  </v>
      </c>
      <c r="G418" s="45">
        <v>0</v>
      </c>
      <c r="H418" s="48">
        <v>0</v>
      </c>
      <c r="I418" s="40">
        <f t="shared" si="193"/>
        <v>0</v>
      </c>
      <c r="J418" s="53"/>
      <c r="K418" s="40">
        <f t="shared" si="194"/>
        <v>0</v>
      </c>
      <c r="L418" s="45">
        <v>0</v>
      </c>
      <c r="M418" s="53">
        <v>0</v>
      </c>
      <c r="N418" s="40">
        <f t="shared" si="195"/>
        <v>0</v>
      </c>
      <c r="P418" s="40">
        <f t="shared" si="196"/>
        <v>0</v>
      </c>
      <c r="Q418" s="45"/>
      <c r="R418" s="53"/>
      <c r="S418" s="40">
        <f t="shared" si="197"/>
        <v>0</v>
      </c>
      <c r="U418" s="40">
        <f t="shared" si="198"/>
        <v>0</v>
      </c>
      <c r="V418" s="51">
        <v>0</v>
      </c>
      <c r="W418" s="50">
        <v>0</v>
      </c>
      <c r="X418" s="40">
        <f t="shared" si="199"/>
        <v>0</v>
      </c>
      <c r="AA418" s="40">
        <f t="shared" si="200"/>
        <v>0</v>
      </c>
      <c r="AB418" s="40">
        <f t="shared" si="201"/>
        <v>0</v>
      </c>
      <c r="AC418" s="67"/>
    </row>
    <row r="419" spans="6:29" x14ac:dyDescent="0.25">
      <c r="F419" s="45" t="str">
        <f t="shared" si="192"/>
        <v xml:space="preserve">S/F  </v>
      </c>
      <c r="G419" s="45">
        <v>0</v>
      </c>
      <c r="H419" s="48">
        <v>0</v>
      </c>
      <c r="I419" s="40">
        <f t="shared" si="193"/>
        <v>0</v>
      </c>
      <c r="J419" s="53"/>
      <c r="K419" s="40">
        <f t="shared" si="194"/>
        <v>0</v>
      </c>
      <c r="L419" s="45">
        <v>0</v>
      </c>
      <c r="M419" s="53">
        <v>0</v>
      </c>
      <c r="N419" s="40">
        <f t="shared" si="195"/>
        <v>0</v>
      </c>
      <c r="P419" s="40">
        <f t="shared" si="196"/>
        <v>0</v>
      </c>
      <c r="Q419" s="45"/>
      <c r="R419" s="53"/>
      <c r="S419" s="40">
        <f t="shared" si="197"/>
        <v>0</v>
      </c>
      <c r="U419" s="40">
        <f t="shared" si="198"/>
        <v>0</v>
      </c>
      <c r="V419" s="51">
        <v>0</v>
      </c>
      <c r="W419" s="50">
        <v>0</v>
      </c>
      <c r="X419" s="40">
        <f t="shared" si="199"/>
        <v>0</v>
      </c>
      <c r="AA419" s="40">
        <f t="shared" si="200"/>
        <v>0</v>
      </c>
      <c r="AB419" s="40">
        <f t="shared" si="201"/>
        <v>0</v>
      </c>
      <c r="AC419" s="67"/>
    </row>
    <row r="420" spans="6:29" x14ac:dyDescent="0.25">
      <c r="F420" s="45" t="str">
        <f t="shared" si="192"/>
        <v xml:space="preserve">S/F  </v>
      </c>
      <c r="G420" s="45">
        <v>0</v>
      </c>
      <c r="H420" s="48">
        <v>0</v>
      </c>
      <c r="I420" s="40">
        <f t="shared" si="193"/>
        <v>0</v>
      </c>
      <c r="J420" s="53"/>
      <c r="K420" s="40">
        <f t="shared" si="194"/>
        <v>0</v>
      </c>
      <c r="L420" s="45">
        <v>0</v>
      </c>
      <c r="M420" s="53">
        <v>0</v>
      </c>
      <c r="N420" s="40">
        <f t="shared" si="195"/>
        <v>0</v>
      </c>
      <c r="P420" s="40">
        <f t="shared" si="196"/>
        <v>0</v>
      </c>
      <c r="Q420" s="45"/>
      <c r="R420" s="53"/>
      <c r="S420" s="40">
        <f t="shared" si="197"/>
        <v>0</v>
      </c>
      <c r="U420" s="40">
        <f t="shared" si="198"/>
        <v>0</v>
      </c>
      <c r="V420" s="51">
        <v>0</v>
      </c>
      <c r="W420" s="50">
        <v>0</v>
      </c>
      <c r="X420" s="40">
        <f t="shared" si="199"/>
        <v>0</v>
      </c>
      <c r="AA420" s="40">
        <f t="shared" si="200"/>
        <v>0</v>
      </c>
      <c r="AB420" s="40">
        <f t="shared" si="201"/>
        <v>0</v>
      </c>
      <c r="AC420" s="67"/>
    </row>
    <row r="421" spans="6:29" x14ac:dyDescent="0.25">
      <c r="F421" s="45" t="str">
        <f t="shared" si="192"/>
        <v xml:space="preserve">S/F  </v>
      </c>
      <c r="G421" s="45">
        <v>0</v>
      </c>
      <c r="H421" s="48">
        <v>0</v>
      </c>
      <c r="I421" s="40">
        <f t="shared" si="193"/>
        <v>0</v>
      </c>
      <c r="J421" s="53"/>
      <c r="K421" s="40">
        <f t="shared" si="194"/>
        <v>0</v>
      </c>
      <c r="L421" s="45">
        <v>0</v>
      </c>
      <c r="M421" s="53">
        <v>0</v>
      </c>
      <c r="N421" s="40">
        <f t="shared" si="195"/>
        <v>0</v>
      </c>
      <c r="P421" s="40">
        <f t="shared" si="196"/>
        <v>0</v>
      </c>
      <c r="Q421" s="45"/>
      <c r="R421" s="53"/>
      <c r="S421" s="40">
        <f t="shared" si="197"/>
        <v>0</v>
      </c>
      <c r="U421" s="40">
        <f t="shared" si="198"/>
        <v>0</v>
      </c>
      <c r="V421" s="51">
        <v>0</v>
      </c>
      <c r="W421" s="50">
        <v>0</v>
      </c>
      <c r="X421" s="40">
        <f t="shared" si="199"/>
        <v>0</v>
      </c>
      <c r="AA421" s="40">
        <f t="shared" si="200"/>
        <v>0</v>
      </c>
      <c r="AB421" s="40">
        <f t="shared" si="201"/>
        <v>0</v>
      </c>
      <c r="AC421" s="67"/>
    </row>
    <row r="422" spans="6:29" x14ac:dyDescent="0.25">
      <c r="F422" s="45" t="str">
        <f t="shared" si="192"/>
        <v xml:space="preserve">S/F  </v>
      </c>
      <c r="G422" s="45">
        <v>0</v>
      </c>
      <c r="H422" s="48">
        <v>0</v>
      </c>
      <c r="I422" s="40">
        <f t="shared" si="193"/>
        <v>0</v>
      </c>
      <c r="J422" s="53"/>
      <c r="K422" s="40">
        <f t="shared" si="194"/>
        <v>0</v>
      </c>
      <c r="L422" s="45">
        <v>0</v>
      </c>
      <c r="M422" s="53">
        <v>0</v>
      </c>
      <c r="N422" s="40">
        <f t="shared" si="195"/>
        <v>0</v>
      </c>
      <c r="P422" s="40">
        <f t="shared" si="196"/>
        <v>0</v>
      </c>
      <c r="Q422" s="45"/>
      <c r="R422" s="53"/>
      <c r="S422" s="40">
        <f t="shared" si="197"/>
        <v>0</v>
      </c>
      <c r="U422" s="40">
        <f t="shared" si="198"/>
        <v>0</v>
      </c>
      <c r="V422" s="51">
        <v>0</v>
      </c>
      <c r="W422" s="50">
        <v>0</v>
      </c>
      <c r="X422" s="40">
        <f t="shared" si="199"/>
        <v>0</v>
      </c>
      <c r="AA422" s="40">
        <f t="shared" si="200"/>
        <v>0</v>
      </c>
      <c r="AB422" s="40">
        <f t="shared" si="201"/>
        <v>0</v>
      </c>
      <c r="AC422" s="67"/>
    </row>
    <row r="423" spans="6:29" x14ac:dyDescent="0.25">
      <c r="F423" s="45" t="str">
        <f t="shared" si="192"/>
        <v xml:space="preserve">S/F  </v>
      </c>
      <c r="G423" s="45">
        <v>0</v>
      </c>
      <c r="H423" s="48">
        <v>0</v>
      </c>
      <c r="I423" s="40">
        <f t="shared" si="193"/>
        <v>0</v>
      </c>
      <c r="J423" s="53"/>
      <c r="K423" s="40">
        <f t="shared" si="194"/>
        <v>0</v>
      </c>
      <c r="L423" s="45">
        <v>0</v>
      </c>
      <c r="M423" s="53">
        <v>0</v>
      </c>
      <c r="N423" s="40">
        <f t="shared" si="195"/>
        <v>0</v>
      </c>
      <c r="P423" s="40">
        <f t="shared" si="196"/>
        <v>0</v>
      </c>
      <c r="Q423" s="45"/>
      <c r="R423" s="53"/>
      <c r="S423" s="40">
        <f t="shared" si="197"/>
        <v>0</v>
      </c>
      <c r="U423" s="40">
        <f t="shared" si="198"/>
        <v>0</v>
      </c>
      <c r="V423" s="51">
        <v>0</v>
      </c>
      <c r="W423" s="50">
        <v>0</v>
      </c>
      <c r="X423" s="40">
        <f t="shared" si="199"/>
        <v>0</v>
      </c>
      <c r="AA423" s="40">
        <f t="shared" si="200"/>
        <v>0</v>
      </c>
      <c r="AB423" s="40">
        <f t="shared" si="201"/>
        <v>0</v>
      </c>
      <c r="AC423" s="67"/>
    </row>
    <row r="424" spans="6:29" x14ac:dyDescent="0.25">
      <c r="F424" s="45" t="str">
        <f t="shared" si="192"/>
        <v xml:space="preserve">S/F  </v>
      </c>
      <c r="G424" s="45">
        <v>0</v>
      </c>
      <c r="H424" s="48">
        <v>0</v>
      </c>
      <c r="I424" s="40">
        <f t="shared" si="193"/>
        <v>0</v>
      </c>
      <c r="J424" s="53"/>
      <c r="K424" s="40">
        <f t="shared" si="194"/>
        <v>0</v>
      </c>
      <c r="L424" s="45">
        <v>0</v>
      </c>
      <c r="M424" s="53">
        <v>0</v>
      </c>
      <c r="N424" s="40">
        <f t="shared" si="195"/>
        <v>0</v>
      </c>
      <c r="P424" s="40">
        <f t="shared" si="196"/>
        <v>0</v>
      </c>
      <c r="Q424" s="45"/>
      <c r="R424" s="53"/>
      <c r="S424" s="40">
        <f t="shared" si="197"/>
        <v>0</v>
      </c>
      <c r="U424" s="40">
        <f t="shared" si="198"/>
        <v>0</v>
      </c>
      <c r="V424" s="51">
        <v>0</v>
      </c>
      <c r="W424" s="50">
        <v>0</v>
      </c>
      <c r="X424" s="40">
        <f t="shared" si="199"/>
        <v>0</v>
      </c>
      <c r="AA424" s="40">
        <f t="shared" si="200"/>
        <v>0</v>
      </c>
      <c r="AB424" s="40">
        <f t="shared" si="201"/>
        <v>0</v>
      </c>
      <c r="AC424" s="67"/>
    </row>
    <row r="425" spans="6:29" x14ac:dyDescent="0.25">
      <c r="F425" s="45" t="str">
        <f t="shared" si="192"/>
        <v xml:space="preserve">S/F  </v>
      </c>
      <c r="G425" s="45">
        <v>0</v>
      </c>
      <c r="H425" s="48">
        <v>0</v>
      </c>
      <c r="I425" s="40">
        <f t="shared" si="193"/>
        <v>0</v>
      </c>
      <c r="J425" s="53"/>
      <c r="K425" s="40">
        <f t="shared" si="194"/>
        <v>0</v>
      </c>
      <c r="L425" s="45">
        <v>0</v>
      </c>
      <c r="M425" s="53">
        <v>0</v>
      </c>
      <c r="N425" s="40">
        <f t="shared" si="195"/>
        <v>0</v>
      </c>
      <c r="P425" s="40">
        <f t="shared" si="196"/>
        <v>0</v>
      </c>
      <c r="Q425" s="45"/>
      <c r="R425" s="53"/>
      <c r="S425" s="40">
        <f t="shared" si="197"/>
        <v>0</v>
      </c>
      <c r="U425" s="40">
        <f t="shared" si="198"/>
        <v>0</v>
      </c>
      <c r="V425" s="51">
        <v>0</v>
      </c>
      <c r="W425" s="50">
        <v>0</v>
      </c>
      <c r="X425" s="40">
        <f t="shared" si="199"/>
        <v>0</v>
      </c>
      <c r="AA425" s="40">
        <f t="shared" si="200"/>
        <v>0</v>
      </c>
      <c r="AB425" s="40">
        <f t="shared" si="201"/>
        <v>0</v>
      </c>
      <c r="AC425" s="67"/>
    </row>
    <row r="426" spans="6:29" x14ac:dyDescent="0.25">
      <c r="F426" s="45" t="str">
        <f t="shared" si="192"/>
        <v xml:space="preserve">S/F  </v>
      </c>
      <c r="G426" s="45">
        <v>0</v>
      </c>
      <c r="H426" s="53">
        <v>0</v>
      </c>
      <c r="I426" s="40">
        <f t="shared" si="193"/>
        <v>0</v>
      </c>
      <c r="J426" s="53"/>
      <c r="K426" s="40">
        <f t="shared" si="194"/>
        <v>0</v>
      </c>
      <c r="L426" s="45">
        <v>0</v>
      </c>
      <c r="M426" s="53">
        <v>0</v>
      </c>
      <c r="N426" s="40">
        <f t="shared" si="195"/>
        <v>0</v>
      </c>
      <c r="P426" s="40">
        <f t="shared" si="196"/>
        <v>0</v>
      </c>
      <c r="Q426" s="45"/>
      <c r="R426" s="53"/>
      <c r="S426" s="40">
        <f t="shared" si="197"/>
        <v>0</v>
      </c>
      <c r="U426" s="40">
        <f t="shared" si="198"/>
        <v>0</v>
      </c>
      <c r="V426" s="51">
        <v>0</v>
      </c>
      <c r="W426" s="50">
        <v>0</v>
      </c>
      <c r="X426" s="40">
        <f t="shared" si="199"/>
        <v>0</v>
      </c>
      <c r="AA426" s="40">
        <f t="shared" si="200"/>
        <v>0</v>
      </c>
      <c r="AB426" s="40">
        <f t="shared" si="201"/>
        <v>0</v>
      </c>
      <c r="AC426" s="67"/>
    </row>
    <row r="427" spans="6:29" x14ac:dyDescent="0.25">
      <c r="F427" s="45" t="str">
        <f t="shared" si="192"/>
        <v xml:space="preserve">S/F  </v>
      </c>
      <c r="G427" s="45">
        <v>0</v>
      </c>
      <c r="H427" s="53">
        <v>0</v>
      </c>
      <c r="I427" s="40">
        <f t="shared" si="193"/>
        <v>0</v>
      </c>
      <c r="J427" s="53"/>
      <c r="K427" s="40">
        <f t="shared" si="194"/>
        <v>0</v>
      </c>
      <c r="L427" s="45">
        <v>0</v>
      </c>
      <c r="M427" s="53">
        <v>0</v>
      </c>
      <c r="N427" s="40">
        <f t="shared" si="195"/>
        <v>0</v>
      </c>
      <c r="P427" s="40">
        <f t="shared" si="196"/>
        <v>0</v>
      </c>
      <c r="Q427" s="45"/>
      <c r="R427" s="53"/>
      <c r="S427" s="40">
        <f t="shared" si="197"/>
        <v>0</v>
      </c>
      <c r="U427" s="40">
        <f t="shared" si="198"/>
        <v>0</v>
      </c>
      <c r="V427" s="51">
        <v>0</v>
      </c>
      <c r="W427" s="50">
        <v>0</v>
      </c>
      <c r="X427" s="40">
        <f t="shared" si="199"/>
        <v>0</v>
      </c>
      <c r="AA427" s="40">
        <f t="shared" si="200"/>
        <v>0</v>
      </c>
      <c r="AB427" s="40">
        <f t="shared" si="201"/>
        <v>0</v>
      </c>
      <c r="AC427" s="67"/>
    </row>
    <row r="428" spans="6:29" x14ac:dyDescent="0.25">
      <c r="F428" s="45" t="str">
        <f t="shared" si="192"/>
        <v xml:space="preserve">S/F  </v>
      </c>
      <c r="G428" s="45">
        <v>0</v>
      </c>
      <c r="H428" s="53">
        <v>0</v>
      </c>
      <c r="I428" s="40">
        <f t="shared" si="193"/>
        <v>0</v>
      </c>
      <c r="J428" s="53"/>
      <c r="K428" s="40">
        <f t="shared" si="194"/>
        <v>0</v>
      </c>
      <c r="L428" s="45">
        <v>0</v>
      </c>
      <c r="M428" s="53">
        <v>0</v>
      </c>
      <c r="N428" s="40">
        <f t="shared" si="195"/>
        <v>0</v>
      </c>
      <c r="P428" s="40">
        <f t="shared" si="196"/>
        <v>0</v>
      </c>
      <c r="Q428" s="45"/>
      <c r="R428" s="53"/>
      <c r="S428" s="40">
        <f t="shared" si="197"/>
        <v>0</v>
      </c>
      <c r="U428" s="40">
        <f t="shared" si="198"/>
        <v>0</v>
      </c>
      <c r="V428" s="51">
        <v>0</v>
      </c>
      <c r="W428" s="50">
        <v>0</v>
      </c>
      <c r="X428" s="40">
        <f t="shared" si="199"/>
        <v>0</v>
      </c>
      <c r="AA428" s="40">
        <f t="shared" si="200"/>
        <v>0</v>
      </c>
      <c r="AB428" s="40">
        <f t="shared" si="201"/>
        <v>0</v>
      </c>
      <c r="AC428" s="67"/>
    </row>
    <row r="429" spans="6:29" x14ac:dyDescent="0.25">
      <c r="F429" s="45" t="str">
        <f t="shared" si="192"/>
        <v xml:space="preserve">S/F  </v>
      </c>
      <c r="G429" s="45">
        <v>0</v>
      </c>
      <c r="H429" s="53">
        <v>0</v>
      </c>
      <c r="I429" s="40">
        <f t="shared" si="193"/>
        <v>0</v>
      </c>
      <c r="J429" s="53"/>
      <c r="K429" s="40">
        <f t="shared" si="194"/>
        <v>0</v>
      </c>
      <c r="L429" s="45">
        <v>0</v>
      </c>
      <c r="M429" s="53">
        <v>0</v>
      </c>
      <c r="N429" s="40">
        <f t="shared" si="195"/>
        <v>0</v>
      </c>
      <c r="P429" s="40">
        <f t="shared" si="196"/>
        <v>0</v>
      </c>
      <c r="Q429" s="45"/>
      <c r="R429" s="53"/>
      <c r="S429" s="40">
        <f t="shared" si="197"/>
        <v>0</v>
      </c>
      <c r="U429" s="40">
        <f t="shared" si="198"/>
        <v>0</v>
      </c>
      <c r="V429" s="51">
        <v>0</v>
      </c>
      <c r="W429" s="50">
        <v>0</v>
      </c>
      <c r="X429" s="40">
        <f t="shared" si="199"/>
        <v>0</v>
      </c>
      <c r="AA429" s="40">
        <f t="shared" si="200"/>
        <v>0</v>
      </c>
      <c r="AB429" s="40">
        <f t="shared" si="201"/>
        <v>0</v>
      </c>
      <c r="AC429" s="67"/>
    </row>
    <row r="430" spans="6:29" x14ac:dyDescent="0.25">
      <c r="F430" s="45" t="str">
        <f t="shared" si="192"/>
        <v xml:space="preserve">S/F  </v>
      </c>
      <c r="G430" s="45">
        <v>0</v>
      </c>
      <c r="H430" s="53">
        <v>0</v>
      </c>
      <c r="I430" s="40">
        <f t="shared" si="193"/>
        <v>0</v>
      </c>
      <c r="J430" s="53"/>
      <c r="K430" s="40">
        <f t="shared" si="194"/>
        <v>0</v>
      </c>
      <c r="L430" s="45">
        <v>0</v>
      </c>
      <c r="M430" s="53">
        <v>0</v>
      </c>
      <c r="N430" s="40">
        <f t="shared" si="195"/>
        <v>0</v>
      </c>
      <c r="P430" s="40">
        <f t="shared" si="196"/>
        <v>0</v>
      </c>
      <c r="Q430" s="45"/>
      <c r="R430" s="53"/>
      <c r="S430" s="40">
        <f t="shared" si="197"/>
        <v>0</v>
      </c>
      <c r="U430" s="40">
        <f t="shared" si="198"/>
        <v>0</v>
      </c>
      <c r="V430" s="51">
        <v>0</v>
      </c>
      <c r="W430" s="50">
        <v>0</v>
      </c>
      <c r="X430" s="40">
        <f t="shared" si="199"/>
        <v>0</v>
      </c>
      <c r="AA430" s="40">
        <f t="shared" si="200"/>
        <v>0</v>
      </c>
      <c r="AB430" s="40">
        <f t="shared" si="201"/>
        <v>0</v>
      </c>
      <c r="AC430" s="67"/>
    </row>
    <row r="431" spans="6:29" x14ac:dyDescent="0.25">
      <c r="F431" s="45" t="str">
        <f t="shared" si="192"/>
        <v xml:space="preserve">S/F  </v>
      </c>
      <c r="G431" s="45">
        <v>0</v>
      </c>
      <c r="H431" s="53">
        <v>0</v>
      </c>
      <c r="I431" s="40">
        <f t="shared" si="193"/>
        <v>0</v>
      </c>
      <c r="J431" s="53"/>
      <c r="K431" s="40">
        <f t="shared" si="194"/>
        <v>0</v>
      </c>
      <c r="L431" s="45">
        <v>0</v>
      </c>
      <c r="M431" s="53">
        <v>0</v>
      </c>
      <c r="N431" s="40">
        <f t="shared" si="195"/>
        <v>0</v>
      </c>
      <c r="P431" s="40">
        <f t="shared" si="196"/>
        <v>0</v>
      </c>
      <c r="Q431" s="45"/>
      <c r="R431" s="53"/>
      <c r="S431" s="40">
        <f t="shared" si="197"/>
        <v>0</v>
      </c>
      <c r="U431" s="40">
        <f t="shared" si="198"/>
        <v>0</v>
      </c>
      <c r="V431" s="51">
        <v>0</v>
      </c>
      <c r="W431" s="50">
        <v>0</v>
      </c>
      <c r="X431" s="40">
        <f t="shared" si="199"/>
        <v>0</v>
      </c>
      <c r="AA431" s="40">
        <f t="shared" si="200"/>
        <v>0</v>
      </c>
      <c r="AB431" s="40">
        <f t="shared" si="201"/>
        <v>0</v>
      </c>
      <c r="AC431" s="67"/>
    </row>
    <row r="432" spans="6:29" x14ac:dyDescent="0.25">
      <c r="F432" s="45" t="str">
        <f t="shared" si="192"/>
        <v xml:space="preserve">S/F  </v>
      </c>
      <c r="G432" s="45">
        <v>0</v>
      </c>
      <c r="H432" s="53">
        <v>0</v>
      </c>
      <c r="I432" s="40">
        <f t="shared" si="193"/>
        <v>0</v>
      </c>
      <c r="J432" s="53"/>
      <c r="K432" s="40">
        <f t="shared" si="194"/>
        <v>0</v>
      </c>
      <c r="L432" s="45">
        <v>0</v>
      </c>
      <c r="M432" s="53">
        <v>0</v>
      </c>
      <c r="N432" s="40">
        <f t="shared" si="195"/>
        <v>0</v>
      </c>
      <c r="P432" s="40">
        <f t="shared" si="196"/>
        <v>0</v>
      </c>
      <c r="Q432" s="45"/>
      <c r="R432" s="53"/>
      <c r="S432" s="40">
        <f t="shared" si="197"/>
        <v>0</v>
      </c>
      <c r="U432" s="40">
        <f t="shared" si="198"/>
        <v>0</v>
      </c>
      <c r="V432" s="51">
        <v>0</v>
      </c>
      <c r="W432" s="50">
        <v>0</v>
      </c>
      <c r="X432" s="40">
        <f t="shared" si="199"/>
        <v>0</v>
      </c>
      <c r="AA432" s="40">
        <f t="shared" si="200"/>
        <v>0</v>
      </c>
      <c r="AB432" s="40">
        <f t="shared" si="201"/>
        <v>0</v>
      </c>
      <c r="AC432" s="67"/>
    </row>
    <row r="433" spans="6:29" x14ac:dyDescent="0.25">
      <c r="F433" s="45" t="str">
        <f t="shared" si="192"/>
        <v xml:space="preserve">S/F  </v>
      </c>
      <c r="G433" s="45">
        <v>0</v>
      </c>
      <c r="H433" s="53">
        <v>0</v>
      </c>
      <c r="I433" s="40">
        <f t="shared" si="193"/>
        <v>0</v>
      </c>
      <c r="J433" s="53"/>
      <c r="K433" s="40">
        <f t="shared" si="194"/>
        <v>0</v>
      </c>
      <c r="L433" s="45">
        <v>0</v>
      </c>
      <c r="M433" s="53">
        <v>0</v>
      </c>
      <c r="N433" s="40">
        <f t="shared" si="195"/>
        <v>0</v>
      </c>
      <c r="P433" s="40">
        <f t="shared" si="196"/>
        <v>0</v>
      </c>
      <c r="Q433" s="45"/>
      <c r="R433" s="53"/>
      <c r="S433" s="40">
        <f t="shared" si="197"/>
        <v>0</v>
      </c>
      <c r="U433" s="40">
        <f t="shared" si="198"/>
        <v>0</v>
      </c>
      <c r="V433" s="51">
        <v>0</v>
      </c>
      <c r="W433" s="50">
        <v>0</v>
      </c>
      <c r="X433" s="40">
        <f t="shared" si="199"/>
        <v>0</v>
      </c>
      <c r="AA433" s="40">
        <f t="shared" si="200"/>
        <v>0</v>
      </c>
      <c r="AB433" s="40">
        <f t="shared" si="201"/>
        <v>0</v>
      </c>
      <c r="AC433" s="67"/>
    </row>
    <row r="434" spans="6:29" x14ac:dyDescent="0.25">
      <c r="F434" s="45" t="str">
        <f t="shared" si="192"/>
        <v xml:space="preserve">S/F  </v>
      </c>
      <c r="G434" s="45">
        <v>0</v>
      </c>
      <c r="H434" s="53">
        <v>0</v>
      </c>
      <c r="I434" s="40">
        <f t="shared" si="193"/>
        <v>0</v>
      </c>
      <c r="J434" s="53"/>
      <c r="K434" s="40">
        <f t="shared" si="194"/>
        <v>0</v>
      </c>
      <c r="L434" s="45">
        <v>0</v>
      </c>
      <c r="M434" s="53">
        <v>0</v>
      </c>
      <c r="N434" s="40">
        <f t="shared" si="195"/>
        <v>0</v>
      </c>
      <c r="P434" s="40">
        <f t="shared" si="196"/>
        <v>0</v>
      </c>
      <c r="Q434" s="45"/>
      <c r="R434" s="53"/>
      <c r="S434" s="40">
        <f t="shared" si="197"/>
        <v>0</v>
      </c>
      <c r="U434" s="40">
        <f t="shared" si="198"/>
        <v>0</v>
      </c>
      <c r="V434" s="51">
        <v>0</v>
      </c>
      <c r="W434" s="50">
        <v>0</v>
      </c>
      <c r="X434" s="40">
        <f t="shared" si="199"/>
        <v>0</v>
      </c>
      <c r="AA434" s="40">
        <f t="shared" si="200"/>
        <v>0</v>
      </c>
      <c r="AB434" s="40">
        <f t="shared" si="201"/>
        <v>0</v>
      </c>
      <c r="AC434" s="67"/>
    </row>
    <row r="435" spans="6:29" x14ac:dyDescent="0.25">
      <c r="F435" s="45" t="str">
        <f t="shared" si="192"/>
        <v xml:space="preserve">S/F  </v>
      </c>
      <c r="G435" s="45">
        <v>0</v>
      </c>
      <c r="H435" s="53">
        <v>0</v>
      </c>
      <c r="I435" s="40">
        <f t="shared" si="193"/>
        <v>0</v>
      </c>
      <c r="J435" s="53"/>
      <c r="K435" s="40">
        <f t="shared" si="194"/>
        <v>0</v>
      </c>
      <c r="L435" s="45">
        <v>0</v>
      </c>
      <c r="M435" s="53">
        <v>0</v>
      </c>
      <c r="N435" s="40">
        <f t="shared" si="195"/>
        <v>0</v>
      </c>
      <c r="P435" s="40">
        <f t="shared" si="196"/>
        <v>0</v>
      </c>
      <c r="Q435" s="45"/>
      <c r="R435" s="53"/>
      <c r="S435" s="40">
        <f t="shared" si="197"/>
        <v>0</v>
      </c>
      <c r="U435" s="40">
        <f t="shared" si="198"/>
        <v>0</v>
      </c>
      <c r="V435" s="51">
        <v>0</v>
      </c>
      <c r="W435" s="50">
        <v>0</v>
      </c>
      <c r="X435" s="40">
        <f t="shared" si="199"/>
        <v>0</v>
      </c>
      <c r="AA435" s="40">
        <f t="shared" si="200"/>
        <v>0</v>
      </c>
      <c r="AB435" s="40">
        <f t="shared" si="201"/>
        <v>0</v>
      </c>
      <c r="AC435" s="67"/>
    </row>
    <row r="436" spans="6:29" x14ac:dyDescent="0.25">
      <c r="F436" s="45" t="str">
        <f t="shared" si="192"/>
        <v xml:space="preserve">S/F  </v>
      </c>
      <c r="G436" s="45">
        <v>0</v>
      </c>
      <c r="H436" s="53">
        <v>0</v>
      </c>
      <c r="I436" s="40">
        <f t="shared" si="193"/>
        <v>0</v>
      </c>
      <c r="J436" s="53"/>
      <c r="K436" s="40">
        <f t="shared" si="194"/>
        <v>0</v>
      </c>
      <c r="L436" s="45">
        <v>0</v>
      </c>
      <c r="M436" s="53">
        <v>0</v>
      </c>
      <c r="N436" s="40">
        <f t="shared" si="195"/>
        <v>0</v>
      </c>
      <c r="P436" s="40">
        <f t="shared" si="196"/>
        <v>0</v>
      </c>
      <c r="Q436" s="45"/>
      <c r="R436" s="53"/>
      <c r="S436" s="40">
        <f t="shared" si="197"/>
        <v>0</v>
      </c>
      <c r="U436" s="40">
        <f t="shared" si="198"/>
        <v>0</v>
      </c>
      <c r="V436" s="51">
        <v>0</v>
      </c>
      <c r="W436" s="50">
        <v>0</v>
      </c>
      <c r="X436" s="40">
        <f t="shared" si="199"/>
        <v>0</v>
      </c>
      <c r="AA436" s="40">
        <f t="shared" si="200"/>
        <v>0</v>
      </c>
      <c r="AB436" s="40">
        <f t="shared" si="201"/>
        <v>0</v>
      </c>
      <c r="AC436" s="67"/>
    </row>
    <row r="437" spans="6:29" x14ac:dyDescent="0.25">
      <c r="F437" s="45" t="str">
        <f t="shared" si="192"/>
        <v xml:space="preserve">S/F  </v>
      </c>
      <c r="G437" s="45">
        <v>0</v>
      </c>
      <c r="H437" s="53">
        <v>0</v>
      </c>
      <c r="I437" s="40">
        <f t="shared" si="193"/>
        <v>0</v>
      </c>
      <c r="J437" s="53"/>
      <c r="K437" s="40">
        <f t="shared" si="194"/>
        <v>0</v>
      </c>
      <c r="L437" s="45">
        <v>0</v>
      </c>
      <c r="M437" s="53">
        <v>0</v>
      </c>
      <c r="N437" s="40">
        <f t="shared" si="195"/>
        <v>0</v>
      </c>
      <c r="P437" s="40">
        <f t="shared" si="196"/>
        <v>0</v>
      </c>
      <c r="Q437" s="45"/>
      <c r="R437" s="53"/>
      <c r="S437" s="40">
        <f t="shared" si="197"/>
        <v>0</v>
      </c>
      <c r="U437" s="40">
        <f t="shared" si="198"/>
        <v>0</v>
      </c>
      <c r="V437" s="51">
        <v>0</v>
      </c>
      <c r="W437" s="50">
        <v>0</v>
      </c>
      <c r="X437" s="40">
        <f t="shared" si="199"/>
        <v>0</v>
      </c>
      <c r="AA437" s="40">
        <f t="shared" si="200"/>
        <v>0</v>
      </c>
      <c r="AB437" s="40">
        <f t="shared" si="201"/>
        <v>0</v>
      </c>
      <c r="AC437" s="67"/>
    </row>
    <row r="438" spans="6:29" x14ac:dyDescent="0.25">
      <c r="F438" s="45" t="str">
        <f t="shared" si="192"/>
        <v xml:space="preserve">S/F  </v>
      </c>
      <c r="G438" s="45">
        <v>0</v>
      </c>
      <c r="H438" s="53">
        <v>0</v>
      </c>
      <c r="I438" s="40">
        <f t="shared" si="193"/>
        <v>0</v>
      </c>
      <c r="J438" s="53"/>
      <c r="K438" s="40">
        <f t="shared" si="194"/>
        <v>0</v>
      </c>
      <c r="L438" s="45">
        <v>0</v>
      </c>
      <c r="M438" s="53">
        <v>0</v>
      </c>
      <c r="N438" s="40">
        <f t="shared" si="195"/>
        <v>0</v>
      </c>
      <c r="P438" s="40">
        <f t="shared" si="196"/>
        <v>0</v>
      </c>
      <c r="Q438" s="45"/>
      <c r="R438" s="53"/>
      <c r="S438" s="40">
        <f t="shared" si="197"/>
        <v>0</v>
      </c>
      <c r="U438" s="40">
        <f t="shared" si="198"/>
        <v>0</v>
      </c>
      <c r="V438" s="51">
        <v>0</v>
      </c>
      <c r="W438" s="50">
        <v>0</v>
      </c>
      <c r="X438" s="40">
        <f t="shared" si="199"/>
        <v>0</v>
      </c>
      <c r="AA438" s="40">
        <f t="shared" si="200"/>
        <v>0</v>
      </c>
      <c r="AB438" s="40">
        <f t="shared" si="201"/>
        <v>0</v>
      </c>
      <c r="AC438" s="67"/>
    </row>
    <row r="439" spans="6:29" x14ac:dyDescent="0.25">
      <c r="F439" s="45" t="str">
        <f t="shared" si="192"/>
        <v xml:space="preserve">S/F  </v>
      </c>
      <c r="G439" s="45">
        <v>0</v>
      </c>
      <c r="H439" s="53">
        <v>0</v>
      </c>
      <c r="I439" s="40">
        <f t="shared" si="193"/>
        <v>0</v>
      </c>
      <c r="J439" s="53"/>
      <c r="K439" s="40">
        <f t="shared" si="194"/>
        <v>0</v>
      </c>
      <c r="L439" s="45">
        <v>0</v>
      </c>
      <c r="M439" s="53">
        <v>0</v>
      </c>
      <c r="N439" s="40">
        <f t="shared" si="195"/>
        <v>0</v>
      </c>
      <c r="P439" s="40">
        <f t="shared" si="196"/>
        <v>0</v>
      </c>
      <c r="Q439" s="45"/>
      <c r="R439" s="53"/>
      <c r="S439" s="40">
        <f t="shared" si="197"/>
        <v>0</v>
      </c>
      <c r="U439" s="40">
        <f t="shared" si="198"/>
        <v>0</v>
      </c>
      <c r="V439" s="51">
        <v>0</v>
      </c>
      <c r="W439" s="50">
        <v>0</v>
      </c>
      <c r="X439" s="40">
        <f t="shared" si="199"/>
        <v>0</v>
      </c>
      <c r="AA439" s="40">
        <f t="shared" si="200"/>
        <v>0</v>
      </c>
      <c r="AB439" s="40">
        <f t="shared" si="201"/>
        <v>0</v>
      </c>
      <c r="AC439" s="67"/>
    </row>
    <row r="440" spans="6:29" x14ac:dyDescent="0.25">
      <c r="F440" s="45" t="str">
        <f t="shared" si="192"/>
        <v xml:space="preserve">S/F  </v>
      </c>
      <c r="G440" s="45">
        <v>0</v>
      </c>
      <c r="H440" s="53">
        <v>0</v>
      </c>
      <c r="I440" s="40">
        <f t="shared" si="193"/>
        <v>0</v>
      </c>
      <c r="J440" s="53"/>
      <c r="K440" s="40">
        <f t="shared" si="194"/>
        <v>0</v>
      </c>
      <c r="L440" s="45">
        <v>0</v>
      </c>
      <c r="M440" s="53">
        <v>0</v>
      </c>
      <c r="N440" s="40">
        <f t="shared" si="195"/>
        <v>0</v>
      </c>
      <c r="P440" s="40">
        <f t="shared" si="196"/>
        <v>0</v>
      </c>
      <c r="Q440" s="45"/>
      <c r="R440" s="53"/>
      <c r="S440" s="40">
        <f t="shared" si="197"/>
        <v>0</v>
      </c>
      <c r="U440" s="40">
        <f t="shared" si="198"/>
        <v>0</v>
      </c>
      <c r="V440" s="51">
        <v>0</v>
      </c>
      <c r="W440" s="50">
        <v>0</v>
      </c>
      <c r="X440" s="40">
        <f t="shared" si="199"/>
        <v>0</v>
      </c>
      <c r="AA440" s="40">
        <f t="shared" si="200"/>
        <v>0</v>
      </c>
      <c r="AB440" s="40">
        <f t="shared" si="201"/>
        <v>0</v>
      </c>
      <c r="AC440" s="67"/>
    </row>
    <row r="441" spans="6:29" x14ac:dyDescent="0.25">
      <c r="F441" s="45" t="str">
        <f t="shared" si="192"/>
        <v xml:space="preserve">S/F  </v>
      </c>
      <c r="G441" s="45">
        <v>0</v>
      </c>
      <c r="H441" s="53">
        <v>0</v>
      </c>
      <c r="I441" s="40">
        <f t="shared" si="193"/>
        <v>0</v>
      </c>
      <c r="J441" s="53"/>
      <c r="K441" s="40">
        <f t="shared" si="194"/>
        <v>0</v>
      </c>
      <c r="L441" s="45">
        <v>0</v>
      </c>
      <c r="M441" s="53">
        <v>0</v>
      </c>
      <c r="N441" s="40">
        <f t="shared" si="195"/>
        <v>0</v>
      </c>
      <c r="P441" s="40">
        <f t="shared" si="196"/>
        <v>0</v>
      </c>
      <c r="Q441" s="45"/>
      <c r="R441" s="53"/>
      <c r="S441" s="40">
        <f t="shared" si="197"/>
        <v>0</v>
      </c>
      <c r="U441" s="40">
        <f t="shared" si="198"/>
        <v>0</v>
      </c>
      <c r="V441" s="51">
        <v>0</v>
      </c>
      <c r="W441" s="50">
        <v>0</v>
      </c>
      <c r="X441" s="40">
        <f t="shared" si="199"/>
        <v>0</v>
      </c>
      <c r="AA441" s="40">
        <f t="shared" si="200"/>
        <v>0</v>
      </c>
      <c r="AB441" s="40">
        <f t="shared" si="201"/>
        <v>0</v>
      </c>
      <c r="AC441" s="67"/>
    </row>
    <row r="442" spans="6:29" x14ac:dyDescent="0.25">
      <c r="F442" s="45" t="str">
        <f t="shared" si="192"/>
        <v xml:space="preserve">S/F  </v>
      </c>
      <c r="G442" s="45">
        <v>0</v>
      </c>
      <c r="H442" s="53">
        <v>0</v>
      </c>
      <c r="I442" s="40">
        <f t="shared" si="193"/>
        <v>0</v>
      </c>
      <c r="J442" s="53"/>
      <c r="K442" s="40">
        <f t="shared" si="194"/>
        <v>0</v>
      </c>
      <c r="L442" s="45">
        <v>0</v>
      </c>
      <c r="M442" s="53">
        <v>0</v>
      </c>
      <c r="N442" s="40">
        <f t="shared" si="195"/>
        <v>0</v>
      </c>
      <c r="P442" s="40">
        <f t="shared" si="196"/>
        <v>0</v>
      </c>
      <c r="Q442" s="45"/>
      <c r="R442" s="53"/>
      <c r="S442" s="40">
        <f t="shared" si="197"/>
        <v>0</v>
      </c>
      <c r="U442" s="40">
        <f t="shared" si="198"/>
        <v>0</v>
      </c>
      <c r="V442" s="51">
        <v>0</v>
      </c>
      <c r="W442" s="50">
        <v>0</v>
      </c>
      <c r="X442" s="40">
        <f t="shared" si="199"/>
        <v>0</v>
      </c>
      <c r="AA442" s="40">
        <f t="shared" si="200"/>
        <v>0</v>
      </c>
      <c r="AB442" s="40">
        <f t="shared" si="201"/>
        <v>0</v>
      </c>
      <c r="AC442" s="67"/>
    </row>
    <row r="443" spans="6:29" x14ac:dyDescent="0.25">
      <c r="F443" s="45" t="str">
        <f t="shared" si="192"/>
        <v xml:space="preserve">S/F  </v>
      </c>
      <c r="G443" s="45">
        <v>0</v>
      </c>
      <c r="H443" s="53">
        <v>0</v>
      </c>
      <c r="I443" s="40">
        <f t="shared" si="193"/>
        <v>0</v>
      </c>
      <c r="J443" s="53"/>
      <c r="K443" s="40">
        <f t="shared" si="194"/>
        <v>0</v>
      </c>
      <c r="L443" s="45">
        <v>0</v>
      </c>
      <c r="M443" s="53">
        <v>0</v>
      </c>
      <c r="N443" s="40">
        <f t="shared" si="195"/>
        <v>0</v>
      </c>
      <c r="P443" s="40">
        <f t="shared" si="196"/>
        <v>0</v>
      </c>
      <c r="Q443" s="45"/>
      <c r="R443" s="53"/>
      <c r="S443" s="40">
        <f t="shared" si="197"/>
        <v>0</v>
      </c>
      <c r="U443" s="40">
        <f t="shared" si="198"/>
        <v>0</v>
      </c>
      <c r="V443" s="51">
        <v>0</v>
      </c>
      <c r="W443" s="51">
        <v>0</v>
      </c>
      <c r="X443" s="40">
        <f t="shared" si="199"/>
        <v>0</v>
      </c>
      <c r="AA443" s="40">
        <f t="shared" si="200"/>
        <v>0</v>
      </c>
      <c r="AB443" s="40">
        <f t="shared" si="201"/>
        <v>0</v>
      </c>
      <c r="AC443" s="67"/>
    </row>
    <row r="444" spans="6:29" x14ac:dyDescent="0.25">
      <c r="F444" s="45" t="str">
        <f t="shared" si="192"/>
        <v xml:space="preserve">S/F  </v>
      </c>
      <c r="G444" s="45">
        <v>0</v>
      </c>
      <c r="H444" s="53">
        <v>0</v>
      </c>
      <c r="I444" s="40">
        <f t="shared" si="193"/>
        <v>0</v>
      </c>
      <c r="J444" s="53"/>
      <c r="K444" s="40">
        <f t="shared" si="194"/>
        <v>0</v>
      </c>
      <c r="L444" s="45">
        <v>0</v>
      </c>
      <c r="M444" s="53">
        <v>0</v>
      </c>
      <c r="N444" s="40">
        <f t="shared" si="195"/>
        <v>0</v>
      </c>
      <c r="P444" s="40">
        <f t="shared" si="196"/>
        <v>0</v>
      </c>
      <c r="Q444" s="45"/>
      <c r="R444" s="53"/>
      <c r="S444" s="40">
        <f t="shared" si="197"/>
        <v>0</v>
      </c>
      <c r="U444" s="40">
        <f t="shared" si="198"/>
        <v>0</v>
      </c>
      <c r="V444" s="51">
        <v>0</v>
      </c>
      <c r="W444" s="51">
        <v>0</v>
      </c>
      <c r="X444" s="40">
        <f t="shared" si="199"/>
        <v>0</v>
      </c>
      <c r="AA444" s="40">
        <f t="shared" si="200"/>
        <v>0</v>
      </c>
      <c r="AB444" s="40">
        <f t="shared" si="201"/>
        <v>0</v>
      </c>
      <c r="AC444" s="67"/>
    </row>
    <row r="445" spans="6:29" x14ac:dyDescent="0.25">
      <c r="F445" s="45" t="str">
        <f t="shared" si="192"/>
        <v xml:space="preserve">S/F  </v>
      </c>
      <c r="G445" s="45">
        <v>0</v>
      </c>
      <c r="H445" s="53">
        <v>0</v>
      </c>
      <c r="I445" s="40">
        <f t="shared" si="193"/>
        <v>0</v>
      </c>
      <c r="J445" s="53"/>
      <c r="K445" s="40">
        <f t="shared" si="194"/>
        <v>0</v>
      </c>
      <c r="L445" s="45">
        <v>0</v>
      </c>
      <c r="M445" s="53">
        <v>0</v>
      </c>
      <c r="N445" s="40">
        <f t="shared" si="195"/>
        <v>0</v>
      </c>
      <c r="P445" s="40">
        <f t="shared" si="196"/>
        <v>0</v>
      </c>
      <c r="Q445" s="45"/>
      <c r="R445" s="53"/>
      <c r="S445" s="40">
        <f t="shared" si="197"/>
        <v>0</v>
      </c>
      <c r="U445" s="40">
        <f t="shared" si="198"/>
        <v>0</v>
      </c>
      <c r="V445" s="51">
        <v>0</v>
      </c>
      <c r="W445" s="51">
        <v>0</v>
      </c>
      <c r="X445" s="40">
        <f t="shared" si="199"/>
        <v>0</v>
      </c>
      <c r="AA445" s="40">
        <f t="shared" si="200"/>
        <v>0</v>
      </c>
      <c r="AB445" s="40">
        <f t="shared" si="201"/>
        <v>0</v>
      </c>
      <c r="AC445" s="67"/>
    </row>
    <row r="446" spans="6:29" x14ac:dyDescent="0.25">
      <c r="F446" s="45" t="str">
        <f t="shared" si="192"/>
        <v xml:space="preserve">S/F  </v>
      </c>
      <c r="G446" s="45">
        <v>0</v>
      </c>
      <c r="H446" s="53">
        <v>0</v>
      </c>
      <c r="I446" s="40">
        <f t="shared" si="193"/>
        <v>0</v>
      </c>
      <c r="J446" s="53"/>
      <c r="K446" s="40">
        <f t="shared" si="194"/>
        <v>0</v>
      </c>
      <c r="L446" s="45">
        <v>0</v>
      </c>
      <c r="M446" s="53">
        <v>0</v>
      </c>
      <c r="N446" s="40">
        <f t="shared" si="195"/>
        <v>0</v>
      </c>
      <c r="P446" s="40">
        <f t="shared" si="196"/>
        <v>0</v>
      </c>
      <c r="Q446" s="45"/>
      <c r="R446" s="53"/>
      <c r="S446" s="40">
        <f t="shared" si="197"/>
        <v>0</v>
      </c>
      <c r="U446" s="40">
        <f t="shared" si="198"/>
        <v>0</v>
      </c>
      <c r="V446" s="51">
        <v>0</v>
      </c>
      <c r="W446" s="51">
        <v>0</v>
      </c>
      <c r="X446" s="40">
        <f t="shared" si="199"/>
        <v>0</v>
      </c>
      <c r="AA446" s="40">
        <f t="shared" si="200"/>
        <v>0</v>
      </c>
      <c r="AB446" s="40">
        <f t="shared" si="201"/>
        <v>0</v>
      </c>
      <c r="AC446" s="67"/>
    </row>
    <row r="447" spans="6:29" x14ac:dyDescent="0.25">
      <c r="F447" s="45" t="str">
        <f t="shared" si="192"/>
        <v xml:space="preserve">S/F  </v>
      </c>
      <c r="G447" s="45">
        <v>0</v>
      </c>
      <c r="H447" s="53">
        <v>0</v>
      </c>
      <c r="I447" s="40">
        <f t="shared" si="193"/>
        <v>0</v>
      </c>
      <c r="J447" s="53"/>
      <c r="K447" s="40">
        <f t="shared" si="194"/>
        <v>0</v>
      </c>
      <c r="L447" s="45">
        <v>0</v>
      </c>
      <c r="M447" s="53">
        <v>0</v>
      </c>
      <c r="N447" s="40">
        <f t="shared" si="195"/>
        <v>0</v>
      </c>
      <c r="P447" s="40">
        <f t="shared" si="196"/>
        <v>0</v>
      </c>
      <c r="Q447" s="45"/>
      <c r="R447" s="53"/>
      <c r="S447" s="40">
        <f t="shared" si="197"/>
        <v>0</v>
      </c>
      <c r="U447" s="40">
        <f t="shared" si="198"/>
        <v>0</v>
      </c>
      <c r="V447" s="51">
        <v>0</v>
      </c>
      <c r="W447" s="51">
        <v>0</v>
      </c>
      <c r="X447" s="40">
        <f t="shared" si="199"/>
        <v>0</v>
      </c>
      <c r="AA447" s="40">
        <f t="shared" si="200"/>
        <v>0</v>
      </c>
      <c r="AB447" s="40">
        <f t="shared" si="201"/>
        <v>0</v>
      </c>
      <c r="AC447" s="67"/>
    </row>
    <row r="448" spans="6:29" x14ac:dyDescent="0.25">
      <c r="F448" s="45" t="str">
        <f t="shared" si="192"/>
        <v xml:space="preserve">S/F  </v>
      </c>
      <c r="G448" s="45">
        <v>0</v>
      </c>
      <c r="H448" s="53">
        <v>0</v>
      </c>
      <c r="I448" s="40">
        <f t="shared" si="193"/>
        <v>0</v>
      </c>
      <c r="J448" s="53"/>
      <c r="K448" s="40">
        <f t="shared" si="194"/>
        <v>0</v>
      </c>
      <c r="L448" s="45">
        <v>0</v>
      </c>
      <c r="M448" s="53">
        <v>0</v>
      </c>
      <c r="N448" s="40">
        <f t="shared" si="195"/>
        <v>0</v>
      </c>
      <c r="P448" s="40">
        <f t="shared" si="196"/>
        <v>0</v>
      </c>
      <c r="Q448" s="45"/>
      <c r="R448" s="53"/>
      <c r="S448" s="40">
        <f t="shared" si="197"/>
        <v>0</v>
      </c>
      <c r="U448" s="40">
        <f t="shared" si="198"/>
        <v>0</v>
      </c>
      <c r="V448" s="51">
        <v>0</v>
      </c>
      <c r="W448" s="51">
        <v>0</v>
      </c>
      <c r="X448" s="40">
        <f t="shared" si="199"/>
        <v>0</v>
      </c>
      <c r="AA448" s="40">
        <f t="shared" si="200"/>
        <v>0</v>
      </c>
      <c r="AB448" s="40">
        <f t="shared" si="201"/>
        <v>0</v>
      </c>
      <c r="AC448" s="67"/>
    </row>
    <row r="449" spans="6:29" x14ac:dyDescent="0.25">
      <c r="F449" s="45" t="str">
        <f t="shared" si="192"/>
        <v xml:space="preserve">S/F  </v>
      </c>
      <c r="G449" s="45">
        <v>0</v>
      </c>
      <c r="H449" s="53">
        <v>0</v>
      </c>
      <c r="I449" s="40">
        <f t="shared" si="193"/>
        <v>0</v>
      </c>
      <c r="J449" s="53"/>
      <c r="K449" s="40">
        <f t="shared" si="194"/>
        <v>0</v>
      </c>
      <c r="L449" s="45">
        <v>0</v>
      </c>
      <c r="M449" s="53">
        <v>0</v>
      </c>
      <c r="N449" s="40">
        <f t="shared" si="195"/>
        <v>0</v>
      </c>
      <c r="P449" s="40">
        <f t="shared" si="196"/>
        <v>0</v>
      </c>
      <c r="Q449" s="45"/>
      <c r="R449" s="53"/>
      <c r="S449" s="40">
        <f t="shared" si="197"/>
        <v>0</v>
      </c>
      <c r="U449" s="40">
        <f t="shared" si="198"/>
        <v>0</v>
      </c>
      <c r="V449" s="51">
        <v>0</v>
      </c>
      <c r="W449" s="51">
        <v>0</v>
      </c>
      <c r="X449" s="40">
        <f t="shared" si="199"/>
        <v>0</v>
      </c>
      <c r="AA449" s="40">
        <f t="shared" si="200"/>
        <v>0</v>
      </c>
      <c r="AB449" s="40">
        <f t="shared" si="201"/>
        <v>0</v>
      </c>
      <c r="AC449" s="67"/>
    </row>
    <row r="450" spans="6:29" x14ac:dyDescent="0.25">
      <c r="F450" s="45" t="str">
        <f t="shared" si="192"/>
        <v xml:space="preserve">S/F  </v>
      </c>
      <c r="G450" s="45">
        <v>0</v>
      </c>
      <c r="H450" s="53">
        <v>0</v>
      </c>
      <c r="I450" s="40">
        <f t="shared" si="193"/>
        <v>0</v>
      </c>
      <c r="J450" s="53"/>
      <c r="K450" s="40">
        <f t="shared" si="194"/>
        <v>0</v>
      </c>
      <c r="L450" s="45">
        <v>0</v>
      </c>
      <c r="M450" s="53">
        <v>0</v>
      </c>
      <c r="N450" s="40">
        <f t="shared" si="195"/>
        <v>0</v>
      </c>
      <c r="P450" s="40">
        <f t="shared" si="196"/>
        <v>0</v>
      </c>
      <c r="Q450" s="45"/>
      <c r="R450" s="53"/>
      <c r="S450" s="40">
        <f t="shared" si="197"/>
        <v>0</v>
      </c>
      <c r="U450" s="40">
        <f t="shared" si="198"/>
        <v>0</v>
      </c>
      <c r="V450" s="51">
        <v>0</v>
      </c>
      <c r="W450" s="51">
        <v>0</v>
      </c>
      <c r="X450" s="40">
        <f t="shared" si="199"/>
        <v>0</v>
      </c>
      <c r="AA450" s="40">
        <f t="shared" si="200"/>
        <v>0</v>
      </c>
      <c r="AB450" s="40">
        <f t="shared" si="201"/>
        <v>0</v>
      </c>
      <c r="AC450" s="67"/>
    </row>
    <row r="451" spans="6:29" x14ac:dyDescent="0.25">
      <c r="F451" s="45" t="str">
        <f t="shared" si="192"/>
        <v xml:space="preserve">S/F  </v>
      </c>
      <c r="G451" s="45">
        <v>0</v>
      </c>
      <c r="H451" s="53">
        <v>0</v>
      </c>
      <c r="I451" s="40">
        <f t="shared" si="193"/>
        <v>0</v>
      </c>
      <c r="J451" s="53"/>
      <c r="K451" s="40">
        <f t="shared" si="194"/>
        <v>0</v>
      </c>
      <c r="L451" s="45">
        <v>0</v>
      </c>
      <c r="M451" s="53">
        <v>0</v>
      </c>
      <c r="N451" s="40">
        <f t="shared" si="195"/>
        <v>0</v>
      </c>
      <c r="P451" s="40">
        <f t="shared" si="196"/>
        <v>0</v>
      </c>
      <c r="Q451" s="45"/>
      <c r="R451" s="53"/>
      <c r="S451" s="40">
        <f t="shared" si="197"/>
        <v>0</v>
      </c>
      <c r="U451" s="40">
        <f t="shared" si="198"/>
        <v>0</v>
      </c>
      <c r="V451" s="51">
        <v>0</v>
      </c>
      <c r="W451" s="51">
        <v>0</v>
      </c>
      <c r="X451" s="40">
        <f t="shared" si="199"/>
        <v>0</v>
      </c>
      <c r="AA451" s="40">
        <f t="shared" si="200"/>
        <v>0</v>
      </c>
      <c r="AB451" s="40">
        <f t="shared" si="201"/>
        <v>0</v>
      </c>
      <c r="AC451" s="67"/>
    </row>
    <row r="452" spans="6:29" x14ac:dyDescent="0.25">
      <c r="F452" s="45" t="str">
        <f t="shared" si="192"/>
        <v xml:space="preserve">S/F  </v>
      </c>
      <c r="G452" s="45">
        <v>0</v>
      </c>
      <c r="H452" s="53">
        <v>0</v>
      </c>
      <c r="I452" s="40">
        <f t="shared" si="193"/>
        <v>0</v>
      </c>
      <c r="J452" s="53"/>
      <c r="K452" s="40">
        <f t="shared" si="194"/>
        <v>0</v>
      </c>
      <c r="L452" s="45">
        <v>0</v>
      </c>
      <c r="M452" s="53">
        <v>0</v>
      </c>
      <c r="N452" s="40">
        <f t="shared" si="195"/>
        <v>0</v>
      </c>
      <c r="P452" s="40">
        <f t="shared" si="196"/>
        <v>0</v>
      </c>
      <c r="Q452" s="45"/>
      <c r="R452" s="53"/>
      <c r="S452" s="40">
        <f t="shared" si="197"/>
        <v>0</v>
      </c>
      <c r="U452" s="40">
        <f t="shared" si="198"/>
        <v>0</v>
      </c>
      <c r="V452" s="51">
        <v>0</v>
      </c>
      <c r="W452" s="51">
        <v>0</v>
      </c>
      <c r="X452" s="40">
        <f t="shared" si="199"/>
        <v>0</v>
      </c>
      <c r="AA452" s="40">
        <f t="shared" si="200"/>
        <v>0</v>
      </c>
      <c r="AB452" s="40">
        <f t="shared" si="201"/>
        <v>0</v>
      </c>
      <c r="AC452" s="67"/>
    </row>
    <row r="453" spans="6:29" x14ac:dyDescent="0.25">
      <c r="F453" s="45" t="str">
        <f t="shared" si="192"/>
        <v xml:space="preserve">S/F  </v>
      </c>
      <c r="G453" s="45">
        <v>0</v>
      </c>
      <c r="H453" s="53">
        <v>0</v>
      </c>
      <c r="I453" s="40">
        <f t="shared" si="193"/>
        <v>0</v>
      </c>
      <c r="J453" s="53"/>
      <c r="K453" s="40">
        <f t="shared" si="194"/>
        <v>0</v>
      </c>
      <c r="L453" s="45">
        <v>0</v>
      </c>
      <c r="M453" s="53">
        <v>0</v>
      </c>
      <c r="N453" s="40">
        <f t="shared" si="195"/>
        <v>0</v>
      </c>
      <c r="P453" s="40">
        <f t="shared" si="196"/>
        <v>0</v>
      </c>
      <c r="Q453" s="45"/>
      <c r="R453" s="53"/>
      <c r="S453" s="40">
        <f t="shared" si="197"/>
        <v>0</v>
      </c>
      <c r="U453" s="40">
        <f t="shared" si="198"/>
        <v>0</v>
      </c>
      <c r="V453" s="51">
        <v>0</v>
      </c>
      <c r="W453" s="51">
        <v>0</v>
      </c>
      <c r="X453" s="40">
        <f t="shared" si="199"/>
        <v>0</v>
      </c>
      <c r="AA453" s="40">
        <f t="shared" si="200"/>
        <v>0</v>
      </c>
      <c r="AB453" s="40">
        <f t="shared" si="201"/>
        <v>0</v>
      </c>
      <c r="AC453" s="67"/>
    </row>
    <row r="454" spans="6:29" x14ac:dyDescent="0.25">
      <c r="F454" s="45" t="str">
        <f t="shared" si="192"/>
        <v xml:space="preserve">S/F  </v>
      </c>
      <c r="G454" s="45">
        <v>0</v>
      </c>
      <c r="H454" s="53">
        <v>0</v>
      </c>
      <c r="I454" s="40">
        <f t="shared" si="193"/>
        <v>0</v>
      </c>
      <c r="J454" s="53"/>
      <c r="K454" s="40">
        <f t="shared" si="194"/>
        <v>0</v>
      </c>
      <c r="L454" s="45">
        <v>0</v>
      </c>
      <c r="M454" s="53">
        <v>0</v>
      </c>
      <c r="N454" s="40">
        <f t="shared" si="195"/>
        <v>0</v>
      </c>
      <c r="P454" s="40">
        <f t="shared" si="196"/>
        <v>0</v>
      </c>
      <c r="Q454" s="45"/>
      <c r="R454" s="53"/>
      <c r="S454" s="40">
        <f t="shared" si="197"/>
        <v>0</v>
      </c>
      <c r="U454" s="40">
        <f t="shared" si="198"/>
        <v>0</v>
      </c>
      <c r="V454" s="51">
        <v>0</v>
      </c>
      <c r="W454" s="51">
        <v>0</v>
      </c>
      <c r="X454" s="40">
        <f t="shared" si="199"/>
        <v>0</v>
      </c>
      <c r="AA454" s="40">
        <f t="shared" si="200"/>
        <v>0</v>
      </c>
      <c r="AB454" s="40">
        <f t="shared" si="201"/>
        <v>0</v>
      </c>
      <c r="AC454" s="67"/>
    </row>
    <row r="455" spans="6:29" x14ac:dyDescent="0.25">
      <c r="F455" s="45" t="str">
        <f t="shared" si="192"/>
        <v xml:space="preserve">S/F  </v>
      </c>
      <c r="G455" s="45">
        <v>0</v>
      </c>
      <c r="H455" s="53">
        <v>0</v>
      </c>
      <c r="I455" s="40">
        <f t="shared" si="193"/>
        <v>0</v>
      </c>
      <c r="J455" s="53"/>
      <c r="K455" s="40">
        <f t="shared" si="194"/>
        <v>0</v>
      </c>
      <c r="L455" s="45">
        <v>0</v>
      </c>
      <c r="M455" s="53">
        <v>0</v>
      </c>
      <c r="N455" s="40">
        <f t="shared" si="195"/>
        <v>0</v>
      </c>
      <c r="P455" s="40">
        <f t="shared" si="196"/>
        <v>0</v>
      </c>
      <c r="Q455" s="45"/>
      <c r="R455" s="53"/>
      <c r="S455" s="40">
        <f t="shared" si="197"/>
        <v>0</v>
      </c>
      <c r="U455" s="40">
        <f t="shared" si="198"/>
        <v>0</v>
      </c>
      <c r="V455" s="51">
        <v>0</v>
      </c>
      <c r="W455" s="51">
        <v>0</v>
      </c>
      <c r="X455" s="40">
        <f t="shared" si="199"/>
        <v>0</v>
      </c>
      <c r="AA455" s="40">
        <f t="shared" si="200"/>
        <v>0</v>
      </c>
      <c r="AB455" s="40">
        <f t="shared" si="201"/>
        <v>0</v>
      </c>
      <c r="AC455" s="67"/>
    </row>
    <row r="456" spans="6:29" x14ac:dyDescent="0.25">
      <c r="F456" s="45" t="str">
        <f t="shared" si="192"/>
        <v xml:space="preserve">S/F  </v>
      </c>
      <c r="G456" s="45">
        <v>0</v>
      </c>
      <c r="H456" s="53">
        <v>0</v>
      </c>
      <c r="I456" s="40">
        <f t="shared" si="193"/>
        <v>0</v>
      </c>
      <c r="J456" s="53"/>
      <c r="K456" s="40">
        <f t="shared" si="194"/>
        <v>0</v>
      </c>
      <c r="L456" s="45">
        <v>0</v>
      </c>
      <c r="M456" s="53">
        <v>0</v>
      </c>
      <c r="N456" s="40">
        <f t="shared" si="195"/>
        <v>0</v>
      </c>
      <c r="P456" s="40">
        <f t="shared" si="196"/>
        <v>0</v>
      </c>
      <c r="Q456" s="45"/>
      <c r="R456" s="53"/>
      <c r="S456" s="40">
        <f t="shared" si="197"/>
        <v>0</v>
      </c>
      <c r="U456" s="40">
        <f t="shared" si="198"/>
        <v>0</v>
      </c>
      <c r="V456" s="51">
        <v>0</v>
      </c>
      <c r="W456" s="51">
        <v>0</v>
      </c>
      <c r="X456" s="40">
        <f t="shared" si="199"/>
        <v>0</v>
      </c>
      <c r="AA456" s="40">
        <f t="shared" si="200"/>
        <v>0</v>
      </c>
      <c r="AB456" s="40">
        <f t="shared" si="201"/>
        <v>0</v>
      </c>
      <c r="AC456" s="67"/>
    </row>
    <row r="457" spans="6:29" x14ac:dyDescent="0.25">
      <c r="F457" s="45" t="str">
        <f t="shared" si="192"/>
        <v xml:space="preserve">S/F  </v>
      </c>
      <c r="G457" s="45">
        <v>0</v>
      </c>
      <c r="H457" s="53">
        <v>0</v>
      </c>
      <c r="I457" s="40">
        <f t="shared" si="193"/>
        <v>0</v>
      </c>
      <c r="J457" s="53"/>
      <c r="K457" s="40">
        <f t="shared" si="194"/>
        <v>0</v>
      </c>
      <c r="L457" s="45">
        <v>0</v>
      </c>
      <c r="M457" s="53">
        <v>0</v>
      </c>
      <c r="N457" s="40">
        <f t="shared" si="195"/>
        <v>0</v>
      </c>
      <c r="P457" s="40">
        <f t="shared" si="196"/>
        <v>0</v>
      </c>
      <c r="Q457" s="45"/>
      <c r="R457" s="53"/>
      <c r="S457" s="40">
        <f t="shared" si="197"/>
        <v>0</v>
      </c>
      <c r="U457" s="40">
        <f t="shared" si="198"/>
        <v>0</v>
      </c>
      <c r="V457" s="51">
        <v>0</v>
      </c>
      <c r="W457" s="51">
        <v>0</v>
      </c>
      <c r="X457" s="40">
        <f t="shared" si="199"/>
        <v>0</v>
      </c>
      <c r="AA457" s="40">
        <f t="shared" si="200"/>
        <v>0</v>
      </c>
      <c r="AB457" s="40">
        <f t="shared" si="201"/>
        <v>0</v>
      </c>
      <c r="AC457" s="67"/>
    </row>
    <row r="458" spans="6:29" x14ac:dyDescent="0.25">
      <c r="F458" s="45" t="str">
        <f t="shared" si="192"/>
        <v xml:space="preserve">S/F  </v>
      </c>
      <c r="G458" s="45">
        <v>0</v>
      </c>
      <c r="H458" s="53">
        <v>0</v>
      </c>
      <c r="I458" s="40">
        <f t="shared" si="193"/>
        <v>0</v>
      </c>
      <c r="J458" s="53"/>
      <c r="K458" s="40">
        <f t="shared" si="194"/>
        <v>0</v>
      </c>
      <c r="L458" s="45">
        <v>0</v>
      </c>
      <c r="M458" s="53">
        <v>0</v>
      </c>
      <c r="N458" s="40">
        <f t="shared" si="195"/>
        <v>0</v>
      </c>
      <c r="P458" s="40">
        <f t="shared" si="196"/>
        <v>0</v>
      </c>
      <c r="Q458" s="45"/>
      <c r="R458" s="53"/>
      <c r="S458" s="40">
        <f t="shared" si="197"/>
        <v>0</v>
      </c>
      <c r="U458" s="40">
        <f t="shared" si="198"/>
        <v>0</v>
      </c>
      <c r="V458" s="51">
        <v>0</v>
      </c>
      <c r="W458" s="51">
        <v>0</v>
      </c>
      <c r="X458" s="40">
        <f t="shared" si="199"/>
        <v>0</v>
      </c>
      <c r="AA458" s="40">
        <f t="shared" si="200"/>
        <v>0</v>
      </c>
      <c r="AB458" s="40">
        <f t="shared" si="201"/>
        <v>0</v>
      </c>
      <c r="AC458" s="67"/>
    </row>
    <row r="459" spans="6:29" x14ac:dyDescent="0.25">
      <c r="F459" s="45" t="str">
        <f t="shared" si="192"/>
        <v xml:space="preserve">S/F  </v>
      </c>
      <c r="G459" s="45">
        <v>0</v>
      </c>
      <c r="H459" s="53">
        <v>0</v>
      </c>
      <c r="I459" s="40">
        <f t="shared" si="193"/>
        <v>0</v>
      </c>
      <c r="J459" s="53"/>
      <c r="K459" s="40">
        <f t="shared" si="194"/>
        <v>0</v>
      </c>
      <c r="L459" s="45">
        <v>0</v>
      </c>
      <c r="M459" s="53">
        <v>0</v>
      </c>
      <c r="N459" s="40">
        <f t="shared" si="195"/>
        <v>0</v>
      </c>
      <c r="P459" s="40">
        <f t="shared" si="196"/>
        <v>0</v>
      </c>
      <c r="Q459" s="45"/>
      <c r="R459" s="53"/>
      <c r="S459" s="40">
        <f t="shared" si="197"/>
        <v>0</v>
      </c>
      <c r="U459" s="40">
        <f t="shared" si="198"/>
        <v>0</v>
      </c>
      <c r="V459" s="51">
        <v>0</v>
      </c>
      <c r="W459" s="51">
        <v>0</v>
      </c>
      <c r="X459" s="40">
        <f t="shared" si="199"/>
        <v>0</v>
      </c>
      <c r="AA459" s="40">
        <f t="shared" si="200"/>
        <v>0</v>
      </c>
      <c r="AB459" s="40">
        <f t="shared" si="201"/>
        <v>0</v>
      </c>
      <c r="AC459" s="67"/>
    </row>
    <row r="460" spans="6:29" x14ac:dyDescent="0.25">
      <c r="F460" s="45" t="str">
        <f t="shared" si="192"/>
        <v xml:space="preserve">S/F  </v>
      </c>
      <c r="G460" s="45">
        <v>0</v>
      </c>
      <c r="H460" s="53">
        <v>0</v>
      </c>
      <c r="I460" s="40">
        <f t="shared" si="193"/>
        <v>0</v>
      </c>
      <c r="J460" s="53"/>
      <c r="K460" s="40">
        <f t="shared" si="194"/>
        <v>0</v>
      </c>
      <c r="L460" s="45">
        <v>0</v>
      </c>
      <c r="M460" s="53">
        <v>0</v>
      </c>
      <c r="N460" s="40">
        <f t="shared" si="195"/>
        <v>0</v>
      </c>
      <c r="P460" s="40">
        <f t="shared" si="196"/>
        <v>0</v>
      </c>
      <c r="Q460" s="45"/>
      <c r="R460" s="53"/>
      <c r="S460" s="40">
        <f t="shared" si="197"/>
        <v>0</v>
      </c>
      <c r="U460" s="40">
        <f t="shared" si="198"/>
        <v>0</v>
      </c>
      <c r="V460" s="51">
        <v>0</v>
      </c>
      <c r="W460" s="51">
        <v>0</v>
      </c>
      <c r="X460" s="40">
        <f t="shared" si="199"/>
        <v>0</v>
      </c>
      <c r="AA460" s="40">
        <f t="shared" si="200"/>
        <v>0</v>
      </c>
      <c r="AB460" s="40">
        <f t="shared" si="201"/>
        <v>0</v>
      </c>
      <c r="AC460" s="67"/>
    </row>
    <row r="461" spans="6:29" x14ac:dyDescent="0.25">
      <c r="F461" s="45" t="str">
        <f t="shared" ref="F461:F524" si="202">"S/F "&amp;B461&amp;" "&amp;E461</f>
        <v xml:space="preserve">S/F  </v>
      </c>
      <c r="G461" s="45">
        <v>0</v>
      </c>
      <c r="H461" s="53">
        <v>0</v>
      </c>
      <c r="I461" s="40">
        <f t="shared" si="193"/>
        <v>0</v>
      </c>
      <c r="J461" s="53"/>
      <c r="K461" s="40">
        <f t="shared" si="194"/>
        <v>0</v>
      </c>
      <c r="L461" s="45">
        <v>0</v>
      </c>
      <c r="M461" s="53">
        <v>0</v>
      </c>
      <c r="N461" s="40">
        <f t="shared" si="195"/>
        <v>0</v>
      </c>
      <c r="P461" s="40">
        <f t="shared" si="196"/>
        <v>0</v>
      </c>
      <c r="Q461" s="45"/>
      <c r="R461" s="53"/>
      <c r="S461" s="40">
        <f t="shared" si="197"/>
        <v>0</v>
      </c>
      <c r="U461" s="40">
        <f t="shared" si="198"/>
        <v>0</v>
      </c>
      <c r="V461" s="51">
        <v>0</v>
      </c>
      <c r="W461" s="51">
        <v>0</v>
      </c>
      <c r="X461" s="40">
        <f t="shared" si="199"/>
        <v>0</v>
      </c>
      <c r="AA461" s="40">
        <f t="shared" si="200"/>
        <v>0</v>
      </c>
      <c r="AB461" s="40">
        <f t="shared" si="201"/>
        <v>0</v>
      </c>
      <c r="AC461" s="67"/>
    </row>
    <row r="462" spans="6:29" x14ac:dyDescent="0.25">
      <c r="F462" s="45" t="str">
        <f t="shared" si="202"/>
        <v xml:space="preserve">S/F  </v>
      </c>
      <c r="G462" s="45">
        <v>0</v>
      </c>
      <c r="H462" s="53">
        <v>0</v>
      </c>
      <c r="I462" s="40">
        <f t="shared" si="193"/>
        <v>0</v>
      </c>
      <c r="J462" s="53"/>
      <c r="K462" s="40">
        <f t="shared" si="194"/>
        <v>0</v>
      </c>
      <c r="L462" s="45">
        <v>0</v>
      </c>
      <c r="M462" s="53">
        <v>0</v>
      </c>
      <c r="N462" s="40">
        <f t="shared" si="195"/>
        <v>0</v>
      </c>
      <c r="P462" s="40">
        <f t="shared" si="196"/>
        <v>0</v>
      </c>
      <c r="Q462" s="45"/>
      <c r="R462" s="53"/>
      <c r="S462" s="40">
        <f t="shared" si="197"/>
        <v>0</v>
      </c>
      <c r="U462" s="40">
        <f t="shared" si="198"/>
        <v>0</v>
      </c>
      <c r="V462" s="51">
        <v>0</v>
      </c>
      <c r="W462" s="51">
        <v>0</v>
      </c>
      <c r="X462" s="40">
        <f t="shared" si="199"/>
        <v>0</v>
      </c>
      <c r="AA462" s="40">
        <f t="shared" si="200"/>
        <v>0</v>
      </c>
      <c r="AB462" s="40">
        <f t="shared" si="201"/>
        <v>0</v>
      </c>
      <c r="AC462" s="67"/>
    </row>
    <row r="463" spans="6:29" x14ac:dyDescent="0.25">
      <c r="F463" s="45" t="str">
        <f t="shared" si="202"/>
        <v xml:space="preserve">S/F  </v>
      </c>
      <c r="G463" s="45">
        <v>0</v>
      </c>
      <c r="H463" s="53">
        <v>0</v>
      </c>
      <c r="I463" s="40">
        <f t="shared" si="193"/>
        <v>0</v>
      </c>
      <c r="J463" s="53"/>
      <c r="K463" s="40">
        <f t="shared" si="194"/>
        <v>0</v>
      </c>
      <c r="L463" s="45">
        <v>0</v>
      </c>
      <c r="M463" s="53">
        <v>0</v>
      </c>
      <c r="N463" s="40">
        <f t="shared" si="195"/>
        <v>0</v>
      </c>
      <c r="P463" s="40">
        <f t="shared" si="196"/>
        <v>0</v>
      </c>
      <c r="Q463" s="45"/>
      <c r="R463" s="53"/>
      <c r="S463" s="40">
        <f t="shared" si="197"/>
        <v>0</v>
      </c>
      <c r="U463" s="40">
        <f t="shared" si="198"/>
        <v>0</v>
      </c>
      <c r="V463" s="51">
        <v>0</v>
      </c>
      <c r="W463" s="51">
        <v>0</v>
      </c>
      <c r="X463" s="40">
        <f t="shared" si="199"/>
        <v>0</v>
      </c>
      <c r="AA463" s="40">
        <f t="shared" si="200"/>
        <v>0</v>
      </c>
      <c r="AB463" s="40">
        <f t="shared" si="201"/>
        <v>0</v>
      </c>
      <c r="AC463" s="67"/>
    </row>
    <row r="464" spans="6:29" x14ac:dyDescent="0.25">
      <c r="F464" s="45" t="str">
        <f t="shared" si="202"/>
        <v xml:space="preserve">S/F  </v>
      </c>
      <c r="G464" s="45">
        <v>0</v>
      </c>
      <c r="H464" s="53">
        <v>0</v>
      </c>
      <c r="I464" s="40">
        <f t="shared" si="193"/>
        <v>0</v>
      </c>
      <c r="J464" s="53"/>
      <c r="K464" s="40">
        <f t="shared" si="194"/>
        <v>0</v>
      </c>
      <c r="L464" s="45">
        <v>0</v>
      </c>
      <c r="M464" s="53">
        <v>0</v>
      </c>
      <c r="N464" s="40">
        <f t="shared" si="195"/>
        <v>0</v>
      </c>
      <c r="P464" s="40">
        <f t="shared" si="196"/>
        <v>0</v>
      </c>
      <c r="Q464" s="45"/>
      <c r="R464" s="53"/>
      <c r="S464" s="40">
        <f t="shared" si="197"/>
        <v>0</v>
      </c>
      <c r="U464" s="40">
        <f t="shared" si="198"/>
        <v>0</v>
      </c>
      <c r="V464" s="51">
        <v>0</v>
      </c>
      <c r="W464" s="51">
        <v>0</v>
      </c>
      <c r="X464" s="40">
        <f t="shared" si="199"/>
        <v>0</v>
      </c>
      <c r="AA464" s="40">
        <f t="shared" si="200"/>
        <v>0</v>
      </c>
      <c r="AB464" s="40">
        <f t="shared" si="201"/>
        <v>0</v>
      </c>
      <c r="AC464" s="67"/>
    </row>
    <row r="465" spans="6:29" x14ac:dyDescent="0.25">
      <c r="F465" s="45" t="str">
        <f t="shared" si="202"/>
        <v xml:space="preserve">S/F  </v>
      </c>
      <c r="G465" s="45">
        <v>0</v>
      </c>
      <c r="H465" s="53">
        <v>0</v>
      </c>
      <c r="I465" s="40">
        <f t="shared" si="193"/>
        <v>0</v>
      </c>
      <c r="J465" s="53"/>
      <c r="K465" s="40">
        <f t="shared" si="194"/>
        <v>0</v>
      </c>
      <c r="L465" s="45">
        <v>0</v>
      </c>
      <c r="M465" s="53">
        <v>0</v>
      </c>
      <c r="N465" s="40">
        <f t="shared" si="195"/>
        <v>0</v>
      </c>
      <c r="P465" s="40">
        <f t="shared" si="196"/>
        <v>0</v>
      </c>
      <c r="Q465" s="45"/>
      <c r="R465" s="53"/>
      <c r="S465" s="40">
        <f t="shared" si="197"/>
        <v>0</v>
      </c>
      <c r="U465" s="40">
        <f t="shared" si="198"/>
        <v>0</v>
      </c>
      <c r="V465" s="51">
        <v>0</v>
      </c>
      <c r="W465" s="51">
        <v>0</v>
      </c>
      <c r="X465" s="40">
        <f t="shared" si="199"/>
        <v>0</v>
      </c>
      <c r="AA465" s="40">
        <f t="shared" si="200"/>
        <v>0</v>
      </c>
      <c r="AB465" s="40">
        <f t="shared" si="201"/>
        <v>0</v>
      </c>
      <c r="AC465" s="67"/>
    </row>
    <row r="466" spans="6:29" x14ac:dyDescent="0.25">
      <c r="F466" s="45" t="str">
        <f t="shared" si="202"/>
        <v xml:space="preserve">S/F  </v>
      </c>
      <c r="G466" s="45">
        <v>0</v>
      </c>
      <c r="H466" s="53">
        <v>0</v>
      </c>
      <c r="I466" s="40">
        <f t="shared" si="193"/>
        <v>0</v>
      </c>
      <c r="J466" s="53"/>
      <c r="K466" s="40">
        <f t="shared" si="194"/>
        <v>0</v>
      </c>
      <c r="L466" s="45">
        <v>0</v>
      </c>
      <c r="M466" s="53">
        <v>0</v>
      </c>
      <c r="N466" s="40">
        <f t="shared" si="195"/>
        <v>0</v>
      </c>
      <c r="P466" s="40">
        <f t="shared" si="196"/>
        <v>0</v>
      </c>
      <c r="Q466" s="45"/>
      <c r="R466" s="53"/>
      <c r="S466" s="40">
        <f t="shared" si="197"/>
        <v>0</v>
      </c>
      <c r="U466" s="40">
        <f t="shared" si="198"/>
        <v>0</v>
      </c>
      <c r="V466" s="51">
        <v>0</v>
      </c>
      <c r="W466" s="51">
        <v>0</v>
      </c>
      <c r="X466" s="40">
        <f t="shared" si="199"/>
        <v>0</v>
      </c>
      <c r="AA466" s="40">
        <f t="shared" si="200"/>
        <v>0</v>
      </c>
      <c r="AB466" s="40">
        <f t="shared" si="201"/>
        <v>0</v>
      </c>
      <c r="AC466" s="67"/>
    </row>
    <row r="467" spans="6:29" x14ac:dyDescent="0.25">
      <c r="F467" s="45" t="str">
        <f t="shared" si="202"/>
        <v xml:space="preserve">S/F  </v>
      </c>
      <c r="G467" s="45">
        <v>0</v>
      </c>
      <c r="H467" s="53">
        <v>0</v>
      </c>
      <c r="I467" s="40">
        <f t="shared" si="193"/>
        <v>0</v>
      </c>
      <c r="J467" s="53"/>
      <c r="K467" s="40">
        <f t="shared" si="194"/>
        <v>0</v>
      </c>
      <c r="L467" s="45">
        <v>0</v>
      </c>
      <c r="M467" s="53">
        <v>0</v>
      </c>
      <c r="N467" s="40">
        <f t="shared" si="195"/>
        <v>0</v>
      </c>
      <c r="P467" s="40">
        <f t="shared" si="196"/>
        <v>0</v>
      </c>
      <c r="Q467" s="45"/>
      <c r="R467" s="53"/>
      <c r="S467" s="40">
        <f t="shared" si="197"/>
        <v>0</v>
      </c>
      <c r="U467" s="40">
        <f t="shared" si="198"/>
        <v>0</v>
      </c>
      <c r="V467" s="51">
        <v>0</v>
      </c>
      <c r="W467" s="51">
        <v>0</v>
      </c>
      <c r="X467" s="40">
        <f t="shared" si="199"/>
        <v>0</v>
      </c>
      <c r="AA467" s="40">
        <f t="shared" si="200"/>
        <v>0</v>
      </c>
      <c r="AB467" s="40">
        <f t="shared" si="201"/>
        <v>0</v>
      </c>
      <c r="AC467" s="67"/>
    </row>
    <row r="468" spans="6:29" x14ac:dyDescent="0.25">
      <c r="F468" s="45" t="str">
        <f t="shared" si="202"/>
        <v xml:space="preserve">S/F  </v>
      </c>
      <c r="G468" s="45">
        <v>0</v>
      </c>
      <c r="H468" s="53">
        <v>0</v>
      </c>
      <c r="I468" s="40">
        <f t="shared" si="193"/>
        <v>0</v>
      </c>
      <c r="J468" s="53"/>
      <c r="K468" s="40">
        <f t="shared" si="194"/>
        <v>0</v>
      </c>
      <c r="L468" s="45">
        <v>0</v>
      </c>
      <c r="M468" s="53">
        <v>0</v>
      </c>
      <c r="N468" s="40">
        <f t="shared" si="195"/>
        <v>0</v>
      </c>
      <c r="P468" s="40">
        <f t="shared" si="196"/>
        <v>0</v>
      </c>
      <c r="Q468" s="45"/>
      <c r="R468" s="53"/>
      <c r="S468" s="40">
        <f t="shared" si="197"/>
        <v>0</v>
      </c>
      <c r="U468" s="40">
        <f t="shared" si="198"/>
        <v>0</v>
      </c>
      <c r="V468" s="51">
        <v>0</v>
      </c>
      <c r="W468" s="51">
        <v>0</v>
      </c>
      <c r="X468" s="40">
        <f t="shared" si="199"/>
        <v>0</v>
      </c>
      <c r="AA468" s="40">
        <f t="shared" si="200"/>
        <v>0</v>
      </c>
      <c r="AB468" s="40">
        <f t="shared" si="201"/>
        <v>0</v>
      </c>
      <c r="AC468" s="67"/>
    </row>
    <row r="469" spans="6:29" x14ac:dyDescent="0.25">
      <c r="F469" s="45" t="str">
        <f t="shared" si="202"/>
        <v xml:space="preserve">S/F  </v>
      </c>
      <c r="G469" s="45">
        <v>0</v>
      </c>
      <c r="H469" s="53">
        <v>0</v>
      </c>
      <c r="I469" s="40">
        <f t="shared" ref="I469:I532" si="203">+IF(G469&lt;&gt;0,G469*H469/100,0)</f>
        <v>0</v>
      </c>
      <c r="J469" s="53"/>
      <c r="K469" s="40">
        <f t="shared" ref="K469:K532" si="204">+IF(G469&lt;&gt;0,G469*J469/100,0)</f>
        <v>0</v>
      </c>
      <c r="L469" s="45">
        <v>0</v>
      </c>
      <c r="M469" s="53">
        <v>0</v>
      </c>
      <c r="N469" s="40">
        <f t="shared" ref="N469:N532" si="205">+IF(L469&lt;&gt;0,L469*M469/100,0)</f>
        <v>0</v>
      </c>
      <c r="P469" s="40">
        <f t="shared" ref="P469:P532" si="206">+IF(L469&lt;&gt;0,L469*O469/100,0)</f>
        <v>0</v>
      </c>
      <c r="Q469" s="45"/>
      <c r="R469" s="53"/>
      <c r="S469" s="40">
        <f t="shared" ref="S469:S532" si="207">+IF(Q469&lt;&gt;0,Q469*R469/100,0)</f>
        <v>0</v>
      </c>
      <c r="U469" s="40">
        <f t="shared" ref="U469:U532" si="208">+IF(Q469&lt;&gt;0,Q469*T469/100,0)</f>
        <v>0</v>
      </c>
      <c r="V469" s="51">
        <v>0</v>
      </c>
      <c r="W469" s="51">
        <v>0</v>
      </c>
      <c r="X469" s="40">
        <f t="shared" ref="X469:X532" si="209">+IF(W469&lt;&gt;0,V469*W469/100,0)</f>
        <v>0</v>
      </c>
      <c r="AA469" s="40">
        <f t="shared" ref="AA469:AA532" si="210">+IF(Z469&lt;&gt;0,Y469*Z469/100,0)</f>
        <v>0</v>
      </c>
      <c r="AB469" s="40">
        <f t="shared" ref="AB469:AB532" si="211">+G469+I469+K469+L469+N469+P469+Q469+S469+U469-X469-AA469</f>
        <v>0</v>
      </c>
      <c r="AC469" s="67"/>
    </row>
    <row r="470" spans="6:29" x14ac:dyDescent="0.25">
      <c r="F470" s="45" t="str">
        <f t="shared" si="202"/>
        <v xml:space="preserve">S/F  </v>
      </c>
      <c r="G470" s="45">
        <v>0</v>
      </c>
      <c r="H470" s="53">
        <v>0</v>
      </c>
      <c r="I470" s="40">
        <f t="shared" si="203"/>
        <v>0</v>
      </c>
      <c r="J470" s="53"/>
      <c r="K470" s="40">
        <f t="shared" si="204"/>
        <v>0</v>
      </c>
      <c r="L470" s="45">
        <v>0</v>
      </c>
      <c r="M470" s="53">
        <v>0</v>
      </c>
      <c r="N470" s="40">
        <f t="shared" si="205"/>
        <v>0</v>
      </c>
      <c r="P470" s="40">
        <f t="shared" si="206"/>
        <v>0</v>
      </c>
      <c r="Q470" s="45"/>
      <c r="R470" s="53"/>
      <c r="S470" s="40">
        <f t="shared" si="207"/>
        <v>0</v>
      </c>
      <c r="U470" s="40">
        <f t="shared" si="208"/>
        <v>0</v>
      </c>
      <c r="V470" s="51">
        <v>0</v>
      </c>
      <c r="W470" s="51">
        <v>0</v>
      </c>
      <c r="X470" s="40">
        <f t="shared" si="209"/>
        <v>0</v>
      </c>
      <c r="AA470" s="40">
        <f t="shared" si="210"/>
        <v>0</v>
      </c>
      <c r="AB470" s="40">
        <f t="shared" si="211"/>
        <v>0</v>
      </c>
      <c r="AC470" s="67"/>
    </row>
    <row r="471" spans="6:29" x14ac:dyDescent="0.25">
      <c r="F471" s="45" t="str">
        <f t="shared" si="202"/>
        <v xml:space="preserve">S/F  </v>
      </c>
      <c r="G471" s="45">
        <v>0</v>
      </c>
      <c r="H471" s="53">
        <v>0</v>
      </c>
      <c r="I471" s="40">
        <f t="shared" si="203"/>
        <v>0</v>
      </c>
      <c r="J471" s="53"/>
      <c r="K471" s="40">
        <f t="shared" si="204"/>
        <v>0</v>
      </c>
      <c r="L471" s="45">
        <v>0</v>
      </c>
      <c r="M471" s="53">
        <v>0</v>
      </c>
      <c r="N471" s="40">
        <f t="shared" si="205"/>
        <v>0</v>
      </c>
      <c r="P471" s="40">
        <f t="shared" si="206"/>
        <v>0</v>
      </c>
      <c r="Q471" s="45"/>
      <c r="R471" s="53"/>
      <c r="S471" s="40">
        <f t="shared" si="207"/>
        <v>0</v>
      </c>
      <c r="U471" s="40">
        <f t="shared" si="208"/>
        <v>0</v>
      </c>
      <c r="V471" s="51">
        <v>0</v>
      </c>
      <c r="W471" s="51">
        <v>0</v>
      </c>
      <c r="X471" s="40">
        <f t="shared" si="209"/>
        <v>0</v>
      </c>
      <c r="AA471" s="40">
        <f t="shared" si="210"/>
        <v>0</v>
      </c>
      <c r="AB471" s="40">
        <f t="shared" si="211"/>
        <v>0</v>
      </c>
      <c r="AC471" s="67"/>
    </row>
    <row r="472" spans="6:29" x14ac:dyDescent="0.25">
      <c r="F472" s="45" t="str">
        <f t="shared" si="202"/>
        <v xml:space="preserve">S/F  </v>
      </c>
      <c r="G472" s="45">
        <v>0</v>
      </c>
      <c r="H472" s="53">
        <v>0</v>
      </c>
      <c r="I472" s="40">
        <f t="shared" si="203"/>
        <v>0</v>
      </c>
      <c r="J472" s="53"/>
      <c r="K472" s="40">
        <f t="shared" si="204"/>
        <v>0</v>
      </c>
      <c r="L472" s="45">
        <v>0</v>
      </c>
      <c r="M472" s="53">
        <v>0</v>
      </c>
      <c r="N472" s="40">
        <f t="shared" si="205"/>
        <v>0</v>
      </c>
      <c r="P472" s="40">
        <f t="shared" si="206"/>
        <v>0</v>
      </c>
      <c r="Q472" s="45"/>
      <c r="R472" s="53"/>
      <c r="S472" s="40">
        <f t="shared" si="207"/>
        <v>0</v>
      </c>
      <c r="U472" s="40">
        <f t="shared" si="208"/>
        <v>0</v>
      </c>
      <c r="V472" s="51">
        <v>0</v>
      </c>
      <c r="W472" s="51">
        <v>0</v>
      </c>
      <c r="X472" s="40">
        <f t="shared" si="209"/>
        <v>0</v>
      </c>
      <c r="AA472" s="40">
        <f t="shared" si="210"/>
        <v>0</v>
      </c>
      <c r="AB472" s="40">
        <f t="shared" si="211"/>
        <v>0</v>
      </c>
      <c r="AC472" s="67"/>
    </row>
    <row r="473" spans="6:29" x14ac:dyDescent="0.25">
      <c r="F473" s="45" t="str">
        <f t="shared" si="202"/>
        <v xml:space="preserve">S/F  </v>
      </c>
      <c r="G473" s="45">
        <v>0</v>
      </c>
      <c r="H473" s="53">
        <v>0</v>
      </c>
      <c r="I473" s="40">
        <f t="shared" si="203"/>
        <v>0</v>
      </c>
      <c r="J473" s="53"/>
      <c r="K473" s="40">
        <f t="shared" si="204"/>
        <v>0</v>
      </c>
      <c r="L473" s="45">
        <v>0</v>
      </c>
      <c r="M473" s="53">
        <v>0</v>
      </c>
      <c r="N473" s="40">
        <f t="shared" si="205"/>
        <v>0</v>
      </c>
      <c r="P473" s="40">
        <f t="shared" si="206"/>
        <v>0</v>
      </c>
      <c r="Q473" s="45"/>
      <c r="R473" s="53"/>
      <c r="S473" s="40">
        <f t="shared" si="207"/>
        <v>0</v>
      </c>
      <c r="U473" s="40">
        <f t="shared" si="208"/>
        <v>0</v>
      </c>
      <c r="V473" s="51">
        <v>0</v>
      </c>
      <c r="W473" s="51">
        <v>0</v>
      </c>
      <c r="X473" s="40">
        <f t="shared" si="209"/>
        <v>0</v>
      </c>
      <c r="AA473" s="40">
        <f t="shared" si="210"/>
        <v>0</v>
      </c>
      <c r="AB473" s="40">
        <f t="shared" si="211"/>
        <v>0</v>
      </c>
      <c r="AC473" s="67"/>
    </row>
    <row r="474" spans="6:29" x14ac:dyDescent="0.25">
      <c r="F474" s="45" t="str">
        <f t="shared" si="202"/>
        <v xml:space="preserve">S/F  </v>
      </c>
      <c r="G474" s="45">
        <v>0</v>
      </c>
      <c r="H474" s="53">
        <v>0</v>
      </c>
      <c r="I474" s="40">
        <f t="shared" si="203"/>
        <v>0</v>
      </c>
      <c r="J474" s="53"/>
      <c r="K474" s="40">
        <f t="shared" si="204"/>
        <v>0</v>
      </c>
      <c r="L474" s="45">
        <v>0</v>
      </c>
      <c r="M474" s="53">
        <v>0</v>
      </c>
      <c r="N474" s="40">
        <f t="shared" si="205"/>
        <v>0</v>
      </c>
      <c r="P474" s="40">
        <f t="shared" si="206"/>
        <v>0</v>
      </c>
      <c r="Q474" s="45"/>
      <c r="R474" s="53"/>
      <c r="S474" s="40">
        <f t="shared" si="207"/>
        <v>0</v>
      </c>
      <c r="U474" s="40">
        <f t="shared" si="208"/>
        <v>0</v>
      </c>
      <c r="V474" s="51">
        <v>0</v>
      </c>
      <c r="W474" s="51">
        <v>0</v>
      </c>
      <c r="X474" s="40">
        <f t="shared" si="209"/>
        <v>0</v>
      </c>
      <c r="AA474" s="40">
        <f t="shared" si="210"/>
        <v>0</v>
      </c>
      <c r="AB474" s="40">
        <f t="shared" si="211"/>
        <v>0</v>
      </c>
      <c r="AC474" s="67"/>
    </row>
    <row r="475" spans="6:29" x14ac:dyDescent="0.25">
      <c r="F475" s="45" t="str">
        <f t="shared" si="202"/>
        <v xml:space="preserve">S/F  </v>
      </c>
      <c r="G475" s="45">
        <v>0</v>
      </c>
      <c r="H475" s="53">
        <v>0</v>
      </c>
      <c r="I475" s="40">
        <f t="shared" si="203"/>
        <v>0</v>
      </c>
      <c r="J475" s="53"/>
      <c r="K475" s="40">
        <f t="shared" si="204"/>
        <v>0</v>
      </c>
      <c r="L475" s="45">
        <v>0</v>
      </c>
      <c r="M475" s="53">
        <v>0</v>
      </c>
      <c r="N475" s="40">
        <f t="shared" si="205"/>
        <v>0</v>
      </c>
      <c r="P475" s="40">
        <f t="shared" si="206"/>
        <v>0</v>
      </c>
      <c r="Q475" s="45"/>
      <c r="R475" s="53"/>
      <c r="S475" s="40">
        <f t="shared" si="207"/>
        <v>0</v>
      </c>
      <c r="U475" s="40">
        <f t="shared" si="208"/>
        <v>0</v>
      </c>
      <c r="V475" s="51">
        <v>0</v>
      </c>
      <c r="W475" s="51">
        <v>0</v>
      </c>
      <c r="X475" s="40">
        <f t="shared" si="209"/>
        <v>0</v>
      </c>
      <c r="AA475" s="40">
        <f t="shared" si="210"/>
        <v>0</v>
      </c>
      <c r="AB475" s="40">
        <f t="shared" si="211"/>
        <v>0</v>
      </c>
      <c r="AC475" s="67"/>
    </row>
    <row r="476" spans="6:29" x14ac:dyDescent="0.25">
      <c r="F476" s="45" t="str">
        <f t="shared" si="202"/>
        <v xml:space="preserve">S/F  </v>
      </c>
      <c r="G476" s="45">
        <v>0</v>
      </c>
      <c r="H476" s="53">
        <v>0</v>
      </c>
      <c r="I476" s="40">
        <f t="shared" si="203"/>
        <v>0</v>
      </c>
      <c r="J476" s="53"/>
      <c r="K476" s="40">
        <f t="shared" si="204"/>
        <v>0</v>
      </c>
      <c r="L476" s="45">
        <v>0</v>
      </c>
      <c r="M476" s="53">
        <v>0</v>
      </c>
      <c r="N476" s="40">
        <f t="shared" si="205"/>
        <v>0</v>
      </c>
      <c r="P476" s="40">
        <f t="shared" si="206"/>
        <v>0</v>
      </c>
      <c r="Q476" s="45"/>
      <c r="R476" s="53"/>
      <c r="S476" s="40">
        <f t="shared" si="207"/>
        <v>0</v>
      </c>
      <c r="U476" s="40">
        <f t="shared" si="208"/>
        <v>0</v>
      </c>
      <c r="V476" s="51">
        <v>0</v>
      </c>
      <c r="W476" s="51">
        <v>0</v>
      </c>
      <c r="X476" s="40">
        <f t="shared" si="209"/>
        <v>0</v>
      </c>
      <c r="AA476" s="40">
        <f t="shared" si="210"/>
        <v>0</v>
      </c>
      <c r="AB476" s="40">
        <f t="shared" si="211"/>
        <v>0</v>
      </c>
      <c r="AC476" s="67"/>
    </row>
    <row r="477" spans="6:29" x14ac:dyDescent="0.25">
      <c r="F477" s="45" t="str">
        <f t="shared" si="202"/>
        <v xml:space="preserve">S/F  </v>
      </c>
      <c r="G477" s="45">
        <v>0</v>
      </c>
      <c r="H477" s="53">
        <v>0</v>
      </c>
      <c r="I477" s="40">
        <f t="shared" si="203"/>
        <v>0</v>
      </c>
      <c r="J477" s="53"/>
      <c r="K477" s="40">
        <f t="shared" si="204"/>
        <v>0</v>
      </c>
      <c r="L477" s="45">
        <v>0</v>
      </c>
      <c r="M477" s="53">
        <v>0</v>
      </c>
      <c r="N477" s="40">
        <f t="shared" si="205"/>
        <v>0</v>
      </c>
      <c r="P477" s="40">
        <f t="shared" si="206"/>
        <v>0</v>
      </c>
      <c r="Q477" s="45"/>
      <c r="R477" s="53"/>
      <c r="S477" s="40">
        <f t="shared" si="207"/>
        <v>0</v>
      </c>
      <c r="U477" s="40">
        <f t="shared" si="208"/>
        <v>0</v>
      </c>
      <c r="V477" s="51">
        <v>0</v>
      </c>
      <c r="W477" s="51">
        <v>0</v>
      </c>
      <c r="X477" s="40">
        <f t="shared" si="209"/>
        <v>0</v>
      </c>
      <c r="AA477" s="40">
        <f t="shared" si="210"/>
        <v>0</v>
      </c>
      <c r="AB477" s="40">
        <f t="shared" si="211"/>
        <v>0</v>
      </c>
      <c r="AC477" s="67"/>
    </row>
    <row r="478" spans="6:29" x14ac:dyDescent="0.25">
      <c r="F478" s="45" t="str">
        <f t="shared" si="202"/>
        <v xml:space="preserve">S/F  </v>
      </c>
      <c r="G478" s="45">
        <v>0</v>
      </c>
      <c r="H478" s="53">
        <v>0</v>
      </c>
      <c r="I478" s="40">
        <f t="shared" si="203"/>
        <v>0</v>
      </c>
      <c r="J478" s="53"/>
      <c r="K478" s="40">
        <f t="shared" si="204"/>
        <v>0</v>
      </c>
      <c r="L478" s="45">
        <v>0</v>
      </c>
      <c r="M478" s="53">
        <v>0</v>
      </c>
      <c r="N478" s="40">
        <f t="shared" si="205"/>
        <v>0</v>
      </c>
      <c r="P478" s="40">
        <f t="shared" si="206"/>
        <v>0</v>
      </c>
      <c r="Q478" s="45"/>
      <c r="R478" s="53"/>
      <c r="S478" s="40">
        <f t="shared" si="207"/>
        <v>0</v>
      </c>
      <c r="U478" s="40">
        <f t="shared" si="208"/>
        <v>0</v>
      </c>
      <c r="V478" s="51">
        <v>0</v>
      </c>
      <c r="W478" s="51">
        <v>0</v>
      </c>
      <c r="X478" s="40">
        <f t="shared" si="209"/>
        <v>0</v>
      </c>
      <c r="AA478" s="40">
        <f t="shared" si="210"/>
        <v>0</v>
      </c>
      <c r="AB478" s="40">
        <f t="shared" si="211"/>
        <v>0</v>
      </c>
      <c r="AC478" s="67"/>
    </row>
    <row r="479" spans="6:29" x14ac:dyDescent="0.25">
      <c r="F479" s="45" t="str">
        <f t="shared" si="202"/>
        <v xml:space="preserve">S/F  </v>
      </c>
      <c r="G479" s="45">
        <v>0</v>
      </c>
      <c r="H479" s="53">
        <v>0</v>
      </c>
      <c r="I479" s="40">
        <f t="shared" si="203"/>
        <v>0</v>
      </c>
      <c r="J479" s="53"/>
      <c r="K479" s="40">
        <f t="shared" si="204"/>
        <v>0</v>
      </c>
      <c r="L479" s="45">
        <v>0</v>
      </c>
      <c r="M479" s="53">
        <v>0</v>
      </c>
      <c r="N479" s="40">
        <f t="shared" si="205"/>
        <v>0</v>
      </c>
      <c r="P479" s="40">
        <f t="shared" si="206"/>
        <v>0</v>
      </c>
      <c r="Q479" s="45"/>
      <c r="R479" s="53"/>
      <c r="S479" s="40">
        <f t="shared" si="207"/>
        <v>0</v>
      </c>
      <c r="U479" s="40">
        <f t="shared" si="208"/>
        <v>0</v>
      </c>
      <c r="V479" s="51">
        <v>0</v>
      </c>
      <c r="W479" s="51">
        <v>0</v>
      </c>
      <c r="X479" s="40">
        <f t="shared" si="209"/>
        <v>0</v>
      </c>
      <c r="AA479" s="40">
        <f t="shared" si="210"/>
        <v>0</v>
      </c>
      <c r="AB479" s="40">
        <f t="shared" si="211"/>
        <v>0</v>
      </c>
      <c r="AC479" s="67"/>
    </row>
    <row r="480" spans="6:29" x14ac:dyDescent="0.25">
      <c r="F480" s="45" t="str">
        <f t="shared" si="202"/>
        <v xml:space="preserve">S/F  </v>
      </c>
      <c r="G480" s="45">
        <v>0</v>
      </c>
      <c r="H480" s="53">
        <v>0</v>
      </c>
      <c r="I480" s="40">
        <f t="shared" si="203"/>
        <v>0</v>
      </c>
      <c r="J480" s="53"/>
      <c r="K480" s="40">
        <f t="shared" si="204"/>
        <v>0</v>
      </c>
      <c r="L480" s="45">
        <v>0</v>
      </c>
      <c r="M480" s="53">
        <v>0</v>
      </c>
      <c r="N480" s="40">
        <f t="shared" si="205"/>
        <v>0</v>
      </c>
      <c r="P480" s="40">
        <f t="shared" si="206"/>
        <v>0</v>
      </c>
      <c r="Q480" s="45"/>
      <c r="R480" s="53"/>
      <c r="S480" s="40">
        <f t="shared" si="207"/>
        <v>0</v>
      </c>
      <c r="U480" s="40">
        <f t="shared" si="208"/>
        <v>0</v>
      </c>
      <c r="V480" s="51">
        <v>0</v>
      </c>
      <c r="W480" s="51">
        <v>0</v>
      </c>
      <c r="X480" s="40">
        <f t="shared" si="209"/>
        <v>0</v>
      </c>
      <c r="AA480" s="40">
        <f t="shared" si="210"/>
        <v>0</v>
      </c>
      <c r="AB480" s="40">
        <f t="shared" si="211"/>
        <v>0</v>
      </c>
      <c r="AC480" s="67"/>
    </row>
    <row r="481" spans="6:29" x14ac:dyDescent="0.25">
      <c r="F481" s="45" t="str">
        <f t="shared" si="202"/>
        <v xml:space="preserve">S/F  </v>
      </c>
      <c r="G481" s="45">
        <v>0</v>
      </c>
      <c r="H481" s="53">
        <v>0</v>
      </c>
      <c r="I481" s="40">
        <f t="shared" si="203"/>
        <v>0</v>
      </c>
      <c r="J481" s="53"/>
      <c r="K481" s="40">
        <f t="shared" si="204"/>
        <v>0</v>
      </c>
      <c r="L481" s="45">
        <v>0</v>
      </c>
      <c r="M481" s="53">
        <v>0</v>
      </c>
      <c r="N481" s="40">
        <f t="shared" si="205"/>
        <v>0</v>
      </c>
      <c r="P481" s="40">
        <f t="shared" si="206"/>
        <v>0</v>
      </c>
      <c r="Q481" s="45"/>
      <c r="R481" s="53"/>
      <c r="S481" s="40">
        <f t="shared" si="207"/>
        <v>0</v>
      </c>
      <c r="U481" s="40">
        <f t="shared" si="208"/>
        <v>0</v>
      </c>
      <c r="V481" s="51">
        <v>0</v>
      </c>
      <c r="W481" s="51">
        <v>0</v>
      </c>
      <c r="X481" s="40">
        <f t="shared" si="209"/>
        <v>0</v>
      </c>
      <c r="AA481" s="40">
        <f t="shared" si="210"/>
        <v>0</v>
      </c>
      <c r="AB481" s="40">
        <f t="shared" si="211"/>
        <v>0</v>
      </c>
      <c r="AC481" s="67"/>
    </row>
    <row r="482" spans="6:29" x14ac:dyDescent="0.25">
      <c r="F482" s="45" t="str">
        <f t="shared" si="202"/>
        <v xml:space="preserve">S/F  </v>
      </c>
      <c r="G482" s="45">
        <v>0</v>
      </c>
      <c r="H482" s="53">
        <v>0</v>
      </c>
      <c r="I482" s="40">
        <f t="shared" si="203"/>
        <v>0</v>
      </c>
      <c r="J482" s="53"/>
      <c r="K482" s="40">
        <f t="shared" si="204"/>
        <v>0</v>
      </c>
      <c r="L482" s="45">
        <v>0</v>
      </c>
      <c r="M482" s="53">
        <v>0</v>
      </c>
      <c r="N482" s="40">
        <f t="shared" si="205"/>
        <v>0</v>
      </c>
      <c r="P482" s="40">
        <f t="shared" si="206"/>
        <v>0</v>
      </c>
      <c r="Q482" s="45"/>
      <c r="R482" s="53"/>
      <c r="S482" s="40">
        <f t="shared" si="207"/>
        <v>0</v>
      </c>
      <c r="U482" s="40">
        <f t="shared" si="208"/>
        <v>0</v>
      </c>
      <c r="V482" s="51">
        <v>0</v>
      </c>
      <c r="W482" s="51">
        <v>0</v>
      </c>
      <c r="X482" s="40">
        <f t="shared" si="209"/>
        <v>0</v>
      </c>
      <c r="AA482" s="40">
        <f t="shared" si="210"/>
        <v>0</v>
      </c>
      <c r="AB482" s="40">
        <f t="shared" si="211"/>
        <v>0</v>
      </c>
      <c r="AC482" s="67"/>
    </row>
    <row r="483" spans="6:29" x14ac:dyDescent="0.25">
      <c r="F483" s="45" t="str">
        <f t="shared" si="202"/>
        <v xml:space="preserve">S/F  </v>
      </c>
      <c r="G483" s="45">
        <v>0</v>
      </c>
      <c r="H483" s="53">
        <v>0</v>
      </c>
      <c r="I483" s="40">
        <f t="shared" si="203"/>
        <v>0</v>
      </c>
      <c r="J483" s="53"/>
      <c r="K483" s="40">
        <f t="shared" si="204"/>
        <v>0</v>
      </c>
      <c r="L483" s="45">
        <v>0</v>
      </c>
      <c r="M483" s="53">
        <v>0</v>
      </c>
      <c r="N483" s="40">
        <f t="shared" si="205"/>
        <v>0</v>
      </c>
      <c r="P483" s="40">
        <f t="shared" si="206"/>
        <v>0</v>
      </c>
      <c r="Q483" s="45"/>
      <c r="R483" s="53"/>
      <c r="S483" s="40">
        <f t="shared" si="207"/>
        <v>0</v>
      </c>
      <c r="U483" s="40">
        <f t="shared" si="208"/>
        <v>0</v>
      </c>
      <c r="V483" s="51">
        <v>0</v>
      </c>
      <c r="W483" s="51">
        <v>0</v>
      </c>
      <c r="X483" s="40">
        <f t="shared" si="209"/>
        <v>0</v>
      </c>
      <c r="AA483" s="40">
        <f t="shared" si="210"/>
        <v>0</v>
      </c>
      <c r="AB483" s="40">
        <f t="shared" si="211"/>
        <v>0</v>
      </c>
      <c r="AC483" s="67"/>
    </row>
    <row r="484" spans="6:29" x14ac:dyDescent="0.25">
      <c r="F484" s="45" t="str">
        <f t="shared" si="202"/>
        <v xml:space="preserve">S/F  </v>
      </c>
      <c r="G484" s="45">
        <v>0</v>
      </c>
      <c r="H484" s="53">
        <v>0</v>
      </c>
      <c r="I484" s="40">
        <f t="shared" si="203"/>
        <v>0</v>
      </c>
      <c r="J484" s="53"/>
      <c r="K484" s="40">
        <f t="shared" si="204"/>
        <v>0</v>
      </c>
      <c r="L484" s="45">
        <v>0</v>
      </c>
      <c r="M484" s="53">
        <v>0</v>
      </c>
      <c r="N484" s="40">
        <f t="shared" si="205"/>
        <v>0</v>
      </c>
      <c r="P484" s="40">
        <f t="shared" si="206"/>
        <v>0</v>
      </c>
      <c r="Q484" s="45"/>
      <c r="R484" s="53"/>
      <c r="S484" s="40">
        <f t="shared" si="207"/>
        <v>0</v>
      </c>
      <c r="U484" s="40">
        <f t="shared" si="208"/>
        <v>0</v>
      </c>
      <c r="V484" s="51">
        <v>0</v>
      </c>
      <c r="W484" s="51">
        <v>0</v>
      </c>
      <c r="X484" s="40">
        <f t="shared" si="209"/>
        <v>0</v>
      </c>
      <c r="AA484" s="40">
        <f t="shared" si="210"/>
        <v>0</v>
      </c>
      <c r="AB484" s="40">
        <f t="shared" si="211"/>
        <v>0</v>
      </c>
      <c r="AC484" s="67"/>
    </row>
    <row r="485" spans="6:29" x14ac:dyDescent="0.25">
      <c r="F485" s="45" t="str">
        <f t="shared" si="202"/>
        <v xml:space="preserve">S/F  </v>
      </c>
      <c r="G485" s="45">
        <v>0</v>
      </c>
      <c r="H485" s="53">
        <v>0</v>
      </c>
      <c r="I485" s="40">
        <f t="shared" si="203"/>
        <v>0</v>
      </c>
      <c r="J485" s="53"/>
      <c r="K485" s="40">
        <f t="shared" si="204"/>
        <v>0</v>
      </c>
      <c r="L485" s="45">
        <v>0</v>
      </c>
      <c r="M485" s="53">
        <v>0</v>
      </c>
      <c r="N485" s="40">
        <f t="shared" si="205"/>
        <v>0</v>
      </c>
      <c r="P485" s="40">
        <f t="shared" si="206"/>
        <v>0</v>
      </c>
      <c r="Q485" s="45"/>
      <c r="R485" s="53"/>
      <c r="S485" s="40">
        <f t="shared" si="207"/>
        <v>0</v>
      </c>
      <c r="U485" s="40">
        <f t="shared" si="208"/>
        <v>0</v>
      </c>
      <c r="V485" s="51">
        <v>0</v>
      </c>
      <c r="W485" s="51">
        <v>0</v>
      </c>
      <c r="X485" s="40">
        <f t="shared" si="209"/>
        <v>0</v>
      </c>
      <c r="AA485" s="40">
        <f t="shared" si="210"/>
        <v>0</v>
      </c>
      <c r="AB485" s="40">
        <f t="shared" si="211"/>
        <v>0</v>
      </c>
      <c r="AC485" s="67"/>
    </row>
    <row r="486" spans="6:29" x14ac:dyDescent="0.25">
      <c r="F486" s="45" t="str">
        <f t="shared" si="202"/>
        <v xml:space="preserve">S/F  </v>
      </c>
      <c r="G486" s="45">
        <v>0</v>
      </c>
      <c r="H486" s="53">
        <v>0</v>
      </c>
      <c r="I486" s="40">
        <f t="shared" si="203"/>
        <v>0</v>
      </c>
      <c r="J486" s="53"/>
      <c r="K486" s="40">
        <f t="shared" si="204"/>
        <v>0</v>
      </c>
      <c r="L486" s="45">
        <v>0</v>
      </c>
      <c r="M486" s="53">
        <v>0</v>
      </c>
      <c r="N486" s="40">
        <f t="shared" si="205"/>
        <v>0</v>
      </c>
      <c r="P486" s="40">
        <f t="shared" si="206"/>
        <v>0</v>
      </c>
      <c r="Q486" s="45"/>
      <c r="R486" s="53"/>
      <c r="S486" s="40">
        <f t="shared" si="207"/>
        <v>0</v>
      </c>
      <c r="U486" s="40">
        <f t="shared" si="208"/>
        <v>0</v>
      </c>
      <c r="V486" s="51">
        <v>0</v>
      </c>
      <c r="W486" s="51">
        <v>0</v>
      </c>
      <c r="X486" s="40">
        <f t="shared" si="209"/>
        <v>0</v>
      </c>
      <c r="AA486" s="40">
        <f t="shared" si="210"/>
        <v>0</v>
      </c>
      <c r="AB486" s="40">
        <f t="shared" si="211"/>
        <v>0</v>
      </c>
      <c r="AC486" s="67"/>
    </row>
    <row r="487" spans="6:29" x14ac:dyDescent="0.25">
      <c r="F487" s="45" t="str">
        <f t="shared" si="202"/>
        <v xml:space="preserve">S/F  </v>
      </c>
      <c r="G487" s="45">
        <v>0</v>
      </c>
      <c r="H487" s="53">
        <v>0</v>
      </c>
      <c r="I487" s="40">
        <f t="shared" si="203"/>
        <v>0</v>
      </c>
      <c r="J487" s="53"/>
      <c r="K487" s="40">
        <f t="shared" si="204"/>
        <v>0</v>
      </c>
      <c r="L487" s="45">
        <v>0</v>
      </c>
      <c r="M487" s="53">
        <v>0</v>
      </c>
      <c r="N487" s="40">
        <f t="shared" si="205"/>
        <v>0</v>
      </c>
      <c r="P487" s="40">
        <f t="shared" si="206"/>
        <v>0</v>
      </c>
      <c r="Q487" s="45"/>
      <c r="R487" s="53"/>
      <c r="S487" s="40">
        <f t="shared" si="207"/>
        <v>0</v>
      </c>
      <c r="U487" s="40">
        <f t="shared" si="208"/>
        <v>0</v>
      </c>
      <c r="V487" s="51">
        <v>0</v>
      </c>
      <c r="W487" s="51">
        <v>0</v>
      </c>
      <c r="X487" s="40">
        <f t="shared" si="209"/>
        <v>0</v>
      </c>
      <c r="AA487" s="40">
        <f t="shared" si="210"/>
        <v>0</v>
      </c>
      <c r="AB487" s="40">
        <f t="shared" si="211"/>
        <v>0</v>
      </c>
      <c r="AC487" s="67"/>
    </row>
    <row r="488" spans="6:29" x14ac:dyDescent="0.25">
      <c r="F488" s="45" t="str">
        <f t="shared" si="202"/>
        <v xml:space="preserve">S/F  </v>
      </c>
      <c r="G488" s="45">
        <v>0</v>
      </c>
      <c r="H488" s="53">
        <v>0</v>
      </c>
      <c r="I488" s="40">
        <f t="shared" si="203"/>
        <v>0</v>
      </c>
      <c r="J488" s="53"/>
      <c r="K488" s="40">
        <f t="shared" si="204"/>
        <v>0</v>
      </c>
      <c r="L488" s="45">
        <v>0</v>
      </c>
      <c r="M488" s="53">
        <v>0</v>
      </c>
      <c r="N488" s="40">
        <f t="shared" si="205"/>
        <v>0</v>
      </c>
      <c r="P488" s="40">
        <f t="shared" si="206"/>
        <v>0</v>
      </c>
      <c r="Q488" s="45"/>
      <c r="R488" s="53"/>
      <c r="S488" s="40">
        <f t="shared" si="207"/>
        <v>0</v>
      </c>
      <c r="U488" s="40">
        <f t="shared" si="208"/>
        <v>0</v>
      </c>
      <c r="V488" s="51">
        <v>0</v>
      </c>
      <c r="W488" s="51">
        <v>0</v>
      </c>
      <c r="X488" s="40">
        <f t="shared" si="209"/>
        <v>0</v>
      </c>
      <c r="AA488" s="40">
        <f t="shared" si="210"/>
        <v>0</v>
      </c>
      <c r="AB488" s="40">
        <f t="shared" si="211"/>
        <v>0</v>
      </c>
      <c r="AC488" s="67"/>
    </row>
    <row r="489" spans="6:29" x14ac:dyDescent="0.25">
      <c r="F489" s="45" t="str">
        <f t="shared" si="202"/>
        <v xml:space="preserve">S/F  </v>
      </c>
      <c r="G489" s="45">
        <v>0</v>
      </c>
      <c r="H489" s="53">
        <v>0</v>
      </c>
      <c r="I489" s="40">
        <f t="shared" si="203"/>
        <v>0</v>
      </c>
      <c r="J489" s="53"/>
      <c r="K489" s="40">
        <f t="shared" si="204"/>
        <v>0</v>
      </c>
      <c r="L489" s="45">
        <v>0</v>
      </c>
      <c r="M489" s="53">
        <v>0</v>
      </c>
      <c r="N489" s="40">
        <f t="shared" si="205"/>
        <v>0</v>
      </c>
      <c r="P489" s="40">
        <f t="shared" si="206"/>
        <v>0</v>
      </c>
      <c r="Q489" s="45"/>
      <c r="R489" s="53"/>
      <c r="S489" s="40">
        <f t="shared" si="207"/>
        <v>0</v>
      </c>
      <c r="U489" s="40">
        <f t="shared" si="208"/>
        <v>0</v>
      </c>
      <c r="V489" s="51">
        <v>0</v>
      </c>
      <c r="W489" s="51">
        <v>0</v>
      </c>
      <c r="X489" s="40">
        <f t="shared" si="209"/>
        <v>0</v>
      </c>
      <c r="AA489" s="40">
        <f t="shared" si="210"/>
        <v>0</v>
      </c>
      <c r="AB489" s="40">
        <f t="shared" si="211"/>
        <v>0</v>
      </c>
      <c r="AC489" s="67"/>
    </row>
    <row r="490" spans="6:29" x14ac:dyDescent="0.25">
      <c r="F490" s="45" t="str">
        <f t="shared" si="202"/>
        <v xml:space="preserve">S/F  </v>
      </c>
      <c r="G490" s="45">
        <v>0</v>
      </c>
      <c r="H490" s="53">
        <v>0</v>
      </c>
      <c r="I490" s="40">
        <f t="shared" si="203"/>
        <v>0</v>
      </c>
      <c r="J490" s="53"/>
      <c r="K490" s="40">
        <f t="shared" si="204"/>
        <v>0</v>
      </c>
      <c r="L490" s="45">
        <v>0</v>
      </c>
      <c r="M490" s="53">
        <v>0</v>
      </c>
      <c r="N490" s="40">
        <f t="shared" si="205"/>
        <v>0</v>
      </c>
      <c r="P490" s="40">
        <f t="shared" si="206"/>
        <v>0</v>
      </c>
      <c r="Q490" s="45"/>
      <c r="R490" s="53"/>
      <c r="S490" s="40">
        <f t="shared" si="207"/>
        <v>0</v>
      </c>
      <c r="U490" s="40">
        <f t="shared" si="208"/>
        <v>0</v>
      </c>
      <c r="V490" s="51">
        <v>0</v>
      </c>
      <c r="W490" s="51">
        <v>0</v>
      </c>
      <c r="X490" s="40">
        <f t="shared" si="209"/>
        <v>0</v>
      </c>
      <c r="AA490" s="40">
        <f t="shared" si="210"/>
        <v>0</v>
      </c>
      <c r="AB490" s="40">
        <f t="shared" si="211"/>
        <v>0</v>
      </c>
      <c r="AC490" s="67"/>
    </row>
    <row r="491" spans="6:29" x14ac:dyDescent="0.25">
      <c r="F491" s="45" t="str">
        <f t="shared" si="202"/>
        <v xml:space="preserve">S/F  </v>
      </c>
      <c r="G491" s="45">
        <v>0</v>
      </c>
      <c r="H491" s="53">
        <v>0</v>
      </c>
      <c r="I491" s="40">
        <f t="shared" si="203"/>
        <v>0</v>
      </c>
      <c r="J491" s="53"/>
      <c r="K491" s="40">
        <f t="shared" si="204"/>
        <v>0</v>
      </c>
      <c r="L491" s="45">
        <v>0</v>
      </c>
      <c r="M491" s="53">
        <v>0</v>
      </c>
      <c r="N491" s="40">
        <f t="shared" si="205"/>
        <v>0</v>
      </c>
      <c r="P491" s="40">
        <f t="shared" si="206"/>
        <v>0</v>
      </c>
      <c r="Q491" s="45"/>
      <c r="R491" s="53"/>
      <c r="S491" s="40">
        <f t="shared" si="207"/>
        <v>0</v>
      </c>
      <c r="U491" s="40">
        <f t="shared" si="208"/>
        <v>0</v>
      </c>
      <c r="V491" s="51">
        <v>0</v>
      </c>
      <c r="W491" s="51">
        <v>0</v>
      </c>
      <c r="X491" s="40">
        <f t="shared" si="209"/>
        <v>0</v>
      </c>
      <c r="AA491" s="40">
        <f t="shared" si="210"/>
        <v>0</v>
      </c>
      <c r="AB491" s="40">
        <f t="shared" si="211"/>
        <v>0</v>
      </c>
      <c r="AC491" s="67"/>
    </row>
    <row r="492" spans="6:29" x14ac:dyDescent="0.25">
      <c r="F492" s="45" t="str">
        <f t="shared" si="202"/>
        <v xml:space="preserve">S/F  </v>
      </c>
      <c r="G492" s="45">
        <v>0</v>
      </c>
      <c r="H492" s="53">
        <v>0</v>
      </c>
      <c r="I492" s="40">
        <f t="shared" si="203"/>
        <v>0</v>
      </c>
      <c r="J492" s="53"/>
      <c r="K492" s="40">
        <f t="shared" si="204"/>
        <v>0</v>
      </c>
      <c r="L492" s="45">
        <v>0</v>
      </c>
      <c r="M492" s="53">
        <v>0</v>
      </c>
      <c r="N492" s="40">
        <f t="shared" si="205"/>
        <v>0</v>
      </c>
      <c r="P492" s="40">
        <f t="shared" si="206"/>
        <v>0</v>
      </c>
      <c r="Q492" s="45"/>
      <c r="R492" s="53"/>
      <c r="S492" s="40">
        <f t="shared" si="207"/>
        <v>0</v>
      </c>
      <c r="U492" s="40">
        <f t="shared" si="208"/>
        <v>0</v>
      </c>
      <c r="V492" s="51">
        <v>0</v>
      </c>
      <c r="W492" s="51">
        <v>0</v>
      </c>
      <c r="X492" s="40">
        <f t="shared" si="209"/>
        <v>0</v>
      </c>
      <c r="AA492" s="40">
        <f t="shared" si="210"/>
        <v>0</v>
      </c>
      <c r="AB492" s="40">
        <f t="shared" si="211"/>
        <v>0</v>
      </c>
      <c r="AC492" s="67"/>
    </row>
    <row r="493" spans="6:29" x14ac:dyDescent="0.25">
      <c r="F493" s="45" t="str">
        <f t="shared" si="202"/>
        <v xml:space="preserve">S/F  </v>
      </c>
      <c r="G493" s="45">
        <v>0</v>
      </c>
      <c r="H493" s="53">
        <v>0</v>
      </c>
      <c r="I493" s="40">
        <f t="shared" si="203"/>
        <v>0</v>
      </c>
      <c r="J493" s="53"/>
      <c r="K493" s="40">
        <f t="shared" si="204"/>
        <v>0</v>
      </c>
      <c r="L493" s="45">
        <v>0</v>
      </c>
      <c r="M493" s="53">
        <v>0</v>
      </c>
      <c r="N493" s="40">
        <f t="shared" si="205"/>
        <v>0</v>
      </c>
      <c r="P493" s="40">
        <f t="shared" si="206"/>
        <v>0</v>
      </c>
      <c r="Q493" s="45"/>
      <c r="R493" s="53"/>
      <c r="S493" s="40">
        <f t="shared" si="207"/>
        <v>0</v>
      </c>
      <c r="U493" s="40">
        <f t="shared" si="208"/>
        <v>0</v>
      </c>
      <c r="V493" s="51">
        <v>0</v>
      </c>
      <c r="W493" s="51">
        <v>0</v>
      </c>
      <c r="X493" s="40">
        <f t="shared" si="209"/>
        <v>0</v>
      </c>
      <c r="AA493" s="40">
        <f t="shared" si="210"/>
        <v>0</v>
      </c>
      <c r="AB493" s="40">
        <f t="shared" si="211"/>
        <v>0</v>
      </c>
      <c r="AC493" s="67"/>
    </row>
    <row r="494" spans="6:29" x14ac:dyDescent="0.25">
      <c r="F494" s="45" t="str">
        <f t="shared" si="202"/>
        <v xml:space="preserve">S/F  </v>
      </c>
      <c r="G494" s="45">
        <v>0</v>
      </c>
      <c r="H494" s="53">
        <v>0</v>
      </c>
      <c r="I494" s="40">
        <f t="shared" si="203"/>
        <v>0</v>
      </c>
      <c r="J494" s="53"/>
      <c r="K494" s="40">
        <f t="shared" si="204"/>
        <v>0</v>
      </c>
      <c r="L494" s="45">
        <v>0</v>
      </c>
      <c r="M494" s="53">
        <v>0</v>
      </c>
      <c r="N494" s="40">
        <f t="shared" si="205"/>
        <v>0</v>
      </c>
      <c r="P494" s="40">
        <f t="shared" si="206"/>
        <v>0</v>
      </c>
      <c r="Q494" s="45"/>
      <c r="R494" s="53"/>
      <c r="S494" s="40">
        <f t="shared" si="207"/>
        <v>0</v>
      </c>
      <c r="U494" s="40">
        <f t="shared" si="208"/>
        <v>0</v>
      </c>
      <c r="V494" s="51">
        <v>0</v>
      </c>
      <c r="W494" s="51">
        <v>0</v>
      </c>
      <c r="X494" s="40">
        <f t="shared" si="209"/>
        <v>0</v>
      </c>
      <c r="AA494" s="40">
        <f t="shared" si="210"/>
        <v>0</v>
      </c>
      <c r="AB494" s="40">
        <f t="shared" si="211"/>
        <v>0</v>
      </c>
      <c r="AC494" s="67"/>
    </row>
    <row r="495" spans="6:29" x14ac:dyDescent="0.25">
      <c r="F495" s="45" t="str">
        <f t="shared" si="202"/>
        <v xml:space="preserve">S/F  </v>
      </c>
      <c r="G495" s="45">
        <v>0</v>
      </c>
      <c r="H495" s="53">
        <v>0</v>
      </c>
      <c r="I495" s="40">
        <f t="shared" si="203"/>
        <v>0</v>
      </c>
      <c r="J495" s="53"/>
      <c r="K495" s="40">
        <f t="shared" si="204"/>
        <v>0</v>
      </c>
      <c r="L495" s="45">
        <v>0</v>
      </c>
      <c r="M495" s="53">
        <v>0</v>
      </c>
      <c r="N495" s="40">
        <f t="shared" si="205"/>
        <v>0</v>
      </c>
      <c r="P495" s="40">
        <f t="shared" si="206"/>
        <v>0</v>
      </c>
      <c r="Q495" s="45"/>
      <c r="R495" s="53"/>
      <c r="S495" s="40">
        <f t="shared" si="207"/>
        <v>0</v>
      </c>
      <c r="U495" s="40">
        <f t="shared" si="208"/>
        <v>0</v>
      </c>
      <c r="V495" s="51">
        <v>0</v>
      </c>
      <c r="W495" s="51">
        <v>0</v>
      </c>
      <c r="X495" s="40">
        <f t="shared" si="209"/>
        <v>0</v>
      </c>
      <c r="AA495" s="40">
        <f t="shared" si="210"/>
        <v>0</v>
      </c>
      <c r="AB495" s="40">
        <f t="shared" si="211"/>
        <v>0</v>
      </c>
      <c r="AC495" s="67"/>
    </row>
    <row r="496" spans="6:29" x14ac:dyDescent="0.25">
      <c r="F496" s="45" t="str">
        <f t="shared" si="202"/>
        <v xml:space="preserve">S/F  </v>
      </c>
      <c r="G496" s="45">
        <v>0</v>
      </c>
      <c r="H496" s="53">
        <v>0</v>
      </c>
      <c r="I496" s="40">
        <f t="shared" si="203"/>
        <v>0</v>
      </c>
      <c r="J496" s="53"/>
      <c r="K496" s="40">
        <f t="shared" si="204"/>
        <v>0</v>
      </c>
      <c r="L496" s="45">
        <v>0</v>
      </c>
      <c r="M496" s="53">
        <v>0</v>
      </c>
      <c r="N496" s="40">
        <f t="shared" si="205"/>
        <v>0</v>
      </c>
      <c r="P496" s="40">
        <f t="shared" si="206"/>
        <v>0</v>
      </c>
      <c r="Q496" s="45"/>
      <c r="R496" s="53"/>
      <c r="S496" s="40">
        <f t="shared" si="207"/>
        <v>0</v>
      </c>
      <c r="U496" s="40">
        <f t="shared" si="208"/>
        <v>0</v>
      </c>
      <c r="V496" s="51">
        <v>0</v>
      </c>
      <c r="W496" s="51">
        <v>0</v>
      </c>
      <c r="X496" s="40">
        <f t="shared" si="209"/>
        <v>0</v>
      </c>
      <c r="AA496" s="40">
        <f t="shared" si="210"/>
        <v>0</v>
      </c>
      <c r="AB496" s="40">
        <f t="shared" si="211"/>
        <v>0</v>
      </c>
      <c r="AC496" s="67"/>
    </row>
    <row r="497" spans="6:29" x14ac:dyDescent="0.25">
      <c r="F497" s="45" t="str">
        <f t="shared" si="202"/>
        <v xml:space="preserve">S/F  </v>
      </c>
      <c r="G497" s="45">
        <v>0</v>
      </c>
      <c r="H497" s="53">
        <v>0</v>
      </c>
      <c r="I497" s="40">
        <f t="shared" si="203"/>
        <v>0</v>
      </c>
      <c r="J497" s="53"/>
      <c r="K497" s="40">
        <f t="shared" si="204"/>
        <v>0</v>
      </c>
      <c r="L497" s="45">
        <v>0</v>
      </c>
      <c r="M497" s="53">
        <v>0</v>
      </c>
      <c r="N497" s="40">
        <f t="shared" si="205"/>
        <v>0</v>
      </c>
      <c r="P497" s="40">
        <f t="shared" si="206"/>
        <v>0</v>
      </c>
      <c r="Q497" s="45"/>
      <c r="R497" s="53"/>
      <c r="S497" s="40">
        <f t="shared" si="207"/>
        <v>0</v>
      </c>
      <c r="U497" s="40">
        <f t="shared" si="208"/>
        <v>0</v>
      </c>
      <c r="V497" s="51">
        <v>0</v>
      </c>
      <c r="W497" s="51">
        <v>0</v>
      </c>
      <c r="X497" s="40">
        <f t="shared" si="209"/>
        <v>0</v>
      </c>
      <c r="AA497" s="40">
        <f t="shared" si="210"/>
        <v>0</v>
      </c>
      <c r="AB497" s="40">
        <f t="shared" si="211"/>
        <v>0</v>
      </c>
      <c r="AC497" s="67"/>
    </row>
    <row r="498" spans="6:29" x14ac:dyDescent="0.25">
      <c r="F498" s="45" t="str">
        <f t="shared" si="202"/>
        <v xml:space="preserve">S/F  </v>
      </c>
      <c r="G498" s="45">
        <v>0</v>
      </c>
      <c r="H498" s="53">
        <v>0</v>
      </c>
      <c r="I498" s="40">
        <f t="shared" si="203"/>
        <v>0</v>
      </c>
      <c r="J498" s="53"/>
      <c r="K498" s="40">
        <f t="shared" si="204"/>
        <v>0</v>
      </c>
      <c r="L498" s="45">
        <v>0</v>
      </c>
      <c r="M498" s="53">
        <v>0</v>
      </c>
      <c r="N498" s="40">
        <f t="shared" si="205"/>
        <v>0</v>
      </c>
      <c r="P498" s="40">
        <f t="shared" si="206"/>
        <v>0</v>
      </c>
      <c r="Q498" s="45"/>
      <c r="R498" s="53"/>
      <c r="S498" s="40">
        <f t="shared" si="207"/>
        <v>0</v>
      </c>
      <c r="U498" s="40">
        <f t="shared" si="208"/>
        <v>0</v>
      </c>
      <c r="V498" s="51">
        <v>0</v>
      </c>
      <c r="W498" s="51">
        <v>0</v>
      </c>
      <c r="X498" s="40">
        <f t="shared" si="209"/>
        <v>0</v>
      </c>
      <c r="AA498" s="40">
        <f t="shared" si="210"/>
        <v>0</v>
      </c>
      <c r="AB498" s="40">
        <f t="shared" si="211"/>
        <v>0</v>
      </c>
      <c r="AC498" s="67"/>
    </row>
    <row r="499" spans="6:29" x14ac:dyDescent="0.25">
      <c r="F499" s="45" t="str">
        <f t="shared" si="202"/>
        <v xml:space="preserve">S/F  </v>
      </c>
      <c r="G499" s="45">
        <v>0</v>
      </c>
      <c r="H499" s="53">
        <v>0</v>
      </c>
      <c r="I499" s="40">
        <f t="shared" si="203"/>
        <v>0</v>
      </c>
      <c r="J499" s="53"/>
      <c r="K499" s="40">
        <f t="shared" si="204"/>
        <v>0</v>
      </c>
      <c r="L499" s="45">
        <v>0</v>
      </c>
      <c r="M499" s="53">
        <v>0</v>
      </c>
      <c r="N499" s="40">
        <f t="shared" si="205"/>
        <v>0</v>
      </c>
      <c r="P499" s="40">
        <f t="shared" si="206"/>
        <v>0</v>
      </c>
      <c r="Q499" s="45"/>
      <c r="R499" s="53"/>
      <c r="S499" s="40">
        <f t="shared" si="207"/>
        <v>0</v>
      </c>
      <c r="U499" s="40">
        <f t="shared" si="208"/>
        <v>0</v>
      </c>
      <c r="V499" s="51">
        <v>0</v>
      </c>
      <c r="W499" s="51">
        <v>0</v>
      </c>
      <c r="X499" s="40">
        <f t="shared" si="209"/>
        <v>0</v>
      </c>
      <c r="AA499" s="40">
        <f t="shared" si="210"/>
        <v>0</v>
      </c>
      <c r="AB499" s="40">
        <f t="shared" si="211"/>
        <v>0</v>
      </c>
      <c r="AC499" s="67"/>
    </row>
    <row r="500" spans="6:29" x14ac:dyDescent="0.25">
      <c r="F500" s="45" t="str">
        <f t="shared" si="202"/>
        <v xml:space="preserve">S/F  </v>
      </c>
      <c r="G500" s="45">
        <v>0</v>
      </c>
      <c r="H500" s="53">
        <v>0</v>
      </c>
      <c r="I500" s="40">
        <f t="shared" si="203"/>
        <v>0</v>
      </c>
      <c r="J500" s="53"/>
      <c r="K500" s="40">
        <f t="shared" si="204"/>
        <v>0</v>
      </c>
      <c r="L500" s="45">
        <v>0</v>
      </c>
      <c r="M500" s="53">
        <v>0</v>
      </c>
      <c r="N500" s="40">
        <f t="shared" si="205"/>
        <v>0</v>
      </c>
      <c r="P500" s="40">
        <f t="shared" si="206"/>
        <v>0</v>
      </c>
      <c r="Q500" s="45"/>
      <c r="R500" s="53"/>
      <c r="S500" s="40">
        <f t="shared" si="207"/>
        <v>0</v>
      </c>
      <c r="U500" s="40">
        <f t="shared" si="208"/>
        <v>0</v>
      </c>
      <c r="V500" s="51">
        <v>0</v>
      </c>
      <c r="W500" s="51">
        <v>0</v>
      </c>
      <c r="X500" s="40">
        <f t="shared" si="209"/>
        <v>0</v>
      </c>
      <c r="AA500" s="40">
        <f t="shared" si="210"/>
        <v>0</v>
      </c>
      <c r="AB500" s="40">
        <f t="shared" si="211"/>
        <v>0</v>
      </c>
      <c r="AC500" s="67"/>
    </row>
    <row r="501" spans="6:29" x14ac:dyDescent="0.25">
      <c r="F501" s="45" t="str">
        <f t="shared" si="202"/>
        <v xml:space="preserve">S/F  </v>
      </c>
      <c r="G501" s="45">
        <v>0</v>
      </c>
      <c r="H501" s="53">
        <v>0</v>
      </c>
      <c r="I501" s="40">
        <f t="shared" si="203"/>
        <v>0</v>
      </c>
      <c r="J501" s="53"/>
      <c r="K501" s="40">
        <f t="shared" si="204"/>
        <v>0</v>
      </c>
      <c r="L501" s="45">
        <v>0</v>
      </c>
      <c r="M501" s="53">
        <v>0</v>
      </c>
      <c r="N501" s="40">
        <f t="shared" si="205"/>
        <v>0</v>
      </c>
      <c r="P501" s="40">
        <f t="shared" si="206"/>
        <v>0</v>
      </c>
      <c r="Q501" s="45"/>
      <c r="R501" s="53"/>
      <c r="S501" s="40">
        <f t="shared" si="207"/>
        <v>0</v>
      </c>
      <c r="U501" s="40">
        <f t="shared" si="208"/>
        <v>0</v>
      </c>
      <c r="V501" s="51">
        <v>0</v>
      </c>
      <c r="W501" s="51">
        <v>0</v>
      </c>
      <c r="X501" s="40">
        <f t="shared" si="209"/>
        <v>0</v>
      </c>
      <c r="AA501" s="40">
        <f t="shared" si="210"/>
        <v>0</v>
      </c>
      <c r="AB501" s="40">
        <f t="shared" si="211"/>
        <v>0</v>
      </c>
      <c r="AC501" s="67"/>
    </row>
    <row r="502" spans="6:29" x14ac:dyDescent="0.25">
      <c r="F502" s="45" t="str">
        <f t="shared" si="202"/>
        <v xml:space="preserve">S/F  </v>
      </c>
      <c r="G502" s="45">
        <v>0</v>
      </c>
      <c r="H502" s="53">
        <v>0</v>
      </c>
      <c r="I502" s="40">
        <f t="shared" si="203"/>
        <v>0</v>
      </c>
      <c r="J502" s="53"/>
      <c r="K502" s="40">
        <f t="shared" si="204"/>
        <v>0</v>
      </c>
      <c r="L502" s="45">
        <v>0</v>
      </c>
      <c r="M502" s="53">
        <v>0</v>
      </c>
      <c r="N502" s="40">
        <f t="shared" si="205"/>
        <v>0</v>
      </c>
      <c r="P502" s="40">
        <f t="shared" si="206"/>
        <v>0</v>
      </c>
      <c r="Q502" s="45"/>
      <c r="R502" s="53"/>
      <c r="S502" s="40">
        <f t="shared" si="207"/>
        <v>0</v>
      </c>
      <c r="U502" s="40">
        <f t="shared" si="208"/>
        <v>0</v>
      </c>
      <c r="V502" s="51">
        <v>0</v>
      </c>
      <c r="W502" s="51">
        <v>0</v>
      </c>
      <c r="X502" s="40">
        <f t="shared" si="209"/>
        <v>0</v>
      </c>
      <c r="AA502" s="40">
        <f t="shared" si="210"/>
        <v>0</v>
      </c>
      <c r="AB502" s="40">
        <f t="shared" si="211"/>
        <v>0</v>
      </c>
      <c r="AC502" s="67"/>
    </row>
    <row r="503" spans="6:29" x14ac:dyDescent="0.25">
      <c r="F503" s="45" t="str">
        <f t="shared" si="202"/>
        <v xml:space="preserve">S/F  </v>
      </c>
      <c r="G503" s="45">
        <v>0</v>
      </c>
      <c r="H503" s="53">
        <v>0</v>
      </c>
      <c r="I503" s="40">
        <f t="shared" si="203"/>
        <v>0</v>
      </c>
      <c r="J503" s="53"/>
      <c r="K503" s="40">
        <f t="shared" si="204"/>
        <v>0</v>
      </c>
      <c r="L503" s="45">
        <v>0</v>
      </c>
      <c r="M503" s="53">
        <v>0</v>
      </c>
      <c r="N503" s="40">
        <f t="shared" si="205"/>
        <v>0</v>
      </c>
      <c r="P503" s="40">
        <f t="shared" si="206"/>
        <v>0</v>
      </c>
      <c r="Q503" s="45"/>
      <c r="R503" s="53"/>
      <c r="S503" s="40">
        <f t="shared" si="207"/>
        <v>0</v>
      </c>
      <c r="U503" s="40">
        <f t="shared" si="208"/>
        <v>0</v>
      </c>
      <c r="V503" s="51">
        <v>0</v>
      </c>
      <c r="W503" s="51">
        <v>0</v>
      </c>
      <c r="X503" s="40">
        <f t="shared" si="209"/>
        <v>0</v>
      </c>
      <c r="AA503" s="40">
        <f t="shared" si="210"/>
        <v>0</v>
      </c>
      <c r="AB503" s="40">
        <f t="shared" si="211"/>
        <v>0</v>
      </c>
      <c r="AC503" s="67"/>
    </row>
    <row r="504" spans="6:29" x14ac:dyDescent="0.25">
      <c r="F504" s="45" t="str">
        <f t="shared" si="202"/>
        <v xml:space="preserve">S/F  </v>
      </c>
      <c r="G504" s="45">
        <v>0</v>
      </c>
      <c r="H504" s="53">
        <v>0</v>
      </c>
      <c r="I504" s="40">
        <f t="shared" si="203"/>
        <v>0</v>
      </c>
      <c r="J504" s="53"/>
      <c r="K504" s="40">
        <f t="shared" si="204"/>
        <v>0</v>
      </c>
      <c r="L504" s="45">
        <v>0</v>
      </c>
      <c r="M504" s="53">
        <v>0</v>
      </c>
      <c r="N504" s="40">
        <f t="shared" si="205"/>
        <v>0</v>
      </c>
      <c r="P504" s="40">
        <f t="shared" si="206"/>
        <v>0</v>
      </c>
      <c r="Q504" s="45"/>
      <c r="R504" s="53"/>
      <c r="S504" s="40">
        <f t="shared" si="207"/>
        <v>0</v>
      </c>
      <c r="U504" s="40">
        <f t="shared" si="208"/>
        <v>0</v>
      </c>
      <c r="V504" s="51">
        <v>0</v>
      </c>
      <c r="W504" s="51">
        <v>0</v>
      </c>
      <c r="X504" s="40">
        <f t="shared" si="209"/>
        <v>0</v>
      </c>
      <c r="AA504" s="40">
        <f t="shared" si="210"/>
        <v>0</v>
      </c>
      <c r="AB504" s="40">
        <f t="shared" si="211"/>
        <v>0</v>
      </c>
      <c r="AC504" s="67"/>
    </row>
    <row r="505" spans="6:29" x14ac:dyDescent="0.25">
      <c r="F505" s="45" t="str">
        <f t="shared" si="202"/>
        <v xml:space="preserve">S/F  </v>
      </c>
      <c r="G505" s="45">
        <v>0</v>
      </c>
      <c r="H505" s="53">
        <v>0</v>
      </c>
      <c r="I505" s="40">
        <f t="shared" si="203"/>
        <v>0</v>
      </c>
      <c r="J505" s="53"/>
      <c r="K505" s="40">
        <f t="shared" si="204"/>
        <v>0</v>
      </c>
      <c r="L505" s="45">
        <v>0</v>
      </c>
      <c r="M505" s="53">
        <v>0</v>
      </c>
      <c r="N505" s="40">
        <f t="shared" si="205"/>
        <v>0</v>
      </c>
      <c r="P505" s="40">
        <f t="shared" si="206"/>
        <v>0</v>
      </c>
      <c r="Q505" s="45"/>
      <c r="R505" s="53"/>
      <c r="S505" s="40">
        <f t="shared" si="207"/>
        <v>0</v>
      </c>
      <c r="U505" s="40">
        <f t="shared" si="208"/>
        <v>0</v>
      </c>
      <c r="V505" s="51">
        <v>0</v>
      </c>
      <c r="W505" s="51">
        <v>0</v>
      </c>
      <c r="X505" s="40">
        <f t="shared" si="209"/>
        <v>0</v>
      </c>
      <c r="AA505" s="40">
        <f t="shared" si="210"/>
        <v>0</v>
      </c>
      <c r="AB505" s="40">
        <f t="shared" si="211"/>
        <v>0</v>
      </c>
      <c r="AC505" s="67"/>
    </row>
    <row r="506" spans="6:29" x14ac:dyDescent="0.25">
      <c r="F506" s="45" t="str">
        <f t="shared" si="202"/>
        <v xml:space="preserve">S/F  </v>
      </c>
      <c r="G506" s="45">
        <v>0</v>
      </c>
      <c r="H506" s="53">
        <v>0</v>
      </c>
      <c r="I506" s="40">
        <f t="shared" si="203"/>
        <v>0</v>
      </c>
      <c r="J506" s="53"/>
      <c r="K506" s="40">
        <f t="shared" si="204"/>
        <v>0</v>
      </c>
      <c r="L506" s="45">
        <v>0</v>
      </c>
      <c r="M506" s="53">
        <v>0</v>
      </c>
      <c r="N506" s="40">
        <f t="shared" si="205"/>
        <v>0</v>
      </c>
      <c r="P506" s="40">
        <f t="shared" si="206"/>
        <v>0</v>
      </c>
      <c r="Q506" s="45"/>
      <c r="R506" s="53"/>
      <c r="S506" s="40">
        <f t="shared" si="207"/>
        <v>0</v>
      </c>
      <c r="U506" s="40">
        <f t="shared" si="208"/>
        <v>0</v>
      </c>
      <c r="V506" s="51">
        <v>0</v>
      </c>
      <c r="W506" s="51">
        <v>0</v>
      </c>
      <c r="X506" s="40">
        <f t="shared" si="209"/>
        <v>0</v>
      </c>
      <c r="AA506" s="40">
        <f t="shared" si="210"/>
        <v>0</v>
      </c>
      <c r="AB506" s="40">
        <f t="shared" si="211"/>
        <v>0</v>
      </c>
      <c r="AC506" s="67"/>
    </row>
    <row r="507" spans="6:29" x14ac:dyDescent="0.25">
      <c r="F507" s="45" t="str">
        <f t="shared" si="202"/>
        <v xml:space="preserve">S/F  </v>
      </c>
      <c r="G507" s="45">
        <v>0</v>
      </c>
      <c r="H507" s="53">
        <v>0</v>
      </c>
      <c r="I507" s="40">
        <f t="shared" si="203"/>
        <v>0</v>
      </c>
      <c r="J507" s="53"/>
      <c r="K507" s="40">
        <f t="shared" si="204"/>
        <v>0</v>
      </c>
      <c r="L507" s="45">
        <v>0</v>
      </c>
      <c r="M507" s="53">
        <v>0</v>
      </c>
      <c r="N507" s="40">
        <f t="shared" si="205"/>
        <v>0</v>
      </c>
      <c r="P507" s="40">
        <f t="shared" si="206"/>
        <v>0</v>
      </c>
      <c r="Q507" s="45"/>
      <c r="R507" s="53"/>
      <c r="S507" s="40">
        <f t="shared" si="207"/>
        <v>0</v>
      </c>
      <c r="U507" s="40">
        <f t="shared" si="208"/>
        <v>0</v>
      </c>
      <c r="V507" s="51">
        <v>0</v>
      </c>
      <c r="W507" s="51">
        <v>0</v>
      </c>
      <c r="X507" s="40">
        <f t="shared" si="209"/>
        <v>0</v>
      </c>
      <c r="AA507" s="40">
        <f t="shared" si="210"/>
        <v>0</v>
      </c>
      <c r="AB507" s="40">
        <f t="shared" si="211"/>
        <v>0</v>
      </c>
      <c r="AC507" s="67"/>
    </row>
    <row r="508" spans="6:29" x14ac:dyDescent="0.25">
      <c r="F508" s="45" t="str">
        <f t="shared" si="202"/>
        <v xml:space="preserve">S/F  </v>
      </c>
      <c r="G508" s="45">
        <v>0</v>
      </c>
      <c r="H508" s="53">
        <v>0</v>
      </c>
      <c r="I508" s="40">
        <f t="shared" si="203"/>
        <v>0</v>
      </c>
      <c r="J508" s="53"/>
      <c r="K508" s="40">
        <f t="shared" si="204"/>
        <v>0</v>
      </c>
      <c r="L508" s="45">
        <v>0</v>
      </c>
      <c r="M508" s="53">
        <v>0</v>
      </c>
      <c r="N508" s="40">
        <f t="shared" si="205"/>
        <v>0</v>
      </c>
      <c r="P508" s="40">
        <f t="shared" si="206"/>
        <v>0</v>
      </c>
      <c r="Q508" s="45"/>
      <c r="R508" s="53"/>
      <c r="S508" s="40">
        <f t="shared" si="207"/>
        <v>0</v>
      </c>
      <c r="U508" s="40">
        <f t="shared" si="208"/>
        <v>0</v>
      </c>
      <c r="V508" s="51">
        <v>0</v>
      </c>
      <c r="W508" s="51">
        <v>0</v>
      </c>
      <c r="X508" s="40">
        <f t="shared" si="209"/>
        <v>0</v>
      </c>
      <c r="AA508" s="40">
        <f t="shared" si="210"/>
        <v>0</v>
      </c>
      <c r="AB508" s="40">
        <f t="shared" si="211"/>
        <v>0</v>
      </c>
      <c r="AC508" s="67"/>
    </row>
    <row r="509" spans="6:29" x14ac:dyDescent="0.25">
      <c r="F509" s="45" t="str">
        <f t="shared" si="202"/>
        <v xml:space="preserve">S/F  </v>
      </c>
      <c r="G509" s="45">
        <v>0</v>
      </c>
      <c r="H509" s="53">
        <v>0</v>
      </c>
      <c r="I509" s="40">
        <f t="shared" si="203"/>
        <v>0</v>
      </c>
      <c r="J509" s="53"/>
      <c r="K509" s="40">
        <f t="shared" si="204"/>
        <v>0</v>
      </c>
      <c r="L509" s="45">
        <v>0</v>
      </c>
      <c r="M509" s="53">
        <v>0</v>
      </c>
      <c r="N509" s="40">
        <f t="shared" si="205"/>
        <v>0</v>
      </c>
      <c r="P509" s="40">
        <f t="shared" si="206"/>
        <v>0</v>
      </c>
      <c r="Q509" s="45"/>
      <c r="R509" s="53"/>
      <c r="S509" s="40">
        <f t="shared" si="207"/>
        <v>0</v>
      </c>
      <c r="U509" s="40">
        <f t="shared" si="208"/>
        <v>0</v>
      </c>
      <c r="V509" s="51">
        <v>0</v>
      </c>
      <c r="W509" s="51">
        <v>0</v>
      </c>
      <c r="X509" s="40">
        <f t="shared" si="209"/>
        <v>0</v>
      </c>
      <c r="AA509" s="40">
        <f t="shared" si="210"/>
        <v>0</v>
      </c>
      <c r="AB509" s="40">
        <f t="shared" si="211"/>
        <v>0</v>
      </c>
      <c r="AC509" s="67"/>
    </row>
    <row r="510" spans="6:29" x14ac:dyDescent="0.25">
      <c r="F510" s="45" t="str">
        <f t="shared" si="202"/>
        <v xml:space="preserve">S/F  </v>
      </c>
      <c r="G510" s="45">
        <v>0</v>
      </c>
      <c r="H510" s="53">
        <v>0</v>
      </c>
      <c r="I510" s="40">
        <f t="shared" si="203"/>
        <v>0</v>
      </c>
      <c r="J510" s="53"/>
      <c r="K510" s="40">
        <f t="shared" si="204"/>
        <v>0</v>
      </c>
      <c r="L510" s="45">
        <v>0</v>
      </c>
      <c r="M510" s="53">
        <v>0</v>
      </c>
      <c r="N510" s="40">
        <f t="shared" si="205"/>
        <v>0</v>
      </c>
      <c r="P510" s="40">
        <f t="shared" si="206"/>
        <v>0</v>
      </c>
      <c r="Q510" s="45"/>
      <c r="R510" s="53"/>
      <c r="S510" s="40">
        <f t="shared" si="207"/>
        <v>0</v>
      </c>
      <c r="U510" s="40">
        <f t="shared" si="208"/>
        <v>0</v>
      </c>
      <c r="V510" s="51">
        <v>0</v>
      </c>
      <c r="W510" s="51">
        <v>0</v>
      </c>
      <c r="X510" s="40">
        <f t="shared" si="209"/>
        <v>0</v>
      </c>
      <c r="AA510" s="40">
        <f t="shared" si="210"/>
        <v>0</v>
      </c>
      <c r="AB510" s="40">
        <f t="shared" si="211"/>
        <v>0</v>
      </c>
      <c r="AC510" s="67"/>
    </row>
    <row r="511" spans="6:29" x14ac:dyDescent="0.25">
      <c r="F511" s="45" t="str">
        <f t="shared" si="202"/>
        <v xml:space="preserve">S/F  </v>
      </c>
      <c r="G511" s="45">
        <v>0</v>
      </c>
      <c r="H511" s="53">
        <v>0</v>
      </c>
      <c r="I511" s="40">
        <f t="shared" si="203"/>
        <v>0</v>
      </c>
      <c r="J511" s="53"/>
      <c r="K511" s="40">
        <f t="shared" si="204"/>
        <v>0</v>
      </c>
      <c r="L511" s="45">
        <v>0</v>
      </c>
      <c r="M511" s="53">
        <v>0</v>
      </c>
      <c r="N511" s="40">
        <f t="shared" si="205"/>
        <v>0</v>
      </c>
      <c r="P511" s="40">
        <f t="shared" si="206"/>
        <v>0</v>
      </c>
      <c r="Q511" s="45"/>
      <c r="R511" s="53"/>
      <c r="S511" s="40">
        <f t="shared" si="207"/>
        <v>0</v>
      </c>
      <c r="U511" s="40">
        <f t="shared" si="208"/>
        <v>0</v>
      </c>
      <c r="V511" s="51">
        <v>0</v>
      </c>
      <c r="W511" s="51">
        <v>0</v>
      </c>
      <c r="X511" s="40">
        <f t="shared" si="209"/>
        <v>0</v>
      </c>
      <c r="AA511" s="40">
        <f t="shared" si="210"/>
        <v>0</v>
      </c>
      <c r="AB511" s="40">
        <f t="shared" si="211"/>
        <v>0</v>
      </c>
      <c r="AC511" s="67"/>
    </row>
    <row r="512" spans="6:29" x14ac:dyDescent="0.25">
      <c r="F512" s="45" t="str">
        <f t="shared" si="202"/>
        <v xml:space="preserve">S/F  </v>
      </c>
      <c r="G512" s="45">
        <v>0</v>
      </c>
      <c r="H512" s="53">
        <v>0</v>
      </c>
      <c r="I512" s="40">
        <f t="shared" si="203"/>
        <v>0</v>
      </c>
      <c r="J512" s="53"/>
      <c r="K512" s="40">
        <f t="shared" si="204"/>
        <v>0</v>
      </c>
      <c r="L512" s="45">
        <v>0</v>
      </c>
      <c r="M512" s="53">
        <v>0</v>
      </c>
      <c r="N512" s="40">
        <f t="shared" si="205"/>
        <v>0</v>
      </c>
      <c r="P512" s="40">
        <f t="shared" si="206"/>
        <v>0</v>
      </c>
      <c r="Q512" s="45"/>
      <c r="R512" s="53"/>
      <c r="S512" s="40">
        <f t="shared" si="207"/>
        <v>0</v>
      </c>
      <c r="U512" s="40">
        <f t="shared" si="208"/>
        <v>0</v>
      </c>
      <c r="V512" s="51">
        <v>0</v>
      </c>
      <c r="W512" s="51">
        <v>0</v>
      </c>
      <c r="X512" s="40">
        <f t="shared" si="209"/>
        <v>0</v>
      </c>
      <c r="AA512" s="40">
        <f t="shared" si="210"/>
        <v>0</v>
      </c>
      <c r="AB512" s="40">
        <f t="shared" si="211"/>
        <v>0</v>
      </c>
      <c r="AC512" s="67"/>
    </row>
    <row r="513" spans="6:29" x14ac:dyDescent="0.25">
      <c r="F513" s="45" t="str">
        <f t="shared" si="202"/>
        <v xml:space="preserve">S/F  </v>
      </c>
      <c r="G513" s="45">
        <v>0</v>
      </c>
      <c r="H513" s="53">
        <v>0</v>
      </c>
      <c r="I513" s="40">
        <f t="shared" si="203"/>
        <v>0</v>
      </c>
      <c r="J513" s="53"/>
      <c r="K513" s="40">
        <f t="shared" si="204"/>
        <v>0</v>
      </c>
      <c r="L513" s="45">
        <v>0</v>
      </c>
      <c r="M513" s="53">
        <v>0</v>
      </c>
      <c r="N513" s="40">
        <f t="shared" si="205"/>
        <v>0</v>
      </c>
      <c r="P513" s="40">
        <f t="shared" si="206"/>
        <v>0</v>
      </c>
      <c r="Q513" s="45"/>
      <c r="R513" s="53"/>
      <c r="S513" s="40">
        <f t="shared" si="207"/>
        <v>0</v>
      </c>
      <c r="U513" s="40">
        <f t="shared" si="208"/>
        <v>0</v>
      </c>
      <c r="V513" s="51">
        <v>0</v>
      </c>
      <c r="W513" s="51">
        <v>0</v>
      </c>
      <c r="X513" s="40">
        <f t="shared" si="209"/>
        <v>0</v>
      </c>
      <c r="AA513" s="40">
        <f t="shared" si="210"/>
        <v>0</v>
      </c>
      <c r="AB513" s="40">
        <f t="shared" si="211"/>
        <v>0</v>
      </c>
      <c r="AC513" s="67"/>
    </row>
    <row r="514" spans="6:29" x14ac:dyDescent="0.25">
      <c r="F514" s="45" t="str">
        <f t="shared" si="202"/>
        <v xml:space="preserve">S/F  </v>
      </c>
      <c r="G514" s="45">
        <v>0</v>
      </c>
      <c r="H514" s="53">
        <v>0</v>
      </c>
      <c r="I514" s="40">
        <f t="shared" si="203"/>
        <v>0</v>
      </c>
      <c r="J514" s="53"/>
      <c r="K514" s="40">
        <f t="shared" si="204"/>
        <v>0</v>
      </c>
      <c r="L514" s="45">
        <v>0</v>
      </c>
      <c r="M514" s="53">
        <v>0</v>
      </c>
      <c r="N514" s="40">
        <f t="shared" si="205"/>
        <v>0</v>
      </c>
      <c r="P514" s="40">
        <f t="shared" si="206"/>
        <v>0</v>
      </c>
      <c r="Q514" s="45"/>
      <c r="R514" s="53"/>
      <c r="S514" s="40">
        <f t="shared" si="207"/>
        <v>0</v>
      </c>
      <c r="U514" s="40">
        <f t="shared" si="208"/>
        <v>0</v>
      </c>
      <c r="V514" s="51">
        <v>0</v>
      </c>
      <c r="W514" s="51">
        <v>0</v>
      </c>
      <c r="X514" s="40">
        <f t="shared" si="209"/>
        <v>0</v>
      </c>
      <c r="AA514" s="40">
        <f t="shared" si="210"/>
        <v>0</v>
      </c>
      <c r="AB514" s="40">
        <f t="shared" si="211"/>
        <v>0</v>
      </c>
      <c r="AC514" s="67"/>
    </row>
    <row r="515" spans="6:29" x14ac:dyDescent="0.25">
      <c r="F515" s="45" t="str">
        <f t="shared" si="202"/>
        <v xml:space="preserve">S/F  </v>
      </c>
      <c r="G515" s="45">
        <v>0</v>
      </c>
      <c r="H515" s="53">
        <v>0</v>
      </c>
      <c r="I515" s="40">
        <f t="shared" si="203"/>
        <v>0</v>
      </c>
      <c r="J515" s="53"/>
      <c r="K515" s="40">
        <f t="shared" si="204"/>
        <v>0</v>
      </c>
      <c r="L515" s="45">
        <v>0</v>
      </c>
      <c r="M515" s="53">
        <v>0</v>
      </c>
      <c r="N515" s="40">
        <f t="shared" si="205"/>
        <v>0</v>
      </c>
      <c r="P515" s="40">
        <f t="shared" si="206"/>
        <v>0</v>
      </c>
      <c r="Q515" s="45"/>
      <c r="R515" s="53"/>
      <c r="S515" s="40">
        <f t="shared" si="207"/>
        <v>0</v>
      </c>
      <c r="U515" s="40">
        <f t="shared" si="208"/>
        <v>0</v>
      </c>
      <c r="V515" s="51">
        <v>0</v>
      </c>
      <c r="W515" s="51">
        <v>0</v>
      </c>
      <c r="X515" s="40">
        <f t="shared" si="209"/>
        <v>0</v>
      </c>
      <c r="AA515" s="40">
        <f t="shared" si="210"/>
        <v>0</v>
      </c>
      <c r="AB515" s="40">
        <f t="shared" si="211"/>
        <v>0</v>
      </c>
      <c r="AC515" s="67"/>
    </row>
    <row r="516" spans="6:29" x14ac:dyDescent="0.25">
      <c r="F516" s="45" t="str">
        <f t="shared" si="202"/>
        <v xml:space="preserve">S/F  </v>
      </c>
      <c r="G516" s="45">
        <v>0</v>
      </c>
      <c r="H516" s="53">
        <v>0</v>
      </c>
      <c r="I516" s="40">
        <f t="shared" si="203"/>
        <v>0</v>
      </c>
      <c r="J516" s="53"/>
      <c r="K516" s="40">
        <f t="shared" si="204"/>
        <v>0</v>
      </c>
      <c r="L516" s="45">
        <v>0</v>
      </c>
      <c r="M516" s="53">
        <v>0</v>
      </c>
      <c r="N516" s="40">
        <f t="shared" si="205"/>
        <v>0</v>
      </c>
      <c r="P516" s="40">
        <f t="shared" si="206"/>
        <v>0</v>
      </c>
      <c r="Q516" s="45"/>
      <c r="R516" s="53"/>
      <c r="S516" s="40">
        <f t="shared" si="207"/>
        <v>0</v>
      </c>
      <c r="U516" s="40">
        <f t="shared" si="208"/>
        <v>0</v>
      </c>
      <c r="V516" s="51">
        <v>0</v>
      </c>
      <c r="W516" s="51">
        <v>0</v>
      </c>
      <c r="X516" s="40">
        <f t="shared" si="209"/>
        <v>0</v>
      </c>
      <c r="AA516" s="40">
        <f t="shared" si="210"/>
        <v>0</v>
      </c>
      <c r="AB516" s="40">
        <f t="shared" si="211"/>
        <v>0</v>
      </c>
      <c r="AC516" s="67"/>
    </row>
    <row r="517" spans="6:29" x14ac:dyDescent="0.25">
      <c r="F517" s="45" t="str">
        <f t="shared" si="202"/>
        <v xml:space="preserve">S/F  </v>
      </c>
      <c r="G517" s="45">
        <v>0</v>
      </c>
      <c r="H517" s="53">
        <v>0</v>
      </c>
      <c r="I517" s="40">
        <f t="shared" si="203"/>
        <v>0</v>
      </c>
      <c r="J517" s="53"/>
      <c r="K517" s="40">
        <f t="shared" si="204"/>
        <v>0</v>
      </c>
      <c r="L517" s="45">
        <v>0</v>
      </c>
      <c r="M517" s="53">
        <v>0</v>
      </c>
      <c r="N517" s="40">
        <f t="shared" si="205"/>
        <v>0</v>
      </c>
      <c r="P517" s="40">
        <f t="shared" si="206"/>
        <v>0</v>
      </c>
      <c r="Q517" s="45"/>
      <c r="R517" s="53"/>
      <c r="S517" s="40">
        <f t="shared" si="207"/>
        <v>0</v>
      </c>
      <c r="U517" s="40">
        <f t="shared" si="208"/>
        <v>0</v>
      </c>
      <c r="V517" s="51">
        <v>0</v>
      </c>
      <c r="W517" s="51">
        <v>0</v>
      </c>
      <c r="X517" s="40">
        <f t="shared" si="209"/>
        <v>0</v>
      </c>
      <c r="AA517" s="40">
        <f t="shared" si="210"/>
        <v>0</v>
      </c>
      <c r="AB517" s="40">
        <f t="shared" si="211"/>
        <v>0</v>
      </c>
      <c r="AC517" s="67"/>
    </row>
    <row r="518" spans="6:29" x14ac:dyDescent="0.25">
      <c r="F518" s="45" t="str">
        <f t="shared" si="202"/>
        <v xml:space="preserve">S/F  </v>
      </c>
      <c r="G518" s="45">
        <v>0</v>
      </c>
      <c r="H518" s="53">
        <v>0</v>
      </c>
      <c r="I518" s="40">
        <f t="shared" si="203"/>
        <v>0</v>
      </c>
      <c r="J518" s="53"/>
      <c r="K518" s="40">
        <f t="shared" si="204"/>
        <v>0</v>
      </c>
      <c r="L518" s="45">
        <v>0</v>
      </c>
      <c r="M518" s="53">
        <v>0</v>
      </c>
      <c r="N518" s="40">
        <f t="shared" si="205"/>
        <v>0</v>
      </c>
      <c r="P518" s="40">
        <f t="shared" si="206"/>
        <v>0</v>
      </c>
      <c r="Q518" s="45"/>
      <c r="R518" s="53"/>
      <c r="S518" s="40">
        <f t="shared" si="207"/>
        <v>0</v>
      </c>
      <c r="U518" s="40">
        <f t="shared" si="208"/>
        <v>0</v>
      </c>
      <c r="V518" s="51">
        <v>0</v>
      </c>
      <c r="W518" s="51">
        <v>0</v>
      </c>
      <c r="X518" s="40">
        <f t="shared" si="209"/>
        <v>0</v>
      </c>
      <c r="AA518" s="40">
        <f t="shared" si="210"/>
        <v>0</v>
      </c>
      <c r="AB518" s="40">
        <f t="shared" si="211"/>
        <v>0</v>
      </c>
      <c r="AC518" s="67"/>
    </row>
    <row r="519" spans="6:29" x14ac:dyDescent="0.25">
      <c r="F519" s="45" t="str">
        <f t="shared" si="202"/>
        <v xml:space="preserve">S/F  </v>
      </c>
      <c r="G519" s="45">
        <v>0</v>
      </c>
      <c r="H519" s="53">
        <v>0</v>
      </c>
      <c r="I519" s="40">
        <f t="shared" si="203"/>
        <v>0</v>
      </c>
      <c r="J519" s="53"/>
      <c r="K519" s="40">
        <f t="shared" si="204"/>
        <v>0</v>
      </c>
      <c r="L519" s="45">
        <v>0</v>
      </c>
      <c r="M519" s="53">
        <v>0</v>
      </c>
      <c r="N519" s="40">
        <f t="shared" si="205"/>
        <v>0</v>
      </c>
      <c r="P519" s="40">
        <f t="shared" si="206"/>
        <v>0</v>
      </c>
      <c r="Q519" s="45"/>
      <c r="R519" s="53"/>
      <c r="S519" s="40">
        <f t="shared" si="207"/>
        <v>0</v>
      </c>
      <c r="U519" s="40">
        <f t="shared" si="208"/>
        <v>0</v>
      </c>
      <c r="V519" s="51">
        <v>0</v>
      </c>
      <c r="W519" s="51">
        <v>0</v>
      </c>
      <c r="X519" s="40">
        <f t="shared" si="209"/>
        <v>0</v>
      </c>
      <c r="AA519" s="40">
        <f t="shared" si="210"/>
        <v>0</v>
      </c>
      <c r="AB519" s="40">
        <f t="shared" si="211"/>
        <v>0</v>
      </c>
      <c r="AC519" s="67"/>
    </row>
    <row r="520" spans="6:29" x14ac:dyDescent="0.25">
      <c r="F520" s="45" t="str">
        <f t="shared" si="202"/>
        <v xml:space="preserve">S/F  </v>
      </c>
      <c r="G520" s="45">
        <v>0</v>
      </c>
      <c r="H520" s="53">
        <v>0</v>
      </c>
      <c r="I520" s="40">
        <f t="shared" si="203"/>
        <v>0</v>
      </c>
      <c r="J520" s="53"/>
      <c r="K520" s="40">
        <f t="shared" si="204"/>
        <v>0</v>
      </c>
      <c r="L520" s="45">
        <v>0</v>
      </c>
      <c r="M520" s="53">
        <v>0</v>
      </c>
      <c r="N520" s="40">
        <f t="shared" si="205"/>
        <v>0</v>
      </c>
      <c r="P520" s="40">
        <f t="shared" si="206"/>
        <v>0</v>
      </c>
      <c r="Q520" s="45"/>
      <c r="R520" s="53"/>
      <c r="S520" s="40">
        <f t="shared" si="207"/>
        <v>0</v>
      </c>
      <c r="U520" s="40">
        <f t="shared" si="208"/>
        <v>0</v>
      </c>
      <c r="V520" s="51">
        <v>0</v>
      </c>
      <c r="W520" s="51">
        <v>0</v>
      </c>
      <c r="X520" s="40">
        <f t="shared" si="209"/>
        <v>0</v>
      </c>
      <c r="AA520" s="40">
        <f t="shared" si="210"/>
        <v>0</v>
      </c>
      <c r="AB520" s="40">
        <f t="shared" si="211"/>
        <v>0</v>
      </c>
      <c r="AC520" s="67"/>
    </row>
    <row r="521" spans="6:29" x14ac:dyDescent="0.25">
      <c r="F521" s="45" t="str">
        <f t="shared" si="202"/>
        <v xml:space="preserve">S/F  </v>
      </c>
      <c r="G521" s="45">
        <v>0</v>
      </c>
      <c r="H521" s="53">
        <v>0</v>
      </c>
      <c r="I521" s="40">
        <f t="shared" si="203"/>
        <v>0</v>
      </c>
      <c r="J521" s="53"/>
      <c r="K521" s="40">
        <f t="shared" si="204"/>
        <v>0</v>
      </c>
      <c r="L521" s="45">
        <v>0</v>
      </c>
      <c r="M521" s="53">
        <v>0</v>
      </c>
      <c r="N521" s="40">
        <f t="shared" si="205"/>
        <v>0</v>
      </c>
      <c r="P521" s="40">
        <f t="shared" si="206"/>
        <v>0</v>
      </c>
      <c r="Q521" s="45"/>
      <c r="R521" s="53"/>
      <c r="S521" s="40">
        <f t="shared" si="207"/>
        <v>0</v>
      </c>
      <c r="U521" s="40">
        <f t="shared" si="208"/>
        <v>0</v>
      </c>
      <c r="V521" s="51">
        <v>0</v>
      </c>
      <c r="W521" s="51">
        <v>0</v>
      </c>
      <c r="X521" s="40">
        <f t="shared" si="209"/>
        <v>0</v>
      </c>
      <c r="AA521" s="40">
        <f t="shared" si="210"/>
        <v>0</v>
      </c>
      <c r="AB521" s="40">
        <f t="shared" si="211"/>
        <v>0</v>
      </c>
      <c r="AC521" s="67"/>
    </row>
    <row r="522" spans="6:29" x14ac:dyDescent="0.25">
      <c r="F522" s="45" t="str">
        <f t="shared" si="202"/>
        <v xml:space="preserve">S/F  </v>
      </c>
      <c r="G522" s="45">
        <v>0</v>
      </c>
      <c r="H522" s="53">
        <v>0</v>
      </c>
      <c r="I522" s="40">
        <f t="shared" si="203"/>
        <v>0</v>
      </c>
      <c r="J522" s="53"/>
      <c r="K522" s="40">
        <f t="shared" si="204"/>
        <v>0</v>
      </c>
      <c r="L522" s="45">
        <v>0</v>
      </c>
      <c r="M522" s="53">
        <v>0</v>
      </c>
      <c r="N522" s="40">
        <f t="shared" si="205"/>
        <v>0</v>
      </c>
      <c r="P522" s="40">
        <f t="shared" si="206"/>
        <v>0</v>
      </c>
      <c r="Q522" s="45"/>
      <c r="R522" s="53"/>
      <c r="S522" s="40">
        <f t="shared" si="207"/>
        <v>0</v>
      </c>
      <c r="U522" s="40">
        <f t="shared" si="208"/>
        <v>0</v>
      </c>
      <c r="V522" s="51">
        <v>0</v>
      </c>
      <c r="W522" s="51">
        <v>0</v>
      </c>
      <c r="X522" s="40">
        <f t="shared" si="209"/>
        <v>0</v>
      </c>
      <c r="AA522" s="40">
        <f t="shared" si="210"/>
        <v>0</v>
      </c>
      <c r="AB522" s="40">
        <f t="shared" si="211"/>
        <v>0</v>
      </c>
      <c r="AC522" s="67"/>
    </row>
    <row r="523" spans="6:29" x14ac:dyDescent="0.25">
      <c r="F523" s="45" t="str">
        <f t="shared" si="202"/>
        <v xml:space="preserve">S/F  </v>
      </c>
      <c r="G523" s="45">
        <v>0</v>
      </c>
      <c r="H523" s="53">
        <v>0</v>
      </c>
      <c r="I523" s="40">
        <f t="shared" si="203"/>
        <v>0</v>
      </c>
      <c r="J523" s="53"/>
      <c r="K523" s="40">
        <f t="shared" si="204"/>
        <v>0</v>
      </c>
      <c r="L523" s="45">
        <v>0</v>
      </c>
      <c r="M523" s="53">
        <v>0</v>
      </c>
      <c r="N523" s="40">
        <f t="shared" si="205"/>
        <v>0</v>
      </c>
      <c r="P523" s="40">
        <f t="shared" si="206"/>
        <v>0</v>
      </c>
      <c r="Q523" s="45"/>
      <c r="R523" s="53"/>
      <c r="S523" s="40">
        <f t="shared" si="207"/>
        <v>0</v>
      </c>
      <c r="U523" s="40">
        <f t="shared" si="208"/>
        <v>0</v>
      </c>
      <c r="V523" s="51">
        <v>0</v>
      </c>
      <c r="W523" s="51">
        <v>0</v>
      </c>
      <c r="X523" s="40">
        <f t="shared" si="209"/>
        <v>0</v>
      </c>
      <c r="AA523" s="40">
        <f t="shared" si="210"/>
        <v>0</v>
      </c>
      <c r="AB523" s="40">
        <f t="shared" si="211"/>
        <v>0</v>
      </c>
      <c r="AC523" s="67"/>
    </row>
    <row r="524" spans="6:29" x14ac:dyDescent="0.25">
      <c r="F524" s="45" t="str">
        <f t="shared" si="202"/>
        <v xml:space="preserve">S/F  </v>
      </c>
      <c r="G524" s="45">
        <v>0</v>
      </c>
      <c r="H524" s="53">
        <v>0</v>
      </c>
      <c r="I524" s="40">
        <f t="shared" si="203"/>
        <v>0</v>
      </c>
      <c r="J524" s="53"/>
      <c r="K524" s="40">
        <f t="shared" si="204"/>
        <v>0</v>
      </c>
      <c r="L524" s="45">
        <v>0</v>
      </c>
      <c r="M524" s="53">
        <v>0</v>
      </c>
      <c r="N524" s="40">
        <f t="shared" si="205"/>
        <v>0</v>
      </c>
      <c r="P524" s="40">
        <f t="shared" si="206"/>
        <v>0</v>
      </c>
      <c r="Q524" s="45"/>
      <c r="R524" s="53"/>
      <c r="S524" s="40">
        <f t="shared" si="207"/>
        <v>0</v>
      </c>
      <c r="U524" s="40">
        <f t="shared" si="208"/>
        <v>0</v>
      </c>
      <c r="V524" s="51">
        <v>0</v>
      </c>
      <c r="W524" s="51">
        <v>0</v>
      </c>
      <c r="X524" s="40">
        <f t="shared" si="209"/>
        <v>0</v>
      </c>
      <c r="AA524" s="40">
        <f t="shared" si="210"/>
        <v>0</v>
      </c>
      <c r="AB524" s="40">
        <f t="shared" si="211"/>
        <v>0</v>
      </c>
      <c r="AC524" s="67"/>
    </row>
    <row r="525" spans="6:29" x14ac:dyDescent="0.25">
      <c r="F525" s="45" t="str">
        <f t="shared" ref="F525:F588" si="212">"S/F "&amp;B525&amp;" "&amp;E525</f>
        <v xml:space="preserve">S/F  </v>
      </c>
      <c r="G525" s="45">
        <v>0</v>
      </c>
      <c r="H525" s="53">
        <v>0</v>
      </c>
      <c r="I525" s="40">
        <f t="shared" si="203"/>
        <v>0</v>
      </c>
      <c r="J525" s="53"/>
      <c r="K525" s="40">
        <f t="shared" si="204"/>
        <v>0</v>
      </c>
      <c r="L525" s="45">
        <v>0</v>
      </c>
      <c r="M525" s="53">
        <v>0</v>
      </c>
      <c r="N525" s="40">
        <f t="shared" si="205"/>
        <v>0</v>
      </c>
      <c r="P525" s="40">
        <f t="shared" si="206"/>
        <v>0</v>
      </c>
      <c r="Q525" s="45"/>
      <c r="R525" s="53"/>
      <c r="S525" s="40">
        <f t="shared" si="207"/>
        <v>0</v>
      </c>
      <c r="U525" s="40">
        <f t="shared" si="208"/>
        <v>0</v>
      </c>
      <c r="V525" s="51">
        <v>0</v>
      </c>
      <c r="W525" s="51">
        <v>0</v>
      </c>
      <c r="X525" s="40">
        <f t="shared" si="209"/>
        <v>0</v>
      </c>
      <c r="AA525" s="40">
        <f t="shared" si="210"/>
        <v>0</v>
      </c>
      <c r="AB525" s="40">
        <f t="shared" si="211"/>
        <v>0</v>
      </c>
      <c r="AC525" s="67"/>
    </row>
    <row r="526" spans="6:29" x14ac:dyDescent="0.25">
      <c r="F526" s="45" t="str">
        <f t="shared" si="212"/>
        <v xml:space="preserve">S/F  </v>
      </c>
      <c r="G526" s="45">
        <v>0</v>
      </c>
      <c r="H526" s="53">
        <v>0</v>
      </c>
      <c r="I526" s="40">
        <f t="shared" si="203"/>
        <v>0</v>
      </c>
      <c r="J526" s="53"/>
      <c r="K526" s="40">
        <f t="shared" si="204"/>
        <v>0</v>
      </c>
      <c r="L526" s="45">
        <v>0</v>
      </c>
      <c r="M526" s="53">
        <v>0</v>
      </c>
      <c r="N526" s="40">
        <f t="shared" si="205"/>
        <v>0</v>
      </c>
      <c r="P526" s="40">
        <f t="shared" si="206"/>
        <v>0</v>
      </c>
      <c r="Q526" s="45"/>
      <c r="R526" s="53"/>
      <c r="S526" s="40">
        <f t="shared" si="207"/>
        <v>0</v>
      </c>
      <c r="U526" s="40">
        <f t="shared" si="208"/>
        <v>0</v>
      </c>
      <c r="V526" s="51">
        <v>0</v>
      </c>
      <c r="W526" s="51">
        <v>0</v>
      </c>
      <c r="X526" s="40">
        <f t="shared" si="209"/>
        <v>0</v>
      </c>
      <c r="AA526" s="40">
        <f t="shared" si="210"/>
        <v>0</v>
      </c>
      <c r="AB526" s="40">
        <f t="shared" si="211"/>
        <v>0</v>
      </c>
      <c r="AC526" s="67"/>
    </row>
    <row r="527" spans="6:29" x14ac:dyDescent="0.25">
      <c r="F527" s="45" t="str">
        <f t="shared" si="212"/>
        <v xml:space="preserve">S/F  </v>
      </c>
      <c r="G527" s="45">
        <v>0</v>
      </c>
      <c r="H527" s="53">
        <v>0</v>
      </c>
      <c r="I527" s="40">
        <f t="shared" si="203"/>
        <v>0</v>
      </c>
      <c r="J527" s="53"/>
      <c r="K527" s="40">
        <f t="shared" si="204"/>
        <v>0</v>
      </c>
      <c r="L527" s="45">
        <v>0</v>
      </c>
      <c r="M527" s="53">
        <v>0</v>
      </c>
      <c r="N527" s="40">
        <f t="shared" si="205"/>
        <v>0</v>
      </c>
      <c r="P527" s="40">
        <f t="shared" si="206"/>
        <v>0</v>
      </c>
      <c r="Q527" s="45"/>
      <c r="R527" s="53"/>
      <c r="S527" s="40">
        <f t="shared" si="207"/>
        <v>0</v>
      </c>
      <c r="U527" s="40">
        <f t="shared" si="208"/>
        <v>0</v>
      </c>
      <c r="V527" s="51">
        <v>0</v>
      </c>
      <c r="W527" s="51">
        <v>0</v>
      </c>
      <c r="X527" s="40">
        <f t="shared" si="209"/>
        <v>0</v>
      </c>
      <c r="AA527" s="40">
        <f t="shared" si="210"/>
        <v>0</v>
      </c>
      <c r="AB527" s="40">
        <f t="shared" si="211"/>
        <v>0</v>
      </c>
      <c r="AC527" s="67"/>
    </row>
    <row r="528" spans="6:29" x14ac:dyDescent="0.25">
      <c r="F528" s="45" t="str">
        <f t="shared" si="212"/>
        <v xml:space="preserve">S/F  </v>
      </c>
      <c r="G528" s="45">
        <v>0</v>
      </c>
      <c r="H528" s="53">
        <v>0</v>
      </c>
      <c r="I528" s="40">
        <f t="shared" si="203"/>
        <v>0</v>
      </c>
      <c r="J528" s="53"/>
      <c r="K528" s="40">
        <f t="shared" si="204"/>
        <v>0</v>
      </c>
      <c r="L528" s="45">
        <v>0</v>
      </c>
      <c r="M528" s="53">
        <v>0</v>
      </c>
      <c r="N528" s="40">
        <f t="shared" si="205"/>
        <v>0</v>
      </c>
      <c r="P528" s="40">
        <f t="shared" si="206"/>
        <v>0</v>
      </c>
      <c r="Q528" s="45"/>
      <c r="R528" s="53"/>
      <c r="S528" s="40">
        <f t="shared" si="207"/>
        <v>0</v>
      </c>
      <c r="U528" s="40">
        <f t="shared" si="208"/>
        <v>0</v>
      </c>
      <c r="V528" s="51">
        <v>0</v>
      </c>
      <c r="W528" s="51">
        <v>0</v>
      </c>
      <c r="X528" s="40">
        <f t="shared" si="209"/>
        <v>0</v>
      </c>
      <c r="AA528" s="40">
        <f t="shared" si="210"/>
        <v>0</v>
      </c>
      <c r="AB528" s="40">
        <f t="shared" si="211"/>
        <v>0</v>
      </c>
      <c r="AC528" s="67"/>
    </row>
    <row r="529" spans="6:29" x14ac:dyDescent="0.25">
      <c r="F529" s="45" t="str">
        <f t="shared" si="212"/>
        <v xml:space="preserve">S/F  </v>
      </c>
      <c r="G529" s="45">
        <v>0</v>
      </c>
      <c r="H529" s="53">
        <v>0</v>
      </c>
      <c r="I529" s="40">
        <f t="shared" si="203"/>
        <v>0</v>
      </c>
      <c r="J529" s="53"/>
      <c r="K529" s="40">
        <f t="shared" si="204"/>
        <v>0</v>
      </c>
      <c r="L529" s="45">
        <v>0</v>
      </c>
      <c r="M529" s="53">
        <v>0</v>
      </c>
      <c r="N529" s="40">
        <f t="shared" si="205"/>
        <v>0</v>
      </c>
      <c r="P529" s="40">
        <f t="shared" si="206"/>
        <v>0</v>
      </c>
      <c r="Q529" s="45"/>
      <c r="R529" s="53"/>
      <c r="S529" s="40">
        <f t="shared" si="207"/>
        <v>0</v>
      </c>
      <c r="U529" s="40">
        <f t="shared" si="208"/>
        <v>0</v>
      </c>
      <c r="V529" s="51">
        <v>0</v>
      </c>
      <c r="W529" s="51">
        <v>0</v>
      </c>
      <c r="X529" s="40">
        <f t="shared" si="209"/>
        <v>0</v>
      </c>
      <c r="AA529" s="40">
        <f t="shared" si="210"/>
        <v>0</v>
      </c>
      <c r="AB529" s="40">
        <f t="shared" si="211"/>
        <v>0</v>
      </c>
      <c r="AC529" s="67"/>
    </row>
    <row r="530" spans="6:29" x14ac:dyDescent="0.25">
      <c r="F530" s="45" t="str">
        <f t="shared" si="212"/>
        <v xml:space="preserve">S/F  </v>
      </c>
      <c r="G530" s="45">
        <v>0</v>
      </c>
      <c r="H530" s="53">
        <v>0</v>
      </c>
      <c r="I530" s="40">
        <f t="shared" si="203"/>
        <v>0</v>
      </c>
      <c r="J530" s="53"/>
      <c r="K530" s="40">
        <f t="shared" si="204"/>
        <v>0</v>
      </c>
      <c r="L530" s="45">
        <v>0</v>
      </c>
      <c r="M530" s="53">
        <v>0</v>
      </c>
      <c r="N530" s="40">
        <f t="shared" si="205"/>
        <v>0</v>
      </c>
      <c r="P530" s="40">
        <f t="shared" si="206"/>
        <v>0</v>
      </c>
      <c r="Q530" s="45"/>
      <c r="R530" s="53"/>
      <c r="S530" s="40">
        <f t="shared" si="207"/>
        <v>0</v>
      </c>
      <c r="U530" s="40">
        <f t="shared" si="208"/>
        <v>0</v>
      </c>
      <c r="V530" s="51">
        <v>0</v>
      </c>
      <c r="W530" s="51">
        <v>0</v>
      </c>
      <c r="X530" s="40">
        <f t="shared" si="209"/>
        <v>0</v>
      </c>
      <c r="AA530" s="40">
        <f t="shared" si="210"/>
        <v>0</v>
      </c>
      <c r="AB530" s="40">
        <f t="shared" si="211"/>
        <v>0</v>
      </c>
      <c r="AC530" s="67"/>
    </row>
    <row r="531" spans="6:29" x14ac:dyDescent="0.25">
      <c r="F531" s="45" t="str">
        <f t="shared" si="212"/>
        <v xml:space="preserve">S/F  </v>
      </c>
      <c r="G531" s="45">
        <v>0</v>
      </c>
      <c r="H531" s="53">
        <v>0</v>
      </c>
      <c r="I531" s="40">
        <f t="shared" si="203"/>
        <v>0</v>
      </c>
      <c r="J531" s="53"/>
      <c r="K531" s="40">
        <f t="shared" si="204"/>
        <v>0</v>
      </c>
      <c r="L531" s="45">
        <v>0</v>
      </c>
      <c r="M531" s="53">
        <v>0</v>
      </c>
      <c r="N531" s="40">
        <f t="shared" si="205"/>
        <v>0</v>
      </c>
      <c r="P531" s="40">
        <f t="shared" si="206"/>
        <v>0</v>
      </c>
      <c r="Q531" s="45"/>
      <c r="R531" s="53"/>
      <c r="S531" s="40">
        <f t="shared" si="207"/>
        <v>0</v>
      </c>
      <c r="U531" s="40">
        <f t="shared" si="208"/>
        <v>0</v>
      </c>
      <c r="V531" s="51">
        <v>0</v>
      </c>
      <c r="W531" s="51">
        <v>0</v>
      </c>
      <c r="X531" s="40">
        <f t="shared" si="209"/>
        <v>0</v>
      </c>
      <c r="AA531" s="40">
        <f t="shared" si="210"/>
        <v>0</v>
      </c>
      <c r="AB531" s="40">
        <f t="shared" si="211"/>
        <v>0</v>
      </c>
      <c r="AC531" s="67"/>
    </row>
    <row r="532" spans="6:29" x14ac:dyDescent="0.25">
      <c r="F532" s="45" t="str">
        <f t="shared" si="212"/>
        <v xml:space="preserve">S/F  </v>
      </c>
      <c r="G532" s="45">
        <v>0</v>
      </c>
      <c r="H532" s="53">
        <v>0</v>
      </c>
      <c r="I532" s="40">
        <f t="shared" si="203"/>
        <v>0</v>
      </c>
      <c r="J532" s="53"/>
      <c r="K532" s="40">
        <f t="shared" si="204"/>
        <v>0</v>
      </c>
      <c r="L532" s="45">
        <v>0</v>
      </c>
      <c r="M532" s="53">
        <v>0</v>
      </c>
      <c r="N532" s="40">
        <f t="shared" si="205"/>
        <v>0</v>
      </c>
      <c r="P532" s="40">
        <f t="shared" si="206"/>
        <v>0</v>
      </c>
      <c r="Q532" s="45"/>
      <c r="R532" s="53"/>
      <c r="S532" s="40">
        <f t="shared" si="207"/>
        <v>0</v>
      </c>
      <c r="U532" s="40">
        <f t="shared" si="208"/>
        <v>0</v>
      </c>
      <c r="V532" s="51">
        <v>0</v>
      </c>
      <c r="W532" s="51">
        <v>0</v>
      </c>
      <c r="X532" s="40">
        <f t="shared" si="209"/>
        <v>0</v>
      </c>
      <c r="AA532" s="40">
        <f t="shared" si="210"/>
        <v>0</v>
      </c>
      <c r="AB532" s="40">
        <f t="shared" si="211"/>
        <v>0</v>
      </c>
      <c r="AC532" s="67"/>
    </row>
    <row r="533" spans="6:29" x14ac:dyDescent="0.25">
      <c r="F533" s="45" t="str">
        <f t="shared" si="212"/>
        <v xml:space="preserve">S/F  </v>
      </c>
      <c r="G533" s="45">
        <v>0</v>
      </c>
      <c r="H533" s="53">
        <v>0</v>
      </c>
      <c r="I533" s="40">
        <f t="shared" ref="I533:I596" si="213">+IF(G533&lt;&gt;0,G533*H533/100,0)</f>
        <v>0</v>
      </c>
      <c r="J533" s="53"/>
      <c r="K533" s="40">
        <f t="shared" ref="K533:K596" si="214">+IF(G533&lt;&gt;0,G533*J533/100,0)</f>
        <v>0</v>
      </c>
      <c r="L533" s="45">
        <v>0</v>
      </c>
      <c r="M533" s="53">
        <v>0</v>
      </c>
      <c r="N533" s="40">
        <f t="shared" ref="N533:N596" si="215">+IF(L533&lt;&gt;0,L533*M533/100,0)</f>
        <v>0</v>
      </c>
      <c r="P533" s="40">
        <f t="shared" ref="P533:P596" si="216">+IF(L533&lt;&gt;0,L533*O533/100,0)</f>
        <v>0</v>
      </c>
      <c r="Q533" s="45"/>
      <c r="R533" s="53"/>
      <c r="S533" s="40">
        <f t="shared" ref="S533:S596" si="217">+IF(Q533&lt;&gt;0,Q533*R533/100,0)</f>
        <v>0</v>
      </c>
      <c r="U533" s="40">
        <f t="shared" ref="U533:U596" si="218">+IF(Q533&lt;&gt;0,Q533*T533/100,0)</f>
        <v>0</v>
      </c>
      <c r="V533" s="51">
        <v>0</v>
      </c>
      <c r="W533" s="51">
        <v>0</v>
      </c>
      <c r="X533" s="40">
        <f t="shared" ref="X533:X596" si="219">+IF(W533&lt;&gt;0,V533*W533/100,0)</f>
        <v>0</v>
      </c>
      <c r="AA533" s="40">
        <f t="shared" ref="AA533:AA596" si="220">+IF(Z533&lt;&gt;0,Y533*Z533/100,0)</f>
        <v>0</v>
      </c>
      <c r="AB533" s="40">
        <f t="shared" ref="AB533:AB596" si="221">+G533+I533+K533+L533+N533+P533+Q533+S533+U533-X533-AA533</f>
        <v>0</v>
      </c>
      <c r="AC533" s="67"/>
    </row>
    <row r="534" spans="6:29" x14ac:dyDescent="0.25">
      <c r="F534" s="45" t="str">
        <f t="shared" si="212"/>
        <v xml:space="preserve">S/F  </v>
      </c>
      <c r="G534" s="45">
        <v>0</v>
      </c>
      <c r="H534" s="53">
        <v>0</v>
      </c>
      <c r="I534" s="40">
        <f t="shared" si="213"/>
        <v>0</v>
      </c>
      <c r="J534" s="53"/>
      <c r="K534" s="40">
        <f t="shared" si="214"/>
        <v>0</v>
      </c>
      <c r="L534" s="45">
        <v>0</v>
      </c>
      <c r="M534" s="53">
        <v>0</v>
      </c>
      <c r="N534" s="40">
        <f t="shared" si="215"/>
        <v>0</v>
      </c>
      <c r="P534" s="40">
        <f t="shared" si="216"/>
        <v>0</v>
      </c>
      <c r="Q534" s="45"/>
      <c r="R534" s="53"/>
      <c r="S534" s="40">
        <f t="shared" si="217"/>
        <v>0</v>
      </c>
      <c r="U534" s="40">
        <f t="shared" si="218"/>
        <v>0</v>
      </c>
      <c r="V534" s="51">
        <v>0</v>
      </c>
      <c r="W534" s="51">
        <v>0</v>
      </c>
      <c r="X534" s="40">
        <f t="shared" si="219"/>
        <v>0</v>
      </c>
      <c r="AA534" s="40">
        <f t="shared" si="220"/>
        <v>0</v>
      </c>
      <c r="AB534" s="40">
        <f t="shared" si="221"/>
        <v>0</v>
      </c>
      <c r="AC534" s="67"/>
    </row>
    <row r="535" spans="6:29" x14ac:dyDescent="0.25">
      <c r="F535" s="45" t="str">
        <f t="shared" si="212"/>
        <v xml:space="preserve">S/F  </v>
      </c>
      <c r="G535" s="45">
        <v>0</v>
      </c>
      <c r="H535" s="53">
        <v>0</v>
      </c>
      <c r="I535" s="40">
        <f t="shared" si="213"/>
        <v>0</v>
      </c>
      <c r="J535" s="53"/>
      <c r="K535" s="40">
        <f t="shared" si="214"/>
        <v>0</v>
      </c>
      <c r="L535" s="45">
        <v>0</v>
      </c>
      <c r="M535" s="53">
        <v>0</v>
      </c>
      <c r="N535" s="40">
        <f t="shared" si="215"/>
        <v>0</v>
      </c>
      <c r="P535" s="40">
        <f t="shared" si="216"/>
        <v>0</v>
      </c>
      <c r="Q535" s="45"/>
      <c r="R535" s="53"/>
      <c r="S535" s="40">
        <f t="shared" si="217"/>
        <v>0</v>
      </c>
      <c r="U535" s="40">
        <f t="shared" si="218"/>
        <v>0</v>
      </c>
      <c r="V535" s="51">
        <v>0</v>
      </c>
      <c r="W535" s="51">
        <v>0</v>
      </c>
      <c r="X535" s="40">
        <f t="shared" si="219"/>
        <v>0</v>
      </c>
      <c r="AA535" s="40">
        <f t="shared" si="220"/>
        <v>0</v>
      </c>
      <c r="AB535" s="40">
        <f t="shared" si="221"/>
        <v>0</v>
      </c>
      <c r="AC535" s="67"/>
    </row>
    <row r="536" spans="6:29" x14ac:dyDescent="0.25">
      <c r="F536" s="45" t="str">
        <f t="shared" si="212"/>
        <v xml:space="preserve">S/F  </v>
      </c>
      <c r="G536" s="45">
        <v>0</v>
      </c>
      <c r="H536" s="53">
        <v>0</v>
      </c>
      <c r="I536" s="40">
        <f t="shared" si="213"/>
        <v>0</v>
      </c>
      <c r="J536" s="53"/>
      <c r="K536" s="40">
        <f t="shared" si="214"/>
        <v>0</v>
      </c>
      <c r="L536" s="45">
        <v>0</v>
      </c>
      <c r="M536" s="53">
        <v>0</v>
      </c>
      <c r="N536" s="40">
        <f t="shared" si="215"/>
        <v>0</v>
      </c>
      <c r="P536" s="40">
        <f t="shared" si="216"/>
        <v>0</v>
      </c>
      <c r="Q536" s="45"/>
      <c r="R536" s="53"/>
      <c r="S536" s="40">
        <f t="shared" si="217"/>
        <v>0</v>
      </c>
      <c r="U536" s="40">
        <f t="shared" si="218"/>
        <v>0</v>
      </c>
      <c r="V536" s="51">
        <v>0</v>
      </c>
      <c r="W536" s="51">
        <v>0</v>
      </c>
      <c r="X536" s="40">
        <f t="shared" si="219"/>
        <v>0</v>
      </c>
      <c r="AA536" s="40">
        <f t="shared" si="220"/>
        <v>0</v>
      </c>
      <c r="AB536" s="40">
        <f t="shared" si="221"/>
        <v>0</v>
      </c>
      <c r="AC536" s="67"/>
    </row>
    <row r="537" spans="6:29" x14ac:dyDescent="0.25">
      <c r="F537" s="45" t="str">
        <f t="shared" si="212"/>
        <v xml:space="preserve">S/F  </v>
      </c>
      <c r="G537" s="45">
        <v>0</v>
      </c>
      <c r="H537" s="53">
        <v>0</v>
      </c>
      <c r="I537" s="40">
        <f t="shared" si="213"/>
        <v>0</v>
      </c>
      <c r="J537" s="53"/>
      <c r="K537" s="40">
        <f t="shared" si="214"/>
        <v>0</v>
      </c>
      <c r="L537" s="45">
        <v>0</v>
      </c>
      <c r="M537" s="53">
        <v>0</v>
      </c>
      <c r="N537" s="40">
        <f t="shared" si="215"/>
        <v>0</v>
      </c>
      <c r="P537" s="40">
        <f t="shared" si="216"/>
        <v>0</v>
      </c>
      <c r="Q537" s="45"/>
      <c r="R537" s="53"/>
      <c r="S537" s="40">
        <f t="shared" si="217"/>
        <v>0</v>
      </c>
      <c r="U537" s="40">
        <f t="shared" si="218"/>
        <v>0</v>
      </c>
      <c r="V537" s="51">
        <v>0</v>
      </c>
      <c r="W537" s="51">
        <v>0</v>
      </c>
      <c r="X537" s="40">
        <f t="shared" si="219"/>
        <v>0</v>
      </c>
      <c r="AA537" s="40">
        <f t="shared" si="220"/>
        <v>0</v>
      </c>
      <c r="AB537" s="40">
        <f t="shared" si="221"/>
        <v>0</v>
      </c>
      <c r="AC537" s="67"/>
    </row>
    <row r="538" spans="6:29" x14ac:dyDescent="0.25">
      <c r="F538" s="45" t="str">
        <f t="shared" si="212"/>
        <v xml:space="preserve">S/F  </v>
      </c>
      <c r="G538" s="45">
        <v>0</v>
      </c>
      <c r="H538" s="53">
        <v>0</v>
      </c>
      <c r="I538" s="40">
        <f t="shared" si="213"/>
        <v>0</v>
      </c>
      <c r="J538" s="53"/>
      <c r="K538" s="40">
        <f t="shared" si="214"/>
        <v>0</v>
      </c>
      <c r="L538" s="45">
        <v>0</v>
      </c>
      <c r="M538" s="53">
        <v>0</v>
      </c>
      <c r="N538" s="40">
        <f t="shared" si="215"/>
        <v>0</v>
      </c>
      <c r="P538" s="40">
        <f t="shared" si="216"/>
        <v>0</v>
      </c>
      <c r="Q538" s="45"/>
      <c r="R538" s="53"/>
      <c r="S538" s="40">
        <f t="shared" si="217"/>
        <v>0</v>
      </c>
      <c r="U538" s="40">
        <f t="shared" si="218"/>
        <v>0</v>
      </c>
      <c r="V538" s="51">
        <v>0</v>
      </c>
      <c r="W538" s="51">
        <v>0</v>
      </c>
      <c r="X538" s="40">
        <f t="shared" si="219"/>
        <v>0</v>
      </c>
      <c r="AA538" s="40">
        <f t="shared" si="220"/>
        <v>0</v>
      </c>
      <c r="AB538" s="40">
        <f t="shared" si="221"/>
        <v>0</v>
      </c>
      <c r="AC538" s="67"/>
    </row>
    <row r="539" spans="6:29" x14ac:dyDescent="0.25">
      <c r="F539" s="45" t="str">
        <f t="shared" si="212"/>
        <v xml:space="preserve">S/F  </v>
      </c>
      <c r="G539" s="45">
        <v>0</v>
      </c>
      <c r="H539" s="53">
        <v>0</v>
      </c>
      <c r="I539" s="40">
        <f t="shared" si="213"/>
        <v>0</v>
      </c>
      <c r="J539" s="53"/>
      <c r="K539" s="40">
        <f t="shared" si="214"/>
        <v>0</v>
      </c>
      <c r="L539" s="45">
        <v>0</v>
      </c>
      <c r="M539" s="53">
        <v>0</v>
      </c>
      <c r="N539" s="40">
        <f t="shared" si="215"/>
        <v>0</v>
      </c>
      <c r="P539" s="40">
        <f t="shared" si="216"/>
        <v>0</v>
      </c>
      <c r="Q539" s="45"/>
      <c r="R539" s="53"/>
      <c r="S539" s="40">
        <f t="shared" si="217"/>
        <v>0</v>
      </c>
      <c r="U539" s="40">
        <f t="shared" si="218"/>
        <v>0</v>
      </c>
      <c r="V539" s="51">
        <v>0</v>
      </c>
      <c r="W539" s="51">
        <v>0</v>
      </c>
      <c r="X539" s="40">
        <f t="shared" si="219"/>
        <v>0</v>
      </c>
      <c r="AA539" s="40">
        <f t="shared" si="220"/>
        <v>0</v>
      </c>
      <c r="AB539" s="40">
        <f t="shared" si="221"/>
        <v>0</v>
      </c>
      <c r="AC539" s="67"/>
    </row>
    <row r="540" spans="6:29" x14ac:dyDescent="0.25">
      <c r="F540" s="45" t="str">
        <f t="shared" si="212"/>
        <v xml:space="preserve">S/F  </v>
      </c>
      <c r="G540" s="45">
        <v>0</v>
      </c>
      <c r="H540" s="53">
        <v>0</v>
      </c>
      <c r="I540" s="40">
        <f t="shared" si="213"/>
        <v>0</v>
      </c>
      <c r="J540" s="53"/>
      <c r="K540" s="40">
        <f t="shared" si="214"/>
        <v>0</v>
      </c>
      <c r="L540" s="45">
        <v>0</v>
      </c>
      <c r="M540" s="53">
        <v>0</v>
      </c>
      <c r="N540" s="40">
        <f t="shared" si="215"/>
        <v>0</v>
      </c>
      <c r="P540" s="40">
        <f t="shared" si="216"/>
        <v>0</v>
      </c>
      <c r="Q540" s="45"/>
      <c r="R540" s="53"/>
      <c r="S540" s="40">
        <f t="shared" si="217"/>
        <v>0</v>
      </c>
      <c r="U540" s="40">
        <f t="shared" si="218"/>
        <v>0</v>
      </c>
      <c r="V540" s="51">
        <v>0</v>
      </c>
      <c r="W540" s="51">
        <v>0</v>
      </c>
      <c r="X540" s="40">
        <f t="shared" si="219"/>
        <v>0</v>
      </c>
      <c r="AA540" s="40">
        <f t="shared" si="220"/>
        <v>0</v>
      </c>
      <c r="AB540" s="40">
        <f t="shared" si="221"/>
        <v>0</v>
      </c>
      <c r="AC540" s="67"/>
    </row>
    <row r="541" spans="6:29" x14ac:dyDescent="0.25">
      <c r="F541" s="45" t="str">
        <f t="shared" si="212"/>
        <v xml:space="preserve">S/F  </v>
      </c>
      <c r="G541" s="45">
        <v>0</v>
      </c>
      <c r="H541" s="53">
        <v>0</v>
      </c>
      <c r="I541" s="40">
        <f t="shared" si="213"/>
        <v>0</v>
      </c>
      <c r="J541" s="53"/>
      <c r="K541" s="40">
        <f t="shared" si="214"/>
        <v>0</v>
      </c>
      <c r="L541" s="45">
        <v>0</v>
      </c>
      <c r="M541" s="53">
        <v>0</v>
      </c>
      <c r="N541" s="40">
        <f t="shared" si="215"/>
        <v>0</v>
      </c>
      <c r="P541" s="40">
        <f t="shared" si="216"/>
        <v>0</v>
      </c>
      <c r="Q541" s="45"/>
      <c r="R541" s="53"/>
      <c r="S541" s="40">
        <f t="shared" si="217"/>
        <v>0</v>
      </c>
      <c r="U541" s="40">
        <f t="shared" si="218"/>
        <v>0</v>
      </c>
      <c r="V541" s="51">
        <v>0</v>
      </c>
      <c r="W541" s="51">
        <v>0</v>
      </c>
      <c r="X541" s="40">
        <f t="shared" si="219"/>
        <v>0</v>
      </c>
      <c r="AA541" s="40">
        <f t="shared" si="220"/>
        <v>0</v>
      </c>
      <c r="AB541" s="40">
        <f t="shared" si="221"/>
        <v>0</v>
      </c>
      <c r="AC541" s="67"/>
    </row>
    <row r="542" spans="6:29" x14ac:dyDescent="0.25">
      <c r="F542" s="45" t="str">
        <f t="shared" si="212"/>
        <v xml:space="preserve">S/F  </v>
      </c>
      <c r="G542" s="45">
        <v>0</v>
      </c>
      <c r="H542" s="53">
        <v>0</v>
      </c>
      <c r="I542" s="40">
        <f t="shared" si="213"/>
        <v>0</v>
      </c>
      <c r="J542" s="53"/>
      <c r="K542" s="40">
        <f t="shared" si="214"/>
        <v>0</v>
      </c>
      <c r="L542" s="45">
        <v>0</v>
      </c>
      <c r="M542" s="53">
        <v>0</v>
      </c>
      <c r="N542" s="40">
        <f t="shared" si="215"/>
        <v>0</v>
      </c>
      <c r="P542" s="40">
        <f t="shared" si="216"/>
        <v>0</v>
      </c>
      <c r="Q542" s="45"/>
      <c r="R542" s="53"/>
      <c r="S542" s="40">
        <f t="shared" si="217"/>
        <v>0</v>
      </c>
      <c r="U542" s="40">
        <f t="shared" si="218"/>
        <v>0</v>
      </c>
      <c r="V542" s="51">
        <v>0</v>
      </c>
      <c r="W542" s="51">
        <v>0</v>
      </c>
      <c r="X542" s="40">
        <f t="shared" si="219"/>
        <v>0</v>
      </c>
      <c r="AA542" s="40">
        <f t="shared" si="220"/>
        <v>0</v>
      </c>
      <c r="AB542" s="40">
        <f t="shared" si="221"/>
        <v>0</v>
      </c>
      <c r="AC542" s="67"/>
    </row>
    <row r="543" spans="6:29" x14ac:dyDescent="0.25">
      <c r="F543" s="45" t="str">
        <f t="shared" si="212"/>
        <v xml:space="preserve">S/F  </v>
      </c>
      <c r="G543" s="45">
        <v>0</v>
      </c>
      <c r="H543" s="53">
        <v>0</v>
      </c>
      <c r="I543" s="40">
        <f t="shared" si="213"/>
        <v>0</v>
      </c>
      <c r="J543" s="53"/>
      <c r="K543" s="40">
        <f t="shared" si="214"/>
        <v>0</v>
      </c>
      <c r="L543" s="45">
        <v>0</v>
      </c>
      <c r="M543" s="53">
        <v>0</v>
      </c>
      <c r="N543" s="40">
        <f t="shared" si="215"/>
        <v>0</v>
      </c>
      <c r="P543" s="40">
        <f t="shared" si="216"/>
        <v>0</v>
      </c>
      <c r="Q543" s="45"/>
      <c r="R543" s="53"/>
      <c r="S543" s="40">
        <f t="shared" si="217"/>
        <v>0</v>
      </c>
      <c r="U543" s="40">
        <f t="shared" si="218"/>
        <v>0</v>
      </c>
      <c r="V543" s="51">
        <v>0</v>
      </c>
      <c r="W543" s="51">
        <v>0</v>
      </c>
      <c r="X543" s="40">
        <f t="shared" si="219"/>
        <v>0</v>
      </c>
      <c r="AA543" s="40">
        <f t="shared" si="220"/>
        <v>0</v>
      </c>
      <c r="AB543" s="40">
        <f t="shared" si="221"/>
        <v>0</v>
      </c>
      <c r="AC543" s="67"/>
    </row>
    <row r="544" spans="6:29" x14ac:dyDescent="0.25">
      <c r="F544" s="45" t="str">
        <f t="shared" si="212"/>
        <v xml:space="preserve">S/F  </v>
      </c>
      <c r="G544" s="45">
        <v>0</v>
      </c>
      <c r="H544" s="53">
        <v>0</v>
      </c>
      <c r="I544" s="40">
        <f t="shared" si="213"/>
        <v>0</v>
      </c>
      <c r="J544" s="53"/>
      <c r="K544" s="40">
        <f t="shared" si="214"/>
        <v>0</v>
      </c>
      <c r="L544" s="45">
        <v>0</v>
      </c>
      <c r="M544" s="53">
        <v>0</v>
      </c>
      <c r="N544" s="40">
        <f t="shared" si="215"/>
        <v>0</v>
      </c>
      <c r="P544" s="40">
        <f t="shared" si="216"/>
        <v>0</v>
      </c>
      <c r="Q544" s="45"/>
      <c r="R544" s="53"/>
      <c r="S544" s="40">
        <f t="shared" si="217"/>
        <v>0</v>
      </c>
      <c r="U544" s="40">
        <f t="shared" si="218"/>
        <v>0</v>
      </c>
      <c r="V544" s="51">
        <v>0</v>
      </c>
      <c r="W544" s="51">
        <v>0</v>
      </c>
      <c r="X544" s="40">
        <f t="shared" si="219"/>
        <v>0</v>
      </c>
      <c r="AA544" s="40">
        <f t="shared" si="220"/>
        <v>0</v>
      </c>
      <c r="AB544" s="40">
        <f t="shared" si="221"/>
        <v>0</v>
      </c>
      <c r="AC544" s="67"/>
    </row>
    <row r="545" spans="6:29" x14ac:dyDescent="0.25">
      <c r="F545" s="45" t="str">
        <f t="shared" si="212"/>
        <v xml:space="preserve">S/F  </v>
      </c>
      <c r="G545" s="45">
        <v>0</v>
      </c>
      <c r="H545" s="53">
        <v>0</v>
      </c>
      <c r="I545" s="40">
        <f t="shared" si="213"/>
        <v>0</v>
      </c>
      <c r="J545" s="53"/>
      <c r="K545" s="40">
        <f t="shared" si="214"/>
        <v>0</v>
      </c>
      <c r="L545" s="45">
        <v>0</v>
      </c>
      <c r="M545" s="53">
        <v>0</v>
      </c>
      <c r="N545" s="40">
        <f t="shared" si="215"/>
        <v>0</v>
      </c>
      <c r="P545" s="40">
        <f t="shared" si="216"/>
        <v>0</v>
      </c>
      <c r="Q545" s="45"/>
      <c r="R545" s="53"/>
      <c r="S545" s="40">
        <f t="shared" si="217"/>
        <v>0</v>
      </c>
      <c r="U545" s="40">
        <f t="shared" si="218"/>
        <v>0</v>
      </c>
      <c r="V545" s="51">
        <v>0</v>
      </c>
      <c r="W545" s="51">
        <v>0</v>
      </c>
      <c r="X545" s="40">
        <f t="shared" si="219"/>
        <v>0</v>
      </c>
      <c r="AA545" s="40">
        <f t="shared" si="220"/>
        <v>0</v>
      </c>
      <c r="AB545" s="40">
        <f t="shared" si="221"/>
        <v>0</v>
      </c>
      <c r="AC545" s="67"/>
    </row>
    <row r="546" spans="6:29" x14ac:dyDescent="0.25">
      <c r="F546" s="45" t="str">
        <f t="shared" si="212"/>
        <v xml:space="preserve">S/F  </v>
      </c>
      <c r="G546" s="45">
        <v>0</v>
      </c>
      <c r="H546" s="53">
        <v>0</v>
      </c>
      <c r="I546" s="40">
        <f t="shared" si="213"/>
        <v>0</v>
      </c>
      <c r="J546" s="53"/>
      <c r="K546" s="40">
        <f t="shared" si="214"/>
        <v>0</v>
      </c>
      <c r="L546" s="45">
        <v>0</v>
      </c>
      <c r="M546" s="53">
        <v>0</v>
      </c>
      <c r="N546" s="40">
        <f t="shared" si="215"/>
        <v>0</v>
      </c>
      <c r="P546" s="40">
        <f t="shared" si="216"/>
        <v>0</v>
      </c>
      <c r="Q546" s="45"/>
      <c r="R546" s="53"/>
      <c r="S546" s="40">
        <f t="shared" si="217"/>
        <v>0</v>
      </c>
      <c r="U546" s="40">
        <f t="shared" si="218"/>
        <v>0</v>
      </c>
      <c r="V546" s="51">
        <v>0</v>
      </c>
      <c r="W546" s="51">
        <v>0</v>
      </c>
      <c r="X546" s="40">
        <f t="shared" si="219"/>
        <v>0</v>
      </c>
      <c r="AA546" s="40">
        <f t="shared" si="220"/>
        <v>0</v>
      </c>
      <c r="AB546" s="40">
        <f t="shared" si="221"/>
        <v>0</v>
      </c>
      <c r="AC546" s="67"/>
    </row>
    <row r="547" spans="6:29" x14ac:dyDescent="0.25">
      <c r="F547" s="45" t="str">
        <f t="shared" si="212"/>
        <v xml:space="preserve">S/F  </v>
      </c>
      <c r="G547" s="45">
        <v>0</v>
      </c>
      <c r="H547" s="53">
        <v>0</v>
      </c>
      <c r="I547" s="40">
        <f t="shared" si="213"/>
        <v>0</v>
      </c>
      <c r="J547" s="53"/>
      <c r="K547" s="40">
        <f t="shared" si="214"/>
        <v>0</v>
      </c>
      <c r="L547" s="45">
        <v>0</v>
      </c>
      <c r="M547" s="53">
        <v>0</v>
      </c>
      <c r="N547" s="40">
        <f t="shared" si="215"/>
        <v>0</v>
      </c>
      <c r="P547" s="40">
        <f t="shared" si="216"/>
        <v>0</v>
      </c>
      <c r="Q547" s="45"/>
      <c r="R547" s="53"/>
      <c r="S547" s="40">
        <f t="shared" si="217"/>
        <v>0</v>
      </c>
      <c r="U547" s="40">
        <f t="shared" si="218"/>
        <v>0</v>
      </c>
      <c r="V547" s="51">
        <v>0</v>
      </c>
      <c r="W547" s="51">
        <v>0</v>
      </c>
      <c r="X547" s="40">
        <f t="shared" si="219"/>
        <v>0</v>
      </c>
      <c r="AA547" s="40">
        <f t="shared" si="220"/>
        <v>0</v>
      </c>
      <c r="AB547" s="40">
        <f t="shared" si="221"/>
        <v>0</v>
      </c>
      <c r="AC547" s="67"/>
    </row>
    <row r="548" spans="6:29" x14ac:dyDescent="0.25">
      <c r="F548" s="45" t="str">
        <f t="shared" si="212"/>
        <v xml:space="preserve">S/F  </v>
      </c>
      <c r="G548" s="45">
        <v>0</v>
      </c>
      <c r="H548" s="53">
        <v>0</v>
      </c>
      <c r="I548" s="40">
        <f t="shared" si="213"/>
        <v>0</v>
      </c>
      <c r="J548" s="53"/>
      <c r="K548" s="40">
        <f t="shared" si="214"/>
        <v>0</v>
      </c>
      <c r="L548" s="45">
        <v>0</v>
      </c>
      <c r="M548" s="53">
        <v>0</v>
      </c>
      <c r="N548" s="40">
        <f t="shared" si="215"/>
        <v>0</v>
      </c>
      <c r="P548" s="40">
        <f t="shared" si="216"/>
        <v>0</v>
      </c>
      <c r="Q548" s="45"/>
      <c r="R548" s="53"/>
      <c r="S548" s="40">
        <f t="shared" si="217"/>
        <v>0</v>
      </c>
      <c r="U548" s="40">
        <f t="shared" si="218"/>
        <v>0</v>
      </c>
      <c r="V548" s="51">
        <v>0</v>
      </c>
      <c r="W548" s="51">
        <v>0</v>
      </c>
      <c r="X548" s="40">
        <f t="shared" si="219"/>
        <v>0</v>
      </c>
      <c r="AA548" s="40">
        <f t="shared" si="220"/>
        <v>0</v>
      </c>
      <c r="AB548" s="40">
        <f t="shared" si="221"/>
        <v>0</v>
      </c>
      <c r="AC548" s="67"/>
    </row>
    <row r="549" spans="6:29" x14ac:dyDescent="0.25">
      <c r="F549" s="45" t="str">
        <f t="shared" si="212"/>
        <v xml:space="preserve">S/F  </v>
      </c>
      <c r="G549" s="45">
        <v>0</v>
      </c>
      <c r="H549" s="53">
        <v>0</v>
      </c>
      <c r="I549" s="40">
        <f t="shared" si="213"/>
        <v>0</v>
      </c>
      <c r="J549" s="53"/>
      <c r="K549" s="40">
        <f t="shared" si="214"/>
        <v>0</v>
      </c>
      <c r="L549" s="45">
        <v>0</v>
      </c>
      <c r="M549" s="53">
        <v>0</v>
      </c>
      <c r="N549" s="40">
        <f t="shared" si="215"/>
        <v>0</v>
      </c>
      <c r="P549" s="40">
        <f t="shared" si="216"/>
        <v>0</v>
      </c>
      <c r="Q549" s="45"/>
      <c r="R549" s="53"/>
      <c r="S549" s="40">
        <f t="shared" si="217"/>
        <v>0</v>
      </c>
      <c r="U549" s="40">
        <f t="shared" si="218"/>
        <v>0</v>
      </c>
      <c r="V549" s="51">
        <v>0</v>
      </c>
      <c r="W549" s="51">
        <v>0</v>
      </c>
      <c r="X549" s="40">
        <f t="shared" si="219"/>
        <v>0</v>
      </c>
      <c r="AA549" s="40">
        <f t="shared" si="220"/>
        <v>0</v>
      </c>
      <c r="AB549" s="40">
        <f t="shared" si="221"/>
        <v>0</v>
      </c>
      <c r="AC549" s="67"/>
    </row>
    <row r="550" spans="6:29" x14ac:dyDescent="0.25">
      <c r="F550" s="45" t="str">
        <f t="shared" si="212"/>
        <v xml:space="preserve">S/F  </v>
      </c>
      <c r="G550" s="45">
        <v>0</v>
      </c>
      <c r="H550" s="53">
        <v>0</v>
      </c>
      <c r="I550" s="40">
        <f t="shared" si="213"/>
        <v>0</v>
      </c>
      <c r="J550" s="53"/>
      <c r="K550" s="40">
        <f t="shared" si="214"/>
        <v>0</v>
      </c>
      <c r="L550" s="45">
        <v>0</v>
      </c>
      <c r="M550" s="53">
        <v>0</v>
      </c>
      <c r="N550" s="40">
        <f t="shared" si="215"/>
        <v>0</v>
      </c>
      <c r="P550" s="40">
        <f t="shared" si="216"/>
        <v>0</v>
      </c>
      <c r="Q550" s="45"/>
      <c r="R550" s="53"/>
      <c r="S550" s="40">
        <f t="shared" si="217"/>
        <v>0</v>
      </c>
      <c r="U550" s="40">
        <f t="shared" si="218"/>
        <v>0</v>
      </c>
      <c r="V550" s="51">
        <v>0</v>
      </c>
      <c r="W550" s="51">
        <v>0</v>
      </c>
      <c r="X550" s="40">
        <f t="shared" si="219"/>
        <v>0</v>
      </c>
      <c r="AA550" s="40">
        <f t="shared" si="220"/>
        <v>0</v>
      </c>
      <c r="AB550" s="40">
        <f t="shared" si="221"/>
        <v>0</v>
      </c>
      <c r="AC550" s="67"/>
    </row>
    <row r="551" spans="6:29" x14ac:dyDescent="0.25">
      <c r="F551" s="45" t="str">
        <f t="shared" si="212"/>
        <v xml:space="preserve">S/F  </v>
      </c>
      <c r="G551" s="45">
        <v>0</v>
      </c>
      <c r="H551" s="53">
        <v>0</v>
      </c>
      <c r="I551" s="40">
        <f t="shared" si="213"/>
        <v>0</v>
      </c>
      <c r="J551" s="53"/>
      <c r="K551" s="40">
        <f t="shared" si="214"/>
        <v>0</v>
      </c>
      <c r="L551" s="45">
        <v>0</v>
      </c>
      <c r="M551" s="53">
        <v>0</v>
      </c>
      <c r="N551" s="40">
        <f t="shared" si="215"/>
        <v>0</v>
      </c>
      <c r="P551" s="40">
        <f t="shared" si="216"/>
        <v>0</v>
      </c>
      <c r="Q551" s="45"/>
      <c r="R551" s="53"/>
      <c r="S551" s="40">
        <f t="shared" si="217"/>
        <v>0</v>
      </c>
      <c r="U551" s="40">
        <f t="shared" si="218"/>
        <v>0</v>
      </c>
      <c r="V551" s="51">
        <v>0</v>
      </c>
      <c r="W551" s="51">
        <v>0</v>
      </c>
      <c r="X551" s="40">
        <f t="shared" si="219"/>
        <v>0</v>
      </c>
      <c r="AA551" s="40">
        <f t="shared" si="220"/>
        <v>0</v>
      </c>
      <c r="AB551" s="40">
        <f t="shared" si="221"/>
        <v>0</v>
      </c>
      <c r="AC551" s="67"/>
    </row>
    <row r="552" spans="6:29" x14ac:dyDescent="0.25">
      <c r="F552" s="45" t="str">
        <f t="shared" si="212"/>
        <v xml:space="preserve">S/F  </v>
      </c>
      <c r="G552" s="45">
        <v>0</v>
      </c>
      <c r="H552" s="53">
        <v>0</v>
      </c>
      <c r="I552" s="40">
        <f t="shared" si="213"/>
        <v>0</v>
      </c>
      <c r="J552" s="53"/>
      <c r="K552" s="40">
        <f t="shared" si="214"/>
        <v>0</v>
      </c>
      <c r="L552" s="45">
        <v>0</v>
      </c>
      <c r="M552" s="53">
        <v>0</v>
      </c>
      <c r="N552" s="40">
        <f t="shared" si="215"/>
        <v>0</v>
      </c>
      <c r="P552" s="40">
        <f t="shared" si="216"/>
        <v>0</v>
      </c>
      <c r="Q552" s="45"/>
      <c r="R552" s="53"/>
      <c r="S552" s="40">
        <f t="shared" si="217"/>
        <v>0</v>
      </c>
      <c r="U552" s="40">
        <f t="shared" si="218"/>
        <v>0</v>
      </c>
      <c r="V552" s="51">
        <v>0</v>
      </c>
      <c r="W552" s="51">
        <v>0</v>
      </c>
      <c r="X552" s="40">
        <f t="shared" si="219"/>
        <v>0</v>
      </c>
      <c r="AA552" s="40">
        <f t="shared" si="220"/>
        <v>0</v>
      </c>
      <c r="AB552" s="40">
        <f t="shared" si="221"/>
        <v>0</v>
      </c>
      <c r="AC552" s="67"/>
    </row>
    <row r="553" spans="6:29" x14ac:dyDescent="0.25">
      <c r="F553" s="45" t="str">
        <f t="shared" si="212"/>
        <v xml:space="preserve">S/F  </v>
      </c>
      <c r="G553" s="45">
        <v>0</v>
      </c>
      <c r="H553" s="53">
        <v>0</v>
      </c>
      <c r="I553" s="40">
        <f t="shared" si="213"/>
        <v>0</v>
      </c>
      <c r="J553" s="53"/>
      <c r="K553" s="40">
        <f t="shared" si="214"/>
        <v>0</v>
      </c>
      <c r="L553" s="45">
        <v>0</v>
      </c>
      <c r="M553" s="53">
        <v>0</v>
      </c>
      <c r="N553" s="40">
        <f t="shared" si="215"/>
        <v>0</v>
      </c>
      <c r="P553" s="40">
        <f t="shared" si="216"/>
        <v>0</v>
      </c>
      <c r="Q553" s="45"/>
      <c r="R553" s="53"/>
      <c r="S553" s="40">
        <f t="shared" si="217"/>
        <v>0</v>
      </c>
      <c r="U553" s="40">
        <f t="shared" si="218"/>
        <v>0</v>
      </c>
      <c r="V553" s="51">
        <v>0</v>
      </c>
      <c r="W553" s="51">
        <v>0</v>
      </c>
      <c r="X553" s="40">
        <f t="shared" si="219"/>
        <v>0</v>
      </c>
      <c r="AA553" s="40">
        <f t="shared" si="220"/>
        <v>0</v>
      </c>
      <c r="AB553" s="40">
        <f t="shared" si="221"/>
        <v>0</v>
      </c>
      <c r="AC553" s="67"/>
    </row>
    <row r="554" spans="6:29" x14ac:dyDescent="0.25">
      <c r="F554" s="45" t="str">
        <f t="shared" si="212"/>
        <v xml:space="preserve">S/F  </v>
      </c>
      <c r="G554" s="45">
        <v>0</v>
      </c>
      <c r="H554" s="53">
        <v>0</v>
      </c>
      <c r="I554" s="40">
        <f t="shared" si="213"/>
        <v>0</v>
      </c>
      <c r="J554" s="53"/>
      <c r="K554" s="40">
        <f t="shared" si="214"/>
        <v>0</v>
      </c>
      <c r="L554" s="45">
        <v>0</v>
      </c>
      <c r="M554" s="53">
        <v>0</v>
      </c>
      <c r="N554" s="40">
        <f t="shared" si="215"/>
        <v>0</v>
      </c>
      <c r="P554" s="40">
        <f t="shared" si="216"/>
        <v>0</v>
      </c>
      <c r="Q554" s="45"/>
      <c r="R554" s="53"/>
      <c r="S554" s="40">
        <f t="shared" si="217"/>
        <v>0</v>
      </c>
      <c r="U554" s="40">
        <f t="shared" si="218"/>
        <v>0</v>
      </c>
      <c r="V554" s="51">
        <v>0</v>
      </c>
      <c r="W554" s="51">
        <v>0</v>
      </c>
      <c r="X554" s="40">
        <f t="shared" si="219"/>
        <v>0</v>
      </c>
      <c r="AA554" s="40">
        <f t="shared" si="220"/>
        <v>0</v>
      </c>
      <c r="AB554" s="40">
        <f t="shared" si="221"/>
        <v>0</v>
      </c>
      <c r="AC554" s="67"/>
    </row>
    <row r="555" spans="6:29" x14ac:dyDescent="0.25">
      <c r="F555" s="45" t="str">
        <f t="shared" si="212"/>
        <v xml:space="preserve">S/F  </v>
      </c>
      <c r="G555" s="45">
        <v>0</v>
      </c>
      <c r="H555" s="53">
        <v>0</v>
      </c>
      <c r="I555" s="40">
        <f t="shared" si="213"/>
        <v>0</v>
      </c>
      <c r="J555" s="53"/>
      <c r="K555" s="40">
        <f t="shared" si="214"/>
        <v>0</v>
      </c>
      <c r="L555" s="45">
        <v>0</v>
      </c>
      <c r="M555" s="53">
        <v>0</v>
      </c>
      <c r="N555" s="40">
        <f t="shared" si="215"/>
        <v>0</v>
      </c>
      <c r="P555" s="40">
        <f t="shared" si="216"/>
        <v>0</v>
      </c>
      <c r="Q555" s="45"/>
      <c r="R555" s="53"/>
      <c r="S555" s="40">
        <f t="shared" si="217"/>
        <v>0</v>
      </c>
      <c r="U555" s="40">
        <f t="shared" si="218"/>
        <v>0</v>
      </c>
      <c r="V555" s="51">
        <v>0</v>
      </c>
      <c r="W555" s="51">
        <v>0</v>
      </c>
      <c r="X555" s="40">
        <f t="shared" si="219"/>
        <v>0</v>
      </c>
      <c r="AA555" s="40">
        <f t="shared" si="220"/>
        <v>0</v>
      </c>
      <c r="AB555" s="40">
        <f t="shared" si="221"/>
        <v>0</v>
      </c>
      <c r="AC555" s="67"/>
    </row>
    <row r="556" spans="6:29" x14ac:dyDescent="0.25">
      <c r="F556" s="45" t="str">
        <f t="shared" si="212"/>
        <v xml:space="preserve">S/F  </v>
      </c>
      <c r="G556" s="45">
        <v>0</v>
      </c>
      <c r="H556" s="53">
        <v>0</v>
      </c>
      <c r="I556" s="40">
        <f t="shared" si="213"/>
        <v>0</v>
      </c>
      <c r="J556" s="53"/>
      <c r="K556" s="40">
        <f t="shared" si="214"/>
        <v>0</v>
      </c>
      <c r="L556" s="45">
        <v>0</v>
      </c>
      <c r="M556" s="53">
        <v>0</v>
      </c>
      <c r="N556" s="40">
        <f t="shared" si="215"/>
        <v>0</v>
      </c>
      <c r="P556" s="40">
        <f t="shared" si="216"/>
        <v>0</v>
      </c>
      <c r="Q556" s="45"/>
      <c r="R556" s="53"/>
      <c r="S556" s="40">
        <f t="shared" si="217"/>
        <v>0</v>
      </c>
      <c r="U556" s="40">
        <f t="shared" si="218"/>
        <v>0</v>
      </c>
      <c r="V556" s="51">
        <v>0</v>
      </c>
      <c r="W556" s="51">
        <v>0</v>
      </c>
      <c r="X556" s="40">
        <f t="shared" si="219"/>
        <v>0</v>
      </c>
      <c r="AA556" s="40">
        <f t="shared" si="220"/>
        <v>0</v>
      </c>
      <c r="AB556" s="40">
        <f t="shared" si="221"/>
        <v>0</v>
      </c>
      <c r="AC556" s="67"/>
    </row>
    <row r="557" spans="6:29" x14ac:dyDescent="0.25">
      <c r="F557" s="45" t="str">
        <f t="shared" si="212"/>
        <v xml:space="preserve">S/F  </v>
      </c>
      <c r="G557" s="45">
        <v>0</v>
      </c>
      <c r="H557" s="53">
        <v>0</v>
      </c>
      <c r="I557" s="40">
        <f t="shared" si="213"/>
        <v>0</v>
      </c>
      <c r="J557" s="53"/>
      <c r="K557" s="40">
        <f t="shared" si="214"/>
        <v>0</v>
      </c>
      <c r="L557" s="45">
        <v>0</v>
      </c>
      <c r="M557" s="53">
        <v>0</v>
      </c>
      <c r="N557" s="40">
        <f t="shared" si="215"/>
        <v>0</v>
      </c>
      <c r="P557" s="40">
        <f t="shared" si="216"/>
        <v>0</v>
      </c>
      <c r="Q557" s="45"/>
      <c r="R557" s="53"/>
      <c r="S557" s="40">
        <f t="shared" si="217"/>
        <v>0</v>
      </c>
      <c r="U557" s="40">
        <f t="shared" si="218"/>
        <v>0</v>
      </c>
      <c r="V557" s="51">
        <v>0</v>
      </c>
      <c r="W557" s="51">
        <v>0</v>
      </c>
      <c r="X557" s="40">
        <f t="shared" si="219"/>
        <v>0</v>
      </c>
      <c r="AA557" s="40">
        <f t="shared" si="220"/>
        <v>0</v>
      </c>
      <c r="AB557" s="40">
        <f t="shared" si="221"/>
        <v>0</v>
      </c>
      <c r="AC557" s="67"/>
    </row>
    <row r="558" spans="6:29" x14ac:dyDescent="0.25">
      <c r="F558" s="45" t="str">
        <f t="shared" si="212"/>
        <v xml:space="preserve">S/F  </v>
      </c>
      <c r="G558" s="45">
        <v>0</v>
      </c>
      <c r="H558" s="53">
        <v>0</v>
      </c>
      <c r="I558" s="40">
        <f t="shared" si="213"/>
        <v>0</v>
      </c>
      <c r="J558" s="53"/>
      <c r="K558" s="40">
        <f t="shared" si="214"/>
        <v>0</v>
      </c>
      <c r="L558" s="45">
        <v>0</v>
      </c>
      <c r="M558" s="53">
        <v>0</v>
      </c>
      <c r="N558" s="40">
        <f t="shared" si="215"/>
        <v>0</v>
      </c>
      <c r="P558" s="40">
        <f t="shared" si="216"/>
        <v>0</v>
      </c>
      <c r="Q558" s="45"/>
      <c r="R558" s="53"/>
      <c r="S558" s="40">
        <f t="shared" si="217"/>
        <v>0</v>
      </c>
      <c r="U558" s="40">
        <f t="shared" si="218"/>
        <v>0</v>
      </c>
      <c r="V558" s="51">
        <v>0</v>
      </c>
      <c r="W558" s="51">
        <v>0</v>
      </c>
      <c r="X558" s="40">
        <f t="shared" si="219"/>
        <v>0</v>
      </c>
      <c r="AA558" s="40">
        <f t="shared" si="220"/>
        <v>0</v>
      </c>
      <c r="AB558" s="40">
        <f t="shared" si="221"/>
        <v>0</v>
      </c>
      <c r="AC558" s="67"/>
    </row>
    <row r="559" spans="6:29" x14ac:dyDescent="0.25">
      <c r="F559" s="45" t="str">
        <f t="shared" si="212"/>
        <v xml:space="preserve">S/F  </v>
      </c>
      <c r="G559" s="45">
        <v>0</v>
      </c>
      <c r="H559" s="53">
        <v>0</v>
      </c>
      <c r="I559" s="40">
        <f t="shared" si="213"/>
        <v>0</v>
      </c>
      <c r="J559" s="53"/>
      <c r="K559" s="40">
        <f t="shared" si="214"/>
        <v>0</v>
      </c>
      <c r="L559" s="45">
        <v>0</v>
      </c>
      <c r="M559" s="53">
        <v>0</v>
      </c>
      <c r="N559" s="40">
        <f t="shared" si="215"/>
        <v>0</v>
      </c>
      <c r="P559" s="40">
        <f t="shared" si="216"/>
        <v>0</v>
      </c>
      <c r="Q559" s="45"/>
      <c r="R559" s="53"/>
      <c r="S559" s="40">
        <f t="shared" si="217"/>
        <v>0</v>
      </c>
      <c r="U559" s="40">
        <f t="shared" si="218"/>
        <v>0</v>
      </c>
      <c r="V559" s="51">
        <v>0</v>
      </c>
      <c r="W559" s="51">
        <v>0</v>
      </c>
      <c r="X559" s="40">
        <f t="shared" si="219"/>
        <v>0</v>
      </c>
      <c r="AA559" s="40">
        <f t="shared" si="220"/>
        <v>0</v>
      </c>
      <c r="AB559" s="40">
        <f t="shared" si="221"/>
        <v>0</v>
      </c>
      <c r="AC559" s="67"/>
    </row>
    <row r="560" spans="6:29" x14ac:dyDescent="0.25">
      <c r="F560" s="45" t="str">
        <f t="shared" si="212"/>
        <v xml:space="preserve">S/F  </v>
      </c>
      <c r="G560" s="45">
        <v>0</v>
      </c>
      <c r="H560" s="53">
        <v>0</v>
      </c>
      <c r="I560" s="40">
        <f t="shared" si="213"/>
        <v>0</v>
      </c>
      <c r="J560" s="53"/>
      <c r="K560" s="40">
        <f t="shared" si="214"/>
        <v>0</v>
      </c>
      <c r="L560" s="45">
        <v>0</v>
      </c>
      <c r="M560" s="53">
        <v>0</v>
      </c>
      <c r="N560" s="40">
        <f t="shared" si="215"/>
        <v>0</v>
      </c>
      <c r="P560" s="40">
        <f t="shared" si="216"/>
        <v>0</v>
      </c>
      <c r="Q560" s="45"/>
      <c r="R560" s="53"/>
      <c r="S560" s="40">
        <f t="shared" si="217"/>
        <v>0</v>
      </c>
      <c r="U560" s="40">
        <f t="shared" si="218"/>
        <v>0</v>
      </c>
      <c r="V560" s="51">
        <v>0</v>
      </c>
      <c r="W560" s="51">
        <v>0</v>
      </c>
      <c r="X560" s="40">
        <f t="shared" si="219"/>
        <v>0</v>
      </c>
      <c r="AA560" s="40">
        <f t="shared" si="220"/>
        <v>0</v>
      </c>
      <c r="AB560" s="40">
        <f t="shared" si="221"/>
        <v>0</v>
      </c>
      <c r="AC560" s="67"/>
    </row>
    <row r="561" spans="6:29" x14ac:dyDescent="0.25">
      <c r="F561" s="45" t="str">
        <f t="shared" si="212"/>
        <v xml:space="preserve">S/F  </v>
      </c>
      <c r="G561" s="45">
        <v>0</v>
      </c>
      <c r="H561" s="53">
        <v>0</v>
      </c>
      <c r="I561" s="40">
        <f t="shared" si="213"/>
        <v>0</v>
      </c>
      <c r="J561" s="53"/>
      <c r="K561" s="40">
        <f t="shared" si="214"/>
        <v>0</v>
      </c>
      <c r="L561" s="45">
        <v>0</v>
      </c>
      <c r="M561" s="53">
        <v>0</v>
      </c>
      <c r="N561" s="40">
        <f t="shared" si="215"/>
        <v>0</v>
      </c>
      <c r="P561" s="40">
        <f t="shared" si="216"/>
        <v>0</v>
      </c>
      <c r="Q561" s="45"/>
      <c r="R561" s="53"/>
      <c r="S561" s="40">
        <f t="shared" si="217"/>
        <v>0</v>
      </c>
      <c r="U561" s="40">
        <f t="shared" si="218"/>
        <v>0</v>
      </c>
      <c r="V561" s="51">
        <v>0</v>
      </c>
      <c r="W561" s="51">
        <v>0</v>
      </c>
      <c r="X561" s="40">
        <f t="shared" si="219"/>
        <v>0</v>
      </c>
      <c r="AA561" s="40">
        <f t="shared" si="220"/>
        <v>0</v>
      </c>
      <c r="AB561" s="40">
        <f t="shared" si="221"/>
        <v>0</v>
      </c>
      <c r="AC561" s="67"/>
    </row>
    <row r="562" spans="6:29" x14ac:dyDescent="0.25">
      <c r="F562" s="45" t="str">
        <f t="shared" si="212"/>
        <v xml:space="preserve">S/F  </v>
      </c>
      <c r="G562" s="45">
        <v>0</v>
      </c>
      <c r="H562" s="53">
        <v>0</v>
      </c>
      <c r="I562" s="40">
        <f t="shared" si="213"/>
        <v>0</v>
      </c>
      <c r="J562" s="53"/>
      <c r="K562" s="40">
        <f t="shared" si="214"/>
        <v>0</v>
      </c>
      <c r="L562" s="45">
        <v>0</v>
      </c>
      <c r="M562" s="53">
        <v>0</v>
      </c>
      <c r="N562" s="40">
        <f t="shared" si="215"/>
        <v>0</v>
      </c>
      <c r="P562" s="40">
        <f t="shared" si="216"/>
        <v>0</v>
      </c>
      <c r="Q562" s="45"/>
      <c r="R562" s="53"/>
      <c r="S562" s="40">
        <f t="shared" si="217"/>
        <v>0</v>
      </c>
      <c r="U562" s="40">
        <f t="shared" si="218"/>
        <v>0</v>
      </c>
      <c r="V562" s="51">
        <v>0</v>
      </c>
      <c r="W562" s="51">
        <v>0</v>
      </c>
      <c r="X562" s="40">
        <f t="shared" si="219"/>
        <v>0</v>
      </c>
      <c r="AA562" s="40">
        <f t="shared" si="220"/>
        <v>0</v>
      </c>
      <c r="AB562" s="40">
        <f t="shared" si="221"/>
        <v>0</v>
      </c>
      <c r="AC562" s="67"/>
    </row>
    <row r="563" spans="6:29" x14ac:dyDescent="0.25">
      <c r="F563" s="45" t="str">
        <f t="shared" si="212"/>
        <v xml:space="preserve">S/F  </v>
      </c>
      <c r="G563" s="45">
        <v>0</v>
      </c>
      <c r="H563" s="53">
        <v>0</v>
      </c>
      <c r="I563" s="40">
        <f t="shared" si="213"/>
        <v>0</v>
      </c>
      <c r="J563" s="53"/>
      <c r="K563" s="40">
        <f t="shared" si="214"/>
        <v>0</v>
      </c>
      <c r="L563" s="45">
        <v>0</v>
      </c>
      <c r="M563" s="53">
        <v>0</v>
      </c>
      <c r="N563" s="40">
        <f t="shared" si="215"/>
        <v>0</v>
      </c>
      <c r="P563" s="40">
        <f t="shared" si="216"/>
        <v>0</v>
      </c>
      <c r="Q563" s="45"/>
      <c r="R563" s="53"/>
      <c r="S563" s="40">
        <f t="shared" si="217"/>
        <v>0</v>
      </c>
      <c r="U563" s="40">
        <f t="shared" si="218"/>
        <v>0</v>
      </c>
      <c r="V563" s="51">
        <v>0</v>
      </c>
      <c r="W563" s="51">
        <v>0</v>
      </c>
      <c r="X563" s="40">
        <f t="shared" si="219"/>
        <v>0</v>
      </c>
      <c r="AA563" s="40">
        <f t="shared" si="220"/>
        <v>0</v>
      </c>
      <c r="AB563" s="40">
        <f t="shared" si="221"/>
        <v>0</v>
      </c>
      <c r="AC563" s="67"/>
    </row>
    <row r="564" spans="6:29" x14ac:dyDescent="0.25">
      <c r="F564" s="45" t="str">
        <f t="shared" si="212"/>
        <v xml:space="preserve">S/F  </v>
      </c>
      <c r="G564" s="45">
        <v>0</v>
      </c>
      <c r="H564" s="53">
        <v>0</v>
      </c>
      <c r="I564" s="40">
        <f t="shared" si="213"/>
        <v>0</v>
      </c>
      <c r="J564" s="53"/>
      <c r="K564" s="40">
        <f t="shared" si="214"/>
        <v>0</v>
      </c>
      <c r="L564" s="45">
        <v>0</v>
      </c>
      <c r="M564" s="53">
        <v>0</v>
      </c>
      <c r="N564" s="40">
        <f t="shared" si="215"/>
        <v>0</v>
      </c>
      <c r="P564" s="40">
        <f t="shared" si="216"/>
        <v>0</v>
      </c>
      <c r="Q564" s="45"/>
      <c r="R564" s="53"/>
      <c r="S564" s="40">
        <f t="shared" si="217"/>
        <v>0</v>
      </c>
      <c r="U564" s="40">
        <f t="shared" si="218"/>
        <v>0</v>
      </c>
      <c r="V564" s="51">
        <v>0</v>
      </c>
      <c r="W564" s="51">
        <v>0</v>
      </c>
      <c r="X564" s="40">
        <f t="shared" si="219"/>
        <v>0</v>
      </c>
      <c r="AA564" s="40">
        <f t="shared" si="220"/>
        <v>0</v>
      </c>
      <c r="AB564" s="40">
        <f t="shared" si="221"/>
        <v>0</v>
      </c>
      <c r="AC564" s="67"/>
    </row>
    <row r="565" spans="6:29" x14ac:dyDescent="0.25">
      <c r="F565" s="45" t="str">
        <f t="shared" si="212"/>
        <v xml:space="preserve">S/F  </v>
      </c>
      <c r="G565" s="45">
        <v>0</v>
      </c>
      <c r="H565" s="53">
        <v>0</v>
      </c>
      <c r="I565" s="40">
        <f t="shared" si="213"/>
        <v>0</v>
      </c>
      <c r="J565" s="53"/>
      <c r="K565" s="40">
        <f t="shared" si="214"/>
        <v>0</v>
      </c>
      <c r="L565" s="45">
        <v>0</v>
      </c>
      <c r="M565" s="53">
        <v>0</v>
      </c>
      <c r="N565" s="40">
        <f t="shared" si="215"/>
        <v>0</v>
      </c>
      <c r="P565" s="40">
        <f t="shared" si="216"/>
        <v>0</v>
      </c>
      <c r="Q565" s="45"/>
      <c r="R565" s="53"/>
      <c r="S565" s="40">
        <f t="shared" si="217"/>
        <v>0</v>
      </c>
      <c r="U565" s="40">
        <f t="shared" si="218"/>
        <v>0</v>
      </c>
      <c r="V565" s="51">
        <v>0</v>
      </c>
      <c r="W565" s="51">
        <v>0</v>
      </c>
      <c r="X565" s="40">
        <f t="shared" si="219"/>
        <v>0</v>
      </c>
      <c r="AA565" s="40">
        <f t="shared" si="220"/>
        <v>0</v>
      </c>
      <c r="AB565" s="40">
        <f t="shared" si="221"/>
        <v>0</v>
      </c>
      <c r="AC565" s="67"/>
    </row>
    <row r="566" spans="6:29" x14ac:dyDescent="0.25">
      <c r="F566" s="45" t="str">
        <f t="shared" si="212"/>
        <v xml:space="preserve">S/F  </v>
      </c>
      <c r="G566" s="45">
        <v>0</v>
      </c>
      <c r="H566" s="53">
        <v>0</v>
      </c>
      <c r="I566" s="40">
        <f t="shared" si="213"/>
        <v>0</v>
      </c>
      <c r="J566" s="53"/>
      <c r="K566" s="40">
        <f t="shared" si="214"/>
        <v>0</v>
      </c>
      <c r="L566" s="45">
        <v>0</v>
      </c>
      <c r="M566" s="53">
        <v>0</v>
      </c>
      <c r="N566" s="40">
        <f t="shared" si="215"/>
        <v>0</v>
      </c>
      <c r="P566" s="40">
        <f t="shared" si="216"/>
        <v>0</v>
      </c>
      <c r="Q566" s="45"/>
      <c r="R566" s="53"/>
      <c r="S566" s="40">
        <f t="shared" si="217"/>
        <v>0</v>
      </c>
      <c r="U566" s="40">
        <f t="shared" si="218"/>
        <v>0</v>
      </c>
      <c r="V566" s="51">
        <v>0</v>
      </c>
      <c r="W566" s="51">
        <v>0</v>
      </c>
      <c r="X566" s="40">
        <f t="shared" si="219"/>
        <v>0</v>
      </c>
      <c r="AA566" s="40">
        <f t="shared" si="220"/>
        <v>0</v>
      </c>
      <c r="AB566" s="40">
        <f t="shared" si="221"/>
        <v>0</v>
      </c>
      <c r="AC566" s="67"/>
    </row>
    <row r="567" spans="6:29" x14ac:dyDescent="0.25">
      <c r="F567" s="45" t="str">
        <f t="shared" si="212"/>
        <v xml:space="preserve">S/F  </v>
      </c>
      <c r="G567" s="45">
        <v>0</v>
      </c>
      <c r="H567" s="53">
        <v>0</v>
      </c>
      <c r="I567" s="40">
        <f t="shared" si="213"/>
        <v>0</v>
      </c>
      <c r="J567" s="53"/>
      <c r="K567" s="40">
        <f t="shared" si="214"/>
        <v>0</v>
      </c>
      <c r="L567" s="45">
        <v>0</v>
      </c>
      <c r="M567" s="53">
        <v>0</v>
      </c>
      <c r="N567" s="40">
        <f t="shared" si="215"/>
        <v>0</v>
      </c>
      <c r="P567" s="40">
        <f t="shared" si="216"/>
        <v>0</v>
      </c>
      <c r="Q567" s="45"/>
      <c r="R567" s="53"/>
      <c r="S567" s="40">
        <f t="shared" si="217"/>
        <v>0</v>
      </c>
      <c r="U567" s="40">
        <f t="shared" si="218"/>
        <v>0</v>
      </c>
      <c r="V567" s="51">
        <v>0</v>
      </c>
      <c r="W567" s="51">
        <v>0</v>
      </c>
      <c r="X567" s="40">
        <f t="shared" si="219"/>
        <v>0</v>
      </c>
      <c r="AA567" s="40">
        <f t="shared" si="220"/>
        <v>0</v>
      </c>
      <c r="AB567" s="40">
        <f t="shared" si="221"/>
        <v>0</v>
      </c>
      <c r="AC567" s="67"/>
    </row>
    <row r="568" spans="6:29" x14ac:dyDescent="0.25">
      <c r="F568" s="45" t="str">
        <f t="shared" si="212"/>
        <v xml:space="preserve">S/F  </v>
      </c>
      <c r="G568" s="45">
        <v>0</v>
      </c>
      <c r="H568" s="53">
        <v>0</v>
      </c>
      <c r="I568" s="40">
        <f t="shared" si="213"/>
        <v>0</v>
      </c>
      <c r="J568" s="53"/>
      <c r="K568" s="40">
        <f t="shared" si="214"/>
        <v>0</v>
      </c>
      <c r="L568" s="45">
        <v>0</v>
      </c>
      <c r="M568" s="53">
        <v>0</v>
      </c>
      <c r="N568" s="40">
        <f t="shared" si="215"/>
        <v>0</v>
      </c>
      <c r="P568" s="40">
        <f t="shared" si="216"/>
        <v>0</v>
      </c>
      <c r="Q568" s="45"/>
      <c r="R568" s="53"/>
      <c r="S568" s="40">
        <f t="shared" si="217"/>
        <v>0</v>
      </c>
      <c r="U568" s="40">
        <f t="shared" si="218"/>
        <v>0</v>
      </c>
      <c r="V568" s="51">
        <v>0</v>
      </c>
      <c r="W568" s="51">
        <v>0</v>
      </c>
      <c r="X568" s="40">
        <f t="shared" si="219"/>
        <v>0</v>
      </c>
      <c r="AA568" s="40">
        <f t="shared" si="220"/>
        <v>0</v>
      </c>
      <c r="AB568" s="40">
        <f t="shared" si="221"/>
        <v>0</v>
      </c>
      <c r="AC568" s="67"/>
    </row>
    <row r="569" spans="6:29" x14ac:dyDescent="0.25">
      <c r="F569" s="45" t="str">
        <f t="shared" si="212"/>
        <v xml:space="preserve">S/F  </v>
      </c>
      <c r="G569" s="45">
        <v>0</v>
      </c>
      <c r="H569" s="53">
        <v>0</v>
      </c>
      <c r="I569" s="40">
        <f t="shared" si="213"/>
        <v>0</v>
      </c>
      <c r="J569" s="53"/>
      <c r="K569" s="40">
        <f t="shared" si="214"/>
        <v>0</v>
      </c>
      <c r="L569" s="45">
        <v>0</v>
      </c>
      <c r="M569" s="53">
        <v>0</v>
      </c>
      <c r="N569" s="40">
        <f t="shared" si="215"/>
        <v>0</v>
      </c>
      <c r="P569" s="40">
        <f t="shared" si="216"/>
        <v>0</v>
      </c>
      <c r="Q569" s="45"/>
      <c r="R569" s="53"/>
      <c r="S569" s="40">
        <f t="shared" si="217"/>
        <v>0</v>
      </c>
      <c r="U569" s="40">
        <f t="shared" si="218"/>
        <v>0</v>
      </c>
      <c r="V569" s="51">
        <v>0</v>
      </c>
      <c r="W569" s="51">
        <v>0</v>
      </c>
      <c r="X569" s="40">
        <f t="shared" si="219"/>
        <v>0</v>
      </c>
      <c r="AA569" s="40">
        <f t="shared" si="220"/>
        <v>0</v>
      </c>
      <c r="AB569" s="40">
        <f t="shared" si="221"/>
        <v>0</v>
      </c>
      <c r="AC569" s="67"/>
    </row>
    <row r="570" spans="6:29" x14ac:dyDescent="0.25">
      <c r="F570" s="45" t="str">
        <f t="shared" si="212"/>
        <v xml:space="preserve">S/F  </v>
      </c>
      <c r="G570" s="45">
        <v>0</v>
      </c>
      <c r="H570" s="53">
        <v>0</v>
      </c>
      <c r="I570" s="40">
        <f t="shared" si="213"/>
        <v>0</v>
      </c>
      <c r="J570" s="53"/>
      <c r="K570" s="40">
        <f t="shared" si="214"/>
        <v>0</v>
      </c>
      <c r="L570" s="45">
        <v>0</v>
      </c>
      <c r="M570" s="53">
        <v>0</v>
      </c>
      <c r="N570" s="40">
        <f t="shared" si="215"/>
        <v>0</v>
      </c>
      <c r="P570" s="40">
        <f t="shared" si="216"/>
        <v>0</v>
      </c>
      <c r="Q570" s="45"/>
      <c r="R570" s="53"/>
      <c r="S570" s="40">
        <f t="shared" si="217"/>
        <v>0</v>
      </c>
      <c r="U570" s="40">
        <f t="shared" si="218"/>
        <v>0</v>
      </c>
      <c r="V570" s="51">
        <v>0</v>
      </c>
      <c r="W570" s="51">
        <v>0</v>
      </c>
      <c r="X570" s="40">
        <f t="shared" si="219"/>
        <v>0</v>
      </c>
      <c r="AA570" s="40">
        <f t="shared" si="220"/>
        <v>0</v>
      </c>
      <c r="AB570" s="40">
        <f t="shared" si="221"/>
        <v>0</v>
      </c>
      <c r="AC570" s="67"/>
    </row>
    <row r="571" spans="6:29" x14ac:dyDescent="0.25">
      <c r="F571" s="45" t="str">
        <f t="shared" si="212"/>
        <v xml:space="preserve">S/F  </v>
      </c>
      <c r="G571" s="45">
        <v>0</v>
      </c>
      <c r="H571" s="53">
        <v>0</v>
      </c>
      <c r="I571" s="40">
        <f t="shared" si="213"/>
        <v>0</v>
      </c>
      <c r="J571" s="53"/>
      <c r="K571" s="40">
        <f t="shared" si="214"/>
        <v>0</v>
      </c>
      <c r="L571" s="45">
        <v>0</v>
      </c>
      <c r="M571" s="53">
        <v>0</v>
      </c>
      <c r="N571" s="40">
        <f t="shared" si="215"/>
        <v>0</v>
      </c>
      <c r="P571" s="40">
        <f t="shared" si="216"/>
        <v>0</v>
      </c>
      <c r="Q571" s="45"/>
      <c r="R571" s="53"/>
      <c r="S571" s="40">
        <f t="shared" si="217"/>
        <v>0</v>
      </c>
      <c r="U571" s="40">
        <f t="shared" si="218"/>
        <v>0</v>
      </c>
      <c r="V571" s="51">
        <v>0</v>
      </c>
      <c r="W571" s="51">
        <v>0</v>
      </c>
      <c r="X571" s="40">
        <f t="shared" si="219"/>
        <v>0</v>
      </c>
      <c r="AA571" s="40">
        <f t="shared" si="220"/>
        <v>0</v>
      </c>
      <c r="AB571" s="40">
        <f t="shared" si="221"/>
        <v>0</v>
      </c>
      <c r="AC571" s="67"/>
    </row>
    <row r="572" spans="6:29" x14ac:dyDescent="0.25">
      <c r="F572" s="45" t="str">
        <f t="shared" si="212"/>
        <v xml:space="preserve">S/F  </v>
      </c>
      <c r="G572" s="45">
        <v>0</v>
      </c>
      <c r="H572" s="53">
        <v>0</v>
      </c>
      <c r="I572" s="40">
        <f t="shared" si="213"/>
        <v>0</v>
      </c>
      <c r="J572" s="53"/>
      <c r="K572" s="40">
        <f t="shared" si="214"/>
        <v>0</v>
      </c>
      <c r="L572" s="45">
        <v>0</v>
      </c>
      <c r="M572" s="53">
        <v>0</v>
      </c>
      <c r="N572" s="40">
        <f t="shared" si="215"/>
        <v>0</v>
      </c>
      <c r="P572" s="40">
        <f t="shared" si="216"/>
        <v>0</v>
      </c>
      <c r="Q572" s="45"/>
      <c r="R572" s="53"/>
      <c r="S572" s="40">
        <f t="shared" si="217"/>
        <v>0</v>
      </c>
      <c r="U572" s="40">
        <f t="shared" si="218"/>
        <v>0</v>
      </c>
      <c r="V572" s="51">
        <v>0</v>
      </c>
      <c r="W572" s="51">
        <v>0</v>
      </c>
      <c r="X572" s="40">
        <f t="shared" si="219"/>
        <v>0</v>
      </c>
      <c r="AA572" s="40">
        <f t="shared" si="220"/>
        <v>0</v>
      </c>
      <c r="AB572" s="40">
        <f t="shared" si="221"/>
        <v>0</v>
      </c>
      <c r="AC572" s="67"/>
    </row>
    <row r="573" spans="6:29" x14ac:dyDescent="0.25">
      <c r="F573" s="45" t="str">
        <f t="shared" si="212"/>
        <v xml:space="preserve">S/F  </v>
      </c>
      <c r="G573" s="45">
        <v>0</v>
      </c>
      <c r="H573" s="53">
        <v>0</v>
      </c>
      <c r="I573" s="40">
        <f t="shared" si="213"/>
        <v>0</v>
      </c>
      <c r="J573" s="53"/>
      <c r="K573" s="40">
        <f t="shared" si="214"/>
        <v>0</v>
      </c>
      <c r="L573" s="45">
        <v>0</v>
      </c>
      <c r="M573" s="53">
        <v>0</v>
      </c>
      <c r="N573" s="40">
        <f t="shared" si="215"/>
        <v>0</v>
      </c>
      <c r="P573" s="40">
        <f t="shared" si="216"/>
        <v>0</v>
      </c>
      <c r="Q573" s="45"/>
      <c r="R573" s="53"/>
      <c r="S573" s="40">
        <f t="shared" si="217"/>
        <v>0</v>
      </c>
      <c r="U573" s="40">
        <f t="shared" si="218"/>
        <v>0</v>
      </c>
      <c r="V573" s="51">
        <v>0</v>
      </c>
      <c r="W573" s="51">
        <v>0</v>
      </c>
      <c r="X573" s="40">
        <f t="shared" si="219"/>
        <v>0</v>
      </c>
      <c r="AA573" s="40">
        <f t="shared" si="220"/>
        <v>0</v>
      </c>
      <c r="AB573" s="40">
        <f t="shared" si="221"/>
        <v>0</v>
      </c>
      <c r="AC573" s="67"/>
    </row>
    <row r="574" spans="6:29" x14ac:dyDescent="0.25">
      <c r="F574" s="45" t="str">
        <f t="shared" si="212"/>
        <v xml:space="preserve">S/F  </v>
      </c>
      <c r="G574" s="45">
        <v>0</v>
      </c>
      <c r="H574" s="53">
        <v>0</v>
      </c>
      <c r="I574" s="40">
        <f t="shared" si="213"/>
        <v>0</v>
      </c>
      <c r="J574" s="53"/>
      <c r="K574" s="40">
        <f t="shared" si="214"/>
        <v>0</v>
      </c>
      <c r="L574" s="45">
        <v>0</v>
      </c>
      <c r="M574" s="53">
        <v>0</v>
      </c>
      <c r="N574" s="40">
        <f t="shared" si="215"/>
        <v>0</v>
      </c>
      <c r="P574" s="40">
        <f t="shared" si="216"/>
        <v>0</v>
      </c>
      <c r="Q574" s="45"/>
      <c r="R574" s="53"/>
      <c r="S574" s="40">
        <f t="shared" si="217"/>
        <v>0</v>
      </c>
      <c r="U574" s="40">
        <f t="shared" si="218"/>
        <v>0</v>
      </c>
      <c r="V574" s="51">
        <v>0</v>
      </c>
      <c r="W574" s="51">
        <v>0</v>
      </c>
      <c r="X574" s="40">
        <f t="shared" si="219"/>
        <v>0</v>
      </c>
      <c r="AA574" s="40">
        <f t="shared" si="220"/>
        <v>0</v>
      </c>
      <c r="AB574" s="40">
        <f t="shared" si="221"/>
        <v>0</v>
      </c>
      <c r="AC574" s="67"/>
    </row>
    <row r="575" spans="6:29" x14ac:dyDescent="0.25">
      <c r="F575" s="45" t="str">
        <f t="shared" si="212"/>
        <v xml:space="preserve">S/F  </v>
      </c>
      <c r="G575" s="45">
        <v>0</v>
      </c>
      <c r="H575" s="53">
        <v>0</v>
      </c>
      <c r="I575" s="40">
        <f t="shared" si="213"/>
        <v>0</v>
      </c>
      <c r="J575" s="53"/>
      <c r="K575" s="40">
        <f t="shared" si="214"/>
        <v>0</v>
      </c>
      <c r="L575" s="45">
        <v>0</v>
      </c>
      <c r="M575" s="53">
        <v>0</v>
      </c>
      <c r="N575" s="40">
        <f t="shared" si="215"/>
        <v>0</v>
      </c>
      <c r="P575" s="40">
        <f t="shared" si="216"/>
        <v>0</v>
      </c>
      <c r="Q575" s="45"/>
      <c r="R575" s="53"/>
      <c r="S575" s="40">
        <f t="shared" si="217"/>
        <v>0</v>
      </c>
      <c r="U575" s="40">
        <f t="shared" si="218"/>
        <v>0</v>
      </c>
      <c r="V575" s="51">
        <v>0</v>
      </c>
      <c r="W575" s="51">
        <v>0</v>
      </c>
      <c r="X575" s="40">
        <f t="shared" si="219"/>
        <v>0</v>
      </c>
      <c r="AA575" s="40">
        <f t="shared" si="220"/>
        <v>0</v>
      </c>
      <c r="AB575" s="40">
        <f t="shared" si="221"/>
        <v>0</v>
      </c>
      <c r="AC575" s="67"/>
    </row>
    <row r="576" spans="6:29" x14ac:dyDescent="0.25">
      <c r="F576" s="45" t="str">
        <f t="shared" si="212"/>
        <v xml:space="preserve">S/F  </v>
      </c>
      <c r="G576" s="45">
        <v>0</v>
      </c>
      <c r="H576" s="53">
        <v>0</v>
      </c>
      <c r="I576" s="40">
        <f t="shared" si="213"/>
        <v>0</v>
      </c>
      <c r="J576" s="53"/>
      <c r="K576" s="40">
        <f t="shared" si="214"/>
        <v>0</v>
      </c>
      <c r="L576" s="45">
        <v>0</v>
      </c>
      <c r="M576" s="53">
        <v>0</v>
      </c>
      <c r="N576" s="40">
        <f t="shared" si="215"/>
        <v>0</v>
      </c>
      <c r="P576" s="40">
        <f t="shared" si="216"/>
        <v>0</v>
      </c>
      <c r="Q576" s="45"/>
      <c r="R576" s="53"/>
      <c r="S576" s="40">
        <f t="shared" si="217"/>
        <v>0</v>
      </c>
      <c r="U576" s="40">
        <f t="shared" si="218"/>
        <v>0</v>
      </c>
      <c r="V576" s="51">
        <v>0</v>
      </c>
      <c r="W576" s="51">
        <v>0</v>
      </c>
      <c r="X576" s="40">
        <f t="shared" si="219"/>
        <v>0</v>
      </c>
      <c r="AA576" s="40">
        <f t="shared" si="220"/>
        <v>0</v>
      </c>
      <c r="AB576" s="40">
        <f t="shared" si="221"/>
        <v>0</v>
      </c>
      <c r="AC576" s="67"/>
    </row>
    <row r="577" spans="6:29" x14ac:dyDescent="0.25">
      <c r="F577" s="45" t="str">
        <f t="shared" si="212"/>
        <v xml:space="preserve">S/F  </v>
      </c>
      <c r="G577" s="45">
        <v>0</v>
      </c>
      <c r="H577" s="53">
        <v>0</v>
      </c>
      <c r="I577" s="40">
        <f t="shared" si="213"/>
        <v>0</v>
      </c>
      <c r="J577" s="53"/>
      <c r="K577" s="40">
        <f t="shared" si="214"/>
        <v>0</v>
      </c>
      <c r="L577" s="45">
        <v>0</v>
      </c>
      <c r="M577" s="53">
        <v>0</v>
      </c>
      <c r="N577" s="40">
        <f t="shared" si="215"/>
        <v>0</v>
      </c>
      <c r="P577" s="40">
        <f t="shared" si="216"/>
        <v>0</v>
      </c>
      <c r="Q577" s="45"/>
      <c r="R577" s="53"/>
      <c r="S577" s="40">
        <f t="shared" si="217"/>
        <v>0</v>
      </c>
      <c r="U577" s="40">
        <f t="shared" si="218"/>
        <v>0</v>
      </c>
      <c r="V577" s="51">
        <v>0</v>
      </c>
      <c r="W577" s="51">
        <v>0</v>
      </c>
      <c r="X577" s="40">
        <f t="shared" si="219"/>
        <v>0</v>
      </c>
      <c r="AA577" s="40">
        <f t="shared" si="220"/>
        <v>0</v>
      </c>
      <c r="AB577" s="40">
        <f t="shared" si="221"/>
        <v>0</v>
      </c>
      <c r="AC577" s="67"/>
    </row>
    <row r="578" spans="6:29" x14ac:dyDescent="0.25">
      <c r="F578" s="45" t="str">
        <f t="shared" si="212"/>
        <v xml:space="preserve">S/F  </v>
      </c>
      <c r="G578" s="45">
        <v>0</v>
      </c>
      <c r="H578" s="53">
        <v>0</v>
      </c>
      <c r="I578" s="40">
        <f t="shared" si="213"/>
        <v>0</v>
      </c>
      <c r="J578" s="53"/>
      <c r="K578" s="40">
        <f t="shared" si="214"/>
        <v>0</v>
      </c>
      <c r="L578" s="45">
        <v>0</v>
      </c>
      <c r="M578" s="53">
        <v>0</v>
      </c>
      <c r="N578" s="40">
        <f t="shared" si="215"/>
        <v>0</v>
      </c>
      <c r="P578" s="40">
        <f t="shared" si="216"/>
        <v>0</v>
      </c>
      <c r="Q578" s="45"/>
      <c r="R578" s="53"/>
      <c r="S578" s="40">
        <f t="shared" si="217"/>
        <v>0</v>
      </c>
      <c r="U578" s="40">
        <f t="shared" si="218"/>
        <v>0</v>
      </c>
      <c r="V578" s="51">
        <v>0</v>
      </c>
      <c r="W578" s="51">
        <v>0</v>
      </c>
      <c r="X578" s="40">
        <f t="shared" si="219"/>
        <v>0</v>
      </c>
      <c r="AA578" s="40">
        <f t="shared" si="220"/>
        <v>0</v>
      </c>
      <c r="AB578" s="40">
        <f t="shared" si="221"/>
        <v>0</v>
      </c>
      <c r="AC578" s="67"/>
    </row>
    <row r="579" spans="6:29" x14ac:dyDescent="0.25">
      <c r="F579" s="45" t="str">
        <f t="shared" si="212"/>
        <v xml:space="preserve">S/F  </v>
      </c>
      <c r="G579" s="45">
        <v>0</v>
      </c>
      <c r="H579" s="53">
        <v>0</v>
      </c>
      <c r="I579" s="40">
        <f t="shared" si="213"/>
        <v>0</v>
      </c>
      <c r="J579" s="53"/>
      <c r="K579" s="40">
        <f t="shared" si="214"/>
        <v>0</v>
      </c>
      <c r="L579" s="45">
        <v>0</v>
      </c>
      <c r="M579" s="53">
        <v>0</v>
      </c>
      <c r="N579" s="40">
        <f t="shared" si="215"/>
        <v>0</v>
      </c>
      <c r="P579" s="40">
        <f t="shared" si="216"/>
        <v>0</v>
      </c>
      <c r="Q579" s="45"/>
      <c r="R579" s="53"/>
      <c r="S579" s="40">
        <f t="shared" si="217"/>
        <v>0</v>
      </c>
      <c r="U579" s="40">
        <f t="shared" si="218"/>
        <v>0</v>
      </c>
      <c r="V579" s="51">
        <v>0</v>
      </c>
      <c r="W579" s="51">
        <v>0</v>
      </c>
      <c r="X579" s="40">
        <f t="shared" si="219"/>
        <v>0</v>
      </c>
      <c r="AA579" s="40">
        <f t="shared" si="220"/>
        <v>0</v>
      </c>
      <c r="AB579" s="40">
        <f t="shared" si="221"/>
        <v>0</v>
      </c>
      <c r="AC579" s="67"/>
    </row>
    <row r="580" spans="6:29" x14ac:dyDescent="0.25">
      <c r="F580" s="45" t="str">
        <f t="shared" si="212"/>
        <v xml:space="preserve">S/F  </v>
      </c>
      <c r="G580" s="45">
        <v>0</v>
      </c>
      <c r="H580" s="53">
        <v>0</v>
      </c>
      <c r="I580" s="40">
        <f t="shared" si="213"/>
        <v>0</v>
      </c>
      <c r="J580" s="53"/>
      <c r="K580" s="40">
        <f t="shared" si="214"/>
        <v>0</v>
      </c>
      <c r="L580" s="45">
        <v>0</v>
      </c>
      <c r="M580" s="53">
        <v>0</v>
      </c>
      <c r="N580" s="40">
        <f t="shared" si="215"/>
        <v>0</v>
      </c>
      <c r="P580" s="40">
        <f t="shared" si="216"/>
        <v>0</v>
      </c>
      <c r="Q580" s="45"/>
      <c r="R580" s="53"/>
      <c r="S580" s="40">
        <f t="shared" si="217"/>
        <v>0</v>
      </c>
      <c r="U580" s="40">
        <f t="shared" si="218"/>
        <v>0</v>
      </c>
      <c r="V580" s="51">
        <v>0</v>
      </c>
      <c r="W580" s="51">
        <v>0</v>
      </c>
      <c r="X580" s="40">
        <f t="shared" si="219"/>
        <v>0</v>
      </c>
      <c r="AA580" s="40">
        <f t="shared" si="220"/>
        <v>0</v>
      </c>
      <c r="AB580" s="40">
        <f t="shared" si="221"/>
        <v>0</v>
      </c>
      <c r="AC580" s="67"/>
    </row>
    <row r="581" spans="6:29" x14ac:dyDescent="0.25">
      <c r="F581" s="45" t="str">
        <f t="shared" si="212"/>
        <v xml:space="preserve">S/F  </v>
      </c>
      <c r="G581" s="45">
        <v>0</v>
      </c>
      <c r="H581" s="53">
        <v>0</v>
      </c>
      <c r="I581" s="40">
        <f t="shared" si="213"/>
        <v>0</v>
      </c>
      <c r="J581" s="53"/>
      <c r="K581" s="40">
        <f t="shared" si="214"/>
        <v>0</v>
      </c>
      <c r="L581" s="45">
        <v>0</v>
      </c>
      <c r="M581" s="53">
        <v>0</v>
      </c>
      <c r="N581" s="40">
        <f t="shared" si="215"/>
        <v>0</v>
      </c>
      <c r="P581" s="40">
        <f t="shared" si="216"/>
        <v>0</v>
      </c>
      <c r="Q581" s="45"/>
      <c r="R581" s="53"/>
      <c r="S581" s="40">
        <f t="shared" si="217"/>
        <v>0</v>
      </c>
      <c r="U581" s="40">
        <f t="shared" si="218"/>
        <v>0</v>
      </c>
      <c r="V581" s="51">
        <v>0</v>
      </c>
      <c r="W581" s="51">
        <v>0</v>
      </c>
      <c r="X581" s="40">
        <f t="shared" si="219"/>
        <v>0</v>
      </c>
      <c r="AA581" s="40">
        <f t="shared" si="220"/>
        <v>0</v>
      </c>
      <c r="AB581" s="40">
        <f t="shared" si="221"/>
        <v>0</v>
      </c>
      <c r="AC581" s="67"/>
    </row>
    <row r="582" spans="6:29" x14ac:dyDescent="0.25">
      <c r="F582" s="45" t="str">
        <f t="shared" si="212"/>
        <v xml:space="preserve">S/F  </v>
      </c>
      <c r="G582" s="45">
        <v>0</v>
      </c>
      <c r="H582" s="53">
        <v>0</v>
      </c>
      <c r="I582" s="40">
        <f t="shared" si="213"/>
        <v>0</v>
      </c>
      <c r="J582" s="53"/>
      <c r="K582" s="40">
        <f t="shared" si="214"/>
        <v>0</v>
      </c>
      <c r="L582" s="45">
        <v>0</v>
      </c>
      <c r="M582" s="53">
        <v>0</v>
      </c>
      <c r="N582" s="40">
        <f t="shared" si="215"/>
        <v>0</v>
      </c>
      <c r="P582" s="40">
        <f t="shared" si="216"/>
        <v>0</v>
      </c>
      <c r="Q582" s="45"/>
      <c r="R582" s="53"/>
      <c r="S582" s="40">
        <f t="shared" si="217"/>
        <v>0</v>
      </c>
      <c r="U582" s="40">
        <f t="shared" si="218"/>
        <v>0</v>
      </c>
      <c r="V582" s="51">
        <v>0</v>
      </c>
      <c r="W582" s="51">
        <v>0</v>
      </c>
      <c r="X582" s="40">
        <f t="shared" si="219"/>
        <v>0</v>
      </c>
      <c r="AA582" s="40">
        <f t="shared" si="220"/>
        <v>0</v>
      </c>
      <c r="AB582" s="40">
        <f t="shared" si="221"/>
        <v>0</v>
      </c>
      <c r="AC582" s="67"/>
    </row>
    <row r="583" spans="6:29" x14ac:dyDescent="0.25">
      <c r="F583" s="45" t="str">
        <f t="shared" si="212"/>
        <v xml:space="preserve">S/F  </v>
      </c>
      <c r="G583" s="45">
        <v>0</v>
      </c>
      <c r="H583" s="53">
        <v>0</v>
      </c>
      <c r="I583" s="40">
        <f t="shared" si="213"/>
        <v>0</v>
      </c>
      <c r="J583" s="53"/>
      <c r="K583" s="40">
        <f t="shared" si="214"/>
        <v>0</v>
      </c>
      <c r="L583" s="45">
        <v>0</v>
      </c>
      <c r="M583" s="53">
        <v>0</v>
      </c>
      <c r="N583" s="40">
        <f t="shared" si="215"/>
        <v>0</v>
      </c>
      <c r="P583" s="40">
        <f t="shared" si="216"/>
        <v>0</v>
      </c>
      <c r="Q583" s="45"/>
      <c r="R583" s="53"/>
      <c r="S583" s="40">
        <f t="shared" si="217"/>
        <v>0</v>
      </c>
      <c r="U583" s="40">
        <f t="shared" si="218"/>
        <v>0</v>
      </c>
      <c r="V583" s="51">
        <v>0</v>
      </c>
      <c r="W583" s="51">
        <v>0</v>
      </c>
      <c r="X583" s="40">
        <f t="shared" si="219"/>
        <v>0</v>
      </c>
      <c r="AA583" s="40">
        <f t="shared" si="220"/>
        <v>0</v>
      </c>
      <c r="AB583" s="40">
        <f t="shared" si="221"/>
        <v>0</v>
      </c>
      <c r="AC583" s="67"/>
    </row>
    <row r="584" spans="6:29" x14ac:dyDescent="0.25">
      <c r="F584" s="45" t="str">
        <f t="shared" si="212"/>
        <v xml:space="preserve">S/F  </v>
      </c>
      <c r="G584" s="45">
        <v>0</v>
      </c>
      <c r="H584" s="53">
        <v>0</v>
      </c>
      <c r="I584" s="40">
        <f t="shared" si="213"/>
        <v>0</v>
      </c>
      <c r="J584" s="53"/>
      <c r="K584" s="40">
        <f t="shared" si="214"/>
        <v>0</v>
      </c>
      <c r="L584" s="45">
        <v>0</v>
      </c>
      <c r="M584" s="53">
        <v>0</v>
      </c>
      <c r="N584" s="40">
        <f t="shared" si="215"/>
        <v>0</v>
      </c>
      <c r="P584" s="40">
        <f t="shared" si="216"/>
        <v>0</v>
      </c>
      <c r="Q584" s="45"/>
      <c r="R584" s="53"/>
      <c r="S584" s="40">
        <f t="shared" si="217"/>
        <v>0</v>
      </c>
      <c r="U584" s="40">
        <f t="shared" si="218"/>
        <v>0</v>
      </c>
      <c r="V584" s="51">
        <v>0</v>
      </c>
      <c r="W584" s="51">
        <v>0</v>
      </c>
      <c r="X584" s="40">
        <f t="shared" si="219"/>
        <v>0</v>
      </c>
      <c r="AA584" s="40">
        <f t="shared" si="220"/>
        <v>0</v>
      </c>
      <c r="AB584" s="40">
        <f t="shared" si="221"/>
        <v>0</v>
      </c>
      <c r="AC584" s="67"/>
    </row>
    <row r="585" spans="6:29" x14ac:dyDescent="0.25">
      <c r="F585" s="45" t="str">
        <f t="shared" si="212"/>
        <v xml:space="preserve">S/F  </v>
      </c>
      <c r="G585" s="45">
        <v>0</v>
      </c>
      <c r="H585" s="53">
        <v>0</v>
      </c>
      <c r="I585" s="40">
        <f t="shared" si="213"/>
        <v>0</v>
      </c>
      <c r="J585" s="53"/>
      <c r="K585" s="40">
        <f t="shared" si="214"/>
        <v>0</v>
      </c>
      <c r="L585" s="45">
        <v>0</v>
      </c>
      <c r="M585" s="53">
        <v>0</v>
      </c>
      <c r="N585" s="40">
        <f t="shared" si="215"/>
        <v>0</v>
      </c>
      <c r="P585" s="40">
        <f t="shared" si="216"/>
        <v>0</v>
      </c>
      <c r="Q585" s="45"/>
      <c r="R585" s="53"/>
      <c r="S585" s="40">
        <f t="shared" si="217"/>
        <v>0</v>
      </c>
      <c r="U585" s="40">
        <f t="shared" si="218"/>
        <v>0</v>
      </c>
      <c r="V585" s="51">
        <v>0</v>
      </c>
      <c r="W585" s="51">
        <v>0</v>
      </c>
      <c r="X585" s="40">
        <f t="shared" si="219"/>
        <v>0</v>
      </c>
      <c r="AA585" s="40">
        <f t="shared" si="220"/>
        <v>0</v>
      </c>
      <c r="AB585" s="40">
        <f t="shared" si="221"/>
        <v>0</v>
      </c>
      <c r="AC585" s="67"/>
    </row>
    <row r="586" spans="6:29" x14ac:dyDescent="0.25">
      <c r="F586" s="45" t="str">
        <f t="shared" si="212"/>
        <v xml:space="preserve">S/F  </v>
      </c>
      <c r="G586" s="45">
        <v>0</v>
      </c>
      <c r="H586" s="53">
        <v>0</v>
      </c>
      <c r="I586" s="40">
        <f t="shared" si="213"/>
        <v>0</v>
      </c>
      <c r="J586" s="53"/>
      <c r="K586" s="40">
        <f t="shared" si="214"/>
        <v>0</v>
      </c>
      <c r="L586" s="45">
        <v>0</v>
      </c>
      <c r="M586" s="53">
        <v>0</v>
      </c>
      <c r="N586" s="40">
        <f t="shared" si="215"/>
        <v>0</v>
      </c>
      <c r="P586" s="40">
        <f t="shared" si="216"/>
        <v>0</v>
      </c>
      <c r="Q586" s="45"/>
      <c r="R586" s="53"/>
      <c r="S586" s="40">
        <f t="shared" si="217"/>
        <v>0</v>
      </c>
      <c r="U586" s="40">
        <f t="shared" si="218"/>
        <v>0</v>
      </c>
      <c r="V586" s="51">
        <v>0</v>
      </c>
      <c r="W586" s="51">
        <v>0</v>
      </c>
      <c r="X586" s="40">
        <f t="shared" si="219"/>
        <v>0</v>
      </c>
      <c r="AA586" s="40">
        <f t="shared" si="220"/>
        <v>0</v>
      </c>
      <c r="AB586" s="40">
        <f t="shared" si="221"/>
        <v>0</v>
      </c>
      <c r="AC586" s="67"/>
    </row>
    <row r="587" spans="6:29" x14ac:dyDescent="0.25">
      <c r="F587" s="45" t="str">
        <f t="shared" si="212"/>
        <v xml:space="preserve">S/F  </v>
      </c>
      <c r="G587" s="45">
        <v>0</v>
      </c>
      <c r="H587" s="53">
        <v>0</v>
      </c>
      <c r="I587" s="40">
        <f t="shared" si="213"/>
        <v>0</v>
      </c>
      <c r="J587" s="53"/>
      <c r="K587" s="40">
        <f t="shared" si="214"/>
        <v>0</v>
      </c>
      <c r="L587" s="45">
        <v>0</v>
      </c>
      <c r="M587" s="53">
        <v>0</v>
      </c>
      <c r="N587" s="40">
        <f t="shared" si="215"/>
        <v>0</v>
      </c>
      <c r="P587" s="40">
        <f t="shared" si="216"/>
        <v>0</v>
      </c>
      <c r="Q587" s="45"/>
      <c r="R587" s="53"/>
      <c r="S587" s="40">
        <f t="shared" si="217"/>
        <v>0</v>
      </c>
      <c r="U587" s="40">
        <f t="shared" si="218"/>
        <v>0</v>
      </c>
      <c r="V587" s="51">
        <v>0</v>
      </c>
      <c r="W587" s="51">
        <v>0</v>
      </c>
      <c r="X587" s="40">
        <f t="shared" si="219"/>
        <v>0</v>
      </c>
      <c r="AA587" s="40">
        <f t="shared" si="220"/>
        <v>0</v>
      </c>
      <c r="AB587" s="40">
        <f t="shared" si="221"/>
        <v>0</v>
      </c>
      <c r="AC587" s="67"/>
    </row>
    <row r="588" spans="6:29" x14ac:dyDescent="0.25">
      <c r="F588" s="45" t="str">
        <f t="shared" si="212"/>
        <v xml:space="preserve">S/F  </v>
      </c>
      <c r="G588" s="45">
        <v>0</v>
      </c>
      <c r="H588" s="53">
        <v>0</v>
      </c>
      <c r="I588" s="40">
        <f t="shared" si="213"/>
        <v>0</v>
      </c>
      <c r="J588" s="53"/>
      <c r="K588" s="40">
        <f t="shared" si="214"/>
        <v>0</v>
      </c>
      <c r="L588" s="45">
        <v>0</v>
      </c>
      <c r="M588" s="53">
        <v>0</v>
      </c>
      <c r="N588" s="40">
        <f t="shared" si="215"/>
        <v>0</v>
      </c>
      <c r="P588" s="40">
        <f t="shared" si="216"/>
        <v>0</v>
      </c>
      <c r="Q588" s="45"/>
      <c r="R588" s="53"/>
      <c r="S588" s="40">
        <f t="shared" si="217"/>
        <v>0</v>
      </c>
      <c r="U588" s="40">
        <f t="shared" si="218"/>
        <v>0</v>
      </c>
      <c r="V588" s="51">
        <v>0</v>
      </c>
      <c r="W588" s="51">
        <v>0</v>
      </c>
      <c r="X588" s="40">
        <f t="shared" si="219"/>
        <v>0</v>
      </c>
      <c r="AA588" s="40">
        <f t="shared" si="220"/>
        <v>0</v>
      </c>
      <c r="AB588" s="40">
        <f t="shared" si="221"/>
        <v>0</v>
      </c>
      <c r="AC588" s="67"/>
    </row>
    <row r="589" spans="6:29" x14ac:dyDescent="0.25">
      <c r="F589" s="45" t="str">
        <f t="shared" ref="F589:F652" si="222">"S/F "&amp;B589&amp;" "&amp;E589</f>
        <v xml:space="preserve">S/F  </v>
      </c>
      <c r="G589" s="45">
        <v>0</v>
      </c>
      <c r="H589" s="53">
        <v>0</v>
      </c>
      <c r="I589" s="40">
        <f t="shared" si="213"/>
        <v>0</v>
      </c>
      <c r="J589" s="53"/>
      <c r="K589" s="40">
        <f t="shared" si="214"/>
        <v>0</v>
      </c>
      <c r="L589" s="45">
        <v>0</v>
      </c>
      <c r="M589" s="53">
        <v>0</v>
      </c>
      <c r="N589" s="40">
        <f t="shared" si="215"/>
        <v>0</v>
      </c>
      <c r="P589" s="40">
        <f t="shared" si="216"/>
        <v>0</v>
      </c>
      <c r="Q589" s="45"/>
      <c r="R589" s="53"/>
      <c r="S589" s="40">
        <f t="shared" si="217"/>
        <v>0</v>
      </c>
      <c r="U589" s="40">
        <f t="shared" si="218"/>
        <v>0</v>
      </c>
      <c r="V589" s="51">
        <v>0</v>
      </c>
      <c r="W589" s="51">
        <v>0</v>
      </c>
      <c r="X589" s="40">
        <f t="shared" si="219"/>
        <v>0</v>
      </c>
      <c r="AA589" s="40">
        <f t="shared" si="220"/>
        <v>0</v>
      </c>
      <c r="AB589" s="40">
        <f t="shared" si="221"/>
        <v>0</v>
      </c>
      <c r="AC589" s="67"/>
    </row>
    <row r="590" spans="6:29" x14ac:dyDescent="0.25">
      <c r="F590" s="45" t="str">
        <f t="shared" si="222"/>
        <v xml:space="preserve">S/F  </v>
      </c>
      <c r="G590" s="45">
        <v>0</v>
      </c>
      <c r="H590" s="53">
        <v>0</v>
      </c>
      <c r="I590" s="40">
        <f t="shared" si="213"/>
        <v>0</v>
      </c>
      <c r="J590" s="53"/>
      <c r="K590" s="40">
        <f t="shared" si="214"/>
        <v>0</v>
      </c>
      <c r="L590" s="45">
        <v>0</v>
      </c>
      <c r="M590" s="53">
        <v>0</v>
      </c>
      <c r="N590" s="40">
        <f t="shared" si="215"/>
        <v>0</v>
      </c>
      <c r="P590" s="40">
        <f t="shared" si="216"/>
        <v>0</v>
      </c>
      <c r="Q590" s="45"/>
      <c r="R590" s="53"/>
      <c r="S590" s="40">
        <f t="shared" si="217"/>
        <v>0</v>
      </c>
      <c r="U590" s="40">
        <f t="shared" si="218"/>
        <v>0</v>
      </c>
      <c r="V590" s="51">
        <v>0</v>
      </c>
      <c r="W590" s="51">
        <v>0</v>
      </c>
      <c r="X590" s="40">
        <f t="shared" si="219"/>
        <v>0</v>
      </c>
      <c r="AA590" s="40">
        <f t="shared" si="220"/>
        <v>0</v>
      </c>
      <c r="AB590" s="40">
        <f t="shared" si="221"/>
        <v>0</v>
      </c>
      <c r="AC590" s="67"/>
    </row>
    <row r="591" spans="6:29" x14ac:dyDescent="0.25">
      <c r="F591" s="45" t="str">
        <f t="shared" si="222"/>
        <v xml:space="preserve">S/F  </v>
      </c>
      <c r="G591" s="45">
        <v>0</v>
      </c>
      <c r="H591" s="53">
        <v>0</v>
      </c>
      <c r="I591" s="40">
        <f t="shared" si="213"/>
        <v>0</v>
      </c>
      <c r="J591" s="53"/>
      <c r="K591" s="40">
        <f t="shared" si="214"/>
        <v>0</v>
      </c>
      <c r="L591" s="45">
        <v>0</v>
      </c>
      <c r="M591" s="53">
        <v>0</v>
      </c>
      <c r="N591" s="40">
        <f t="shared" si="215"/>
        <v>0</v>
      </c>
      <c r="P591" s="40">
        <f t="shared" si="216"/>
        <v>0</v>
      </c>
      <c r="Q591" s="45"/>
      <c r="R591" s="53"/>
      <c r="S591" s="40">
        <f t="shared" si="217"/>
        <v>0</v>
      </c>
      <c r="U591" s="40">
        <f t="shared" si="218"/>
        <v>0</v>
      </c>
      <c r="V591" s="51">
        <v>0</v>
      </c>
      <c r="W591" s="51">
        <v>0</v>
      </c>
      <c r="X591" s="40">
        <f t="shared" si="219"/>
        <v>0</v>
      </c>
      <c r="AA591" s="40">
        <f t="shared" si="220"/>
        <v>0</v>
      </c>
      <c r="AB591" s="40">
        <f t="shared" si="221"/>
        <v>0</v>
      </c>
      <c r="AC591" s="67"/>
    </row>
    <row r="592" spans="6:29" x14ac:dyDescent="0.25">
      <c r="F592" s="45" t="str">
        <f t="shared" si="222"/>
        <v xml:space="preserve">S/F  </v>
      </c>
      <c r="G592" s="45">
        <v>0</v>
      </c>
      <c r="H592" s="53">
        <v>0</v>
      </c>
      <c r="I592" s="40">
        <f t="shared" si="213"/>
        <v>0</v>
      </c>
      <c r="J592" s="53"/>
      <c r="K592" s="40">
        <f t="shared" si="214"/>
        <v>0</v>
      </c>
      <c r="L592" s="45">
        <v>0</v>
      </c>
      <c r="M592" s="53">
        <v>0</v>
      </c>
      <c r="N592" s="40">
        <f t="shared" si="215"/>
        <v>0</v>
      </c>
      <c r="P592" s="40">
        <f t="shared" si="216"/>
        <v>0</v>
      </c>
      <c r="Q592" s="45"/>
      <c r="R592" s="53"/>
      <c r="S592" s="40">
        <f t="shared" si="217"/>
        <v>0</v>
      </c>
      <c r="U592" s="40">
        <f t="shared" si="218"/>
        <v>0</v>
      </c>
      <c r="V592" s="51">
        <v>0</v>
      </c>
      <c r="W592" s="51">
        <v>0</v>
      </c>
      <c r="X592" s="40">
        <f t="shared" si="219"/>
        <v>0</v>
      </c>
      <c r="AA592" s="40">
        <f t="shared" si="220"/>
        <v>0</v>
      </c>
      <c r="AB592" s="40">
        <f t="shared" si="221"/>
        <v>0</v>
      </c>
      <c r="AC592" s="67"/>
    </row>
    <row r="593" spans="6:29" x14ac:dyDescent="0.25">
      <c r="F593" s="45" t="str">
        <f t="shared" si="222"/>
        <v xml:space="preserve">S/F  </v>
      </c>
      <c r="G593" s="45">
        <v>0</v>
      </c>
      <c r="H593" s="53">
        <v>0</v>
      </c>
      <c r="I593" s="40">
        <f t="shared" si="213"/>
        <v>0</v>
      </c>
      <c r="J593" s="53"/>
      <c r="K593" s="40">
        <f t="shared" si="214"/>
        <v>0</v>
      </c>
      <c r="L593" s="45">
        <v>0</v>
      </c>
      <c r="M593" s="53">
        <v>0</v>
      </c>
      <c r="N593" s="40">
        <f t="shared" si="215"/>
        <v>0</v>
      </c>
      <c r="P593" s="40">
        <f t="shared" si="216"/>
        <v>0</v>
      </c>
      <c r="Q593" s="45"/>
      <c r="R593" s="53"/>
      <c r="S593" s="40">
        <f t="shared" si="217"/>
        <v>0</v>
      </c>
      <c r="U593" s="40">
        <f t="shared" si="218"/>
        <v>0</v>
      </c>
      <c r="V593" s="51">
        <v>0</v>
      </c>
      <c r="W593" s="51">
        <v>0</v>
      </c>
      <c r="X593" s="40">
        <f t="shared" si="219"/>
        <v>0</v>
      </c>
      <c r="AA593" s="40">
        <f t="shared" si="220"/>
        <v>0</v>
      </c>
      <c r="AB593" s="40">
        <f t="shared" si="221"/>
        <v>0</v>
      </c>
      <c r="AC593" s="67"/>
    </row>
    <row r="594" spans="6:29" x14ac:dyDescent="0.25">
      <c r="F594" s="45" t="str">
        <f t="shared" si="222"/>
        <v xml:space="preserve">S/F  </v>
      </c>
      <c r="G594" s="45">
        <v>0</v>
      </c>
      <c r="H594" s="53">
        <v>0</v>
      </c>
      <c r="I594" s="40">
        <f t="shared" si="213"/>
        <v>0</v>
      </c>
      <c r="J594" s="53"/>
      <c r="K594" s="40">
        <f t="shared" si="214"/>
        <v>0</v>
      </c>
      <c r="L594" s="45">
        <v>0</v>
      </c>
      <c r="M594" s="53">
        <v>0</v>
      </c>
      <c r="N594" s="40">
        <f t="shared" si="215"/>
        <v>0</v>
      </c>
      <c r="P594" s="40">
        <f t="shared" si="216"/>
        <v>0</v>
      </c>
      <c r="Q594" s="45"/>
      <c r="R594" s="53"/>
      <c r="S594" s="40">
        <f t="shared" si="217"/>
        <v>0</v>
      </c>
      <c r="U594" s="40">
        <f t="shared" si="218"/>
        <v>0</v>
      </c>
      <c r="V594" s="51">
        <v>0</v>
      </c>
      <c r="W594" s="51">
        <v>0</v>
      </c>
      <c r="X594" s="40">
        <f t="shared" si="219"/>
        <v>0</v>
      </c>
      <c r="AA594" s="40">
        <f t="shared" si="220"/>
        <v>0</v>
      </c>
      <c r="AB594" s="40">
        <f t="shared" si="221"/>
        <v>0</v>
      </c>
      <c r="AC594" s="67"/>
    </row>
    <row r="595" spans="6:29" x14ac:dyDescent="0.25">
      <c r="F595" s="45" t="str">
        <f t="shared" si="222"/>
        <v xml:space="preserve">S/F  </v>
      </c>
      <c r="G595" s="45">
        <v>0</v>
      </c>
      <c r="H595" s="53">
        <v>0</v>
      </c>
      <c r="I595" s="40">
        <f t="shared" si="213"/>
        <v>0</v>
      </c>
      <c r="J595" s="53"/>
      <c r="K595" s="40">
        <f t="shared" si="214"/>
        <v>0</v>
      </c>
      <c r="L595" s="45">
        <v>0</v>
      </c>
      <c r="M595" s="53">
        <v>0</v>
      </c>
      <c r="N595" s="40">
        <f t="shared" si="215"/>
        <v>0</v>
      </c>
      <c r="P595" s="40">
        <f t="shared" si="216"/>
        <v>0</v>
      </c>
      <c r="Q595" s="45"/>
      <c r="R595" s="53"/>
      <c r="S595" s="40">
        <f t="shared" si="217"/>
        <v>0</v>
      </c>
      <c r="U595" s="40">
        <f t="shared" si="218"/>
        <v>0</v>
      </c>
      <c r="V595" s="51">
        <v>0</v>
      </c>
      <c r="W595" s="51">
        <v>0</v>
      </c>
      <c r="X595" s="40">
        <f t="shared" si="219"/>
        <v>0</v>
      </c>
      <c r="AA595" s="40">
        <f t="shared" si="220"/>
        <v>0</v>
      </c>
      <c r="AB595" s="40">
        <f t="shared" si="221"/>
        <v>0</v>
      </c>
      <c r="AC595" s="67"/>
    </row>
    <row r="596" spans="6:29" x14ac:dyDescent="0.25">
      <c r="F596" s="45" t="str">
        <f t="shared" si="222"/>
        <v xml:space="preserve">S/F  </v>
      </c>
      <c r="G596" s="45">
        <v>0</v>
      </c>
      <c r="H596" s="53">
        <v>0</v>
      </c>
      <c r="I596" s="40">
        <f t="shared" si="213"/>
        <v>0</v>
      </c>
      <c r="J596" s="53"/>
      <c r="K596" s="40">
        <f t="shared" si="214"/>
        <v>0</v>
      </c>
      <c r="L596" s="45">
        <v>0</v>
      </c>
      <c r="M596" s="53">
        <v>0</v>
      </c>
      <c r="N596" s="40">
        <f t="shared" si="215"/>
        <v>0</v>
      </c>
      <c r="P596" s="40">
        <f t="shared" si="216"/>
        <v>0</v>
      </c>
      <c r="Q596" s="45"/>
      <c r="R596" s="53"/>
      <c r="S596" s="40">
        <f t="shared" si="217"/>
        <v>0</v>
      </c>
      <c r="U596" s="40">
        <f t="shared" si="218"/>
        <v>0</v>
      </c>
      <c r="V596" s="51">
        <v>0</v>
      </c>
      <c r="W596" s="51">
        <v>0</v>
      </c>
      <c r="X596" s="40">
        <f t="shared" si="219"/>
        <v>0</v>
      </c>
      <c r="AA596" s="40">
        <f t="shared" si="220"/>
        <v>0</v>
      </c>
      <c r="AB596" s="40">
        <f t="shared" si="221"/>
        <v>0</v>
      </c>
      <c r="AC596" s="67"/>
    </row>
    <row r="597" spans="6:29" x14ac:dyDescent="0.25">
      <c r="F597" s="45" t="str">
        <f t="shared" si="222"/>
        <v xml:space="preserve">S/F  </v>
      </c>
      <c r="G597" s="45">
        <v>0</v>
      </c>
      <c r="H597" s="53">
        <v>0</v>
      </c>
      <c r="I597" s="40">
        <f t="shared" ref="I597:I660" si="223">+IF(G597&lt;&gt;0,G597*H597/100,0)</f>
        <v>0</v>
      </c>
      <c r="J597" s="53"/>
      <c r="K597" s="40">
        <f t="shared" ref="K597:K660" si="224">+IF(G597&lt;&gt;0,G597*J597/100,0)</f>
        <v>0</v>
      </c>
      <c r="L597" s="45">
        <v>0</v>
      </c>
      <c r="M597" s="53">
        <v>0</v>
      </c>
      <c r="N597" s="40">
        <f t="shared" ref="N597:N660" si="225">+IF(L597&lt;&gt;0,L597*M597/100,0)</f>
        <v>0</v>
      </c>
      <c r="P597" s="40">
        <f t="shared" ref="P597:P660" si="226">+IF(L597&lt;&gt;0,L597*O597/100,0)</f>
        <v>0</v>
      </c>
      <c r="Q597" s="45"/>
      <c r="R597" s="53"/>
      <c r="S597" s="40">
        <f t="shared" ref="S597:S660" si="227">+IF(Q597&lt;&gt;0,Q597*R597/100,0)</f>
        <v>0</v>
      </c>
      <c r="U597" s="40">
        <f t="shared" ref="U597:U660" si="228">+IF(Q597&lt;&gt;0,Q597*T597/100,0)</f>
        <v>0</v>
      </c>
      <c r="V597" s="51">
        <v>0</v>
      </c>
      <c r="W597" s="51">
        <v>0</v>
      </c>
      <c r="X597" s="40">
        <f t="shared" ref="X597:X660" si="229">+IF(W597&lt;&gt;0,V597*W597/100,0)</f>
        <v>0</v>
      </c>
      <c r="AA597" s="40">
        <f t="shared" ref="AA597:AA660" si="230">+IF(Z597&lt;&gt;0,Y597*Z597/100,0)</f>
        <v>0</v>
      </c>
      <c r="AB597" s="40">
        <f t="shared" ref="AB597:AB660" si="231">+G597+I597+K597+L597+N597+P597+Q597+S597+U597-X597-AA597</f>
        <v>0</v>
      </c>
      <c r="AC597" s="67"/>
    </row>
    <row r="598" spans="6:29" x14ac:dyDescent="0.25">
      <c r="F598" s="45" t="str">
        <f t="shared" si="222"/>
        <v xml:space="preserve">S/F  </v>
      </c>
      <c r="G598" s="45">
        <v>0</v>
      </c>
      <c r="H598" s="53">
        <v>0</v>
      </c>
      <c r="I598" s="40">
        <f t="shared" si="223"/>
        <v>0</v>
      </c>
      <c r="J598" s="53"/>
      <c r="K598" s="40">
        <f t="shared" si="224"/>
        <v>0</v>
      </c>
      <c r="L598" s="45">
        <v>0</v>
      </c>
      <c r="M598" s="53">
        <v>0</v>
      </c>
      <c r="N598" s="40">
        <f t="shared" si="225"/>
        <v>0</v>
      </c>
      <c r="P598" s="40">
        <f t="shared" si="226"/>
        <v>0</v>
      </c>
      <c r="Q598" s="45"/>
      <c r="R598" s="53"/>
      <c r="S598" s="40">
        <f t="shared" si="227"/>
        <v>0</v>
      </c>
      <c r="U598" s="40">
        <f t="shared" si="228"/>
        <v>0</v>
      </c>
      <c r="V598" s="51">
        <v>0</v>
      </c>
      <c r="W598" s="51">
        <v>0</v>
      </c>
      <c r="X598" s="40">
        <f t="shared" si="229"/>
        <v>0</v>
      </c>
      <c r="AA598" s="40">
        <f t="shared" si="230"/>
        <v>0</v>
      </c>
      <c r="AB598" s="40">
        <f t="shared" si="231"/>
        <v>0</v>
      </c>
      <c r="AC598" s="67"/>
    </row>
    <row r="599" spans="6:29" x14ac:dyDescent="0.25">
      <c r="F599" s="45" t="str">
        <f t="shared" si="222"/>
        <v xml:space="preserve">S/F  </v>
      </c>
      <c r="G599" s="45">
        <v>0</v>
      </c>
      <c r="H599" s="53">
        <v>0</v>
      </c>
      <c r="I599" s="40">
        <f t="shared" si="223"/>
        <v>0</v>
      </c>
      <c r="J599" s="53"/>
      <c r="K599" s="40">
        <f t="shared" si="224"/>
        <v>0</v>
      </c>
      <c r="L599" s="45">
        <v>0</v>
      </c>
      <c r="M599" s="53">
        <v>0</v>
      </c>
      <c r="N599" s="40">
        <f t="shared" si="225"/>
        <v>0</v>
      </c>
      <c r="P599" s="40">
        <f t="shared" si="226"/>
        <v>0</v>
      </c>
      <c r="Q599" s="45"/>
      <c r="R599" s="53"/>
      <c r="S599" s="40">
        <f t="shared" si="227"/>
        <v>0</v>
      </c>
      <c r="U599" s="40">
        <f t="shared" si="228"/>
        <v>0</v>
      </c>
      <c r="V599" s="51">
        <v>0</v>
      </c>
      <c r="W599" s="51">
        <v>0</v>
      </c>
      <c r="X599" s="40">
        <f t="shared" si="229"/>
        <v>0</v>
      </c>
      <c r="AA599" s="40">
        <f t="shared" si="230"/>
        <v>0</v>
      </c>
      <c r="AB599" s="40">
        <f t="shared" si="231"/>
        <v>0</v>
      </c>
      <c r="AC599" s="67"/>
    </row>
    <row r="600" spans="6:29" x14ac:dyDescent="0.25">
      <c r="F600" s="45" t="str">
        <f t="shared" si="222"/>
        <v xml:space="preserve">S/F  </v>
      </c>
      <c r="G600" s="45">
        <v>0</v>
      </c>
      <c r="H600" s="53">
        <v>0</v>
      </c>
      <c r="I600" s="40">
        <f t="shared" si="223"/>
        <v>0</v>
      </c>
      <c r="J600" s="53"/>
      <c r="K600" s="40">
        <f t="shared" si="224"/>
        <v>0</v>
      </c>
      <c r="L600" s="45">
        <v>0</v>
      </c>
      <c r="M600" s="53">
        <v>0</v>
      </c>
      <c r="N600" s="40">
        <f t="shared" si="225"/>
        <v>0</v>
      </c>
      <c r="P600" s="40">
        <f t="shared" si="226"/>
        <v>0</v>
      </c>
      <c r="Q600" s="45"/>
      <c r="R600" s="53"/>
      <c r="S600" s="40">
        <f t="shared" si="227"/>
        <v>0</v>
      </c>
      <c r="U600" s="40">
        <f t="shared" si="228"/>
        <v>0</v>
      </c>
      <c r="V600" s="51">
        <v>0</v>
      </c>
      <c r="W600" s="51">
        <v>0</v>
      </c>
      <c r="X600" s="40">
        <f t="shared" si="229"/>
        <v>0</v>
      </c>
      <c r="AA600" s="40">
        <f t="shared" si="230"/>
        <v>0</v>
      </c>
      <c r="AB600" s="40">
        <f t="shared" si="231"/>
        <v>0</v>
      </c>
      <c r="AC600" s="67"/>
    </row>
    <row r="601" spans="6:29" x14ac:dyDescent="0.25">
      <c r="F601" s="45" t="str">
        <f t="shared" si="222"/>
        <v xml:space="preserve">S/F  </v>
      </c>
      <c r="G601" s="45">
        <v>0</v>
      </c>
      <c r="H601" s="53">
        <v>0</v>
      </c>
      <c r="I601" s="40">
        <f t="shared" si="223"/>
        <v>0</v>
      </c>
      <c r="J601" s="53"/>
      <c r="K601" s="40">
        <f t="shared" si="224"/>
        <v>0</v>
      </c>
      <c r="L601" s="45">
        <v>0</v>
      </c>
      <c r="M601" s="53">
        <v>0</v>
      </c>
      <c r="N601" s="40">
        <f t="shared" si="225"/>
        <v>0</v>
      </c>
      <c r="P601" s="40">
        <f t="shared" si="226"/>
        <v>0</v>
      </c>
      <c r="Q601" s="45"/>
      <c r="R601" s="53"/>
      <c r="S601" s="40">
        <f t="shared" si="227"/>
        <v>0</v>
      </c>
      <c r="U601" s="40">
        <f t="shared" si="228"/>
        <v>0</v>
      </c>
      <c r="V601" s="51">
        <v>0</v>
      </c>
      <c r="W601" s="51">
        <v>0</v>
      </c>
      <c r="X601" s="40">
        <f t="shared" si="229"/>
        <v>0</v>
      </c>
      <c r="AA601" s="40">
        <f t="shared" si="230"/>
        <v>0</v>
      </c>
      <c r="AB601" s="40">
        <f t="shared" si="231"/>
        <v>0</v>
      </c>
      <c r="AC601" s="67"/>
    </row>
    <row r="602" spans="6:29" x14ac:dyDescent="0.25">
      <c r="F602" s="45" t="str">
        <f t="shared" si="222"/>
        <v xml:space="preserve">S/F  </v>
      </c>
      <c r="G602" s="45">
        <v>0</v>
      </c>
      <c r="H602" s="53">
        <v>0</v>
      </c>
      <c r="I602" s="40">
        <f t="shared" si="223"/>
        <v>0</v>
      </c>
      <c r="J602" s="53"/>
      <c r="K602" s="40">
        <f t="shared" si="224"/>
        <v>0</v>
      </c>
      <c r="L602" s="45">
        <v>0</v>
      </c>
      <c r="M602" s="53">
        <v>0</v>
      </c>
      <c r="N602" s="40">
        <f t="shared" si="225"/>
        <v>0</v>
      </c>
      <c r="P602" s="40">
        <f t="shared" si="226"/>
        <v>0</v>
      </c>
      <c r="Q602" s="45"/>
      <c r="R602" s="53"/>
      <c r="S602" s="40">
        <f t="shared" si="227"/>
        <v>0</v>
      </c>
      <c r="U602" s="40">
        <f t="shared" si="228"/>
        <v>0</v>
      </c>
      <c r="V602" s="51">
        <v>0</v>
      </c>
      <c r="W602" s="51">
        <v>0</v>
      </c>
      <c r="X602" s="40">
        <f t="shared" si="229"/>
        <v>0</v>
      </c>
      <c r="AA602" s="40">
        <f t="shared" si="230"/>
        <v>0</v>
      </c>
      <c r="AB602" s="40">
        <f t="shared" si="231"/>
        <v>0</v>
      </c>
      <c r="AC602" s="67"/>
    </row>
    <row r="603" spans="6:29" x14ac:dyDescent="0.25">
      <c r="F603" s="45" t="str">
        <f t="shared" si="222"/>
        <v xml:space="preserve">S/F  </v>
      </c>
      <c r="G603" s="45">
        <v>0</v>
      </c>
      <c r="H603" s="53">
        <v>0</v>
      </c>
      <c r="I603" s="40">
        <f t="shared" si="223"/>
        <v>0</v>
      </c>
      <c r="J603" s="53"/>
      <c r="K603" s="40">
        <f t="shared" si="224"/>
        <v>0</v>
      </c>
      <c r="L603" s="45">
        <v>0</v>
      </c>
      <c r="M603" s="53">
        <v>0</v>
      </c>
      <c r="N603" s="40">
        <f t="shared" si="225"/>
        <v>0</v>
      </c>
      <c r="P603" s="40">
        <f t="shared" si="226"/>
        <v>0</v>
      </c>
      <c r="Q603" s="45"/>
      <c r="R603" s="53"/>
      <c r="S603" s="40">
        <f t="shared" si="227"/>
        <v>0</v>
      </c>
      <c r="U603" s="40">
        <f t="shared" si="228"/>
        <v>0</v>
      </c>
      <c r="V603" s="51">
        <v>0</v>
      </c>
      <c r="W603" s="51">
        <v>0</v>
      </c>
      <c r="X603" s="40">
        <f t="shared" si="229"/>
        <v>0</v>
      </c>
      <c r="AA603" s="40">
        <f t="shared" si="230"/>
        <v>0</v>
      </c>
      <c r="AB603" s="40">
        <f t="shared" si="231"/>
        <v>0</v>
      </c>
      <c r="AC603" s="67"/>
    </row>
    <row r="604" spans="6:29" x14ac:dyDescent="0.25">
      <c r="F604" s="45" t="str">
        <f t="shared" si="222"/>
        <v xml:space="preserve">S/F  </v>
      </c>
      <c r="G604" s="45">
        <v>0</v>
      </c>
      <c r="H604" s="53">
        <v>0</v>
      </c>
      <c r="I604" s="40">
        <f t="shared" si="223"/>
        <v>0</v>
      </c>
      <c r="J604" s="53"/>
      <c r="K604" s="40">
        <f t="shared" si="224"/>
        <v>0</v>
      </c>
      <c r="L604" s="45">
        <v>0</v>
      </c>
      <c r="M604" s="53">
        <v>0</v>
      </c>
      <c r="N604" s="40">
        <f t="shared" si="225"/>
        <v>0</v>
      </c>
      <c r="P604" s="40">
        <f t="shared" si="226"/>
        <v>0</v>
      </c>
      <c r="Q604" s="45"/>
      <c r="R604" s="53"/>
      <c r="S604" s="40">
        <f t="shared" si="227"/>
        <v>0</v>
      </c>
      <c r="U604" s="40">
        <f t="shared" si="228"/>
        <v>0</v>
      </c>
      <c r="V604" s="51">
        <v>0</v>
      </c>
      <c r="W604" s="51">
        <v>0</v>
      </c>
      <c r="X604" s="40">
        <f t="shared" si="229"/>
        <v>0</v>
      </c>
      <c r="AA604" s="40">
        <f t="shared" si="230"/>
        <v>0</v>
      </c>
      <c r="AB604" s="40">
        <f t="shared" si="231"/>
        <v>0</v>
      </c>
      <c r="AC604" s="67"/>
    </row>
    <row r="605" spans="6:29" x14ac:dyDescent="0.25">
      <c r="F605" s="45" t="str">
        <f t="shared" si="222"/>
        <v xml:space="preserve">S/F  </v>
      </c>
      <c r="G605" s="45">
        <v>0</v>
      </c>
      <c r="H605" s="53">
        <v>0</v>
      </c>
      <c r="I605" s="40">
        <f t="shared" si="223"/>
        <v>0</v>
      </c>
      <c r="J605" s="53"/>
      <c r="K605" s="40">
        <f t="shared" si="224"/>
        <v>0</v>
      </c>
      <c r="L605" s="45">
        <v>0</v>
      </c>
      <c r="M605" s="53">
        <v>0</v>
      </c>
      <c r="N605" s="40">
        <f t="shared" si="225"/>
        <v>0</v>
      </c>
      <c r="P605" s="40">
        <f t="shared" si="226"/>
        <v>0</v>
      </c>
      <c r="Q605" s="45"/>
      <c r="R605" s="53"/>
      <c r="S605" s="40">
        <f t="shared" si="227"/>
        <v>0</v>
      </c>
      <c r="U605" s="40">
        <f t="shared" si="228"/>
        <v>0</v>
      </c>
      <c r="V605" s="51">
        <v>0</v>
      </c>
      <c r="W605" s="51">
        <v>0</v>
      </c>
      <c r="X605" s="40">
        <f t="shared" si="229"/>
        <v>0</v>
      </c>
      <c r="AA605" s="40">
        <f t="shared" si="230"/>
        <v>0</v>
      </c>
      <c r="AB605" s="40">
        <f t="shared" si="231"/>
        <v>0</v>
      </c>
      <c r="AC605" s="67"/>
    </row>
    <row r="606" spans="6:29" x14ac:dyDescent="0.25">
      <c r="F606" s="45" t="str">
        <f t="shared" si="222"/>
        <v xml:space="preserve">S/F  </v>
      </c>
      <c r="G606" s="45">
        <v>0</v>
      </c>
      <c r="H606" s="53">
        <v>0</v>
      </c>
      <c r="I606" s="40">
        <f t="shared" si="223"/>
        <v>0</v>
      </c>
      <c r="J606" s="53"/>
      <c r="K606" s="40">
        <f t="shared" si="224"/>
        <v>0</v>
      </c>
      <c r="L606" s="45">
        <v>0</v>
      </c>
      <c r="M606" s="53">
        <v>0</v>
      </c>
      <c r="N606" s="40">
        <f t="shared" si="225"/>
        <v>0</v>
      </c>
      <c r="P606" s="40">
        <f t="shared" si="226"/>
        <v>0</v>
      </c>
      <c r="Q606" s="45"/>
      <c r="R606" s="53"/>
      <c r="S606" s="40">
        <f t="shared" si="227"/>
        <v>0</v>
      </c>
      <c r="U606" s="40">
        <f t="shared" si="228"/>
        <v>0</v>
      </c>
      <c r="V606" s="51">
        <v>0</v>
      </c>
      <c r="W606" s="51">
        <v>0</v>
      </c>
      <c r="X606" s="40">
        <f t="shared" si="229"/>
        <v>0</v>
      </c>
      <c r="AA606" s="40">
        <f t="shared" si="230"/>
        <v>0</v>
      </c>
      <c r="AB606" s="40">
        <f t="shared" si="231"/>
        <v>0</v>
      </c>
      <c r="AC606" s="67"/>
    </row>
    <row r="607" spans="6:29" x14ac:dyDescent="0.25">
      <c r="F607" s="45" t="str">
        <f t="shared" si="222"/>
        <v xml:space="preserve">S/F  </v>
      </c>
      <c r="G607" s="45">
        <v>0</v>
      </c>
      <c r="H607" s="53">
        <v>0</v>
      </c>
      <c r="I607" s="40">
        <f t="shared" si="223"/>
        <v>0</v>
      </c>
      <c r="J607" s="53"/>
      <c r="K607" s="40">
        <f t="shared" si="224"/>
        <v>0</v>
      </c>
      <c r="L607" s="45">
        <v>0</v>
      </c>
      <c r="M607" s="53">
        <v>0</v>
      </c>
      <c r="N607" s="40">
        <f t="shared" si="225"/>
        <v>0</v>
      </c>
      <c r="P607" s="40">
        <f t="shared" si="226"/>
        <v>0</v>
      </c>
      <c r="Q607" s="45"/>
      <c r="R607" s="53"/>
      <c r="S607" s="40">
        <f t="shared" si="227"/>
        <v>0</v>
      </c>
      <c r="U607" s="40">
        <f t="shared" si="228"/>
        <v>0</v>
      </c>
      <c r="V607" s="51">
        <v>0</v>
      </c>
      <c r="W607" s="51">
        <v>0</v>
      </c>
      <c r="X607" s="40">
        <f t="shared" si="229"/>
        <v>0</v>
      </c>
      <c r="AA607" s="40">
        <f t="shared" si="230"/>
        <v>0</v>
      </c>
      <c r="AB607" s="40">
        <f t="shared" si="231"/>
        <v>0</v>
      </c>
      <c r="AC607" s="67"/>
    </row>
    <row r="608" spans="6:29" x14ac:dyDescent="0.25">
      <c r="F608" s="45" t="str">
        <f t="shared" si="222"/>
        <v xml:space="preserve">S/F  </v>
      </c>
      <c r="G608" s="45">
        <v>0</v>
      </c>
      <c r="H608" s="53">
        <v>0</v>
      </c>
      <c r="I608" s="40">
        <f t="shared" si="223"/>
        <v>0</v>
      </c>
      <c r="J608" s="53"/>
      <c r="K608" s="40">
        <f t="shared" si="224"/>
        <v>0</v>
      </c>
      <c r="L608" s="45">
        <v>0</v>
      </c>
      <c r="M608" s="53">
        <v>0</v>
      </c>
      <c r="N608" s="40">
        <f t="shared" si="225"/>
        <v>0</v>
      </c>
      <c r="P608" s="40">
        <f t="shared" si="226"/>
        <v>0</v>
      </c>
      <c r="Q608" s="45"/>
      <c r="R608" s="53"/>
      <c r="S608" s="40">
        <f t="shared" si="227"/>
        <v>0</v>
      </c>
      <c r="U608" s="40">
        <f t="shared" si="228"/>
        <v>0</v>
      </c>
      <c r="V608" s="51">
        <v>0</v>
      </c>
      <c r="W608" s="51">
        <v>0</v>
      </c>
      <c r="X608" s="40">
        <f t="shared" si="229"/>
        <v>0</v>
      </c>
      <c r="AA608" s="40">
        <f t="shared" si="230"/>
        <v>0</v>
      </c>
      <c r="AB608" s="40">
        <f t="shared" si="231"/>
        <v>0</v>
      </c>
      <c r="AC608" s="67"/>
    </row>
    <row r="609" spans="6:29" x14ac:dyDescent="0.25">
      <c r="F609" s="45" t="str">
        <f t="shared" si="222"/>
        <v xml:space="preserve">S/F  </v>
      </c>
      <c r="G609" s="45">
        <v>0</v>
      </c>
      <c r="H609" s="53">
        <v>0</v>
      </c>
      <c r="I609" s="40">
        <f t="shared" si="223"/>
        <v>0</v>
      </c>
      <c r="J609" s="53"/>
      <c r="K609" s="40">
        <f t="shared" si="224"/>
        <v>0</v>
      </c>
      <c r="L609" s="45">
        <v>0</v>
      </c>
      <c r="M609" s="53">
        <v>0</v>
      </c>
      <c r="N609" s="40">
        <f t="shared" si="225"/>
        <v>0</v>
      </c>
      <c r="P609" s="40">
        <f t="shared" si="226"/>
        <v>0</v>
      </c>
      <c r="Q609" s="45"/>
      <c r="R609" s="53"/>
      <c r="S609" s="40">
        <f t="shared" si="227"/>
        <v>0</v>
      </c>
      <c r="U609" s="40">
        <f t="shared" si="228"/>
        <v>0</v>
      </c>
      <c r="V609" s="51">
        <v>0</v>
      </c>
      <c r="W609" s="51">
        <v>0</v>
      </c>
      <c r="X609" s="40">
        <f t="shared" si="229"/>
        <v>0</v>
      </c>
      <c r="AA609" s="40">
        <f t="shared" si="230"/>
        <v>0</v>
      </c>
      <c r="AB609" s="40">
        <f t="shared" si="231"/>
        <v>0</v>
      </c>
      <c r="AC609" s="67"/>
    </row>
    <row r="610" spans="6:29" x14ac:dyDescent="0.25">
      <c r="F610" s="45" t="str">
        <f t="shared" si="222"/>
        <v xml:space="preserve">S/F  </v>
      </c>
      <c r="G610" s="45">
        <v>0</v>
      </c>
      <c r="H610" s="53">
        <v>0</v>
      </c>
      <c r="I610" s="40">
        <f t="shared" si="223"/>
        <v>0</v>
      </c>
      <c r="J610" s="53"/>
      <c r="K610" s="40">
        <f t="shared" si="224"/>
        <v>0</v>
      </c>
      <c r="L610" s="45">
        <v>0</v>
      </c>
      <c r="M610" s="53">
        <v>0</v>
      </c>
      <c r="N610" s="40">
        <f t="shared" si="225"/>
        <v>0</v>
      </c>
      <c r="P610" s="40">
        <f t="shared" si="226"/>
        <v>0</v>
      </c>
      <c r="Q610" s="45"/>
      <c r="R610" s="53"/>
      <c r="S610" s="40">
        <f t="shared" si="227"/>
        <v>0</v>
      </c>
      <c r="U610" s="40">
        <f t="shared" si="228"/>
        <v>0</v>
      </c>
      <c r="V610" s="51">
        <v>0</v>
      </c>
      <c r="W610" s="51">
        <v>0</v>
      </c>
      <c r="X610" s="40">
        <f t="shared" si="229"/>
        <v>0</v>
      </c>
      <c r="AA610" s="40">
        <f t="shared" si="230"/>
        <v>0</v>
      </c>
      <c r="AB610" s="40">
        <f t="shared" si="231"/>
        <v>0</v>
      </c>
      <c r="AC610" s="67"/>
    </row>
    <row r="611" spans="6:29" x14ac:dyDescent="0.25">
      <c r="F611" s="45" t="str">
        <f t="shared" si="222"/>
        <v xml:space="preserve">S/F  </v>
      </c>
      <c r="G611" s="45">
        <v>0</v>
      </c>
      <c r="H611" s="53">
        <v>0</v>
      </c>
      <c r="I611" s="40">
        <f t="shared" si="223"/>
        <v>0</v>
      </c>
      <c r="J611" s="53"/>
      <c r="K611" s="40">
        <f t="shared" si="224"/>
        <v>0</v>
      </c>
      <c r="L611" s="45">
        <v>0</v>
      </c>
      <c r="M611" s="53">
        <v>0</v>
      </c>
      <c r="N611" s="40">
        <f t="shared" si="225"/>
        <v>0</v>
      </c>
      <c r="P611" s="40">
        <f t="shared" si="226"/>
        <v>0</v>
      </c>
      <c r="Q611" s="45"/>
      <c r="R611" s="53"/>
      <c r="S611" s="40">
        <f t="shared" si="227"/>
        <v>0</v>
      </c>
      <c r="U611" s="40">
        <f t="shared" si="228"/>
        <v>0</v>
      </c>
      <c r="V611" s="51">
        <v>0</v>
      </c>
      <c r="W611" s="51">
        <v>0</v>
      </c>
      <c r="X611" s="40">
        <f t="shared" si="229"/>
        <v>0</v>
      </c>
      <c r="AA611" s="40">
        <f t="shared" si="230"/>
        <v>0</v>
      </c>
      <c r="AB611" s="40">
        <f t="shared" si="231"/>
        <v>0</v>
      </c>
      <c r="AC611" s="67"/>
    </row>
    <row r="612" spans="6:29" x14ac:dyDescent="0.25">
      <c r="F612" s="45" t="str">
        <f t="shared" si="222"/>
        <v xml:space="preserve">S/F  </v>
      </c>
      <c r="G612" s="45">
        <v>0</v>
      </c>
      <c r="H612" s="53">
        <v>0</v>
      </c>
      <c r="I612" s="40">
        <f t="shared" si="223"/>
        <v>0</v>
      </c>
      <c r="J612" s="53"/>
      <c r="K612" s="40">
        <f t="shared" si="224"/>
        <v>0</v>
      </c>
      <c r="L612" s="45">
        <v>0</v>
      </c>
      <c r="M612" s="53">
        <v>0</v>
      </c>
      <c r="N612" s="40">
        <f t="shared" si="225"/>
        <v>0</v>
      </c>
      <c r="P612" s="40">
        <f t="shared" si="226"/>
        <v>0</v>
      </c>
      <c r="Q612" s="45"/>
      <c r="R612" s="53"/>
      <c r="S612" s="40">
        <f t="shared" si="227"/>
        <v>0</v>
      </c>
      <c r="U612" s="40">
        <f t="shared" si="228"/>
        <v>0</v>
      </c>
      <c r="V612" s="51">
        <v>0</v>
      </c>
      <c r="W612" s="51">
        <v>0</v>
      </c>
      <c r="X612" s="40">
        <f t="shared" si="229"/>
        <v>0</v>
      </c>
      <c r="AA612" s="40">
        <f t="shared" si="230"/>
        <v>0</v>
      </c>
      <c r="AB612" s="40">
        <f t="shared" si="231"/>
        <v>0</v>
      </c>
      <c r="AC612" s="67"/>
    </row>
    <row r="613" spans="6:29" x14ac:dyDescent="0.25">
      <c r="F613" s="45" t="str">
        <f t="shared" si="222"/>
        <v xml:space="preserve">S/F  </v>
      </c>
      <c r="G613" s="45">
        <v>0</v>
      </c>
      <c r="H613" s="53">
        <v>0</v>
      </c>
      <c r="I613" s="40">
        <f t="shared" si="223"/>
        <v>0</v>
      </c>
      <c r="J613" s="53"/>
      <c r="K613" s="40">
        <f t="shared" si="224"/>
        <v>0</v>
      </c>
      <c r="L613" s="45">
        <v>0</v>
      </c>
      <c r="M613" s="53">
        <v>0</v>
      </c>
      <c r="N613" s="40">
        <f t="shared" si="225"/>
        <v>0</v>
      </c>
      <c r="P613" s="40">
        <f t="shared" si="226"/>
        <v>0</v>
      </c>
      <c r="Q613" s="45"/>
      <c r="R613" s="53"/>
      <c r="S613" s="40">
        <f t="shared" si="227"/>
        <v>0</v>
      </c>
      <c r="U613" s="40">
        <f t="shared" si="228"/>
        <v>0</v>
      </c>
      <c r="V613" s="51">
        <v>0</v>
      </c>
      <c r="W613" s="51">
        <v>0</v>
      </c>
      <c r="X613" s="40">
        <f t="shared" si="229"/>
        <v>0</v>
      </c>
      <c r="AA613" s="40">
        <f t="shared" si="230"/>
        <v>0</v>
      </c>
      <c r="AB613" s="40">
        <f t="shared" si="231"/>
        <v>0</v>
      </c>
      <c r="AC613" s="67"/>
    </row>
    <row r="614" spans="6:29" x14ac:dyDescent="0.25">
      <c r="F614" s="45" t="str">
        <f t="shared" si="222"/>
        <v xml:space="preserve">S/F  </v>
      </c>
      <c r="G614" s="45">
        <v>0</v>
      </c>
      <c r="H614" s="53">
        <v>0</v>
      </c>
      <c r="I614" s="40">
        <f t="shared" si="223"/>
        <v>0</v>
      </c>
      <c r="J614" s="53"/>
      <c r="K614" s="40">
        <f t="shared" si="224"/>
        <v>0</v>
      </c>
      <c r="L614" s="45">
        <v>0</v>
      </c>
      <c r="M614" s="53">
        <v>0</v>
      </c>
      <c r="N614" s="40">
        <f t="shared" si="225"/>
        <v>0</v>
      </c>
      <c r="P614" s="40">
        <f t="shared" si="226"/>
        <v>0</v>
      </c>
      <c r="Q614" s="45"/>
      <c r="R614" s="53"/>
      <c r="S614" s="40">
        <f t="shared" si="227"/>
        <v>0</v>
      </c>
      <c r="U614" s="40">
        <f t="shared" si="228"/>
        <v>0</v>
      </c>
      <c r="V614" s="51">
        <v>0</v>
      </c>
      <c r="W614" s="51">
        <v>0</v>
      </c>
      <c r="X614" s="40">
        <f t="shared" si="229"/>
        <v>0</v>
      </c>
      <c r="AA614" s="40">
        <f t="shared" si="230"/>
        <v>0</v>
      </c>
      <c r="AB614" s="40">
        <f t="shared" si="231"/>
        <v>0</v>
      </c>
      <c r="AC614" s="67"/>
    </row>
    <row r="615" spans="6:29" x14ac:dyDescent="0.25">
      <c r="F615" s="45" t="str">
        <f t="shared" si="222"/>
        <v xml:space="preserve">S/F  </v>
      </c>
      <c r="G615" s="45">
        <v>0</v>
      </c>
      <c r="H615" s="53">
        <v>0</v>
      </c>
      <c r="I615" s="40">
        <f t="shared" si="223"/>
        <v>0</v>
      </c>
      <c r="J615" s="53"/>
      <c r="K615" s="40">
        <f t="shared" si="224"/>
        <v>0</v>
      </c>
      <c r="L615" s="45">
        <v>0</v>
      </c>
      <c r="M615" s="53">
        <v>0</v>
      </c>
      <c r="N615" s="40">
        <f t="shared" si="225"/>
        <v>0</v>
      </c>
      <c r="P615" s="40">
        <f t="shared" si="226"/>
        <v>0</v>
      </c>
      <c r="Q615" s="45"/>
      <c r="R615" s="53"/>
      <c r="S615" s="40">
        <f t="shared" si="227"/>
        <v>0</v>
      </c>
      <c r="U615" s="40">
        <f t="shared" si="228"/>
        <v>0</v>
      </c>
      <c r="V615" s="51">
        <v>0</v>
      </c>
      <c r="W615" s="51">
        <v>0</v>
      </c>
      <c r="X615" s="40">
        <f t="shared" si="229"/>
        <v>0</v>
      </c>
      <c r="AA615" s="40">
        <f t="shared" si="230"/>
        <v>0</v>
      </c>
      <c r="AB615" s="40">
        <f t="shared" si="231"/>
        <v>0</v>
      </c>
      <c r="AC615" s="67"/>
    </row>
    <row r="616" spans="6:29" x14ac:dyDescent="0.25">
      <c r="F616" s="45" t="str">
        <f t="shared" si="222"/>
        <v xml:space="preserve">S/F  </v>
      </c>
      <c r="G616" s="45">
        <v>0</v>
      </c>
      <c r="H616" s="53">
        <v>0</v>
      </c>
      <c r="I616" s="40">
        <f t="shared" si="223"/>
        <v>0</v>
      </c>
      <c r="J616" s="53"/>
      <c r="K616" s="40">
        <f t="shared" si="224"/>
        <v>0</v>
      </c>
      <c r="L616" s="45">
        <v>0</v>
      </c>
      <c r="M616" s="53">
        <v>0</v>
      </c>
      <c r="N616" s="40">
        <f t="shared" si="225"/>
        <v>0</v>
      </c>
      <c r="P616" s="40">
        <f t="shared" si="226"/>
        <v>0</v>
      </c>
      <c r="Q616" s="45"/>
      <c r="R616" s="53"/>
      <c r="S616" s="40">
        <f t="shared" si="227"/>
        <v>0</v>
      </c>
      <c r="U616" s="40">
        <f t="shared" si="228"/>
        <v>0</v>
      </c>
      <c r="V616" s="51">
        <v>0</v>
      </c>
      <c r="W616" s="51">
        <v>0</v>
      </c>
      <c r="X616" s="40">
        <f t="shared" si="229"/>
        <v>0</v>
      </c>
      <c r="AA616" s="40">
        <f t="shared" si="230"/>
        <v>0</v>
      </c>
      <c r="AB616" s="40">
        <f t="shared" si="231"/>
        <v>0</v>
      </c>
      <c r="AC616" s="67"/>
    </row>
    <row r="617" spans="6:29" x14ac:dyDescent="0.25">
      <c r="F617" s="45" t="str">
        <f t="shared" si="222"/>
        <v xml:space="preserve">S/F  </v>
      </c>
      <c r="G617" s="45">
        <v>0</v>
      </c>
      <c r="H617" s="53">
        <v>0</v>
      </c>
      <c r="I617" s="40">
        <f t="shared" si="223"/>
        <v>0</v>
      </c>
      <c r="J617" s="53"/>
      <c r="K617" s="40">
        <f t="shared" si="224"/>
        <v>0</v>
      </c>
      <c r="L617" s="45">
        <v>0</v>
      </c>
      <c r="M617" s="53">
        <v>0</v>
      </c>
      <c r="N617" s="40">
        <f t="shared" si="225"/>
        <v>0</v>
      </c>
      <c r="P617" s="40">
        <f t="shared" si="226"/>
        <v>0</v>
      </c>
      <c r="Q617" s="45"/>
      <c r="R617" s="53"/>
      <c r="S617" s="40">
        <f t="shared" si="227"/>
        <v>0</v>
      </c>
      <c r="U617" s="40">
        <f t="shared" si="228"/>
        <v>0</v>
      </c>
      <c r="V617" s="51">
        <v>0</v>
      </c>
      <c r="W617" s="51">
        <v>0</v>
      </c>
      <c r="X617" s="40">
        <f t="shared" si="229"/>
        <v>0</v>
      </c>
      <c r="AA617" s="40">
        <f t="shared" si="230"/>
        <v>0</v>
      </c>
      <c r="AB617" s="40">
        <f t="shared" si="231"/>
        <v>0</v>
      </c>
      <c r="AC617" s="67"/>
    </row>
    <row r="618" spans="6:29" x14ac:dyDescent="0.25">
      <c r="F618" s="45" t="str">
        <f t="shared" si="222"/>
        <v xml:space="preserve">S/F  </v>
      </c>
      <c r="G618" s="45">
        <v>0</v>
      </c>
      <c r="H618" s="53">
        <v>0</v>
      </c>
      <c r="I618" s="40">
        <f t="shared" si="223"/>
        <v>0</v>
      </c>
      <c r="J618" s="53"/>
      <c r="K618" s="40">
        <f t="shared" si="224"/>
        <v>0</v>
      </c>
      <c r="L618" s="45">
        <v>0</v>
      </c>
      <c r="M618" s="53">
        <v>0</v>
      </c>
      <c r="N618" s="40">
        <f t="shared" si="225"/>
        <v>0</v>
      </c>
      <c r="P618" s="40">
        <f t="shared" si="226"/>
        <v>0</v>
      </c>
      <c r="Q618" s="45"/>
      <c r="R618" s="53"/>
      <c r="S618" s="40">
        <f t="shared" si="227"/>
        <v>0</v>
      </c>
      <c r="U618" s="40">
        <f t="shared" si="228"/>
        <v>0</v>
      </c>
      <c r="V618" s="51">
        <v>0</v>
      </c>
      <c r="W618" s="51">
        <v>0</v>
      </c>
      <c r="X618" s="40">
        <f t="shared" si="229"/>
        <v>0</v>
      </c>
      <c r="AA618" s="40">
        <f t="shared" si="230"/>
        <v>0</v>
      </c>
      <c r="AB618" s="40">
        <f t="shared" si="231"/>
        <v>0</v>
      </c>
      <c r="AC618" s="67"/>
    </row>
    <row r="619" spans="6:29" x14ac:dyDescent="0.25">
      <c r="F619" s="45" t="str">
        <f t="shared" si="222"/>
        <v xml:space="preserve">S/F  </v>
      </c>
      <c r="G619" s="45">
        <v>0</v>
      </c>
      <c r="H619" s="53">
        <v>0</v>
      </c>
      <c r="I619" s="40">
        <f t="shared" si="223"/>
        <v>0</v>
      </c>
      <c r="J619" s="53"/>
      <c r="K619" s="40">
        <f t="shared" si="224"/>
        <v>0</v>
      </c>
      <c r="L619" s="45">
        <v>0</v>
      </c>
      <c r="M619" s="53">
        <v>0</v>
      </c>
      <c r="N619" s="40">
        <f t="shared" si="225"/>
        <v>0</v>
      </c>
      <c r="P619" s="40">
        <f t="shared" si="226"/>
        <v>0</v>
      </c>
      <c r="Q619" s="45"/>
      <c r="R619" s="53"/>
      <c r="S619" s="40">
        <f t="shared" si="227"/>
        <v>0</v>
      </c>
      <c r="U619" s="40">
        <f t="shared" si="228"/>
        <v>0</v>
      </c>
      <c r="V619" s="51">
        <v>0</v>
      </c>
      <c r="W619" s="51">
        <v>0</v>
      </c>
      <c r="X619" s="40">
        <f t="shared" si="229"/>
        <v>0</v>
      </c>
      <c r="AA619" s="40">
        <f t="shared" si="230"/>
        <v>0</v>
      </c>
      <c r="AB619" s="40">
        <f t="shared" si="231"/>
        <v>0</v>
      </c>
      <c r="AC619" s="67"/>
    </row>
    <row r="620" spans="6:29" x14ac:dyDescent="0.25">
      <c r="F620" s="45" t="str">
        <f t="shared" si="222"/>
        <v xml:space="preserve">S/F  </v>
      </c>
      <c r="G620" s="45">
        <v>0</v>
      </c>
      <c r="H620" s="53">
        <v>0</v>
      </c>
      <c r="I620" s="40">
        <f t="shared" si="223"/>
        <v>0</v>
      </c>
      <c r="J620" s="53"/>
      <c r="K620" s="40">
        <f t="shared" si="224"/>
        <v>0</v>
      </c>
      <c r="L620" s="45">
        <v>0</v>
      </c>
      <c r="M620" s="53">
        <v>0</v>
      </c>
      <c r="N620" s="40">
        <f t="shared" si="225"/>
        <v>0</v>
      </c>
      <c r="P620" s="40">
        <f t="shared" si="226"/>
        <v>0</v>
      </c>
      <c r="Q620" s="45"/>
      <c r="R620" s="53"/>
      <c r="S620" s="40">
        <f t="shared" si="227"/>
        <v>0</v>
      </c>
      <c r="U620" s="40">
        <f t="shared" si="228"/>
        <v>0</v>
      </c>
      <c r="V620" s="51">
        <v>0</v>
      </c>
      <c r="W620" s="51">
        <v>0</v>
      </c>
      <c r="X620" s="40">
        <f t="shared" si="229"/>
        <v>0</v>
      </c>
      <c r="AA620" s="40">
        <f t="shared" si="230"/>
        <v>0</v>
      </c>
      <c r="AB620" s="40">
        <f t="shared" si="231"/>
        <v>0</v>
      </c>
      <c r="AC620" s="67"/>
    </row>
    <row r="621" spans="6:29" x14ac:dyDescent="0.25">
      <c r="F621" s="45" t="str">
        <f t="shared" si="222"/>
        <v xml:space="preserve">S/F  </v>
      </c>
      <c r="G621" s="45">
        <v>0</v>
      </c>
      <c r="H621" s="53">
        <v>0</v>
      </c>
      <c r="I621" s="40">
        <f t="shared" si="223"/>
        <v>0</v>
      </c>
      <c r="J621" s="53"/>
      <c r="K621" s="40">
        <f t="shared" si="224"/>
        <v>0</v>
      </c>
      <c r="L621" s="45">
        <v>0</v>
      </c>
      <c r="M621" s="53">
        <v>0</v>
      </c>
      <c r="N621" s="40">
        <f t="shared" si="225"/>
        <v>0</v>
      </c>
      <c r="P621" s="40">
        <f t="shared" si="226"/>
        <v>0</v>
      </c>
      <c r="Q621" s="45"/>
      <c r="R621" s="53"/>
      <c r="S621" s="40">
        <f t="shared" si="227"/>
        <v>0</v>
      </c>
      <c r="U621" s="40">
        <f t="shared" si="228"/>
        <v>0</v>
      </c>
      <c r="V621" s="51">
        <v>0</v>
      </c>
      <c r="W621" s="51">
        <v>0</v>
      </c>
      <c r="X621" s="40">
        <f t="shared" si="229"/>
        <v>0</v>
      </c>
      <c r="AA621" s="40">
        <f t="shared" si="230"/>
        <v>0</v>
      </c>
      <c r="AB621" s="40">
        <f t="shared" si="231"/>
        <v>0</v>
      </c>
      <c r="AC621" s="67"/>
    </row>
    <row r="622" spans="6:29" x14ac:dyDescent="0.25">
      <c r="F622" s="45" t="str">
        <f t="shared" si="222"/>
        <v xml:space="preserve">S/F  </v>
      </c>
      <c r="G622" s="45">
        <v>0</v>
      </c>
      <c r="H622" s="53">
        <v>0</v>
      </c>
      <c r="I622" s="40">
        <f t="shared" si="223"/>
        <v>0</v>
      </c>
      <c r="J622" s="53"/>
      <c r="K622" s="40">
        <f t="shared" si="224"/>
        <v>0</v>
      </c>
      <c r="L622" s="45">
        <v>0</v>
      </c>
      <c r="M622" s="53">
        <v>0</v>
      </c>
      <c r="N622" s="40">
        <f t="shared" si="225"/>
        <v>0</v>
      </c>
      <c r="P622" s="40">
        <f t="shared" si="226"/>
        <v>0</v>
      </c>
      <c r="Q622" s="45"/>
      <c r="R622" s="53"/>
      <c r="S622" s="40">
        <f t="shared" si="227"/>
        <v>0</v>
      </c>
      <c r="U622" s="40">
        <f t="shared" si="228"/>
        <v>0</v>
      </c>
      <c r="V622" s="51">
        <v>0</v>
      </c>
      <c r="W622" s="51">
        <v>0</v>
      </c>
      <c r="X622" s="40">
        <f t="shared" si="229"/>
        <v>0</v>
      </c>
      <c r="AA622" s="40">
        <f t="shared" si="230"/>
        <v>0</v>
      </c>
      <c r="AB622" s="40">
        <f t="shared" si="231"/>
        <v>0</v>
      </c>
      <c r="AC622" s="67"/>
    </row>
    <row r="623" spans="6:29" x14ac:dyDescent="0.25">
      <c r="F623" s="45" t="str">
        <f t="shared" si="222"/>
        <v xml:space="preserve">S/F  </v>
      </c>
      <c r="G623" s="45">
        <v>0</v>
      </c>
      <c r="H623" s="53">
        <v>0</v>
      </c>
      <c r="I623" s="40">
        <f t="shared" si="223"/>
        <v>0</v>
      </c>
      <c r="J623" s="53"/>
      <c r="K623" s="40">
        <f t="shared" si="224"/>
        <v>0</v>
      </c>
      <c r="L623" s="45">
        <v>0</v>
      </c>
      <c r="M623" s="53">
        <v>0</v>
      </c>
      <c r="N623" s="40">
        <f t="shared" si="225"/>
        <v>0</v>
      </c>
      <c r="P623" s="40">
        <f t="shared" si="226"/>
        <v>0</v>
      </c>
      <c r="Q623" s="45"/>
      <c r="R623" s="53"/>
      <c r="S623" s="40">
        <f t="shared" si="227"/>
        <v>0</v>
      </c>
      <c r="U623" s="40">
        <f t="shared" si="228"/>
        <v>0</v>
      </c>
      <c r="V623" s="51">
        <v>0</v>
      </c>
      <c r="W623" s="51">
        <v>0</v>
      </c>
      <c r="X623" s="40">
        <f t="shared" si="229"/>
        <v>0</v>
      </c>
      <c r="AA623" s="40">
        <f t="shared" si="230"/>
        <v>0</v>
      </c>
      <c r="AB623" s="40">
        <f t="shared" si="231"/>
        <v>0</v>
      </c>
      <c r="AC623" s="67"/>
    </row>
    <row r="624" spans="6:29" x14ac:dyDescent="0.25">
      <c r="F624" s="45" t="str">
        <f t="shared" si="222"/>
        <v xml:space="preserve">S/F  </v>
      </c>
      <c r="G624" s="45">
        <v>0</v>
      </c>
      <c r="H624" s="53">
        <v>0</v>
      </c>
      <c r="I624" s="40">
        <f t="shared" si="223"/>
        <v>0</v>
      </c>
      <c r="J624" s="53"/>
      <c r="K624" s="40">
        <f t="shared" si="224"/>
        <v>0</v>
      </c>
      <c r="L624" s="45">
        <v>0</v>
      </c>
      <c r="M624" s="53">
        <v>0</v>
      </c>
      <c r="N624" s="40">
        <f t="shared" si="225"/>
        <v>0</v>
      </c>
      <c r="P624" s="40">
        <f t="shared" si="226"/>
        <v>0</v>
      </c>
      <c r="Q624" s="45"/>
      <c r="R624" s="53"/>
      <c r="S624" s="40">
        <f t="shared" si="227"/>
        <v>0</v>
      </c>
      <c r="U624" s="40">
        <f t="shared" si="228"/>
        <v>0</v>
      </c>
      <c r="V624" s="51">
        <v>0</v>
      </c>
      <c r="W624" s="51">
        <v>0</v>
      </c>
      <c r="X624" s="40">
        <f t="shared" si="229"/>
        <v>0</v>
      </c>
      <c r="AA624" s="40">
        <f t="shared" si="230"/>
        <v>0</v>
      </c>
      <c r="AB624" s="40">
        <f t="shared" si="231"/>
        <v>0</v>
      </c>
      <c r="AC624" s="67"/>
    </row>
    <row r="625" spans="6:29" x14ac:dyDescent="0.25">
      <c r="F625" s="45" t="str">
        <f t="shared" si="222"/>
        <v xml:space="preserve">S/F  </v>
      </c>
      <c r="G625" s="45">
        <v>0</v>
      </c>
      <c r="H625" s="53">
        <v>0</v>
      </c>
      <c r="I625" s="40">
        <f t="shared" si="223"/>
        <v>0</v>
      </c>
      <c r="J625" s="53"/>
      <c r="K625" s="40">
        <f t="shared" si="224"/>
        <v>0</v>
      </c>
      <c r="L625" s="45">
        <v>0</v>
      </c>
      <c r="M625" s="53">
        <v>0</v>
      </c>
      <c r="N625" s="40">
        <f t="shared" si="225"/>
        <v>0</v>
      </c>
      <c r="P625" s="40">
        <f t="shared" si="226"/>
        <v>0</v>
      </c>
      <c r="Q625" s="45"/>
      <c r="R625" s="53"/>
      <c r="S625" s="40">
        <f t="shared" si="227"/>
        <v>0</v>
      </c>
      <c r="U625" s="40">
        <f t="shared" si="228"/>
        <v>0</v>
      </c>
      <c r="V625" s="51">
        <v>0</v>
      </c>
      <c r="W625" s="51">
        <v>0</v>
      </c>
      <c r="X625" s="40">
        <f t="shared" si="229"/>
        <v>0</v>
      </c>
      <c r="AA625" s="40">
        <f t="shared" si="230"/>
        <v>0</v>
      </c>
      <c r="AB625" s="40">
        <f t="shared" si="231"/>
        <v>0</v>
      </c>
      <c r="AC625" s="67"/>
    </row>
    <row r="626" spans="6:29" x14ac:dyDescent="0.25">
      <c r="F626" s="45" t="str">
        <f t="shared" si="222"/>
        <v xml:space="preserve">S/F  </v>
      </c>
      <c r="G626" s="45">
        <v>0</v>
      </c>
      <c r="H626" s="53">
        <v>0</v>
      </c>
      <c r="I626" s="40">
        <f t="shared" si="223"/>
        <v>0</v>
      </c>
      <c r="J626" s="53"/>
      <c r="K626" s="40">
        <f t="shared" si="224"/>
        <v>0</v>
      </c>
      <c r="L626" s="45">
        <v>0</v>
      </c>
      <c r="M626" s="53">
        <v>0</v>
      </c>
      <c r="N626" s="40">
        <f t="shared" si="225"/>
        <v>0</v>
      </c>
      <c r="P626" s="40">
        <f t="shared" si="226"/>
        <v>0</v>
      </c>
      <c r="Q626" s="45"/>
      <c r="R626" s="53"/>
      <c r="S626" s="40">
        <f t="shared" si="227"/>
        <v>0</v>
      </c>
      <c r="U626" s="40">
        <f t="shared" si="228"/>
        <v>0</v>
      </c>
      <c r="V626" s="51">
        <v>0</v>
      </c>
      <c r="W626" s="51">
        <v>0</v>
      </c>
      <c r="X626" s="40">
        <f t="shared" si="229"/>
        <v>0</v>
      </c>
      <c r="AA626" s="40">
        <f t="shared" si="230"/>
        <v>0</v>
      </c>
      <c r="AB626" s="40">
        <f t="shared" si="231"/>
        <v>0</v>
      </c>
      <c r="AC626" s="67"/>
    </row>
    <row r="627" spans="6:29" x14ac:dyDescent="0.25">
      <c r="F627" s="45" t="str">
        <f t="shared" si="222"/>
        <v xml:space="preserve">S/F  </v>
      </c>
      <c r="G627" s="45">
        <v>0</v>
      </c>
      <c r="H627" s="53">
        <v>0</v>
      </c>
      <c r="I627" s="40">
        <f t="shared" si="223"/>
        <v>0</v>
      </c>
      <c r="J627" s="53"/>
      <c r="K627" s="40">
        <f t="shared" si="224"/>
        <v>0</v>
      </c>
      <c r="L627" s="45">
        <v>0</v>
      </c>
      <c r="M627" s="53">
        <v>0</v>
      </c>
      <c r="N627" s="40">
        <f t="shared" si="225"/>
        <v>0</v>
      </c>
      <c r="P627" s="40">
        <f t="shared" si="226"/>
        <v>0</v>
      </c>
      <c r="Q627" s="45"/>
      <c r="R627" s="53"/>
      <c r="S627" s="40">
        <f t="shared" si="227"/>
        <v>0</v>
      </c>
      <c r="U627" s="40">
        <f t="shared" si="228"/>
        <v>0</v>
      </c>
      <c r="V627" s="51">
        <v>0</v>
      </c>
      <c r="W627" s="51">
        <v>0</v>
      </c>
      <c r="X627" s="40">
        <f t="shared" si="229"/>
        <v>0</v>
      </c>
      <c r="AA627" s="40">
        <f t="shared" si="230"/>
        <v>0</v>
      </c>
      <c r="AB627" s="40">
        <f t="shared" si="231"/>
        <v>0</v>
      </c>
      <c r="AC627" s="67"/>
    </row>
    <row r="628" spans="6:29" x14ac:dyDescent="0.25">
      <c r="F628" s="45" t="str">
        <f t="shared" si="222"/>
        <v xml:space="preserve">S/F  </v>
      </c>
      <c r="G628" s="45">
        <v>0</v>
      </c>
      <c r="H628" s="53">
        <v>0</v>
      </c>
      <c r="I628" s="40">
        <f t="shared" si="223"/>
        <v>0</v>
      </c>
      <c r="J628" s="53"/>
      <c r="K628" s="40">
        <f t="shared" si="224"/>
        <v>0</v>
      </c>
      <c r="L628" s="45">
        <v>0</v>
      </c>
      <c r="M628" s="53">
        <v>0</v>
      </c>
      <c r="N628" s="40">
        <f t="shared" si="225"/>
        <v>0</v>
      </c>
      <c r="P628" s="40">
        <f t="shared" si="226"/>
        <v>0</v>
      </c>
      <c r="Q628" s="45"/>
      <c r="R628" s="53"/>
      <c r="S628" s="40">
        <f t="shared" si="227"/>
        <v>0</v>
      </c>
      <c r="U628" s="40">
        <f t="shared" si="228"/>
        <v>0</v>
      </c>
      <c r="V628" s="51">
        <v>0</v>
      </c>
      <c r="W628" s="51">
        <v>0</v>
      </c>
      <c r="X628" s="40">
        <f t="shared" si="229"/>
        <v>0</v>
      </c>
      <c r="AA628" s="40">
        <f t="shared" si="230"/>
        <v>0</v>
      </c>
      <c r="AB628" s="40">
        <f t="shared" si="231"/>
        <v>0</v>
      </c>
      <c r="AC628" s="67"/>
    </row>
    <row r="629" spans="6:29" x14ac:dyDescent="0.25">
      <c r="F629" s="45" t="str">
        <f t="shared" si="222"/>
        <v xml:space="preserve">S/F  </v>
      </c>
      <c r="G629" s="45">
        <v>0</v>
      </c>
      <c r="H629" s="53">
        <v>0</v>
      </c>
      <c r="I629" s="40">
        <f t="shared" si="223"/>
        <v>0</v>
      </c>
      <c r="J629" s="53"/>
      <c r="K629" s="40">
        <f t="shared" si="224"/>
        <v>0</v>
      </c>
      <c r="L629" s="45">
        <v>0</v>
      </c>
      <c r="M629" s="53">
        <v>0</v>
      </c>
      <c r="N629" s="40">
        <f t="shared" si="225"/>
        <v>0</v>
      </c>
      <c r="P629" s="40">
        <f t="shared" si="226"/>
        <v>0</v>
      </c>
      <c r="Q629" s="45"/>
      <c r="R629" s="53"/>
      <c r="S629" s="40">
        <f t="shared" si="227"/>
        <v>0</v>
      </c>
      <c r="U629" s="40">
        <f t="shared" si="228"/>
        <v>0</v>
      </c>
      <c r="V629" s="51">
        <v>0</v>
      </c>
      <c r="W629" s="51">
        <v>0</v>
      </c>
      <c r="X629" s="40">
        <f t="shared" si="229"/>
        <v>0</v>
      </c>
      <c r="AA629" s="40">
        <f t="shared" si="230"/>
        <v>0</v>
      </c>
      <c r="AB629" s="40">
        <f t="shared" si="231"/>
        <v>0</v>
      </c>
      <c r="AC629" s="67"/>
    </row>
    <row r="630" spans="6:29" x14ac:dyDescent="0.25">
      <c r="F630" s="45" t="str">
        <f t="shared" si="222"/>
        <v xml:space="preserve">S/F  </v>
      </c>
      <c r="G630" s="45">
        <v>0</v>
      </c>
      <c r="H630" s="53">
        <v>0</v>
      </c>
      <c r="I630" s="40">
        <f t="shared" si="223"/>
        <v>0</v>
      </c>
      <c r="J630" s="53"/>
      <c r="K630" s="40">
        <f t="shared" si="224"/>
        <v>0</v>
      </c>
      <c r="L630" s="45">
        <v>0</v>
      </c>
      <c r="M630" s="53">
        <v>0</v>
      </c>
      <c r="N630" s="40">
        <f t="shared" si="225"/>
        <v>0</v>
      </c>
      <c r="P630" s="40">
        <f t="shared" si="226"/>
        <v>0</v>
      </c>
      <c r="Q630" s="45"/>
      <c r="R630" s="53"/>
      <c r="S630" s="40">
        <f t="shared" si="227"/>
        <v>0</v>
      </c>
      <c r="U630" s="40">
        <f t="shared" si="228"/>
        <v>0</v>
      </c>
      <c r="V630" s="51">
        <v>0</v>
      </c>
      <c r="W630" s="51">
        <v>0</v>
      </c>
      <c r="X630" s="40">
        <f t="shared" si="229"/>
        <v>0</v>
      </c>
      <c r="AA630" s="40">
        <f t="shared" si="230"/>
        <v>0</v>
      </c>
      <c r="AB630" s="40">
        <f t="shared" si="231"/>
        <v>0</v>
      </c>
      <c r="AC630" s="67"/>
    </row>
    <row r="631" spans="6:29" x14ac:dyDescent="0.25">
      <c r="F631" s="45" t="str">
        <f t="shared" si="222"/>
        <v xml:space="preserve">S/F  </v>
      </c>
      <c r="G631" s="45">
        <v>0</v>
      </c>
      <c r="H631" s="53">
        <v>0</v>
      </c>
      <c r="I631" s="40">
        <f t="shared" si="223"/>
        <v>0</v>
      </c>
      <c r="J631" s="53"/>
      <c r="K631" s="40">
        <f t="shared" si="224"/>
        <v>0</v>
      </c>
      <c r="L631" s="45">
        <v>0</v>
      </c>
      <c r="M631" s="53">
        <v>0</v>
      </c>
      <c r="N631" s="40">
        <f t="shared" si="225"/>
        <v>0</v>
      </c>
      <c r="P631" s="40">
        <f t="shared" si="226"/>
        <v>0</v>
      </c>
      <c r="Q631" s="45"/>
      <c r="R631" s="53"/>
      <c r="S631" s="40">
        <f t="shared" si="227"/>
        <v>0</v>
      </c>
      <c r="U631" s="40">
        <f t="shared" si="228"/>
        <v>0</v>
      </c>
      <c r="V631" s="51">
        <v>0</v>
      </c>
      <c r="W631" s="51">
        <v>0</v>
      </c>
      <c r="X631" s="40">
        <f t="shared" si="229"/>
        <v>0</v>
      </c>
      <c r="AA631" s="40">
        <f t="shared" si="230"/>
        <v>0</v>
      </c>
      <c r="AB631" s="40">
        <f t="shared" si="231"/>
        <v>0</v>
      </c>
      <c r="AC631" s="67"/>
    </row>
    <row r="632" spans="6:29" x14ac:dyDescent="0.25">
      <c r="F632" s="45" t="str">
        <f t="shared" si="222"/>
        <v xml:space="preserve">S/F  </v>
      </c>
      <c r="G632" s="45">
        <v>0</v>
      </c>
      <c r="H632" s="53">
        <v>0</v>
      </c>
      <c r="I632" s="40">
        <f t="shared" si="223"/>
        <v>0</v>
      </c>
      <c r="J632" s="53"/>
      <c r="K632" s="40">
        <f t="shared" si="224"/>
        <v>0</v>
      </c>
      <c r="L632" s="45">
        <v>0</v>
      </c>
      <c r="M632" s="53">
        <v>0</v>
      </c>
      <c r="N632" s="40">
        <f t="shared" si="225"/>
        <v>0</v>
      </c>
      <c r="P632" s="40">
        <f t="shared" si="226"/>
        <v>0</v>
      </c>
      <c r="Q632" s="45"/>
      <c r="R632" s="53"/>
      <c r="S632" s="40">
        <f t="shared" si="227"/>
        <v>0</v>
      </c>
      <c r="U632" s="40">
        <f t="shared" si="228"/>
        <v>0</v>
      </c>
      <c r="V632" s="51">
        <v>0</v>
      </c>
      <c r="W632" s="51">
        <v>0</v>
      </c>
      <c r="X632" s="40">
        <f t="shared" si="229"/>
        <v>0</v>
      </c>
      <c r="AA632" s="40">
        <f t="shared" si="230"/>
        <v>0</v>
      </c>
      <c r="AB632" s="40">
        <f t="shared" si="231"/>
        <v>0</v>
      </c>
      <c r="AC632" s="67"/>
    </row>
    <row r="633" spans="6:29" x14ac:dyDescent="0.25">
      <c r="F633" s="45" t="str">
        <f t="shared" si="222"/>
        <v xml:space="preserve">S/F  </v>
      </c>
      <c r="G633" s="45">
        <v>0</v>
      </c>
      <c r="H633" s="53">
        <v>0</v>
      </c>
      <c r="I633" s="40">
        <f t="shared" si="223"/>
        <v>0</v>
      </c>
      <c r="J633" s="53"/>
      <c r="K633" s="40">
        <f t="shared" si="224"/>
        <v>0</v>
      </c>
      <c r="L633" s="45">
        <v>0</v>
      </c>
      <c r="M633" s="53">
        <v>0</v>
      </c>
      <c r="N633" s="40">
        <f t="shared" si="225"/>
        <v>0</v>
      </c>
      <c r="P633" s="40">
        <f t="shared" si="226"/>
        <v>0</v>
      </c>
      <c r="Q633" s="45"/>
      <c r="R633" s="53"/>
      <c r="S633" s="40">
        <f t="shared" si="227"/>
        <v>0</v>
      </c>
      <c r="U633" s="40">
        <f t="shared" si="228"/>
        <v>0</v>
      </c>
      <c r="V633" s="51">
        <v>0</v>
      </c>
      <c r="W633" s="51">
        <v>0</v>
      </c>
      <c r="X633" s="40">
        <f t="shared" si="229"/>
        <v>0</v>
      </c>
      <c r="AA633" s="40">
        <f t="shared" si="230"/>
        <v>0</v>
      </c>
      <c r="AB633" s="40">
        <f t="shared" si="231"/>
        <v>0</v>
      </c>
      <c r="AC633" s="67"/>
    </row>
    <row r="634" spans="6:29" x14ac:dyDescent="0.25">
      <c r="F634" s="45" t="str">
        <f t="shared" si="222"/>
        <v xml:space="preserve">S/F  </v>
      </c>
      <c r="G634" s="45">
        <v>0</v>
      </c>
      <c r="H634" s="53">
        <v>0</v>
      </c>
      <c r="I634" s="40">
        <f t="shared" si="223"/>
        <v>0</v>
      </c>
      <c r="J634" s="53"/>
      <c r="K634" s="40">
        <f t="shared" si="224"/>
        <v>0</v>
      </c>
      <c r="L634" s="45">
        <v>0</v>
      </c>
      <c r="M634" s="53">
        <v>0</v>
      </c>
      <c r="N634" s="40">
        <f t="shared" si="225"/>
        <v>0</v>
      </c>
      <c r="P634" s="40">
        <f t="shared" si="226"/>
        <v>0</v>
      </c>
      <c r="Q634" s="45"/>
      <c r="R634" s="53"/>
      <c r="S634" s="40">
        <f t="shared" si="227"/>
        <v>0</v>
      </c>
      <c r="U634" s="40">
        <f t="shared" si="228"/>
        <v>0</v>
      </c>
      <c r="V634" s="51">
        <v>0</v>
      </c>
      <c r="W634" s="51">
        <v>0</v>
      </c>
      <c r="X634" s="40">
        <f t="shared" si="229"/>
        <v>0</v>
      </c>
      <c r="AA634" s="40">
        <f t="shared" si="230"/>
        <v>0</v>
      </c>
      <c r="AB634" s="40">
        <f t="shared" si="231"/>
        <v>0</v>
      </c>
      <c r="AC634" s="67"/>
    </row>
    <row r="635" spans="6:29" x14ac:dyDescent="0.25">
      <c r="F635" s="45" t="str">
        <f t="shared" si="222"/>
        <v xml:space="preserve">S/F  </v>
      </c>
      <c r="G635" s="45">
        <v>0</v>
      </c>
      <c r="H635" s="53">
        <v>0</v>
      </c>
      <c r="I635" s="40">
        <f t="shared" si="223"/>
        <v>0</v>
      </c>
      <c r="J635" s="53"/>
      <c r="K635" s="40">
        <f t="shared" si="224"/>
        <v>0</v>
      </c>
      <c r="L635" s="45">
        <v>0</v>
      </c>
      <c r="M635" s="53">
        <v>0</v>
      </c>
      <c r="N635" s="40">
        <f t="shared" si="225"/>
        <v>0</v>
      </c>
      <c r="P635" s="40">
        <f t="shared" si="226"/>
        <v>0</v>
      </c>
      <c r="Q635" s="45"/>
      <c r="R635" s="53"/>
      <c r="S635" s="40">
        <f t="shared" si="227"/>
        <v>0</v>
      </c>
      <c r="U635" s="40">
        <f t="shared" si="228"/>
        <v>0</v>
      </c>
      <c r="V635" s="51">
        <v>0</v>
      </c>
      <c r="W635" s="51">
        <v>0</v>
      </c>
      <c r="X635" s="40">
        <f t="shared" si="229"/>
        <v>0</v>
      </c>
      <c r="AA635" s="40">
        <f t="shared" si="230"/>
        <v>0</v>
      </c>
      <c r="AB635" s="40">
        <f t="shared" si="231"/>
        <v>0</v>
      </c>
      <c r="AC635" s="67"/>
    </row>
    <row r="636" spans="6:29" x14ac:dyDescent="0.25">
      <c r="F636" s="45" t="str">
        <f t="shared" si="222"/>
        <v xml:space="preserve">S/F  </v>
      </c>
      <c r="G636" s="45">
        <v>0</v>
      </c>
      <c r="H636" s="53">
        <v>0</v>
      </c>
      <c r="I636" s="40">
        <f t="shared" si="223"/>
        <v>0</v>
      </c>
      <c r="J636" s="53"/>
      <c r="K636" s="40">
        <f t="shared" si="224"/>
        <v>0</v>
      </c>
      <c r="L636" s="45">
        <v>0</v>
      </c>
      <c r="M636" s="53">
        <v>0</v>
      </c>
      <c r="N636" s="40">
        <f t="shared" si="225"/>
        <v>0</v>
      </c>
      <c r="P636" s="40">
        <f t="shared" si="226"/>
        <v>0</v>
      </c>
      <c r="Q636" s="45"/>
      <c r="R636" s="53"/>
      <c r="S636" s="40">
        <f t="shared" si="227"/>
        <v>0</v>
      </c>
      <c r="U636" s="40">
        <f t="shared" si="228"/>
        <v>0</v>
      </c>
      <c r="V636" s="51">
        <v>0</v>
      </c>
      <c r="W636" s="51">
        <v>0</v>
      </c>
      <c r="X636" s="40">
        <f t="shared" si="229"/>
        <v>0</v>
      </c>
      <c r="AA636" s="40">
        <f t="shared" si="230"/>
        <v>0</v>
      </c>
      <c r="AB636" s="40">
        <f t="shared" si="231"/>
        <v>0</v>
      </c>
      <c r="AC636" s="67"/>
    </row>
    <row r="637" spans="6:29" x14ac:dyDescent="0.25">
      <c r="F637" s="45" t="str">
        <f t="shared" si="222"/>
        <v xml:space="preserve">S/F  </v>
      </c>
      <c r="G637" s="45">
        <v>0</v>
      </c>
      <c r="H637" s="53">
        <v>0</v>
      </c>
      <c r="I637" s="40">
        <f t="shared" si="223"/>
        <v>0</v>
      </c>
      <c r="J637" s="53"/>
      <c r="K637" s="40">
        <f t="shared" si="224"/>
        <v>0</v>
      </c>
      <c r="L637" s="45">
        <v>0</v>
      </c>
      <c r="M637" s="53">
        <v>0</v>
      </c>
      <c r="N637" s="40">
        <f t="shared" si="225"/>
        <v>0</v>
      </c>
      <c r="P637" s="40">
        <f t="shared" si="226"/>
        <v>0</v>
      </c>
      <c r="Q637" s="45"/>
      <c r="R637" s="53"/>
      <c r="S637" s="40">
        <f t="shared" si="227"/>
        <v>0</v>
      </c>
      <c r="U637" s="40">
        <f t="shared" si="228"/>
        <v>0</v>
      </c>
      <c r="V637" s="51">
        <v>0</v>
      </c>
      <c r="W637" s="51">
        <v>0</v>
      </c>
      <c r="X637" s="40">
        <f t="shared" si="229"/>
        <v>0</v>
      </c>
      <c r="AA637" s="40">
        <f t="shared" si="230"/>
        <v>0</v>
      </c>
      <c r="AB637" s="40">
        <f t="shared" si="231"/>
        <v>0</v>
      </c>
      <c r="AC637" s="67"/>
    </row>
    <row r="638" spans="6:29" x14ac:dyDescent="0.25">
      <c r="F638" s="45" t="str">
        <f t="shared" si="222"/>
        <v xml:space="preserve">S/F  </v>
      </c>
      <c r="G638" s="45">
        <v>0</v>
      </c>
      <c r="H638" s="53">
        <v>0</v>
      </c>
      <c r="I638" s="40">
        <f t="shared" si="223"/>
        <v>0</v>
      </c>
      <c r="J638" s="53"/>
      <c r="K638" s="40">
        <f t="shared" si="224"/>
        <v>0</v>
      </c>
      <c r="L638" s="45">
        <v>0</v>
      </c>
      <c r="M638" s="53">
        <v>0</v>
      </c>
      <c r="N638" s="40">
        <f t="shared" si="225"/>
        <v>0</v>
      </c>
      <c r="P638" s="40">
        <f t="shared" si="226"/>
        <v>0</v>
      </c>
      <c r="Q638" s="45"/>
      <c r="R638" s="53"/>
      <c r="S638" s="40">
        <f t="shared" si="227"/>
        <v>0</v>
      </c>
      <c r="U638" s="40">
        <f t="shared" si="228"/>
        <v>0</v>
      </c>
      <c r="V638" s="51">
        <v>0</v>
      </c>
      <c r="W638" s="51">
        <v>0</v>
      </c>
      <c r="X638" s="40">
        <f t="shared" si="229"/>
        <v>0</v>
      </c>
      <c r="AA638" s="40">
        <f t="shared" si="230"/>
        <v>0</v>
      </c>
      <c r="AB638" s="40">
        <f t="shared" si="231"/>
        <v>0</v>
      </c>
      <c r="AC638" s="67"/>
    </row>
    <row r="639" spans="6:29" x14ac:dyDescent="0.25">
      <c r="F639" s="45" t="str">
        <f t="shared" si="222"/>
        <v xml:space="preserve">S/F  </v>
      </c>
      <c r="G639" s="45">
        <v>0</v>
      </c>
      <c r="H639" s="53">
        <v>0</v>
      </c>
      <c r="I639" s="40">
        <f t="shared" si="223"/>
        <v>0</v>
      </c>
      <c r="J639" s="53"/>
      <c r="K639" s="40">
        <f t="shared" si="224"/>
        <v>0</v>
      </c>
      <c r="L639" s="45">
        <v>0</v>
      </c>
      <c r="M639" s="53">
        <v>0</v>
      </c>
      <c r="N639" s="40">
        <f t="shared" si="225"/>
        <v>0</v>
      </c>
      <c r="P639" s="40">
        <f t="shared" si="226"/>
        <v>0</v>
      </c>
      <c r="Q639" s="45"/>
      <c r="R639" s="53"/>
      <c r="S639" s="40">
        <f t="shared" si="227"/>
        <v>0</v>
      </c>
      <c r="U639" s="40">
        <f t="shared" si="228"/>
        <v>0</v>
      </c>
      <c r="V639" s="51">
        <v>0</v>
      </c>
      <c r="W639" s="51">
        <v>0</v>
      </c>
      <c r="X639" s="40">
        <f t="shared" si="229"/>
        <v>0</v>
      </c>
      <c r="AA639" s="40">
        <f t="shared" si="230"/>
        <v>0</v>
      </c>
      <c r="AB639" s="40">
        <f t="shared" si="231"/>
        <v>0</v>
      </c>
      <c r="AC639" s="67"/>
    </row>
    <row r="640" spans="6:29" x14ac:dyDescent="0.25">
      <c r="F640" s="45" t="str">
        <f t="shared" si="222"/>
        <v xml:space="preserve">S/F  </v>
      </c>
      <c r="G640" s="45">
        <v>0</v>
      </c>
      <c r="H640" s="53">
        <v>0</v>
      </c>
      <c r="I640" s="40">
        <f t="shared" si="223"/>
        <v>0</v>
      </c>
      <c r="J640" s="53"/>
      <c r="K640" s="40">
        <f t="shared" si="224"/>
        <v>0</v>
      </c>
      <c r="L640" s="45">
        <v>0</v>
      </c>
      <c r="M640" s="53">
        <v>0</v>
      </c>
      <c r="N640" s="40">
        <f t="shared" si="225"/>
        <v>0</v>
      </c>
      <c r="P640" s="40">
        <f t="shared" si="226"/>
        <v>0</v>
      </c>
      <c r="Q640" s="45"/>
      <c r="R640" s="53"/>
      <c r="S640" s="40">
        <f t="shared" si="227"/>
        <v>0</v>
      </c>
      <c r="U640" s="40">
        <f t="shared" si="228"/>
        <v>0</v>
      </c>
      <c r="V640" s="51">
        <v>0</v>
      </c>
      <c r="W640" s="51">
        <v>0</v>
      </c>
      <c r="X640" s="40">
        <f t="shared" si="229"/>
        <v>0</v>
      </c>
      <c r="AA640" s="40">
        <f t="shared" si="230"/>
        <v>0</v>
      </c>
      <c r="AB640" s="40">
        <f t="shared" si="231"/>
        <v>0</v>
      </c>
      <c r="AC640" s="67"/>
    </row>
    <row r="641" spans="6:29" x14ac:dyDescent="0.25">
      <c r="F641" s="45" t="str">
        <f t="shared" si="222"/>
        <v xml:space="preserve">S/F  </v>
      </c>
      <c r="G641" s="45">
        <v>0</v>
      </c>
      <c r="H641" s="53">
        <v>0</v>
      </c>
      <c r="I641" s="40">
        <f t="shared" si="223"/>
        <v>0</v>
      </c>
      <c r="J641" s="53"/>
      <c r="K641" s="40">
        <f t="shared" si="224"/>
        <v>0</v>
      </c>
      <c r="L641" s="45">
        <v>0</v>
      </c>
      <c r="M641" s="53">
        <v>0</v>
      </c>
      <c r="N641" s="40">
        <f t="shared" si="225"/>
        <v>0</v>
      </c>
      <c r="P641" s="40">
        <f t="shared" si="226"/>
        <v>0</v>
      </c>
      <c r="Q641" s="45"/>
      <c r="R641" s="53"/>
      <c r="S641" s="40">
        <f t="shared" si="227"/>
        <v>0</v>
      </c>
      <c r="U641" s="40">
        <f t="shared" si="228"/>
        <v>0</v>
      </c>
      <c r="V641" s="51">
        <v>0</v>
      </c>
      <c r="W641" s="51">
        <v>0</v>
      </c>
      <c r="X641" s="40">
        <f t="shared" si="229"/>
        <v>0</v>
      </c>
      <c r="AA641" s="40">
        <f t="shared" si="230"/>
        <v>0</v>
      </c>
      <c r="AB641" s="40">
        <f t="shared" si="231"/>
        <v>0</v>
      </c>
      <c r="AC641" s="67"/>
    </row>
    <row r="642" spans="6:29" x14ac:dyDescent="0.25">
      <c r="F642" s="45" t="str">
        <f t="shared" si="222"/>
        <v xml:space="preserve">S/F  </v>
      </c>
      <c r="G642" s="45">
        <v>0</v>
      </c>
      <c r="H642" s="53">
        <v>0</v>
      </c>
      <c r="I642" s="40">
        <f t="shared" si="223"/>
        <v>0</v>
      </c>
      <c r="J642" s="53"/>
      <c r="K642" s="40">
        <f t="shared" si="224"/>
        <v>0</v>
      </c>
      <c r="L642" s="45">
        <v>0</v>
      </c>
      <c r="M642" s="53">
        <v>0</v>
      </c>
      <c r="N642" s="40">
        <f t="shared" si="225"/>
        <v>0</v>
      </c>
      <c r="P642" s="40">
        <f t="shared" si="226"/>
        <v>0</v>
      </c>
      <c r="Q642" s="45"/>
      <c r="R642" s="53"/>
      <c r="S642" s="40">
        <f t="shared" si="227"/>
        <v>0</v>
      </c>
      <c r="U642" s="40">
        <f t="shared" si="228"/>
        <v>0</v>
      </c>
      <c r="V642" s="51">
        <v>0</v>
      </c>
      <c r="W642" s="51">
        <v>0</v>
      </c>
      <c r="X642" s="40">
        <f t="shared" si="229"/>
        <v>0</v>
      </c>
      <c r="AA642" s="40">
        <f t="shared" si="230"/>
        <v>0</v>
      </c>
      <c r="AB642" s="40">
        <f t="shared" si="231"/>
        <v>0</v>
      </c>
      <c r="AC642" s="67"/>
    </row>
    <row r="643" spans="6:29" x14ac:dyDescent="0.25">
      <c r="F643" s="45" t="str">
        <f t="shared" si="222"/>
        <v xml:space="preserve">S/F  </v>
      </c>
      <c r="G643" s="45">
        <v>0</v>
      </c>
      <c r="H643" s="53">
        <v>0</v>
      </c>
      <c r="I643" s="40">
        <f t="shared" si="223"/>
        <v>0</v>
      </c>
      <c r="J643" s="53"/>
      <c r="K643" s="40">
        <f t="shared" si="224"/>
        <v>0</v>
      </c>
      <c r="L643" s="45">
        <v>0</v>
      </c>
      <c r="M643" s="53">
        <v>0</v>
      </c>
      <c r="N643" s="40">
        <f t="shared" si="225"/>
        <v>0</v>
      </c>
      <c r="P643" s="40">
        <f t="shared" si="226"/>
        <v>0</v>
      </c>
      <c r="Q643" s="45"/>
      <c r="R643" s="53"/>
      <c r="S643" s="40">
        <f t="shared" si="227"/>
        <v>0</v>
      </c>
      <c r="U643" s="40">
        <f t="shared" si="228"/>
        <v>0</v>
      </c>
      <c r="V643" s="51">
        <v>0</v>
      </c>
      <c r="W643" s="51">
        <v>0</v>
      </c>
      <c r="X643" s="40">
        <f t="shared" si="229"/>
        <v>0</v>
      </c>
      <c r="AA643" s="40">
        <f t="shared" si="230"/>
        <v>0</v>
      </c>
      <c r="AB643" s="40">
        <f t="shared" si="231"/>
        <v>0</v>
      </c>
      <c r="AC643" s="67"/>
    </row>
    <row r="644" spans="6:29" x14ac:dyDescent="0.25">
      <c r="F644" s="45" t="str">
        <f t="shared" si="222"/>
        <v xml:space="preserve">S/F  </v>
      </c>
      <c r="G644" s="45">
        <v>0</v>
      </c>
      <c r="H644" s="53">
        <v>0</v>
      </c>
      <c r="I644" s="40">
        <f t="shared" si="223"/>
        <v>0</v>
      </c>
      <c r="J644" s="53"/>
      <c r="K644" s="40">
        <f t="shared" si="224"/>
        <v>0</v>
      </c>
      <c r="L644" s="45">
        <v>0</v>
      </c>
      <c r="M644" s="53">
        <v>0</v>
      </c>
      <c r="N644" s="40">
        <f t="shared" si="225"/>
        <v>0</v>
      </c>
      <c r="P644" s="40">
        <f t="shared" si="226"/>
        <v>0</v>
      </c>
      <c r="Q644" s="45"/>
      <c r="R644" s="53"/>
      <c r="S644" s="40">
        <f t="shared" si="227"/>
        <v>0</v>
      </c>
      <c r="U644" s="40">
        <f t="shared" si="228"/>
        <v>0</v>
      </c>
      <c r="V644" s="51">
        <v>0</v>
      </c>
      <c r="W644" s="51">
        <v>0</v>
      </c>
      <c r="X644" s="40">
        <f t="shared" si="229"/>
        <v>0</v>
      </c>
      <c r="AA644" s="40">
        <f t="shared" si="230"/>
        <v>0</v>
      </c>
      <c r="AB644" s="40">
        <f t="shared" si="231"/>
        <v>0</v>
      </c>
      <c r="AC644" s="67"/>
    </row>
    <row r="645" spans="6:29" x14ac:dyDescent="0.25">
      <c r="F645" s="45" t="str">
        <f t="shared" si="222"/>
        <v xml:space="preserve">S/F  </v>
      </c>
      <c r="G645" s="45">
        <v>0</v>
      </c>
      <c r="H645" s="53">
        <v>0</v>
      </c>
      <c r="I645" s="40">
        <f t="shared" si="223"/>
        <v>0</v>
      </c>
      <c r="J645" s="53"/>
      <c r="K645" s="40">
        <f t="shared" si="224"/>
        <v>0</v>
      </c>
      <c r="L645" s="45">
        <v>0</v>
      </c>
      <c r="M645" s="53">
        <v>0</v>
      </c>
      <c r="N645" s="40">
        <f t="shared" si="225"/>
        <v>0</v>
      </c>
      <c r="P645" s="40">
        <f t="shared" si="226"/>
        <v>0</v>
      </c>
      <c r="Q645" s="45"/>
      <c r="R645" s="53"/>
      <c r="S645" s="40">
        <f t="shared" si="227"/>
        <v>0</v>
      </c>
      <c r="U645" s="40">
        <f t="shared" si="228"/>
        <v>0</v>
      </c>
      <c r="V645" s="51">
        <v>0</v>
      </c>
      <c r="W645" s="51">
        <v>0</v>
      </c>
      <c r="X645" s="40">
        <f t="shared" si="229"/>
        <v>0</v>
      </c>
      <c r="AA645" s="40">
        <f t="shared" si="230"/>
        <v>0</v>
      </c>
      <c r="AB645" s="40">
        <f t="shared" si="231"/>
        <v>0</v>
      </c>
      <c r="AC645" s="67"/>
    </row>
    <row r="646" spans="6:29" x14ac:dyDescent="0.25">
      <c r="F646" s="45" t="str">
        <f t="shared" si="222"/>
        <v xml:space="preserve">S/F  </v>
      </c>
      <c r="G646" s="45">
        <v>0</v>
      </c>
      <c r="H646" s="53">
        <v>0</v>
      </c>
      <c r="I646" s="40">
        <f t="shared" si="223"/>
        <v>0</v>
      </c>
      <c r="J646" s="53"/>
      <c r="K646" s="40">
        <f t="shared" si="224"/>
        <v>0</v>
      </c>
      <c r="L646" s="45">
        <v>0</v>
      </c>
      <c r="M646" s="53">
        <v>0</v>
      </c>
      <c r="N646" s="40">
        <f t="shared" si="225"/>
        <v>0</v>
      </c>
      <c r="P646" s="40">
        <f t="shared" si="226"/>
        <v>0</v>
      </c>
      <c r="Q646" s="45"/>
      <c r="R646" s="53"/>
      <c r="S646" s="40">
        <f t="shared" si="227"/>
        <v>0</v>
      </c>
      <c r="U646" s="40">
        <f t="shared" si="228"/>
        <v>0</v>
      </c>
      <c r="V646" s="51">
        <v>0</v>
      </c>
      <c r="W646" s="51">
        <v>0</v>
      </c>
      <c r="X646" s="40">
        <f t="shared" si="229"/>
        <v>0</v>
      </c>
      <c r="AA646" s="40">
        <f t="shared" si="230"/>
        <v>0</v>
      </c>
      <c r="AB646" s="40">
        <f t="shared" si="231"/>
        <v>0</v>
      </c>
      <c r="AC646" s="67"/>
    </row>
    <row r="647" spans="6:29" x14ac:dyDescent="0.25">
      <c r="F647" s="45" t="str">
        <f t="shared" si="222"/>
        <v xml:space="preserve">S/F  </v>
      </c>
      <c r="G647" s="45">
        <v>0</v>
      </c>
      <c r="H647" s="53">
        <v>0</v>
      </c>
      <c r="I647" s="40">
        <f t="shared" si="223"/>
        <v>0</v>
      </c>
      <c r="J647" s="53"/>
      <c r="K647" s="40">
        <f t="shared" si="224"/>
        <v>0</v>
      </c>
      <c r="L647" s="45">
        <v>0</v>
      </c>
      <c r="M647" s="53">
        <v>0</v>
      </c>
      <c r="N647" s="40">
        <f t="shared" si="225"/>
        <v>0</v>
      </c>
      <c r="P647" s="40">
        <f t="shared" si="226"/>
        <v>0</v>
      </c>
      <c r="Q647" s="45"/>
      <c r="R647" s="53"/>
      <c r="S647" s="40">
        <f t="shared" si="227"/>
        <v>0</v>
      </c>
      <c r="U647" s="40">
        <f t="shared" si="228"/>
        <v>0</v>
      </c>
      <c r="V647" s="51">
        <v>0</v>
      </c>
      <c r="W647" s="51">
        <v>0</v>
      </c>
      <c r="X647" s="40">
        <f t="shared" si="229"/>
        <v>0</v>
      </c>
      <c r="AA647" s="40">
        <f t="shared" si="230"/>
        <v>0</v>
      </c>
      <c r="AB647" s="40">
        <f t="shared" si="231"/>
        <v>0</v>
      </c>
      <c r="AC647" s="67"/>
    </row>
    <row r="648" spans="6:29" x14ac:dyDescent="0.25">
      <c r="F648" s="45" t="str">
        <f t="shared" si="222"/>
        <v xml:space="preserve">S/F  </v>
      </c>
      <c r="G648" s="45">
        <v>0</v>
      </c>
      <c r="H648" s="53">
        <v>0</v>
      </c>
      <c r="I648" s="40">
        <f t="shared" si="223"/>
        <v>0</v>
      </c>
      <c r="J648" s="53"/>
      <c r="K648" s="40">
        <f t="shared" si="224"/>
        <v>0</v>
      </c>
      <c r="L648" s="45">
        <v>0</v>
      </c>
      <c r="M648" s="53">
        <v>0</v>
      </c>
      <c r="N648" s="40">
        <f t="shared" si="225"/>
        <v>0</v>
      </c>
      <c r="P648" s="40">
        <f t="shared" si="226"/>
        <v>0</v>
      </c>
      <c r="Q648" s="45"/>
      <c r="R648" s="53"/>
      <c r="S648" s="40">
        <f t="shared" si="227"/>
        <v>0</v>
      </c>
      <c r="U648" s="40">
        <f t="shared" si="228"/>
        <v>0</v>
      </c>
      <c r="V648" s="51">
        <v>0</v>
      </c>
      <c r="W648" s="51">
        <v>0</v>
      </c>
      <c r="X648" s="40">
        <f t="shared" si="229"/>
        <v>0</v>
      </c>
      <c r="AA648" s="40">
        <f t="shared" si="230"/>
        <v>0</v>
      </c>
      <c r="AB648" s="40">
        <f t="shared" si="231"/>
        <v>0</v>
      </c>
      <c r="AC648" s="67"/>
    </row>
    <row r="649" spans="6:29" x14ac:dyDescent="0.25">
      <c r="F649" s="45" t="str">
        <f t="shared" si="222"/>
        <v xml:space="preserve">S/F  </v>
      </c>
      <c r="G649" s="45">
        <v>0</v>
      </c>
      <c r="H649" s="53">
        <v>0</v>
      </c>
      <c r="I649" s="40">
        <f t="shared" si="223"/>
        <v>0</v>
      </c>
      <c r="J649" s="53"/>
      <c r="K649" s="40">
        <f t="shared" si="224"/>
        <v>0</v>
      </c>
      <c r="L649" s="45">
        <v>0</v>
      </c>
      <c r="M649" s="53">
        <v>0</v>
      </c>
      <c r="N649" s="40">
        <f t="shared" si="225"/>
        <v>0</v>
      </c>
      <c r="P649" s="40">
        <f t="shared" si="226"/>
        <v>0</v>
      </c>
      <c r="Q649" s="45"/>
      <c r="R649" s="53"/>
      <c r="S649" s="40">
        <f t="shared" si="227"/>
        <v>0</v>
      </c>
      <c r="U649" s="40">
        <f t="shared" si="228"/>
        <v>0</v>
      </c>
      <c r="V649" s="51">
        <v>0</v>
      </c>
      <c r="W649" s="51">
        <v>0</v>
      </c>
      <c r="X649" s="40">
        <f t="shared" si="229"/>
        <v>0</v>
      </c>
      <c r="AA649" s="40">
        <f t="shared" si="230"/>
        <v>0</v>
      </c>
      <c r="AB649" s="40">
        <f t="shared" si="231"/>
        <v>0</v>
      </c>
      <c r="AC649" s="67"/>
    </row>
    <row r="650" spans="6:29" x14ac:dyDescent="0.25">
      <c r="F650" s="45" t="str">
        <f t="shared" si="222"/>
        <v xml:space="preserve">S/F  </v>
      </c>
      <c r="G650" s="45">
        <v>0</v>
      </c>
      <c r="H650" s="53">
        <v>0</v>
      </c>
      <c r="I650" s="40">
        <f t="shared" si="223"/>
        <v>0</v>
      </c>
      <c r="J650" s="53"/>
      <c r="K650" s="40">
        <f t="shared" si="224"/>
        <v>0</v>
      </c>
      <c r="L650" s="45">
        <v>0</v>
      </c>
      <c r="M650" s="53">
        <v>0</v>
      </c>
      <c r="N650" s="40">
        <f t="shared" si="225"/>
        <v>0</v>
      </c>
      <c r="P650" s="40">
        <f t="shared" si="226"/>
        <v>0</v>
      </c>
      <c r="Q650" s="45"/>
      <c r="R650" s="53"/>
      <c r="S650" s="40">
        <f t="shared" si="227"/>
        <v>0</v>
      </c>
      <c r="U650" s="40">
        <f t="shared" si="228"/>
        <v>0</v>
      </c>
      <c r="V650" s="51">
        <v>0</v>
      </c>
      <c r="W650" s="51">
        <v>0</v>
      </c>
      <c r="X650" s="40">
        <f t="shared" si="229"/>
        <v>0</v>
      </c>
      <c r="AA650" s="40">
        <f t="shared" si="230"/>
        <v>0</v>
      </c>
      <c r="AB650" s="40">
        <f t="shared" si="231"/>
        <v>0</v>
      </c>
      <c r="AC650" s="67"/>
    </row>
    <row r="651" spans="6:29" x14ac:dyDescent="0.25">
      <c r="F651" s="45" t="str">
        <f t="shared" si="222"/>
        <v xml:space="preserve">S/F  </v>
      </c>
      <c r="G651" s="45">
        <v>0</v>
      </c>
      <c r="H651" s="53">
        <v>0</v>
      </c>
      <c r="I651" s="40">
        <f t="shared" si="223"/>
        <v>0</v>
      </c>
      <c r="J651" s="53"/>
      <c r="K651" s="40">
        <f t="shared" si="224"/>
        <v>0</v>
      </c>
      <c r="L651" s="45">
        <v>0</v>
      </c>
      <c r="M651" s="53">
        <v>0</v>
      </c>
      <c r="N651" s="40">
        <f t="shared" si="225"/>
        <v>0</v>
      </c>
      <c r="P651" s="40">
        <f t="shared" si="226"/>
        <v>0</v>
      </c>
      <c r="Q651" s="45"/>
      <c r="R651" s="53"/>
      <c r="S651" s="40">
        <f t="shared" si="227"/>
        <v>0</v>
      </c>
      <c r="U651" s="40">
        <f t="shared" si="228"/>
        <v>0</v>
      </c>
      <c r="V651" s="51">
        <v>0</v>
      </c>
      <c r="W651" s="51">
        <v>0</v>
      </c>
      <c r="X651" s="40">
        <f t="shared" si="229"/>
        <v>0</v>
      </c>
      <c r="AA651" s="40">
        <f t="shared" si="230"/>
        <v>0</v>
      </c>
      <c r="AB651" s="40">
        <f t="shared" si="231"/>
        <v>0</v>
      </c>
      <c r="AC651" s="67"/>
    </row>
    <row r="652" spans="6:29" x14ac:dyDescent="0.25">
      <c r="F652" s="45" t="str">
        <f t="shared" si="222"/>
        <v xml:space="preserve">S/F  </v>
      </c>
      <c r="G652" s="45">
        <v>0</v>
      </c>
      <c r="H652" s="53">
        <v>0</v>
      </c>
      <c r="I652" s="40">
        <f t="shared" si="223"/>
        <v>0</v>
      </c>
      <c r="J652" s="53"/>
      <c r="K652" s="40">
        <f t="shared" si="224"/>
        <v>0</v>
      </c>
      <c r="L652" s="45">
        <v>0</v>
      </c>
      <c r="M652" s="53">
        <v>0</v>
      </c>
      <c r="N652" s="40">
        <f t="shared" si="225"/>
        <v>0</v>
      </c>
      <c r="P652" s="40">
        <f t="shared" si="226"/>
        <v>0</v>
      </c>
      <c r="Q652" s="45"/>
      <c r="R652" s="53"/>
      <c r="S652" s="40">
        <f t="shared" si="227"/>
        <v>0</v>
      </c>
      <c r="U652" s="40">
        <f t="shared" si="228"/>
        <v>0</v>
      </c>
      <c r="V652" s="51">
        <v>0</v>
      </c>
      <c r="W652" s="51">
        <v>0</v>
      </c>
      <c r="X652" s="40">
        <f t="shared" si="229"/>
        <v>0</v>
      </c>
      <c r="AA652" s="40">
        <f t="shared" si="230"/>
        <v>0</v>
      </c>
      <c r="AB652" s="40">
        <f t="shared" si="231"/>
        <v>0</v>
      </c>
      <c r="AC652" s="67"/>
    </row>
    <row r="653" spans="6:29" x14ac:dyDescent="0.25">
      <c r="F653" s="45" t="str">
        <f t="shared" ref="F653:F716" si="232">"S/F "&amp;B653&amp;" "&amp;E653</f>
        <v xml:space="preserve">S/F  </v>
      </c>
      <c r="G653" s="45">
        <v>0</v>
      </c>
      <c r="H653" s="53">
        <v>0</v>
      </c>
      <c r="I653" s="40">
        <f t="shared" si="223"/>
        <v>0</v>
      </c>
      <c r="J653" s="53"/>
      <c r="K653" s="40">
        <f t="shared" si="224"/>
        <v>0</v>
      </c>
      <c r="L653" s="45">
        <v>0</v>
      </c>
      <c r="M653" s="53">
        <v>0</v>
      </c>
      <c r="N653" s="40">
        <f t="shared" si="225"/>
        <v>0</v>
      </c>
      <c r="P653" s="40">
        <f t="shared" si="226"/>
        <v>0</v>
      </c>
      <c r="Q653" s="45"/>
      <c r="R653" s="53"/>
      <c r="S653" s="40">
        <f t="shared" si="227"/>
        <v>0</v>
      </c>
      <c r="U653" s="40">
        <f t="shared" si="228"/>
        <v>0</v>
      </c>
      <c r="V653" s="51">
        <v>0</v>
      </c>
      <c r="W653" s="51">
        <v>0</v>
      </c>
      <c r="X653" s="40">
        <f t="shared" si="229"/>
        <v>0</v>
      </c>
      <c r="AA653" s="40">
        <f t="shared" si="230"/>
        <v>0</v>
      </c>
      <c r="AB653" s="40">
        <f t="shared" si="231"/>
        <v>0</v>
      </c>
      <c r="AC653" s="67"/>
    </row>
    <row r="654" spans="6:29" x14ac:dyDescent="0.25">
      <c r="F654" s="45" t="str">
        <f t="shared" si="232"/>
        <v xml:space="preserve">S/F  </v>
      </c>
      <c r="G654" s="45">
        <v>0</v>
      </c>
      <c r="H654" s="53">
        <v>0</v>
      </c>
      <c r="I654" s="40">
        <f t="shared" si="223"/>
        <v>0</v>
      </c>
      <c r="J654" s="53"/>
      <c r="K654" s="40">
        <f t="shared" si="224"/>
        <v>0</v>
      </c>
      <c r="L654" s="45">
        <v>0</v>
      </c>
      <c r="M654" s="53">
        <v>0</v>
      </c>
      <c r="N654" s="40">
        <f t="shared" si="225"/>
        <v>0</v>
      </c>
      <c r="P654" s="40">
        <f t="shared" si="226"/>
        <v>0</v>
      </c>
      <c r="Q654" s="45"/>
      <c r="R654" s="53"/>
      <c r="S654" s="40">
        <f t="shared" si="227"/>
        <v>0</v>
      </c>
      <c r="U654" s="40">
        <f t="shared" si="228"/>
        <v>0</v>
      </c>
      <c r="V654" s="51">
        <v>0</v>
      </c>
      <c r="W654" s="51">
        <v>0</v>
      </c>
      <c r="X654" s="40">
        <f t="shared" si="229"/>
        <v>0</v>
      </c>
      <c r="AA654" s="40">
        <f t="shared" si="230"/>
        <v>0</v>
      </c>
      <c r="AB654" s="40">
        <f t="shared" si="231"/>
        <v>0</v>
      </c>
      <c r="AC654" s="67"/>
    </row>
    <row r="655" spans="6:29" x14ac:dyDescent="0.25">
      <c r="F655" s="45" t="str">
        <f t="shared" si="232"/>
        <v xml:space="preserve">S/F  </v>
      </c>
      <c r="G655" s="45">
        <v>0</v>
      </c>
      <c r="H655" s="53">
        <v>0</v>
      </c>
      <c r="I655" s="40">
        <f t="shared" si="223"/>
        <v>0</v>
      </c>
      <c r="J655" s="53"/>
      <c r="K655" s="40">
        <f t="shared" si="224"/>
        <v>0</v>
      </c>
      <c r="L655" s="45">
        <v>0</v>
      </c>
      <c r="M655" s="53">
        <v>0</v>
      </c>
      <c r="N655" s="40">
        <f t="shared" si="225"/>
        <v>0</v>
      </c>
      <c r="P655" s="40">
        <f t="shared" si="226"/>
        <v>0</v>
      </c>
      <c r="Q655" s="45"/>
      <c r="R655" s="53"/>
      <c r="S655" s="40">
        <f t="shared" si="227"/>
        <v>0</v>
      </c>
      <c r="U655" s="40">
        <f t="shared" si="228"/>
        <v>0</v>
      </c>
      <c r="V655" s="51">
        <v>0</v>
      </c>
      <c r="W655" s="51">
        <v>0</v>
      </c>
      <c r="X655" s="40">
        <f t="shared" si="229"/>
        <v>0</v>
      </c>
      <c r="AA655" s="40">
        <f t="shared" si="230"/>
        <v>0</v>
      </c>
      <c r="AB655" s="40">
        <f t="shared" si="231"/>
        <v>0</v>
      </c>
      <c r="AC655" s="67"/>
    </row>
    <row r="656" spans="6:29" x14ac:dyDescent="0.25">
      <c r="F656" s="45" t="str">
        <f t="shared" si="232"/>
        <v xml:space="preserve">S/F  </v>
      </c>
      <c r="G656" s="45">
        <v>0</v>
      </c>
      <c r="H656" s="53">
        <v>0</v>
      </c>
      <c r="I656" s="40">
        <f t="shared" si="223"/>
        <v>0</v>
      </c>
      <c r="J656" s="53"/>
      <c r="K656" s="40">
        <f t="shared" si="224"/>
        <v>0</v>
      </c>
      <c r="L656" s="45">
        <v>0</v>
      </c>
      <c r="M656" s="53">
        <v>0</v>
      </c>
      <c r="N656" s="40">
        <f t="shared" si="225"/>
        <v>0</v>
      </c>
      <c r="P656" s="40">
        <f t="shared" si="226"/>
        <v>0</v>
      </c>
      <c r="Q656" s="45"/>
      <c r="R656" s="53"/>
      <c r="S656" s="40">
        <f t="shared" si="227"/>
        <v>0</v>
      </c>
      <c r="U656" s="40">
        <f t="shared" si="228"/>
        <v>0</v>
      </c>
      <c r="V656" s="51">
        <v>0</v>
      </c>
      <c r="W656" s="51">
        <v>0</v>
      </c>
      <c r="X656" s="40">
        <f t="shared" si="229"/>
        <v>0</v>
      </c>
      <c r="AA656" s="40">
        <f t="shared" si="230"/>
        <v>0</v>
      </c>
      <c r="AB656" s="40">
        <f t="shared" si="231"/>
        <v>0</v>
      </c>
      <c r="AC656" s="67"/>
    </row>
    <row r="657" spans="6:29" x14ac:dyDescent="0.25">
      <c r="F657" s="45" t="str">
        <f t="shared" si="232"/>
        <v xml:space="preserve">S/F  </v>
      </c>
      <c r="G657" s="45">
        <v>0</v>
      </c>
      <c r="H657" s="53">
        <v>0</v>
      </c>
      <c r="I657" s="40">
        <f t="shared" si="223"/>
        <v>0</v>
      </c>
      <c r="J657" s="53"/>
      <c r="K657" s="40">
        <f t="shared" si="224"/>
        <v>0</v>
      </c>
      <c r="L657" s="45">
        <v>0</v>
      </c>
      <c r="M657" s="53">
        <v>0</v>
      </c>
      <c r="N657" s="40">
        <f t="shared" si="225"/>
        <v>0</v>
      </c>
      <c r="P657" s="40">
        <f t="shared" si="226"/>
        <v>0</v>
      </c>
      <c r="Q657" s="45"/>
      <c r="R657" s="53"/>
      <c r="S657" s="40">
        <f t="shared" si="227"/>
        <v>0</v>
      </c>
      <c r="U657" s="40">
        <f t="shared" si="228"/>
        <v>0</v>
      </c>
      <c r="V657" s="51">
        <v>0</v>
      </c>
      <c r="W657" s="51">
        <v>0</v>
      </c>
      <c r="X657" s="40">
        <f t="shared" si="229"/>
        <v>0</v>
      </c>
      <c r="AA657" s="40">
        <f t="shared" si="230"/>
        <v>0</v>
      </c>
      <c r="AB657" s="40">
        <f t="shared" si="231"/>
        <v>0</v>
      </c>
      <c r="AC657" s="67"/>
    </row>
    <row r="658" spans="6:29" x14ac:dyDescent="0.25">
      <c r="F658" s="45" t="str">
        <f t="shared" si="232"/>
        <v xml:space="preserve">S/F  </v>
      </c>
      <c r="G658" s="45">
        <v>0</v>
      </c>
      <c r="H658" s="53">
        <v>0</v>
      </c>
      <c r="I658" s="40">
        <f t="shared" si="223"/>
        <v>0</v>
      </c>
      <c r="J658" s="53"/>
      <c r="K658" s="40">
        <f t="shared" si="224"/>
        <v>0</v>
      </c>
      <c r="L658" s="45">
        <v>0</v>
      </c>
      <c r="M658" s="53">
        <v>0</v>
      </c>
      <c r="N658" s="40">
        <f t="shared" si="225"/>
        <v>0</v>
      </c>
      <c r="P658" s="40">
        <f t="shared" si="226"/>
        <v>0</v>
      </c>
      <c r="Q658" s="45"/>
      <c r="R658" s="53"/>
      <c r="S658" s="40">
        <f t="shared" si="227"/>
        <v>0</v>
      </c>
      <c r="U658" s="40">
        <f t="shared" si="228"/>
        <v>0</v>
      </c>
      <c r="V658" s="51">
        <v>0</v>
      </c>
      <c r="W658" s="51">
        <v>0</v>
      </c>
      <c r="X658" s="40">
        <f t="shared" si="229"/>
        <v>0</v>
      </c>
      <c r="AA658" s="40">
        <f t="shared" si="230"/>
        <v>0</v>
      </c>
      <c r="AB658" s="40">
        <f t="shared" si="231"/>
        <v>0</v>
      </c>
      <c r="AC658" s="67"/>
    </row>
    <row r="659" spans="6:29" x14ac:dyDescent="0.25">
      <c r="F659" s="45" t="str">
        <f t="shared" si="232"/>
        <v xml:space="preserve">S/F  </v>
      </c>
      <c r="G659" s="45">
        <v>0</v>
      </c>
      <c r="H659" s="53">
        <v>0</v>
      </c>
      <c r="I659" s="40">
        <f t="shared" si="223"/>
        <v>0</v>
      </c>
      <c r="J659" s="53"/>
      <c r="K659" s="40">
        <f t="shared" si="224"/>
        <v>0</v>
      </c>
      <c r="L659" s="45">
        <v>0</v>
      </c>
      <c r="M659" s="53">
        <v>0</v>
      </c>
      <c r="N659" s="40">
        <f t="shared" si="225"/>
        <v>0</v>
      </c>
      <c r="P659" s="40">
        <f t="shared" si="226"/>
        <v>0</v>
      </c>
      <c r="Q659" s="45"/>
      <c r="R659" s="53"/>
      <c r="S659" s="40">
        <f t="shared" si="227"/>
        <v>0</v>
      </c>
      <c r="U659" s="40">
        <f t="shared" si="228"/>
        <v>0</v>
      </c>
      <c r="V659" s="51">
        <v>0</v>
      </c>
      <c r="W659" s="51">
        <v>0</v>
      </c>
      <c r="X659" s="40">
        <f t="shared" si="229"/>
        <v>0</v>
      </c>
      <c r="AA659" s="40">
        <f t="shared" si="230"/>
        <v>0</v>
      </c>
      <c r="AB659" s="40">
        <f t="shared" si="231"/>
        <v>0</v>
      </c>
      <c r="AC659" s="67"/>
    </row>
    <row r="660" spans="6:29" x14ac:dyDescent="0.25">
      <c r="F660" s="45" t="str">
        <f t="shared" si="232"/>
        <v xml:space="preserve">S/F  </v>
      </c>
      <c r="G660" s="45">
        <v>0</v>
      </c>
      <c r="H660" s="53">
        <v>0</v>
      </c>
      <c r="I660" s="40">
        <f t="shared" si="223"/>
        <v>0</v>
      </c>
      <c r="J660" s="53"/>
      <c r="K660" s="40">
        <f t="shared" si="224"/>
        <v>0</v>
      </c>
      <c r="L660" s="45">
        <v>0</v>
      </c>
      <c r="M660" s="53">
        <v>0</v>
      </c>
      <c r="N660" s="40">
        <f t="shared" si="225"/>
        <v>0</v>
      </c>
      <c r="P660" s="40">
        <f t="shared" si="226"/>
        <v>0</v>
      </c>
      <c r="Q660" s="45"/>
      <c r="R660" s="53"/>
      <c r="S660" s="40">
        <f t="shared" si="227"/>
        <v>0</v>
      </c>
      <c r="U660" s="40">
        <f t="shared" si="228"/>
        <v>0</v>
      </c>
      <c r="V660" s="51">
        <v>0</v>
      </c>
      <c r="W660" s="51">
        <v>0</v>
      </c>
      <c r="X660" s="40">
        <f t="shared" si="229"/>
        <v>0</v>
      </c>
      <c r="AA660" s="40">
        <f t="shared" si="230"/>
        <v>0</v>
      </c>
      <c r="AB660" s="40">
        <f t="shared" si="231"/>
        <v>0</v>
      </c>
      <c r="AC660" s="67"/>
    </row>
    <row r="661" spans="6:29" x14ac:dyDescent="0.25">
      <c r="F661" s="45" t="str">
        <f t="shared" si="232"/>
        <v xml:space="preserve">S/F  </v>
      </c>
      <c r="G661" s="45">
        <v>0</v>
      </c>
      <c r="H661" s="53">
        <v>0</v>
      </c>
      <c r="I661" s="40">
        <f t="shared" ref="I661:I724" si="233">+IF(G661&lt;&gt;0,G661*H661/100,0)</f>
        <v>0</v>
      </c>
      <c r="J661" s="53"/>
      <c r="K661" s="40">
        <f t="shared" ref="K661:K724" si="234">+IF(G661&lt;&gt;0,G661*J661/100,0)</f>
        <v>0</v>
      </c>
      <c r="L661" s="45">
        <v>0</v>
      </c>
      <c r="M661" s="53">
        <v>0</v>
      </c>
      <c r="N661" s="40">
        <f t="shared" ref="N661:N724" si="235">+IF(L661&lt;&gt;0,L661*M661/100,0)</f>
        <v>0</v>
      </c>
      <c r="P661" s="40">
        <f t="shared" ref="P661:P724" si="236">+IF(L661&lt;&gt;0,L661*O661/100,0)</f>
        <v>0</v>
      </c>
      <c r="Q661" s="45"/>
      <c r="R661" s="53"/>
      <c r="S661" s="40">
        <f t="shared" ref="S661:S724" si="237">+IF(Q661&lt;&gt;0,Q661*R661/100,0)</f>
        <v>0</v>
      </c>
      <c r="U661" s="40">
        <f t="shared" ref="U661:U724" si="238">+IF(Q661&lt;&gt;0,Q661*T661/100,0)</f>
        <v>0</v>
      </c>
      <c r="V661" s="51">
        <v>0</v>
      </c>
      <c r="W661" s="51">
        <v>0</v>
      </c>
      <c r="X661" s="40">
        <f t="shared" ref="X661:X724" si="239">+IF(W661&lt;&gt;0,V661*W661/100,0)</f>
        <v>0</v>
      </c>
      <c r="AA661" s="40">
        <f t="shared" ref="AA661:AA724" si="240">+IF(Z661&lt;&gt;0,Y661*Z661/100,0)</f>
        <v>0</v>
      </c>
      <c r="AB661" s="40">
        <f t="shared" ref="AB661:AB724" si="241">+G661+I661+K661+L661+N661+P661+Q661+S661+U661-X661-AA661</f>
        <v>0</v>
      </c>
      <c r="AC661" s="67"/>
    </row>
    <row r="662" spans="6:29" x14ac:dyDescent="0.25">
      <c r="F662" s="45" t="str">
        <f t="shared" si="232"/>
        <v xml:space="preserve">S/F  </v>
      </c>
      <c r="G662" s="45">
        <v>0</v>
      </c>
      <c r="H662" s="53">
        <v>0</v>
      </c>
      <c r="I662" s="40">
        <f t="shared" si="233"/>
        <v>0</v>
      </c>
      <c r="J662" s="53"/>
      <c r="K662" s="40">
        <f t="shared" si="234"/>
        <v>0</v>
      </c>
      <c r="L662" s="45">
        <v>0</v>
      </c>
      <c r="M662" s="53">
        <v>0</v>
      </c>
      <c r="N662" s="40">
        <f t="shared" si="235"/>
        <v>0</v>
      </c>
      <c r="P662" s="40">
        <f t="shared" si="236"/>
        <v>0</v>
      </c>
      <c r="Q662" s="45"/>
      <c r="R662" s="53"/>
      <c r="S662" s="40">
        <f t="shared" si="237"/>
        <v>0</v>
      </c>
      <c r="U662" s="40">
        <f t="shared" si="238"/>
        <v>0</v>
      </c>
      <c r="V662" s="51">
        <v>0</v>
      </c>
      <c r="W662" s="51">
        <v>0</v>
      </c>
      <c r="X662" s="40">
        <f t="shared" si="239"/>
        <v>0</v>
      </c>
      <c r="AA662" s="40">
        <f t="shared" si="240"/>
        <v>0</v>
      </c>
      <c r="AB662" s="40">
        <f t="shared" si="241"/>
        <v>0</v>
      </c>
      <c r="AC662" s="67"/>
    </row>
    <row r="663" spans="6:29" x14ac:dyDescent="0.25">
      <c r="F663" s="45" t="str">
        <f t="shared" si="232"/>
        <v xml:space="preserve">S/F  </v>
      </c>
      <c r="G663" s="45">
        <v>0</v>
      </c>
      <c r="H663" s="53">
        <v>0</v>
      </c>
      <c r="I663" s="40">
        <f t="shared" si="233"/>
        <v>0</v>
      </c>
      <c r="J663" s="53"/>
      <c r="K663" s="40">
        <f t="shared" si="234"/>
        <v>0</v>
      </c>
      <c r="L663" s="45">
        <v>0</v>
      </c>
      <c r="M663" s="53">
        <v>0</v>
      </c>
      <c r="N663" s="40">
        <f t="shared" si="235"/>
        <v>0</v>
      </c>
      <c r="P663" s="40">
        <f t="shared" si="236"/>
        <v>0</v>
      </c>
      <c r="Q663" s="45"/>
      <c r="R663" s="53"/>
      <c r="S663" s="40">
        <f t="shared" si="237"/>
        <v>0</v>
      </c>
      <c r="U663" s="40">
        <f t="shared" si="238"/>
        <v>0</v>
      </c>
      <c r="V663" s="51">
        <v>0</v>
      </c>
      <c r="W663" s="51">
        <v>0</v>
      </c>
      <c r="X663" s="40">
        <f t="shared" si="239"/>
        <v>0</v>
      </c>
      <c r="AA663" s="40">
        <f t="shared" si="240"/>
        <v>0</v>
      </c>
      <c r="AB663" s="40">
        <f t="shared" si="241"/>
        <v>0</v>
      </c>
      <c r="AC663" s="67"/>
    </row>
    <row r="664" spans="6:29" x14ac:dyDescent="0.25">
      <c r="F664" s="45" t="str">
        <f t="shared" si="232"/>
        <v xml:space="preserve">S/F  </v>
      </c>
      <c r="G664" s="45">
        <v>0</v>
      </c>
      <c r="H664" s="53">
        <v>0</v>
      </c>
      <c r="I664" s="40">
        <f t="shared" si="233"/>
        <v>0</v>
      </c>
      <c r="J664" s="53"/>
      <c r="K664" s="40">
        <f t="shared" si="234"/>
        <v>0</v>
      </c>
      <c r="L664" s="45">
        <v>0</v>
      </c>
      <c r="M664" s="53">
        <v>0</v>
      </c>
      <c r="N664" s="40">
        <f t="shared" si="235"/>
        <v>0</v>
      </c>
      <c r="P664" s="40">
        <f t="shared" si="236"/>
        <v>0</v>
      </c>
      <c r="Q664" s="45"/>
      <c r="R664" s="53"/>
      <c r="S664" s="40">
        <f t="shared" si="237"/>
        <v>0</v>
      </c>
      <c r="U664" s="40">
        <f t="shared" si="238"/>
        <v>0</v>
      </c>
      <c r="V664" s="51">
        <v>0</v>
      </c>
      <c r="W664" s="51">
        <v>0</v>
      </c>
      <c r="X664" s="40">
        <f t="shared" si="239"/>
        <v>0</v>
      </c>
      <c r="AA664" s="40">
        <f t="shared" si="240"/>
        <v>0</v>
      </c>
      <c r="AB664" s="40">
        <f t="shared" si="241"/>
        <v>0</v>
      </c>
      <c r="AC664" s="67"/>
    </row>
    <row r="665" spans="6:29" x14ac:dyDescent="0.25">
      <c r="F665" s="45" t="str">
        <f t="shared" si="232"/>
        <v xml:space="preserve">S/F  </v>
      </c>
      <c r="G665" s="45">
        <v>0</v>
      </c>
      <c r="H665" s="53">
        <v>0</v>
      </c>
      <c r="I665" s="40">
        <f t="shared" si="233"/>
        <v>0</v>
      </c>
      <c r="J665" s="53"/>
      <c r="K665" s="40">
        <f t="shared" si="234"/>
        <v>0</v>
      </c>
      <c r="L665" s="45">
        <v>0</v>
      </c>
      <c r="M665" s="53">
        <v>0</v>
      </c>
      <c r="N665" s="40">
        <f t="shared" si="235"/>
        <v>0</v>
      </c>
      <c r="P665" s="40">
        <f t="shared" si="236"/>
        <v>0</v>
      </c>
      <c r="Q665" s="45"/>
      <c r="R665" s="53"/>
      <c r="S665" s="40">
        <f t="shared" si="237"/>
        <v>0</v>
      </c>
      <c r="U665" s="40">
        <f t="shared" si="238"/>
        <v>0</v>
      </c>
      <c r="V665" s="51">
        <v>0</v>
      </c>
      <c r="W665" s="51">
        <v>0</v>
      </c>
      <c r="X665" s="40">
        <f t="shared" si="239"/>
        <v>0</v>
      </c>
      <c r="AA665" s="40">
        <f t="shared" si="240"/>
        <v>0</v>
      </c>
      <c r="AB665" s="40">
        <f t="shared" si="241"/>
        <v>0</v>
      </c>
      <c r="AC665" s="67"/>
    </row>
    <row r="666" spans="6:29" x14ac:dyDescent="0.25">
      <c r="F666" s="45" t="str">
        <f t="shared" si="232"/>
        <v xml:space="preserve">S/F  </v>
      </c>
      <c r="G666" s="45">
        <v>0</v>
      </c>
      <c r="H666" s="53">
        <v>0</v>
      </c>
      <c r="I666" s="40">
        <f t="shared" si="233"/>
        <v>0</v>
      </c>
      <c r="J666" s="53"/>
      <c r="K666" s="40">
        <f t="shared" si="234"/>
        <v>0</v>
      </c>
      <c r="L666" s="45">
        <v>0</v>
      </c>
      <c r="M666" s="53">
        <v>0</v>
      </c>
      <c r="N666" s="40">
        <f t="shared" si="235"/>
        <v>0</v>
      </c>
      <c r="P666" s="40">
        <f t="shared" si="236"/>
        <v>0</v>
      </c>
      <c r="Q666" s="45"/>
      <c r="R666" s="53"/>
      <c r="S666" s="40">
        <f t="shared" si="237"/>
        <v>0</v>
      </c>
      <c r="U666" s="40">
        <f t="shared" si="238"/>
        <v>0</v>
      </c>
      <c r="V666" s="51">
        <v>0</v>
      </c>
      <c r="W666" s="51">
        <v>0</v>
      </c>
      <c r="X666" s="40">
        <f t="shared" si="239"/>
        <v>0</v>
      </c>
      <c r="AA666" s="40">
        <f t="shared" si="240"/>
        <v>0</v>
      </c>
      <c r="AB666" s="40">
        <f t="shared" si="241"/>
        <v>0</v>
      </c>
      <c r="AC666" s="67"/>
    </row>
    <row r="667" spans="6:29" x14ac:dyDescent="0.25">
      <c r="F667" s="45" t="str">
        <f t="shared" si="232"/>
        <v xml:space="preserve">S/F  </v>
      </c>
      <c r="G667" s="45">
        <v>0</v>
      </c>
      <c r="H667" s="53">
        <v>0</v>
      </c>
      <c r="I667" s="40">
        <f t="shared" si="233"/>
        <v>0</v>
      </c>
      <c r="J667" s="53"/>
      <c r="K667" s="40">
        <f t="shared" si="234"/>
        <v>0</v>
      </c>
      <c r="L667" s="45">
        <v>0</v>
      </c>
      <c r="M667" s="53">
        <v>0</v>
      </c>
      <c r="N667" s="40">
        <f t="shared" si="235"/>
        <v>0</v>
      </c>
      <c r="P667" s="40">
        <f t="shared" si="236"/>
        <v>0</v>
      </c>
      <c r="Q667" s="45"/>
      <c r="R667" s="53"/>
      <c r="S667" s="40">
        <f t="shared" si="237"/>
        <v>0</v>
      </c>
      <c r="U667" s="40">
        <f t="shared" si="238"/>
        <v>0</v>
      </c>
      <c r="V667" s="51">
        <v>0</v>
      </c>
      <c r="W667" s="51">
        <v>0</v>
      </c>
      <c r="X667" s="40">
        <f t="shared" si="239"/>
        <v>0</v>
      </c>
      <c r="AA667" s="40">
        <f t="shared" si="240"/>
        <v>0</v>
      </c>
      <c r="AB667" s="40">
        <f t="shared" si="241"/>
        <v>0</v>
      </c>
      <c r="AC667" s="67"/>
    </row>
    <row r="668" spans="6:29" x14ac:dyDescent="0.25">
      <c r="F668" s="45" t="str">
        <f t="shared" si="232"/>
        <v xml:space="preserve">S/F  </v>
      </c>
      <c r="G668" s="45">
        <v>0</v>
      </c>
      <c r="H668" s="53">
        <v>0</v>
      </c>
      <c r="I668" s="40">
        <f t="shared" si="233"/>
        <v>0</v>
      </c>
      <c r="J668" s="53"/>
      <c r="K668" s="40">
        <f t="shared" si="234"/>
        <v>0</v>
      </c>
      <c r="L668" s="45">
        <v>0</v>
      </c>
      <c r="M668" s="53">
        <v>0</v>
      </c>
      <c r="N668" s="40">
        <f t="shared" si="235"/>
        <v>0</v>
      </c>
      <c r="P668" s="40">
        <f t="shared" si="236"/>
        <v>0</v>
      </c>
      <c r="Q668" s="45"/>
      <c r="R668" s="53"/>
      <c r="S668" s="40">
        <f t="shared" si="237"/>
        <v>0</v>
      </c>
      <c r="U668" s="40">
        <f t="shared" si="238"/>
        <v>0</v>
      </c>
      <c r="V668" s="51">
        <v>0</v>
      </c>
      <c r="W668" s="51">
        <v>0</v>
      </c>
      <c r="X668" s="40">
        <f t="shared" si="239"/>
        <v>0</v>
      </c>
      <c r="AA668" s="40">
        <f t="shared" si="240"/>
        <v>0</v>
      </c>
      <c r="AB668" s="40">
        <f t="shared" si="241"/>
        <v>0</v>
      </c>
      <c r="AC668" s="67"/>
    </row>
    <row r="669" spans="6:29" x14ac:dyDescent="0.25">
      <c r="F669" s="45" t="str">
        <f t="shared" si="232"/>
        <v xml:space="preserve">S/F  </v>
      </c>
      <c r="G669" s="45">
        <v>0</v>
      </c>
      <c r="H669" s="53">
        <v>0</v>
      </c>
      <c r="I669" s="40">
        <f t="shared" si="233"/>
        <v>0</v>
      </c>
      <c r="J669" s="53"/>
      <c r="K669" s="40">
        <f t="shared" si="234"/>
        <v>0</v>
      </c>
      <c r="L669" s="45">
        <v>0</v>
      </c>
      <c r="M669" s="53">
        <v>0</v>
      </c>
      <c r="N669" s="40">
        <f t="shared" si="235"/>
        <v>0</v>
      </c>
      <c r="P669" s="40">
        <f t="shared" si="236"/>
        <v>0</v>
      </c>
      <c r="Q669" s="45"/>
      <c r="R669" s="53"/>
      <c r="S669" s="40">
        <f t="shared" si="237"/>
        <v>0</v>
      </c>
      <c r="U669" s="40">
        <f t="shared" si="238"/>
        <v>0</v>
      </c>
      <c r="V669" s="51">
        <v>0</v>
      </c>
      <c r="W669" s="51">
        <v>0</v>
      </c>
      <c r="X669" s="40">
        <f t="shared" si="239"/>
        <v>0</v>
      </c>
      <c r="AA669" s="40">
        <f t="shared" si="240"/>
        <v>0</v>
      </c>
      <c r="AB669" s="40">
        <f t="shared" si="241"/>
        <v>0</v>
      </c>
      <c r="AC669" s="67"/>
    </row>
    <row r="670" spans="6:29" x14ac:dyDescent="0.25">
      <c r="F670" s="45" t="str">
        <f t="shared" si="232"/>
        <v xml:space="preserve">S/F  </v>
      </c>
      <c r="G670" s="45">
        <v>0</v>
      </c>
      <c r="H670" s="53">
        <v>0</v>
      </c>
      <c r="I670" s="40">
        <f t="shared" si="233"/>
        <v>0</v>
      </c>
      <c r="J670" s="53"/>
      <c r="K670" s="40">
        <f t="shared" si="234"/>
        <v>0</v>
      </c>
      <c r="L670" s="45">
        <v>0</v>
      </c>
      <c r="M670" s="53">
        <v>0</v>
      </c>
      <c r="N670" s="40">
        <f t="shared" si="235"/>
        <v>0</v>
      </c>
      <c r="P670" s="40">
        <f t="shared" si="236"/>
        <v>0</v>
      </c>
      <c r="Q670" s="45"/>
      <c r="R670" s="53"/>
      <c r="S670" s="40">
        <f t="shared" si="237"/>
        <v>0</v>
      </c>
      <c r="U670" s="40">
        <f t="shared" si="238"/>
        <v>0</v>
      </c>
      <c r="V670" s="51">
        <v>0</v>
      </c>
      <c r="W670" s="51">
        <v>0</v>
      </c>
      <c r="X670" s="40">
        <f t="shared" si="239"/>
        <v>0</v>
      </c>
      <c r="AA670" s="40">
        <f t="shared" si="240"/>
        <v>0</v>
      </c>
      <c r="AB670" s="40">
        <f t="shared" si="241"/>
        <v>0</v>
      </c>
      <c r="AC670" s="67"/>
    </row>
    <row r="671" spans="6:29" x14ac:dyDescent="0.25">
      <c r="F671" s="45" t="str">
        <f t="shared" si="232"/>
        <v xml:space="preserve">S/F  </v>
      </c>
      <c r="G671" s="45">
        <v>0</v>
      </c>
      <c r="H671" s="53">
        <v>0</v>
      </c>
      <c r="I671" s="40">
        <f t="shared" si="233"/>
        <v>0</v>
      </c>
      <c r="J671" s="53"/>
      <c r="K671" s="40">
        <f t="shared" si="234"/>
        <v>0</v>
      </c>
      <c r="L671" s="45">
        <v>0</v>
      </c>
      <c r="M671" s="53">
        <v>0</v>
      </c>
      <c r="N671" s="40">
        <f t="shared" si="235"/>
        <v>0</v>
      </c>
      <c r="P671" s="40">
        <f t="shared" si="236"/>
        <v>0</v>
      </c>
      <c r="Q671" s="45"/>
      <c r="R671" s="53"/>
      <c r="S671" s="40">
        <f t="shared" si="237"/>
        <v>0</v>
      </c>
      <c r="U671" s="40">
        <f t="shared" si="238"/>
        <v>0</v>
      </c>
      <c r="V671" s="51">
        <v>0</v>
      </c>
      <c r="W671" s="51">
        <v>0</v>
      </c>
      <c r="X671" s="40">
        <f t="shared" si="239"/>
        <v>0</v>
      </c>
      <c r="AA671" s="40">
        <f t="shared" si="240"/>
        <v>0</v>
      </c>
      <c r="AB671" s="40">
        <f t="shared" si="241"/>
        <v>0</v>
      </c>
      <c r="AC671" s="67"/>
    </row>
    <row r="672" spans="6:29" x14ac:dyDescent="0.25">
      <c r="F672" s="45" t="str">
        <f t="shared" si="232"/>
        <v xml:space="preserve">S/F  </v>
      </c>
      <c r="G672" s="45">
        <v>0</v>
      </c>
      <c r="H672" s="53">
        <v>0</v>
      </c>
      <c r="I672" s="40">
        <f t="shared" si="233"/>
        <v>0</v>
      </c>
      <c r="J672" s="53"/>
      <c r="K672" s="40">
        <f t="shared" si="234"/>
        <v>0</v>
      </c>
      <c r="L672" s="45">
        <v>0</v>
      </c>
      <c r="M672" s="53">
        <v>0</v>
      </c>
      <c r="N672" s="40">
        <f t="shared" si="235"/>
        <v>0</v>
      </c>
      <c r="P672" s="40">
        <f t="shared" si="236"/>
        <v>0</v>
      </c>
      <c r="Q672" s="45"/>
      <c r="R672" s="53"/>
      <c r="S672" s="40">
        <f t="shared" si="237"/>
        <v>0</v>
      </c>
      <c r="U672" s="40">
        <f t="shared" si="238"/>
        <v>0</v>
      </c>
      <c r="V672" s="51">
        <v>0</v>
      </c>
      <c r="W672" s="51">
        <v>0</v>
      </c>
      <c r="X672" s="40">
        <f t="shared" si="239"/>
        <v>0</v>
      </c>
      <c r="AA672" s="40">
        <f t="shared" si="240"/>
        <v>0</v>
      </c>
      <c r="AB672" s="40">
        <f t="shared" si="241"/>
        <v>0</v>
      </c>
      <c r="AC672" s="67"/>
    </row>
    <row r="673" spans="6:29" x14ac:dyDescent="0.25">
      <c r="F673" s="45" t="str">
        <f t="shared" si="232"/>
        <v xml:space="preserve">S/F  </v>
      </c>
      <c r="G673" s="45">
        <v>0</v>
      </c>
      <c r="H673" s="53">
        <v>0</v>
      </c>
      <c r="I673" s="40">
        <f t="shared" si="233"/>
        <v>0</v>
      </c>
      <c r="J673" s="53"/>
      <c r="K673" s="40">
        <f t="shared" si="234"/>
        <v>0</v>
      </c>
      <c r="L673" s="45">
        <v>0</v>
      </c>
      <c r="M673" s="53">
        <v>0</v>
      </c>
      <c r="N673" s="40">
        <f t="shared" si="235"/>
        <v>0</v>
      </c>
      <c r="P673" s="40">
        <f t="shared" si="236"/>
        <v>0</v>
      </c>
      <c r="Q673" s="45"/>
      <c r="R673" s="53"/>
      <c r="S673" s="40">
        <f t="shared" si="237"/>
        <v>0</v>
      </c>
      <c r="U673" s="40">
        <f t="shared" si="238"/>
        <v>0</v>
      </c>
      <c r="V673" s="51">
        <v>0</v>
      </c>
      <c r="W673" s="51">
        <v>0</v>
      </c>
      <c r="X673" s="40">
        <f t="shared" si="239"/>
        <v>0</v>
      </c>
      <c r="AA673" s="40">
        <f t="shared" si="240"/>
        <v>0</v>
      </c>
      <c r="AB673" s="40">
        <f t="shared" si="241"/>
        <v>0</v>
      </c>
      <c r="AC673" s="67"/>
    </row>
    <row r="674" spans="6:29" x14ac:dyDescent="0.25">
      <c r="F674" s="45" t="str">
        <f t="shared" si="232"/>
        <v xml:space="preserve">S/F  </v>
      </c>
      <c r="G674" s="45">
        <v>0</v>
      </c>
      <c r="H674" s="53">
        <v>0</v>
      </c>
      <c r="I674" s="40">
        <f t="shared" si="233"/>
        <v>0</v>
      </c>
      <c r="J674" s="53"/>
      <c r="K674" s="40">
        <f t="shared" si="234"/>
        <v>0</v>
      </c>
      <c r="L674" s="45">
        <v>0</v>
      </c>
      <c r="M674" s="53">
        <v>0</v>
      </c>
      <c r="N674" s="40">
        <f t="shared" si="235"/>
        <v>0</v>
      </c>
      <c r="P674" s="40">
        <f t="shared" si="236"/>
        <v>0</v>
      </c>
      <c r="Q674" s="45"/>
      <c r="R674" s="53"/>
      <c r="S674" s="40">
        <f t="shared" si="237"/>
        <v>0</v>
      </c>
      <c r="U674" s="40">
        <f t="shared" si="238"/>
        <v>0</v>
      </c>
      <c r="V674" s="51">
        <v>0</v>
      </c>
      <c r="W674" s="51">
        <v>0</v>
      </c>
      <c r="X674" s="40">
        <f t="shared" si="239"/>
        <v>0</v>
      </c>
      <c r="AA674" s="40">
        <f t="shared" si="240"/>
        <v>0</v>
      </c>
      <c r="AB674" s="40">
        <f t="shared" si="241"/>
        <v>0</v>
      </c>
      <c r="AC674" s="67"/>
    </row>
    <row r="675" spans="6:29" x14ac:dyDescent="0.25">
      <c r="F675" s="45" t="str">
        <f t="shared" si="232"/>
        <v xml:space="preserve">S/F  </v>
      </c>
      <c r="G675" s="45">
        <v>0</v>
      </c>
      <c r="H675" s="53">
        <v>0</v>
      </c>
      <c r="I675" s="40">
        <f t="shared" si="233"/>
        <v>0</v>
      </c>
      <c r="J675" s="53"/>
      <c r="K675" s="40">
        <f t="shared" si="234"/>
        <v>0</v>
      </c>
      <c r="L675" s="45">
        <v>0</v>
      </c>
      <c r="M675" s="53">
        <v>0</v>
      </c>
      <c r="N675" s="40">
        <f t="shared" si="235"/>
        <v>0</v>
      </c>
      <c r="P675" s="40">
        <f t="shared" si="236"/>
        <v>0</v>
      </c>
      <c r="Q675" s="45"/>
      <c r="R675" s="53"/>
      <c r="S675" s="40">
        <f t="shared" si="237"/>
        <v>0</v>
      </c>
      <c r="U675" s="40">
        <f t="shared" si="238"/>
        <v>0</v>
      </c>
      <c r="V675" s="51">
        <v>0</v>
      </c>
      <c r="W675" s="51">
        <v>0</v>
      </c>
      <c r="X675" s="40">
        <f t="shared" si="239"/>
        <v>0</v>
      </c>
      <c r="AA675" s="40">
        <f t="shared" si="240"/>
        <v>0</v>
      </c>
      <c r="AB675" s="40">
        <f t="shared" si="241"/>
        <v>0</v>
      </c>
      <c r="AC675" s="67"/>
    </row>
    <row r="676" spans="6:29" x14ac:dyDescent="0.25">
      <c r="F676" s="45" t="str">
        <f t="shared" si="232"/>
        <v xml:space="preserve">S/F  </v>
      </c>
      <c r="G676" s="45">
        <v>0</v>
      </c>
      <c r="H676" s="53">
        <v>0</v>
      </c>
      <c r="I676" s="40">
        <f t="shared" si="233"/>
        <v>0</v>
      </c>
      <c r="J676" s="53"/>
      <c r="K676" s="40">
        <f t="shared" si="234"/>
        <v>0</v>
      </c>
      <c r="L676" s="45">
        <v>0</v>
      </c>
      <c r="M676" s="53">
        <v>0</v>
      </c>
      <c r="N676" s="40">
        <f t="shared" si="235"/>
        <v>0</v>
      </c>
      <c r="P676" s="40">
        <f t="shared" si="236"/>
        <v>0</v>
      </c>
      <c r="Q676" s="45"/>
      <c r="R676" s="53"/>
      <c r="S676" s="40">
        <f t="shared" si="237"/>
        <v>0</v>
      </c>
      <c r="U676" s="40">
        <f t="shared" si="238"/>
        <v>0</v>
      </c>
      <c r="V676" s="51">
        <v>0</v>
      </c>
      <c r="W676" s="51">
        <v>0</v>
      </c>
      <c r="X676" s="40">
        <f t="shared" si="239"/>
        <v>0</v>
      </c>
      <c r="AA676" s="40">
        <f t="shared" si="240"/>
        <v>0</v>
      </c>
      <c r="AB676" s="40">
        <f t="shared" si="241"/>
        <v>0</v>
      </c>
      <c r="AC676" s="67"/>
    </row>
    <row r="677" spans="6:29" x14ac:dyDescent="0.25">
      <c r="F677" s="45" t="str">
        <f t="shared" si="232"/>
        <v xml:space="preserve">S/F  </v>
      </c>
      <c r="G677" s="45">
        <v>0</v>
      </c>
      <c r="H677" s="53">
        <v>0</v>
      </c>
      <c r="I677" s="40">
        <f t="shared" si="233"/>
        <v>0</v>
      </c>
      <c r="J677" s="53"/>
      <c r="K677" s="40">
        <f t="shared" si="234"/>
        <v>0</v>
      </c>
      <c r="L677" s="45">
        <v>0</v>
      </c>
      <c r="M677" s="53">
        <v>0</v>
      </c>
      <c r="N677" s="40">
        <f t="shared" si="235"/>
        <v>0</v>
      </c>
      <c r="P677" s="40">
        <f t="shared" si="236"/>
        <v>0</v>
      </c>
      <c r="Q677" s="45"/>
      <c r="R677" s="53"/>
      <c r="S677" s="40">
        <f t="shared" si="237"/>
        <v>0</v>
      </c>
      <c r="U677" s="40">
        <f t="shared" si="238"/>
        <v>0</v>
      </c>
      <c r="V677" s="51">
        <v>0</v>
      </c>
      <c r="W677" s="51">
        <v>0</v>
      </c>
      <c r="X677" s="40">
        <f t="shared" si="239"/>
        <v>0</v>
      </c>
      <c r="AA677" s="40">
        <f t="shared" si="240"/>
        <v>0</v>
      </c>
      <c r="AB677" s="40">
        <f t="shared" si="241"/>
        <v>0</v>
      </c>
      <c r="AC677" s="67"/>
    </row>
    <row r="678" spans="6:29" x14ac:dyDescent="0.25">
      <c r="F678" s="45" t="str">
        <f t="shared" si="232"/>
        <v xml:space="preserve">S/F  </v>
      </c>
      <c r="G678" s="45">
        <v>0</v>
      </c>
      <c r="H678" s="53">
        <v>0</v>
      </c>
      <c r="I678" s="40">
        <f t="shared" si="233"/>
        <v>0</v>
      </c>
      <c r="J678" s="53"/>
      <c r="K678" s="40">
        <f t="shared" si="234"/>
        <v>0</v>
      </c>
      <c r="L678" s="45">
        <v>0</v>
      </c>
      <c r="M678" s="53">
        <v>0</v>
      </c>
      <c r="N678" s="40">
        <f t="shared" si="235"/>
        <v>0</v>
      </c>
      <c r="P678" s="40">
        <f t="shared" si="236"/>
        <v>0</v>
      </c>
      <c r="Q678" s="45"/>
      <c r="R678" s="53"/>
      <c r="S678" s="40">
        <f t="shared" si="237"/>
        <v>0</v>
      </c>
      <c r="U678" s="40">
        <f t="shared" si="238"/>
        <v>0</v>
      </c>
      <c r="V678" s="51">
        <v>0</v>
      </c>
      <c r="W678" s="51">
        <v>0</v>
      </c>
      <c r="X678" s="40">
        <f t="shared" si="239"/>
        <v>0</v>
      </c>
      <c r="AA678" s="40">
        <f t="shared" si="240"/>
        <v>0</v>
      </c>
      <c r="AB678" s="40">
        <f t="shared" si="241"/>
        <v>0</v>
      </c>
      <c r="AC678" s="67"/>
    </row>
    <row r="679" spans="6:29" x14ac:dyDescent="0.25">
      <c r="F679" s="45" t="str">
        <f t="shared" si="232"/>
        <v xml:space="preserve">S/F  </v>
      </c>
      <c r="G679" s="45">
        <v>0</v>
      </c>
      <c r="H679" s="53">
        <v>0</v>
      </c>
      <c r="I679" s="40">
        <f t="shared" si="233"/>
        <v>0</v>
      </c>
      <c r="J679" s="53"/>
      <c r="K679" s="40">
        <f t="shared" si="234"/>
        <v>0</v>
      </c>
      <c r="L679" s="45">
        <v>0</v>
      </c>
      <c r="M679" s="53">
        <v>0</v>
      </c>
      <c r="N679" s="40">
        <f t="shared" si="235"/>
        <v>0</v>
      </c>
      <c r="P679" s="40">
        <f t="shared" si="236"/>
        <v>0</v>
      </c>
      <c r="Q679" s="45"/>
      <c r="R679" s="53"/>
      <c r="S679" s="40">
        <f t="shared" si="237"/>
        <v>0</v>
      </c>
      <c r="U679" s="40">
        <f t="shared" si="238"/>
        <v>0</v>
      </c>
      <c r="V679" s="51">
        <v>0</v>
      </c>
      <c r="W679" s="51">
        <v>0</v>
      </c>
      <c r="X679" s="40">
        <f t="shared" si="239"/>
        <v>0</v>
      </c>
      <c r="AA679" s="40">
        <f t="shared" si="240"/>
        <v>0</v>
      </c>
      <c r="AB679" s="40">
        <f t="shared" si="241"/>
        <v>0</v>
      </c>
      <c r="AC679" s="67"/>
    </row>
    <row r="680" spans="6:29" x14ac:dyDescent="0.25">
      <c r="F680" s="45" t="str">
        <f t="shared" si="232"/>
        <v xml:space="preserve">S/F  </v>
      </c>
      <c r="G680" s="45">
        <v>0</v>
      </c>
      <c r="H680" s="53">
        <v>0</v>
      </c>
      <c r="I680" s="40">
        <f t="shared" si="233"/>
        <v>0</v>
      </c>
      <c r="J680" s="53"/>
      <c r="K680" s="40">
        <f t="shared" si="234"/>
        <v>0</v>
      </c>
      <c r="L680" s="45">
        <v>0</v>
      </c>
      <c r="M680" s="53">
        <v>0</v>
      </c>
      <c r="N680" s="40">
        <f t="shared" si="235"/>
        <v>0</v>
      </c>
      <c r="P680" s="40">
        <f t="shared" si="236"/>
        <v>0</v>
      </c>
      <c r="Q680" s="45"/>
      <c r="R680" s="53"/>
      <c r="S680" s="40">
        <f t="shared" si="237"/>
        <v>0</v>
      </c>
      <c r="U680" s="40">
        <f t="shared" si="238"/>
        <v>0</v>
      </c>
      <c r="V680" s="51">
        <v>0</v>
      </c>
      <c r="W680" s="51">
        <v>0</v>
      </c>
      <c r="X680" s="40">
        <f t="shared" si="239"/>
        <v>0</v>
      </c>
      <c r="AA680" s="40">
        <f t="shared" si="240"/>
        <v>0</v>
      </c>
      <c r="AB680" s="40">
        <f t="shared" si="241"/>
        <v>0</v>
      </c>
      <c r="AC680" s="67"/>
    </row>
    <row r="681" spans="6:29" x14ac:dyDescent="0.25">
      <c r="F681" s="45" t="str">
        <f t="shared" si="232"/>
        <v xml:space="preserve">S/F  </v>
      </c>
      <c r="G681" s="45">
        <v>0</v>
      </c>
      <c r="H681" s="53">
        <v>0</v>
      </c>
      <c r="I681" s="40">
        <f t="shared" si="233"/>
        <v>0</v>
      </c>
      <c r="J681" s="53"/>
      <c r="K681" s="40">
        <f t="shared" si="234"/>
        <v>0</v>
      </c>
      <c r="L681" s="45">
        <v>0</v>
      </c>
      <c r="M681" s="53">
        <v>0</v>
      </c>
      <c r="N681" s="40">
        <f t="shared" si="235"/>
        <v>0</v>
      </c>
      <c r="P681" s="40">
        <f t="shared" si="236"/>
        <v>0</v>
      </c>
      <c r="Q681" s="45"/>
      <c r="R681" s="53"/>
      <c r="S681" s="40">
        <f t="shared" si="237"/>
        <v>0</v>
      </c>
      <c r="U681" s="40">
        <f t="shared" si="238"/>
        <v>0</v>
      </c>
      <c r="V681" s="51">
        <v>0</v>
      </c>
      <c r="W681" s="51">
        <v>0</v>
      </c>
      <c r="X681" s="40">
        <f t="shared" si="239"/>
        <v>0</v>
      </c>
      <c r="AA681" s="40">
        <f t="shared" si="240"/>
        <v>0</v>
      </c>
      <c r="AB681" s="40">
        <f t="shared" si="241"/>
        <v>0</v>
      </c>
      <c r="AC681" s="67"/>
    </row>
    <row r="682" spans="6:29" x14ac:dyDescent="0.25">
      <c r="F682" s="45" t="str">
        <f t="shared" si="232"/>
        <v xml:space="preserve">S/F  </v>
      </c>
      <c r="G682" s="45">
        <v>0</v>
      </c>
      <c r="H682" s="53">
        <v>0</v>
      </c>
      <c r="I682" s="40">
        <f t="shared" si="233"/>
        <v>0</v>
      </c>
      <c r="J682" s="53"/>
      <c r="K682" s="40">
        <f t="shared" si="234"/>
        <v>0</v>
      </c>
      <c r="L682" s="45">
        <v>0</v>
      </c>
      <c r="M682" s="53">
        <v>0</v>
      </c>
      <c r="N682" s="40">
        <f t="shared" si="235"/>
        <v>0</v>
      </c>
      <c r="P682" s="40">
        <f t="shared" si="236"/>
        <v>0</v>
      </c>
      <c r="Q682" s="45"/>
      <c r="R682" s="53"/>
      <c r="S682" s="40">
        <f t="shared" si="237"/>
        <v>0</v>
      </c>
      <c r="U682" s="40">
        <f t="shared" si="238"/>
        <v>0</v>
      </c>
      <c r="V682" s="51">
        <v>0</v>
      </c>
      <c r="W682" s="51">
        <v>0</v>
      </c>
      <c r="X682" s="40">
        <f t="shared" si="239"/>
        <v>0</v>
      </c>
      <c r="AA682" s="40">
        <f t="shared" si="240"/>
        <v>0</v>
      </c>
      <c r="AB682" s="40">
        <f t="shared" si="241"/>
        <v>0</v>
      </c>
      <c r="AC682" s="67"/>
    </row>
    <row r="683" spans="6:29" x14ac:dyDescent="0.25">
      <c r="F683" s="45" t="str">
        <f t="shared" si="232"/>
        <v xml:space="preserve">S/F  </v>
      </c>
      <c r="G683" s="45">
        <v>0</v>
      </c>
      <c r="H683" s="53">
        <v>0</v>
      </c>
      <c r="I683" s="40">
        <f t="shared" si="233"/>
        <v>0</v>
      </c>
      <c r="J683" s="53"/>
      <c r="K683" s="40">
        <f t="shared" si="234"/>
        <v>0</v>
      </c>
      <c r="L683" s="45">
        <v>0</v>
      </c>
      <c r="M683" s="53">
        <v>0</v>
      </c>
      <c r="N683" s="40">
        <f t="shared" si="235"/>
        <v>0</v>
      </c>
      <c r="P683" s="40">
        <f t="shared" si="236"/>
        <v>0</v>
      </c>
      <c r="Q683" s="45"/>
      <c r="R683" s="53"/>
      <c r="S683" s="40">
        <f t="shared" si="237"/>
        <v>0</v>
      </c>
      <c r="U683" s="40">
        <f t="shared" si="238"/>
        <v>0</v>
      </c>
      <c r="V683" s="51">
        <v>0</v>
      </c>
      <c r="W683" s="51">
        <v>0</v>
      </c>
      <c r="X683" s="40">
        <f t="shared" si="239"/>
        <v>0</v>
      </c>
      <c r="AA683" s="40">
        <f t="shared" si="240"/>
        <v>0</v>
      </c>
      <c r="AB683" s="40">
        <f t="shared" si="241"/>
        <v>0</v>
      </c>
      <c r="AC683" s="67"/>
    </row>
    <row r="684" spans="6:29" x14ac:dyDescent="0.25">
      <c r="F684" s="45" t="str">
        <f t="shared" si="232"/>
        <v xml:space="preserve">S/F  </v>
      </c>
      <c r="G684" s="45">
        <v>0</v>
      </c>
      <c r="H684" s="53">
        <v>0</v>
      </c>
      <c r="I684" s="40">
        <f t="shared" si="233"/>
        <v>0</v>
      </c>
      <c r="J684" s="53"/>
      <c r="K684" s="40">
        <f t="shared" si="234"/>
        <v>0</v>
      </c>
      <c r="L684" s="45">
        <v>0</v>
      </c>
      <c r="M684" s="53">
        <v>0</v>
      </c>
      <c r="N684" s="40">
        <f t="shared" si="235"/>
        <v>0</v>
      </c>
      <c r="P684" s="40">
        <f t="shared" si="236"/>
        <v>0</v>
      </c>
      <c r="Q684" s="45"/>
      <c r="R684" s="53"/>
      <c r="S684" s="40">
        <f t="shared" si="237"/>
        <v>0</v>
      </c>
      <c r="U684" s="40">
        <f t="shared" si="238"/>
        <v>0</v>
      </c>
      <c r="V684" s="51">
        <v>0</v>
      </c>
      <c r="W684" s="51">
        <v>0</v>
      </c>
      <c r="X684" s="40">
        <f t="shared" si="239"/>
        <v>0</v>
      </c>
      <c r="AA684" s="40">
        <f t="shared" si="240"/>
        <v>0</v>
      </c>
      <c r="AB684" s="40">
        <f t="shared" si="241"/>
        <v>0</v>
      </c>
      <c r="AC684" s="67"/>
    </row>
    <row r="685" spans="6:29" x14ac:dyDescent="0.25">
      <c r="F685" s="45" t="str">
        <f t="shared" si="232"/>
        <v xml:space="preserve">S/F  </v>
      </c>
      <c r="G685" s="45">
        <v>0</v>
      </c>
      <c r="H685" s="53">
        <v>0</v>
      </c>
      <c r="I685" s="40">
        <f t="shared" si="233"/>
        <v>0</v>
      </c>
      <c r="J685" s="53"/>
      <c r="K685" s="40">
        <f t="shared" si="234"/>
        <v>0</v>
      </c>
      <c r="L685" s="45">
        <v>0</v>
      </c>
      <c r="M685" s="53">
        <v>0</v>
      </c>
      <c r="N685" s="40">
        <f t="shared" si="235"/>
        <v>0</v>
      </c>
      <c r="P685" s="40">
        <f t="shared" si="236"/>
        <v>0</v>
      </c>
      <c r="Q685" s="45"/>
      <c r="R685" s="53"/>
      <c r="S685" s="40">
        <f t="shared" si="237"/>
        <v>0</v>
      </c>
      <c r="U685" s="40">
        <f t="shared" si="238"/>
        <v>0</v>
      </c>
      <c r="V685" s="51">
        <v>0</v>
      </c>
      <c r="W685" s="51">
        <v>0</v>
      </c>
      <c r="X685" s="40">
        <f t="shared" si="239"/>
        <v>0</v>
      </c>
      <c r="AA685" s="40">
        <f t="shared" si="240"/>
        <v>0</v>
      </c>
      <c r="AB685" s="40">
        <f t="shared" si="241"/>
        <v>0</v>
      </c>
      <c r="AC685" s="67"/>
    </row>
    <row r="686" spans="6:29" x14ac:dyDescent="0.25">
      <c r="F686" s="45" t="str">
        <f t="shared" si="232"/>
        <v xml:space="preserve">S/F  </v>
      </c>
      <c r="G686" s="45">
        <v>0</v>
      </c>
      <c r="H686" s="53">
        <v>0</v>
      </c>
      <c r="I686" s="40">
        <f t="shared" si="233"/>
        <v>0</v>
      </c>
      <c r="J686" s="53"/>
      <c r="K686" s="40">
        <f t="shared" si="234"/>
        <v>0</v>
      </c>
      <c r="L686" s="45">
        <v>0</v>
      </c>
      <c r="M686" s="53">
        <v>0</v>
      </c>
      <c r="N686" s="40">
        <f t="shared" si="235"/>
        <v>0</v>
      </c>
      <c r="P686" s="40">
        <f t="shared" si="236"/>
        <v>0</v>
      </c>
      <c r="Q686" s="45"/>
      <c r="R686" s="53"/>
      <c r="S686" s="40">
        <f t="shared" si="237"/>
        <v>0</v>
      </c>
      <c r="U686" s="40">
        <f t="shared" si="238"/>
        <v>0</v>
      </c>
      <c r="V686" s="51">
        <v>0</v>
      </c>
      <c r="W686" s="51">
        <v>0</v>
      </c>
      <c r="X686" s="40">
        <f t="shared" si="239"/>
        <v>0</v>
      </c>
      <c r="AA686" s="40">
        <f t="shared" si="240"/>
        <v>0</v>
      </c>
      <c r="AB686" s="40">
        <f t="shared" si="241"/>
        <v>0</v>
      </c>
      <c r="AC686" s="67"/>
    </row>
    <row r="687" spans="6:29" x14ac:dyDescent="0.25">
      <c r="F687" s="45" t="str">
        <f t="shared" si="232"/>
        <v xml:space="preserve">S/F  </v>
      </c>
      <c r="G687" s="45">
        <v>0</v>
      </c>
      <c r="H687" s="53">
        <v>0</v>
      </c>
      <c r="I687" s="40">
        <f t="shared" si="233"/>
        <v>0</v>
      </c>
      <c r="J687" s="53"/>
      <c r="K687" s="40">
        <f t="shared" si="234"/>
        <v>0</v>
      </c>
      <c r="L687" s="45">
        <v>0</v>
      </c>
      <c r="M687" s="53">
        <v>0</v>
      </c>
      <c r="N687" s="40">
        <f t="shared" si="235"/>
        <v>0</v>
      </c>
      <c r="P687" s="40">
        <f t="shared" si="236"/>
        <v>0</v>
      </c>
      <c r="Q687" s="45"/>
      <c r="R687" s="53"/>
      <c r="S687" s="40">
        <f t="shared" si="237"/>
        <v>0</v>
      </c>
      <c r="U687" s="40">
        <f t="shared" si="238"/>
        <v>0</v>
      </c>
      <c r="V687" s="51">
        <v>0</v>
      </c>
      <c r="W687" s="51">
        <v>0</v>
      </c>
      <c r="X687" s="40">
        <f t="shared" si="239"/>
        <v>0</v>
      </c>
      <c r="AA687" s="40">
        <f t="shared" si="240"/>
        <v>0</v>
      </c>
      <c r="AB687" s="40">
        <f t="shared" si="241"/>
        <v>0</v>
      </c>
      <c r="AC687" s="67"/>
    </row>
    <row r="688" spans="6:29" x14ac:dyDescent="0.25">
      <c r="F688" s="45" t="str">
        <f t="shared" si="232"/>
        <v xml:space="preserve">S/F  </v>
      </c>
      <c r="G688" s="45">
        <v>0</v>
      </c>
      <c r="H688" s="53">
        <v>0</v>
      </c>
      <c r="I688" s="40">
        <f t="shared" si="233"/>
        <v>0</v>
      </c>
      <c r="J688" s="53"/>
      <c r="K688" s="40">
        <f t="shared" si="234"/>
        <v>0</v>
      </c>
      <c r="L688" s="45">
        <v>0</v>
      </c>
      <c r="M688" s="53">
        <v>0</v>
      </c>
      <c r="N688" s="40">
        <f t="shared" si="235"/>
        <v>0</v>
      </c>
      <c r="P688" s="40">
        <f t="shared" si="236"/>
        <v>0</v>
      </c>
      <c r="Q688" s="45"/>
      <c r="R688" s="53"/>
      <c r="S688" s="40">
        <f t="shared" si="237"/>
        <v>0</v>
      </c>
      <c r="U688" s="40">
        <f t="shared" si="238"/>
        <v>0</v>
      </c>
      <c r="V688" s="51">
        <v>0</v>
      </c>
      <c r="W688" s="51">
        <v>0</v>
      </c>
      <c r="X688" s="40">
        <f t="shared" si="239"/>
        <v>0</v>
      </c>
      <c r="AA688" s="40">
        <f t="shared" si="240"/>
        <v>0</v>
      </c>
      <c r="AB688" s="40">
        <f t="shared" si="241"/>
        <v>0</v>
      </c>
      <c r="AC688" s="67"/>
    </row>
    <row r="689" spans="6:29" x14ac:dyDescent="0.25">
      <c r="F689" s="45" t="str">
        <f t="shared" si="232"/>
        <v xml:space="preserve">S/F  </v>
      </c>
      <c r="G689" s="45">
        <v>0</v>
      </c>
      <c r="H689" s="53">
        <v>0</v>
      </c>
      <c r="I689" s="40">
        <f t="shared" si="233"/>
        <v>0</v>
      </c>
      <c r="J689" s="53"/>
      <c r="K689" s="40">
        <f t="shared" si="234"/>
        <v>0</v>
      </c>
      <c r="L689" s="45">
        <v>0</v>
      </c>
      <c r="M689" s="53">
        <v>0</v>
      </c>
      <c r="N689" s="40">
        <f t="shared" si="235"/>
        <v>0</v>
      </c>
      <c r="P689" s="40">
        <f t="shared" si="236"/>
        <v>0</v>
      </c>
      <c r="Q689" s="45"/>
      <c r="R689" s="53"/>
      <c r="S689" s="40">
        <f t="shared" si="237"/>
        <v>0</v>
      </c>
      <c r="U689" s="40">
        <f t="shared" si="238"/>
        <v>0</v>
      </c>
      <c r="V689" s="51">
        <v>0</v>
      </c>
      <c r="W689" s="51">
        <v>0</v>
      </c>
      <c r="X689" s="40">
        <f t="shared" si="239"/>
        <v>0</v>
      </c>
      <c r="AA689" s="40">
        <f t="shared" si="240"/>
        <v>0</v>
      </c>
      <c r="AB689" s="40">
        <f t="shared" si="241"/>
        <v>0</v>
      </c>
      <c r="AC689" s="67"/>
    </row>
    <row r="690" spans="6:29" x14ac:dyDescent="0.25">
      <c r="F690" s="45" t="str">
        <f t="shared" si="232"/>
        <v xml:space="preserve">S/F  </v>
      </c>
      <c r="G690" s="45">
        <v>0</v>
      </c>
      <c r="H690" s="53">
        <v>0</v>
      </c>
      <c r="I690" s="40">
        <f t="shared" si="233"/>
        <v>0</v>
      </c>
      <c r="J690" s="53"/>
      <c r="K690" s="40">
        <f t="shared" si="234"/>
        <v>0</v>
      </c>
      <c r="L690" s="45">
        <v>0</v>
      </c>
      <c r="M690" s="53">
        <v>0</v>
      </c>
      <c r="N690" s="40">
        <f t="shared" si="235"/>
        <v>0</v>
      </c>
      <c r="P690" s="40">
        <f t="shared" si="236"/>
        <v>0</v>
      </c>
      <c r="Q690" s="45"/>
      <c r="R690" s="53"/>
      <c r="S690" s="40">
        <f t="shared" si="237"/>
        <v>0</v>
      </c>
      <c r="U690" s="40">
        <f t="shared" si="238"/>
        <v>0</v>
      </c>
      <c r="V690" s="51">
        <v>0</v>
      </c>
      <c r="W690" s="51">
        <v>0</v>
      </c>
      <c r="X690" s="40">
        <f t="shared" si="239"/>
        <v>0</v>
      </c>
      <c r="AA690" s="40">
        <f t="shared" si="240"/>
        <v>0</v>
      </c>
      <c r="AB690" s="40">
        <f t="shared" si="241"/>
        <v>0</v>
      </c>
      <c r="AC690" s="67"/>
    </row>
    <row r="691" spans="6:29" x14ac:dyDescent="0.25">
      <c r="F691" s="45" t="str">
        <f t="shared" si="232"/>
        <v xml:space="preserve">S/F  </v>
      </c>
      <c r="G691" s="45">
        <v>0</v>
      </c>
      <c r="H691" s="53">
        <v>0</v>
      </c>
      <c r="I691" s="40">
        <f t="shared" si="233"/>
        <v>0</v>
      </c>
      <c r="J691" s="53"/>
      <c r="K691" s="40">
        <f t="shared" si="234"/>
        <v>0</v>
      </c>
      <c r="L691" s="45">
        <v>0</v>
      </c>
      <c r="M691" s="53">
        <v>0</v>
      </c>
      <c r="N691" s="40">
        <f t="shared" si="235"/>
        <v>0</v>
      </c>
      <c r="P691" s="40">
        <f t="shared" si="236"/>
        <v>0</v>
      </c>
      <c r="Q691" s="45"/>
      <c r="R691" s="53"/>
      <c r="S691" s="40">
        <f t="shared" si="237"/>
        <v>0</v>
      </c>
      <c r="U691" s="40">
        <f t="shared" si="238"/>
        <v>0</v>
      </c>
      <c r="V691" s="51">
        <v>0</v>
      </c>
      <c r="W691" s="51">
        <v>0</v>
      </c>
      <c r="X691" s="40">
        <f t="shared" si="239"/>
        <v>0</v>
      </c>
      <c r="AA691" s="40">
        <f t="shared" si="240"/>
        <v>0</v>
      </c>
      <c r="AB691" s="40">
        <f t="shared" si="241"/>
        <v>0</v>
      </c>
      <c r="AC691" s="67"/>
    </row>
    <row r="692" spans="6:29" x14ac:dyDescent="0.25">
      <c r="F692" s="45" t="str">
        <f t="shared" si="232"/>
        <v xml:space="preserve">S/F  </v>
      </c>
      <c r="G692" s="45">
        <v>0</v>
      </c>
      <c r="H692" s="53">
        <v>0</v>
      </c>
      <c r="I692" s="40">
        <f t="shared" si="233"/>
        <v>0</v>
      </c>
      <c r="J692" s="53"/>
      <c r="K692" s="40">
        <f t="shared" si="234"/>
        <v>0</v>
      </c>
      <c r="L692" s="45">
        <v>0</v>
      </c>
      <c r="M692" s="53">
        <v>0</v>
      </c>
      <c r="N692" s="40">
        <f t="shared" si="235"/>
        <v>0</v>
      </c>
      <c r="P692" s="40">
        <f t="shared" si="236"/>
        <v>0</v>
      </c>
      <c r="Q692" s="45"/>
      <c r="R692" s="53"/>
      <c r="S692" s="40">
        <f t="shared" si="237"/>
        <v>0</v>
      </c>
      <c r="U692" s="40">
        <f t="shared" si="238"/>
        <v>0</v>
      </c>
      <c r="V692" s="51">
        <v>0</v>
      </c>
      <c r="W692" s="51">
        <v>0</v>
      </c>
      <c r="X692" s="40">
        <f t="shared" si="239"/>
        <v>0</v>
      </c>
      <c r="AA692" s="40">
        <f t="shared" si="240"/>
        <v>0</v>
      </c>
      <c r="AB692" s="40">
        <f t="shared" si="241"/>
        <v>0</v>
      </c>
      <c r="AC692" s="67"/>
    </row>
    <row r="693" spans="6:29" x14ac:dyDescent="0.25">
      <c r="F693" s="45" t="str">
        <f t="shared" si="232"/>
        <v xml:space="preserve">S/F  </v>
      </c>
      <c r="G693" s="45">
        <v>0</v>
      </c>
      <c r="H693" s="53">
        <v>0</v>
      </c>
      <c r="I693" s="40">
        <f t="shared" si="233"/>
        <v>0</v>
      </c>
      <c r="J693" s="53"/>
      <c r="K693" s="40">
        <f t="shared" si="234"/>
        <v>0</v>
      </c>
      <c r="L693" s="45">
        <v>0</v>
      </c>
      <c r="M693" s="53">
        <v>0</v>
      </c>
      <c r="N693" s="40">
        <f t="shared" si="235"/>
        <v>0</v>
      </c>
      <c r="P693" s="40">
        <f t="shared" si="236"/>
        <v>0</v>
      </c>
      <c r="Q693" s="45"/>
      <c r="R693" s="53"/>
      <c r="S693" s="40">
        <f t="shared" si="237"/>
        <v>0</v>
      </c>
      <c r="U693" s="40">
        <f t="shared" si="238"/>
        <v>0</v>
      </c>
      <c r="V693" s="51">
        <v>0</v>
      </c>
      <c r="W693" s="51">
        <v>0</v>
      </c>
      <c r="X693" s="40">
        <f t="shared" si="239"/>
        <v>0</v>
      </c>
      <c r="AA693" s="40">
        <f t="shared" si="240"/>
        <v>0</v>
      </c>
      <c r="AB693" s="40">
        <f t="shared" si="241"/>
        <v>0</v>
      </c>
      <c r="AC693" s="67"/>
    </row>
    <row r="694" spans="6:29" x14ac:dyDescent="0.25">
      <c r="F694" s="45" t="str">
        <f t="shared" si="232"/>
        <v xml:space="preserve">S/F  </v>
      </c>
      <c r="G694" s="45">
        <v>0</v>
      </c>
      <c r="H694" s="53">
        <v>0</v>
      </c>
      <c r="I694" s="40">
        <f t="shared" si="233"/>
        <v>0</v>
      </c>
      <c r="J694" s="53"/>
      <c r="K694" s="40">
        <f t="shared" si="234"/>
        <v>0</v>
      </c>
      <c r="L694" s="45">
        <v>0</v>
      </c>
      <c r="M694" s="53">
        <v>0</v>
      </c>
      <c r="N694" s="40">
        <f t="shared" si="235"/>
        <v>0</v>
      </c>
      <c r="P694" s="40">
        <f t="shared" si="236"/>
        <v>0</v>
      </c>
      <c r="Q694" s="45"/>
      <c r="R694" s="53"/>
      <c r="S694" s="40">
        <f t="shared" si="237"/>
        <v>0</v>
      </c>
      <c r="U694" s="40">
        <f t="shared" si="238"/>
        <v>0</v>
      </c>
      <c r="V694" s="51">
        <v>0</v>
      </c>
      <c r="W694" s="51">
        <v>0</v>
      </c>
      <c r="X694" s="40">
        <f t="shared" si="239"/>
        <v>0</v>
      </c>
      <c r="AA694" s="40">
        <f t="shared" si="240"/>
        <v>0</v>
      </c>
      <c r="AB694" s="40">
        <f t="shared" si="241"/>
        <v>0</v>
      </c>
      <c r="AC694" s="67"/>
    </row>
    <row r="695" spans="6:29" x14ac:dyDescent="0.25">
      <c r="F695" s="45" t="str">
        <f t="shared" si="232"/>
        <v xml:space="preserve">S/F  </v>
      </c>
      <c r="G695" s="45">
        <v>0</v>
      </c>
      <c r="H695" s="53">
        <v>0</v>
      </c>
      <c r="I695" s="40">
        <f t="shared" si="233"/>
        <v>0</v>
      </c>
      <c r="J695" s="53"/>
      <c r="K695" s="40">
        <f t="shared" si="234"/>
        <v>0</v>
      </c>
      <c r="L695" s="45">
        <v>0</v>
      </c>
      <c r="M695" s="53">
        <v>0</v>
      </c>
      <c r="N695" s="40">
        <f t="shared" si="235"/>
        <v>0</v>
      </c>
      <c r="P695" s="40">
        <f t="shared" si="236"/>
        <v>0</v>
      </c>
      <c r="Q695" s="45"/>
      <c r="R695" s="53"/>
      <c r="S695" s="40">
        <f t="shared" si="237"/>
        <v>0</v>
      </c>
      <c r="U695" s="40">
        <f t="shared" si="238"/>
        <v>0</v>
      </c>
      <c r="V695" s="51">
        <v>0</v>
      </c>
      <c r="W695" s="51">
        <v>0</v>
      </c>
      <c r="X695" s="40">
        <f t="shared" si="239"/>
        <v>0</v>
      </c>
      <c r="AA695" s="40">
        <f t="shared" si="240"/>
        <v>0</v>
      </c>
      <c r="AB695" s="40">
        <f t="shared" si="241"/>
        <v>0</v>
      </c>
      <c r="AC695" s="67"/>
    </row>
    <row r="696" spans="6:29" x14ac:dyDescent="0.25">
      <c r="F696" s="45" t="str">
        <f t="shared" si="232"/>
        <v xml:space="preserve">S/F  </v>
      </c>
      <c r="G696" s="45">
        <v>0</v>
      </c>
      <c r="H696" s="53">
        <v>0</v>
      </c>
      <c r="I696" s="40">
        <f t="shared" si="233"/>
        <v>0</v>
      </c>
      <c r="J696" s="53"/>
      <c r="K696" s="40">
        <f t="shared" si="234"/>
        <v>0</v>
      </c>
      <c r="L696" s="45">
        <v>0</v>
      </c>
      <c r="M696" s="53">
        <v>0</v>
      </c>
      <c r="N696" s="40">
        <f t="shared" si="235"/>
        <v>0</v>
      </c>
      <c r="P696" s="40">
        <f t="shared" si="236"/>
        <v>0</v>
      </c>
      <c r="Q696" s="45"/>
      <c r="R696" s="53"/>
      <c r="S696" s="40">
        <f t="shared" si="237"/>
        <v>0</v>
      </c>
      <c r="U696" s="40">
        <f t="shared" si="238"/>
        <v>0</v>
      </c>
      <c r="V696" s="51">
        <v>0</v>
      </c>
      <c r="W696" s="51">
        <v>0</v>
      </c>
      <c r="X696" s="40">
        <f t="shared" si="239"/>
        <v>0</v>
      </c>
      <c r="AA696" s="40">
        <f t="shared" si="240"/>
        <v>0</v>
      </c>
      <c r="AB696" s="40">
        <f t="shared" si="241"/>
        <v>0</v>
      </c>
      <c r="AC696" s="67"/>
    </row>
    <row r="697" spans="6:29" x14ac:dyDescent="0.25">
      <c r="F697" s="45" t="str">
        <f t="shared" si="232"/>
        <v xml:space="preserve">S/F  </v>
      </c>
      <c r="G697" s="45">
        <v>0</v>
      </c>
      <c r="H697" s="53">
        <v>0</v>
      </c>
      <c r="I697" s="40">
        <f t="shared" si="233"/>
        <v>0</v>
      </c>
      <c r="J697" s="53"/>
      <c r="K697" s="40">
        <f t="shared" si="234"/>
        <v>0</v>
      </c>
      <c r="L697" s="45">
        <v>0</v>
      </c>
      <c r="M697" s="53">
        <v>0</v>
      </c>
      <c r="N697" s="40">
        <f t="shared" si="235"/>
        <v>0</v>
      </c>
      <c r="P697" s="40">
        <f t="shared" si="236"/>
        <v>0</v>
      </c>
      <c r="Q697" s="45"/>
      <c r="R697" s="53"/>
      <c r="S697" s="40">
        <f t="shared" si="237"/>
        <v>0</v>
      </c>
      <c r="U697" s="40">
        <f t="shared" si="238"/>
        <v>0</v>
      </c>
      <c r="V697" s="51">
        <v>0</v>
      </c>
      <c r="W697" s="51">
        <v>0</v>
      </c>
      <c r="X697" s="40">
        <f t="shared" si="239"/>
        <v>0</v>
      </c>
      <c r="AA697" s="40">
        <f t="shared" si="240"/>
        <v>0</v>
      </c>
      <c r="AB697" s="40">
        <f t="shared" si="241"/>
        <v>0</v>
      </c>
      <c r="AC697" s="67"/>
    </row>
    <row r="698" spans="6:29" x14ac:dyDescent="0.25">
      <c r="F698" s="45" t="str">
        <f t="shared" si="232"/>
        <v xml:space="preserve">S/F  </v>
      </c>
      <c r="G698" s="45">
        <v>0</v>
      </c>
      <c r="H698" s="53">
        <v>0</v>
      </c>
      <c r="I698" s="40">
        <f t="shared" si="233"/>
        <v>0</v>
      </c>
      <c r="J698" s="53"/>
      <c r="K698" s="40">
        <f t="shared" si="234"/>
        <v>0</v>
      </c>
      <c r="L698" s="45">
        <v>0</v>
      </c>
      <c r="M698" s="53">
        <v>0</v>
      </c>
      <c r="N698" s="40">
        <f t="shared" si="235"/>
        <v>0</v>
      </c>
      <c r="P698" s="40">
        <f t="shared" si="236"/>
        <v>0</v>
      </c>
      <c r="Q698" s="45"/>
      <c r="R698" s="53"/>
      <c r="S698" s="40">
        <f t="shared" si="237"/>
        <v>0</v>
      </c>
      <c r="U698" s="40">
        <f t="shared" si="238"/>
        <v>0</v>
      </c>
      <c r="V698" s="51">
        <v>0</v>
      </c>
      <c r="W698" s="51">
        <v>0</v>
      </c>
      <c r="X698" s="40">
        <f t="shared" si="239"/>
        <v>0</v>
      </c>
      <c r="AA698" s="40">
        <f t="shared" si="240"/>
        <v>0</v>
      </c>
      <c r="AB698" s="40">
        <f t="shared" si="241"/>
        <v>0</v>
      </c>
      <c r="AC698" s="67"/>
    </row>
    <row r="699" spans="6:29" x14ac:dyDescent="0.25">
      <c r="F699" s="45" t="str">
        <f t="shared" si="232"/>
        <v xml:space="preserve">S/F  </v>
      </c>
      <c r="G699" s="45">
        <v>0</v>
      </c>
      <c r="H699" s="53">
        <v>0</v>
      </c>
      <c r="I699" s="40">
        <f t="shared" si="233"/>
        <v>0</v>
      </c>
      <c r="J699" s="53"/>
      <c r="K699" s="40">
        <f t="shared" si="234"/>
        <v>0</v>
      </c>
      <c r="L699" s="45">
        <v>0</v>
      </c>
      <c r="M699" s="53">
        <v>0</v>
      </c>
      <c r="N699" s="40">
        <f t="shared" si="235"/>
        <v>0</v>
      </c>
      <c r="P699" s="40">
        <f t="shared" si="236"/>
        <v>0</v>
      </c>
      <c r="Q699" s="45"/>
      <c r="R699" s="53"/>
      <c r="S699" s="40">
        <f t="shared" si="237"/>
        <v>0</v>
      </c>
      <c r="U699" s="40">
        <f t="shared" si="238"/>
        <v>0</v>
      </c>
      <c r="V699" s="51">
        <v>0</v>
      </c>
      <c r="W699" s="51">
        <v>0</v>
      </c>
      <c r="X699" s="40">
        <f t="shared" si="239"/>
        <v>0</v>
      </c>
      <c r="AA699" s="40">
        <f t="shared" si="240"/>
        <v>0</v>
      </c>
      <c r="AB699" s="40">
        <f t="shared" si="241"/>
        <v>0</v>
      </c>
      <c r="AC699" s="67"/>
    </row>
    <row r="700" spans="6:29" x14ac:dyDescent="0.25">
      <c r="F700" s="45" t="str">
        <f t="shared" si="232"/>
        <v xml:space="preserve">S/F  </v>
      </c>
      <c r="G700" s="45">
        <v>0</v>
      </c>
      <c r="H700" s="53">
        <v>0</v>
      </c>
      <c r="I700" s="40">
        <f t="shared" si="233"/>
        <v>0</v>
      </c>
      <c r="J700" s="53"/>
      <c r="K700" s="40">
        <f t="shared" si="234"/>
        <v>0</v>
      </c>
      <c r="L700" s="45">
        <v>0</v>
      </c>
      <c r="M700" s="53">
        <v>0</v>
      </c>
      <c r="N700" s="40">
        <f t="shared" si="235"/>
        <v>0</v>
      </c>
      <c r="P700" s="40">
        <f t="shared" si="236"/>
        <v>0</v>
      </c>
      <c r="Q700" s="45"/>
      <c r="R700" s="53"/>
      <c r="S700" s="40">
        <f t="shared" si="237"/>
        <v>0</v>
      </c>
      <c r="U700" s="40">
        <f t="shared" si="238"/>
        <v>0</v>
      </c>
      <c r="V700" s="51">
        <v>0</v>
      </c>
      <c r="W700" s="51">
        <v>0</v>
      </c>
      <c r="X700" s="40">
        <f t="shared" si="239"/>
        <v>0</v>
      </c>
      <c r="AA700" s="40">
        <f t="shared" si="240"/>
        <v>0</v>
      </c>
      <c r="AB700" s="40">
        <f t="shared" si="241"/>
        <v>0</v>
      </c>
      <c r="AC700" s="67"/>
    </row>
    <row r="701" spans="6:29" x14ac:dyDescent="0.25">
      <c r="F701" s="45" t="str">
        <f t="shared" si="232"/>
        <v xml:space="preserve">S/F  </v>
      </c>
      <c r="G701" s="45">
        <v>0</v>
      </c>
      <c r="H701" s="53">
        <v>0</v>
      </c>
      <c r="I701" s="40">
        <f t="shared" si="233"/>
        <v>0</v>
      </c>
      <c r="J701" s="53"/>
      <c r="K701" s="40">
        <f t="shared" si="234"/>
        <v>0</v>
      </c>
      <c r="L701" s="45">
        <v>0</v>
      </c>
      <c r="M701" s="53">
        <v>0</v>
      </c>
      <c r="N701" s="40">
        <f t="shared" si="235"/>
        <v>0</v>
      </c>
      <c r="P701" s="40">
        <f t="shared" si="236"/>
        <v>0</v>
      </c>
      <c r="Q701" s="45"/>
      <c r="R701" s="53"/>
      <c r="S701" s="40">
        <f t="shared" si="237"/>
        <v>0</v>
      </c>
      <c r="U701" s="40">
        <f t="shared" si="238"/>
        <v>0</v>
      </c>
      <c r="V701" s="51">
        <v>0</v>
      </c>
      <c r="W701" s="51">
        <v>0</v>
      </c>
      <c r="X701" s="40">
        <f t="shared" si="239"/>
        <v>0</v>
      </c>
      <c r="AA701" s="40">
        <f t="shared" si="240"/>
        <v>0</v>
      </c>
      <c r="AB701" s="40">
        <f t="shared" si="241"/>
        <v>0</v>
      </c>
      <c r="AC701" s="67"/>
    </row>
    <row r="702" spans="6:29" x14ac:dyDescent="0.25">
      <c r="F702" s="45" t="str">
        <f t="shared" si="232"/>
        <v xml:space="preserve">S/F  </v>
      </c>
      <c r="G702" s="45">
        <v>0</v>
      </c>
      <c r="H702" s="53">
        <v>0</v>
      </c>
      <c r="I702" s="40">
        <f t="shared" si="233"/>
        <v>0</v>
      </c>
      <c r="J702" s="53"/>
      <c r="K702" s="40">
        <f t="shared" si="234"/>
        <v>0</v>
      </c>
      <c r="L702" s="45">
        <v>0</v>
      </c>
      <c r="M702" s="53">
        <v>0</v>
      </c>
      <c r="N702" s="40">
        <f t="shared" si="235"/>
        <v>0</v>
      </c>
      <c r="P702" s="40">
        <f t="shared" si="236"/>
        <v>0</v>
      </c>
      <c r="Q702" s="45"/>
      <c r="R702" s="53"/>
      <c r="S702" s="40">
        <f t="shared" si="237"/>
        <v>0</v>
      </c>
      <c r="U702" s="40">
        <f t="shared" si="238"/>
        <v>0</v>
      </c>
      <c r="V702" s="51">
        <v>0</v>
      </c>
      <c r="W702" s="51">
        <v>0</v>
      </c>
      <c r="X702" s="40">
        <f t="shared" si="239"/>
        <v>0</v>
      </c>
      <c r="AA702" s="40">
        <f t="shared" si="240"/>
        <v>0</v>
      </c>
      <c r="AB702" s="40">
        <f t="shared" si="241"/>
        <v>0</v>
      </c>
      <c r="AC702" s="67"/>
    </row>
    <row r="703" spans="6:29" x14ac:dyDescent="0.25">
      <c r="F703" s="45" t="str">
        <f t="shared" si="232"/>
        <v xml:space="preserve">S/F  </v>
      </c>
      <c r="G703" s="45">
        <v>0</v>
      </c>
      <c r="H703" s="53">
        <v>0</v>
      </c>
      <c r="I703" s="40">
        <f t="shared" si="233"/>
        <v>0</v>
      </c>
      <c r="J703" s="53"/>
      <c r="K703" s="40">
        <f t="shared" si="234"/>
        <v>0</v>
      </c>
      <c r="L703" s="45">
        <v>0</v>
      </c>
      <c r="M703" s="53">
        <v>0</v>
      </c>
      <c r="N703" s="40">
        <f t="shared" si="235"/>
        <v>0</v>
      </c>
      <c r="P703" s="40">
        <f t="shared" si="236"/>
        <v>0</v>
      </c>
      <c r="Q703" s="45"/>
      <c r="R703" s="53"/>
      <c r="S703" s="40">
        <f t="shared" si="237"/>
        <v>0</v>
      </c>
      <c r="U703" s="40">
        <f t="shared" si="238"/>
        <v>0</v>
      </c>
      <c r="V703" s="51">
        <v>0</v>
      </c>
      <c r="W703" s="51">
        <v>0</v>
      </c>
      <c r="X703" s="40">
        <f t="shared" si="239"/>
        <v>0</v>
      </c>
      <c r="AA703" s="40">
        <f t="shared" si="240"/>
        <v>0</v>
      </c>
      <c r="AB703" s="40">
        <f t="shared" si="241"/>
        <v>0</v>
      </c>
      <c r="AC703" s="67"/>
    </row>
    <row r="704" spans="6:29" x14ac:dyDescent="0.25">
      <c r="F704" s="45" t="str">
        <f t="shared" si="232"/>
        <v xml:space="preserve">S/F  </v>
      </c>
      <c r="G704" s="45">
        <v>0</v>
      </c>
      <c r="H704" s="53">
        <v>0</v>
      </c>
      <c r="I704" s="40">
        <f t="shared" si="233"/>
        <v>0</v>
      </c>
      <c r="J704" s="53"/>
      <c r="K704" s="40">
        <f t="shared" si="234"/>
        <v>0</v>
      </c>
      <c r="L704" s="45">
        <v>0</v>
      </c>
      <c r="M704" s="53">
        <v>0</v>
      </c>
      <c r="N704" s="40">
        <f t="shared" si="235"/>
        <v>0</v>
      </c>
      <c r="P704" s="40">
        <f t="shared" si="236"/>
        <v>0</v>
      </c>
      <c r="Q704" s="45"/>
      <c r="R704" s="53"/>
      <c r="S704" s="40">
        <f t="shared" si="237"/>
        <v>0</v>
      </c>
      <c r="U704" s="40">
        <f t="shared" si="238"/>
        <v>0</v>
      </c>
      <c r="V704" s="51">
        <v>0</v>
      </c>
      <c r="W704" s="51">
        <v>0</v>
      </c>
      <c r="X704" s="40">
        <f t="shared" si="239"/>
        <v>0</v>
      </c>
      <c r="AA704" s="40">
        <f t="shared" si="240"/>
        <v>0</v>
      </c>
      <c r="AB704" s="40">
        <f t="shared" si="241"/>
        <v>0</v>
      </c>
      <c r="AC704" s="67"/>
    </row>
    <row r="705" spans="6:29" x14ac:dyDescent="0.25">
      <c r="F705" s="45" t="str">
        <f t="shared" si="232"/>
        <v xml:space="preserve">S/F  </v>
      </c>
      <c r="G705" s="45">
        <v>0</v>
      </c>
      <c r="H705" s="53">
        <v>0</v>
      </c>
      <c r="I705" s="40">
        <f t="shared" si="233"/>
        <v>0</v>
      </c>
      <c r="J705" s="53"/>
      <c r="K705" s="40">
        <f t="shared" si="234"/>
        <v>0</v>
      </c>
      <c r="L705" s="45">
        <v>0</v>
      </c>
      <c r="M705" s="53">
        <v>0</v>
      </c>
      <c r="N705" s="40">
        <f t="shared" si="235"/>
        <v>0</v>
      </c>
      <c r="P705" s="40">
        <f t="shared" si="236"/>
        <v>0</v>
      </c>
      <c r="Q705" s="45"/>
      <c r="R705" s="53"/>
      <c r="S705" s="40">
        <f t="shared" si="237"/>
        <v>0</v>
      </c>
      <c r="U705" s="40">
        <f t="shared" si="238"/>
        <v>0</v>
      </c>
      <c r="V705" s="51">
        <v>0</v>
      </c>
      <c r="W705" s="51">
        <v>0</v>
      </c>
      <c r="X705" s="40">
        <f t="shared" si="239"/>
        <v>0</v>
      </c>
      <c r="AA705" s="40">
        <f t="shared" si="240"/>
        <v>0</v>
      </c>
      <c r="AB705" s="40">
        <f t="shared" si="241"/>
        <v>0</v>
      </c>
      <c r="AC705" s="67"/>
    </row>
    <row r="706" spans="6:29" x14ac:dyDescent="0.25">
      <c r="F706" s="45" t="str">
        <f t="shared" si="232"/>
        <v xml:space="preserve">S/F  </v>
      </c>
      <c r="G706" s="45">
        <v>0</v>
      </c>
      <c r="H706" s="53">
        <v>0</v>
      </c>
      <c r="I706" s="40">
        <f t="shared" si="233"/>
        <v>0</v>
      </c>
      <c r="J706" s="53"/>
      <c r="K706" s="40">
        <f t="shared" si="234"/>
        <v>0</v>
      </c>
      <c r="L706" s="45">
        <v>0</v>
      </c>
      <c r="M706" s="53">
        <v>0</v>
      </c>
      <c r="N706" s="40">
        <f t="shared" si="235"/>
        <v>0</v>
      </c>
      <c r="P706" s="40">
        <f t="shared" si="236"/>
        <v>0</v>
      </c>
      <c r="Q706" s="45"/>
      <c r="R706" s="53"/>
      <c r="S706" s="40">
        <f t="shared" si="237"/>
        <v>0</v>
      </c>
      <c r="U706" s="40">
        <f t="shared" si="238"/>
        <v>0</v>
      </c>
      <c r="V706" s="51">
        <v>0</v>
      </c>
      <c r="W706" s="51">
        <v>0</v>
      </c>
      <c r="X706" s="40">
        <f t="shared" si="239"/>
        <v>0</v>
      </c>
      <c r="AA706" s="40">
        <f t="shared" si="240"/>
        <v>0</v>
      </c>
      <c r="AB706" s="40">
        <f t="shared" si="241"/>
        <v>0</v>
      </c>
      <c r="AC706" s="67"/>
    </row>
    <row r="707" spans="6:29" x14ac:dyDescent="0.25">
      <c r="F707" s="45" t="str">
        <f t="shared" si="232"/>
        <v xml:space="preserve">S/F  </v>
      </c>
      <c r="G707" s="45">
        <v>0</v>
      </c>
      <c r="H707" s="53">
        <v>0</v>
      </c>
      <c r="I707" s="40">
        <f t="shared" si="233"/>
        <v>0</v>
      </c>
      <c r="J707" s="53"/>
      <c r="K707" s="40">
        <f t="shared" si="234"/>
        <v>0</v>
      </c>
      <c r="L707" s="45">
        <v>0</v>
      </c>
      <c r="M707" s="53">
        <v>0</v>
      </c>
      <c r="N707" s="40">
        <f t="shared" si="235"/>
        <v>0</v>
      </c>
      <c r="P707" s="40">
        <f t="shared" si="236"/>
        <v>0</v>
      </c>
      <c r="Q707" s="45"/>
      <c r="R707" s="53"/>
      <c r="S707" s="40">
        <f t="shared" si="237"/>
        <v>0</v>
      </c>
      <c r="U707" s="40">
        <f t="shared" si="238"/>
        <v>0</v>
      </c>
      <c r="V707" s="51">
        <v>0</v>
      </c>
      <c r="W707" s="51">
        <v>0</v>
      </c>
      <c r="X707" s="40">
        <f t="shared" si="239"/>
        <v>0</v>
      </c>
      <c r="AA707" s="40">
        <f t="shared" si="240"/>
        <v>0</v>
      </c>
      <c r="AB707" s="40">
        <f t="shared" si="241"/>
        <v>0</v>
      </c>
      <c r="AC707" s="67"/>
    </row>
    <row r="708" spans="6:29" x14ac:dyDescent="0.25">
      <c r="F708" s="45" t="str">
        <f t="shared" si="232"/>
        <v xml:space="preserve">S/F  </v>
      </c>
      <c r="G708" s="45">
        <v>0</v>
      </c>
      <c r="H708" s="53">
        <v>0</v>
      </c>
      <c r="I708" s="40">
        <f t="shared" si="233"/>
        <v>0</v>
      </c>
      <c r="J708" s="53"/>
      <c r="K708" s="40">
        <f t="shared" si="234"/>
        <v>0</v>
      </c>
      <c r="L708" s="45">
        <v>0</v>
      </c>
      <c r="M708" s="53">
        <v>0</v>
      </c>
      <c r="N708" s="40">
        <f t="shared" si="235"/>
        <v>0</v>
      </c>
      <c r="P708" s="40">
        <f t="shared" si="236"/>
        <v>0</v>
      </c>
      <c r="Q708" s="45"/>
      <c r="R708" s="53"/>
      <c r="S708" s="40">
        <f t="shared" si="237"/>
        <v>0</v>
      </c>
      <c r="U708" s="40">
        <f t="shared" si="238"/>
        <v>0</v>
      </c>
      <c r="V708" s="51">
        <v>0</v>
      </c>
      <c r="W708" s="51">
        <v>0</v>
      </c>
      <c r="X708" s="40">
        <f t="shared" si="239"/>
        <v>0</v>
      </c>
      <c r="AA708" s="40">
        <f t="shared" si="240"/>
        <v>0</v>
      </c>
      <c r="AB708" s="40">
        <f t="shared" si="241"/>
        <v>0</v>
      </c>
      <c r="AC708" s="67"/>
    </row>
    <row r="709" spans="6:29" x14ac:dyDescent="0.25">
      <c r="F709" s="45" t="str">
        <f t="shared" si="232"/>
        <v xml:space="preserve">S/F  </v>
      </c>
      <c r="G709" s="45">
        <v>0</v>
      </c>
      <c r="H709" s="53">
        <v>0</v>
      </c>
      <c r="I709" s="40">
        <f t="shared" si="233"/>
        <v>0</v>
      </c>
      <c r="J709" s="53"/>
      <c r="K709" s="40">
        <f t="shared" si="234"/>
        <v>0</v>
      </c>
      <c r="L709" s="45">
        <v>0</v>
      </c>
      <c r="M709" s="53">
        <v>0</v>
      </c>
      <c r="N709" s="40">
        <f t="shared" si="235"/>
        <v>0</v>
      </c>
      <c r="P709" s="40">
        <f t="shared" si="236"/>
        <v>0</v>
      </c>
      <c r="Q709" s="45"/>
      <c r="R709" s="53"/>
      <c r="S709" s="40">
        <f t="shared" si="237"/>
        <v>0</v>
      </c>
      <c r="U709" s="40">
        <f t="shared" si="238"/>
        <v>0</v>
      </c>
      <c r="V709" s="51">
        <v>0</v>
      </c>
      <c r="W709" s="51">
        <v>0</v>
      </c>
      <c r="X709" s="40">
        <f t="shared" si="239"/>
        <v>0</v>
      </c>
      <c r="AA709" s="40">
        <f t="shared" si="240"/>
        <v>0</v>
      </c>
      <c r="AB709" s="40">
        <f t="shared" si="241"/>
        <v>0</v>
      </c>
      <c r="AC709" s="67"/>
    </row>
    <row r="710" spans="6:29" x14ac:dyDescent="0.25">
      <c r="F710" s="45" t="str">
        <f t="shared" si="232"/>
        <v xml:space="preserve">S/F  </v>
      </c>
      <c r="G710" s="45">
        <v>0</v>
      </c>
      <c r="H710" s="53">
        <v>0</v>
      </c>
      <c r="I710" s="40">
        <f t="shared" si="233"/>
        <v>0</v>
      </c>
      <c r="J710" s="53"/>
      <c r="K710" s="40">
        <f t="shared" si="234"/>
        <v>0</v>
      </c>
      <c r="L710" s="45">
        <v>0</v>
      </c>
      <c r="M710" s="53">
        <v>0</v>
      </c>
      <c r="N710" s="40">
        <f t="shared" si="235"/>
        <v>0</v>
      </c>
      <c r="P710" s="40">
        <f t="shared" si="236"/>
        <v>0</v>
      </c>
      <c r="Q710" s="45"/>
      <c r="R710" s="53"/>
      <c r="S710" s="40">
        <f t="shared" si="237"/>
        <v>0</v>
      </c>
      <c r="U710" s="40">
        <f t="shared" si="238"/>
        <v>0</v>
      </c>
      <c r="V710" s="51">
        <v>0</v>
      </c>
      <c r="W710" s="51">
        <v>0</v>
      </c>
      <c r="X710" s="40">
        <f t="shared" si="239"/>
        <v>0</v>
      </c>
      <c r="AA710" s="40">
        <f t="shared" si="240"/>
        <v>0</v>
      </c>
      <c r="AB710" s="40">
        <f t="shared" si="241"/>
        <v>0</v>
      </c>
      <c r="AC710" s="67"/>
    </row>
    <row r="711" spans="6:29" x14ac:dyDescent="0.25">
      <c r="F711" s="45" t="str">
        <f t="shared" si="232"/>
        <v xml:space="preserve">S/F  </v>
      </c>
      <c r="G711" s="45">
        <v>0</v>
      </c>
      <c r="H711" s="53">
        <v>0</v>
      </c>
      <c r="I711" s="40">
        <f t="shared" si="233"/>
        <v>0</v>
      </c>
      <c r="J711" s="53"/>
      <c r="K711" s="40">
        <f t="shared" si="234"/>
        <v>0</v>
      </c>
      <c r="L711" s="45">
        <v>0</v>
      </c>
      <c r="M711" s="53">
        <v>0</v>
      </c>
      <c r="N711" s="40">
        <f t="shared" si="235"/>
        <v>0</v>
      </c>
      <c r="P711" s="40">
        <f t="shared" si="236"/>
        <v>0</v>
      </c>
      <c r="Q711" s="45"/>
      <c r="R711" s="53"/>
      <c r="S711" s="40">
        <f t="shared" si="237"/>
        <v>0</v>
      </c>
      <c r="U711" s="40">
        <f t="shared" si="238"/>
        <v>0</v>
      </c>
      <c r="V711" s="51">
        <v>0</v>
      </c>
      <c r="W711" s="51">
        <v>0</v>
      </c>
      <c r="X711" s="40">
        <f t="shared" si="239"/>
        <v>0</v>
      </c>
      <c r="AA711" s="40">
        <f t="shared" si="240"/>
        <v>0</v>
      </c>
      <c r="AB711" s="40">
        <f t="shared" si="241"/>
        <v>0</v>
      </c>
      <c r="AC711" s="67"/>
    </row>
    <row r="712" spans="6:29" x14ac:dyDescent="0.25">
      <c r="F712" s="45" t="str">
        <f t="shared" si="232"/>
        <v xml:space="preserve">S/F  </v>
      </c>
      <c r="G712" s="45">
        <v>0</v>
      </c>
      <c r="H712" s="53">
        <v>0</v>
      </c>
      <c r="I712" s="40">
        <f t="shared" si="233"/>
        <v>0</v>
      </c>
      <c r="J712" s="53"/>
      <c r="K712" s="40">
        <f t="shared" si="234"/>
        <v>0</v>
      </c>
      <c r="L712" s="45">
        <v>0</v>
      </c>
      <c r="M712" s="53">
        <v>0</v>
      </c>
      <c r="N712" s="40">
        <f t="shared" si="235"/>
        <v>0</v>
      </c>
      <c r="P712" s="40">
        <f t="shared" si="236"/>
        <v>0</v>
      </c>
      <c r="Q712" s="45"/>
      <c r="R712" s="53"/>
      <c r="S712" s="40">
        <f t="shared" si="237"/>
        <v>0</v>
      </c>
      <c r="U712" s="40">
        <f t="shared" si="238"/>
        <v>0</v>
      </c>
      <c r="V712" s="51">
        <v>0</v>
      </c>
      <c r="W712" s="51">
        <v>0</v>
      </c>
      <c r="X712" s="40">
        <f t="shared" si="239"/>
        <v>0</v>
      </c>
      <c r="AA712" s="40">
        <f t="shared" si="240"/>
        <v>0</v>
      </c>
      <c r="AB712" s="40">
        <f t="shared" si="241"/>
        <v>0</v>
      </c>
      <c r="AC712" s="67"/>
    </row>
    <row r="713" spans="6:29" x14ac:dyDescent="0.25">
      <c r="F713" s="45" t="str">
        <f t="shared" si="232"/>
        <v xml:space="preserve">S/F  </v>
      </c>
      <c r="G713" s="45">
        <v>0</v>
      </c>
      <c r="H713" s="53">
        <v>0</v>
      </c>
      <c r="I713" s="40">
        <f t="shared" si="233"/>
        <v>0</v>
      </c>
      <c r="J713" s="53"/>
      <c r="K713" s="40">
        <f t="shared" si="234"/>
        <v>0</v>
      </c>
      <c r="L713" s="45">
        <v>0</v>
      </c>
      <c r="M713" s="53">
        <v>0</v>
      </c>
      <c r="N713" s="40">
        <f t="shared" si="235"/>
        <v>0</v>
      </c>
      <c r="P713" s="40">
        <f t="shared" si="236"/>
        <v>0</v>
      </c>
      <c r="Q713" s="45"/>
      <c r="R713" s="53"/>
      <c r="S713" s="40">
        <f t="shared" si="237"/>
        <v>0</v>
      </c>
      <c r="U713" s="40">
        <f t="shared" si="238"/>
        <v>0</v>
      </c>
      <c r="V713" s="51">
        <v>0</v>
      </c>
      <c r="W713" s="51">
        <v>0</v>
      </c>
      <c r="X713" s="40">
        <f t="shared" si="239"/>
        <v>0</v>
      </c>
      <c r="AA713" s="40">
        <f t="shared" si="240"/>
        <v>0</v>
      </c>
      <c r="AB713" s="40">
        <f t="shared" si="241"/>
        <v>0</v>
      </c>
      <c r="AC713" s="67"/>
    </row>
    <row r="714" spans="6:29" x14ac:dyDescent="0.25">
      <c r="F714" s="45" t="str">
        <f t="shared" si="232"/>
        <v xml:space="preserve">S/F  </v>
      </c>
      <c r="G714" s="45">
        <v>0</v>
      </c>
      <c r="H714" s="53">
        <v>0</v>
      </c>
      <c r="I714" s="40">
        <f t="shared" si="233"/>
        <v>0</v>
      </c>
      <c r="J714" s="53"/>
      <c r="K714" s="40">
        <f t="shared" si="234"/>
        <v>0</v>
      </c>
      <c r="L714" s="45">
        <v>0</v>
      </c>
      <c r="M714" s="53">
        <v>0</v>
      </c>
      <c r="N714" s="40">
        <f t="shared" si="235"/>
        <v>0</v>
      </c>
      <c r="P714" s="40">
        <f t="shared" si="236"/>
        <v>0</v>
      </c>
      <c r="Q714" s="45"/>
      <c r="R714" s="53"/>
      <c r="S714" s="40">
        <f t="shared" si="237"/>
        <v>0</v>
      </c>
      <c r="U714" s="40">
        <f t="shared" si="238"/>
        <v>0</v>
      </c>
      <c r="V714" s="51">
        <v>0</v>
      </c>
      <c r="W714" s="51">
        <v>0</v>
      </c>
      <c r="X714" s="40">
        <f t="shared" si="239"/>
        <v>0</v>
      </c>
      <c r="AA714" s="40">
        <f t="shared" si="240"/>
        <v>0</v>
      </c>
      <c r="AB714" s="40">
        <f t="shared" si="241"/>
        <v>0</v>
      </c>
      <c r="AC714" s="67"/>
    </row>
    <row r="715" spans="6:29" x14ac:dyDescent="0.25">
      <c r="F715" s="45" t="str">
        <f t="shared" si="232"/>
        <v xml:space="preserve">S/F  </v>
      </c>
      <c r="G715" s="45">
        <v>0</v>
      </c>
      <c r="H715" s="53">
        <v>0</v>
      </c>
      <c r="I715" s="40">
        <f t="shared" si="233"/>
        <v>0</v>
      </c>
      <c r="J715" s="53"/>
      <c r="K715" s="40">
        <f t="shared" si="234"/>
        <v>0</v>
      </c>
      <c r="L715" s="45">
        <v>0</v>
      </c>
      <c r="M715" s="53">
        <v>0</v>
      </c>
      <c r="N715" s="40">
        <f t="shared" si="235"/>
        <v>0</v>
      </c>
      <c r="P715" s="40">
        <f t="shared" si="236"/>
        <v>0</v>
      </c>
      <c r="Q715" s="45"/>
      <c r="R715" s="53"/>
      <c r="S715" s="40">
        <f t="shared" si="237"/>
        <v>0</v>
      </c>
      <c r="U715" s="40">
        <f t="shared" si="238"/>
        <v>0</v>
      </c>
      <c r="V715" s="51">
        <v>0</v>
      </c>
      <c r="W715" s="51">
        <v>0</v>
      </c>
      <c r="X715" s="40">
        <f t="shared" si="239"/>
        <v>0</v>
      </c>
      <c r="AA715" s="40">
        <f t="shared" si="240"/>
        <v>0</v>
      </c>
      <c r="AB715" s="40">
        <f t="shared" si="241"/>
        <v>0</v>
      </c>
      <c r="AC715" s="67"/>
    </row>
    <row r="716" spans="6:29" x14ac:dyDescent="0.25">
      <c r="F716" s="45" t="str">
        <f t="shared" si="232"/>
        <v xml:space="preserve">S/F  </v>
      </c>
      <c r="G716" s="45">
        <v>0</v>
      </c>
      <c r="H716" s="53">
        <v>0</v>
      </c>
      <c r="I716" s="40">
        <f t="shared" si="233"/>
        <v>0</v>
      </c>
      <c r="J716" s="53"/>
      <c r="K716" s="40">
        <f t="shared" si="234"/>
        <v>0</v>
      </c>
      <c r="L716" s="45">
        <v>0</v>
      </c>
      <c r="M716" s="53">
        <v>0</v>
      </c>
      <c r="N716" s="40">
        <f t="shared" si="235"/>
        <v>0</v>
      </c>
      <c r="P716" s="40">
        <f t="shared" si="236"/>
        <v>0</v>
      </c>
      <c r="Q716" s="45"/>
      <c r="R716" s="53"/>
      <c r="S716" s="40">
        <f t="shared" si="237"/>
        <v>0</v>
      </c>
      <c r="U716" s="40">
        <f t="shared" si="238"/>
        <v>0</v>
      </c>
      <c r="V716" s="51">
        <v>0</v>
      </c>
      <c r="W716" s="51">
        <v>0</v>
      </c>
      <c r="X716" s="40">
        <f t="shared" si="239"/>
        <v>0</v>
      </c>
      <c r="AA716" s="40">
        <f t="shared" si="240"/>
        <v>0</v>
      </c>
      <c r="AB716" s="40">
        <f t="shared" si="241"/>
        <v>0</v>
      </c>
      <c r="AC716" s="67"/>
    </row>
    <row r="717" spans="6:29" x14ac:dyDescent="0.25">
      <c r="F717" s="45" t="str">
        <f t="shared" ref="F717:F780" si="242">"S/F "&amp;B717&amp;" "&amp;E717</f>
        <v xml:space="preserve">S/F  </v>
      </c>
      <c r="G717" s="45">
        <v>0</v>
      </c>
      <c r="H717" s="53">
        <v>0</v>
      </c>
      <c r="I717" s="40">
        <f t="shared" si="233"/>
        <v>0</v>
      </c>
      <c r="J717" s="53"/>
      <c r="K717" s="40">
        <f t="shared" si="234"/>
        <v>0</v>
      </c>
      <c r="L717" s="45">
        <v>0</v>
      </c>
      <c r="M717" s="53">
        <v>0</v>
      </c>
      <c r="N717" s="40">
        <f t="shared" si="235"/>
        <v>0</v>
      </c>
      <c r="P717" s="40">
        <f t="shared" si="236"/>
        <v>0</v>
      </c>
      <c r="Q717" s="45"/>
      <c r="R717" s="53"/>
      <c r="S717" s="40">
        <f t="shared" si="237"/>
        <v>0</v>
      </c>
      <c r="U717" s="40">
        <f t="shared" si="238"/>
        <v>0</v>
      </c>
      <c r="V717" s="51">
        <v>0</v>
      </c>
      <c r="W717" s="51">
        <v>0</v>
      </c>
      <c r="X717" s="40">
        <f t="shared" si="239"/>
        <v>0</v>
      </c>
      <c r="AA717" s="40">
        <f t="shared" si="240"/>
        <v>0</v>
      </c>
      <c r="AB717" s="40">
        <f t="shared" si="241"/>
        <v>0</v>
      </c>
      <c r="AC717" s="67"/>
    </row>
    <row r="718" spans="6:29" x14ac:dyDescent="0.25">
      <c r="F718" s="45" t="str">
        <f t="shared" si="242"/>
        <v xml:space="preserve">S/F  </v>
      </c>
      <c r="G718" s="45">
        <v>0</v>
      </c>
      <c r="H718" s="53">
        <v>0</v>
      </c>
      <c r="I718" s="40">
        <f t="shared" si="233"/>
        <v>0</v>
      </c>
      <c r="J718" s="53"/>
      <c r="K718" s="40">
        <f t="shared" si="234"/>
        <v>0</v>
      </c>
      <c r="L718" s="45">
        <v>0</v>
      </c>
      <c r="M718" s="53">
        <v>0</v>
      </c>
      <c r="N718" s="40">
        <f t="shared" si="235"/>
        <v>0</v>
      </c>
      <c r="P718" s="40">
        <f t="shared" si="236"/>
        <v>0</v>
      </c>
      <c r="Q718" s="45"/>
      <c r="R718" s="53"/>
      <c r="S718" s="40">
        <f t="shared" si="237"/>
        <v>0</v>
      </c>
      <c r="U718" s="40">
        <f t="shared" si="238"/>
        <v>0</v>
      </c>
      <c r="V718" s="51">
        <v>0</v>
      </c>
      <c r="W718" s="51">
        <v>0</v>
      </c>
      <c r="X718" s="40">
        <f t="shared" si="239"/>
        <v>0</v>
      </c>
      <c r="AA718" s="40">
        <f t="shared" si="240"/>
        <v>0</v>
      </c>
      <c r="AB718" s="40">
        <f t="shared" si="241"/>
        <v>0</v>
      </c>
      <c r="AC718" s="67"/>
    </row>
    <row r="719" spans="6:29" x14ac:dyDescent="0.25">
      <c r="F719" s="45" t="str">
        <f t="shared" si="242"/>
        <v xml:space="preserve">S/F  </v>
      </c>
      <c r="G719" s="45">
        <v>0</v>
      </c>
      <c r="H719" s="53">
        <v>0</v>
      </c>
      <c r="I719" s="40">
        <f t="shared" si="233"/>
        <v>0</v>
      </c>
      <c r="J719" s="53"/>
      <c r="K719" s="40">
        <f t="shared" si="234"/>
        <v>0</v>
      </c>
      <c r="L719" s="45">
        <v>0</v>
      </c>
      <c r="M719" s="53">
        <v>0</v>
      </c>
      <c r="N719" s="40">
        <f t="shared" si="235"/>
        <v>0</v>
      </c>
      <c r="P719" s="40">
        <f t="shared" si="236"/>
        <v>0</v>
      </c>
      <c r="Q719" s="45"/>
      <c r="R719" s="53"/>
      <c r="S719" s="40">
        <f t="shared" si="237"/>
        <v>0</v>
      </c>
      <c r="U719" s="40">
        <f t="shared" si="238"/>
        <v>0</v>
      </c>
      <c r="V719" s="51">
        <v>0</v>
      </c>
      <c r="W719" s="51">
        <v>0</v>
      </c>
      <c r="X719" s="40">
        <f t="shared" si="239"/>
        <v>0</v>
      </c>
      <c r="AA719" s="40">
        <f t="shared" si="240"/>
        <v>0</v>
      </c>
      <c r="AB719" s="40">
        <f t="shared" si="241"/>
        <v>0</v>
      </c>
      <c r="AC719" s="67"/>
    </row>
    <row r="720" spans="6:29" x14ac:dyDescent="0.25">
      <c r="F720" s="45" t="str">
        <f t="shared" si="242"/>
        <v xml:space="preserve">S/F  </v>
      </c>
      <c r="G720" s="45">
        <v>0</v>
      </c>
      <c r="H720" s="53">
        <v>0</v>
      </c>
      <c r="I720" s="40">
        <f t="shared" si="233"/>
        <v>0</v>
      </c>
      <c r="J720" s="53"/>
      <c r="K720" s="40">
        <f t="shared" si="234"/>
        <v>0</v>
      </c>
      <c r="L720" s="45">
        <v>0</v>
      </c>
      <c r="M720" s="53">
        <v>0</v>
      </c>
      <c r="N720" s="40">
        <f t="shared" si="235"/>
        <v>0</v>
      </c>
      <c r="P720" s="40">
        <f t="shared" si="236"/>
        <v>0</v>
      </c>
      <c r="Q720" s="45"/>
      <c r="R720" s="53"/>
      <c r="S720" s="40">
        <f t="shared" si="237"/>
        <v>0</v>
      </c>
      <c r="U720" s="40">
        <f t="shared" si="238"/>
        <v>0</v>
      </c>
      <c r="V720" s="51">
        <v>0</v>
      </c>
      <c r="W720" s="51">
        <v>0</v>
      </c>
      <c r="X720" s="40">
        <f t="shared" si="239"/>
        <v>0</v>
      </c>
      <c r="AA720" s="40">
        <f t="shared" si="240"/>
        <v>0</v>
      </c>
      <c r="AB720" s="40">
        <f t="shared" si="241"/>
        <v>0</v>
      </c>
      <c r="AC720" s="67"/>
    </row>
    <row r="721" spans="6:29" x14ac:dyDescent="0.25">
      <c r="F721" s="45" t="str">
        <f t="shared" si="242"/>
        <v xml:space="preserve">S/F  </v>
      </c>
      <c r="G721" s="45">
        <v>0</v>
      </c>
      <c r="H721" s="53">
        <v>0</v>
      </c>
      <c r="I721" s="40">
        <f t="shared" si="233"/>
        <v>0</v>
      </c>
      <c r="J721" s="53"/>
      <c r="K721" s="40">
        <f t="shared" si="234"/>
        <v>0</v>
      </c>
      <c r="L721" s="45">
        <v>0</v>
      </c>
      <c r="M721" s="53">
        <v>0</v>
      </c>
      <c r="N721" s="40">
        <f t="shared" si="235"/>
        <v>0</v>
      </c>
      <c r="P721" s="40">
        <f t="shared" si="236"/>
        <v>0</v>
      </c>
      <c r="Q721" s="45"/>
      <c r="R721" s="53"/>
      <c r="S721" s="40">
        <f t="shared" si="237"/>
        <v>0</v>
      </c>
      <c r="U721" s="40">
        <f t="shared" si="238"/>
        <v>0</v>
      </c>
      <c r="V721" s="51">
        <v>0</v>
      </c>
      <c r="W721" s="51">
        <v>0</v>
      </c>
      <c r="X721" s="40">
        <f t="shared" si="239"/>
        <v>0</v>
      </c>
      <c r="AA721" s="40">
        <f t="shared" si="240"/>
        <v>0</v>
      </c>
      <c r="AB721" s="40">
        <f t="shared" si="241"/>
        <v>0</v>
      </c>
      <c r="AC721" s="67"/>
    </row>
    <row r="722" spans="6:29" x14ac:dyDescent="0.25">
      <c r="F722" s="45" t="str">
        <f t="shared" si="242"/>
        <v xml:space="preserve">S/F  </v>
      </c>
      <c r="G722" s="45">
        <v>0</v>
      </c>
      <c r="H722" s="53">
        <v>0</v>
      </c>
      <c r="I722" s="40">
        <f t="shared" si="233"/>
        <v>0</v>
      </c>
      <c r="J722" s="53"/>
      <c r="K722" s="40">
        <f t="shared" si="234"/>
        <v>0</v>
      </c>
      <c r="L722" s="45">
        <v>0</v>
      </c>
      <c r="M722" s="53">
        <v>0</v>
      </c>
      <c r="N722" s="40">
        <f t="shared" si="235"/>
        <v>0</v>
      </c>
      <c r="P722" s="40">
        <f t="shared" si="236"/>
        <v>0</v>
      </c>
      <c r="Q722" s="45"/>
      <c r="R722" s="53"/>
      <c r="S722" s="40">
        <f t="shared" si="237"/>
        <v>0</v>
      </c>
      <c r="U722" s="40">
        <f t="shared" si="238"/>
        <v>0</v>
      </c>
      <c r="V722" s="51">
        <v>0</v>
      </c>
      <c r="W722" s="51">
        <v>0</v>
      </c>
      <c r="X722" s="40">
        <f t="shared" si="239"/>
        <v>0</v>
      </c>
      <c r="AA722" s="40">
        <f t="shared" si="240"/>
        <v>0</v>
      </c>
      <c r="AB722" s="40">
        <f t="shared" si="241"/>
        <v>0</v>
      </c>
      <c r="AC722" s="67"/>
    </row>
    <row r="723" spans="6:29" x14ac:dyDescent="0.25">
      <c r="F723" s="45" t="str">
        <f t="shared" si="242"/>
        <v xml:space="preserve">S/F  </v>
      </c>
      <c r="G723" s="45">
        <v>0</v>
      </c>
      <c r="H723" s="53">
        <v>0</v>
      </c>
      <c r="I723" s="40">
        <f t="shared" si="233"/>
        <v>0</v>
      </c>
      <c r="J723" s="53"/>
      <c r="K723" s="40">
        <f t="shared" si="234"/>
        <v>0</v>
      </c>
      <c r="L723" s="45">
        <v>0</v>
      </c>
      <c r="M723" s="53">
        <v>0</v>
      </c>
      <c r="N723" s="40">
        <f t="shared" si="235"/>
        <v>0</v>
      </c>
      <c r="P723" s="40">
        <f t="shared" si="236"/>
        <v>0</v>
      </c>
      <c r="Q723" s="45"/>
      <c r="R723" s="53"/>
      <c r="S723" s="40">
        <f t="shared" si="237"/>
        <v>0</v>
      </c>
      <c r="U723" s="40">
        <f t="shared" si="238"/>
        <v>0</v>
      </c>
      <c r="V723" s="51">
        <v>0</v>
      </c>
      <c r="W723" s="51">
        <v>0</v>
      </c>
      <c r="X723" s="40">
        <f t="shared" si="239"/>
        <v>0</v>
      </c>
      <c r="AA723" s="40">
        <f t="shared" si="240"/>
        <v>0</v>
      </c>
      <c r="AB723" s="40">
        <f t="shared" si="241"/>
        <v>0</v>
      </c>
      <c r="AC723" s="67"/>
    </row>
    <row r="724" spans="6:29" x14ac:dyDescent="0.25">
      <c r="F724" s="45" t="str">
        <f t="shared" si="242"/>
        <v xml:space="preserve">S/F  </v>
      </c>
      <c r="G724" s="45">
        <v>0</v>
      </c>
      <c r="H724" s="53">
        <v>0</v>
      </c>
      <c r="I724" s="40">
        <f t="shared" si="233"/>
        <v>0</v>
      </c>
      <c r="J724" s="53"/>
      <c r="K724" s="40">
        <f t="shared" si="234"/>
        <v>0</v>
      </c>
      <c r="L724" s="45">
        <v>0</v>
      </c>
      <c r="M724" s="53">
        <v>0</v>
      </c>
      <c r="N724" s="40">
        <f t="shared" si="235"/>
        <v>0</v>
      </c>
      <c r="P724" s="40">
        <f t="shared" si="236"/>
        <v>0</v>
      </c>
      <c r="Q724" s="45"/>
      <c r="R724" s="53"/>
      <c r="S724" s="40">
        <f t="shared" si="237"/>
        <v>0</v>
      </c>
      <c r="U724" s="40">
        <f t="shared" si="238"/>
        <v>0</v>
      </c>
      <c r="V724" s="51">
        <v>0</v>
      </c>
      <c r="W724" s="51">
        <v>0</v>
      </c>
      <c r="X724" s="40">
        <f t="shared" si="239"/>
        <v>0</v>
      </c>
      <c r="AA724" s="40">
        <f t="shared" si="240"/>
        <v>0</v>
      </c>
      <c r="AB724" s="40">
        <f t="shared" si="241"/>
        <v>0</v>
      </c>
      <c r="AC724" s="67"/>
    </row>
    <row r="725" spans="6:29" x14ac:dyDescent="0.25">
      <c r="F725" s="45" t="str">
        <f t="shared" si="242"/>
        <v xml:space="preserve">S/F  </v>
      </c>
      <c r="G725" s="45">
        <v>0</v>
      </c>
      <c r="H725" s="53">
        <v>0</v>
      </c>
      <c r="I725" s="40">
        <f t="shared" ref="I725:I788" si="243">+IF(G725&lt;&gt;0,G725*H725/100,0)</f>
        <v>0</v>
      </c>
      <c r="J725" s="53"/>
      <c r="K725" s="40">
        <f t="shared" ref="K725:K788" si="244">+IF(G725&lt;&gt;0,G725*J725/100,0)</f>
        <v>0</v>
      </c>
      <c r="L725" s="45">
        <v>0</v>
      </c>
      <c r="M725" s="53">
        <v>0</v>
      </c>
      <c r="N725" s="40">
        <f t="shared" ref="N725:N788" si="245">+IF(L725&lt;&gt;0,L725*M725/100,0)</f>
        <v>0</v>
      </c>
      <c r="P725" s="40">
        <f t="shared" ref="P725:P788" si="246">+IF(L725&lt;&gt;0,L725*O725/100,0)</f>
        <v>0</v>
      </c>
      <c r="Q725" s="45"/>
      <c r="R725" s="53"/>
      <c r="S725" s="40">
        <f t="shared" ref="S725:S788" si="247">+IF(Q725&lt;&gt;0,Q725*R725/100,0)</f>
        <v>0</v>
      </c>
      <c r="U725" s="40">
        <f t="shared" ref="U725:U788" si="248">+IF(Q725&lt;&gt;0,Q725*T725/100,0)</f>
        <v>0</v>
      </c>
      <c r="V725" s="51">
        <v>0</v>
      </c>
      <c r="W725" s="51">
        <v>0</v>
      </c>
      <c r="X725" s="40">
        <f t="shared" ref="X725:X788" si="249">+IF(W725&lt;&gt;0,V725*W725/100,0)</f>
        <v>0</v>
      </c>
      <c r="AA725" s="40">
        <f t="shared" ref="AA725:AA788" si="250">+IF(Z725&lt;&gt;0,Y725*Z725/100,0)</f>
        <v>0</v>
      </c>
      <c r="AB725" s="40">
        <f t="shared" ref="AB725:AB788" si="251">+G725+I725+K725+L725+N725+P725+Q725+S725+U725-X725-AA725</f>
        <v>0</v>
      </c>
      <c r="AC725" s="67"/>
    </row>
    <row r="726" spans="6:29" x14ac:dyDescent="0.25">
      <c r="F726" s="45" t="str">
        <f t="shared" si="242"/>
        <v xml:space="preserve">S/F  </v>
      </c>
      <c r="G726" s="45">
        <v>0</v>
      </c>
      <c r="H726" s="53">
        <v>0</v>
      </c>
      <c r="I726" s="40">
        <f t="shared" si="243"/>
        <v>0</v>
      </c>
      <c r="J726" s="53"/>
      <c r="K726" s="40">
        <f t="shared" si="244"/>
        <v>0</v>
      </c>
      <c r="L726" s="45">
        <v>0</v>
      </c>
      <c r="M726" s="53">
        <v>0</v>
      </c>
      <c r="N726" s="40">
        <f t="shared" si="245"/>
        <v>0</v>
      </c>
      <c r="P726" s="40">
        <f t="shared" si="246"/>
        <v>0</v>
      </c>
      <c r="Q726" s="45"/>
      <c r="R726" s="53"/>
      <c r="S726" s="40">
        <f t="shared" si="247"/>
        <v>0</v>
      </c>
      <c r="U726" s="40">
        <f t="shared" si="248"/>
        <v>0</v>
      </c>
      <c r="V726" s="51">
        <v>0</v>
      </c>
      <c r="W726" s="51">
        <v>0</v>
      </c>
      <c r="X726" s="40">
        <f t="shared" si="249"/>
        <v>0</v>
      </c>
      <c r="AA726" s="40">
        <f t="shared" si="250"/>
        <v>0</v>
      </c>
      <c r="AB726" s="40">
        <f t="shared" si="251"/>
        <v>0</v>
      </c>
      <c r="AC726" s="67"/>
    </row>
    <row r="727" spans="6:29" x14ac:dyDescent="0.25">
      <c r="F727" s="45" t="str">
        <f t="shared" si="242"/>
        <v xml:space="preserve">S/F  </v>
      </c>
      <c r="G727" s="45">
        <v>0</v>
      </c>
      <c r="H727" s="53">
        <v>0</v>
      </c>
      <c r="I727" s="40">
        <f t="shared" si="243"/>
        <v>0</v>
      </c>
      <c r="J727" s="53"/>
      <c r="K727" s="40">
        <f t="shared" si="244"/>
        <v>0</v>
      </c>
      <c r="L727" s="45">
        <v>0</v>
      </c>
      <c r="M727" s="53">
        <v>0</v>
      </c>
      <c r="N727" s="40">
        <f t="shared" si="245"/>
        <v>0</v>
      </c>
      <c r="P727" s="40">
        <f t="shared" si="246"/>
        <v>0</v>
      </c>
      <c r="Q727" s="45"/>
      <c r="R727" s="53"/>
      <c r="S727" s="40">
        <f t="shared" si="247"/>
        <v>0</v>
      </c>
      <c r="U727" s="40">
        <f t="shared" si="248"/>
        <v>0</v>
      </c>
      <c r="V727" s="51">
        <v>0</v>
      </c>
      <c r="W727" s="51">
        <v>0</v>
      </c>
      <c r="X727" s="40">
        <f t="shared" si="249"/>
        <v>0</v>
      </c>
      <c r="AA727" s="40">
        <f t="shared" si="250"/>
        <v>0</v>
      </c>
      <c r="AB727" s="40">
        <f t="shared" si="251"/>
        <v>0</v>
      </c>
      <c r="AC727" s="67"/>
    </row>
    <row r="728" spans="6:29" x14ac:dyDescent="0.25">
      <c r="F728" s="45" t="str">
        <f t="shared" si="242"/>
        <v xml:space="preserve">S/F  </v>
      </c>
      <c r="G728" s="45">
        <v>0</v>
      </c>
      <c r="H728" s="53">
        <v>0</v>
      </c>
      <c r="I728" s="40">
        <f t="shared" si="243"/>
        <v>0</v>
      </c>
      <c r="J728" s="53"/>
      <c r="K728" s="40">
        <f t="shared" si="244"/>
        <v>0</v>
      </c>
      <c r="L728" s="45">
        <v>0</v>
      </c>
      <c r="M728" s="53">
        <v>0</v>
      </c>
      <c r="N728" s="40">
        <f t="shared" si="245"/>
        <v>0</v>
      </c>
      <c r="P728" s="40">
        <f t="shared" si="246"/>
        <v>0</v>
      </c>
      <c r="Q728" s="45"/>
      <c r="R728" s="53"/>
      <c r="S728" s="40">
        <f t="shared" si="247"/>
        <v>0</v>
      </c>
      <c r="U728" s="40">
        <f t="shared" si="248"/>
        <v>0</v>
      </c>
      <c r="V728" s="51">
        <v>0</v>
      </c>
      <c r="W728" s="51">
        <v>0</v>
      </c>
      <c r="X728" s="40">
        <f t="shared" si="249"/>
        <v>0</v>
      </c>
      <c r="AA728" s="40">
        <f t="shared" si="250"/>
        <v>0</v>
      </c>
      <c r="AB728" s="40">
        <f t="shared" si="251"/>
        <v>0</v>
      </c>
      <c r="AC728" s="67"/>
    </row>
    <row r="729" spans="6:29" x14ac:dyDescent="0.25">
      <c r="F729" s="45" t="str">
        <f t="shared" si="242"/>
        <v xml:space="preserve">S/F  </v>
      </c>
      <c r="G729" s="45">
        <v>0</v>
      </c>
      <c r="H729" s="53">
        <v>0</v>
      </c>
      <c r="I729" s="40">
        <f t="shared" si="243"/>
        <v>0</v>
      </c>
      <c r="J729" s="53"/>
      <c r="K729" s="40">
        <f t="shared" si="244"/>
        <v>0</v>
      </c>
      <c r="L729" s="45">
        <v>0</v>
      </c>
      <c r="M729" s="53">
        <v>0</v>
      </c>
      <c r="N729" s="40">
        <f t="shared" si="245"/>
        <v>0</v>
      </c>
      <c r="P729" s="40">
        <f t="shared" si="246"/>
        <v>0</v>
      </c>
      <c r="Q729" s="45"/>
      <c r="R729" s="53"/>
      <c r="S729" s="40">
        <f t="shared" si="247"/>
        <v>0</v>
      </c>
      <c r="U729" s="40">
        <f t="shared" si="248"/>
        <v>0</v>
      </c>
      <c r="V729" s="51">
        <v>0</v>
      </c>
      <c r="W729" s="51">
        <v>0</v>
      </c>
      <c r="X729" s="40">
        <f t="shared" si="249"/>
        <v>0</v>
      </c>
      <c r="AA729" s="40">
        <f t="shared" si="250"/>
        <v>0</v>
      </c>
      <c r="AB729" s="40">
        <f t="shared" si="251"/>
        <v>0</v>
      </c>
      <c r="AC729" s="67"/>
    </row>
    <row r="730" spans="6:29" x14ac:dyDescent="0.25">
      <c r="F730" s="45" t="str">
        <f t="shared" si="242"/>
        <v xml:space="preserve">S/F  </v>
      </c>
      <c r="G730" s="45">
        <v>0</v>
      </c>
      <c r="H730" s="53">
        <v>0</v>
      </c>
      <c r="I730" s="40">
        <f t="shared" si="243"/>
        <v>0</v>
      </c>
      <c r="J730" s="53"/>
      <c r="K730" s="40">
        <f t="shared" si="244"/>
        <v>0</v>
      </c>
      <c r="L730" s="45">
        <v>0</v>
      </c>
      <c r="M730" s="53">
        <v>0</v>
      </c>
      <c r="N730" s="40">
        <f t="shared" si="245"/>
        <v>0</v>
      </c>
      <c r="P730" s="40">
        <f t="shared" si="246"/>
        <v>0</v>
      </c>
      <c r="Q730" s="45"/>
      <c r="R730" s="53"/>
      <c r="S730" s="40">
        <f t="shared" si="247"/>
        <v>0</v>
      </c>
      <c r="U730" s="40">
        <f t="shared" si="248"/>
        <v>0</v>
      </c>
      <c r="V730" s="51">
        <v>0</v>
      </c>
      <c r="W730" s="51">
        <v>0</v>
      </c>
      <c r="X730" s="40">
        <f t="shared" si="249"/>
        <v>0</v>
      </c>
      <c r="AA730" s="40">
        <f t="shared" si="250"/>
        <v>0</v>
      </c>
      <c r="AB730" s="40">
        <f t="shared" si="251"/>
        <v>0</v>
      </c>
      <c r="AC730" s="67"/>
    </row>
    <row r="731" spans="6:29" x14ac:dyDescent="0.25">
      <c r="F731" s="45" t="str">
        <f t="shared" si="242"/>
        <v xml:space="preserve">S/F  </v>
      </c>
      <c r="G731" s="45">
        <v>0</v>
      </c>
      <c r="H731" s="53">
        <v>0</v>
      </c>
      <c r="I731" s="40">
        <f t="shared" si="243"/>
        <v>0</v>
      </c>
      <c r="J731" s="53"/>
      <c r="K731" s="40">
        <f t="shared" si="244"/>
        <v>0</v>
      </c>
      <c r="L731" s="45">
        <v>0</v>
      </c>
      <c r="M731" s="53">
        <v>0</v>
      </c>
      <c r="N731" s="40">
        <f t="shared" si="245"/>
        <v>0</v>
      </c>
      <c r="P731" s="40">
        <f t="shared" si="246"/>
        <v>0</v>
      </c>
      <c r="Q731" s="45"/>
      <c r="R731" s="53"/>
      <c r="S731" s="40">
        <f t="shared" si="247"/>
        <v>0</v>
      </c>
      <c r="U731" s="40">
        <f t="shared" si="248"/>
        <v>0</v>
      </c>
      <c r="V731" s="51">
        <v>0</v>
      </c>
      <c r="W731" s="51">
        <v>0</v>
      </c>
      <c r="X731" s="40">
        <f t="shared" si="249"/>
        <v>0</v>
      </c>
      <c r="AA731" s="40">
        <f t="shared" si="250"/>
        <v>0</v>
      </c>
      <c r="AB731" s="40">
        <f t="shared" si="251"/>
        <v>0</v>
      </c>
      <c r="AC731" s="67"/>
    </row>
    <row r="732" spans="6:29" x14ac:dyDescent="0.25">
      <c r="F732" s="45" t="str">
        <f t="shared" si="242"/>
        <v xml:space="preserve">S/F  </v>
      </c>
      <c r="G732" s="45">
        <v>0</v>
      </c>
      <c r="H732" s="53">
        <v>0</v>
      </c>
      <c r="I732" s="40">
        <f t="shared" si="243"/>
        <v>0</v>
      </c>
      <c r="J732" s="53"/>
      <c r="K732" s="40">
        <f t="shared" si="244"/>
        <v>0</v>
      </c>
      <c r="L732" s="45">
        <v>0</v>
      </c>
      <c r="M732" s="53">
        <v>0</v>
      </c>
      <c r="N732" s="40">
        <f t="shared" si="245"/>
        <v>0</v>
      </c>
      <c r="P732" s="40">
        <f t="shared" si="246"/>
        <v>0</v>
      </c>
      <c r="Q732" s="45"/>
      <c r="R732" s="53"/>
      <c r="S732" s="40">
        <f t="shared" si="247"/>
        <v>0</v>
      </c>
      <c r="U732" s="40">
        <f t="shared" si="248"/>
        <v>0</v>
      </c>
      <c r="V732" s="51">
        <v>0</v>
      </c>
      <c r="W732" s="51">
        <v>0</v>
      </c>
      <c r="X732" s="40">
        <f t="shared" si="249"/>
        <v>0</v>
      </c>
      <c r="AA732" s="40">
        <f t="shared" si="250"/>
        <v>0</v>
      </c>
      <c r="AB732" s="40">
        <f t="shared" si="251"/>
        <v>0</v>
      </c>
      <c r="AC732" s="67"/>
    </row>
    <row r="733" spans="6:29" x14ac:dyDescent="0.25">
      <c r="F733" s="45" t="str">
        <f t="shared" si="242"/>
        <v xml:space="preserve">S/F  </v>
      </c>
      <c r="G733" s="45">
        <v>0</v>
      </c>
      <c r="H733" s="53">
        <v>0</v>
      </c>
      <c r="I733" s="40">
        <f t="shared" si="243"/>
        <v>0</v>
      </c>
      <c r="J733" s="53"/>
      <c r="K733" s="40">
        <f t="shared" si="244"/>
        <v>0</v>
      </c>
      <c r="L733" s="45">
        <v>0</v>
      </c>
      <c r="M733" s="53">
        <v>0</v>
      </c>
      <c r="N733" s="40">
        <f t="shared" si="245"/>
        <v>0</v>
      </c>
      <c r="P733" s="40">
        <f t="shared" si="246"/>
        <v>0</v>
      </c>
      <c r="Q733" s="45"/>
      <c r="R733" s="53"/>
      <c r="S733" s="40">
        <f t="shared" si="247"/>
        <v>0</v>
      </c>
      <c r="U733" s="40">
        <f t="shared" si="248"/>
        <v>0</v>
      </c>
      <c r="V733" s="51">
        <v>0</v>
      </c>
      <c r="W733" s="51">
        <v>0</v>
      </c>
      <c r="X733" s="40">
        <f t="shared" si="249"/>
        <v>0</v>
      </c>
      <c r="AA733" s="40">
        <f t="shared" si="250"/>
        <v>0</v>
      </c>
      <c r="AB733" s="40">
        <f t="shared" si="251"/>
        <v>0</v>
      </c>
      <c r="AC733" s="67"/>
    </row>
    <row r="734" spans="6:29" x14ac:dyDescent="0.25">
      <c r="F734" s="45" t="str">
        <f t="shared" si="242"/>
        <v xml:space="preserve">S/F  </v>
      </c>
      <c r="G734" s="45">
        <v>0</v>
      </c>
      <c r="H734" s="53">
        <v>0</v>
      </c>
      <c r="I734" s="40">
        <f t="shared" si="243"/>
        <v>0</v>
      </c>
      <c r="J734" s="53"/>
      <c r="K734" s="40">
        <f t="shared" si="244"/>
        <v>0</v>
      </c>
      <c r="L734" s="45">
        <v>0</v>
      </c>
      <c r="M734" s="53">
        <v>0</v>
      </c>
      <c r="N734" s="40">
        <f t="shared" si="245"/>
        <v>0</v>
      </c>
      <c r="P734" s="40">
        <f t="shared" si="246"/>
        <v>0</v>
      </c>
      <c r="Q734" s="45"/>
      <c r="R734" s="53"/>
      <c r="S734" s="40">
        <f t="shared" si="247"/>
        <v>0</v>
      </c>
      <c r="U734" s="40">
        <f t="shared" si="248"/>
        <v>0</v>
      </c>
      <c r="V734" s="51">
        <v>0</v>
      </c>
      <c r="W734" s="51">
        <v>0</v>
      </c>
      <c r="X734" s="40">
        <f t="shared" si="249"/>
        <v>0</v>
      </c>
      <c r="AA734" s="40">
        <f t="shared" si="250"/>
        <v>0</v>
      </c>
      <c r="AB734" s="40">
        <f t="shared" si="251"/>
        <v>0</v>
      </c>
      <c r="AC734" s="67"/>
    </row>
    <row r="735" spans="6:29" x14ac:dyDescent="0.25">
      <c r="F735" s="45" t="str">
        <f t="shared" si="242"/>
        <v xml:space="preserve">S/F  </v>
      </c>
      <c r="G735" s="45">
        <v>0</v>
      </c>
      <c r="H735" s="53">
        <v>0</v>
      </c>
      <c r="I735" s="40">
        <f t="shared" si="243"/>
        <v>0</v>
      </c>
      <c r="J735" s="53"/>
      <c r="K735" s="40">
        <f t="shared" si="244"/>
        <v>0</v>
      </c>
      <c r="L735" s="45">
        <v>0</v>
      </c>
      <c r="M735" s="53">
        <v>0</v>
      </c>
      <c r="N735" s="40">
        <f t="shared" si="245"/>
        <v>0</v>
      </c>
      <c r="P735" s="40">
        <f t="shared" si="246"/>
        <v>0</v>
      </c>
      <c r="Q735" s="45"/>
      <c r="R735" s="53"/>
      <c r="S735" s="40">
        <f t="shared" si="247"/>
        <v>0</v>
      </c>
      <c r="U735" s="40">
        <f t="shared" si="248"/>
        <v>0</v>
      </c>
      <c r="V735" s="51">
        <v>0</v>
      </c>
      <c r="W735" s="51">
        <v>0</v>
      </c>
      <c r="X735" s="40">
        <f t="shared" si="249"/>
        <v>0</v>
      </c>
      <c r="AA735" s="40">
        <f t="shared" si="250"/>
        <v>0</v>
      </c>
      <c r="AB735" s="40">
        <f t="shared" si="251"/>
        <v>0</v>
      </c>
      <c r="AC735" s="67"/>
    </row>
    <row r="736" spans="6:29" x14ac:dyDescent="0.25">
      <c r="F736" s="45" t="str">
        <f t="shared" si="242"/>
        <v xml:space="preserve">S/F  </v>
      </c>
      <c r="G736" s="45">
        <v>0</v>
      </c>
      <c r="H736" s="53">
        <v>0</v>
      </c>
      <c r="I736" s="40">
        <f t="shared" si="243"/>
        <v>0</v>
      </c>
      <c r="J736" s="53"/>
      <c r="K736" s="40">
        <f t="shared" si="244"/>
        <v>0</v>
      </c>
      <c r="L736" s="45">
        <v>0</v>
      </c>
      <c r="M736" s="53">
        <v>0</v>
      </c>
      <c r="N736" s="40">
        <f t="shared" si="245"/>
        <v>0</v>
      </c>
      <c r="P736" s="40">
        <f t="shared" si="246"/>
        <v>0</v>
      </c>
      <c r="Q736" s="45"/>
      <c r="R736" s="53"/>
      <c r="S736" s="40">
        <f t="shared" si="247"/>
        <v>0</v>
      </c>
      <c r="U736" s="40">
        <f t="shared" si="248"/>
        <v>0</v>
      </c>
      <c r="V736" s="51">
        <v>0</v>
      </c>
      <c r="W736" s="51">
        <v>0</v>
      </c>
      <c r="X736" s="40">
        <f t="shared" si="249"/>
        <v>0</v>
      </c>
      <c r="AA736" s="40">
        <f t="shared" si="250"/>
        <v>0</v>
      </c>
      <c r="AB736" s="40">
        <f t="shared" si="251"/>
        <v>0</v>
      </c>
      <c r="AC736" s="67"/>
    </row>
    <row r="737" spans="6:29" x14ac:dyDescent="0.25">
      <c r="F737" s="45" t="str">
        <f t="shared" si="242"/>
        <v xml:space="preserve">S/F  </v>
      </c>
      <c r="G737" s="45">
        <v>0</v>
      </c>
      <c r="H737" s="53">
        <v>0</v>
      </c>
      <c r="I737" s="40">
        <f t="shared" si="243"/>
        <v>0</v>
      </c>
      <c r="J737" s="53"/>
      <c r="K737" s="40">
        <f t="shared" si="244"/>
        <v>0</v>
      </c>
      <c r="L737" s="45">
        <v>0</v>
      </c>
      <c r="M737" s="53">
        <v>0</v>
      </c>
      <c r="N737" s="40">
        <f t="shared" si="245"/>
        <v>0</v>
      </c>
      <c r="P737" s="40">
        <f t="shared" si="246"/>
        <v>0</v>
      </c>
      <c r="Q737" s="45"/>
      <c r="R737" s="53"/>
      <c r="S737" s="40">
        <f t="shared" si="247"/>
        <v>0</v>
      </c>
      <c r="U737" s="40">
        <f t="shared" si="248"/>
        <v>0</v>
      </c>
      <c r="V737" s="51">
        <v>0</v>
      </c>
      <c r="W737" s="51">
        <v>0</v>
      </c>
      <c r="X737" s="40">
        <f t="shared" si="249"/>
        <v>0</v>
      </c>
      <c r="AA737" s="40">
        <f t="shared" si="250"/>
        <v>0</v>
      </c>
      <c r="AB737" s="40">
        <f t="shared" si="251"/>
        <v>0</v>
      </c>
      <c r="AC737" s="67"/>
    </row>
    <row r="738" spans="6:29" x14ac:dyDescent="0.25">
      <c r="F738" s="45" t="str">
        <f t="shared" si="242"/>
        <v xml:space="preserve">S/F  </v>
      </c>
      <c r="G738" s="45">
        <v>0</v>
      </c>
      <c r="H738" s="53">
        <v>0</v>
      </c>
      <c r="I738" s="40">
        <f t="shared" si="243"/>
        <v>0</v>
      </c>
      <c r="J738" s="53"/>
      <c r="K738" s="40">
        <f t="shared" si="244"/>
        <v>0</v>
      </c>
      <c r="L738" s="45">
        <v>0</v>
      </c>
      <c r="M738" s="53">
        <v>0</v>
      </c>
      <c r="N738" s="40">
        <f t="shared" si="245"/>
        <v>0</v>
      </c>
      <c r="P738" s="40">
        <f t="shared" si="246"/>
        <v>0</v>
      </c>
      <c r="Q738" s="45"/>
      <c r="R738" s="53"/>
      <c r="S738" s="40">
        <f t="shared" si="247"/>
        <v>0</v>
      </c>
      <c r="U738" s="40">
        <f t="shared" si="248"/>
        <v>0</v>
      </c>
      <c r="V738" s="51">
        <v>0</v>
      </c>
      <c r="W738" s="51">
        <v>0</v>
      </c>
      <c r="X738" s="40">
        <f t="shared" si="249"/>
        <v>0</v>
      </c>
      <c r="AA738" s="40">
        <f t="shared" si="250"/>
        <v>0</v>
      </c>
      <c r="AB738" s="40">
        <f t="shared" si="251"/>
        <v>0</v>
      </c>
      <c r="AC738" s="67"/>
    </row>
    <row r="739" spans="6:29" x14ac:dyDescent="0.25">
      <c r="F739" s="45" t="str">
        <f t="shared" si="242"/>
        <v xml:space="preserve">S/F  </v>
      </c>
      <c r="G739" s="45">
        <v>0</v>
      </c>
      <c r="H739" s="53">
        <v>0</v>
      </c>
      <c r="I739" s="40">
        <f t="shared" si="243"/>
        <v>0</v>
      </c>
      <c r="J739" s="53"/>
      <c r="K739" s="40">
        <f t="shared" si="244"/>
        <v>0</v>
      </c>
      <c r="L739" s="45">
        <v>0</v>
      </c>
      <c r="M739" s="53">
        <v>0</v>
      </c>
      <c r="N739" s="40">
        <f t="shared" si="245"/>
        <v>0</v>
      </c>
      <c r="P739" s="40">
        <f t="shared" si="246"/>
        <v>0</v>
      </c>
      <c r="Q739" s="45"/>
      <c r="R739" s="53"/>
      <c r="S739" s="40">
        <f t="shared" si="247"/>
        <v>0</v>
      </c>
      <c r="U739" s="40">
        <f t="shared" si="248"/>
        <v>0</v>
      </c>
      <c r="V739" s="51">
        <v>0</v>
      </c>
      <c r="W739" s="51">
        <v>0</v>
      </c>
      <c r="X739" s="40">
        <f t="shared" si="249"/>
        <v>0</v>
      </c>
      <c r="AA739" s="40">
        <f t="shared" si="250"/>
        <v>0</v>
      </c>
      <c r="AB739" s="40">
        <f t="shared" si="251"/>
        <v>0</v>
      </c>
      <c r="AC739" s="67"/>
    </row>
    <row r="740" spans="6:29" x14ac:dyDescent="0.25">
      <c r="F740" s="45" t="str">
        <f t="shared" si="242"/>
        <v xml:space="preserve">S/F  </v>
      </c>
      <c r="G740" s="45">
        <v>0</v>
      </c>
      <c r="H740" s="53">
        <v>0</v>
      </c>
      <c r="I740" s="40">
        <f t="shared" si="243"/>
        <v>0</v>
      </c>
      <c r="J740" s="53"/>
      <c r="K740" s="40">
        <f t="shared" si="244"/>
        <v>0</v>
      </c>
      <c r="L740" s="45">
        <v>0</v>
      </c>
      <c r="M740" s="53">
        <v>0</v>
      </c>
      <c r="N740" s="40">
        <f t="shared" si="245"/>
        <v>0</v>
      </c>
      <c r="P740" s="40">
        <f t="shared" si="246"/>
        <v>0</v>
      </c>
      <c r="Q740" s="45"/>
      <c r="R740" s="53"/>
      <c r="S740" s="40">
        <f t="shared" si="247"/>
        <v>0</v>
      </c>
      <c r="U740" s="40">
        <f t="shared" si="248"/>
        <v>0</v>
      </c>
      <c r="V740" s="51">
        <v>0</v>
      </c>
      <c r="W740" s="51">
        <v>0</v>
      </c>
      <c r="X740" s="40">
        <f t="shared" si="249"/>
        <v>0</v>
      </c>
      <c r="AA740" s="40">
        <f t="shared" si="250"/>
        <v>0</v>
      </c>
      <c r="AB740" s="40">
        <f t="shared" si="251"/>
        <v>0</v>
      </c>
      <c r="AC740" s="67"/>
    </row>
    <row r="741" spans="6:29" x14ac:dyDescent="0.25">
      <c r="F741" s="45" t="str">
        <f t="shared" si="242"/>
        <v xml:space="preserve">S/F  </v>
      </c>
      <c r="G741" s="45">
        <v>0</v>
      </c>
      <c r="H741" s="53">
        <v>0</v>
      </c>
      <c r="I741" s="40">
        <f t="shared" si="243"/>
        <v>0</v>
      </c>
      <c r="J741" s="53"/>
      <c r="K741" s="40">
        <f t="shared" si="244"/>
        <v>0</v>
      </c>
      <c r="L741" s="45">
        <v>0</v>
      </c>
      <c r="M741" s="53">
        <v>0</v>
      </c>
      <c r="N741" s="40">
        <f t="shared" si="245"/>
        <v>0</v>
      </c>
      <c r="P741" s="40">
        <f t="shared" si="246"/>
        <v>0</v>
      </c>
      <c r="Q741" s="45"/>
      <c r="R741" s="53"/>
      <c r="S741" s="40">
        <f t="shared" si="247"/>
        <v>0</v>
      </c>
      <c r="U741" s="40">
        <f t="shared" si="248"/>
        <v>0</v>
      </c>
      <c r="V741" s="51">
        <v>0</v>
      </c>
      <c r="W741" s="51">
        <v>0</v>
      </c>
      <c r="X741" s="40">
        <f t="shared" si="249"/>
        <v>0</v>
      </c>
      <c r="AA741" s="40">
        <f t="shared" si="250"/>
        <v>0</v>
      </c>
      <c r="AB741" s="40">
        <f t="shared" si="251"/>
        <v>0</v>
      </c>
      <c r="AC741" s="67"/>
    </row>
    <row r="742" spans="6:29" x14ac:dyDescent="0.25">
      <c r="F742" s="45" t="str">
        <f t="shared" si="242"/>
        <v xml:space="preserve">S/F  </v>
      </c>
      <c r="G742" s="45">
        <v>0</v>
      </c>
      <c r="H742" s="53">
        <v>0</v>
      </c>
      <c r="I742" s="40">
        <f t="shared" si="243"/>
        <v>0</v>
      </c>
      <c r="J742" s="53"/>
      <c r="K742" s="40">
        <f t="shared" si="244"/>
        <v>0</v>
      </c>
      <c r="L742" s="45">
        <v>0</v>
      </c>
      <c r="M742" s="53">
        <v>0</v>
      </c>
      <c r="N742" s="40">
        <f t="shared" si="245"/>
        <v>0</v>
      </c>
      <c r="P742" s="40">
        <f t="shared" si="246"/>
        <v>0</v>
      </c>
      <c r="Q742" s="45"/>
      <c r="R742" s="53"/>
      <c r="S742" s="40">
        <f t="shared" si="247"/>
        <v>0</v>
      </c>
      <c r="U742" s="40">
        <f t="shared" si="248"/>
        <v>0</v>
      </c>
      <c r="V742" s="51">
        <v>0</v>
      </c>
      <c r="W742" s="51">
        <v>0</v>
      </c>
      <c r="X742" s="40">
        <f t="shared" si="249"/>
        <v>0</v>
      </c>
      <c r="AA742" s="40">
        <f t="shared" si="250"/>
        <v>0</v>
      </c>
      <c r="AB742" s="40">
        <f t="shared" si="251"/>
        <v>0</v>
      </c>
      <c r="AC742" s="67"/>
    </row>
    <row r="743" spans="6:29" x14ac:dyDescent="0.25">
      <c r="F743" s="45" t="str">
        <f t="shared" si="242"/>
        <v xml:space="preserve">S/F  </v>
      </c>
      <c r="G743" s="45">
        <v>0</v>
      </c>
      <c r="H743" s="53">
        <v>0</v>
      </c>
      <c r="I743" s="40">
        <f t="shared" si="243"/>
        <v>0</v>
      </c>
      <c r="J743" s="53"/>
      <c r="K743" s="40">
        <f t="shared" si="244"/>
        <v>0</v>
      </c>
      <c r="L743" s="45">
        <v>0</v>
      </c>
      <c r="M743" s="53">
        <v>0</v>
      </c>
      <c r="N743" s="40">
        <f t="shared" si="245"/>
        <v>0</v>
      </c>
      <c r="P743" s="40">
        <f t="shared" si="246"/>
        <v>0</v>
      </c>
      <c r="Q743" s="45"/>
      <c r="R743" s="53"/>
      <c r="S743" s="40">
        <f t="shared" si="247"/>
        <v>0</v>
      </c>
      <c r="U743" s="40">
        <f t="shared" si="248"/>
        <v>0</v>
      </c>
      <c r="V743" s="51">
        <v>0</v>
      </c>
      <c r="W743" s="51">
        <v>0</v>
      </c>
      <c r="X743" s="40">
        <f t="shared" si="249"/>
        <v>0</v>
      </c>
      <c r="AA743" s="40">
        <f t="shared" si="250"/>
        <v>0</v>
      </c>
      <c r="AB743" s="40">
        <f t="shared" si="251"/>
        <v>0</v>
      </c>
      <c r="AC743" s="67"/>
    </row>
    <row r="744" spans="6:29" x14ac:dyDescent="0.25">
      <c r="F744" s="45" t="str">
        <f t="shared" si="242"/>
        <v xml:space="preserve">S/F  </v>
      </c>
      <c r="G744" s="45">
        <v>0</v>
      </c>
      <c r="H744" s="53">
        <v>0</v>
      </c>
      <c r="I744" s="40">
        <f t="shared" si="243"/>
        <v>0</v>
      </c>
      <c r="J744" s="53"/>
      <c r="K744" s="40">
        <f t="shared" si="244"/>
        <v>0</v>
      </c>
      <c r="L744" s="45">
        <v>0</v>
      </c>
      <c r="M744" s="53">
        <v>0</v>
      </c>
      <c r="N744" s="40">
        <f t="shared" si="245"/>
        <v>0</v>
      </c>
      <c r="P744" s="40">
        <f t="shared" si="246"/>
        <v>0</v>
      </c>
      <c r="Q744" s="45"/>
      <c r="R744" s="53"/>
      <c r="S744" s="40">
        <f t="shared" si="247"/>
        <v>0</v>
      </c>
      <c r="U744" s="40">
        <f t="shared" si="248"/>
        <v>0</v>
      </c>
      <c r="V744" s="51">
        <v>0</v>
      </c>
      <c r="W744" s="51">
        <v>0</v>
      </c>
      <c r="X744" s="40">
        <f t="shared" si="249"/>
        <v>0</v>
      </c>
      <c r="AA744" s="40">
        <f t="shared" si="250"/>
        <v>0</v>
      </c>
      <c r="AB744" s="40">
        <f t="shared" si="251"/>
        <v>0</v>
      </c>
      <c r="AC744" s="67"/>
    </row>
    <row r="745" spans="6:29" x14ac:dyDescent="0.25">
      <c r="F745" s="45" t="str">
        <f t="shared" si="242"/>
        <v xml:space="preserve">S/F  </v>
      </c>
      <c r="G745" s="45">
        <v>0</v>
      </c>
      <c r="H745" s="53">
        <v>0</v>
      </c>
      <c r="I745" s="40">
        <f t="shared" si="243"/>
        <v>0</v>
      </c>
      <c r="J745" s="53"/>
      <c r="K745" s="40">
        <f t="shared" si="244"/>
        <v>0</v>
      </c>
      <c r="L745" s="45">
        <v>0</v>
      </c>
      <c r="M745" s="53">
        <v>0</v>
      </c>
      <c r="N745" s="40">
        <f t="shared" si="245"/>
        <v>0</v>
      </c>
      <c r="P745" s="40">
        <f t="shared" si="246"/>
        <v>0</v>
      </c>
      <c r="Q745" s="45"/>
      <c r="R745" s="53"/>
      <c r="S745" s="40">
        <f t="shared" si="247"/>
        <v>0</v>
      </c>
      <c r="U745" s="40">
        <f t="shared" si="248"/>
        <v>0</v>
      </c>
      <c r="V745" s="51">
        <v>0</v>
      </c>
      <c r="W745" s="51">
        <v>0</v>
      </c>
      <c r="X745" s="40">
        <f t="shared" si="249"/>
        <v>0</v>
      </c>
      <c r="AA745" s="40">
        <f t="shared" si="250"/>
        <v>0</v>
      </c>
      <c r="AB745" s="40">
        <f t="shared" si="251"/>
        <v>0</v>
      </c>
      <c r="AC745" s="67"/>
    </row>
    <row r="746" spans="6:29" x14ac:dyDescent="0.25">
      <c r="F746" s="45" t="str">
        <f t="shared" si="242"/>
        <v xml:space="preserve">S/F  </v>
      </c>
      <c r="G746" s="45">
        <v>0</v>
      </c>
      <c r="H746" s="53">
        <v>0</v>
      </c>
      <c r="I746" s="40">
        <f t="shared" si="243"/>
        <v>0</v>
      </c>
      <c r="J746" s="53"/>
      <c r="K746" s="40">
        <f t="shared" si="244"/>
        <v>0</v>
      </c>
      <c r="L746" s="45">
        <v>0</v>
      </c>
      <c r="M746" s="53">
        <v>0</v>
      </c>
      <c r="N746" s="40">
        <f t="shared" si="245"/>
        <v>0</v>
      </c>
      <c r="P746" s="40">
        <f t="shared" si="246"/>
        <v>0</v>
      </c>
      <c r="Q746" s="45"/>
      <c r="R746" s="53"/>
      <c r="S746" s="40">
        <f t="shared" si="247"/>
        <v>0</v>
      </c>
      <c r="U746" s="40">
        <f t="shared" si="248"/>
        <v>0</v>
      </c>
      <c r="V746" s="51">
        <v>0</v>
      </c>
      <c r="W746" s="51">
        <v>0</v>
      </c>
      <c r="X746" s="40">
        <f t="shared" si="249"/>
        <v>0</v>
      </c>
      <c r="AA746" s="40">
        <f t="shared" si="250"/>
        <v>0</v>
      </c>
      <c r="AB746" s="40">
        <f t="shared" si="251"/>
        <v>0</v>
      </c>
      <c r="AC746" s="67"/>
    </row>
    <row r="747" spans="6:29" x14ac:dyDescent="0.25">
      <c r="F747" s="45" t="str">
        <f t="shared" si="242"/>
        <v xml:space="preserve">S/F  </v>
      </c>
      <c r="G747" s="45">
        <v>0</v>
      </c>
      <c r="H747" s="53">
        <v>0</v>
      </c>
      <c r="I747" s="40">
        <f t="shared" si="243"/>
        <v>0</v>
      </c>
      <c r="J747" s="53"/>
      <c r="K747" s="40">
        <f t="shared" si="244"/>
        <v>0</v>
      </c>
      <c r="L747" s="45">
        <v>0</v>
      </c>
      <c r="M747" s="53">
        <v>0</v>
      </c>
      <c r="N747" s="40">
        <f t="shared" si="245"/>
        <v>0</v>
      </c>
      <c r="P747" s="40">
        <f t="shared" si="246"/>
        <v>0</v>
      </c>
      <c r="Q747" s="45"/>
      <c r="R747" s="53"/>
      <c r="S747" s="40">
        <f t="shared" si="247"/>
        <v>0</v>
      </c>
      <c r="U747" s="40">
        <f t="shared" si="248"/>
        <v>0</v>
      </c>
      <c r="V747" s="51">
        <v>0</v>
      </c>
      <c r="W747" s="51">
        <v>0</v>
      </c>
      <c r="X747" s="40">
        <f t="shared" si="249"/>
        <v>0</v>
      </c>
      <c r="AA747" s="40">
        <f t="shared" si="250"/>
        <v>0</v>
      </c>
      <c r="AB747" s="40">
        <f t="shared" si="251"/>
        <v>0</v>
      </c>
      <c r="AC747" s="67"/>
    </row>
    <row r="748" spans="6:29" x14ac:dyDescent="0.25">
      <c r="F748" s="45" t="str">
        <f t="shared" si="242"/>
        <v xml:space="preserve">S/F  </v>
      </c>
      <c r="G748" s="45">
        <v>0</v>
      </c>
      <c r="H748" s="53">
        <v>0</v>
      </c>
      <c r="I748" s="40">
        <f t="shared" si="243"/>
        <v>0</v>
      </c>
      <c r="J748" s="53"/>
      <c r="K748" s="40">
        <f t="shared" si="244"/>
        <v>0</v>
      </c>
      <c r="L748" s="45">
        <v>0</v>
      </c>
      <c r="M748" s="53">
        <v>0</v>
      </c>
      <c r="N748" s="40">
        <f t="shared" si="245"/>
        <v>0</v>
      </c>
      <c r="P748" s="40">
        <f t="shared" si="246"/>
        <v>0</v>
      </c>
      <c r="Q748" s="45"/>
      <c r="R748" s="53"/>
      <c r="S748" s="40">
        <f t="shared" si="247"/>
        <v>0</v>
      </c>
      <c r="U748" s="40">
        <f t="shared" si="248"/>
        <v>0</v>
      </c>
      <c r="V748" s="51">
        <v>0</v>
      </c>
      <c r="W748" s="51">
        <v>0</v>
      </c>
      <c r="X748" s="40">
        <f t="shared" si="249"/>
        <v>0</v>
      </c>
      <c r="AA748" s="40">
        <f t="shared" si="250"/>
        <v>0</v>
      </c>
      <c r="AB748" s="40">
        <f t="shared" si="251"/>
        <v>0</v>
      </c>
      <c r="AC748" s="67"/>
    </row>
    <row r="749" spans="6:29" x14ac:dyDescent="0.25">
      <c r="F749" s="45" t="str">
        <f t="shared" si="242"/>
        <v xml:space="preserve">S/F  </v>
      </c>
      <c r="G749" s="45">
        <v>0</v>
      </c>
      <c r="H749" s="53">
        <v>0</v>
      </c>
      <c r="I749" s="40">
        <f t="shared" si="243"/>
        <v>0</v>
      </c>
      <c r="J749" s="53"/>
      <c r="K749" s="40">
        <f t="shared" si="244"/>
        <v>0</v>
      </c>
      <c r="L749" s="45">
        <v>0</v>
      </c>
      <c r="M749" s="53">
        <v>0</v>
      </c>
      <c r="N749" s="40">
        <f t="shared" si="245"/>
        <v>0</v>
      </c>
      <c r="P749" s="40">
        <f t="shared" si="246"/>
        <v>0</v>
      </c>
      <c r="Q749" s="45"/>
      <c r="R749" s="53"/>
      <c r="S749" s="40">
        <f t="shared" si="247"/>
        <v>0</v>
      </c>
      <c r="U749" s="40">
        <f t="shared" si="248"/>
        <v>0</v>
      </c>
      <c r="V749" s="51">
        <v>0</v>
      </c>
      <c r="W749" s="51">
        <v>0</v>
      </c>
      <c r="X749" s="40">
        <f t="shared" si="249"/>
        <v>0</v>
      </c>
      <c r="AA749" s="40">
        <f t="shared" si="250"/>
        <v>0</v>
      </c>
      <c r="AB749" s="40">
        <f t="shared" si="251"/>
        <v>0</v>
      </c>
      <c r="AC749" s="67"/>
    </row>
    <row r="750" spans="6:29" x14ac:dyDescent="0.25">
      <c r="F750" s="45" t="str">
        <f t="shared" si="242"/>
        <v xml:space="preserve">S/F  </v>
      </c>
      <c r="G750" s="45">
        <v>0</v>
      </c>
      <c r="H750" s="53">
        <v>0</v>
      </c>
      <c r="I750" s="40">
        <f t="shared" si="243"/>
        <v>0</v>
      </c>
      <c r="J750" s="53"/>
      <c r="K750" s="40">
        <f t="shared" si="244"/>
        <v>0</v>
      </c>
      <c r="L750" s="45">
        <v>0</v>
      </c>
      <c r="M750" s="53">
        <v>0</v>
      </c>
      <c r="N750" s="40">
        <f t="shared" si="245"/>
        <v>0</v>
      </c>
      <c r="P750" s="40">
        <f t="shared" si="246"/>
        <v>0</v>
      </c>
      <c r="Q750" s="45"/>
      <c r="R750" s="53"/>
      <c r="S750" s="40">
        <f t="shared" si="247"/>
        <v>0</v>
      </c>
      <c r="U750" s="40">
        <f t="shared" si="248"/>
        <v>0</v>
      </c>
      <c r="V750" s="51">
        <v>0</v>
      </c>
      <c r="W750" s="51">
        <v>0</v>
      </c>
      <c r="X750" s="40">
        <f t="shared" si="249"/>
        <v>0</v>
      </c>
      <c r="AA750" s="40">
        <f t="shared" si="250"/>
        <v>0</v>
      </c>
      <c r="AB750" s="40">
        <f t="shared" si="251"/>
        <v>0</v>
      </c>
      <c r="AC750" s="67"/>
    </row>
    <row r="751" spans="6:29" x14ac:dyDescent="0.25">
      <c r="F751" s="45" t="str">
        <f t="shared" si="242"/>
        <v xml:space="preserve">S/F  </v>
      </c>
      <c r="G751" s="45">
        <v>0</v>
      </c>
      <c r="H751" s="53">
        <v>0</v>
      </c>
      <c r="I751" s="40">
        <f t="shared" si="243"/>
        <v>0</v>
      </c>
      <c r="J751" s="53"/>
      <c r="K751" s="40">
        <f t="shared" si="244"/>
        <v>0</v>
      </c>
      <c r="L751" s="45">
        <v>0</v>
      </c>
      <c r="M751" s="53">
        <v>0</v>
      </c>
      <c r="N751" s="40">
        <f t="shared" si="245"/>
        <v>0</v>
      </c>
      <c r="P751" s="40">
        <f t="shared" si="246"/>
        <v>0</v>
      </c>
      <c r="Q751" s="45"/>
      <c r="R751" s="53"/>
      <c r="S751" s="40">
        <f t="shared" si="247"/>
        <v>0</v>
      </c>
      <c r="U751" s="40">
        <f t="shared" si="248"/>
        <v>0</v>
      </c>
      <c r="V751" s="51">
        <v>0</v>
      </c>
      <c r="W751" s="51">
        <v>0</v>
      </c>
      <c r="X751" s="40">
        <f t="shared" si="249"/>
        <v>0</v>
      </c>
      <c r="AA751" s="40">
        <f t="shared" si="250"/>
        <v>0</v>
      </c>
      <c r="AB751" s="40">
        <f t="shared" si="251"/>
        <v>0</v>
      </c>
      <c r="AC751" s="67"/>
    </row>
    <row r="752" spans="6:29" x14ac:dyDescent="0.25">
      <c r="F752" s="45" t="str">
        <f t="shared" si="242"/>
        <v xml:space="preserve">S/F  </v>
      </c>
      <c r="G752" s="45">
        <v>0</v>
      </c>
      <c r="H752" s="53">
        <v>0</v>
      </c>
      <c r="I752" s="40">
        <f t="shared" si="243"/>
        <v>0</v>
      </c>
      <c r="J752" s="53"/>
      <c r="K752" s="40">
        <f t="shared" si="244"/>
        <v>0</v>
      </c>
      <c r="L752" s="45">
        <v>0</v>
      </c>
      <c r="M752" s="53">
        <v>0</v>
      </c>
      <c r="N752" s="40">
        <f t="shared" si="245"/>
        <v>0</v>
      </c>
      <c r="P752" s="40">
        <f t="shared" si="246"/>
        <v>0</v>
      </c>
      <c r="Q752" s="45"/>
      <c r="R752" s="53"/>
      <c r="S752" s="40">
        <f t="shared" si="247"/>
        <v>0</v>
      </c>
      <c r="U752" s="40">
        <f t="shared" si="248"/>
        <v>0</v>
      </c>
      <c r="V752" s="51">
        <v>0</v>
      </c>
      <c r="W752" s="51">
        <v>0</v>
      </c>
      <c r="X752" s="40">
        <f t="shared" si="249"/>
        <v>0</v>
      </c>
      <c r="AA752" s="40">
        <f t="shared" si="250"/>
        <v>0</v>
      </c>
      <c r="AB752" s="40">
        <f t="shared" si="251"/>
        <v>0</v>
      </c>
      <c r="AC752" s="67"/>
    </row>
    <row r="753" spans="6:29" x14ac:dyDescent="0.25">
      <c r="F753" s="45" t="str">
        <f t="shared" si="242"/>
        <v xml:space="preserve">S/F  </v>
      </c>
      <c r="G753" s="45">
        <v>0</v>
      </c>
      <c r="H753" s="53">
        <v>0</v>
      </c>
      <c r="I753" s="40">
        <f t="shared" si="243"/>
        <v>0</v>
      </c>
      <c r="J753" s="53"/>
      <c r="K753" s="40">
        <f t="shared" si="244"/>
        <v>0</v>
      </c>
      <c r="L753" s="45">
        <v>0</v>
      </c>
      <c r="M753" s="53">
        <v>0</v>
      </c>
      <c r="N753" s="40">
        <f t="shared" si="245"/>
        <v>0</v>
      </c>
      <c r="P753" s="40">
        <f t="shared" si="246"/>
        <v>0</v>
      </c>
      <c r="Q753" s="45"/>
      <c r="R753" s="53"/>
      <c r="S753" s="40">
        <f t="shared" si="247"/>
        <v>0</v>
      </c>
      <c r="U753" s="40">
        <f t="shared" si="248"/>
        <v>0</v>
      </c>
      <c r="V753" s="51">
        <v>0</v>
      </c>
      <c r="W753" s="51">
        <v>0</v>
      </c>
      <c r="X753" s="40">
        <f t="shared" si="249"/>
        <v>0</v>
      </c>
      <c r="AA753" s="40">
        <f t="shared" si="250"/>
        <v>0</v>
      </c>
      <c r="AB753" s="40">
        <f t="shared" si="251"/>
        <v>0</v>
      </c>
      <c r="AC753" s="67"/>
    </row>
    <row r="754" spans="6:29" x14ac:dyDescent="0.25">
      <c r="F754" s="45" t="str">
        <f t="shared" si="242"/>
        <v xml:space="preserve">S/F  </v>
      </c>
      <c r="G754" s="45">
        <v>0</v>
      </c>
      <c r="H754" s="53">
        <v>0</v>
      </c>
      <c r="I754" s="40">
        <f t="shared" si="243"/>
        <v>0</v>
      </c>
      <c r="J754" s="53"/>
      <c r="K754" s="40">
        <f t="shared" si="244"/>
        <v>0</v>
      </c>
      <c r="L754" s="45">
        <v>0</v>
      </c>
      <c r="M754" s="53">
        <v>0</v>
      </c>
      <c r="N754" s="40">
        <f t="shared" si="245"/>
        <v>0</v>
      </c>
      <c r="P754" s="40">
        <f t="shared" si="246"/>
        <v>0</v>
      </c>
      <c r="Q754" s="45"/>
      <c r="R754" s="53"/>
      <c r="S754" s="40">
        <f t="shared" si="247"/>
        <v>0</v>
      </c>
      <c r="U754" s="40">
        <f t="shared" si="248"/>
        <v>0</v>
      </c>
      <c r="V754" s="51">
        <v>0</v>
      </c>
      <c r="W754" s="51">
        <v>0</v>
      </c>
      <c r="X754" s="40">
        <f t="shared" si="249"/>
        <v>0</v>
      </c>
      <c r="AA754" s="40">
        <f t="shared" si="250"/>
        <v>0</v>
      </c>
      <c r="AB754" s="40">
        <f t="shared" si="251"/>
        <v>0</v>
      </c>
      <c r="AC754" s="67"/>
    </row>
    <row r="755" spans="6:29" x14ac:dyDescent="0.25">
      <c r="F755" s="45" t="str">
        <f t="shared" si="242"/>
        <v xml:space="preserve">S/F  </v>
      </c>
      <c r="G755" s="45">
        <v>0</v>
      </c>
      <c r="H755" s="53">
        <v>0</v>
      </c>
      <c r="I755" s="40">
        <f t="shared" si="243"/>
        <v>0</v>
      </c>
      <c r="J755" s="53"/>
      <c r="K755" s="40">
        <f t="shared" si="244"/>
        <v>0</v>
      </c>
      <c r="L755" s="45">
        <v>0</v>
      </c>
      <c r="M755" s="53">
        <v>0</v>
      </c>
      <c r="N755" s="40">
        <f t="shared" si="245"/>
        <v>0</v>
      </c>
      <c r="P755" s="40">
        <f t="shared" si="246"/>
        <v>0</v>
      </c>
      <c r="Q755" s="45"/>
      <c r="R755" s="53"/>
      <c r="S755" s="40">
        <f t="shared" si="247"/>
        <v>0</v>
      </c>
      <c r="U755" s="40">
        <f t="shared" si="248"/>
        <v>0</v>
      </c>
      <c r="V755" s="51">
        <v>0</v>
      </c>
      <c r="W755" s="51">
        <v>0</v>
      </c>
      <c r="X755" s="40">
        <f t="shared" si="249"/>
        <v>0</v>
      </c>
      <c r="AA755" s="40">
        <f t="shared" si="250"/>
        <v>0</v>
      </c>
      <c r="AB755" s="40">
        <f t="shared" si="251"/>
        <v>0</v>
      </c>
      <c r="AC755" s="67"/>
    </row>
    <row r="756" spans="6:29" x14ac:dyDescent="0.25">
      <c r="F756" s="45" t="str">
        <f t="shared" si="242"/>
        <v xml:space="preserve">S/F  </v>
      </c>
      <c r="G756" s="45">
        <v>0</v>
      </c>
      <c r="H756" s="53">
        <v>0</v>
      </c>
      <c r="I756" s="40">
        <f t="shared" si="243"/>
        <v>0</v>
      </c>
      <c r="J756" s="53"/>
      <c r="K756" s="40">
        <f t="shared" si="244"/>
        <v>0</v>
      </c>
      <c r="L756" s="45">
        <v>0</v>
      </c>
      <c r="M756" s="53">
        <v>0</v>
      </c>
      <c r="N756" s="40">
        <f t="shared" si="245"/>
        <v>0</v>
      </c>
      <c r="P756" s="40">
        <f t="shared" si="246"/>
        <v>0</v>
      </c>
      <c r="Q756" s="45"/>
      <c r="R756" s="53"/>
      <c r="S756" s="40">
        <f t="shared" si="247"/>
        <v>0</v>
      </c>
      <c r="U756" s="40">
        <f t="shared" si="248"/>
        <v>0</v>
      </c>
      <c r="V756" s="51">
        <v>0</v>
      </c>
      <c r="W756" s="51">
        <v>0</v>
      </c>
      <c r="X756" s="40">
        <f t="shared" si="249"/>
        <v>0</v>
      </c>
      <c r="AA756" s="40">
        <f t="shared" si="250"/>
        <v>0</v>
      </c>
      <c r="AB756" s="40">
        <f t="shared" si="251"/>
        <v>0</v>
      </c>
      <c r="AC756" s="67"/>
    </row>
    <row r="757" spans="6:29" x14ac:dyDescent="0.25">
      <c r="F757" s="45" t="str">
        <f t="shared" si="242"/>
        <v xml:space="preserve">S/F  </v>
      </c>
      <c r="G757" s="45">
        <v>0</v>
      </c>
      <c r="H757" s="53">
        <v>0</v>
      </c>
      <c r="I757" s="40">
        <f t="shared" si="243"/>
        <v>0</v>
      </c>
      <c r="J757" s="53"/>
      <c r="K757" s="40">
        <f t="shared" si="244"/>
        <v>0</v>
      </c>
      <c r="L757" s="45">
        <v>0</v>
      </c>
      <c r="M757" s="53">
        <v>0</v>
      </c>
      <c r="N757" s="40">
        <f t="shared" si="245"/>
        <v>0</v>
      </c>
      <c r="P757" s="40">
        <f t="shared" si="246"/>
        <v>0</v>
      </c>
      <c r="Q757" s="45"/>
      <c r="R757" s="53"/>
      <c r="S757" s="40">
        <f t="shared" si="247"/>
        <v>0</v>
      </c>
      <c r="U757" s="40">
        <f t="shared" si="248"/>
        <v>0</v>
      </c>
      <c r="V757" s="51">
        <v>0</v>
      </c>
      <c r="W757" s="51">
        <v>0</v>
      </c>
      <c r="X757" s="40">
        <f t="shared" si="249"/>
        <v>0</v>
      </c>
      <c r="AA757" s="40">
        <f t="shared" si="250"/>
        <v>0</v>
      </c>
      <c r="AB757" s="40">
        <f t="shared" si="251"/>
        <v>0</v>
      </c>
      <c r="AC757" s="67"/>
    </row>
    <row r="758" spans="6:29" x14ac:dyDescent="0.25">
      <c r="F758" s="45" t="str">
        <f t="shared" si="242"/>
        <v xml:space="preserve">S/F  </v>
      </c>
      <c r="G758" s="45">
        <v>0</v>
      </c>
      <c r="H758" s="53">
        <v>0</v>
      </c>
      <c r="I758" s="40">
        <f t="shared" si="243"/>
        <v>0</v>
      </c>
      <c r="J758" s="53"/>
      <c r="K758" s="40">
        <f t="shared" si="244"/>
        <v>0</v>
      </c>
      <c r="L758" s="45">
        <v>0</v>
      </c>
      <c r="M758" s="53">
        <v>0</v>
      </c>
      <c r="N758" s="40">
        <f t="shared" si="245"/>
        <v>0</v>
      </c>
      <c r="P758" s="40">
        <f t="shared" si="246"/>
        <v>0</v>
      </c>
      <c r="Q758" s="45"/>
      <c r="R758" s="53"/>
      <c r="S758" s="40">
        <f t="shared" si="247"/>
        <v>0</v>
      </c>
      <c r="U758" s="40">
        <f t="shared" si="248"/>
        <v>0</v>
      </c>
      <c r="V758" s="51">
        <v>0</v>
      </c>
      <c r="W758" s="51">
        <v>0</v>
      </c>
      <c r="X758" s="40">
        <f t="shared" si="249"/>
        <v>0</v>
      </c>
      <c r="AA758" s="40">
        <f t="shared" si="250"/>
        <v>0</v>
      </c>
      <c r="AB758" s="40">
        <f t="shared" si="251"/>
        <v>0</v>
      </c>
      <c r="AC758" s="67"/>
    </row>
    <row r="759" spans="6:29" x14ac:dyDescent="0.25">
      <c r="F759" s="45" t="str">
        <f t="shared" si="242"/>
        <v xml:space="preserve">S/F  </v>
      </c>
      <c r="G759" s="45">
        <v>0</v>
      </c>
      <c r="H759" s="53">
        <v>0</v>
      </c>
      <c r="I759" s="40">
        <f t="shared" si="243"/>
        <v>0</v>
      </c>
      <c r="J759" s="53"/>
      <c r="K759" s="40">
        <f t="shared" si="244"/>
        <v>0</v>
      </c>
      <c r="L759" s="45">
        <v>0</v>
      </c>
      <c r="M759" s="53">
        <v>0</v>
      </c>
      <c r="N759" s="40">
        <f t="shared" si="245"/>
        <v>0</v>
      </c>
      <c r="P759" s="40">
        <f t="shared" si="246"/>
        <v>0</v>
      </c>
      <c r="Q759" s="45"/>
      <c r="R759" s="53"/>
      <c r="S759" s="40">
        <f t="shared" si="247"/>
        <v>0</v>
      </c>
      <c r="U759" s="40">
        <f t="shared" si="248"/>
        <v>0</v>
      </c>
      <c r="V759" s="51">
        <v>0</v>
      </c>
      <c r="W759" s="51">
        <v>0</v>
      </c>
      <c r="X759" s="40">
        <f t="shared" si="249"/>
        <v>0</v>
      </c>
      <c r="AA759" s="40">
        <f t="shared" si="250"/>
        <v>0</v>
      </c>
      <c r="AB759" s="40">
        <f t="shared" si="251"/>
        <v>0</v>
      </c>
      <c r="AC759" s="67"/>
    </row>
    <row r="760" spans="6:29" x14ac:dyDescent="0.25">
      <c r="F760" s="45" t="str">
        <f t="shared" si="242"/>
        <v xml:space="preserve">S/F  </v>
      </c>
      <c r="G760" s="45">
        <v>0</v>
      </c>
      <c r="H760" s="53">
        <v>0</v>
      </c>
      <c r="I760" s="40">
        <f t="shared" si="243"/>
        <v>0</v>
      </c>
      <c r="J760" s="53"/>
      <c r="K760" s="40">
        <f t="shared" si="244"/>
        <v>0</v>
      </c>
      <c r="L760" s="45">
        <v>0</v>
      </c>
      <c r="M760" s="53">
        <v>0</v>
      </c>
      <c r="N760" s="40">
        <f t="shared" si="245"/>
        <v>0</v>
      </c>
      <c r="P760" s="40">
        <f t="shared" si="246"/>
        <v>0</v>
      </c>
      <c r="Q760" s="45"/>
      <c r="R760" s="53"/>
      <c r="S760" s="40">
        <f t="shared" si="247"/>
        <v>0</v>
      </c>
      <c r="U760" s="40">
        <f t="shared" si="248"/>
        <v>0</v>
      </c>
      <c r="V760" s="51">
        <v>0</v>
      </c>
      <c r="W760" s="51">
        <v>0</v>
      </c>
      <c r="X760" s="40">
        <f t="shared" si="249"/>
        <v>0</v>
      </c>
      <c r="AA760" s="40">
        <f t="shared" si="250"/>
        <v>0</v>
      </c>
      <c r="AB760" s="40">
        <f t="shared" si="251"/>
        <v>0</v>
      </c>
      <c r="AC760" s="67"/>
    </row>
    <row r="761" spans="6:29" x14ac:dyDescent="0.25">
      <c r="F761" s="45" t="str">
        <f t="shared" si="242"/>
        <v xml:space="preserve">S/F  </v>
      </c>
      <c r="G761" s="45">
        <v>0</v>
      </c>
      <c r="H761" s="53">
        <v>0</v>
      </c>
      <c r="I761" s="40">
        <f t="shared" si="243"/>
        <v>0</v>
      </c>
      <c r="J761" s="53"/>
      <c r="K761" s="40">
        <f t="shared" si="244"/>
        <v>0</v>
      </c>
      <c r="L761" s="45">
        <v>0</v>
      </c>
      <c r="M761" s="53">
        <v>0</v>
      </c>
      <c r="N761" s="40">
        <f t="shared" si="245"/>
        <v>0</v>
      </c>
      <c r="P761" s="40">
        <f t="shared" si="246"/>
        <v>0</v>
      </c>
      <c r="Q761" s="45"/>
      <c r="R761" s="53"/>
      <c r="S761" s="40">
        <f t="shared" si="247"/>
        <v>0</v>
      </c>
      <c r="U761" s="40">
        <f t="shared" si="248"/>
        <v>0</v>
      </c>
      <c r="V761" s="51">
        <v>0</v>
      </c>
      <c r="W761" s="51">
        <v>0</v>
      </c>
      <c r="X761" s="40">
        <f t="shared" si="249"/>
        <v>0</v>
      </c>
      <c r="AA761" s="40">
        <f t="shared" si="250"/>
        <v>0</v>
      </c>
      <c r="AB761" s="40">
        <f t="shared" si="251"/>
        <v>0</v>
      </c>
      <c r="AC761" s="67"/>
    </row>
    <row r="762" spans="6:29" x14ac:dyDescent="0.25">
      <c r="F762" s="45" t="str">
        <f t="shared" si="242"/>
        <v xml:space="preserve">S/F  </v>
      </c>
      <c r="G762" s="45">
        <v>0</v>
      </c>
      <c r="H762" s="53">
        <v>0</v>
      </c>
      <c r="I762" s="40">
        <f t="shared" si="243"/>
        <v>0</v>
      </c>
      <c r="J762" s="53"/>
      <c r="K762" s="40">
        <f t="shared" si="244"/>
        <v>0</v>
      </c>
      <c r="L762" s="45">
        <v>0</v>
      </c>
      <c r="M762" s="53">
        <v>0</v>
      </c>
      <c r="N762" s="40">
        <f t="shared" si="245"/>
        <v>0</v>
      </c>
      <c r="P762" s="40">
        <f t="shared" si="246"/>
        <v>0</v>
      </c>
      <c r="Q762" s="45"/>
      <c r="R762" s="53"/>
      <c r="S762" s="40">
        <f t="shared" si="247"/>
        <v>0</v>
      </c>
      <c r="U762" s="40">
        <f t="shared" si="248"/>
        <v>0</v>
      </c>
      <c r="V762" s="51">
        <v>0</v>
      </c>
      <c r="W762" s="51">
        <v>0</v>
      </c>
      <c r="X762" s="40">
        <f t="shared" si="249"/>
        <v>0</v>
      </c>
      <c r="AA762" s="40">
        <f t="shared" si="250"/>
        <v>0</v>
      </c>
      <c r="AB762" s="40">
        <f t="shared" si="251"/>
        <v>0</v>
      </c>
      <c r="AC762" s="67"/>
    </row>
    <row r="763" spans="6:29" x14ac:dyDescent="0.25">
      <c r="F763" s="45" t="str">
        <f t="shared" si="242"/>
        <v xml:space="preserve">S/F  </v>
      </c>
      <c r="G763" s="45">
        <v>0</v>
      </c>
      <c r="H763" s="53">
        <v>0</v>
      </c>
      <c r="I763" s="40">
        <f t="shared" si="243"/>
        <v>0</v>
      </c>
      <c r="J763" s="53"/>
      <c r="K763" s="40">
        <f t="shared" si="244"/>
        <v>0</v>
      </c>
      <c r="L763" s="45">
        <v>0</v>
      </c>
      <c r="M763" s="53">
        <v>0</v>
      </c>
      <c r="N763" s="40">
        <f t="shared" si="245"/>
        <v>0</v>
      </c>
      <c r="P763" s="40">
        <f t="shared" si="246"/>
        <v>0</v>
      </c>
      <c r="Q763" s="45"/>
      <c r="R763" s="53"/>
      <c r="S763" s="40">
        <f t="shared" si="247"/>
        <v>0</v>
      </c>
      <c r="U763" s="40">
        <f t="shared" si="248"/>
        <v>0</v>
      </c>
      <c r="V763" s="51">
        <v>0</v>
      </c>
      <c r="W763" s="51">
        <v>0</v>
      </c>
      <c r="X763" s="40">
        <f t="shared" si="249"/>
        <v>0</v>
      </c>
      <c r="AA763" s="40">
        <f t="shared" si="250"/>
        <v>0</v>
      </c>
      <c r="AB763" s="40">
        <f t="shared" si="251"/>
        <v>0</v>
      </c>
      <c r="AC763" s="67"/>
    </row>
    <row r="764" spans="6:29" x14ac:dyDescent="0.25">
      <c r="F764" s="45" t="str">
        <f t="shared" si="242"/>
        <v xml:space="preserve">S/F  </v>
      </c>
      <c r="G764" s="45">
        <v>0</v>
      </c>
      <c r="H764" s="53">
        <v>0</v>
      </c>
      <c r="I764" s="40">
        <f t="shared" si="243"/>
        <v>0</v>
      </c>
      <c r="J764" s="53"/>
      <c r="K764" s="40">
        <f t="shared" si="244"/>
        <v>0</v>
      </c>
      <c r="L764" s="45">
        <v>0</v>
      </c>
      <c r="M764" s="53">
        <v>0</v>
      </c>
      <c r="N764" s="40">
        <f t="shared" si="245"/>
        <v>0</v>
      </c>
      <c r="P764" s="40">
        <f t="shared" si="246"/>
        <v>0</v>
      </c>
      <c r="Q764" s="45"/>
      <c r="R764" s="53"/>
      <c r="S764" s="40">
        <f t="shared" si="247"/>
        <v>0</v>
      </c>
      <c r="U764" s="40">
        <f t="shared" si="248"/>
        <v>0</v>
      </c>
      <c r="V764" s="51">
        <v>0</v>
      </c>
      <c r="W764" s="51">
        <v>0</v>
      </c>
      <c r="X764" s="40">
        <f t="shared" si="249"/>
        <v>0</v>
      </c>
      <c r="AA764" s="40">
        <f t="shared" si="250"/>
        <v>0</v>
      </c>
      <c r="AB764" s="40">
        <f t="shared" si="251"/>
        <v>0</v>
      </c>
      <c r="AC764" s="67"/>
    </row>
    <row r="765" spans="6:29" x14ac:dyDescent="0.25">
      <c r="F765" s="45" t="str">
        <f t="shared" si="242"/>
        <v xml:space="preserve">S/F  </v>
      </c>
      <c r="G765" s="45">
        <v>0</v>
      </c>
      <c r="H765" s="53">
        <v>0</v>
      </c>
      <c r="I765" s="40">
        <f t="shared" si="243"/>
        <v>0</v>
      </c>
      <c r="J765" s="53"/>
      <c r="K765" s="40">
        <f t="shared" si="244"/>
        <v>0</v>
      </c>
      <c r="L765" s="45">
        <v>0</v>
      </c>
      <c r="M765" s="53">
        <v>0</v>
      </c>
      <c r="N765" s="40">
        <f t="shared" si="245"/>
        <v>0</v>
      </c>
      <c r="P765" s="40">
        <f t="shared" si="246"/>
        <v>0</v>
      </c>
      <c r="Q765" s="45"/>
      <c r="R765" s="53"/>
      <c r="S765" s="40">
        <f t="shared" si="247"/>
        <v>0</v>
      </c>
      <c r="U765" s="40">
        <f t="shared" si="248"/>
        <v>0</v>
      </c>
      <c r="V765" s="51">
        <v>0</v>
      </c>
      <c r="W765" s="51">
        <v>0</v>
      </c>
      <c r="X765" s="40">
        <f t="shared" si="249"/>
        <v>0</v>
      </c>
      <c r="AA765" s="40">
        <f t="shared" si="250"/>
        <v>0</v>
      </c>
      <c r="AB765" s="40">
        <f t="shared" si="251"/>
        <v>0</v>
      </c>
      <c r="AC765" s="67"/>
    </row>
    <row r="766" spans="6:29" x14ac:dyDescent="0.25">
      <c r="F766" s="45" t="str">
        <f t="shared" si="242"/>
        <v xml:space="preserve">S/F  </v>
      </c>
      <c r="G766" s="45">
        <v>0</v>
      </c>
      <c r="H766" s="53">
        <v>0</v>
      </c>
      <c r="I766" s="40">
        <f t="shared" si="243"/>
        <v>0</v>
      </c>
      <c r="J766" s="53"/>
      <c r="K766" s="40">
        <f t="shared" si="244"/>
        <v>0</v>
      </c>
      <c r="L766" s="45">
        <v>0</v>
      </c>
      <c r="M766" s="53">
        <v>0</v>
      </c>
      <c r="N766" s="40">
        <f t="shared" si="245"/>
        <v>0</v>
      </c>
      <c r="P766" s="40">
        <f t="shared" si="246"/>
        <v>0</v>
      </c>
      <c r="Q766" s="45"/>
      <c r="R766" s="53"/>
      <c r="S766" s="40">
        <f t="shared" si="247"/>
        <v>0</v>
      </c>
      <c r="U766" s="40">
        <f t="shared" si="248"/>
        <v>0</v>
      </c>
      <c r="V766" s="51">
        <v>0</v>
      </c>
      <c r="W766" s="51">
        <v>0</v>
      </c>
      <c r="X766" s="40">
        <f t="shared" si="249"/>
        <v>0</v>
      </c>
      <c r="AA766" s="40">
        <f t="shared" si="250"/>
        <v>0</v>
      </c>
      <c r="AB766" s="40">
        <f t="shared" si="251"/>
        <v>0</v>
      </c>
      <c r="AC766" s="67"/>
    </row>
    <row r="767" spans="6:29" x14ac:dyDescent="0.25">
      <c r="F767" s="45" t="str">
        <f t="shared" si="242"/>
        <v xml:space="preserve">S/F  </v>
      </c>
      <c r="G767" s="45">
        <v>0</v>
      </c>
      <c r="H767" s="53">
        <v>0</v>
      </c>
      <c r="I767" s="40">
        <f t="shared" si="243"/>
        <v>0</v>
      </c>
      <c r="J767" s="53"/>
      <c r="K767" s="40">
        <f t="shared" si="244"/>
        <v>0</v>
      </c>
      <c r="L767" s="45">
        <v>0</v>
      </c>
      <c r="M767" s="53">
        <v>0</v>
      </c>
      <c r="N767" s="40">
        <f t="shared" si="245"/>
        <v>0</v>
      </c>
      <c r="P767" s="40">
        <f t="shared" si="246"/>
        <v>0</v>
      </c>
      <c r="Q767" s="45"/>
      <c r="R767" s="53"/>
      <c r="S767" s="40">
        <f t="shared" si="247"/>
        <v>0</v>
      </c>
      <c r="U767" s="40">
        <f t="shared" si="248"/>
        <v>0</v>
      </c>
      <c r="V767" s="51">
        <v>0</v>
      </c>
      <c r="W767" s="51">
        <v>0</v>
      </c>
      <c r="X767" s="40">
        <f t="shared" si="249"/>
        <v>0</v>
      </c>
      <c r="AA767" s="40">
        <f t="shared" si="250"/>
        <v>0</v>
      </c>
      <c r="AB767" s="40">
        <f t="shared" si="251"/>
        <v>0</v>
      </c>
      <c r="AC767" s="67"/>
    </row>
    <row r="768" spans="6:29" x14ac:dyDescent="0.25">
      <c r="F768" s="45" t="str">
        <f t="shared" si="242"/>
        <v xml:space="preserve">S/F  </v>
      </c>
      <c r="G768" s="45">
        <v>0</v>
      </c>
      <c r="H768" s="53">
        <v>0</v>
      </c>
      <c r="I768" s="40">
        <f t="shared" si="243"/>
        <v>0</v>
      </c>
      <c r="J768" s="53"/>
      <c r="K768" s="40">
        <f t="shared" si="244"/>
        <v>0</v>
      </c>
      <c r="L768" s="45">
        <v>0</v>
      </c>
      <c r="M768" s="53">
        <v>0</v>
      </c>
      <c r="N768" s="40">
        <f t="shared" si="245"/>
        <v>0</v>
      </c>
      <c r="P768" s="40">
        <f t="shared" si="246"/>
        <v>0</v>
      </c>
      <c r="Q768" s="45"/>
      <c r="R768" s="53"/>
      <c r="S768" s="40">
        <f t="shared" si="247"/>
        <v>0</v>
      </c>
      <c r="U768" s="40">
        <f t="shared" si="248"/>
        <v>0</v>
      </c>
      <c r="V768" s="51">
        <v>0</v>
      </c>
      <c r="W768" s="51">
        <v>0</v>
      </c>
      <c r="X768" s="40">
        <f t="shared" si="249"/>
        <v>0</v>
      </c>
      <c r="AA768" s="40">
        <f t="shared" si="250"/>
        <v>0</v>
      </c>
      <c r="AB768" s="40">
        <f t="shared" si="251"/>
        <v>0</v>
      </c>
      <c r="AC768" s="67"/>
    </row>
    <row r="769" spans="6:29" x14ac:dyDescent="0.25">
      <c r="F769" s="45" t="str">
        <f t="shared" si="242"/>
        <v xml:space="preserve">S/F  </v>
      </c>
      <c r="G769" s="45">
        <v>0</v>
      </c>
      <c r="H769" s="53">
        <v>0</v>
      </c>
      <c r="I769" s="40">
        <f t="shared" si="243"/>
        <v>0</v>
      </c>
      <c r="J769" s="53"/>
      <c r="K769" s="40">
        <f t="shared" si="244"/>
        <v>0</v>
      </c>
      <c r="L769" s="45">
        <v>0</v>
      </c>
      <c r="M769" s="53">
        <v>0</v>
      </c>
      <c r="N769" s="40">
        <f t="shared" si="245"/>
        <v>0</v>
      </c>
      <c r="P769" s="40">
        <f t="shared" si="246"/>
        <v>0</v>
      </c>
      <c r="Q769" s="45"/>
      <c r="R769" s="53"/>
      <c r="S769" s="40">
        <f t="shared" si="247"/>
        <v>0</v>
      </c>
      <c r="U769" s="40">
        <f t="shared" si="248"/>
        <v>0</v>
      </c>
      <c r="V769" s="51">
        <v>0</v>
      </c>
      <c r="W769" s="51">
        <v>0</v>
      </c>
      <c r="X769" s="40">
        <f t="shared" si="249"/>
        <v>0</v>
      </c>
      <c r="AA769" s="40">
        <f t="shared" si="250"/>
        <v>0</v>
      </c>
      <c r="AB769" s="40">
        <f t="shared" si="251"/>
        <v>0</v>
      </c>
      <c r="AC769" s="67"/>
    </row>
    <row r="770" spans="6:29" x14ac:dyDescent="0.25">
      <c r="F770" s="45" t="str">
        <f t="shared" si="242"/>
        <v xml:space="preserve">S/F  </v>
      </c>
      <c r="G770" s="45">
        <v>0</v>
      </c>
      <c r="H770" s="53">
        <v>0</v>
      </c>
      <c r="I770" s="40">
        <f t="shared" si="243"/>
        <v>0</v>
      </c>
      <c r="J770" s="53"/>
      <c r="K770" s="40">
        <f t="shared" si="244"/>
        <v>0</v>
      </c>
      <c r="L770" s="45">
        <v>0</v>
      </c>
      <c r="M770" s="53">
        <v>0</v>
      </c>
      <c r="N770" s="40">
        <f t="shared" si="245"/>
        <v>0</v>
      </c>
      <c r="P770" s="40">
        <f t="shared" si="246"/>
        <v>0</v>
      </c>
      <c r="Q770" s="45"/>
      <c r="R770" s="53"/>
      <c r="S770" s="40">
        <f t="shared" si="247"/>
        <v>0</v>
      </c>
      <c r="U770" s="40">
        <f t="shared" si="248"/>
        <v>0</v>
      </c>
      <c r="V770" s="51">
        <v>0</v>
      </c>
      <c r="W770" s="51">
        <v>0</v>
      </c>
      <c r="X770" s="40">
        <f t="shared" si="249"/>
        <v>0</v>
      </c>
      <c r="AA770" s="40">
        <f t="shared" si="250"/>
        <v>0</v>
      </c>
      <c r="AB770" s="40">
        <f t="shared" si="251"/>
        <v>0</v>
      </c>
      <c r="AC770" s="67"/>
    </row>
    <row r="771" spans="6:29" x14ac:dyDescent="0.25">
      <c r="F771" s="45" t="str">
        <f t="shared" si="242"/>
        <v xml:space="preserve">S/F  </v>
      </c>
      <c r="G771" s="45">
        <v>0</v>
      </c>
      <c r="H771" s="53">
        <v>0</v>
      </c>
      <c r="I771" s="40">
        <f t="shared" si="243"/>
        <v>0</v>
      </c>
      <c r="J771" s="53"/>
      <c r="K771" s="40">
        <f t="shared" si="244"/>
        <v>0</v>
      </c>
      <c r="L771" s="45">
        <v>0</v>
      </c>
      <c r="M771" s="53">
        <v>0</v>
      </c>
      <c r="N771" s="40">
        <f t="shared" si="245"/>
        <v>0</v>
      </c>
      <c r="P771" s="40">
        <f t="shared" si="246"/>
        <v>0</v>
      </c>
      <c r="Q771" s="45"/>
      <c r="R771" s="53"/>
      <c r="S771" s="40">
        <f t="shared" si="247"/>
        <v>0</v>
      </c>
      <c r="U771" s="40">
        <f t="shared" si="248"/>
        <v>0</v>
      </c>
      <c r="V771" s="51">
        <v>0</v>
      </c>
      <c r="W771" s="51">
        <v>0</v>
      </c>
      <c r="X771" s="40">
        <f t="shared" si="249"/>
        <v>0</v>
      </c>
      <c r="AA771" s="40">
        <f t="shared" si="250"/>
        <v>0</v>
      </c>
      <c r="AB771" s="40">
        <f t="shared" si="251"/>
        <v>0</v>
      </c>
      <c r="AC771" s="67"/>
    </row>
    <row r="772" spans="6:29" x14ac:dyDescent="0.25">
      <c r="F772" s="45" t="str">
        <f t="shared" si="242"/>
        <v xml:space="preserve">S/F  </v>
      </c>
      <c r="G772" s="45">
        <v>0</v>
      </c>
      <c r="H772" s="53">
        <v>0</v>
      </c>
      <c r="I772" s="40">
        <f t="shared" si="243"/>
        <v>0</v>
      </c>
      <c r="J772" s="53"/>
      <c r="K772" s="40">
        <f t="shared" si="244"/>
        <v>0</v>
      </c>
      <c r="L772" s="45">
        <v>0</v>
      </c>
      <c r="M772" s="53">
        <v>0</v>
      </c>
      <c r="N772" s="40">
        <f t="shared" si="245"/>
        <v>0</v>
      </c>
      <c r="P772" s="40">
        <f t="shared" si="246"/>
        <v>0</v>
      </c>
      <c r="Q772" s="45"/>
      <c r="R772" s="53"/>
      <c r="S772" s="40">
        <f t="shared" si="247"/>
        <v>0</v>
      </c>
      <c r="U772" s="40">
        <f t="shared" si="248"/>
        <v>0</v>
      </c>
      <c r="V772" s="51">
        <v>0</v>
      </c>
      <c r="W772" s="51">
        <v>0</v>
      </c>
      <c r="X772" s="40">
        <f t="shared" si="249"/>
        <v>0</v>
      </c>
      <c r="AA772" s="40">
        <f t="shared" si="250"/>
        <v>0</v>
      </c>
      <c r="AB772" s="40">
        <f t="shared" si="251"/>
        <v>0</v>
      </c>
      <c r="AC772" s="67"/>
    </row>
    <row r="773" spans="6:29" x14ac:dyDescent="0.25">
      <c r="F773" s="45" t="str">
        <f t="shared" si="242"/>
        <v xml:space="preserve">S/F  </v>
      </c>
      <c r="G773" s="45">
        <v>0</v>
      </c>
      <c r="H773" s="53">
        <v>0</v>
      </c>
      <c r="I773" s="40">
        <f t="shared" si="243"/>
        <v>0</v>
      </c>
      <c r="J773" s="53"/>
      <c r="K773" s="40">
        <f t="shared" si="244"/>
        <v>0</v>
      </c>
      <c r="L773" s="45">
        <v>0</v>
      </c>
      <c r="M773" s="53">
        <v>0</v>
      </c>
      <c r="N773" s="40">
        <f t="shared" si="245"/>
        <v>0</v>
      </c>
      <c r="P773" s="40">
        <f t="shared" si="246"/>
        <v>0</v>
      </c>
      <c r="Q773" s="45"/>
      <c r="R773" s="53"/>
      <c r="S773" s="40">
        <f t="shared" si="247"/>
        <v>0</v>
      </c>
      <c r="U773" s="40">
        <f t="shared" si="248"/>
        <v>0</v>
      </c>
      <c r="V773" s="51">
        <v>0</v>
      </c>
      <c r="W773" s="51">
        <v>0</v>
      </c>
      <c r="X773" s="40">
        <f t="shared" si="249"/>
        <v>0</v>
      </c>
      <c r="AA773" s="40">
        <f t="shared" si="250"/>
        <v>0</v>
      </c>
      <c r="AB773" s="40">
        <f t="shared" si="251"/>
        <v>0</v>
      </c>
      <c r="AC773" s="67"/>
    </row>
    <row r="774" spans="6:29" x14ac:dyDescent="0.25">
      <c r="F774" s="45" t="str">
        <f t="shared" si="242"/>
        <v xml:space="preserve">S/F  </v>
      </c>
      <c r="G774" s="45">
        <v>0</v>
      </c>
      <c r="H774" s="53">
        <v>0</v>
      </c>
      <c r="I774" s="40">
        <f t="shared" si="243"/>
        <v>0</v>
      </c>
      <c r="J774" s="53"/>
      <c r="K774" s="40">
        <f t="shared" si="244"/>
        <v>0</v>
      </c>
      <c r="L774" s="45">
        <v>0</v>
      </c>
      <c r="M774" s="53">
        <v>0</v>
      </c>
      <c r="N774" s="40">
        <f t="shared" si="245"/>
        <v>0</v>
      </c>
      <c r="P774" s="40">
        <f t="shared" si="246"/>
        <v>0</v>
      </c>
      <c r="Q774" s="45"/>
      <c r="R774" s="53"/>
      <c r="S774" s="40">
        <f t="shared" si="247"/>
        <v>0</v>
      </c>
      <c r="U774" s="40">
        <f t="shared" si="248"/>
        <v>0</v>
      </c>
      <c r="V774" s="51">
        <v>0</v>
      </c>
      <c r="W774" s="51">
        <v>0</v>
      </c>
      <c r="X774" s="40">
        <f t="shared" si="249"/>
        <v>0</v>
      </c>
      <c r="AA774" s="40">
        <f t="shared" si="250"/>
        <v>0</v>
      </c>
      <c r="AB774" s="40">
        <f t="shared" si="251"/>
        <v>0</v>
      </c>
      <c r="AC774" s="67"/>
    </row>
    <row r="775" spans="6:29" x14ac:dyDescent="0.25">
      <c r="F775" s="45" t="str">
        <f t="shared" si="242"/>
        <v xml:space="preserve">S/F  </v>
      </c>
      <c r="G775" s="45">
        <v>0</v>
      </c>
      <c r="H775" s="53">
        <v>0</v>
      </c>
      <c r="I775" s="40">
        <f t="shared" si="243"/>
        <v>0</v>
      </c>
      <c r="J775" s="53"/>
      <c r="K775" s="40">
        <f t="shared" si="244"/>
        <v>0</v>
      </c>
      <c r="L775" s="45">
        <v>0</v>
      </c>
      <c r="M775" s="53">
        <v>0</v>
      </c>
      <c r="N775" s="40">
        <f t="shared" si="245"/>
        <v>0</v>
      </c>
      <c r="P775" s="40">
        <f t="shared" si="246"/>
        <v>0</v>
      </c>
      <c r="Q775" s="45"/>
      <c r="R775" s="53"/>
      <c r="S775" s="40">
        <f t="shared" si="247"/>
        <v>0</v>
      </c>
      <c r="U775" s="40">
        <f t="shared" si="248"/>
        <v>0</v>
      </c>
      <c r="V775" s="51">
        <v>0</v>
      </c>
      <c r="W775" s="51">
        <v>0</v>
      </c>
      <c r="X775" s="40">
        <f t="shared" si="249"/>
        <v>0</v>
      </c>
      <c r="AA775" s="40">
        <f t="shared" si="250"/>
        <v>0</v>
      </c>
      <c r="AB775" s="40">
        <f t="shared" si="251"/>
        <v>0</v>
      </c>
      <c r="AC775" s="67"/>
    </row>
    <row r="776" spans="6:29" x14ac:dyDescent="0.25">
      <c r="F776" s="45" t="str">
        <f t="shared" si="242"/>
        <v xml:space="preserve">S/F  </v>
      </c>
      <c r="G776" s="45">
        <v>0</v>
      </c>
      <c r="H776" s="53">
        <v>0</v>
      </c>
      <c r="I776" s="40">
        <f t="shared" si="243"/>
        <v>0</v>
      </c>
      <c r="J776" s="53"/>
      <c r="K776" s="40">
        <f t="shared" si="244"/>
        <v>0</v>
      </c>
      <c r="L776" s="45">
        <v>0</v>
      </c>
      <c r="M776" s="53">
        <v>0</v>
      </c>
      <c r="N776" s="40">
        <f t="shared" si="245"/>
        <v>0</v>
      </c>
      <c r="P776" s="40">
        <f t="shared" si="246"/>
        <v>0</v>
      </c>
      <c r="Q776" s="45"/>
      <c r="R776" s="53"/>
      <c r="S776" s="40">
        <f t="shared" si="247"/>
        <v>0</v>
      </c>
      <c r="U776" s="40">
        <f t="shared" si="248"/>
        <v>0</v>
      </c>
      <c r="V776" s="51">
        <v>0</v>
      </c>
      <c r="W776" s="51">
        <v>0</v>
      </c>
      <c r="X776" s="40">
        <f t="shared" si="249"/>
        <v>0</v>
      </c>
      <c r="AA776" s="40">
        <f t="shared" si="250"/>
        <v>0</v>
      </c>
      <c r="AB776" s="40">
        <f t="shared" si="251"/>
        <v>0</v>
      </c>
      <c r="AC776" s="67"/>
    </row>
    <row r="777" spans="6:29" x14ac:dyDescent="0.25">
      <c r="F777" s="45" t="str">
        <f t="shared" si="242"/>
        <v xml:space="preserve">S/F  </v>
      </c>
      <c r="G777" s="45">
        <v>0</v>
      </c>
      <c r="H777" s="53">
        <v>0</v>
      </c>
      <c r="I777" s="40">
        <f t="shared" si="243"/>
        <v>0</v>
      </c>
      <c r="J777" s="53"/>
      <c r="K777" s="40">
        <f t="shared" si="244"/>
        <v>0</v>
      </c>
      <c r="L777" s="45">
        <v>0</v>
      </c>
      <c r="M777" s="53">
        <v>0</v>
      </c>
      <c r="N777" s="40">
        <f t="shared" si="245"/>
        <v>0</v>
      </c>
      <c r="P777" s="40">
        <f t="shared" si="246"/>
        <v>0</v>
      </c>
      <c r="Q777" s="45"/>
      <c r="R777" s="53"/>
      <c r="S777" s="40">
        <f t="shared" si="247"/>
        <v>0</v>
      </c>
      <c r="U777" s="40">
        <f t="shared" si="248"/>
        <v>0</v>
      </c>
      <c r="V777" s="51">
        <v>0</v>
      </c>
      <c r="W777" s="51">
        <v>0</v>
      </c>
      <c r="X777" s="40">
        <f t="shared" si="249"/>
        <v>0</v>
      </c>
      <c r="AA777" s="40">
        <f t="shared" si="250"/>
        <v>0</v>
      </c>
      <c r="AB777" s="40">
        <f t="shared" si="251"/>
        <v>0</v>
      </c>
      <c r="AC777" s="67"/>
    </row>
    <row r="778" spans="6:29" x14ac:dyDescent="0.25">
      <c r="F778" s="45" t="str">
        <f t="shared" si="242"/>
        <v xml:space="preserve">S/F  </v>
      </c>
      <c r="G778" s="45">
        <v>0</v>
      </c>
      <c r="H778" s="53">
        <v>0</v>
      </c>
      <c r="I778" s="40">
        <f t="shared" si="243"/>
        <v>0</v>
      </c>
      <c r="J778" s="53"/>
      <c r="K778" s="40">
        <f t="shared" si="244"/>
        <v>0</v>
      </c>
      <c r="L778" s="45">
        <v>0</v>
      </c>
      <c r="M778" s="53">
        <v>0</v>
      </c>
      <c r="N778" s="40">
        <f t="shared" si="245"/>
        <v>0</v>
      </c>
      <c r="P778" s="40">
        <f t="shared" si="246"/>
        <v>0</v>
      </c>
      <c r="Q778" s="45"/>
      <c r="R778" s="53"/>
      <c r="S778" s="40">
        <f t="shared" si="247"/>
        <v>0</v>
      </c>
      <c r="U778" s="40">
        <f t="shared" si="248"/>
        <v>0</v>
      </c>
      <c r="V778" s="51">
        <v>0</v>
      </c>
      <c r="W778" s="51">
        <v>0</v>
      </c>
      <c r="X778" s="40">
        <f t="shared" si="249"/>
        <v>0</v>
      </c>
      <c r="AA778" s="40">
        <f t="shared" si="250"/>
        <v>0</v>
      </c>
      <c r="AB778" s="40">
        <f t="shared" si="251"/>
        <v>0</v>
      </c>
      <c r="AC778" s="67"/>
    </row>
    <row r="779" spans="6:29" x14ac:dyDescent="0.25">
      <c r="F779" s="45" t="str">
        <f t="shared" si="242"/>
        <v xml:space="preserve">S/F  </v>
      </c>
      <c r="G779" s="45">
        <v>0</v>
      </c>
      <c r="H779" s="53">
        <v>0</v>
      </c>
      <c r="I779" s="40">
        <f t="shared" si="243"/>
        <v>0</v>
      </c>
      <c r="J779" s="53"/>
      <c r="K779" s="40">
        <f t="shared" si="244"/>
        <v>0</v>
      </c>
      <c r="L779" s="45">
        <v>0</v>
      </c>
      <c r="M779" s="53">
        <v>0</v>
      </c>
      <c r="N779" s="40">
        <f t="shared" si="245"/>
        <v>0</v>
      </c>
      <c r="P779" s="40">
        <f t="shared" si="246"/>
        <v>0</v>
      </c>
      <c r="Q779" s="45"/>
      <c r="R779" s="53"/>
      <c r="S779" s="40">
        <f t="shared" si="247"/>
        <v>0</v>
      </c>
      <c r="U779" s="40">
        <f t="shared" si="248"/>
        <v>0</v>
      </c>
      <c r="V779" s="51">
        <v>0</v>
      </c>
      <c r="W779" s="51">
        <v>0</v>
      </c>
      <c r="X779" s="40">
        <f t="shared" si="249"/>
        <v>0</v>
      </c>
      <c r="AA779" s="40">
        <f t="shared" si="250"/>
        <v>0</v>
      </c>
      <c r="AB779" s="40">
        <f t="shared" si="251"/>
        <v>0</v>
      </c>
      <c r="AC779" s="67"/>
    </row>
    <row r="780" spans="6:29" x14ac:dyDescent="0.25">
      <c r="F780" s="45" t="str">
        <f t="shared" si="242"/>
        <v xml:space="preserve">S/F  </v>
      </c>
      <c r="G780" s="45">
        <v>0</v>
      </c>
      <c r="H780" s="53">
        <v>0</v>
      </c>
      <c r="I780" s="40">
        <f t="shared" si="243"/>
        <v>0</v>
      </c>
      <c r="J780" s="53"/>
      <c r="K780" s="40">
        <f t="shared" si="244"/>
        <v>0</v>
      </c>
      <c r="L780" s="45">
        <v>0</v>
      </c>
      <c r="M780" s="53">
        <v>0</v>
      </c>
      <c r="N780" s="40">
        <f t="shared" si="245"/>
        <v>0</v>
      </c>
      <c r="P780" s="40">
        <f t="shared" si="246"/>
        <v>0</v>
      </c>
      <c r="Q780" s="45"/>
      <c r="R780" s="53"/>
      <c r="S780" s="40">
        <f t="shared" si="247"/>
        <v>0</v>
      </c>
      <c r="U780" s="40">
        <f t="shared" si="248"/>
        <v>0</v>
      </c>
      <c r="V780" s="51">
        <v>0</v>
      </c>
      <c r="W780" s="51">
        <v>0</v>
      </c>
      <c r="X780" s="40">
        <f t="shared" si="249"/>
        <v>0</v>
      </c>
      <c r="AA780" s="40">
        <f t="shared" si="250"/>
        <v>0</v>
      </c>
      <c r="AB780" s="40">
        <f t="shared" si="251"/>
        <v>0</v>
      </c>
      <c r="AC780" s="67"/>
    </row>
    <row r="781" spans="6:29" x14ac:dyDescent="0.25">
      <c r="F781" s="45" t="str">
        <f t="shared" ref="F781:F844" si="252">"S/F "&amp;B781&amp;" "&amp;E781</f>
        <v xml:space="preserve">S/F  </v>
      </c>
      <c r="G781" s="45">
        <v>0</v>
      </c>
      <c r="H781" s="53">
        <v>0</v>
      </c>
      <c r="I781" s="40">
        <f t="shared" si="243"/>
        <v>0</v>
      </c>
      <c r="J781" s="53"/>
      <c r="K781" s="40">
        <f t="shared" si="244"/>
        <v>0</v>
      </c>
      <c r="L781" s="45">
        <v>0</v>
      </c>
      <c r="M781" s="53">
        <v>0</v>
      </c>
      <c r="N781" s="40">
        <f t="shared" si="245"/>
        <v>0</v>
      </c>
      <c r="P781" s="40">
        <f t="shared" si="246"/>
        <v>0</v>
      </c>
      <c r="Q781" s="45"/>
      <c r="R781" s="53"/>
      <c r="S781" s="40">
        <f t="shared" si="247"/>
        <v>0</v>
      </c>
      <c r="U781" s="40">
        <f t="shared" si="248"/>
        <v>0</v>
      </c>
      <c r="V781" s="51">
        <v>0</v>
      </c>
      <c r="W781" s="51">
        <v>0</v>
      </c>
      <c r="X781" s="40">
        <f t="shared" si="249"/>
        <v>0</v>
      </c>
      <c r="AA781" s="40">
        <f t="shared" si="250"/>
        <v>0</v>
      </c>
      <c r="AB781" s="40">
        <f t="shared" si="251"/>
        <v>0</v>
      </c>
      <c r="AC781" s="67"/>
    </row>
    <row r="782" spans="6:29" x14ac:dyDescent="0.25">
      <c r="F782" s="45" t="str">
        <f t="shared" si="252"/>
        <v xml:space="preserve">S/F  </v>
      </c>
      <c r="G782" s="45">
        <v>0</v>
      </c>
      <c r="H782" s="53">
        <v>0</v>
      </c>
      <c r="I782" s="40">
        <f t="shared" si="243"/>
        <v>0</v>
      </c>
      <c r="J782" s="53"/>
      <c r="K782" s="40">
        <f t="shared" si="244"/>
        <v>0</v>
      </c>
      <c r="L782" s="45">
        <v>0</v>
      </c>
      <c r="M782" s="53">
        <v>0</v>
      </c>
      <c r="N782" s="40">
        <f t="shared" si="245"/>
        <v>0</v>
      </c>
      <c r="P782" s="40">
        <f t="shared" si="246"/>
        <v>0</v>
      </c>
      <c r="Q782" s="45"/>
      <c r="R782" s="53"/>
      <c r="S782" s="40">
        <f t="shared" si="247"/>
        <v>0</v>
      </c>
      <c r="U782" s="40">
        <f t="shared" si="248"/>
        <v>0</v>
      </c>
      <c r="V782" s="51">
        <v>0</v>
      </c>
      <c r="W782" s="51">
        <v>0</v>
      </c>
      <c r="X782" s="40">
        <f t="shared" si="249"/>
        <v>0</v>
      </c>
      <c r="AA782" s="40">
        <f t="shared" si="250"/>
        <v>0</v>
      </c>
      <c r="AB782" s="40">
        <f t="shared" si="251"/>
        <v>0</v>
      </c>
      <c r="AC782" s="67"/>
    </row>
    <row r="783" spans="6:29" x14ac:dyDescent="0.25">
      <c r="F783" s="45" t="str">
        <f t="shared" si="252"/>
        <v xml:space="preserve">S/F  </v>
      </c>
      <c r="G783" s="45">
        <v>0</v>
      </c>
      <c r="H783" s="53">
        <v>0</v>
      </c>
      <c r="I783" s="40">
        <f t="shared" si="243"/>
        <v>0</v>
      </c>
      <c r="J783" s="53"/>
      <c r="K783" s="40">
        <f t="shared" si="244"/>
        <v>0</v>
      </c>
      <c r="L783" s="45">
        <v>0</v>
      </c>
      <c r="M783" s="53">
        <v>0</v>
      </c>
      <c r="N783" s="40">
        <f t="shared" si="245"/>
        <v>0</v>
      </c>
      <c r="P783" s="40">
        <f t="shared" si="246"/>
        <v>0</v>
      </c>
      <c r="Q783" s="45"/>
      <c r="R783" s="53"/>
      <c r="S783" s="40">
        <f t="shared" si="247"/>
        <v>0</v>
      </c>
      <c r="U783" s="40">
        <f t="shared" si="248"/>
        <v>0</v>
      </c>
      <c r="V783" s="51">
        <v>0</v>
      </c>
      <c r="W783" s="51">
        <v>0</v>
      </c>
      <c r="X783" s="40">
        <f t="shared" si="249"/>
        <v>0</v>
      </c>
      <c r="AA783" s="40">
        <f t="shared" si="250"/>
        <v>0</v>
      </c>
      <c r="AB783" s="40">
        <f t="shared" si="251"/>
        <v>0</v>
      </c>
      <c r="AC783" s="67"/>
    </row>
    <row r="784" spans="6:29" x14ac:dyDescent="0.25">
      <c r="F784" s="45" t="str">
        <f t="shared" si="252"/>
        <v xml:space="preserve">S/F  </v>
      </c>
      <c r="G784" s="45">
        <v>0</v>
      </c>
      <c r="H784" s="53">
        <v>0</v>
      </c>
      <c r="I784" s="40">
        <f t="shared" si="243"/>
        <v>0</v>
      </c>
      <c r="J784" s="53"/>
      <c r="K784" s="40">
        <f t="shared" si="244"/>
        <v>0</v>
      </c>
      <c r="L784" s="45">
        <v>0</v>
      </c>
      <c r="M784" s="53">
        <v>0</v>
      </c>
      <c r="N784" s="40">
        <f t="shared" si="245"/>
        <v>0</v>
      </c>
      <c r="P784" s="40">
        <f t="shared" si="246"/>
        <v>0</v>
      </c>
      <c r="Q784" s="45"/>
      <c r="R784" s="53"/>
      <c r="S784" s="40">
        <f t="shared" si="247"/>
        <v>0</v>
      </c>
      <c r="U784" s="40">
        <f t="shared" si="248"/>
        <v>0</v>
      </c>
      <c r="V784" s="51">
        <v>0</v>
      </c>
      <c r="W784" s="51">
        <v>0</v>
      </c>
      <c r="X784" s="40">
        <f t="shared" si="249"/>
        <v>0</v>
      </c>
      <c r="AA784" s="40">
        <f t="shared" si="250"/>
        <v>0</v>
      </c>
      <c r="AB784" s="40">
        <f t="shared" si="251"/>
        <v>0</v>
      </c>
      <c r="AC784" s="67"/>
    </row>
    <row r="785" spans="6:29" x14ac:dyDescent="0.25">
      <c r="F785" s="45" t="str">
        <f t="shared" si="252"/>
        <v xml:space="preserve">S/F  </v>
      </c>
      <c r="G785" s="45">
        <v>0</v>
      </c>
      <c r="H785" s="53">
        <v>0</v>
      </c>
      <c r="I785" s="40">
        <f t="shared" si="243"/>
        <v>0</v>
      </c>
      <c r="J785" s="53"/>
      <c r="K785" s="40">
        <f t="shared" si="244"/>
        <v>0</v>
      </c>
      <c r="L785" s="45">
        <v>0</v>
      </c>
      <c r="M785" s="53">
        <v>0</v>
      </c>
      <c r="N785" s="40">
        <f t="shared" si="245"/>
        <v>0</v>
      </c>
      <c r="P785" s="40">
        <f t="shared" si="246"/>
        <v>0</v>
      </c>
      <c r="Q785" s="45"/>
      <c r="R785" s="53"/>
      <c r="S785" s="40">
        <f t="shared" si="247"/>
        <v>0</v>
      </c>
      <c r="U785" s="40">
        <f t="shared" si="248"/>
        <v>0</v>
      </c>
      <c r="V785" s="51">
        <v>0</v>
      </c>
      <c r="W785" s="51">
        <v>0</v>
      </c>
      <c r="X785" s="40">
        <f t="shared" si="249"/>
        <v>0</v>
      </c>
      <c r="AA785" s="40">
        <f t="shared" si="250"/>
        <v>0</v>
      </c>
      <c r="AB785" s="40">
        <f t="shared" si="251"/>
        <v>0</v>
      </c>
      <c r="AC785" s="67"/>
    </row>
    <row r="786" spans="6:29" x14ac:dyDescent="0.25">
      <c r="F786" s="45" t="str">
        <f t="shared" si="252"/>
        <v xml:space="preserve">S/F  </v>
      </c>
      <c r="G786" s="45">
        <v>0</v>
      </c>
      <c r="H786" s="53">
        <v>0</v>
      </c>
      <c r="I786" s="40">
        <f t="shared" si="243"/>
        <v>0</v>
      </c>
      <c r="J786" s="53"/>
      <c r="K786" s="40">
        <f t="shared" si="244"/>
        <v>0</v>
      </c>
      <c r="L786" s="45">
        <v>0</v>
      </c>
      <c r="M786" s="53">
        <v>0</v>
      </c>
      <c r="N786" s="40">
        <f t="shared" si="245"/>
        <v>0</v>
      </c>
      <c r="P786" s="40">
        <f t="shared" si="246"/>
        <v>0</v>
      </c>
      <c r="Q786" s="45"/>
      <c r="R786" s="53"/>
      <c r="S786" s="40">
        <f t="shared" si="247"/>
        <v>0</v>
      </c>
      <c r="U786" s="40">
        <f t="shared" si="248"/>
        <v>0</v>
      </c>
      <c r="V786" s="51">
        <v>0</v>
      </c>
      <c r="W786" s="51">
        <v>0</v>
      </c>
      <c r="X786" s="40">
        <f t="shared" si="249"/>
        <v>0</v>
      </c>
      <c r="AA786" s="40">
        <f t="shared" si="250"/>
        <v>0</v>
      </c>
      <c r="AB786" s="40">
        <f t="shared" si="251"/>
        <v>0</v>
      </c>
      <c r="AC786" s="67"/>
    </row>
    <row r="787" spans="6:29" x14ac:dyDescent="0.25">
      <c r="F787" s="45" t="str">
        <f t="shared" si="252"/>
        <v xml:space="preserve">S/F  </v>
      </c>
      <c r="G787" s="45">
        <v>0</v>
      </c>
      <c r="H787" s="53">
        <v>0</v>
      </c>
      <c r="I787" s="40">
        <f t="shared" si="243"/>
        <v>0</v>
      </c>
      <c r="J787" s="53"/>
      <c r="K787" s="40">
        <f t="shared" si="244"/>
        <v>0</v>
      </c>
      <c r="L787" s="45">
        <v>0</v>
      </c>
      <c r="M787" s="53">
        <v>0</v>
      </c>
      <c r="N787" s="40">
        <f t="shared" si="245"/>
        <v>0</v>
      </c>
      <c r="P787" s="40">
        <f t="shared" si="246"/>
        <v>0</v>
      </c>
      <c r="Q787" s="45"/>
      <c r="R787" s="53"/>
      <c r="S787" s="40">
        <f t="shared" si="247"/>
        <v>0</v>
      </c>
      <c r="U787" s="40">
        <f t="shared" si="248"/>
        <v>0</v>
      </c>
      <c r="V787" s="51">
        <v>0</v>
      </c>
      <c r="W787" s="51">
        <v>0</v>
      </c>
      <c r="X787" s="40">
        <f t="shared" si="249"/>
        <v>0</v>
      </c>
      <c r="AA787" s="40">
        <f t="shared" si="250"/>
        <v>0</v>
      </c>
      <c r="AB787" s="40">
        <f t="shared" si="251"/>
        <v>0</v>
      </c>
      <c r="AC787" s="67"/>
    </row>
    <row r="788" spans="6:29" x14ac:dyDescent="0.25">
      <c r="F788" s="45" t="str">
        <f t="shared" si="252"/>
        <v xml:space="preserve">S/F  </v>
      </c>
      <c r="G788" s="45">
        <v>0</v>
      </c>
      <c r="H788" s="53">
        <v>0</v>
      </c>
      <c r="I788" s="40">
        <f t="shared" si="243"/>
        <v>0</v>
      </c>
      <c r="J788" s="53"/>
      <c r="K788" s="40">
        <f t="shared" si="244"/>
        <v>0</v>
      </c>
      <c r="L788" s="45">
        <v>0</v>
      </c>
      <c r="M788" s="53">
        <v>0</v>
      </c>
      <c r="N788" s="40">
        <f t="shared" si="245"/>
        <v>0</v>
      </c>
      <c r="P788" s="40">
        <f t="shared" si="246"/>
        <v>0</v>
      </c>
      <c r="Q788" s="45"/>
      <c r="R788" s="53"/>
      <c r="S788" s="40">
        <f t="shared" si="247"/>
        <v>0</v>
      </c>
      <c r="U788" s="40">
        <f t="shared" si="248"/>
        <v>0</v>
      </c>
      <c r="V788" s="51">
        <v>0</v>
      </c>
      <c r="W788" s="51">
        <v>0</v>
      </c>
      <c r="X788" s="40">
        <f t="shared" si="249"/>
        <v>0</v>
      </c>
      <c r="AA788" s="40">
        <f t="shared" si="250"/>
        <v>0</v>
      </c>
      <c r="AB788" s="40">
        <f t="shared" si="251"/>
        <v>0</v>
      </c>
      <c r="AC788" s="67"/>
    </row>
    <row r="789" spans="6:29" x14ac:dyDescent="0.25">
      <c r="F789" s="45" t="str">
        <f t="shared" si="252"/>
        <v xml:space="preserve">S/F  </v>
      </c>
      <c r="G789" s="45">
        <v>0</v>
      </c>
      <c r="H789" s="53">
        <v>0</v>
      </c>
      <c r="I789" s="40">
        <f t="shared" ref="I789:I852" si="253">+IF(G789&lt;&gt;0,G789*H789/100,0)</f>
        <v>0</v>
      </c>
      <c r="J789" s="53"/>
      <c r="K789" s="40">
        <f t="shared" ref="K789:K852" si="254">+IF(G789&lt;&gt;0,G789*J789/100,0)</f>
        <v>0</v>
      </c>
      <c r="L789" s="45">
        <v>0</v>
      </c>
      <c r="M789" s="53">
        <v>0</v>
      </c>
      <c r="N789" s="40">
        <f t="shared" ref="N789:N852" si="255">+IF(L789&lt;&gt;0,L789*M789/100,0)</f>
        <v>0</v>
      </c>
      <c r="P789" s="40">
        <f t="shared" ref="P789:P852" si="256">+IF(L789&lt;&gt;0,L789*O789/100,0)</f>
        <v>0</v>
      </c>
      <c r="Q789" s="45"/>
      <c r="R789" s="53"/>
      <c r="S789" s="40">
        <f t="shared" ref="S789:S852" si="257">+IF(Q789&lt;&gt;0,Q789*R789/100,0)</f>
        <v>0</v>
      </c>
      <c r="U789" s="40">
        <f t="shared" ref="U789:U852" si="258">+IF(Q789&lt;&gt;0,Q789*T789/100,0)</f>
        <v>0</v>
      </c>
      <c r="V789" s="51">
        <v>0</v>
      </c>
      <c r="W789" s="51">
        <v>0</v>
      </c>
      <c r="X789" s="40">
        <f t="shared" ref="X789:X852" si="259">+IF(W789&lt;&gt;0,V789*W789/100,0)</f>
        <v>0</v>
      </c>
      <c r="AA789" s="40">
        <f t="shared" ref="AA789:AA852" si="260">+IF(Z789&lt;&gt;0,Y789*Z789/100,0)</f>
        <v>0</v>
      </c>
      <c r="AB789" s="40">
        <f t="shared" ref="AB789:AB852" si="261">+G789+I789+K789+L789+N789+P789+Q789+S789+U789-X789-AA789</f>
        <v>0</v>
      </c>
      <c r="AC789" s="67"/>
    </row>
    <row r="790" spans="6:29" x14ac:dyDescent="0.25">
      <c r="F790" s="45" t="str">
        <f t="shared" si="252"/>
        <v xml:space="preserve">S/F  </v>
      </c>
      <c r="G790" s="45">
        <v>0</v>
      </c>
      <c r="H790" s="53">
        <v>0</v>
      </c>
      <c r="I790" s="40">
        <f t="shared" si="253"/>
        <v>0</v>
      </c>
      <c r="J790" s="53"/>
      <c r="K790" s="40">
        <f t="shared" si="254"/>
        <v>0</v>
      </c>
      <c r="L790" s="45">
        <v>0</v>
      </c>
      <c r="M790" s="53">
        <v>0</v>
      </c>
      <c r="N790" s="40">
        <f t="shared" si="255"/>
        <v>0</v>
      </c>
      <c r="P790" s="40">
        <f t="shared" si="256"/>
        <v>0</v>
      </c>
      <c r="Q790" s="45"/>
      <c r="R790" s="53"/>
      <c r="S790" s="40">
        <f t="shared" si="257"/>
        <v>0</v>
      </c>
      <c r="U790" s="40">
        <f t="shared" si="258"/>
        <v>0</v>
      </c>
      <c r="V790" s="51">
        <v>0</v>
      </c>
      <c r="W790" s="51">
        <v>0</v>
      </c>
      <c r="X790" s="40">
        <f t="shared" si="259"/>
        <v>0</v>
      </c>
      <c r="AA790" s="40">
        <f t="shared" si="260"/>
        <v>0</v>
      </c>
      <c r="AB790" s="40">
        <f t="shared" si="261"/>
        <v>0</v>
      </c>
      <c r="AC790" s="67"/>
    </row>
    <row r="791" spans="6:29" x14ac:dyDescent="0.25">
      <c r="F791" s="45" t="str">
        <f t="shared" si="252"/>
        <v xml:space="preserve">S/F  </v>
      </c>
      <c r="G791" s="45">
        <v>0</v>
      </c>
      <c r="H791" s="53">
        <v>0</v>
      </c>
      <c r="I791" s="40">
        <f t="shared" si="253"/>
        <v>0</v>
      </c>
      <c r="J791" s="53"/>
      <c r="K791" s="40">
        <f t="shared" si="254"/>
        <v>0</v>
      </c>
      <c r="L791" s="45">
        <v>0</v>
      </c>
      <c r="M791" s="53">
        <v>0</v>
      </c>
      <c r="N791" s="40">
        <f t="shared" si="255"/>
        <v>0</v>
      </c>
      <c r="P791" s="40">
        <f t="shared" si="256"/>
        <v>0</v>
      </c>
      <c r="Q791" s="45"/>
      <c r="R791" s="53"/>
      <c r="S791" s="40">
        <f t="shared" si="257"/>
        <v>0</v>
      </c>
      <c r="U791" s="40">
        <f t="shared" si="258"/>
        <v>0</v>
      </c>
      <c r="V791" s="51">
        <v>0</v>
      </c>
      <c r="W791" s="51">
        <v>0</v>
      </c>
      <c r="X791" s="40">
        <f t="shared" si="259"/>
        <v>0</v>
      </c>
      <c r="AA791" s="40">
        <f t="shared" si="260"/>
        <v>0</v>
      </c>
      <c r="AB791" s="40">
        <f t="shared" si="261"/>
        <v>0</v>
      </c>
      <c r="AC791" s="67"/>
    </row>
    <row r="792" spans="6:29" x14ac:dyDescent="0.25">
      <c r="F792" s="45" t="str">
        <f t="shared" si="252"/>
        <v xml:space="preserve">S/F  </v>
      </c>
      <c r="G792" s="45">
        <v>0</v>
      </c>
      <c r="H792" s="53">
        <v>0</v>
      </c>
      <c r="I792" s="40">
        <f t="shared" si="253"/>
        <v>0</v>
      </c>
      <c r="J792" s="53"/>
      <c r="K792" s="40">
        <f t="shared" si="254"/>
        <v>0</v>
      </c>
      <c r="L792" s="45">
        <v>0</v>
      </c>
      <c r="M792" s="53">
        <v>0</v>
      </c>
      <c r="N792" s="40">
        <f t="shared" si="255"/>
        <v>0</v>
      </c>
      <c r="P792" s="40">
        <f t="shared" si="256"/>
        <v>0</v>
      </c>
      <c r="Q792" s="45"/>
      <c r="R792" s="53"/>
      <c r="S792" s="40">
        <f t="shared" si="257"/>
        <v>0</v>
      </c>
      <c r="U792" s="40">
        <f t="shared" si="258"/>
        <v>0</v>
      </c>
      <c r="V792" s="51">
        <v>0</v>
      </c>
      <c r="W792" s="51">
        <v>0</v>
      </c>
      <c r="X792" s="40">
        <f t="shared" si="259"/>
        <v>0</v>
      </c>
      <c r="AA792" s="40">
        <f t="shared" si="260"/>
        <v>0</v>
      </c>
      <c r="AB792" s="40">
        <f t="shared" si="261"/>
        <v>0</v>
      </c>
      <c r="AC792" s="67"/>
    </row>
    <row r="793" spans="6:29" x14ac:dyDescent="0.25">
      <c r="F793" s="45" t="str">
        <f t="shared" si="252"/>
        <v xml:space="preserve">S/F  </v>
      </c>
      <c r="G793" s="45">
        <v>0</v>
      </c>
      <c r="H793" s="53">
        <v>0</v>
      </c>
      <c r="I793" s="40">
        <f t="shared" si="253"/>
        <v>0</v>
      </c>
      <c r="J793" s="53"/>
      <c r="K793" s="40">
        <f t="shared" si="254"/>
        <v>0</v>
      </c>
      <c r="L793" s="45">
        <v>0</v>
      </c>
      <c r="M793" s="53">
        <v>0</v>
      </c>
      <c r="N793" s="40">
        <f t="shared" si="255"/>
        <v>0</v>
      </c>
      <c r="P793" s="40">
        <f t="shared" si="256"/>
        <v>0</v>
      </c>
      <c r="Q793" s="45"/>
      <c r="R793" s="53"/>
      <c r="S793" s="40">
        <f t="shared" si="257"/>
        <v>0</v>
      </c>
      <c r="U793" s="40">
        <f t="shared" si="258"/>
        <v>0</v>
      </c>
      <c r="V793" s="51">
        <v>0</v>
      </c>
      <c r="W793" s="51">
        <v>0</v>
      </c>
      <c r="X793" s="40">
        <f t="shared" si="259"/>
        <v>0</v>
      </c>
      <c r="AA793" s="40">
        <f t="shared" si="260"/>
        <v>0</v>
      </c>
      <c r="AB793" s="40">
        <f t="shared" si="261"/>
        <v>0</v>
      </c>
      <c r="AC793" s="67"/>
    </row>
    <row r="794" spans="6:29" x14ac:dyDescent="0.25">
      <c r="F794" s="45" t="str">
        <f t="shared" si="252"/>
        <v xml:space="preserve">S/F  </v>
      </c>
      <c r="G794" s="45">
        <v>0</v>
      </c>
      <c r="H794" s="53">
        <v>0</v>
      </c>
      <c r="I794" s="40">
        <f t="shared" si="253"/>
        <v>0</v>
      </c>
      <c r="J794" s="53"/>
      <c r="K794" s="40">
        <f t="shared" si="254"/>
        <v>0</v>
      </c>
      <c r="L794" s="45">
        <v>0</v>
      </c>
      <c r="M794" s="53">
        <v>0</v>
      </c>
      <c r="N794" s="40">
        <f t="shared" si="255"/>
        <v>0</v>
      </c>
      <c r="P794" s="40">
        <f t="shared" si="256"/>
        <v>0</v>
      </c>
      <c r="Q794" s="45"/>
      <c r="R794" s="53"/>
      <c r="S794" s="40">
        <f t="shared" si="257"/>
        <v>0</v>
      </c>
      <c r="U794" s="40">
        <f t="shared" si="258"/>
        <v>0</v>
      </c>
      <c r="V794" s="51">
        <v>0</v>
      </c>
      <c r="W794" s="51">
        <v>0</v>
      </c>
      <c r="X794" s="40">
        <f t="shared" si="259"/>
        <v>0</v>
      </c>
      <c r="AA794" s="40">
        <f t="shared" si="260"/>
        <v>0</v>
      </c>
      <c r="AB794" s="40">
        <f t="shared" si="261"/>
        <v>0</v>
      </c>
      <c r="AC794" s="67"/>
    </row>
    <row r="795" spans="6:29" x14ac:dyDescent="0.25">
      <c r="F795" s="45" t="str">
        <f t="shared" si="252"/>
        <v xml:space="preserve">S/F  </v>
      </c>
      <c r="G795" s="45">
        <v>0</v>
      </c>
      <c r="H795" s="53">
        <v>0</v>
      </c>
      <c r="I795" s="40">
        <f t="shared" si="253"/>
        <v>0</v>
      </c>
      <c r="J795" s="53"/>
      <c r="K795" s="40">
        <f t="shared" si="254"/>
        <v>0</v>
      </c>
      <c r="L795" s="45">
        <v>0</v>
      </c>
      <c r="M795" s="53">
        <v>0</v>
      </c>
      <c r="N795" s="40">
        <f t="shared" si="255"/>
        <v>0</v>
      </c>
      <c r="P795" s="40">
        <f t="shared" si="256"/>
        <v>0</v>
      </c>
      <c r="Q795" s="45"/>
      <c r="R795" s="53"/>
      <c r="S795" s="40">
        <f t="shared" si="257"/>
        <v>0</v>
      </c>
      <c r="U795" s="40">
        <f t="shared" si="258"/>
        <v>0</v>
      </c>
      <c r="V795" s="51">
        <v>0</v>
      </c>
      <c r="W795" s="51">
        <v>0</v>
      </c>
      <c r="X795" s="40">
        <f t="shared" si="259"/>
        <v>0</v>
      </c>
      <c r="AA795" s="40">
        <f t="shared" si="260"/>
        <v>0</v>
      </c>
      <c r="AB795" s="40">
        <f t="shared" si="261"/>
        <v>0</v>
      </c>
      <c r="AC795" s="67"/>
    </row>
    <row r="796" spans="6:29" x14ac:dyDescent="0.25">
      <c r="F796" s="45" t="str">
        <f t="shared" si="252"/>
        <v xml:space="preserve">S/F  </v>
      </c>
      <c r="G796" s="45">
        <v>0</v>
      </c>
      <c r="H796" s="53">
        <v>0</v>
      </c>
      <c r="I796" s="40">
        <f t="shared" si="253"/>
        <v>0</v>
      </c>
      <c r="J796" s="53"/>
      <c r="K796" s="40">
        <f t="shared" si="254"/>
        <v>0</v>
      </c>
      <c r="L796" s="45">
        <v>0</v>
      </c>
      <c r="M796" s="53">
        <v>0</v>
      </c>
      <c r="N796" s="40">
        <f t="shared" si="255"/>
        <v>0</v>
      </c>
      <c r="P796" s="40">
        <f t="shared" si="256"/>
        <v>0</v>
      </c>
      <c r="Q796" s="45"/>
      <c r="R796" s="53"/>
      <c r="S796" s="40">
        <f t="shared" si="257"/>
        <v>0</v>
      </c>
      <c r="U796" s="40">
        <f t="shared" si="258"/>
        <v>0</v>
      </c>
      <c r="V796" s="51">
        <v>0</v>
      </c>
      <c r="W796" s="51">
        <v>0</v>
      </c>
      <c r="X796" s="40">
        <f t="shared" si="259"/>
        <v>0</v>
      </c>
      <c r="AA796" s="40">
        <f t="shared" si="260"/>
        <v>0</v>
      </c>
      <c r="AB796" s="40">
        <f t="shared" si="261"/>
        <v>0</v>
      </c>
      <c r="AC796" s="67"/>
    </row>
    <row r="797" spans="6:29" x14ac:dyDescent="0.25">
      <c r="F797" s="45" t="str">
        <f t="shared" si="252"/>
        <v xml:space="preserve">S/F  </v>
      </c>
      <c r="G797" s="45">
        <v>0</v>
      </c>
      <c r="H797" s="53">
        <v>0</v>
      </c>
      <c r="I797" s="40">
        <f t="shared" si="253"/>
        <v>0</v>
      </c>
      <c r="J797" s="53"/>
      <c r="K797" s="40">
        <f t="shared" si="254"/>
        <v>0</v>
      </c>
      <c r="L797" s="45">
        <v>0</v>
      </c>
      <c r="M797" s="53">
        <v>0</v>
      </c>
      <c r="N797" s="40">
        <f t="shared" si="255"/>
        <v>0</v>
      </c>
      <c r="P797" s="40">
        <f t="shared" si="256"/>
        <v>0</v>
      </c>
      <c r="Q797" s="45"/>
      <c r="R797" s="53"/>
      <c r="S797" s="40">
        <f t="shared" si="257"/>
        <v>0</v>
      </c>
      <c r="U797" s="40">
        <f t="shared" si="258"/>
        <v>0</v>
      </c>
      <c r="V797" s="51">
        <v>0</v>
      </c>
      <c r="W797" s="51">
        <v>0</v>
      </c>
      <c r="X797" s="40">
        <f t="shared" si="259"/>
        <v>0</v>
      </c>
      <c r="AA797" s="40">
        <f t="shared" si="260"/>
        <v>0</v>
      </c>
      <c r="AB797" s="40">
        <f t="shared" si="261"/>
        <v>0</v>
      </c>
      <c r="AC797" s="67"/>
    </row>
    <row r="798" spans="6:29" x14ac:dyDescent="0.25">
      <c r="F798" s="45" t="str">
        <f t="shared" si="252"/>
        <v xml:space="preserve">S/F  </v>
      </c>
      <c r="G798" s="45">
        <v>0</v>
      </c>
      <c r="H798" s="53">
        <v>0</v>
      </c>
      <c r="I798" s="40">
        <f t="shared" si="253"/>
        <v>0</v>
      </c>
      <c r="J798" s="53"/>
      <c r="K798" s="40">
        <f t="shared" si="254"/>
        <v>0</v>
      </c>
      <c r="L798" s="45">
        <v>0</v>
      </c>
      <c r="M798" s="53">
        <v>0</v>
      </c>
      <c r="N798" s="40">
        <f t="shared" si="255"/>
        <v>0</v>
      </c>
      <c r="P798" s="40">
        <f t="shared" si="256"/>
        <v>0</v>
      </c>
      <c r="Q798" s="45"/>
      <c r="R798" s="53"/>
      <c r="S798" s="40">
        <f t="shared" si="257"/>
        <v>0</v>
      </c>
      <c r="U798" s="40">
        <f t="shared" si="258"/>
        <v>0</v>
      </c>
      <c r="V798" s="51">
        <v>0</v>
      </c>
      <c r="W798" s="51">
        <v>0</v>
      </c>
      <c r="X798" s="40">
        <f t="shared" si="259"/>
        <v>0</v>
      </c>
      <c r="AA798" s="40">
        <f t="shared" si="260"/>
        <v>0</v>
      </c>
      <c r="AB798" s="40">
        <f t="shared" si="261"/>
        <v>0</v>
      </c>
      <c r="AC798" s="67"/>
    </row>
    <row r="799" spans="6:29" x14ac:dyDescent="0.25">
      <c r="F799" s="45" t="str">
        <f t="shared" si="252"/>
        <v xml:space="preserve">S/F  </v>
      </c>
      <c r="G799" s="45">
        <v>0</v>
      </c>
      <c r="H799" s="53">
        <v>0</v>
      </c>
      <c r="I799" s="40">
        <f t="shared" si="253"/>
        <v>0</v>
      </c>
      <c r="J799" s="53"/>
      <c r="K799" s="40">
        <f t="shared" si="254"/>
        <v>0</v>
      </c>
      <c r="L799" s="45">
        <v>0</v>
      </c>
      <c r="M799" s="53">
        <v>0</v>
      </c>
      <c r="N799" s="40">
        <f t="shared" si="255"/>
        <v>0</v>
      </c>
      <c r="P799" s="40">
        <f t="shared" si="256"/>
        <v>0</v>
      </c>
      <c r="Q799" s="45"/>
      <c r="R799" s="53"/>
      <c r="S799" s="40">
        <f t="shared" si="257"/>
        <v>0</v>
      </c>
      <c r="U799" s="40">
        <f t="shared" si="258"/>
        <v>0</v>
      </c>
      <c r="V799" s="51">
        <v>0</v>
      </c>
      <c r="W799" s="51">
        <v>0</v>
      </c>
      <c r="X799" s="40">
        <f t="shared" si="259"/>
        <v>0</v>
      </c>
      <c r="AA799" s="40">
        <f t="shared" si="260"/>
        <v>0</v>
      </c>
      <c r="AB799" s="40">
        <f t="shared" si="261"/>
        <v>0</v>
      </c>
      <c r="AC799" s="67"/>
    </row>
    <row r="800" spans="6:29" x14ac:dyDescent="0.25">
      <c r="F800" s="45" t="str">
        <f t="shared" si="252"/>
        <v xml:space="preserve">S/F  </v>
      </c>
      <c r="G800" s="45">
        <v>0</v>
      </c>
      <c r="H800" s="53">
        <v>0</v>
      </c>
      <c r="I800" s="40">
        <f t="shared" si="253"/>
        <v>0</v>
      </c>
      <c r="J800" s="53"/>
      <c r="K800" s="40">
        <f t="shared" si="254"/>
        <v>0</v>
      </c>
      <c r="L800" s="45">
        <v>0</v>
      </c>
      <c r="M800" s="53">
        <v>0</v>
      </c>
      <c r="N800" s="40">
        <f t="shared" si="255"/>
        <v>0</v>
      </c>
      <c r="P800" s="40">
        <f t="shared" si="256"/>
        <v>0</v>
      </c>
      <c r="Q800" s="45"/>
      <c r="R800" s="53"/>
      <c r="S800" s="40">
        <f t="shared" si="257"/>
        <v>0</v>
      </c>
      <c r="U800" s="40">
        <f t="shared" si="258"/>
        <v>0</v>
      </c>
      <c r="V800" s="51">
        <v>0</v>
      </c>
      <c r="W800" s="51">
        <v>0</v>
      </c>
      <c r="X800" s="40">
        <f t="shared" si="259"/>
        <v>0</v>
      </c>
      <c r="AA800" s="40">
        <f t="shared" si="260"/>
        <v>0</v>
      </c>
      <c r="AB800" s="40">
        <f t="shared" si="261"/>
        <v>0</v>
      </c>
      <c r="AC800" s="67"/>
    </row>
    <row r="801" spans="6:29" x14ac:dyDescent="0.25">
      <c r="F801" s="45" t="str">
        <f t="shared" si="252"/>
        <v xml:space="preserve">S/F  </v>
      </c>
      <c r="G801" s="45">
        <v>0</v>
      </c>
      <c r="H801" s="53">
        <v>0</v>
      </c>
      <c r="I801" s="40">
        <f t="shared" si="253"/>
        <v>0</v>
      </c>
      <c r="J801" s="53"/>
      <c r="K801" s="40">
        <f t="shared" si="254"/>
        <v>0</v>
      </c>
      <c r="L801" s="45">
        <v>0</v>
      </c>
      <c r="M801" s="53">
        <v>0</v>
      </c>
      <c r="N801" s="40">
        <f t="shared" si="255"/>
        <v>0</v>
      </c>
      <c r="P801" s="40">
        <f t="shared" si="256"/>
        <v>0</v>
      </c>
      <c r="Q801" s="45"/>
      <c r="R801" s="53"/>
      <c r="S801" s="40">
        <f t="shared" si="257"/>
        <v>0</v>
      </c>
      <c r="U801" s="40">
        <f t="shared" si="258"/>
        <v>0</v>
      </c>
      <c r="V801" s="51">
        <v>0</v>
      </c>
      <c r="W801" s="51">
        <v>0</v>
      </c>
      <c r="X801" s="40">
        <f t="shared" si="259"/>
        <v>0</v>
      </c>
      <c r="AA801" s="40">
        <f t="shared" si="260"/>
        <v>0</v>
      </c>
      <c r="AB801" s="40">
        <f t="shared" si="261"/>
        <v>0</v>
      </c>
      <c r="AC801" s="67"/>
    </row>
    <row r="802" spans="6:29" x14ac:dyDescent="0.25">
      <c r="F802" s="45" t="str">
        <f t="shared" si="252"/>
        <v xml:space="preserve">S/F  </v>
      </c>
      <c r="G802" s="45">
        <v>0</v>
      </c>
      <c r="H802" s="53">
        <v>0</v>
      </c>
      <c r="I802" s="40">
        <f t="shared" si="253"/>
        <v>0</v>
      </c>
      <c r="J802" s="53"/>
      <c r="K802" s="40">
        <f t="shared" si="254"/>
        <v>0</v>
      </c>
      <c r="L802" s="45">
        <v>0</v>
      </c>
      <c r="M802" s="53">
        <v>0</v>
      </c>
      <c r="N802" s="40">
        <f t="shared" si="255"/>
        <v>0</v>
      </c>
      <c r="P802" s="40">
        <f t="shared" si="256"/>
        <v>0</v>
      </c>
      <c r="Q802" s="45"/>
      <c r="R802" s="53"/>
      <c r="S802" s="40">
        <f t="shared" si="257"/>
        <v>0</v>
      </c>
      <c r="U802" s="40">
        <f t="shared" si="258"/>
        <v>0</v>
      </c>
      <c r="V802" s="51">
        <v>0</v>
      </c>
      <c r="W802" s="51">
        <v>0</v>
      </c>
      <c r="X802" s="40">
        <f t="shared" si="259"/>
        <v>0</v>
      </c>
      <c r="AA802" s="40">
        <f t="shared" si="260"/>
        <v>0</v>
      </c>
      <c r="AB802" s="40">
        <f t="shared" si="261"/>
        <v>0</v>
      </c>
      <c r="AC802" s="67"/>
    </row>
    <row r="803" spans="6:29" x14ac:dyDescent="0.25">
      <c r="F803" s="45" t="str">
        <f t="shared" si="252"/>
        <v xml:space="preserve">S/F  </v>
      </c>
      <c r="G803" s="45">
        <v>0</v>
      </c>
      <c r="H803" s="53">
        <v>0</v>
      </c>
      <c r="I803" s="40">
        <f t="shared" si="253"/>
        <v>0</v>
      </c>
      <c r="J803" s="53"/>
      <c r="K803" s="40">
        <f t="shared" si="254"/>
        <v>0</v>
      </c>
      <c r="L803" s="45">
        <v>0</v>
      </c>
      <c r="M803" s="53">
        <v>0</v>
      </c>
      <c r="N803" s="40">
        <f t="shared" si="255"/>
        <v>0</v>
      </c>
      <c r="P803" s="40">
        <f t="shared" si="256"/>
        <v>0</v>
      </c>
      <c r="Q803" s="45"/>
      <c r="R803" s="53"/>
      <c r="S803" s="40">
        <f t="shared" si="257"/>
        <v>0</v>
      </c>
      <c r="U803" s="40">
        <f t="shared" si="258"/>
        <v>0</v>
      </c>
      <c r="V803" s="51">
        <v>0</v>
      </c>
      <c r="W803" s="51">
        <v>0</v>
      </c>
      <c r="X803" s="40">
        <f t="shared" si="259"/>
        <v>0</v>
      </c>
      <c r="AA803" s="40">
        <f t="shared" si="260"/>
        <v>0</v>
      </c>
      <c r="AB803" s="40">
        <f t="shared" si="261"/>
        <v>0</v>
      </c>
      <c r="AC803" s="67"/>
    </row>
    <row r="804" spans="6:29" x14ac:dyDescent="0.25">
      <c r="F804" s="45" t="str">
        <f t="shared" si="252"/>
        <v xml:space="preserve">S/F  </v>
      </c>
      <c r="G804" s="45">
        <v>0</v>
      </c>
      <c r="H804" s="53">
        <v>0</v>
      </c>
      <c r="I804" s="40">
        <f t="shared" si="253"/>
        <v>0</v>
      </c>
      <c r="J804" s="53"/>
      <c r="K804" s="40">
        <f t="shared" si="254"/>
        <v>0</v>
      </c>
      <c r="L804" s="45">
        <v>0</v>
      </c>
      <c r="M804" s="53">
        <v>0</v>
      </c>
      <c r="N804" s="40">
        <f t="shared" si="255"/>
        <v>0</v>
      </c>
      <c r="P804" s="40">
        <f t="shared" si="256"/>
        <v>0</v>
      </c>
      <c r="Q804" s="45"/>
      <c r="R804" s="53"/>
      <c r="S804" s="40">
        <f t="shared" si="257"/>
        <v>0</v>
      </c>
      <c r="U804" s="40">
        <f t="shared" si="258"/>
        <v>0</v>
      </c>
      <c r="V804" s="51">
        <v>0</v>
      </c>
      <c r="W804" s="51">
        <v>0</v>
      </c>
      <c r="X804" s="40">
        <f t="shared" si="259"/>
        <v>0</v>
      </c>
      <c r="AA804" s="40">
        <f t="shared" si="260"/>
        <v>0</v>
      </c>
      <c r="AB804" s="40">
        <f t="shared" si="261"/>
        <v>0</v>
      </c>
      <c r="AC804" s="67"/>
    </row>
    <row r="805" spans="6:29" x14ac:dyDescent="0.25">
      <c r="F805" s="45" t="str">
        <f t="shared" si="252"/>
        <v xml:space="preserve">S/F  </v>
      </c>
      <c r="G805" s="45">
        <v>0</v>
      </c>
      <c r="H805" s="53">
        <v>0</v>
      </c>
      <c r="I805" s="40">
        <f t="shared" si="253"/>
        <v>0</v>
      </c>
      <c r="J805" s="53"/>
      <c r="K805" s="40">
        <f t="shared" si="254"/>
        <v>0</v>
      </c>
      <c r="L805" s="45">
        <v>0</v>
      </c>
      <c r="M805" s="53">
        <v>0</v>
      </c>
      <c r="N805" s="40">
        <f t="shared" si="255"/>
        <v>0</v>
      </c>
      <c r="P805" s="40">
        <f t="shared" si="256"/>
        <v>0</v>
      </c>
      <c r="Q805" s="45"/>
      <c r="R805" s="53"/>
      <c r="S805" s="40">
        <f t="shared" si="257"/>
        <v>0</v>
      </c>
      <c r="U805" s="40">
        <f t="shared" si="258"/>
        <v>0</v>
      </c>
      <c r="V805" s="51">
        <v>0</v>
      </c>
      <c r="W805" s="51">
        <v>0</v>
      </c>
      <c r="X805" s="40">
        <f t="shared" si="259"/>
        <v>0</v>
      </c>
      <c r="AA805" s="40">
        <f t="shared" si="260"/>
        <v>0</v>
      </c>
      <c r="AB805" s="40">
        <f t="shared" si="261"/>
        <v>0</v>
      </c>
      <c r="AC805" s="67"/>
    </row>
    <row r="806" spans="6:29" x14ac:dyDescent="0.25">
      <c r="F806" s="45" t="str">
        <f t="shared" si="252"/>
        <v xml:space="preserve">S/F  </v>
      </c>
      <c r="G806" s="45">
        <v>0</v>
      </c>
      <c r="H806" s="53">
        <v>0</v>
      </c>
      <c r="I806" s="40">
        <f t="shared" si="253"/>
        <v>0</v>
      </c>
      <c r="J806" s="53"/>
      <c r="K806" s="40">
        <f t="shared" si="254"/>
        <v>0</v>
      </c>
      <c r="L806" s="45">
        <v>0</v>
      </c>
      <c r="M806" s="53">
        <v>0</v>
      </c>
      <c r="N806" s="40">
        <f t="shared" si="255"/>
        <v>0</v>
      </c>
      <c r="P806" s="40">
        <f t="shared" si="256"/>
        <v>0</v>
      </c>
      <c r="Q806" s="45"/>
      <c r="R806" s="53"/>
      <c r="S806" s="40">
        <f t="shared" si="257"/>
        <v>0</v>
      </c>
      <c r="U806" s="40">
        <f t="shared" si="258"/>
        <v>0</v>
      </c>
      <c r="V806" s="51">
        <v>0</v>
      </c>
      <c r="W806" s="51">
        <v>0</v>
      </c>
      <c r="X806" s="40">
        <f t="shared" si="259"/>
        <v>0</v>
      </c>
      <c r="AA806" s="40">
        <f t="shared" si="260"/>
        <v>0</v>
      </c>
      <c r="AB806" s="40">
        <f t="shared" si="261"/>
        <v>0</v>
      </c>
      <c r="AC806" s="67"/>
    </row>
    <row r="807" spans="6:29" x14ac:dyDescent="0.25">
      <c r="F807" s="45" t="str">
        <f t="shared" si="252"/>
        <v xml:space="preserve">S/F  </v>
      </c>
      <c r="G807" s="45">
        <v>0</v>
      </c>
      <c r="H807" s="53">
        <v>0</v>
      </c>
      <c r="I807" s="40">
        <f t="shared" si="253"/>
        <v>0</v>
      </c>
      <c r="J807" s="53"/>
      <c r="K807" s="40">
        <f t="shared" si="254"/>
        <v>0</v>
      </c>
      <c r="L807" s="45">
        <v>0</v>
      </c>
      <c r="M807" s="53">
        <v>0</v>
      </c>
      <c r="N807" s="40">
        <f t="shared" si="255"/>
        <v>0</v>
      </c>
      <c r="P807" s="40">
        <f t="shared" si="256"/>
        <v>0</v>
      </c>
      <c r="Q807" s="45"/>
      <c r="R807" s="53"/>
      <c r="S807" s="40">
        <f t="shared" si="257"/>
        <v>0</v>
      </c>
      <c r="U807" s="40">
        <f t="shared" si="258"/>
        <v>0</v>
      </c>
      <c r="V807" s="51">
        <v>0</v>
      </c>
      <c r="W807" s="51">
        <v>0</v>
      </c>
      <c r="X807" s="40">
        <f t="shared" si="259"/>
        <v>0</v>
      </c>
      <c r="AA807" s="40">
        <f t="shared" si="260"/>
        <v>0</v>
      </c>
      <c r="AB807" s="40">
        <f t="shared" si="261"/>
        <v>0</v>
      </c>
      <c r="AC807" s="67"/>
    </row>
    <row r="808" spans="6:29" x14ac:dyDescent="0.25">
      <c r="F808" s="45" t="str">
        <f t="shared" si="252"/>
        <v xml:space="preserve">S/F  </v>
      </c>
      <c r="G808" s="45">
        <v>0</v>
      </c>
      <c r="H808" s="53">
        <v>0</v>
      </c>
      <c r="I808" s="40">
        <f t="shared" si="253"/>
        <v>0</v>
      </c>
      <c r="J808" s="53"/>
      <c r="K808" s="40">
        <f t="shared" si="254"/>
        <v>0</v>
      </c>
      <c r="L808" s="45">
        <v>0</v>
      </c>
      <c r="M808" s="53">
        <v>0</v>
      </c>
      <c r="N808" s="40">
        <f t="shared" si="255"/>
        <v>0</v>
      </c>
      <c r="P808" s="40">
        <f t="shared" si="256"/>
        <v>0</v>
      </c>
      <c r="Q808" s="45"/>
      <c r="R808" s="53"/>
      <c r="S808" s="40">
        <f t="shared" si="257"/>
        <v>0</v>
      </c>
      <c r="U808" s="40">
        <f t="shared" si="258"/>
        <v>0</v>
      </c>
      <c r="V808" s="51">
        <v>0</v>
      </c>
      <c r="W808" s="51">
        <v>0</v>
      </c>
      <c r="X808" s="40">
        <f t="shared" si="259"/>
        <v>0</v>
      </c>
      <c r="AA808" s="40">
        <f t="shared" si="260"/>
        <v>0</v>
      </c>
      <c r="AB808" s="40">
        <f t="shared" si="261"/>
        <v>0</v>
      </c>
      <c r="AC808" s="67"/>
    </row>
    <row r="809" spans="6:29" x14ac:dyDescent="0.25">
      <c r="F809" s="45" t="str">
        <f t="shared" si="252"/>
        <v xml:space="preserve">S/F  </v>
      </c>
      <c r="G809" s="45">
        <v>0</v>
      </c>
      <c r="H809" s="53">
        <v>0</v>
      </c>
      <c r="I809" s="40">
        <f t="shared" si="253"/>
        <v>0</v>
      </c>
      <c r="J809" s="53"/>
      <c r="K809" s="40">
        <f t="shared" si="254"/>
        <v>0</v>
      </c>
      <c r="L809" s="45">
        <v>0</v>
      </c>
      <c r="M809" s="53">
        <v>0</v>
      </c>
      <c r="N809" s="40">
        <f t="shared" si="255"/>
        <v>0</v>
      </c>
      <c r="P809" s="40">
        <f t="shared" si="256"/>
        <v>0</v>
      </c>
      <c r="Q809" s="45"/>
      <c r="R809" s="53"/>
      <c r="S809" s="40">
        <f t="shared" si="257"/>
        <v>0</v>
      </c>
      <c r="U809" s="40">
        <f t="shared" si="258"/>
        <v>0</v>
      </c>
      <c r="V809" s="51">
        <v>0</v>
      </c>
      <c r="W809" s="51">
        <v>0</v>
      </c>
      <c r="X809" s="40">
        <f t="shared" si="259"/>
        <v>0</v>
      </c>
      <c r="AA809" s="40">
        <f t="shared" si="260"/>
        <v>0</v>
      </c>
      <c r="AB809" s="40">
        <f t="shared" si="261"/>
        <v>0</v>
      </c>
      <c r="AC809" s="67"/>
    </row>
    <row r="810" spans="6:29" x14ac:dyDescent="0.25">
      <c r="F810" s="45" t="str">
        <f t="shared" si="252"/>
        <v xml:space="preserve">S/F  </v>
      </c>
      <c r="G810" s="45">
        <v>0</v>
      </c>
      <c r="H810" s="53">
        <v>0</v>
      </c>
      <c r="I810" s="40">
        <f t="shared" si="253"/>
        <v>0</v>
      </c>
      <c r="J810" s="53"/>
      <c r="K810" s="40">
        <f t="shared" si="254"/>
        <v>0</v>
      </c>
      <c r="L810" s="45">
        <v>0</v>
      </c>
      <c r="M810" s="53">
        <v>0</v>
      </c>
      <c r="N810" s="40">
        <f t="shared" si="255"/>
        <v>0</v>
      </c>
      <c r="P810" s="40">
        <f t="shared" si="256"/>
        <v>0</v>
      </c>
      <c r="Q810" s="45"/>
      <c r="R810" s="53"/>
      <c r="S810" s="40">
        <f t="shared" si="257"/>
        <v>0</v>
      </c>
      <c r="U810" s="40">
        <f t="shared" si="258"/>
        <v>0</v>
      </c>
      <c r="V810" s="51">
        <v>0</v>
      </c>
      <c r="W810" s="51">
        <v>0</v>
      </c>
      <c r="X810" s="40">
        <f t="shared" si="259"/>
        <v>0</v>
      </c>
      <c r="AA810" s="40">
        <f t="shared" si="260"/>
        <v>0</v>
      </c>
      <c r="AB810" s="40">
        <f t="shared" si="261"/>
        <v>0</v>
      </c>
      <c r="AC810" s="67"/>
    </row>
    <row r="811" spans="6:29" x14ac:dyDescent="0.25">
      <c r="F811" s="45" t="str">
        <f t="shared" si="252"/>
        <v xml:space="preserve">S/F  </v>
      </c>
      <c r="G811" s="45">
        <v>0</v>
      </c>
      <c r="H811" s="53">
        <v>0</v>
      </c>
      <c r="I811" s="40">
        <f t="shared" si="253"/>
        <v>0</v>
      </c>
      <c r="J811" s="53"/>
      <c r="K811" s="40">
        <f t="shared" si="254"/>
        <v>0</v>
      </c>
      <c r="L811" s="45">
        <v>0</v>
      </c>
      <c r="M811" s="53">
        <v>0</v>
      </c>
      <c r="N811" s="40">
        <f t="shared" si="255"/>
        <v>0</v>
      </c>
      <c r="P811" s="40">
        <f t="shared" si="256"/>
        <v>0</v>
      </c>
      <c r="Q811" s="45"/>
      <c r="R811" s="53"/>
      <c r="S811" s="40">
        <f t="shared" si="257"/>
        <v>0</v>
      </c>
      <c r="U811" s="40">
        <f t="shared" si="258"/>
        <v>0</v>
      </c>
      <c r="V811" s="51">
        <v>0</v>
      </c>
      <c r="W811" s="51">
        <v>0</v>
      </c>
      <c r="X811" s="40">
        <f t="shared" si="259"/>
        <v>0</v>
      </c>
      <c r="AA811" s="40">
        <f t="shared" si="260"/>
        <v>0</v>
      </c>
      <c r="AB811" s="40">
        <f t="shared" si="261"/>
        <v>0</v>
      </c>
      <c r="AC811" s="67"/>
    </row>
    <row r="812" spans="6:29" x14ac:dyDescent="0.25">
      <c r="F812" s="45" t="str">
        <f t="shared" si="252"/>
        <v xml:space="preserve">S/F  </v>
      </c>
      <c r="G812" s="45">
        <v>0</v>
      </c>
      <c r="H812" s="53">
        <v>0</v>
      </c>
      <c r="I812" s="40">
        <f t="shared" si="253"/>
        <v>0</v>
      </c>
      <c r="J812" s="53"/>
      <c r="K812" s="40">
        <f t="shared" si="254"/>
        <v>0</v>
      </c>
      <c r="L812" s="45">
        <v>0</v>
      </c>
      <c r="M812" s="53">
        <v>0</v>
      </c>
      <c r="N812" s="40">
        <f t="shared" si="255"/>
        <v>0</v>
      </c>
      <c r="P812" s="40">
        <f t="shared" si="256"/>
        <v>0</v>
      </c>
      <c r="Q812" s="45"/>
      <c r="R812" s="53"/>
      <c r="S812" s="40">
        <f t="shared" si="257"/>
        <v>0</v>
      </c>
      <c r="U812" s="40">
        <f t="shared" si="258"/>
        <v>0</v>
      </c>
      <c r="V812" s="51">
        <v>0</v>
      </c>
      <c r="W812" s="51">
        <v>0</v>
      </c>
      <c r="X812" s="40">
        <f t="shared" si="259"/>
        <v>0</v>
      </c>
      <c r="AA812" s="40">
        <f t="shared" si="260"/>
        <v>0</v>
      </c>
      <c r="AB812" s="40">
        <f t="shared" si="261"/>
        <v>0</v>
      </c>
      <c r="AC812" s="67"/>
    </row>
    <row r="813" spans="6:29" x14ac:dyDescent="0.25">
      <c r="F813" s="45" t="str">
        <f t="shared" si="252"/>
        <v xml:space="preserve">S/F  </v>
      </c>
      <c r="G813" s="45">
        <v>0</v>
      </c>
      <c r="H813" s="53">
        <v>0</v>
      </c>
      <c r="I813" s="40">
        <f t="shared" si="253"/>
        <v>0</v>
      </c>
      <c r="J813" s="53"/>
      <c r="K813" s="40">
        <f t="shared" si="254"/>
        <v>0</v>
      </c>
      <c r="L813" s="45">
        <v>0</v>
      </c>
      <c r="M813" s="53">
        <v>0</v>
      </c>
      <c r="N813" s="40">
        <f t="shared" si="255"/>
        <v>0</v>
      </c>
      <c r="P813" s="40">
        <f t="shared" si="256"/>
        <v>0</v>
      </c>
      <c r="Q813" s="45"/>
      <c r="R813" s="53"/>
      <c r="S813" s="40">
        <f t="shared" si="257"/>
        <v>0</v>
      </c>
      <c r="U813" s="40">
        <f t="shared" si="258"/>
        <v>0</v>
      </c>
      <c r="V813" s="51">
        <v>0</v>
      </c>
      <c r="W813" s="51">
        <v>0</v>
      </c>
      <c r="X813" s="40">
        <f t="shared" si="259"/>
        <v>0</v>
      </c>
      <c r="AA813" s="40">
        <f t="shared" si="260"/>
        <v>0</v>
      </c>
      <c r="AB813" s="40">
        <f t="shared" si="261"/>
        <v>0</v>
      </c>
      <c r="AC813" s="67"/>
    </row>
    <row r="814" spans="6:29" x14ac:dyDescent="0.25">
      <c r="F814" s="45" t="str">
        <f t="shared" si="252"/>
        <v xml:space="preserve">S/F  </v>
      </c>
      <c r="G814" s="45">
        <v>0</v>
      </c>
      <c r="H814" s="53">
        <v>0</v>
      </c>
      <c r="I814" s="40">
        <f t="shared" si="253"/>
        <v>0</v>
      </c>
      <c r="J814" s="53"/>
      <c r="K814" s="40">
        <f t="shared" si="254"/>
        <v>0</v>
      </c>
      <c r="L814" s="45">
        <v>0</v>
      </c>
      <c r="M814" s="53">
        <v>0</v>
      </c>
      <c r="N814" s="40">
        <f t="shared" si="255"/>
        <v>0</v>
      </c>
      <c r="P814" s="40">
        <f t="shared" si="256"/>
        <v>0</v>
      </c>
      <c r="Q814" s="45"/>
      <c r="R814" s="53"/>
      <c r="S814" s="40">
        <f t="shared" si="257"/>
        <v>0</v>
      </c>
      <c r="U814" s="40">
        <f t="shared" si="258"/>
        <v>0</v>
      </c>
      <c r="V814" s="51">
        <v>0</v>
      </c>
      <c r="W814" s="51">
        <v>0</v>
      </c>
      <c r="X814" s="40">
        <f t="shared" si="259"/>
        <v>0</v>
      </c>
      <c r="AA814" s="40">
        <f t="shared" si="260"/>
        <v>0</v>
      </c>
      <c r="AB814" s="40">
        <f t="shared" si="261"/>
        <v>0</v>
      </c>
      <c r="AC814" s="67"/>
    </row>
    <row r="815" spans="6:29" x14ac:dyDescent="0.25">
      <c r="F815" s="45" t="str">
        <f t="shared" si="252"/>
        <v xml:space="preserve">S/F  </v>
      </c>
      <c r="G815" s="45">
        <v>0</v>
      </c>
      <c r="H815" s="53">
        <v>0</v>
      </c>
      <c r="I815" s="40">
        <f t="shared" si="253"/>
        <v>0</v>
      </c>
      <c r="J815" s="53"/>
      <c r="K815" s="40">
        <f t="shared" si="254"/>
        <v>0</v>
      </c>
      <c r="L815" s="45">
        <v>0</v>
      </c>
      <c r="M815" s="53">
        <v>0</v>
      </c>
      <c r="N815" s="40">
        <f t="shared" si="255"/>
        <v>0</v>
      </c>
      <c r="P815" s="40">
        <f t="shared" si="256"/>
        <v>0</v>
      </c>
      <c r="Q815" s="45"/>
      <c r="R815" s="53"/>
      <c r="S815" s="40">
        <f t="shared" si="257"/>
        <v>0</v>
      </c>
      <c r="U815" s="40">
        <f t="shared" si="258"/>
        <v>0</v>
      </c>
      <c r="V815" s="51">
        <v>0</v>
      </c>
      <c r="W815" s="51">
        <v>0</v>
      </c>
      <c r="X815" s="40">
        <f t="shared" si="259"/>
        <v>0</v>
      </c>
      <c r="AA815" s="40">
        <f t="shared" si="260"/>
        <v>0</v>
      </c>
      <c r="AB815" s="40">
        <f t="shared" si="261"/>
        <v>0</v>
      </c>
      <c r="AC815" s="67"/>
    </row>
    <row r="816" spans="6:29" x14ac:dyDescent="0.25">
      <c r="F816" s="45" t="str">
        <f t="shared" si="252"/>
        <v xml:space="preserve">S/F  </v>
      </c>
      <c r="G816" s="45">
        <v>0</v>
      </c>
      <c r="H816" s="53">
        <v>0</v>
      </c>
      <c r="I816" s="40">
        <f t="shared" si="253"/>
        <v>0</v>
      </c>
      <c r="J816" s="53"/>
      <c r="K816" s="40">
        <f t="shared" si="254"/>
        <v>0</v>
      </c>
      <c r="L816" s="45">
        <v>0</v>
      </c>
      <c r="M816" s="53">
        <v>0</v>
      </c>
      <c r="N816" s="40">
        <f t="shared" si="255"/>
        <v>0</v>
      </c>
      <c r="P816" s="40">
        <f t="shared" si="256"/>
        <v>0</v>
      </c>
      <c r="Q816" s="45"/>
      <c r="R816" s="53"/>
      <c r="S816" s="40">
        <f t="shared" si="257"/>
        <v>0</v>
      </c>
      <c r="U816" s="40">
        <f t="shared" si="258"/>
        <v>0</v>
      </c>
      <c r="V816" s="51">
        <v>0</v>
      </c>
      <c r="W816" s="51">
        <v>0</v>
      </c>
      <c r="X816" s="40">
        <f t="shared" si="259"/>
        <v>0</v>
      </c>
      <c r="AA816" s="40">
        <f t="shared" si="260"/>
        <v>0</v>
      </c>
      <c r="AB816" s="40">
        <f t="shared" si="261"/>
        <v>0</v>
      </c>
      <c r="AC816" s="67"/>
    </row>
    <row r="817" spans="6:29" x14ac:dyDescent="0.25">
      <c r="F817" s="45" t="str">
        <f t="shared" si="252"/>
        <v xml:space="preserve">S/F  </v>
      </c>
      <c r="G817" s="45">
        <v>0</v>
      </c>
      <c r="H817" s="53">
        <v>0</v>
      </c>
      <c r="I817" s="40">
        <f t="shared" si="253"/>
        <v>0</v>
      </c>
      <c r="J817" s="53"/>
      <c r="K817" s="40">
        <f t="shared" si="254"/>
        <v>0</v>
      </c>
      <c r="L817" s="45">
        <v>0</v>
      </c>
      <c r="M817" s="53">
        <v>0</v>
      </c>
      <c r="N817" s="40">
        <f t="shared" si="255"/>
        <v>0</v>
      </c>
      <c r="P817" s="40">
        <f t="shared" si="256"/>
        <v>0</v>
      </c>
      <c r="Q817" s="45"/>
      <c r="R817" s="53"/>
      <c r="S817" s="40">
        <f t="shared" si="257"/>
        <v>0</v>
      </c>
      <c r="U817" s="40">
        <f t="shared" si="258"/>
        <v>0</v>
      </c>
      <c r="V817" s="51">
        <v>0</v>
      </c>
      <c r="W817" s="51">
        <v>0</v>
      </c>
      <c r="X817" s="40">
        <f t="shared" si="259"/>
        <v>0</v>
      </c>
      <c r="AA817" s="40">
        <f t="shared" si="260"/>
        <v>0</v>
      </c>
      <c r="AB817" s="40">
        <f t="shared" si="261"/>
        <v>0</v>
      </c>
      <c r="AC817" s="67"/>
    </row>
    <row r="818" spans="6:29" x14ac:dyDescent="0.25">
      <c r="F818" s="45" t="str">
        <f t="shared" si="252"/>
        <v xml:space="preserve">S/F  </v>
      </c>
      <c r="G818" s="45">
        <v>0</v>
      </c>
      <c r="H818" s="53">
        <v>0</v>
      </c>
      <c r="I818" s="40">
        <f t="shared" si="253"/>
        <v>0</v>
      </c>
      <c r="J818" s="53"/>
      <c r="K818" s="40">
        <f t="shared" si="254"/>
        <v>0</v>
      </c>
      <c r="L818" s="45">
        <v>0</v>
      </c>
      <c r="M818" s="53">
        <v>0</v>
      </c>
      <c r="N818" s="40">
        <f t="shared" si="255"/>
        <v>0</v>
      </c>
      <c r="P818" s="40">
        <f t="shared" si="256"/>
        <v>0</v>
      </c>
      <c r="Q818" s="45"/>
      <c r="R818" s="53"/>
      <c r="S818" s="40">
        <f t="shared" si="257"/>
        <v>0</v>
      </c>
      <c r="U818" s="40">
        <f t="shared" si="258"/>
        <v>0</v>
      </c>
      <c r="V818" s="51">
        <v>0</v>
      </c>
      <c r="W818" s="51">
        <v>0</v>
      </c>
      <c r="X818" s="40">
        <f t="shared" si="259"/>
        <v>0</v>
      </c>
      <c r="AA818" s="40">
        <f t="shared" si="260"/>
        <v>0</v>
      </c>
      <c r="AB818" s="40">
        <f t="shared" si="261"/>
        <v>0</v>
      </c>
      <c r="AC818" s="67"/>
    </row>
    <row r="819" spans="6:29" x14ac:dyDescent="0.25">
      <c r="F819" s="45" t="str">
        <f t="shared" si="252"/>
        <v xml:space="preserve">S/F  </v>
      </c>
      <c r="G819" s="45">
        <v>0</v>
      </c>
      <c r="H819" s="53">
        <v>0</v>
      </c>
      <c r="I819" s="40">
        <f t="shared" si="253"/>
        <v>0</v>
      </c>
      <c r="J819" s="53"/>
      <c r="K819" s="40">
        <f t="shared" si="254"/>
        <v>0</v>
      </c>
      <c r="L819" s="45">
        <v>0</v>
      </c>
      <c r="M819" s="53">
        <v>0</v>
      </c>
      <c r="N819" s="40">
        <f t="shared" si="255"/>
        <v>0</v>
      </c>
      <c r="P819" s="40">
        <f t="shared" si="256"/>
        <v>0</v>
      </c>
      <c r="Q819" s="45"/>
      <c r="R819" s="53"/>
      <c r="S819" s="40">
        <f t="shared" si="257"/>
        <v>0</v>
      </c>
      <c r="U819" s="40">
        <f t="shared" si="258"/>
        <v>0</v>
      </c>
      <c r="V819" s="51">
        <v>0</v>
      </c>
      <c r="W819" s="51">
        <v>0</v>
      </c>
      <c r="X819" s="40">
        <f t="shared" si="259"/>
        <v>0</v>
      </c>
      <c r="AA819" s="40">
        <f t="shared" si="260"/>
        <v>0</v>
      </c>
      <c r="AB819" s="40">
        <f t="shared" si="261"/>
        <v>0</v>
      </c>
      <c r="AC819" s="67"/>
    </row>
    <row r="820" spans="6:29" x14ac:dyDescent="0.25">
      <c r="F820" s="45" t="str">
        <f t="shared" si="252"/>
        <v xml:space="preserve">S/F  </v>
      </c>
      <c r="G820" s="45">
        <v>0</v>
      </c>
      <c r="H820" s="53">
        <v>0</v>
      </c>
      <c r="I820" s="40">
        <f t="shared" si="253"/>
        <v>0</v>
      </c>
      <c r="J820" s="53"/>
      <c r="K820" s="40">
        <f t="shared" si="254"/>
        <v>0</v>
      </c>
      <c r="L820" s="45">
        <v>0</v>
      </c>
      <c r="M820" s="53">
        <v>0</v>
      </c>
      <c r="N820" s="40">
        <f t="shared" si="255"/>
        <v>0</v>
      </c>
      <c r="P820" s="40">
        <f t="shared" si="256"/>
        <v>0</v>
      </c>
      <c r="Q820" s="45"/>
      <c r="R820" s="53"/>
      <c r="S820" s="40">
        <f t="shared" si="257"/>
        <v>0</v>
      </c>
      <c r="U820" s="40">
        <f t="shared" si="258"/>
        <v>0</v>
      </c>
      <c r="V820" s="51">
        <v>0</v>
      </c>
      <c r="W820" s="51">
        <v>0</v>
      </c>
      <c r="X820" s="40">
        <f t="shared" si="259"/>
        <v>0</v>
      </c>
      <c r="AA820" s="40">
        <f t="shared" si="260"/>
        <v>0</v>
      </c>
      <c r="AB820" s="40">
        <f t="shared" si="261"/>
        <v>0</v>
      </c>
      <c r="AC820" s="67"/>
    </row>
    <row r="821" spans="6:29" x14ac:dyDescent="0.25">
      <c r="F821" s="45" t="str">
        <f t="shared" si="252"/>
        <v xml:space="preserve">S/F  </v>
      </c>
      <c r="G821" s="45">
        <v>0</v>
      </c>
      <c r="H821" s="53">
        <v>0</v>
      </c>
      <c r="I821" s="40">
        <f t="shared" si="253"/>
        <v>0</v>
      </c>
      <c r="J821" s="53"/>
      <c r="K821" s="40">
        <f t="shared" si="254"/>
        <v>0</v>
      </c>
      <c r="L821" s="45">
        <v>0</v>
      </c>
      <c r="M821" s="53">
        <v>0</v>
      </c>
      <c r="N821" s="40">
        <f t="shared" si="255"/>
        <v>0</v>
      </c>
      <c r="P821" s="40">
        <f t="shared" si="256"/>
        <v>0</v>
      </c>
      <c r="Q821" s="45"/>
      <c r="R821" s="53"/>
      <c r="S821" s="40">
        <f t="shared" si="257"/>
        <v>0</v>
      </c>
      <c r="U821" s="40">
        <f t="shared" si="258"/>
        <v>0</v>
      </c>
      <c r="V821" s="51">
        <v>0</v>
      </c>
      <c r="W821" s="51">
        <v>0</v>
      </c>
      <c r="X821" s="40">
        <f t="shared" si="259"/>
        <v>0</v>
      </c>
      <c r="AA821" s="40">
        <f t="shared" si="260"/>
        <v>0</v>
      </c>
      <c r="AB821" s="40">
        <f t="shared" si="261"/>
        <v>0</v>
      </c>
      <c r="AC821" s="67"/>
    </row>
    <row r="822" spans="6:29" x14ac:dyDescent="0.25">
      <c r="F822" s="45" t="str">
        <f t="shared" si="252"/>
        <v xml:space="preserve">S/F  </v>
      </c>
      <c r="G822" s="45">
        <v>0</v>
      </c>
      <c r="H822" s="53">
        <v>0</v>
      </c>
      <c r="I822" s="40">
        <f t="shared" si="253"/>
        <v>0</v>
      </c>
      <c r="J822" s="53"/>
      <c r="K822" s="40">
        <f t="shared" si="254"/>
        <v>0</v>
      </c>
      <c r="L822" s="45">
        <v>0</v>
      </c>
      <c r="M822" s="53">
        <v>0</v>
      </c>
      <c r="N822" s="40">
        <f t="shared" si="255"/>
        <v>0</v>
      </c>
      <c r="P822" s="40">
        <f t="shared" si="256"/>
        <v>0</v>
      </c>
      <c r="Q822" s="45"/>
      <c r="R822" s="53"/>
      <c r="S822" s="40">
        <f t="shared" si="257"/>
        <v>0</v>
      </c>
      <c r="U822" s="40">
        <f t="shared" si="258"/>
        <v>0</v>
      </c>
      <c r="V822" s="51">
        <v>0</v>
      </c>
      <c r="W822" s="51">
        <v>0</v>
      </c>
      <c r="X822" s="40">
        <f t="shared" si="259"/>
        <v>0</v>
      </c>
      <c r="AA822" s="40">
        <f t="shared" si="260"/>
        <v>0</v>
      </c>
      <c r="AB822" s="40">
        <f t="shared" si="261"/>
        <v>0</v>
      </c>
      <c r="AC822" s="67"/>
    </row>
    <row r="823" spans="6:29" x14ac:dyDescent="0.25">
      <c r="F823" s="45" t="str">
        <f t="shared" si="252"/>
        <v xml:space="preserve">S/F  </v>
      </c>
      <c r="G823" s="45">
        <v>0</v>
      </c>
      <c r="H823" s="53">
        <v>0</v>
      </c>
      <c r="I823" s="40">
        <f t="shared" si="253"/>
        <v>0</v>
      </c>
      <c r="J823" s="53"/>
      <c r="K823" s="40">
        <f t="shared" si="254"/>
        <v>0</v>
      </c>
      <c r="L823" s="45">
        <v>0</v>
      </c>
      <c r="M823" s="53">
        <v>0</v>
      </c>
      <c r="N823" s="40">
        <f t="shared" si="255"/>
        <v>0</v>
      </c>
      <c r="P823" s="40">
        <f t="shared" si="256"/>
        <v>0</v>
      </c>
      <c r="Q823" s="45"/>
      <c r="R823" s="53"/>
      <c r="S823" s="40">
        <f t="shared" si="257"/>
        <v>0</v>
      </c>
      <c r="U823" s="40">
        <f t="shared" si="258"/>
        <v>0</v>
      </c>
      <c r="V823" s="51">
        <v>0</v>
      </c>
      <c r="W823" s="51">
        <v>0</v>
      </c>
      <c r="X823" s="40">
        <f t="shared" si="259"/>
        <v>0</v>
      </c>
      <c r="AA823" s="40">
        <f t="shared" si="260"/>
        <v>0</v>
      </c>
      <c r="AB823" s="40">
        <f t="shared" si="261"/>
        <v>0</v>
      </c>
      <c r="AC823" s="67"/>
    </row>
    <row r="824" spans="6:29" x14ac:dyDescent="0.25">
      <c r="F824" s="45" t="str">
        <f t="shared" si="252"/>
        <v xml:space="preserve">S/F  </v>
      </c>
      <c r="G824" s="45">
        <v>0</v>
      </c>
      <c r="H824" s="53">
        <v>0</v>
      </c>
      <c r="I824" s="40">
        <f t="shared" si="253"/>
        <v>0</v>
      </c>
      <c r="J824" s="53"/>
      <c r="K824" s="40">
        <f t="shared" si="254"/>
        <v>0</v>
      </c>
      <c r="L824" s="45">
        <v>0</v>
      </c>
      <c r="M824" s="53">
        <v>0</v>
      </c>
      <c r="N824" s="40">
        <f t="shared" si="255"/>
        <v>0</v>
      </c>
      <c r="P824" s="40">
        <f t="shared" si="256"/>
        <v>0</v>
      </c>
      <c r="Q824" s="45"/>
      <c r="R824" s="53"/>
      <c r="S824" s="40">
        <f t="shared" si="257"/>
        <v>0</v>
      </c>
      <c r="U824" s="40">
        <f t="shared" si="258"/>
        <v>0</v>
      </c>
      <c r="V824" s="51">
        <v>0</v>
      </c>
      <c r="W824" s="51">
        <v>0</v>
      </c>
      <c r="X824" s="40">
        <f t="shared" si="259"/>
        <v>0</v>
      </c>
      <c r="AA824" s="40">
        <f t="shared" si="260"/>
        <v>0</v>
      </c>
      <c r="AB824" s="40">
        <f t="shared" si="261"/>
        <v>0</v>
      </c>
      <c r="AC824" s="67"/>
    </row>
    <row r="825" spans="6:29" x14ac:dyDescent="0.25">
      <c r="F825" s="45" t="str">
        <f t="shared" si="252"/>
        <v xml:space="preserve">S/F  </v>
      </c>
      <c r="G825" s="45">
        <v>0</v>
      </c>
      <c r="H825" s="53">
        <v>0</v>
      </c>
      <c r="I825" s="40">
        <f t="shared" si="253"/>
        <v>0</v>
      </c>
      <c r="J825" s="53"/>
      <c r="K825" s="40">
        <f t="shared" si="254"/>
        <v>0</v>
      </c>
      <c r="L825" s="45">
        <v>0</v>
      </c>
      <c r="M825" s="53">
        <v>0</v>
      </c>
      <c r="N825" s="40">
        <f t="shared" si="255"/>
        <v>0</v>
      </c>
      <c r="P825" s="40">
        <f t="shared" si="256"/>
        <v>0</v>
      </c>
      <c r="Q825" s="45"/>
      <c r="R825" s="53"/>
      <c r="S825" s="40">
        <f t="shared" si="257"/>
        <v>0</v>
      </c>
      <c r="U825" s="40">
        <f t="shared" si="258"/>
        <v>0</v>
      </c>
      <c r="V825" s="51">
        <v>0</v>
      </c>
      <c r="W825" s="51">
        <v>0</v>
      </c>
      <c r="X825" s="40">
        <f t="shared" si="259"/>
        <v>0</v>
      </c>
      <c r="AA825" s="40">
        <f t="shared" si="260"/>
        <v>0</v>
      </c>
      <c r="AB825" s="40">
        <f t="shared" si="261"/>
        <v>0</v>
      </c>
      <c r="AC825" s="67"/>
    </row>
    <row r="826" spans="6:29" x14ac:dyDescent="0.25">
      <c r="F826" s="45" t="str">
        <f t="shared" si="252"/>
        <v xml:space="preserve">S/F  </v>
      </c>
      <c r="G826" s="45">
        <v>0</v>
      </c>
      <c r="H826" s="53">
        <v>0</v>
      </c>
      <c r="I826" s="40">
        <f t="shared" si="253"/>
        <v>0</v>
      </c>
      <c r="J826" s="53"/>
      <c r="K826" s="40">
        <f t="shared" si="254"/>
        <v>0</v>
      </c>
      <c r="L826" s="45">
        <v>0</v>
      </c>
      <c r="M826" s="53">
        <v>0</v>
      </c>
      <c r="N826" s="40">
        <f t="shared" si="255"/>
        <v>0</v>
      </c>
      <c r="P826" s="40">
        <f t="shared" si="256"/>
        <v>0</v>
      </c>
      <c r="Q826" s="45"/>
      <c r="R826" s="53"/>
      <c r="S826" s="40">
        <f t="shared" si="257"/>
        <v>0</v>
      </c>
      <c r="U826" s="40">
        <f t="shared" si="258"/>
        <v>0</v>
      </c>
      <c r="V826" s="51">
        <v>0</v>
      </c>
      <c r="W826" s="51">
        <v>0</v>
      </c>
      <c r="X826" s="40">
        <f t="shared" si="259"/>
        <v>0</v>
      </c>
      <c r="AA826" s="40">
        <f t="shared" si="260"/>
        <v>0</v>
      </c>
      <c r="AB826" s="40">
        <f t="shared" si="261"/>
        <v>0</v>
      </c>
      <c r="AC826" s="67"/>
    </row>
    <row r="827" spans="6:29" x14ac:dyDescent="0.25">
      <c r="F827" s="45" t="str">
        <f t="shared" si="252"/>
        <v xml:space="preserve">S/F  </v>
      </c>
      <c r="G827" s="45">
        <v>0</v>
      </c>
      <c r="H827" s="53">
        <v>0</v>
      </c>
      <c r="I827" s="40">
        <f t="shared" si="253"/>
        <v>0</v>
      </c>
      <c r="J827" s="53"/>
      <c r="K827" s="40">
        <f t="shared" si="254"/>
        <v>0</v>
      </c>
      <c r="L827" s="45">
        <v>0</v>
      </c>
      <c r="M827" s="53">
        <v>0</v>
      </c>
      <c r="N827" s="40">
        <f t="shared" si="255"/>
        <v>0</v>
      </c>
      <c r="P827" s="40">
        <f t="shared" si="256"/>
        <v>0</v>
      </c>
      <c r="Q827" s="45"/>
      <c r="R827" s="53"/>
      <c r="S827" s="40">
        <f t="shared" si="257"/>
        <v>0</v>
      </c>
      <c r="U827" s="40">
        <f t="shared" si="258"/>
        <v>0</v>
      </c>
      <c r="V827" s="51">
        <v>0</v>
      </c>
      <c r="W827" s="51">
        <v>0</v>
      </c>
      <c r="X827" s="40">
        <f t="shared" si="259"/>
        <v>0</v>
      </c>
      <c r="AA827" s="40">
        <f t="shared" si="260"/>
        <v>0</v>
      </c>
      <c r="AB827" s="40">
        <f t="shared" si="261"/>
        <v>0</v>
      </c>
      <c r="AC827" s="67"/>
    </row>
    <row r="828" spans="6:29" x14ac:dyDescent="0.25">
      <c r="F828" s="45" t="str">
        <f t="shared" si="252"/>
        <v xml:space="preserve">S/F  </v>
      </c>
      <c r="G828" s="45">
        <v>0</v>
      </c>
      <c r="H828" s="53">
        <v>0</v>
      </c>
      <c r="I828" s="40">
        <f t="shared" si="253"/>
        <v>0</v>
      </c>
      <c r="J828" s="53"/>
      <c r="K828" s="40">
        <f t="shared" si="254"/>
        <v>0</v>
      </c>
      <c r="L828" s="45">
        <v>0</v>
      </c>
      <c r="M828" s="53">
        <v>0</v>
      </c>
      <c r="N828" s="40">
        <f t="shared" si="255"/>
        <v>0</v>
      </c>
      <c r="P828" s="40">
        <f t="shared" si="256"/>
        <v>0</v>
      </c>
      <c r="Q828" s="45"/>
      <c r="R828" s="53"/>
      <c r="S828" s="40">
        <f t="shared" si="257"/>
        <v>0</v>
      </c>
      <c r="U828" s="40">
        <f t="shared" si="258"/>
        <v>0</v>
      </c>
      <c r="V828" s="51">
        <v>0</v>
      </c>
      <c r="W828" s="51">
        <v>0</v>
      </c>
      <c r="X828" s="40">
        <f t="shared" si="259"/>
        <v>0</v>
      </c>
      <c r="AA828" s="40">
        <f t="shared" si="260"/>
        <v>0</v>
      </c>
      <c r="AB828" s="40">
        <f t="shared" si="261"/>
        <v>0</v>
      </c>
      <c r="AC828" s="67"/>
    </row>
    <row r="829" spans="6:29" x14ac:dyDescent="0.25">
      <c r="F829" s="45" t="str">
        <f t="shared" si="252"/>
        <v xml:space="preserve">S/F  </v>
      </c>
      <c r="G829" s="45">
        <v>0</v>
      </c>
      <c r="H829" s="53">
        <v>0</v>
      </c>
      <c r="I829" s="40">
        <f t="shared" si="253"/>
        <v>0</v>
      </c>
      <c r="J829" s="53"/>
      <c r="K829" s="40">
        <f t="shared" si="254"/>
        <v>0</v>
      </c>
      <c r="L829" s="45">
        <v>0</v>
      </c>
      <c r="M829" s="53">
        <v>0</v>
      </c>
      <c r="N829" s="40">
        <f t="shared" si="255"/>
        <v>0</v>
      </c>
      <c r="P829" s="40">
        <f t="shared" si="256"/>
        <v>0</v>
      </c>
      <c r="Q829" s="45"/>
      <c r="R829" s="53"/>
      <c r="S829" s="40">
        <f t="shared" si="257"/>
        <v>0</v>
      </c>
      <c r="U829" s="40">
        <f t="shared" si="258"/>
        <v>0</v>
      </c>
      <c r="V829" s="51">
        <v>0</v>
      </c>
      <c r="W829" s="51">
        <v>0</v>
      </c>
      <c r="X829" s="40">
        <f t="shared" si="259"/>
        <v>0</v>
      </c>
      <c r="AA829" s="40">
        <f t="shared" si="260"/>
        <v>0</v>
      </c>
      <c r="AB829" s="40">
        <f t="shared" si="261"/>
        <v>0</v>
      </c>
      <c r="AC829" s="67"/>
    </row>
    <row r="830" spans="6:29" x14ac:dyDescent="0.25">
      <c r="F830" s="45" t="str">
        <f t="shared" si="252"/>
        <v xml:space="preserve">S/F  </v>
      </c>
      <c r="G830" s="45">
        <v>0</v>
      </c>
      <c r="H830" s="53">
        <v>0</v>
      </c>
      <c r="I830" s="40">
        <f t="shared" si="253"/>
        <v>0</v>
      </c>
      <c r="J830" s="53"/>
      <c r="K830" s="40">
        <f t="shared" si="254"/>
        <v>0</v>
      </c>
      <c r="L830" s="45">
        <v>0</v>
      </c>
      <c r="M830" s="53">
        <v>0</v>
      </c>
      <c r="N830" s="40">
        <f t="shared" si="255"/>
        <v>0</v>
      </c>
      <c r="P830" s="40">
        <f t="shared" si="256"/>
        <v>0</v>
      </c>
      <c r="Q830" s="45"/>
      <c r="R830" s="53"/>
      <c r="S830" s="40">
        <f t="shared" si="257"/>
        <v>0</v>
      </c>
      <c r="U830" s="40">
        <f t="shared" si="258"/>
        <v>0</v>
      </c>
      <c r="V830" s="51">
        <v>0</v>
      </c>
      <c r="W830" s="51">
        <v>0</v>
      </c>
      <c r="X830" s="40">
        <f t="shared" si="259"/>
        <v>0</v>
      </c>
      <c r="AA830" s="40">
        <f t="shared" si="260"/>
        <v>0</v>
      </c>
      <c r="AB830" s="40">
        <f t="shared" si="261"/>
        <v>0</v>
      </c>
      <c r="AC830" s="67"/>
    </row>
    <row r="831" spans="6:29" x14ac:dyDescent="0.25">
      <c r="F831" s="45" t="str">
        <f t="shared" si="252"/>
        <v xml:space="preserve">S/F  </v>
      </c>
      <c r="G831" s="45">
        <v>0</v>
      </c>
      <c r="H831" s="53">
        <v>0</v>
      </c>
      <c r="I831" s="40">
        <f t="shared" si="253"/>
        <v>0</v>
      </c>
      <c r="J831" s="53"/>
      <c r="K831" s="40">
        <f t="shared" si="254"/>
        <v>0</v>
      </c>
      <c r="L831" s="45">
        <v>0</v>
      </c>
      <c r="M831" s="53">
        <v>0</v>
      </c>
      <c r="N831" s="40">
        <f t="shared" si="255"/>
        <v>0</v>
      </c>
      <c r="P831" s="40">
        <f t="shared" si="256"/>
        <v>0</v>
      </c>
      <c r="Q831" s="45"/>
      <c r="R831" s="53"/>
      <c r="S831" s="40">
        <f t="shared" si="257"/>
        <v>0</v>
      </c>
      <c r="U831" s="40">
        <f t="shared" si="258"/>
        <v>0</v>
      </c>
      <c r="V831" s="51">
        <v>0</v>
      </c>
      <c r="W831" s="51">
        <v>0</v>
      </c>
      <c r="X831" s="40">
        <f t="shared" si="259"/>
        <v>0</v>
      </c>
      <c r="AA831" s="40">
        <f t="shared" si="260"/>
        <v>0</v>
      </c>
      <c r="AB831" s="40">
        <f t="shared" si="261"/>
        <v>0</v>
      </c>
      <c r="AC831" s="67"/>
    </row>
    <row r="832" spans="6:29" x14ac:dyDescent="0.25">
      <c r="F832" s="45" t="str">
        <f t="shared" si="252"/>
        <v xml:space="preserve">S/F  </v>
      </c>
      <c r="G832" s="45">
        <v>0</v>
      </c>
      <c r="H832" s="53">
        <v>0</v>
      </c>
      <c r="I832" s="40">
        <f t="shared" si="253"/>
        <v>0</v>
      </c>
      <c r="J832" s="53"/>
      <c r="K832" s="40">
        <f t="shared" si="254"/>
        <v>0</v>
      </c>
      <c r="L832" s="45">
        <v>0</v>
      </c>
      <c r="M832" s="53">
        <v>0</v>
      </c>
      <c r="N832" s="40">
        <f t="shared" si="255"/>
        <v>0</v>
      </c>
      <c r="P832" s="40">
        <f t="shared" si="256"/>
        <v>0</v>
      </c>
      <c r="Q832" s="45"/>
      <c r="R832" s="53"/>
      <c r="S832" s="40">
        <f t="shared" si="257"/>
        <v>0</v>
      </c>
      <c r="U832" s="40">
        <f t="shared" si="258"/>
        <v>0</v>
      </c>
      <c r="V832" s="51">
        <v>0</v>
      </c>
      <c r="W832" s="51">
        <v>0</v>
      </c>
      <c r="X832" s="40">
        <f t="shared" si="259"/>
        <v>0</v>
      </c>
      <c r="AA832" s="40">
        <f t="shared" si="260"/>
        <v>0</v>
      </c>
      <c r="AB832" s="40">
        <f t="shared" si="261"/>
        <v>0</v>
      </c>
      <c r="AC832" s="67"/>
    </row>
    <row r="833" spans="6:29" x14ac:dyDescent="0.25">
      <c r="F833" s="45" t="str">
        <f t="shared" si="252"/>
        <v xml:space="preserve">S/F  </v>
      </c>
      <c r="G833" s="45">
        <v>0</v>
      </c>
      <c r="H833" s="53">
        <v>0</v>
      </c>
      <c r="I833" s="40">
        <f t="shared" si="253"/>
        <v>0</v>
      </c>
      <c r="J833" s="53"/>
      <c r="K833" s="40">
        <f t="shared" si="254"/>
        <v>0</v>
      </c>
      <c r="L833" s="45">
        <v>0</v>
      </c>
      <c r="M833" s="53">
        <v>0</v>
      </c>
      <c r="N833" s="40">
        <f t="shared" si="255"/>
        <v>0</v>
      </c>
      <c r="P833" s="40">
        <f t="shared" si="256"/>
        <v>0</v>
      </c>
      <c r="Q833" s="45"/>
      <c r="R833" s="53"/>
      <c r="S833" s="40">
        <f t="shared" si="257"/>
        <v>0</v>
      </c>
      <c r="U833" s="40">
        <f t="shared" si="258"/>
        <v>0</v>
      </c>
      <c r="V833" s="51">
        <v>0</v>
      </c>
      <c r="W833" s="51">
        <v>0</v>
      </c>
      <c r="X833" s="40">
        <f t="shared" si="259"/>
        <v>0</v>
      </c>
      <c r="AA833" s="40">
        <f t="shared" si="260"/>
        <v>0</v>
      </c>
      <c r="AB833" s="40">
        <f t="shared" si="261"/>
        <v>0</v>
      </c>
      <c r="AC833" s="67"/>
    </row>
    <row r="834" spans="6:29" x14ac:dyDescent="0.25">
      <c r="F834" s="45" t="str">
        <f t="shared" si="252"/>
        <v xml:space="preserve">S/F  </v>
      </c>
      <c r="G834" s="45">
        <v>0</v>
      </c>
      <c r="H834" s="53">
        <v>0</v>
      </c>
      <c r="I834" s="40">
        <f t="shared" si="253"/>
        <v>0</v>
      </c>
      <c r="J834" s="53"/>
      <c r="K834" s="40">
        <f t="shared" si="254"/>
        <v>0</v>
      </c>
      <c r="L834" s="45">
        <v>0</v>
      </c>
      <c r="M834" s="53">
        <v>0</v>
      </c>
      <c r="N834" s="40">
        <f t="shared" si="255"/>
        <v>0</v>
      </c>
      <c r="P834" s="40">
        <f t="shared" si="256"/>
        <v>0</v>
      </c>
      <c r="Q834" s="45"/>
      <c r="R834" s="53"/>
      <c r="S834" s="40">
        <f t="shared" si="257"/>
        <v>0</v>
      </c>
      <c r="U834" s="40">
        <f t="shared" si="258"/>
        <v>0</v>
      </c>
      <c r="V834" s="51">
        <v>0</v>
      </c>
      <c r="W834" s="51">
        <v>0</v>
      </c>
      <c r="X834" s="40">
        <f t="shared" si="259"/>
        <v>0</v>
      </c>
      <c r="AA834" s="40">
        <f t="shared" si="260"/>
        <v>0</v>
      </c>
      <c r="AB834" s="40">
        <f t="shared" si="261"/>
        <v>0</v>
      </c>
      <c r="AC834" s="67"/>
    </row>
    <row r="835" spans="6:29" x14ac:dyDescent="0.25">
      <c r="F835" s="45" t="str">
        <f t="shared" si="252"/>
        <v xml:space="preserve">S/F  </v>
      </c>
      <c r="G835" s="45">
        <v>0</v>
      </c>
      <c r="H835" s="53">
        <v>0</v>
      </c>
      <c r="I835" s="40">
        <f t="shared" si="253"/>
        <v>0</v>
      </c>
      <c r="J835" s="53"/>
      <c r="K835" s="40">
        <f t="shared" si="254"/>
        <v>0</v>
      </c>
      <c r="L835" s="45">
        <v>0</v>
      </c>
      <c r="M835" s="53">
        <v>0</v>
      </c>
      <c r="N835" s="40">
        <f t="shared" si="255"/>
        <v>0</v>
      </c>
      <c r="P835" s="40">
        <f t="shared" si="256"/>
        <v>0</v>
      </c>
      <c r="Q835" s="45"/>
      <c r="R835" s="53"/>
      <c r="S835" s="40">
        <f t="shared" si="257"/>
        <v>0</v>
      </c>
      <c r="U835" s="40">
        <f t="shared" si="258"/>
        <v>0</v>
      </c>
      <c r="V835" s="51">
        <v>0</v>
      </c>
      <c r="W835" s="51">
        <v>0</v>
      </c>
      <c r="X835" s="40">
        <f t="shared" si="259"/>
        <v>0</v>
      </c>
      <c r="AA835" s="40">
        <f t="shared" si="260"/>
        <v>0</v>
      </c>
      <c r="AB835" s="40">
        <f t="shared" si="261"/>
        <v>0</v>
      </c>
      <c r="AC835" s="67"/>
    </row>
    <row r="836" spans="6:29" x14ac:dyDescent="0.25">
      <c r="F836" s="45" t="str">
        <f t="shared" si="252"/>
        <v xml:space="preserve">S/F  </v>
      </c>
      <c r="G836" s="45">
        <v>0</v>
      </c>
      <c r="H836" s="53">
        <v>0</v>
      </c>
      <c r="I836" s="40">
        <f t="shared" si="253"/>
        <v>0</v>
      </c>
      <c r="J836" s="53"/>
      <c r="K836" s="40">
        <f t="shared" si="254"/>
        <v>0</v>
      </c>
      <c r="L836" s="45">
        <v>0</v>
      </c>
      <c r="M836" s="53">
        <v>0</v>
      </c>
      <c r="N836" s="40">
        <f t="shared" si="255"/>
        <v>0</v>
      </c>
      <c r="P836" s="40">
        <f t="shared" si="256"/>
        <v>0</v>
      </c>
      <c r="Q836" s="45"/>
      <c r="R836" s="53"/>
      <c r="S836" s="40">
        <f t="shared" si="257"/>
        <v>0</v>
      </c>
      <c r="U836" s="40">
        <f t="shared" si="258"/>
        <v>0</v>
      </c>
      <c r="V836" s="51">
        <v>0</v>
      </c>
      <c r="W836" s="51">
        <v>0</v>
      </c>
      <c r="X836" s="40">
        <f t="shared" si="259"/>
        <v>0</v>
      </c>
      <c r="AA836" s="40">
        <f t="shared" si="260"/>
        <v>0</v>
      </c>
      <c r="AB836" s="40">
        <f t="shared" si="261"/>
        <v>0</v>
      </c>
      <c r="AC836" s="67"/>
    </row>
    <row r="837" spans="6:29" x14ac:dyDescent="0.25">
      <c r="F837" s="45" t="str">
        <f t="shared" si="252"/>
        <v xml:space="preserve">S/F  </v>
      </c>
      <c r="G837" s="45">
        <v>0</v>
      </c>
      <c r="H837" s="53">
        <v>0</v>
      </c>
      <c r="I837" s="40">
        <f t="shared" si="253"/>
        <v>0</v>
      </c>
      <c r="J837" s="53"/>
      <c r="K837" s="40">
        <f t="shared" si="254"/>
        <v>0</v>
      </c>
      <c r="L837" s="45">
        <v>0</v>
      </c>
      <c r="M837" s="53">
        <v>0</v>
      </c>
      <c r="N837" s="40">
        <f t="shared" si="255"/>
        <v>0</v>
      </c>
      <c r="P837" s="40">
        <f t="shared" si="256"/>
        <v>0</v>
      </c>
      <c r="Q837" s="45"/>
      <c r="R837" s="53"/>
      <c r="S837" s="40">
        <f t="shared" si="257"/>
        <v>0</v>
      </c>
      <c r="U837" s="40">
        <f t="shared" si="258"/>
        <v>0</v>
      </c>
      <c r="V837" s="51">
        <v>0</v>
      </c>
      <c r="W837" s="51">
        <v>0</v>
      </c>
      <c r="X837" s="40">
        <f t="shared" si="259"/>
        <v>0</v>
      </c>
      <c r="AA837" s="40">
        <f t="shared" si="260"/>
        <v>0</v>
      </c>
      <c r="AB837" s="40">
        <f t="shared" si="261"/>
        <v>0</v>
      </c>
      <c r="AC837" s="67"/>
    </row>
    <row r="838" spans="6:29" x14ac:dyDescent="0.25">
      <c r="F838" s="45" t="str">
        <f t="shared" si="252"/>
        <v xml:space="preserve">S/F  </v>
      </c>
      <c r="G838" s="45">
        <v>0</v>
      </c>
      <c r="H838" s="53">
        <v>0</v>
      </c>
      <c r="I838" s="40">
        <f t="shared" si="253"/>
        <v>0</v>
      </c>
      <c r="J838" s="53"/>
      <c r="K838" s="40">
        <f t="shared" si="254"/>
        <v>0</v>
      </c>
      <c r="L838" s="45">
        <v>0</v>
      </c>
      <c r="M838" s="53">
        <v>0</v>
      </c>
      <c r="N838" s="40">
        <f t="shared" si="255"/>
        <v>0</v>
      </c>
      <c r="P838" s="40">
        <f t="shared" si="256"/>
        <v>0</v>
      </c>
      <c r="Q838" s="45"/>
      <c r="R838" s="53"/>
      <c r="S838" s="40">
        <f t="shared" si="257"/>
        <v>0</v>
      </c>
      <c r="U838" s="40">
        <f t="shared" si="258"/>
        <v>0</v>
      </c>
      <c r="V838" s="51">
        <v>0</v>
      </c>
      <c r="W838" s="51">
        <v>0</v>
      </c>
      <c r="X838" s="40">
        <f t="shared" si="259"/>
        <v>0</v>
      </c>
      <c r="AA838" s="40">
        <f t="shared" si="260"/>
        <v>0</v>
      </c>
      <c r="AB838" s="40">
        <f t="shared" si="261"/>
        <v>0</v>
      </c>
      <c r="AC838" s="67"/>
    </row>
    <row r="839" spans="6:29" x14ac:dyDescent="0.25">
      <c r="F839" s="45" t="str">
        <f t="shared" si="252"/>
        <v xml:space="preserve">S/F  </v>
      </c>
      <c r="G839" s="45">
        <v>0</v>
      </c>
      <c r="H839" s="53">
        <v>0</v>
      </c>
      <c r="I839" s="40">
        <f t="shared" si="253"/>
        <v>0</v>
      </c>
      <c r="J839" s="53"/>
      <c r="K839" s="40">
        <f t="shared" si="254"/>
        <v>0</v>
      </c>
      <c r="L839" s="45">
        <v>0</v>
      </c>
      <c r="M839" s="53">
        <v>0</v>
      </c>
      <c r="N839" s="40">
        <f t="shared" si="255"/>
        <v>0</v>
      </c>
      <c r="P839" s="40">
        <f t="shared" si="256"/>
        <v>0</v>
      </c>
      <c r="Q839" s="45"/>
      <c r="R839" s="53"/>
      <c r="S839" s="40">
        <f t="shared" si="257"/>
        <v>0</v>
      </c>
      <c r="U839" s="40">
        <f t="shared" si="258"/>
        <v>0</v>
      </c>
      <c r="V839" s="51">
        <v>0</v>
      </c>
      <c r="W839" s="51">
        <v>0</v>
      </c>
      <c r="X839" s="40">
        <f t="shared" si="259"/>
        <v>0</v>
      </c>
      <c r="AA839" s="40">
        <f t="shared" si="260"/>
        <v>0</v>
      </c>
      <c r="AB839" s="40">
        <f t="shared" si="261"/>
        <v>0</v>
      </c>
      <c r="AC839" s="67"/>
    </row>
    <row r="840" spans="6:29" x14ac:dyDescent="0.25">
      <c r="F840" s="45" t="str">
        <f t="shared" si="252"/>
        <v xml:space="preserve">S/F  </v>
      </c>
      <c r="G840" s="45">
        <v>0</v>
      </c>
      <c r="H840" s="53">
        <v>0</v>
      </c>
      <c r="I840" s="40">
        <f t="shared" si="253"/>
        <v>0</v>
      </c>
      <c r="J840" s="53"/>
      <c r="K840" s="40">
        <f t="shared" si="254"/>
        <v>0</v>
      </c>
      <c r="L840" s="45">
        <v>0</v>
      </c>
      <c r="M840" s="53">
        <v>0</v>
      </c>
      <c r="N840" s="40">
        <f t="shared" si="255"/>
        <v>0</v>
      </c>
      <c r="P840" s="40">
        <f t="shared" si="256"/>
        <v>0</v>
      </c>
      <c r="Q840" s="45"/>
      <c r="R840" s="53"/>
      <c r="S840" s="40">
        <f t="shared" si="257"/>
        <v>0</v>
      </c>
      <c r="U840" s="40">
        <f t="shared" si="258"/>
        <v>0</v>
      </c>
      <c r="V840" s="51">
        <v>0</v>
      </c>
      <c r="W840" s="51">
        <v>0</v>
      </c>
      <c r="X840" s="40">
        <f t="shared" si="259"/>
        <v>0</v>
      </c>
      <c r="AA840" s="40">
        <f t="shared" si="260"/>
        <v>0</v>
      </c>
      <c r="AB840" s="40">
        <f t="shared" si="261"/>
        <v>0</v>
      </c>
      <c r="AC840" s="67"/>
    </row>
    <row r="841" spans="6:29" x14ac:dyDescent="0.25">
      <c r="F841" s="45" t="str">
        <f t="shared" si="252"/>
        <v xml:space="preserve">S/F  </v>
      </c>
      <c r="G841" s="45">
        <v>0</v>
      </c>
      <c r="H841" s="53">
        <v>0</v>
      </c>
      <c r="I841" s="40">
        <f t="shared" si="253"/>
        <v>0</v>
      </c>
      <c r="J841" s="53"/>
      <c r="K841" s="40">
        <f t="shared" si="254"/>
        <v>0</v>
      </c>
      <c r="L841" s="45">
        <v>0</v>
      </c>
      <c r="M841" s="53">
        <v>0</v>
      </c>
      <c r="N841" s="40">
        <f t="shared" si="255"/>
        <v>0</v>
      </c>
      <c r="P841" s="40">
        <f t="shared" si="256"/>
        <v>0</v>
      </c>
      <c r="Q841" s="45"/>
      <c r="R841" s="53"/>
      <c r="S841" s="40">
        <f t="shared" si="257"/>
        <v>0</v>
      </c>
      <c r="U841" s="40">
        <f t="shared" si="258"/>
        <v>0</v>
      </c>
      <c r="V841" s="51">
        <v>0</v>
      </c>
      <c r="W841" s="51">
        <v>0</v>
      </c>
      <c r="X841" s="40">
        <f t="shared" si="259"/>
        <v>0</v>
      </c>
      <c r="AA841" s="40">
        <f t="shared" si="260"/>
        <v>0</v>
      </c>
      <c r="AB841" s="40">
        <f t="shared" si="261"/>
        <v>0</v>
      </c>
      <c r="AC841" s="67"/>
    </row>
    <row r="842" spans="6:29" x14ac:dyDescent="0.25">
      <c r="F842" s="45" t="str">
        <f t="shared" si="252"/>
        <v xml:space="preserve">S/F  </v>
      </c>
      <c r="G842" s="45">
        <v>0</v>
      </c>
      <c r="H842" s="53">
        <v>0</v>
      </c>
      <c r="I842" s="40">
        <f t="shared" si="253"/>
        <v>0</v>
      </c>
      <c r="J842" s="53"/>
      <c r="K842" s="40">
        <f t="shared" si="254"/>
        <v>0</v>
      </c>
      <c r="L842" s="45">
        <v>0</v>
      </c>
      <c r="M842" s="53">
        <v>0</v>
      </c>
      <c r="N842" s="40">
        <f t="shared" si="255"/>
        <v>0</v>
      </c>
      <c r="P842" s="40">
        <f t="shared" si="256"/>
        <v>0</v>
      </c>
      <c r="Q842" s="45"/>
      <c r="R842" s="53"/>
      <c r="S842" s="40">
        <f t="shared" si="257"/>
        <v>0</v>
      </c>
      <c r="U842" s="40">
        <f t="shared" si="258"/>
        <v>0</v>
      </c>
      <c r="V842" s="51">
        <v>0</v>
      </c>
      <c r="W842" s="51">
        <v>0</v>
      </c>
      <c r="X842" s="40">
        <f t="shared" si="259"/>
        <v>0</v>
      </c>
      <c r="AA842" s="40">
        <f t="shared" si="260"/>
        <v>0</v>
      </c>
      <c r="AB842" s="40">
        <f t="shared" si="261"/>
        <v>0</v>
      </c>
      <c r="AC842" s="67"/>
    </row>
    <row r="843" spans="6:29" x14ac:dyDescent="0.25">
      <c r="F843" s="45" t="str">
        <f t="shared" si="252"/>
        <v xml:space="preserve">S/F  </v>
      </c>
      <c r="G843" s="45">
        <v>0</v>
      </c>
      <c r="H843" s="53">
        <v>0</v>
      </c>
      <c r="I843" s="40">
        <f t="shared" si="253"/>
        <v>0</v>
      </c>
      <c r="J843" s="53"/>
      <c r="K843" s="40">
        <f t="shared" si="254"/>
        <v>0</v>
      </c>
      <c r="L843" s="45">
        <v>0</v>
      </c>
      <c r="M843" s="53">
        <v>0</v>
      </c>
      <c r="N843" s="40">
        <f t="shared" si="255"/>
        <v>0</v>
      </c>
      <c r="P843" s="40">
        <f t="shared" si="256"/>
        <v>0</v>
      </c>
      <c r="Q843" s="45"/>
      <c r="R843" s="53"/>
      <c r="S843" s="40">
        <f t="shared" si="257"/>
        <v>0</v>
      </c>
      <c r="U843" s="40">
        <f t="shared" si="258"/>
        <v>0</v>
      </c>
      <c r="V843" s="51">
        <v>0</v>
      </c>
      <c r="W843" s="51">
        <v>0</v>
      </c>
      <c r="X843" s="40">
        <f t="shared" si="259"/>
        <v>0</v>
      </c>
      <c r="AA843" s="40">
        <f t="shared" si="260"/>
        <v>0</v>
      </c>
      <c r="AB843" s="40">
        <f t="shared" si="261"/>
        <v>0</v>
      </c>
      <c r="AC843" s="67"/>
    </row>
    <row r="844" spans="6:29" x14ac:dyDescent="0.25">
      <c r="F844" s="45" t="str">
        <f t="shared" si="252"/>
        <v xml:space="preserve">S/F  </v>
      </c>
      <c r="G844" s="45">
        <v>0</v>
      </c>
      <c r="H844" s="53">
        <v>0</v>
      </c>
      <c r="I844" s="40">
        <f t="shared" si="253"/>
        <v>0</v>
      </c>
      <c r="J844" s="53"/>
      <c r="K844" s="40">
        <f t="shared" si="254"/>
        <v>0</v>
      </c>
      <c r="L844" s="45">
        <v>0</v>
      </c>
      <c r="M844" s="53">
        <v>0</v>
      </c>
      <c r="N844" s="40">
        <f t="shared" si="255"/>
        <v>0</v>
      </c>
      <c r="P844" s="40">
        <f t="shared" si="256"/>
        <v>0</v>
      </c>
      <c r="Q844" s="45"/>
      <c r="R844" s="53"/>
      <c r="S844" s="40">
        <f t="shared" si="257"/>
        <v>0</v>
      </c>
      <c r="U844" s="40">
        <f t="shared" si="258"/>
        <v>0</v>
      </c>
      <c r="V844" s="51">
        <v>0</v>
      </c>
      <c r="W844" s="51">
        <v>0</v>
      </c>
      <c r="X844" s="40">
        <f t="shared" si="259"/>
        <v>0</v>
      </c>
      <c r="AA844" s="40">
        <f t="shared" si="260"/>
        <v>0</v>
      </c>
      <c r="AB844" s="40">
        <f t="shared" si="261"/>
        <v>0</v>
      </c>
      <c r="AC844" s="67"/>
    </row>
    <row r="845" spans="6:29" x14ac:dyDescent="0.25">
      <c r="F845" s="45" t="str">
        <f t="shared" ref="F845:F908" si="262">"S/F "&amp;B845&amp;" "&amp;E845</f>
        <v xml:space="preserve">S/F  </v>
      </c>
      <c r="G845" s="45">
        <v>0</v>
      </c>
      <c r="H845" s="53">
        <v>0</v>
      </c>
      <c r="I845" s="40">
        <f t="shared" si="253"/>
        <v>0</v>
      </c>
      <c r="J845" s="53"/>
      <c r="K845" s="40">
        <f t="shared" si="254"/>
        <v>0</v>
      </c>
      <c r="L845" s="45">
        <v>0</v>
      </c>
      <c r="M845" s="53">
        <v>0</v>
      </c>
      <c r="N845" s="40">
        <f t="shared" si="255"/>
        <v>0</v>
      </c>
      <c r="P845" s="40">
        <f t="shared" si="256"/>
        <v>0</v>
      </c>
      <c r="Q845" s="45"/>
      <c r="R845" s="53"/>
      <c r="S845" s="40">
        <f t="shared" si="257"/>
        <v>0</v>
      </c>
      <c r="U845" s="40">
        <f t="shared" si="258"/>
        <v>0</v>
      </c>
      <c r="V845" s="51">
        <v>0</v>
      </c>
      <c r="W845" s="51">
        <v>0</v>
      </c>
      <c r="X845" s="40">
        <f t="shared" si="259"/>
        <v>0</v>
      </c>
      <c r="AA845" s="40">
        <f t="shared" si="260"/>
        <v>0</v>
      </c>
      <c r="AB845" s="40">
        <f t="shared" si="261"/>
        <v>0</v>
      </c>
      <c r="AC845" s="67"/>
    </row>
    <row r="846" spans="6:29" x14ac:dyDescent="0.25">
      <c r="F846" s="45" t="str">
        <f t="shared" si="262"/>
        <v xml:space="preserve">S/F  </v>
      </c>
      <c r="G846" s="45">
        <v>0</v>
      </c>
      <c r="H846" s="53">
        <v>0</v>
      </c>
      <c r="I846" s="40">
        <f t="shared" si="253"/>
        <v>0</v>
      </c>
      <c r="J846" s="53"/>
      <c r="K846" s="40">
        <f t="shared" si="254"/>
        <v>0</v>
      </c>
      <c r="L846" s="45">
        <v>0</v>
      </c>
      <c r="M846" s="53">
        <v>0</v>
      </c>
      <c r="N846" s="40">
        <f t="shared" si="255"/>
        <v>0</v>
      </c>
      <c r="P846" s="40">
        <f t="shared" si="256"/>
        <v>0</v>
      </c>
      <c r="Q846" s="45"/>
      <c r="R846" s="53"/>
      <c r="S846" s="40">
        <f t="shared" si="257"/>
        <v>0</v>
      </c>
      <c r="U846" s="40">
        <f t="shared" si="258"/>
        <v>0</v>
      </c>
      <c r="V846" s="51">
        <v>0</v>
      </c>
      <c r="W846" s="51">
        <v>0</v>
      </c>
      <c r="X846" s="40">
        <f t="shared" si="259"/>
        <v>0</v>
      </c>
      <c r="AA846" s="40">
        <f t="shared" si="260"/>
        <v>0</v>
      </c>
      <c r="AB846" s="40">
        <f t="shared" si="261"/>
        <v>0</v>
      </c>
      <c r="AC846" s="67"/>
    </row>
    <row r="847" spans="6:29" x14ac:dyDescent="0.25">
      <c r="F847" s="45" t="str">
        <f t="shared" si="262"/>
        <v xml:space="preserve">S/F  </v>
      </c>
      <c r="G847" s="45">
        <v>0</v>
      </c>
      <c r="H847" s="53">
        <v>0</v>
      </c>
      <c r="I847" s="40">
        <f t="shared" si="253"/>
        <v>0</v>
      </c>
      <c r="J847" s="53"/>
      <c r="K847" s="40">
        <f t="shared" si="254"/>
        <v>0</v>
      </c>
      <c r="L847" s="45">
        <v>0</v>
      </c>
      <c r="M847" s="53">
        <v>0</v>
      </c>
      <c r="N847" s="40">
        <f t="shared" si="255"/>
        <v>0</v>
      </c>
      <c r="P847" s="40">
        <f t="shared" si="256"/>
        <v>0</v>
      </c>
      <c r="Q847" s="45"/>
      <c r="R847" s="53"/>
      <c r="S847" s="40">
        <f t="shared" si="257"/>
        <v>0</v>
      </c>
      <c r="U847" s="40">
        <f t="shared" si="258"/>
        <v>0</v>
      </c>
      <c r="V847" s="51">
        <v>0</v>
      </c>
      <c r="W847" s="51">
        <v>0</v>
      </c>
      <c r="X847" s="40">
        <f t="shared" si="259"/>
        <v>0</v>
      </c>
      <c r="AA847" s="40">
        <f t="shared" si="260"/>
        <v>0</v>
      </c>
      <c r="AB847" s="40">
        <f t="shared" si="261"/>
        <v>0</v>
      </c>
      <c r="AC847" s="67"/>
    </row>
    <row r="848" spans="6:29" x14ac:dyDescent="0.25">
      <c r="F848" s="45" t="str">
        <f t="shared" si="262"/>
        <v xml:space="preserve">S/F  </v>
      </c>
      <c r="G848" s="45">
        <v>0</v>
      </c>
      <c r="H848" s="53">
        <v>0</v>
      </c>
      <c r="I848" s="40">
        <f t="shared" si="253"/>
        <v>0</v>
      </c>
      <c r="J848" s="53"/>
      <c r="K848" s="40">
        <f t="shared" si="254"/>
        <v>0</v>
      </c>
      <c r="L848" s="45">
        <v>0</v>
      </c>
      <c r="M848" s="53">
        <v>0</v>
      </c>
      <c r="N848" s="40">
        <f t="shared" si="255"/>
        <v>0</v>
      </c>
      <c r="P848" s="40">
        <f t="shared" si="256"/>
        <v>0</v>
      </c>
      <c r="Q848" s="45"/>
      <c r="R848" s="53"/>
      <c r="S848" s="40">
        <f t="shared" si="257"/>
        <v>0</v>
      </c>
      <c r="U848" s="40">
        <f t="shared" si="258"/>
        <v>0</v>
      </c>
      <c r="V848" s="51">
        <v>0</v>
      </c>
      <c r="W848" s="51">
        <v>0</v>
      </c>
      <c r="X848" s="40">
        <f t="shared" si="259"/>
        <v>0</v>
      </c>
      <c r="AA848" s="40">
        <f t="shared" si="260"/>
        <v>0</v>
      </c>
      <c r="AB848" s="40">
        <f t="shared" si="261"/>
        <v>0</v>
      </c>
      <c r="AC848" s="67"/>
    </row>
    <row r="849" spans="6:29" x14ac:dyDescent="0.25">
      <c r="F849" s="45" t="str">
        <f t="shared" si="262"/>
        <v xml:space="preserve">S/F  </v>
      </c>
      <c r="G849" s="45">
        <v>0</v>
      </c>
      <c r="H849" s="53">
        <v>0</v>
      </c>
      <c r="I849" s="40">
        <f t="shared" si="253"/>
        <v>0</v>
      </c>
      <c r="J849" s="53"/>
      <c r="K849" s="40">
        <f t="shared" si="254"/>
        <v>0</v>
      </c>
      <c r="L849" s="45">
        <v>0</v>
      </c>
      <c r="M849" s="53">
        <v>0</v>
      </c>
      <c r="N849" s="40">
        <f t="shared" si="255"/>
        <v>0</v>
      </c>
      <c r="P849" s="40">
        <f t="shared" si="256"/>
        <v>0</v>
      </c>
      <c r="Q849" s="45"/>
      <c r="R849" s="53"/>
      <c r="S849" s="40">
        <f t="shared" si="257"/>
        <v>0</v>
      </c>
      <c r="U849" s="40">
        <f t="shared" si="258"/>
        <v>0</v>
      </c>
      <c r="V849" s="51">
        <v>0</v>
      </c>
      <c r="W849" s="51">
        <v>0</v>
      </c>
      <c r="X849" s="40">
        <f t="shared" si="259"/>
        <v>0</v>
      </c>
      <c r="AA849" s="40">
        <f t="shared" si="260"/>
        <v>0</v>
      </c>
      <c r="AB849" s="40">
        <f t="shared" si="261"/>
        <v>0</v>
      </c>
      <c r="AC849" s="67"/>
    </row>
    <row r="850" spans="6:29" x14ac:dyDescent="0.25">
      <c r="F850" s="45" t="str">
        <f t="shared" si="262"/>
        <v xml:space="preserve">S/F  </v>
      </c>
      <c r="G850" s="45">
        <v>0</v>
      </c>
      <c r="H850" s="53">
        <v>0</v>
      </c>
      <c r="I850" s="40">
        <f t="shared" si="253"/>
        <v>0</v>
      </c>
      <c r="J850" s="53"/>
      <c r="K850" s="40">
        <f t="shared" si="254"/>
        <v>0</v>
      </c>
      <c r="L850" s="45">
        <v>0</v>
      </c>
      <c r="M850" s="53">
        <v>0</v>
      </c>
      <c r="N850" s="40">
        <f t="shared" si="255"/>
        <v>0</v>
      </c>
      <c r="P850" s="40">
        <f t="shared" si="256"/>
        <v>0</v>
      </c>
      <c r="Q850" s="45"/>
      <c r="R850" s="53"/>
      <c r="S850" s="40">
        <f t="shared" si="257"/>
        <v>0</v>
      </c>
      <c r="U850" s="40">
        <f t="shared" si="258"/>
        <v>0</v>
      </c>
      <c r="V850" s="51">
        <v>0</v>
      </c>
      <c r="W850" s="51">
        <v>0</v>
      </c>
      <c r="X850" s="40">
        <f t="shared" si="259"/>
        <v>0</v>
      </c>
      <c r="AA850" s="40">
        <f t="shared" si="260"/>
        <v>0</v>
      </c>
      <c r="AB850" s="40">
        <f t="shared" si="261"/>
        <v>0</v>
      </c>
      <c r="AC850" s="67"/>
    </row>
    <row r="851" spans="6:29" x14ac:dyDescent="0.25">
      <c r="F851" s="45" t="str">
        <f t="shared" si="262"/>
        <v xml:space="preserve">S/F  </v>
      </c>
      <c r="G851" s="45">
        <v>0</v>
      </c>
      <c r="H851" s="53">
        <v>0</v>
      </c>
      <c r="I851" s="40">
        <f t="shared" si="253"/>
        <v>0</v>
      </c>
      <c r="J851" s="53"/>
      <c r="K851" s="40">
        <f t="shared" si="254"/>
        <v>0</v>
      </c>
      <c r="L851" s="45">
        <v>0</v>
      </c>
      <c r="M851" s="53">
        <v>0</v>
      </c>
      <c r="N851" s="40">
        <f t="shared" si="255"/>
        <v>0</v>
      </c>
      <c r="P851" s="40">
        <f t="shared" si="256"/>
        <v>0</v>
      </c>
      <c r="Q851" s="45"/>
      <c r="R851" s="53"/>
      <c r="S851" s="40">
        <f t="shared" si="257"/>
        <v>0</v>
      </c>
      <c r="U851" s="40">
        <f t="shared" si="258"/>
        <v>0</v>
      </c>
      <c r="V851" s="51">
        <v>0</v>
      </c>
      <c r="W851" s="51">
        <v>0</v>
      </c>
      <c r="X851" s="40">
        <f t="shared" si="259"/>
        <v>0</v>
      </c>
      <c r="AA851" s="40">
        <f t="shared" si="260"/>
        <v>0</v>
      </c>
      <c r="AB851" s="40">
        <f t="shared" si="261"/>
        <v>0</v>
      </c>
      <c r="AC851" s="67"/>
    </row>
    <row r="852" spans="6:29" x14ac:dyDescent="0.25">
      <c r="F852" s="45" t="str">
        <f t="shared" si="262"/>
        <v xml:space="preserve">S/F  </v>
      </c>
      <c r="G852" s="45">
        <v>0</v>
      </c>
      <c r="H852" s="53">
        <v>0</v>
      </c>
      <c r="I852" s="40">
        <f t="shared" si="253"/>
        <v>0</v>
      </c>
      <c r="J852" s="53"/>
      <c r="K852" s="40">
        <f t="shared" si="254"/>
        <v>0</v>
      </c>
      <c r="L852" s="45">
        <v>0</v>
      </c>
      <c r="M852" s="53">
        <v>0</v>
      </c>
      <c r="N852" s="40">
        <f t="shared" si="255"/>
        <v>0</v>
      </c>
      <c r="P852" s="40">
        <f t="shared" si="256"/>
        <v>0</v>
      </c>
      <c r="Q852" s="45"/>
      <c r="R852" s="53"/>
      <c r="S852" s="40">
        <f t="shared" si="257"/>
        <v>0</v>
      </c>
      <c r="U852" s="40">
        <f t="shared" si="258"/>
        <v>0</v>
      </c>
      <c r="V852" s="51">
        <v>0</v>
      </c>
      <c r="W852" s="51">
        <v>0</v>
      </c>
      <c r="X852" s="40">
        <f t="shared" si="259"/>
        <v>0</v>
      </c>
      <c r="AA852" s="40">
        <f t="shared" si="260"/>
        <v>0</v>
      </c>
      <c r="AB852" s="40">
        <f t="shared" si="261"/>
        <v>0</v>
      </c>
      <c r="AC852" s="67"/>
    </row>
    <row r="853" spans="6:29" x14ac:dyDescent="0.25">
      <c r="F853" s="45" t="str">
        <f t="shared" si="262"/>
        <v xml:space="preserve">S/F  </v>
      </c>
      <c r="G853" s="45">
        <v>0</v>
      </c>
      <c r="H853" s="53">
        <v>0</v>
      </c>
      <c r="I853" s="40">
        <f t="shared" ref="I853:I916" si="263">+IF(G853&lt;&gt;0,G853*H853/100,0)</f>
        <v>0</v>
      </c>
      <c r="J853" s="53"/>
      <c r="K853" s="40">
        <f t="shared" ref="K853:K916" si="264">+IF(G853&lt;&gt;0,G853*J853/100,0)</f>
        <v>0</v>
      </c>
      <c r="L853" s="45">
        <v>0</v>
      </c>
      <c r="M853" s="53">
        <v>0</v>
      </c>
      <c r="N853" s="40">
        <f t="shared" ref="N853:N916" si="265">+IF(L853&lt;&gt;0,L853*M853/100,0)</f>
        <v>0</v>
      </c>
      <c r="P853" s="40">
        <f t="shared" ref="P853:P916" si="266">+IF(L853&lt;&gt;0,L853*O853/100,0)</f>
        <v>0</v>
      </c>
      <c r="Q853" s="45"/>
      <c r="R853" s="53"/>
      <c r="S853" s="40">
        <f t="shared" ref="S853:S916" si="267">+IF(Q853&lt;&gt;0,Q853*R853/100,0)</f>
        <v>0</v>
      </c>
      <c r="U853" s="40">
        <f t="shared" ref="U853:U916" si="268">+IF(Q853&lt;&gt;0,Q853*T853/100,0)</f>
        <v>0</v>
      </c>
      <c r="V853" s="51">
        <v>0</v>
      </c>
      <c r="W853" s="51">
        <v>0</v>
      </c>
      <c r="X853" s="40">
        <f t="shared" ref="X853:X916" si="269">+IF(W853&lt;&gt;0,V853*W853/100,0)</f>
        <v>0</v>
      </c>
      <c r="AA853" s="40">
        <f t="shared" ref="AA853:AA916" si="270">+IF(Z853&lt;&gt;0,Y853*Z853/100,0)</f>
        <v>0</v>
      </c>
      <c r="AB853" s="40">
        <f t="shared" ref="AB853:AB916" si="271">+G853+I853+K853+L853+N853+P853+Q853+S853+U853-X853-AA853</f>
        <v>0</v>
      </c>
      <c r="AC853" s="67"/>
    </row>
    <row r="854" spans="6:29" x14ac:dyDescent="0.25">
      <c r="F854" s="45" t="str">
        <f t="shared" si="262"/>
        <v xml:space="preserve">S/F  </v>
      </c>
      <c r="G854" s="45">
        <v>0</v>
      </c>
      <c r="H854" s="53">
        <v>0</v>
      </c>
      <c r="I854" s="40">
        <f t="shared" si="263"/>
        <v>0</v>
      </c>
      <c r="J854" s="53"/>
      <c r="K854" s="40">
        <f t="shared" si="264"/>
        <v>0</v>
      </c>
      <c r="L854" s="45">
        <v>0</v>
      </c>
      <c r="M854" s="53">
        <v>0</v>
      </c>
      <c r="N854" s="40">
        <f t="shared" si="265"/>
        <v>0</v>
      </c>
      <c r="P854" s="40">
        <f t="shared" si="266"/>
        <v>0</v>
      </c>
      <c r="Q854" s="45"/>
      <c r="R854" s="53"/>
      <c r="S854" s="40">
        <f t="shared" si="267"/>
        <v>0</v>
      </c>
      <c r="U854" s="40">
        <f t="shared" si="268"/>
        <v>0</v>
      </c>
      <c r="V854" s="51">
        <v>0</v>
      </c>
      <c r="W854" s="51">
        <v>0</v>
      </c>
      <c r="X854" s="40">
        <f t="shared" si="269"/>
        <v>0</v>
      </c>
      <c r="AA854" s="40">
        <f t="shared" si="270"/>
        <v>0</v>
      </c>
      <c r="AB854" s="40">
        <f t="shared" si="271"/>
        <v>0</v>
      </c>
      <c r="AC854" s="67"/>
    </row>
    <row r="855" spans="6:29" x14ac:dyDescent="0.25">
      <c r="F855" s="45" t="str">
        <f t="shared" si="262"/>
        <v xml:space="preserve">S/F  </v>
      </c>
      <c r="G855" s="45">
        <v>0</v>
      </c>
      <c r="H855" s="53">
        <v>0</v>
      </c>
      <c r="I855" s="40">
        <f t="shared" si="263"/>
        <v>0</v>
      </c>
      <c r="J855" s="53"/>
      <c r="K855" s="40">
        <f t="shared" si="264"/>
        <v>0</v>
      </c>
      <c r="L855" s="45">
        <v>0</v>
      </c>
      <c r="M855" s="53">
        <v>0</v>
      </c>
      <c r="N855" s="40">
        <f t="shared" si="265"/>
        <v>0</v>
      </c>
      <c r="P855" s="40">
        <f t="shared" si="266"/>
        <v>0</v>
      </c>
      <c r="Q855" s="45"/>
      <c r="R855" s="53"/>
      <c r="S855" s="40">
        <f t="shared" si="267"/>
        <v>0</v>
      </c>
      <c r="U855" s="40">
        <f t="shared" si="268"/>
        <v>0</v>
      </c>
      <c r="V855" s="51">
        <v>0</v>
      </c>
      <c r="W855" s="51">
        <v>0</v>
      </c>
      <c r="X855" s="40">
        <f t="shared" si="269"/>
        <v>0</v>
      </c>
      <c r="AA855" s="40">
        <f t="shared" si="270"/>
        <v>0</v>
      </c>
      <c r="AB855" s="40">
        <f t="shared" si="271"/>
        <v>0</v>
      </c>
      <c r="AC855" s="67"/>
    </row>
    <row r="856" spans="6:29" x14ac:dyDescent="0.25">
      <c r="F856" s="45" t="str">
        <f t="shared" si="262"/>
        <v xml:space="preserve">S/F  </v>
      </c>
      <c r="G856" s="45">
        <v>0</v>
      </c>
      <c r="H856" s="53">
        <v>0</v>
      </c>
      <c r="I856" s="40">
        <f t="shared" si="263"/>
        <v>0</v>
      </c>
      <c r="J856" s="53"/>
      <c r="K856" s="40">
        <f t="shared" si="264"/>
        <v>0</v>
      </c>
      <c r="L856" s="45">
        <v>0</v>
      </c>
      <c r="M856" s="53">
        <v>0</v>
      </c>
      <c r="N856" s="40">
        <f t="shared" si="265"/>
        <v>0</v>
      </c>
      <c r="P856" s="40">
        <f t="shared" si="266"/>
        <v>0</v>
      </c>
      <c r="Q856" s="45"/>
      <c r="R856" s="53"/>
      <c r="S856" s="40">
        <f t="shared" si="267"/>
        <v>0</v>
      </c>
      <c r="U856" s="40">
        <f t="shared" si="268"/>
        <v>0</v>
      </c>
      <c r="V856" s="51">
        <v>0</v>
      </c>
      <c r="W856" s="51">
        <v>0</v>
      </c>
      <c r="X856" s="40">
        <f t="shared" si="269"/>
        <v>0</v>
      </c>
      <c r="AA856" s="40">
        <f t="shared" si="270"/>
        <v>0</v>
      </c>
      <c r="AB856" s="40">
        <f t="shared" si="271"/>
        <v>0</v>
      </c>
      <c r="AC856" s="67"/>
    </row>
    <row r="857" spans="6:29" x14ac:dyDescent="0.25">
      <c r="F857" s="45" t="str">
        <f t="shared" si="262"/>
        <v xml:space="preserve">S/F  </v>
      </c>
      <c r="G857" s="45">
        <v>0</v>
      </c>
      <c r="H857" s="53">
        <v>0</v>
      </c>
      <c r="I857" s="40">
        <f t="shared" si="263"/>
        <v>0</v>
      </c>
      <c r="J857" s="53"/>
      <c r="K857" s="40">
        <f t="shared" si="264"/>
        <v>0</v>
      </c>
      <c r="L857" s="45">
        <v>0</v>
      </c>
      <c r="M857" s="53">
        <v>0</v>
      </c>
      <c r="N857" s="40">
        <f t="shared" si="265"/>
        <v>0</v>
      </c>
      <c r="P857" s="40">
        <f t="shared" si="266"/>
        <v>0</v>
      </c>
      <c r="Q857" s="45"/>
      <c r="R857" s="53"/>
      <c r="S857" s="40">
        <f t="shared" si="267"/>
        <v>0</v>
      </c>
      <c r="U857" s="40">
        <f t="shared" si="268"/>
        <v>0</v>
      </c>
      <c r="V857" s="51">
        <v>0</v>
      </c>
      <c r="W857" s="51">
        <v>0</v>
      </c>
      <c r="X857" s="40">
        <f t="shared" si="269"/>
        <v>0</v>
      </c>
      <c r="AA857" s="40">
        <f t="shared" si="270"/>
        <v>0</v>
      </c>
      <c r="AB857" s="40">
        <f t="shared" si="271"/>
        <v>0</v>
      </c>
      <c r="AC857" s="67"/>
    </row>
    <row r="858" spans="6:29" x14ac:dyDescent="0.25">
      <c r="F858" s="45" t="str">
        <f t="shared" si="262"/>
        <v xml:space="preserve">S/F  </v>
      </c>
      <c r="G858" s="45">
        <v>0</v>
      </c>
      <c r="H858" s="53">
        <v>0</v>
      </c>
      <c r="I858" s="40">
        <f t="shared" si="263"/>
        <v>0</v>
      </c>
      <c r="J858" s="53"/>
      <c r="K858" s="40">
        <f t="shared" si="264"/>
        <v>0</v>
      </c>
      <c r="L858" s="45">
        <v>0</v>
      </c>
      <c r="M858" s="53">
        <v>0</v>
      </c>
      <c r="N858" s="40">
        <f t="shared" si="265"/>
        <v>0</v>
      </c>
      <c r="P858" s="40">
        <f t="shared" si="266"/>
        <v>0</v>
      </c>
      <c r="Q858" s="45"/>
      <c r="R858" s="53"/>
      <c r="S858" s="40">
        <f t="shared" si="267"/>
        <v>0</v>
      </c>
      <c r="U858" s="40">
        <f t="shared" si="268"/>
        <v>0</v>
      </c>
      <c r="V858" s="51">
        <v>0</v>
      </c>
      <c r="W858" s="51">
        <v>0</v>
      </c>
      <c r="X858" s="40">
        <f t="shared" si="269"/>
        <v>0</v>
      </c>
      <c r="AA858" s="40">
        <f t="shared" si="270"/>
        <v>0</v>
      </c>
      <c r="AB858" s="40">
        <f t="shared" si="271"/>
        <v>0</v>
      </c>
      <c r="AC858" s="67"/>
    </row>
    <row r="859" spans="6:29" x14ac:dyDescent="0.25">
      <c r="F859" s="45" t="str">
        <f t="shared" si="262"/>
        <v xml:space="preserve">S/F  </v>
      </c>
      <c r="G859" s="45">
        <v>0</v>
      </c>
      <c r="H859" s="53">
        <v>0</v>
      </c>
      <c r="I859" s="40">
        <f t="shared" si="263"/>
        <v>0</v>
      </c>
      <c r="J859" s="53"/>
      <c r="K859" s="40">
        <f t="shared" si="264"/>
        <v>0</v>
      </c>
      <c r="L859" s="45">
        <v>0</v>
      </c>
      <c r="M859" s="53">
        <v>0</v>
      </c>
      <c r="N859" s="40">
        <f t="shared" si="265"/>
        <v>0</v>
      </c>
      <c r="P859" s="40">
        <f t="shared" si="266"/>
        <v>0</v>
      </c>
      <c r="Q859" s="45"/>
      <c r="R859" s="53"/>
      <c r="S859" s="40">
        <f t="shared" si="267"/>
        <v>0</v>
      </c>
      <c r="U859" s="40">
        <f t="shared" si="268"/>
        <v>0</v>
      </c>
      <c r="V859" s="51">
        <v>0</v>
      </c>
      <c r="W859" s="51">
        <v>0</v>
      </c>
      <c r="X859" s="40">
        <f t="shared" si="269"/>
        <v>0</v>
      </c>
      <c r="AA859" s="40">
        <f t="shared" si="270"/>
        <v>0</v>
      </c>
      <c r="AB859" s="40">
        <f t="shared" si="271"/>
        <v>0</v>
      </c>
      <c r="AC859" s="67"/>
    </row>
    <row r="860" spans="6:29" x14ac:dyDescent="0.25">
      <c r="F860" s="45" t="str">
        <f t="shared" si="262"/>
        <v xml:space="preserve">S/F  </v>
      </c>
      <c r="G860" s="45">
        <v>0</v>
      </c>
      <c r="H860" s="53">
        <v>0</v>
      </c>
      <c r="I860" s="40">
        <f t="shared" si="263"/>
        <v>0</v>
      </c>
      <c r="J860" s="53"/>
      <c r="K860" s="40">
        <f t="shared" si="264"/>
        <v>0</v>
      </c>
      <c r="L860" s="45">
        <v>0</v>
      </c>
      <c r="M860" s="53">
        <v>0</v>
      </c>
      <c r="N860" s="40">
        <f t="shared" si="265"/>
        <v>0</v>
      </c>
      <c r="P860" s="40">
        <f t="shared" si="266"/>
        <v>0</v>
      </c>
      <c r="Q860" s="45"/>
      <c r="R860" s="53"/>
      <c r="S860" s="40">
        <f t="shared" si="267"/>
        <v>0</v>
      </c>
      <c r="U860" s="40">
        <f t="shared" si="268"/>
        <v>0</v>
      </c>
      <c r="V860" s="51">
        <v>0</v>
      </c>
      <c r="W860" s="51">
        <v>0</v>
      </c>
      <c r="X860" s="40">
        <f t="shared" si="269"/>
        <v>0</v>
      </c>
      <c r="AA860" s="40">
        <f t="shared" si="270"/>
        <v>0</v>
      </c>
      <c r="AB860" s="40">
        <f t="shared" si="271"/>
        <v>0</v>
      </c>
      <c r="AC860" s="67"/>
    </row>
    <row r="861" spans="6:29" x14ac:dyDescent="0.25">
      <c r="F861" s="45" t="str">
        <f t="shared" si="262"/>
        <v xml:space="preserve">S/F  </v>
      </c>
      <c r="G861" s="45">
        <v>0</v>
      </c>
      <c r="H861" s="53">
        <v>0</v>
      </c>
      <c r="I861" s="40">
        <f t="shared" si="263"/>
        <v>0</v>
      </c>
      <c r="J861" s="53"/>
      <c r="K861" s="40">
        <f t="shared" si="264"/>
        <v>0</v>
      </c>
      <c r="L861" s="45">
        <v>0</v>
      </c>
      <c r="M861" s="53">
        <v>0</v>
      </c>
      <c r="N861" s="40">
        <f t="shared" si="265"/>
        <v>0</v>
      </c>
      <c r="P861" s="40">
        <f t="shared" si="266"/>
        <v>0</v>
      </c>
      <c r="Q861" s="45"/>
      <c r="R861" s="53"/>
      <c r="S861" s="40">
        <f t="shared" si="267"/>
        <v>0</v>
      </c>
      <c r="U861" s="40">
        <f t="shared" si="268"/>
        <v>0</v>
      </c>
      <c r="V861" s="51">
        <v>0</v>
      </c>
      <c r="W861" s="51">
        <v>0</v>
      </c>
      <c r="X861" s="40">
        <f t="shared" si="269"/>
        <v>0</v>
      </c>
      <c r="AA861" s="40">
        <f t="shared" si="270"/>
        <v>0</v>
      </c>
      <c r="AB861" s="40">
        <f t="shared" si="271"/>
        <v>0</v>
      </c>
      <c r="AC861" s="67"/>
    </row>
    <row r="862" spans="6:29" x14ac:dyDescent="0.25">
      <c r="F862" s="45" t="str">
        <f t="shared" si="262"/>
        <v xml:space="preserve">S/F  </v>
      </c>
      <c r="G862" s="45">
        <v>0</v>
      </c>
      <c r="H862" s="53">
        <v>0</v>
      </c>
      <c r="I862" s="40">
        <f t="shared" si="263"/>
        <v>0</v>
      </c>
      <c r="J862" s="53"/>
      <c r="K862" s="40">
        <f t="shared" si="264"/>
        <v>0</v>
      </c>
      <c r="L862" s="45">
        <v>0</v>
      </c>
      <c r="M862" s="53">
        <v>0</v>
      </c>
      <c r="N862" s="40">
        <f t="shared" si="265"/>
        <v>0</v>
      </c>
      <c r="P862" s="40">
        <f t="shared" si="266"/>
        <v>0</v>
      </c>
      <c r="Q862" s="45"/>
      <c r="R862" s="53"/>
      <c r="S862" s="40">
        <f t="shared" si="267"/>
        <v>0</v>
      </c>
      <c r="U862" s="40">
        <f t="shared" si="268"/>
        <v>0</v>
      </c>
      <c r="V862" s="51">
        <v>0</v>
      </c>
      <c r="W862" s="51">
        <v>0</v>
      </c>
      <c r="X862" s="40">
        <f t="shared" si="269"/>
        <v>0</v>
      </c>
      <c r="AA862" s="40">
        <f t="shared" si="270"/>
        <v>0</v>
      </c>
      <c r="AB862" s="40">
        <f t="shared" si="271"/>
        <v>0</v>
      </c>
      <c r="AC862" s="67"/>
    </row>
    <row r="863" spans="6:29" x14ac:dyDescent="0.25">
      <c r="F863" s="45" t="str">
        <f t="shared" si="262"/>
        <v xml:space="preserve">S/F  </v>
      </c>
      <c r="G863" s="45">
        <v>0</v>
      </c>
      <c r="H863" s="53">
        <v>0</v>
      </c>
      <c r="I863" s="40">
        <f t="shared" si="263"/>
        <v>0</v>
      </c>
      <c r="J863" s="53"/>
      <c r="K863" s="40">
        <f t="shared" si="264"/>
        <v>0</v>
      </c>
      <c r="L863" s="45">
        <v>0</v>
      </c>
      <c r="M863" s="53">
        <v>0</v>
      </c>
      <c r="N863" s="40">
        <f t="shared" si="265"/>
        <v>0</v>
      </c>
      <c r="P863" s="40">
        <f t="shared" si="266"/>
        <v>0</v>
      </c>
      <c r="Q863" s="45"/>
      <c r="R863" s="53"/>
      <c r="S863" s="40">
        <f t="shared" si="267"/>
        <v>0</v>
      </c>
      <c r="U863" s="40">
        <f t="shared" si="268"/>
        <v>0</v>
      </c>
      <c r="V863" s="51">
        <v>0</v>
      </c>
      <c r="W863" s="51">
        <v>0</v>
      </c>
      <c r="X863" s="40">
        <f t="shared" si="269"/>
        <v>0</v>
      </c>
      <c r="AA863" s="40">
        <f t="shared" si="270"/>
        <v>0</v>
      </c>
      <c r="AB863" s="40">
        <f t="shared" si="271"/>
        <v>0</v>
      </c>
      <c r="AC863" s="67"/>
    </row>
    <row r="864" spans="6:29" x14ac:dyDescent="0.25">
      <c r="F864" s="45" t="str">
        <f t="shared" si="262"/>
        <v xml:space="preserve">S/F  </v>
      </c>
      <c r="G864" s="45">
        <v>0</v>
      </c>
      <c r="H864" s="53">
        <v>0</v>
      </c>
      <c r="I864" s="40">
        <f t="shared" si="263"/>
        <v>0</v>
      </c>
      <c r="J864" s="53"/>
      <c r="K864" s="40">
        <f t="shared" si="264"/>
        <v>0</v>
      </c>
      <c r="L864" s="45">
        <v>0</v>
      </c>
      <c r="M864" s="53">
        <v>0</v>
      </c>
      <c r="N864" s="40">
        <f t="shared" si="265"/>
        <v>0</v>
      </c>
      <c r="P864" s="40">
        <f t="shared" si="266"/>
        <v>0</v>
      </c>
      <c r="Q864" s="45"/>
      <c r="R864" s="53"/>
      <c r="S864" s="40">
        <f t="shared" si="267"/>
        <v>0</v>
      </c>
      <c r="U864" s="40">
        <f t="shared" si="268"/>
        <v>0</v>
      </c>
      <c r="V864" s="51">
        <v>0</v>
      </c>
      <c r="W864" s="51">
        <v>0</v>
      </c>
      <c r="X864" s="40">
        <f t="shared" si="269"/>
        <v>0</v>
      </c>
      <c r="AA864" s="40">
        <f t="shared" si="270"/>
        <v>0</v>
      </c>
      <c r="AB864" s="40">
        <f t="shared" si="271"/>
        <v>0</v>
      </c>
      <c r="AC864" s="67"/>
    </row>
    <row r="865" spans="6:29" x14ac:dyDescent="0.25">
      <c r="F865" s="45" t="str">
        <f t="shared" si="262"/>
        <v xml:space="preserve">S/F  </v>
      </c>
      <c r="G865" s="45">
        <v>0</v>
      </c>
      <c r="H865" s="53">
        <v>0</v>
      </c>
      <c r="I865" s="40">
        <f t="shared" si="263"/>
        <v>0</v>
      </c>
      <c r="J865" s="53"/>
      <c r="K865" s="40">
        <f t="shared" si="264"/>
        <v>0</v>
      </c>
      <c r="L865" s="45">
        <v>0</v>
      </c>
      <c r="M865" s="53">
        <v>0</v>
      </c>
      <c r="N865" s="40">
        <f t="shared" si="265"/>
        <v>0</v>
      </c>
      <c r="P865" s="40">
        <f t="shared" si="266"/>
        <v>0</v>
      </c>
      <c r="Q865" s="45"/>
      <c r="R865" s="53"/>
      <c r="S865" s="40">
        <f t="shared" si="267"/>
        <v>0</v>
      </c>
      <c r="U865" s="40">
        <f t="shared" si="268"/>
        <v>0</v>
      </c>
      <c r="V865" s="51">
        <v>0</v>
      </c>
      <c r="W865" s="51">
        <v>0</v>
      </c>
      <c r="X865" s="40">
        <f t="shared" si="269"/>
        <v>0</v>
      </c>
      <c r="AA865" s="40">
        <f t="shared" si="270"/>
        <v>0</v>
      </c>
      <c r="AB865" s="40">
        <f t="shared" si="271"/>
        <v>0</v>
      </c>
      <c r="AC865" s="67"/>
    </row>
    <row r="866" spans="6:29" x14ac:dyDescent="0.25">
      <c r="F866" s="45" t="str">
        <f t="shared" si="262"/>
        <v xml:space="preserve">S/F  </v>
      </c>
      <c r="G866" s="45">
        <v>0</v>
      </c>
      <c r="H866" s="53">
        <v>0</v>
      </c>
      <c r="I866" s="40">
        <f t="shared" si="263"/>
        <v>0</v>
      </c>
      <c r="J866" s="53"/>
      <c r="K866" s="40">
        <f t="shared" si="264"/>
        <v>0</v>
      </c>
      <c r="L866" s="45">
        <v>0</v>
      </c>
      <c r="M866" s="53">
        <v>0</v>
      </c>
      <c r="N866" s="40">
        <f t="shared" si="265"/>
        <v>0</v>
      </c>
      <c r="P866" s="40">
        <f t="shared" si="266"/>
        <v>0</v>
      </c>
      <c r="Q866" s="45"/>
      <c r="R866" s="53"/>
      <c r="S866" s="40">
        <f t="shared" si="267"/>
        <v>0</v>
      </c>
      <c r="U866" s="40">
        <f t="shared" si="268"/>
        <v>0</v>
      </c>
      <c r="V866" s="51">
        <v>0</v>
      </c>
      <c r="W866" s="51">
        <v>0</v>
      </c>
      <c r="X866" s="40">
        <f t="shared" si="269"/>
        <v>0</v>
      </c>
      <c r="AA866" s="40">
        <f t="shared" si="270"/>
        <v>0</v>
      </c>
      <c r="AB866" s="40">
        <f t="shared" si="271"/>
        <v>0</v>
      </c>
      <c r="AC866" s="67"/>
    </row>
    <row r="867" spans="6:29" x14ac:dyDescent="0.25">
      <c r="F867" s="45" t="str">
        <f t="shared" si="262"/>
        <v xml:space="preserve">S/F  </v>
      </c>
      <c r="G867" s="45">
        <v>0</v>
      </c>
      <c r="H867" s="53">
        <v>0</v>
      </c>
      <c r="I867" s="40">
        <f t="shared" si="263"/>
        <v>0</v>
      </c>
      <c r="J867" s="53"/>
      <c r="K867" s="40">
        <f t="shared" si="264"/>
        <v>0</v>
      </c>
      <c r="L867" s="45">
        <v>0</v>
      </c>
      <c r="M867" s="53">
        <v>0</v>
      </c>
      <c r="N867" s="40">
        <f t="shared" si="265"/>
        <v>0</v>
      </c>
      <c r="P867" s="40">
        <f t="shared" si="266"/>
        <v>0</v>
      </c>
      <c r="Q867" s="45"/>
      <c r="R867" s="53"/>
      <c r="S867" s="40">
        <f t="shared" si="267"/>
        <v>0</v>
      </c>
      <c r="U867" s="40">
        <f t="shared" si="268"/>
        <v>0</v>
      </c>
      <c r="V867" s="51">
        <v>0</v>
      </c>
      <c r="W867" s="51">
        <v>0</v>
      </c>
      <c r="X867" s="40">
        <f t="shared" si="269"/>
        <v>0</v>
      </c>
      <c r="AA867" s="40">
        <f t="shared" si="270"/>
        <v>0</v>
      </c>
      <c r="AB867" s="40">
        <f t="shared" si="271"/>
        <v>0</v>
      </c>
      <c r="AC867" s="67"/>
    </row>
    <row r="868" spans="6:29" x14ac:dyDescent="0.25">
      <c r="F868" s="45" t="str">
        <f t="shared" si="262"/>
        <v xml:space="preserve">S/F  </v>
      </c>
      <c r="G868" s="45">
        <v>0</v>
      </c>
      <c r="H868" s="53">
        <v>0</v>
      </c>
      <c r="I868" s="40">
        <f t="shared" si="263"/>
        <v>0</v>
      </c>
      <c r="J868" s="53"/>
      <c r="K868" s="40">
        <f t="shared" si="264"/>
        <v>0</v>
      </c>
      <c r="L868" s="45">
        <v>0</v>
      </c>
      <c r="M868" s="53">
        <v>0</v>
      </c>
      <c r="N868" s="40">
        <f t="shared" si="265"/>
        <v>0</v>
      </c>
      <c r="P868" s="40">
        <f t="shared" si="266"/>
        <v>0</v>
      </c>
      <c r="Q868" s="45"/>
      <c r="R868" s="53"/>
      <c r="S868" s="40">
        <f t="shared" si="267"/>
        <v>0</v>
      </c>
      <c r="U868" s="40">
        <f t="shared" si="268"/>
        <v>0</v>
      </c>
      <c r="V868" s="51">
        <v>0</v>
      </c>
      <c r="W868" s="51">
        <v>0</v>
      </c>
      <c r="X868" s="40">
        <f t="shared" si="269"/>
        <v>0</v>
      </c>
      <c r="AA868" s="40">
        <f t="shared" si="270"/>
        <v>0</v>
      </c>
      <c r="AB868" s="40">
        <f t="shared" si="271"/>
        <v>0</v>
      </c>
      <c r="AC868" s="67"/>
    </row>
    <row r="869" spans="6:29" x14ac:dyDescent="0.25">
      <c r="F869" s="45" t="str">
        <f t="shared" si="262"/>
        <v xml:space="preserve">S/F  </v>
      </c>
      <c r="G869" s="45">
        <v>0</v>
      </c>
      <c r="H869" s="53">
        <v>0</v>
      </c>
      <c r="I869" s="40">
        <f t="shared" si="263"/>
        <v>0</v>
      </c>
      <c r="J869" s="53"/>
      <c r="K869" s="40">
        <f t="shared" si="264"/>
        <v>0</v>
      </c>
      <c r="L869" s="45">
        <v>0</v>
      </c>
      <c r="M869" s="53">
        <v>0</v>
      </c>
      <c r="N869" s="40">
        <f t="shared" si="265"/>
        <v>0</v>
      </c>
      <c r="P869" s="40">
        <f t="shared" si="266"/>
        <v>0</v>
      </c>
      <c r="Q869" s="45"/>
      <c r="R869" s="53"/>
      <c r="S869" s="40">
        <f t="shared" si="267"/>
        <v>0</v>
      </c>
      <c r="U869" s="40">
        <f t="shared" si="268"/>
        <v>0</v>
      </c>
      <c r="V869" s="51">
        <v>0</v>
      </c>
      <c r="W869" s="51">
        <v>0</v>
      </c>
      <c r="X869" s="40">
        <f t="shared" si="269"/>
        <v>0</v>
      </c>
      <c r="AA869" s="40">
        <f t="shared" si="270"/>
        <v>0</v>
      </c>
      <c r="AB869" s="40">
        <f t="shared" si="271"/>
        <v>0</v>
      </c>
      <c r="AC869" s="67"/>
    </row>
    <row r="870" spans="6:29" x14ac:dyDescent="0.25">
      <c r="F870" s="45" t="str">
        <f t="shared" si="262"/>
        <v xml:space="preserve">S/F  </v>
      </c>
      <c r="G870" s="45">
        <v>0</v>
      </c>
      <c r="H870" s="53">
        <v>0</v>
      </c>
      <c r="I870" s="40">
        <f t="shared" si="263"/>
        <v>0</v>
      </c>
      <c r="J870" s="53"/>
      <c r="K870" s="40">
        <f t="shared" si="264"/>
        <v>0</v>
      </c>
      <c r="L870" s="45">
        <v>0</v>
      </c>
      <c r="M870" s="53">
        <v>0</v>
      </c>
      <c r="N870" s="40">
        <f t="shared" si="265"/>
        <v>0</v>
      </c>
      <c r="P870" s="40">
        <f t="shared" si="266"/>
        <v>0</v>
      </c>
      <c r="Q870" s="45"/>
      <c r="R870" s="53"/>
      <c r="S870" s="40">
        <f t="shared" si="267"/>
        <v>0</v>
      </c>
      <c r="U870" s="40">
        <f t="shared" si="268"/>
        <v>0</v>
      </c>
      <c r="V870" s="51">
        <v>0</v>
      </c>
      <c r="W870" s="51">
        <v>0</v>
      </c>
      <c r="X870" s="40">
        <f t="shared" si="269"/>
        <v>0</v>
      </c>
      <c r="AA870" s="40">
        <f t="shared" si="270"/>
        <v>0</v>
      </c>
      <c r="AB870" s="40">
        <f t="shared" si="271"/>
        <v>0</v>
      </c>
      <c r="AC870" s="67"/>
    </row>
    <row r="871" spans="6:29" x14ac:dyDescent="0.25">
      <c r="F871" s="45" t="str">
        <f t="shared" si="262"/>
        <v xml:space="preserve">S/F  </v>
      </c>
      <c r="G871" s="45">
        <v>0</v>
      </c>
      <c r="H871" s="53">
        <v>0</v>
      </c>
      <c r="I871" s="40">
        <f t="shared" si="263"/>
        <v>0</v>
      </c>
      <c r="J871" s="53"/>
      <c r="K871" s="40">
        <f t="shared" si="264"/>
        <v>0</v>
      </c>
      <c r="L871" s="45">
        <v>0</v>
      </c>
      <c r="M871" s="53">
        <v>0</v>
      </c>
      <c r="N871" s="40">
        <f t="shared" si="265"/>
        <v>0</v>
      </c>
      <c r="P871" s="40">
        <f t="shared" si="266"/>
        <v>0</v>
      </c>
      <c r="Q871" s="45"/>
      <c r="R871" s="53"/>
      <c r="S871" s="40">
        <f t="shared" si="267"/>
        <v>0</v>
      </c>
      <c r="U871" s="40">
        <f t="shared" si="268"/>
        <v>0</v>
      </c>
      <c r="V871" s="51">
        <v>0</v>
      </c>
      <c r="W871" s="51">
        <v>0</v>
      </c>
      <c r="X871" s="40">
        <f t="shared" si="269"/>
        <v>0</v>
      </c>
      <c r="AA871" s="40">
        <f t="shared" si="270"/>
        <v>0</v>
      </c>
      <c r="AB871" s="40">
        <f t="shared" si="271"/>
        <v>0</v>
      </c>
      <c r="AC871" s="67"/>
    </row>
    <row r="872" spans="6:29" x14ac:dyDescent="0.25">
      <c r="F872" s="45" t="str">
        <f t="shared" si="262"/>
        <v xml:space="preserve">S/F  </v>
      </c>
      <c r="G872" s="45">
        <v>0</v>
      </c>
      <c r="H872" s="53">
        <v>0</v>
      </c>
      <c r="I872" s="40">
        <f t="shared" si="263"/>
        <v>0</v>
      </c>
      <c r="J872" s="53"/>
      <c r="K872" s="40">
        <f t="shared" si="264"/>
        <v>0</v>
      </c>
      <c r="L872" s="45">
        <v>0</v>
      </c>
      <c r="M872" s="53">
        <v>0</v>
      </c>
      <c r="N872" s="40">
        <f t="shared" si="265"/>
        <v>0</v>
      </c>
      <c r="P872" s="40">
        <f t="shared" si="266"/>
        <v>0</v>
      </c>
      <c r="Q872" s="45"/>
      <c r="R872" s="53"/>
      <c r="S872" s="40">
        <f t="shared" si="267"/>
        <v>0</v>
      </c>
      <c r="U872" s="40">
        <f t="shared" si="268"/>
        <v>0</v>
      </c>
      <c r="V872" s="51">
        <v>0</v>
      </c>
      <c r="W872" s="51">
        <v>0</v>
      </c>
      <c r="X872" s="40">
        <f t="shared" si="269"/>
        <v>0</v>
      </c>
      <c r="AA872" s="40">
        <f t="shared" si="270"/>
        <v>0</v>
      </c>
      <c r="AB872" s="40">
        <f t="shared" si="271"/>
        <v>0</v>
      </c>
      <c r="AC872" s="67"/>
    </row>
    <row r="873" spans="6:29" x14ac:dyDescent="0.25">
      <c r="F873" s="45" t="str">
        <f t="shared" si="262"/>
        <v xml:space="preserve">S/F  </v>
      </c>
      <c r="G873" s="45">
        <v>0</v>
      </c>
      <c r="H873" s="53">
        <v>0</v>
      </c>
      <c r="I873" s="40">
        <f t="shared" si="263"/>
        <v>0</v>
      </c>
      <c r="J873" s="53"/>
      <c r="K873" s="40">
        <f t="shared" si="264"/>
        <v>0</v>
      </c>
      <c r="L873" s="45">
        <v>0</v>
      </c>
      <c r="M873" s="53">
        <v>0</v>
      </c>
      <c r="N873" s="40">
        <f t="shared" si="265"/>
        <v>0</v>
      </c>
      <c r="P873" s="40">
        <f t="shared" si="266"/>
        <v>0</v>
      </c>
      <c r="Q873" s="45"/>
      <c r="R873" s="53"/>
      <c r="S873" s="40">
        <f t="shared" si="267"/>
        <v>0</v>
      </c>
      <c r="U873" s="40">
        <f t="shared" si="268"/>
        <v>0</v>
      </c>
      <c r="V873" s="51">
        <v>0</v>
      </c>
      <c r="W873" s="51">
        <v>0</v>
      </c>
      <c r="X873" s="40">
        <f t="shared" si="269"/>
        <v>0</v>
      </c>
      <c r="AA873" s="40">
        <f t="shared" si="270"/>
        <v>0</v>
      </c>
      <c r="AB873" s="40">
        <f t="shared" si="271"/>
        <v>0</v>
      </c>
      <c r="AC873" s="67"/>
    </row>
    <row r="874" spans="6:29" x14ac:dyDescent="0.25">
      <c r="F874" s="45" t="str">
        <f t="shared" si="262"/>
        <v xml:space="preserve">S/F  </v>
      </c>
      <c r="G874" s="45">
        <v>0</v>
      </c>
      <c r="H874" s="53">
        <v>0</v>
      </c>
      <c r="I874" s="40">
        <f t="shared" si="263"/>
        <v>0</v>
      </c>
      <c r="J874" s="53"/>
      <c r="K874" s="40">
        <f t="shared" si="264"/>
        <v>0</v>
      </c>
      <c r="L874" s="45">
        <v>0</v>
      </c>
      <c r="M874" s="53">
        <v>0</v>
      </c>
      <c r="N874" s="40">
        <f t="shared" si="265"/>
        <v>0</v>
      </c>
      <c r="P874" s="40">
        <f t="shared" si="266"/>
        <v>0</v>
      </c>
      <c r="Q874" s="45"/>
      <c r="R874" s="53"/>
      <c r="S874" s="40">
        <f t="shared" si="267"/>
        <v>0</v>
      </c>
      <c r="U874" s="40">
        <f t="shared" si="268"/>
        <v>0</v>
      </c>
      <c r="V874" s="51">
        <v>0</v>
      </c>
      <c r="W874" s="51">
        <v>0</v>
      </c>
      <c r="X874" s="40">
        <f t="shared" si="269"/>
        <v>0</v>
      </c>
      <c r="AA874" s="40">
        <f t="shared" si="270"/>
        <v>0</v>
      </c>
      <c r="AB874" s="40">
        <f t="shared" si="271"/>
        <v>0</v>
      </c>
      <c r="AC874" s="67"/>
    </row>
    <row r="875" spans="6:29" x14ac:dyDescent="0.25">
      <c r="F875" s="45" t="str">
        <f t="shared" si="262"/>
        <v xml:space="preserve">S/F  </v>
      </c>
      <c r="G875" s="45">
        <v>0</v>
      </c>
      <c r="H875" s="53">
        <v>0</v>
      </c>
      <c r="I875" s="40">
        <f t="shared" si="263"/>
        <v>0</v>
      </c>
      <c r="J875" s="53"/>
      <c r="K875" s="40">
        <f t="shared" si="264"/>
        <v>0</v>
      </c>
      <c r="L875" s="45">
        <v>0</v>
      </c>
      <c r="M875" s="53">
        <v>0</v>
      </c>
      <c r="N875" s="40">
        <f t="shared" si="265"/>
        <v>0</v>
      </c>
      <c r="P875" s="40">
        <f t="shared" si="266"/>
        <v>0</v>
      </c>
      <c r="Q875" s="45"/>
      <c r="R875" s="53"/>
      <c r="S875" s="40">
        <f t="shared" si="267"/>
        <v>0</v>
      </c>
      <c r="U875" s="40">
        <f t="shared" si="268"/>
        <v>0</v>
      </c>
      <c r="V875" s="51">
        <v>0</v>
      </c>
      <c r="W875" s="51">
        <v>0</v>
      </c>
      <c r="X875" s="40">
        <f t="shared" si="269"/>
        <v>0</v>
      </c>
      <c r="AA875" s="40">
        <f t="shared" si="270"/>
        <v>0</v>
      </c>
      <c r="AB875" s="40">
        <f t="shared" si="271"/>
        <v>0</v>
      </c>
      <c r="AC875" s="67"/>
    </row>
    <row r="876" spans="6:29" x14ac:dyDescent="0.25">
      <c r="F876" s="45" t="str">
        <f t="shared" si="262"/>
        <v xml:space="preserve">S/F  </v>
      </c>
      <c r="G876" s="45">
        <v>0</v>
      </c>
      <c r="H876" s="53">
        <v>0</v>
      </c>
      <c r="I876" s="40">
        <f t="shared" si="263"/>
        <v>0</v>
      </c>
      <c r="J876" s="53"/>
      <c r="K876" s="40">
        <f t="shared" si="264"/>
        <v>0</v>
      </c>
      <c r="L876" s="45">
        <v>0</v>
      </c>
      <c r="M876" s="53">
        <v>0</v>
      </c>
      <c r="N876" s="40">
        <f t="shared" si="265"/>
        <v>0</v>
      </c>
      <c r="P876" s="40">
        <f t="shared" si="266"/>
        <v>0</v>
      </c>
      <c r="Q876" s="45"/>
      <c r="R876" s="53"/>
      <c r="S876" s="40">
        <f t="shared" si="267"/>
        <v>0</v>
      </c>
      <c r="U876" s="40">
        <f t="shared" si="268"/>
        <v>0</v>
      </c>
      <c r="V876" s="51">
        <v>0</v>
      </c>
      <c r="W876" s="51">
        <v>0</v>
      </c>
      <c r="X876" s="40">
        <f t="shared" si="269"/>
        <v>0</v>
      </c>
      <c r="AA876" s="40">
        <f t="shared" si="270"/>
        <v>0</v>
      </c>
      <c r="AB876" s="40">
        <f t="shared" si="271"/>
        <v>0</v>
      </c>
      <c r="AC876" s="67"/>
    </row>
    <row r="877" spans="6:29" x14ac:dyDescent="0.25">
      <c r="F877" s="45" t="str">
        <f t="shared" si="262"/>
        <v xml:space="preserve">S/F  </v>
      </c>
      <c r="G877" s="45">
        <v>0</v>
      </c>
      <c r="H877" s="53">
        <v>0</v>
      </c>
      <c r="I877" s="40">
        <f t="shared" si="263"/>
        <v>0</v>
      </c>
      <c r="J877" s="53"/>
      <c r="K877" s="40">
        <f t="shared" si="264"/>
        <v>0</v>
      </c>
      <c r="L877" s="45">
        <v>0</v>
      </c>
      <c r="M877" s="53">
        <v>0</v>
      </c>
      <c r="N877" s="40">
        <f t="shared" si="265"/>
        <v>0</v>
      </c>
      <c r="P877" s="40">
        <f t="shared" si="266"/>
        <v>0</v>
      </c>
      <c r="Q877" s="45"/>
      <c r="R877" s="53"/>
      <c r="S877" s="40">
        <f t="shared" si="267"/>
        <v>0</v>
      </c>
      <c r="U877" s="40">
        <f t="shared" si="268"/>
        <v>0</v>
      </c>
      <c r="V877" s="51">
        <v>0</v>
      </c>
      <c r="W877" s="51">
        <v>0</v>
      </c>
      <c r="X877" s="40">
        <f t="shared" si="269"/>
        <v>0</v>
      </c>
      <c r="AA877" s="40">
        <f t="shared" si="270"/>
        <v>0</v>
      </c>
      <c r="AB877" s="40">
        <f t="shared" si="271"/>
        <v>0</v>
      </c>
      <c r="AC877" s="67"/>
    </row>
    <row r="878" spans="6:29" x14ac:dyDescent="0.25">
      <c r="F878" s="45" t="str">
        <f t="shared" si="262"/>
        <v xml:space="preserve">S/F  </v>
      </c>
      <c r="G878" s="45">
        <v>0</v>
      </c>
      <c r="H878" s="53">
        <v>0</v>
      </c>
      <c r="I878" s="40">
        <f t="shared" si="263"/>
        <v>0</v>
      </c>
      <c r="J878" s="53"/>
      <c r="K878" s="40">
        <f t="shared" si="264"/>
        <v>0</v>
      </c>
      <c r="L878" s="45">
        <v>0</v>
      </c>
      <c r="M878" s="53">
        <v>0</v>
      </c>
      <c r="N878" s="40">
        <f t="shared" si="265"/>
        <v>0</v>
      </c>
      <c r="P878" s="40">
        <f t="shared" si="266"/>
        <v>0</v>
      </c>
      <c r="Q878" s="45"/>
      <c r="R878" s="53"/>
      <c r="S878" s="40">
        <f t="shared" si="267"/>
        <v>0</v>
      </c>
      <c r="U878" s="40">
        <f t="shared" si="268"/>
        <v>0</v>
      </c>
      <c r="V878" s="51">
        <v>0</v>
      </c>
      <c r="W878" s="51">
        <v>0</v>
      </c>
      <c r="X878" s="40">
        <f t="shared" si="269"/>
        <v>0</v>
      </c>
      <c r="AA878" s="40">
        <f t="shared" si="270"/>
        <v>0</v>
      </c>
      <c r="AB878" s="40">
        <f t="shared" si="271"/>
        <v>0</v>
      </c>
      <c r="AC878" s="67"/>
    </row>
    <row r="879" spans="6:29" x14ac:dyDescent="0.25">
      <c r="F879" s="45" t="str">
        <f t="shared" si="262"/>
        <v xml:space="preserve">S/F  </v>
      </c>
      <c r="G879" s="45">
        <v>0</v>
      </c>
      <c r="H879" s="53">
        <v>0</v>
      </c>
      <c r="I879" s="40">
        <f t="shared" si="263"/>
        <v>0</v>
      </c>
      <c r="J879" s="53"/>
      <c r="K879" s="40">
        <f t="shared" si="264"/>
        <v>0</v>
      </c>
      <c r="L879" s="45">
        <v>0</v>
      </c>
      <c r="M879" s="53">
        <v>0</v>
      </c>
      <c r="N879" s="40">
        <f t="shared" si="265"/>
        <v>0</v>
      </c>
      <c r="P879" s="40">
        <f t="shared" si="266"/>
        <v>0</v>
      </c>
      <c r="Q879" s="45"/>
      <c r="R879" s="53"/>
      <c r="S879" s="40">
        <f t="shared" si="267"/>
        <v>0</v>
      </c>
      <c r="U879" s="40">
        <f t="shared" si="268"/>
        <v>0</v>
      </c>
      <c r="V879" s="51">
        <v>0</v>
      </c>
      <c r="W879" s="51">
        <v>0</v>
      </c>
      <c r="X879" s="40">
        <f t="shared" si="269"/>
        <v>0</v>
      </c>
      <c r="AA879" s="40">
        <f t="shared" si="270"/>
        <v>0</v>
      </c>
      <c r="AB879" s="40">
        <f t="shared" si="271"/>
        <v>0</v>
      </c>
      <c r="AC879" s="67"/>
    </row>
    <row r="880" spans="6:29" x14ac:dyDescent="0.25">
      <c r="F880" s="45" t="str">
        <f t="shared" si="262"/>
        <v xml:space="preserve">S/F  </v>
      </c>
      <c r="G880" s="45">
        <v>0</v>
      </c>
      <c r="H880" s="53">
        <v>0</v>
      </c>
      <c r="I880" s="40">
        <f t="shared" si="263"/>
        <v>0</v>
      </c>
      <c r="J880" s="53"/>
      <c r="K880" s="40">
        <f t="shared" si="264"/>
        <v>0</v>
      </c>
      <c r="L880" s="45">
        <v>0</v>
      </c>
      <c r="M880" s="53">
        <v>0</v>
      </c>
      <c r="N880" s="40">
        <f t="shared" si="265"/>
        <v>0</v>
      </c>
      <c r="P880" s="40">
        <f t="shared" si="266"/>
        <v>0</v>
      </c>
      <c r="Q880" s="45"/>
      <c r="R880" s="53"/>
      <c r="S880" s="40">
        <f t="shared" si="267"/>
        <v>0</v>
      </c>
      <c r="U880" s="40">
        <f t="shared" si="268"/>
        <v>0</v>
      </c>
      <c r="V880" s="51">
        <v>0</v>
      </c>
      <c r="W880" s="51">
        <v>0</v>
      </c>
      <c r="X880" s="40">
        <f t="shared" si="269"/>
        <v>0</v>
      </c>
      <c r="AA880" s="40">
        <f t="shared" si="270"/>
        <v>0</v>
      </c>
      <c r="AB880" s="40">
        <f t="shared" si="271"/>
        <v>0</v>
      </c>
      <c r="AC880" s="67"/>
    </row>
    <row r="881" spans="6:29" x14ac:dyDescent="0.25">
      <c r="F881" s="45" t="str">
        <f t="shared" si="262"/>
        <v xml:space="preserve">S/F  </v>
      </c>
      <c r="G881" s="45">
        <v>0</v>
      </c>
      <c r="H881" s="53">
        <v>0</v>
      </c>
      <c r="I881" s="40">
        <f t="shared" si="263"/>
        <v>0</v>
      </c>
      <c r="J881" s="53"/>
      <c r="K881" s="40">
        <f t="shared" si="264"/>
        <v>0</v>
      </c>
      <c r="L881" s="45">
        <v>0</v>
      </c>
      <c r="M881" s="53">
        <v>0</v>
      </c>
      <c r="N881" s="40">
        <f t="shared" si="265"/>
        <v>0</v>
      </c>
      <c r="P881" s="40">
        <f t="shared" si="266"/>
        <v>0</v>
      </c>
      <c r="Q881" s="45"/>
      <c r="R881" s="53"/>
      <c r="S881" s="40">
        <f t="shared" si="267"/>
        <v>0</v>
      </c>
      <c r="U881" s="40">
        <f t="shared" si="268"/>
        <v>0</v>
      </c>
      <c r="V881" s="51">
        <v>0</v>
      </c>
      <c r="W881" s="51">
        <v>0</v>
      </c>
      <c r="X881" s="40">
        <f t="shared" si="269"/>
        <v>0</v>
      </c>
      <c r="AA881" s="40">
        <f t="shared" si="270"/>
        <v>0</v>
      </c>
      <c r="AB881" s="40">
        <f t="shared" si="271"/>
        <v>0</v>
      </c>
      <c r="AC881" s="67"/>
    </row>
    <row r="882" spans="6:29" x14ac:dyDescent="0.25">
      <c r="F882" s="45" t="str">
        <f t="shared" si="262"/>
        <v xml:space="preserve">S/F  </v>
      </c>
      <c r="G882" s="45">
        <v>0</v>
      </c>
      <c r="H882" s="53">
        <v>0</v>
      </c>
      <c r="I882" s="40">
        <f t="shared" si="263"/>
        <v>0</v>
      </c>
      <c r="J882" s="53"/>
      <c r="K882" s="40">
        <f t="shared" si="264"/>
        <v>0</v>
      </c>
      <c r="L882" s="45">
        <v>0</v>
      </c>
      <c r="M882" s="53">
        <v>0</v>
      </c>
      <c r="N882" s="40">
        <f t="shared" si="265"/>
        <v>0</v>
      </c>
      <c r="P882" s="40">
        <f t="shared" si="266"/>
        <v>0</v>
      </c>
      <c r="Q882" s="45"/>
      <c r="R882" s="53"/>
      <c r="S882" s="40">
        <f t="shared" si="267"/>
        <v>0</v>
      </c>
      <c r="U882" s="40">
        <f t="shared" si="268"/>
        <v>0</v>
      </c>
      <c r="V882" s="51">
        <v>0</v>
      </c>
      <c r="W882" s="51">
        <v>0</v>
      </c>
      <c r="X882" s="40">
        <f t="shared" si="269"/>
        <v>0</v>
      </c>
      <c r="AA882" s="40">
        <f t="shared" si="270"/>
        <v>0</v>
      </c>
      <c r="AB882" s="40">
        <f t="shared" si="271"/>
        <v>0</v>
      </c>
      <c r="AC882" s="67"/>
    </row>
    <row r="883" spans="6:29" x14ac:dyDescent="0.25">
      <c r="F883" s="45" t="str">
        <f t="shared" si="262"/>
        <v xml:space="preserve">S/F  </v>
      </c>
      <c r="G883" s="45">
        <v>0</v>
      </c>
      <c r="H883" s="53">
        <v>0</v>
      </c>
      <c r="I883" s="40">
        <f t="shared" si="263"/>
        <v>0</v>
      </c>
      <c r="J883" s="53"/>
      <c r="K883" s="40">
        <f t="shared" si="264"/>
        <v>0</v>
      </c>
      <c r="L883" s="45">
        <v>0</v>
      </c>
      <c r="M883" s="53">
        <v>0</v>
      </c>
      <c r="N883" s="40">
        <f t="shared" si="265"/>
        <v>0</v>
      </c>
      <c r="P883" s="40">
        <f t="shared" si="266"/>
        <v>0</v>
      </c>
      <c r="Q883" s="45"/>
      <c r="R883" s="53"/>
      <c r="S883" s="40">
        <f t="shared" si="267"/>
        <v>0</v>
      </c>
      <c r="U883" s="40">
        <f t="shared" si="268"/>
        <v>0</v>
      </c>
      <c r="V883" s="51">
        <v>0</v>
      </c>
      <c r="W883" s="51">
        <v>0</v>
      </c>
      <c r="X883" s="40">
        <f t="shared" si="269"/>
        <v>0</v>
      </c>
      <c r="AA883" s="40">
        <f t="shared" si="270"/>
        <v>0</v>
      </c>
      <c r="AB883" s="40">
        <f t="shared" si="271"/>
        <v>0</v>
      </c>
      <c r="AC883" s="67"/>
    </row>
    <row r="884" spans="6:29" x14ac:dyDescent="0.25">
      <c r="F884" s="45" t="str">
        <f t="shared" si="262"/>
        <v xml:space="preserve">S/F  </v>
      </c>
      <c r="G884" s="45">
        <v>0</v>
      </c>
      <c r="H884" s="53">
        <v>0</v>
      </c>
      <c r="I884" s="40">
        <f t="shared" si="263"/>
        <v>0</v>
      </c>
      <c r="J884" s="53"/>
      <c r="K884" s="40">
        <f t="shared" si="264"/>
        <v>0</v>
      </c>
      <c r="L884" s="45">
        <v>0</v>
      </c>
      <c r="M884" s="53">
        <v>0</v>
      </c>
      <c r="N884" s="40">
        <f t="shared" si="265"/>
        <v>0</v>
      </c>
      <c r="P884" s="40">
        <f t="shared" si="266"/>
        <v>0</v>
      </c>
      <c r="Q884" s="45"/>
      <c r="R884" s="53"/>
      <c r="S884" s="40">
        <f t="shared" si="267"/>
        <v>0</v>
      </c>
      <c r="U884" s="40">
        <f t="shared" si="268"/>
        <v>0</v>
      </c>
      <c r="V884" s="51">
        <v>0</v>
      </c>
      <c r="W884" s="51">
        <v>0</v>
      </c>
      <c r="X884" s="40">
        <f t="shared" si="269"/>
        <v>0</v>
      </c>
      <c r="AA884" s="40">
        <f t="shared" si="270"/>
        <v>0</v>
      </c>
      <c r="AB884" s="40">
        <f t="shared" si="271"/>
        <v>0</v>
      </c>
      <c r="AC884" s="67"/>
    </row>
    <row r="885" spans="6:29" x14ac:dyDescent="0.25">
      <c r="F885" s="45" t="str">
        <f t="shared" si="262"/>
        <v xml:space="preserve">S/F  </v>
      </c>
      <c r="G885" s="45">
        <v>0</v>
      </c>
      <c r="H885" s="53">
        <v>0</v>
      </c>
      <c r="I885" s="40">
        <f t="shared" si="263"/>
        <v>0</v>
      </c>
      <c r="J885" s="53"/>
      <c r="K885" s="40">
        <f t="shared" si="264"/>
        <v>0</v>
      </c>
      <c r="L885" s="45">
        <v>0</v>
      </c>
      <c r="M885" s="53">
        <v>0</v>
      </c>
      <c r="N885" s="40">
        <f t="shared" si="265"/>
        <v>0</v>
      </c>
      <c r="P885" s="40">
        <f t="shared" si="266"/>
        <v>0</v>
      </c>
      <c r="Q885" s="45"/>
      <c r="R885" s="53"/>
      <c r="S885" s="40">
        <f t="shared" si="267"/>
        <v>0</v>
      </c>
      <c r="U885" s="40">
        <f t="shared" si="268"/>
        <v>0</v>
      </c>
      <c r="V885" s="51">
        <v>0</v>
      </c>
      <c r="W885" s="51">
        <v>0</v>
      </c>
      <c r="X885" s="40">
        <f t="shared" si="269"/>
        <v>0</v>
      </c>
      <c r="AA885" s="40">
        <f t="shared" si="270"/>
        <v>0</v>
      </c>
      <c r="AB885" s="40">
        <f t="shared" si="271"/>
        <v>0</v>
      </c>
      <c r="AC885" s="67"/>
    </row>
    <row r="886" spans="6:29" x14ac:dyDescent="0.25">
      <c r="F886" s="45" t="str">
        <f t="shared" si="262"/>
        <v xml:space="preserve">S/F  </v>
      </c>
      <c r="G886" s="45">
        <v>0</v>
      </c>
      <c r="H886" s="53">
        <v>0</v>
      </c>
      <c r="I886" s="40">
        <f t="shared" si="263"/>
        <v>0</v>
      </c>
      <c r="J886" s="53"/>
      <c r="K886" s="40">
        <f t="shared" si="264"/>
        <v>0</v>
      </c>
      <c r="L886" s="45">
        <v>0</v>
      </c>
      <c r="M886" s="53">
        <v>0</v>
      </c>
      <c r="N886" s="40">
        <f t="shared" si="265"/>
        <v>0</v>
      </c>
      <c r="P886" s="40">
        <f t="shared" si="266"/>
        <v>0</v>
      </c>
      <c r="Q886" s="45"/>
      <c r="R886" s="53"/>
      <c r="S886" s="40">
        <f t="shared" si="267"/>
        <v>0</v>
      </c>
      <c r="U886" s="40">
        <f t="shared" si="268"/>
        <v>0</v>
      </c>
      <c r="V886" s="51">
        <v>0</v>
      </c>
      <c r="W886" s="51">
        <v>0</v>
      </c>
      <c r="X886" s="40">
        <f t="shared" si="269"/>
        <v>0</v>
      </c>
      <c r="AA886" s="40">
        <f t="shared" si="270"/>
        <v>0</v>
      </c>
      <c r="AB886" s="40">
        <f t="shared" si="271"/>
        <v>0</v>
      </c>
      <c r="AC886" s="67"/>
    </row>
    <row r="887" spans="6:29" x14ac:dyDescent="0.25">
      <c r="F887" s="45" t="str">
        <f t="shared" si="262"/>
        <v xml:space="preserve">S/F  </v>
      </c>
      <c r="G887" s="45">
        <v>0</v>
      </c>
      <c r="H887" s="53">
        <v>0</v>
      </c>
      <c r="I887" s="40">
        <f t="shared" si="263"/>
        <v>0</v>
      </c>
      <c r="J887" s="53"/>
      <c r="K887" s="40">
        <f t="shared" si="264"/>
        <v>0</v>
      </c>
      <c r="L887" s="45">
        <v>0</v>
      </c>
      <c r="M887" s="53">
        <v>0</v>
      </c>
      <c r="N887" s="40">
        <f t="shared" si="265"/>
        <v>0</v>
      </c>
      <c r="P887" s="40">
        <f t="shared" si="266"/>
        <v>0</v>
      </c>
      <c r="Q887" s="45"/>
      <c r="R887" s="53"/>
      <c r="S887" s="40">
        <f t="shared" si="267"/>
        <v>0</v>
      </c>
      <c r="U887" s="40">
        <f t="shared" si="268"/>
        <v>0</v>
      </c>
      <c r="V887" s="51">
        <v>0</v>
      </c>
      <c r="W887" s="51">
        <v>0</v>
      </c>
      <c r="X887" s="40">
        <f t="shared" si="269"/>
        <v>0</v>
      </c>
      <c r="AA887" s="40">
        <f t="shared" si="270"/>
        <v>0</v>
      </c>
      <c r="AB887" s="40">
        <f t="shared" si="271"/>
        <v>0</v>
      </c>
      <c r="AC887" s="67"/>
    </row>
    <row r="888" spans="6:29" x14ac:dyDescent="0.25">
      <c r="F888" s="45" t="str">
        <f t="shared" si="262"/>
        <v xml:space="preserve">S/F  </v>
      </c>
      <c r="G888" s="45">
        <v>0</v>
      </c>
      <c r="H888" s="53">
        <v>0</v>
      </c>
      <c r="I888" s="40">
        <f t="shared" si="263"/>
        <v>0</v>
      </c>
      <c r="J888" s="53"/>
      <c r="K888" s="40">
        <f t="shared" si="264"/>
        <v>0</v>
      </c>
      <c r="L888" s="45">
        <v>0</v>
      </c>
      <c r="M888" s="53">
        <v>0</v>
      </c>
      <c r="N888" s="40">
        <f t="shared" si="265"/>
        <v>0</v>
      </c>
      <c r="P888" s="40">
        <f t="shared" si="266"/>
        <v>0</v>
      </c>
      <c r="Q888" s="45"/>
      <c r="R888" s="53"/>
      <c r="S888" s="40">
        <f t="shared" si="267"/>
        <v>0</v>
      </c>
      <c r="U888" s="40">
        <f t="shared" si="268"/>
        <v>0</v>
      </c>
      <c r="V888" s="51">
        <v>0</v>
      </c>
      <c r="W888" s="51">
        <v>0</v>
      </c>
      <c r="X888" s="40">
        <f t="shared" si="269"/>
        <v>0</v>
      </c>
      <c r="AA888" s="40">
        <f t="shared" si="270"/>
        <v>0</v>
      </c>
      <c r="AB888" s="40">
        <f t="shared" si="271"/>
        <v>0</v>
      </c>
      <c r="AC888" s="67"/>
    </row>
    <row r="889" spans="6:29" x14ac:dyDescent="0.25">
      <c r="F889" s="45" t="str">
        <f t="shared" si="262"/>
        <v xml:space="preserve">S/F  </v>
      </c>
      <c r="G889" s="45">
        <v>0</v>
      </c>
      <c r="H889" s="53">
        <v>0</v>
      </c>
      <c r="I889" s="40">
        <f t="shared" si="263"/>
        <v>0</v>
      </c>
      <c r="J889" s="53"/>
      <c r="K889" s="40">
        <f t="shared" si="264"/>
        <v>0</v>
      </c>
      <c r="L889" s="45">
        <v>0</v>
      </c>
      <c r="M889" s="53">
        <v>0</v>
      </c>
      <c r="N889" s="40">
        <f t="shared" si="265"/>
        <v>0</v>
      </c>
      <c r="P889" s="40">
        <f t="shared" si="266"/>
        <v>0</v>
      </c>
      <c r="Q889" s="45"/>
      <c r="R889" s="53"/>
      <c r="S889" s="40">
        <f t="shared" si="267"/>
        <v>0</v>
      </c>
      <c r="U889" s="40">
        <f t="shared" si="268"/>
        <v>0</v>
      </c>
      <c r="V889" s="51">
        <v>0</v>
      </c>
      <c r="W889" s="51">
        <v>0</v>
      </c>
      <c r="X889" s="40">
        <f t="shared" si="269"/>
        <v>0</v>
      </c>
      <c r="AA889" s="40">
        <f t="shared" si="270"/>
        <v>0</v>
      </c>
      <c r="AB889" s="40">
        <f t="shared" si="271"/>
        <v>0</v>
      </c>
      <c r="AC889" s="67"/>
    </row>
    <row r="890" spans="6:29" x14ac:dyDescent="0.25">
      <c r="F890" s="45" t="str">
        <f t="shared" si="262"/>
        <v xml:space="preserve">S/F  </v>
      </c>
      <c r="G890" s="45">
        <v>0</v>
      </c>
      <c r="H890" s="53">
        <v>0</v>
      </c>
      <c r="I890" s="40">
        <f t="shared" si="263"/>
        <v>0</v>
      </c>
      <c r="J890" s="53"/>
      <c r="K890" s="40">
        <f t="shared" si="264"/>
        <v>0</v>
      </c>
      <c r="L890" s="45">
        <v>0</v>
      </c>
      <c r="M890" s="53">
        <v>0</v>
      </c>
      <c r="N890" s="40">
        <f t="shared" si="265"/>
        <v>0</v>
      </c>
      <c r="P890" s="40">
        <f t="shared" si="266"/>
        <v>0</v>
      </c>
      <c r="Q890" s="45"/>
      <c r="R890" s="53"/>
      <c r="S890" s="40">
        <f t="shared" si="267"/>
        <v>0</v>
      </c>
      <c r="U890" s="40">
        <f t="shared" si="268"/>
        <v>0</v>
      </c>
      <c r="V890" s="51">
        <v>0</v>
      </c>
      <c r="W890" s="51">
        <v>0</v>
      </c>
      <c r="X890" s="40">
        <f t="shared" si="269"/>
        <v>0</v>
      </c>
      <c r="AA890" s="40">
        <f t="shared" si="270"/>
        <v>0</v>
      </c>
      <c r="AB890" s="40">
        <f t="shared" si="271"/>
        <v>0</v>
      </c>
      <c r="AC890" s="67"/>
    </row>
    <row r="891" spans="6:29" x14ac:dyDescent="0.25">
      <c r="F891" s="45" t="str">
        <f t="shared" si="262"/>
        <v xml:space="preserve">S/F  </v>
      </c>
      <c r="G891" s="45">
        <v>0</v>
      </c>
      <c r="H891" s="53">
        <v>0</v>
      </c>
      <c r="I891" s="40">
        <f t="shared" si="263"/>
        <v>0</v>
      </c>
      <c r="J891" s="53"/>
      <c r="K891" s="40">
        <f t="shared" si="264"/>
        <v>0</v>
      </c>
      <c r="L891" s="45">
        <v>0</v>
      </c>
      <c r="M891" s="53">
        <v>0</v>
      </c>
      <c r="N891" s="40">
        <f t="shared" si="265"/>
        <v>0</v>
      </c>
      <c r="P891" s="40">
        <f t="shared" si="266"/>
        <v>0</v>
      </c>
      <c r="Q891" s="45"/>
      <c r="R891" s="53"/>
      <c r="S891" s="40">
        <f t="shared" si="267"/>
        <v>0</v>
      </c>
      <c r="U891" s="40">
        <f t="shared" si="268"/>
        <v>0</v>
      </c>
      <c r="V891" s="51">
        <v>0</v>
      </c>
      <c r="W891" s="51">
        <v>0</v>
      </c>
      <c r="X891" s="40">
        <f t="shared" si="269"/>
        <v>0</v>
      </c>
      <c r="AA891" s="40">
        <f t="shared" si="270"/>
        <v>0</v>
      </c>
      <c r="AB891" s="40">
        <f t="shared" si="271"/>
        <v>0</v>
      </c>
      <c r="AC891" s="67"/>
    </row>
    <row r="892" spans="6:29" x14ac:dyDescent="0.25">
      <c r="F892" s="45" t="str">
        <f t="shared" si="262"/>
        <v xml:space="preserve">S/F  </v>
      </c>
      <c r="G892" s="45">
        <v>0</v>
      </c>
      <c r="H892" s="53">
        <v>0</v>
      </c>
      <c r="I892" s="40">
        <f t="shared" si="263"/>
        <v>0</v>
      </c>
      <c r="J892" s="53"/>
      <c r="K892" s="40">
        <f t="shared" si="264"/>
        <v>0</v>
      </c>
      <c r="L892" s="45">
        <v>0</v>
      </c>
      <c r="M892" s="53">
        <v>0</v>
      </c>
      <c r="N892" s="40">
        <f t="shared" si="265"/>
        <v>0</v>
      </c>
      <c r="P892" s="40">
        <f t="shared" si="266"/>
        <v>0</v>
      </c>
      <c r="Q892" s="45"/>
      <c r="R892" s="53"/>
      <c r="S892" s="40">
        <f t="shared" si="267"/>
        <v>0</v>
      </c>
      <c r="U892" s="40">
        <f t="shared" si="268"/>
        <v>0</v>
      </c>
      <c r="V892" s="51">
        <v>0</v>
      </c>
      <c r="W892" s="51">
        <v>0</v>
      </c>
      <c r="X892" s="40">
        <f t="shared" si="269"/>
        <v>0</v>
      </c>
      <c r="AA892" s="40">
        <f t="shared" si="270"/>
        <v>0</v>
      </c>
      <c r="AB892" s="40">
        <f t="shared" si="271"/>
        <v>0</v>
      </c>
      <c r="AC892" s="67"/>
    </row>
    <row r="893" spans="6:29" x14ac:dyDescent="0.25">
      <c r="F893" s="45" t="str">
        <f t="shared" si="262"/>
        <v xml:space="preserve">S/F  </v>
      </c>
      <c r="G893" s="45">
        <v>0</v>
      </c>
      <c r="H893" s="53">
        <v>0</v>
      </c>
      <c r="I893" s="40">
        <f t="shared" si="263"/>
        <v>0</v>
      </c>
      <c r="J893" s="53"/>
      <c r="K893" s="40">
        <f t="shared" si="264"/>
        <v>0</v>
      </c>
      <c r="L893" s="45">
        <v>0</v>
      </c>
      <c r="M893" s="53">
        <v>0</v>
      </c>
      <c r="N893" s="40">
        <f t="shared" si="265"/>
        <v>0</v>
      </c>
      <c r="P893" s="40">
        <f t="shared" si="266"/>
        <v>0</v>
      </c>
      <c r="Q893" s="45"/>
      <c r="R893" s="53"/>
      <c r="S893" s="40">
        <f t="shared" si="267"/>
        <v>0</v>
      </c>
      <c r="U893" s="40">
        <f t="shared" si="268"/>
        <v>0</v>
      </c>
      <c r="V893" s="51">
        <v>0</v>
      </c>
      <c r="W893" s="51">
        <v>0</v>
      </c>
      <c r="X893" s="40">
        <f t="shared" si="269"/>
        <v>0</v>
      </c>
      <c r="AA893" s="40">
        <f t="shared" si="270"/>
        <v>0</v>
      </c>
      <c r="AB893" s="40">
        <f t="shared" si="271"/>
        <v>0</v>
      </c>
      <c r="AC893" s="67"/>
    </row>
    <row r="894" spans="6:29" x14ac:dyDescent="0.25">
      <c r="F894" s="45" t="str">
        <f t="shared" si="262"/>
        <v xml:space="preserve">S/F  </v>
      </c>
      <c r="G894" s="45">
        <v>0</v>
      </c>
      <c r="H894" s="53">
        <v>0</v>
      </c>
      <c r="I894" s="40">
        <f t="shared" si="263"/>
        <v>0</v>
      </c>
      <c r="J894" s="53"/>
      <c r="K894" s="40">
        <f t="shared" si="264"/>
        <v>0</v>
      </c>
      <c r="L894" s="45">
        <v>0</v>
      </c>
      <c r="M894" s="53">
        <v>0</v>
      </c>
      <c r="N894" s="40">
        <f t="shared" si="265"/>
        <v>0</v>
      </c>
      <c r="P894" s="40">
        <f t="shared" si="266"/>
        <v>0</v>
      </c>
      <c r="Q894" s="45"/>
      <c r="R894" s="53"/>
      <c r="S894" s="40">
        <f t="shared" si="267"/>
        <v>0</v>
      </c>
      <c r="U894" s="40">
        <f t="shared" si="268"/>
        <v>0</v>
      </c>
      <c r="V894" s="51">
        <v>0</v>
      </c>
      <c r="W894" s="51">
        <v>0</v>
      </c>
      <c r="X894" s="40">
        <f t="shared" si="269"/>
        <v>0</v>
      </c>
      <c r="AA894" s="40">
        <f t="shared" si="270"/>
        <v>0</v>
      </c>
      <c r="AB894" s="40">
        <f t="shared" si="271"/>
        <v>0</v>
      </c>
      <c r="AC894" s="67"/>
    </row>
    <row r="895" spans="6:29" x14ac:dyDescent="0.25">
      <c r="F895" s="45" t="str">
        <f t="shared" si="262"/>
        <v xml:space="preserve">S/F  </v>
      </c>
      <c r="G895" s="45">
        <v>0</v>
      </c>
      <c r="H895" s="53">
        <v>0</v>
      </c>
      <c r="I895" s="40">
        <f t="shared" si="263"/>
        <v>0</v>
      </c>
      <c r="J895" s="53"/>
      <c r="K895" s="40">
        <f t="shared" si="264"/>
        <v>0</v>
      </c>
      <c r="L895" s="45">
        <v>0</v>
      </c>
      <c r="M895" s="53">
        <v>0</v>
      </c>
      <c r="N895" s="40">
        <f t="shared" si="265"/>
        <v>0</v>
      </c>
      <c r="P895" s="40">
        <f t="shared" si="266"/>
        <v>0</v>
      </c>
      <c r="Q895" s="45"/>
      <c r="R895" s="53"/>
      <c r="S895" s="40">
        <f t="shared" si="267"/>
        <v>0</v>
      </c>
      <c r="U895" s="40">
        <f t="shared" si="268"/>
        <v>0</v>
      </c>
      <c r="V895" s="51">
        <v>0</v>
      </c>
      <c r="W895" s="51">
        <v>0</v>
      </c>
      <c r="X895" s="40">
        <f t="shared" si="269"/>
        <v>0</v>
      </c>
      <c r="AA895" s="40">
        <f t="shared" si="270"/>
        <v>0</v>
      </c>
      <c r="AB895" s="40">
        <f t="shared" si="271"/>
        <v>0</v>
      </c>
      <c r="AC895" s="67"/>
    </row>
    <row r="896" spans="6:29" x14ac:dyDescent="0.25">
      <c r="F896" s="45" t="str">
        <f t="shared" si="262"/>
        <v xml:space="preserve">S/F  </v>
      </c>
      <c r="G896" s="45">
        <v>0</v>
      </c>
      <c r="H896" s="53">
        <v>0</v>
      </c>
      <c r="I896" s="40">
        <f t="shared" si="263"/>
        <v>0</v>
      </c>
      <c r="J896" s="53"/>
      <c r="K896" s="40">
        <f t="shared" si="264"/>
        <v>0</v>
      </c>
      <c r="L896" s="45">
        <v>0</v>
      </c>
      <c r="M896" s="53">
        <v>0</v>
      </c>
      <c r="N896" s="40">
        <f t="shared" si="265"/>
        <v>0</v>
      </c>
      <c r="P896" s="40">
        <f t="shared" si="266"/>
        <v>0</v>
      </c>
      <c r="Q896" s="45"/>
      <c r="R896" s="53"/>
      <c r="S896" s="40">
        <f t="shared" si="267"/>
        <v>0</v>
      </c>
      <c r="U896" s="40">
        <f t="shared" si="268"/>
        <v>0</v>
      </c>
      <c r="V896" s="51">
        <v>0</v>
      </c>
      <c r="W896" s="51">
        <v>0</v>
      </c>
      <c r="X896" s="40">
        <f t="shared" si="269"/>
        <v>0</v>
      </c>
      <c r="AA896" s="40">
        <f t="shared" si="270"/>
        <v>0</v>
      </c>
      <c r="AB896" s="40">
        <f t="shared" si="271"/>
        <v>0</v>
      </c>
      <c r="AC896" s="67"/>
    </row>
    <row r="897" spans="6:29" x14ac:dyDescent="0.25">
      <c r="F897" s="45" t="str">
        <f t="shared" si="262"/>
        <v xml:space="preserve">S/F  </v>
      </c>
      <c r="G897" s="45">
        <v>0</v>
      </c>
      <c r="H897" s="53">
        <v>0</v>
      </c>
      <c r="I897" s="40">
        <f t="shared" si="263"/>
        <v>0</v>
      </c>
      <c r="J897" s="53"/>
      <c r="K897" s="40">
        <f t="shared" si="264"/>
        <v>0</v>
      </c>
      <c r="L897" s="45">
        <v>0</v>
      </c>
      <c r="M897" s="53">
        <v>0</v>
      </c>
      <c r="N897" s="40">
        <f t="shared" si="265"/>
        <v>0</v>
      </c>
      <c r="P897" s="40">
        <f t="shared" si="266"/>
        <v>0</v>
      </c>
      <c r="Q897" s="45"/>
      <c r="R897" s="53"/>
      <c r="S897" s="40">
        <f t="shared" si="267"/>
        <v>0</v>
      </c>
      <c r="U897" s="40">
        <f t="shared" si="268"/>
        <v>0</v>
      </c>
      <c r="V897" s="51">
        <v>0</v>
      </c>
      <c r="W897" s="51">
        <v>0</v>
      </c>
      <c r="X897" s="40">
        <f t="shared" si="269"/>
        <v>0</v>
      </c>
      <c r="AA897" s="40">
        <f t="shared" si="270"/>
        <v>0</v>
      </c>
      <c r="AB897" s="40">
        <f t="shared" si="271"/>
        <v>0</v>
      </c>
      <c r="AC897" s="67"/>
    </row>
    <row r="898" spans="6:29" x14ac:dyDescent="0.25">
      <c r="F898" s="45" t="str">
        <f t="shared" si="262"/>
        <v xml:space="preserve">S/F  </v>
      </c>
      <c r="G898" s="45">
        <v>0</v>
      </c>
      <c r="H898" s="53">
        <v>0</v>
      </c>
      <c r="I898" s="40">
        <f t="shared" si="263"/>
        <v>0</v>
      </c>
      <c r="J898" s="53"/>
      <c r="K898" s="40">
        <f t="shared" si="264"/>
        <v>0</v>
      </c>
      <c r="L898" s="45">
        <v>0</v>
      </c>
      <c r="M898" s="53">
        <v>0</v>
      </c>
      <c r="N898" s="40">
        <f t="shared" si="265"/>
        <v>0</v>
      </c>
      <c r="P898" s="40">
        <f t="shared" si="266"/>
        <v>0</v>
      </c>
      <c r="Q898" s="45"/>
      <c r="R898" s="53"/>
      <c r="S898" s="40">
        <f t="shared" si="267"/>
        <v>0</v>
      </c>
      <c r="U898" s="40">
        <f t="shared" si="268"/>
        <v>0</v>
      </c>
      <c r="V898" s="51">
        <v>0</v>
      </c>
      <c r="W898" s="51">
        <v>0</v>
      </c>
      <c r="X898" s="40">
        <f t="shared" si="269"/>
        <v>0</v>
      </c>
      <c r="AA898" s="40">
        <f t="shared" si="270"/>
        <v>0</v>
      </c>
      <c r="AB898" s="40">
        <f t="shared" si="271"/>
        <v>0</v>
      </c>
      <c r="AC898" s="67"/>
    </row>
    <row r="899" spans="6:29" x14ac:dyDescent="0.25">
      <c r="F899" s="45" t="str">
        <f t="shared" si="262"/>
        <v xml:space="preserve">S/F  </v>
      </c>
      <c r="G899" s="45">
        <v>0</v>
      </c>
      <c r="H899" s="53">
        <v>0</v>
      </c>
      <c r="I899" s="40">
        <f t="shared" si="263"/>
        <v>0</v>
      </c>
      <c r="J899" s="53"/>
      <c r="K899" s="40">
        <f t="shared" si="264"/>
        <v>0</v>
      </c>
      <c r="L899" s="45">
        <v>0</v>
      </c>
      <c r="M899" s="53">
        <v>0</v>
      </c>
      <c r="N899" s="40">
        <f t="shared" si="265"/>
        <v>0</v>
      </c>
      <c r="P899" s="40">
        <f t="shared" si="266"/>
        <v>0</v>
      </c>
      <c r="Q899" s="45"/>
      <c r="R899" s="53"/>
      <c r="S899" s="40">
        <f t="shared" si="267"/>
        <v>0</v>
      </c>
      <c r="U899" s="40">
        <f t="shared" si="268"/>
        <v>0</v>
      </c>
      <c r="V899" s="51">
        <v>0</v>
      </c>
      <c r="W899" s="51">
        <v>0</v>
      </c>
      <c r="X899" s="40">
        <f t="shared" si="269"/>
        <v>0</v>
      </c>
      <c r="AA899" s="40">
        <f t="shared" si="270"/>
        <v>0</v>
      </c>
      <c r="AB899" s="40">
        <f t="shared" si="271"/>
        <v>0</v>
      </c>
      <c r="AC899" s="67"/>
    </row>
    <row r="900" spans="6:29" x14ac:dyDescent="0.25">
      <c r="F900" s="45" t="str">
        <f t="shared" si="262"/>
        <v xml:space="preserve">S/F  </v>
      </c>
      <c r="G900" s="45">
        <v>0</v>
      </c>
      <c r="H900" s="53">
        <v>0</v>
      </c>
      <c r="I900" s="40">
        <f t="shared" si="263"/>
        <v>0</v>
      </c>
      <c r="J900" s="53"/>
      <c r="K900" s="40">
        <f t="shared" si="264"/>
        <v>0</v>
      </c>
      <c r="L900" s="45">
        <v>0</v>
      </c>
      <c r="M900" s="53">
        <v>0</v>
      </c>
      <c r="N900" s="40">
        <f t="shared" si="265"/>
        <v>0</v>
      </c>
      <c r="P900" s="40">
        <f t="shared" si="266"/>
        <v>0</v>
      </c>
      <c r="Q900" s="45"/>
      <c r="R900" s="53"/>
      <c r="S900" s="40">
        <f t="shared" si="267"/>
        <v>0</v>
      </c>
      <c r="U900" s="40">
        <f t="shared" si="268"/>
        <v>0</v>
      </c>
      <c r="V900" s="51">
        <v>0</v>
      </c>
      <c r="W900" s="51">
        <v>0</v>
      </c>
      <c r="X900" s="40">
        <f t="shared" si="269"/>
        <v>0</v>
      </c>
      <c r="AA900" s="40">
        <f t="shared" si="270"/>
        <v>0</v>
      </c>
      <c r="AB900" s="40">
        <f t="shared" si="271"/>
        <v>0</v>
      </c>
      <c r="AC900" s="67"/>
    </row>
    <row r="901" spans="6:29" x14ac:dyDescent="0.25">
      <c r="F901" s="45" t="str">
        <f t="shared" si="262"/>
        <v xml:space="preserve">S/F  </v>
      </c>
      <c r="G901" s="45">
        <v>0</v>
      </c>
      <c r="H901" s="53">
        <v>0</v>
      </c>
      <c r="I901" s="40">
        <f t="shared" si="263"/>
        <v>0</v>
      </c>
      <c r="J901" s="53"/>
      <c r="K901" s="40">
        <f t="shared" si="264"/>
        <v>0</v>
      </c>
      <c r="L901" s="45">
        <v>0</v>
      </c>
      <c r="M901" s="53">
        <v>0</v>
      </c>
      <c r="N901" s="40">
        <f t="shared" si="265"/>
        <v>0</v>
      </c>
      <c r="P901" s="40">
        <f t="shared" si="266"/>
        <v>0</v>
      </c>
      <c r="Q901" s="45"/>
      <c r="R901" s="53"/>
      <c r="S901" s="40">
        <f t="shared" si="267"/>
        <v>0</v>
      </c>
      <c r="U901" s="40">
        <f t="shared" si="268"/>
        <v>0</v>
      </c>
      <c r="V901" s="51">
        <v>0</v>
      </c>
      <c r="W901" s="51">
        <v>0</v>
      </c>
      <c r="X901" s="40">
        <f t="shared" si="269"/>
        <v>0</v>
      </c>
      <c r="AA901" s="40">
        <f t="shared" si="270"/>
        <v>0</v>
      </c>
      <c r="AB901" s="40">
        <f t="shared" si="271"/>
        <v>0</v>
      </c>
      <c r="AC901" s="67"/>
    </row>
    <row r="902" spans="6:29" x14ac:dyDescent="0.25">
      <c r="F902" s="45" t="str">
        <f t="shared" si="262"/>
        <v xml:space="preserve">S/F  </v>
      </c>
      <c r="G902" s="45">
        <v>0</v>
      </c>
      <c r="H902" s="53">
        <v>0</v>
      </c>
      <c r="I902" s="40">
        <f t="shared" si="263"/>
        <v>0</v>
      </c>
      <c r="J902" s="53"/>
      <c r="K902" s="40">
        <f t="shared" si="264"/>
        <v>0</v>
      </c>
      <c r="L902" s="45">
        <v>0</v>
      </c>
      <c r="M902" s="53">
        <v>0</v>
      </c>
      <c r="N902" s="40">
        <f t="shared" si="265"/>
        <v>0</v>
      </c>
      <c r="P902" s="40">
        <f t="shared" si="266"/>
        <v>0</v>
      </c>
      <c r="Q902" s="45"/>
      <c r="R902" s="53"/>
      <c r="S902" s="40">
        <f t="shared" si="267"/>
        <v>0</v>
      </c>
      <c r="U902" s="40">
        <f t="shared" si="268"/>
        <v>0</v>
      </c>
      <c r="V902" s="51">
        <v>0</v>
      </c>
      <c r="W902" s="51">
        <v>0</v>
      </c>
      <c r="X902" s="40">
        <f t="shared" si="269"/>
        <v>0</v>
      </c>
      <c r="AA902" s="40">
        <f t="shared" si="270"/>
        <v>0</v>
      </c>
      <c r="AB902" s="40">
        <f t="shared" si="271"/>
        <v>0</v>
      </c>
      <c r="AC902" s="67"/>
    </row>
    <row r="903" spans="6:29" x14ac:dyDescent="0.25">
      <c r="F903" s="45" t="str">
        <f t="shared" si="262"/>
        <v xml:space="preserve">S/F  </v>
      </c>
      <c r="G903" s="45">
        <v>0</v>
      </c>
      <c r="H903" s="53">
        <v>0</v>
      </c>
      <c r="I903" s="40">
        <f t="shared" si="263"/>
        <v>0</v>
      </c>
      <c r="J903" s="53"/>
      <c r="K903" s="40">
        <f t="shared" si="264"/>
        <v>0</v>
      </c>
      <c r="L903" s="45">
        <v>0</v>
      </c>
      <c r="M903" s="53">
        <v>0</v>
      </c>
      <c r="N903" s="40">
        <f t="shared" si="265"/>
        <v>0</v>
      </c>
      <c r="P903" s="40">
        <f t="shared" si="266"/>
        <v>0</v>
      </c>
      <c r="Q903" s="45"/>
      <c r="R903" s="53"/>
      <c r="S903" s="40">
        <f t="shared" si="267"/>
        <v>0</v>
      </c>
      <c r="U903" s="40">
        <f t="shared" si="268"/>
        <v>0</v>
      </c>
      <c r="V903" s="51">
        <v>0</v>
      </c>
      <c r="W903" s="51">
        <v>0</v>
      </c>
      <c r="X903" s="40">
        <f t="shared" si="269"/>
        <v>0</v>
      </c>
      <c r="AA903" s="40">
        <f t="shared" si="270"/>
        <v>0</v>
      </c>
      <c r="AB903" s="40">
        <f t="shared" si="271"/>
        <v>0</v>
      </c>
      <c r="AC903" s="67"/>
    </row>
    <row r="904" spans="6:29" x14ac:dyDescent="0.25">
      <c r="F904" s="45" t="str">
        <f t="shared" si="262"/>
        <v xml:space="preserve">S/F  </v>
      </c>
      <c r="G904" s="45">
        <v>0</v>
      </c>
      <c r="H904" s="53">
        <v>0</v>
      </c>
      <c r="I904" s="40">
        <f t="shared" si="263"/>
        <v>0</v>
      </c>
      <c r="J904" s="53"/>
      <c r="K904" s="40">
        <f t="shared" si="264"/>
        <v>0</v>
      </c>
      <c r="L904" s="45">
        <v>0</v>
      </c>
      <c r="M904" s="53">
        <v>0</v>
      </c>
      <c r="N904" s="40">
        <f t="shared" si="265"/>
        <v>0</v>
      </c>
      <c r="P904" s="40">
        <f t="shared" si="266"/>
        <v>0</v>
      </c>
      <c r="Q904" s="45"/>
      <c r="R904" s="53"/>
      <c r="S904" s="40">
        <f t="shared" si="267"/>
        <v>0</v>
      </c>
      <c r="U904" s="40">
        <f t="shared" si="268"/>
        <v>0</v>
      </c>
      <c r="V904" s="51">
        <v>0</v>
      </c>
      <c r="W904" s="51">
        <v>0</v>
      </c>
      <c r="X904" s="40">
        <f t="shared" si="269"/>
        <v>0</v>
      </c>
      <c r="AA904" s="40">
        <f t="shared" si="270"/>
        <v>0</v>
      </c>
      <c r="AB904" s="40">
        <f t="shared" si="271"/>
        <v>0</v>
      </c>
      <c r="AC904" s="67"/>
    </row>
    <row r="905" spans="6:29" x14ac:dyDescent="0.25">
      <c r="F905" s="45" t="str">
        <f t="shared" si="262"/>
        <v xml:space="preserve">S/F  </v>
      </c>
      <c r="G905" s="45">
        <v>0</v>
      </c>
      <c r="H905" s="53">
        <v>0</v>
      </c>
      <c r="I905" s="40">
        <f t="shared" si="263"/>
        <v>0</v>
      </c>
      <c r="J905" s="53"/>
      <c r="K905" s="40">
        <f t="shared" si="264"/>
        <v>0</v>
      </c>
      <c r="L905" s="45">
        <v>0</v>
      </c>
      <c r="M905" s="53">
        <v>0</v>
      </c>
      <c r="N905" s="40">
        <f t="shared" si="265"/>
        <v>0</v>
      </c>
      <c r="P905" s="40">
        <f t="shared" si="266"/>
        <v>0</v>
      </c>
      <c r="Q905" s="45"/>
      <c r="R905" s="53"/>
      <c r="S905" s="40">
        <f t="shared" si="267"/>
        <v>0</v>
      </c>
      <c r="U905" s="40">
        <f t="shared" si="268"/>
        <v>0</v>
      </c>
      <c r="V905" s="51">
        <v>0</v>
      </c>
      <c r="W905" s="51">
        <v>0</v>
      </c>
      <c r="X905" s="40">
        <f t="shared" si="269"/>
        <v>0</v>
      </c>
      <c r="AA905" s="40">
        <f t="shared" si="270"/>
        <v>0</v>
      </c>
      <c r="AB905" s="40">
        <f t="shared" si="271"/>
        <v>0</v>
      </c>
      <c r="AC905" s="67"/>
    </row>
    <row r="906" spans="6:29" x14ac:dyDescent="0.25">
      <c r="F906" s="45" t="str">
        <f t="shared" si="262"/>
        <v xml:space="preserve">S/F  </v>
      </c>
      <c r="G906" s="45">
        <v>0</v>
      </c>
      <c r="H906" s="53">
        <v>0</v>
      </c>
      <c r="I906" s="40">
        <f t="shared" si="263"/>
        <v>0</v>
      </c>
      <c r="J906" s="53"/>
      <c r="K906" s="40">
        <f t="shared" si="264"/>
        <v>0</v>
      </c>
      <c r="L906" s="45">
        <v>0</v>
      </c>
      <c r="M906" s="53">
        <v>0</v>
      </c>
      <c r="N906" s="40">
        <f t="shared" si="265"/>
        <v>0</v>
      </c>
      <c r="P906" s="40">
        <f t="shared" si="266"/>
        <v>0</v>
      </c>
      <c r="Q906" s="45"/>
      <c r="R906" s="53"/>
      <c r="S906" s="40">
        <f t="shared" si="267"/>
        <v>0</v>
      </c>
      <c r="U906" s="40">
        <f t="shared" si="268"/>
        <v>0</v>
      </c>
      <c r="V906" s="51">
        <v>0</v>
      </c>
      <c r="W906" s="51">
        <v>0</v>
      </c>
      <c r="X906" s="40">
        <f t="shared" si="269"/>
        <v>0</v>
      </c>
      <c r="AA906" s="40">
        <f t="shared" si="270"/>
        <v>0</v>
      </c>
      <c r="AB906" s="40">
        <f t="shared" si="271"/>
        <v>0</v>
      </c>
      <c r="AC906" s="67"/>
    </row>
    <row r="907" spans="6:29" x14ac:dyDescent="0.25">
      <c r="F907" s="45" t="str">
        <f t="shared" si="262"/>
        <v xml:space="preserve">S/F  </v>
      </c>
      <c r="G907" s="45">
        <v>0</v>
      </c>
      <c r="H907" s="53">
        <v>0</v>
      </c>
      <c r="I907" s="40">
        <f t="shared" si="263"/>
        <v>0</v>
      </c>
      <c r="J907" s="53"/>
      <c r="K907" s="40">
        <f t="shared" si="264"/>
        <v>0</v>
      </c>
      <c r="L907" s="45">
        <v>0</v>
      </c>
      <c r="M907" s="53">
        <v>0</v>
      </c>
      <c r="N907" s="40">
        <f t="shared" si="265"/>
        <v>0</v>
      </c>
      <c r="P907" s="40">
        <f t="shared" si="266"/>
        <v>0</v>
      </c>
      <c r="Q907" s="45"/>
      <c r="R907" s="53"/>
      <c r="S907" s="40">
        <f t="shared" si="267"/>
        <v>0</v>
      </c>
      <c r="U907" s="40">
        <f t="shared" si="268"/>
        <v>0</v>
      </c>
      <c r="V907" s="51">
        <v>0</v>
      </c>
      <c r="W907" s="51">
        <v>0</v>
      </c>
      <c r="X907" s="40">
        <f t="shared" si="269"/>
        <v>0</v>
      </c>
      <c r="AA907" s="40">
        <f t="shared" si="270"/>
        <v>0</v>
      </c>
      <c r="AB907" s="40">
        <f t="shared" si="271"/>
        <v>0</v>
      </c>
      <c r="AC907" s="67"/>
    </row>
    <row r="908" spans="6:29" x14ac:dyDescent="0.25">
      <c r="F908" s="45" t="str">
        <f t="shared" si="262"/>
        <v xml:space="preserve">S/F  </v>
      </c>
      <c r="G908" s="45">
        <v>0</v>
      </c>
      <c r="H908" s="53">
        <v>0</v>
      </c>
      <c r="I908" s="40">
        <f t="shared" si="263"/>
        <v>0</v>
      </c>
      <c r="J908" s="53"/>
      <c r="K908" s="40">
        <f t="shared" si="264"/>
        <v>0</v>
      </c>
      <c r="L908" s="45">
        <v>0</v>
      </c>
      <c r="M908" s="53">
        <v>0</v>
      </c>
      <c r="N908" s="40">
        <f t="shared" si="265"/>
        <v>0</v>
      </c>
      <c r="P908" s="40">
        <f t="shared" si="266"/>
        <v>0</v>
      </c>
      <c r="Q908" s="45"/>
      <c r="R908" s="53"/>
      <c r="S908" s="40">
        <f t="shared" si="267"/>
        <v>0</v>
      </c>
      <c r="U908" s="40">
        <f t="shared" si="268"/>
        <v>0</v>
      </c>
      <c r="V908" s="51">
        <v>0</v>
      </c>
      <c r="W908" s="51">
        <v>0</v>
      </c>
      <c r="X908" s="40">
        <f t="shared" si="269"/>
        <v>0</v>
      </c>
      <c r="AA908" s="40">
        <f t="shared" si="270"/>
        <v>0</v>
      </c>
      <c r="AB908" s="40">
        <f t="shared" si="271"/>
        <v>0</v>
      </c>
      <c r="AC908" s="67"/>
    </row>
    <row r="909" spans="6:29" x14ac:dyDescent="0.25">
      <c r="F909" s="45" t="str">
        <f t="shared" ref="F909:F972" si="272">"S/F "&amp;B909&amp;" "&amp;E909</f>
        <v xml:space="preserve">S/F  </v>
      </c>
      <c r="G909" s="45">
        <v>0</v>
      </c>
      <c r="H909" s="53">
        <v>0</v>
      </c>
      <c r="I909" s="40">
        <f t="shared" si="263"/>
        <v>0</v>
      </c>
      <c r="J909" s="53"/>
      <c r="K909" s="40">
        <f t="shared" si="264"/>
        <v>0</v>
      </c>
      <c r="L909" s="45">
        <v>0</v>
      </c>
      <c r="M909" s="53">
        <v>0</v>
      </c>
      <c r="N909" s="40">
        <f t="shared" si="265"/>
        <v>0</v>
      </c>
      <c r="P909" s="40">
        <f t="shared" si="266"/>
        <v>0</v>
      </c>
      <c r="Q909" s="45"/>
      <c r="R909" s="53"/>
      <c r="S909" s="40">
        <f t="shared" si="267"/>
        <v>0</v>
      </c>
      <c r="U909" s="40">
        <f t="shared" si="268"/>
        <v>0</v>
      </c>
      <c r="V909" s="51">
        <v>0</v>
      </c>
      <c r="W909" s="51">
        <v>0</v>
      </c>
      <c r="X909" s="40">
        <f t="shared" si="269"/>
        <v>0</v>
      </c>
      <c r="AA909" s="40">
        <f t="shared" si="270"/>
        <v>0</v>
      </c>
      <c r="AB909" s="40">
        <f t="shared" si="271"/>
        <v>0</v>
      </c>
      <c r="AC909" s="67"/>
    </row>
    <row r="910" spans="6:29" x14ac:dyDescent="0.25">
      <c r="F910" s="45" t="str">
        <f t="shared" si="272"/>
        <v xml:space="preserve">S/F  </v>
      </c>
      <c r="G910" s="45">
        <v>0</v>
      </c>
      <c r="H910" s="53">
        <v>0</v>
      </c>
      <c r="I910" s="40">
        <f t="shared" si="263"/>
        <v>0</v>
      </c>
      <c r="J910" s="53"/>
      <c r="K910" s="40">
        <f t="shared" si="264"/>
        <v>0</v>
      </c>
      <c r="L910" s="45">
        <v>0</v>
      </c>
      <c r="M910" s="53">
        <v>0</v>
      </c>
      <c r="N910" s="40">
        <f t="shared" si="265"/>
        <v>0</v>
      </c>
      <c r="P910" s="40">
        <f t="shared" si="266"/>
        <v>0</v>
      </c>
      <c r="Q910" s="45"/>
      <c r="R910" s="53"/>
      <c r="S910" s="40">
        <f t="shared" si="267"/>
        <v>0</v>
      </c>
      <c r="U910" s="40">
        <f t="shared" si="268"/>
        <v>0</v>
      </c>
      <c r="V910" s="51">
        <v>0</v>
      </c>
      <c r="W910" s="51">
        <v>0</v>
      </c>
      <c r="X910" s="40">
        <f t="shared" si="269"/>
        <v>0</v>
      </c>
      <c r="AA910" s="40">
        <f t="shared" si="270"/>
        <v>0</v>
      </c>
      <c r="AB910" s="40">
        <f t="shared" si="271"/>
        <v>0</v>
      </c>
      <c r="AC910" s="67"/>
    </row>
    <row r="911" spans="6:29" x14ac:dyDescent="0.25">
      <c r="F911" s="45" t="str">
        <f t="shared" si="272"/>
        <v xml:space="preserve">S/F  </v>
      </c>
      <c r="G911" s="45">
        <v>0</v>
      </c>
      <c r="H911" s="53">
        <v>0</v>
      </c>
      <c r="I911" s="40">
        <f t="shared" si="263"/>
        <v>0</v>
      </c>
      <c r="J911" s="53"/>
      <c r="K911" s="40">
        <f t="shared" si="264"/>
        <v>0</v>
      </c>
      <c r="L911" s="45">
        <v>0</v>
      </c>
      <c r="M911" s="53">
        <v>0</v>
      </c>
      <c r="N911" s="40">
        <f t="shared" si="265"/>
        <v>0</v>
      </c>
      <c r="P911" s="40">
        <f t="shared" si="266"/>
        <v>0</v>
      </c>
      <c r="Q911" s="45"/>
      <c r="R911" s="53"/>
      <c r="S911" s="40">
        <f t="shared" si="267"/>
        <v>0</v>
      </c>
      <c r="U911" s="40">
        <f t="shared" si="268"/>
        <v>0</v>
      </c>
      <c r="V911" s="51">
        <v>0</v>
      </c>
      <c r="W911" s="51">
        <v>0</v>
      </c>
      <c r="X911" s="40">
        <f t="shared" si="269"/>
        <v>0</v>
      </c>
      <c r="AA911" s="40">
        <f t="shared" si="270"/>
        <v>0</v>
      </c>
      <c r="AB911" s="40">
        <f t="shared" si="271"/>
        <v>0</v>
      </c>
      <c r="AC911" s="67"/>
    </row>
    <row r="912" spans="6:29" x14ac:dyDescent="0.25">
      <c r="F912" s="45" t="str">
        <f t="shared" si="272"/>
        <v xml:space="preserve">S/F  </v>
      </c>
      <c r="G912" s="45">
        <v>0</v>
      </c>
      <c r="H912" s="53">
        <v>0</v>
      </c>
      <c r="I912" s="40">
        <f t="shared" si="263"/>
        <v>0</v>
      </c>
      <c r="J912" s="53"/>
      <c r="K912" s="40">
        <f t="shared" si="264"/>
        <v>0</v>
      </c>
      <c r="L912" s="45">
        <v>0</v>
      </c>
      <c r="M912" s="53">
        <v>0</v>
      </c>
      <c r="N912" s="40">
        <f t="shared" si="265"/>
        <v>0</v>
      </c>
      <c r="P912" s="40">
        <f t="shared" si="266"/>
        <v>0</v>
      </c>
      <c r="Q912" s="45"/>
      <c r="R912" s="53"/>
      <c r="S912" s="40">
        <f t="shared" si="267"/>
        <v>0</v>
      </c>
      <c r="U912" s="40">
        <f t="shared" si="268"/>
        <v>0</v>
      </c>
      <c r="V912" s="51">
        <v>0</v>
      </c>
      <c r="W912" s="51">
        <v>0</v>
      </c>
      <c r="X912" s="40">
        <f t="shared" si="269"/>
        <v>0</v>
      </c>
      <c r="AA912" s="40">
        <f t="shared" si="270"/>
        <v>0</v>
      </c>
      <c r="AB912" s="40">
        <f t="shared" si="271"/>
        <v>0</v>
      </c>
      <c r="AC912" s="67"/>
    </row>
    <row r="913" spans="6:29" x14ac:dyDescent="0.25">
      <c r="F913" s="45" t="str">
        <f t="shared" si="272"/>
        <v xml:space="preserve">S/F  </v>
      </c>
      <c r="G913" s="45">
        <v>0</v>
      </c>
      <c r="H913" s="53">
        <v>0</v>
      </c>
      <c r="I913" s="40">
        <f t="shared" si="263"/>
        <v>0</v>
      </c>
      <c r="J913" s="53"/>
      <c r="K913" s="40">
        <f t="shared" si="264"/>
        <v>0</v>
      </c>
      <c r="L913" s="45">
        <v>0</v>
      </c>
      <c r="M913" s="53">
        <v>0</v>
      </c>
      <c r="N913" s="40">
        <f t="shared" si="265"/>
        <v>0</v>
      </c>
      <c r="P913" s="40">
        <f t="shared" si="266"/>
        <v>0</v>
      </c>
      <c r="Q913" s="45"/>
      <c r="R913" s="53"/>
      <c r="S913" s="40">
        <f t="shared" si="267"/>
        <v>0</v>
      </c>
      <c r="U913" s="40">
        <f t="shared" si="268"/>
        <v>0</v>
      </c>
      <c r="V913" s="51">
        <v>0</v>
      </c>
      <c r="W913" s="51">
        <v>0</v>
      </c>
      <c r="X913" s="40">
        <f t="shared" si="269"/>
        <v>0</v>
      </c>
      <c r="AA913" s="40">
        <f t="shared" si="270"/>
        <v>0</v>
      </c>
      <c r="AB913" s="40">
        <f t="shared" si="271"/>
        <v>0</v>
      </c>
      <c r="AC913" s="67"/>
    </row>
    <row r="914" spans="6:29" x14ac:dyDescent="0.25">
      <c r="F914" s="45" t="str">
        <f t="shared" si="272"/>
        <v xml:space="preserve">S/F  </v>
      </c>
      <c r="G914" s="45">
        <v>0</v>
      </c>
      <c r="H914" s="53">
        <v>0</v>
      </c>
      <c r="I914" s="40">
        <f t="shared" si="263"/>
        <v>0</v>
      </c>
      <c r="J914" s="53"/>
      <c r="K914" s="40">
        <f t="shared" si="264"/>
        <v>0</v>
      </c>
      <c r="L914" s="45">
        <v>0</v>
      </c>
      <c r="M914" s="53">
        <v>0</v>
      </c>
      <c r="N914" s="40">
        <f t="shared" si="265"/>
        <v>0</v>
      </c>
      <c r="P914" s="40">
        <f t="shared" si="266"/>
        <v>0</v>
      </c>
      <c r="Q914" s="45"/>
      <c r="R914" s="53"/>
      <c r="S914" s="40">
        <f t="shared" si="267"/>
        <v>0</v>
      </c>
      <c r="U914" s="40">
        <f t="shared" si="268"/>
        <v>0</v>
      </c>
      <c r="V914" s="51">
        <v>0</v>
      </c>
      <c r="W914" s="51">
        <v>0</v>
      </c>
      <c r="X914" s="40">
        <f t="shared" si="269"/>
        <v>0</v>
      </c>
      <c r="AA914" s="40">
        <f t="shared" si="270"/>
        <v>0</v>
      </c>
      <c r="AB914" s="40">
        <f t="shared" si="271"/>
        <v>0</v>
      </c>
      <c r="AC914" s="67"/>
    </row>
    <row r="915" spans="6:29" x14ac:dyDescent="0.25">
      <c r="F915" s="45" t="str">
        <f t="shared" si="272"/>
        <v xml:space="preserve">S/F  </v>
      </c>
      <c r="G915" s="45">
        <v>0</v>
      </c>
      <c r="H915" s="53">
        <v>0</v>
      </c>
      <c r="I915" s="40">
        <f t="shared" si="263"/>
        <v>0</v>
      </c>
      <c r="J915" s="53"/>
      <c r="K915" s="40">
        <f t="shared" si="264"/>
        <v>0</v>
      </c>
      <c r="L915" s="45">
        <v>0</v>
      </c>
      <c r="M915" s="53">
        <v>0</v>
      </c>
      <c r="N915" s="40">
        <f t="shared" si="265"/>
        <v>0</v>
      </c>
      <c r="P915" s="40">
        <f t="shared" si="266"/>
        <v>0</v>
      </c>
      <c r="Q915" s="45"/>
      <c r="R915" s="53"/>
      <c r="S915" s="40">
        <f t="shared" si="267"/>
        <v>0</v>
      </c>
      <c r="U915" s="40">
        <f t="shared" si="268"/>
        <v>0</v>
      </c>
      <c r="V915" s="51">
        <v>0</v>
      </c>
      <c r="W915" s="51">
        <v>0</v>
      </c>
      <c r="X915" s="40">
        <f t="shared" si="269"/>
        <v>0</v>
      </c>
      <c r="AA915" s="40">
        <f t="shared" si="270"/>
        <v>0</v>
      </c>
      <c r="AB915" s="40">
        <f t="shared" si="271"/>
        <v>0</v>
      </c>
      <c r="AC915" s="67"/>
    </row>
    <row r="916" spans="6:29" x14ac:dyDescent="0.25">
      <c r="F916" s="45" t="str">
        <f t="shared" si="272"/>
        <v xml:space="preserve">S/F  </v>
      </c>
      <c r="G916" s="45">
        <v>0</v>
      </c>
      <c r="H916" s="53">
        <v>0</v>
      </c>
      <c r="I916" s="40">
        <f t="shared" si="263"/>
        <v>0</v>
      </c>
      <c r="J916" s="53"/>
      <c r="K916" s="40">
        <f t="shared" si="264"/>
        <v>0</v>
      </c>
      <c r="L916" s="45">
        <v>0</v>
      </c>
      <c r="M916" s="53">
        <v>0</v>
      </c>
      <c r="N916" s="40">
        <f t="shared" si="265"/>
        <v>0</v>
      </c>
      <c r="P916" s="40">
        <f t="shared" si="266"/>
        <v>0</v>
      </c>
      <c r="Q916" s="45"/>
      <c r="R916" s="53"/>
      <c r="S916" s="40">
        <f t="shared" si="267"/>
        <v>0</v>
      </c>
      <c r="U916" s="40">
        <f t="shared" si="268"/>
        <v>0</v>
      </c>
      <c r="V916" s="51">
        <v>0</v>
      </c>
      <c r="W916" s="51">
        <v>0</v>
      </c>
      <c r="X916" s="40">
        <f t="shared" si="269"/>
        <v>0</v>
      </c>
      <c r="AA916" s="40">
        <f t="shared" si="270"/>
        <v>0</v>
      </c>
      <c r="AB916" s="40">
        <f t="shared" si="271"/>
        <v>0</v>
      </c>
      <c r="AC916" s="67"/>
    </row>
    <row r="917" spans="6:29" x14ac:dyDescent="0.25">
      <c r="F917" s="45" t="str">
        <f t="shared" si="272"/>
        <v xml:space="preserve">S/F  </v>
      </c>
      <c r="G917" s="45">
        <v>0</v>
      </c>
      <c r="H917" s="53">
        <v>0</v>
      </c>
      <c r="I917" s="40">
        <f t="shared" ref="I917:I980" si="273">+IF(G917&lt;&gt;0,G917*H917/100,0)</f>
        <v>0</v>
      </c>
      <c r="J917" s="53"/>
      <c r="K917" s="40">
        <f t="shared" ref="K917:K980" si="274">+IF(G917&lt;&gt;0,G917*J917/100,0)</f>
        <v>0</v>
      </c>
      <c r="L917" s="45">
        <v>0</v>
      </c>
      <c r="M917" s="53">
        <v>0</v>
      </c>
      <c r="N917" s="40">
        <f t="shared" ref="N917:N980" si="275">+IF(L917&lt;&gt;0,L917*M917/100,0)</f>
        <v>0</v>
      </c>
      <c r="P917" s="40">
        <f t="shared" ref="P917:P980" si="276">+IF(L917&lt;&gt;0,L917*O917/100,0)</f>
        <v>0</v>
      </c>
      <c r="Q917" s="45"/>
      <c r="R917" s="53"/>
      <c r="S917" s="40">
        <f t="shared" ref="S917:S980" si="277">+IF(Q917&lt;&gt;0,Q917*R917/100,0)</f>
        <v>0</v>
      </c>
      <c r="U917" s="40">
        <f t="shared" ref="U917:U980" si="278">+IF(Q917&lt;&gt;0,Q917*T917/100,0)</f>
        <v>0</v>
      </c>
      <c r="V917" s="51">
        <v>0</v>
      </c>
      <c r="W917" s="51">
        <v>0</v>
      </c>
      <c r="X917" s="40">
        <f t="shared" ref="X917:X980" si="279">+IF(W917&lt;&gt;0,V917*W917/100,0)</f>
        <v>0</v>
      </c>
      <c r="AA917" s="40">
        <f t="shared" ref="AA917:AA980" si="280">+IF(Z917&lt;&gt;0,Y917*Z917/100,0)</f>
        <v>0</v>
      </c>
      <c r="AB917" s="40">
        <f t="shared" ref="AB917:AB980" si="281">+G917+I917+K917+L917+N917+P917+Q917+S917+U917-X917-AA917</f>
        <v>0</v>
      </c>
      <c r="AC917" s="67"/>
    </row>
    <row r="918" spans="6:29" x14ac:dyDescent="0.25">
      <c r="F918" s="45" t="str">
        <f t="shared" si="272"/>
        <v xml:space="preserve">S/F  </v>
      </c>
      <c r="G918" s="45">
        <v>0</v>
      </c>
      <c r="H918" s="53">
        <v>0</v>
      </c>
      <c r="I918" s="40">
        <f t="shared" si="273"/>
        <v>0</v>
      </c>
      <c r="J918" s="53"/>
      <c r="K918" s="40">
        <f t="shared" si="274"/>
        <v>0</v>
      </c>
      <c r="L918" s="45">
        <v>0</v>
      </c>
      <c r="M918" s="53">
        <v>0</v>
      </c>
      <c r="N918" s="40">
        <f t="shared" si="275"/>
        <v>0</v>
      </c>
      <c r="P918" s="40">
        <f t="shared" si="276"/>
        <v>0</v>
      </c>
      <c r="Q918" s="45"/>
      <c r="R918" s="53"/>
      <c r="S918" s="40">
        <f t="shared" si="277"/>
        <v>0</v>
      </c>
      <c r="U918" s="40">
        <f t="shared" si="278"/>
        <v>0</v>
      </c>
      <c r="V918" s="51">
        <v>0</v>
      </c>
      <c r="W918" s="51">
        <v>0</v>
      </c>
      <c r="X918" s="40">
        <f t="shared" si="279"/>
        <v>0</v>
      </c>
      <c r="AA918" s="40">
        <f t="shared" si="280"/>
        <v>0</v>
      </c>
      <c r="AB918" s="40">
        <f t="shared" si="281"/>
        <v>0</v>
      </c>
      <c r="AC918" s="67"/>
    </row>
    <row r="919" spans="6:29" x14ac:dyDescent="0.25">
      <c r="F919" s="45" t="str">
        <f t="shared" si="272"/>
        <v xml:space="preserve">S/F  </v>
      </c>
      <c r="G919" s="45">
        <v>0</v>
      </c>
      <c r="H919" s="53">
        <v>0</v>
      </c>
      <c r="I919" s="40">
        <f t="shared" si="273"/>
        <v>0</v>
      </c>
      <c r="J919" s="53"/>
      <c r="K919" s="40">
        <f t="shared" si="274"/>
        <v>0</v>
      </c>
      <c r="L919" s="45">
        <v>0</v>
      </c>
      <c r="M919" s="53">
        <v>0</v>
      </c>
      <c r="N919" s="40">
        <f t="shared" si="275"/>
        <v>0</v>
      </c>
      <c r="P919" s="40">
        <f t="shared" si="276"/>
        <v>0</v>
      </c>
      <c r="Q919" s="45"/>
      <c r="R919" s="53"/>
      <c r="S919" s="40">
        <f t="shared" si="277"/>
        <v>0</v>
      </c>
      <c r="U919" s="40">
        <f t="shared" si="278"/>
        <v>0</v>
      </c>
      <c r="V919" s="51">
        <v>0</v>
      </c>
      <c r="W919" s="51">
        <v>0</v>
      </c>
      <c r="X919" s="40">
        <f t="shared" si="279"/>
        <v>0</v>
      </c>
      <c r="AA919" s="40">
        <f t="shared" si="280"/>
        <v>0</v>
      </c>
      <c r="AB919" s="40">
        <f t="shared" si="281"/>
        <v>0</v>
      </c>
      <c r="AC919" s="67"/>
    </row>
    <row r="920" spans="6:29" x14ac:dyDescent="0.25">
      <c r="F920" s="45" t="str">
        <f t="shared" si="272"/>
        <v xml:space="preserve">S/F  </v>
      </c>
      <c r="G920" s="45">
        <v>0</v>
      </c>
      <c r="H920" s="53">
        <v>0</v>
      </c>
      <c r="I920" s="40">
        <f t="shared" si="273"/>
        <v>0</v>
      </c>
      <c r="J920" s="53"/>
      <c r="K920" s="40">
        <f t="shared" si="274"/>
        <v>0</v>
      </c>
      <c r="L920" s="45">
        <v>0</v>
      </c>
      <c r="M920" s="53">
        <v>0</v>
      </c>
      <c r="N920" s="40">
        <f t="shared" si="275"/>
        <v>0</v>
      </c>
      <c r="P920" s="40">
        <f t="shared" si="276"/>
        <v>0</v>
      </c>
      <c r="Q920" s="45"/>
      <c r="R920" s="53"/>
      <c r="S920" s="40">
        <f t="shared" si="277"/>
        <v>0</v>
      </c>
      <c r="U920" s="40">
        <f t="shared" si="278"/>
        <v>0</v>
      </c>
      <c r="V920" s="51">
        <v>0</v>
      </c>
      <c r="W920" s="51">
        <v>0</v>
      </c>
      <c r="X920" s="40">
        <f t="shared" si="279"/>
        <v>0</v>
      </c>
      <c r="AA920" s="40">
        <f t="shared" si="280"/>
        <v>0</v>
      </c>
      <c r="AB920" s="40">
        <f t="shared" si="281"/>
        <v>0</v>
      </c>
      <c r="AC920" s="67"/>
    </row>
    <row r="921" spans="6:29" x14ac:dyDescent="0.25">
      <c r="F921" s="45" t="str">
        <f t="shared" si="272"/>
        <v xml:space="preserve">S/F  </v>
      </c>
      <c r="G921" s="45">
        <v>0</v>
      </c>
      <c r="H921" s="53">
        <v>0</v>
      </c>
      <c r="I921" s="40">
        <f t="shared" si="273"/>
        <v>0</v>
      </c>
      <c r="J921" s="53"/>
      <c r="K921" s="40">
        <f t="shared" si="274"/>
        <v>0</v>
      </c>
      <c r="L921" s="45">
        <v>0</v>
      </c>
      <c r="M921" s="53">
        <v>0</v>
      </c>
      <c r="N921" s="40">
        <f t="shared" si="275"/>
        <v>0</v>
      </c>
      <c r="P921" s="40">
        <f t="shared" si="276"/>
        <v>0</v>
      </c>
      <c r="Q921" s="45"/>
      <c r="R921" s="53"/>
      <c r="S921" s="40">
        <f t="shared" si="277"/>
        <v>0</v>
      </c>
      <c r="U921" s="40">
        <f t="shared" si="278"/>
        <v>0</v>
      </c>
      <c r="V921" s="51">
        <v>0</v>
      </c>
      <c r="W921" s="51">
        <v>0</v>
      </c>
      <c r="X921" s="40">
        <f t="shared" si="279"/>
        <v>0</v>
      </c>
      <c r="AA921" s="40">
        <f t="shared" si="280"/>
        <v>0</v>
      </c>
      <c r="AB921" s="40">
        <f t="shared" si="281"/>
        <v>0</v>
      </c>
      <c r="AC921" s="67"/>
    </row>
    <row r="922" spans="6:29" x14ac:dyDescent="0.25">
      <c r="F922" s="45" t="str">
        <f t="shared" si="272"/>
        <v xml:space="preserve">S/F  </v>
      </c>
      <c r="G922" s="45">
        <v>0</v>
      </c>
      <c r="H922" s="53">
        <v>0</v>
      </c>
      <c r="I922" s="40">
        <f t="shared" si="273"/>
        <v>0</v>
      </c>
      <c r="J922" s="53"/>
      <c r="K922" s="40">
        <f t="shared" si="274"/>
        <v>0</v>
      </c>
      <c r="L922" s="45">
        <v>0</v>
      </c>
      <c r="M922" s="53">
        <v>0</v>
      </c>
      <c r="N922" s="40">
        <f t="shared" si="275"/>
        <v>0</v>
      </c>
      <c r="P922" s="40">
        <f t="shared" si="276"/>
        <v>0</v>
      </c>
      <c r="Q922" s="45"/>
      <c r="R922" s="53"/>
      <c r="S922" s="40">
        <f t="shared" si="277"/>
        <v>0</v>
      </c>
      <c r="U922" s="40">
        <f t="shared" si="278"/>
        <v>0</v>
      </c>
      <c r="V922" s="51">
        <v>0</v>
      </c>
      <c r="W922" s="51">
        <v>0</v>
      </c>
      <c r="X922" s="40">
        <f t="shared" si="279"/>
        <v>0</v>
      </c>
      <c r="AA922" s="40">
        <f t="shared" si="280"/>
        <v>0</v>
      </c>
      <c r="AB922" s="40">
        <f t="shared" si="281"/>
        <v>0</v>
      </c>
      <c r="AC922" s="67"/>
    </row>
    <row r="923" spans="6:29" x14ac:dyDescent="0.25">
      <c r="F923" s="45" t="str">
        <f t="shared" si="272"/>
        <v xml:space="preserve">S/F  </v>
      </c>
      <c r="G923" s="45">
        <v>0</v>
      </c>
      <c r="H923" s="53">
        <v>0</v>
      </c>
      <c r="I923" s="40">
        <f t="shared" si="273"/>
        <v>0</v>
      </c>
      <c r="J923" s="53"/>
      <c r="K923" s="40">
        <f t="shared" si="274"/>
        <v>0</v>
      </c>
      <c r="L923" s="45">
        <v>0</v>
      </c>
      <c r="M923" s="53">
        <v>0</v>
      </c>
      <c r="N923" s="40">
        <f t="shared" si="275"/>
        <v>0</v>
      </c>
      <c r="P923" s="40">
        <f t="shared" si="276"/>
        <v>0</v>
      </c>
      <c r="Q923" s="45"/>
      <c r="R923" s="53"/>
      <c r="S923" s="40">
        <f t="shared" si="277"/>
        <v>0</v>
      </c>
      <c r="U923" s="40">
        <f t="shared" si="278"/>
        <v>0</v>
      </c>
      <c r="V923" s="51">
        <v>0</v>
      </c>
      <c r="W923" s="51">
        <v>0</v>
      </c>
      <c r="X923" s="40">
        <f t="shared" si="279"/>
        <v>0</v>
      </c>
      <c r="AA923" s="40">
        <f t="shared" si="280"/>
        <v>0</v>
      </c>
      <c r="AB923" s="40">
        <f t="shared" si="281"/>
        <v>0</v>
      </c>
      <c r="AC923" s="67"/>
    </row>
    <row r="924" spans="6:29" x14ac:dyDescent="0.25">
      <c r="F924" s="45" t="str">
        <f t="shared" si="272"/>
        <v xml:space="preserve">S/F  </v>
      </c>
      <c r="G924" s="45">
        <v>0</v>
      </c>
      <c r="H924" s="53">
        <v>0</v>
      </c>
      <c r="I924" s="40">
        <f t="shared" si="273"/>
        <v>0</v>
      </c>
      <c r="J924" s="53"/>
      <c r="K924" s="40">
        <f t="shared" si="274"/>
        <v>0</v>
      </c>
      <c r="L924" s="45">
        <v>0</v>
      </c>
      <c r="M924" s="53">
        <v>0</v>
      </c>
      <c r="N924" s="40">
        <f t="shared" si="275"/>
        <v>0</v>
      </c>
      <c r="P924" s="40">
        <f t="shared" si="276"/>
        <v>0</v>
      </c>
      <c r="Q924" s="45"/>
      <c r="R924" s="53"/>
      <c r="S924" s="40">
        <f t="shared" si="277"/>
        <v>0</v>
      </c>
      <c r="U924" s="40">
        <f t="shared" si="278"/>
        <v>0</v>
      </c>
      <c r="V924" s="51">
        <v>0</v>
      </c>
      <c r="W924" s="51">
        <v>0</v>
      </c>
      <c r="X924" s="40">
        <f t="shared" si="279"/>
        <v>0</v>
      </c>
      <c r="AA924" s="40">
        <f t="shared" si="280"/>
        <v>0</v>
      </c>
      <c r="AB924" s="40">
        <f t="shared" si="281"/>
        <v>0</v>
      </c>
      <c r="AC924" s="67"/>
    </row>
    <row r="925" spans="6:29" x14ac:dyDescent="0.25">
      <c r="F925" s="45" t="str">
        <f t="shared" si="272"/>
        <v xml:space="preserve">S/F  </v>
      </c>
      <c r="G925" s="45">
        <v>0</v>
      </c>
      <c r="H925" s="53">
        <v>0</v>
      </c>
      <c r="I925" s="40">
        <f t="shared" si="273"/>
        <v>0</v>
      </c>
      <c r="J925" s="53"/>
      <c r="K925" s="40">
        <f t="shared" si="274"/>
        <v>0</v>
      </c>
      <c r="L925" s="45">
        <v>0</v>
      </c>
      <c r="M925" s="53">
        <v>0</v>
      </c>
      <c r="N925" s="40">
        <f t="shared" si="275"/>
        <v>0</v>
      </c>
      <c r="P925" s="40">
        <f t="shared" si="276"/>
        <v>0</v>
      </c>
      <c r="Q925" s="45"/>
      <c r="R925" s="53"/>
      <c r="S925" s="40">
        <f t="shared" si="277"/>
        <v>0</v>
      </c>
      <c r="U925" s="40">
        <f t="shared" si="278"/>
        <v>0</v>
      </c>
      <c r="V925" s="51">
        <v>0</v>
      </c>
      <c r="W925" s="51">
        <v>0</v>
      </c>
      <c r="X925" s="40">
        <f t="shared" si="279"/>
        <v>0</v>
      </c>
      <c r="AA925" s="40">
        <f t="shared" si="280"/>
        <v>0</v>
      </c>
      <c r="AB925" s="40">
        <f t="shared" si="281"/>
        <v>0</v>
      </c>
      <c r="AC925" s="67"/>
    </row>
    <row r="926" spans="6:29" x14ac:dyDescent="0.25">
      <c r="F926" s="45" t="str">
        <f t="shared" si="272"/>
        <v xml:space="preserve">S/F  </v>
      </c>
      <c r="G926" s="45">
        <v>0</v>
      </c>
      <c r="H926" s="53">
        <v>0</v>
      </c>
      <c r="I926" s="40">
        <f t="shared" si="273"/>
        <v>0</v>
      </c>
      <c r="J926" s="53"/>
      <c r="K926" s="40">
        <f t="shared" si="274"/>
        <v>0</v>
      </c>
      <c r="L926" s="45">
        <v>0</v>
      </c>
      <c r="M926" s="53">
        <v>0</v>
      </c>
      <c r="N926" s="40">
        <f t="shared" si="275"/>
        <v>0</v>
      </c>
      <c r="P926" s="40">
        <f t="shared" si="276"/>
        <v>0</v>
      </c>
      <c r="Q926" s="45"/>
      <c r="R926" s="53"/>
      <c r="S926" s="40">
        <f t="shared" si="277"/>
        <v>0</v>
      </c>
      <c r="U926" s="40">
        <f t="shared" si="278"/>
        <v>0</v>
      </c>
      <c r="V926" s="51">
        <v>0</v>
      </c>
      <c r="W926" s="51">
        <v>0</v>
      </c>
      <c r="X926" s="40">
        <f t="shared" si="279"/>
        <v>0</v>
      </c>
      <c r="AA926" s="40">
        <f t="shared" si="280"/>
        <v>0</v>
      </c>
      <c r="AB926" s="40">
        <f t="shared" si="281"/>
        <v>0</v>
      </c>
      <c r="AC926" s="67"/>
    </row>
    <row r="927" spans="6:29" x14ac:dyDescent="0.25">
      <c r="F927" s="45" t="str">
        <f t="shared" si="272"/>
        <v xml:space="preserve">S/F  </v>
      </c>
      <c r="G927" s="45">
        <v>0</v>
      </c>
      <c r="H927" s="53">
        <v>0</v>
      </c>
      <c r="I927" s="40">
        <f t="shared" si="273"/>
        <v>0</v>
      </c>
      <c r="J927" s="53"/>
      <c r="K927" s="40">
        <f t="shared" si="274"/>
        <v>0</v>
      </c>
      <c r="L927" s="45">
        <v>0</v>
      </c>
      <c r="M927" s="53">
        <v>0</v>
      </c>
      <c r="N927" s="40">
        <f t="shared" si="275"/>
        <v>0</v>
      </c>
      <c r="P927" s="40">
        <f t="shared" si="276"/>
        <v>0</v>
      </c>
      <c r="Q927" s="45"/>
      <c r="R927" s="53"/>
      <c r="S927" s="40">
        <f t="shared" si="277"/>
        <v>0</v>
      </c>
      <c r="U927" s="40">
        <f t="shared" si="278"/>
        <v>0</v>
      </c>
      <c r="V927" s="51">
        <v>0</v>
      </c>
      <c r="W927" s="51">
        <v>0</v>
      </c>
      <c r="X927" s="40">
        <f t="shared" si="279"/>
        <v>0</v>
      </c>
      <c r="AA927" s="40">
        <f t="shared" si="280"/>
        <v>0</v>
      </c>
      <c r="AB927" s="40">
        <f t="shared" si="281"/>
        <v>0</v>
      </c>
      <c r="AC927" s="67"/>
    </row>
    <row r="928" spans="6:29" x14ac:dyDescent="0.25">
      <c r="F928" s="45" t="str">
        <f t="shared" si="272"/>
        <v xml:space="preserve">S/F  </v>
      </c>
      <c r="G928" s="45">
        <v>0</v>
      </c>
      <c r="H928" s="53">
        <v>0</v>
      </c>
      <c r="I928" s="40">
        <f t="shared" si="273"/>
        <v>0</v>
      </c>
      <c r="J928" s="53"/>
      <c r="K928" s="40">
        <f t="shared" si="274"/>
        <v>0</v>
      </c>
      <c r="L928" s="45">
        <v>0</v>
      </c>
      <c r="M928" s="53">
        <v>0</v>
      </c>
      <c r="N928" s="40">
        <f t="shared" si="275"/>
        <v>0</v>
      </c>
      <c r="P928" s="40">
        <f t="shared" si="276"/>
        <v>0</v>
      </c>
      <c r="Q928" s="45"/>
      <c r="R928" s="53"/>
      <c r="S928" s="40">
        <f t="shared" si="277"/>
        <v>0</v>
      </c>
      <c r="U928" s="40">
        <f t="shared" si="278"/>
        <v>0</v>
      </c>
      <c r="V928" s="51">
        <v>0</v>
      </c>
      <c r="W928" s="51">
        <v>0</v>
      </c>
      <c r="X928" s="40">
        <f t="shared" si="279"/>
        <v>0</v>
      </c>
      <c r="AA928" s="40">
        <f t="shared" si="280"/>
        <v>0</v>
      </c>
      <c r="AB928" s="40">
        <f t="shared" si="281"/>
        <v>0</v>
      </c>
      <c r="AC928" s="67"/>
    </row>
    <row r="929" spans="6:29" x14ac:dyDescent="0.25">
      <c r="F929" s="45" t="str">
        <f t="shared" si="272"/>
        <v xml:space="preserve">S/F  </v>
      </c>
      <c r="G929" s="45">
        <v>0</v>
      </c>
      <c r="H929" s="53">
        <v>0</v>
      </c>
      <c r="I929" s="40">
        <f t="shared" si="273"/>
        <v>0</v>
      </c>
      <c r="J929" s="53"/>
      <c r="K929" s="40">
        <f t="shared" si="274"/>
        <v>0</v>
      </c>
      <c r="L929" s="45">
        <v>0</v>
      </c>
      <c r="M929" s="53">
        <v>0</v>
      </c>
      <c r="N929" s="40">
        <f t="shared" si="275"/>
        <v>0</v>
      </c>
      <c r="P929" s="40">
        <f t="shared" si="276"/>
        <v>0</v>
      </c>
      <c r="Q929" s="45"/>
      <c r="R929" s="53"/>
      <c r="S929" s="40">
        <f t="shared" si="277"/>
        <v>0</v>
      </c>
      <c r="U929" s="40">
        <f t="shared" si="278"/>
        <v>0</v>
      </c>
      <c r="V929" s="51">
        <v>0</v>
      </c>
      <c r="W929" s="51">
        <v>0</v>
      </c>
      <c r="X929" s="40">
        <f t="shared" si="279"/>
        <v>0</v>
      </c>
      <c r="AA929" s="40">
        <f t="shared" si="280"/>
        <v>0</v>
      </c>
      <c r="AB929" s="40">
        <f t="shared" si="281"/>
        <v>0</v>
      </c>
      <c r="AC929" s="67"/>
    </row>
    <row r="930" spans="6:29" x14ac:dyDescent="0.25">
      <c r="F930" s="45" t="str">
        <f t="shared" si="272"/>
        <v xml:space="preserve">S/F  </v>
      </c>
      <c r="G930" s="45">
        <v>0</v>
      </c>
      <c r="H930" s="53">
        <v>0</v>
      </c>
      <c r="I930" s="40">
        <f t="shared" si="273"/>
        <v>0</v>
      </c>
      <c r="J930" s="53"/>
      <c r="K930" s="40">
        <f t="shared" si="274"/>
        <v>0</v>
      </c>
      <c r="L930" s="45">
        <v>0</v>
      </c>
      <c r="M930" s="53">
        <v>0</v>
      </c>
      <c r="N930" s="40">
        <f t="shared" si="275"/>
        <v>0</v>
      </c>
      <c r="P930" s="40">
        <f t="shared" si="276"/>
        <v>0</v>
      </c>
      <c r="Q930" s="45"/>
      <c r="R930" s="53"/>
      <c r="S930" s="40">
        <f t="shared" si="277"/>
        <v>0</v>
      </c>
      <c r="U930" s="40">
        <f t="shared" si="278"/>
        <v>0</v>
      </c>
      <c r="V930" s="51">
        <v>0</v>
      </c>
      <c r="W930" s="51">
        <v>0</v>
      </c>
      <c r="X930" s="40">
        <f t="shared" si="279"/>
        <v>0</v>
      </c>
      <c r="AA930" s="40">
        <f t="shared" si="280"/>
        <v>0</v>
      </c>
      <c r="AB930" s="40">
        <f t="shared" si="281"/>
        <v>0</v>
      </c>
      <c r="AC930" s="67"/>
    </row>
    <row r="931" spans="6:29" x14ac:dyDescent="0.25">
      <c r="F931" s="45" t="str">
        <f t="shared" si="272"/>
        <v xml:space="preserve">S/F  </v>
      </c>
      <c r="G931" s="45">
        <v>0</v>
      </c>
      <c r="H931" s="53">
        <v>0</v>
      </c>
      <c r="I931" s="40">
        <f t="shared" si="273"/>
        <v>0</v>
      </c>
      <c r="J931" s="53"/>
      <c r="K931" s="40">
        <f t="shared" si="274"/>
        <v>0</v>
      </c>
      <c r="L931" s="45">
        <v>0</v>
      </c>
      <c r="M931" s="53">
        <v>0</v>
      </c>
      <c r="N931" s="40">
        <f t="shared" si="275"/>
        <v>0</v>
      </c>
      <c r="P931" s="40">
        <f t="shared" si="276"/>
        <v>0</v>
      </c>
      <c r="Q931" s="45"/>
      <c r="R931" s="53"/>
      <c r="S931" s="40">
        <f t="shared" si="277"/>
        <v>0</v>
      </c>
      <c r="U931" s="40">
        <f t="shared" si="278"/>
        <v>0</v>
      </c>
      <c r="V931" s="51">
        <v>0</v>
      </c>
      <c r="W931" s="51">
        <v>0</v>
      </c>
      <c r="X931" s="40">
        <f t="shared" si="279"/>
        <v>0</v>
      </c>
      <c r="AA931" s="40">
        <f t="shared" si="280"/>
        <v>0</v>
      </c>
      <c r="AB931" s="40">
        <f t="shared" si="281"/>
        <v>0</v>
      </c>
      <c r="AC931" s="67"/>
    </row>
    <row r="932" spans="6:29" x14ac:dyDescent="0.25">
      <c r="F932" s="45" t="str">
        <f t="shared" si="272"/>
        <v xml:space="preserve">S/F  </v>
      </c>
      <c r="G932" s="45">
        <v>0</v>
      </c>
      <c r="H932" s="53">
        <v>0</v>
      </c>
      <c r="I932" s="40">
        <f t="shared" si="273"/>
        <v>0</v>
      </c>
      <c r="J932" s="53"/>
      <c r="K932" s="40">
        <f t="shared" si="274"/>
        <v>0</v>
      </c>
      <c r="L932" s="45">
        <v>0</v>
      </c>
      <c r="M932" s="53">
        <v>0</v>
      </c>
      <c r="N932" s="40">
        <f t="shared" si="275"/>
        <v>0</v>
      </c>
      <c r="P932" s="40">
        <f t="shared" si="276"/>
        <v>0</v>
      </c>
      <c r="Q932" s="45"/>
      <c r="R932" s="53"/>
      <c r="S932" s="40">
        <f t="shared" si="277"/>
        <v>0</v>
      </c>
      <c r="U932" s="40">
        <f t="shared" si="278"/>
        <v>0</v>
      </c>
      <c r="V932" s="51">
        <v>0</v>
      </c>
      <c r="W932" s="51">
        <v>0</v>
      </c>
      <c r="X932" s="40">
        <f t="shared" si="279"/>
        <v>0</v>
      </c>
      <c r="AA932" s="40">
        <f t="shared" si="280"/>
        <v>0</v>
      </c>
      <c r="AB932" s="40">
        <f t="shared" si="281"/>
        <v>0</v>
      </c>
      <c r="AC932" s="67"/>
    </row>
    <row r="933" spans="6:29" x14ac:dyDescent="0.25">
      <c r="F933" s="45" t="str">
        <f t="shared" si="272"/>
        <v xml:space="preserve">S/F  </v>
      </c>
      <c r="G933" s="45">
        <v>0</v>
      </c>
      <c r="H933" s="53">
        <v>0</v>
      </c>
      <c r="I933" s="40">
        <f t="shared" si="273"/>
        <v>0</v>
      </c>
      <c r="J933" s="53"/>
      <c r="K933" s="40">
        <f t="shared" si="274"/>
        <v>0</v>
      </c>
      <c r="L933" s="45">
        <v>0</v>
      </c>
      <c r="M933" s="53">
        <v>0</v>
      </c>
      <c r="N933" s="40">
        <f t="shared" si="275"/>
        <v>0</v>
      </c>
      <c r="P933" s="40">
        <f t="shared" si="276"/>
        <v>0</v>
      </c>
      <c r="Q933" s="45"/>
      <c r="R933" s="53"/>
      <c r="S933" s="40">
        <f t="shared" si="277"/>
        <v>0</v>
      </c>
      <c r="U933" s="40">
        <f t="shared" si="278"/>
        <v>0</v>
      </c>
      <c r="V933" s="51">
        <v>0</v>
      </c>
      <c r="W933" s="51">
        <v>0</v>
      </c>
      <c r="X933" s="40">
        <f t="shared" si="279"/>
        <v>0</v>
      </c>
      <c r="AA933" s="40">
        <f t="shared" si="280"/>
        <v>0</v>
      </c>
      <c r="AB933" s="40">
        <f t="shared" si="281"/>
        <v>0</v>
      </c>
      <c r="AC933" s="67"/>
    </row>
    <row r="934" spans="6:29" x14ac:dyDescent="0.25">
      <c r="F934" s="45" t="str">
        <f t="shared" si="272"/>
        <v xml:space="preserve">S/F  </v>
      </c>
      <c r="G934" s="45">
        <v>0</v>
      </c>
      <c r="H934" s="53">
        <v>0</v>
      </c>
      <c r="I934" s="40">
        <f t="shared" si="273"/>
        <v>0</v>
      </c>
      <c r="J934" s="53"/>
      <c r="K934" s="40">
        <f t="shared" si="274"/>
        <v>0</v>
      </c>
      <c r="L934" s="45">
        <v>0</v>
      </c>
      <c r="M934" s="53">
        <v>0</v>
      </c>
      <c r="N934" s="40">
        <f t="shared" si="275"/>
        <v>0</v>
      </c>
      <c r="P934" s="40">
        <f t="shared" si="276"/>
        <v>0</v>
      </c>
      <c r="Q934" s="45"/>
      <c r="R934" s="53"/>
      <c r="S934" s="40">
        <f t="shared" si="277"/>
        <v>0</v>
      </c>
      <c r="U934" s="40">
        <f t="shared" si="278"/>
        <v>0</v>
      </c>
      <c r="V934" s="51">
        <v>0</v>
      </c>
      <c r="W934" s="51">
        <v>0</v>
      </c>
      <c r="X934" s="40">
        <f t="shared" si="279"/>
        <v>0</v>
      </c>
      <c r="AA934" s="40">
        <f t="shared" si="280"/>
        <v>0</v>
      </c>
      <c r="AB934" s="40">
        <f t="shared" si="281"/>
        <v>0</v>
      </c>
      <c r="AC934" s="67"/>
    </row>
    <row r="935" spans="6:29" x14ac:dyDescent="0.25">
      <c r="F935" s="45" t="str">
        <f t="shared" si="272"/>
        <v xml:space="preserve">S/F  </v>
      </c>
      <c r="G935" s="45">
        <v>0</v>
      </c>
      <c r="H935" s="53">
        <v>0</v>
      </c>
      <c r="I935" s="40">
        <f t="shared" si="273"/>
        <v>0</v>
      </c>
      <c r="J935" s="53"/>
      <c r="K935" s="40">
        <f t="shared" si="274"/>
        <v>0</v>
      </c>
      <c r="L935" s="45">
        <v>0</v>
      </c>
      <c r="M935" s="53">
        <v>0</v>
      </c>
      <c r="N935" s="40">
        <f t="shared" si="275"/>
        <v>0</v>
      </c>
      <c r="P935" s="40">
        <f t="shared" si="276"/>
        <v>0</v>
      </c>
      <c r="Q935" s="45"/>
      <c r="R935" s="53"/>
      <c r="S935" s="40">
        <f t="shared" si="277"/>
        <v>0</v>
      </c>
      <c r="U935" s="40">
        <f t="shared" si="278"/>
        <v>0</v>
      </c>
      <c r="V935" s="51">
        <v>0</v>
      </c>
      <c r="W935" s="51">
        <v>0</v>
      </c>
      <c r="X935" s="40">
        <f t="shared" si="279"/>
        <v>0</v>
      </c>
      <c r="AA935" s="40">
        <f t="shared" si="280"/>
        <v>0</v>
      </c>
      <c r="AB935" s="40">
        <f t="shared" si="281"/>
        <v>0</v>
      </c>
      <c r="AC935" s="67"/>
    </row>
    <row r="936" spans="6:29" x14ac:dyDescent="0.25">
      <c r="F936" s="45" t="str">
        <f t="shared" si="272"/>
        <v xml:space="preserve">S/F  </v>
      </c>
      <c r="G936" s="45">
        <v>0</v>
      </c>
      <c r="H936" s="53">
        <v>0</v>
      </c>
      <c r="I936" s="40">
        <f t="shared" si="273"/>
        <v>0</v>
      </c>
      <c r="J936" s="53"/>
      <c r="K936" s="40">
        <f t="shared" si="274"/>
        <v>0</v>
      </c>
      <c r="L936" s="45">
        <v>0</v>
      </c>
      <c r="M936" s="53">
        <v>0</v>
      </c>
      <c r="N936" s="40">
        <f t="shared" si="275"/>
        <v>0</v>
      </c>
      <c r="P936" s="40">
        <f t="shared" si="276"/>
        <v>0</v>
      </c>
      <c r="Q936" s="45"/>
      <c r="R936" s="53"/>
      <c r="S936" s="40">
        <f t="shared" si="277"/>
        <v>0</v>
      </c>
      <c r="U936" s="40">
        <f t="shared" si="278"/>
        <v>0</v>
      </c>
      <c r="V936" s="51">
        <v>0</v>
      </c>
      <c r="W936" s="51">
        <v>0</v>
      </c>
      <c r="X936" s="40">
        <f t="shared" si="279"/>
        <v>0</v>
      </c>
      <c r="AA936" s="40">
        <f t="shared" si="280"/>
        <v>0</v>
      </c>
      <c r="AB936" s="40">
        <f t="shared" si="281"/>
        <v>0</v>
      </c>
      <c r="AC936" s="67"/>
    </row>
    <row r="937" spans="6:29" x14ac:dyDescent="0.25">
      <c r="F937" s="45" t="str">
        <f t="shared" si="272"/>
        <v xml:space="preserve">S/F  </v>
      </c>
      <c r="G937" s="45">
        <v>0</v>
      </c>
      <c r="H937" s="53">
        <v>0</v>
      </c>
      <c r="I937" s="40">
        <f t="shared" si="273"/>
        <v>0</v>
      </c>
      <c r="J937" s="53"/>
      <c r="K937" s="40">
        <f t="shared" si="274"/>
        <v>0</v>
      </c>
      <c r="L937" s="45">
        <v>0</v>
      </c>
      <c r="M937" s="53">
        <v>0</v>
      </c>
      <c r="N937" s="40">
        <f t="shared" si="275"/>
        <v>0</v>
      </c>
      <c r="P937" s="40">
        <f t="shared" si="276"/>
        <v>0</v>
      </c>
      <c r="Q937" s="45"/>
      <c r="R937" s="53"/>
      <c r="S937" s="40">
        <f t="shared" si="277"/>
        <v>0</v>
      </c>
      <c r="U937" s="40">
        <f t="shared" si="278"/>
        <v>0</v>
      </c>
      <c r="V937" s="51">
        <v>0</v>
      </c>
      <c r="W937" s="51">
        <v>0</v>
      </c>
      <c r="X937" s="40">
        <f t="shared" si="279"/>
        <v>0</v>
      </c>
      <c r="AA937" s="40">
        <f t="shared" si="280"/>
        <v>0</v>
      </c>
      <c r="AB937" s="40">
        <f t="shared" si="281"/>
        <v>0</v>
      </c>
      <c r="AC937" s="67"/>
    </row>
    <row r="938" spans="6:29" x14ac:dyDescent="0.25">
      <c r="F938" s="45" t="str">
        <f t="shared" si="272"/>
        <v xml:space="preserve">S/F  </v>
      </c>
      <c r="G938" s="45">
        <v>0</v>
      </c>
      <c r="H938" s="53">
        <v>0</v>
      </c>
      <c r="I938" s="40">
        <f t="shared" si="273"/>
        <v>0</v>
      </c>
      <c r="J938" s="53"/>
      <c r="K938" s="40">
        <f t="shared" si="274"/>
        <v>0</v>
      </c>
      <c r="L938" s="45">
        <v>0</v>
      </c>
      <c r="M938" s="53">
        <v>0</v>
      </c>
      <c r="N938" s="40">
        <f t="shared" si="275"/>
        <v>0</v>
      </c>
      <c r="P938" s="40">
        <f t="shared" si="276"/>
        <v>0</v>
      </c>
      <c r="Q938" s="45"/>
      <c r="R938" s="53"/>
      <c r="S938" s="40">
        <f t="shared" si="277"/>
        <v>0</v>
      </c>
      <c r="U938" s="40">
        <f t="shared" si="278"/>
        <v>0</v>
      </c>
      <c r="V938" s="51">
        <v>0</v>
      </c>
      <c r="W938" s="51">
        <v>0</v>
      </c>
      <c r="X938" s="40">
        <f t="shared" si="279"/>
        <v>0</v>
      </c>
      <c r="AA938" s="40">
        <f t="shared" si="280"/>
        <v>0</v>
      </c>
      <c r="AB938" s="40">
        <f t="shared" si="281"/>
        <v>0</v>
      </c>
      <c r="AC938" s="67"/>
    </row>
    <row r="939" spans="6:29" x14ac:dyDescent="0.25">
      <c r="F939" s="45" t="str">
        <f t="shared" si="272"/>
        <v xml:space="preserve">S/F  </v>
      </c>
      <c r="G939" s="45">
        <v>0</v>
      </c>
      <c r="H939" s="53">
        <v>0</v>
      </c>
      <c r="I939" s="40">
        <f t="shared" si="273"/>
        <v>0</v>
      </c>
      <c r="J939" s="53"/>
      <c r="K939" s="40">
        <f t="shared" si="274"/>
        <v>0</v>
      </c>
      <c r="L939" s="45">
        <v>0</v>
      </c>
      <c r="M939" s="53">
        <v>0</v>
      </c>
      <c r="N939" s="40">
        <f t="shared" si="275"/>
        <v>0</v>
      </c>
      <c r="P939" s="40">
        <f t="shared" si="276"/>
        <v>0</v>
      </c>
      <c r="Q939" s="45"/>
      <c r="R939" s="53"/>
      <c r="S939" s="40">
        <f t="shared" si="277"/>
        <v>0</v>
      </c>
      <c r="U939" s="40">
        <f t="shared" si="278"/>
        <v>0</v>
      </c>
      <c r="V939" s="51">
        <v>0</v>
      </c>
      <c r="W939" s="51">
        <v>0</v>
      </c>
      <c r="X939" s="40">
        <f t="shared" si="279"/>
        <v>0</v>
      </c>
      <c r="AA939" s="40">
        <f t="shared" si="280"/>
        <v>0</v>
      </c>
      <c r="AB939" s="40">
        <f t="shared" si="281"/>
        <v>0</v>
      </c>
      <c r="AC939" s="67"/>
    </row>
    <row r="940" spans="6:29" x14ac:dyDescent="0.25">
      <c r="F940" s="45" t="str">
        <f t="shared" si="272"/>
        <v xml:space="preserve">S/F  </v>
      </c>
      <c r="G940" s="45">
        <v>0</v>
      </c>
      <c r="H940" s="53">
        <v>0</v>
      </c>
      <c r="I940" s="40">
        <f t="shared" si="273"/>
        <v>0</v>
      </c>
      <c r="J940" s="53"/>
      <c r="K940" s="40">
        <f t="shared" si="274"/>
        <v>0</v>
      </c>
      <c r="L940" s="45">
        <v>0</v>
      </c>
      <c r="M940" s="53">
        <v>0</v>
      </c>
      <c r="N940" s="40">
        <f t="shared" si="275"/>
        <v>0</v>
      </c>
      <c r="P940" s="40">
        <f t="shared" si="276"/>
        <v>0</v>
      </c>
      <c r="Q940" s="45"/>
      <c r="R940" s="53"/>
      <c r="S940" s="40">
        <f t="shared" si="277"/>
        <v>0</v>
      </c>
      <c r="U940" s="40">
        <f t="shared" si="278"/>
        <v>0</v>
      </c>
      <c r="V940" s="51">
        <v>0</v>
      </c>
      <c r="W940" s="51">
        <v>0</v>
      </c>
      <c r="X940" s="40">
        <f t="shared" si="279"/>
        <v>0</v>
      </c>
      <c r="AA940" s="40">
        <f t="shared" si="280"/>
        <v>0</v>
      </c>
      <c r="AB940" s="40">
        <f t="shared" si="281"/>
        <v>0</v>
      </c>
      <c r="AC940" s="67"/>
    </row>
    <row r="941" spans="6:29" x14ac:dyDescent="0.25">
      <c r="F941" s="45" t="str">
        <f t="shared" si="272"/>
        <v xml:space="preserve">S/F  </v>
      </c>
      <c r="G941" s="45">
        <v>0</v>
      </c>
      <c r="H941" s="53">
        <v>0</v>
      </c>
      <c r="I941" s="40">
        <f t="shared" si="273"/>
        <v>0</v>
      </c>
      <c r="J941" s="53"/>
      <c r="K941" s="40">
        <f t="shared" si="274"/>
        <v>0</v>
      </c>
      <c r="L941" s="45">
        <v>0</v>
      </c>
      <c r="M941" s="53">
        <v>0</v>
      </c>
      <c r="N941" s="40">
        <f t="shared" si="275"/>
        <v>0</v>
      </c>
      <c r="P941" s="40">
        <f t="shared" si="276"/>
        <v>0</v>
      </c>
      <c r="Q941" s="45"/>
      <c r="R941" s="53"/>
      <c r="S941" s="40">
        <f t="shared" si="277"/>
        <v>0</v>
      </c>
      <c r="U941" s="40">
        <f t="shared" si="278"/>
        <v>0</v>
      </c>
      <c r="V941" s="51">
        <v>0</v>
      </c>
      <c r="W941" s="51">
        <v>0</v>
      </c>
      <c r="X941" s="40">
        <f t="shared" si="279"/>
        <v>0</v>
      </c>
      <c r="AA941" s="40">
        <f t="shared" si="280"/>
        <v>0</v>
      </c>
      <c r="AB941" s="40">
        <f t="shared" si="281"/>
        <v>0</v>
      </c>
      <c r="AC941" s="67"/>
    </row>
    <row r="942" spans="6:29" x14ac:dyDescent="0.25">
      <c r="F942" s="45" t="str">
        <f t="shared" si="272"/>
        <v xml:space="preserve">S/F  </v>
      </c>
      <c r="G942" s="45">
        <v>0</v>
      </c>
      <c r="H942" s="53">
        <v>0</v>
      </c>
      <c r="I942" s="40">
        <f t="shared" si="273"/>
        <v>0</v>
      </c>
      <c r="J942" s="53"/>
      <c r="K942" s="40">
        <f t="shared" si="274"/>
        <v>0</v>
      </c>
      <c r="L942" s="45">
        <v>0</v>
      </c>
      <c r="M942" s="53">
        <v>0</v>
      </c>
      <c r="N942" s="40">
        <f t="shared" si="275"/>
        <v>0</v>
      </c>
      <c r="P942" s="40">
        <f t="shared" si="276"/>
        <v>0</v>
      </c>
      <c r="Q942" s="45"/>
      <c r="R942" s="53"/>
      <c r="S942" s="40">
        <f t="shared" si="277"/>
        <v>0</v>
      </c>
      <c r="U942" s="40">
        <f t="shared" si="278"/>
        <v>0</v>
      </c>
      <c r="V942" s="51">
        <v>0</v>
      </c>
      <c r="W942" s="51">
        <v>0</v>
      </c>
      <c r="X942" s="40">
        <f t="shared" si="279"/>
        <v>0</v>
      </c>
      <c r="AA942" s="40">
        <f t="shared" si="280"/>
        <v>0</v>
      </c>
      <c r="AB942" s="40">
        <f t="shared" si="281"/>
        <v>0</v>
      </c>
      <c r="AC942" s="67"/>
    </row>
    <row r="943" spans="6:29" x14ac:dyDescent="0.25">
      <c r="F943" s="45" t="str">
        <f t="shared" si="272"/>
        <v xml:space="preserve">S/F  </v>
      </c>
      <c r="G943" s="45">
        <v>0</v>
      </c>
      <c r="H943" s="53">
        <v>0</v>
      </c>
      <c r="I943" s="40">
        <f t="shared" si="273"/>
        <v>0</v>
      </c>
      <c r="J943" s="53"/>
      <c r="K943" s="40">
        <f t="shared" si="274"/>
        <v>0</v>
      </c>
      <c r="L943" s="45">
        <v>0</v>
      </c>
      <c r="M943" s="53">
        <v>0</v>
      </c>
      <c r="N943" s="40">
        <f t="shared" si="275"/>
        <v>0</v>
      </c>
      <c r="P943" s="40">
        <f t="shared" si="276"/>
        <v>0</v>
      </c>
      <c r="Q943" s="45"/>
      <c r="R943" s="53"/>
      <c r="S943" s="40">
        <f t="shared" si="277"/>
        <v>0</v>
      </c>
      <c r="U943" s="40">
        <f t="shared" si="278"/>
        <v>0</v>
      </c>
      <c r="V943" s="51">
        <v>0</v>
      </c>
      <c r="W943" s="51">
        <v>0</v>
      </c>
      <c r="X943" s="40">
        <f t="shared" si="279"/>
        <v>0</v>
      </c>
      <c r="AA943" s="40">
        <f t="shared" si="280"/>
        <v>0</v>
      </c>
      <c r="AB943" s="40">
        <f t="shared" si="281"/>
        <v>0</v>
      </c>
      <c r="AC943" s="67"/>
    </row>
    <row r="944" spans="6:29" x14ac:dyDescent="0.25">
      <c r="F944" s="45" t="str">
        <f t="shared" si="272"/>
        <v xml:space="preserve">S/F  </v>
      </c>
      <c r="G944" s="45">
        <v>0</v>
      </c>
      <c r="H944" s="53">
        <v>0</v>
      </c>
      <c r="I944" s="40">
        <f t="shared" si="273"/>
        <v>0</v>
      </c>
      <c r="J944" s="53"/>
      <c r="K944" s="40">
        <f t="shared" si="274"/>
        <v>0</v>
      </c>
      <c r="L944" s="45">
        <v>0</v>
      </c>
      <c r="M944" s="53">
        <v>0</v>
      </c>
      <c r="N944" s="40">
        <f t="shared" si="275"/>
        <v>0</v>
      </c>
      <c r="P944" s="40">
        <f t="shared" si="276"/>
        <v>0</v>
      </c>
      <c r="Q944" s="45"/>
      <c r="R944" s="53"/>
      <c r="S944" s="40">
        <f t="shared" si="277"/>
        <v>0</v>
      </c>
      <c r="U944" s="40">
        <f t="shared" si="278"/>
        <v>0</v>
      </c>
      <c r="V944" s="51">
        <v>0</v>
      </c>
      <c r="W944" s="51">
        <v>0</v>
      </c>
      <c r="X944" s="40">
        <f t="shared" si="279"/>
        <v>0</v>
      </c>
      <c r="AA944" s="40">
        <f t="shared" si="280"/>
        <v>0</v>
      </c>
      <c r="AB944" s="40">
        <f t="shared" si="281"/>
        <v>0</v>
      </c>
      <c r="AC944" s="67"/>
    </row>
    <row r="945" spans="6:29" x14ac:dyDescent="0.25">
      <c r="F945" s="45" t="str">
        <f t="shared" si="272"/>
        <v xml:space="preserve">S/F  </v>
      </c>
      <c r="G945" s="45">
        <v>0</v>
      </c>
      <c r="H945" s="53">
        <v>0</v>
      </c>
      <c r="I945" s="40">
        <f t="shared" si="273"/>
        <v>0</v>
      </c>
      <c r="J945" s="53"/>
      <c r="K945" s="40">
        <f t="shared" si="274"/>
        <v>0</v>
      </c>
      <c r="L945" s="45">
        <v>0</v>
      </c>
      <c r="M945" s="53">
        <v>0</v>
      </c>
      <c r="N945" s="40">
        <f t="shared" si="275"/>
        <v>0</v>
      </c>
      <c r="P945" s="40">
        <f t="shared" si="276"/>
        <v>0</v>
      </c>
      <c r="Q945" s="45"/>
      <c r="R945" s="53"/>
      <c r="S945" s="40">
        <f t="shared" si="277"/>
        <v>0</v>
      </c>
      <c r="U945" s="40">
        <f t="shared" si="278"/>
        <v>0</v>
      </c>
      <c r="V945" s="51">
        <v>0</v>
      </c>
      <c r="W945" s="51">
        <v>0</v>
      </c>
      <c r="X945" s="40">
        <f t="shared" si="279"/>
        <v>0</v>
      </c>
      <c r="AA945" s="40">
        <f t="shared" si="280"/>
        <v>0</v>
      </c>
      <c r="AB945" s="40">
        <f t="shared" si="281"/>
        <v>0</v>
      </c>
      <c r="AC945" s="67"/>
    </row>
    <row r="946" spans="6:29" x14ac:dyDescent="0.25">
      <c r="F946" s="45" t="str">
        <f t="shared" si="272"/>
        <v xml:space="preserve">S/F  </v>
      </c>
      <c r="G946" s="45">
        <v>0</v>
      </c>
      <c r="H946" s="53">
        <v>0</v>
      </c>
      <c r="I946" s="40">
        <f t="shared" si="273"/>
        <v>0</v>
      </c>
      <c r="J946" s="53"/>
      <c r="K946" s="40">
        <f t="shared" si="274"/>
        <v>0</v>
      </c>
      <c r="L946" s="45">
        <v>0</v>
      </c>
      <c r="M946" s="53">
        <v>0</v>
      </c>
      <c r="N946" s="40">
        <f t="shared" si="275"/>
        <v>0</v>
      </c>
      <c r="P946" s="40">
        <f t="shared" si="276"/>
        <v>0</v>
      </c>
      <c r="Q946" s="45"/>
      <c r="R946" s="53"/>
      <c r="S946" s="40">
        <f t="shared" si="277"/>
        <v>0</v>
      </c>
      <c r="U946" s="40">
        <f t="shared" si="278"/>
        <v>0</v>
      </c>
      <c r="V946" s="51">
        <v>0</v>
      </c>
      <c r="W946" s="51">
        <v>0</v>
      </c>
      <c r="X946" s="40">
        <f t="shared" si="279"/>
        <v>0</v>
      </c>
      <c r="AA946" s="40">
        <f t="shared" si="280"/>
        <v>0</v>
      </c>
      <c r="AB946" s="40">
        <f t="shared" si="281"/>
        <v>0</v>
      </c>
      <c r="AC946" s="67"/>
    </row>
    <row r="947" spans="6:29" x14ac:dyDescent="0.25">
      <c r="F947" s="45" t="str">
        <f t="shared" si="272"/>
        <v xml:space="preserve">S/F  </v>
      </c>
      <c r="G947" s="45">
        <v>0</v>
      </c>
      <c r="H947" s="53">
        <v>0</v>
      </c>
      <c r="I947" s="40">
        <f t="shared" si="273"/>
        <v>0</v>
      </c>
      <c r="J947" s="53"/>
      <c r="K947" s="40">
        <f t="shared" si="274"/>
        <v>0</v>
      </c>
      <c r="L947" s="45">
        <v>0</v>
      </c>
      <c r="M947" s="53">
        <v>0</v>
      </c>
      <c r="N947" s="40">
        <f t="shared" si="275"/>
        <v>0</v>
      </c>
      <c r="P947" s="40">
        <f t="shared" si="276"/>
        <v>0</v>
      </c>
      <c r="Q947" s="45"/>
      <c r="R947" s="53"/>
      <c r="S947" s="40">
        <f t="shared" si="277"/>
        <v>0</v>
      </c>
      <c r="U947" s="40">
        <f t="shared" si="278"/>
        <v>0</v>
      </c>
      <c r="V947" s="51">
        <v>0</v>
      </c>
      <c r="W947" s="51">
        <v>0</v>
      </c>
      <c r="X947" s="40">
        <f t="shared" si="279"/>
        <v>0</v>
      </c>
      <c r="AA947" s="40">
        <f t="shared" si="280"/>
        <v>0</v>
      </c>
      <c r="AB947" s="40">
        <f t="shared" si="281"/>
        <v>0</v>
      </c>
      <c r="AC947" s="67"/>
    </row>
    <row r="948" spans="6:29" x14ac:dyDescent="0.25">
      <c r="F948" s="45" t="str">
        <f t="shared" si="272"/>
        <v xml:space="preserve">S/F  </v>
      </c>
      <c r="G948" s="45">
        <v>0</v>
      </c>
      <c r="H948" s="53">
        <v>0</v>
      </c>
      <c r="I948" s="40">
        <f t="shared" si="273"/>
        <v>0</v>
      </c>
      <c r="J948" s="53"/>
      <c r="K948" s="40">
        <f t="shared" si="274"/>
        <v>0</v>
      </c>
      <c r="L948" s="45">
        <v>0</v>
      </c>
      <c r="M948" s="53">
        <v>0</v>
      </c>
      <c r="N948" s="40">
        <f t="shared" si="275"/>
        <v>0</v>
      </c>
      <c r="P948" s="40">
        <f t="shared" si="276"/>
        <v>0</v>
      </c>
      <c r="Q948" s="45"/>
      <c r="R948" s="53"/>
      <c r="S948" s="40">
        <f t="shared" si="277"/>
        <v>0</v>
      </c>
      <c r="U948" s="40">
        <f t="shared" si="278"/>
        <v>0</v>
      </c>
      <c r="V948" s="51">
        <v>0</v>
      </c>
      <c r="W948" s="51">
        <v>0</v>
      </c>
      <c r="X948" s="40">
        <f t="shared" si="279"/>
        <v>0</v>
      </c>
      <c r="AA948" s="40">
        <f t="shared" si="280"/>
        <v>0</v>
      </c>
      <c r="AB948" s="40">
        <f t="shared" si="281"/>
        <v>0</v>
      </c>
      <c r="AC948" s="67"/>
    </row>
    <row r="949" spans="6:29" x14ac:dyDescent="0.25">
      <c r="F949" s="45" t="str">
        <f t="shared" si="272"/>
        <v xml:space="preserve">S/F  </v>
      </c>
      <c r="G949" s="45">
        <v>0</v>
      </c>
      <c r="H949" s="53">
        <v>0</v>
      </c>
      <c r="I949" s="40">
        <f t="shared" si="273"/>
        <v>0</v>
      </c>
      <c r="J949" s="53"/>
      <c r="K949" s="40">
        <f t="shared" si="274"/>
        <v>0</v>
      </c>
      <c r="L949" s="45">
        <v>0</v>
      </c>
      <c r="M949" s="53">
        <v>0</v>
      </c>
      <c r="N949" s="40">
        <f t="shared" si="275"/>
        <v>0</v>
      </c>
      <c r="P949" s="40">
        <f t="shared" si="276"/>
        <v>0</v>
      </c>
      <c r="Q949" s="45"/>
      <c r="R949" s="53"/>
      <c r="S949" s="40">
        <f t="shared" si="277"/>
        <v>0</v>
      </c>
      <c r="U949" s="40">
        <f t="shared" si="278"/>
        <v>0</v>
      </c>
      <c r="V949" s="51">
        <v>0</v>
      </c>
      <c r="W949" s="51">
        <v>0</v>
      </c>
      <c r="X949" s="40">
        <f t="shared" si="279"/>
        <v>0</v>
      </c>
      <c r="AA949" s="40">
        <f t="shared" si="280"/>
        <v>0</v>
      </c>
      <c r="AB949" s="40">
        <f t="shared" si="281"/>
        <v>0</v>
      </c>
      <c r="AC949" s="67"/>
    </row>
    <row r="950" spans="6:29" x14ac:dyDescent="0.25">
      <c r="F950" s="45" t="str">
        <f t="shared" si="272"/>
        <v xml:space="preserve">S/F  </v>
      </c>
      <c r="G950" s="45">
        <v>0</v>
      </c>
      <c r="H950" s="53">
        <v>0</v>
      </c>
      <c r="I950" s="40">
        <f t="shared" si="273"/>
        <v>0</v>
      </c>
      <c r="J950" s="53"/>
      <c r="K950" s="40">
        <f t="shared" si="274"/>
        <v>0</v>
      </c>
      <c r="L950" s="45">
        <v>0</v>
      </c>
      <c r="M950" s="53">
        <v>0</v>
      </c>
      <c r="N950" s="40">
        <f t="shared" si="275"/>
        <v>0</v>
      </c>
      <c r="P950" s="40">
        <f t="shared" si="276"/>
        <v>0</v>
      </c>
      <c r="Q950" s="45"/>
      <c r="R950" s="53"/>
      <c r="S950" s="40">
        <f t="shared" si="277"/>
        <v>0</v>
      </c>
      <c r="U950" s="40">
        <f t="shared" si="278"/>
        <v>0</v>
      </c>
      <c r="V950" s="51">
        <v>0</v>
      </c>
      <c r="W950" s="51">
        <v>0</v>
      </c>
      <c r="X950" s="40">
        <f t="shared" si="279"/>
        <v>0</v>
      </c>
      <c r="AA950" s="40">
        <f t="shared" si="280"/>
        <v>0</v>
      </c>
      <c r="AB950" s="40">
        <f t="shared" si="281"/>
        <v>0</v>
      </c>
      <c r="AC950" s="67"/>
    </row>
    <row r="951" spans="6:29" x14ac:dyDescent="0.25">
      <c r="F951" s="45" t="str">
        <f t="shared" si="272"/>
        <v xml:space="preserve">S/F  </v>
      </c>
      <c r="G951" s="45">
        <v>0</v>
      </c>
      <c r="H951" s="53">
        <v>0</v>
      </c>
      <c r="I951" s="40">
        <f t="shared" si="273"/>
        <v>0</v>
      </c>
      <c r="J951" s="53"/>
      <c r="K951" s="40">
        <f t="shared" si="274"/>
        <v>0</v>
      </c>
      <c r="L951" s="45">
        <v>0</v>
      </c>
      <c r="M951" s="53">
        <v>0</v>
      </c>
      <c r="N951" s="40">
        <f t="shared" si="275"/>
        <v>0</v>
      </c>
      <c r="P951" s="40">
        <f t="shared" si="276"/>
        <v>0</v>
      </c>
      <c r="Q951" s="45"/>
      <c r="R951" s="53"/>
      <c r="S951" s="40">
        <f t="shared" si="277"/>
        <v>0</v>
      </c>
      <c r="U951" s="40">
        <f t="shared" si="278"/>
        <v>0</v>
      </c>
      <c r="V951" s="51">
        <v>0</v>
      </c>
      <c r="W951" s="51">
        <v>0</v>
      </c>
      <c r="X951" s="40">
        <f t="shared" si="279"/>
        <v>0</v>
      </c>
      <c r="AA951" s="40">
        <f t="shared" si="280"/>
        <v>0</v>
      </c>
      <c r="AB951" s="40">
        <f t="shared" si="281"/>
        <v>0</v>
      </c>
      <c r="AC951" s="67"/>
    </row>
    <row r="952" spans="6:29" x14ac:dyDescent="0.25">
      <c r="F952" s="45" t="str">
        <f t="shared" si="272"/>
        <v xml:space="preserve">S/F  </v>
      </c>
      <c r="G952" s="45">
        <v>0</v>
      </c>
      <c r="H952" s="53">
        <v>0</v>
      </c>
      <c r="I952" s="40">
        <f t="shared" si="273"/>
        <v>0</v>
      </c>
      <c r="J952" s="53"/>
      <c r="K952" s="40">
        <f t="shared" si="274"/>
        <v>0</v>
      </c>
      <c r="L952" s="45">
        <v>0</v>
      </c>
      <c r="M952" s="53">
        <v>0</v>
      </c>
      <c r="N952" s="40">
        <f t="shared" si="275"/>
        <v>0</v>
      </c>
      <c r="P952" s="40">
        <f t="shared" si="276"/>
        <v>0</v>
      </c>
      <c r="Q952" s="45"/>
      <c r="R952" s="53"/>
      <c r="S952" s="40">
        <f t="shared" si="277"/>
        <v>0</v>
      </c>
      <c r="U952" s="40">
        <f t="shared" si="278"/>
        <v>0</v>
      </c>
      <c r="V952" s="51">
        <v>0</v>
      </c>
      <c r="W952" s="51">
        <v>0</v>
      </c>
      <c r="X952" s="40">
        <f t="shared" si="279"/>
        <v>0</v>
      </c>
      <c r="AA952" s="40">
        <f t="shared" si="280"/>
        <v>0</v>
      </c>
      <c r="AB952" s="40">
        <f t="shared" si="281"/>
        <v>0</v>
      </c>
      <c r="AC952" s="67"/>
    </row>
    <row r="953" spans="6:29" x14ac:dyDescent="0.25">
      <c r="F953" s="45" t="str">
        <f t="shared" si="272"/>
        <v xml:space="preserve">S/F  </v>
      </c>
      <c r="G953" s="45">
        <v>0</v>
      </c>
      <c r="H953" s="53">
        <v>0</v>
      </c>
      <c r="I953" s="40">
        <f t="shared" si="273"/>
        <v>0</v>
      </c>
      <c r="J953" s="53"/>
      <c r="K953" s="40">
        <f t="shared" si="274"/>
        <v>0</v>
      </c>
      <c r="L953" s="45">
        <v>0</v>
      </c>
      <c r="M953" s="53">
        <v>0</v>
      </c>
      <c r="N953" s="40">
        <f t="shared" si="275"/>
        <v>0</v>
      </c>
      <c r="P953" s="40">
        <f t="shared" si="276"/>
        <v>0</v>
      </c>
      <c r="Q953" s="45"/>
      <c r="R953" s="53"/>
      <c r="S953" s="40">
        <f t="shared" si="277"/>
        <v>0</v>
      </c>
      <c r="U953" s="40">
        <f t="shared" si="278"/>
        <v>0</v>
      </c>
      <c r="V953" s="51">
        <v>0</v>
      </c>
      <c r="W953" s="51">
        <v>0</v>
      </c>
      <c r="X953" s="40">
        <f t="shared" si="279"/>
        <v>0</v>
      </c>
      <c r="AA953" s="40">
        <f t="shared" si="280"/>
        <v>0</v>
      </c>
      <c r="AB953" s="40">
        <f t="shared" si="281"/>
        <v>0</v>
      </c>
      <c r="AC953" s="67"/>
    </row>
    <row r="954" spans="6:29" x14ac:dyDescent="0.25">
      <c r="F954" s="45" t="str">
        <f t="shared" si="272"/>
        <v xml:space="preserve">S/F  </v>
      </c>
      <c r="G954" s="45">
        <v>0</v>
      </c>
      <c r="H954" s="53">
        <v>0</v>
      </c>
      <c r="I954" s="40">
        <f t="shared" si="273"/>
        <v>0</v>
      </c>
      <c r="J954" s="53"/>
      <c r="K954" s="40">
        <f t="shared" si="274"/>
        <v>0</v>
      </c>
      <c r="L954" s="45">
        <v>0</v>
      </c>
      <c r="M954" s="53">
        <v>0</v>
      </c>
      <c r="N954" s="40">
        <f t="shared" si="275"/>
        <v>0</v>
      </c>
      <c r="P954" s="40">
        <f t="shared" si="276"/>
        <v>0</v>
      </c>
      <c r="Q954" s="45"/>
      <c r="R954" s="53"/>
      <c r="S954" s="40">
        <f t="shared" si="277"/>
        <v>0</v>
      </c>
      <c r="U954" s="40">
        <f t="shared" si="278"/>
        <v>0</v>
      </c>
      <c r="V954" s="51">
        <v>0</v>
      </c>
      <c r="W954" s="51">
        <v>0</v>
      </c>
      <c r="X954" s="40">
        <f t="shared" si="279"/>
        <v>0</v>
      </c>
      <c r="AA954" s="40">
        <f t="shared" si="280"/>
        <v>0</v>
      </c>
      <c r="AB954" s="40">
        <f t="shared" si="281"/>
        <v>0</v>
      </c>
      <c r="AC954" s="67"/>
    </row>
    <row r="955" spans="6:29" x14ac:dyDescent="0.25">
      <c r="F955" s="45" t="str">
        <f t="shared" si="272"/>
        <v xml:space="preserve">S/F  </v>
      </c>
      <c r="G955" s="45">
        <v>0</v>
      </c>
      <c r="H955" s="53">
        <v>0</v>
      </c>
      <c r="I955" s="40">
        <f t="shared" si="273"/>
        <v>0</v>
      </c>
      <c r="J955" s="53"/>
      <c r="K955" s="40">
        <f t="shared" si="274"/>
        <v>0</v>
      </c>
      <c r="L955" s="45">
        <v>0</v>
      </c>
      <c r="M955" s="53">
        <v>0</v>
      </c>
      <c r="N955" s="40">
        <f t="shared" si="275"/>
        <v>0</v>
      </c>
      <c r="P955" s="40">
        <f t="shared" si="276"/>
        <v>0</v>
      </c>
      <c r="Q955" s="45"/>
      <c r="R955" s="53"/>
      <c r="S955" s="40">
        <f t="shared" si="277"/>
        <v>0</v>
      </c>
      <c r="U955" s="40">
        <f t="shared" si="278"/>
        <v>0</v>
      </c>
      <c r="V955" s="51">
        <v>0</v>
      </c>
      <c r="W955" s="51">
        <v>0</v>
      </c>
      <c r="X955" s="40">
        <f t="shared" si="279"/>
        <v>0</v>
      </c>
      <c r="AA955" s="40">
        <f t="shared" si="280"/>
        <v>0</v>
      </c>
      <c r="AB955" s="40">
        <f t="shared" si="281"/>
        <v>0</v>
      </c>
      <c r="AC955" s="67"/>
    </row>
    <row r="956" spans="6:29" x14ac:dyDescent="0.25">
      <c r="F956" s="45" t="str">
        <f t="shared" si="272"/>
        <v xml:space="preserve">S/F  </v>
      </c>
      <c r="G956" s="45">
        <v>0</v>
      </c>
      <c r="H956" s="53">
        <v>0</v>
      </c>
      <c r="I956" s="40">
        <f t="shared" si="273"/>
        <v>0</v>
      </c>
      <c r="J956" s="53"/>
      <c r="K956" s="40">
        <f t="shared" si="274"/>
        <v>0</v>
      </c>
      <c r="L956" s="45">
        <v>0</v>
      </c>
      <c r="M956" s="53">
        <v>0</v>
      </c>
      <c r="N956" s="40">
        <f t="shared" si="275"/>
        <v>0</v>
      </c>
      <c r="P956" s="40">
        <f t="shared" si="276"/>
        <v>0</v>
      </c>
      <c r="Q956" s="45"/>
      <c r="R956" s="53"/>
      <c r="S956" s="40">
        <f t="shared" si="277"/>
        <v>0</v>
      </c>
      <c r="U956" s="40">
        <f t="shared" si="278"/>
        <v>0</v>
      </c>
      <c r="V956" s="51">
        <v>0</v>
      </c>
      <c r="W956" s="51">
        <v>0</v>
      </c>
      <c r="X956" s="40">
        <f t="shared" si="279"/>
        <v>0</v>
      </c>
      <c r="AA956" s="40">
        <f t="shared" si="280"/>
        <v>0</v>
      </c>
      <c r="AB956" s="40">
        <f t="shared" si="281"/>
        <v>0</v>
      </c>
      <c r="AC956" s="67"/>
    </row>
    <row r="957" spans="6:29" x14ac:dyDescent="0.25">
      <c r="F957" s="45" t="str">
        <f t="shared" si="272"/>
        <v xml:space="preserve">S/F  </v>
      </c>
      <c r="G957" s="45">
        <v>0</v>
      </c>
      <c r="H957" s="53">
        <v>0</v>
      </c>
      <c r="I957" s="40">
        <f t="shared" si="273"/>
        <v>0</v>
      </c>
      <c r="J957" s="53"/>
      <c r="K957" s="40">
        <f t="shared" si="274"/>
        <v>0</v>
      </c>
      <c r="L957" s="45">
        <v>0</v>
      </c>
      <c r="M957" s="53">
        <v>0</v>
      </c>
      <c r="N957" s="40">
        <f t="shared" si="275"/>
        <v>0</v>
      </c>
      <c r="P957" s="40">
        <f t="shared" si="276"/>
        <v>0</v>
      </c>
      <c r="Q957" s="45"/>
      <c r="R957" s="53"/>
      <c r="S957" s="40">
        <f t="shared" si="277"/>
        <v>0</v>
      </c>
      <c r="U957" s="40">
        <f t="shared" si="278"/>
        <v>0</v>
      </c>
      <c r="V957" s="51">
        <v>0</v>
      </c>
      <c r="W957" s="51">
        <v>0</v>
      </c>
      <c r="X957" s="40">
        <f t="shared" si="279"/>
        <v>0</v>
      </c>
      <c r="AA957" s="40">
        <f t="shared" si="280"/>
        <v>0</v>
      </c>
      <c r="AB957" s="40">
        <f t="shared" si="281"/>
        <v>0</v>
      </c>
      <c r="AC957" s="67"/>
    </row>
    <row r="958" spans="6:29" x14ac:dyDescent="0.25">
      <c r="F958" s="45" t="str">
        <f t="shared" si="272"/>
        <v xml:space="preserve">S/F  </v>
      </c>
      <c r="G958" s="45">
        <v>0</v>
      </c>
      <c r="H958" s="53">
        <v>0</v>
      </c>
      <c r="I958" s="40">
        <f t="shared" si="273"/>
        <v>0</v>
      </c>
      <c r="J958" s="53"/>
      <c r="K958" s="40">
        <f t="shared" si="274"/>
        <v>0</v>
      </c>
      <c r="L958" s="45">
        <v>0</v>
      </c>
      <c r="M958" s="53">
        <v>0</v>
      </c>
      <c r="N958" s="40">
        <f t="shared" si="275"/>
        <v>0</v>
      </c>
      <c r="P958" s="40">
        <f t="shared" si="276"/>
        <v>0</v>
      </c>
      <c r="Q958" s="45"/>
      <c r="R958" s="53"/>
      <c r="S958" s="40">
        <f t="shared" si="277"/>
        <v>0</v>
      </c>
      <c r="U958" s="40">
        <f t="shared" si="278"/>
        <v>0</v>
      </c>
      <c r="V958" s="51">
        <v>0</v>
      </c>
      <c r="W958" s="51">
        <v>0</v>
      </c>
      <c r="X958" s="40">
        <f t="shared" si="279"/>
        <v>0</v>
      </c>
      <c r="AA958" s="40">
        <f t="shared" si="280"/>
        <v>0</v>
      </c>
      <c r="AB958" s="40">
        <f t="shared" si="281"/>
        <v>0</v>
      </c>
      <c r="AC958" s="67"/>
    </row>
    <row r="959" spans="6:29" x14ac:dyDescent="0.25">
      <c r="F959" s="45" t="str">
        <f t="shared" si="272"/>
        <v xml:space="preserve">S/F  </v>
      </c>
      <c r="G959" s="45">
        <v>0</v>
      </c>
      <c r="H959" s="53">
        <v>0</v>
      </c>
      <c r="I959" s="40">
        <f t="shared" si="273"/>
        <v>0</v>
      </c>
      <c r="J959" s="53"/>
      <c r="K959" s="40">
        <f t="shared" si="274"/>
        <v>0</v>
      </c>
      <c r="L959" s="45">
        <v>0</v>
      </c>
      <c r="M959" s="53">
        <v>0</v>
      </c>
      <c r="N959" s="40">
        <f t="shared" si="275"/>
        <v>0</v>
      </c>
      <c r="P959" s="40">
        <f t="shared" si="276"/>
        <v>0</v>
      </c>
      <c r="Q959" s="45"/>
      <c r="R959" s="53"/>
      <c r="S959" s="40">
        <f t="shared" si="277"/>
        <v>0</v>
      </c>
      <c r="U959" s="40">
        <f t="shared" si="278"/>
        <v>0</v>
      </c>
      <c r="V959" s="51">
        <v>0</v>
      </c>
      <c r="W959" s="51">
        <v>0</v>
      </c>
      <c r="X959" s="40">
        <f t="shared" si="279"/>
        <v>0</v>
      </c>
      <c r="AA959" s="40">
        <f t="shared" si="280"/>
        <v>0</v>
      </c>
      <c r="AB959" s="40">
        <f t="shared" si="281"/>
        <v>0</v>
      </c>
      <c r="AC959" s="67"/>
    </row>
    <row r="960" spans="6:29" x14ac:dyDescent="0.25">
      <c r="F960" s="45" t="str">
        <f t="shared" si="272"/>
        <v xml:space="preserve">S/F  </v>
      </c>
      <c r="G960" s="45">
        <v>0</v>
      </c>
      <c r="H960" s="53">
        <v>0</v>
      </c>
      <c r="I960" s="40">
        <f t="shared" si="273"/>
        <v>0</v>
      </c>
      <c r="J960" s="53"/>
      <c r="K960" s="40">
        <f t="shared" si="274"/>
        <v>0</v>
      </c>
      <c r="L960" s="45">
        <v>0</v>
      </c>
      <c r="M960" s="53">
        <v>0</v>
      </c>
      <c r="N960" s="40">
        <f t="shared" si="275"/>
        <v>0</v>
      </c>
      <c r="P960" s="40">
        <f t="shared" si="276"/>
        <v>0</v>
      </c>
      <c r="Q960" s="45"/>
      <c r="R960" s="53"/>
      <c r="S960" s="40">
        <f t="shared" si="277"/>
        <v>0</v>
      </c>
      <c r="U960" s="40">
        <f t="shared" si="278"/>
        <v>0</v>
      </c>
      <c r="V960" s="51">
        <v>0</v>
      </c>
      <c r="W960" s="51">
        <v>0</v>
      </c>
      <c r="X960" s="40">
        <f t="shared" si="279"/>
        <v>0</v>
      </c>
      <c r="AA960" s="40">
        <f t="shared" si="280"/>
        <v>0</v>
      </c>
      <c r="AB960" s="40">
        <f t="shared" si="281"/>
        <v>0</v>
      </c>
      <c r="AC960" s="67"/>
    </row>
    <row r="961" spans="6:29" x14ac:dyDescent="0.25">
      <c r="F961" s="45" t="str">
        <f t="shared" si="272"/>
        <v xml:space="preserve">S/F  </v>
      </c>
      <c r="G961" s="45">
        <v>0</v>
      </c>
      <c r="H961" s="53">
        <v>0</v>
      </c>
      <c r="I961" s="40">
        <f t="shared" si="273"/>
        <v>0</v>
      </c>
      <c r="J961" s="53"/>
      <c r="K961" s="40">
        <f t="shared" si="274"/>
        <v>0</v>
      </c>
      <c r="L961" s="45">
        <v>0</v>
      </c>
      <c r="M961" s="53">
        <v>0</v>
      </c>
      <c r="N961" s="40">
        <f t="shared" si="275"/>
        <v>0</v>
      </c>
      <c r="P961" s="40">
        <f t="shared" si="276"/>
        <v>0</v>
      </c>
      <c r="Q961" s="45"/>
      <c r="R961" s="53"/>
      <c r="S961" s="40">
        <f t="shared" si="277"/>
        <v>0</v>
      </c>
      <c r="U961" s="40">
        <f t="shared" si="278"/>
        <v>0</v>
      </c>
      <c r="V961" s="51">
        <v>0</v>
      </c>
      <c r="W961" s="51">
        <v>0</v>
      </c>
      <c r="X961" s="40">
        <f t="shared" si="279"/>
        <v>0</v>
      </c>
      <c r="AA961" s="40">
        <f t="shared" si="280"/>
        <v>0</v>
      </c>
      <c r="AB961" s="40">
        <f t="shared" si="281"/>
        <v>0</v>
      </c>
      <c r="AC961" s="67"/>
    </row>
    <row r="962" spans="6:29" x14ac:dyDescent="0.25">
      <c r="F962" s="45" t="str">
        <f t="shared" si="272"/>
        <v xml:space="preserve">S/F  </v>
      </c>
      <c r="G962" s="45">
        <v>0</v>
      </c>
      <c r="H962" s="53">
        <v>0</v>
      </c>
      <c r="I962" s="40">
        <f t="shared" si="273"/>
        <v>0</v>
      </c>
      <c r="J962" s="53"/>
      <c r="K962" s="40">
        <f t="shared" si="274"/>
        <v>0</v>
      </c>
      <c r="L962" s="45">
        <v>0</v>
      </c>
      <c r="M962" s="53">
        <v>0</v>
      </c>
      <c r="N962" s="40">
        <f t="shared" si="275"/>
        <v>0</v>
      </c>
      <c r="P962" s="40">
        <f t="shared" si="276"/>
        <v>0</v>
      </c>
      <c r="Q962" s="45"/>
      <c r="R962" s="53"/>
      <c r="S962" s="40">
        <f t="shared" si="277"/>
        <v>0</v>
      </c>
      <c r="U962" s="40">
        <f t="shared" si="278"/>
        <v>0</v>
      </c>
      <c r="V962" s="51">
        <v>0</v>
      </c>
      <c r="W962" s="51">
        <v>0</v>
      </c>
      <c r="X962" s="40">
        <f t="shared" si="279"/>
        <v>0</v>
      </c>
      <c r="AA962" s="40">
        <f t="shared" si="280"/>
        <v>0</v>
      </c>
      <c r="AB962" s="40">
        <f t="shared" si="281"/>
        <v>0</v>
      </c>
      <c r="AC962" s="67"/>
    </row>
    <row r="963" spans="6:29" x14ac:dyDescent="0.25">
      <c r="F963" s="45" t="str">
        <f t="shared" si="272"/>
        <v xml:space="preserve">S/F  </v>
      </c>
      <c r="G963" s="45">
        <v>0</v>
      </c>
      <c r="H963" s="53">
        <v>0</v>
      </c>
      <c r="I963" s="40">
        <f t="shared" si="273"/>
        <v>0</v>
      </c>
      <c r="J963" s="53"/>
      <c r="K963" s="40">
        <f t="shared" si="274"/>
        <v>0</v>
      </c>
      <c r="L963" s="45">
        <v>0</v>
      </c>
      <c r="M963" s="53">
        <v>0</v>
      </c>
      <c r="N963" s="40">
        <f t="shared" si="275"/>
        <v>0</v>
      </c>
      <c r="P963" s="40">
        <f t="shared" si="276"/>
        <v>0</v>
      </c>
      <c r="Q963" s="45"/>
      <c r="R963" s="53"/>
      <c r="S963" s="40">
        <f t="shared" si="277"/>
        <v>0</v>
      </c>
      <c r="U963" s="40">
        <f t="shared" si="278"/>
        <v>0</v>
      </c>
      <c r="V963" s="51">
        <v>0</v>
      </c>
      <c r="W963" s="51">
        <v>0</v>
      </c>
      <c r="X963" s="40">
        <f t="shared" si="279"/>
        <v>0</v>
      </c>
      <c r="AA963" s="40">
        <f t="shared" si="280"/>
        <v>0</v>
      </c>
      <c r="AB963" s="40">
        <f t="shared" si="281"/>
        <v>0</v>
      </c>
      <c r="AC963" s="67"/>
    </row>
    <row r="964" spans="6:29" x14ac:dyDescent="0.25">
      <c r="F964" s="45" t="str">
        <f t="shared" si="272"/>
        <v xml:space="preserve">S/F  </v>
      </c>
      <c r="G964" s="45">
        <v>0</v>
      </c>
      <c r="H964" s="53">
        <v>0</v>
      </c>
      <c r="I964" s="40">
        <f t="shared" si="273"/>
        <v>0</v>
      </c>
      <c r="J964" s="53"/>
      <c r="K964" s="40">
        <f t="shared" si="274"/>
        <v>0</v>
      </c>
      <c r="L964" s="45">
        <v>0</v>
      </c>
      <c r="M964" s="53">
        <v>0</v>
      </c>
      <c r="N964" s="40">
        <f t="shared" si="275"/>
        <v>0</v>
      </c>
      <c r="P964" s="40">
        <f t="shared" si="276"/>
        <v>0</v>
      </c>
      <c r="Q964" s="45"/>
      <c r="R964" s="53"/>
      <c r="S964" s="40">
        <f t="shared" si="277"/>
        <v>0</v>
      </c>
      <c r="U964" s="40">
        <f t="shared" si="278"/>
        <v>0</v>
      </c>
      <c r="V964" s="51">
        <v>0</v>
      </c>
      <c r="W964" s="51">
        <v>0</v>
      </c>
      <c r="X964" s="40">
        <f t="shared" si="279"/>
        <v>0</v>
      </c>
      <c r="AA964" s="40">
        <f t="shared" si="280"/>
        <v>0</v>
      </c>
      <c r="AB964" s="40">
        <f t="shared" si="281"/>
        <v>0</v>
      </c>
      <c r="AC964" s="67"/>
    </row>
    <row r="965" spans="6:29" x14ac:dyDescent="0.25">
      <c r="F965" s="45" t="str">
        <f t="shared" si="272"/>
        <v xml:space="preserve">S/F  </v>
      </c>
      <c r="G965" s="45">
        <v>0</v>
      </c>
      <c r="H965" s="53">
        <v>0</v>
      </c>
      <c r="I965" s="40">
        <f t="shared" si="273"/>
        <v>0</v>
      </c>
      <c r="J965" s="53"/>
      <c r="K965" s="40">
        <f t="shared" si="274"/>
        <v>0</v>
      </c>
      <c r="L965" s="45">
        <v>0</v>
      </c>
      <c r="M965" s="53">
        <v>0</v>
      </c>
      <c r="N965" s="40">
        <f t="shared" si="275"/>
        <v>0</v>
      </c>
      <c r="P965" s="40">
        <f t="shared" si="276"/>
        <v>0</v>
      </c>
      <c r="Q965" s="45"/>
      <c r="R965" s="53"/>
      <c r="S965" s="40">
        <f t="shared" si="277"/>
        <v>0</v>
      </c>
      <c r="U965" s="40">
        <f t="shared" si="278"/>
        <v>0</v>
      </c>
      <c r="V965" s="51">
        <v>0</v>
      </c>
      <c r="W965" s="51">
        <v>0</v>
      </c>
      <c r="X965" s="40">
        <f t="shared" si="279"/>
        <v>0</v>
      </c>
      <c r="AA965" s="40">
        <f t="shared" si="280"/>
        <v>0</v>
      </c>
      <c r="AB965" s="40">
        <f t="shared" si="281"/>
        <v>0</v>
      </c>
      <c r="AC965" s="67"/>
    </row>
    <row r="966" spans="6:29" x14ac:dyDescent="0.25">
      <c r="F966" s="45" t="str">
        <f t="shared" si="272"/>
        <v xml:space="preserve">S/F  </v>
      </c>
      <c r="G966" s="45">
        <v>0</v>
      </c>
      <c r="H966" s="53">
        <v>0</v>
      </c>
      <c r="I966" s="40">
        <f t="shared" si="273"/>
        <v>0</v>
      </c>
      <c r="J966" s="53"/>
      <c r="K966" s="40">
        <f t="shared" si="274"/>
        <v>0</v>
      </c>
      <c r="L966" s="45">
        <v>0</v>
      </c>
      <c r="M966" s="53">
        <v>0</v>
      </c>
      <c r="N966" s="40">
        <f t="shared" si="275"/>
        <v>0</v>
      </c>
      <c r="P966" s="40">
        <f t="shared" si="276"/>
        <v>0</v>
      </c>
      <c r="Q966" s="45"/>
      <c r="R966" s="53"/>
      <c r="S966" s="40">
        <f t="shared" si="277"/>
        <v>0</v>
      </c>
      <c r="U966" s="40">
        <f t="shared" si="278"/>
        <v>0</v>
      </c>
      <c r="V966" s="51">
        <v>0</v>
      </c>
      <c r="W966" s="51">
        <v>0</v>
      </c>
      <c r="X966" s="40">
        <f t="shared" si="279"/>
        <v>0</v>
      </c>
      <c r="AA966" s="40">
        <f t="shared" si="280"/>
        <v>0</v>
      </c>
      <c r="AB966" s="40">
        <f t="shared" si="281"/>
        <v>0</v>
      </c>
      <c r="AC966" s="67"/>
    </row>
    <row r="967" spans="6:29" x14ac:dyDescent="0.25">
      <c r="F967" s="45" t="str">
        <f t="shared" si="272"/>
        <v xml:space="preserve">S/F  </v>
      </c>
      <c r="G967" s="45">
        <v>0</v>
      </c>
      <c r="H967" s="53">
        <v>0</v>
      </c>
      <c r="I967" s="40">
        <f t="shared" si="273"/>
        <v>0</v>
      </c>
      <c r="J967" s="53"/>
      <c r="K967" s="40">
        <f t="shared" si="274"/>
        <v>0</v>
      </c>
      <c r="L967" s="45">
        <v>0</v>
      </c>
      <c r="M967" s="53">
        <v>0</v>
      </c>
      <c r="N967" s="40">
        <f t="shared" si="275"/>
        <v>0</v>
      </c>
      <c r="P967" s="40">
        <f t="shared" si="276"/>
        <v>0</v>
      </c>
      <c r="Q967" s="45"/>
      <c r="R967" s="53"/>
      <c r="S967" s="40">
        <f t="shared" si="277"/>
        <v>0</v>
      </c>
      <c r="U967" s="40">
        <f t="shared" si="278"/>
        <v>0</v>
      </c>
      <c r="V967" s="51">
        <v>0</v>
      </c>
      <c r="W967" s="51">
        <v>0</v>
      </c>
      <c r="X967" s="40">
        <f t="shared" si="279"/>
        <v>0</v>
      </c>
      <c r="AA967" s="40">
        <f t="shared" si="280"/>
        <v>0</v>
      </c>
      <c r="AB967" s="40">
        <f t="shared" si="281"/>
        <v>0</v>
      </c>
      <c r="AC967" s="67"/>
    </row>
    <row r="968" spans="6:29" x14ac:dyDescent="0.25">
      <c r="F968" s="45" t="str">
        <f t="shared" si="272"/>
        <v xml:space="preserve">S/F  </v>
      </c>
      <c r="G968" s="45">
        <v>0</v>
      </c>
      <c r="H968" s="53">
        <v>0</v>
      </c>
      <c r="I968" s="40">
        <f t="shared" si="273"/>
        <v>0</v>
      </c>
      <c r="J968" s="53"/>
      <c r="K968" s="40">
        <f t="shared" si="274"/>
        <v>0</v>
      </c>
      <c r="L968" s="45">
        <v>0</v>
      </c>
      <c r="M968" s="53">
        <v>0</v>
      </c>
      <c r="N968" s="40">
        <f t="shared" si="275"/>
        <v>0</v>
      </c>
      <c r="P968" s="40">
        <f t="shared" si="276"/>
        <v>0</v>
      </c>
      <c r="Q968" s="45"/>
      <c r="R968" s="53"/>
      <c r="S968" s="40">
        <f t="shared" si="277"/>
        <v>0</v>
      </c>
      <c r="U968" s="40">
        <f t="shared" si="278"/>
        <v>0</v>
      </c>
      <c r="V968" s="51">
        <v>0</v>
      </c>
      <c r="W968" s="51">
        <v>0</v>
      </c>
      <c r="X968" s="40">
        <f t="shared" si="279"/>
        <v>0</v>
      </c>
      <c r="AA968" s="40">
        <f t="shared" si="280"/>
        <v>0</v>
      </c>
      <c r="AB968" s="40">
        <f t="shared" si="281"/>
        <v>0</v>
      </c>
      <c r="AC968" s="67"/>
    </row>
    <row r="969" spans="6:29" x14ac:dyDescent="0.25">
      <c r="F969" s="45" t="str">
        <f t="shared" si="272"/>
        <v xml:space="preserve">S/F  </v>
      </c>
      <c r="G969" s="45">
        <v>0</v>
      </c>
      <c r="H969" s="53">
        <v>0</v>
      </c>
      <c r="I969" s="40">
        <f t="shared" si="273"/>
        <v>0</v>
      </c>
      <c r="J969" s="53"/>
      <c r="K969" s="40">
        <f t="shared" si="274"/>
        <v>0</v>
      </c>
      <c r="L969" s="45">
        <v>0</v>
      </c>
      <c r="M969" s="53">
        <v>0</v>
      </c>
      <c r="N969" s="40">
        <f t="shared" si="275"/>
        <v>0</v>
      </c>
      <c r="P969" s="40">
        <f t="shared" si="276"/>
        <v>0</v>
      </c>
      <c r="Q969" s="45"/>
      <c r="R969" s="53"/>
      <c r="S969" s="40">
        <f t="shared" si="277"/>
        <v>0</v>
      </c>
      <c r="U969" s="40">
        <f t="shared" si="278"/>
        <v>0</v>
      </c>
      <c r="V969" s="51">
        <v>0</v>
      </c>
      <c r="W969" s="51">
        <v>0</v>
      </c>
      <c r="X969" s="40">
        <f t="shared" si="279"/>
        <v>0</v>
      </c>
      <c r="AA969" s="40">
        <f t="shared" si="280"/>
        <v>0</v>
      </c>
      <c r="AB969" s="40">
        <f t="shared" si="281"/>
        <v>0</v>
      </c>
      <c r="AC969" s="67"/>
    </row>
    <row r="970" spans="6:29" x14ac:dyDescent="0.25">
      <c r="F970" s="45" t="str">
        <f t="shared" si="272"/>
        <v xml:space="preserve">S/F  </v>
      </c>
      <c r="G970" s="45">
        <v>0</v>
      </c>
      <c r="H970" s="53">
        <v>0</v>
      </c>
      <c r="I970" s="40">
        <f t="shared" si="273"/>
        <v>0</v>
      </c>
      <c r="J970" s="53"/>
      <c r="K970" s="40">
        <f t="shared" si="274"/>
        <v>0</v>
      </c>
      <c r="L970" s="45">
        <v>0</v>
      </c>
      <c r="M970" s="53">
        <v>0</v>
      </c>
      <c r="N970" s="40">
        <f t="shared" si="275"/>
        <v>0</v>
      </c>
      <c r="P970" s="40">
        <f t="shared" si="276"/>
        <v>0</v>
      </c>
      <c r="Q970" s="45"/>
      <c r="R970" s="53"/>
      <c r="S970" s="40">
        <f t="shared" si="277"/>
        <v>0</v>
      </c>
      <c r="U970" s="40">
        <f t="shared" si="278"/>
        <v>0</v>
      </c>
      <c r="V970" s="51">
        <v>0</v>
      </c>
      <c r="W970" s="51">
        <v>0</v>
      </c>
      <c r="X970" s="40">
        <f t="shared" si="279"/>
        <v>0</v>
      </c>
      <c r="AA970" s="40">
        <f t="shared" si="280"/>
        <v>0</v>
      </c>
      <c r="AB970" s="40">
        <f t="shared" si="281"/>
        <v>0</v>
      </c>
      <c r="AC970" s="67"/>
    </row>
    <row r="971" spans="6:29" x14ac:dyDescent="0.25">
      <c r="F971" s="45" t="str">
        <f t="shared" si="272"/>
        <v xml:space="preserve">S/F  </v>
      </c>
      <c r="G971" s="45">
        <v>0</v>
      </c>
      <c r="H971" s="53">
        <v>0</v>
      </c>
      <c r="I971" s="40">
        <f t="shared" si="273"/>
        <v>0</v>
      </c>
      <c r="J971" s="53"/>
      <c r="K971" s="40">
        <f t="shared" si="274"/>
        <v>0</v>
      </c>
      <c r="L971" s="45">
        <v>0</v>
      </c>
      <c r="M971" s="53">
        <v>0</v>
      </c>
      <c r="N971" s="40">
        <f t="shared" si="275"/>
        <v>0</v>
      </c>
      <c r="P971" s="40">
        <f t="shared" si="276"/>
        <v>0</v>
      </c>
      <c r="Q971" s="45"/>
      <c r="R971" s="53"/>
      <c r="S971" s="40">
        <f t="shared" si="277"/>
        <v>0</v>
      </c>
      <c r="U971" s="40">
        <f t="shared" si="278"/>
        <v>0</v>
      </c>
      <c r="V971" s="51">
        <v>0</v>
      </c>
      <c r="W971" s="51">
        <v>0</v>
      </c>
      <c r="X971" s="40">
        <f t="shared" si="279"/>
        <v>0</v>
      </c>
      <c r="AA971" s="40">
        <f t="shared" si="280"/>
        <v>0</v>
      </c>
      <c r="AB971" s="40">
        <f t="shared" si="281"/>
        <v>0</v>
      </c>
      <c r="AC971" s="67"/>
    </row>
    <row r="972" spans="6:29" x14ac:dyDescent="0.25">
      <c r="F972" s="45" t="str">
        <f t="shared" si="272"/>
        <v xml:space="preserve">S/F  </v>
      </c>
      <c r="G972" s="45">
        <v>0</v>
      </c>
      <c r="H972" s="53">
        <v>0</v>
      </c>
      <c r="I972" s="40">
        <f t="shared" si="273"/>
        <v>0</v>
      </c>
      <c r="J972" s="53"/>
      <c r="K972" s="40">
        <f t="shared" si="274"/>
        <v>0</v>
      </c>
      <c r="L972" s="45">
        <v>0</v>
      </c>
      <c r="M972" s="53">
        <v>0</v>
      </c>
      <c r="N972" s="40">
        <f t="shared" si="275"/>
        <v>0</v>
      </c>
      <c r="P972" s="40">
        <f t="shared" si="276"/>
        <v>0</v>
      </c>
      <c r="Q972" s="45"/>
      <c r="R972" s="53"/>
      <c r="S972" s="40">
        <f t="shared" si="277"/>
        <v>0</v>
      </c>
      <c r="U972" s="40">
        <f t="shared" si="278"/>
        <v>0</v>
      </c>
      <c r="V972" s="51">
        <v>0</v>
      </c>
      <c r="W972" s="51">
        <v>0</v>
      </c>
      <c r="X972" s="40">
        <f t="shared" si="279"/>
        <v>0</v>
      </c>
      <c r="AA972" s="40">
        <f t="shared" si="280"/>
        <v>0</v>
      </c>
      <c r="AB972" s="40">
        <f t="shared" si="281"/>
        <v>0</v>
      </c>
      <c r="AC972" s="67"/>
    </row>
    <row r="973" spans="6:29" x14ac:dyDescent="0.25">
      <c r="F973" s="45" t="str">
        <f t="shared" ref="F973:F1036" si="282">"S/F "&amp;B973&amp;" "&amp;E973</f>
        <v xml:space="preserve">S/F  </v>
      </c>
      <c r="G973" s="45">
        <v>0</v>
      </c>
      <c r="H973" s="53">
        <v>0</v>
      </c>
      <c r="I973" s="40">
        <f t="shared" si="273"/>
        <v>0</v>
      </c>
      <c r="J973" s="53"/>
      <c r="K973" s="40">
        <f t="shared" si="274"/>
        <v>0</v>
      </c>
      <c r="L973" s="45">
        <v>0</v>
      </c>
      <c r="M973" s="53">
        <v>0</v>
      </c>
      <c r="N973" s="40">
        <f t="shared" si="275"/>
        <v>0</v>
      </c>
      <c r="P973" s="40">
        <f t="shared" si="276"/>
        <v>0</v>
      </c>
      <c r="Q973" s="45"/>
      <c r="R973" s="53"/>
      <c r="S973" s="40">
        <f t="shared" si="277"/>
        <v>0</v>
      </c>
      <c r="U973" s="40">
        <f t="shared" si="278"/>
        <v>0</v>
      </c>
      <c r="V973" s="51">
        <v>0</v>
      </c>
      <c r="W973" s="51">
        <v>0</v>
      </c>
      <c r="X973" s="40">
        <f t="shared" si="279"/>
        <v>0</v>
      </c>
      <c r="AA973" s="40">
        <f t="shared" si="280"/>
        <v>0</v>
      </c>
      <c r="AB973" s="40">
        <f t="shared" si="281"/>
        <v>0</v>
      </c>
      <c r="AC973" s="67"/>
    </row>
    <row r="974" spans="6:29" x14ac:dyDescent="0.25">
      <c r="F974" s="45" t="str">
        <f t="shared" si="282"/>
        <v xml:space="preserve">S/F  </v>
      </c>
      <c r="G974" s="45">
        <v>0</v>
      </c>
      <c r="H974" s="53">
        <v>0</v>
      </c>
      <c r="I974" s="40">
        <f t="shared" si="273"/>
        <v>0</v>
      </c>
      <c r="J974" s="53"/>
      <c r="K974" s="40">
        <f t="shared" si="274"/>
        <v>0</v>
      </c>
      <c r="L974" s="45">
        <v>0</v>
      </c>
      <c r="M974" s="53">
        <v>0</v>
      </c>
      <c r="N974" s="40">
        <f t="shared" si="275"/>
        <v>0</v>
      </c>
      <c r="P974" s="40">
        <f t="shared" si="276"/>
        <v>0</v>
      </c>
      <c r="Q974" s="45"/>
      <c r="R974" s="53"/>
      <c r="S974" s="40">
        <f t="shared" si="277"/>
        <v>0</v>
      </c>
      <c r="U974" s="40">
        <f t="shared" si="278"/>
        <v>0</v>
      </c>
      <c r="V974" s="51">
        <v>0</v>
      </c>
      <c r="W974" s="51">
        <v>0</v>
      </c>
      <c r="X974" s="40">
        <f t="shared" si="279"/>
        <v>0</v>
      </c>
      <c r="AA974" s="40">
        <f t="shared" si="280"/>
        <v>0</v>
      </c>
      <c r="AB974" s="40">
        <f t="shared" si="281"/>
        <v>0</v>
      </c>
      <c r="AC974" s="67"/>
    </row>
    <row r="975" spans="6:29" x14ac:dyDescent="0.25">
      <c r="F975" s="45" t="str">
        <f t="shared" si="282"/>
        <v xml:space="preserve">S/F  </v>
      </c>
      <c r="G975" s="45">
        <v>0</v>
      </c>
      <c r="H975" s="53">
        <v>0</v>
      </c>
      <c r="I975" s="40">
        <f t="shared" si="273"/>
        <v>0</v>
      </c>
      <c r="J975" s="53"/>
      <c r="K975" s="40">
        <f t="shared" si="274"/>
        <v>0</v>
      </c>
      <c r="L975" s="45">
        <v>0</v>
      </c>
      <c r="M975" s="53">
        <v>0</v>
      </c>
      <c r="N975" s="40">
        <f t="shared" si="275"/>
        <v>0</v>
      </c>
      <c r="P975" s="40">
        <f t="shared" si="276"/>
        <v>0</v>
      </c>
      <c r="Q975" s="45"/>
      <c r="R975" s="53"/>
      <c r="S975" s="40">
        <f t="shared" si="277"/>
        <v>0</v>
      </c>
      <c r="U975" s="40">
        <f t="shared" si="278"/>
        <v>0</v>
      </c>
      <c r="V975" s="51">
        <v>0</v>
      </c>
      <c r="W975" s="51">
        <v>0</v>
      </c>
      <c r="X975" s="40">
        <f t="shared" si="279"/>
        <v>0</v>
      </c>
      <c r="AA975" s="40">
        <f t="shared" si="280"/>
        <v>0</v>
      </c>
      <c r="AB975" s="40">
        <f t="shared" si="281"/>
        <v>0</v>
      </c>
      <c r="AC975" s="67"/>
    </row>
    <row r="976" spans="6:29" x14ac:dyDescent="0.25">
      <c r="F976" s="45" t="str">
        <f t="shared" si="282"/>
        <v xml:space="preserve">S/F  </v>
      </c>
      <c r="G976" s="45">
        <v>0</v>
      </c>
      <c r="H976" s="53">
        <v>0</v>
      </c>
      <c r="I976" s="40">
        <f t="shared" si="273"/>
        <v>0</v>
      </c>
      <c r="J976" s="53"/>
      <c r="K976" s="40">
        <f t="shared" si="274"/>
        <v>0</v>
      </c>
      <c r="L976" s="45">
        <v>0</v>
      </c>
      <c r="M976" s="53">
        <v>0</v>
      </c>
      <c r="N976" s="40">
        <f t="shared" si="275"/>
        <v>0</v>
      </c>
      <c r="P976" s="40">
        <f t="shared" si="276"/>
        <v>0</v>
      </c>
      <c r="Q976" s="45"/>
      <c r="R976" s="53"/>
      <c r="S976" s="40">
        <f t="shared" si="277"/>
        <v>0</v>
      </c>
      <c r="U976" s="40">
        <f t="shared" si="278"/>
        <v>0</v>
      </c>
      <c r="V976" s="51">
        <v>0</v>
      </c>
      <c r="W976" s="51">
        <v>0</v>
      </c>
      <c r="X976" s="40">
        <f t="shared" si="279"/>
        <v>0</v>
      </c>
      <c r="AA976" s="40">
        <f t="shared" si="280"/>
        <v>0</v>
      </c>
      <c r="AB976" s="40">
        <f t="shared" si="281"/>
        <v>0</v>
      </c>
      <c r="AC976" s="67"/>
    </row>
    <row r="977" spans="6:29" x14ac:dyDescent="0.25">
      <c r="F977" s="45" t="str">
        <f t="shared" si="282"/>
        <v xml:space="preserve">S/F  </v>
      </c>
      <c r="G977" s="45">
        <v>0</v>
      </c>
      <c r="H977" s="53">
        <v>0</v>
      </c>
      <c r="I977" s="40">
        <f t="shared" si="273"/>
        <v>0</v>
      </c>
      <c r="J977" s="53"/>
      <c r="K977" s="40">
        <f t="shared" si="274"/>
        <v>0</v>
      </c>
      <c r="L977" s="45">
        <v>0</v>
      </c>
      <c r="M977" s="53">
        <v>0</v>
      </c>
      <c r="N977" s="40">
        <f t="shared" si="275"/>
        <v>0</v>
      </c>
      <c r="P977" s="40">
        <f t="shared" si="276"/>
        <v>0</v>
      </c>
      <c r="Q977" s="45"/>
      <c r="R977" s="53"/>
      <c r="S977" s="40">
        <f t="shared" si="277"/>
        <v>0</v>
      </c>
      <c r="U977" s="40">
        <f t="shared" si="278"/>
        <v>0</v>
      </c>
      <c r="V977" s="51">
        <v>0</v>
      </c>
      <c r="W977" s="51">
        <v>0</v>
      </c>
      <c r="X977" s="40">
        <f t="shared" si="279"/>
        <v>0</v>
      </c>
      <c r="AA977" s="40">
        <f t="shared" si="280"/>
        <v>0</v>
      </c>
      <c r="AB977" s="40">
        <f t="shared" si="281"/>
        <v>0</v>
      </c>
      <c r="AC977" s="67"/>
    </row>
    <row r="978" spans="6:29" x14ac:dyDescent="0.25">
      <c r="F978" s="45" t="str">
        <f t="shared" si="282"/>
        <v xml:space="preserve">S/F  </v>
      </c>
      <c r="G978" s="45">
        <v>0</v>
      </c>
      <c r="H978" s="53">
        <v>0</v>
      </c>
      <c r="I978" s="40">
        <f t="shared" si="273"/>
        <v>0</v>
      </c>
      <c r="J978" s="53"/>
      <c r="K978" s="40">
        <f t="shared" si="274"/>
        <v>0</v>
      </c>
      <c r="L978" s="45">
        <v>0</v>
      </c>
      <c r="M978" s="53">
        <v>0</v>
      </c>
      <c r="N978" s="40">
        <f t="shared" si="275"/>
        <v>0</v>
      </c>
      <c r="P978" s="40">
        <f t="shared" si="276"/>
        <v>0</v>
      </c>
      <c r="Q978" s="45"/>
      <c r="R978" s="53"/>
      <c r="S978" s="40">
        <f t="shared" si="277"/>
        <v>0</v>
      </c>
      <c r="U978" s="40">
        <f t="shared" si="278"/>
        <v>0</v>
      </c>
      <c r="V978" s="51">
        <v>0</v>
      </c>
      <c r="W978" s="51">
        <v>0</v>
      </c>
      <c r="X978" s="40">
        <f t="shared" si="279"/>
        <v>0</v>
      </c>
      <c r="AA978" s="40">
        <f t="shared" si="280"/>
        <v>0</v>
      </c>
      <c r="AB978" s="40">
        <f t="shared" si="281"/>
        <v>0</v>
      </c>
      <c r="AC978" s="67"/>
    </row>
    <row r="979" spans="6:29" x14ac:dyDescent="0.25">
      <c r="F979" s="45" t="str">
        <f t="shared" si="282"/>
        <v xml:space="preserve">S/F  </v>
      </c>
      <c r="G979" s="45">
        <v>0</v>
      </c>
      <c r="H979" s="53">
        <v>0</v>
      </c>
      <c r="I979" s="40">
        <f t="shared" si="273"/>
        <v>0</v>
      </c>
      <c r="J979" s="53"/>
      <c r="K979" s="40">
        <f t="shared" si="274"/>
        <v>0</v>
      </c>
      <c r="L979" s="45">
        <v>0</v>
      </c>
      <c r="M979" s="53">
        <v>0</v>
      </c>
      <c r="N979" s="40">
        <f t="shared" si="275"/>
        <v>0</v>
      </c>
      <c r="P979" s="40">
        <f t="shared" si="276"/>
        <v>0</v>
      </c>
      <c r="Q979" s="45"/>
      <c r="R979" s="53"/>
      <c r="S979" s="40">
        <f t="shared" si="277"/>
        <v>0</v>
      </c>
      <c r="U979" s="40">
        <f t="shared" si="278"/>
        <v>0</v>
      </c>
      <c r="V979" s="51">
        <v>0</v>
      </c>
      <c r="W979" s="51">
        <v>0</v>
      </c>
      <c r="X979" s="40">
        <f t="shared" si="279"/>
        <v>0</v>
      </c>
      <c r="AA979" s="40">
        <f t="shared" si="280"/>
        <v>0</v>
      </c>
      <c r="AB979" s="40">
        <f t="shared" si="281"/>
        <v>0</v>
      </c>
      <c r="AC979" s="67"/>
    </row>
    <row r="980" spans="6:29" x14ac:dyDescent="0.25">
      <c r="F980" s="45" t="str">
        <f t="shared" si="282"/>
        <v xml:space="preserve">S/F  </v>
      </c>
      <c r="G980" s="45">
        <v>0</v>
      </c>
      <c r="H980" s="53">
        <v>0</v>
      </c>
      <c r="I980" s="40">
        <f t="shared" si="273"/>
        <v>0</v>
      </c>
      <c r="J980" s="53"/>
      <c r="K980" s="40">
        <f t="shared" si="274"/>
        <v>0</v>
      </c>
      <c r="L980" s="45">
        <v>0</v>
      </c>
      <c r="M980" s="53">
        <v>0</v>
      </c>
      <c r="N980" s="40">
        <f t="shared" si="275"/>
        <v>0</v>
      </c>
      <c r="P980" s="40">
        <f t="shared" si="276"/>
        <v>0</v>
      </c>
      <c r="Q980" s="45"/>
      <c r="R980" s="53"/>
      <c r="S980" s="40">
        <f t="shared" si="277"/>
        <v>0</v>
      </c>
      <c r="U980" s="40">
        <f t="shared" si="278"/>
        <v>0</v>
      </c>
      <c r="V980" s="51">
        <v>0</v>
      </c>
      <c r="W980" s="51">
        <v>0</v>
      </c>
      <c r="X980" s="40">
        <f t="shared" si="279"/>
        <v>0</v>
      </c>
      <c r="AA980" s="40">
        <f t="shared" si="280"/>
        <v>0</v>
      </c>
      <c r="AB980" s="40">
        <f t="shared" si="281"/>
        <v>0</v>
      </c>
      <c r="AC980" s="67"/>
    </row>
    <row r="981" spans="6:29" x14ac:dyDescent="0.25">
      <c r="F981" s="45" t="str">
        <f t="shared" si="282"/>
        <v xml:space="preserve">S/F  </v>
      </c>
      <c r="G981" s="45">
        <v>0</v>
      </c>
      <c r="H981" s="53">
        <v>0</v>
      </c>
      <c r="I981" s="40">
        <f t="shared" ref="I981:I1044" si="283">+IF(G981&lt;&gt;0,G981*H981/100,0)</f>
        <v>0</v>
      </c>
      <c r="J981" s="53"/>
      <c r="K981" s="40">
        <f t="shared" ref="K981:K1044" si="284">+IF(G981&lt;&gt;0,G981*J981/100,0)</f>
        <v>0</v>
      </c>
      <c r="L981" s="45">
        <v>0</v>
      </c>
      <c r="M981" s="53">
        <v>0</v>
      </c>
      <c r="N981" s="40">
        <f t="shared" ref="N981:N1044" si="285">+IF(L981&lt;&gt;0,L981*M981/100,0)</f>
        <v>0</v>
      </c>
      <c r="P981" s="40">
        <f t="shared" ref="P981:P1044" si="286">+IF(L981&lt;&gt;0,L981*O981/100,0)</f>
        <v>0</v>
      </c>
      <c r="Q981" s="45"/>
      <c r="R981" s="53"/>
      <c r="S981" s="40">
        <f t="shared" ref="S981:S1044" si="287">+IF(Q981&lt;&gt;0,Q981*R981/100,0)</f>
        <v>0</v>
      </c>
      <c r="U981" s="40">
        <f t="shared" ref="U981:U1044" si="288">+IF(Q981&lt;&gt;0,Q981*T981/100,0)</f>
        <v>0</v>
      </c>
      <c r="V981" s="51">
        <v>0</v>
      </c>
      <c r="W981" s="51">
        <v>0</v>
      </c>
      <c r="X981" s="40">
        <f t="shared" ref="X981:X1044" si="289">+IF(W981&lt;&gt;0,V981*W981/100,0)</f>
        <v>0</v>
      </c>
      <c r="AA981" s="40">
        <f t="shared" ref="AA981:AA1044" si="290">+IF(Z981&lt;&gt;0,Y981*Z981/100,0)</f>
        <v>0</v>
      </c>
      <c r="AB981" s="40">
        <f t="shared" ref="AB981:AB1044" si="291">+G981+I981+K981+L981+N981+P981+Q981+S981+U981-X981-AA981</f>
        <v>0</v>
      </c>
      <c r="AC981" s="67"/>
    </row>
    <row r="982" spans="6:29" x14ac:dyDescent="0.25">
      <c r="F982" s="45" t="str">
        <f t="shared" si="282"/>
        <v xml:space="preserve">S/F  </v>
      </c>
      <c r="G982" s="45">
        <v>0</v>
      </c>
      <c r="H982" s="53">
        <v>0</v>
      </c>
      <c r="I982" s="40">
        <f t="shared" si="283"/>
        <v>0</v>
      </c>
      <c r="J982" s="53"/>
      <c r="K982" s="40">
        <f t="shared" si="284"/>
        <v>0</v>
      </c>
      <c r="L982" s="45">
        <v>0</v>
      </c>
      <c r="M982" s="53">
        <v>0</v>
      </c>
      <c r="N982" s="40">
        <f t="shared" si="285"/>
        <v>0</v>
      </c>
      <c r="P982" s="40">
        <f t="shared" si="286"/>
        <v>0</v>
      </c>
      <c r="Q982" s="45"/>
      <c r="R982" s="53"/>
      <c r="S982" s="40">
        <f t="shared" si="287"/>
        <v>0</v>
      </c>
      <c r="U982" s="40">
        <f t="shared" si="288"/>
        <v>0</v>
      </c>
      <c r="V982" s="51">
        <v>0</v>
      </c>
      <c r="W982" s="51">
        <v>0</v>
      </c>
      <c r="X982" s="40">
        <f t="shared" si="289"/>
        <v>0</v>
      </c>
      <c r="AA982" s="40">
        <f t="shared" si="290"/>
        <v>0</v>
      </c>
      <c r="AB982" s="40">
        <f t="shared" si="291"/>
        <v>0</v>
      </c>
      <c r="AC982" s="67"/>
    </row>
    <row r="983" spans="6:29" x14ac:dyDescent="0.25">
      <c r="F983" s="45" t="str">
        <f t="shared" si="282"/>
        <v xml:space="preserve">S/F  </v>
      </c>
      <c r="G983" s="45">
        <v>0</v>
      </c>
      <c r="H983" s="53">
        <v>0</v>
      </c>
      <c r="I983" s="40">
        <f t="shared" si="283"/>
        <v>0</v>
      </c>
      <c r="J983" s="53"/>
      <c r="K983" s="40">
        <f t="shared" si="284"/>
        <v>0</v>
      </c>
      <c r="L983" s="45">
        <v>0</v>
      </c>
      <c r="M983" s="53">
        <v>0</v>
      </c>
      <c r="N983" s="40">
        <f t="shared" si="285"/>
        <v>0</v>
      </c>
      <c r="P983" s="40">
        <f t="shared" si="286"/>
        <v>0</v>
      </c>
      <c r="Q983" s="45"/>
      <c r="R983" s="53"/>
      <c r="S983" s="40">
        <f t="shared" si="287"/>
        <v>0</v>
      </c>
      <c r="U983" s="40">
        <f t="shared" si="288"/>
        <v>0</v>
      </c>
      <c r="V983" s="51">
        <v>0</v>
      </c>
      <c r="W983" s="51">
        <v>0</v>
      </c>
      <c r="X983" s="40">
        <f t="shared" si="289"/>
        <v>0</v>
      </c>
      <c r="AA983" s="40">
        <f t="shared" si="290"/>
        <v>0</v>
      </c>
      <c r="AB983" s="40">
        <f t="shared" si="291"/>
        <v>0</v>
      </c>
      <c r="AC983" s="67"/>
    </row>
    <row r="984" spans="6:29" x14ac:dyDescent="0.25">
      <c r="F984" s="45" t="str">
        <f t="shared" si="282"/>
        <v xml:space="preserve">S/F  </v>
      </c>
      <c r="G984" s="45">
        <v>0</v>
      </c>
      <c r="H984" s="53">
        <v>0</v>
      </c>
      <c r="I984" s="40">
        <f t="shared" si="283"/>
        <v>0</v>
      </c>
      <c r="J984" s="53"/>
      <c r="K984" s="40">
        <f t="shared" si="284"/>
        <v>0</v>
      </c>
      <c r="L984" s="45">
        <v>0</v>
      </c>
      <c r="M984" s="53">
        <v>0</v>
      </c>
      <c r="N984" s="40">
        <f t="shared" si="285"/>
        <v>0</v>
      </c>
      <c r="P984" s="40">
        <f t="shared" si="286"/>
        <v>0</v>
      </c>
      <c r="Q984" s="45"/>
      <c r="R984" s="53"/>
      <c r="S984" s="40">
        <f t="shared" si="287"/>
        <v>0</v>
      </c>
      <c r="U984" s="40">
        <f t="shared" si="288"/>
        <v>0</v>
      </c>
      <c r="V984" s="51">
        <v>0</v>
      </c>
      <c r="W984" s="51">
        <v>0</v>
      </c>
      <c r="X984" s="40">
        <f t="shared" si="289"/>
        <v>0</v>
      </c>
      <c r="AA984" s="40">
        <f t="shared" si="290"/>
        <v>0</v>
      </c>
      <c r="AB984" s="40">
        <f t="shared" si="291"/>
        <v>0</v>
      </c>
      <c r="AC984" s="67"/>
    </row>
    <row r="985" spans="6:29" x14ac:dyDescent="0.25">
      <c r="F985" s="45" t="str">
        <f t="shared" si="282"/>
        <v xml:space="preserve">S/F  </v>
      </c>
      <c r="G985" s="45">
        <v>0</v>
      </c>
      <c r="H985" s="53">
        <v>0</v>
      </c>
      <c r="I985" s="40">
        <f t="shared" si="283"/>
        <v>0</v>
      </c>
      <c r="J985" s="53"/>
      <c r="K985" s="40">
        <f t="shared" si="284"/>
        <v>0</v>
      </c>
      <c r="L985" s="45">
        <v>0</v>
      </c>
      <c r="M985" s="53">
        <v>0</v>
      </c>
      <c r="N985" s="40">
        <f t="shared" si="285"/>
        <v>0</v>
      </c>
      <c r="P985" s="40">
        <f t="shared" si="286"/>
        <v>0</v>
      </c>
      <c r="Q985" s="45"/>
      <c r="R985" s="53"/>
      <c r="S985" s="40">
        <f t="shared" si="287"/>
        <v>0</v>
      </c>
      <c r="U985" s="40">
        <f t="shared" si="288"/>
        <v>0</v>
      </c>
      <c r="V985" s="51">
        <v>0</v>
      </c>
      <c r="W985" s="51">
        <v>0</v>
      </c>
      <c r="X985" s="40">
        <f t="shared" si="289"/>
        <v>0</v>
      </c>
      <c r="AA985" s="40">
        <f t="shared" si="290"/>
        <v>0</v>
      </c>
      <c r="AB985" s="40">
        <f t="shared" si="291"/>
        <v>0</v>
      </c>
      <c r="AC985" s="67"/>
    </row>
    <row r="986" spans="6:29" x14ac:dyDescent="0.25">
      <c r="F986" s="45" t="str">
        <f t="shared" si="282"/>
        <v xml:space="preserve">S/F  </v>
      </c>
      <c r="G986" s="45">
        <v>0</v>
      </c>
      <c r="H986" s="53">
        <v>0</v>
      </c>
      <c r="I986" s="40">
        <f t="shared" si="283"/>
        <v>0</v>
      </c>
      <c r="J986" s="53"/>
      <c r="K986" s="40">
        <f t="shared" si="284"/>
        <v>0</v>
      </c>
      <c r="L986" s="45">
        <v>0</v>
      </c>
      <c r="M986" s="53">
        <v>0</v>
      </c>
      <c r="N986" s="40">
        <f t="shared" si="285"/>
        <v>0</v>
      </c>
      <c r="P986" s="40">
        <f t="shared" si="286"/>
        <v>0</v>
      </c>
      <c r="Q986" s="45"/>
      <c r="R986" s="53"/>
      <c r="S986" s="40">
        <f t="shared" si="287"/>
        <v>0</v>
      </c>
      <c r="U986" s="40">
        <f t="shared" si="288"/>
        <v>0</v>
      </c>
      <c r="V986" s="51">
        <v>0</v>
      </c>
      <c r="W986" s="51">
        <v>0</v>
      </c>
      <c r="X986" s="40">
        <f t="shared" si="289"/>
        <v>0</v>
      </c>
      <c r="AA986" s="40">
        <f t="shared" si="290"/>
        <v>0</v>
      </c>
      <c r="AB986" s="40">
        <f t="shared" si="291"/>
        <v>0</v>
      </c>
      <c r="AC986" s="67"/>
    </row>
    <row r="987" spans="6:29" x14ac:dyDescent="0.25">
      <c r="F987" s="45" t="str">
        <f t="shared" si="282"/>
        <v xml:space="preserve">S/F  </v>
      </c>
      <c r="G987" s="45">
        <v>0</v>
      </c>
      <c r="H987" s="53">
        <v>0</v>
      </c>
      <c r="I987" s="40">
        <f t="shared" si="283"/>
        <v>0</v>
      </c>
      <c r="J987" s="53"/>
      <c r="K987" s="40">
        <f t="shared" si="284"/>
        <v>0</v>
      </c>
      <c r="L987" s="45">
        <v>0</v>
      </c>
      <c r="M987" s="53">
        <v>0</v>
      </c>
      <c r="N987" s="40">
        <f t="shared" si="285"/>
        <v>0</v>
      </c>
      <c r="P987" s="40">
        <f t="shared" si="286"/>
        <v>0</v>
      </c>
      <c r="Q987" s="45"/>
      <c r="R987" s="53"/>
      <c r="S987" s="40">
        <f t="shared" si="287"/>
        <v>0</v>
      </c>
      <c r="U987" s="40">
        <f t="shared" si="288"/>
        <v>0</v>
      </c>
      <c r="V987" s="51">
        <v>0</v>
      </c>
      <c r="W987" s="51">
        <v>0</v>
      </c>
      <c r="X987" s="40">
        <f t="shared" si="289"/>
        <v>0</v>
      </c>
      <c r="AA987" s="40">
        <f t="shared" si="290"/>
        <v>0</v>
      </c>
      <c r="AB987" s="40">
        <f t="shared" si="291"/>
        <v>0</v>
      </c>
      <c r="AC987" s="67"/>
    </row>
    <row r="988" spans="6:29" x14ac:dyDescent="0.25">
      <c r="F988" s="45" t="str">
        <f t="shared" si="282"/>
        <v xml:space="preserve">S/F  </v>
      </c>
      <c r="G988" s="45">
        <v>0</v>
      </c>
      <c r="H988" s="53">
        <v>0</v>
      </c>
      <c r="I988" s="40">
        <f t="shared" si="283"/>
        <v>0</v>
      </c>
      <c r="J988" s="53"/>
      <c r="K988" s="40">
        <f t="shared" si="284"/>
        <v>0</v>
      </c>
      <c r="L988" s="45">
        <v>0</v>
      </c>
      <c r="M988" s="53">
        <v>0</v>
      </c>
      <c r="N988" s="40">
        <f t="shared" si="285"/>
        <v>0</v>
      </c>
      <c r="P988" s="40">
        <f t="shared" si="286"/>
        <v>0</v>
      </c>
      <c r="Q988" s="45"/>
      <c r="R988" s="53"/>
      <c r="S988" s="40">
        <f t="shared" si="287"/>
        <v>0</v>
      </c>
      <c r="U988" s="40">
        <f t="shared" si="288"/>
        <v>0</v>
      </c>
      <c r="V988" s="51">
        <v>0</v>
      </c>
      <c r="W988" s="51">
        <v>0</v>
      </c>
      <c r="X988" s="40">
        <f t="shared" si="289"/>
        <v>0</v>
      </c>
      <c r="AA988" s="40">
        <f t="shared" si="290"/>
        <v>0</v>
      </c>
      <c r="AB988" s="40">
        <f t="shared" si="291"/>
        <v>0</v>
      </c>
      <c r="AC988" s="67"/>
    </row>
    <row r="989" spans="6:29" x14ac:dyDescent="0.25">
      <c r="F989" s="45" t="str">
        <f t="shared" si="282"/>
        <v xml:space="preserve">S/F  </v>
      </c>
      <c r="G989" s="45">
        <v>0</v>
      </c>
      <c r="H989" s="53">
        <v>0</v>
      </c>
      <c r="I989" s="40">
        <f t="shared" si="283"/>
        <v>0</v>
      </c>
      <c r="J989" s="53"/>
      <c r="K989" s="40">
        <f t="shared" si="284"/>
        <v>0</v>
      </c>
      <c r="L989" s="45">
        <v>0</v>
      </c>
      <c r="M989" s="53">
        <v>0</v>
      </c>
      <c r="N989" s="40">
        <f t="shared" si="285"/>
        <v>0</v>
      </c>
      <c r="P989" s="40">
        <f t="shared" si="286"/>
        <v>0</v>
      </c>
      <c r="Q989" s="45"/>
      <c r="R989" s="53"/>
      <c r="S989" s="40">
        <f t="shared" si="287"/>
        <v>0</v>
      </c>
      <c r="U989" s="40">
        <f t="shared" si="288"/>
        <v>0</v>
      </c>
      <c r="V989" s="51">
        <v>0</v>
      </c>
      <c r="W989" s="51">
        <v>0</v>
      </c>
      <c r="X989" s="40">
        <f t="shared" si="289"/>
        <v>0</v>
      </c>
      <c r="AA989" s="40">
        <f t="shared" si="290"/>
        <v>0</v>
      </c>
      <c r="AB989" s="40">
        <f t="shared" si="291"/>
        <v>0</v>
      </c>
      <c r="AC989" s="67"/>
    </row>
    <row r="990" spans="6:29" x14ac:dyDescent="0.25">
      <c r="F990" s="45" t="str">
        <f t="shared" si="282"/>
        <v xml:space="preserve">S/F  </v>
      </c>
      <c r="G990" s="45">
        <v>0</v>
      </c>
      <c r="H990" s="53">
        <v>0</v>
      </c>
      <c r="I990" s="40">
        <f t="shared" si="283"/>
        <v>0</v>
      </c>
      <c r="J990" s="53"/>
      <c r="K990" s="40">
        <f t="shared" si="284"/>
        <v>0</v>
      </c>
      <c r="L990" s="45">
        <v>0</v>
      </c>
      <c r="M990" s="53">
        <v>0</v>
      </c>
      <c r="N990" s="40">
        <f t="shared" si="285"/>
        <v>0</v>
      </c>
      <c r="P990" s="40">
        <f t="shared" si="286"/>
        <v>0</v>
      </c>
      <c r="Q990" s="45"/>
      <c r="R990" s="53"/>
      <c r="S990" s="40">
        <f t="shared" si="287"/>
        <v>0</v>
      </c>
      <c r="U990" s="40">
        <f t="shared" si="288"/>
        <v>0</v>
      </c>
      <c r="V990" s="51">
        <v>0</v>
      </c>
      <c r="W990" s="51">
        <v>0</v>
      </c>
      <c r="X990" s="40">
        <f t="shared" si="289"/>
        <v>0</v>
      </c>
      <c r="AA990" s="40">
        <f t="shared" si="290"/>
        <v>0</v>
      </c>
      <c r="AB990" s="40">
        <f t="shared" si="291"/>
        <v>0</v>
      </c>
      <c r="AC990" s="67"/>
    </row>
    <row r="991" spans="6:29" x14ac:dyDescent="0.25">
      <c r="F991" s="45" t="str">
        <f t="shared" si="282"/>
        <v xml:space="preserve">S/F  </v>
      </c>
      <c r="G991" s="45">
        <v>0</v>
      </c>
      <c r="H991" s="53">
        <v>0</v>
      </c>
      <c r="I991" s="40">
        <f t="shared" si="283"/>
        <v>0</v>
      </c>
      <c r="J991" s="53"/>
      <c r="K991" s="40">
        <f t="shared" si="284"/>
        <v>0</v>
      </c>
      <c r="L991" s="45">
        <v>0</v>
      </c>
      <c r="M991" s="53">
        <v>0</v>
      </c>
      <c r="N991" s="40">
        <f t="shared" si="285"/>
        <v>0</v>
      </c>
      <c r="P991" s="40">
        <f t="shared" si="286"/>
        <v>0</v>
      </c>
      <c r="Q991" s="45"/>
      <c r="R991" s="53"/>
      <c r="S991" s="40">
        <f t="shared" si="287"/>
        <v>0</v>
      </c>
      <c r="U991" s="40">
        <f t="shared" si="288"/>
        <v>0</v>
      </c>
      <c r="V991" s="51">
        <v>0</v>
      </c>
      <c r="W991" s="51">
        <v>0</v>
      </c>
      <c r="X991" s="40">
        <f t="shared" si="289"/>
        <v>0</v>
      </c>
      <c r="AA991" s="40">
        <f t="shared" si="290"/>
        <v>0</v>
      </c>
      <c r="AB991" s="40">
        <f t="shared" si="291"/>
        <v>0</v>
      </c>
      <c r="AC991" s="67"/>
    </row>
    <row r="992" spans="6:29" x14ac:dyDescent="0.25">
      <c r="F992" s="45" t="str">
        <f t="shared" si="282"/>
        <v xml:space="preserve">S/F  </v>
      </c>
      <c r="G992" s="45">
        <v>0</v>
      </c>
      <c r="H992" s="53">
        <v>0</v>
      </c>
      <c r="I992" s="40">
        <f t="shared" si="283"/>
        <v>0</v>
      </c>
      <c r="J992" s="53"/>
      <c r="K992" s="40">
        <f t="shared" si="284"/>
        <v>0</v>
      </c>
      <c r="L992" s="45">
        <v>0</v>
      </c>
      <c r="M992" s="53">
        <v>0</v>
      </c>
      <c r="N992" s="40">
        <f t="shared" si="285"/>
        <v>0</v>
      </c>
      <c r="P992" s="40">
        <f t="shared" si="286"/>
        <v>0</v>
      </c>
      <c r="Q992" s="45"/>
      <c r="R992" s="53"/>
      <c r="S992" s="40">
        <f t="shared" si="287"/>
        <v>0</v>
      </c>
      <c r="U992" s="40">
        <f t="shared" si="288"/>
        <v>0</v>
      </c>
      <c r="V992" s="51">
        <v>0</v>
      </c>
      <c r="W992" s="51">
        <v>0</v>
      </c>
      <c r="X992" s="40">
        <f t="shared" si="289"/>
        <v>0</v>
      </c>
      <c r="AA992" s="40">
        <f t="shared" si="290"/>
        <v>0</v>
      </c>
      <c r="AB992" s="40">
        <f t="shared" si="291"/>
        <v>0</v>
      </c>
      <c r="AC992" s="67"/>
    </row>
    <row r="993" spans="6:29" x14ac:dyDescent="0.25">
      <c r="F993" s="45" t="str">
        <f t="shared" si="282"/>
        <v xml:space="preserve">S/F  </v>
      </c>
      <c r="G993" s="45">
        <v>0</v>
      </c>
      <c r="H993" s="53">
        <v>0</v>
      </c>
      <c r="I993" s="40">
        <f t="shared" si="283"/>
        <v>0</v>
      </c>
      <c r="J993" s="53"/>
      <c r="K993" s="40">
        <f t="shared" si="284"/>
        <v>0</v>
      </c>
      <c r="L993" s="45">
        <v>0</v>
      </c>
      <c r="M993" s="53">
        <v>0</v>
      </c>
      <c r="N993" s="40">
        <f t="shared" si="285"/>
        <v>0</v>
      </c>
      <c r="P993" s="40">
        <f t="shared" si="286"/>
        <v>0</v>
      </c>
      <c r="Q993" s="45"/>
      <c r="R993" s="53"/>
      <c r="S993" s="40">
        <f t="shared" si="287"/>
        <v>0</v>
      </c>
      <c r="U993" s="40">
        <f t="shared" si="288"/>
        <v>0</v>
      </c>
      <c r="V993" s="51">
        <v>0</v>
      </c>
      <c r="W993" s="51">
        <v>0</v>
      </c>
      <c r="X993" s="40">
        <f t="shared" si="289"/>
        <v>0</v>
      </c>
      <c r="AA993" s="40">
        <f t="shared" si="290"/>
        <v>0</v>
      </c>
      <c r="AB993" s="40">
        <f t="shared" si="291"/>
        <v>0</v>
      </c>
      <c r="AC993" s="67"/>
    </row>
    <row r="994" spans="6:29" x14ac:dyDescent="0.25">
      <c r="F994" s="45" t="str">
        <f t="shared" si="282"/>
        <v xml:space="preserve">S/F  </v>
      </c>
      <c r="G994" s="45">
        <v>0</v>
      </c>
      <c r="H994" s="53">
        <v>0</v>
      </c>
      <c r="I994" s="40">
        <f t="shared" si="283"/>
        <v>0</v>
      </c>
      <c r="J994" s="53"/>
      <c r="K994" s="40">
        <f t="shared" si="284"/>
        <v>0</v>
      </c>
      <c r="L994" s="45">
        <v>0</v>
      </c>
      <c r="M994" s="53">
        <v>0</v>
      </c>
      <c r="N994" s="40">
        <f t="shared" si="285"/>
        <v>0</v>
      </c>
      <c r="P994" s="40">
        <f t="shared" si="286"/>
        <v>0</v>
      </c>
      <c r="Q994" s="45"/>
      <c r="R994" s="53"/>
      <c r="S994" s="40">
        <f t="shared" si="287"/>
        <v>0</v>
      </c>
      <c r="U994" s="40">
        <f t="shared" si="288"/>
        <v>0</v>
      </c>
      <c r="V994" s="51">
        <v>0</v>
      </c>
      <c r="W994" s="51">
        <v>0</v>
      </c>
      <c r="X994" s="40">
        <f t="shared" si="289"/>
        <v>0</v>
      </c>
      <c r="AA994" s="40">
        <f t="shared" si="290"/>
        <v>0</v>
      </c>
      <c r="AB994" s="40">
        <f t="shared" si="291"/>
        <v>0</v>
      </c>
      <c r="AC994" s="67"/>
    </row>
    <row r="995" spans="6:29" x14ac:dyDescent="0.25">
      <c r="F995" s="45" t="str">
        <f t="shared" si="282"/>
        <v xml:space="preserve">S/F  </v>
      </c>
      <c r="G995" s="45">
        <v>0</v>
      </c>
      <c r="H995" s="53">
        <v>0</v>
      </c>
      <c r="I995" s="40">
        <f t="shared" si="283"/>
        <v>0</v>
      </c>
      <c r="J995" s="53"/>
      <c r="K995" s="40">
        <f t="shared" si="284"/>
        <v>0</v>
      </c>
      <c r="L995" s="45">
        <v>0</v>
      </c>
      <c r="M995" s="53">
        <v>0</v>
      </c>
      <c r="N995" s="40">
        <f t="shared" si="285"/>
        <v>0</v>
      </c>
      <c r="P995" s="40">
        <f t="shared" si="286"/>
        <v>0</v>
      </c>
      <c r="Q995" s="45"/>
      <c r="R995" s="53"/>
      <c r="S995" s="40">
        <f t="shared" si="287"/>
        <v>0</v>
      </c>
      <c r="U995" s="40">
        <f t="shared" si="288"/>
        <v>0</v>
      </c>
      <c r="V995" s="51">
        <v>0</v>
      </c>
      <c r="W995" s="51">
        <v>0</v>
      </c>
      <c r="X995" s="40">
        <f t="shared" si="289"/>
        <v>0</v>
      </c>
      <c r="AA995" s="40">
        <f t="shared" si="290"/>
        <v>0</v>
      </c>
      <c r="AB995" s="40">
        <f t="shared" si="291"/>
        <v>0</v>
      </c>
      <c r="AC995" s="67"/>
    </row>
    <row r="996" spans="6:29" x14ac:dyDescent="0.25">
      <c r="F996" s="45" t="str">
        <f t="shared" si="282"/>
        <v xml:space="preserve">S/F  </v>
      </c>
      <c r="G996" s="45">
        <v>0</v>
      </c>
      <c r="H996" s="53">
        <v>0</v>
      </c>
      <c r="I996" s="40">
        <f t="shared" si="283"/>
        <v>0</v>
      </c>
      <c r="J996" s="53"/>
      <c r="K996" s="40">
        <f t="shared" si="284"/>
        <v>0</v>
      </c>
      <c r="L996" s="45">
        <v>0</v>
      </c>
      <c r="M996" s="53">
        <v>0</v>
      </c>
      <c r="N996" s="40">
        <f t="shared" si="285"/>
        <v>0</v>
      </c>
      <c r="P996" s="40">
        <f t="shared" si="286"/>
        <v>0</v>
      </c>
      <c r="Q996" s="45"/>
      <c r="R996" s="53"/>
      <c r="S996" s="40">
        <f t="shared" si="287"/>
        <v>0</v>
      </c>
      <c r="U996" s="40">
        <f t="shared" si="288"/>
        <v>0</v>
      </c>
      <c r="V996" s="51">
        <v>0</v>
      </c>
      <c r="W996" s="51">
        <v>0</v>
      </c>
      <c r="X996" s="40">
        <f t="shared" si="289"/>
        <v>0</v>
      </c>
      <c r="AA996" s="40">
        <f t="shared" si="290"/>
        <v>0</v>
      </c>
      <c r="AB996" s="40">
        <f t="shared" si="291"/>
        <v>0</v>
      </c>
      <c r="AC996" s="67"/>
    </row>
    <row r="997" spans="6:29" x14ac:dyDescent="0.25">
      <c r="F997" s="45" t="str">
        <f t="shared" si="282"/>
        <v xml:space="preserve">S/F  </v>
      </c>
      <c r="G997" s="45">
        <v>0</v>
      </c>
      <c r="H997" s="53">
        <v>0</v>
      </c>
      <c r="I997" s="40">
        <f t="shared" si="283"/>
        <v>0</v>
      </c>
      <c r="J997" s="53"/>
      <c r="K997" s="40">
        <f t="shared" si="284"/>
        <v>0</v>
      </c>
      <c r="L997" s="45">
        <v>0</v>
      </c>
      <c r="M997" s="53">
        <v>0</v>
      </c>
      <c r="N997" s="40">
        <f t="shared" si="285"/>
        <v>0</v>
      </c>
      <c r="P997" s="40">
        <f t="shared" si="286"/>
        <v>0</v>
      </c>
      <c r="Q997" s="45"/>
      <c r="R997" s="53"/>
      <c r="S997" s="40">
        <f t="shared" si="287"/>
        <v>0</v>
      </c>
      <c r="U997" s="40">
        <f t="shared" si="288"/>
        <v>0</v>
      </c>
      <c r="V997" s="51">
        <v>0</v>
      </c>
      <c r="W997" s="51">
        <v>0</v>
      </c>
      <c r="X997" s="40">
        <f t="shared" si="289"/>
        <v>0</v>
      </c>
      <c r="AA997" s="40">
        <f t="shared" si="290"/>
        <v>0</v>
      </c>
      <c r="AB997" s="40">
        <f t="shared" si="291"/>
        <v>0</v>
      </c>
      <c r="AC997" s="67"/>
    </row>
    <row r="998" spans="6:29" x14ac:dyDescent="0.25">
      <c r="F998" s="45" t="str">
        <f t="shared" si="282"/>
        <v xml:space="preserve">S/F  </v>
      </c>
      <c r="G998" s="45">
        <v>0</v>
      </c>
      <c r="H998" s="53">
        <v>0</v>
      </c>
      <c r="I998" s="40">
        <f t="shared" si="283"/>
        <v>0</v>
      </c>
      <c r="J998" s="53"/>
      <c r="K998" s="40">
        <f t="shared" si="284"/>
        <v>0</v>
      </c>
      <c r="L998" s="45">
        <v>0</v>
      </c>
      <c r="M998" s="53">
        <v>0</v>
      </c>
      <c r="N998" s="40">
        <f t="shared" si="285"/>
        <v>0</v>
      </c>
      <c r="P998" s="40">
        <f t="shared" si="286"/>
        <v>0</v>
      </c>
      <c r="Q998" s="45"/>
      <c r="R998" s="53"/>
      <c r="S998" s="40">
        <f t="shared" si="287"/>
        <v>0</v>
      </c>
      <c r="U998" s="40">
        <f t="shared" si="288"/>
        <v>0</v>
      </c>
      <c r="V998" s="51">
        <v>0</v>
      </c>
      <c r="W998" s="51">
        <v>0</v>
      </c>
      <c r="X998" s="40">
        <f t="shared" si="289"/>
        <v>0</v>
      </c>
      <c r="AA998" s="40">
        <f t="shared" si="290"/>
        <v>0</v>
      </c>
      <c r="AB998" s="40">
        <f t="shared" si="291"/>
        <v>0</v>
      </c>
      <c r="AC998" s="67"/>
    </row>
    <row r="999" spans="6:29" x14ac:dyDescent="0.25">
      <c r="F999" s="45" t="str">
        <f t="shared" si="282"/>
        <v xml:space="preserve">S/F  </v>
      </c>
      <c r="G999" s="45">
        <v>0</v>
      </c>
      <c r="H999" s="53">
        <v>0</v>
      </c>
      <c r="I999" s="40">
        <f t="shared" si="283"/>
        <v>0</v>
      </c>
      <c r="J999" s="53"/>
      <c r="K999" s="40">
        <f t="shared" si="284"/>
        <v>0</v>
      </c>
      <c r="L999" s="45">
        <v>0</v>
      </c>
      <c r="M999" s="53">
        <v>0</v>
      </c>
      <c r="N999" s="40">
        <f t="shared" si="285"/>
        <v>0</v>
      </c>
      <c r="P999" s="40">
        <f t="shared" si="286"/>
        <v>0</v>
      </c>
      <c r="Q999" s="45"/>
      <c r="R999" s="53"/>
      <c r="S999" s="40">
        <f t="shared" si="287"/>
        <v>0</v>
      </c>
      <c r="U999" s="40">
        <f t="shared" si="288"/>
        <v>0</v>
      </c>
      <c r="V999" s="51">
        <v>0</v>
      </c>
      <c r="W999" s="51">
        <v>0</v>
      </c>
      <c r="X999" s="40">
        <f t="shared" si="289"/>
        <v>0</v>
      </c>
      <c r="AA999" s="40">
        <f t="shared" si="290"/>
        <v>0</v>
      </c>
      <c r="AB999" s="40">
        <f t="shared" si="291"/>
        <v>0</v>
      </c>
      <c r="AC999" s="67"/>
    </row>
    <row r="1000" spans="6:29" x14ac:dyDescent="0.25">
      <c r="F1000" s="45" t="str">
        <f t="shared" si="282"/>
        <v xml:space="preserve">S/F  </v>
      </c>
      <c r="G1000" s="45">
        <v>0</v>
      </c>
      <c r="H1000" s="53">
        <v>0</v>
      </c>
      <c r="I1000" s="40">
        <f t="shared" si="283"/>
        <v>0</v>
      </c>
      <c r="J1000" s="53"/>
      <c r="K1000" s="40">
        <f t="shared" si="284"/>
        <v>0</v>
      </c>
      <c r="L1000" s="45">
        <v>0</v>
      </c>
      <c r="M1000" s="53">
        <v>0</v>
      </c>
      <c r="N1000" s="40">
        <f t="shared" si="285"/>
        <v>0</v>
      </c>
      <c r="P1000" s="40">
        <f t="shared" si="286"/>
        <v>0</v>
      </c>
      <c r="Q1000" s="45"/>
      <c r="R1000" s="53"/>
      <c r="S1000" s="40">
        <f t="shared" si="287"/>
        <v>0</v>
      </c>
      <c r="U1000" s="40">
        <f t="shared" si="288"/>
        <v>0</v>
      </c>
      <c r="V1000" s="51">
        <v>0</v>
      </c>
      <c r="W1000" s="51">
        <v>0</v>
      </c>
      <c r="X1000" s="40">
        <f t="shared" si="289"/>
        <v>0</v>
      </c>
      <c r="AA1000" s="40">
        <f t="shared" si="290"/>
        <v>0</v>
      </c>
      <c r="AB1000" s="40">
        <f t="shared" si="291"/>
        <v>0</v>
      </c>
      <c r="AC1000" s="67"/>
    </row>
    <row r="1001" spans="6:29" x14ac:dyDescent="0.25">
      <c r="F1001" s="45" t="str">
        <f t="shared" si="282"/>
        <v xml:space="preserve">S/F  </v>
      </c>
      <c r="G1001" s="45">
        <v>0</v>
      </c>
      <c r="H1001" s="53">
        <v>0</v>
      </c>
      <c r="I1001" s="40">
        <f t="shared" si="283"/>
        <v>0</v>
      </c>
      <c r="J1001" s="53"/>
      <c r="K1001" s="40">
        <f t="shared" si="284"/>
        <v>0</v>
      </c>
      <c r="L1001" s="45">
        <v>0</v>
      </c>
      <c r="M1001" s="53">
        <v>0</v>
      </c>
      <c r="N1001" s="40">
        <f t="shared" si="285"/>
        <v>0</v>
      </c>
      <c r="P1001" s="40">
        <f t="shared" si="286"/>
        <v>0</v>
      </c>
      <c r="Q1001" s="45"/>
      <c r="R1001" s="53"/>
      <c r="S1001" s="40">
        <f t="shared" si="287"/>
        <v>0</v>
      </c>
      <c r="U1001" s="40">
        <f t="shared" si="288"/>
        <v>0</v>
      </c>
      <c r="V1001" s="51">
        <v>0</v>
      </c>
      <c r="W1001" s="51">
        <v>0</v>
      </c>
      <c r="X1001" s="40">
        <f t="shared" si="289"/>
        <v>0</v>
      </c>
      <c r="AA1001" s="40">
        <f t="shared" si="290"/>
        <v>0</v>
      </c>
      <c r="AB1001" s="40">
        <f t="shared" si="291"/>
        <v>0</v>
      </c>
      <c r="AC1001" s="67"/>
    </row>
    <row r="1002" spans="6:29" x14ac:dyDescent="0.25">
      <c r="F1002" s="45" t="str">
        <f t="shared" si="282"/>
        <v xml:space="preserve">S/F  </v>
      </c>
      <c r="G1002" s="45">
        <v>0</v>
      </c>
      <c r="H1002" s="53">
        <v>0</v>
      </c>
      <c r="I1002" s="40">
        <f t="shared" si="283"/>
        <v>0</v>
      </c>
      <c r="J1002" s="53"/>
      <c r="K1002" s="40">
        <f t="shared" si="284"/>
        <v>0</v>
      </c>
      <c r="L1002" s="45">
        <v>0</v>
      </c>
      <c r="M1002" s="53">
        <v>0</v>
      </c>
      <c r="N1002" s="40">
        <f t="shared" si="285"/>
        <v>0</v>
      </c>
      <c r="P1002" s="40">
        <f t="shared" si="286"/>
        <v>0</v>
      </c>
      <c r="Q1002" s="45"/>
      <c r="R1002" s="53"/>
      <c r="S1002" s="40">
        <f t="shared" si="287"/>
        <v>0</v>
      </c>
      <c r="U1002" s="40">
        <f t="shared" si="288"/>
        <v>0</v>
      </c>
      <c r="V1002" s="51">
        <v>0</v>
      </c>
      <c r="W1002" s="51">
        <v>0</v>
      </c>
      <c r="X1002" s="40">
        <f t="shared" si="289"/>
        <v>0</v>
      </c>
      <c r="AA1002" s="40">
        <f t="shared" si="290"/>
        <v>0</v>
      </c>
      <c r="AB1002" s="40">
        <f t="shared" si="291"/>
        <v>0</v>
      </c>
      <c r="AC1002" s="67"/>
    </row>
    <row r="1003" spans="6:29" x14ac:dyDescent="0.25">
      <c r="F1003" s="45" t="str">
        <f t="shared" si="282"/>
        <v xml:space="preserve">S/F  </v>
      </c>
      <c r="G1003" s="45">
        <v>0</v>
      </c>
      <c r="H1003" s="53">
        <v>0</v>
      </c>
      <c r="I1003" s="40">
        <f t="shared" si="283"/>
        <v>0</v>
      </c>
      <c r="J1003" s="53"/>
      <c r="K1003" s="40">
        <f t="shared" si="284"/>
        <v>0</v>
      </c>
      <c r="L1003" s="45">
        <v>0</v>
      </c>
      <c r="M1003" s="53">
        <v>0</v>
      </c>
      <c r="N1003" s="40">
        <f t="shared" si="285"/>
        <v>0</v>
      </c>
      <c r="P1003" s="40">
        <f t="shared" si="286"/>
        <v>0</v>
      </c>
      <c r="Q1003" s="45"/>
      <c r="R1003" s="53"/>
      <c r="S1003" s="40">
        <f t="shared" si="287"/>
        <v>0</v>
      </c>
      <c r="U1003" s="40">
        <f t="shared" si="288"/>
        <v>0</v>
      </c>
      <c r="V1003" s="51">
        <v>0</v>
      </c>
      <c r="W1003" s="51">
        <v>0</v>
      </c>
      <c r="X1003" s="40">
        <f t="shared" si="289"/>
        <v>0</v>
      </c>
      <c r="AA1003" s="40">
        <f t="shared" si="290"/>
        <v>0</v>
      </c>
      <c r="AB1003" s="40">
        <f t="shared" si="291"/>
        <v>0</v>
      </c>
      <c r="AC1003" s="67"/>
    </row>
    <row r="1004" spans="6:29" x14ac:dyDescent="0.25">
      <c r="F1004" s="45" t="str">
        <f t="shared" si="282"/>
        <v xml:space="preserve">S/F  </v>
      </c>
      <c r="G1004" s="45">
        <v>0</v>
      </c>
      <c r="H1004" s="53">
        <v>0</v>
      </c>
      <c r="I1004" s="40">
        <f t="shared" si="283"/>
        <v>0</v>
      </c>
      <c r="J1004" s="53"/>
      <c r="K1004" s="40">
        <f t="shared" si="284"/>
        <v>0</v>
      </c>
      <c r="L1004" s="45">
        <v>0</v>
      </c>
      <c r="M1004" s="53">
        <v>0</v>
      </c>
      <c r="N1004" s="40">
        <f t="shared" si="285"/>
        <v>0</v>
      </c>
      <c r="P1004" s="40">
        <f t="shared" si="286"/>
        <v>0</v>
      </c>
      <c r="Q1004" s="45"/>
      <c r="R1004" s="53"/>
      <c r="S1004" s="40">
        <f t="shared" si="287"/>
        <v>0</v>
      </c>
      <c r="U1004" s="40">
        <f t="shared" si="288"/>
        <v>0</v>
      </c>
      <c r="V1004" s="51">
        <v>0</v>
      </c>
      <c r="W1004" s="51">
        <v>0</v>
      </c>
      <c r="X1004" s="40">
        <f t="shared" si="289"/>
        <v>0</v>
      </c>
      <c r="AA1004" s="40">
        <f t="shared" si="290"/>
        <v>0</v>
      </c>
      <c r="AB1004" s="40">
        <f t="shared" si="291"/>
        <v>0</v>
      </c>
      <c r="AC1004" s="67"/>
    </row>
    <row r="1005" spans="6:29" x14ac:dyDescent="0.25">
      <c r="F1005" s="45" t="str">
        <f t="shared" si="282"/>
        <v xml:space="preserve">S/F  </v>
      </c>
      <c r="G1005" s="45">
        <v>0</v>
      </c>
      <c r="H1005" s="53">
        <v>0</v>
      </c>
      <c r="I1005" s="40">
        <f t="shared" si="283"/>
        <v>0</v>
      </c>
      <c r="J1005" s="53"/>
      <c r="K1005" s="40">
        <f t="shared" si="284"/>
        <v>0</v>
      </c>
      <c r="L1005" s="45">
        <v>0</v>
      </c>
      <c r="M1005" s="53">
        <v>0</v>
      </c>
      <c r="N1005" s="40">
        <f t="shared" si="285"/>
        <v>0</v>
      </c>
      <c r="P1005" s="40">
        <f t="shared" si="286"/>
        <v>0</v>
      </c>
      <c r="Q1005" s="45"/>
      <c r="R1005" s="53"/>
      <c r="S1005" s="40">
        <f t="shared" si="287"/>
        <v>0</v>
      </c>
      <c r="U1005" s="40">
        <f t="shared" si="288"/>
        <v>0</v>
      </c>
      <c r="V1005" s="51">
        <v>0</v>
      </c>
      <c r="W1005" s="51">
        <v>0</v>
      </c>
      <c r="X1005" s="40">
        <f t="shared" si="289"/>
        <v>0</v>
      </c>
      <c r="AA1005" s="40">
        <f t="shared" si="290"/>
        <v>0</v>
      </c>
      <c r="AB1005" s="40">
        <f t="shared" si="291"/>
        <v>0</v>
      </c>
      <c r="AC1005" s="67"/>
    </row>
    <row r="1006" spans="6:29" x14ac:dyDescent="0.25">
      <c r="F1006" s="45" t="str">
        <f t="shared" si="282"/>
        <v xml:space="preserve">S/F  </v>
      </c>
      <c r="G1006" s="45">
        <v>0</v>
      </c>
      <c r="H1006" s="53">
        <v>0</v>
      </c>
      <c r="I1006" s="40">
        <f t="shared" si="283"/>
        <v>0</v>
      </c>
      <c r="J1006" s="53"/>
      <c r="K1006" s="40">
        <f t="shared" si="284"/>
        <v>0</v>
      </c>
      <c r="L1006" s="45">
        <v>0</v>
      </c>
      <c r="M1006" s="53">
        <v>0</v>
      </c>
      <c r="N1006" s="40">
        <f t="shared" si="285"/>
        <v>0</v>
      </c>
      <c r="P1006" s="40">
        <f t="shared" si="286"/>
        <v>0</v>
      </c>
      <c r="Q1006" s="45"/>
      <c r="R1006" s="53"/>
      <c r="S1006" s="40">
        <f t="shared" si="287"/>
        <v>0</v>
      </c>
      <c r="U1006" s="40">
        <f t="shared" si="288"/>
        <v>0</v>
      </c>
      <c r="V1006" s="51">
        <v>0</v>
      </c>
      <c r="W1006" s="51">
        <v>0</v>
      </c>
      <c r="X1006" s="40">
        <f t="shared" si="289"/>
        <v>0</v>
      </c>
      <c r="AA1006" s="40">
        <f t="shared" si="290"/>
        <v>0</v>
      </c>
      <c r="AB1006" s="40">
        <f t="shared" si="291"/>
        <v>0</v>
      </c>
      <c r="AC1006" s="67"/>
    </row>
    <row r="1007" spans="6:29" x14ac:dyDescent="0.25">
      <c r="F1007" s="45" t="str">
        <f t="shared" si="282"/>
        <v xml:space="preserve">S/F  </v>
      </c>
      <c r="G1007" s="45">
        <v>0</v>
      </c>
      <c r="H1007" s="53">
        <v>0</v>
      </c>
      <c r="I1007" s="40">
        <f t="shared" si="283"/>
        <v>0</v>
      </c>
      <c r="J1007" s="53"/>
      <c r="K1007" s="40">
        <f t="shared" si="284"/>
        <v>0</v>
      </c>
      <c r="L1007" s="45">
        <v>0</v>
      </c>
      <c r="M1007" s="53">
        <v>0</v>
      </c>
      <c r="N1007" s="40">
        <f t="shared" si="285"/>
        <v>0</v>
      </c>
      <c r="P1007" s="40">
        <f t="shared" si="286"/>
        <v>0</v>
      </c>
      <c r="Q1007" s="45"/>
      <c r="R1007" s="53"/>
      <c r="S1007" s="40">
        <f t="shared" si="287"/>
        <v>0</v>
      </c>
      <c r="U1007" s="40">
        <f t="shared" si="288"/>
        <v>0</v>
      </c>
      <c r="V1007" s="51">
        <v>0</v>
      </c>
      <c r="W1007" s="51">
        <v>0</v>
      </c>
      <c r="X1007" s="40">
        <f t="shared" si="289"/>
        <v>0</v>
      </c>
      <c r="AA1007" s="40">
        <f t="shared" si="290"/>
        <v>0</v>
      </c>
      <c r="AB1007" s="40">
        <f t="shared" si="291"/>
        <v>0</v>
      </c>
      <c r="AC1007" s="67"/>
    </row>
    <row r="1008" spans="6:29" x14ac:dyDescent="0.25">
      <c r="F1008" s="45" t="str">
        <f t="shared" si="282"/>
        <v xml:space="preserve">S/F  </v>
      </c>
      <c r="G1008" s="45">
        <v>0</v>
      </c>
      <c r="H1008" s="53">
        <v>0</v>
      </c>
      <c r="I1008" s="40">
        <f t="shared" si="283"/>
        <v>0</v>
      </c>
      <c r="J1008" s="53"/>
      <c r="K1008" s="40">
        <f t="shared" si="284"/>
        <v>0</v>
      </c>
      <c r="L1008" s="45">
        <v>0</v>
      </c>
      <c r="M1008" s="53">
        <v>0</v>
      </c>
      <c r="N1008" s="40">
        <f t="shared" si="285"/>
        <v>0</v>
      </c>
      <c r="P1008" s="40">
        <f t="shared" si="286"/>
        <v>0</v>
      </c>
      <c r="Q1008" s="45"/>
      <c r="R1008" s="53"/>
      <c r="S1008" s="40">
        <f t="shared" si="287"/>
        <v>0</v>
      </c>
      <c r="U1008" s="40">
        <f t="shared" si="288"/>
        <v>0</v>
      </c>
      <c r="V1008" s="51">
        <v>0</v>
      </c>
      <c r="W1008" s="51">
        <v>0</v>
      </c>
      <c r="X1008" s="40">
        <f t="shared" si="289"/>
        <v>0</v>
      </c>
      <c r="AA1008" s="40">
        <f t="shared" si="290"/>
        <v>0</v>
      </c>
      <c r="AB1008" s="40">
        <f t="shared" si="291"/>
        <v>0</v>
      </c>
      <c r="AC1008" s="67"/>
    </row>
    <row r="1009" spans="6:29" x14ac:dyDescent="0.25">
      <c r="F1009" s="45" t="str">
        <f t="shared" si="282"/>
        <v xml:space="preserve">S/F  </v>
      </c>
      <c r="G1009" s="45">
        <v>0</v>
      </c>
      <c r="H1009" s="53">
        <v>0</v>
      </c>
      <c r="I1009" s="40">
        <f t="shared" si="283"/>
        <v>0</v>
      </c>
      <c r="J1009" s="53"/>
      <c r="K1009" s="40">
        <f t="shared" si="284"/>
        <v>0</v>
      </c>
      <c r="L1009" s="45">
        <v>0</v>
      </c>
      <c r="M1009" s="53">
        <v>0</v>
      </c>
      <c r="N1009" s="40">
        <f t="shared" si="285"/>
        <v>0</v>
      </c>
      <c r="P1009" s="40">
        <f t="shared" si="286"/>
        <v>0</v>
      </c>
      <c r="Q1009" s="45"/>
      <c r="R1009" s="53"/>
      <c r="S1009" s="40">
        <f t="shared" si="287"/>
        <v>0</v>
      </c>
      <c r="U1009" s="40">
        <f t="shared" si="288"/>
        <v>0</v>
      </c>
      <c r="V1009" s="51">
        <v>0</v>
      </c>
      <c r="W1009" s="51">
        <v>0</v>
      </c>
      <c r="X1009" s="40">
        <f t="shared" si="289"/>
        <v>0</v>
      </c>
      <c r="AA1009" s="40">
        <f t="shared" si="290"/>
        <v>0</v>
      </c>
      <c r="AB1009" s="40">
        <f t="shared" si="291"/>
        <v>0</v>
      </c>
      <c r="AC1009" s="67"/>
    </row>
    <row r="1010" spans="6:29" x14ac:dyDescent="0.25">
      <c r="F1010" s="45" t="str">
        <f t="shared" si="282"/>
        <v xml:space="preserve">S/F  </v>
      </c>
      <c r="G1010" s="45">
        <v>0</v>
      </c>
      <c r="H1010" s="53">
        <v>0</v>
      </c>
      <c r="I1010" s="40">
        <f t="shared" si="283"/>
        <v>0</v>
      </c>
      <c r="J1010" s="53"/>
      <c r="K1010" s="40">
        <f t="shared" si="284"/>
        <v>0</v>
      </c>
      <c r="L1010" s="45">
        <v>0</v>
      </c>
      <c r="M1010" s="53">
        <v>0</v>
      </c>
      <c r="N1010" s="40">
        <f t="shared" si="285"/>
        <v>0</v>
      </c>
      <c r="P1010" s="40">
        <f t="shared" si="286"/>
        <v>0</v>
      </c>
      <c r="Q1010" s="45"/>
      <c r="R1010" s="53"/>
      <c r="S1010" s="40">
        <f t="shared" si="287"/>
        <v>0</v>
      </c>
      <c r="U1010" s="40">
        <f t="shared" si="288"/>
        <v>0</v>
      </c>
      <c r="V1010" s="51">
        <v>0</v>
      </c>
      <c r="W1010" s="51">
        <v>0</v>
      </c>
      <c r="X1010" s="40">
        <f t="shared" si="289"/>
        <v>0</v>
      </c>
      <c r="AA1010" s="40">
        <f t="shared" si="290"/>
        <v>0</v>
      </c>
      <c r="AB1010" s="40">
        <f t="shared" si="291"/>
        <v>0</v>
      </c>
      <c r="AC1010" s="67"/>
    </row>
    <row r="1011" spans="6:29" x14ac:dyDescent="0.25">
      <c r="F1011" s="45" t="str">
        <f t="shared" si="282"/>
        <v xml:space="preserve">S/F  </v>
      </c>
      <c r="G1011" s="45">
        <v>0</v>
      </c>
      <c r="H1011" s="53">
        <v>0</v>
      </c>
      <c r="I1011" s="40">
        <f t="shared" si="283"/>
        <v>0</v>
      </c>
      <c r="J1011" s="53"/>
      <c r="K1011" s="40">
        <f t="shared" si="284"/>
        <v>0</v>
      </c>
      <c r="L1011" s="45">
        <v>0</v>
      </c>
      <c r="M1011" s="53">
        <v>0</v>
      </c>
      <c r="N1011" s="40">
        <f t="shared" si="285"/>
        <v>0</v>
      </c>
      <c r="P1011" s="40">
        <f t="shared" si="286"/>
        <v>0</v>
      </c>
      <c r="Q1011" s="45"/>
      <c r="R1011" s="53"/>
      <c r="S1011" s="40">
        <f t="shared" si="287"/>
        <v>0</v>
      </c>
      <c r="U1011" s="40">
        <f t="shared" si="288"/>
        <v>0</v>
      </c>
      <c r="V1011" s="51">
        <v>0</v>
      </c>
      <c r="W1011" s="51">
        <v>0</v>
      </c>
      <c r="X1011" s="40">
        <f t="shared" si="289"/>
        <v>0</v>
      </c>
      <c r="AA1011" s="40">
        <f t="shared" si="290"/>
        <v>0</v>
      </c>
      <c r="AB1011" s="40">
        <f t="shared" si="291"/>
        <v>0</v>
      </c>
      <c r="AC1011" s="67"/>
    </row>
    <row r="1012" spans="6:29" x14ac:dyDescent="0.25">
      <c r="F1012" s="45" t="str">
        <f t="shared" si="282"/>
        <v xml:space="preserve">S/F  </v>
      </c>
      <c r="G1012" s="45">
        <v>0</v>
      </c>
      <c r="H1012" s="53">
        <v>0</v>
      </c>
      <c r="I1012" s="40">
        <f t="shared" si="283"/>
        <v>0</v>
      </c>
      <c r="J1012" s="53"/>
      <c r="K1012" s="40">
        <f t="shared" si="284"/>
        <v>0</v>
      </c>
      <c r="L1012" s="45">
        <v>0</v>
      </c>
      <c r="M1012" s="53">
        <v>0</v>
      </c>
      <c r="N1012" s="40">
        <f t="shared" si="285"/>
        <v>0</v>
      </c>
      <c r="P1012" s="40">
        <f t="shared" si="286"/>
        <v>0</v>
      </c>
      <c r="Q1012" s="45"/>
      <c r="R1012" s="53"/>
      <c r="S1012" s="40">
        <f t="shared" si="287"/>
        <v>0</v>
      </c>
      <c r="U1012" s="40">
        <f t="shared" si="288"/>
        <v>0</v>
      </c>
      <c r="V1012" s="51">
        <v>0</v>
      </c>
      <c r="W1012" s="51">
        <v>0</v>
      </c>
      <c r="X1012" s="40">
        <f t="shared" si="289"/>
        <v>0</v>
      </c>
      <c r="AA1012" s="40">
        <f t="shared" si="290"/>
        <v>0</v>
      </c>
      <c r="AB1012" s="40">
        <f t="shared" si="291"/>
        <v>0</v>
      </c>
      <c r="AC1012" s="67"/>
    </row>
    <row r="1013" spans="6:29" x14ac:dyDescent="0.25">
      <c r="F1013" s="45" t="str">
        <f t="shared" si="282"/>
        <v xml:space="preserve">S/F  </v>
      </c>
      <c r="G1013" s="45">
        <v>0</v>
      </c>
      <c r="H1013" s="53">
        <v>0</v>
      </c>
      <c r="I1013" s="40">
        <f t="shared" si="283"/>
        <v>0</v>
      </c>
      <c r="J1013" s="53"/>
      <c r="K1013" s="40">
        <f t="shared" si="284"/>
        <v>0</v>
      </c>
      <c r="L1013" s="45">
        <v>0</v>
      </c>
      <c r="M1013" s="53">
        <v>0</v>
      </c>
      <c r="N1013" s="40">
        <f t="shared" si="285"/>
        <v>0</v>
      </c>
      <c r="P1013" s="40">
        <f t="shared" si="286"/>
        <v>0</v>
      </c>
      <c r="Q1013" s="45"/>
      <c r="R1013" s="53"/>
      <c r="S1013" s="40">
        <f t="shared" si="287"/>
        <v>0</v>
      </c>
      <c r="U1013" s="40">
        <f t="shared" si="288"/>
        <v>0</v>
      </c>
      <c r="V1013" s="51">
        <v>0</v>
      </c>
      <c r="W1013" s="51">
        <v>0</v>
      </c>
      <c r="X1013" s="40">
        <f t="shared" si="289"/>
        <v>0</v>
      </c>
      <c r="AA1013" s="40">
        <f t="shared" si="290"/>
        <v>0</v>
      </c>
      <c r="AB1013" s="40">
        <f t="shared" si="291"/>
        <v>0</v>
      </c>
      <c r="AC1013" s="67"/>
    </row>
    <row r="1014" spans="6:29" x14ac:dyDescent="0.25">
      <c r="F1014" s="45" t="str">
        <f t="shared" si="282"/>
        <v xml:space="preserve">S/F  </v>
      </c>
      <c r="G1014" s="45">
        <v>0</v>
      </c>
      <c r="H1014" s="53">
        <v>0</v>
      </c>
      <c r="I1014" s="40">
        <f t="shared" si="283"/>
        <v>0</v>
      </c>
      <c r="J1014" s="53"/>
      <c r="K1014" s="40">
        <f t="shared" si="284"/>
        <v>0</v>
      </c>
      <c r="L1014" s="45">
        <v>0</v>
      </c>
      <c r="M1014" s="53">
        <v>0</v>
      </c>
      <c r="N1014" s="40">
        <f t="shared" si="285"/>
        <v>0</v>
      </c>
      <c r="P1014" s="40">
        <f t="shared" si="286"/>
        <v>0</v>
      </c>
      <c r="Q1014" s="45"/>
      <c r="R1014" s="53"/>
      <c r="S1014" s="40">
        <f t="shared" si="287"/>
        <v>0</v>
      </c>
      <c r="U1014" s="40">
        <f t="shared" si="288"/>
        <v>0</v>
      </c>
      <c r="V1014" s="51">
        <v>0</v>
      </c>
      <c r="W1014" s="51">
        <v>0</v>
      </c>
      <c r="X1014" s="40">
        <f t="shared" si="289"/>
        <v>0</v>
      </c>
      <c r="AA1014" s="40">
        <f t="shared" si="290"/>
        <v>0</v>
      </c>
      <c r="AB1014" s="40">
        <f t="shared" si="291"/>
        <v>0</v>
      </c>
      <c r="AC1014" s="67"/>
    </row>
    <row r="1015" spans="6:29" x14ac:dyDescent="0.25">
      <c r="F1015" s="45" t="str">
        <f t="shared" si="282"/>
        <v xml:space="preserve">S/F  </v>
      </c>
      <c r="G1015" s="45">
        <v>0</v>
      </c>
      <c r="H1015" s="53">
        <v>0</v>
      </c>
      <c r="I1015" s="40">
        <f t="shared" si="283"/>
        <v>0</v>
      </c>
      <c r="J1015" s="53"/>
      <c r="K1015" s="40">
        <f t="shared" si="284"/>
        <v>0</v>
      </c>
      <c r="L1015" s="45">
        <v>0</v>
      </c>
      <c r="M1015" s="53">
        <v>0</v>
      </c>
      <c r="N1015" s="40">
        <f t="shared" si="285"/>
        <v>0</v>
      </c>
      <c r="P1015" s="40">
        <f t="shared" si="286"/>
        <v>0</v>
      </c>
      <c r="Q1015" s="45"/>
      <c r="R1015" s="53"/>
      <c r="S1015" s="40">
        <f t="shared" si="287"/>
        <v>0</v>
      </c>
      <c r="U1015" s="40">
        <f t="shared" si="288"/>
        <v>0</v>
      </c>
      <c r="V1015" s="51">
        <v>0</v>
      </c>
      <c r="W1015" s="51">
        <v>0</v>
      </c>
      <c r="X1015" s="40">
        <f t="shared" si="289"/>
        <v>0</v>
      </c>
      <c r="AA1015" s="40">
        <f t="shared" si="290"/>
        <v>0</v>
      </c>
      <c r="AB1015" s="40">
        <f t="shared" si="291"/>
        <v>0</v>
      </c>
      <c r="AC1015" s="67"/>
    </row>
    <row r="1016" spans="6:29" x14ac:dyDescent="0.25">
      <c r="F1016" s="45" t="str">
        <f t="shared" si="282"/>
        <v xml:space="preserve">S/F  </v>
      </c>
      <c r="G1016" s="45">
        <v>0</v>
      </c>
      <c r="H1016" s="53">
        <v>0</v>
      </c>
      <c r="I1016" s="40">
        <f t="shared" si="283"/>
        <v>0</v>
      </c>
      <c r="J1016" s="53"/>
      <c r="K1016" s="40">
        <f t="shared" si="284"/>
        <v>0</v>
      </c>
      <c r="L1016" s="45">
        <v>0</v>
      </c>
      <c r="M1016" s="53">
        <v>0</v>
      </c>
      <c r="N1016" s="40">
        <f t="shared" si="285"/>
        <v>0</v>
      </c>
      <c r="P1016" s="40">
        <f t="shared" si="286"/>
        <v>0</v>
      </c>
      <c r="Q1016" s="45"/>
      <c r="R1016" s="53"/>
      <c r="S1016" s="40">
        <f t="shared" si="287"/>
        <v>0</v>
      </c>
      <c r="U1016" s="40">
        <f t="shared" si="288"/>
        <v>0</v>
      </c>
      <c r="V1016" s="51">
        <v>0</v>
      </c>
      <c r="W1016" s="51">
        <v>0</v>
      </c>
      <c r="X1016" s="40">
        <f t="shared" si="289"/>
        <v>0</v>
      </c>
      <c r="AA1016" s="40">
        <f t="shared" si="290"/>
        <v>0</v>
      </c>
      <c r="AB1016" s="40">
        <f t="shared" si="291"/>
        <v>0</v>
      </c>
      <c r="AC1016" s="67"/>
    </row>
    <row r="1017" spans="6:29" x14ac:dyDescent="0.25">
      <c r="F1017" s="45" t="str">
        <f t="shared" si="282"/>
        <v xml:space="preserve">S/F  </v>
      </c>
      <c r="G1017" s="45">
        <v>0</v>
      </c>
      <c r="H1017" s="53">
        <v>0</v>
      </c>
      <c r="I1017" s="40">
        <f t="shared" si="283"/>
        <v>0</v>
      </c>
      <c r="J1017" s="53"/>
      <c r="K1017" s="40">
        <f t="shared" si="284"/>
        <v>0</v>
      </c>
      <c r="L1017" s="45">
        <v>0</v>
      </c>
      <c r="M1017" s="53">
        <v>0</v>
      </c>
      <c r="N1017" s="40">
        <f t="shared" si="285"/>
        <v>0</v>
      </c>
      <c r="P1017" s="40">
        <f t="shared" si="286"/>
        <v>0</v>
      </c>
      <c r="Q1017" s="45"/>
      <c r="R1017" s="53"/>
      <c r="S1017" s="40">
        <f t="shared" si="287"/>
        <v>0</v>
      </c>
      <c r="U1017" s="40">
        <f t="shared" si="288"/>
        <v>0</v>
      </c>
      <c r="V1017" s="51">
        <v>0</v>
      </c>
      <c r="W1017" s="51">
        <v>0</v>
      </c>
      <c r="X1017" s="40">
        <f t="shared" si="289"/>
        <v>0</v>
      </c>
      <c r="AA1017" s="40">
        <f t="shared" si="290"/>
        <v>0</v>
      </c>
      <c r="AB1017" s="40">
        <f t="shared" si="291"/>
        <v>0</v>
      </c>
      <c r="AC1017" s="67"/>
    </row>
    <row r="1018" spans="6:29" x14ac:dyDescent="0.25">
      <c r="F1018" s="45" t="str">
        <f t="shared" si="282"/>
        <v xml:space="preserve">S/F  </v>
      </c>
      <c r="G1018" s="45">
        <v>0</v>
      </c>
      <c r="H1018" s="53">
        <v>0</v>
      </c>
      <c r="I1018" s="40">
        <f t="shared" si="283"/>
        <v>0</v>
      </c>
      <c r="J1018" s="53"/>
      <c r="K1018" s="40">
        <f t="shared" si="284"/>
        <v>0</v>
      </c>
      <c r="L1018" s="45">
        <v>0</v>
      </c>
      <c r="M1018" s="53">
        <v>0</v>
      </c>
      <c r="N1018" s="40">
        <f t="shared" si="285"/>
        <v>0</v>
      </c>
      <c r="P1018" s="40">
        <f t="shared" si="286"/>
        <v>0</v>
      </c>
      <c r="Q1018" s="45"/>
      <c r="R1018" s="53"/>
      <c r="S1018" s="40">
        <f t="shared" si="287"/>
        <v>0</v>
      </c>
      <c r="U1018" s="40">
        <f t="shared" si="288"/>
        <v>0</v>
      </c>
      <c r="V1018" s="51">
        <v>0</v>
      </c>
      <c r="W1018" s="51">
        <v>0</v>
      </c>
      <c r="X1018" s="40">
        <f t="shared" si="289"/>
        <v>0</v>
      </c>
      <c r="AA1018" s="40">
        <f t="shared" si="290"/>
        <v>0</v>
      </c>
      <c r="AB1018" s="40">
        <f t="shared" si="291"/>
        <v>0</v>
      </c>
      <c r="AC1018" s="67"/>
    </row>
    <row r="1019" spans="6:29" x14ac:dyDescent="0.25">
      <c r="F1019" s="45" t="str">
        <f t="shared" si="282"/>
        <v xml:space="preserve">S/F  </v>
      </c>
      <c r="G1019" s="45">
        <v>0</v>
      </c>
      <c r="H1019" s="53">
        <v>0</v>
      </c>
      <c r="I1019" s="40">
        <f t="shared" si="283"/>
        <v>0</v>
      </c>
      <c r="J1019" s="53"/>
      <c r="K1019" s="40">
        <f t="shared" si="284"/>
        <v>0</v>
      </c>
      <c r="L1019" s="45">
        <v>0</v>
      </c>
      <c r="M1019" s="53">
        <v>0</v>
      </c>
      <c r="N1019" s="40">
        <f t="shared" si="285"/>
        <v>0</v>
      </c>
      <c r="P1019" s="40">
        <f t="shared" si="286"/>
        <v>0</v>
      </c>
      <c r="Q1019" s="45"/>
      <c r="R1019" s="53"/>
      <c r="S1019" s="40">
        <f t="shared" si="287"/>
        <v>0</v>
      </c>
      <c r="U1019" s="40">
        <f t="shared" si="288"/>
        <v>0</v>
      </c>
      <c r="V1019" s="51">
        <v>0</v>
      </c>
      <c r="W1019" s="51">
        <v>0</v>
      </c>
      <c r="X1019" s="40">
        <f t="shared" si="289"/>
        <v>0</v>
      </c>
      <c r="AA1019" s="40">
        <f t="shared" si="290"/>
        <v>0</v>
      </c>
      <c r="AB1019" s="40">
        <f t="shared" si="291"/>
        <v>0</v>
      </c>
      <c r="AC1019" s="67"/>
    </row>
    <row r="1020" spans="6:29" x14ac:dyDescent="0.25">
      <c r="F1020" s="45" t="str">
        <f t="shared" si="282"/>
        <v xml:space="preserve">S/F  </v>
      </c>
      <c r="G1020" s="45">
        <v>0</v>
      </c>
      <c r="H1020" s="53">
        <v>0</v>
      </c>
      <c r="I1020" s="40">
        <f t="shared" si="283"/>
        <v>0</v>
      </c>
      <c r="J1020" s="53"/>
      <c r="K1020" s="40">
        <f t="shared" si="284"/>
        <v>0</v>
      </c>
      <c r="L1020" s="45">
        <v>0</v>
      </c>
      <c r="M1020" s="53">
        <v>0</v>
      </c>
      <c r="N1020" s="40">
        <f t="shared" si="285"/>
        <v>0</v>
      </c>
      <c r="P1020" s="40">
        <f t="shared" si="286"/>
        <v>0</v>
      </c>
      <c r="Q1020" s="45"/>
      <c r="R1020" s="53"/>
      <c r="S1020" s="40">
        <f t="shared" si="287"/>
        <v>0</v>
      </c>
      <c r="U1020" s="40">
        <f t="shared" si="288"/>
        <v>0</v>
      </c>
      <c r="V1020" s="51">
        <v>0</v>
      </c>
      <c r="W1020" s="51">
        <v>0</v>
      </c>
      <c r="X1020" s="40">
        <f t="shared" si="289"/>
        <v>0</v>
      </c>
      <c r="AA1020" s="40">
        <f t="shared" si="290"/>
        <v>0</v>
      </c>
      <c r="AB1020" s="40">
        <f t="shared" si="291"/>
        <v>0</v>
      </c>
      <c r="AC1020" s="67"/>
    </row>
    <row r="1021" spans="6:29" x14ac:dyDescent="0.25">
      <c r="F1021" s="45" t="str">
        <f t="shared" si="282"/>
        <v xml:space="preserve">S/F  </v>
      </c>
      <c r="G1021" s="45">
        <v>0</v>
      </c>
      <c r="H1021" s="53">
        <v>0</v>
      </c>
      <c r="I1021" s="40">
        <f t="shared" si="283"/>
        <v>0</v>
      </c>
      <c r="J1021" s="53"/>
      <c r="K1021" s="40">
        <f t="shared" si="284"/>
        <v>0</v>
      </c>
      <c r="L1021" s="45">
        <v>0</v>
      </c>
      <c r="M1021" s="53">
        <v>0</v>
      </c>
      <c r="N1021" s="40">
        <f t="shared" si="285"/>
        <v>0</v>
      </c>
      <c r="P1021" s="40">
        <f t="shared" si="286"/>
        <v>0</v>
      </c>
      <c r="Q1021" s="45"/>
      <c r="R1021" s="53"/>
      <c r="S1021" s="40">
        <f t="shared" si="287"/>
        <v>0</v>
      </c>
      <c r="U1021" s="40">
        <f t="shared" si="288"/>
        <v>0</v>
      </c>
      <c r="V1021" s="51">
        <v>0</v>
      </c>
      <c r="W1021" s="51">
        <v>0</v>
      </c>
      <c r="X1021" s="40">
        <f t="shared" si="289"/>
        <v>0</v>
      </c>
      <c r="AA1021" s="40">
        <f t="shared" si="290"/>
        <v>0</v>
      </c>
      <c r="AB1021" s="40">
        <f t="shared" si="291"/>
        <v>0</v>
      </c>
      <c r="AC1021" s="67"/>
    </row>
    <row r="1022" spans="6:29" x14ac:dyDescent="0.25">
      <c r="F1022" s="45" t="str">
        <f t="shared" si="282"/>
        <v xml:space="preserve">S/F  </v>
      </c>
      <c r="G1022" s="45">
        <v>0</v>
      </c>
      <c r="H1022" s="53">
        <v>0</v>
      </c>
      <c r="I1022" s="40">
        <f t="shared" si="283"/>
        <v>0</v>
      </c>
      <c r="J1022" s="53"/>
      <c r="K1022" s="40">
        <f t="shared" si="284"/>
        <v>0</v>
      </c>
      <c r="L1022" s="45">
        <v>0</v>
      </c>
      <c r="M1022" s="53">
        <v>0</v>
      </c>
      <c r="N1022" s="40">
        <f t="shared" si="285"/>
        <v>0</v>
      </c>
      <c r="P1022" s="40">
        <f t="shared" si="286"/>
        <v>0</v>
      </c>
      <c r="Q1022" s="45"/>
      <c r="R1022" s="53"/>
      <c r="S1022" s="40">
        <f t="shared" si="287"/>
        <v>0</v>
      </c>
      <c r="U1022" s="40">
        <f t="shared" si="288"/>
        <v>0</v>
      </c>
      <c r="V1022" s="51">
        <v>0</v>
      </c>
      <c r="W1022" s="51">
        <v>0</v>
      </c>
      <c r="X1022" s="40">
        <f t="shared" si="289"/>
        <v>0</v>
      </c>
      <c r="AA1022" s="40">
        <f t="shared" si="290"/>
        <v>0</v>
      </c>
      <c r="AB1022" s="40">
        <f t="shared" si="291"/>
        <v>0</v>
      </c>
      <c r="AC1022" s="67"/>
    </row>
    <row r="1023" spans="6:29" x14ac:dyDescent="0.25">
      <c r="F1023" s="45" t="str">
        <f t="shared" si="282"/>
        <v xml:space="preserve">S/F  </v>
      </c>
      <c r="G1023" s="45">
        <v>0</v>
      </c>
      <c r="H1023" s="53">
        <v>0</v>
      </c>
      <c r="I1023" s="40">
        <f t="shared" si="283"/>
        <v>0</v>
      </c>
      <c r="J1023" s="53"/>
      <c r="K1023" s="40">
        <f t="shared" si="284"/>
        <v>0</v>
      </c>
      <c r="L1023" s="45">
        <v>0</v>
      </c>
      <c r="M1023" s="53">
        <v>0</v>
      </c>
      <c r="N1023" s="40">
        <f t="shared" si="285"/>
        <v>0</v>
      </c>
      <c r="P1023" s="40">
        <f t="shared" si="286"/>
        <v>0</v>
      </c>
      <c r="Q1023" s="45"/>
      <c r="R1023" s="53"/>
      <c r="S1023" s="40">
        <f t="shared" si="287"/>
        <v>0</v>
      </c>
      <c r="U1023" s="40">
        <f t="shared" si="288"/>
        <v>0</v>
      </c>
      <c r="V1023" s="51">
        <v>0</v>
      </c>
      <c r="W1023" s="51">
        <v>0</v>
      </c>
      <c r="X1023" s="40">
        <f t="shared" si="289"/>
        <v>0</v>
      </c>
      <c r="AA1023" s="40">
        <f t="shared" si="290"/>
        <v>0</v>
      </c>
      <c r="AB1023" s="40">
        <f t="shared" si="291"/>
        <v>0</v>
      </c>
      <c r="AC1023" s="67"/>
    </row>
    <row r="1024" spans="6:29" x14ac:dyDescent="0.25">
      <c r="F1024" s="45" t="str">
        <f t="shared" si="282"/>
        <v xml:space="preserve">S/F  </v>
      </c>
      <c r="G1024" s="45">
        <v>0</v>
      </c>
      <c r="H1024" s="53">
        <v>0</v>
      </c>
      <c r="I1024" s="40">
        <f t="shared" si="283"/>
        <v>0</v>
      </c>
      <c r="J1024" s="53"/>
      <c r="K1024" s="40">
        <f t="shared" si="284"/>
        <v>0</v>
      </c>
      <c r="L1024" s="45">
        <v>0</v>
      </c>
      <c r="M1024" s="53">
        <v>0</v>
      </c>
      <c r="N1024" s="40">
        <f t="shared" si="285"/>
        <v>0</v>
      </c>
      <c r="P1024" s="40">
        <f t="shared" si="286"/>
        <v>0</v>
      </c>
      <c r="Q1024" s="45"/>
      <c r="R1024" s="53"/>
      <c r="S1024" s="40">
        <f t="shared" si="287"/>
        <v>0</v>
      </c>
      <c r="U1024" s="40">
        <f t="shared" si="288"/>
        <v>0</v>
      </c>
      <c r="V1024" s="51">
        <v>0</v>
      </c>
      <c r="W1024" s="51">
        <v>0</v>
      </c>
      <c r="X1024" s="40">
        <f t="shared" si="289"/>
        <v>0</v>
      </c>
      <c r="AA1024" s="40">
        <f t="shared" si="290"/>
        <v>0</v>
      </c>
      <c r="AB1024" s="40">
        <f t="shared" si="291"/>
        <v>0</v>
      </c>
      <c r="AC1024" s="67"/>
    </row>
    <row r="1025" spans="6:29" x14ac:dyDescent="0.25">
      <c r="F1025" s="45" t="str">
        <f t="shared" si="282"/>
        <v xml:space="preserve">S/F  </v>
      </c>
      <c r="G1025" s="45">
        <v>0</v>
      </c>
      <c r="H1025" s="53">
        <v>0</v>
      </c>
      <c r="I1025" s="40">
        <f t="shared" si="283"/>
        <v>0</v>
      </c>
      <c r="J1025" s="53"/>
      <c r="K1025" s="40">
        <f t="shared" si="284"/>
        <v>0</v>
      </c>
      <c r="L1025" s="45">
        <v>0</v>
      </c>
      <c r="M1025" s="53">
        <v>0</v>
      </c>
      <c r="N1025" s="40">
        <f t="shared" si="285"/>
        <v>0</v>
      </c>
      <c r="P1025" s="40">
        <f t="shared" si="286"/>
        <v>0</v>
      </c>
      <c r="Q1025" s="45"/>
      <c r="R1025" s="53"/>
      <c r="S1025" s="40">
        <f t="shared" si="287"/>
        <v>0</v>
      </c>
      <c r="U1025" s="40">
        <f t="shared" si="288"/>
        <v>0</v>
      </c>
      <c r="V1025" s="51">
        <v>0</v>
      </c>
      <c r="W1025" s="51">
        <v>0</v>
      </c>
      <c r="X1025" s="40">
        <f t="shared" si="289"/>
        <v>0</v>
      </c>
      <c r="AA1025" s="40">
        <f t="shared" si="290"/>
        <v>0</v>
      </c>
      <c r="AB1025" s="40">
        <f t="shared" si="291"/>
        <v>0</v>
      </c>
      <c r="AC1025" s="67"/>
    </row>
    <row r="1026" spans="6:29" x14ac:dyDescent="0.25">
      <c r="F1026" s="45" t="str">
        <f t="shared" si="282"/>
        <v xml:space="preserve">S/F  </v>
      </c>
      <c r="G1026" s="45">
        <v>0</v>
      </c>
      <c r="H1026" s="53">
        <v>0</v>
      </c>
      <c r="I1026" s="40">
        <f t="shared" si="283"/>
        <v>0</v>
      </c>
      <c r="J1026" s="53"/>
      <c r="K1026" s="40">
        <f t="shared" si="284"/>
        <v>0</v>
      </c>
      <c r="L1026" s="45">
        <v>0</v>
      </c>
      <c r="M1026" s="53">
        <v>0</v>
      </c>
      <c r="N1026" s="40">
        <f t="shared" si="285"/>
        <v>0</v>
      </c>
      <c r="P1026" s="40">
        <f t="shared" si="286"/>
        <v>0</v>
      </c>
      <c r="Q1026" s="45"/>
      <c r="R1026" s="53"/>
      <c r="S1026" s="40">
        <f t="shared" si="287"/>
        <v>0</v>
      </c>
      <c r="U1026" s="40">
        <f t="shared" si="288"/>
        <v>0</v>
      </c>
      <c r="V1026" s="51">
        <v>0</v>
      </c>
      <c r="W1026" s="51">
        <v>0</v>
      </c>
      <c r="X1026" s="40">
        <f t="shared" si="289"/>
        <v>0</v>
      </c>
      <c r="AA1026" s="40">
        <f t="shared" si="290"/>
        <v>0</v>
      </c>
      <c r="AB1026" s="40">
        <f t="shared" si="291"/>
        <v>0</v>
      </c>
      <c r="AC1026" s="67"/>
    </row>
    <row r="1027" spans="6:29" x14ac:dyDescent="0.25">
      <c r="F1027" s="45" t="str">
        <f t="shared" si="282"/>
        <v xml:space="preserve">S/F  </v>
      </c>
      <c r="G1027" s="45">
        <v>0</v>
      </c>
      <c r="H1027" s="53">
        <v>0</v>
      </c>
      <c r="I1027" s="40">
        <f t="shared" si="283"/>
        <v>0</v>
      </c>
      <c r="J1027" s="53"/>
      <c r="K1027" s="40">
        <f t="shared" si="284"/>
        <v>0</v>
      </c>
      <c r="L1027" s="45">
        <v>0</v>
      </c>
      <c r="M1027" s="53">
        <v>0</v>
      </c>
      <c r="N1027" s="40">
        <f t="shared" si="285"/>
        <v>0</v>
      </c>
      <c r="P1027" s="40">
        <f t="shared" si="286"/>
        <v>0</v>
      </c>
      <c r="Q1027" s="45"/>
      <c r="R1027" s="53"/>
      <c r="S1027" s="40">
        <f t="shared" si="287"/>
        <v>0</v>
      </c>
      <c r="U1027" s="40">
        <f t="shared" si="288"/>
        <v>0</v>
      </c>
      <c r="V1027" s="51">
        <v>0</v>
      </c>
      <c r="W1027" s="51">
        <v>0</v>
      </c>
      <c r="X1027" s="40">
        <f t="shared" si="289"/>
        <v>0</v>
      </c>
      <c r="AA1027" s="40">
        <f t="shared" si="290"/>
        <v>0</v>
      </c>
      <c r="AB1027" s="40">
        <f t="shared" si="291"/>
        <v>0</v>
      </c>
      <c r="AC1027" s="67"/>
    </row>
    <row r="1028" spans="6:29" x14ac:dyDescent="0.25">
      <c r="F1028" s="45" t="str">
        <f t="shared" si="282"/>
        <v xml:space="preserve">S/F  </v>
      </c>
      <c r="G1028" s="45">
        <v>0</v>
      </c>
      <c r="H1028" s="53">
        <v>0</v>
      </c>
      <c r="I1028" s="40">
        <f t="shared" si="283"/>
        <v>0</v>
      </c>
      <c r="J1028" s="53"/>
      <c r="K1028" s="40">
        <f t="shared" si="284"/>
        <v>0</v>
      </c>
      <c r="L1028" s="45">
        <v>0</v>
      </c>
      <c r="M1028" s="53">
        <v>0</v>
      </c>
      <c r="N1028" s="40">
        <f t="shared" si="285"/>
        <v>0</v>
      </c>
      <c r="P1028" s="40">
        <f t="shared" si="286"/>
        <v>0</v>
      </c>
      <c r="Q1028" s="45"/>
      <c r="R1028" s="53"/>
      <c r="S1028" s="40">
        <f t="shared" si="287"/>
        <v>0</v>
      </c>
      <c r="U1028" s="40">
        <f t="shared" si="288"/>
        <v>0</v>
      </c>
      <c r="V1028" s="51">
        <v>0</v>
      </c>
      <c r="W1028" s="51">
        <v>0</v>
      </c>
      <c r="X1028" s="40">
        <f t="shared" si="289"/>
        <v>0</v>
      </c>
      <c r="AA1028" s="40">
        <f t="shared" si="290"/>
        <v>0</v>
      </c>
      <c r="AB1028" s="40">
        <f t="shared" si="291"/>
        <v>0</v>
      </c>
      <c r="AC1028" s="67"/>
    </row>
    <row r="1029" spans="6:29" x14ac:dyDescent="0.25">
      <c r="F1029" s="45" t="str">
        <f t="shared" si="282"/>
        <v xml:space="preserve">S/F  </v>
      </c>
      <c r="G1029" s="45">
        <v>0</v>
      </c>
      <c r="H1029" s="53">
        <v>0</v>
      </c>
      <c r="I1029" s="40">
        <f t="shared" si="283"/>
        <v>0</v>
      </c>
      <c r="J1029" s="53"/>
      <c r="K1029" s="40">
        <f t="shared" si="284"/>
        <v>0</v>
      </c>
      <c r="L1029" s="45">
        <v>0</v>
      </c>
      <c r="M1029" s="53">
        <v>0</v>
      </c>
      <c r="N1029" s="40">
        <f t="shared" si="285"/>
        <v>0</v>
      </c>
      <c r="P1029" s="40">
        <f t="shared" si="286"/>
        <v>0</v>
      </c>
      <c r="Q1029" s="45"/>
      <c r="R1029" s="53"/>
      <c r="S1029" s="40">
        <f t="shared" si="287"/>
        <v>0</v>
      </c>
      <c r="U1029" s="40">
        <f t="shared" si="288"/>
        <v>0</v>
      </c>
      <c r="V1029" s="51">
        <v>0</v>
      </c>
      <c r="W1029" s="51">
        <v>0</v>
      </c>
      <c r="X1029" s="40">
        <f t="shared" si="289"/>
        <v>0</v>
      </c>
      <c r="AA1029" s="40">
        <f t="shared" si="290"/>
        <v>0</v>
      </c>
      <c r="AB1029" s="40">
        <f t="shared" si="291"/>
        <v>0</v>
      </c>
      <c r="AC1029" s="67"/>
    </row>
    <row r="1030" spans="6:29" x14ac:dyDescent="0.25">
      <c r="F1030" s="45" t="str">
        <f t="shared" si="282"/>
        <v xml:space="preserve">S/F  </v>
      </c>
      <c r="G1030" s="45">
        <v>0</v>
      </c>
      <c r="H1030" s="53">
        <v>0</v>
      </c>
      <c r="I1030" s="40">
        <f t="shared" si="283"/>
        <v>0</v>
      </c>
      <c r="J1030" s="53"/>
      <c r="K1030" s="40">
        <f t="shared" si="284"/>
        <v>0</v>
      </c>
      <c r="L1030" s="45">
        <v>0</v>
      </c>
      <c r="M1030" s="53">
        <v>0</v>
      </c>
      <c r="N1030" s="40">
        <f t="shared" si="285"/>
        <v>0</v>
      </c>
      <c r="P1030" s="40">
        <f t="shared" si="286"/>
        <v>0</v>
      </c>
      <c r="Q1030" s="45"/>
      <c r="R1030" s="53"/>
      <c r="S1030" s="40">
        <f t="shared" si="287"/>
        <v>0</v>
      </c>
      <c r="U1030" s="40">
        <f t="shared" si="288"/>
        <v>0</v>
      </c>
      <c r="V1030" s="51">
        <v>0</v>
      </c>
      <c r="W1030" s="51">
        <v>0</v>
      </c>
      <c r="X1030" s="40">
        <f t="shared" si="289"/>
        <v>0</v>
      </c>
      <c r="AA1030" s="40">
        <f t="shared" si="290"/>
        <v>0</v>
      </c>
      <c r="AB1030" s="40">
        <f t="shared" si="291"/>
        <v>0</v>
      </c>
      <c r="AC1030" s="67"/>
    </row>
    <row r="1031" spans="6:29" x14ac:dyDescent="0.25">
      <c r="F1031" s="45" t="str">
        <f t="shared" si="282"/>
        <v xml:space="preserve">S/F  </v>
      </c>
      <c r="G1031" s="45">
        <v>0</v>
      </c>
      <c r="H1031" s="53">
        <v>0</v>
      </c>
      <c r="I1031" s="40">
        <f t="shared" si="283"/>
        <v>0</v>
      </c>
      <c r="J1031" s="53"/>
      <c r="K1031" s="40">
        <f t="shared" si="284"/>
        <v>0</v>
      </c>
      <c r="L1031" s="45">
        <v>0</v>
      </c>
      <c r="M1031" s="53">
        <v>0</v>
      </c>
      <c r="N1031" s="40">
        <f t="shared" si="285"/>
        <v>0</v>
      </c>
      <c r="P1031" s="40">
        <f t="shared" si="286"/>
        <v>0</v>
      </c>
      <c r="Q1031" s="45"/>
      <c r="R1031" s="53"/>
      <c r="S1031" s="40">
        <f t="shared" si="287"/>
        <v>0</v>
      </c>
      <c r="U1031" s="40">
        <f t="shared" si="288"/>
        <v>0</v>
      </c>
      <c r="V1031" s="51">
        <v>0</v>
      </c>
      <c r="W1031" s="51">
        <v>0</v>
      </c>
      <c r="X1031" s="40">
        <f t="shared" si="289"/>
        <v>0</v>
      </c>
      <c r="AA1031" s="40">
        <f t="shared" si="290"/>
        <v>0</v>
      </c>
      <c r="AB1031" s="40">
        <f t="shared" si="291"/>
        <v>0</v>
      </c>
      <c r="AC1031" s="67"/>
    </row>
    <row r="1032" spans="6:29" x14ac:dyDescent="0.25">
      <c r="F1032" s="45" t="str">
        <f t="shared" si="282"/>
        <v xml:space="preserve">S/F  </v>
      </c>
      <c r="G1032" s="45">
        <v>0</v>
      </c>
      <c r="H1032" s="53">
        <v>0</v>
      </c>
      <c r="I1032" s="40">
        <f t="shared" si="283"/>
        <v>0</v>
      </c>
      <c r="J1032" s="53"/>
      <c r="K1032" s="40">
        <f t="shared" si="284"/>
        <v>0</v>
      </c>
      <c r="L1032" s="45">
        <v>0</v>
      </c>
      <c r="M1032" s="53">
        <v>0</v>
      </c>
      <c r="N1032" s="40">
        <f t="shared" si="285"/>
        <v>0</v>
      </c>
      <c r="P1032" s="40">
        <f t="shared" si="286"/>
        <v>0</v>
      </c>
      <c r="Q1032" s="45"/>
      <c r="R1032" s="53"/>
      <c r="S1032" s="40">
        <f t="shared" si="287"/>
        <v>0</v>
      </c>
      <c r="U1032" s="40">
        <f t="shared" si="288"/>
        <v>0</v>
      </c>
      <c r="V1032" s="51">
        <v>0</v>
      </c>
      <c r="W1032" s="51">
        <v>0</v>
      </c>
      <c r="X1032" s="40">
        <f t="shared" si="289"/>
        <v>0</v>
      </c>
      <c r="AA1032" s="40">
        <f t="shared" si="290"/>
        <v>0</v>
      </c>
      <c r="AB1032" s="40">
        <f t="shared" si="291"/>
        <v>0</v>
      </c>
      <c r="AC1032" s="67"/>
    </row>
    <row r="1033" spans="6:29" x14ac:dyDescent="0.25">
      <c r="F1033" s="45" t="str">
        <f t="shared" si="282"/>
        <v xml:space="preserve">S/F  </v>
      </c>
      <c r="G1033" s="45">
        <v>0</v>
      </c>
      <c r="H1033" s="53">
        <v>0</v>
      </c>
      <c r="I1033" s="40">
        <f t="shared" si="283"/>
        <v>0</v>
      </c>
      <c r="J1033" s="53"/>
      <c r="K1033" s="40">
        <f t="shared" si="284"/>
        <v>0</v>
      </c>
      <c r="L1033" s="45">
        <v>0</v>
      </c>
      <c r="M1033" s="53">
        <v>0</v>
      </c>
      <c r="N1033" s="40">
        <f t="shared" si="285"/>
        <v>0</v>
      </c>
      <c r="P1033" s="40">
        <f t="shared" si="286"/>
        <v>0</v>
      </c>
      <c r="Q1033" s="45"/>
      <c r="R1033" s="53"/>
      <c r="S1033" s="40">
        <f t="shared" si="287"/>
        <v>0</v>
      </c>
      <c r="U1033" s="40">
        <f t="shared" si="288"/>
        <v>0</v>
      </c>
      <c r="V1033" s="51">
        <v>0</v>
      </c>
      <c r="W1033" s="51">
        <v>0</v>
      </c>
      <c r="X1033" s="40">
        <f t="shared" si="289"/>
        <v>0</v>
      </c>
      <c r="AA1033" s="40">
        <f t="shared" si="290"/>
        <v>0</v>
      </c>
      <c r="AB1033" s="40">
        <f t="shared" si="291"/>
        <v>0</v>
      </c>
      <c r="AC1033" s="67"/>
    </row>
    <row r="1034" spans="6:29" x14ac:dyDescent="0.25">
      <c r="F1034" s="45" t="str">
        <f t="shared" si="282"/>
        <v xml:space="preserve">S/F  </v>
      </c>
      <c r="G1034" s="45">
        <v>0</v>
      </c>
      <c r="H1034" s="53">
        <v>0</v>
      </c>
      <c r="I1034" s="40">
        <f t="shared" si="283"/>
        <v>0</v>
      </c>
      <c r="J1034" s="53"/>
      <c r="K1034" s="40">
        <f t="shared" si="284"/>
        <v>0</v>
      </c>
      <c r="L1034" s="45">
        <v>0</v>
      </c>
      <c r="M1034" s="53">
        <v>0</v>
      </c>
      <c r="N1034" s="40">
        <f t="shared" si="285"/>
        <v>0</v>
      </c>
      <c r="P1034" s="40">
        <f t="shared" si="286"/>
        <v>0</v>
      </c>
      <c r="Q1034" s="45"/>
      <c r="R1034" s="53"/>
      <c r="S1034" s="40">
        <f t="shared" si="287"/>
        <v>0</v>
      </c>
      <c r="U1034" s="40">
        <f t="shared" si="288"/>
        <v>0</v>
      </c>
      <c r="V1034" s="51">
        <v>0</v>
      </c>
      <c r="W1034" s="51">
        <v>0</v>
      </c>
      <c r="X1034" s="40">
        <f t="shared" si="289"/>
        <v>0</v>
      </c>
      <c r="AA1034" s="40">
        <f t="shared" si="290"/>
        <v>0</v>
      </c>
      <c r="AB1034" s="40">
        <f t="shared" si="291"/>
        <v>0</v>
      </c>
      <c r="AC1034" s="67"/>
    </row>
    <row r="1035" spans="6:29" x14ac:dyDescent="0.25">
      <c r="F1035" s="45" t="str">
        <f t="shared" si="282"/>
        <v xml:space="preserve">S/F  </v>
      </c>
      <c r="G1035" s="45">
        <v>0</v>
      </c>
      <c r="H1035" s="53">
        <v>0</v>
      </c>
      <c r="I1035" s="40">
        <f t="shared" si="283"/>
        <v>0</v>
      </c>
      <c r="J1035" s="53"/>
      <c r="K1035" s="40">
        <f t="shared" si="284"/>
        <v>0</v>
      </c>
      <c r="L1035" s="45">
        <v>0</v>
      </c>
      <c r="M1035" s="53">
        <v>0</v>
      </c>
      <c r="N1035" s="40">
        <f t="shared" si="285"/>
        <v>0</v>
      </c>
      <c r="P1035" s="40">
        <f t="shared" si="286"/>
        <v>0</v>
      </c>
      <c r="Q1035" s="45"/>
      <c r="R1035" s="53"/>
      <c r="S1035" s="40">
        <f t="shared" si="287"/>
        <v>0</v>
      </c>
      <c r="U1035" s="40">
        <f t="shared" si="288"/>
        <v>0</v>
      </c>
      <c r="V1035" s="51">
        <v>0</v>
      </c>
      <c r="W1035" s="51">
        <v>0</v>
      </c>
      <c r="X1035" s="40">
        <f t="shared" si="289"/>
        <v>0</v>
      </c>
      <c r="AA1035" s="40">
        <f t="shared" si="290"/>
        <v>0</v>
      </c>
      <c r="AB1035" s="40">
        <f t="shared" si="291"/>
        <v>0</v>
      </c>
      <c r="AC1035" s="67"/>
    </row>
    <row r="1036" spans="6:29" x14ac:dyDescent="0.25">
      <c r="F1036" s="45" t="str">
        <f t="shared" si="282"/>
        <v xml:space="preserve">S/F  </v>
      </c>
      <c r="G1036" s="45">
        <v>0</v>
      </c>
      <c r="H1036" s="53">
        <v>0</v>
      </c>
      <c r="I1036" s="40">
        <f t="shared" si="283"/>
        <v>0</v>
      </c>
      <c r="J1036" s="53"/>
      <c r="K1036" s="40">
        <f t="shared" si="284"/>
        <v>0</v>
      </c>
      <c r="L1036" s="45">
        <v>0</v>
      </c>
      <c r="M1036" s="53">
        <v>0</v>
      </c>
      <c r="N1036" s="40">
        <f t="shared" si="285"/>
        <v>0</v>
      </c>
      <c r="P1036" s="40">
        <f t="shared" si="286"/>
        <v>0</v>
      </c>
      <c r="Q1036" s="45"/>
      <c r="R1036" s="53"/>
      <c r="S1036" s="40">
        <f t="shared" si="287"/>
        <v>0</v>
      </c>
      <c r="U1036" s="40">
        <f t="shared" si="288"/>
        <v>0</v>
      </c>
      <c r="V1036" s="51">
        <v>0</v>
      </c>
      <c r="W1036" s="51">
        <v>0</v>
      </c>
      <c r="X1036" s="40">
        <f t="shared" si="289"/>
        <v>0</v>
      </c>
      <c r="AA1036" s="40">
        <f t="shared" si="290"/>
        <v>0</v>
      </c>
      <c r="AB1036" s="40">
        <f t="shared" si="291"/>
        <v>0</v>
      </c>
      <c r="AC1036" s="67"/>
    </row>
    <row r="1037" spans="6:29" x14ac:dyDescent="0.25">
      <c r="F1037" s="45" t="str">
        <f t="shared" ref="F1037:F1072" si="292">"S/F "&amp;B1037&amp;" "&amp;E1037</f>
        <v xml:space="preserve">S/F  </v>
      </c>
      <c r="G1037" s="45">
        <v>0</v>
      </c>
      <c r="H1037" s="53">
        <v>0</v>
      </c>
      <c r="I1037" s="40">
        <f t="shared" si="283"/>
        <v>0</v>
      </c>
      <c r="J1037" s="53"/>
      <c r="K1037" s="40">
        <f t="shared" si="284"/>
        <v>0</v>
      </c>
      <c r="L1037" s="45">
        <v>0</v>
      </c>
      <c r="M1037" s="53">
        <v>0</v>
      </c>
      <c r="N1037" s="40">
        <f t="shared" si="285"/>
        <v>0</v>
      </c>
      <c r="P1037" s="40">
        <f t="shared" si="286"/>
        <v>0</v>
      </c>
      <c r="Q1037" s="45"/>
      <c r="R1037" s="53"/>
      <c r="S1037" s="40">
        <f t="shared" si="287"/>
        <v>0</v>
      </c>
      <c r="U1037" s="40">
        <f t="shared" si="288"/>
        <v>0</v>
      </c>
      <c r="V1037" s="51">
        <v>0</v>
      </c>
      <c r="W1037" s="51">
        <v>0</v>
      </c>
      <c r="X1037" s="40">
        <f t="shared" si="289"/>
        <v>0</v>
      </c>
      <c r="AA1037" s="40">
        <f t="shared" si="290"/>
        <v>0</v>
      </c>
      <c r="AB1037" s="40">
        <f t="shared" si="291"/>
        <v>0</v>
      </c>
      <c r="AC1037" s="67"/>
    </row>
    <row r="1038" spans="6:29" x14ac:dyDescent="0.25">
      <c r="F1038" s="45" t="str">
        <f t="shared" si="292"/>
        <v xml:space="preserve">S/F  </v>
      </c>
      <c r="G1038" s="45">
        <v>0</v>
      </c>
      <c r="H1038" s="53">
        <v>0</v>
      </c>
      <c r="I1038" s="40">
        <f t="shared" si="283"/>
        <v>0</v>
      </c>
      <c r="J1038" s="53"/>
      <c r="K1038" s="40">
        <f t="shared" si="284"/>
        <v>0</v>
      </c>
      <c r="L1038" s="45">
        <v>0</v>
      </c>
      <c r="M1038" s="53">
        <v>0</v>
      </c>
      <c r="N1038" s="40">
        <f t="shared" si="285"/>
        <v>0</v>
      </c>
      <c r="P1038" s="40">
        <f t="shared" si="286"/>
        <v>0</v>
      </c>
      <c r="Q1038" s="45"/>
      <c r="R1038" s="53"/>
      <c r="S1038" s="40">
        <f t="shared" si="287"/>
        <v>0</v>
      </c>
      <c r="U1038" s="40">
        <f t="shared" si="288"/>
        <v>0</v>
      </c>
      <c r="V1038" s="51">
        <v>0</v>
      </c>
      <c r="W1038" s="51">
        <v>0</v>
      </c>
      <c r="X1038" s="40">
        <f t="shared" si="289"/>
        <v>0</v>
      </c>
      <c r="AA1038" s="40">
        <f t="shared" si="290"/>
        <v>0</v>
      </c>
      <c r="AB1038" s="40">
        <f t="shared" si="291"/>
        <v>0</v>
      </c>
      <c r="AC1038" s="67"/>
    </row>
    <row r="1039" spans="6:29" x14ac:dyDescent="0.25">
      <c r="F1039" s="45" t="str">
        <f t="shared" si="292"/>
        <v xml:space="preserve">S/F  </v>
      </c>
      <c r="G1039" s="45">
        <v>0</v>
      </c>
      <c r="H1039" s="53">
        <v>0</v>
      </c>
      <c r="I1039" s="40">
        <f t="shared" si="283"/>
        <v>0</v>
      </c>
      <c r="J1039" s="53"/>
      <c r="K1039" s="40">
        <f t="shared" si="284"/>
        <v>0</v>
      </c>
      <c r="L1039" s="45">
        <v>0</v>
      </c>
      <c r="M1039" s="53">
        <v>0</v>
      </c>
      <c r="N1039" s="40">
        <f t="shared" si="285"/>
        <v>0</v>
      </c>
      <c r="P1039" s="40">
        <f t="shared" si="286"/>
        <v>0</v>
      </c>
      <c r="Q1039" s="45"/>
      <c r="R1039" s="53"/>
      <c r="S1039" s="40">
        <f t="shared" si="287"/>
        <v>0</v>
      </c>
      <c r="U1039" s="40">
        <f t="shared" si="288"/>
        <v>0</v>
      </c>
      <c r="V1039" s="51">
        <v>0</v>
      </c>
      <c r="W1039" s="51">
        <v>0</v>
      </c>
      <c r="X1039" s="40">
        <f t="shared" si="289"/>
        <v>0</v>
      </c>
      <c r="AA1039" s="40">
        <f t="shared" si="290"/>
        <v>0</v>
      </c>
      <c r="AB1039" s="40">
        <f t="shared" si="291"/>
        <v>0</v>
      </c>
      <c r="AC1039" s="67"/>
    </row>
    <row r="1040" spans="6:29" x14ac:dyDescent="0.25">
      <c r="F1040" s="45" t="str">
        <f t="shared" si="292"/>
        <v xml:space="preserve">S/F  </v>
      </c>
      <c r="G1040" s="45">
        <v>0</v>
      </c>
      <c r="H1040" s="53">
        <v>0</v>
      </c>
      <c r="I1040" s="40">
        <f t="shared" si="283"/>
        <v>0</v>
      </c>
      <c r="J1040" s="53"/>
      <c r="K1040" s="40">
        <f t="shared" si="284"/>
        <v>0</v>
      </c>
      <c r="L1040" s="45">
        <v>0</v>
      </c>
      <c r="M1040" s="53">
        <v>0</v>
      </c>
      <c r="N1040" s="40">
        <f t="shared" si="285"/>
        <v>0</v>
      </c>
      <c r="P1040" s="40">
        <f t="shared" si="286"/>
        <v>0</v>
      </c>
      <c r="Q1040" s="45"/>
      <c r="R1040" s="53"/>
      <c r="S1040" s="40">
        <f t="shared" si="287"/>
        <v>0</v>
      </c>
      <c r="U1040" s="40">
        <f t="shared" si="288"/>
        <v>0</v>
      </c>
      <c r="V1040" s="51">
        <v>0</v>
      </c>
      <c r="W1040" s="51">
        <v>0</v>
      </c>
      <c r="X1040" s="40">
        <f t="shared" si="289"/>
        <v>0</v>
      </c>
      <c r="AA1040" s="40">
        <f t="shared" si="290"/>
        <v>0</v>
      </c>
      <c r="AB1040" s="40">
        <f t="shared" si="291"/>
        <v>0</v>
      </c>
      <c r="AC1040" s="67"/>
    </row>
    <row r="1041" spans="6:29" x14ac:dyDescent="0.25">
      <c r="F1041" s="45" t="str">
        <f t="shared" si="292"/>
        <v xml:space="preserve">S/F  </v>
      </c>
      <c r="G1041" s="45">
        <v>0</v>
      </c>
      <c r="H1041" s="53">
        <v>0</v>
      </c>
      <c r="I1041" s="40">
        <f t="shared" si="283"/>
        <v>0</v>
      </c>
      <c r="J1041" s="53"/>
      <c r="K1041" s="40">
        <f t="shared" si="284"/>
        <v>0</v>
      </c>
      <c r="L1041" s="45">
        <v>0</v>
      </c>
      <c r="M1041" s="53">
        <v>0</v>
      </c>
      <c r="N1041" s="40">
        <f t="shared" si="285"/>
        <v>0</v>
      </c>
      <c r="P1041" s="40">
        <f t="shared" si="286"/>
        <v>0</v>
      </c>
      <c r="Q1041" s="45"/>
      <c r="R1041" s="53"/>
      <c r="S1041" s="40">
        <f t="shared" si="287"/>
        <v>0</v>
      </c>
      <c r="U1041" s="40">
        <f t="shared" si="288"/>
        <v>0</v>
      </c>
      <c r="V1041" s="51">
        <v>0</v>
      </c>
      <c r="W1041" s="51">
        <v>0</v>
      </c>
      <c r="X1041" s="40">
        <f t="shared" si="289"/>
        <v>0</v>
      </c>
      <c r="AA1041" s="40">
        <f t="shared" si="290"/>
        <v>0</v>
      </c>
      <c r="AB1041" s="40">
        <f t="shared" si="291"/>
        <v>0</v>
      </c>
      <c r="AC1041" s="67"/>
    </row>
    <row r="1042" spans="6:29" x14ac:dyDescent="0.25">
      <c r="F1042" s="45" t="str">
        <f t="shared" si="292"/>
        <v xml:space="preserve">S/F  </v>
      </c>
      <c r="G1042" s="45">
        <v>0</v>
      </c>
      <c r="H1042" s="53">
        <v>0</v>
      </c>
      <c r="I1042" s="40">
        <f t="shared" si="283"/>
        <v>0</v>
      </c>
      <c r="J1042" s="53"/>
      <c r="K1042" s="40">
        <f t="shared" si="284"/>
        <v>0</v>
      </c>
      <c r="L1042" s="45">
        <v>0</v>
      </c>
      <c r="M1042" s="53">
        <v>0</v>
      </c>
      <c r="N1042" s="40">
        <f t="shared" si="285"/>
        <v>0</v>
      </c>
      <c r="P1042" s="40">
        <f t="shared" si="286"/>
        <v>0</v>
      </c>
      <c r="Q1042" s="45"/>
      <c r="R1042" s="53"/>
      <c r="S1042" s="40">
        <f t="shared" si="287"/>
        <v>0</v>
      </c>
      <c r="U1042" s="40">
        <f t="shared" si="288"/>
        <v>0</v>
      </c>
      <c r="V1042" s="51">
        <v>0</v>
      </c>
      <c r="W1042" s="51">
        <v>0</v>
      </c>
      <c r="X1042" s="40">
        <f t="shared" si="289"/>
        <v>0</v>
      </c>
      <c r="AA1042" s="40">
        <f t="shared" si="290"/>
        <v>0</v>
      </c>
      <c r="AB1042" s="40">
        <f t="shared" si="291"/>
        <v>0</v>
      </c>
      <c r="AC1042" s="67"/>
    </row>
    <row r="1043" spans="6:29" x14ac:dyDescent="0.25">
      <c r="F1043" s="45" t="str">
        <f t="shared" si="292"/>
        <v xml:space="preserve">S/F  </v>
      </c>
      <c r="G1043" s="45">
        <v>0</v>
      </c>
      <c r="H1043" s="53">
        <v>0</v>
      </c>
      <c r="I1043" s="40">
        <f t="shared" si="283"/>
        <v>0</v>
      </c>
      <c r="J1043" s="53"/>
      <c r="K1043" s="40">
        <f t="shared" si="284"/>
        <v>0</v>
      </c>
      <c r="L1043" s="45">
        <v>0</v>
      </c>
      <c r="M1043" s="53">
        <v>0</v>
      </c>
      <c r="N1043" s="40">
        <f t="shared" si="285"/>
        <v>0</v>
      </c>
      <c r="P1043" s="40">
        <f t="shared" si="286"/>
        <v>0</v>
      </c>
      <c r="Q1043" s="45"/>
      <c r="R1043" s="53"/>
      <c r="S1043" s="40">
        <f t="shared" si="287"/>
        <v>0</v>
      </c>
      <c r="U1043" s="40">
        <f t="shared" si="288"/>
        <v>0</v>
      </c>
      <c r="V1043" s="51">
        <v>0</v>
      </c>
      <c r="W1043" s="51">
        <v>0</v>
      </c>
      <c r="X1043" s="40">
        <f t="shared" si="289"/>
        <v>0</v>
      </c>
      <c r="AA1043" s="40">
        <f t="shared" si="290"/>
        <v>0</v>
      </c>
      <c r="AB1043" s="40">
        <f t="shared" si="291"/>
        <v>0</v>
      </c>
      <c r="AC1043" s="67"/>
    </row>
    <row r="1044" spans="6:29" x14ac:dyDescent="0.25">
      <c r="F1044" s="45" t="str">
        <f t="shared" si="292"/>
        <v xml:space="preserve">S/F  </v>
      </c>
      <c r="G1044" s="45">
        <v>0</v>
      </c>
      <c r="H1044" s="53">
        <v>0</v>
      </c>
      <c r="I1044" s="40">
        <f t="shared" si="283"/>
        <v>0</v>
      </c>
      <c r="J1044" s="53"/>
      <c r="K1044" s="40">
        <f t="shared" si="284"/>
        <v>0</v>
      </c>
      <c r="L1044" s="45">
        <v>0</v>
      </c>
      <c r="M1044" s="53">
        <v>0</v>
      </c>
      <c r="N1044" s="40">
        <f t="shared" si="285"/>
        <v>0</v>
      </c>
      <c r="P1044" s="40">
        <f t="shared" si="286"/>
        <v>0</v>
      </c>
      <c r="Q1044" s="45"/>
      <c r="R1044" s="53"/>
      <c r="S1044" s="40">
        <f t="shared" si="287"/>
        <v>0</v>
      </c>
      <c r="U1044" s="40">
        <f t="shared" si="288"/>
        <v>0</v>
      </c>
      <c r="V1044" s="51">
        <v>0</v>
      </c>
      <c r="W1044" s="51">
        <v>0</v>
      </c>
      <c r="X1044" s="40">
        <f t="shared" si="289"/>
        <v>0</v>
      </c>
      <c r="AA1044" s="40">
        <f t="shared" si="290"/>
        <v>0</v>
      </c>
      <c r="AB1044" s="40">
        <f t="shared" si="291"/>
        <v>0</v>
      </c>
      <c r="AC1044" s="67"/>
    </row>
    <row r="1045" spans="6:29" x14ac:dyDescent="0.25">
      <c r="F1045" s="45" t="str">
        <f t="shared" si="292"/>
        <v xml:space="preserve">S/F  </v>
      </c>
      <c r="G1045" s="45">
        <v>0</v>
      </c>
      <c r="H1045" s="53">
        <v>0</v>
      </c>
      <c r="I1045" s="40">
        <f t="shared" ref="I1045:I1072" si="293">+IF(G1045&lt;&gt;0,G1045*H1045/100,0)</f>
        <v>0</v>
      </c>
      <c r="J1045" s="53"/>
      <c r="K1045" s="40">
        <f t="shared" ref="K1045:K1072" si="294">+IF(G1045&lt;&gt;0,G1045*J1045/100,0)</f>
        <v>0</v>
      </c>
      <c r="L1045" s="45">
        <v>0</v>
      </c>
      <c r="M1045" s="53">
        <v>0</v>
      </c>
      <c r="N1045" s="40">
        <f t="shared" ref="N1045:N1072" si="295">+IF(L1045&lt;&gt;0,L1045*M1045/100,0)</f>
        <v>0</v>
      </c>
      <c r="P1045" s="40">
        <f t="shared" ref="P1045:P1072" si="296">+IF(L1045&lt;&gt;0,L1045*O1045/100,0)</f>
        <v>0</v>
      </c>
      <c r="Q1045" s="45"/>
      <c r="R1045" s="53"/>
      <c r="S1045" s="40">
        <f t="shared" ref="S1045:S1072" si="297">+IF(Q1045&lt;&gt;0,Q1045*R1045/100,0)</f>
        <v>0</v>
      </c>
      <c r="U1045" s="40">
        <f t="shared" ref="U1045:U1072" si="298">+IF(Q1045&lt;&gt;0,Q1045*T1045/100,0)</f>
        <v>0</v>
      </c>
      <c r="V1045" s="51">
        <v>0</v>
      </c>
      <c r="W1045" s="51">
        <v>0</v>
      </c>
      <c r="X1045" s="40">
        <f t="shared" ref="X1045:X1072" si="299">+IF(W1045&lt;&gt;0,V1045*W1045/100,0)</f>
        <v>0</v>
      </c>
      <c r="AA1045" s="40">
        <f t="shared" ref="AA1045:AA1072" si="300">+IF(Z1045&lt;&gt;0,Y1045*Z1045/100,0)</f>
        <v>0</v>
      </c>
      <c r="AB1045" s="40">
        <f t="shared" ref="AB1045:AB1072" si="301">+G1045+I1045+K1045+L1045+N1045+P1045+Q1045+S1045+U1045-X1045-AA1045</f>
        <v>0</v>
      </c>
      <c r="AC1045" s="67"/>
    </row>
    <row r="1046" spans="6:29" x14ac:dyDescent="0.25">
      <c r="F1046" s="45" t="str">
        <f t="shared" si="292"/>
        <v xml:space="preserve">S/F  </v>
      </c>
      <c r="G1046" s="45">
        <v>0</v>
      </c>
      <c r="H1046" s="53">
        <v>0</v>
      </c>
      <c r="I1046" s="40">
        <f t="shared" si="293"/>
        <v>0</v>
      </c>
      <c r="J1046" s="53"/>
      <c r="K1046" s="40">
        <f t="shared" si="294"/>
        <v>0</v>
      </c>
      <c r="L1046" s="45">
        <v>0</v>
      </c>
      <c r="M1046" s="53">
        <v>0</v>
      </c>
      <c r="N1046" s="40">
        <f t="shared" si="295"/>
        <v>0</v>
      </c>
      <c r="P1046" s="40">
        <f t="shared" si="296"/>
        <v>0</v>
      </c>
      <c r="Q1046" s="45"/>
      <c r="R1046" s="53"/>
      <c r="S1046" s="40">
        <f t="shared" si="297"/>
        <v>0</v>
      </c>
      <c r="U1046" s="40">
        <f t="shared" si="298"/>
        <v>0</v>
      </c>
      <c r="V1046" s="51">
        <v>0</v>
      </c>
      <c r="W1046" s="51">
        <v>0</v>
      </c>
      <c r="X1046" s="40">
        <f t="shared" si="299"/>
        <v>0</v>
      </c>
      <c r="AA1046" s="40">
        <f t="shared" si="300"/>
        <v>0</v>
      </c>
      <c r="AB1046" s="40">
        <f t="shared" si="301"/>
        <v>0</v>
      </c>
      <c r="AC1046" s="67"/>
    </row>
    <row r="1047" spans="6:29" x14ac:dyDescent="0.25">
      <c r="F1047" s="45" t="str">
        <f t="shared" si="292"/>
        <v xml:space="preserve">S/F  </v>
      </c>
      <c r="G1047" s="45">
        <v>0</v>
      </c>
      <c r="H1047" s="53">
        <v>0</v>
      </c>
      <c r="I1047" s="40">
        <f t="shared" si="293"/>
        <v>0</v>
      </c>
      <c r="J1047" s="53"/>
      <c r="K1047" s="40">
        <f t="shared" si="294"/>
        <v>0</v>
      </c>
      <c r="L1047" s="45">
        <v>0</v>
      </c>
      <c r="M1047" s="53">
        <v>0</v>
      </c>
      <c r="N1047" s="40">
        <f t="shared" si="295"/>
        <v>0</v>
      </c>
      <c r="P1047" s="40">
        <f t="shared" si="296"/>
        <v>0</v>
      </c>
      <c r="Q1047" s="45"/>
      <c r="R1047" s="53"/>
      <c r="S1047" s="40">
        <f t="shared" si="297"/>
        <v>0</v>
      </c>
      <c r="U1047" s="40">
        <f t="shared" si="298"/>
        <v>0</v>
      </c>
      <c r="V1047" s="51">
        <v>0</v>
      </c>
      <c r="W1047" s="51">
        <v>0</v>
      </c>
      <c r="X1047" s="40">
        <f t="shared" si="299"/>
        <v>0</v>
      </c>
      <c r="AA1047" s="40">
        <f t="shared" si="300"/>
        <v>0</v>
      </c>
      <c r="AB1047" s="40">
        <f t="shared" si="301"/>
        <v>0</v>
      </c>
      <c r="AC1047" s="67"/>
    </row>
    <row r="1048" spans="6:29" x14ac:dyDescent="0.25">
      <c r="F1048" s="45" t="str">
        <f t="shared" si="292"/>
        <v xml:space="preserve">S/F  </v>
      </c>
      <c r="G1048" s="45">
        <v>0</v>
      </c>
      <c r="H1048" s="53">
        <v>0</v>
      </c>
      <c r="I1048" s="40">
        <f t="shared" si="293"/>
        <v>0</v>
      </c>
      <c r="J1048" s="53"/>
      <c r="K1048" s="40">
        <f t="shared" si="294"/>
        <v>0</v>
      </c>
      <c r="L1048" s="45">
        <v>0</v>
      </c>
      <c r="M1048" s="53">
        <v>0</v>
      </c>
      <c r="N1048" s="40">
        <f t="shared" si="295"/>
        <v>0</v>
      </c>
      <c r="P1048" s="40">
        <f t="shared" si="296"/>
        <v>0</v>
      </c>
      <c r="Q1048" s="45"/>
      <c r="R1048" s="53"/>
      <c r="S1048" s="40">
        <f t="shared" si="297"/>
        <v>0</v>
      </c>
      <c r="U1048" s="40">
        <f t="shared" si="298"/>
        <v>0</v>
      </c>
      <c r="V1048" s="51">
        <v>0</v>
      </c>
      <c r="W1048" s="51">
        <v>0</v>
      </c>
      <c r="X1048" s="40">
        <f t="shared" si="299"/>
        <v>0</v>
      </c>
      <c r="AA1048" s="40">
        <f t="shared" si="300"/>
        <v>0</v>
      </c>
      <c r="AB1048" s="40">
        <f t="shared" si="301"/>
        <v>0</v>
      </c>
      <c r="AC1048" s="67"/>
    </row>
    <row r="1049" spans="6:29" x14ac:dyDescent="0.25">
      <c r="F1049" s="45" t="str">
        <f t="shared" si="292"/>
        <v xml:space="preserve">S/F  </v>
      </c>
      <c r="G1049" s="45">
        <v>0</v>
      </c>
      <c r="H1049" s="53">
        <v>0</v>
      </c>
      <c r="I1049" s="40">
        <f t="shared" si="293"/>
        <v>0</v>
      </c>
      <c r="J1049" s="53"/>
      <c r="K1049" s="40">
        <f t="shared" si="294"/>
        <v>0</v>
      </c>
      <c r="L1049" s="45">
        <v>0</v>
      </c>
      <c r="M1049" s="53">
        <v>0</v>
      </c>
      <c r="N1049" s="40">
        <f t="shared" si="295"/>
        <v>0</v>
      </c>
      <c r="P1049" s="40">
        <f t="shared" si="296"/>
        <v>0</v>
      </c>
      <c r="Q1049" s="45"/>
      <c r="R1049" s="53"/>
      <c r="S1049" s="40">
        <f t="shared" si="297"/>
        <v>0</v>
      </c>
      <c r="U1049" s="40">
        <f t="shared" si="298"/>
        <v>0</v>
      </c>
      <c r="V1049" s="51">
        <v>0</v>
      </c>
      <c r="W1049" s="51">
        <v>0</v>
      </c>
      <c r="X1049" s="40">
        <f t="shared" si="299"/>
        <v>0</v>
      </c>
      <c r="AA1049" s="40">
        <f t="shared" si="300"/>
        <v>0</v>
      </c>
      <c r="AB1049" s="40">
        <f t="shared" si="301"/>
        <v>0</v>
      </c>
      <c r="AC1049" s="67"/>
    </row>
    <row r="1050" spans="6:29" x14ac:dyDescent="0.25">
      <c r="F1050" s="45" t="str">
        <f t="shared" si="292"/>
        <v xml:space="preserve">S/F  </v>
      </c>
      <c r="G1050" s="45">
        <v>0</v>
      </c>
      <c r="H1050" s="53">
        <v>0</v>
      </c>
      <c r="I1050" s="40">
        <f t="shared" si="293"/>
        <v>0</v>
      </c>
      <c r="J1050" s="53"/>
      <c r="K1050" s="40">
        <f t="shared" si="294"/>
        <v>0</v>
      </c>
      <c r="L1050" s="45">
        <v>0</v>
      </c>
      <c r="M1050" s="53">
        <v>0</v>
      </c>
      <c r="N1050" s="40">
        <f t="shared" si="295"/>
        <v>0</v>
      </c>
      <c r="P1050" s="40">
        <f t="shared" si="296"/>
        <v>0</v>
      </c>
      <c r="Q1050" s="45"/>
      <c r="R1050" s="53"/>
      <c r="S1050" s="40">
        <f t="shared" si="297"/>
        <v>0</v>
      </c>
      <c r="U1050" s="40">
        <f t="shared" si="298"/>
        <v>0</v>
      </c>
      <c r="V1050" s="51">
        <v>0</v>
      </c>
      <c r="W1050" s="51">
        <v>0</v>
      </c>
      <c r="X1050" s="40">
        <f t="shared" si="299"/>
        <v>0</v>
      </c>
      <c r="AA1050" s="40">
        <f t="shared" si="300"/>
        <v>0</v>
      </c>
      <c r="AB1050" s="40">
        <f t="shared" si="301"/>
        <v>0</v>
      </c>
      <c r="AC1050" s="67"/>
    </row>
    <row r="1051" spans="6:29" x14ac:dyDescent="0.25">
      <c r="F1051" s="45" t="str">
        <f t="shared" si="292"/>
        <v xml:space="preserve">S/F  </v>
      </c>
      <c r="G1051" s="45">
        <v>0</v>
      </c>
      <c r="H1051" s="53">
        <v>0</v>
      </c>
      <c r="I1051" s="40">
        <f t="shared" si="293"/>
        <v>0</v>
      </c>
      <c r="J1051" s="53"/>
      <c r="K1051" s="40">
        <f t="shared" si="294"/>
        <v>0</v>
      </c>
      <c r="L1051" s="45">
        <v>0</v>
      </c>
      <c r="M1051" s="53">
        <v>0</v>
      </c>
      <c r="N1051" s="40">
        <f t="shared" si="295"/>
        <v>0</v>
      </c>
      <c r="P1051" s="40">
        <f t="shared" si="296"/>
        <v>0</v>
      </c>
      <c r="Q1051" s="45"/>
      <c r="R1051" s="53"/>
      <c r="S1051" s="40">
        <f t="shared" si="297"/>
        <v>0</v>
      </c>
      <c r="U1051" s="40">
        <f t="shared" si="298"/>
        <v>0</v>
      </c>
      <c r="V1051" s="51">
        <v>0</v>
      </c>
      <c r="W1051" s="51">
        <v>0</v>
      </c>
      <c r="X1051" s="40">
        <f t="shared" si="299"/>
        <v>0</v>
      </c>
      <c r="AA1051" s="40">
        <f t="shared" si="300"/>
        <v>0</v>
      </c>
      <c r="AB1051" s="40">
        <f t="shared" si="301"/>
        <v>0</v>
      </c>
      <c r="AC1051" s="67"/>
    </row>
    <row r="1052" spans="6:29" x14ac:dyDescent="0.25">
      <c r="F1052" s="45" t="str">
        <f t="shared" si="292"/>
        <v xml:space="preserve">S/F  </v>
      </c>
      <c r="G1052" s="45">
        <v>0</v>
      </c>
      <c r="H1052" s="53">
        <v>0</v>
      </c>
      <c r="I1052" s="40">
        <f t="shared" si="293"/>
        <v>0</v>
      </c>
      <c r="J1052" s="53"/>
      <c r="K1052" s="40">
        <f t="shared" si="294"/>
        <v>0</v>
      </c>
      <c r="L1052" s="45">
        <v>0</v>
      </c>
      <c r="M1052" s="53">
        <v>0</v>
      </c>
      <c r="N1052" s="40">
        <f t="shared" si="295"/>
        <v>0</v>
      </c>
      <c r="P1052" s="40">
        <f t="shared" si="296"/>
        <v>0</v>
      </c>
      <c r="Q1052" s="45"/>
      <c r="R1052" s="53"/>
      <c r="S1052" s="40">
        <f t="shared" si="297"/>
        <v>0</v>
      </c>
      <c r="U1052" s="40">
        <f t="shared" si="298"/>
        <v>0</v>
      </c>
      <c r="V1052" s="51">
        <v>0</v>
      </c>
      <c r="W1052" s="51">
        <v>0</v>
      </c>
      <c r="X1052" s="40">
        <f t="shared" si="299"/>
        <v>0</v>
      </c>
      <c r="AA1052" s="40">
        <f t="shared" si="300"/>
        <v>0</v>
      </c>
      <c r="AB1052" s="40">
        <f t="shared" si="301"/>
        <v>0</v>
      </c>
      <c r="AC1052" s="67"/>
    </row>
    <row r="1053" spans="6:29" x14ac:dyDescent="0.25">
      <c r="F1053" s="45" t="str">
        <f t="shared" si="292"/>
        <v xml:space="preserve">S/F  </v>
      </c>
      <c r="G1053" s="45">
        <v>0</v>
      </c>
      <c r="H1053" s="53">
        <v>0</v>
      </c>
      <c r="I1053" s="40">
        <f t="shared" si="293"/>
        <v>0</v>
      </c>
      <c r="J1053" s="53"/>
      <c r="K1053" s="40">
        <f t="shared" si="294"/>
        <v>0</v>
      </c>
      <c r="L1053" s="45">
        <v>0</v>
      </c>
      <c r="M1053" s="53">
        <v>0</v>
      </c>
      <c r="N1053" s="40">
        <f t="shared" si="295"/>
        <v>0</v>
      </c>
      <c r="P1053" s="40">
        <f t="shared" si="296"/>
        <v>0</v>
      </c>
      <c r="Q1053" s="45"/>
      <c r="R1053" s="53"/>
      <c r="S1053" s="40">
        <f t="shared" si="297"/>
        <v>0</v>
      </c>
      <c r="U1053" s="40">
        <f t="shared" si="298"/>
        <v>0</v>
      </c>
      <c r="V1053" s="51">
        <v>0</v>
      </c>
      <c r="W1053" s="51">
        <v>0</v>
      </c>
      <c r="X1053" s="40">
        <f t="shared" si="299"/>
        <v>0</v>
      </c>
      <c r="AA1053" s="40">
        <f t="shared" si="300"/>
        <v>0</v>
      </c>
      <c r="AB1053" s="40">
        <f t="shared" si="301"/>
        <v>0</v>
      </c>
      <c r="AC1053" s="67"/>
    </row>
    <row r="1054" spans="6:29" x14ac:dyDescent="0.25">
      <c r="F1054" s="45" t="str">
        <f t="shared" si="292"/>
        <v xml:space="preserve">S/F  </v>
      </c>
      <c r="G1054" s="45">
        <v>0</v>
      </c>
      <c r="H1054" s="53">
        <v>0</v>
      </c>
      <c r="I1054" s="40">
        <f t="shared" si="293"/>
        <v>0</v>
      </c>
      <c r="J1054" s="53"/>
      <c r="K1054" s="40">
        <f t="shared" si="294"/>
        <v>0</v>
      </c>
      <c r="L1054" s="45">
        <v>0</v>
      </c>
      <c r="M1054" s="53">
        <v>0</v>
      </c>
      <c r="N1054" s="40">
        <f t="shared" si="295"/>
        <v>0</v>
      </c>
      <c r="P1054" s="40">
        <f t="shared" si="296"/>
        <v>0</v>
      </c>
      <c r="Q1054" s="45"/>
      <c r="R1054" s="53"/>
      <c r="S1054" s="40">
        <f t="shared" si="297"/>
        <v>0</v>
      </c>
      <c r="U1054" s="40">
        <f t="shared" si="298"/>
        <v>0</v>
      </c>
      <c r="V1054" s="51">
        <v>0</v>
      </c>
      <c r="W1054" s="51">
        <v>0</v>
      </c>
      <c r="X1054" s="40">
        <f t="shared" si="299"/>
        <v>0</v>
      </c>
      <c r="AA1054" s="40">
        <f t="shared" si="300"/>
        <v>0</v>
      </c>
      <c r="AB1054" s="40">
        <f t="shared" si="301"/>
        <v>0</v>
      </c>
      <c r="AC1054" s="67"/>
    </row>
    <row r="1055" spans="6:29" x14ac:dyDescent="0.25">
      <c r="F1055" s="45" t="str">
        <f t="shared" si="292"/>
        <v xml:space="preserve">S/F  </v>
      </c>
      <c r="G1055" s="45">
        <v>0</v>
      </c>
      <c r="H1055" s="53">
        <v>0</v>
      </c>
      <c r="I1055" s="40">
        <f t="shared" si="293"/>
        <v>0</v>
      </c>
      <c r="J1055" s="53"/>
      <c r="K1055" s="40">
        <f t="shared" si="294"/>
        <v>0</v>
      </c>
      <c r="L1055" s="45">
        <v>0</v>
      </c>
      <c r="M1055" s="53">
        <v>0</v>
      </c>
      <c r="N1055" s="40">
        <f t="shared" si="295"/>
        <v>0</v>
      </c>
      <c r="P1055" s="40">
        <f t="shared" si="296"/>
        <v>0</v>
      </c>
      <c r="Q1055" s="45"/>
      <c r="R1055" s="53"/>
      <c r="S1055" s="40">
        <f t="shared" si="297"/>
        <v>0</v>
      </c>
      <c r="U1055" s="40">
        <f t="shared" si="298"/>
        <v>0</v>
      </c>
      <c r="V1055" s="51">
        <v>0</v>
      </c>
      <c r="W1055" s="51">
        <v>0</v>
      </c>
      <c r="X1055" s="40">
        <f t="shared" si="299"/>
        <v>0</v>
      </c>
      <c r="AA1055" s="40">
        <f t="shared" si="300"/>
        <v>0</v>
      </c>
      <c r="AB1055" s="40">
        <f t="shared" si="301"/>
        <v>0</v>
      </c>
      <c r="AC1055" s="67"/>
    </row>
    <row r="1056" spans="6:29" x14ac:dyDescent="0.25">
      <c r="F1056" s="45" t="str">
        <f t="shared" si="292"/>
        <v xml:space="preserve">S/F  </v>
      </c>
      <c r="G1056" s="45">
        <v>0</v>
      </c>
      <c r="H1056" s="53">
        <v>0</v>
      </c>
      <c r="I1056" s="40">
        <f t="shared" si="293"/>
        <v>0</v>
      </c>
      <c r="J1056" s="53"/>
      <c r="K1056" s="40">
        <f t="shared" si="294"/>
        <v>0</v>
      </c>
      <c r="L1056" s="45">
        <v>0</v>
      </c>
      <c r="M1056" s="53">
        <v>0</v>
      </c>
      <c r="N1056" s="40">
        <f t="shared" si="295"/>
        <v>0</v>
      </c>
      <c r="P1056" s="40">
        <f t="shared" si="296"/>
        <v>0</v>
      </c>
      <c r="Q1056" s="45"/>
      <c r="R1056" s="53"/>
      <c r="S1056" s="40">
        <f t="shared" si="297"/>
        <v>0</v>
      </c>
      <c r="U1056" s="40">
        <f t="shared" si="298"/>
        <v>0</v>
      </c>
      <c r="V1056" s="51">
        <v>0</v>
      </c>
      <c r="W1056" s="51">
        <v>0</v>
      </c>
      <c r="X1056" s="40">
        <f t="shared" si="299"/>
        <v>0</v>
      </c>
      <c r="AA1056" s="40">
        <f t="shared" si="300"/>
        <v>0</v>
      </c>
      <c r="AB1056" s="40">
        <f t="shared" si="301"/>
        <v>0</v>
      </c>
      <c r="AC1056" s="67"/>
    </row>
    <row r="1057" spans="6:29" x14ac:dyDescent="0.25">
      <c r="F1057" s="45" t="str">
        <f t="shared" si="292"/>
        <v xml:space="preserve">S/F  </v>
      </c>
      <c r="G1057" s="45">
        <v>0</v>
      </c>
      <c r="H1057" s="53">
        <v>0</v>
      </c>
      <c r="I1057" s="40">
        <f t="shared" si="293"/>
        <v>0</v>
      </c>
      <c r="J1057" s="53"/>
      <c r="K1057" s="40">
        <f t="shared" si="294"/>
        <v>0</v>
      </c>
      <c r="L1057" s="45">
        <v>0</v>
      </c>
      <c r="M1057" s="53">
        <v>0</v>
      </c>
      <c r="N1057" s="40">
        <f t="shared" si="295"/>
        <v>0</v>
      </c>
      <c r="P1057" s="40">
        <f t="shared" si="296"/>
        <v>0</v>
      </c>
      <c r="Q1057" s="45"/>
      <c r="R1057" s="53"/>
      <c r="S1057" s="40">
        <f t="shared" si="297"/>
        <v>0</v>
      </c>
      <c r="U1057" s="40">
        <f t="shared" si="298"/>
        <v>0</v>
      </c>
      <c r="V1057" s="51">
        <v>0</v>
      </c>
      <c r="W1057" s="51">
        <v>0</v>
      </c>
      <c r="X1057" s="40">
        <f t="shared" si="299"/>
        <v>0</v>
      </c>
      <c r="AA1057" s="40">
        <f t="shared" si="300"/>
        <v>0</v>
      </c>
      <c r="AB1057" s="40">
        <f t="shared" si="301"/>
        <v>0</v>
      </c>
      <c r="AC1057" s="67"/>
    </row>
    <row r="1058" spans="6:29" x14ac:dyDescent="0.25">
      <c r="F1058" s="45" t="str">
        <f t="shared" si="292"/>
        <v xml:space="preserve">S/F  </v>
      </c>
      <c r="G1058" s="45">
        <v>0</v>
      </c>
      <c r="H1058" s="53">
        <v>0</v>
      </c>
      <c r="I1058" s="40">
        <f t="shared" si="293"/>
        <v>0</v>
      </c>
      <c r="J1058" s="53"/>
      <c r="K1058" s="40">
        <f t="shared" si="294"/>
        <v>0</v>
      </c>
      <c r="L1058" s="45">
        <v>0</v>
      </c>
      <c r="M1058" s="53">
        <v>0</v>
      </c>
      <c r="N1058" s="40">
        <f t="shared" si="295"/>
        <v>0</v>
      </c>
      <c r="P1058" s="40">
        <f t="shared" si="296"/>
        <v>0</v>
      </c>
      <c r="Q1058" s="45"/>
      <c r="R1058" s="53"/>
      <c r="S1058" s="40">
        <f t="shared" si="297"/>
        <v>0</v>
      </c>
      <c r="U1058" s="40">
        <f t="shared" si="298"/>
        <v>0</v>
      </c>
      <c r="V1058" s="51">
        <v>0</v>
      </c>
      <c r="W1058" s="51">
        <v>0</v>
      </c>
      <c r="X1058" s="40">
        <f t="shared" si="299"/>
        <v>0</v>
      </c>
      <c r="AA1058" s="40">
        <f t="shared" si="300"/>
        <v>0</v>
      </c>
      <c r="AB1058" s="40">
        <f t="shared" si="301"/>
        <v>0</v>
      </c>
      <c r="AC1058" s="67"/>
    </row>
    <row r="1059" spans="6:29" x14ac:dyDescent="0.25">
      <c r="F1059" s="45" t="str">
        <f t="shared" si="292"/>
        <v xml:space="preserve">S/F  </v>
      </c>
      <c r="G1059" s="45">
        <v>0</v>
      </c>
      <c r="H1059" s="53">
        <v>0</v>
      </c>
      <c r="I1059" s="40">
        <f t="shared" si="293"/>
        <v>0</v>
      </c>
      <c r="J1059" s="53"/>
      <c r="K1059" s="40">
        <f t="shared" si="294"/>
        <v>0</v>
      </c>
      <c r="L1059" s="45">
        <v>0</v>
      </c>
      <c r="M1059" s="53">
        <v>0</v>
      </c>
      <c r="N1059" s="40">
        <f t="shared" si="295"/>
        <v>0</v>
      </c>
      <c r="P1059" s="40">
        <f t="shared" si="296"/>
        <v>0</v>
      </c>
      <c r="Q1059" s="45"/>
      <c r="R1059" s="53"/>
      <c r="S1059" s="40">
        <f t="shared" si="297"/>
        <v>0</v>
      </c>
      <c r="U1059" s="40">
        <f t="shared" si="298"/>
        <v>0</v>
      </c>
      <c r="V1059" s="51">
        <v>0</v>
      </c>
      <c r="W1059" s="51">
        <v>0</v>
      </c>
      <c r="X1059" s="40">
        <f t="shared" si="299"/>
        <v>0</v>
      </c>
      <c r="AA1059" s="40">
        <f t="shared" si="300"/>
        <v>0</v>
      </c>
      <c r="AB1059" s="40">
        <f t="shared" si="301"/>
        <v>0</v>
      </c>
      <c r="AC1059" s="67"/>
    </row>
    <row r="1060" spans="6:29" x14ac:dyDescent="0.25">
      <c r="F1060" s="45" t="str">
        <f t="shared" si="292"/>
        <v xml:space="preserve">S/F  </v>
      </c>
      <c r="G1060" s="45">
        <v>0</v>
      </c>
      <c r="H1060" s="53">
        <v>0</v>
      </c>
      <c r="I1060" s="40">
        <f t="shared" si="293"/>
        <v>0</v>
      </c>
      <c r="J1060" s="53"/>
      <c r="K1060" s="40">
        <f t="shared" si="294"/>
        <v>0</v>
      </c>
      <c r="L1060" s="45">
        <v>0</v>
      </c>
      <c r="M1060" s="53">
        <v>0</v>
      </c>
      <c r="N1060" s="40">
        <f t="shared" si="295"/>
        <v>0</v>
      </c>
      <c r="P1060" s="40">
        <f t="shared" si="296"/>
        <v>0</v>
      </c>
      <c r="Q1060" s="45"/>
      <c r="R1060" s="53"/>
      <c r="S1060" s="40">
        <f t="shared" si="297"/>
        <v>0</v>
      </c>
      <c r="U1060" s="40">
        <f t="shared" si="298"/>
        <v>0</v>
      </c>
      <c r="V1060" s="51">
        <v>0</v>
      </c>
      <c r="W1060" s="51">
        <v>0</v>
      </c>
      <c r="X1060" s="40">
        <f t="shared" si="299"/>
        <v>0</v>
      </c>
      <c r="AA1060" s="40">
        <f t="shared" si="300"/>
        <v>0</v>
      </c>
      <c r="AB1060" s="40">
        <f t="shared" si="301"/>
        <v>0</v>
      </c>
      <c r="AC1060" s="67"/>
    </row>
    <row r="1061" spans="6:29" x14ac:dyDescent="0.25">
      <c r="F1061" s="45" t="str">
        <f t="shared" si="292"/>
        <v xml:space="preserve">S/F  </v>
      </c>
      <c r="G1061" s="45">
        <v>0</v>
      </c>
      <c r="H1061" s="53">
        <v>0</v>
      </c>
      <c r="I1061" s="40">
        <f t="shared" si="293"/>
        <v>0</v>
      </c>
      <c r="J1061" s="53"/>
      <c r="K1061" s="40">
        <f t="shared" si="294"/>
        <v>0</v>
      </c>
      <c r="L1061" s="45">
        <v>0</v>
      </c>
      <c r="M1061" s="53">
        <v>0</v>
      </c>
      <c r="N1061" s="40">
        <f t="shared" si="295"/>
        <v>0</v>
      </c>
      <c r="P1061" s="40">
        <f t="shared" si="296"/>
        <v>0</v>
      </c>
      <c r="Q1061" s="45"/>
      <c r="R1061" s="53"/>
      <c r="S1061" s="40">
        <f t="shared" si="297"/>
        <v>0</v>
      </c>
      <c r="U1061" s="40">
        <f t="shared" si="298"/>
        <v>0</v>
      </c>
      <c r="V1061" s="51">
        <v>0</v>
      </c>
      <c r="W1061" s="51">
        <v>0</v>
      </c>
      <c r="X1061" s="40">
        <f t="shared" si="299"/>
        <v>0</v>
      </c>
      <c r="AA1061" s="40">
        <f t="shared" si="300"/>
        <v>0</v>
      </c>
      <c r="AB1061" s="40">
        <f t="shared" si="301"/>
        <v>0</v>
      </c>
      <c r="AC1061" s="67"/>
    </row>
    <row r="1062" spans="6:29" x14ac:dyDescent="0.25">
      <c r="F1062" s="45" t="str">
        <f t="shared" si="292"/>
        <v xml:space="preserve">S/F  </v>
      </c>
      <c r="G1062" s="45">
        <v>0</v>
      </c>
      <c r="H1062" s="53">
        <v>0</v>
      </c>
      <c r="I1062" s="40">
        <f t="shared" si="293"/>
        <v>0</v>
      </c>
      <c r="J1062" s="53"/>
      <c r="K1062" s="40">
        <f t="shared" si="294"/>
        <v>0</v>
      </c>
      <c r="L1062" s="45">
        <v>0</v>
      </c>
      <c r="M1062" s="53">
        <v>0</v>
      </c>
      <c r="N1062" s="40">
        <f t="shared" si="295"/>
        <v>0</v>
      </c>
      <c r="P1062" s="40">
        <f t="shared" si="296"/>
        <v>0</v>
      </c>
      <c r="Q1062" s="45"/>
      <c r="R1062" s="53"/>
      <c r="S1062" s="40">
        <f t="shared" si="297"/>
        <v>0</v>
      </c>
      <c r="U1062" s="40">
        <f t="shared" si="298"/>
        <v>0</v>
      </c>
      <c r="V1062" s="51">
        <v>0</v>
      </c>
      <c r="W1062" s="51">
        <v>0</v>
      </c>
      <c r="X1062" s="40">
        <f t="shared" si="299"/>
        <v>0</v>
      </c>
      <c r="AA1062" s="40">
        <f t="shared" si="300"/>
        <v>0</v>
      </c>
      <c r="AB1062" s="40">
        <f t="shared" si="301"/>
        <v>0</v>
      </c>
      <c r="AC1062" s="67"/>
    </row>
    <row r="1063" spans="6:29" x14ac:dyDescent="0.25">
      <c r="F1063" s="45" t="str">
        <f t="shared" si="292"/>
        <v xml:space="preserve">S/F  </v>
      </c>
      <c r="G1063" s="45">
        <v>0</v>
      </c>
      <c r="H1063" s="53">
        <v>0</v>
      </c>
      <c r="I1063" s="40">
        <f t="shared" si="293"/>
        <v>0</v>
      </c>
      <c r="J1063" s="53"/>
      <c r="K1063" s="40">
        <f t="shared" si="294"/>
        <v>0</v>
      </c>
      <c r="L1063" s="45">
        <v>0</v>
      </c>
      <c r="M1063" s="53">
        <v>0</v>
      </c>
      <c r="N1063" s="40">
        <f t="shared" si="295"/>
        <v>0</v>
      </c>
      <c r="P1063" s="40">
        <f t="shared" si="296"/>
        <v>0</v>
      </c>
      <c r="Q1063" s="45"/>
      <c r="R1063" s="53"/>
      <c r="S1063" s="40">
        <f t="shared" si="297"/>
        <v>0</v>
      </c>
      <c r="U1063" s="40">
        <f t="shared" si="298"/>
        <v>0</v>
      </c>
      <c r="V1063" s="51">
        <v>0</v>
      </c>
      <c r="W1063" s="51">
        <v>0</v>
      </c>
      <c r="X1063" s="40">
        <f t="shared" si="299"/>
        <v>0</v>
      </c>
      <c r="AA1063" s="40">
        <f t="shared" si="300"/>
        <v>0</v>
      </c>
      <c r="AB1063" s="40">
        <f t="shared" si="301"/>
        <v>0</v>
      </c>
      <c r="AC1063" s="67"/>
    </row>
    <row r="1064" spans="6:29" x14ac:dyDescent="0.25">
      <c r="F1064" s="45" t="str">
        <f t="shared" si="292"/>
        <v xml:space="preserve">S/F  </v>
      </c>
      <c r="G1064" s="45">
        <v>0</v>
      </c>
      <c r="H1064" s="53">
        <v>0</v>
      </c>
      <c r="I1064" s="40">
        <f t="shared" si="293"/>
        <v>0</v>
      </c>
      <c r="J1064" s="53"/>
      <c r="K1064" s="40">
        <f t="shared" si="294"/>
        <v>0</v>
      </c>
      <c r="L1064" s="45">
        <v>0</v>
      </c>
      <c r="M1064" s="53">
        <v>0</v>
      </c>
      <c r="N1064" s="40">
        <f t="shared" si="295"/>
        <v>0</v>
      </c>
      <c r="P1064" s="40">
        <f t="shared" si="296"/>
        <v>0</v>
      </c>
      <c r="Q1064" s="45"/>
      <c r="R1064" s="53"/>
      <c r="S1064" s="40">
        <f t="shared" si="297"/>
        <v>0</v>
      </c>
      <c r="U1064" s="40">
        <f t="shared" si="298"/>
        <v>0</v>
      </c>
      <c r="V1064" s="51">
        <v>0</v>
      </c>
      <c r="W1064" s="51">
        <v>0</v>
      </c>
      <c r="X1064" s="40">
        <f t="shared" si="299"/>
        <v>0</v>
      </c>
      <c r="AA1064" s="40">
        <f t="shared" si="300"/>
        <v>0</v>
      </c>
      <c r="AB1064" s="40">
        <f t="shared" si="301"/>
        <v>0</v>
      </c>
      <c r="AC1064" s="67"/>
    </row>
    <row r="1065" spans="6:29" x14ac:dyDescent="0.25">
      <c r="F1065" s="45" t="str">
        <f t="shared" si="292"/>
        <v xml:space="preserve">S/F  </v>
      </c>
      <c r="G1065" s="45">
        <v>0</v>
      </c>
      <c r="H1065" s="53">
        <v>0</v>
      </c>
      <c r="I1065" s="40">
        <f t="shared" si="293"/>
        <v>0</v>
      </c>
      <c r="J1065" s="53"/>
      <c r="K1065" s="40">
        <f t="shared" si="294"/>
        <v>0</v>
      </c>
      <c r="L1065" s="45">
        <v>0</v>
      </c>
      <c r="M1065" s="53">
        <v>0</v>
      </c>
      <c r="N1065" s="40">
        <f t="shared" si="295"/>
        <v>0</v>
      </c>
      <c r="P1065" s="40">
        <f t="shared" si="296"/>
        <v>0</v>
      </c>
      <c r="Q1065" s="45"/>
      <c r="R1065" s="53"/>
      <c r="S1065" s="40">
        <f t="shared" si="297"/>
        <v>0</v>
      </c>
      <c r="U1065" s="40">
        <f t="shared" si="298"/>
        <v>0</v>
      </c>
      <c r="V1065" s="51">
        <v>0</v>
      </c>
      <c r="W1065" s="51">
        <v>0</v>
      </c>
      <c r="X1065" s="40">
        <f t="shared" si="299"/>
        <v>0</v>
      </c>
      <c r="AA1065" s="40">
        <f t="shared" si="300"/>
        <v>0</v>
      </c>
      <c r="AB1065" s="40">
        <f t="shared" si="301"/>
        <v>0</v>
      </c>
      <c r="AC1065" s="67"/>
    </row>
    <row r="1066" spans="6:29" x14ac:dyDescent="0.25">
      <c r="F1066" s="45" t="str">
        <f t="shared" si="292"/>
        <v xml:space="preserve">S/F  </v>
      </c>
      <c r="G1066" s="45">
        <v>0</v>
      </c>
      <c r="H1066" s="53">
        <v>0</v>
      </c>
      <c r="I1066" s="40">
        <f t="shared" si="293"/>
        <v>0</v>
      </c>
      <c r="J1066" s="53"/>
      <c r="K1066" s="40">
        <f t="shared" si="294"/>
        <v>0</v>
      </c>
      <c r="L1066" s="45">
        <v>0</v>
      </c>
      <c r="M1066" s="53">
        <v>0</v>
      </c>
      <c r="N1066" s="40">
        <f t="shared" si="295"/>
        <v>0</v>
      </c>
      <c r="P1066" s="40">
        <f t="shared" si="296"/>
        <v>0</v>
      </c>
      <c r="Q1066" s="45"/>
      <c r="R1066" s="53"/>
      <c r="S1066" s="40">
        <f t="shared" si="297"/>
        <v>0</v>
      </c>
      <c r="U1066" s="40">
        <f t="shared" si="298"/>
        <v>0</v>
      </c>
      <c r="V1066" s="51">
        <v>0</v>
      </c>
      <c r="W1066" s="51">
        <v>0</v>
      </c>
      <c r="X1066" s="40">
        <f t="shared" si="299"/>
        <v>0</v>
      </c>
      <c r="AA1066" s="40">
        <f t="shared" si="300"/>
        <v>0</v>
      </c>
      <c r="AB1066" s="40">
        <f t="shared" si="301"/>
        <v>0</v>
      </c>
      <c r="AC1066" s="67"/>
    </row>
    <row r="1067" spans="6:29" x14ac:dyDescent="0.25">
      <c r="F1067" s="45" t="str">
        <f t="shared" si="292"/>
        <v xml:space="preserve">S/F  </v>
      </c>
      <c r="G1067" s="45">
        <v>0</v>
      </c>
      <c r="H1067" s="53">
        <v>0</v>
      </c>
      <c r="I1067" s="40">
        <f t="shared" si="293"/>
        <v>0</v>
      </c>
      <c r="J1067" s="53"/>
      <c r="K1067" s="40">
        <f t="shared" si="294"/>
        <v>0</v>
      </c>
      <c r="L1067" s="45">
        <v>0</v>
      </c>
      <c r="M1067" s="53">
        <v>0</v>
      </c>
      <c r="N1067" s="40">
        <f t="shared" si="295"/>
        <v>0</v>
      </c>
      <c r="P1067" s="40">
        <f t="shared" si="296"/>
        <v>0</v>
      </c>
      <c r="Q1067" s="45"/>
      <c r="R1067" s="53"/>
      <c r="S1067" s="40">
        <f t="shared" si="297"/>
        <v>0</v>
      </c>
      <c r="U1067" s="40">
        <f t="shared" si="298"/>
        <v>0</v>
      </c>
      <c r="V1067" s="51">
        <v>0</v>
      </c>
      <c r="W1067" s="51">
        <v>0</v>
      </c>
      <c r="X1067" s="40">
        <f t="shared" si="299"/>
        <v>0</v>
      </c>
      <c r="AA1067" s="40">
        <f t="shared" si="300"/>
        <v>0</v>
      </c>
      <c r="AB1067" s="40">
        <f t="shared" si="301"/>
        <v>0</v>
      </c>
      <c r="AC1067" s="67"/>
    </row>
    <row r="1068" spans="6:29" x14ac:dyDescent="0.25">
      <c r="F1068" s="45" t="str">
        <f t="shared" si="292"/>
        <v xml:space="preserve">S/F  </v>
      </c>
      <c r="G1068" s="45">
        <v>0</v>
      </c>
      <c r="H1068" s="53">
        <v>0</v>
      </c>
      <c r="I1068" s="40">
        <f t="shared" si="293"/>
        <v>0</v>
      </c>
      <c r="J1068" s="53"/>
      <c r="K1068" s="40">
        <f t="shared" si="294"/>
        <v>0</v>
      </c>
      <c r="L1068" s="45">
        <v>0</v>
      </c>
      <c r="M1068" s="53">
        <v>0</v>
      </c>
      <c r="N1068" s="40">
        <f t="shared" si="295"/>
        <v>0</v>
      </c>
      <c r="P1068" s="40">
        <f t="shared" si="296"/>
        <v>0</v>
      </c>
      <c r="Q1068" s="45"/>
      <c r="R1068" s="53"/>
      <c r="S1068" s="40">
        <f t="shared" si="297"/>
        <v>0</v>
      </c>
      <c r="U1068" s="40">
        <f t="shared" si="298"/>
        <v>0</v>
      </c>
      <c r="V1068" s="51">
        <v>0</v>
      </c>
      <c r="W1068" s="51">
        <v>0</v>
      </c>
      <c r="X1068" s="40">
        <f t="shared" si="299"/>
        <v>0</v>
      </c>
      <c r="AA1068" s="40">
        <f t="shared" si="300"/>
        <v>0</v>
      </c>
      <c r="AB1068" s="40">
        <f t="shared" si="301"/>
        <v>0</v>
      </c>
      <c r="AC1068" s="67"/>
    </row>
    <row r="1069" spans="6:29" x14ac:dyDescent="0.25">
      <c r="F1069" s="45" t="str">
        <f t="shared" si="292"/>
        <v xml:space="preserve">S/F  </v>
      </c>
      <c r="G1069" s="45">
        <v>0</v>
      </c>
      <c r="H1069" s="53">
        <v>0</v>
      </c>
      <c r="I1069" s="40">
        <f t="shared" si="293"/>
        <v>0</v>
      </c>
      <c r="J1069" s="53"/>
      <c r="K1069" s="40">
        <f t="shared" si="294"/>
        <v>0</v>
      </c>
      <c r="L1069" s="45">
        <v>0</v>
      </c>
      <c r="M1069" s="53">
        <v>0</v>
      </c>
      <c r="N1069" s="40">
        <f t="shared" si="295"/>
        <v>0</v>
      </c>
      <c r="P1069" s="40">
        <f t="shared" si="296"/>
        <v>0</v>
      </c>
      <c r="Q1069" s="45"/>
      <c r="R1069" s="53"/>
      <c r="S1069" s="40">
        <f t="shared" si="297"/>
        <v>0</v>
      </c>
      <c r="U1069" s="40">
        <f t="shared" si="298"/>
        <v>0</v>
      </c>
      <c r="V1069" s="51">
        <v>0</v>
      </c>
      <c r="W1069" s="51">
        <v>0</v>
      </c>
      <c r="X1069" s="40">
        <f t="shared" si="299"/>
        <v>0</v>
      </c>
      <c r="AA1069" s="40">
        <f t="shared" si="300"/>
        <v>0</v>
      </c>
      <c r="AB1069" s="40">
        <f t="shared" si="301"/>
        <v>0</v>
      </c>
      <c r="AC1069" s="67"/>
    </row>
    <row r="1070" spans="6:29" x14ac:dyDescent="0.25">
      <c r="F1070" s="45" t="str">
        <f t="shared" si="292"/>
        <v xml:space="preserve">S/F  </v>
      </c>
      <c r="G1070" s="45">
        <v>0</v>
      </c>
      <c r="H1070" s="53">
        <v>0</v>
      </c>
      <c r="I1070" s="40">
        <f t="shared" si="293"/>
        <v>0</v>
      </c>
      <c r="J1070" s="53"/>
      <c r="K1070" s="40">
        <f t="shared" si="294"/>
        <v>0</v>
      </c>
      <c r="L1070" s="45">
        <v>0</v>
      </c>
      <c r="M1070" s="53">
        <v>0</v>
      </c>
      <c r="N1070" s="40">
        <f t="shared" si="295"/>
        <v>0</v>
      </c>
      <c r="P1070" s="40">
        <f t="shared" si="296"/>
        <v>0</v>
      </c>
      <c r="Q1070" s="45"/>
      <c r="R1070" s="53"/>
      <c r="S1070" s="40">
        <f t="shared" si="297"/>
        <v>0</v>
      </c>
      <c r="U1070" s="40">
        <f t="shared" si="298"/>
        <v>0</v>
      </c>
      <c r="V1070" s="51">
        <v>0</v>
      </c>
      <c r="W1070" s="51">
        <v>0</v>
      </c>
      <c r="X1070" s="40">
        <f t="shared" si="299"/>
        <v>0</v>
      </c>
      <c r="AA1070" s="40">
        <f t="shared" si="300"/>
        <v>0</v>
      </c>
      <c r="AB1070" s="40">
        <f t="shared" si="301"/>
        <v>0</v>
      </c>
      <c r="AC1070" s="67"/>
    </row>
    <row r="1071" spans="6:29" x14ac:dyDescent="0.25">
      <c r="F1071" s="45" t="str">
        <f t="shared" si="292"/>
        <v xml:space="preserve">S/F  </v>
      </c>
      <c r="G1071" s="45">
        <v>0</v>
      </c>
      <c r="H1071" s="53">
        <v>0</v>
      </c>
      <c r="I1071" s="40">
        <f t="shared" si="293"/>
        <v>0</v>
      </c>
      <c r="J1071" s="53"/>
      <c r="K1071" s="40">
        <f t="shared" si="294"/>
        <v>0</v>
      </c>
      <c r="L1071" s="45">
        <v>0</v>
      </c>
      <c r="M1071" s="53">
        <v>0</v>
      </c>
      <c r="N1071" s="40">
        <f t="shared" si="295"/>
        <v>0</v>
      </c>
      <c r="P1071" s="40">
        <f t="shared" si="296"/>
        <v>0</v>
      </c>
      <c r="Q1071" s="45"/>
      <c r="R1071" s="53"/>
      <c r="S1071" s="40">
        <f t="shared" si="297"/>
        <v>0</v>
      </c>
      <c r="U1071" s="40">
        <f t="shared" si="298"/>
        <v>0</v>
      </c>
      <c r="V1071" s="51">
        <v>0</v>
      </c>
      <c r="W1071" s="51">
        <v>0</v>
      </c>
      <c r="X1071" s="40">
        <f t="shared" si="299"/>
        <v>0</v>
      </c>
      <c r="AA1071" s="40">
        <f t="shared" si="300"/>
        <v>0</v>
      </c>
      <c r="AB1071" s="40">
        <f t="shared" si="301"/>
        <v>0</v>
      </c>
      <c r="AC1071" s="67"/>
    </row>
    <row r="1072" spans="6:29" x14ac:dyDescent="0.25">
      <c r="F1072" s="45" t="str">
        <f t="shared" si="292"/>
        <v xml:space="preserve">S/F  </v>
      </c>
      <c r="G1072" s="45">
        <v>0</v>
      </c>
      <c r="H1072" s="53">
        <v>0</v>
      </c>
      <c r="I1072" s="40">
        <f t="shared" si="293"/>
        <v>0</v>
      </c>
      <c r="J1072" s="53"/>
      <c r="K1072" s="40">
        <f t="shared" si="294"/>
        <v>0</v>
      </c>
      <c r="L1072" s="45">
        <v>0</v>
      </c>
      <c r="M1072" s="53">
        <v>0</v>
      </c>
      <c r="N1072" s="40">
        <f t="shared" si="295"/>
        <v>0</v>
      </c>
      <c r="P1072" s="40">
        <f t="shared" si="296"/>
        <v>0</v>
      </c>
      <c r="Q1072" s="45"/>
      <c r="R1072" s="53"/>
      <c r="S1072" s="40">
        <f t="shared" si="297"/>
        <v>0</v>
      </c>
      <c r="U1072" s="40">
        <f t="shared" si="298"/>
        <v>0</v>
      </c>
      <c r="V1072" s="51">
        <v>0</v>
      </c>
      <c r="W1072" s="51">
        <v>0</v>
      </c>
      <c r="X1072" s="40">
        <f t="shared" si="299"/>
        <v>0</v>
      </c>
      <c r="AA1072" s="40">
        <f t="shared" si="300"/>
        <v>0</v>
      </c>
      <c r="AB1072" s="40">
        <f t="shared" si="301"/>
        <v>0</v>
      </c>
      <c r="AC1072" s="67"/>
    </row>
  </sheetData>
  <autoFilter ref="A1:AB1072" xr:uid="{00000000-0001-0000-0200-000000000000}"/>
  <printOptions horizontalCentered="1"/>
  <pageMargins left="0" right="0" top="0" bottom="0" header="0" footer="0"/>
  <pageSetup paperSize="9" scale="77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88"/>
  <sheetViews>
    <sheetView zoomScaleNormal="100" workbookViewId="0">
      <pane ySplit="1" topLeftCell="A2" activePane="bottomLeft" state="frozen"/>
      <selection pane="bottomLeft" activeCell="G14" sqref="G14:G16"/>
    </sheetView>
  </sheetViews>
  <sheetFormatPr baseColWidth="10" defaultRowHeight="15" x14ac:dyDescent="0.25"/>
  <cols>
    <col min="1" max="1" width="14.5703125" bestFit="1" customWidth="1"/>
    <col min="2" max="2" width="15.42578125" style="24" bestFit="1" customWidth="1"/>
    <col min="3" max="3" width="16.140625" style="24" customWidth="1"/>
    <col min="4" max="4" width="13.5703125" style="26" bestFit="1" customWidth="1"/>
    <col min="5" max="5" width="13.28515625" style="4" customWidth="1"/>
    <col min="6" max="6" width="24" style="4" bestFit="1" customWidth="1"/>
    <col min="7" max="7" width="13.140625" style="29" bestFit="1" customWidth="1"/>
    <col min="8" max="8" width="12.42578125" bestFit="1" customWidth="1"/>
    <col min="9" max="9" width="20.28515625" bestFit="1" customWidth="1"/>
    <col min="10" max="10" width="3.5703125" customWidth="1"/>
    <col min="11" max="11" width="17.28515625" style="36" bestFit="1" customWidth="1"/>
    <col min="12" max="12" width="3.140625" style="68" customWidth="1"/>
    <col min="13" max="13" width="16.140625" style="26" customWidth="1"/>
    <col min="14" max="14" width="17.140625" customWidth="1"/>
    <col min="15" max="15" width="4.42578125" customWidth="1"/>
  </cols>
  <sheetData>
    <row r="1" spans="1:14" s="2" customFormat="1" ht="30" customHeight="1" x14ac:dyDescent="0.25">
      <c r="A1" s="1" t="s">
        <v>322</v>
      </c>
      <c r="B1" s="3" t="s">
        <v>324</v>
      </c>
      <c r="C1" s="3" t="s">
        <v>5</v>
      </c>
      <c r="D1" s="34" t="s">
        <v>325</v>
      </c>
      <c r="E1" s="3" t="s">
        <v>3</v>
      </c>
      <c r="F1" s="3" t="s">
        <v>8</v>
      </c>
      <c r="G1" s="27" t="s">
        <v>6</v>
      </c>
      <c r="H1" s="1" t="s">
        <v>0</v>
      </c>
      <c r="I1" s="1" t="s">
        <v>1</v>
      </c>
      <c r="J1" s="1"/>
      <c r="K1" s="37" t="s">
        <v>30</v>
      </c>
      <c r="L1" s="66"/>
      <c r="M1" s="25" t="s">
        <v>326</v>
      </c>
    </row>
    <row r="2" spans="1:14" x14ac:dyDescent="0.25">
      <c r="A2" s="7">
        <v>45566</v>
      </c>
      <c r="B2" s="23" t="s">
        <v>348</v>
      </c>
      <c r="C2" s="30"/>
      <c r="D2" s="35">
        <v>1198</v>
      </c>
      <c r="E2" s="8"/>
      <c r="F2" s="31" t="str">
        <f t="shared" ref="F2:F16" si="0">"N/F "&amp;B2&amp;" "&amp;E2</f>
        <v xml:space="preserve">N/F 2024-744 </v>
      </c>
      <c r="G2" s="42">
        <f t="shared" ref="G2:G16" si="1">+D2/1.21</f>
        <v>990.08264462809916</v>
      </c>
      <c r="H2" s="9">
        <v>21</v>
      </c>
      <c r="I2" s="32">
        <f t="shared" ref="I2:I16" si="2">+IF(G2&lt;&gt;0,G2*H2/100,0)</f>
        <v>207.91735537190081</v>
      </c>
      <c r="J2" s="32"/>
      <c r="K2" s="33">
        <f t="shared" ref="K2:K16" si="3">+G2+I2</f>
        <v>1198</v>
      </c>
      <c r="L2" s="67"/>
    </row>
    <row r="3" spans="1:14" x14ac:dyDescent="0.25">
      <c r="A3" s="7">
        <v>45566</v>
      </c>
      <c r="B3" s="23" t="s">
        <v>349</v>
      </c>
      <c r="C3" s="30"/>
      <c r="D3" s="35">
        <v>260</v>
      </c>
      <c r="E3" s="8"/>
      <c r="F3" s="31" t="str">
        <f t="shared" si="0"/>
        <v xml:space="preserve">N/F 2024-745 </v>
      </c>
      <c r="G3" s="42">
        <f t="shared" si="1"/>
        <v>214.87603305785126</v>
      </c>
      <c r="H3" s="9">
        <v>21</v>
      </c>
      <c r="I3" s="32">
        <f t="shared" si="2"/>
        <v>45.123966942148762</v>
      </c>
      <c r="J3" s="32"/>
      <c r="K3" s="33">
        <f t="shared" si="3"/>
        <v>260</v>
      </c>
      <c r="L3" s="67"/>
    </row>
    <row r="4" spans="1:14" x14ac:dyDescent="0.25">
      <c r="A4" s="7">
        <v>45570</v>
      </c>
      <c r="B4" s="23" t="s">
        <v>350</v>
      </c>
      <c r="C4" s="30"/>
      <c r="D4" s="35">
        <v>375</v>
      </c>
      <c r="E4" s="8"/>
      <c r="F4" s="31" t="str">
        <f t="shared" si="0"/>
        <v xml:space="preserve">N/F 2024-746 </v>
      </c>
      <c r="G4" s="42">
        <f t="shared" si="1"/>
        <v>309.91735537190084</v>
      </c>
      <c r="H4" s="9">
        <v>21</v>
      </c>
      <c r="I4" s="32">
        <f t="shared" si="2"/>
        <v>65.082644628099175</v>
      </c>
      <c r="J4" s="32"/>
      <c r="K4" s="33">
        <f t="shared" si="3"/>
        <v>375</v>
      </c>
      <c r="L4" s="67"/>
    </row>
    <row r="5" spans="1:14" x14ac:dyDescent="0.25">
      <c r="A5" s="7">
        <v>45573</v>
      </c>
      <c r="B5" s="23" t="s">
        <v>351</v>
      </c>
      <c r="C5" s="30"/>
      <c r="D5" s="35">
        <v>370</v>
      </c>
      <c r="E5" s="8"/>
      <c r="F5" s="31" t="str">
        <f t="shared" si="0"/>
        <v xml:space="preserve">N/F 2024-747 </v>
      </c>
      <c r="G5" s="42">
        <f t="shared" si="1"/>
        <v>305.78512396694214</v>
      </c>
      <c r="H5" s="9">
        <v>21</v>
      </c>
      <c r="I5" s="32">
        <f t="shared" si="2"/>
        <v>64.214876033057848</v>
      </c>
      <c r="J5" s="32"/>
      <c r="K5" s="33">
        <f t="shared" si="3"/>
        <v>370</v>
      </c>
      <c r="L5" s="67"/>
    </row>
    <row r="6" spans="1:14" x14ac:dyDescent="0.25">
      <c r="A6" s="7">
        <v>45574</v>
      </c>
      <c r="B6" s="23" t="s">
        <v>352</v>
      </c>
      <c r="C6" s="30"/>
      <c r="D6" s="35">
        <v>140</v>
      </c>
      <c r="E6" s="8"/>
      <c r="F6" s="31" t="str">
        <f t="shared" si="0"/>
        <v xml:space="preserve">N/F 2024-748 </v>
      </c>
      <c r="G6" s="42">
        <f t="shared" si="1"/>
        <v>115.70247933884298</v>
      </c>
      <c r="H6" s="9">
        <v>21</v>
      </c>
      <c r="I6" s="32">
        <f t="shared" si="2"/>
        <v>24.297520661157023</v>
      </c>
      <c r="J6" s="32"/>
      <c r="K6" s="33">
        <f t="shared" si="3"/>
        <v>140</v>
      </c>
      <c r="L6" s="67"/>
    </row>
    <row r="7" spans="1:14" x14ac:dyDescent="0.25">
      <c r="A7" s="7">
        <v>45594</v>
      </c>
      <c r="B7" s="23" t="s">
        <v>353</v>
      </c>
      <c r="C7" s="30"/>
      <c r="D7" s="35">
        <v>186</v>
      </c>
      <c r="E7" s="8"/>
      <c r="F7" s="31" t="str">
        <f t="shared" si="0"/>
        <v xml:space="preserve">N/F 2024-749 </v>
      </c>
      <c r="G7" s="42">
        <f t="shared" si="1"/>
        <v>153.71900826446281</v>
      </c>
      <c r="H7" s="9">
        <v>21</v>
      </c>
      <c r="I7" s="32">
        <f t="shared" si="2"/>
        <v>32.280991735537192</v>
      </c>
      <c r="J7" s="32"/>
      <c r="K7" s="33">
        <f t="shared" si="3"/>
        <v>186</v>
      </c>
      <c r="L7" s="67"/>
    </row>
    <row r="8" spans="1:14" x14ac:dyDescent="0.25">
      <c r="A8" s="7">
        <v>45596</v>
      </c>
      <c r="B8" s="23" t="s">
        <v>354</v>
      </c>
      <c r="C8" s="30"/>
      <c r="D8" s="35">
        <v>200</v>
      </c>
      <c r="E8" s="8"/>
      <c r="F8" s="31" t="str">
        <f t="shared" si="0"/>
        <v xml:space="preserve">N/F 2024-750 </v>
      </c>
      <c r="G8" s="42">
        <f t="shared" si="1"/>
        <v>165.28925619834712</v>
      </c>
      <c r="H8" s="9">
        <v>21</v>
      </c>
      <c r="I8" s="32">
        <f t="shared" si="2"/>
        <v>34.710743801652896</v>
      </c>
      <c r="J8" s="32"/>
      <c r="K8" s="33">
        <f t="shared" si="3"/>
        <v>200</v>
      </c>
      <c r="L8" s="67"/>
      <c r="M8" s="72">
        <f>SUM(K1:K8)</f>
        <v>2729</v>
      </c>
    </row>
    <row r="9" spans="1:14" x14ac:dyDescent="0.25">
      <c r="A9" s="7">
        <v>45598</v>
      </c>
      <c r="B9" s="23" t="s">
        <v>355</v>
      </c>
      <c r="C9" s="30"/>
      <c r="D9" s="35">
        <v>800</v>
      </c>
      <c r="E9" s="8"/>
      <c r="F9" s="31" t="str">
        <f t="shared" si="0"/>
        <v xml:space="preserve">N/F 2024-751 </v>
      </c>
      <c r="G9" s="42">
        <f t="shared" si="1"/>
        <v>661.15702479338847</v>
      </c>
      <c r="H9" s="9">
        <v>21</v>
      </c>
      <c r="I9" s="32">
        <f t="shared" si="2"/>
        <v>138.84297520661158</v>
      </c>
      <c r="J9" s="32"/>
      <c r="K9" s="33">
        <f t="shared" si="3"/>
        <v>800</v>
      </c>
      <c r="L9" s="67"/>
      <c r="M9" s="88"/>
    </row>
    <row r="10" spans="1:14" x14ac:dyDescent="0.25">
      <c r="A10" s="7">
        <v>45604</v>
      </c>
      <c r="B10" s="23" t="s">
        <v>356</v>
      </c>
      <c r="C10" s="30"/>
      <c r="D10" s="35">
        <v>127</v>
      </c>
      <c r="E10" s="8"/>
      <c r="F10" s="31" t="str">
        <f t="shared" si="0"/>
        <v xml:space="preserve">N/F 2024-752 </v>
      </c>
      <c r="G10" s="42">
        <f t="shared" si="1"/>
        <v>104.95867768595042</v>
      </c>
      <c r="H10" s="9">
        <v>21</v>
      </c>
      <c r="I10" s="32">
        <f t="shared" si="2"/>
        <v>22.041322314049591</v>
      </c>
      <c r="J10" s="32"/>
      <c r="K10" s="33">
        <f t="shared" si="3"/>
        <v>127.00000000000001</v>
      </c>
      <c r="L10" s="67"/>
    </row>
    <row r="11" spans="1:14" x14ac:dyDescent="0.25">
      <c r="A11" s="7">
        <v>45604</v>
      </c>
      <c r="B11" s="23" t="s">
        <v>357</v>
      </c>
      <c r="C11" s="30"/>
      <c r="D11" s="35">
        <v>250</v>
      </c>
      <c r="E11" s="8"/>
      <c r="F11" s="31" t="str">
        <f t="shared" si="0"/>
        <v xml:space="preserve">N/F 2024-753 </v>
      </c>
      <c r="G11" s="42">
        <f t="shared" si="1"/>
        <v>206.61157024793388</v>
      </c>
      <c r="H11" s="9">
        <v>21</v>
      </c>
      <c r="I11" s="32">
        <f t="shared" si="2"/>
        <v>43.388429752066116</v>
      </c>
      <c r="J11" s="32"/>
      <c r="K11" s="33">
        <f t="shared" si="3"/>
        <v>250</v>
      </c>
      <c r="L11" s="67"/>
    </row>
    <row r="12" spans="1:14" x14ac:dyDescent="0.25">
      <c r="A12" s="7">
        <v>45610</v>
      </c>
      <c r="B12" s="23" t="s">
        <v>358</v>
      </c>
      <c r="C12" s="30"/>
      <c r="D12" s="35">
        <v>498</v>
      </c>
      <c r="E12" s="8"/>
      <c r="F12" s="31" t="str">
        <f t="shared" si="0"/>
        <v xml:space="preserve">N/F 2024-754 </v>
      </c>
      <c r="G12" s="42">
        <f t="shared" si="1"/>
        <v>411.57024793388433</v>
      </c>
      <c r="H12" s="9">
        <v>21</v>
      </c>
      <c r="I12" s="32">
        <f t="shared" si="2"/>
        <v>86.429752066115711</v>
      </c>
      <c r="J12" s="32"/>
      <c r="K12" s="33">
        <f t="shared" si="3"/>
        <v>498.00000000000006</v>
      </c>
      <c r="L12" s="67"/>
    </row>
    <row r="13" spans="1:14" x14ac:dyDescent="0.25">
      <c r="A13" s="105">
        <v>45618</v>
      </c>
      <c r="B13" s="106" t="s">
        <v>359</v>
      </c>
      <c r="C13" s="107"/>
      <c r="D13" s="108">
        <v>178</v>
      </c>
      <c r="E13" s="109"/>
      <c r="F13" s="110" t="str">
        <f t="shared" si="0"/>
        <v xml:space="preserve">N/F 2024-755 </v>
      </c>
      <c r="G13" s="111">
        <f t="shared" si="1"/>
        <v>147.10743801652893</v>
      </c>
      <c r="H13" s="112">
        <v>21</v>
      </c>
      <c r="I13" s="113">
        <f t="shared" si="2"/>
        <v>30.892561983471079</v>
      </c>
      <c r="J13" s="113"/>
      <c r="K13" s="114">
        <f t="shared" si="3"/>
        <v>178</v>
      </c>
      <c r="L13" s="114"/>
      <c r="M13" s="72">
        <f>SUM(K9:K13)</f>
        <v>1853</v>
      </c>
      <c r="N13" s="115" t="s">
        <v>513</v>
      </c>
    </row>
    <row r="14" spans="1:14" x14ac:dyDescent="0.25">
      <c r="A14" s="7">
        <v>45629</v>
      </c>
      <c r="B14" s="23" t="s">
        <v>360</v>
      </c>
      <c r="C14" s="30"/>
      <c r="D14" s="35">
        <v>950</v>
      </c>
      <c r="E14" s="8"/>
      <c r="F14" s="31" t="str">
        <f t="shared" si="0"/>
        <v xml:space="preserve">N/F 2024-756 </v>
      </c>
      <c r="G14" s="42">
        <f t="shared" si="1"/>
        <v>785.12396694214874</v>
      </c>
      <c r="H14" s="9">
        <v>21</v>
      </c>
      <c r="I14" s="32">
        <f t="shared" si="2"/>
        <v>164.87603305785123</v>
      </c>
      <c r="J14" s="32"/>
      <c r="K14" s="33">
        <f t="shared" si="3"/>
        <v>950</v>
      </c>
      <c r="L14" s="67"/>
    </row>
    <row r="15" spans="1:14" x14ac:dyDescent="0.25">
      <c r="A15" s="7">
        <v>45639</v>
      </c>
      <c r="B15" s="23" t="s">
        <v>361</v>
      </c>
      <c r="C15" s="30"/>
      <c r="D15" s="35">
        <v>430</v>
      </c>
      <c r="E15" s="8"/>
      <c r="F15" s="31" t="str">
        <f t="shared" si="0"/>
        <v xml:space="preserve">N/F 2024-757 </v>
      </c>
      <c r="G15" s="42">
        <f t="shared" si="1"/>
        <v>355.37190082644628</v>
      </c>
      <c r="H15" s="9">
        <v>21</v>
      </c>
      <c r="I15" s="32">
        <f t="shared" si="2"/>
        <v>74.628099173553721</v>
      </c>
      <c r="J15" s="32"/>
      <c r="K15" s="33">
        <f t="shared" si="3"/>
        <v>430</v>
      </c>
      <c r="L15" s="67"/>
    </row>
    <row r="16" spans="1:14" x14ac:dyDescent="0.25">
      <c r="A16" s="7">
        <v>45643</v>
      </c>
      <c r="B16" s="23" t="s">
        <v>362</v>
      </c>
      <c r="C16" s="30"/>
      <c r="D16" s="35">
        <v>170</v>
      </c>
      <c r="E16" s="8"/>
      <c r="F16" s="31" t="str">
        <f t="shared" si="0"/>
        <v xml:space="preserve">N/F 2024-758 </v>
      </c>
      <c r="G16" s="42">
        <f t="shared" si="1"/>
        <v>140.49586776859505</v>
      </c>
      <c r="H16" s="9">
        <v>21</v>
      </c>
      <c r="I16" s="32">
        <f t="shared" si="2"/>
        <v>29.504132231404959</v>
      </c>
      <c r="J16" s="32"/>
      <c r="K16" s="33">
        <f t="shared" si="3"/>
        <v>170</v>
      </c>
      <c r="L16" s="67"/>
      <c r="M16" s="72">
        <f>SUM(K14:K16)</f>
        <v>1550</v>
      </c>
    </row>
    <row r="17" spans="1:14" x14ac:dyDescent="0.25">
      <c r="A17" s="7"/>
      <c r="B17" s="23"/>
      <c r="C17" s="30"/>
      <c r="D17" s="35">
        <v>0</v>
      </c>
      <c r="E17" s="8"/>
      <c r="F17" s="31" t="str">
        <f t="shared" ref="F17" si="4">"N/F "&amp;B17&amp;" "&amp;E17</f>
        <v xml:space="preserve">N/F  </v>
      </c>
      <c r="G17" s="42">
        <f t="shared" ref="G17" si="5">+D17/1.21</f>
        <v>0</v>
      </c>
      <c r="H17" s="9">
        <v>21</v>
      </c>
      <c r="I17" s="32">
        <f t="shared" ref="I17" si="6">+IF(G17&lt;&gt;0,G17*H17/100,0)</f>
        <v>0</v>
      </c>
      <c r="J17" s="32"/>
      <c r="K17" s="33">
        <f t="shared" ref="K17" si="7">+G17+I17</f>
        <v>0</v>
      </c>
      <c r="L17" s="67"/>
    </row>
    <row r="18" spans="1:14" x14ac:dyDescent="0.25">
      <c r="A18" s="21"/>
      <c r="B18" s="23"/>
      <c r="C18" s="30"/>
      <c r="D18" s="35">
        <v>0</v>
      </c>
      <c r="E18" s="8"/>
      <c r="F18" s="31" t="str">
        <f t="shared" ref="F18:F22" si="8">"N/F "&amp;B18&amp;" "&amp;E18</f>
        <v xml:space="preserve">N/F  </v>
      </c>
      <c r="G18" s="42">
        <f t="shared" ref="G18:G22" si="9">+D18/1.21</f>
        <v>0</v>
      </c>
      <c r="H18" s="9">
        <v>21</v>
      </c>
      <c r="I18" s="32">
        <f t="shared" ref="I18:I22" si="10">+IF(G18&lt;&gt;0,G18*H18/100,0)</f>
        <v>0</v>
      </c>
      <c r="J18" s="32"/>
      <c r="K18" s="33">
        <f t="shared" ref="K18:K22" si="11">+G18+I18</f>
        <v>0</v>
      </c>
      <c r="L18" s="67"/>
    </row>
    <row r="19" spans="1:14" x14ac:dyDescent="0.25">
      <c r="A19" s="21"/>
      <c r="B19" s="23"/>
      <c r="C19" s="30"/>
      <c r="D19" s="35">
        <v>0</v>
      </c>
      <c r="E19" s="8"/>
      <c r="F19" s="31" t="str">
        <f t="shared" si="8"/>
        <v xml:space="preserve">N/F  </v>
      </c>
      <c r="G19" s="42">
        <f t="shared" si="9"/>
        <v>0</v>
      </c>
      <c r="H19" s="9">
        <v>21</v>
      </c>
      <c r="I19" s="32">
        <f t="shared" si="10"/>
        <v>0</v>
      </c>
      <c r="J19" s="32"/>
      <c r="K19" s="33">
        <f t="shared" si="11"/>
        <v>0</v>
      </c>
      <c r="L19" s="67"/>
    </row>
    <row r="20" spans="1:14" x14ac:dyDescent="0.25">
      <c r="A20" s="21"/>
      <c r="B20" s="23"/>
      <c r="C20" s="30"/>
      <c r="D20" s="35">
        <v>0</v>
      </c>
      <c r="E20" s="8"/>
      <c r="F20" s="31" t="str">
        <f t="shared" si="8"/>
        <v xml:space="preserve">N/F  </v>
      </c>
      <c r="G20" s="42">
        <f t="shared" si="9"/>
        <v>0</v>
      </c>
      <c r="H20" s="9">
        <v>21</v>
      </c>
      <c r="I20" s="32">
        <f t="shared" si="10"/>
        <v>0</v>
      </c>
      <c r="J20" s="32"/>
      <c r="K20" s="33">
        <f t="shared" si="11"/>
        <v>0</v>
      </c>
      <c r="L20" s="67"/>
    </row>
    <row r="21" spans="1:14" x14ac:dyDescent="0.25">
      <c r="A21" s="21"/>
      <c r="B21" s="23"/>
      <c r="C21" s="30"/>
      <c r="D21" s="35">
        <v>0</v>
      </c>
      <c r="E21" s="8"/>
      <c r="F21" s="31" t="str">
        <f t="shared" si="8"/>
        <v xml:space="preserve">N/F  </v>
      </c>
      <c r="G21" s="42">
        <f t="shared" si="9"/>
        <v>0</v>
      </c>
      <c r="H21" s="9">
        <v>21</v>
      </c>
      <c r="I21" s="32">
        <f t="shared" si="10"/>
        <v>0</v>
      </c>
      <c r="J21" s="32"/>
      <c r="K21" s="33">
        <f t="shared" si="11"/>
        <v>0</v>
      </c>
      <c r="L21" s="67"/>
      <c r="M21" s="73">
        <f>SUM(K2:K21)</f>
        <v>6132</v>
      </c>
      <c r="N21" s="74" t="s">
        <v>330</v>
      </c>
    </row>
    <row r="22" spans="1:14" x14ac:dyDescent="0.25">
      <c r="A22" s="21"/>
      <c r="B22" s="23"/>
      <c r="C22" s="30"/>
      <c r="D22" s="35">
        <v>0</v>
      </c>
      <c r="E22" s="8"/>
      <c r="F22" s="31" t="str">
        <f t="shared" si="8"/>
        <v xml:space="preserve">N/F  </v>
      </c>
      <c r="G22" s="42">
        <f t="shared" si="9"/>
        <v>0</v>
      </c>
      <c r="H22" s="9">
        <v>21</v>
      </c>
      <c r="I22" s="32">
        <f t="shared" si="10"/>
        <v>0</v>
      </c>
      <c r="J22" s="32"/>
      <c r="K22" s="33">
        <f t="shared" si="11"/>
        <v>0</v>
      </c>
      <c r="L22" s="67"/>
    </row>
    <row r="23" spans="1:14" x14ac:dyDescent="0.25">
      <c r="A23" s="21"/>
      <c r="B23" s="23"/>
      <c r="C23" s="30"/>
      <c r="D23" s="35">
        <v>0</v>
      </c>
      <c r="E23" s="8"/>
      <c r="F23" s="31" t="str">
        <f t="shared" ref="F23:F41" si="12">"N/F "&amp;B23&amp;" "&amp;E23</f>
        <v xml:space="preserve">N/F  </v>
      </c>
      <c r="G23" s="42">
        <f t="shared" ref="G23:G41" si="13">+D23/1.21</f>
        <v>0</v>
      </c>
      <c r="H23" s="9">
        <v>21</v>
      </c>
      <c r="I23" s="32">
        <f t="shared" ref="I23:I41" si="14">+IF(G23&lt;&gt;0,G23*H23/100,0)</f>
        <v>0</v>
      </c>
      <c r="J23" s="32"/>
      <c r="K23" s="33">
        <f t="shared" ref="K23:K41" si="15">+G23+I23</f>
        <v>0</v>
      </c>
      <c r="L23" s="67"/>
    </row>
    <row r="24" spans="1:14" x14ac:dyDescent="0.25">
      <c r="A24" s="21"/>
      <c r="B24" s="23"/>
      <c r="C24" s="30"/>
      <c r="D24" s="35">
        <v>0</v>
      </c>
      <c r="E24" s="8"/>
      <c r="F24" s="31" t="str">
        <f t="shared" si="12"/>
        <v xml:space="preserve">N/F  </v>
      </c>
      <c r="G24" s="42">
        <f t="shared" si="13"/>
        <v>0</v>
      </c>
      <c r="H24" s="9">
        <v>21</v>
      </c>
      <c r="I24" s="32">
        <f t="shared" si="14"/>
        <v>0</v>
      </c>
      <c r="J24" s="32"/>
      <c r="K24" s="33">
        <f t="shared" si="15"/>
        <v>0</v>
      </c>
      <c r="L24" s="67"/>
    </row>
    <row r="25" spans="1:14" x14ac:dyDescent="0.25">
      <c r="A25" s="21"/>
      <c r="B25" s="23"/>
      <c r="C25" s="30"/>
      <c r="D25" s="35">
        <v>0</v>
      </c>
      <c r="E25" s="8"/>
      <c r="F25" s="31" t="str">
        <f t="shared" si="12"/>
        <v xml:space="preserve">N/F  </v>
      </c>
      <c r="G25" s="42">
        <f t="shared" si="13"/>
        <v>0</v>
      </c>
      <c r="H25" s="9">
        <v>21</v>
      </c>
      <c r="I25" s="32">
        <f t="shared" si="14"/>
        <v>0</v>
      </c>
      <c r="J25" s="32"/>
      <c r="K25" s="33">
        <f t="shared" si="15"/>
        <v>0</v>
      </c>
      <c r="L25" s="67"/>
    </row>
    <row r="26" spans="1:14" x14ac:dyDescent="0.25">
      <c r="A26" s="21"/>
      <c r="B26" s="23"/>
      <c r="C26" s="30"/>
      <c r="D26" s="35">
        <v>0</v>
      </c>
      <c r="E26" s="8"/>
      <c r="F26" s="31" t="str">
        <f t="shared" si="12"/>
        <v xml:space="preserve">N/F  </v>
      </c>
      <c r="G26" s="42">
        <f t="shared" si="13"/>
        <v>0</v>
      </c>
      <c r="H26" s="9">
        <v>21</v>
      </c>
      <c r="I26" s="32">
        <f t="shared" si="14"/>
        <v>0</v>
      </c>
      <c r="J26" s="32"/>
      <c r="K26" s="33">
        <f t="shared" si="15"/>
        <v>0</v>
      </c>
      <c r="L26" s="67"/>
    </row>
    <row r="27" spans="1:14" x14ac:dyDescent="0.25">
      <c r="A27" s="21"/>
      <c r="B27" s="23"/>
      <c r="C27" s="30"/>
      <c r="D27" s="35">
        <v>0</v>
      </c>
      <c r="E27" s="8"/>
      <c r="F27" s="31" t="str">
        <f t="shared" si="12"/>
        <v xml:space="preserve">N/F  </v>
      </c>
      <c r="G27" s="42">
        <f t="shared" si="13"/>
        <v>0</v>
      </c>
      <c r="H27" s="9">
        <v>21</v>
      </c>
      <c r="I27" s="32">
        <f t="shared" si="14"/>
        <v>0</v>
      </c>
      <c r="J27" s="32"/>
      <c r="K27" s="33">
        <f t="shared" si="15"/>
        <v>0</v>
      </c>
      <c r="L27" s="67"/>
    </row>
    <row r="28" spans="1:14" x14ac:dyDescent="0.25">
      <c r="A28" s="21"/>
      <c r="B28" s="23"/>
      <c r="C28" s="30"/>
      <c r="D28" s="35">
        <v>0</v>
      </c>
      <c r="E28" s="8"/>
      <c r="F28" s="31" t="str">
        <f t="shared" si="12"/>
        <v xml:space="preserve">N/F  </v>
      </c>
      <c r="G28" s="42">
        <f t="shared" si="13"/>
        <v>0</v>
      </c>
      <c r="H28" s="9">
        <v>21</v>
      </c>
      <c r="I28" s="32">
        <f t="shared" si="14"/>
        <v>0</v>
      </c>
      <c r="J28" s="32"/>
      <c r="K28" s="33">
        <f t="shared" si="15"/>
        <v>0</v>
      </c>
      <c r="L28" s="67"/>
    </row>
    <row r="29" spans="1:14" x14ac:dyDescent="0.25">
      <c r="A29" s="21"/>
      <c r="B29" s="23"/>
      <c r="C29" s="30"/>
      <c r="D29" s="35">
        <v>0</v>
      </c>
      <c r="E29" s="8"/>
      <c r="F29" s="31" t="str">
        <f t="shared" si="12"/>
        <v xml:space="preserve">N/F  </v>
      </c>
      <c r="G29" s="42">
        <f t="shared" si="13"/>
        <v>0</v>
      </c>
      <c r="H29" s="9">
        <v>21</v>
      </c>
      <c r="I29" s="32">
        <f t="shared" si="14"/>
        <v>0</v>
      </c>
      <c r="J29" s="32"/>
      <c r="K29" s="33">
        <f t="shared" si="15"/>
        <v>0</v>
      </c>
      <c r="L29" s="67"/>
    </row>
    <row r="30" spans="1:14" x14ac:dyDescent="0.25">
      <c r="A30" s="21"/>
      <c r="B30" s="23"/>
      <c r="C30" s="30"/>
      <c r="D30" s="35">
        <v>0</v>
      </c>
      <c r="E30" s="8"/>
      <c r="F30" s="31" t="str">
        <f t="shared" si="12"/>
        <v xml:space="preserve">N/F  </v>
      </c>
      <c r="G30" s="42">
        <f t="shared" si="13"/>
        <v>0</v>
      </c>
      <c r="H30" s="9">
        <v>21</v>
      </c>
      <c r="I30" s="32">
        <f t="shared" si="14"/>
        <v>0</v>
      </c>
      <c r="J30" s="32"/>
      <c r="K30" s="33">
        <f t="shared" si="15"/>
        <v>0</v>
      </c>
      <c r="L30" s="67"/>
    </row>
    <row r="31" spans="1:14" x14ac:dyDescent="0.25">
      <c r="A31" s="21"/>
      <c r="B31" s="23"/>
      <c r="C31" s="30"/>
      <c r="D31" s="35">
        <v>0</v>
      </c>
      <c r="E31" s="8"/>
      <c r="F31" s="31" t="str">
        <f t="shared" si="12"/>
        <v xml:space="preserve">N/F  </v>
      </c>
      <c r="G31" s="42">
        <f t="shared" si="13"/>
        <v>0</v>
      </c>
      <c r="H31" s="9">
        <v>21</v>
      </c>
      <c r="I31" s="32">
        <f t="shared" si="14"/>
        <v>0</v>
      </c>
      <c r="J31" s="32"/>
      <c r="K31" s="33">
        <f t="shared" si="15"/>
        <v>0</v>
      </c>
      <c r="L31" s="67"/>
    </row>
    <row r="32" spans="1:14" x14ac:dyDescent="0.25">
      <c r="A32" s="21"/>
      <c r="B32" s="23"/>
      <c r="C32" s="30"/>
      <c r="D32" s="35">
        <v>0</v>
      </c>
      <c r="E32" s="8"/>
      <c r="F32" s="31" t="str">
        <f t="shared" si="12"/>
        <v xml:space="preserve">N/F  </v>
      </c>
      <c r="G32" s="42">
        <f t="shared" si="13"/>
        <v>0</v>
      </c>
      <c r="H32" s="9">
        <v>21</v>
      </c>
      <c r="I32" s="32">
        <f t="shared" si="14"/>
        <v>0</v>
      </c>
      <c r="J32" s="32"/>
      <c r="K32" s="33">
        <f t="shared" si="15"/>
        <v>0</v>
      </c>
      <c r="L32" s="67"/>
    </row>
    <row r="33" spans="1:12" x14ac:dyDescent="0.25">
      <c r="A33" s="21"/>
      <c r="B33" s="23"/>
      <c r="C33" s="30"/>
      <c r="D33" s="35">
        <v>0</v>
      </c>
      <c r="E33" s="8"/>
      <c r="F33" s="31" t="str">
        <f t="shared" si="12"/>
        <v xml:space="preserve">N/F  </v>
      </c>
      <c r="G33" s="42">
        <f t="shared" si="13"/>
        <v>0</v>
      </c>
      <c r="H33" s="9">
        <v>21</v>
      </c>
      <c r="I33" s="32">
        <f t="shared" si="14"/>
        <v>0</v>
      </c>
      <c r="J33" s="32"/>
      <c r="K33" s="33">
        <f t="shared" si="15"/>
        <v>0</v>
      </c>
      <c r="L33" s="67"/>
    </row>
    <row r="34" spans="1:12" x14ac:dyDescent="0.25">
      <c r="A34" s="21"/>
      <c r="B34" s="23"/>
      <c r="C34" s="30"/>
      <c r="D34" s="35">
        <v>0</v>
      </c>
      <c r="E34" s="8"/>
      <c r="F34" s="31" t="str">
        <f t="shared" si="12"/>
        <v xml:space="preserve">N/F  </v>
      </c>
      <c r="G34" s="42">
        <f t="shared" si="13"/>
        <v>0</v>
      </c>
      <c r="H34" s="9">
        <v>21</v>
      </c>
      <c r="I34" s="32">
        <f t="shared" si="14"/>
        <v>0</v>
      </c>
      <c r="J34" s="32"/>
      <c r="K34" s="33">
        <f t="shared" si="15"/>
        <v>0</v>
      </c>
      <c r="L34" s="67"/>
    </row>
    <row r="35" spans="1:12" x14ac:dyDescent="0.25">
      <c r="A35" s="21"/>
      <c r="B35" s="23"/>
      <c r="C35" s="30"/>
      <c r="D35" s="35">
        <v>0</v>
      </c>
      <c r="E35" s="8"/>
      <c r="F35" s="31" t="str">
        <f t="shared" si="12"/>
        <v xml:space="preserve">N/F  </v>
      </c>
      <c r="G35" s="42">
        <f t="shared" si="13"/>
        <v>0</v>
      </c>
      <c r="H35" s="9">
        <v>21</v>
      </c>
      <c r="I35" s="32">
        <f t="shared" si="14"/>
        <v>0</v>
      </c>
      <c r="J35" s="32"/>
      <c r="K35" s="33">
        <f t="shared" si="15"/>
        <v>0</v>
      </c>
      <c r="L35" s="67"/>
    </row>
    <row r="36" spans="1:12" x14ac:dyDescent="0.25">
      <c r="A36" s="21"/>
      <c r="B36" s="23"/>
      <c r="C36" s="30"/>
      <c r="D36" s="35">
        <v>0</v>
      </c>
      <c r="E36" s="8"/>
      <c r="F36" s="31" t="str">
        <f t="shared" si="12"/>
        <v xml:space="preserve">N/F  </v>
      </c>
      <c r="G36" s="42">
        <f t="shared" si="13"/>
        <v>0</v>
      </c>
      <c r="H36" s="9">
        <v>21</v>
      </c>
      <c r="I36" s="32">
        <f t="shared" si="14"/>
        <v>0</v>
      </c>
      <c r="J36" s="32"/>
      <c r="K36" s="33">
        <f t="shared" si="15"/>
        <v>0</v>
      </c>
      <c r="L36" s="67"/>
    </row>
    <row r="37" spans="1:12" x14ac:dyDescent="0.25">
      <c r="A37" s="21"/>
      <c r="B37" s="23"/>
      <c r="C37" s="30"/>
      <c r="D37" s="35">
        <v>0</v>
      </c>
      <c r="E37" s="8"/>
      <c r="F37" s="31" t="str">
        <f t="shared" si="12"/>
        <v xml:space="preserve">N/F  </v>
      </c>
      <c r="G37" s="42">
        <f t="shared" si="13"/>
        <v>0</v>
      </c>
      <c r="H37" s="9">
        <v>21</v>
      </c>
      <c r="I37" s="32">
        <f t="shared" si="14"/>
        <v>0</v>
      </c>
      <c r="J37" s="32"/>
      <c r="K37" s="33">
        <f t="shared" si="15"/>
        <v>0</v>
      </c>
      <c r="L37" s="67"/>
    </row>
    <row r="38" spans="1:12" x14ac:dyDescent="0.25">
      <c r="A38" s="21"/>
      <c r="B38" s="23"/>
      <c r="C38" s="30"/>
      <c r="D38" s="35">
        <v>0</v>
      </c>
      <c r="E38" s="8"/>
      <c r="F38" s="31" t="str">
        <f t="shared" si="12"/>
        <v xml:space="preserve">N/F  </v>
      </c>
      <c r="G38" s="42">
        <f t="shared" si="13"/>
        <v>0</v>
      </c>
      <c r="H38" s="9">
        <v>21</v>
      </c>
      <c r="I38" s="32">
        <f t="shared" si="14"/>
        <v>0</v>
      </c>
      <c r="J38" s="32"/>
      <c r="K38" s="33">
        <f t="shared" si="15"/>
        <v>0</v>
      </c>
      <c r="L38" s="67"/>
    </row>
    <row r="39" spans="1:12" x14ac:dyDescent="0.25">
      <c r="A39" s="21"/>
      <c r="B39" s="23"/>
      <c r="C39" s="30"/>
      <c r="D39" s="35">
        <v>0</v>
      </c>
      <c r="E39" s="8"/>
      <c r="F39" s="31" t="str">
        <f t="shared" si="12"/>
        <v xml:space="preserve">N/F  </v>
      </c>
      <c r="G39" s="42">
        <f t="shared" si="13"/>
        <v>0</v>
      </c>
      <c r="H39" s="9">
        <v>21</v>
      </c>
      <c r="I39" s="32">
        <f t="shared" si="14"/>
        <v>0</v>
      </c>
      <c r="J39" s="32"/>
      <c r="K39" s="33">
        <f t="shared" si="15"/>
        <v>0</v>
      </c>
      <c r="L39" s="67"/>
    </row>
    <row r="40" spans="1:12" x14ac:dyDescent="0.25">
      <c r="A40" s="21"/>
      <c r="B40" s="23"/>
      <c r="C40" s="30"/>
      <c r="D40" s="35">
        <v>0</v>
      </c>
      <c r="E40" s="8"/>
      <c r="F40" s="31" t="str">
        <f t="shared" si="12"/>
        <v xml:space="preserve">N/F  </v>
      </c>
      <c r="G40" s="42">
        <f t="shared" si="13"/>
        <v>0</v>
      </c>
      <c r="H40" s="9">
        <v>21</v>
      </c>
      <c r="I40" s="32">
        <f t="shared" si="14"/>
        <v>0</v>
      </c>
      <c r="J40" s="32"/>
      <c r="K40" s="33">
        <f t="shared" si="15"/>
        <v>0</v>
      </c>
      <c r="L40" s="67"/>
    </row>
    <row r="41" spans="1:12" x14ac:dyDescent="0.25">
      <c r="A41" s="21"/>
      <c r="B41" s="23"/>
      <c r="C41" s="30"/>
      <c r="D41" s="35">
        <v>0</v>
      </c>
      <c r="E41" s="8"/>
      <c r="F41" s="31" t="str">
        <f t="shared" si="12"/>
        <v xml:space="preserve">N/F  </v>
      </c>
      <c r="G41" s="42">
        <f t="shared" si="13"/>
        <v>0</v>
      </c>
      <c r="H41" s="9">
        <v>21</v>
      </c>
      <c r="I41" s="32">
        <f t="shared" si="14"/>
        <v>0</v>
      </c>
      <c r="J41" s="32"/>
      <c r="K41" s="33">
        <f t="shared" si="15"/>
        <v>0</v>
      </c>
      <c r="L41" s="67"/>
    </row>
    <row r="42" spans="1:12" x14ac:dyDescent="0.25">
      <c r="A42" s="21"/>
      <c r="B42" s="23"/>
      <c r="C42" s="30"/>
      <c r="D42" s="35">
        <v>0</v>
      </c>
      <c r="E42" s="8"/>
      <c r="F42" s="31" t="str">
        <f t="shared" ref="F42:F105" si="16">"N/F "&amp;B42&amp;" "&amp;E42</f>
        <v xml:space="preserve">N/F  </v>
      </c>
      <c r="G42" s="42">
        <f t="shared" ref="G42:G105" si="17">+D42/1.21</f>
        <v>0</v>
      </c>
      <c r="H42" s="9">
        <v>21</v>
      </c>
      <c r="I42" s="32">
        <f t="shared" ref="I42:I105" si="18">+IF(G42&lt;&gt;0,G42*H42/100,0)</f>
        <v>0</v>
      </c>
      <c r="J42" s="32"/>
      <c r="K42" s="33">
        <f t="shared" ref="K42:K105" si="19">+G42+I42</f>
        <v>0</v>
      </c>
      <c r="L42" s="67"/>
    </row>
    <row r="43" spans="1:12" x14ac:dyDescent="0.25">
      <c r="A43" s="21"/>
      <c r="B43" s="23"/>
      <c r="C43" s="30"/>
      <c r="D43" s="35">
        <v>0</v>
      </c>
      <c r="E43" s="8"/>
      <c r="F43" s="31" t="str">
        <f t="shared" si="16"/>
        <v xml:space="preserve">N/F  </v>
      </c>
      <c r="G43" s="42">
        <f t="shared" si="17"/>
        <v>0</v>
      </c>
      <c r="H43" s="9">
        <v>21</v>
      </c>
      <c r="I43" s="32">
        <f t="shared" si="18"/>
        <v>0</v>
      </c>
      <c r="J43" s="32"/>
      <c r="K43" s="33">
        <f t="shared" si="19"/>
        <v>0</v>
      </c>
      <c r="L43" s="67"/>
    </row>
    <row r="44" spans="1:12" x14ac:dyDescent="0.25">
      <c r="A44" s="21"/>
      <c r="B44" s="23"/>
      <c r="C44" s="30"/>
      <c r="D44" s="35">
        <v>0</v>
      </c>
      <c r="E44" s="8"/>
      <c r="F44" s="31" t="str">
        <f t="shared" si="16"/>
        <v xml:space="preserve">N/F  </v>
      </c>
      <c r="G44" s="42">
        <f t="shared" si="17"/>
        <v>0</v>
      </c>
      <c r="H44" s="9">
        <v>21</v>
      </c>
      <c r="I44" s="32">
        <f t="shared" si="18"/>
        <v>0</v>
      </c>
      <c r="J44" s="32"/>
      <c r="K44" s="33">
        <f t="shared" si="19"/>
        <v>0</v>
      </c>
      <c r="L44" s="67"/>
    </row>
    <row r="45" spans="1:12" x14ac:dyDescent="0.25">
      <c r="A45" s="21"/>
      <c r="B45" s="23"/>
      <c r="C45" s="30"/>
      <c r="D45" s="35">
        <v>0</v>
      </c>
      <c r="E45" s="8"/>
      <c r="F45" s="31" t="str">
        <f t="shared" si="16"/>
        <v xml:space="preserve">N/F  </v>
      </c>
      <c r="G45" s="42">
        <f t="shared" si="17"/>
        <v>0</v>
      </c>
      <c r="H45" s="9">
        <v>21</v>
      </c>
      <c r="I45" s="32">
        <f t="shared" si="18"/>
        <v>0</v>
      </c>
      <c r="J45" s="32"/>
      <c r="K45" s="33">
        <f t="shared" si="19"/>
        <v>0</v>
      </c>
      <c r="L45" s="67"/>
    </row>
    <row r="46" spans="1:12" x14ac:dyDescent="0.25">
      <c r="A46" s="21"/>
      <c r="B46" s="23"/>
      <c r="C46" s="30"/>
      <c r="D46" s="35">
        <v>0</v>
      </c>
      <c r="E46" s="8"/>
      <c r="F46" s="31" t="str">
        <f t="shared" si="16"/>
        <v xml:space="preserve">N/F  </v>
      </c>
      <c r="G46" s="42">
        <f t="shared" si="17"/>
        <v>0</v>
      </c>
      <c r="H46" s="9">
        <v>21</v>
      </c>
      <c r="I46" s="32">
        <f t="shared" si="18"/>
        <v>0</v>
      </c>
      <c r="J46" s="32"/>
      <c r="K46" s="33">
        <f t="shared" si="19"/>
        <v>0</v>
      </c>
      <c r="L46" s="67"/>
    </row>
    <row r="47" spans="1:12" x14ac:dyDescent="0.25">
      <c r="A47" s="21"/>
      <c r="B47" s="23"/>
      <c r="C47" s="30"/>
      <c r="D47" s="35">
        <v>0</v>
      </c>
      <c r="E47" s="8"/>
      <c r="F47" s="31" t="str">
        <f t="shared" si="16"/>
        <v xml:space="preserve">N/F  </v>
      </c>
      <c r="G47" s="42">
        <f t="shared" si="17"/>
        <v>0</v>
      </c>
      <c r="H47" s="9">
        <v>21</v>
      </c>
      <c r="I47" s="32">
        <f t="shared" si="18"/>
        <v>0</v>
      </c>
      <c r="J47" s="32"/>
      <c r="K47" s="33">
        <f t="shared" si="19"/>
        <v>0</v>
      </c>
      <c r="L47" s="67"/>
    </row>
    <row r="48" spans="1:12" x14ac:dyDescent="0.25">
      <c r="A48" s="21"/>
      <c r="B48" s="23"/>
      <c r="C48" s="30"/>
      <c r="D48" s="35">
        <v>0</v>
      </c>
      <c r="E48" s="8"/>
      <c r="F48" s="31" t="str">
        <f t="shared" si="16"/>
        <v xml:space="preserve">N/F  </v>
      </c>
      <c r="G48" s="42">
        <f t="shared" si="17"/>
        <v>0</v>
      </c>
      <c r="H48" s="9">
        <v>21</v>
      </c>
      <c r="I48" s="32">
        <f t="shared" si="18"/>
        <v>0</v>
      </c>
      <c r="J48" s="32"/>
      <c r="K48" s="33">
        <f t="shared" si="19"/>
        <v>0</v>
      </c>
      <c r="L48" s="67"/>
    </row>
    <row r="49" spans="1:12" x14ac:dyDescent="0.25">
      <c r="A49" s="21"/>
      <c r="B49" s="23"/>
      <c r="C49" s="30"/>
      <c r="D49" s="35">
        <v>0</v>
      </c>
      <c r="E49" s="8"/>
      <c r="F49" s="31" t="str">
        <f t="shared" si="16"/>
        <v xml:space="preserve">N/F  </v>
      </c>
      <c r="G49" s="42">
        <f t="shared" si="17"/>
        <v>0</v>
      </c>
      <c r="H49" s="9">
        <v>21</v>
      </c>
      <c r="I49" s="32">
        <f t="shared" si="18"/>
        <v>0</v>
      </c>
      <c r="J49" s="32"/>
      <c r="K49" s="33">
        <f t="shared" si="19"/>
        <v>0</v>
      </c>
      <c r="L49" s="67"/>
    </row>
    <row r="50" spans="1:12" x14ac:dyDescent="0.25">
      <c r="A50" s="21"/>
      <c r="B50" s="23"/>
      <c r="C50" s="30"/>
      <c r="D50" s="35">
        <v>0</v>
      </c>
      <c r="E50" s="8"/>
      <c r="F50" s="31" t="str">
        <f t="shared" si="16"/>
        <v xml:space="preserve">N/F  </v>
      </c>
      <c r="G50" s="42">
        <f t="shared" si="17"/>
        <v>0</v>
      </c>
      <c r="H50" s="9">
        <v>21</v>
      </c>
      <c r="I50" s="32">
        <f t="shared" si="18"/>
        <v>0</v>
      </c>
      <c r="J50" s="32"/>
      <c r="K50" s="33">
        <f t="shared" si="19"/>
        <v>0</v>
      </c>
      <c r="L50" s="67"/>
    </row>
    <row r="51" spans="1:12" x14ac:dyDescent="0.25">
      <c r="A51" s="21"/>
      <c r="B51" s="23"/>
      <c r="C51" s="30"/>
      <c r="D51" s="35">
        <v>0</v>
      </c>
      <c r="E51" s="8"/>
      <c r="F51" s="31" t="str">
        <f t="shared" si="16"/>
        <v xml:space="preserve">N/F  </v>
      </c>
      <c r="G51" s="42">
        <f t="shared" si="17"/>
        <v>0</v>
      </c>
      <c r="H51" s="9">
        <v>21</v>
      </c>
      <c r="I51" s="32">
        <f t="shared" si="18"/>
        <v>0</v>
      </c>
      <c r="J51" s="32"/>
      <c r="K51" s="33">
        <f t="shared" si="19"/>
        <v>0</v>
      </c>
      <c r="L51" s="67"/>
    </row>
    <row r="52" spans="1:12" x14ac:dyDescent="0.25">
      <c r="A52" s="21"/>
      <c r="B52" s="23"/>
      <c r="C52" s="30"/>
      <c r="D52" s="35">
        <v>0</v>
      </c>
      <c r="E52" s="8"/>
      <c r="F52" s="31" t="str">
        <f t="shared" si="16"/>
        <v xml:space="preserve">N/F  </v>
      </c>
      <c r="G52" s="42">
        <f t="shared" si="17"/>
        <v>0</v>
      </c>
      <c r="H52" s="9">
        <v>21</v>
      </c>
      <c r="I52" s="32">
        <f t="shared" si="18"/>
        <v>0</v>
      </c>
      <c r="J52" s="32"/>
      <c r="K52" s="33">
        <f t="shared" si="19"/>
        <v>0</v>
      </c>
      <c r="L52" s="67"/>
    </row>
    <row r="53" spans="1:12" x14ac:dyDescent="0.25">
      <c r="A53" s="21"/>
      <c r="B53" s="23"/>
      <c r="C53" s="30"/>
      <c r="D53" s="35">
        <v>0</v>
      </c>
      <c r="E53" s="8"/>
      <c r="F53" s="31" t="str">
        <f t="shared" si="16"/>
        <v xml:space="preserve">N/F  </v>
      </c>
      <c r="G53" s="42">
        <f t="shared" si="17"/>
        <v>0</v>
      </c>
      <c r="H53" s="9">
        <v>21</v>
      </c>
      <c r="I53" s="32">
        <f t="shared" si="18"/>
        <v>0</v>
      </c>
      <c r="J53" s="32"/>
      <c r="K53" s="33">
        <f t="shared" si="19"/>
        <v>0</v>
      </c>
      <c r="L53" s="67"/>
    </row>
    <row r="54" spans="1:12" x14ac:dyDescent="0.25">
      <c r="A54" s="21"/>
      <c r="B54" s="23"/>
      <c r="C54" s="30"/>
      <c r="D54" s="35">
        <v>0</v>
      </c>
      <c r="E54" s="8"/>
      <c r="F54" s="31" t="str">
        <f t="shared" si="16"/>
        <v xml:space="preserve">N/F  </v>
      </c>
      <c r="G54" s="42">
        <f t="shared" si="17"/>
        <v>0</v>
      </c>
      <c r="H54" s="9">
        <v>21</v>
      </c>
      <c r="I54" s="32">
        <f t="shared" si="18"/>
        <v>0</v>
      </c>
      <c r="J54" s="32"/>
      <c r="K54" s="33">
        <f t="shared" si="19"/>
        <v>0</v>
      </c>
      <c r="L54" s="67"/>
    </row>
    <row r="55" spans="1:12" x14ac:dyDescent="0.25">
      <c r="A55" s="21"/>
      <c r="B55" s="23"/>
      <c r="C55" s="30"/>
      <c r="D55" s="35">
        <v>0</v>
      </c>
      <c r="E55" s="8"/>
      <c r="F55" s="31" t="str">
        <f t="shared" si="16"/>
        <v xml:space="preserve">N/F  </v>
      </c>
      <c r="G55" s="42">
        <f t="shared" si="17"/>
        <v>0</v>
      </c>
      <c r="H55" s="9">
        <v>21</v>
      </c>
      <c r="I55" s="32">
        <f t="shared" si="18"/>
        <v>0</v>
      </c>
      <c r="J55" s="32"/>
      <c r="K55" s="33">
        <f t="shared" si="19"/>
        <v>0</v>
      </c>
      <c r="L55" s="67"/>
    </row>
    <row r="56" spans="1:12" x14ac:dyDescent="0.25">
      <c r="A56" s="21"/>
      <c r="B56" s="23"/>
      <c r="C56" s="30"/>
      <c r="D56" s="35">
        <v>0</v>
      </c>
      <c r="E56" s="8"/>
      <c r="F56" s="31" t="str">
        <f t="shared" si="16"/>
        <v xml:space="preserve">N/F  </v>
      </c>
      <c r="G56" s="42">
        <f t="shared" si="17"/>
        <v>0</v>
      </c>
      <c r="H56" s="9">
        <v>21</v>
      </c>
      <c r="I56" s="32">
        <f t="shared" si="18"/>
        <v>0</v>
      </c>
      <c r="J56" s="32"/>
      <c r="K56" s="33">
        <f t="shared" si="19"/>
        <v>0</v>
      </c>
      <c r="L56" s="67"/>
    </row>
    <row r="57" spans="1:12" x14ac:dyDescent="0.25">
      <c r="A57" s="21"/>
      <c r="B57" s="30"/>
      <c r="C57" s="30"/>
      <c r="D57" s="35">
        <v>0</v>
      </c>
      <c r="E57" s="8"/>
      <c r="F57" s="31" t="str">
        <f t="shared" si="16"/>
        <v xml:space="preserve">N/F  </v>
      </c>
      <c r="G57" s="42">
        <f t="shared" si="17"/>
        <v>0</v>
      </c>
      <c r="H57" s="9">
        <v>21</v>
      </c>
      <c r="I57" s="32">
        <f t="shared" si="18"/>
        <v>0</v>
      </c>
      <c r="J57" s="32"/>
      <c r="K57" s="33">
        <f t="shared" si="19"/>
        <v>0</v>
      </c>
      <c r="L57" s="67"/>
    </row>
    <row r="58" spans="1:12" x14ac:dyDescent="0.25">
      <c r="A58" s="21"/>
      <c r="B58" s="30"/>
      <c r="C58" s="30"/>
      <c r="D58" s="35">
        <v>0</v>
      </c>
      <c r="E58" s="8"/>
      <c r="F58" s="31" t="str">
        <f t="shared" si="16"/>
        <v xml:space="preserve">N/F  </v>
      </c>
      <c r="G58" s="42">
        <f t="shared" si="17"/>
        <v>0</v>
      </c>
      <c r="H58" s="9">
        <v>21</v>
      </c>
      <c r="I58" s="32">
        <f t="shared" si="18"/>
        <v>0</v>
      </c>
      <c r="J58" s="32"/>
      <c r="K58" s="33">
        <f t="shared" si="19"/>
        <v>0</v>
      </c>
      <c r="L58" s="67"/>
    </row>
    <row r="59" spans="1:12" x14ac:dyDescent="0.25">
      <c r="A59" s="21"/>
      <c r="B59" s="30"/>
      <c r="C59" s="30"/>
      <c r="D59" s="35">
        <v>0</v>
      </c>
      <c r="E59" s="8"/>
      <c r="F59" s="31" t="str">
        <f t="shared" si="16"/>
        <v xml:space="preserve">N/F  </v>
      </c>
      <c r="G59" s="42">
        <f t="shared" si="17"/>
        <v>0</v>
      </c>
      <c r="H59" s="9">
        <v>21</v>
      </c>
      <c r="I59" s="32">
        <f t="shared" si="18"/>
        <v>0</v>
      </c>
      <c r="J59" s="32"/>
      <c r="K59" s="33">
        <f t="shared" si="19"/>
        <v>0</v>
      </c>
      <c r="L59" s="67"/>
    </row>
    <row r="60" spans="1:12" x14ac:dyDescent="0.25">
      <c r="A60" s="21"/>
      <c r="B60" s="30"/>
      <c r="C60" s="30"/>
      <c r="D60" s="35">
        <v>0</v>
      </c>
      <c r="E60" s="8"/>
      <c r="F60" s="31" t="str">
        <f t="shared" si="16"/>
        <v xml:space="preserve">N/F  </v>
      </c>
      <c r="G60" s="42">
        <f t="shared" si="17"/>
        <v>0</v>
      </c>
      <c r="H60" s="9">
        <v>21</v>
      </c>
      <c r="I60" s="32">
        <f t="shared" si="18"/>
        <v>0</v>
      </c>
      <c r="J60" s="32"/>
      <c r="K60" s="33">
        <f t="shared" si="19"/>
        <v>0</v>
      </c>
      <c r="L60" s="67"/>
    </row>
    <row r="61" spans="1:12" x14ac:dyDescent="0.25">
      <c r="A61" s="21"/>
      <c r="B61" s="30"/>
      <c r="C61" s="30"/>
      <c r="D61" s="35">
        <v>0</v>
      </c>
      <c r="E61" s="8"/>
      <c r="F61" s="31" t="str">
        <f t="shared" si="16"/>
        <v xml:space="preserve">N/F  </v>
      </c>
      <c r="G61" s="42">
        <f t="shared" si="17"/>
        <v>0</v>
      </c>
      <c r="H61" s="9">
        <v>21</v>
      </c>
      <c r="I61" s="32">
        <f t="shared" si="18"/>
        <v>0</v>
      </c>
      <c r="J61" s="32"/>
      <c r="K61" s="33">
        <f t="shared" si="19"/>
        <v>0</v>
      </c>
      <c r="L61" s="67"/>
    </row>
    <row r="62" spans="1:12" x14ac:dyDescent="0.25">
      <c r="A62" s="21"/>
      <c r="B62" s="30"/>
      <c r="C62" s="30"/>
      <c r="D62" s="35">
        <v>0</v>
      </c>
      <c r="E62" s="8"/>
      <c r="F62" s="31" t="str">
        <f t="shared" si="16"/>
        <v xml:space="preserve">N/F  </v>
      </c>
      <c r="G62" s="42">
        <f t="shared" si="17"/>
        <v>0</v>
      </c>
      <c r="H62" s="9">
        <v>21</v>
      </c>
      <c r="I62" s="32">
        <f t="shared" si="18"/>
        <v>0</v>
      </c>
      <c r="J62" s="32"/>
      <c r="K62" s="33">
        <f t="shared" si="19"/>
        <v>0</v>
      </c>
      <c r="L62" s="67"/>
    </row>
    <row r="63" spans="1:12" x14ac:dyDescent="0.25">
      <c r="A63" s="21"/>
      <c r="B63" s="30"/>
      <c r="C63" s="30"/>
      <c r="D63" s="35">
        <v>0</v>
      </c>
      <c r="E63" s="8"/>
      <c r="F63" s="31" t="str">
        <f t="shared" si="16"/>
        <v xml:space="preserve">N/F  </v>
      </c>
      <c r="G63" s="42">
        <f t="shared" si="17"/>
        <v>0</v>
      </c>
      <c r="H63" s="9">
        <v>21</v>
      </c>
      <c r="I63" s="32">
        <f t="shared" si="18"/>
        <v>0</v>
      </c>
      <c r="J63" s="32"/>
      <c r="K63" s="33">
        <f t="shared" si="19"/>
        <v>0</v>
      </c>
      <c r="L63" s="67"/>
    </row>
    <row r="64" spans="1:12" x14ac:dyDescent="0.25">
      <c r="A64" s="21"/>
      <c r="B64" s="30"/>
      <c r="C64" s="30"/>
      <c r="D64" s="35">
        <v>0</v>
      </c>
      <c r="E64" s="8"/>
      <c r="F64" s="31" t="str">
        <f t="shared" si="16"/>
        <v xml:space="preserve">N/F  </v>
      </c>
      <c r="G64" s="42">
        <f t="shared" si="17"/>
        <v>0</v>
      </c>
      <c r="H64" s="9">
        <v>21</v>
      </c>
      <c r="I64" s="32">
        <f t="shared" si="18"/>
        <v>0</v>
      </c>
      <c r="J64" s="32"/>
      <c r="K64" s="33">
        <f t="shared" si="19"/>
        <v>0</v>
      </c>
      <c r="L64" s="67"/>
    </row>
    <row r="65" spans="1:12" x14ac:dyDescent="0.25">
      <c r="A65" s="21"/>
      <c r="B65" s="30"/>
      <c r="C65" s="30"/>
      <c r="D65" s="35">
        <v>0</v>
      </c>
      <c r="E65" s="8"/>
      <c r="F65" s="31" t="str">
        <f t="shared" si="16"/>
        <v xml:space="preserve">N/F  </v>
      </c>
      <c r="G65" s="42">
        <f t="shared" si="17"/>
        <v>0</v>
      </c>
      <c r="H65" s="9">
        <v>21</v>
      </c>
      <c r="I65" s="32">
        <f t="shared" si="18"/>
        <v>0</v>
      </c>
      <c r="J65" s="32"/>
      <c r="K65" s="33">
        <f t="shared" si="19"/>
        <v>0</v>
      </c>
      <c r="L65" s="67"/>
    </row>
    <row r="66" spans="1:12" x14ac:dyDescent="0.25">
      <c r="A66" s="21"/>
      <c r="B66" s="30"/>
      <c r="C66" s="30"/>
      <c r="D66" s="35">
        <v>0</v>
      </c>
      <c r="E66" s="8"/>
      <c r="F66" s="31" t="str">
        <f t="shared" si="16"/>
        <v xml:space="preserve">N/F  </v>
      </c>
      <c r="G66" s="42">
        <f t="shared" si="17"/>
        <v>0</v>
      </c>
      <c r="H66" s="9">
        <v>21</v>
      </c>
      <c r="I66" s="32">
        <f t="shared" si="18"/>
        <v>0</v>
      </c>
      <c r="J66" s="32"/>
      <c r="K66" s="33">
        <f t="shared" si="19"/>
        <v>0</v>
      </c>
      <c r="L66" s="67"/>
    </row>
    <row r="67" spans="1:12" x14ac:dyDescent="0.25">
      <c r="A67" s="21"/>
      <c r="B67" s="30"/>
      <c r="C67" s="30"/>
      <c r="D67" s="35">
        <v>0</v>
      </c>
      <c r="E67" s="8"/>
      <c r="F67" s="31" t="str">
        <f t="shared" si="16"/>
        <v xml:space="preserve">N/F  </v>
      </c>
      <c r="G67" s="42">
        <f t="shared" si="17"/>
        <v>0</v>
      </c>
      <c r="H67" s="9">
        <v>21</v>
      </c>
      <c r="I67" s="32">
        <f t="shared" si="18"/>
        <v>0</v>
      </c>
      <c r="J67" s="32"/>
      <c r="K67" s="33">
        <f t="shared" si="19"/>
        <v>0</v>
      </c>
      <c r="L67" s="67"/>
    </row>
    <row r="68" spans="1:12" x14ac:dyDescent="0.25">
      <c r="A68" s="21"/>
      <c r="B68" s="30"/>
      <c r="C68" s="30"/>
      <c r="D68" s="35">
        <v>0</v>
      </c>
      <c r="E68" s="8"/>
      <c r="F68" s="31" t="str">
        <f t="shared" si="16"/>
        <v xml:space="preserve">N/F  </v>
      </c>
      <c r="G68" s="42">
        <f t="shared" si="17"/>
        <v>0</v>
      </c>
      <c r="H68" s="9">
        <v>21</v>
      </c>
      <c r="I68" s="32">
        <f t="shared" si="18"/>
        <v>0</v>
      </c>
      <c r="J68" s="32"/>
      <c r="K68" s="33">
        <f t="shared" si="19"/>
        <v>0</v>
      </c>
      <c r="L68" s="67"/>
    </row>
    <row r="69" spans="1:12" x14ac:dyDescent="0.25">
      <c r="A69" s="21"/>
      <c r="B69" s="30"/>
      <c r="C69" s="30"/>
      <c r="D69" s="35">
        <v>0</v>
      </c>
      <c r="E69" s="8"/>
      <c r="F69" s="31" t="str">
        <f t="shared" si="16"/>
        <v xml:space="preserve">N/F  </v>
      </c>
      <c r="G69" s="42">
        <f t="shared" si="17"/>
        <v>0</v>
      </c>
      <c r="H69" s="9">
        <v>21</v>
      </c>
      <c r="I69" s="32">
        <f t="shared" si="18"/>
        <v>0</v>
      </c>
      <c r="J69" s="32"/>
      <c r="K69" s="33">
        <f t="shared" si="19"/>
        <v>0</v>
      </c>
      <c r="L69" s="67"/>
    </row>
    <row r="70" spans="1:12" x14ac:dyDescent="0.25">
      <c r="A70" s="21"/>
      <c r="B70" s="30"/>
      <c r="C70" s="30"/>
      <c r="D70" s="35">
        <v>0</v>
      </c>
      <c r="E70" s="8"/>
      <c r="F70" s="31" t="str">
        <f t="shared" si="16"/>
        <v xml:space="preserve">N/F  </v>
      </c>
      <c r="G70" s="42">
        <f t="shared" si="17"/>
        <v>0</v>
      </c>
      <c r="H70" s="9">
        <v>21</v>
      </c>
      <c r="I70" s="32">
        <f t="shared" si="18"/>
        <v>0</v>
      </c>
      <c r="J70" s="32"/>
      <c r="K70" s="33">
        <f t="shared" si="19"/>
        <v>0</v>
      </c>
      <c r="L70" s="67"/>
    </row>
    <row r="71" spans="1:12" x14ac:dyDescent="0.25">
      <c r="A71" s="21"/>
      <c r="B71" s="30"/>
      <c r="C71" s="30"/>
      <c r="D71" s="35">
        <v>0</v>
      </c>
      <c r="E71" s="8"/>
      <c r="F71" s="31" t="str">
        <f t="shared" si="16"/>
        <v xml:space="preserve">N/F  </v>
      </c>
      <c r="G71" s="42">
        <f t="shared" si="17"/>
        <v>0</v>
      </c>
      <c r="H71" s="9">
        <v>21</v>
      </c>
      <c r="I71" s="32">
        <f t="shared" si="18"/>
        <v>0</v>
      </c>
      <c r="J71" s="32"/>
      <c r="K71" s="33">
        <f t="shared" si="19"/>
        <v>0</v>
      </c>
      <c r="L71" s="67"/>
    </row>
    <row r="72" spans="1:12" x14ac:dyDescent="0.25">
      <c r="A72" s="21"/>
      <c r="B72" s="30"/>
      <c r="C72" s="30"/>
      <c r="D72" s="35">
        <v>0</v>
      </c>
      <c r="E72" s="8"/>
      <c r="F72" s="31" t="str">
        <f t="shared" si="16"/>
        <v xml:space="preserve">N/F  </v>
      </c>
      <c r="G72" s="42">
        <f t="shared" si="17"/>
        <v>0</v>
      </c>
      <c r="H72" s="9">
        <v>21</v>
      </c>
      <c r="I72" s="32">
        <f t="shared" si="18"/>
        <v>0</v>
      </c>
      <c r="J72" s="32"/>
      <c r="K72" s="33">
        <f t="shared" si="19"/>
        <v>0</v>
      </c>
      <c r="L72" s="67"/>
    </row>
    <row r="73" spans="1:12" x14ac:dyDescent="0.25">
      <c r="A73" s="21"/>
      <c r="B73" s="30"/>
      <c r="C73" s="30"/>
      <c r="D73" s="35">
        <v>0</v>
      </c>
      <c r="E73" s="8"/>
      <c r="F73" s="31" t="str">
        <f t="shared" si="16"/>
        <v xml:space="preserve">N/F  </v>
      </c>
      <c r="G73" s="42">
        <f t="shared" si="17"/>
        <v>0</v>
      </c>
      <c r="H73" s="9">
        <v>21</v>
      </c>
      <c r="I73" s="32">
        <f t="shared" si="18"/>
        <v>0</v>
      </c>
      <c r="J73" s="32"/>
      <c r="K73" s="33">
        <f t="shared" si="19"/>
        <v>0</v>
      </c>
      <c r="L73" s="67"/>
    </row>
    <row r="74" spans="1:12" x14ac:dyDescent="0.25">
      <c r="A74" s="21"/>
      <c r="B74" s="30"/>
      <c r="C74" s="30"/>
      <c r="D74" s="35">
        <v>0</v>
      </c>
      <c r="E74" s="8"/>
      <c r="F74" s="31" t="str">
        <f t="shared" si="16"/>
        <v xml:space="preserve">N/F  </v>
      </c>
      <c r="G74" s="42">
        <f t="shared" si="17"/>
        <v>0</v>
      </c>
      <c r="H74" s="9">
        <v>21</v>
      </c>
      <c r="I74" s="32">
        <f t="shared" si="18"/>
        <v>0</v>
      </c>
      <c r="J74" s="32"/>
      <c r="K74" s="33">
        <f t="shared" si="19"/>
        <v>0</v>
      </c>
      <c r="L74" s="67"/>
    </row>
    <row r="75" spans="1:12" x14ac:dyDescent="0.25">
      <c r="A75" s="21"/>
      <c r="B75" s="30"/>
      <c r="C75" s="30"/>
      <c r="D75" s="35">
        <v>0</v>
      </c>
      <c r="E75" s="8"/>
      <c r="F75" s="31" t="str">
        <f t="shared" si="16"/>
        <v xml:space="preserve">N/F  </v>
      </c>
      <c r="G75" s="42">
        <f t="shared" si="17"/>
        <v>0</v>
      </c>
      <c r="H75" s="9">
        <v>21</v>
      </c>
      <c r="I75" s="32">
        <f t="shared" si="18"/>
        <v>0</v>
      </c>
      <c r="J75" s="32"/>
      <c r="K75" s="33">
        <f t="shared" si="19"/>
        <v>0</v>
      </c>
      <c r="L75" s="67"/>
    </row>
    <row r="76" spans="1:12" x14ac:dyDescent="0.25">
      <c r="A76" s="21"/>
      <c r="B76" s="30"/>
      <c r="C76" s="30"/>
      <c r="D76" s="35">
        <v>0</v>
      </c>
      <c r="E76" s="8"/>
      <c r="F76" s="31" t="str">
        <f t="shared" si="16"/>
        <v xml:space="preserve">N/F  </v>
      </c>
      <c r="G76" s="42">
        <f t="shared" si="17"/>
        <v>0</v>
      </c>
      <c r="H76" s="9">
        <v>21</v>
      </c>
      <c r="I76" s="32">
        <f t="shared" si="18"/>
        <v>0</v>
      </c>
      <c r="J76" s="32"/>
      <c r="K76" s="33">
        <f t="shared" si="19"/>
        <v>0</v>
      </c>
      <c r="L76" s="67"/>
    </row>
    <row r="77" spans="1:12" x14ac:dyDescent="0.25">
      <c r="A77" s="21"/>
      <c r="B77" s="30"/>
      <c r="C77" s="30"/>
      <c r="D77" s="35">
        <v>0</v>
      </c>
      <c r="E77" s="8"/>
      <c r="F77" s="31" t="str">
        <f t="shared" si="16"/>
        <v xml:space="preserve">N/F  </v>
      </c>
      <c r="G77" s="42">
        <f t="shared" si="17"/>
        <v>0</v>
      </c>
      <c r="H77" s="9">
        <v>21</v>
      </c>
      <c r="I77" s="32">
        <f t="shared" si="18"/>
        <v>0</v>
      </c>
      <c r="J77" s="32"/>
      <c r="K77" s="33">
        <f t="shared" si="19"/>
        <v>0</v>
      </c>
      <c r="L77" s="67"/>
    </row>
    <row r="78" spans="1:12" x14ac:dyDescent="0.25">
      <c r="A78" s="21"/>
      <c r="B78" s="30"/>
      <c r="C78" s="30"/>
      <c r="D78" s="35">
        <v>0</v>
      </c>
      <c r="E78" s="8"/>
      <c r="F78" s="31" t="str">
        <f t="shared" si="16"/>
        <v xml:space="preserve">N/F  </v>
      </c>
      <c r="G78" s="42">
        <f t="shared" si="17"/>
        <v>0</v>
      </c>
      <c r="H78" s="9">
        <v>21</v>
      </c>
      <c r="I78" s="32">
        <f t="shared" si="18"/>
        <v>0</v>
      </c>
      <c r="J78" s="32"/>
      <c r="K78" s="33">
        <f t="shared" si="19"/>
        <v>0</v>
      </c>
      <c r="L78" s="67"/>
    </row>
    <row r="79" spans="1:12" x14ac:dyDescent="0.25">
      <c r="A79" s="21"/>
      <c r="B79" s="30"/>
      <c r="C79" s="30"/>
      <c r="D79" s="35">
        <v>0</v>
      </c>
      <c r="E79" s="8"/>
      <c r="F79" s="31" t="str">
        <f t="shared" si="16"/>
        <v xml:space="preserve">N/F  </v>
      </c>
      <c r="G79" s="42">
        <f t="shared" si="17"/>
        <v>0</v>
      </c>
      <c r="H79" s="9">
        <v>21</v>
      </c>
      <c r="I79" s="32">
        <f t="shared" si="18"/>
        <v>0</v>
      </c>
      <c r="J79" s="32"/>
      <c r="K79" s="33">
        <f t="shared" si="19"/>
        <v>0</v>
      </c>
      <c r="L79" s="67"/>
    </row>
    <row r="80" spans="1:12" x14ac:dyDescent="0.25">
      <c r="A80" s="21"/>
      <c r="B80" s="30"/>
      <c r="C80" s="30"/>
      <c r="D80" s="35">
        <v>0</v>
      </c>
      <c r="E80" s="8"/>
      <c r="F80" s="31" t="str">
        <f t="shared" si="16"/>
        <v xml:space="preserve">N/F  </v>
      </c>
      <c r="G80" s="42">
        <f t="shared" si="17"/>
        <v>0</v>
      </c>
      <c r="H80" s="9">
        <v>21</v>
      </c>
      <c r="I80" s="32">
        <f t="shared" si="18"/>
        <v>0</v>
      </c>
      <c r="J80" s="32"/>
      <c r="K80" s="33">
        <f t="shared" si="19"/>
        <v>0</v>
      </c>
      <c r="L80" s="67"/>
    </row>
    <row r="81" spans="1:12" x14ac:dyDescent="0.25">
      <c r="A81" s="21"/>
      <c r="B81" s="30"/>
      <c r="C81" s="30"/>
      <c r="D81" s="35">
        <v>0</v>
      </c>
      <c r="E81" s="8"/>
      <c r="F81" s="31" t="str">
        <f t="shared" si="16"/>
        <v xml:space="preserve">N/F  </v>
      </c>
      <c r="G81" s="42">
        <f t="shared" si="17"/>
        <v>0</v>
      </c>
      <c r="H81" s="9">
        <v>21</v>
      </c>
      <c r="I81" s="32">
        <f t="shared" si="18"/>
        <v>0</v>
      </c>
      <c r="J81" s="32"/>
      <c r="K81" s="33">
        <f t="shared" si="19"/>
        <v>0</v>
      </c>
      <c r="L81" s="67"/>
    </row>
    <row r="82" spans="1:12" x14ac:dyDescent="0.25">
      <c r="A82" s="21"/>
      <c r="B82" s="30"/>
      <c r="C82" s="30"/>
      <c r="D82" s="35">
        <v>0</v>
      </c>
      <c r="E82" s="8"/>
      <c r="F82" s="31" t="str">
        <f t="shared" si="16"/>
        <v xml:space="preserve">N/F  </v>
      </c>
      <c r="G82" s="42">
        <f t="shared" si="17"/>
        <v>0</v>
      </c>
      <c r="H82" s="9">
        <v>21</v>
      </c>
      <c r="I82" s="32">
        <f t="shared" si="18"/>
        <v>0</v>
      </c>
      <c r="J82" s="32"/>
      <c r="K82" s="33">
        <f t="shared" si="19"/>
        <v>0</v>
      </c>
      <c r="L82" s="67"/>
    </row>
    <row r="83" spans="1:12" x14ac:dyDescent="0.25">
      <c r="A83" s="21"/>
      <c r="B83" s="30"/>
      <c r="C83" s="30"/>
      <c r="D83" s="35">
        <v>0</v>
      </c>
      <c r="E83" s="8"/>
      <c r="F83" s="31" t="str">
        <f t="shared" si="16"/>
        <v xml:space="preserve">N/F  </v>
      </c>
      <c r="G83" s="42">
        <f t="shared" si="17"/>
        <v>0</v>
      </c>
      <c r="H83" s="9">
        <v>21</v>
      </c>
      <c r="I83" s="32">
        <f t="shared" si="18"/>
        <v>0</v>
      </c>
      <c r="J83" s="32"/>
      <c r="K83" s="33">
        <f t="shared" si="19"/>
        <v>0</v>
      </c>
      <c r="L83" s="67"/>
    </row>
    <row r="84" spans="1:12" x14ac:dyDescent="0.25">
      <c r="A84" s="21"/>
      <c r="B84" s="30"/>
      <c r="C84" s="30"/>
      <c r="D84" s="35">
        <v>0</v>
      </c>
      <c r="E84" s="8"/>
      <c r="F84" s="31" t="str">
        <f t="shared" si="16"/>
        <v xml:space="preserve">N/F  </v>
      </c>
      <c r="G84" s="42">
        <f t="shared" si="17"/>
        <v>0</v>
      </c>
      <c r="H84" s="9">
        <v>21</v>
      </c>
      <c r="I84" s="32">
        <f t="shared" si="18"/>
        <v>0</v>
      </c>
      <c r="J84" s="32"/>
      <c r="K84" s="33">
        <f t="shared" si="19"/>
        <v>0</v>
      </c>
      <c r="L84" s="67"/>
    </row>
    <row r="85" spans="1:12" x14ac:dyDescent="0.25">
      <c r="A85" s="21"/>
      <c r="B85" s="30"/>
      <c r="C85" s="30"/>
      <c r="D85" s="35">
        <v>0</v>
      </c>
      <c r="E85" s="8"/>
      <c r="F85" s="31" t="str">
        <f t="shared" si="16"/>
        <v xml:space="preserve">N/F  </v>
      </c>
      <c r="G85" s="42">
        <f t="shared" si="17"/>
        <v>0</v>
      </c>
      <c r="H85" s="9">
        <v>21</v>
      </c>
      <c r="I85" s="32">
        <f t="shared" si="18"/>
        <v>0</v>
      </c>
      <c r="J85" s="32"/>
      <c r="K85" s="33">
        <f t="shared" si="19"/>
        <v>0</v>
      </c>
      <c r="L85" s="67"/>
    </row>
    <row r="86" spans="1:12" x14ac:dyDescent="0.25">
      <c r="A86" s="21"/>
      <c r="B86" s="30"/>
      <c r="C86" s="30"/>
      <c r="D86" s="35">
        <v>0</v>
      </c>
      <c r="E86" s="8"/>
      <c r="F86" s="31" t="str">
        <f t="shared" si="16"/>
        <v xml:space="preserve">N/F  </v>
      </c>
      <c r="G86" s="42">
        <f t="shared" si="17"/>
        <v>0</v>
      </c>
      <c r="H86" s="9">
        <v>21</v>
      </c>
      <c r="I86" s="32">
        <f t="shared" si="18"/>
        <v>0</v>
      </c>
      <c r="J86" s="32"/>
      <c r="K86" s="33">
        <f t="shared" si="19"/>
        <v>0</v>
      </c>
      <c r="L86" s="67"/>
    </row>
    <row r="87" spans="1:12" x14ac:dyDescent="0.25">
      <c r="A87" s="21"/>
      <c r="B87" s="30"/>
      <c r="C87" s="30"/>
      <c r="D87" s="35">
        <v>0</v>
      </c>
      <c r="E87" s="8"/>
      <c r="F87" s="31" t="str">
        <f t="shared" si="16"/>
        <v xml:space="preserve">N/F  </v>
      </c>
      <c r="G87" s="42">
        <f t="shared" si="17"/>
        <v>0</v>
      </c>
      <c r="H87" s="9">
        <v>21</v>
      </c>
      <c r="I87" s="32">
        <f t="shared" si="18"/>
        <v>0</v>
      </c>
      <c r="J87" s="32"/>
      <c r="K87" s="33">
        <f t="shared" si="19"/>
        <v>0</v>
      </c>
      <c r="L87" s="67"/>
    </row>
    <row r="88" spans="1:12" x14ac:dyDescent="0.25">
      <c r="A88" s="21"/>
      <c r="B88" s="30"/>
      <c r="C88" s="30"/>
      <c r="D88" s="35">
        <v>0</v>
      </c>
      <c r="E88" s="8"/>
      <c r="F88" s="31" t="str">
        <f t="shared" si="16"/>
        <v xml:space="preserve">N/F  </v>
      </c>
      <c r="G88" s="42">
        <f t="shared" si="17"/>
        <v>0</v>
      </c>
      <c r="H88" s="9">
        <v>21</v>
      </c>
      <c r="I88" s="32">
        <f t="shared" si="18"/>
        <v>0</v>
      </c>
      <c r="J88" s="32"/>
      <c r="K88" s="33">
        <f t="shared" si="19"/>
        <v>0</v>
      </c>
      <c r="L88" s="67"/>
    </row>
    <row r="89" spans="1:12" x14ac:dyDescent="0.25">
      <c r="A89" s="21"/>
      <c r="B89" s="30"/>
      <c r="C89" s="30"/>
      <c r="D89" s="35">
        <v>0</v>
      </c>
      <c r="E89" s="8"/>
      <c r="F89" s="31" t="str">
        <f t="shared" si="16"/>
        <v xml:space="preserve">N/F  </v>
      </c>
      <c r="G89" s="42">
        <f t="shared" si="17"/>
        <v>0</v>
      </c>
      <c r="H89" s="9">
        <v>21</v>
      </c>
      <c r="I89" s="32">
        <f t="shared" si="18"/>
        <v>0</v>
      </c>
      <c r="J89" s="32"/>
      <c r="K89" s="33">
        <f t="shared" si="19"/>
        <v>0</v>
      </c>
      <c r="L89" s="67"/>
    </row>
    <row r="90" spans="1:12" x14ac:dyDescent="0.25">
      <c r="A90" s="21"/>
      <c r="B90" s="30"/>
      <c r="C90" s="30"/>
      <c r="D90" s="35">
        <v>0</v>
      </c>
      <c r="E90" s="8"/>
      <c r="F90" s="31" t="str">
        <f t="shared" si="16"/>
        <v xml:space="preserve">N/F  </v>
      </c>
      <c r="G90" s="42">
        <f t="shared" si="17"/>
        <v>0</v>
      </c>
      <c r="H90" s="9">
        <v>21</v>
      </c>
      <c r="I90" s="32">
        <f t="shared" si="18"/>
        <v>0</v>
      </c>
      <c r="J90" s="32"/>
      <c r="K90" s="33">
        <f t="shared" si="19"/>
        <v>0</v>
      </c>
      <c r="L90" s="67"/>
    </row>
    <row r="91" spans="1:12" x14ac:dyDescent="0.25">
      <c r="A91" s="21"/>
      <c r="B91" s="30"/>
      <c r="C91" s="30"/>
      <c r="D91" s="35">
        <v>0</v>
      </c>
      <c r="E91" s="8"/>
      <c r="F91" s="31" t="str">
        <f t="shared" si="16"/>
        <v xml:space="preserve">N/F  </v>
      </c>
      <c r="G91" s="42">
        <f t="shared" si="17"/>
        <v>0</v>
      </c>
      <c r="H91" s="9">
        <v>21</v>
      </c>
      <c r="I91" s="32">
        <f t="shared" si="18"/>
        <v>0</v>
      </c>
      <c r="J91" s="32"/>
      <c r="K91" s="33">
        <f t="shared" si="19"/>
        <v>0</v>
      </c>
      <c r="L91" s="67"/>
    </row>
    <row r="92" spans="1:12" x14ac:dyDescent="0.25">
      <c r="A92" s="21"/>
      <c r="B92" s="30"/>
      <c r="C92" s="30"/>
      <c r="D92" s="35">
        <v>0</v>
      </c>
      <c r="E92" s="8"/>
      <c r="F92" s="31" t="str">
        <f t="shared" si="16"/>
        <v xml:space="preserve">N/F  </v>
      </c>
      <c r="G92" s="42">
        <f t="shared" si="17"/>
        <v>0</v>
      </c>
      <c r="H92" s="9">
        <v>21</v>
      </c>
      <c r="I92" s="32">
        <f t="shared" si="18"/>
        <v>0</v>
      </c>
      <c r="J92" s="32"/>
      <c r="K92" s="33">
        <f t="shared" si="19"/>
        <v>0</v>
      </c>
      <c r="L92" s="67"/>
    </row>
    <row r="93" spans="1:12" x14ac:dyDescent="0.25">
      <c r="A93" s="21"/>
      <c r="B93" s="30"/>
      <c r="C93" s="30"/>
      <c r="D93" s="35">
        <v>0</v>
      </c>
      <c r="E93" s="8"/>
      <c r="F93" s="31" t="str">
        <f t="shared" si="16"/>
        <v xml:space="preserve">N/F  </v>
      </c>
      <c r="G93" s="42">
        <f t="shared" si="17"/>
        <v>0</v>
      </c>
      <c r="H93" s="9">
        <v>21</v>
      </c>
      <c r="I93" s="32">
        <f t="shared" si="18"/>
        <v>0</v>
      </c>
      <c r="J93" s="32"/>
      <c r="K93" s="33">
        <f t="shared" si="19"/>
        <v>0</v>
      </c>
      <c r="L93" s="67"/>
    </row>
    <row r="94" spans="1:12" x14ac:dyDescent="0.25">
      <c r="A94" s="21"/>
      <c r="B94" s="30"/>
      <c r="C94" s="30"/>
      <c r="D94" s="35">
        <v>0</v>
      </c>
      <c r="E94" s="8"/>
      <c r="F94" s="31" t="str">
        <f t="shared" si="16"/>
        <v xml:space="preserve">N/F  </v>
      </c>
      <c r="G94" s="42">
        <f t="shared" si="17"/>
        <v>0</v>
      </c>
      <c r="H94" s="9">
        <v>21</v>
      </c>
      <c r="I94" s="32">
        <f t="shared" si="18"/>
        <v>0</v>
      </c>
      <c r="J94" s="32"/>
      <c r="K94" s="33">
        <f t="shared" si="19"/>
        <v>0</v>
      </c>
      <c r="L94" s="67"/>
    </row>
    <row r="95" spans="1:12" x14ac:dyDescent="0.25">
      <c r="A95" s="21"/>
      <c r="B95" s="30"/>
      <c r="C95" s="30"/>
      <c r="D95" s="35">
        <v>0</v>
      </c>
      <c r="E95" s="8"/>
      <c r="F95" s="31" t="str">
        <f t="shared" si="16"/>
        <v xml:space="preserve">N/F  </v>
      </c>
      <c r="G95" s="42">
        <f t="shared" si="17"/>
        <v>0</v>
      </c>
      <c r="H95" s="9">
        <v>21</v>
      </c>
      <c r="I95" s="32">
        <f t="shared" si="18"/>
        <v>0</v>
      </c>
      <c r="J95" s="32"/>
      <c r="K95" s="33">
        <f t="shared" si="19"/>
        <v>0</v>
      </c>
      <c r="L95" s="67"/>
    </row>
    <row r="96" spans="1:12" x14ac:dyDescent="0.25">
      <c r="A96" s="21"/>
      <c r="B96" s="30"/>
      <c r="C96" s="30"/>
      <c r="D96" s="35">
        <v>0</v>
      </c>
      <c r="E96" s="8"/>
      <c r="F96" s="31" t="str">
        <f t="shared" si="16"/>
        <v xml:space="preserve">N/F  </v>
      </c>
      <c r="G96" s="42">
        <f t="shared" si="17"/>
        <v>0</v>
      </c>
      <c r="H96" s="9">
        <v>21</v>
      </c>
      <c r="I96" s="32">
        <f t="shared" si="18"/>
        <v>0</v>
      </c>
      <c r="J96" s="32"/>
      <c r="K96" s="33">
        <f t="shared" si="19"/>
        <v>0</v>
      </c>
      <c r="L96" s="67"/>
    </row>
    <row r="97" spans="1:12" x14ac:dyDescent="0.25">
      <c r="A97" s="21"/>
      <c r="B97" s="30"/>
      <c r="C97" s="30"/>
      <c r="D97" s="35">
        <v>0</v>
      </c>
      <c r="E97" s="8"/>
      <c r="F97" s="31" t="str">
        <f t="shared" si="16"/>
        <v xml:space="preserve">N/F  </v>
      </c>
      <c r="G97" s="42">
        <f t="shared" si="17"/>
        <v>0</v>
      </c>
      <c r="H97" s="9">
        <v>21</v>
      </c>
      <c r="I97" s="32">
        <f t="shared" si="18"/>
        <v>0</v>
      </c>
      <c r="J97" s="32"/>
      <c r="K97" s="33">
        <f t="shared" si="19"/>
        <v>0</v>
      </c>
      <c r="L97" s="67"/>
    </row>
    <row r="98" spans="1:12" x14ac:dyDescent="0.25">
      <c r="A98" s="21"/>
      <c r="B98" s="30"/>
      <c r="C98" s="30"/>
      <c r="D98" s="35">
        <v>0</v>
      </c>
      <c r="E98" s="8"/>
      <c r="F98" s="31" t="str">
        <f t="shared" si="16"/>
        <v xml:space="preserve">N/F  </v>
      </c>
      <c r="G98" s="42">
        <f t="shared" si="17"/>
        <v>0</v>
      </c>
      <c r="H98" s="9">
        <v>21</v>
      </c>
      <c r="I98" s="32">
        <f t="shared" si="18"/>
        <v>0</v>
      </c>
      <c r="J98" s="32"/>
      <c r="K98" s="33">
        <f t="shared" si="19"/>
        <v>0</v>
      </c>
      <c r="L98" s="67"/>
    </row>
    <row r="99" spans="1:12" x14ac:dyDescent="0.25">
      <c r="A99" s="21"/>
      <c r="B99" s="30"/>
      <c r="C99" s="30"/>
      <c r="D99" s="35">
        <v>0</v>
      </c>
      <c r="E99" s="8"/>
      <c r="F99" s="31" t="str">
        <f t="shared" si="16"/>
        <v xml:space="preserve">N/F  </v>
      </c>
      <c r="G99" s="42">
        <f t="shared" si="17"/>
        <v>0</v>
      </c>
      <c r="H99" s="9">
        <v>21</v>
      </c>
      <c r="I99" s="32">
        <f t="shared" si="18"/>
        <v>0</v>
      </c>
      <c r="J99" s="32"/>
      <c r="K99" s="33">
        <f t="shared" si="19"/>
        <v>0</v>
      </c>
      <c r="L99" s="67"/>
    </row>
    <row r="100" spans="1:12" x14ac:dyDescent="0.25">
      <c r="A100" s="21"/>
      <c r="B100" s="30"/>
      <c r="C100" s="30"/>
      <c r="D100" s="35">
        <v>0</v>
      </c>
      <c r="E100" s="8"/>
      <c r="F100" s="31" t="str">
        <f t="shared" si="16"/>
        <v xml:space="preserve">N/F  </v>
      </c>
      <c r="G100" s="42">
        <f t="shared" si="17"/>
        <v>0</v>
      </c>
      <c r="H100" s="9">
        <v>21</v>
      </c>
      <c r="I100" s="32">
        <f t="shared" si="18"/>
        <v>0</v>
      </c>
      <c r="J100" s="32"/>
      <c r="K100" s="33">
        <f t="shared" si="19"/>
        <v>0</v>
      </c>
      <c r="L100" s="67"/>
    </row>
    <row r="101" spans="1:12" x14ac:dyDescent="0.25">
      <c r="A101" s="21"/>
      <c r="B101" s="30"/>
      <c r="C101" s="30"/>
      <c r="D101" s="35">
        <v>0</v>
      </c>
      <c r="E101" s="8"/>
      <c r="F101" s="31" t="str">
        <f t="shared" si="16"/>
        <v xml:space="preserve">N/F  </v>
      </c>
      <c r="G101" s="42">
        <f t="shared" si="17"/>
        <v>0</v>
      </c>
      <c r="H101" s="9">
        <v>21</v>
      </c>
      <c r="I101" s="32">
        <f t="shared" si="18"/>
        <v>0</v>
      </c>
      <c r="J101" s="32"/>
      <c r="K101" s="33">
        <f t="shared" si="19"/>
        <v>0</v>
      </c>
      <c r="L101" s="67"/>
    </row>
    <row r="102" spans="1:12" x14ac:dyDescent="0.25">
      <c r="A102" s="21"/>
      <c r="B102" s="30"/>
      <c r="C102" s="30"/>
      <c r="D102" s="35">
        <v>0</v>
      </c>
      <c r="E102" s="8"/>
      <c r="F102" s="31" t="str">
        <f t="shared" si="16"/>
        <v xml:space="preserve">N/F  </v>
      </c>
      <c r="G102" s="42">
        <f t="shared" si="17"/>
        <v>0</v>
      </c>
      <c r="H102" s="9">
        <v>21</v>
      </c>
      <c r="I102" s="32">
        <f t="shared" si="18"/>
        <v>0</v>
      </c>
      <c r="J102" s="32"/>
      <c r="K102" s="33">
        <f t="shared" si="19"/>
        <v>0</v>
      </c>
      <c r="L102" s="67"/>
    </row>
    <row r="103" spans="1:12" x14ac:dyDescent="0.25">
      <c r="A103" s="21"/>
      <c r="B103" s="30"/>
      <c r="C103" s="30"/>
      <c r="D103" s="35">
        <v>0</v>
      </c>
      <c r="E103" s="8"/>
      <c r="F103" s="31" t="str">
        <f t="shared" si="16"/>
        <v xml:space="preserve">N/F  </v>
      </c>
      <c r="G103" s="42">
        <f t="shared" si="17"/>
        <v>0</v>
      </c>
      <c r="H103" s="9">
        <v>21</v>
      </c>
      <c r="I103" s="32">
        <f t="shared" si="18"/>
        <v>0</v>
      </c>
      <c r="J103" s="32"/>
      <c r="K103" s="33">
        <f t="shared" si="19"/>
        <v>0</v>
      </c>
      <c r="L103" s="67"/>
    </row>
    <row r="104" spans="1:12" x14ac:dyDescent="0.25">
      <c r="A104" s="21"/>
      <c r="B104" s="30"/>
      <c r="C104" s="30"/>
      <c r="D104" s="35">
        <v>0</v>
      </c>
      <c r="E104" s="8"/>
      <c r="F104" s="31" t="str">
        <f t="shared" si="16"/>
        <v xml:space="preserve">N/F  </v>
      </c>
      <c r="G104" s="42">
        <f t="shared" si="17"/>
        <v>0</v>
      </c>
      <c r="H104" s="9">
        <v>21</v>
      </c>
      <c r="I104" s="32">
        <f t="shared" si="18"/>
        <v>0</v>
      </c>
      <c r="J104" s="32"/>
      <c r="K104" s="33">
        <f t="shared" si="19"/>
        <v>0</v>
      </c>
      <c r="L104" s="67"/>
    </row>
    <row r="105" spans="1:12" x14ac:dyDescent="0.25">
      <c r="A105" s="21"/>
      <c r="B105" s="30"/>
      <c r="C105" s="30"/>
      <c r="D105" s="35">
        <v>0</v>
      </c>
      <c r="E105" s="8"/>
      <c r="F105" s="31" t="str">
        <f t="shared" si="16"/>
        <v xml:space="preserve">N/F  </v>
      </c>
      <c r="G105" s="42">
        <f t="shared" si="17"/>
        <v>0</v>
      </c>
      <c r="H105" s="9">
        <v>21</v>
      </c>
      <c r="I105" s="32">
        <f t="shared" si="18"/>
        <v>0</v>
      </c>
      <c r="J105" s="32"/>
      <c r="K105" s="33">
        <f t="shared" si="19"/>
        <v>0</v>
      </c>
      <c r="L105" s="67"/>
    </row>
    <row r="106" spans="1:12" x14ac:dyDescent="0.25">
      <c r="A106" s="21"/>
      <c r="B106" s="30"/>
      <c r="C106" s="30"/>
      <c r="D106" s="35">
        <v>0</v>
      </c>
      <c r="E106" s="8"/>
      <c r="F106" s="31" t="str">
        <f t="shared" ref="F106:F169" si="20">"N/F "&amp;B106&amp;" "&amp;E106</f>
        <v xml:space="preserve">N/F  </v>
      </c>
      <c r="G106" s="42">
        <f t="shared" ref="G106:G169" si="21">+D106/1.21</f>
        <v>0</v>
      </c>
      <c r="H106" s="9">
        <v>21</v>
      </c>
      <c r="I106" s="32">
        <f t="shared" ref="I106:I169" si="22">+IF(G106&lt;&gt;0,G106*H106/100,0)</f>
        <v>0</v>
      </c>
      <c r="J106" s="32"/>
      <c r="K106" s="33">
        <f t="shared" ref="K106:K169" si="23">+G106+I106</f>
        <v>0</v>
      </c>
      <c r="L106" s="67"/>
    </row>
    <row r="107" spans="1:12" x14ac:dyDescent="0.25">
      <c r="A107" s="21"/>
      <c r="B107" s="30"/>
      <c r="C107" s="30"/>
      <c r="D107" s="35">
        <v>0</v>
      </c>
      <c r="E107" s="8"/>
      <c r="F107" s="31" t="str">
        <f t="shared" si="20"/>
        <v xml:space="preserve">N/F  </v>
      </c>
      <c r="G107" s="42">
        <f t="shared" si="21"/>
        <v>0</v>
      </c>
      <c r="H107" s="9">
        <v>21</v>
      </c>
      <c r="I107" s="32">
        <f t="shared" si="22"/>
        <v>0</v>
      </c>
      <c r="J107" s="32"/>
      <c r="K107" s="33">
        <f t="shared" si="23"/>
        <v>0</v>
      </c>
      <c r="L107" s="67"/>
    </row>
    <row r="108" spans="1:12" x14ac:dyDescent="0.25">
      <c r="A108" s="21"/>
      <c r="B108" s="30"/>
      <c r="C108" s="30"/>
      <c r="D108" s="35">
        <v>0</v>
      </c>
      <c r="E108" s="8"/>
      <c r="F108" s="31" t="str">
        <f t="shared" si="20"/>
        <v xml:space="preserve">N/F  </v>
      </c>
      <c r="G108" s="42">
        <f t="shared" si="21"/>
        <v>0</v>
      </c>
      <c r="H108" s="9">
        <v>21</v>
      </c>
      <c r="I108" s="32">
        <f t="shared" si="22"/>
        <v>0</v>
      </c>
      <c r="J108" s="32"/>
      <c r="K108" s="33">
        <f t="shared" si="23"/>
        <v>0</v>
      </c>
      <c r="L108" s="67"/>
    </row>
    <row r="109" spans="1:12" x14ac:dyDescent="0.25">
      <c r="A109" s="21"/>
      <c r="B109" s="30"/>
      <c r="C109" s="30"/>
      <c r="D109" s="35">
        <v>0</v>
      </c>
      <c r="E109" s="8"/>
      <c r="F109" s="31" t="str">
        <f t="shared" si="20"/>
        <v xml:space="preserve">N/F  </v>
      </c>
      <c r="G109" s="42">
        <f t="shared" si="21"/>
        <v>0</v>
      </c>
      <c r="H109" s="9">
        <v>21</v>
      </c>
      <c r="I109" s="32">
        <f t="shared" si="22"/>
        <v>0</v>
      </c>
      <c r="J109" s="32"/>
      <c r="K109" s="33">
        <f t="shared" si="23"/>
        <v>0</v>
      </c>
      <c r="L109" s="67"/>
    </row>
    <row r="110" spans="1:12" x14ac:dyDescent="0.25">
      <c r="A110" s="21"/>
      <c r="B110" s="30"/>
      <c r="C110" s="30"/>
      <c r="D110" s="35">
        <v>0</v>
      </c>
      <c r="E110" s="8"/>
      <c r="F110" s="31" t="str">
        <f t="shared" si="20"/>
        <v xml:space="preserve">N/F  </v>
      </c>
      <c r="G110" s="42">
        <f t="shared" si="21"/>
        <v>0</v>
      </c>
      <c r="H110" s="9">
        <v>21</v>
      </c>
      <c r="I110" s="32">
        <f t="shared" si="22"/>
        <v>0</v>
      </c>
      <c r="J110" s="32"/>
      <c r="K110" s="33">
        <f t="shared" si="23"/>
        <v>0</v>
      </c>
      <c r="L110" s="67"/>
    </row>
    <row r="111" spans="1:12" x14ac:dyDescent="0.25">
      <c r="A111" s="21"/>
      <c r="B111" s="30"/>
      <c r="C111" s="30"/>
      <c r="D111" s="35">
        <v>0</v>
      </c>
      <c r="E111" s="8"/>
      <c r="F111" s="31" t="str">
        <f t="shared" si="20"/>
        <v xml:space="preserve">N/F  </v>
      </c>
      <c r="G111" s="42">
        <f t="shared" si="21"/>
        <v>0</v>
      </c>
      <c r="H111" s="9">
        <v>21</v>
      </c>
      <c r="I111" s="32">
        <f t="shared" si="22"/>
        <v>0</v>
      </c>
      <c r="J111" s="32"/>
      <c r="K111" s="33">
        <f t="shared" si="23"/>
        <v>0</v>
      </c>
      <c r="L111" s="67"/>
    </row>
    <row r="112" spans="1:12" x14ac:dyDescent="0.25">
      <c r="A112" s="21"/>
      <c r="B112" s="30"/>
      <c r="C112" s="30"/>
      <c r="D112" s="35">
        <v>0</v>
      </c>
      <c r="E112" s="8"/>
      <c r="F112" s="31" t="str">
        <f t="shared" si="20"/>
        <v xml:space="preserve">N/F  </v>
      </c>
      <c r="G112" s="42">
        <f t="shared" si="21"/>
        <v>0</v>
      </c>
      <c r="H112" s="9">
        <v>21</v>
      </c>
      <c r="I112" s="32">
        <f t="shared" si="22"/>
        <v>0</v>
      </c>
      <c r="J112" s="32"/>
      <c r="K112" s="33">
        <f t="shared" si="23"/>
        <v>0</v>
      </c>
      <c r="L112" s="67"/>
    </row>
    <row r="113" spans="1:12" x14ac:dyDescent="0.25">
      <c r="A113" s="21"/>
      <c r="B113" s="30"/>
      <c r="C113" s="30"/>
      <c r="D113" s="35">
        <v>0</v>
      </c>
      <c r="E113" s="8"/>
      <c r="F113" s="31" t="str">
        <f t="shared" si="20"/>
        <v xml:space="preserve">N/F  </v>
      </c>
      <c r="G113" s="42">
        <f t="shared" si="21"/>
        <v>0</v>
      </c>
      <c r="H113" s="9">
        <v>21</v>
      </c>
      <c r="I113" s="32">
        <f t="shared" si="22"/>
        <v>0</v>
      </c>
      <c r="J113" s="32"/>
      <c r="K113" s="33">
        <f t="shared" si="23"/>
        <v>0</v>
      </c>
      <c r="L113" s="67"/>
    </row>
    <row r="114" spans="1:12" x14ac:dyDescent="0.25">
      <c r="A114" s="21"/>
      <c r="B114" s="30"/>
      <c r="C114" s="30"/>
      <c r="D114" s="35">
        <v>0</v>
      </c>
      <c r="E114" s="8"/>
      <c r="F114" s="31" t="str">
        <f t="shared" si="20"/>
        <v xml:space="preserve">N/F  </v>
      </c>
      <c r="G114" s="42">
        <f t="shared" si="21"/>
        <v>0</v>
      </c>
      <c r="H114" s="9">
        <v>21</v>
      </c>
      <c r="I114" s="32">
        <f t="shared" si="22"/>
        <v>0</v>
      </c>
      <c r="J114" s="32"/>
      <c r="K114" s="33">
        <f t="shared" si="23"/>
        <v>0</v>
      </c>
      <c r="L114" s="67"/>
    </row>
    <row r="115" spans="1:12" x14ac:dyDescent="0.25">
      <c r="A115" s="21"/>
      <c r="B115" s="30"/>
      <c r="C115" s="30"/>
      <c r="D115" s="35">
        <v>0</v>
      </c>
      <c r="E115" s="8"/>
      <c r="F115" s="31" t="str">
        <f t="shared" si="20"/>
        <v xml:space="preserve">N/F  </v>
      </c>
      <c r="G115" s="42">
        <f t="shared" si="21"/>
        <v>0</v>
      </c>
      <c r="H115" s="9">
        <v>21</v>
      </c>
      <c r="I115" s="32">
        <f t="shared" si="22"/>
        <v>0</v>
      </c>
      <c r="J115" s="32"/>
      <c r="K115" s="33">
        <f t="shared" si="23"/>
        <v>0</v>
      </c>
      <c r="L115" s="67"/>
    </row>
    <row r="116" spans="1:12" x14ac:dyDescent="0.25">
      <c r="A116" s="21"/>
      <c r="B116" s="30"/>
      <c r="C116" s="30"/>
      <c r="D116" s="35">
        <v>0</v>
      </c>
      <c r="E116" s="8"/>
      <c r="F116" s="31" t="str">
        <f t="shared" si="20"/>
        <v xml:space="preserve">N/F  </v>
      </c>
      <c r="G116" s="42">
        <f t="shared" si="21"/>
        <v>0</v>
      </c>
      <c r="H116" s="9">
        <v>21</v>
      </c>
      <c r="I116" s="32">
        <f t="shared" si="22"/>
        <v>0</v>
      </c>
      <c r="J116" s="32"/>
      <c r="K116" s="33">
        <f t="shared" si="23"/>
        <v>0</v>
      </c>
      <c r="L116" s="67"/>
    </row>
    <row r="117" spans="1:12" x14ac:dyDescent="0.25">
      <c r="A117" s="21"/>
      <c r="B117" s="30"/>
      <c r="C117" s="30"/>
      <c r="D117" s="35">
        <v>0</v>
      </c>
      <c r="E117" s="8"/>
      <c r="F117" s="31" t="str">
        <f t="shared" si="20"/>
        <v xml:space="preserve">N/F  </v>
      </c>
      <c r="G117" s="42">
        <f t="shared" si="21"/>
        <v>0</v>
      </c>
      <c r="H117" s="9">
        <v>21</v>
      </c>
      <c r="I117" s="32">
        <f t="shared" si="22"/>
        <v>0</v>
      </c>
      <c r="J117" s="32"/>
      <c r="K117" s="33">
        <f t="shared" si="23"/>
        <v>0</v>
      </c>
      <c r="L117" s="67"/>
    </row>
    <row r="118" spans="1:12" x14ac:dyDescent="0.25">
      <c r="A118" s="21"/>
      <c r="B118" s="30"/>
      <c r="C118" s="30"/>
      <c r="D118" s="35">
        <v>0</v>
      </c>
      <c r="E118" s="8"/>
      <c r="F118" s="31" t="str">
        <f t="shared" si="20"/>
        <v xml:space="preserve">N/F  </v>
      </c>
      <c r="G118" s="42">
        <f t="shared" si="21"/>
        <v>0</v>
      </c>
      <c r="H118" s="9">
        <v>21</v>
      </c>
      <c r="I118" s="32">
        <f t="shared" si="22"/>
        <v>0</v>
      </c>
      <c r="J118" s="32"/>
      <c r="K118" s="33">
        <f t="shared" si="23"/>
        <v>0</v>
      </c>
      <c r="L118" s="67"/>
    </row>
    <row r="119" spans="1:12" x14ac:dyDescent="0.25">
      <c r="A119" s="21"/>
      <c r="B119" s="30"/>
      <c r="C119" s="30"/>
      <c r="D119" s="35">
        <v>0</v>
      </c>
      <c r="E119" s="8"/>
      <c r="F119" s="31" t="str">
        <f t="shared" si="20"/>
        <v xml:space="preserve">N/F  </v>
      </c>
      <c r="G119" s="42">
        <f t="shared" si="21"/>
        <v>0</v>
      </c>
      <c r="H119" s="9">
        <v>21</v>
      </c>
      <c r="I119" s="32">
        <f t="shared" si="22"/>
        <v>0</v>
      </c>
      <c r="J119" s="32"/>
      <c r="K119" s="33">
        <f t="shared" si="23"/>
        <v>0</v>
      </c>
      <c r="L119" s="67"/>
    </row>
    <row r="120" spans="1:12" x14ac:dyDescent="0.25">
      <c r="A120" s="21"/>
      <c r="B120" s="30"/>
      <c r="C120" s="30"/>
      <c r="D120" s="35">
        <v>0</v>
      </c>
      <c r="E120" s="8"/>
      <c r="F120" s="31" t="str">
        <f t="shared" si="20"/>
        <v xml:space="preserve">N/F  </v>
      </c>
      <c r="G120" s="42">
        <f t="shared" si="21"/>
        <v>0</v>
      </c>
      <c r="H120" s="9">
        <v>21</v>
      </c>
      <c r="I120" s="32">
        <f t="shared" si="22"/>
        <v>0</v>
      </c>
      <c r="J120" s="32"/>
      <c r="K120" s="33">
        <f t="shared" si="23"/>
        <v>0</v>
      </c>
      <c r="L120" s="67"/>
    </row>
    <row r="121" spans="1:12" x14ac:dyDescent="0.25">
      <c r="A121" s="21"/>
      <c r="B121" s="30"/>
      <c r="C121" s="30"/>
      <c r="D121" s="35">
        <v>0</v>
      </c>
      <c r="E121" s="8"/>
      <c r="F121" s="31" t="str">
        <f t="shared" si="20"/>
        <v xml:space="preserve">N/F  </v>
      </c>
      <c r="G121" s="42">
        <f t="shared" si="21"/>
        <v>0</v>
      </c>
      <c r="H121" s="9">
        <v>21</v>
      </c>
      <c r="I121" s="32">
        <f t="shared" si="22"/>
        <v>0</v>
      </c>
      <c r="J121" s="32"/>
      <c r="K121" s="33">
        <f t="shared" si="23"/>
        <v>0</v>
      </c>
      <c r="L121" s="67"/>
    </row>
    <row r="122" spans="1:12" x14ac:dyDescent="0.25">
      <c r="A122" s="21"/>
      <c r="B122" s="30"/>
      <c r="C122" s="30"/>
      <c r="D122" s="35">
        <v>0</v>
      </c>
      <c r="E122" s="8"/>
      <c r="F122" s="31" t="str">
        <f t="shared" si="20"/>
        <v xml:space="preserve">N/F  </v>
      </c>
      <c r="G122" s="42">
        <f t="shared" si="21"/>
        <v>0</v>
      </c>
      <c r="H122" s="9">
        <v>21</v>
      </c>
      <c r="I122" s="32">
        <f t="shared" si="22"/>
        <v>0</v>
      </c>
      <c r="J122" s="32"/>
      <c r="K122" s="33">
        <f t="shared" si="23"/>
        <v>0</v>
      </c>
      <c r="L122" s="67"/>
    </row>
    <row r="123" spans="1:12" x14ac:dyDescent="0.25">
      <c r="A123" s="21"/>
      <c r="B123" s="30"/>
      <c r="C123" s="30"/>
      <c r="D123" s="35">
        <v>0</v>
      </c>
      <c r="E123" s="8"/>
      <c r="F123" s="31" t="str">
        <f t="shared" si="20"/>
        <v xml:space="preserve">N/F  </v>
      </c>
      <c r="G123" s="42">
        <f t="shared" si="21"/>
        <v>0</v>
      </c>
      <c r="H123" s="9">
        <v>21</v>
      </c>
      <c r="I123" s="32">
        <f t="shared" si="22"/>
        <v>0</v>
      </c>
      <c r="J123" s="32"/>
      <c r="K123" s="33">
        <f t="shared" si="23"/>
        <v>0</v>
      </c>
      <c r="L123" s="67"/>
    </row>
    <row r="124" spans="1:12" x14ac:dyDescent="0.25">
      <c r="A124" s="21"/>
      <c r="B124" s="30"/>
      <c r="C124" s="30"/>
      <c r="D124" s="35">
        <v>0</v>
      </c>
      <c r="E124" s="8"/>
      <c r="F124" s="31" t="str">
        <f t="shared" si="20"/>
        <v xml:space="preserve">N/F  </v>
      </c>
      <c r="G124" s="42">
        <f t="shared" si="21"/>
        <v>0</v>
      </c>
      <c r="H124" s="9">
        <v>21</v>
      </c>
      <c r="I124" s="32">
        <f t="shared" si="22"/>
        <v>0</v>
      </c>
      <c r="J124" s="32"/>
      <c r="K124" s="33">
        <f t="shared" si="23"/>
        <v>0</v>
      </c>
      <c r="L124" s="67"/>
    </row>
    <row r="125" spans="1:12" x14ac:dyDescent="0.25">
      <c r="A125" s="21"/>
      <c r="B125" s="30"/>
      <c r="C125" s="30"/>
      <c r="D125" s="35">
        <v>0</v>
      </c>
      <c r="E125" s="8"/>
      <c r="F125" s="31" t="str">
        <f t="shared" si="20"/>
        <v xml:space="preserve">N/F  </v>
      </c>
      <c r="G125" s="42">
        <f t="shared" si="21"/>
        <v>0</v>
      </c>
      <c r="H125" s="9">
        <v>21</v>
      </c>
      <c r="I125" s="32">
        <f t="shared" si="22"/>
        <v>0</v>
      </c>
      <c r="J125" s="32"/>
      <c r="K125" s="33">
        <f t="shared" si="23"/>
        <v>0</v>
      </c>
      <c r="L125" s="67"/>
    </row>
    <row r="126" spans="1:12" x14ac:dyDescent="0.25">
      <c r="A126" s="21"/>
      <c r="B126" s="30"/>
      <c r="C126" s="30"/>
      <c r="D126" s="35">
        <v>0</v>
      </c>
      <c r="E126" s="8"/>
      <c r="F126" s="31" t="str">
        <f t="shared" si="20"/>
        <v xml:space="preserve">N/F  </v>
      </c>
      <c r="G126" s="42">
        <f t="shared" si="21"/>
        <v>0</v>
      </c>
      <c r="H126" s="9">
        <v>21</v>
      </c>
      <c r="I126" s="32">
        <f t="shared" si="22"/>
        <v>0</v>
      </c>
      <c r="J126" s="32"/>
      <c r="K126" s="33">
        <f t="shared" si="23"/>
        <v>0</v>
      </c>
      <c r="L126" s="67"/>
    </row>
    <row r="127" spans="1:12" x14ac:dyDescent="0.25">
      <c r="A127" s="21"/>
      <c r="B127" s="30"/>
      <c r="C127" s="30"/>
      <c r="D127" s="35">
        <v>0</v>
      </c>
      <c r="E127" s="8"/>
      <c r="F127" s="31" t="str">
        <f t="shared" si="20"/>
        <v xml:space="preserve">N/F  </v>
      </c>
      <c r="G127" s="42">
        <f t="shared" si="21"/>
        <v>0</v>
      </c>
      <c r="H127" s="9">
        <v>21</v>
      </c>
      <c r="I127" s="32">
        <f t="shared" si="22"/>
        <v>0</v>
      </c>
      <c r="J127" s="32"/>
      <c r="K127" s="33">
        <f t="shared" si="23"/>
        <v>0</v>
      </c>
      <c r="L127" s="67"/>
    </row>
    <row r="128" spans="1:12" x14ac:dyDescent="0.25">
      <c r="A128" s="21"/>
      <c r="B128" s="30"/>
      <c r="C128" s="30"/>
      <c r="D128" s="35">
        <v>0</v>
      </c>
      <c r="E128" s="8"/>
      <c r="F128" s="31" t="str">
        <f t="shared" si="20"/>
        <v xml:space="preserve">N/F  </v>
      </c>
      <c r="G128" s="42">
        <f t="shared" si="21"/>
        <v>0</v>
      </c>
      <c r="H128" s="9">
        <v>21</v>
      </c>
      <c r="I128" s="32">
        <f t="shared" si="22"/>
        <v>0</v>
      </c>
      <c r="J128" s="32"/>
      <c r="K128" s="33">
        <f t="shared" si="23"/>
        <v>0</v>
      </c>
      <c r="L128" s="67"/>
    </row>
    <row r="129" spans="1:12" x14ac:dyDescent="0.25">
      <c r="A129" s="21"/>
      <c r="B129" s="30"/>
      <c r="C129" s="30"/>
      <c r="D129" s="35">
        <v>0</v>
      </c>
      <c r="E129" s="8"/>
      <c r="F129" s="31" t="str">
        <f t="shared" si="20"/>
        <v xml:space="preserve">N/F  </v>
      </c>
      <c r="G129" s="42">
        <f t="shared" si="21"/>
        <v>0</v>
      </c>
      <c r="H129" s="9">
        <v>21</v>
      </c>
      <c r="I129" s="32">
        <f t="shared" si="22"/>
        <v>0</v>
      </c>
      <c r="J129" s="32"/>
      <c r="K129" s="33">
        <f t="shared" si="23"/>
        <v>0</v>
      </c>
      <c r="L129" s="67"/>
    </row>
    <row r="130" spans="1:12" x14ac:dyDescent="0.25">
      <c r="A130" s="21"/>
      <c r="B130" s="30"/>
      <c r="C130" s="30"/>
      <c r="D130" s="35">
        <v>0</v>
      </c>
      <c r="E130" s="8"/>
      <c r="F130" s="31" t="str">
        <f t="shared" si="20"/>
        <v xml:space="preserve">N/F  </v>
      </c>
      <c r="G130" s="42">
        <f t="shared" si="21"/>
        <v>0</v>
      </c>
      <c r="H130" s="9">
        <v>21</v>
      </c>
      <c r="I130" s="32">
        <f t="shared" si="22"/>
        <v>0</v>
      </c>
      <c r="J130" s="32"/>
      <c r="K130" s="33">
        <f t="shared" si="23"/>
        <v>0</v>
      </c>
      <c r="L130" s="67"/>
    </row>
    <row r="131" spans="1:12" x14ac:dyDescent="0.25">
      <c r="A131" s="21"/>
      <c r="B131" s="30"/>
      <c r="C131" s="30"/>
      <c r="D131" s="35">
        <v>0</v>
      </c>
      <c r="E131" s="8"/>
      <c r="F131" s="31" t="str">
        <f t="shared" si="20"/>
        <v xml:space="preserve">N/F  </v>
      </c>
      <c r="G131" s="42">
        <f t="shared" si="21"/>
        <v>0</v>
      </c>
      <c r="H131" s="9">
        <v>21</v>
      </c>
      <c r="I131" s="32">
        <f t="shared" si="22"/>
        <v>0</v>
      </c>
      <c r="J131" s="32"/>
      <c r="K131" s="33">
        <f t="shared" si="23"/>
        <v>0</v>
      </c>
      <c r="L131" s="67"/>
    </row>
    <row r="132" spans="1:12" x14ac:dyDescent="0.25">
      <c r="A132" s="21"/>
      <c r="B132" s="30"/>
      <c r="C132" s="30"/>
      <c r="D132" s="35">
        <v>0</v>
      </c>
      <c r="E132" s="8"/>
      <c r="F132" s="31" t="str">
        <f t="shared" si="20"/>
        <v xml:space="preserve">N/F  </v>
      </c>
      <c r="G132" s="42">
        <f t="shared" si="21"/>
        <v>0</v>
      </c>
      <c r="H132" s="9">
        <v>21</v>
      </c>
      <c r="I132" s="32">
        <f t="shared" si="22"/>
        <v>0</v>
      </c>
      <c r="J132" s="32"/>
      <c r="K132" s="33">
        <f t="shared" si="23"/>
        <v>0</v>
      </c>
      <c r="L132" s="67"/>
    </row>
    <row r="133" spans="1:12" x14ac:dyDescent="0.25">
      <c r="A133" s="21"/>
      <c r="B133" s="30"/>
      <c r="C133" s="30"/>
      <c r="D133" s="35">
        <v>0</v>
      </c>
      <c r="E133" s="8"/>
      <c r="F133" s="31" t="str">
        <f t="shared" si="20"/>
        <v xml:space="preserve">N/F  </v>
      </c>
      <c r="G133" s="42">
        <f t="shared" si="21"/>
        <v>0</v>
      </c>
      <c r="H133" s="9">
        <v>21</v>
      </c>
      <c r="I133" s="32">
        <f t="shared" si="22"/>
        <v>0</v>
      </c>
      <c r="J133" s="32"/>
      <c r="K133" s="33">
        <f t="shared" si="23"/>
        <v>0</v>
      </c>
      <c r="L133" s="67"/>
    </row>
    <row r="134" spans="1:12" x14ac:dyDescent="0.25">
      <c r="A134" s="21"/>
      <c r="B134" s="30"/>
      <c r="C134" s="30"/>
      <c r="D134" s="35">
        <v>0</v>
      </c>
      <c r="E134" s="8"/>
      <c r="F134" s="31" t="str">
        <f t="shared" si="20"/>
        <v xml:space="preserve">N/F  </v>
      </c>
      <c r="G134" s="42">
        <f t="shared" si="21"/>
        <v>0</v>
      </c>
      <c r="H134" s="9">
        <v>21</v>
      </c>
      <c r="I134" s="32">
        <f t="shared" si="22"/>
        <v>0</v>
      </c>
      <c r="J134" s="32"/>
      <c r="K134" s="33">
        <f t="shared" si="23"/>
        <v>0</v>
      </c>
      <c r="L134" s="67"/>
    </row>
    <row r="135" spans="1:12" x14ac:dyDescent="0.25">
      <c r="A135" s="21"/>
      <c r="B135" s="30"/>
      <c r="C135" s="30"/>
      <c r="D135" s="35">
        <v>0</v>
      </c>
      <c r="E135" s="8"/>
      <c r="F135" s="31" t="str">
        <f t="shared" si="20"/>
        <v xml:space="preserve">N/F  </v>
      </c>
      <c r="G135" s="42">
        <f t="shared" si="21"/>
        <v>0</v>
      </c>
      <c r="H135" s="9">
        <v>21</v>
      </c>
      <c r="I135" s="32">
        <f t="shared" si="22"/>
        <v>0</v>
      </c>
      <c r="J135" s="32"/>
      <c r="K135" s="33">
        <f t="shared" si="23"/>
        <v>0</v>
      </c>
      <c r="L135" s="67"/>
    </row>
    <row r="136" spans="1:12" x14ac:dyDescent="0.25">
      <c r="A136" s="21"/>
      <c r="B136" s="30"/>
      <c r="C136" s="30"/>
      <c r="D136" s="35">
        <v>0</v>
      </c>
      <c r="E136" s="8"/>
      <c r="F136" s="31" t="str">
        <f t="shared" si="20"/>
        <v xml:space="preserve">N/F  </v>
      </c>
      <c r="G136" s="42">
        <f t="shared" si="21"/>
        <v>0</v>
      </c>
      <c r="H136" s="9">
        <v>21</v>
      </c>
      <c r="I136" s="32">
        <f t="shared" si="22"/>
        <v>0</v>
      </c>
      <c r="J136" s="32"/>
      <c r="K136" s="33">
        <f t="shared" si="23"/>
        <v>0</v>
      </c>
      <c r="L136" s="67"/>
    </row>
    <row r="137" spans="1:12" x14ac:dyDescent="0.25">
      <c r="A137" s="21"/>
      <c r="B137" s="30"/>
      <c r="C137" s="30"/>
      <c r="D137" s="35">
        <v>0</v>
      </c>
      <c r="E137" s="8"/>
      <c r="F137" s="31" t="str">
        <f t="shared" si="20"/>
        <v xml:space="preserve">N/F  </v>
      </c>
      <c r="G137" s="42">
        <f t="shared" si="21"/>
        <v>0</v>
      </c>
      <c r="H137" s="9">
        <v>21</v>
      </c>
      <c r="I137" s="32">
        <f t="shared" si="22"/>
        <v>0</v>
      </c>
      <c r="J137" s="32"/>
      <c r="K137" s="33">
        <f t="shared" si="23"/>
        <v>0</v>
      </c>
      <c r="L137" s="67"/>
    </row>
    <row r="138" spans="1:12" x14ac:dyDescent="0.25">
      <c r="A138" s="21"/>
      <c r="B138" s="30"/>
      <c r="C138" s="30"/>
      <c r="D138" s="35">
        <v>0</v>
      </c>
      <c r="E138" s="8"/>
      <c r="F138" s="31" t="str">
        <f t="shared" si="20"/>
        <v xml:space="preserve">N/F  </v>
      </c>
      <c r="G138" s="42">
        <f t="shared" si="21"/>
        <v>0</v>
      </c>
      <c r="H138" s="9">
        <v>21</v>
      </c>
      <c r="I138" s="32">
        <f t="shared" si="22"/>
        <v>0</v>
      </c>
      <c r="J138" s="32"/>
      <c r="K138" s="33">
        <f t="shared" si="23"/>
        <v>0</v>
      </c>
      <c r="L138" s="67"/>
    </row>
    <row r="139" spans="1:12" x14ac:dyDescent="0.25">
      <c r="A139" s="21"/>
      <c r="B139" s="30"/>
      <c r="C139" s="30"/>
      <c r="D139" s="35">
        <v>0</v>
      </c>
      <c r="E139" s="8"/>
      <c r="F139" s="31" t="str">
        <f t="shared" si="20"/>
        <v xml:space="preserve">N/F  </v>
      </c>
      <c r="G139" s="42">
        <f t="shared" si="21"/>
        <v>0</v>
      </c>
      <c r="H139" s="9">
        <v>21</v>
      </c>
      <c r="I139" s="32">
        <f t="shared" si="22"/>
        <v>0</v>
      </c>
      <c r="J139" s="32"/>
      <c r="K139" s="33">
        <f t="shared" si="23"/>
        <v>0</v>
      </c>
      <c r="L139" s="67"/>
    </row>
    <row r="140" spans="1:12" x14ac:dyDescent="0.25">
      <c r="A140" s="21"/>
      <c r="B140" s="30"/>
      <c r="C140" s="30"/>
      <c r="D140" s="35">
        <v>0</v>
      </c>
      <c r="E140" s="8"/>
      <c r="F140" s="31" t="str">
        <f t="shared" si="20"/>
        <v xml:space="preserve">N/F  </v>
      </c>
      <c r="G140" s="42">
        <f t="shared" si="21"/>
        <v>0</v>
      </c>
      <c r="H140" s="9">
        <v>21</v>
      </c>
      <c r="I140" s="32">
        <f t="shared" si="22"/>
        <v>0</v>
      </c>
      <c r="J140" s="32"/>
      <c r="K140" s="33">
        <f t="shared" si="23"/>
        <v>0</v>
      </c>
      <c r="L140" s="67"/>
    </row>
    <row r="141" spans="1:12" x14ac:dyDescent="0.25">
      <c r="A141" s="21"/>
      <c r="B141" s="30"/>
      <c r="C141" s="30"/>
      <c r="D141" s="35">
        <v>0</v>
      </c>
      <c r="E141" s="8"/>
      <c r="F141" s="31" t="str">
        <f t="shared" si="20"/>
        <v xml:space="preserve">N/F  </v>
      </c>
      <c r="G141" s="42">
        <f t="shared" si="21"/>
        <v>0</v>
      </c>
      <c r="H141" s="9">
        <v>21</v>
      </c>
      <c r="I141" s="32">
        <f t="shared" si="22"/>
        <v>0</v>
      </c>
      <c r="J141" s="32"/>
      <c r="K141" s="33">
        <f t="shared" si="23"/>
        <v>0</v>
      </c>
      <c r="L141" s="67"/>
    </row>
    <row r="142" spans="1:12" x14ac:dyDescent="0.25">
      <c r="A142" s="21"/>
      <c r="B142" s="30"/>
      <c r="C142" s="30"/>
      <c r="D142" s="35">
        <v>0</v>
      </c>
      <c r="E142" s="8"/>
      <c r="F142" s="31" t="str">
        <f t="shared" si="20"/>
        <v xml:space="preserve">N/F  </v>
      </c>
      <c r="G142" s="42">
        <f t="shared" si="21"/>
        <v>0</v>
      </c>
      <c r="H142" s="9">
        <v>21</v>
      </c>
      <c r="I142" s="32">
        <f t="shared" si="22"/>
        <v>0</v>
      </c>
      <c r="J142" s="32"/>
      <c r="K142" s="33">
        <f t="shared" si="23"/>
        <v>0</v>
      </c>
      <c r="L142" s="67"/>
    </row>
    <row r="143" spans="1:12" x14ac:dyDescent="0.25">
      <c r="A143" s="21"/>
      <c r="B143" s="30"/>
      <c r="C143" s="30"/>
      <c r="D143" s="35">
        <v>0</v>
      </c>
      <c r="E143" s="8"/>
      <c r="F143" s="31" t="str">
        <f t="shared" si="20"/>
        <v xml:space="preserve">N/F  </v>
      </c>
      <c r="G143" s="42">
        <f t="shared" si="21"/>
        <v>0</v>
      </c>
      <c r="H143" s="9">
        <v>21</v>
      </c>
      <c r="I143" s="32">
        <f t="shared" si="22"/>
        <v>0</v>
      </c>
      <c r="J143" s="32"/>
      <c r="K143" s="33">
        <f t="shared" si="23"/>
        <v>0</v>
      </c>
      <c r="L143" s="67"/>
    </row>
    <row r="144" spans="1:12" x14ac:dyDescent="0.25">
      <c r="A144" s="21"/>
      <c r="B144" s="30"/>
      <c r="C144" s="30"/>
      <c r="D144" s="35">
        <v>0</v>
      </c>
      <c r="E144" s="8"/>
      <c r="F144" s="31" t="str">
        <f t="shared" si="20"/>
        <v xml:space="preserve">N/F  </v>
      </c>
      <c r="G144" s="42">
        <f t="shared" si="21"/>
        <v>0</v>
      </c>
      <c r="H144" s="9">
        <v>21</v>
      </c>
      <c r="I144" s="32">
        <f t="shared" si="22"/>
        <v>0</v>
      </c>
      <c r="J144" s="32"/>
      <c r="K144" s="33">
        <f t="shared" si="23"/>
        <v>0</v>
      </c>
      <c r="L144" s="67"/>
    </row>
    <row r="145" spans="1:12" x14ac:dyDescent="0.25">
      <c r="A145" s="21"/>
      <c r="B145" s="30"/>
      <c r="C145" s="30"/>
      <c r="D145" s="35">
        <v>0</v>
      </c>
      <c r="E145" s="8"/>
      <c r="F145" s="31" t="str">
        <f t="shared" si="20"/>
        <v xml:space="preserve">N/F  </v>
      </c>
      <c r="G145" s="42">
        <f t="shared" si="21"/>
        <v>0</v>
      </c>
      <c r="H145" s="9">
        <v>21</v>
      </c>
      <c r="I145" s="32">
        <f t="shared" si="22"/>
        <v>0</v>
      </c>
      <c r="J145" s="32"/>
      <c r="K145" s="33">
        <f t="shared" si="23"/>
        <v>0</v>
      </c>
      <c r="L145" s="67"/>
    </row>
    <row r="146" spans="1:12" x14ac:dyDescent="0.25">
      <c r="A146" s="21"/>
      <c r="B146" s="30"/>
      <c r="C146" s="30"/>
      <c r="D146" s="35">
        <v>0</v>
      </c>
      <c r="E146" s="8"/>
      <c r="F146" s="31" t="str">
        <f t="shared" si="20"/>
        <v xml:space="preserve">N/F  </v>
      </c>
      <c r="G146" s="42">
        <f t="shared" si="21"/>
        <v>0</v>
      </c>
      <c r="H146" s="9">
        <v>21</v>
      </c>
      <c r="I146" s="32">
        <f t="shared" si="22"/>
        <v>0</v>
      </c>
      <c r="J146" s="32"/>
      <c r="K146" s="33">
        <f t="shared" si="23"/>
        <v>0</v>
      </c>
      <c r="L146" s="67"/>
    </row>
    <row r="147" spans="1:12" x14ac:dyDescent="0.25">
      <c r="A147" s="21"/>
      <c r="B147" s="30"/>
      <c r="C147" s="30"/>
      <c r="D147" s="35">
        <v>0</v>
      </c>
      <c r="E147" s="8"/>
      <c r="F147" s="31" t="str">
        <f t="shared" si="20"/>
        <v xml:space="preserve">N/F  </v>
      </c>
      <c r="G147" s="42">
        <f t="shared" si="21"/>
        <v>0</v>
      </c>
      <c r="H147" s="9">
        <v>21</v>
      </c>
      <c r="I147" s="32">
        <f t="shared" si="22"/>
        <v>0</v>
      </c>
      <c r="J147" s="32"/>
      <c r="K147" s="33">
        <f t="shared" si="23"/>
        <v>0</v>
      </c>
      <c r="L147" s="67"/>
    </row>
    <row r="148" spans="1:12" x14ac:dyDescent="0.25">
      <c r="A148" s="21"/>
      <c r="B148" s="30"/>
      <c r="C148" s="30"/>
      <c r="D148" s="35">
        <v>0</v>
      </c>
      <c r="E148" s="8"/>
      <c r="F148" s="31" t="str">
        <f t="shared" si="20"/>
        <v xml:space="preserve">N/F  </v>
      </c>
      <c r="G148" s="42">
        <f t="shared" si="21"/>
        <v>0</v>
      </c>
      <c r="H148" s="9">
        <v>21</v>
      </c>
      <c r="I148" s="32">
        <f t="shared" si="22"/>
        <v>0</v>
      </c>
      <c r="J148" s="32"/>
      <c r="K148" s="33">
        <f t="shared" si="23"/>
        <v>0</v>
      </c>
      <c r="L148" s="67"/>
    </row>
    <row r="149" spans="1:12" x14ac:dyDescent="0.25">
      <c r="A149" s="21"/>
      <c r="B149" s="30"/>
      <c r="C149" s="30"/>
      <c r="D149" s="35">
        <v>0</v>
      </c>
      <c r="E149" s="8"/>
      <c r="F149" s="31" t="str">
        <f t="shared" si="20"/>
        <v xml:space="preserve">N/F  </v>
      </c>
      <c r="G149" s="42">
        <f t="shared" si="21"/>
        <v>0</v>
      </c>
      <c r="H149" s="9">
        <v>21</v>
      </c>
      <c r="I149" s="32">
        <f t="shared" si="22"/>
        <v>0</v>
      </c>
      <c r="J149" s="32"/>
      <c r="K149" s="33">
        <f t="shared" si="23"/>
        <v>0</v>
      </c>
      <c r="L149" s="67"/>
    </row>
    <row r="150" spans="1:12" x14ac:dyDescent="0.25">
      <c r="A150" s="21"/>
      <c r="B150" s="30"/>
      <c r="C150" s="30"/>
      <c r="D150" s="35">
        <v>0</v>
      </c>
      <c r="E150" s="8"/>
      <c r="F150" s="31" t="str">
        <f t="shared" si="20"/>
        <v xml:space="preserve">N/F  </v>
      </c>
      <c r="G150" s="42">
        <f t="shared" si="21"/>
        <v>0</v>
      </c>
      <c r="H150" s="9">
        <v>21</v>
      </c>
      <c r="I150" s="32">
        <f t="shared" si="22"/>
        <v>0</v>
      </c>
      <c r="J150" s="32"/>
      <c r="K150" s="33">
        <f t="shared" si="23"/>
        <v>0</v>
      </c>
      <c r="L150" s="67"/>
    </row>
    <row r="151" spans="1:12" x14ac:dyDescent="0.25">
      <c r="A151" s="21"/>
      <c r="B151" s="30"/>
      <c r="C151" s="30"/>
      <c r="D151" s="35">
        <v>0</v>
      </c>
      <c r="E151" s="8"/>
      <c r="F151" s="31" t="str">
        <f t="shared" si="20"/>
        <v xml:space="preserve">N/F  </v>
      </c>
      <c r="G151" s="42">
        <f t="shared" si="21"/>
        <v>0</v>
      </c>
      <c r="H151" s="9">
        <v>21</v>
      </c>
      <c r="I151" s="32">
        <f t="shared" si="22"/>
        <v>0</v>
      </c>
      <c r="J151" s="32"/>
      <c r="K151" s="33">
        <f t="shared" si="23"/>
        <v>0</v>
      </c>
      <c r="L151" s="67"/>
    </row>
    <row r="152" spans="1:12" x14ac:dyDescent="0.25">
      <c r="A152" s="21"/>
      <c r="B152" s="30"/>
      <c r="C152" s="30"/>
      <c r="D152" s="35">
        <v>0</v>
      </c>
      <c r="E152" s="8"/>
      <c r="F152" s="31" t="str">
        <f t="shared" si="20"/>
        <v xml:space="preserve">N/F  </v>
      </c>
      <c r="G152" s="42">
        <f t="shared" si="21"/>
        <v>0</v>
      </c>
      <c r="H152" s="9">
        <v>21</v>
      </c>
      <c r="I152" s="32">
        <f t="shared" si="22"/>
        <v>0</v>
      </c>
      <c r="J152" s="32"/>
      <c r="K152" s="33">
        <f t="shared" si="23"/>
        <v>0</v>
      </c>
      <c r="L152" s="67"/>
    </row>
    <row r="153" spans="1:12" x14ac:dyDescent="0.25">
      <c r="A153" s="21"/>
      <c r="B153" s="30"/>
      <c r="C153" s="30"/>
      <c r="D153" s="35">
        <v>0</v>
      </c>
      <c r="E153" s="8"/>
      <c r="F153" s="31" t="str">
        <f t="shared" si="20"/>
        <v xml:space="preserve">N/F  </v>
      </c>
      <c r="G153" s="42">
        <f t="shared" si="21"/>
        <v>0</v>
      </c>
      <c r="H153" s="9">
        <v>21</v>
      </c>
      <c r="I153" s="32">
        <f t="shared" si="22"/>
        <v>0</v>
      </c>
      <c r="J153" s="32"/>
      <c r="K153" s="33">
        <f t="shared" si="23"/>
        <v>0</v>
      </c>
      <c r="L153" s="67"/>
    </row>
    <row r="154" spans="1:12" x14ac:dyDescent="0.25">
      <c r="A154" s="21"/>
      <c r="B154" s="30"/>
      <c r="C154" s="30"/>
      <c r="D154" s="35">
        <v>0</v>
      </c>
      <c r="E154" s="8"/>
      <c r="F154" s="31" t="str">
        <f t="shared" si="20"/>
        <v xml:space="preserve">N/F  </v>
      </c>
      <c r="G154" s="42">
        <f t="shared" si="21"/>
        <v>0</v>
      </c>
      <c r="H154" s="9">
        <v>21</v>
      </c>
      <c r="I154" s="32">
        <f t="shared" si="22"/>
        <v>0</v>
      </c>
      <c r="J154" s="32"/>
      <c r="K154" s="33">
        <f t="shared" si="23"/>
        <v>0</v>
      </c>
      <c r="L154" s="67"/>
    </row>
    <row r="155" spans="1:12" x14ac:dyDescent="0.25">
      <c r="A155" s="21"/>
      <c r="B155" s="30"/>
      <c r="C155" s="30"/>
      <c r="D155" s="35">
        <v>0</v>
      </c>
      <c r="E155" s="8"/>
      <c r="F155" s="31" t="str">
        <f t="shared" si="20"/>
        <v xml:space="preserve">N/F  </v>
      </c>
      <c r="G155" s="42">
        <f t="shared" si="21"/>
        <v>0</v>
      </c>
      <c r="H155" s="9">
        <v>21</v>
      </c>
      <c r="I155" s="32">
        <f t="shared" si="22"/>
        <v>0</v>
      </c>
      <c r="J155" s="32"/>
      <c r="K155" s="33">
        <f t="shared" si="23"/>
        <v>0</v>
      </c>
      <c r="L155" s="67"/>
    </row>
    <row r="156" spans="1:12" x14ac:dyDescent="0.25">
      <c r="A156" s="21"/>
      <c r="B156" s="30"/>
      <c r="C156" s="30"/>
      <c r="D156" s="35">
        <v>0</v>
      </c>
      <c r="E156" s="8"/>
      <c r="F156" s="31" t="str">
        <f t="shared" si="20"/>
        <v xml:space="preserve">N/F  </v>
      </c>
      <c r="G156" s="42">
        <f t="shared" si="21"/>
        <v>0</v>
      </c>
      <c r="H156" s="9">
        <v>21</v>
      </c>
      <c r="I156" s="32">
        <f t="shared" si="22"/>
        <v>0</v>
      </c>
      <c r="J156" s="32"/>
      <c r="K156" s="33">
        <f t="shared" si="23"/>
        <v>0</v>
      </c>
      <c r="L156" s="67"/>
    </row>
    <row r="157" spans="1:12" x14ac:dyDescent="0.25">
      <c r="A157" s="21"/>
      <c r="B157" s="30"/>
      <c r="C157" s="30"/>
      <c r="D157" s="35">
        <v>0</v>
      </c>
      <c r="E157" s="8"/>
      <c r="F157" s="31" t="str">
        <f t="shared" si="20"/>
        <v xml:space="preserve">N/F  </v>
      </c>
      <c r="G157" s="42">
        <f t="shared" si="21"/>
        <v>0</v>
      </c>
      <c r="H157" s="9">
        <v>21</v>
      </c>
      <c r="I157" s="32">
        <f t="shared" si="22"/>
        <v>0</v>
      </c>
      <c r="J157" s="32"/>
      <c r="K157" s="33">
        <f t="shared" si="23"/>
        <v>0</v>
      </c>
      <c r="L157" s="67"/>
    </row>
    <row r="158" spans="1:12" x14ac:dyDescent="0.25">
      <c r="A158" s="21"/>
      <c r="B158" s="30"/>
      <c r="C158" s="30"/>
      <c r="D158" s="35">
        <v>0</v>
      </c>
      <c r="E158" s="8"/>
      <c r="F158" s="31" t="str">
        <f t="shared" si="20"/>
        <v xml:space="preserve">N/F  </v>
      </c>
      <c r="G158" s="42">
        <f t="shared" si="21"/>
        <v>0</v>
      </c>
      <c r="H158" s="9">
        <v>21</v>
      </c>
      <c r="I158" s="32">
        <f t="shared" si="22"/>
        <v>0</v>
      </c>
      <c r="J158" s="32"/>
      <c r="K158" s="33">
        <f t="shared" si="23"/>
        <v>0</v>
      </c>
      <c r="L158" s="67"/>
    </row>
    <row r="159" spans="1:12" x14ac:dyDescent="0.25">
      <c r="A159" s="21"/>
      <c r="B159" s="30"/>
      <c r="C159" s="30"/>
      <c r="D159" s="35">
        <v>0</v>
      </c>
      <c r="E159" s="8"/>
      <c r="F159" s="31" t="str">
        <f t="shared" si="20"/>
        <v xml:space="preserve">N/F  </v>
      </c>
      <c r="G159" s="42">
        <f t="shared" si="21"/>
        <v>0</v>
      </c>
      <c r="H159" s="9">
        <v>21</v>
      </c>
      <c r="I159" s="32">
        <f t="shared" si="22"/>
        <v>0</v>
      </c>
      <c r="J159" s="32"/>
      <c r="K159" s="33">
        <f t="shared" si="23"/>
        <v>0</v>
      </c>
      <c r="L159" s="67"/>
    </row>
    <row r="160" spans="1:12" x14ac:dyDescent="0.25">
      <c r="A160" s="21"/>
      <c r="B160" s="30"/>
      <c r="C160" s="30"/>
      <c r="D160" s="35">
        <v>0</v>
      </c>
      <c r="E160" s="8"/>
      <c r="F160" s="31" t="str">
        <f t="shared" si="20"/>
        <v xml:space="preserve">N/F  </v>
      </c>
      <c r="G160" s="42">
        <f t="shared" si="21"/>
        <v>0</v>
      </c>
      <c r="H160" s="9">
        <v>21</v>
      </c>
      <c r="I160" s="32">
        <f t="shared" si="22"/>
        <v>0</v>
      </c>
      <c r="J160" s="32"/>
      <c r="K160" s="33">
        <f t="shared" si="23"/>
        <v>0</v>
      </c>
      <c r="L160" s="67"/>
    </row>
    <row r="161" spans="1:12" x14ac:dyDescent="0.25">
      <c r="A161" s="21"/>
      <c r="B161" s="30"/>
      <c r="C161" s="30"/>
      <c r="D161" s="35">
        <v>0</v>
      </c>
      <c r="E161" s="8"/>
      <c r="F161" s="31" t="str">
        <f t="shared" si="20"/>
        <v xml:space="preserve">N/F  </v>
      </c>
      <c r="G161" s="42">
        <f t="shared" si="21"/>
        <v>0</v>
      </c>
      <c r="H161" s="9">
        <v>21</v>
      </c>
      <c r="I161" s="32">
        <f t="shared" si="22"/>
        <v>0</v>
      </c>
      <c r="J161" s="32"/>
      <c r="K161" s="33">
        <f t="shared" si="23"/>
        <v>0</v>
      </c>
      <c r="L161" s="67"/>
    </row>
    <row r="162" spans="1:12" x14ac:dyDescent="0.25">
      <c r="A162" s="21"/>
      <c r="B162" s="30"/>
      <c r="C162" s="30"/>
      <c r="D162" s="35">
        <v>0</v>
      </c>
      <c r="E162" s="8"/>
      <c r="F162" s="31" t="str">
        <f t="shared" si="20"/>
        <v xml:space="preserve">N/F  </v>
      </c>
      <c r="G162" s="42">
        <f t="shared" si="21"/>
        <v>0</v>
      </c>
      <c r="H162" s="9">
        <v>21</v>
      </c>
      <c r="I162" s="32">
        <f t="shared" si="22"/>
        <v>0</v>
      </c>
      <c r="J162" s="32"/>
      <c r="K162" s="33">
        <f t="shared" si="23"/>
        <v>0</v>
      </c>
      <c r="L162" s="67"/>
    </row>
    <row r="163" spans="1:12" x14ac:dyDescent="0.25">
      <c r="A163" s="21"/>
      <c r="B163" s="30"/>
      <c r="C163" s="30"/>
      <c r="D163" s="35">
        <v>0</v>
      </c>
      <c r="E163" s="8"/>
      <c r="F163" s="31" t="str">
        <f t="shared" si="20"/>
        <v xml:space="preserve">N/F  </v>
      </c>
      <c r="G163" s="42">
        <f t="shared" si="21"/>
        <v>0</v>
      </c>
      <c r="H163" s="9">
        <v>21</v>
      </c>
      <c r="I163" s="32">
        <f t="shared" si="22"/>
        <v>0</v>
      </c>
      <c r="J163" s="32"/>
      <c r="K163" s="33">
        <f t="shared" si="23"/>
        <v>0</v>
      </c>
      <c r="L163" s="67"/>
    </row>
    <row r="164" spans="1:12" x14ac:dyDescent="0.25">
      <c r="A164" s="21"/>
      <c r="B164" s="30"/>
      <c r="C164" s="30"/>
      <c r="D164" s="35">
        <v>0</v>
      </c>
      <c r="E164" s="8"/>
      <c r="F164" s="31" t="str">
        <f t="shared" si="20"/>
        <v xml:space="preserve">N/F  </v>
      </c>
      <c r="G164" s="42">
        <f t="shared" si="21"/>
        <v>0</v>
      </c>
      <c r="H164" s="9">
        <v>21</v>
      </c>
      <c r="I164" s="32">
        <f t="shared" si="22"/>
        <v>0</v>
      </c>
      <c r="J164" s="32"/>
      <c r="K164" s="33">
        <f t="shared" si="23"/>
        <v>0</v>
      </c>
      <c r="L164" s="67"/>
    </row>
    <row r="165" spans="1:12" x14ac:dyDescent="0.25">
      <c r="A165" s="21"/>
      <c r="B165" s="30"/>
      <c r="C165" s="30"/>
      <c r="D165" s="35">
        <v>0</v>
      </c>
      <c r="E165" s="8"/>
      <c r="F165" s="31" t="str">
        <f t="shared" si="20"/>
        <v xml:space="preserve">N/F  </v>
      </c>
      <c r="G165" s="42">
        <f t="shared" si="21"/>
        <v>0</v>
      </c>
      <c r="H165" s="9">
        <v>21</v>
      </c>
      <c r="I165" s="32">
        <f t="shared" si="22"/>
        <v>0</v>
      </c>
      <c r="J165" s="32"/>
      <c r="K165" s="33">
        <f t="shared" si="23"/>
        <v>0</v>
      </c>
      <c r="L165" s="67"/>
    </row>
    <row r="166" spans="1:12" x14ac:dyDescent="0.25">
      <c r="A166" s="21"/>
      <c r="B166" s="30"/>
      <c r="C166" s="30"/>
      <c r="D166" s="35">
        <v>0</v>
      </c>
      <c r="E166" s="8"/>
      <c r="F166" s="31" t="str">
        <f t="shared" si="20"/>
        <v xml:space="preserve">N/F  </v>
      </c>
      <c r="G166" s="42">
        <f t="shared" si="21"/>
        <v>0</v>
      </c>
      <c r="H166" s="9">
        <v>21</v>
      </c>
      <c r="I166" s="32">
        <f t="shared" si="22"/>
        <v>0</v>
      </c>
      <c r="J166" s="32"/>
      <c r="K166" s="33">
        <f t="shared" si="23"/>
        <v>0</v>
      </c>
      <c r="L166" s="67"/>
    </row>
    <row r="167" spans="1:12" x14ac:dyDescent="0.25">
      <c r="A167" s="21"/>
      <c r="B167" s="30"/>
      <c r="C167" s="30"/>
      <c r="D167" s="35">
        <v>0</v>
      </c>
      <c r="E167" s="8"/>
      <c r="F167" s="31" t="str">
        <f t="shared" si="20"/>
        <v xml:space="preserve">N/F  </v>
      </c>
      <c r="G167" s="42">
        <f t="shared" si="21"/>
        <v>0</v>
      </c>
      <c r="H167" s="9">
        <v>21</v>
      </c>
      <c r="I167" s="32">
        <f t="shared" si="22"/>
        <v>0</v>
      </c>
      <c r="J167" s="32"/>
      <c r="K167" s="33">
        <f t="shared" si="23"/>
        <v>0</v>
      </c>
      <c r="L167" s="67"/>
    </row>
    <row r="168" spans="1:12" x14ac:dyDescent="0.25">
      <c r="A168" s="21"/>
      <c r="B168" s="30"/>
      <c r="C168" s="30"/>
      <c r="D168" s="35">
        <v>0</v>
      </c>
      <c r="E168" s="8"/>
      <c r="F168" s="31" t="str">
        <f t="shared" si="20"/>
        <v xml:space="preserve">N/F  </v>
      </c>
      <c r="G168" s="42">
        <f t="shared" si="21"/>
        <v>0</v>
      </c>
      <c r="H168" s="9">
        <v>21</v>
      </c>
      <c r="I168" s="32">
        <f t="shared" si="22"/>
        <v>0</v>
      </c>
      <c r="J168" s="32"/>
      <c r="K168" s="33">
        <f t="shared" si="23"/>
        <v>0</v>
      </c>
      <c r="L168" s="67"/>
    </row>
    <row r="169" spans="1:12" x14ac:dyDescent="0.25">
      <c r="A169" s="21"/>
      <c r="B169" s="30"/>
      <c r="C169" s="30"/>
      <c r="D169" s="35">
        <v>0</v>
      </c>
      <c r="E169" s="8"/>
      <c r="F169" s="31" t="str">
        <f t="shared" si="20"/>
        <v xml:space="preserve">N/F  </v>
      </c>
      <c r="G169" s="42">
        <f t="shared" si="21"/>
        <v>0</v>
      </c>
      <c r="H169" s="9">
        <v>21</v>
      </c>
      <c r="I169" s="32">
        <f t="shared" si="22"/>
        <v>0</v>
      </c>
      <c r="J169" s="32"/>
      <c r="K169" s="33">
        <f t="shared" si="23"/>
        <v>0</v>
      </c>
      <c r="L169" s="67"/>
    </row>
    <row r="170" spans="1:12" x14ac:dyDescent="0.25">
      <c r="A170" s="21"/>
      <c r="B170" s="30"/>
      <c r="C170" s="30"/>
      <c r="D170" s="38"/>
      <c r="E170" s="8"/>
      <c r="F170" s="31" t="str">
        <f t="shared" ref="F170:F233" si="24">"N/F "&amp;B170&amp;" "&amp;E170</f>
        <v xml:space="preserve">N/F  </v>
      </c>
      <c r="G170" s="42">
        <f t="shared" ref="G170:G233" si="25">+D170/1.21</f>
        <v>0</v>
      </c>
      <c r="H170" s="9">
        <v>21</v>
      </c>
      <c r="I170" s="32">
        <f t="shared" ref="I170:I233" si="26">+IF(G170&lt;&gt;0,G170*H170/100,0)</f>
        <v>0</v>
      </c>
      <c r="J170" s="32"/>
      <c r="K170" s="33">
        <f t="shared" ref="K170:K233" si="27">+G170+I170</f>
        <v>0</v>
      </c>
      <c r="L170" s="67"/>
    </row>
    <row r="171" spans="1:12" x14ac:dyDescent="0.25">
      <c r="A171" s="21"/>
      <c r="B171" s="30"/>
      <c r="C171" s="30"/>
      <c r="D171" s="38"/>
      <c r="E171" s="8"/>
      <c r="F171" s="31" t="str">
        <f t="shared" si="24"/>
        <v xml:space="preserve">N/F  </v>
      </c>
      <c r="G171" s="42">
        <f t="shared" si="25"/>
        <v>0</v>
      </c>
      <c r="H171" s="9">
        <v>21</v>
      </c>
      <c r="I171" s="32">
        <f t="shared" si="26"/>
        <v>0</v>
      </c>
      <c r="J171" s="32"/>
      <c r="K171" s="33">
        <f t="shared" si="27"/>
        <v>0</v>
      </c>
      <c r="L171" s="67"/>
    </row>
    <row r="172" spans="1:12" x14ac:dyDescent="0.25">
      <c r="A172" s="21"/>
      <c r="B172" s="30"/>
      <c r="C172" s="30"/>
      <c r="D172" s="38"/>
      <c r="E172" s="8"/>
      <c r="F172" s="31" t="str">
        <f t="shared" si="24"/>
        <v xml:space="preserve">N/F  </v>
      </c>
      <c r="G172" s="42">
        <f t="shared" si="25"/>
        <v>0</v>
      </c>
      <c r="H172" s="9">
        <v>21</v>
      </c>
      <c r="I172" s="32">
        <f t="shared" si="26"/>
        <v>0</v>
      </c>
      <c r="J172" s="32"/>
      <c r="K172" s="33">
        <f t="shared" si="27"/>
        <v>0</v>
      </c>
      <c r="L172" s="67"/>
    </row>
    <row r="173" spans="1:12" x14ac:dyDescent="0.25">
      <c r="A173" s="21"/>
      <c r="B173" s="30"/>
      <c r="C173" s="30"/>
      <c r="D173" s="38"/>
      <c r="E173" s="8"/>
      <c r="F173" s="31" t="str">
        <f t="shared" si="24"/>
        <v xml:space="preserve">N/F  </v>
      </c>
      <c r="G173" s="42">
        <f t="shared" si="25"/>
        <v>0</v>
      </c>
      <c r="H173" s="9">
        <v>21</v>
      </c>
      <c r="I173" s="32">
        <f t="shared" si="26"/>
        <v>0</v>
      </c>
      <c r="J173" s="32"/>
      <c r="K173" s="33">
        <f t="shared" si="27"/>
        <v>0</v>
      </c>
      <c r="L173" s="67"/>
    </row>
    <row r="174" spans="1:12" x14ac:dyDescent="0.25">
      <c r="A174" s="21"/>
      <c r="B174" s="30"/>
      <c r="C174" s="30"/>
      <c r="D174" s="38"/>
      <c r="E174" s="8"/>
      <c r="F174" s="31" t="str">
        <f t="shared" si="24"/>
        <v xml:space="preserve">N/F  </v>
      </c>
      <c r="G174" s="42">
        <f t="shared" si="25"/>
        <v>0</v>
      </c>
      <c r="H174" s="9">
        <v>21</v>
      </c>
      <c r="I174" s="32">
        <f t="shared" si="26"/>
        <v>0</v>
      </c>
      <c r="J174" s="32"/>
      <c r="K174" s="33">
        <f t="shared" si="27"/>
        <v>0</v>
      </c>
      <c r="L174" s="67"/>
    </row>
    <row r="175" spans="1:12" x14ac:dyDescent="0.25">
      <c r="A175" s="21"/>
      <c r="B175" s="30"/>
      <c r="C175" s="30"/>
      <c r="D175" s="38"/>
      <c r="E175" s="8"/>
      <c r="F175" s="31" t="str">
        <f t="shared" si="24"/>
        <v xml:space="preserve">N/F  </v>
      </c>
      <c r="G175" s="42">
        <f t="shared" si="25"/>
        <v>0</v>
      </c>
      <c r="H175" s="9">
        <v>21</v>
      </c>
      <c r="I175" s="32">
        <f t="shared" si="26"/>
        <v>0</v>
      </c>
      <c r="J175" s="32"/>
      <c r="K175" s="33">
        <f t="shared" si="27"/>
        <v>0</v>
      </c>
      <c r="L175" s="67"/>
    </row>
    <row r="176" spans="1:12" x14ac:dyDescent="0.25">
      <c r="A176" s="21"/>
      <c r="B176" s="30"/>
      <c r="C176" s="30"/>
      <c r="D176" s="38"/>
      <c r="E176" s="8"/>
      <c r="F176" s="31" t="str">
        <f t="shared" si="24"/>
        <v xml:space="preserve">N/F  </v>
      </c>
      <c r="G176" s="42">
        <f t="shared" si="25"/>
        <v>0</v>
      </c>
      <c r="H176" s="9">
        <v>21</v>
      </c>
      <c r="I176" s="32">
        <f t="shared" si="26"/>
        <v>0</v>
      </c>
      <c r="J176" s="32"/>
      <c r="K176" s="33">
        <f t="shared" si="27"/>
        <v>0</v>
      </c>
      <c r="L176" s="67"/>
    </row>
    <row r="177" spans="1:12" x14ac:dyDescent="0.25">
      <c r="A177" s="21"/>
      <c r="B177" s="30"/>
      <c r="C177" s="30"/>
      <c r="D177" s="38"/>
      <c r="E177" s="8"/>
      <c r="F177" s="31" t="str">
        <f t="shared" si="24"/>
        <v xml:space="preserve">N/F  </v>
      </c>
      <c r="G177" s="42">
        <f t="shared" si="25"/>
        <v>0</v>
      </c>
      <c r="H177" s="9">
        <v>21</v>
      </c>
      <c r="I177" s="32">
        <f t="shared" si="26"/>
        <v>0</v>
      </c>
      <c r="J177" s="32"/>
      <c r="K177" s="33">
        <f t="shared" si="27"/>
        <v>0</v>
      </c>
      <c r="L177" s="67"/>
    </row>
    <row r="178" spans="1:12" x14ac:dyDescent="0.25">
      <c r="A178" s="21"/>
      <c r="B178" s="30"/>
      <c r="C178" s="30"/>
      <c r="D178" s="38"/>
      <c r="E178" s="8"/>
      <c r="F178" s="31" t="str">
        <f t="shared" si="24"/>
        <v xml:space="preserve">N/F  </v>
      </c>
      <c r="G178" s="42">
        <f t="shared" si="25"/>
        <v>0</v>
      </c>
      <c r="H178" s="9">
        <v>21</v>
      </c>
      <c r="I178" s="32">
        <f t="shared" si="26"/>
        <v>0</v>
      </c>
      <c r="J178" s="32"/>
      <c r="K178" s="33">
        <f t="shared" si="27"/>
        <v>0</v>
      </c>
      <c r="L178" s="67"/>
    </row>
    <row r="179" spans="1:12" x14ac:dyDescent="0.25">
      <c r="A179" s="21"/>
      <c r="B179" s="30"/>
      <c r="C179" s="30"/>
      <c r="D179" s="38"/>
      <c r="E179" s="8"/>
      <c r="F179" s="31" t="str">
        <f t="shared" si="24"/>
        <v xml:space="preserve">N/F  </v>
      </c>
      <c r="G179" s="42">
        <f t="shared" si="25"/>
        <v>0</v>
      </c>
      <c r="H179" s="9">
        <v>21</v>
      </c>
      <c r="I179" s="32">
        <f t="shared" si="26"/>
        <v>0</v>
      </c>
      <c r="J179" s="32"/>
      <c r="K179" s="33">
        <f t="shared" si="27"/>
        <v>0</v>
      </c>
      <c r="L179" s="67"/>
    </row>
    <row r="180" spans="1:12" x14ac:dyDescent="0.25">
      <c r="A180" s="21"/>
      <c r="B180" s="30"/>
      <c r="C180" s="30"/>
      <c r="D180" s="38"/>
      <c r="E180" s="8"/>
      <c r="F180" s="31" t="str">
        <f t="shared" si="24"/>
        <v xml:space="preserve">N/F  </v>
      </c>
      <c r="G180" s="42">
        <f t="shared" si="25"/>
        <v>0</v>
      </c>
      <c r="H180" s="9">
        <v>21</v>
      </c>
      <c r="I180" s="32">
        <f t="shared" si="26"/>
        <v>0</v>
      </c>
      <c r="J180" s="32"/>
      <c r="K180" s="33">
        <f t="shared" si="27"/>
        <v>0</v>
      </c>
      <c r="L180" s="67"/>
    </row>
    <row r="181" spans="1:12" x14ac:dyDescent="0.25">
      <c r="A181" s="21"/>
      <c r="B181" s="30"/>
      <c r="C181" s="30"/>
      <c r="D181" s="38"/>
      <c r="E181" s="8"/>
      <c r="F181" s="31" t="str">
        <f t="shared" si="24"/>
        <v xml:space="preserve">N/F  </v>
      </c>
      <c r="G181" s="42">
        <f t="shared" si="25"/>
        <v>0</v>
      </c>
      <c r="H181" s="9">
        <v>21</v>
      </c>
      <c r="I181" s="32">
        <f t="shared" si="26"/>
        <v>0</v>
      </c>
      <c r="J181" s="32"/>
      <c r="K181" s="33">
        <f t="shared" si="27"/>
        <v>0</v>
      </c>
      <c r="L181" s="67"/>
    </row>
    <row r="182" spans="1:12" x14ac:dyDescent="0.25">
      <c r="A182" s="21"/>
      <c r="B182" s="30"/>
      <c r="C182" s="30"/>
      <c r="D182" s="38"/>
      <c r="E182" s="8"/>
      <c r="F182" s="31" t="str">
        <f t="shared" si="24"/>
        <v xml:space="preserve">N/F  </v>
      </c>
      <c r="G182" s="42">
        <f t="shared" si="25"/>
        <v>0</v>
      </c>
      <c r="H182" s="9">
        <v>21</v>
      </c>
      <c r="I182" s="32">
        <f t="shared" si="26"/>
        <v>0</v>
      </c>
      <c r="J182" s="32"/>
      <c r="K182" s="33">
        <f t="shared" si="27"/>
        <v>0</v>
      </c>
      <c r="L182" s="67"/>
    </row>
    <row r="183" spans="1:12" x14ac:dyDescent="0.25">
      <c r="A183" s="21"/>
      <c r="B183" s="30"/>
      <c r="C183" s="30"/>
      <c r="D183" s="38"/>
      <c r="E183" s="8"/>
      <c r="F183" s="31" t="str">
        <f t="shared" si="24"/>
        <v xml:space="preserve">N/F  </v>
      </c>
      <c r="G183" s="42">
        <f t="shared" si="25"/>
        <v>0</v>
      </c>
      <c r="H183" s="9">
        <v>21</v>
      </c>
      <c r="I183" s="32">
        <f t="shared" si="26"/>
        <v>0</v>
      </c>
      <c r="J183" s="32"/>
      <c r="K183" s="33">
        <f t="shared" si="27"/>
        <v>0</v>
      </c>
      <c r="L183" s="67"/>
    </row>
    <row r="184" spans="1:12" x14ac:dyDescent="0.25">
      <c r="A184" s="21"/>
      <c r="B184" s="30"/>
      <c r="C184" s="30"/>
      <c r="D184" s="38"/>
      <c r="E184" s="8"/>
      <c r="F184" s="31" t="str">
        <f t="shared" si="24"/>
        <v xml:space="preserve">N/F  </v>
      </c>
      <c r="G184" s="42">
        <f t="shared" si="25"/>
        <v>0</v>
      </c>
      <c r="H184" s="9">
        <v>21</v>
      </c>
      <c r="I184" s="32">
        <f t="shared" si="26"/>
        <v>0</v>
      </c>
      <c r="J184" s="32"/>
      <c r="K184" s="33">
        <f t="shared" si="27"/>
        <v>0</v>
      </c>
      <c r="L184" s="67"/>
    </row>
    <row r="185" spans="1:12" x14ac:dyDescent="0.25">
      <c r="A185" s="21"/>
      <c r="B185" s="30"/>
      <c r="C185" s="30"/>
      <c r="D185" s="38"/>
      <c r="E185" s="8"/>
      <c r="F185" s="31" t="str">
        <f t="shared" si="24"/>
        <v xml:space="preserve">N/F  </v>
      </c>
      <c r="G185" s="42">
        <f t="shared" si="25"/>
        <v>0</v>
      </c>
      <c r="H185" s="9">
        <v>21</v>
      </c>
      <c r="I185" s="32">
        <f t="shared" si="26"/>
        <v>0</v>
      </c>
      <c r="J185" s="32"/>
      <c r="K185" s="33">
        <f t="shared" si="27"/>
        <v>0</v>
      </c>
      <c r="L185" s="67"/>
    </row>
    <row r="186" spans="1:12" x14ac:dyDescent="0.25">
      <c r="A186" s="21"/>
      <c r="B186" s="30"/>
      <c r="C186" s="30"/>
      <c r="D186" s="38"/>
      <c r="E186" s="8"/>
      <c r="F186" s="31" t="str">
        <f t="shared" si="24"/>
        <v xml:space="preserve">N/F  </v>
      </c>
      <c r="G186" s="42">
        <f t="shared" si="25"/>
        <v>0</v>
      </c>
      <c r="H186" s="9">
        <v>21</v>
      </c>
      <c r="I186" s="32">
        <f t="shared" si="26"/>
        <v>0</v>
      </c>
      <c r="J186" s="32"/>
      <c r="K186" s="33">
        <f t="shared" si="27"/>
        <v>0</v>
      </c>
      <c r="L186" s="67"/>
    </row>
    <row r="187" spans="1:12" x14ac:dyDescent="0.25">
      <c r="A187" s="21"/>
      <c r="B187" s="30"/>
      <c r="C187" s="30"/>
      <c r="D187" s="38"/>
      <c r="E187" s="8"/>
      <c r="F187" s="31" t="str">
        <f t="shared" si="24"/>
        <v xml:space="preserve">N/F  </v>
      </c>
      <c r="G187" s="42">
        <f t="shared" si="25"/>
        <v>0</v>
      </c>
      <c r="H187" s="9">
        <v>21</v>
      </c>
      <c r="I187" s="32">
        <f t="shared" si="26"/>
        <v>0</v>
      </c>
      <c r="J187" s="32"/>
      <c r="K187" s="33">
        <f t="shared" si="27"/>
        <v>0</v>
      </c>
      <c r="L187" s="67"/>
    </row>
    <row r="188" spans="1:12" x14ac:dyDescent="0.25">
      <c r="A188" s="21"/>
      <c r="B188" s="30"/>
      <c r="C188" s="30"/>
      <c r="D188" s="38"/>
      <c r="E188" s="8"/>
      <c r="F188" s="31" t="str">
        <f t="shared" si="24"/>
        <v xml:space="preserve">N/F  </v>
      </c>
      <c r="G188" s="42">
        <f t="shared" si="25"/>
        <v>0</v>
      </c>
      <c r="H188" s="9">
        <v>21</v>
      </c>
      <c r="I188" s="32">
        <f t="shared" si="26"/>
        <v>0</v>
      </c>
      <c r="J188" s="32"/>
      <c r="K188" s="33">
        <f t="shared" si="27"/>
        <v>0</v>
      </c>
      <c r="L188" s="67"/>
    </row>
    <row r="189" spans="1:12" x14ac:dyDescent="0.25">
      <c r="A189" s="21"/>
      <c r="B189" s="30"/>
      <c r="C189" s="30"/>
      <c r="D189" s="38"/>
      <c r="E189" s="8"/>
      <c r="F189" s="31" t="str">
        <f t="shared" si="24"/>
        <v xml:space="preserve">N/F  </v>
      </c>
      <c r="G189" s="42">
        <f t="shared" si="25"/>
        <v>0</v>
      </c>
      <c r="H189" s="9">
        <v>21</v>
      </c>
      <c r="I189" s="32">
        <f t="shared" si="26"/>
        <v>0</v>
      </c>
      <c r="J189" s="32"/>
      <c r="K189" s="33">
        <f t="shared" si="27"/>
        <v>0</v>
      </c>
      <c r="L189" s="67"/>
    </row>
    <row r="190" spans="1:12" x14ac:dyDescent="0.25">
      <c r="A190" s="21"/>
      <c r="B190" s="30"/>
      <c r="C190" s="30"/>
      <c r="D190" s="38"/>
      <c r="E190" s="8"/>
      <c r="F190" s="31" t="str">
        <f t="shared" si="24"/>
        <v xml:space="preserve">N/F  </v>
      </c>
      <c r="G190" s="42">
        <f t="shared" si="25"/>
        <v>0</v>
      </c>
      <c r="H190" s="9">
        <v>21</v>
      </c>
      <c r="I190" s="32">
        <f t="shared" si="26"/>
        <v>0</v>
      </c>
      <c r="J190" s="32"/>
      <c r="K190" s="33">
        <f t="shared" si="27"/>
        <v>0</v>
      </c>
      <c r="L190" s="67"/>
    </row>
    <row r="191" spans="1:12" x14ac:dyDescent="0.25">
      <c r="A191" s="21"/>
      <c r="B191" s="30"/>
      <c r="C191" s="30"/>
      <c r="D191" s="38"/>
      <c r="E191" s="8"/>
      <c r="F191" s="31" t="str">
        <f t="shared" si="24"/>
        <v xml:space="preserve">N/F  </v>
      </c>
      <c r="G191" s="42">
        <f t="shared" si="25"/>
        <v>0</v>
      </c>
      <c r="H191" s="9">
        <v>21</v>
      </c>
      <c r="I191" s="32">
        <f t="shared" si="26"/>
        <v>0</v>
      </c>
      <c r="J191" s="32"/>
      <c r="K191" s="33">
        <f t="shared" si="27"/>
        <v>0</v>
      </c>
      <c r="L191" s="67"/>
    </row>
    <row r="192" spans="1:12" x14ac:dyDescent="0.25">
      <c r="A192" s="21"/>
      <c r="B192" s="30"/>
      <c r="C192" s="30"/>
      <c r="D192" s="38"/>
      <c r="E192" s="8"/>
      <c r="F192" s="31" t="str">
        <f t="shared" si="24"/>
        <v xml:space="preserve">N/F  </v>
      </c>
      <c r="G192" s="42">
        <f t="shared" si="25"/>
        <v>0</v>
      </c>
      <c r="H192" s="9">
        <v>21</v>
      </c>
      <c r="I192" s="32">
        <f t="shared" si="26"/>
        <v>0</v>
      </c>
      <c r="J192" s="32"/>
      <c r="K192" s="33">
        <f t="shared" si="27"/>
        <v>0</v>
      </c>
      <c r="L192" s="67"/>
    </row>
    <row r="193" spans="1:12" x14ac:dyDescent="0.25">
      <c r="A193" s="21"/>
      <c r="B193" s="30"/>
      <c r="C193" s="30"/>
      <c r="D193" s="38"/>
      <c r="E193" s="8"/>
      <c r="F193" s="31" t="str">
        <f t="shared" si="24"/>
        <v xml:space="preserve">N/F  </v>
      </c>
      <c r="G193" s="42">
        <f t="shared" si="25"/>
        <v>0</v>
      </c>
      <c r="H193" s="9">
        <v>21</v>
      </c>
      <c r="I193" s="32">
        <f t="shared" si="26"/>
        <v>0</v>
      </c>
      <c r="J193" s="32"/>
      <c r="K193" s="33">
        <f t="shared" si="27"/>
        <v>0</v>
      </c>
      <c r="L193" s="67"/>
    </row>
    <row r="194" spans="1:12" x14ac:dyDescent="0.25">
      <c r="A194" s="21"/>
      <c r="B194" s="30"/>
      <c r="C194" s="30"/>
      <c r="D194" s="38"/>
      <c r="E194" s="8"/>
      <c r="F194" s="31" t="str">
        <f t="shared" si="24"/>
        <v xml:space="preserve">N/F  </v>
      </c>
      <c r="G194" s="42">
        <f t="shared" si="25"/>
        <v>0</v>
      </c>
      <c r="H194" s="9">
        <v>21</v>
      </c>
      <c r="I194" s="32">
        <f t="shared" si="26"/>
        <v>0</v>
      </c>
      <c r="J194" s="32"/>
      <c r="K194" s="33">
        <f t="shared" si="27"/>
        <v>0</v>
      </c>
      <c r="L194" s="67"/>
    </row>
    <row r="195" spans="1:12" x14ac:dyDescent="0.25">
      <c r="A195" s="21"/>
      <c r="B195" s="30"/>
      <c r="C195" s="30"/>
      <c r="D195" s="38"/>
      <c r="E195" s="8"/>
      <c r="F195" s="31" t="str">
        <f t="shared" si="24"/>
        <v xml:space="preserve">N/F  </v>
      </c>
      <c r="G195" s="42">
        <f t="shared" si="25"/>
        <v>0</v>
      </c>
      <c r="H195" s="9">
        <v>21</v>
      </c>
      <c r="I195" s="32">
        <f t="shared" si="26"/>
        <v>0</v>
      </c>
      <c r="J195" s="32"/>
      <c r="K195" s="33">
        <f t="shared" si="27"/>
        <v>0</v>
      </c>
      <c r="L195" s="67"/>
    </row>
    <row r="196" spans="1:12" x14ac:dyDescent="0.25">
      <c r="A196" s="21"/>
      <c r="B196" s="30"/>
      <c r="C196" s="30"/>
      <c r="D196" s="38"/>
      <c r="E196" s="8"/>
      <c r="F196" s="31" t="str">
        <f t="shared" si="24"/>
        <v xml:space="preserve">N/F  </v>
      </c>
      <c r="G196" s="42">
        <f t="shared" si="25"/>
        <v>0</v>
      </c>
      <c r="H196" s="9">
        <v>21</v>
      </c>
      <c r="I196" s="32">
        <f t="shared" si="26"/>
        <v>0</v>
      </c>
      <c r="J196" s="32"/>
      <c r="K196" s="33">
        <f t="shared" si="27"/>
        <v>0</v>
      </c>
      <c r="L196" s="67"/>
    </row>
    <row r="197" spans="1:12" x14ac:dyDescent="0.25">
      <c r="A197" s="21"/>
      <c r="B197" s="30"/>
      <c r="C197" s="30"/>
      <c r="D197" s="38"/>
      <c r="E197" s="8"/>
      <c r="F197" s="31" t="str">
        <f t="shared" si="24"/>
        <v xml:space="preserve">N/F  </v>
      </c>
      <c r="G197" s="42">
        <f t="shared" si="25"/>
        <v>0</v>
      </c>
      <c r="H197" s="9">
        <v>21</v>
      </c>
      <c r="I197" s="32">
        <f t="shared" si="26"/>
        <v>0</v>
      </c>
      <c r="J197" s="32"/>
      <c r="K197" s="33">
        <f t="shared" si="27"/>
        <v>0</v>
      </c>
      <c r="L197" s="67"/>
    </row>
    <row r="198" spans="1:12" x14ac:dyDescent="0.25">
      <c r="A198" s="21"/>
      <c r="B198" s="30"/>
      <c r="C198" s="30"/>
      <c r="D198" s="38"/>
      <c r="E198" s="8"/>
      <c r="F198" s="31" t="str">
        <f t="shared" si="24"/>
        <v xml:space="preserve">N/F  </v>
      </c>
      <c r="G198" s="42">
        <f t="shared" si="25"/>
        <v>0</v>
      </c>
      <c r="H198" s="9">
        <v>21</v>
      </c>
      <c r="I198" s="32">
        <f t="shared" si="26"/>
        <v>0</v>
      </c>
      <c r="J198" s="32"/>
      <c r="K198" s="33">
        <f t="shared" si="27"/>
        <v>0</v>
      </c>
      <c r="L198" s="67"/>
    </row>
    <row r="199" spans="1:12" x14ac:dyDescent="0.25">
      <c r="A199" s="21"/>
      <c r="B199" s="30"/>
      <c r="C199" s="30"/>
      <c r="D199" s="38"/>
      <c r="E199" s="8"/>
      <c r="F199" s="31" t="str">
        <f t="shared" si="24"/>
        <v xml:space="preserve">N/F  </v>
      </c>
      <c r="G199" s="42">
        <f t="shared" si="25"/>
        <v>0</v>
      </c>
      <c r="H199" s="9">
        <v>21</v>
      </c>
      <c r="I199" s="32">
        <f t="shared" si="26"/>
        <v>0</v>
      </c>
      <c r="J199" s="32"/>
      <c r="K199" s="33">
        <f t="shared" si="27"/>
        <v>0</v>
      </c>
      <c r="L199" s="67"/>
    </row>
    <row r="200" spans="1:12" x14ac:dyDescent="0.25">
      <c r="A200" s="21"/>
      <c r="B200" s="30"/>
      <c r="C200" s="30"/>
      <c r="D200" s="38"/>
      <c r="E200" s="8"/>
      <c r="F200" s="31" t="str">
        <f t="shared" si="24"/>
        <v xml:space="preserve">N/F  </v>
      </c>
      <c r="G200" s="42">
        <f t="shared" si="25"/>
        <v>0</v>
      </c>
      <c r="H200" s="9">
        <v>21</v>
      </c>
      <c r="I200" s="32">
        <f t="shared" si="26"/>
        <v>0</v>
      </c>
      <c r="J200" s="32"/>
      <c r="K200" s="33">
        <f t="shared" si="27"/>
        <v>0</v>
      </c>
      <c r="L200" s="67"/>
    </row>
    <row r="201" spans="1:12" x14ac:dyDescent="0.25">
      <c r="A201" s="21"/>
      <c r="B201" s="30"/>
      <c r="C201" s="30"/>
      <c r="D201" s="38"/>
      <c r="E201" s="8"/>
      <c r="F201" s="31" t="str">
        <f t="shared" si="24"/>
        <v xml:space="preserve">N/F  </v>
      </c>
      <c r="G201" s="42">
        <f t="shared" si="25"/>
        <v>0</v>
      </c>
      <c r="H201" s="9">
        <v>21</v>
      </c>
      <c r="I201" s="32">
        <f t="shared" si="26"/>
        <v>0</v>
      </c>
      <c r="J201" s="32"/>
      <c r="K201" s="33">
        <f t="shared" si="27"/>
        <v>0</v>
      </c>
      <c r="L201" s="67"/>
    </row>
    <row r="202" spans="1:12" x14ac:dyDescent="0.25">
      <c r="A202" s="21"/>
      <c r="B202" s="30"/>
      <c r="C202" s="30"/>
      <c r="D202" s="38"/>
      <c r="E202" s="8"/>
      <c r="F202" s="31" t="str">
        <f t="shared" si="24"/>
        <v xml:space="preserve">N/F  </v>
      </c>
      <c r="G202" s="42">
        <f t="shared" si="25"/>
        <v>0</v>
      </c>
      <c r="H202" s="9">
        <v>21</v>
      </c>
      <c r="I202" s="32">
        <f t="shared" si="26"/>
        <v>0</v>
      </c>
      <c r="J202" s="32"/>
      <c r="K202" s="33">
        <f t="shared" si="27"/>
        <v>0</v>
      </c>
      <c r="L202" s="67"/>
    </row>
    <row r="203" spans="1:12" x14ac:dyDescent="0.25">
      <c r="A203" s="21"/>
      <c r="B203" s="30"/>
      <c r="C203" s="30"/>
      <c r="D203" s="38"/>
      <c r="E203" s="8"/>
      <c r="F203" s="31" t="str">
        <f t="shared" si="24"/>
        <v xml:space="preserve">N/F  </v>
      </c>
      <c r="G203" s="42">
        <f t="shared" si="25"/>
        <v>0</v>
      </c>
      <c r="H203" s="9">
        <v>21</v>
      </c>
      <c r="I203" s="32">
        <f t="shared" si="26"/>
        <v>0</v>
      </c>
      <c r="J203" s="32"/>
      <c r="K203" s="33">
        <f t="shared" si="27"/>
        <v>0</v>
      </c>
      <c r="L203" s="67"/>
    </row>
    <row r="204" spans="1:12" x14ac:dyDescent="0.25">
      <c r="A204" s="21"/>
      <c r="B204" s="30"/>
      <c r="C204" s="30"/>
      <c r="D204" s="38"/>
      <c r="E204" s="8"/>
      <c r="F204" s="31" t="str">
        <f t="shared" si="24"/>
        <v xml:space="preserve">N/F  </v>
      </c>
      <c r="G204" s="42">
        <f t="shared" si="25"/>
        <v>0</v>
      </c>
      <c r="H204" s="9">
        <v>21</v>
      </c>
      <c r="I204" s="32">
        <f t="shared" si="26"/>
        <v>0</v>
      </c>
      <c r="J204" s="32"/>
      <c r="K204" s="33">
        <f t="shared" si="27"/>
        <v>0</v>
      </c>
      <c r="L204" s="67"/>
    </row>
    <row r="205" spans="1:12" x14ac:dyDescent="0.25">
      <c r="A205" s="21"/>
      <c r="B205" s="30"/>
      <c r="C205" s="30"/>
      <c r="D205" s="38"/>
      <c r="E205" s="8"/>
      <c r="F205" s="31" t="str">
        <f t="shared" si="24"/>
        <v xml:space="preserve">N/F  </v>
      </c>
      <c r="G205" s="42">
        <f t="shared" si="25"/>
        <v>0</v>
      </c>
      <c r="H205" s="9">
        <v>21</v>
      </c>
      <c r="I205" s="32">
        <f t="shared" si="26"/>
        <v>0</v>
      </c>
      <c r="J205" s="32"/>
      <c r="K205" s="33">
        <f t="shared" si="27"/>
        <v>0</v>
      </c>
      <c r="L205" s="67"/>
    </row>
    <row r="206" spans="1:12" x14ac:dyDescent="0.25">
      <c r="A206" s="21"/>
      <c r="B206" s="30"/>
      <c r="C206" s="30"/>
      <c r="D206" s="38"/>
      <c r="E206" s="8"/>
      <c r="F206" s="31" t="str">
        <f t="shared" si="24"/>
        <v xml:space="preserve">N/F  </v>
      </c>
      <c r="G206" s="42">
        <f t="shared" si="25"/>
        <v>0</v>
      </c>
      <c r="H206" s="9">
        <v>21</v>
      </c>
      <c r="I206" s="32">
        <f t="shared" si="26"/>
        <v>0</v>
      </c>
      <c r="J206" s="32"/>
      <c r="K206" s="33">
        <f t="shared" si="27"/>
        <v>0</v>
      </c>
      <c r="L206" s="67"/>
    </row>
    <row r="207" spans="1:12" x14ac:dyDescent="0.25">
      <c r="A207" s="21"/>
      <c r="B207" s="30"/>
      <c r="C207" s="30"/>
      <c r="D207" s="38"/>
      <c r="E207" s="8"/>
      <c r="F207" s="31" t="str">
        <f t="shared" si="24"/>
        <v xml:space="preserve">N/F  </v>
      </c>
      <c r="G207" s="42">
        <f t="shared" si="25"/>
        <v>0</v>
      </c>
      <c r="H207" s="9">
        <v>21</v>
      </c>
      <c r="I207" s="32">
        <f t="shared" si="26"/>
        <v>0</v>
      </c>
      <c r="J207" s="32"/>
      <c r="K207" s="33">
        <f t="shared" si="27"/>
        <v>0</v>
      </c>
      <c r="L207" s="67"/>
    </row>
    <row r="208" spans="1:12" x14ac:dyDescent="0.25">
      <c r="A208" s="21"/>
      <c r="B208" s="30"/>
      <c r="C208" s="30"/>
      <c r="D208" s="38"/>
      <c r="E208" s="8"/>
      <c r="F208" s="31" t="str">
        <f t="shared" si="24"/>
        <v xml:space="preserve">N/F  </v>
      </c>
      <c r="G208" s="42">
        <f t="shared" si="25"/>
        <v>0</v>
      </c>
      <c r="H208" s="9">
        <v>21</v>
      </c>
      <c r="I208" s="32">
        <f t="shared" si="26"/>
        <v>0</v>
      </c>
      <c r="J208" s="32"/>
      <c r="K208" s="33">
        <f t="shared" si="27"/>
        <v>0</v>
      </c>
      <c r="L208" s="67"/>
    </row>
    <row r="209" spans="1:12" x14ac:dyDescent="0.25">
      <c r="A209" s="21"/>
      <c r="B209" s="30"/>
      <c r="C209" s="30"/>
      <c r="D209" s="38"/>
      <c r="E209" s="8"/>
      <c r="F209" s="31" t="str">
        <f t="shared" si="24"/>
        <v xml:space="preserve">N/F  </v>
      </c>
      <c r="G209" s="42">
        <f t="shared" si="25"/>
        <v>0</v>
      </c>
      <c r="H209" s="9">
        <v>21</v>
      </c>
      <c r="I209" s="32">
        <f t="shared" si="26"/>
        <v>0</v>
      </c>
      <c r="J209" s="32"/>
      <c r="K209" s="33">
        <f t="shared" si="27"/>
        <v>0</v>
      </c>
      <c r="L209" s="67"/>
    </row>
    <row r="210" spans="1:12" x14ac:dyDescent="0.25">
      <c r="A210" s="21"/>
      <c r="B210" s="30"/>
      <c r="C210" s="30"/>
      <c r="D210" s="38"/>
      <c r="E210" s="8"/>
      <c r="F210" s="31" t="str">
        <f t="shared" si="24"/>
        <v xml:space="preserve">N/F  </v>
      </c>
      <c r="G210" s="42">
        <f t="shared" si="25"/>
        <v>0</v>
      </c>
      <c r="H210" s="9">
        <v>21</v>
      </c>
      <c r="I210" s="32">
        <f t="shared" si="26"/>
        <v>0</v>
      </c>
      <c r="J210" s="32"/>
      <c r="K210" s="33">
        <f t="shared" si="27"/>
        <v>0</v>
      </c>
      <c r="L210" s="67"/>
    </row>
    <row r="211" spans="1:12" x14ac:dyDescent="0.25">
      <c r="A211" s="21"/>
      <c r="B211" s="30"/>
      <c r="C211" s="30"/>
      <c r="D211" s="38"/>
      <c r="E211" s="8"/>
      <c r="F211" s="31" t="str">
        <f t="shared" si="24"/>
        <v xml:space="preserve">N/F  </v>
      </c>
      <c r="G211" s="42">
        <f t="shared" si="25"/>
        <v>0</v>
      </c>
      <c r="H211" s="9">
        <v>21</v>
      </c>
      <c r="I211" s="32">
        <f t="shared" si="26"/>
        <v>0</v>
      </c>
      <c r="J211" s="32"/>
      <c r="K211" s="33">
        <f t="shared" si="27"/>
        <v>0</v>
      </c>
      <c r="L211" s="67"/>
    </row>
    <row r="212" spans="1:12" x14ac:dyDescent="0.25">
      <c r="A212" s="21"/>
      <c r="B212" s="30"/>
      <c r="C212" s="30"/>
      <c r="D212" s="38"/>
      <c r="E212" s="8"/>
      <c r="F212" s="31" t="str">
        <f t="shared" si="24"/>
        <v xml:space="preserve">N/F  </v>
      </c>
      <c r="G212" s="42">
        <f t="shared" si="25"/>
        <v>0</v>
      </c>
      <c r="H212" s="9">
        <v>21</v>
      </c>
      <c r="I212" s="32">
        <f t="shared" si="26"/>
        <v>0</v>
      </c>
      <c r="J212" s="32"/>
      <c r="K212" s="33">
        <f t="shared" si="27"/>
        <v>0</v>
      </c>
      <c r="L212" s="67"/>
    </row>
    <row r="213" spans="1:12" x14ac:dyDescent="0.25">
      <c r="A213" s="21"/>
      <c r="B213" s="30"/>
      <c r="C213" s="30"/>
      <c r="D213" s="38"/>
      <c r="E213" s="8"/>
      <c r="F213" s="31" t="str">
        <f t="shared" si="24"/>
        <v xml:space="preserve">N/F  </v>
      </c>
      <c r="G213" s="42">
        <f t="shared" si="25"/>
        <v>0</v>
      </c>
      <c r="H213" s="9">
        <v>21</v>
      </c>
      <c r="I213" s="32">
        <f t="shared" si="26"/>
        <v>0</v>
      </c>
      <c r="J213" s="32"/>
      <c r="K213" s="33">
        <f t="shared" si="27"/>
        <v>0</v>
      </c>
      <c r="L213" s="67"/>
    </row>
    <row r="214" spans="1:12" x14ac:dyDescent="0.25">
      <c r="A214" s="21"/>
      <c r="B214" s="30"/>
      <c r="C214" s="30"/>
      <c r="D214" s="38"/>
      <c r="E214" s="8"/>
      <c r="F214" s="31" t="str">
        <f t="shared" si="24"/>
        <v xml:space="preserve">N/F  </v>
      </c>
      <c r="G214" s="42">
        <f t="shared" si="25"/>
        <v>0</v>
      </c>
      <c r="H214" s="9">
        <v>21</v>
      </c>
      <c r="I214" s="32">
        <f t="shared" si="26"/>
        <v>0</v>
      </c>
      <c r="J214" s="32"/>
      <c r="K214" s="33">
        <f t="shared" si="27"/>
        <v>0</v>
      </c>
      <c r="L214" s="67"/>
    </row>
    <row r="215" spans="1:12" x14ac:dyDescent="0.25">
      <c r="A215" s="21"/>
      <c r="B215" s="30"/>
      <c r="C215" s="30"/>
      <c r="D215" s="38"/>
      <c r="E215" s="8"/>
      <c r="F215" s="31" t="str">
        <f t="shared" si="24"/>
        <v xml:space="preserve">N/F  </v>
      </c>
      <c r="G215" s="42">
        <f t="shared" si="25"/>
        <v>0</v>
      </c>
      <c r="H215" s="9">
        <v>21</v>
      </c>
      <c r="I215" s="32">
        <f t="shared" si="26"/>
        <v>0</v>
      </c>
      <c r="J215" s="32"/>
      <c r="K215" s="33">
        <f t="shared" si="27"/>
        <v>0</v>
      </c>
      <c r="L215" s="67"/>
    </row>
    <row r="216" spans="1:12" x14ac:dyDescent="0.25">
      <c r="A216" s="21"/>
      <c r="B216" s="30"/>
      <c r="C216" s="30"/>
      <c r="D216" s="38"/>
      <c r="E216" s="8"/>
      <c r="F216" s="31" t="str">
        <f t="shared" si="24"/>
        <v xml:space="preserve">N/F  </v>
      </c>
      <c r="G216" s="42">
        <f t="shared" si="25"/>
        <v>0</v>
      </c>
      <c r="H216" s="9">
        <v>21</v>
      </c>
      <c r="I216" s="32">
        <f t="shared" si="26"/>
        <v>0</v>
      </c>
      <c r="J216" s="32"/>
      <c r="K216" s="33">
        <f t="shared" si="27"/>
        <v>0</v>
      </c>
      <c r="L216" s="67"/>
    </row>
    <row r="217" spans="1:12" x14ac:dyDescent="0.25">
      <c r="A217" s="21"/>
      <c r="B217" s="30"/>
      <c r="C217" s="30"/>
      <c r="D217" s="38"/>
      <c r="E217" s="8"/>
      <c r="F217" s="31" t="str">
        <f t="shared" si="24"/>
        <v xml:space="preserve">N/F  </v>
      </c>
      <c r="G217" s="42">
        <f t="shared" si="25"/>
        <v>0</v>
      </c>
      <c r="H217" s="9">
        <v>21</v>
      </c>
      <c r="I217" s="32">
        <f t="shared" si="26"/>
        <v>0</v>
      </c>
      <c r="J217" s="32"/>
      <c r="K217" s="33">
        <f t="shared" si="27"/>
        <v>0</v>
      </c>
      <c r="L217" s="67"/>
    </row>
    <row r="218" spans="1:12" x14ac:dyDescent="0.25">
      <c r="A218" s="21"/>
      <c r="B218" s="30"/>
      <c r="C218" s="30"/>
      <c r="D218" s="38"/>
      <c r="E218" s="8"/>
      <c r="F218" s="31" t="str">
        <f t="shared" si="24"/>
        <v xml:space="preserve">N/F  </v>
      </c>
      <c r="G218" s="42">
        <f t="shared" si="25"/>
        <v>0</v>
      </c>
      <c r="H218" s="9">
        <v>21</v>
      </c>
      <c r="I218" s="32">
        <f t="shared" si="26"/>
        <v>0</v>
      </c>
      <c r="J218" s="32"/>
      <c r="K218" s="33">
        <f t="shared" si="27"/>
        <v>0</v>
      </c>
      <c r="L218" s="67"/>
    </row>
    <row r="219" spans="1:12" x14ac:dyDescent="0.25">
      <c r="A219" s="21"/>
      <c r="B219" s="30"/>
      <c r="C219" s="30"/>
      <c r="D219" s="38"/>
      <c r="E219" s="8"/>
      <c r="F219" s="31" t="str">
        <f t="shared" si="24"/>
        <v xml:space="preserve">N/F  </v>
      </c>
      <c r="G219" s="42">
        <f t="shared" si="25"/>
        <v>0</v>
      </c>
      <c r="H219" s="9">
        <v>21</v>
      </c>
      <c r="I219" s="32">
        <f t="shared" si="26"/>
        <v>0</v>
      </c>
      <c r="J219" s="32"/>
      <c r="K219" s="33">
        <f t="shared" si="27"/>
        <v>0</v>
      </c>
      <c r="L219" s="67"/>
    </row>
    <row r="220" spans="1:12" x14ac:dyDescent="0.25">
      <c r="A220" s="21"/>
      <c r="B220" s="30"/>
      <c r="C220" s="30"/>
      <c r="D220" s="38"/>
      <c r="E220" s="8"/>
      <c r="F220" s="31" t="str">
        <f t="shared" si="24"/>
        <v xml:space="preserve">N/F  </v>
      </c>
      <c r="G220" s="42">
        <f t="shared" si="25"/>
        <v>0</v>
      </c>
      <c r="H220" s="9">
        <v>21</v>
      </c>
      <c r="I220" s="32">
        <f t="shared" si="26"/>
        <v>0</v>
      </c>
      <c r="J220" s="32"/>
      <c r="K220" s="33">
        <f t="shared" si="27"/>
        <v>0</v>
      </c>
      <c r="L220" s="67"/>
    </row>
    <row r="221" spans="1:12" x14ac:dyDescent="0.25">
      <c r="A221" s="21"/>
      <c r="B221" s="30"/>
      <c r="C221" s="30"/>
      <c r="D221" s="38"/>
      <c r="E221" s="8"/>
      <c r="F221" s="31" t="str">
        <f t="shared" si="24"/>
        <v xml:space="preserve">N/F  </v>
      </c>
      <c r="G221" s="42">
        <f t="shared" si="25"/>
        <v>0</v>
      </c>
      <c r="H221" s="9">
        <v>21</v>
      </c>
      <c r="I221" s="32">
        <f t="shared" si="26"/>
        <v>0</v>
      </c>
      <c r="J221" s="32"/>
      <c r="K221" s="33">
        <f t="shared" si="27"/>
        <v>0</v>
      </c>
      <c r="L221" s="67"/>
    </row>
    <row r="222" spans="1:12" x14ac:dyDescent="0.25">
      <c r="A222" s="21"/>
      <c r="B222" s="30"/>
      <c r="C222" s="30"/>
      <c r="D222" s="38"/>
      <c r="E222" s="8"/>
      <c r="F222" s="31" t="str">
        <f t="shared" si="24"/>
        <v xml:space="preserve">N/F  </v>
      </c>
      <c r="G222" s="42">
        <f t="shared" si="25"/>
        <v>0</v>
      </c>
      <c r="H222" s="9">
        <v>21</v>
      </c>
      <c r="I222" s="32">
        <f t="shared" si="26"/>
        <v>0</v>
      </c>
      <c r="J222" s="32"/>
      <c r="K222" s="33">
        <f t="shared" si="27"/>
        <v>0</v>
      </c>
      <c r="L222" s="67"/>
    </row>
    <row r="223" spans="1:12" x14ac:dyDescent="0.25">
      <c r="A223" s="21"/>
      <c r="B223" s="30"/>
      <c r="C223" s="30"/>
      <c r="D223" s="38"/>
      <c r="E223" s="8"/>
      <c r="F223" s="31" t="str">
        <f t="shared" si="24"/>
        <v xml:space="preserve">N/F  </v>
      </c>
      <c r="G223" s="42">
        <f t="shared" si="25"/>
        <v>0</v>
      </c>
      <c r="H223" s="9">
        <v>21</v>
      </c>
      <c r="I223" s="32">
        <f t="shared" si="26"/>
        <v>0</v>
      </c>
      <c r="J223" s="32"/>
      <c r="K223" s="33">
        <f t="shared" si="27"/>
        <v>0</v>
      </c>
      <c r="L223" s="67"/>
    </row>
    <row r="224" spans="1:12" x14ac:dyDescent="0.25">
      <c r="A224" s="21"/>
      <c r="B224" s="30"/>
      <c r="C224" s="30"/>
      <c r="D224" s="38"/>
      <c r="E224" s="8"/>
      <c r="F224" s="31" t="str">
        <f t="shared" si="24"/>
        <v xml:space="preserve">N/F  </v>
      </c>
      <c r="G224" s="42">
        <f t="shared" si="25"/>
        <v>0</v>
      </c>
      <c r="H224" s="9">
        <v>21</v>
      </c>
      <c r="I224" s="32">
        <f t="shared" si="26"/>
        <v>0</v>
      </c>
      <c r="J224" s="32"/>
      <c r="K224" s="33">
        <f t="shared" si="27"/>
        <v>0</v>
      </c>
      <c r="L224" s="67"/>
    </row>
    <row r="225" spans="1:12" x14ac:dyDescent="0.25">
      <c r="A225" s="21"/>
      <c r="B225" s="30"/>
      <c r="C225" s="30"/>
      <c r="D225" s="38"/>
      <c r="E225" s="8"/>
      <c r="F225" s="31" t="str">
        <f t="shared" si="24"/>
        <v xml:space="preserve">N/F  </v>
      </c>
      <c r="G225" s="42">
        <f t="shared" si="25"/>
        <v>0</v>
      </c>
      <c r="H225" s="9">
        <v>21</v>
      </c>
      <c r="I225" s="32">
        <f t="shared" si="26"/>
        <v>0</v>
      </c>
      <c r="J225" s="32"/>
      <c r="K225" s="33">
        <f t="shared" si="27"/>
        <v>0</v>
      </c>
      <c r="L225" s="67"/>
    </row>
    <row r="226" spans="1:12" x14ac:dyDescent="0.25">
      <c r="A226" s="21"/>
      <c r="B226" s="30"/>
      <c r="C226" s="30"/>
      <c r="D226" s="38"/>
      <c r="E226" s="8"/>
      <c r="F226" s="31" t="str">
        <f t="shared" si="24"/>
        <v xml:space="preserve">N/F  </v>
      </c>
      <c r="G226" s="42">
        <f t="shared" si="25"/>
        <v>0</v>
      </c>
      <c r="H226" s="9">
        <v>21</v>
      </c>
      <c r="I226" s="32">
        <f t="shared" si="26"/>
        <v>0</v>
      </c>
      <c r="J226" s="32"/>
      <c r="K226" s="33">
        <f t="shared" si="27"/>
        <v>0</v>
      </c>
      <c r="L226" s="67"/>
    </row>
    <row r="227" spans="1:12" x14ac:dyDescent="0.25">
      <c r="A227" s="21"/>
      <c r="B227" s="30"/>
      <c r="C227" s="30"/>
      <c r="D227" s="38"/>
      <c r="E227" s="8"/>
      <c r="F227" s="31" t="str">
        <f t="shared" si="24"/>
        <v xml:space="preserve">N/F  </v>
      </c>
      <c r="G227" s="42">
        <f t="shared" si="25"/>
        <v>0</v>
      </c>
      <c r="H227" s="9">
        <v>21</v>
      </c>
      <c r="I227" s="32">
        <f t="shared" si="26"/>
        <v>0</v>
      </c>
      <c r="J227" s="32"/>
      <c r="K227" s="33">
        <f t="shared" si="27"/>
        <v>0</v>
      </c>
      <c r="L227" s="67"/>
    </row>
    <row r="228" spans="1:12" x14ac:dyDescent="0.25">
      <c r="A228" s="21"/>
      <c r="B228" s="30"/>
      <c r="C228" s="30"/>
      <c r="D228" s="38"/>
      <c r="E228" s="8"/>
      <c r="F228" s="31" t="str">
        <f t="shared" si="24"/>
        <v xml:space="preserve">N/F  </v>
      </c>
      <c r="G228" s="42">
        <f t="shared" si="25"/>
        <v>0</v>
      </c>
      <c r="H228" s="9">
        <v>21</v>
      </c>
      <c r="I228" s="32">
        <f t="shared" si="26"/>
        <v>0</v>
      </c>
      <c r="J228" s="32"/>
      <c r="K228" s="33">
        <f t="shared" si="27"/>
        <v>0</v>
      </c>
      <c r="L228" s="67"/>
    </row>
    <row r="229" spans="1:12" x14ac:dyDescent="0.25">
      <c r="A229" s="21"/>
      <c r="B229" s="30"/>
      <c r="C229" s="30"/>
      <c r="D229" s="38"/>
      <c r="E229" s="8"/>
      <c r="F229" s="31" t="str">
        <f t="shared" si="24"/>
        <v xml:space="preserve">N/F  </v>
      </c>
      <c r="G229" s="42">
        <f t="shared" si="25"/>
        <v>0</v>
      </c>
      <c r="H229" s="9">
        <v>21</v>
      </c>
      <c r="I229" s="32">
        <f t="shared" si="26"/>
        <v>0</v>
      </c>
      <c r="J229" s="32"/>
      <c r="K229" s="33">
        <f t="shared" si="27"/>
        <v>0</v>
      </c>
      <c r="L229" s="67"/>
    </row>
    <row r="230" spans="1:12" x14ac:dyDescent="0.25">
      <c r="A230" s="21"/>
      <c r="B230" s="30"/>
      <c r="C230" s="30"/>
      <c r="D230" s="38"/>
      <c r="E230" s="8"/>
      <c r="F230" s="31" t="str">
        <f t="shared" si="24"/>
        <v xml:space="preserve">N/F  </v>
      </c>
      <c r="G230" s="42">
        <f t="shared" si="25"/>
        <v>0</v>
      </c>
      <c r="H230" s="9">
        <v>21</v>
      </c>
      <c r="I230" s="32">
        <f t="shared" si="26"/>
        <v>0</v>
      </c>
      <c r="J230" s="32"/>
      <c r="K230" s="33">
        <f t="shared" si="27"/>
        <v>0</v>
      </c>
      <c r="L230" s="67"/>
    </row>
    <row r="231" spans="1:12" x14ac:dyDescent="0.25">
      <c r="A231" s="21"/>
      <c r="B231" s="30"/>
      <c r="C231" s="30"/>
      <c r="D231" s="38"/>
      <c r="E231" s="8"/>
      <c r="F231" s="31" t="str">
        <f t="shared" si="24"/>
        <v xml:space="preserve">N/F  </v>
      </c>
      <c r="G231" s="42">
        <f t="shared" si="25"/>
        <v>0</v>
      </c>
      <c r="H231" s="9">
        <v>21</v>
      </c>
      <c r="I231" s="32">
        <f t="shared" si="26"/>
        <v>0</v>
      </c>
      <c r="J231" s="32"/>
      <c r="K231" s="33">
        <f t="shared" si="27"/>
        <v>0</v>
      </c>
      <c r="L231" s="67"/>
    </row>
    <row r="232" spans="1:12" x14ac:dyDescent="0.25">
      <c r="A232" s="21"/>
      <c r="B232" s="30"/>
      <c r="C232" s="30"/>
      <c r="D232" s="38"/>
      <c r="E232" s="8"/>
      <c r="F232" s="31" t="str">
        <f t="shared" si="24"/>
        <v xml:space="preserve">N/F  </v>
      </c>
      <c r="G232" s="42">
        <f t="shared" si="25"/>
        <v>0</v>
      </c>
      <c r="H232" s="9">
        <v>21</v>
      </c>
      <c r="I232" s="32">
        <f t="shared" si="26"/>
        <v>0</v>
      </c>
      <c r="J232" s="32"/>
      <c r="K232" s="33">
        <f t="shared" si="27"/>
        <v>0</v>
      </c>
      <c r="L232" s="67"/>
    </row>
    <row r="233" spans="1:12" x14ac:dyDescent="0.25">
      <c r="A233" s="21"/>
      <c r="B233" s="30"/>
      <c r="C233" s="30"/>
      <c r="D233" s="38"/>
      <c r="E233" s="8"/>
      <c r="F233" s="31" t="str">
        <f t="shared" si="24"/>
        <v xml:space="preserve">N/F  </v>
      </c>
      <c r="G233" s="42">
        <f t="shared" si="25"/>
        <v>0</v>
      </c>
      <c r="H233" s="9">
        <v>21</v>
      </c>
      <c r="I233" s="32">
        <f t="shared" si="26"/>
        <v>0</v>
      </c>
      <c r="J233" s="32"/>
      <c r="K233" s="33">
        <f t="shared" si="27"/>
        <v>0</v>
      </c>
      <c r="L233" s="67"/>
    </row>
    <row r="234" spans="1:12" x14ac:dyDescent="0.25">
      <c r="A234" s="21"/>
      <c r="B234" s="30"/>
      <c r="C234" s="30"/>
      <c r="D234" s="38"/>
      <c r="E234" s="8"/>
      <c r="F234" s="31" t="str">
        <f t="shared" ref="F234:F297" si="28">"N/F "&amp;B234&amp;" "&amp;E234</f>
        <v xml:space="preserve">N/F  </v>
      </c>
      <c r="G234" s="42">
        <f t="shared" ref="G234:G297" si="29">+D234/1.21</f>
        <v>0</v>
      </c>
      <c r="H234" s="9">
        <v>21</v>
      </c>
      <c r="I234" s="32">
        <f t="shared" ref="I234:I297" si="30">+IF(G234&lt;&gt;0,G234*H234/100,0)</f>
        <v>0</v>
      </c>
      <c r="J234" s="32"/>
      <c r="K234" s="33">
        <f t="shared" ref="K234:K297" si="31">+G234+I234</f>
        <v>0</v>
      </c>
      <c r="L234" s="67"/>
    </row>
    <row r="235" spans="1:12" x14ac:dyDescent="0.25">
      <c r="A235" s="21"/>
      <c r="B235" s="30"/>
      <c r="C235" s="30"/>
      <c r="D235" s="38"/>
      <c r="E235" s="8"/>
      <c r="F235" s="31" t="str">
        <f t="shared" si="28"/>
        <v xml:space="preserve">N/F  </v>
      </c>
      <c r="G235" s="42">
        <f t="shared" si="29"/>
        <v>0</v>
      </c>
      <c r="H235" s="9">
        <v>21</v>
      </c>
      <c r="I235" s="32">
        <f t="shared" si="30"/>
        <v>0</v>
      </c>
      <c r="J235" s="32"/>
      <c r="K235" s="33">
        <f t="shared" si="31"/>
        <v>0</v>
      </c>
      <c r="L235" s="67"/>
    </row>
    <row r="236" spans="1:12" x14ac:dyDescent="0.25">
      <c r="A236" s="21"/>
      <c r="B236" s="30"/>
      <c r="C236" s="30"/>
      <c r="D236" s="38"/>
      <c r="E236" s="8"/>
      <c r="F236" s="31" t="str">
        <f t="shared" si="28"/>
        <v xml:space="preserve">N/F  </v>
      </c>
      <c r="G236" s="42">
        <f t="shared" si="29"/>
        <v>0</v>
      </c>
      <c r="H236" s="9">
        <v>21</v>
      </c>
      <c r="I236" s="32">
        <f t="shared" si="30"/>
        <v>0</v>
      </c>
      <c r="J236" s="32"/>
      <c r="K236" s="33">
        <f t="shared" si="31"/>
        <v>0</v>
      </c>
      <c r="L236" s="67"/>
    </row>
    <row r="237" spans="1:12" x14ac:dyDescent="0.25">
      <c r="A237" s="21"/>
      <c r="B237" s="30"/>
      <c r="C237" s="30"/>
      <c r="D237" s="38"/>
      <c r="E237" s="8"/>
      <c r="F237" s="31" t="str">
        <f t="shared" si="28"/>
        <v xml:space="preserve">N/F  </v>
      </c>
      <c r="G237" s="42">
        <f t="shared" si="29"/>
        <v>0</v>
      </c>
      <c r="H237" s="9">
        <v>21</v>
      </c>
      <c r="I237" s="32">
        <f t="shared" si="30"/>
        <v>0</v>
      </c>
      <c r="J237" s="32"/>
      <c r="K237" s="33">
        <f t="shared" si="31"/>
        <v>0</v>
      </c>
      <c r="L237" s="67"/>
    </row>
    <row r="238" spans="1:12" x14ac:dyDescent="0.25">
      <c r="A238" s="21"/>
      <c r="B238" s="30"/>
      <c r="C238" s="30"/>
      <c r="D238" s="38"/>
      <c r="E238" s="8"/>
      <c r="F238" s="31" t="str">
        <f t="shared" si="28"/>
        <v xml:space="preserve">N/F  </v>
      </c>
      <c r="G238" s="42">
        <f t="shared" si="29"/>
        <v>0</v>
      </c>
      <c r="H238" s="9">
        <v>21</v>
      </c>
      <c r="I238" s="32">
        <f t="shared" si="30"/>
        <v>0</v>
      </c>
      <c r="J238" s="32"/>
      <c r="K238" s="33">
        <f t="shared" si="31"/>
        <v>0</v>
      </c>
      <c r="L238" s="67"/>
    </row>
    <row r="239" spans="1:12" x14ac:dyDescent="0.25">
      <c r="A239" s="21"/>
      <c r="B239" s="30"/>
      <c r="C239" s="30"/>
      <c r="D239" s="38"/>
      <c r="E239" s="8"/>
      <c r="F239" s="31" t="str">
        <f t="shared" si="28"/>
        <v xml:space="preserve">N/F  </v>
      </c>
      <c r="G239" s="42">
        <f t="shared" si="29"/>
        <v>0</v>
      </c>
      <c r="H239" s="9">
        <v>21</v>
      </c>
      <c r="I239" s="32">
        <f t="shared" si="30"/>
        <v>0</v>
      </c>
      <c r="J239" s="32"/>
      <c r="K239" s="33">
        <f t="shared" si="31"/>
        <v>0</v>
      </c>
      <c r="L239" s="67"/>
    </row>
    <row r="240" spans="1:12" x14ac:dyDescent="0.25">
      <c r="A240" s="21"/>
      <c r="B240" s="30"/>
      <c r="C240" s="30"/>
      <c r="D240" s="38"/>
      <c r="E240" s="8"/>
      <c r="F240" s="31" t="str">
        <f t="shared" si="28"/>
        <v xml:space="preserve">N/F  </v>
      </c>
      <c r="G240" s="42">
        <f t="shared" si="29"/>
        <v>0</v>
      </c>
      <c r="H240" s="9">
        <v>21</v>
      </c>
      <c r="I240" s="32">
        <f t="shared" si="30"/>
        <v>0</v>
      </c>
      <c r="J240" s="32"/>
      <c r="K240" s="33">
        <f t="shared" si="31"/>
        <v>0</v>
      </c>
      <c r="L240" s="67"/>
    </row>
    <row r="241" spans="1:12" x14ac:dyDescent="0.25">
      <c r="A241" s="21"/>
      <c r="B241" s="30"/>
      <c r="C241" s="30"/>
      <c r="D241" s="38"/>
      <c r="E241" s="8"/>
      <c r="F241" s="31" t="str">
        <f t="shared" si="28"/>
        <v xml:space="preserve">N/F  </v>
      </c>
      <c r="G241" s="42">
        <f t="shared" si="29"/>
        <v>0</v>
      </c>
      <c r="H241" s="9">
        <v>21</v>
      </c>
      <c r="I241" s="32">
        <f t="shared" si="30"/>
        <v>0</v>
      </c>
      <c r="J241" s="32"/>
      <c r="K241" s="33">
        <f t="shared" si="31"/>
        <v>0</v>
      </c>
      <c r="L241" s="67"/>
    </row>
    <row r="242" spans="1:12" x14ac:dyDescent="0.25">
      <c r="A242" s="21"/>
      <c r="B242" s="30"/>
      <c r="C242" s="30"/>
      <c r="D242" s="38"/>
      <c r="E242" s="8"/>
      <c r="F242" s="31" t="str">
        <f t="shared" si="28"/>
        <v xml:space="preserve">N/F  </v>
      </c>
      <c r="G242" s="42">
        <f t="shared" si="29"/>
        <v>0</v>
      </c>
      <c r="H242" s="9">
        <v>21</v>
      </c>
      <c r="I242" s="32">
        <f t="shared" si="30"/>
        <v>0</v>
      </c>
      <c r="J242" s="32"/>
      <c r="K242" s="33">
        <f t="shared" si="31"/>
        <v>0</v>
      </c>
      <c r="L242" s="67"/>
    </row>
    <row r="243" spans="1:12" x14ac:dyDescent="0.25">
      <c r="A243" s="21"/>
      <c r="B243" s="30"/>
      <c r="C243" s="30"/>
      <c r="D243" s="38"/>
      <c r="E243" s="8"/>
      <c r="F243" s="31" t="str">
        <f t="shared" si="28"/>
        <v xml:space="preserve">N/F  </v>
      </c>
      <c r="G243" s="42">
        <f t="shared" si="29"/>
        <v>0</v>
      </c>
      <c r="H243" s="9">
        <v>21</v>
      </c>
      <c r="I243" s="32">
        <f t="shared" si="30"/>
        <v>0</v>
      </c>
      <c r="J243" s="32"/>
      <c r="K243" s="33">
        <f t="shared" si="31"/>
        <v>0</v>
      </c>
      <c r="L243" s="67"/>
    </row>
    <row r="244" spans="1:12" x14ac:dyDescent="0.25">
      <c r="A244" s="21"/>
      <c r="B244" s="30"/>
      <c r="C244" s="30"/>
      <c r="D244" s="38"/>
      <c r="E244" s="8"/>
      <c r="F244" s="31" t="str">
        <f t="shared" si="28"/>
        <v xml:space="preserve">N/F  </v>
      </c>
      <c r="G244" s="42">
        <f t="shared" si="29"/>
        <v>0</v>
      </c>
      <c r="H244" s="9">
        <v>21</v>
      </c>
      <c r="I244" s="32">
        <f t="shared" si="30"/>
        <v>0</v>
      </c>
      <c r="J244" s="32"/>
      <c r="K244" s="33">
        <f t="shared" si="31"/>
        <v>0</v>
      </c>
      <c r="L244" s="67"/>
    </row>
    <row r="245" spans="1:12" x14ac:dyDescent="0.25">
      <c r="A245" s="21"/>
      <c r="B245" s="30"/>
      <c r="C245" s="30"/>
      <c r="D245" s="38"/>
      <c r="E245" s="8"/>
      <c r="F245" s="31" t="str">
        <f t="shared" si="28"/>
        <v xml:space="preserve">N/F  </v>
      </c>
      <c r="G245" s="42">
        <f t="shared" si="29"/>
        <v>0</v>
      </c>
      <c r="H245" s="9">
        <v>21</v>
      </c>
      <c r="I245" s="32">
        <f t="shared" si="30"/>
        <v>0</v>
      </c>
      <c r="J245" s="32"/>
      <c r="K245" s="33">
        <f t="shared" si="31"/>
        <v>0</v>
      </c>
      <c r="L245" s="67"/>
    </row>
    <row r="246" spans="1:12" x14ac:dyDescent="0.25">
      <c r="A246" s="21"/>
      <c r="B246" s="30"/>
      <c r="C246" s="30"/>
      <c r="D246" s="38"/>
      <c r="E246" s="8"/>
      <c r="F246" s="31" t="str">
        <f t="shared" si="28"/>
        <v xml:space="preserve">N/F  </v>
      </c>
      <c r="G246" s="42">
        <f t="shared" si="29"/>
        <v>0</v>
      </c>
      <c r="H246" s="9">
        <v>21</v>
      </c>
      <c r="I246" s="32">
        <f t="shared" si="30"/>
        <v>0</v>
      </c>
      <c r="J246" s="32"/>
      <c r="K246" s="33">
        <f t="shared" si="31"/>
        <v>0</v>
      </c>
      <c r="L246" s="67"/>
    </row>
    <row r="247" spans="1:12" x14ac:dyDescent="0.25">
      <c r="A247" s="21"/>
      <c r="B247" s="30"/>
      <c r="C247" s="30"/>
      <c r="D247" s="38"/>
      <c r="E247" s="8"/>
      <c r="F247" s="31" t="str">
        <f t="shared" si="28"/>
        <v xml:space="preserve">N/F  </v>
      </c>
      <c r="G247" s="42">
        <f t="shared" si="29"/>
        <v>0</v>
      </c>
      <c r="H247" s="9">
        <v>21</v>
      </c>
      <c r="I247" s="32">
        <f t="shared" si="30"/>
        <v>0</v>
      </c>
      <c r="J247" s="32"/>
      <c r="K247" s="33">
        <f t="shared" si="31"/>
        <v>0</v>
      </c>
      <c r="L247" s="67"/>
    </row>
    <row r="248" spans="1:12" x14ac:dyDescent="0.25">
      <c r="A248" s="21"/>
      <c r="B248" s="30"/>
      <c r="C248" s="30"/>
      <c r="D248" s="38"/>
      <c r="E248" s="8"/>
      <c r="F248" s="31" t="str">
        <f t="shared" si="28"/>
        <v xml:space="preserve">N/F  </v>
      </c>
      <c r="G248" s="42">
        <f t="shared" si="29"/>
        <v>0</v>
      </c>
      <c r="H248" s="9">
        <v>21</v>
      </c>
      <c r="I248" s="32">
        <f t="shared" si="30"/>
        <v>0</v>
      </c>
      <c r="J248" s="32"/>
      <c r="K248" s="33">
        <f t="shared" si="31"/>
        <v>0</v>
      </c>
      <c r="L248" s="67"/>
    </row>
    <row r="249" spans="1:12" x14ac:dyDescent="0.25">
      <c r="A249" s="21"/>
      <c r="B249" s="30"/>
      <c r="C249" s="30"/>
      <c r="D249" s="38"/>
      <c r="E249" s="8"/>
      <c r="F249" s="31" t="str">
        <f t="shared" si="28"/>
        <v xml:space="preserve">N/F  </v>
      </c>
      <c r="G249" s="42">
        <f t="shared" si="29"/>
        <v>0</v>
      </c>
      <c r="H249" s="9">
        <v>21</v>
      </c>
      <c r="I249" s="32">
        <f t="shared" si="30"/>
        <v>0</v>
      </c>
      <c r="J249" s="32"/>
      <c r="K249" s="33">
        <f t="shared" si="31"/>
        <v>0</v>
      </c>
      <c r="L249" s="67"/>
    </row>
    <row r="250" spans="1:12" x14ac:dyDescent="0.25">
      <c r="A250" s="21"/>
      <c r="B250" s="30"/>
      <c r="C250" s="30"/>
      <c r="D250" s="38"/>
      <c r="E250" s="8"/>
      <c r="F250" s="31" t="str">
        <f t="shared" si="28"/>
        <v xml:space="preserve">N/F  </v>
      </c>
      <c r="G250" s="42">
        <f t="shared" si="29"/>
        <v>0</v>
      </c>
      <c r="H250" s="9">
        <v>21</v>
      </c>
      <c r="I250" s="32">
        <f t="shared" si="30"/>
        <v>0</v>
      </c>
      <c r="J250" s="32"/>
      <c r="K250" s="33">
        <f t="shared" si="31"/>
        <v>0</v>
      </c>
      <c r="L250" s="67"/>
    </row>
    <row r="251" spans="1:12" x14ac:dyDescent="0.25">
      <c r="A251" s="21"/>
      <c r="B251" s="30"/>
      <c r="C251" s="30"/>
      <c r="D251" s="38"/>
      <c r="E251" s="8"/>
      <c r="F251" s="31" t="str">
        <f t="shared" si="28"/>
        <v xml:space="preserve">N/F  </v>
      </c>
      <c r="G251" s="42">
        <f t="shared" si="29"/>
        <v>0</v>
      </c>
      <c r="H251" s="9">
        <v>21</v>
      </c>
      <c r="I251" s="32">
        <f t="shared" si="30"/>
        <v>0</v>
      </c>
      <c r="J251" s="32"/>
      <c r="K251" s="33">
        <f t="shared" si="31"/>
        <v>0</v>
      </c>
      <c r="L251" s="67"/>
    </row>
    <row r="252" spans="1:12" x14ac:dyDescent="0.25">
      <c r="A252" s="21"/>
      <c r="B252" s="30"/>
      <c r="C252" s="30"/>
      <c r="D252" s="38"/>
      <c r="E252" s="8"/>
      <c r="F252" s="31" t="str">
        <f t="shared" si="28"/>
        <v xml:space="preserve">N/F  </v>
      </c>
      <c r="G252" s="42">
        <f t="shared" si="29"/>
        <v>0</v>
      </c>
      <c r="H252" s="9">
        <v>21</v>
      </c>
      <c r="I252" s="32">
        <f t="shared" si="30"/>
        <v>0</v>
      </c>
      <c r="J252" s="32"/>
      <c r="K252" s="33">
        <f t="shared" si="31"/>
        <v>0</v>
      </c>
      <c r="L252" s="67"/>
    </row>
    <row r="253" spans="1:12" x14ac:dyDescent="0.25">
      <c r="A253" s="21"/>
      <c r="B253" s="30"/>
      <c r="C253" s="30"/>
      <c r="D253" s="38"/>
      <c r="E253" s="8"/>
      <c r="F253" s="31" t="str">
        <f t="shared" si="28"/>
        <v xml:space="preserve">N/F  </v>
      </c>
      <c r="G253" s="42">
        <f t="shared" si="29"/>
        <v>0</v>
      </c>
      <c r="H253" s="9">
        <v>21</v>
      </c>
      <c r="I253" s="32">
        <f t="shared" si="30"/>
        <v>0</v>
      </c>
      <c r="J253" s="32"/>
      <c r="K253" s="33">
        <f t="shared" si="31"/>
        <v>0</v>
      </c>
      <c r="L253" s="67"/>
    </row>
    <row r="254" spans="1:12" x14ac:dyDescent="0.25">
      <c r="A254" s="21"/>
      <c r="B254" s="30"/>
      <c r="C254" s="30"/>
      <c r="D254" s="38"/>
      <c r="E254" s="8"/>
      <c r="F254" s="31" t="str">
        <f t="shared" si="28"/>
        <v xml:space="preserve">N/F  </v>
      </c>
      <c r="G254" s="42">
        <f t="shared" si="29"/>
        <v>0</v>
      </c>
      <c r="H254" s="9">
        <v>21</v>
      </c>
      <c r="I254" s="32">
        <f t="shared" si="30"/>
        <v>0</v>
      </c>
      <c r="J254" s="32"/>
      <c r="K254" s="33">
        <f t="shared" si="31"/>
        <v>0</v>
      </c>
      <c r="L254" s="67"/>
    </row>
    <row r="255" spans="1:12" x14ac:dyDescent="0.25">
      <c r="A255" s="21"/>
      <c r="B255" s="30"/>
      <c r="C255" s="30"/>
      <c r="D255" s="38"/>
      <c r="E255" s="8"/>
      <c r="F255" s="31" t="str">
        <f t="shared" si="28"/>
        <v xml:space="preserve">N/F  </v>
      </c>
      <c r="G255" s="42">
        <f t="shared" si="29"/>
        <v>0</v>
      </c>
      <c r="H255" s="9">
        <v>21</v>
      </c>
      <c r="I255" s="32">
        <f t="shared" si="30"/>
        <v>0</v>
      </c>
      <c r="J255" s="32"/>
      <c r="K255" s="33">
        <f t="shared" si="31"/>
        <v>0</v>
      </c>
      <c r="L255" s="67"/>
    </row>
    <row r="256" spans="1:12" x14ac:dyDescent="0.25">
      <c r="A256" s="21"/>
      <c r="B256" s="30"/>
      <c r="C256" s="30"/>
      <c r="D256" s="38"/>
      <c r="E256" s="8"/>
      <c r="F256" s="31" t="str">
        <f t="shared" si="28"/>
        <v xml:space="preserve">N/F  </v>
      </c>
      <c r="G256" s="42">
        <f t="shared" si="29"/>
        <v>0</v>
      </c>
      <c r="H256" s="9">
        <v>21</v>
      </c>
      <c r="I256" s="32">
        <f t="shared" si="30"/>
        <v>0</v>
      </c>
      <c r="J256" s="32"/>
      <c r="K256" s="33">
        <f t="shared" si="31"/>
        <v>0</v>
      </c>
      <c r="L256" s="67"/>
    </row>
    <row r="257" spans="1:12" x14ac:dyDescent="0.25">
      <c r="A257" s="21"/>
      <c r="B257" s="30"/>
      <c r="C257" s="30"/>
      <c r="D257" s="38"/>
      <c r="E257" s="8"/>
      <c r="F257" s="31" t="str">
        <f t="shared" si="28"/>
        <v xml:space="preserve">N/F  </v>
      </c>
      <c r="G257" s="42">
        <f t="shared" si="29"/>
        <v>0</v>
      </c>
      <c r="H257" s="9">
        <v>21</v>
      </c>
      <c r="I257" s="32">
        <f t="shared" si="30"/>
        <v>0</v>
      </c>
      <c r="J257" s="32"/>
      <c r="K257" s="33">
        <f t="shared" si="31"/>
        <v>0</v>
      </c>
      <c r="L257" s="67"/>
    </row>
    <row r="258" spans="1:12" x14ac:dyDescent="0.25">
      <c r="A258" s="21"/>
      <c r="B258" s="30"/>
      <c r="C258" s="30"/>
      <c r="D258" s="38"/>
      <c r="E258" s="8"/>
      <c r="F258" s="31" t="str">
        <f t="shared" si="28"/>
        <v xml:space="preserve">N/F  </v>
      </c>
      <c r="G258" s="42">
        <f t="shared" si="29"/>
        <v>0</v>
      </c>
      <c r="H258" s="9">
        <v>21</v>
      </c>
      <c r="I258" s="32">
        <f t="shared" si="30"/>
        <v>0</v>
      </c>
      <c r="J258" s="32"/>
      <c r="K258" s="33">
        <f t="shared" si="31"/>
        <v>0</v>
      </c>
      <c r="L258" s="67"/>
    </row>
    <row r="259" spans="1:12" x14ac:dyDescent="0.25">
      <c r="A259" s="21"/>
      <c r="B259" s="30"/>
      <c r="C259" s="30"/>
      <c r="D259" s="38"/>
      <c r="E259" s="8"/>
      <c r="F259" s="31" t="str">
        <f t="shared" si="28"/>
        <v xml:space="preserve">N/F  </v>
      </c>
      <c r="G259" s="42">
        <f t="shared" si="29"/>
        <v>0</v>
      </c>
      <c r="H259" s="9">
        <v>21</v>
      </c>
      <c r="I259" s="32">
        <f t="shared" si="30"/>
        <v>0</v>
      </c>
      <c r="J259" s="32"/>
      <c r="K259" s="33">
        <f t="shared" si="31"/>
        <v>0</v>
      </c>
      <c r="L259" s="67"/>
    </row>
    <row r="260" spans="1:12" x14ac:dyDescent="0.25">
      <c r="A260" s="21"/>
      <c r="B260" s="30"/>
      <c r="C260" s="30"/>
      <c r="D260" s="38"/>
      <c r="E260" s="8"/>
      <c r="F260" s="31" t="str">
        <f t="shared" si="28"/>
        <v xml:space="preserve">N/F  </v>
      </c>
      <c r="G260" s="42">
        <f t="shared" si="29"/>
        <v>0</v>
      </c>
      <c r="H260" s="9">
        <v>21</v>
      </c>
      <c r="I260" s="32">
        <f t="shared" si="30"/>
        <v>0</v>
      </c>
      <c r="J260" s="32"/>
      <c r="K260" s="33">
        <f t="shared" si="31"/>
        <v>0</v>
      </c>
      <c r="L260" s="67"/>
    </row>
    <row r="261" spans="1:12" x14ac:dyDescent="0.25">
      <c r="A261" s="21"/>
      <c r="B261" s="30"/>
      <c r="C261" s="30"/>
      <c r="D261" s="38"/>
      <c r="E261" s="8"/>
      <c r="F261" s="31" t="str">
        <f t="shared" si="28"/>
        <v xml:space="preserve">N/F  </v>
      </c>
      <c r="G261" s="42">
        <f t="shared" si="29"/>
        <v>0</v>
      </c>
      <c r="H261" s="9">
        <v>21</v>
      </c>
      <c r="I261" s="32">
        <f t="shared" si="30"/>
        <v>0</v>
      </c>
      <c r="J261" s="32"/>
      <c r="K261" s="33">
        <f t="shared" si="31"/>
        <v>0</v>
      </c>
      <c r="L261" s="67"/>
    </row>
    <row r="262" spans="1:12" x14ac:dyDescent="0.25">
      <c r="A262" s="21"/>
      <c r="B262" s="30"/>
      <c r="C262" s="30"/>
      <c r="D262" s="38"/>
      <c r="E262" s="8"/>
      <c r="F262" s="31" t="str">
        <f t="shared" si="28"/>
        <v xml:space="preserve">N/F  </v>
      </c>
      <c r="G262" s="42">
        <f t="shared" si="29"/>
        <v>0</v>
      </c>
      <c r="H262" s="9">
        <v>21</v>
      </c>
      <c r="I262" s="32">
        <f t="shared" si="30"/>
        <v>0</v>
      </c>
      <c r="J262" s="32"/>
      <c r="K262" s="33">
        <f t="shared" si="31"/>
        <v>0</v>
      </c>
      <c r="L262" s="67"/>
    </row>
    <row r="263" spans="1:12" x14ac:dyDescent="0.25">
      <c r="A263" s="21"/>
      <c r="B263" s="30"/>
      <c r="C263" s="30"/>
      <c r="D263" s="38"/>
      <c r="E263" s="8"/>
      <c r="F263" s="31" t="str">
        <f t="shared" si="28"/>
        <v xml:space="preserve">N/F  </v>
      </c>
      <c r="G263" s="42">
        <f t="shared" si="29"/>
        <v>0</v>
      </c>
      <c r="H263" s="9">
        <v>21</v>
      </c>
      <c r="I263" s="32">
        <f t="shared" si="30"/>
        <v>0</v>
      </c>
      <c r="J263" s="32"/>
      <c r="K263" s="33">
        <f t="shared" si="31"/>
        <v>0</v>
      </c>
      <c r="L263" s="67"/>
    </row>
    <row r="264" spans="1:12" x14ac:dyDescent="0.25">
      <c r="A264" s="21"/>
      <c r="B264" s="30"/>
      <c r="C264" s="30"/>
      <c r="D264" s="38"/>
      <c r="E264" s="8"/>
      <c r="F264" s="31" t="str">
        <f t="shared" si="28"/>
        <v xml:space="preserve">N/F  </v>
      </c>
      <c r="G264" s="42">
        <f t="shared" si="29"/>
        <v>0</v>
      </c>
      <c r="H264" s="9">
        <v>21</v>
      </c>
      <c r="I264" s="32">
        <f t="shared" si="30"/>
        <v>0</v>
      </c>
      <c r="J264" s="32"/>
      <c r="K264" s="33">
        <f t="shared" si="31"/>
        <v>0</v>
      </c>
      <c r="L264" s="67"/>
    </row>
    <row r="265" spans="1:12" x14ac:dyDescent="0.25">
      <c r="A265" s="21"/>
      <c r="B265" s="30"/>
      <c r="C265" s="30"/>
      <c r="D265" s="38"/>
      <c r="E265" s="8"/>
      <c r="F265" s="31" t="str">
        <f t="shared" si="28"/>
        <v xml:space="preserve">N/F  </v>
      </c>
      <c r="G265" s="42">
        <f t="shared" si="29"/>
        <v>0</v>
      </c>
      <c r="H265" s="9">
        <v>21</v>
      </c>
      <c r="I265" s="32">
        <f t="shared" si="30"/>
        <v>0</v>
      </c>
      <c r="J265" s="32"/>
      <c r="K265" s="33">
        <f t="shared" si="31"/>
        <v>0</v>
      </c>
      <c r="L265" s="67"/>
    </row>
    <row r="266" spans="1:12" x14ac:dyDescent="0.25">
      <c r="A266" s="21"/>
      <c r="B266" s="30"/>
      <c r="C266" s="30"/>
      <c r="D266" s="38"/>
      <c r="E266" s="8"/>
      <c r="F266" s="31" t="str">
        <f t="shared" si="28"/>
        <v xml:space="preserve">N/F  </v>
      </c>
      <c r="G266" s="42">
        <f t="shared" si="29"/>
        <v>0</v>
      </c>
      <c r="H266" s="9">
        <v>21</v>
      </c>
      <c r="I266" s="32">
        <f t="shared" si="30"/>
        <v>0</v>
      </c>
      <c r="J266" s="32"/>
      <c r="K266" s="33">
        <f t="shared" si="31"/>
        <v>0</v>
      </c>
      <c r="L266" s="67"/>
    </row>
    <row r="267" spans="1:12" x14ac:dyDescent="0.25">
      <c r="A267" s="21"/>
      <c r="B267" s="30"/>
      <c r="C267" s="30"/>
      <c r="D267" s="38"/>
      <c r="E267" s="8"/>
      <c r="F267" s="31" t="str">
        <f t="shared" si="28"/>
        <v xml:space="preserve">N/F  </v>
      </c>
      <c r="G267" s="42">
        <f t="shared" si="29"/>
        <v>0</v>
      </c>
      <c r="H267" s="9">
        <v>21</v>
      </c>
      <c r="I267" s="32">
        <f t="shared" si="30"/>
        <v>0</v>
      </c>
      <c r="J267" s="32"/>
      <c r="K267" s="33">
        <f t="shared" si="31"/>
        <v>0</v>
      </c>
      <c r="L267" s="67"/>
    </row>
    <row r="268" spans="1:12" x14ac:dyDescent="0.25">
      <c r="A268" s="21"/>
      <c r="B268" s="30"/>
      <c r="C268" s="30"/>
      <c r="D268" s="38"/>
      <c r="E268" s="8"/>
      <c r="F268" s="31" t="str">
        <f t="shared" si="28"/>
        <v xml:space="preserve">N/F  </v>
      </c>
      <c r="G268" s="42">
        <f t="shared" si="29"/>
        <v>0</v>
      </c>
      <c r="H268" s="9">
        <v>21</v>
      </c>
      <c r="I268" s="32">
        <f t="shared" si="30"/>
        <v>0</v>
      </c>
      <c r="J268" s="32"/>
      <c r="K268" s="33">
        <f t="shared" si="31"/>
        <v>0</v>
      </c>
      <c r="L268" s="67"/>
    </row>
    <row r="269" spans="1:12" x14ac:dyDescent="0.25">
      <c r="A269" s="21"/>
      <c r="B269" s="30"/>
      <c r="C269" s="30"/>
      <c r="D269" s="38"/>
      <c r="E269" s="8"/>
      <c r="F269" s="31" t="str">
        <f t="shared" si="28"/>
        <v xml:space="preserve">N/F  </v>
      </c>
      <c r="G269" s="42">
        <f t="shared" si="29"/>
        <v>0</v>
      </c>
      <c r="H269" s="9">
        <v>21</v>
      </c>
      <c r="I269" s="32">
        <f t="shared" si="30"/>
        <v>0</v>
      </c>
      <c r="J269" s="32"/>
      <c r="K269" s="33">
        <f t="shared" si="31"/>
        <v>0</v>
      </c>
      <c r="L269" s="67"/>
    </row>
    <row r="270" spans="1:12" x14ac:dyDescent="0.25">
      <c r="A270" s="21"/>
      <c r="B270" s="30"/>
      <c r="C270" s="30"/>
      <c r="D270" s="38"/>
      <c r="E270" s="8"/>
      <c r="F270" s="31" t="str">
        <f t="shared" si="28"/>
        <v xml:space="preserve">N/F  </v>
      </c>
      <c r="G270" s="42">
        <f t="shared" si="29"/>
        <v>0</v>
      </c>
      <c r="H270" s="9">
        <v>21</v>
      </c>
      <c r="I270" s="32">
        <f t="shared" si="30"/>
        <v>0</v>
      </c>
      <c r="J270" s="32"/>
      <c r="K270" s="33">
        <f t="shared" si="31"/>
        <v>0</v>
      </c>
      <c r="L270" s="67"/>
    </row>
    <row r="271" spans="1:12" x14ac:dyDescent="0.25">
      <c r="A271" s="21"/>
      <c r="B271" s="30"/>
      <c r="C271" s="30"/>
      <c r="D271" s="38"/>
      <c r="E271" s="8"/>
      <c r="F271" s="31" t="str">
        <f t="shared" si="28"/>
        <v xml:space="preserve">N/F  </v>
      </c>
      <c r="G271" s="42">
        <f t="shared" si="29"/>
        <v>0</v>
      </c>
      <c r="H271" s="9">
        <v>21</v>
      </c>
      <c r="I271" s="32">
        <f t="shared" si="30"/>
        <v>0</v>
      </c>
      <c r="J271" s="32"/>
      <c r="K271" s="33">
        <f t="shared" si="31"/>
        <v>0</v>
      </c>
      <c r="L271" s="67"/>
    </row>
    <row r="272" spans="1:12" x14ac:dyDescent="0.25">
      <c r="A272" s="21"/>
      <c r="B272" s="30"/>
      <c r="C272" s="30"/>
      <c r="D272" s="38"/>
      <c r="E272" s="8"/>
      <c r="F272" s="31" t="str">
        <f t="shared" si="28"/>
        <v xml:space="preserve">N/F  </v>
      </c>
      <c r="G272" s="42">
        <f t="shared" si="29"/>
        <v>0</v>
      </c>
      <c r="H272" s="9">
        <v>21</v>
      </c>
      <c r="I272" s="32">
        <f t="shared" si="30"/>
        <v>0</v>
      </c>
      <c r="J272" s="32"/>
      <c r="K272" s="33">
        <f t="shared" si="31"/>
        <v>0</v>
      </c>
      <c r="L272" s="67"/>
    </row>
    <row r="273" spans="1:12" x14ac:dyDescent="0.25">
      <c r="A273" s="21"/>
      <c r="B273" s="30"/>
      <c r="C273" s="30"/>
      <c r="D273" s="38"/>
      <c r="E273" s="8"/>
      <c r="F273" s="31" t="str">
        <f t="shared" si="28"/>
        <v xml:space="preserve">N/F  </v>
      </c>
      <c r="G273" s="42">
        <f t="shared" si="29"/>
        <v>0</v>
      </c>
      <c r="H273" s="9">
        <v>21</v>
      </c>
      <c r="I273" s="32">
        <f t="shared" si="30"/>
        <v>0</v>
      </c>
      <c r="J273" s="32"/>
      <c r="K273" s="33">
        <f t="shared" si="31"/>
        <v>0</v>
      </c>
      <c r="L273" s="67"/>
    </row>
    <row r="274" spans="1:12" x14ac:dyDescent="0.25">
      <c r="A274" s="21"/>
      <c r="B274" s="30"/>
      <c r="C274" s="30"/>
      <c r="D274" s="38"/>
      <c r="E274" s="8"/>
      <c r="F274" s="31" t="str">
        <f t="shared" si="28"/>
        <v xml:space="preserve">N/F  </v>
      </c>
      <c r="G274" s="42">
        <f t="shared" si="29"/>
        <v>0</v>
      </c>
      <c r="H274" s="9">
        <v>21</v>
      </c>
      <c r="I274" s="32">
        <f t="shared" si="30"/>
        <v>0</v>
      </c>
      <c r="J274" s="32"/>
      <c r="K274" s="33">
        <f t="shared" si="31"/>
        <v>0</v>
      </c>
      <c r="L274" s="67"/>
    </row>
    <row r="275" spans="1:12" x14ac:dyDescent="0.25">
      <c r="A275" s="21"/>
      <c r="B275" s="30"/>
      <c r="C275" s="30"/>
      <c r="D275" s="38"/>
      <c r="E275" s="8"/>
      <c r="F275" s="31" t="str">
        <f t="shared" si="28"/>
        <v xml:space="preserve">N/F  </v>
      </c>
      <c r="G275" s="42">
        <f t="shared" si="29"/>
        <v>0</v>
      </c>
      <c r="H275" s="9">
        <v>21</v>
      </c>
      <c r="I275" s="32">
        <f t="shared" si="30"/>
        <v>0</v>
      </c>
      <c r="J275" s="32"/>
      <c r="K275" s="33">
        <f t="shared" si="31"/>
        <v>0</v>
      </c>
      <c r="L275" s="67"/>
    </row>
    <row r="276" spans="1:12" x14ac:dyDescent="0.25">
      <c r="A276" s="21"/>
      <c r="B276" s="30"/>
      <c r="C276" s="30"/>
      <c r="D276" s="38"/>
      <c r="E276" s="8"/>
      <c r="F276" s="31" t="str">
        <f t="shared" si="28"/>
        <v xml:space="preserve">N/F  </v>
      </c>
      <c r="G276" s="42">
        <f t="shared" si="29"/>
        <v>0</v>
      </c>
      <c r="H276" s="9">
        <v>21</v>
      </c>
      <c r="I276" s="32">
        <f t="shared" si="30"/>
        <v>0</v>
      </c>
      <c r="J276" s="32"/>
      <c r="K276" s="33">
        <f t="shared" si="31"/>
        <v>0</v>
      </c>
      <c r="L276" s="67"/>
    </row>
    <row r="277" spans="1:12" x14ac:dyDescent="0.25">
      <c r="A277" s="21"/>
      <c r="B277" s="30"/>
      <c r="C277" s="30"/>
      <c r="D277" s="38"/>
      <c r="E277" s="8"/>
      <c r="F277" s="31" t="str">
        <f t="shared" si="28"/>
        <v xml:space="preserve">N/F  </v>
      </c>
      <c r="G277" s="42">
        <f t="shared" si="29"/>
        <v>0</v>
      </c>
      <c r="H277" s="9">
        <v>21</v>
      </c>
      <c r="I277" s="32">
        <f t="shared" si="30"/>
        <v>0</v>
      </c>
      <c r="J277" s="32"/>
      <c r="K277" s="33">
        <f t="shared" si="31"/>
        <v>0</v>
      </c>
      <c r="L277" s="67"/>
    </row>
    <row r="278" spans="1:12" x14ac:dyDescent="0.25">
      <c r="A278" s="21"/>
      <c r="B278" s="30"/>
      <c r="C278" s="30"/>
      <c r="D278" s="38"/>
      <c r="E278" s="8"/>
      <c r="F278" s="31" t="str">
        <f t="shared" si="28"/>
        <v xml:space="preserve">N/F  </v>
      </c>
      <c r="G278" s="42">
        <f t="shared" si="29"/>
        <v>0</v>
      </c>
      <c r="H278" s="9">
        <v>21</v>
      </c>
      <c r="I278" s="32">
        <f t="shared" si="30"/>
        <v>0</v>
      </c>
      <c r="J278" s="32"/>
      <c r="K278" s="33">
        <f t="shared" si="31"/>
        <v>0</v>
      </c>
      <c r="L278" s="67"/>
    </row>
    <row r="279" spans="1:12" x14ac:dyDescent="0.25">
      <c r="A279" s="21"/>
      <c r="B279" s="30"/>
      <c r="C279" s="30"/>
      <c r="D279" s="38"/>
      <c r="E279" s="8"/>
      <c r="F279" s="31" t="str">
        <f t="shared" si="28"/>
        <v xml:space="preserve">N/F  </v>
      </c>
      <c r="G279" s="42">
        <f t="shared" si="29"/>
        <v>0</v>
      </c>
      <c r="H279" s="9">
        <v>21</v>
      </c>
      <c r="I279" s="32">
        <f t="shared" si="30"/>
        <v>0</v>
      </c>
      <c r="J279" s="32"/>
      <c r="K279" s="33">
        <f t="shared" si="31"/>
        <v>0</v>
      </c>
      <c r="L279" s="67"/>
    </row>
    <row r="280" spans="1:12" x14ac:dyDescent="0.25">
      <c r="A280" s="21"/>
      <c r="B280" s="30"/>
      <c r="C280" s="30"/>
      <c r="D280" s="38"/>
      <c r="E280" s="8"/>
      <c r="F280" s="31" t="str">
        <f t="shared" si="28"/>
        <v xml:space="preserve">N/F  </v>
      </c>
      <c r="G280" s="42">
        <f t="shared" si="29"/>
        <v>0</v>
      </c>
      <c r="H280" s="9">
        <v>21</v>
      </c>
      <c r="I280" s="32">
        <f t="shared" si="30"/>
        <v>0</v>
      </c>
      <c r="J280" s="32"/>
      <c r="K280" s="33">
        <f t="shared" si="31"/>
        <v>0</v>
      </c>
      <c r="L280" s="67"/>
    </row>
    <row r="281" spans="1:12" x14ac:dyDescent="0.25">
      <c r="A281" s="21"/>
      <c r="B281" s="30"/>
      <c r="C281" s="30"/>
      <c r="D281" s="38"/>
      <c r="E281" s="8"/>
      <c r="F281" s="31" t="str">
        <f t="shared" si="28"/>
        <v xml:space="preserve">N/F  </v>
      </c>
      <c r="G281" s="42">
        <f t="shared" si="29"/>
        <v>0</v>
      </c>
      <c r="H281" s="9">
        <v>21</v>
      </c>
      <c r="I281" s="32">
        <f t="shared" si="30"/>
        <v>0</v>
      </c>
      <c r="J281" s="32"/>
      <c r="K281" s="33">
        <f t="shared" si="31"/>
        <v>0</v>
      </c>
      <c r="L281" s="67"/>
    </row>
    <row r="282" spans="1:12" x14ac:dyDescent="0.25">
      <c r="A282" s="21"/>
      <c r="B282" s="30"/>
      <c r="C282" s="30"/>
      <c r="D282" s="38"/>
      <c r="E282" s="8"/>
      <c r="F282" s="31" t="str">
        <f t="shared" si="28"/>
        <v xml:space="preserve">N/F  </v>
      </c>
      <c r="G282" s="42">
        <f t="shared" si="29"/>
        <v>0</v>
      </c>
      <c r="H282" s="9">
        <v>21</v>
      </c>
      <c r="I282" s="32">
        <f t="shared" si="30"/>
        <v>0</v>
      </c>
      <c r="J282" s="32"/>
      <c r="K282" s="33">
        <f t="shared" si="31"/>
        <v>0</v>
      </c>
      <c r="L282" s="67"/>
    </row>
    <row r="283" spans="1:12" x14ac:dyDescent="0.25">
      <c r="A283" s="21"/>
      <c r="B283" s="30"/>
      <c r="C283" s="30"/>
      <c r="D283" s="38"/>
      <c r="E283" s="8"/>
      <c r="F283" s="31" t="str">
        <f t="shared" si="28"/>
        <v xml:space="preserve">N/F  </v>
      </c>
      <c r="G283" s="42">
        <f t="shared" si="29"/>
        <v>0</v>
      </c>
      <c r="H283" s="9">
        <v>21</v>
      </c>
      <c r="I283" s="32">
        <f t="shared" si="30"/>
        <v>0</v>
      </c>
      <c r="J283" s="32"/>
      <c r="K283" s="33">
        <f t="shared" si="31"/>
        <v>0</v>
      </c>
      <c r="L283" s="67"/>
    </row>
    <row r="284" spans="1:12" x14ac:dyDescent="0.25">
      <c r="A284" s="21"/>
      <c r="B284" s="30"/>
      <c r="C284" s="30"/>
      <c r="D284" s="38"/>
      <c r="E284" s="8"/>
      <c r="F284" s="31" t="str">
        <f t="shared" si="28"/>
        <v xml:space="preserve">N/F  </v>
      </c>
      <c r="G284" s="42">
        <f t="shared" si="29"/>
        <v>0</v>
      </c>
      <c r="H284" s="9">
        <v>21</v>
      </c>
      <c r="I284" s="32">
        <f t="shared" si="30"/>
        <v>0</v>
      </c>
      <c r="J284" s="32"/>
      <c r="K284" s="33">
        <f t="shared" si="31"/>
        <v>0</v>
      </c>
      <c r="L284" s="67"/>
    </row>
    <row r="285" spans="1:12" x14ac:dyDescent="0.25">
      <c r="A285" s="21"/>
      <c r="B285" s="30"/>
      <c r="C285" s="30"/>
      <c r="D285" s="38"/>
      <c r="E285" s="8"/>
      <c r="F285" s="31" t="str">
        <f t="shared" si="28"/>
        <v xml:space="preserve">N/F  </v>
      </c>
      <c r="G285" s="42">
        <f t="shared" si="29"/>
        <v>0</v>
      </c>
      <c r="H285" s="9">
        <v>21</v>
      </c>
      <c r="I285" s="32">
        <f t="shared" si="30"/>
        <v>0</v>
      </c>
      <c r="J285" s="32"/>
      <c r="K285" s="33">
        <f t="shared" si="31"/>
        <v>0</v>
      </c>
      <c r="L285" s="67"/>
    </row>
    <row r="286" spans="1:12" x14ac:dyDescent="0.25">
      <c r="A286" s="21"/>
      <c r="B286" s="30"/>
      <c r="C286" s="30"/>
      <c r="D286" s="38"/>
      <c r="E286" s="8"/>
      <c r="F286" s="31" t="str">
        <f t="shared" si="28"/>
        <v xml:space="preserve">N/F  </v>
      </c>
      <c r="G286" s="42">
        <f t="shared" si="29"/>
        <v>0</v>
      </c>
      <c r="H286" s="9">
        <v>21</v>
      </c>
      <c r="I286" s="32">
        <f t="shared" si="30"/>
        <v>0</v>
      </c>
      <c r="J286" s="32"/>
      <c r="K286" s="33">
        <f t="shared" si="31"/>
        <v>0</v>
      </c>
      <c r="L286" s="67"/>
    </row>
    <row r="287" spans="1:12" x14ac:dyDescent="0.25">
      <c r="A287" s="21"/>
      <c r="B287" s="30"/>
      <c r="C287" s="30"/>
      <c r="D287" s="38"/>
      <c r="E287" s="8"/>
      <c r="F287" s="31" t="str">
        <f t="shared" si="28"/>
        <v xml:space="preserve">N/F  </v>
      </c>
      <c r="G287" s="42">
        <f t="shared" si="29"/>
        <v>0</v>
      </c>
      <c r="H287" s="9">
        <v>21</v>
      </c>
      <c r="I287" s="32">
        <f t="shared" si="30"/>
        <v>0</v>
      </c>
      <c r="J287" s="32"/>
      <c r="K287" s="33">
        <f t="shared" si="31"/>
        <v>0</v>
      </c>
      <c r="L287" s="67"/>
    </row>
    <row r="288" spans="1:12" x14ac:dyDescent="0.25">
      <c r="A288" s="21"/>
      <c r="B288" s="30"/>
      <c r="C288" s="30"/>
      <c r="D288" s="38"/>
      <c r="E288" s="8"/>
      <c r="F288" s="31" t="str">
        <f t="shared" si="28"/>
        <v xml:space="preserve">N/F  </v>
      </c>
      <c r="G288" s="42">
        <f t="shared" si="29"/>
        <v>0</v>
      </c>
      <c r="H288" s="9">
        <v>21</v>
      </c>
      <c r="I288" s="32">
        <f t="shared" si="30"/>
        <v>0</v>
      </c>
      <c r="J288" s="32"/>
      <c r="K288" s="33">
        <f t="shared" si="31"/>
        <v>0</v>
      </c>
      <c r="L288" s="67"/>
    </row>
    <row r="289" spans="1:12" x14ac:dyDescent="0.25">
      <c r="A289" s="21"/>
      <c r="B289" s="30"/>
      <c r="C289" s="30"/>
      <c r="D289" s="38"/>
      <c r="E289" s="8"/>
      <c r="F289" s="31" t="str">
        <f t="shared" si="28"/>
        <v xml:space="preserve">N/F  </v>
      </c>
      <c r="G289" s="42">
        <f t="shared" si="29"/>
        <v>0</v>
      </c>
      <c r="H289" s="9">
        <v>21</v>
      </c>
      <c r="I289" s="32">
        <f t="shared" si="30"/>
        <v>0</v>
      </c>
      <c r="J289" s="32"/>
      <c r="K289" s="33">
        <f t="shared" si="31"/>
        <v>0</v>
      </c>
      <c r="L289" s="67"/>
    </row>
    <row r="290" spans="1:12" x14ac:dyDescent="0.25">
      <c r="A290" s="21"/>
      <c r="B290" s="30"/>
      <c r="C290" s="30"/>
      <c r="D290" s="38"/>
      <c r="E290" s="8"/>
      <c r="F290" s="31" t="str">
        <f t="shared" si="28"/>
        <v xml:space="preserve">N/F  </v>
      </c>
      <c r="G290" s="42">
        <f t="shared" si="29"/>
        <v>0</v>
      </c>
      <c r="H290" s="9">
        <v>21</v>
      </c>
      <c r="I290" s="32">
        <f t="shared" si="30"/>
        <v>0</v>
      </c>
      <c r="J290" s="32"/>
      <c r="K290" s="33">
        <f t="shared" si="31"/>
        <v>0</v>
      </c>
      <c r="L290" s="67"/>
    </row>
    <row r="291" spans="1:12" x14ac:dyDescent="0.25">
      <c r="A291" s="21"/>
      <c r="B291" s="30"/>
      <c r="C291" s="30"/>
      <c r="D291" s="38"/>
      <c r="E291" s="8"/>
      <c r="F291" s="31" t="str">
        <f t="shared" si="28"/>
        <v xml:space="preserve">N/F  </v>
      </c>
      <c r="G291" s="42">
        <f t="shared" si="29"/>
        <v>0</v>
      </c>
      <c r="H291" s="9">
        <v>21</v>
      </c>
      <c r="I291" s="32">
        <f t="shared" si="30"/>
        <v>0</v>
      </c>
      <c r="J291" s="32"/>
      <c r="K291" s="33">
        <f t="shared" si="31"/>
        <v>0</v>
      </c>
      <c r="L291" s="67"/>
    </row>
    <row r="292" spans="1:12" x14ac:dyDescent="0.25">
      <c r="A292" s="21"/>
      <c r="B292" s="30"/>
      <c r="C292" s="30"/>
      <c r="D292" s="38"/>
      <c r="E292" s="8"/>
      <c r="F292" s="31" t="str">
        <f t="shared" si="28"/>
        <v xml:space="preserve">N/F  </v>
      </c>
      <c r="G292" s="42">
        <f t="shared" si="29"/>
        <v>0</v>
      </c>
      <c r="H292" s="9">
        <v>21</v>
      </c>
      <c r="I292" s="32">
        <f t="shared" si="30"/>
        <v>0</v>
      </c>
      <c r="J292" s="32"/>
      <c r="K292" s="33">
        <f t="shared" si="31"/>
        <v>0</v>
      </c>
      <c r="L292" s="67"/>
    </row>
    <row r="293" spans="1:12" x14ac:dyDescent="0.25">
      <c r="A293" s="21"/>
      <c r="B293" s="30"/>
      <c r="C293" s="30"/>
      <c r="D293" s="38"/>
      <c r="E293" s="8"/>
      <c r="F293" s="31" t="str">
        <f t="shared" si="28"/>
        <v xml:space="preserve">N/F  </v>
      </c>
      <c r="G293" s="42">
        <f t="shared" si="29"/>
        <v>0</v>
      </c>
      <c r="H293" s="9">
        <v>21</v>
      </c>
      <c r="I293" s="32">
        <f t="shared" si="30"/>
        <v>0</v>
      </c>
      <c r="J293" s="32"/>
      <c r="K293" s="33">
        <f t="shared" si="31"/>
        <v>0</v>
      </c>
      <c r="L293" s="67"/>
    </row>
    <row r="294" spans="1:12" x14ac:dyDescent="0.25">
      <c r="A294" s="21"/>
      <c r="B294" s="30"/>
      <c r="C294" s="30"/>
      <c r="D294" s="38"/>
      <c r="E294" s="8"/>
      <c r="F294" s="31" t="str">
        <f t="shared" si="28"/>
        <v xml:space="preserve">N/F  </v>
      </c>
      <c r="G294" s="42">
        <f t="shared" si="29"/>
        <v>0</v>
      </c>
      <c r="H294" s="9">
        <v>21</v>
      </c>
      <c r="I294" s="32">
        <f t="shared" si="30"/>
        <v>0</v>
      </c>
      <c r="J294" s="32"/>
      <c r="K294" s="33">
        <f t="shared" si="31"/>
        <v>0</v>
      </c>
      <c r="L294" s="67"/>
    </row>
    <row r="295" spans="1:12" x14ac:dyDescent="0.25">
      <c r="A295" s="21"/>
      <c r="B295" s="30"/>
      <c r="C295" s="30"/>
      <c r="D295" s="38"/>
      <c r="E295" s="8"/>
      <c r="F295" s="31" t="str">
        <f t="shared" si="28"/>
        <v xml:space="preserve">N/F  </v>
      </c>
      <c r="G295" s="42">
        <f t="shared" si="29"/>
        <v>0</v>
      </c>
      <c r="H295" s="9">
        <v>21</v>
      </c>
      <c r="I295" s="32">
        <f t="shared" si="30"/>
        <v>0</v>
      </c>
      <c r="J295" s="32"/>
      <c r="K295" s="33">
        <f t="shared" si="31"/>
        <v>0</v>
      </c>
      <c r="L295" s="67"/>
    </row>
    <row r="296" spans="1:12" x14ac:dyDescent="0.25">
      <c r="A296" s="21"/>
      <c r="B296" s="30"/>
      <c r="C296" s="30"/>
      <c r="D296" s="38"/>
      <c r="E296" s="8"/>
      <c r="F296" s="31" t="str">
        <f t="shared" si="28"/>
        <v xml:space="preserve">N/F  </v>
      </c>
      <c r="G296" s="42">
        <f t="shared" si="29"/>
        <v>0</v>
      </c>
      <c r="H296" s="9">
        <v>21</v>
      </c>
      <c r="I296" s="32">
        <f t="shared" si="30"/>
        <v>0</v>
      </c>
      <c r="J296" s="32"/>
      <c r="K296" s="33">
        <f t="shared" si="31"/>
        <v>0</v>
      </c>
      <c r="L296" s="67"/>
    </row>
    <row r="297" spans="1:12" x14ac:dyDescent="0.25">
      <c r="A297" s="21"/>
      <c r="B297" s="30"/>
      <c r="C297" s="30"/>
      <c r="D297" s="38"/>
      <c r="E297" s="8"/>
      <c r="F297" s="31" t="str">
        <f t="shared" si="28"/>
        <v xml:space="preserve">N/F  </v>
      </c>
      <c r="G297" s="42">
        <f t="shared" si="29"/>
        <v>0</v>
      </c>
      <c r="H297" s="9">
        <v>21</v>
      </c>
      <c r="I297" s="32">
        <f t="shared" si="30"/>
        <v>0</v>
      </c>
      <c r="J297" s="32"/>
      <c r="K297" s="33">
        <f t="shared" si="31"/>
        <v>0</v>
      </c>
      <c r="L297" s="67"/>
    </row>
    <row r="298" spans="1:12" x14ac:dyDescent="0.25">
      <c r="A298" s="21"/>
      <c r="B298" s="30"/>
      <c r="C298" s="30"/>
      <c r="D298" s="38"/>
      <c r="E298" s="8"/>
      <c r="F298" s="31" t="str">
        <f t="shared" ref="F298:F361" si="32">"N/F "&amp;B298&amp;" "&amp;E298</f>
        <v xml:space="preserve">N/F  </v>
      </c>
      <c r="G298" s="42">
        <f t="shared" ref="G298:G361" si="33">+D298/1.21</f>
        <v>0</v>
      </c>
      <c r="H298" s="9">
        <v>21</v>
      </c>
      <c r="I298" s="32">
        <f t="shared" ref="I298:I361" si="34">+IF(G298&lt;&gt;0,G298*H298/100,0)</f>
        <v>0</v>
      </c>
      <c r="J298" s="32"/>
      <c r="K298" s="33">
        <f t="shared" ref="K298:K361" si="35">+G298+I298</f>
        <v>0</v>
      </c>
      <c r="L298" s="67"/>
    </row>
    <row r="299" spans="1:12" x14ac:dyDescent="0.25">
      <c r="A299" s="21"/>
      <c r="B299" s="30"/>
      <c r="C299" s="30"/>
      <c r="D299" s="38"/>
      <c r="E299" s="8"/>
      <c r="F299" s="31" t="str">
        <f t="shared" si="32"/>
        <v xml:space="preserve">N/F  </v>
      </c>
      <c r="G299" s="42">
        <f t="shared" si="33"/>
        <v>0</v>
      </c>
      <c r="H299" s="9">
        <v>21</v>
      </c>
      <c r="I299" s="32">
        <f t="shared" si="34"/>
        <v>0</v>
      </c>
      <c r="J299" s="32"/>
      <c r="K299" s="33">
        <f t="shared" si="35"/>
        <v>0</v>
      </c>
      <c r="L299" s="67"/>
    </row>
    <row r="300" spans="1:12" x14ac:dyDescent="0.25">
      <c r="A300" s="21"/>
      <c r="B300" s="30"/>
      <c r="C300" s="30"/>
      <c r="D300" s="38"/>
      <c r="E300" s="8"/>
      <c r="F300" s="31" t="str">
        <f t="shared" si="32"/>
        <v xml:space="preserve">N/F  </v>
      </c>
      <c r="G300" s="42">
        <f t="shared" si="33"/>
        <v>0</v>
      </c>
      <c r="H300" s="9">
        <v>21</v>
      </c>
      <c r="I300" s="32">
        <f t="shared" si="34"/>
        <v>0</v>
      </c>
      <c r="J300" s="32"/>
      <c r="K300" s="33">
        <f t="shared" si="35"/>
        <v>0</v>
      </c>
      <c r="L300" s="67"/>
    </row>
    <row r="301" spans="1:12" x14ac:dyDescent="0.25">
      <c r="A301" s="21"/>
      <c r="B301" s="30"/>
      <c r="C301" s="30"/>
      <c r="D301" s="38"/>
      <c r="E301" s="8"/>
      <c r="F301" s="31" t="str">
        <f t="shared" si="32"/>
        <v xml:space="preserve">N/F  </v>
      </c>
      <c r="G301" s="42">
        <f t="shared" si="33"/>
        <v>0</v>
      </c>
      <c r="H301" s="9">
        <v>21</v>
      </c>
      <c r="I301" s="32">
        <f t="shared" si="34"/>
        <v>0</v>
      </c>
      <c r="J301" s="32"/>
      <c r="K301" s="33">
        <f t="shared" si="35"/>
        <v>0</v>
      </c>
      <c r="L301" s="67"/>
    </row>
    <row r="302" spans="1:12" x14ac:dyDescent="0.25">
      <c r="A302" s="21"/>
      <c r="B302" s="30"/>
      <c r="C302" s="30"/>
      <c r="D302" s="38"/>
      <c r="E302" s="8"/>
      <c r="F302" s="31" t="str">
        <f t="shared" si="32"/>
        <v xml:space="preserve">N/F  </v>
      </c>
      <c r="G302" s="42">
        <f t="shared" si="33"/>
        <v>0</v>
      </c>
      <c r="H302" s="9">
        <v>21</v>
      </c>
      <c r="I302" s="32">
        <f t="shared" si="34"/>
        <v>0</v>
      </c>
      <c r="J302" s="32"/>
      <c r="K302" s="33">
        <f t="shared" si="35"/>
        <v>0</v>
      </c>
      <c r="L302" s="67"/>
    </row>
    <row r="303" spans="1:12" x14ac:dyDescent="0.25">
      <c r="A303" s="21"/>
      <c r="B303" s="30"/>
      <c r="C303" s="30"/>
      <c r="D303" s="38"/>
      <c r="E303" s="8"/>
      <c r="F303" s="31" t="str">
        <f t="shared" si="32"/>
        <v xml:space="preserve">N/F  </v>
      </c>
      <c r="G303" s="42">
        <f t="shared" si="33"/>
        <v>0</v>
      </c>
      <c r="H303" s="9">
        <v>21</v>
      </c>
      <c r="I303" s="32">
        <f t="shared" si="34"/>
        <v>0</v>
      </c>
      <c r="J303" s="32"/>
      <c r="K303" s="33">
        <f t="shared" si="35"/>
        <v>0</v>
      </c>
      <c r="L303" s="67"/>
    </row>
    <row r="304" spans="1:12" x14ac:dyDescent="0.25">
      <c r="A304" s="21"/>
      <c r="B304" s="30"/>
      <c r="C304" s="30"/>
      <c r="D304" s="38"/>
      <c r="E304" s="8"/>
      <c r="F304" s="31" t="str">
        <f t="shared" si="32"/>
        <v xml:space="preserve">N/F  </v>
      </c>
      <c r="G304" s="42">
        <f t="shared" si="33"/>
        <v>0</v>
      </c>
      <c r="H304" s="9">
        <v>21</v>
      </c>
      <c r="I304" s="32">
        <f t="shared" si="34"/>
        <v>0</v>
      </c>
      <c r="J304" s="32"/>
      <c r="K304" s="33">
        <f t="shared" si="35"/>
        <v>0</v>
      </c>
      <c r="L304" s="67"/>
    </row>
    <row r="305" spans="1:12" x14ac:dyDescent="0.25">
      <c r="A305" s="21"/>
      <c r="B305" s="30"/>
      <c r="C305" s="30"/>
      <c r="D305" s="38"/>
      <c r="E305" s="8"/>
      <c r="F305" s="31" t="str">
        <f t="shared" si="32"/>
        <v xml:space="preserve">N/F  </v>
      </c>
      <c r="G305" s="42">
        <f t="shared" si="33"/>
        <v>0</v>
      </c>
      <c r="H305" s="9">
        <v>21</v>
      </c>
      <c r="I305" s="32">
        <f t="shared" si="34"/>
        <v>0</v>
      </c>
      <c r="J305" s="32"/>
      <c r="K305" s="33">
        <f t="shared" si="35"/>
        <v>0</v>
      </c>
      <c r="L305" s="67"/>
    </row>
    <row r="306" spans="1:12" x14ac:dyDescent="0.25">
      <c r="A306" s="21"/>
      <c r="B306" s="30"/>
      <c r="C306" s="30"/>
      <c r="D306" s="38"/>
      <c r="E306" s="8"/>
      <c r="F306" s="31" t="str">
        <f t="shared" si="32"/>
        <v xml:space="preserve">N/F  </v>
      </c>
      <c r="G306" s="42">
        <f t="shared" si="33"/>
        <v>0</v>
      </c>
      <c r="H306" s="9">
        <v>21</v>
      </c>
      <c r="I306" s="32">
        <f t="shared" si="34"/>
        <v>0</v>
      </c>
      <c r="J306" s="32"/>
      <c r="K306" s="33">
        <f t="shared" si="35"/>
        <v>0</v>
      </c>
      <c r="L306" s="67"/>
    </row>
    <row r="307" spans="1:12" x14ac:dyDescent="0.25">
      <c r="A307" s="21"/>
      <c r="B307" s="30"/>
      <c r="C307" s="30"/>
      <c r="D307" s="38"/>
      <c r="E307" s="8"/>
      <c r="F307" s="31" t="str">
        <f t="shared" si="32"/>
        <v xml:space="preserve">N/F  </v>
      </c>
      <c r="G307" s="42">
        <f t="shared" si="33"/>
        <v>0</v>
      </c>
      <c r="H307" s="9">
        <v>21</v>
      </c>
      <c r="I307" s="32">
        <f t="shared" si="34"/>
        <v>0</v>
      </c>
      <c r="J307" s="32"/>
      <c r="K307" s="33">
        <f t="shared" si="35"/>
        <v>0</v>
      </c>
      <c r="L307" s="67"/>
    </row>
    <row r="308" spans="1:12" x14ac:dyDescent="0.25">
      <c r="A308" s="21"/>
      <c r="B308" s="30"/>
      <c r="C308" s="30"/>
      <c r="D308" s="38"/>
      <c r="E308" s="8"/>
      <c r="F308" s="31" t="str">
        <f t="shared" si="32"/>
        <v xml:space="preserve">N/F  </v>
      </c>
      <c r="G308" s="42">
        <f t="shared" si="33"/>
        <v>0</v>
      </c>
      <c r="H308" s="9">
        <v>21</v>
      </c>
      <c r="I308" s="32">
        <f t="shared" si="34"/>
        <v>0</v>
      </c>
      <c r="J308" s="32"/>
      <c r="K308" s="33">
        <f t="shared" si="35"/>
        <v>0</v>
      </c>
      <c r="L308" s="67"/>
    </row>
    <row r="309" spans="1:12" x14ac:dyDescent="0.25">
      <c r="A309" s="21"/>
      <c r="B309" s="30"/>
      <c r="C309" s="30"/>
      <c r="D309" s="38"/>
      <c r="E309" s="8"/>
      <c r="F309" s="31" t="str">
        <f t="shared" si="32"/>
        <v xml:space="preserve">N/F  </v>
      </c>
      <c r="G309" s="42">
        <f t="shared" si="33"/>
        <v>0</v>
      </c>
      <c r="H309" s="9">
        <v>21</v>
      </c>
      <c r="I309" s="32">
        <f t="shared" si="34"/>
        <v>0</v>
      </c>
      <c r="J309" s="32"/>
      <c r="K309" s="33">
        <f t="shared" si="35"/>
        <v>0</v>
      </c>
      <c r="L309" s="67"/>
    </row>
    <row r="310" spans="1:12" x14ac:dyDescent="0.25">
      <c r="A310" s="21"/>
      <c r="B310" s="30"/>
      <c r="C310" s="30"/>
      <c r="D310" s="38"/>
      <c r="E310" s="8"/>
      <c r="F310" s="31" t="str">
        <f t="shared" si="32"/>
        <v xml:space="preserve">N/F  </v>
      </c>
      <c r="G310" s="42">
        <f t="shared" si="33"/>
        <v>0</v>
      </c>
      <c r="H310" s="9">
        <v>21</v>
      </c>
      <c r="I310" s="32">
        <f t="shared" si="34"/>
        <v>0</v>
      </c>
      <c r="J310" s="32"/>
      <c r="K310" s="33">
        <f t="shared" si="35"/>
        <v>0</v>
      </c>
      <c r="L310" s="67"/>
    </row>
    <row r="311" spans="1:12" x14ac:dyDescent="0.25">
      <c r="A311" s="21"/>
      <c r="B311" s="30"/>
      <c r="C311" s="30"/>
      <c r="D311" s="38"/>
      <c r="E311" s="8"/>
      <c r="F311" s="31" t="str">
        <f t="shared" si="32"/>
        <v xml:space="preserve">N/F  </v>
      </c>
      <c r="G311" s="42">
        <f t="shared" si="33"/>
        <v>0</v>
      </c>
      <c r="H311" s="9">
        <v>21</v>
      </c>
      <c r="I311" s="32">
        <f t="shared" si="34"/>
        <v>0</v>
      </c>
      <c r="J311" s="32"/>
      <c r="K311" s="33">
        <f t="shared" si="35"/>
        <v>0</v>
      </c>
      <c r="L311" s="67"/>
    </row>
    <row r="312" spans="1:12" x14ac:dyDescent="0.25">
      <c r="A312" s="21"/>
      <c r="B312" s="30"/>
      <c r="C312" s="30"/>
      <c r="D312" s="38"/>
      <c r="E312" s="8"/>
      <c r="F312" s="31" t="str">
        <f t="shared" si="32"/>
        <v xml:space="preserve">N/F  </v>
      </c>
      <c r="G312" s="42">
        <f t="shared" si="33"/>
        <v>0</v>
      </c>
      <c r="H312" s="9">
        <v>21</v>
      </c>
      <c r="I312" s="32">
        <f t="shared" si="34"/>
        <v>0</v>
      </c>
      <c r="J312" s="32"/>
      <c r="K312" s="33">
        <f t="shared" si="35"/>
        <v>0</v>
      </c>
      <c r="L312" s="67"/>
    </row>
    <row r="313" spans="1:12" x14ac:dyDescent="0.25">
      <c r="A313" s="21"/>
      <c r="B313" s="30"/>
      <c r="C313" s="30"/>
      <c r="D313" s="38"/>
      <c r="E313" s="8"/>
      <c r="F313" s="31" t="str">
        <f t="shared" si="32"/>
        <v xml:space="preserve">N/F  </v>
      </c>
      <c r="G313" s="42">
        <f t="shared" si="33"/>
        <v>0</v>
      </c>
      <c r="H313" s="9">
        <v>21</v>
      </c>
      <c r="I313" s="32">
        <f t="shared" si="34"/>
        <v>0</v>
      </c>
      <c r="J313" s="32"/>
      <c r="K313" s="33">
        <f t="shared" si="35"/>
        <v>0</v>
      </c>
      <c r="L313" s="67"/>
    </row>
    <row r="314" spans="1:12" x14ac:dyDescent="0.25">
      <c r="A314" s="21"/>
      <c r="B314" s="30"/>
      <c r="C314" s="30"/>
      <c r="D314" s="38"/>
      <c r="E314" s="8"/>
      <c r="F314" s="31" t="str">
        <f t="shared" si="32"/>
        <v xml:space="preserve">N/F  </v>
      </c>
      <c r="G314" s="42">
        <f t="shared" si="33"/>
        <v>0</v>
      </c>
      <c r="H314" s="9">
        <v>21</v>
      </c>
      <c r="I314" s="32">
        <f t="shared" si="34"/>
        <v>0</v>
      </c>
      <c r="J314" s="32"/>
      <c r="K314" s="33">
        <f t="shared" si="35"/>
        <v>0</v>
      </c>
      <c r="L314" s="67"/>
    </row>
    <row r="315" spans="1:12" x14ac:dyDescent="0.25">
      <c r="A315" s="21"/>
      <c r="B315" s="30"/>
      <c r="C315" s="30"/>
      <c r="D315" s="38"/>
      <c r="E315" s="8"/>
      <c r="F315" s="31" t="str">
        <f t="shared" si="32"/>
        <v xml:space="preserve">N/F  </v>
      </c>
      <c r="G315" s="42">
        <f t="shared" si="33"/>
        <v>0</v>
      </c>
      <c r="H315" s="9">
        <v>21</v>
      </c>
      <c r="I315" s="32">
        <f t="shared" si="34"/>
        <v>0</v>
      </c>
      <c r="J315" s="32"/>
      <c r="K315" s="33">
        <f t="shared" si="35"/>
        <v>0</v>
      </c>
      <c r="L315" s="67"/>
    </row>
    <row r="316" spans="1:12" x14ac:dyDescent="0.25">
      <c r="A316" s="21"/>
      <c r="B316" s="30"/>
      <c r="C316" s="30"/>
      <c r="D316" s="38"/>
      <c r="E316" s="8"/>
      <c r="F316" s="31" t="str">
        <f t="shared" si="32"/>
        <v xml:space="preserve">N/F  </v>
      </c>
      <c r="G316" s="42">
        <f t="shared" si="33"/>
        <v>0</v>
      </c>
      <c r="H316" s="9">
        <v>21</v>
      </c>
      <c r="I316" s="32">
        <f t="shared" si="34"/>
        <v>0</v>
      </c>
      <c r="J316" s="32"/>
      <c r="K316" s="33">
        <f t="shared" si="35"/>
        <v>0</v>
      </c>
      <c r="L316" s="67"/>
    </row>
    <row r="317" spans="1:12" x14ac:dyDescent="0.25">
      <c r="A317" s="21"/>
      <c r="B317" s="30"/>
      <c r="C317" s="30"/>
      <c r="D317" s="38"/>
      <c r="E317" s="8"/>
      <c r="F317" s="31" t="str">
        <f t="shared" si="32"/>
        <v xml:space="preserve">N/F  </v>
      </c>
      <c r="G317" s="42">
        <f t="shared" si="33"/>
        <v>0</v>
      </c>
      <c r="H317" s="9">
        <v>21</v>
      </c>
      <c r="I317" s="32">
        <f t="shared" si="34"/>
        <v>0</v>
      </c>
      <c r="J317" s="32"/>
      <c r="K317" s="33">
        <f t="shared" si="35"/>
        <v>0</v>
      </c>
      <c r="L317" s="67"/>
    </row>
    <row r="318" spans="1:12" x14ac:dyDescent="0.25">
      <c r="A318" s="21"/>
      <c r="B318" s="30"/>
      <c r="C318" s="30"/>
      <c r="D318" s="38"/>
      <c r="E318" s="8"/>
      <c r="F318" s="31" t="str">
        <f t="shared" si="32"/>
        <v xml:space="preserve">N/F  </v>
      </c>
      <c r="G318" s="42">
        <f t="shared" si="33"/>
        <v>0</v>
      </c>
      <c r="H318" s="9">
        <v>21</v>
      </c>
      <c r="I318" s="32">
        <f t="shared" si="34"/>
        <v>0</v>
      </c>
      <c r="J318" s="32"/>
      <c r="K318" s="33">
        <f t="shared" si="35"/>
        <v>0</v>
      </c>
      <c r="L318" s="67"/>
    </row>
    <row r="319" spans="1:12" x14ac:dyDescent="0.25">
      <c r="A319" s="21"/>
      <c r="B319" s="30"/>
      <c r="C319" s="30"/>
      <c r="D319" s="38"/>
      <c r="E319" s="8"/>
      <c r="F319" s="31" t="str">
        <f t="shared" si="32"/>
        <v xml:space="preserve">N/F  </v>
      </c>
      <c r="G319" s="42">
        <f t="shared" si="33"/>
        <v>0</v>
      </c>
      <c r="H319" s="9">
        <v>21</v>
      </c>
      <c r="I319" s="32">
        <f t="shared" si="34"/>
        <v>0</v>
      </c>
      <c r="J319" s="32"/>
      <c r="K319" s="33">
        <f t="shared" si="35"/>
        <v>0</v>
      </c>
      <c r="L319" s="67"/>
    </row>
    <row r="320" spans="1:12" x14ac:dyDescent="0.25">
      <c r="A320" s="21"/>
      <c r="B320" s="30"/>
      <c r="C320" s="30"/>
      <c r="D320" s="38"/>
      <c r="E320" s="8"/>
      <c r="F320" s="31" t="str">
        <f t="shared" si="32"/>
        <v xml:space="preserve">N/F  </v>
      </c>
      <c r="G320" s="42">
        <f t="shared" si="33"/>
        <v>0</v>
      </c>
      <c r="H320" s="9">
        <v>21</v>
      </c>
      <c r="I320" s="32">
        <f t="shared" si="34"/>
        <v>0</v>
      </c>
      <c r="J320" s="32"/>
      <c r="K320" s="33">
        <f t="shared" si="35"/>
        <v>0</v>
      </c>
      <c r="L320" s="67"/>
    </row>
    <row r="321" spans="1:12" x14ac:dyDescent="0.25">
      <c r="A321" s="21"/>
      <c r="B321" s="30"/>
      <c r="C321" s="30"/>
      <c r="D321" s="38"/>
      <c r="E321" s="8"/>
      <c r="F321" s="31" t="str">
        <f t="shared" si="32"/>
        <v xml:space="preserve">N/F  </v>
      </c>
      <c r="G321" s="42">
        <f t="shared" si="33"/>
        <v>0</v>
      </c>
      <c r="H321" s="9">
        <v>21</v>
      </c>
      <c r="I321" s="32">
        <f t="shared" si="34"/>
        <v>0</v>
      </c>
      <c r="J321" s="32"/>
      <c r="K321" s="33">
        <f t="shared" si="35"/>
        <v>0</v>
      </c>
      <c r="L321" s="67"/>
    </row>
    <row r="322" spans="1:12" x14ac:dyDescent="0.25">
      <c r="A322" s="21"/>
      <c r="B322" s="30"/>
      <c r="C322" s="30"/>
      <c r="D322" s="38"/>
      <c r="E322" s="8"/>
      <c r="F322" s="31" t="str">
        <f t="shared" si="32"/>
        <v xml:space="preserve">N/F  </v>
      </c>
      <c r="G322" s="42">
        <f t="shared" si="33"/>
        <v>0</v>
      </c>
      <c r="H322" s="9">
        <v>21</v>
      </c>
      <c r="I322" s="32">
        <f t="shared" si="34"/>
        <v>0</v>
      </c>
      <c r="J322" s="32"/>
      <c r="K322" s="33">
        <f t="shared" si="35"/>
        <v>0</v>
      </c>
      <c r="L322" s="67"/>
    </row>
    <row r="323" spans="1:12" x14ac:dyDescent="0.25">
      <c r="A323" s="21"/>
      <c r="B323" s="30"/>
      <c r="C323" s="30"/>
      <c r="D323" s="38"/>
      <c r="E323" s="8"/>
      <c r="F323" s="31" t="str">
        <f t="shared" si="32"/>
        <v xml:space="preserve">N/F  </v>
      </c>
      <c r="G323" s="42">
        <f t="shared" si="33"/>
        <v>0</v>
      </c>
      <c r="H323" s="9">
        <v>21</v>
      </c>
      <c r="I323" s="32">
        <f t="shared" si="34"/>
        <v>0</v>
      </c>
      <c r="J323" s="32"/>
      <c r="K323" s="33">
        <f t="shared" si="35"/>
        <v>0</v>
      </c>
      <c r="L323" s="67"/>
    </row>
    <row r="324" spans="1:12" x14ac:dyDescent="0.25">
      <c r="A324" s="21"/>
      <c r="B324" s="30"/>
      <c r="C324" s="30"/>
      <c r="D324" s="38"/>
      <c r="E324" s="8"/>
      <c r="F324" s="31" t="str">
        <f t="shared" si="32"/>
        <v xml:space="preserve">N/F  </v>
      </c>
      <c r="G324" s="42">
        <f t="shared" si="33"/>
        <v>0</v>
      </c>
      <c r="H324" s="9">
        <v>21</v>
      </c>
      <c r="I324" s="32">
        <f t="shared" si="34"/>
        <v>0</v>
      </c>
      <c r="J324" s="32"/>
      <c r="K324" s="33">
        <f t="shared" si="35"/>
        <v>0</v>
      </c>
      <c r="L324" s="67"/>
    </row>
    <row r="325" spans="1:12" x14ac:dyDescent="0.25">
      <c r="A325" s="21"/>
      <c r="B325" s="30"/>
      <c r="C325" s="30"/>
      <c r="D325" s="38"/>
      <c r="E325" s="8"/>
      <c r="F325" s="31" t="str">
        <f t="shared" si="32"/>
        <v xml:space="preserve">N/F  </v>
      </c>
      <c r="G325" s="42">
        <f t="shared" si="33"/>
        <v>0</v>
      </c>
      <c r="H325" s="9">
        <v>21</v>
      </c>
      <c r="I325" s="32">
        <f t="shared" si="34"/>
        <v>0</v>
      </c>
      <c r="J325" s="32"/>
      <c r="K325" s="33">
        <f t="shared" si="35"/>
        <v>0</v>
      </c>
      <c r="L325" s="67"/>
    </row>
    <row r="326" spans="1:12" x14ac:dyDescent="0.25">
      <c r="A326" s="21"/>
      <c r="B326" s="30"/>
      <c r="C326" s="30"/>
      <c r="D326" s="38"/>
      <c r="E326" s="8"/>
      <c r="F326" s="31" t="str">
        <f t="shared" si="32"/>
        <v xml:space="preserve">N/F  </v>
      </c>
      <c r="G326" s="42">
        <f t="shared" si="33"/>
        <v>0</v>
      </c>
      <c r="H326" s="9">
        <v>21</v>
      </c>
      <c r="I326" s="32">
        <f t="shared" si="34"/>
        <v>0</v>
      </c>
      <c r="J326" s="32"/>
      <c r="K326" s="33">
        <f t="shared" si="35"/>
        <v>0</v>
      </c>
      <c r="L326" s="67"/>
    </row>
    <row r="327" spans="1:12" x14ac:dyDescent="0.25">
      <c r="A327" s="21"/>
      <c r="B327" s="30"/>
      <c r="C327" s="30"/>
      <c r="D327" s="38"/>
      <c r="E327" s="8"/>
      <c r="F327" s="31" t="str">
        <f t="shared" si="32"/>
        <v xml:space="preserve">N/F  </v>
      </c>
      <c r="G327" s="42">
        <f t="shared" si="33"/>
        <v>0</v>
      </c>
      <c r="H327" s="9">
        <v>21</v>
      </c>
      <c r="I327" s="32">
        <f t="shared" si="34"/>
        <v>0</v>
      </c>
      <c r="J327" s="32"/>
      <c r="K327" s="33">
        <f t="shared" si="35"/>
        <v>0</v>
      </c>
      <c r="L327" s="67"/>
    </row>
    <row r="328" spans="1:12" x14ac:dyDescent="0.25">
      <c r="A328" s="21"/>
      <c r="B328" s="30"/>
      <c r="C328" s="30"/>
      <c r="D328" s="38"/>
      <c r="E328" s="8"/>
      <c r="F328" s="31" t="str">
        <f t="shared" si="32"/>
        <v xml:space="preserve">N/F  </v>
      </c>
      <c r="G328" s="42">
        <f t="shared" si="33"/>
        <v>0</v>
      </c>
      <c r="H328" s="9">
        <v>21</v>
      </c>
      <c r="I328" s="32">
        <f t="shared" si="34"/>
        <v>0</v>
      </c>
      <c r="J328" s="32"/>
      <c r="K328" s="33">
        <f t="shared" si="35"/>
        <v>0</v>
      </c>
      <c r="L328" s="67"/>
    </row>
    <row r="329" spans="1:12" x14ac:dyDescent="0.25">
      <c r="A329" s="21"/>
      <c r="B329" s="30"/>
      <c r="C329" s="30"/>
      <c r="D329" s="38"/>
      <c r="E329" s="8"/>
      <c r="F329" s="31" t="str">
        <f t="shared" si="32"/>
        <v xml:space="preserve">N/F  </v>
      </c>
      <c r="G329" s="42">
        <f t="shared" si="33"/>
        <v>0</v>
      </c>
      <c r="H329" s="9">
        <v>21</v>
      </c>
      <c r="I329" s="32">
        <f t="shared" si="34"/>
        <v>0</v>
      </c>
      <c r="J329" s="32"/>
      <c r="K329" s="33">
        <f t="shared" si="35"/>
        <v>0</v>
      </c>
      <c r="L329" s="67"/>
    </row>
    <row r="330" spans="1:12" x14ac:dyDescent="0.25">
      <c r="A330" s="21"/>
      <c r="B330" s="30"/>
      <c r="C330" s="30"/>
      <c r="D330" s="38"/>
      <c r="E330" s="8"/>
      <c r="F330" s="31" t="str">
        <f t="shared" si="32"/>
        <v xml:space="preserve">N/F  </v>
      </c>
      <c r="G330" s="42">
        <f t="shared" si="33"/>
        <v>0</v>
      </c>
      <c r="H330" s="9">
        <v>21</v>
      </c>
      <c r="I330" s="32">
        <f t="shared" si="34"/>
        <v>0</v>
      </c>
      <c r="J330" s="32"/>
      <c r="K330" s="33">
        <f t="shared" si="35"/>
        <v>0</v>
      </c>
      <c r="L330" s="67"/>
    </row>
    <row r="331" spans="1:12" x14ac:dyDescent="0.25">
      <c r="A331" s="21"/>
      <c r="B331" s="30"/>
      <c r="C331" s="30"/>
      <c r="D331" s="38"/>
      <c r="E331" s="8"/>
      <c r="F331" s="31" t="str">
        <f t="shared" si="32"/>
        <v xml:space="preserve">N/F  </v>
      </c>
      <c r="G331" s="42">
        <f t="shared" si="33"/>
        <v>0</v>
      </c>
      <c r="H331" s="9">
        <v>21</v>
      </c>
      <c r="I331" s="32">
        <f t="shared" si="34"/>
        <v>0</v>
      </c>
      <c r="J331" s="32"/>
      <c r="K331" s="33">
        <f t="shared" si="35"/>
        <v>0</v>
      </c>
      <c r="L331" s="67"/>
    </row>
    <row r="332" spans="1:12" x14ac:dyDescent="0.25">
      <c r="A332" s="21"/>
      <c r="B332" s="30"/>
      <c r="C332" s="30"/>
      <c r="D332" s="38"/>
      <c r="E332" s="8"/>
      <c r="F332" s="31" t="str">
        <f t="shared" si="32"/>
        <v xml:space="preserve">N/F  </v>
      </c>
      <c r="G332" s="42">
        <f t="shared" si="33"/>
        <v>0</v>
      </c>
      <c r="H332" s="9">
        <v>21</v>
      </c>
      <c r="I332" s="32">
        <f t="shared" si="34"/>
        <v>0</v>
      </c>
      <c r="J332" s="32"/>
      <c r="K332" s="33">
        <f t="shared" si="35"/>
        <v>0</v>
      </c>
      <c r="L332" s="67"/>
    </row>
    <row r="333" spans="1:12" x14ac:dyDescent="0.25">
      <c r="A333" s="21"/>
      <c r="B333" s="30"/>
      <c r="C333" s="30"/>
      <c r="D333" s="38"/>
      <c r="E333" s="8"/>
      <c r="F333" s="31" t="str">
        <f t="shared" si="32"/>
        <v xml:space="preserve">N/F  </v>
      </c>
      <c r="G333" s="42">
        <f t="shared" si="33"/>
        <v>0</v>
      </c>
      <c r="H333" s="9">
        <v>21</v>
      </c>
      <c r="I333" s="32">
        <f t="shared" si="34"/>
        <v>0</v>
      </c>
      <c r="J333" s="32"/>
      <c r="K333" s="33">
        <f t="shared" si="35"/>
        <v>0</v>
      </c>
      <c r="L333" s="67"/>
    </row>
    <row r="334" spans="1:12" x14ac:dyDescent="0.25">
      <c r="A334" s="21"/>
      <c r="B334" s="30"/>
      <c r="C334" s="30"/>
      <c r="D334" s="38"/>
      <c r="E334" s="8"/>
      <c r="F334" s="31" t="str">
        <f t="shared" si="32"/>
        <v xml:space="preserve">N/F  </v>
      </c>
      <c r="G334" s="42">
        <f t="shared" si="33"/>
        <v>0</v>
      </c>
      <c r="H334" s="9">
        <v>21</v>
      </c>
      <c r="I334" s="32">
        <f t="shared" si="34"/>
        <v>0</v>
      </c>
      <c r="J334" s="32"/>
      <c r="K334" s="33">
        <f t="shared" si="35"/>
        <v>0</v>
      </c>
      <c r="L334" s="67"/>
    </row>
    <row r="335" spans="1:12" x14ac:dyDescent="0.25">
      <c r="A335" s="21"/>
      <c r="B335" s="30"/>
      <c r="C335" s="30"/>
      <c r="D335" s="38"/>
      <c r="E335" s="8"/>
      <c r="F335" s="31" t="str">
        <f t="shared" si="32"/>
        <v xml:space="preserve">N/F  </v>
      </c>
      <c r="G335" s="42">
        <f t="shared" si="33"/>
        <v>0</v>
      </c>
      <c r="H335" s="9">
        <v>21</v>
      </c>
      <c r="I335" s="32">
        <f t="shared" si="34"/>
        <v>0</v>
      </c>
      <c r="J335" s="32"/>
      <c r="K335" s="33">
        <f t="shared" si="35"/>
        <v>0</v>
      </c>
      <c r="L335" s="67"/>
    </row>
    <row r="336" spans="1:12" x14ac:dyDescent="0.25">
      <c r="A336" s="21"/>
      <c r="B336" s="30"/>
      <c r="C336" s="30"/>
      <c r="D336" s="38"/>
      <c r="E336" s="8"/>
      <c r="F336" s="31" t="str">
        <f t="shared" si="32"/>
        <v xml:space="preserve">N/F  </v>
      </c>
      <c r="G336" s="42">
        <f t="shared" si="33"/>
        <v>0</v>
      </c>
      <c r="H336" s="9">
        <v>21</v>
      </c>
      <c r="I336" s="32">
        <f t="shared" si="34"/>
        <v>0</v>
      </c>
      <c r="J336" s="32"/>
      <c r="K336" s="33">
        <f t="shared" si="35"/>
        <v>0</v>
      </c>
      <c r="L336" s="67"/>
    </row>
    <row r="337" spans="1:12" x14ac:dyDescent="0.25">
      <c r="A337" s="21"/>
      <c r="B337" s="30"/>
      <c r="C337" s="30"/>
      <c r="D337" s="38"/>
      <c r="E337" s="8"/>
      <c r="F337" s="31" t="str">
        <f t="shared" si="32"/>
        <v xml:space="preserve">N/F  </v>
      </c>
      <c r="G337" s="42">
        <f t="shared" si="33"/>
        <v>0</v>
      </c>
      <c r="H337" s="9">
        <v>21</v>
      </c>
      <c r="I337" s="32">
        <f t="shared" si="34"/>
        <v>0</v>
      </c>
      <c r="J337" s="32"/>
      <c r="K337" s="33">
        <f t="shared" si="35"/>
        <v>0</v>
      </c>
      <c r="L337" s="67"/>
    </row>
    <row r="338" spans="1:12" x14ac:dyDescent="0.25">
      <c r="A338" s="21"/>
      <c r="B338" s="30"/>
      <c r="C338" s="30"/>
      <c r="D338" s="38"/>
      <c r="E338" s="8"/>
      <c r="F338" s="31" t="str">
        <f t="shared" si="32"/>
        <v xml:space="preserve">N/F  </v>
      </c>
      <c r="G338" s="42">
        <f t="shared" si="33"/>
        <v>0</v>
      </c>
      <c r="H338" s="9">
        <v>21</v>
      </c>
      <c r="I338" s="32">
        <f t="shared" si="34"/>
        <v>0</v>
      </c>
      <c r="J338" s="32"/>
      <c r="K338" s="33">
        <f t="shared" si="35"/>
        <v>0</v>
      </c>
      <c r="L338" s="67"/>
    </row>
    <row r="339" spans="1:12" x14ac:dyDescent="0.25">
      <c r="A339" s="21"/>
      <c r="B339" s="30"/>
      <c r="C339" s="30"/>
      <c r="D339" s="38"/>
      <c r="E339" s="8"/>
      <c r="F339" s="31" t="str">
        <f t="shared" si="32"/>
        <v xml:space="preserve">N/F  </v>
      </c>
      <c r="G339" s="42">
        <f t="shared" si="33"/>
        <v>0</v>
      </c>
      <c r="H339" s="9">
        <v>21</v>
      </c>
      <c r="I339" s="32">
        <f t="shared" si="34"/>
        <v>0</v>
      </c>
      <c r="J339" s="32"/>
      <c r="K339" s="33">
        <f t="shared" si="35"/>
        <v>0</v>
      </c>
      <c r="L339" s="67"/>
    </row>
    <row r="340" spans="1:12" x14ac:dyDescent="0.25">
      <c r="A340" s="21"/>
      <c r="B340" s="30"/>
      <c r="C340" s="30"/>
      <c r="D340" s="38"/>
      <c r="E340" s="8"/>
      <c r="F340" s="31" t="str">
        <f t="shared" si="32"/>
        <v xml:space="preserve">N/F  </v>
      </c>
      <c r="G340" s="42">
        <f t="shared" si="33"/>
        <v>0</v>
      </c>
      <c r="H340" s="9">
        <v>21</v>
      </c>
      <c r="I340" s="32">
        <f t="shared" si="34"/>
        <v>0</v>
      </c>
      <c r="J340" s="32"/>
      <c r="K340" s="33">
        <f t="shared" si="35"/>
        <v>0</v>
      </c>
      <c r="L340" s="67"/>
    </row>
    <row r="341" spans="1:12" x14ac:dyDescent="0.25">
      <c r="A341" s="21"/>
      <c r="B341" s="30"/>
      <c r="C341" s="30"/>
      <c r="D341" s="38"/>
      <c r="E341" s="8"/>
      <c r="F341" s="31" t="str">
        <f t="shared" si="32"/>
        <v xml:space="preserve">N/F  </v>
      </c>
      <c r="G341" s="42">
        <f t="shared" si="33"/>
        <v>0</v>
      </c>
      <c r="H341" s="9">
        <v>21</v>
      </c>
      <c r="I341" s="32">
        <f t="shared" si="34"/>
        <v>0</v>
      </c>
      <c r="J341" s="32"/>
      <c r="K341" s="33">
        <f t="shared" si="35"/>
        <v>0</v>
      </c>
      <c r="L341" s="67"/>
    </row>
    <row r="342" spans="1:12" x14ac:dyDescent="0.25">
      <c r="A342" s="21"/>
      <c r="B342" s="30"/>
      <c r="C342" s="30"/>
      <c r="D342" s="38"/>
      <c r="E342" s="8"/>
      <c r="F342" s="31" t="str">
        <f t="shared" si="32"/>
        <v xml:space="preserve">N/F  </v>
      </c>
      <c r="G342" s="42">
        <f t="shared" si="33"/>
        <v>0</v>
      </c>
      <c r="H342" s="9">
        <v>21</v>
      </c>
      <c r="I342" s="32">
        <f t="shared" si="34"/>
        <v>0</v>
      </c>
      <c r="J342" s="32"/>
      <c r="K342" s="33">
        <f t="shared" si="35"/>
        <v>0</v>
      </c>
      <c r="L342" s="67"/>
    </row>
    <row r="343" spans="1:12" x14ac:dyDescent="0.25">
      <c r="A343" s="21"/>
      <c r="B343" s="30"/>
      <c r="C343" s="30"/>
      <c r="D343" s="38"/>
      <c r="E343" s="8"/>
      <c r="F343" s="31" t="str">
        <f t="shared" si="32"/>
        <v xml:space="preserve">N/F  </v>
      </c>
      <c r="G343" s="42">
        <f t="shared" si="33"/>
        <v>0</v>
      </c>
      <c r="H343" s="9">
        <v>21</v>
      </c>
      <c r="I343" s="32">
        <f t="shared" si="34"/>
        <v>0</v>
      </c>
      <c r="J343" s="32"/>
      <c r="K343" s="33">
        <f t="shared" si="35"/>
        <v>0</v>
      </c>
      <c r="L343" s="67"/>
    </row>
    <row r="344" spans="1:12" x14ac:dyDescent="0.25">
      <c r="A344" s="21"/>
      <c r="B344" s="30"/>
      <c r="C344" s="30"/>
      <c r="D344" s="38"/>
      <c r="E344" s="8"/>
      <c r="F344" s="31" t="str">
        <f t="shared" si="32"/>
        <v xml:space="preserve">N/F  </v>
      </c>
      <c r="G344" s="42">
        <f t="shared" si="33"/>
        <v>0</v>
      </c>
      <c r="H344" s="9">
        <v>21</v>
      </c>
      <c r="I344" s="32">
        <f t="shared" si="34"/>
        <v>0</v>
      </c>
      <c r="J344" s="32"/>
      <c r="K344" s="33">
        <f t="shared" si="35"/>
        <v>0</v>
      </c>
      <c r="L344" s="67"/>
    </row>
    <row r="345" spans="1:12" x14ac:dyDescent="0.25">
      <c r="A345" s="21"/>
      <c r="B345" s="30"/>
      <c r="C345" s="30"/>
      <c r="D345" s="38"/>
      <c r="E345" s="8"/>
      <c r="F345" s="31" t="str">
        <f t="shared" si="32"/>
        <v xml:space="preserve">N/F  </v>
      </c>
      <c r="G345" s="42">
        <f t="shared" si="33"/>
        <v>0</v>
      </c>
      <c r="H345" s="9">
        <v>21</v>
      </c>
      <c r="I345" s="32">
        <f t="shared" si="34"/>
        <v>0</v>
      </c>
      <c r="J345" s="32"/>
      <c r="K345" s="33">
        <f t="shared" si="35"/>
        <v>0</v>
      </c>
      <c r="L345" s="67"/>
    </row>
    <row r="346" spans="1:12" x14ac:dyDescent="0.25">
      <c r="A346" s="21"/>
      <c r="B346" s="30"/>
      <c r="C346" s="30"/>
      <c r="D346" s="38"/>
      <c r="E346" s="8"/>
      <c r="F346" s="31" t="str">
        <f t="shared" si="32"/>
        <v xml:space="preserve">N/F  </v>
      </c>
      <c r="G346" s="42">
        <f t="shared" si="33"/>
        <v>0</v>
      </c>
      <c r="H346" s="9">
        <v>21</v>
      </c>
      <c r="I346" s="32">
        <f t="shared" si="34"/>
        <v>0</v>
      </c>
      <c r="J346" s="32"/>
      <c r="K346" s="33">
        <f t="shared" si="35"/>
        <v>0</v>
      </c>
      <c r="L346" s="67"/>
    </row>
    <row r="347" spans="1:12" x14ac:dyDescent="0.25">
      <c r="A347" s="21"/>
      <c r="B347" s="30"/>
      <c r="C347" s="30"/>
      <c r="D347" s="38"/>
      <c r="E347" s="8"/>
      <c r="F347" s="31" t="str">
        <f t="shared" si="32"/>
        <v xml:space="preserve">N/F  </v>
      </c>
      <c r="G347" s="42">
        <f t="shared" si="33"/>
        <v>0</v>
      </c>
      <c r="H347" s="9">
        <v>21</v>
      </c>
      <c r="I347" s="32">
        <f t="shared" si="34"/>
        <v>0</v>
      </c>
      <c r="J347" s="32"/>
      <c r="K347" s="33">
        <f t="shared" si="35"/>
        <v>0</v>
      </c>
      <c r="L347" s="67"/>
    </row>
    <row r="348" spans="1:12" x14ac:dyDescent="0.25">
      <c r="A348" s="21"/>
      <c r="B348" s="30"/>
      <c r="C348" s="30"/>
      <c r="D348" s="38"/>
      <c r="E348" s="8"/>
      <c r="F348" s="31" t="str">
        <f t="shared" si="32"/>
        <v xml:space="preserve">N/F  </v>
      </c>
      <c r="G348" s="42">
        <f t="shared" si="33"/>
        <v>0</v>
      </c>
      <c r="H348" s="9">
        <v>21</v>
      </c>
      <c r="I348" s="32">
        <f t="shared" si="34"/>
        <v>0</v>
      </c>
      <c r="J348" s="32"/>
      <c r="K348" s="33">
        <f t="shared" si="35"/>
        <v>0</v>
      </c>
      <c r="L348" s="67"/>
    </row>
    <row r="349" spans="1:12" x14ac:dyDescent="0.25">
      <c r="A349" s="21"/>
      <c r="B349" s="30"/>
      <c r="C349" s="30"/>
      <c r="D349" s="38"/>
      <c r="E349" s="8"/>
      <c r="F349" s="31" t="str">
        <f t="shared" si="32"/>
        <v xml:space="preserve">N/F  </v>
      </c>
      <c r="G349" s="42">
        <f t="shared" si="33"/>
        <v>0</v>
      </c>
      <c r="H349" s="9">
        <v>21</v>
      </c>
      <c r="I349" s="32">
        <f t="shared" si="34"/>
        <v>0</v>
      </c>
      <c r="J349" s="32"/>
      <c r="K349" s="33">
        <f t="shared" si="35"/>
        <v>0</v>
      </c>
      <c r="L349" s="67"/>
    </row>
    <row r="350" spans="1:12" x14ac:dyDescent="0.25">
      <c r="A350" s="21"/>
      <c r="B350" s="30"/>
      <c r="C350" s="30"/>
      <c r="D350" s="38"/>
      <c r="E350" s="8"/>
      <c r="F350" s="31" t="str">
        <f t="shared" si="32"/>
        <v xml:space="preserve">N/F  </v>
      </c>
      <c r="G350" s="42">
        <f t="shared" si="33"/>
        <v>0</v>
      </c>
      <c r="H350" s="9">
        <v>21</v>
      </c>
      <c r="I350" s="32">
        <f t="shared" si="34"/>
        <v>0</v>
      </c>
      <c r="J350" s="32"/>
      <c r="K350" s="33">
        <f t="shared" si="35"/>
        <v>0</v>
      </c>
      <c r="L350" s="67"/>
    </row>
    <row r="351" spans="1:12" x14ac:dyDescent="0.25">
      <c r="A351" s="21"/>
      <c r="B351" s="30"/>
      <c r="C351" s="30"/>
      <c r="D351" s="38"/>
      <c r="E351" s="8"/>
      <c r="F351" s="31" t="str">
        <f t="shared" si="32"/>
        <v xml:space="preserve">N/F  </v>
      </c>
      <c r="G351" s="42">
        <f t="shared" si="33"/>
        <v>0</v>
      </c>
      <c r="H351" s="9">
        <v>21</v>
      </c>
      <c r="I351" s="32">
        <f t="shared" si="34"/>
        <v>0</v>
      </c>
      <c r="J351" s="32"/>
      <c r="K351" s="33">
        <f t="shared" si="35"/>
        <v>0</v>
      </c>
      <c r="L351" s="67"/>
    </row>
    <row r="352" spans="1:12" x14ac:dyDescent="0.25">
      <c r="A352" s="21"/>
      <c r="B352" s="30"/>
      <c r="C352" s="30"/>
      <c r="D352" s="38"/>
      <c r="E352" s="8"/>
      <c r="F352" s="31" t="str">
        <f t="shared" si="32"/>
        <v xml:space="preserve">N/F  </v>
      </c>
      <c r="G352" s="42">
        <f t="shared" si="33"/>
        <v>0</v>
      </c>
      <c r="H352" s="9">
        <v>21</v>
      </c>
      <c r="I352" s="32">
        <f t="shared" si="34"/>
        <v>0</v>
      </c>
      <c r="J352" s="32"/>
      <c r="K352" s="33">
        <f t="shared" si="35"/>
        <v>0</v>
      </c>
      <c r="L352" s="67"/>
    </row>
    <row r="353" spans="1:12" x14ac:dyDescent="0.25">
      <c r="A353" s="21"/>
      <c r="B353" s="30"/>
      <c r="C353" s="30"/>
      <c r="D353" s="38"/>
      <c r="E353" s="8"/>
      <c r="F353" s="31" t="str">
        <f t="shared" si="32"/>
        <v xml:space="preserve">N/F  </v>
      </c>
      <c r="G353" s="42">
        <f t="shared" si="33"/>
        <v>0</v>
      </c>
      <c r="H353" s="9">
        <v>21</v>
      </c>
      <c r="I353" s="32">
        <f t="shared" si="34"/>
        <v>0</v>
      </c>
      <c r="J353" s="32"/>
      <c r="K353" s="33">
        <f t="shared" si="35"/>
        <v>0</v>
      </c>
      <c r="L353" s="67"/>
    </row>
    <row r="354" spans="1:12" x14ac:dyDescent="0.25">
      <c r="A354" s="21"/>
      <c r="B354" s="30"/>
      <c r="C354" s="30"/>
      <c r="D354" s="38"/>
      <c r="E354" s="8"/>
      <c r="F354" s="31" t="str">
        <f t="shared" si="32"/>
        <v xml:space="preserve">N/F  </v>
      </c>
      <c r="G354" s="42">
        <f t="shared" si="33"/>
        <v>0</v>
      </c>
      <c r="H354" s="9">
        <v>21</v>
      </c>
      <c r="I354" s="32">
        <f t="shared" si="34"/>
        <v>0</v>
      </c>
      <c r="J354" s="32"/>
      <c r="K354" s="33">
        <f t="shared" si="35"/>
        <v>0</v>
      </c>
      <c r="L354" s="67"/>
    </row>
    <row r="355" spans="1:12" x14ac:dyDescent="0.25">
      <c r="A355" s="21"/>
      <c r="B355" s="30"/>
      <c r="C355" s="30"/>
      <c r="D355" s="38"/>
      <c r="E355" s="8"/>
      <c r="F355" s="31" t="str">
        <f t="shared" si="32"/>
        <v xml:space="preserve">N/F  </v>
      </c>
      <c r="G355" s="42">
        <f t="shared" si="33"/>
        <v>0</v>
      </c>
      <c r="H355" s="9">
        <v>21</v>
      </c>
      <c r="I355" s="32">
        <f t="shared" si="34"/>
        <v>0</v>
      </c>
      <c r="J355" s="32"/>
      <c r="K355" s="33">
        <f t="shared" si="35"/>
        <v>0</v>
      </c>
      <c r="L355" s="67"/>
    </row>
    <row r="356" spans="1:12" x14ac:dyDescent="0.25">
      <c r="A356" s="21"/>
      <c r="B356" s="30"/>
      <c r="C356" s="30"/>
      <c r="D356" s="38"/>
      <c r="E356" s="8"/>
      <c r="F356" s="31" t="str">
        <f t="shared" si="32"/>
        <v xml:space="preserve">N/F  </v>
      </c>
      <c r="G356" s="42">
        <f t="shared" si="33"/>
        <v>0</v>
      </c>
      <c r="H356" s="9">
        <v>21</v>
      </c>
      <c r="I356" s="32">
        <f t="shared" si="34"/>
        <v>0</v>
      </c>
      <c r="J356" s="32"/>
      <c r="K356" s="33">
        <f t="shared" si="35"/>
        <v>0</v>
      </c>
      <c r="L356" s="67"/>
    </row>
    <row r="357" spans="1:12" x14ac:dyDescent="0.25">
      <c r="A357" s="21"/>
      <c r="B357" s="30"/>
      <c r="C357" s="30"/>
      <c r="D357" s="38"/>
      <c r="E357" s="8"/>
      <c r="F357" s="31" t="str">
        <f t="shared" si="32"/>
        <v xml:space="preserve">N/F  </v>
      </c>
      <c r="G357" s="42">
        <f t="shared" si="33"/>
        <v>0</v>
      </c>
      <c r="H357" s="9">
        <v>21</v>
      </c>
      <c r="I357" s="32">
        <f t="shared" si="34"/>
        <v>0</v>
      </c>
      <c r="J357" s="32"/>
      <c r="K357" s="33">
        <f t="shared" si="35"/>
        <v>0</v>
      </c>
      <c r="L357" s="67"/>
    </row>
    <row r="358" spans="1:12" x14ac:dyDescent="0.25">
      <c r="A358" s="21"/>
      <c r="B358" s="30"/>
      <c r="C358" s="30"/>
      <c r="D358" s="38"/>
      <c r="E358" s="8"/>
      <c r="F358" s="31" t="str">
        <f t="shared" si="32"/>
        <v xml:space="preserve">N/F  </v>
      </c>
      <c r="G358" s="42">
        <f t="shared" si="33"/>
        <v>0</v>
      </c>
      <c r="H358" s="9">
        <v>21</v>
      </c>
      <c r="I358" s="32">
        <f t="shared" si="34"/>
        <v>0</v>
      </c>
      <c r="J358" s="32"/>
      <c r="K358" s="33">
        <f t="shared" si="35"/>
        <v>0</v>
      </c>
      <c r="L358" s="67"/>
    </row>
    <row r="359" spans="1:12" x14ac:dyDescent="0.25">
      <c r="A359" s="21"/>
      <c r="B359" s="30"/>
      <c r="C359" s="30"/>
      <c r="D359" s="38"/>
      <c r="E359" s="8"/>
      <c r="F359" s="31" t="str">
        <f t="shared" si="32"/>
        <v xml:space="preserve">N/F  </v>
      </c>
      <c r="G359" s="42">
        <f t="shared" si="33"/>
        <v>0</v>
      </c>
      <c r="H359" s="9">
        <v>21</v>
      </c>
      <c r="I359" s="32">
        <f t="shared" si="34"/>
        <v>0</v>
      </c>
      <c r="J359" s="32"/>
      <c r="K359" s="33">
        <f t="shared" si="35"/>
        <v>0</v>
      </c>
      <c r="L359" s="67"/>
    </row>
    <row r="360" spans="1:12" x14ac:dyDescent="0.25">
      <c r="A360" s="21"/>
      <c r="B360" s="30"/>
      <c r="C360" s="30"/>
      <c r="D360" s="38"/>
      <c r="E360" s="8"/>
      <c r="F360" s="31" t="str">
        <f t="shared" si="32"/>
        <v xml:space="preserve">N/F  </v>
      </c>
      <c r="G360" s="42">
        <f t="shared" si="33"/>
        <v>0</v>
      </c>
      <c r="H360" s="9">
        <v>21</v>
      </c>
      <c r="I360" s="32">
        <f t="shared" si="34"/>
        <v>0</v>
      </c>
      <c r="J360" s="32"/>
      <c r="K360" s="33">
        <f t="shared" si="35"/>
        <v>0</v>
      </c>
      <c r="L360" s="67"/>
    </row>
    <row r="361" spans="1:12" x14ac:dyDescent="0.25">
      <c r="A361" s="21"/>
      <c r="B361" s="30"/>
      <c r="C361" s="30"/>
      <c r="D361" s="38"/>
      <c r="E361" s="8"/>
      <c r="F361" s="31" t="str">
        <f t="shared" si="32"/>
        <v xml:space="preserve">N/F  </v>
      </c>
      <c r="G361" s="42">
        <f t="shared" si="33"/>
        <v>0</v>
      </c>
      <c r="H361" s="9">
        <v>21</v>
      </c>
      <c r="I361" s="32">
        <f t="shared" si="34"/>
        <v>0</v>
      </c>
      <c r="J361" s="32"/>
      <c r="K361" s="33">
        <f t="shared" si="35"/>
        <v>0</v>
      </c>
      <c r="L361" s="67"/>
    </row>
    <row r="362" spans="1:12" x14ac:dyDescent="0.25">
      <c r="A362" s="21"/>
      <c r="B362" s="30"/>
      <c r="C362" s="30"/>
      <c r="D362" s="38"/>
      <c r="E362" s="8"/>
      <c r="F362" s="31" t="str">
        <f t="shared" ref="F362:F425" si="36">"N/F "&amp;B362&amp;" "&amp;E362</f>
        <v xml:space="preserve">N/F  </v>
      </c>
      <c r="G362" s="42">
        <f t="shared" ref="G362:G425" si="37">+D362/1.21</f>
        <v>0</v>
      </c>
      <c r="H362" s="9">
        <v>21</v>
      </c>
      <c r="I362" s="32">
        <f t="shared" ref="I362:I425" si="38">+IF(G362&lt;&gt;0,G362*H362/100,0)</f>
        <v>0</v>
      </c>
      <c r="J362" s="32"/>
      <c r="K362" s="33">
        <f t="shared" ref="K362:K425" si="39">+G362+I362</f>
        <v>0</v>
      </c>
      <c r="L362" s="67"/>
    </row>
    <row r="363" spans="1:12" x14ac:dyDescent="0.25">
      <c r="A363" s="21"/>
      <c r="B363" s="30"/>
      <c r="C363" s="30"/>
      <c r="D363" s="38"/>
      <c r="E363" s="8"/>
      <c r="F363" s="31" t="str">
        <f t="shared" si="36"/>
        <v xml:space="preserve">N/F  </v>
      </c>
      <c r="G363" s="42">
        <f t="shared" si="37"/>
        <v>0</v>
      </c>
      <c r="H363" s="9">
        <v>21</v>
      </c>
      <c r="I363" s="32">
        <f t="shared" si="38"/>
        <v>0</v>
      </c>
      <c r="J363" s="32"/>
      <c r="K363" s="33">
        <f t="shared" si="39"/>
        <v>0</v>
      </c>
      <c r="L363" s="67"/>
    </row>
    <row r="364" spans="1:12" x14ac:dyDescent="0.25">
      <c r="A364" s="21"/>
      <c r="B364" s="30"/>
      <c r="C364" s="30"/>
      <c r="D364" s="38"/>
      <c r="E364" s="8"/>
      <c r="F364" s="31" t="str">
        <f t="shared" si="36"/>
        <v xml:space="preserve">N/F  </v>
      </c>
      <c r="G364" s="42">
        <f t="shared" si="37"/>
        <v>0</v>
      </c>
      <c r="H364" s="9">
        <v>21</v>
      </c>
      <c r="I364" s="32">
        <f t="shared" si="38"/>
        <v>0</v>
      </c>
      <c r="J364" s="32"/>
      <c r="K364" s="33">
        <f t="shared" si="39"/>
        <v>0</v>
      </c>
      <c r="L364" s="67"/>
    </row>
    <row r="365" spans="1:12" x14ac:dyDescent="0.25">
      <c r="A365" s="21"/>
      <c r="B365" s="30"/>
      <c r="C365" s="30"/>
      <c r="D365" s="38"/>
      <c r="E365" s="8"/>
      <c r="F365" s="31" t="str">
        <f t="shared" si="36"/>
        <v xml:space="preserve">N/F  </v>
      </c>
      <c r="G365" s="42">
        <f t="shared" si="37"/>
        <v>0</v>
      </c>
      <c r="H365" s="9">
        <v>21</v>
      </c>
      <c r="I365" s="32">
        <f t="shared" si="38"/>
        <v>0</v>
      </c>
      <c r="J365" s="32"/>
      <c r="K365" s="33">
        <f t="shared" si="39"/>
        <v>0</v>
      </c>
      <c r="L365" s="67"/>
    </row>
    <row r="366" spans="1:12" x14ac:dyDescent="0.25">
      <c r="A366" s="21"/>
      <c r="B366" s="30"/>
      <c r="C366" s="30"/>
      <c r="D366" s="38"/>
      <c r="E366" s="8"/>
      <c r="F366" s="31" t="str">
        <f t="shared" si="36"/>
        <v xml:space="preserve">N/F  </v>
      </c>
      <c r="G366" s="42">
        <f t="shared" si="37"/>
        <v>0</v>
      </c>
      <c r="H366" s="9">
        <v>21</v>
      </c>
      <c r="I366" s="32">
        <f t="shared" si="38"/>
        <v>0</v>
      </c>
      <c r="J366" s="32"/>
      <c r="K366" s="33">
        <f t="shared" si="39"/>
        <v>0</v>
      </c>
      <c r="L366" s="67"/>
    </row>
    <row r="367" spans="1:12" x14ac:dyDescent="0.25">
      <c r="A367" s="21"/>
      <c r="B367" s="30"/>
      <c r="C367" s="30"/>
      <c r="D367" s="38"/>
      <c r="E367" s="8"/>
      <c r="F367" s="31" t="str">
        <f t="shared" si="36"/>
        <v xml:space="preserve">N/F  </v>
      </c>
      <c r="G367" s="42">
        <f t="shared" si="37"/>
        <v>0</v>
      </c>
      <c r="H367" s="9">
        <v>21</v>
      </c>
      <c r="I367" s="32">
        <f t="shared" si="38"/>
        <v>0</v>
      </c>
      <c r="J367" s="32"/>
      <c r="K367" s="33">
        <f t="shared" si="39"/>
        <v>0</v>
      </c>
      <c r="L367" s="67"/>
    </row>
    <row r="368" spans="1:12" x14ac:dyDescent="0.25">
      <c r="A368" s="21"/>
      <c r="B368" s="30"/>
      <c r="C368" s="30"/>
      <c r="D368" s="38"/>
      <c r="E368" s="8"/>
      <c r="F368" s="31" t="str">
        <f t="shared" si="36"/>
        <v xml:space="preserve">N/F  </v>
      </c>
      <c r="G368" s="42">
        <f t="shared" si="37"/>
        <v>0</v>
      </c>
      <c r="H368" s="9">
        <v>21</v>
      </c>
      <c r="I368" s="32">
        <f t="shared" si="38"/>
        <v>0</v>
      </c>
      <c r="J368" s="32"/>
      <c r="K368" s="33">
        <f t="shared" si="39"/>
        <v>0</v>
      </c>
      <c r="L368" s="67"/>
    </row>
    <row r="369" spans="1:12" x14ac:dyDescent="0.25">
      <c r="A369" s="21"/>
      <c r="B369" s="30"/>
      <c r="C369" s="30"/>
      <c r="D369" s="38"/>
      <c r="E369" s="8"/>
      <c r="F369" s="31" t="str">
        <f t="shared" si="36"/>
        <v xml:space="preserve">N/F  </v>
      </c>
      <c r="G369" s="42">
        <f t="shared" si="37"/>
        <v>0</v>
      </c>
      <c r="H369" s="9">
        <v>21</v>
      </c>
      <c r="I369" s="32">
        <f t="shared" si="38"/>
        <v>0</v>
      </c>
      <c r="J369" s="32"/>
      <c r="K369" s="33">
        <f t="shared" si="39"/>
        <v>0</v>
      </c>
      <c r="L369" s="67"/>
    </row>
    <row r="370" spans="1:12" x14ac:dyDescent="0.25">
      <c r="A370" s="21"/>
      <c r="B370" s="30"/>
      <c r="C370" s="30"/>
      <c r="D370" s="38"/>
      <c r="E370" s="8"/>
      <c r="F370" s="31" t="str">
        <f t="shared" si="36"/>
        <v xml:space="preserve">N/F  </v>
      </c>
      <c r="G370" s="42">
        <f t="shared" si="37"/>
        <v>0</v>
      </c>
      <c r="H370" s="9">
        <v>21</v>
      </c>
      <c r="I370" s="32">
        <f t="shared" si="38"/>
        <v>0</v>
      </c>
      <c r="J370" s="32"/>
      <c r="K370" s="33">
        <f t="shared" si="39"/>
        <v>0</v>
      </c>
      <c r="L370" s="67"/>
    </row>
    <row r="371" spans="1:12" x14ac:dyDescent="0.25">
      <c r="A371" s="21"/>
      <c r="B371" s="30"/>
      <c r="C371" s="30"/>
      <c r="D371" s="38"/>
      <c r="E371" s="8"/>
      <c r="F371" s="31" t="str">
        <f t="shared" si="36"/>
        <v xml:space="preserve">N/F  </v>
      </c>
      <c r="G371" s="42">
        <f t="shared" si="37"/>
        <v>0</v>
      </c>
      <c r="H371" s="9">
        <v>21</v>
      </c>
      <c r="I371" s="32">
        <f t="shared" si="38"/>
        <v>0</v>
      </c>
      <c r="J371" s="32"/>
      <c r="K371" s="33">
        <f t="shared" si="39"/>
        <v>0</v>
      </c>
      <c r="L371" s="67"/>
    </row>
    <row r="372" spans="1:12" x14ac:dyDescent="0.25">
      <c r="A372" s="21"/>
      <c r="B372" s="30"/>
      <c r="C372" s="30"/>
      <c r="D372" s="38"/>
      <c r="E372" s="8"/>
      <c r="F372" s="31" t="str">
        <f t="shared" si="36"/>
        <v xml:space="preserve">N/F  </v>
      </c>
      <c r="G372" s="42">
        <f t="shared" si="37"/>
        <v>0</v>
      </c>
      <c r="H372" s="9">
        <v>21</v>
      </c>
      <c r="I372" s="32">
        <f t="shared" si="38"/>
        <v>0</v>
      </c>
      <c r="J372" s="32"/>
      <c r="K372" s="33">
        <f t="shared" si="39"/>
        <v>0</v>
      </c>
      <c r="L372" s="67"/>
    </row>
    <row r="373" spans="1:12" x14ac:dyDescent="0.25">
      <c r="A373" s="21"/>
      <c r="B373" s="30"/>
      <c r="C373" s="30"/>
      <c r="D373" s="38"/>
      <c r="E373" s="8"/>
      <c r="F373" s="31" t="str">
        <f t="shared" si="36"/>
        <v xml:space="preserve">N/F  </v>
      </c>
      <c r="G373" s="42">
        <f t="shared" si="37"/>
        <v>0</v>
      </c>
      <c r="H373" s="9">
        <v>21</v>
      </c>
      <c r="I373" s="32">
        <f t="shared" si="38"/>
        <v>0</v>
      </c>
      <c r="J373" s="32"/>
      <c r="K373" s="33">
        <f t="shared" si="39"/>
        <v>0</v>
      </c>
      <c r="L373" s="67"/>
    </row>
    <row r="374" spans="1:12" x14ac:dyDescent="0.25">
      <c r="A374" s="21"/>
      <c r="B374" s="30"/>
      <c r="C374" s="30"/>
      <c r="D374" s="38"/>
      <c r="E374" s="8"/>
      <c r="F374" s="31" t="str">
        <f t="shared" si="36"/>
        <v xml:space="preserve">N/F  </v>
      </c>
      <c r="G374" s="42">
        <f t="shared" si="37"/>
        <v>0</v>
      </c>
      <c r="H374" s="9">
        <v>21</v>
      </c>
      <c r="I374" s="32">
        <f t="shared" si="38"/>
        <v>0</v>
      </c>
      <c r="J374" s="32"/>
      <c r="K374" s="33">
        <f t="shared" si="39"/>
        <v>0</v>
      </c>
      <c r="L374" s="67"/>
    </row>
    <row r="375" spans="1:12" x14ac:dyDescent="0.25">
      <c r="A375" s="21"/>
      <c r="B375" s="30"/>
      <c r="C375" s="30"/>
      <c r="D375" s="38"/>
      <c r="E375" s="8"/>
      <c r="F375" s="31" t="str">
        <f t="shared" si="36"/>
        <v xml:space="preserve">N/F  </v>
      </c>
      <c r="G375" s="42">
        <f t="shared" si="37"/>
        <v>0</v>
      </c>
      <c r="H375" s="9">
        <v>21</v>
      </c>
      <c r="I375" s="32">
        <f t="shared" si="38"/>
        <v>0</v>
      </c>
      <c r="J375" s="32"/>
      <c r="K375" s="33">
        <f t="shared" si="39"/>
        <v>0</v>
      </c>
      <c r="L375" s="67"/>
    </row>
    <row r="376" spans="1:12" x14ac:dyDescent="0.25">
      <c r="A376" s="21"/>
      <c r="B376" s="30"/>
      <c r="C376" s="30"/>
      <c r="D376" s="38"/>
      <c r="E376" s="8"/>
      <c r="F376" s="31" t="str">
        <f t="shared" si="36"/>
        <v xml:space="preserve">N/F  </v>
      </c>
      <c r="G376" s="42">
        <f t="shared" si="37"/>
        <v>0</v>
      </c>
      <c r="H376" s="9">
        <v>21</v>
      </c>
      <c r="I376" s="32">
        <f t="shared" si="38"/>
        <v>0</v>
      </c>
      <c r="J376" s="32"/>
      <c r="K376" s="33">
        <f t="shared" si="39"/>
        <v>0</v>
      </c>
      <c r="L376" s="67"/>
    </row>
    <row r="377" spans="1:12" x14ac:dyDescent="0.25">
      <c r="A377" s="21"/>
      <c r="B377" s="30"/>
      <c r="C377" s="30"/>
      <c r="D377" s="38"/>
      <c r="E377" s="8"/>
      <c r="F377" s="31" t="str">
        <f t="shared" si="36"/>
        <v xml:space="preserve">N/F  </v>
      </c>
      <c r="G377" s="42">
        <f t="shared" si="37"/>
        <v>0</v>
      </c>
      <c r="H377" s="9">
        <v>21</v>
      </c>
      <c r="I377" s="32">
        <f t="shared" si="38"/>
        <v>0</v>
      </c>
      <c r="J377" s="32"/>
      <c r="K377" s="33">
        <f t="shared" si="39"/>
        <v>0</v>
      </c>
      <c r="L377" s="67"/>
    </row>
    <row r="378" spans="1:12" x14ac:dyDescent="0.25">
      <c r="A378" s="21"/>
      <c r="B378" s="30"/>
      <c r="C378" s="30"/>
      <c r="D378" s="38"/>
      <c r="E378" s="8"/>
      <c r="F378" s="31" t="str">
        <f t="shared" si="36"/>
        <v xml:space="preserve">N/F  </v>
      </c>
      <c r="G378" s="42">
        <f t="shared" si="37"/>
        <v>0</v>
      </c>
      <c r="H378" s="9">
        <v>21</v>
      </c>
      <c r="I378" s="32">
        <f t="shared" si="38"/>
        <v>0</v>
      </c>
      <c r="J378" s="32"/>
      <c r="K378" s="33">
        <f t="shared" si="39"/>
        <v>0</v>
      </c>
      <c r="L378" s="67"/>
    </row>
    <row r="379" spans="1:12" x14ac:dyDescent="0.25">
      <c r="A379" s="21"/>
      <c r="B379" s="30"/>
      <c r="C379" s="30"/>
      <c r="D379" s="38"/>
      <c r="E379" s="8"/>
      <c r="F379" s="31" t="str">
        <f t="shared" si="36"/>
        <v xml:space="preserve">N/F  </v>
      </c>
      <c r="G379" s="42">
        <f t="shared" si="37"/>
        <v>0</v>
      </c>
      <c r="H379" s="9">
        <v>21</v>
      </c>
      <c r="I379" s="32">
        <f t="shared" si="38"/>
        <v>0</v>
      </c>
      <c r="J379" s="32"/>
      <c r="K379" s="33">
        <f t="shared" si="39"/>
        <v>0</v>
      </c>
      <c r="L379" s="67"/>
    </row>
    <row r="380" spans="1:12" x14ac:dyDescent="0.25">
      <c r="A380" s="21"/>
      <c r="B380" s="30"/>
      <c r="C380" s="30"/>
      <c r="D380" s="38"/>
      <c r="E380" s="8"/>
      <c r="F380" s="31" t="str">
        <f t="shared" si="36"/>
        <v xml:space="preserve">N/F  </v>
      </c>
      <c r="G380" s="42">
        <f t="shared" si="37"/>
        <v>0</v>
      </c>
      <c r="H380" s="9">
        <v>21</v>
      </c>
      <c r="I380" s="32">
        <f t="shared" si="38"/>
        <v>0</v>
      </c>
      <c r="J380" s="32"/>
      <c r="K380" s="33">
        <f t="shared" si="39"/>
        <v>0</v>
      </c>
      <c r="L380" s="67"/>
    </row>
    <row r="381" spans="1:12" x14ac:dyDescent="0.25">
      <c r="A381" s="21"/>
      <c r="B381" s="30"/>
      <c r="C381" s="30"/>
      <c r="D381" s="38"/>
      <c r="E381" s="8"/>
      <c r="F381" s="31" t="str">
        <f t="shared" si="36"/>
        <v xml:space="preserve">N/F  </v>
      </c>
      <c r="G381" s="42">
        <f t="shared" si="37"/>
        <v>0</v>
      </c>
      <c r="H381" s="9">
        <v>21</v>
      </c>
      <c r="I381" s="32">
        <f t="shared" si="38"/>
        <v>0</v>
      </c>
      <c r="J381" s="32"/>
      <c r="K381" s="33">
        <f t="shared" si="39"/>
        <v>0</v>
      </c>
      <c r="L381" s="67"/>
    </row>
    <row r="382" spans="1:12" x14ac:dyDescent="0.25">
      <c r="A382" s="21"/>
      <c r="B382" s="30"/>
      <c r="C382" s="30"/>
      <c r="D382" s="38"/>
      <c r="E382" s="8"/>
      <c r="F382" s="31" t="str">
        <f t="shared" si="36"/>
        <v xml:space="preserve">N/F  </v>
      </c>
      <c r="G382" s="42">
        <f t="shared" si="37"/>
        <v>0</v>
      </c>
      <c r="H382" s="9">
        <v>21</v>
      </c>
      <c r="I382" s="32">
        <f t="shared" si="38"/>
        <v>0</v>
      </c>
      <c r="J382" s="32"/>
      <c r="K382" s="33">
        <f t="shared" si="39"/>
        <v>0</v>
      </c>
      <c r="L382" s="67"/>
    </row>
    <row r="383" spans="1:12" x14ac:dyDescent="0.25">
      <c r="A383" s="21"/>
      <c r="B383" s="30"/>
      <c r="C383" s="30"/>
      <c r="D383" s="38"/>
      <c r="E383" s="8"/>
      <c r="F383" s="31" t="str">
        <f t="shared" si="36"/>
        <v xml:space="preserve">N/F  </v>
      </c>
      <c r="G383" s="42">
        <f t="shared" si="37"/>
        <v>0</v>
      </c>
      <c r="H383" s="9">
        <v>21</v>
      </c>
      <c r="I383" s="32">
        <f t="shared" si="38"/>
        <v>0</v>
      </c>
      <c r="J383" s="32"/>
      <c r="K383" s="33">
        <f t="shared" si="39"/>
        <v>0</v>
      </c>
      <c r="L383" s="67"/>
    </row>
    <row r="384" spans="1:12" x14ac:dyDescent="0.25">
      <c r="A384" s="21"/>
      <c r="B384" s="30"/>
      <c r="C384" s="30"/>
      <c r="D384" s="38"/>
      <c r="E384" s="8"/>
      <c r="F384" s="31" t="str">
        <f t="shared" si="36"/>
        <v xml:space="preserve">N/F  </v>
      </c>
      <c r="G384" s="42">
        <f t="shared" si="37"/>
        <v>0</v>
      </c>
      <c r="H384" s="9">
        <v>21</v>
      </c>
      <c r="I384" s="32">
        <f t="shared" si="38"/>
        <v>0</v>
      </c>
      <c r="J384" s="32"/>
      <c r="K384" s="33">
        <f t="shared" si="39"/>
        <v>0</v>
      </c>
      <c r="L384" s="67"/>
    </row>
    <row r="385" spans="1:12" x14ac:dyDescent="0.25">
      <c r="A385" s="21"/>
      <c r="B385" s="30"/>
      <c r="C385" s="30"/>
      <c r="D385" s="38"/>
      <c r="E385" s="8"/>
      <c r="F385" s="31" t="str">
        <f t="shared" si="36"/>
        <v xml:space="preserve">N/F  </v>
      </c>
      <c r="G385" s="42">
        <f t="shared" si="37"/>
        <v>0</v>
      </c>
      <c r="H385" s="9">
        <v>21</v>
      </c>
      <c r="I385" s="32">
        <f t="shared" si="38"/>
        <v>0</v>
      </c>
      <c r="J385" s="32"/>
      <c r="K385" s="33">
        <f t="shared" si="39"/>
        <v>0</v>
      </c>
      <c r="L385" s="67"/>
    </row>
    <row r="386" spans="1:12" x14ac:dyDescent="0.25">
      <c r="A386" s="21"/>
      <c r="B386" s="30"/>
      <c r="C386" s="30"/>
      <c r="D386" s="38"/>
      <c r="E386" s="8"/>
      <c r="F386" s="31" t="str">
        <f t="shared" si="36"/>
        <v xml:space="preserve">N/F  </v>
      </c>
      <c r="G386" s="42">
        <f t="shared" si="37"/>
        <v>0</v>
      </c>
      <c r="H386" s="9">
        <v>21</v>
      </c>
      <c r="I386" s="32">
        <f t="shared" si="38"/>
        <v>0</v>
      </c>
      <c r="J386" s="32"/>
      <c r="K386" s="33">
        <f t="shared" si="39"/>
        <v>0</v>
      </c>
      <c r="L386" s="67"/>
    </row>
    <row r="387" spans="1:12" x14ac:dyDescent="0.25">
      <c r="A387" s="21"/>
      <c r="B387" s="30"/>
      <c r="C387" s="30"/>
      <c r="D387" s="38"/>
      <c r="E387" s="8"/>
      <c r="F387" s="31" t="str">
        <f t="shared" si="36"/>
        <v xml:space="preserve">N/F  </v>
      </c>
      <c r="G387" s="42">
        <f t="shared" si="37"/>
        <v>0</v>
      </c>
      <c r="H387" s="9">
        <v>21</v>
      </c>
      <c r="I387" s="32">
        <f t="shared" si="38"/>
        <v>0</v>
      </c>
      <c r="J387" s="32"/>
      <c r="K387" s="33">
        <f t="shared" si="39"/>
        <v>0</v>
      </c>
      <c r="L387" s="67"/>
    </row>
    <row r="388" spans="1:12" x14ac:dyDescent="0.25">
      <c r="A388" s="21"/>
      <c r="B388" s="30"/>
      <c r="C388" s="30"/>
      <c r="D388" s="38"/>
      <c r="E388" s="8"/>
      <c r="F388" s="31" t="str">
        <f t="shared" si="36"/>
        <v xml:space="preserve">N/F  </v>
      </c>
      <c r="G388" s="42">
        <f t="shared" si="37"/>
        <v>0</v>
      </c>
      <c r="H388" s="9">
        <v>21</v>
      </c>
      <c r="I388" s="32">
        <f t="shared" si="38"/>
        <v>0</v>
      </c>
      <c r="J388" s="32"/>
      <c r="K388" s="33">
        <f t="shared" si="39"/>
        <v>0</v>
      </c>
      <c r="L388" s="67"/>
    </row>
    <row r="389" spans="1:12" x14ac:dyDescent="0.25">
      <c r="A389" s="21"/>
      <c r="B389" s="30"/>
      <c r="C389" s="30"/>
      <c r="D389" s="38"/>
      <c r="E389" s="8"/>
      <c r="F389" s="31" t="str">
        <f t="shared" si="36"/>
        <v xml:space="preserve">N/F  </v>
      </c>
      <c r="G389" s="42">
        <f t="shared" si="37"/>
        <v>0</v>
      </c>
      <c r="H389" s="9">
        <v>21</v>
      </c>
      <c r="I389" s="32">
        <f t="shared" si="38"/>
        <v>0</v>
      </c>
      <c r="J389" s="32"/>
      <c r="K389" s="33">
        <f t="shared" si="39"/>
        <v>0</v>
      </c>
      <c r="L389" s="67"/>
    </row>
    <row r="390" spans="1:12" x14ac:dyDescent="0.25">
      <c r="A390" s="21"/>
      <c r="B390" s="30"/>
      <c r="C390" s="30"/>
      <c r="D390" s="38"/>
      <c r="E390" s="8"/>
      <c r="F390" s="31" t="str">
        <f t="shared" si="36"/>
        <v xml:space="preserve">N/F  </v>
      </c>
      <c r="G390" s="42">
        <f t="shared" si="37"/>
        <v>0</v>
      </c>
      <c r="H390" s="9">
        <v>21</v>
      </c>
      <c r="I390" s="32">
        <f t="shared" si="38"/>
        <v>0</v>
      </c>
      <c r="J390" s="32"/>
      <c r="K390" s="33">
        <f t="shared" si="39"/>
        <v>0</v>
      </c>
      <c r="L390" s="67"/>
    </row>
    <row r="391" spans="1:12" x14ac:dyDescent="0.25">
      <c r="A391" s="21"/>
      <c r="B391" s="30"/>
      <c r="C391" s="30"/>
      <c r="D391" s="38"/>
      <c r="E391" s="8"/>
      <c r="F391" s="31" t="str">
        <f t="shared" si="36"/>
        <v xml:space="preserve">N/F  </v>
      </c>
      <c r="G391" s="42">
        <f t="shared" si="37"/>
        <v>0</v>
      </c>
      <c r="H391" s="9">
        <v>21</v>
      </c>
      <c r="I391" s="32">
        <f t="shared" si="38"/>
        <v>0</v>
      </c>
      <c r="J391" s="32"/>
      <c r="K391" s="33">
        <f t="shared" si="39"/>
        <v>0</v>
      </c>
      <c r="L391" s="67"/>
    </row>
    <row r="392" spans="1:12" x14ac:dyDescent="0.25">
      <c r="A392" s="21"/>
      <c r="B392" s="30"/>
      <c r="C392" s="30"/>
      <c r="D392" s="38"/>
      <c r="E392" s="8"/>
      <c r="F392" s="31" t="str">
        <f t="shared" si="36"/>
        <v xml:space="preserve">N/F  </v>
      </c>
      <c r="G392" s="42">
        <f t="shared" si="37"/>
        <v>0</v>
      </c>
      <c r="H392" s="9">
        <v>21</v>
      </c>
      <c r="I392" s="32">
        <f t="shared" si="38"/>
        <v>0</v>
      </c>
      <c r="J392" s="32"/>
      <c r="K392" s="33">
        <f t="shared" si="39"/>
        <v>0</v>
      </c>
      <c r="L392" s="67"/>
    </row>
    <row r="393" spans="1:12" x14ac:dyDescent="0.25">
      <c r="A393" s="21"/>
      <c r="B393" s="30"/>
      <c r="C393" s="30"/>
      <c r="D393" s="38"/>
      <c r="E393" s="8"/>
      <c r="F393" s="31" t="str">
        <f t="shared" si="36"/>
        <v xml:space="preserve">N/F  </v>
      </c>
      <c r="G393" s="42">
        <f t="shared" si="37"/>
        <v>0</v>
      </c>
      <c r="H393" s="9">
        <v>21</v>
      </c>
      <c r="I393" s="32">
        <f t="shared" si="38"/>
        <v>0</v>
      </c>
      <c r="J393" s="32"/>
      <c r="K393" s="33">
        <f t="shared" si="39"/>
        <v>0</v>
      </c>
      <c r="L393" s="67"/>
    </row>
    <row r="394" spans="1:12" x14ac:dyDescent="0.25">
      <c r="A394" s="21"/>
      <c r="B394" s="30"/>
      <c r="C394" s="30"/>
      <c r="D394" s="38"/>
      <c r="E394" s="8"/>
      <c r="F394" s="31" t="str">
        <f t="shared" si="36"/>
        <v xml:space="preserve">N/F  </v>
      </c>
      <c r="G394" s="42">
        <f t="shared" si="37"/>
        <v>0</v>
      </c>
      <c r="H394" s="9">
        <v>21</v>
      </c>
      <c r="I394" s="32">
        <f t="shared" si="38"/>
        <v>0</v>
      </c>
      <c r="J394" s="32"/>
      <c r="K394" s="33">
        <f t="shared" si="39"/>
        <v>0</v>
      </c>
      <c r="L394" s="67"/>
    </row>
    <row r="395" spans="1:12" x14ac:dyDescent="0.25">
      <c r="A395" s="21"/>
      <c r="B395" s="30"/>
      <c r="C395" s="30"/>
      <c r="D395" s="38"/>
      <c r="E395" s="8"/>
      <c r="F395" s="31" t="str">
        <f t="shared" si="36"/>
        <v xml:space="preserve">N/F  </v>
      </c>
      <c r="G395" s="42">
        <f t="shared" si="37"/>
        <v>0</v>
      </c>
      <c r="H395" s="9">
        <v>21</v>
      </c>
      <c r="I395" s="32">
        <f t="shared" si="38"/>
        <v>0</v>
      </c>
      <c r="J395" s="32"/>
      <c r="K395" s="33">
        <f t="shared" si="39"/>
        <v>0</v>
      </c>
      <c r="L395" s="67"/>
    </row>
    <row r="396" spans="1:12" x14ac:dyDescent="0.25">
      <c r="A396" s="21"/>
      <c r="B396" s="30"/>
      <c r="C396" s="30"/>
      <c r="D396" s="38"/>
      <c r="E396" s="8"/>
      <c r="F396" s="31" t="str">
        <f t="shared" si="36"/>
        <v xml:space="preserve">N/F  </v>
      </c>
      <c r="G396" s="42">
        <f t="shared" si="37"/>
        <v>0</v>
      </c>
      <c r="H396" s="9">
        <v>21</v>
      </c>
      <c r="I396" s="32">
        <f t="shared" si="38"/>
        <v>0</v>
      </c>
      <c r="J396" s="32"/>
      <c r="K396" s="33">
        <f t="shared" si="39"/>
        <v>0</v>
      </c>
      <c r="L396" s="67"/>
    </row>
    <row r="397" spans="1:12" x14ac:dyDescent="0.25">
      <c r="A397" s="21"/>
      <c r="B397" s="30"/>
      <c r="C397" s="30"/>
      <c r="D397" s="38"/>
      <c r="E397" s="8"/>
      <c r="F397" s="31" t="str">
        <f t="shared" si="36"/>
        <v xml:space="preserve">N/F  </v>
      </c>
      <c r="G397" s="42">
        <f t="shared" si="37"/>
        <v>0</v>
      </c>
      <c r="H397" s="9">
        <v>21</v>
      </c>
      <c r="I397" s="32">
        <f t="shared" si="38"/>
        <v>0</v>
      </c>
      <c r="J397" s="32"/>
      <c r="K397" s="33">
        <f t="shared" si="39"/>
        <v>0</v>
      </c>
      <c r="L397" s="67"/>
    </row>
    <row r="398" spans="1:12" x14ac:dyDescent="0.25">
      <c r="A398" s="21"/>
      <c r="B398" s="30"/>
      <c r="C398" s="30"/>
      <c r="D398" s="38"/>
      <c r="E398" s="8"/>
      <c r="F398" s="31" t="str">
        <f t="shared" si="36"/>
        <v xml:space="preserve">N/F  </v>
      </c>
      <c r="G398" s="42">
        <f t="shared" si="37"/>
        <v>0</v>
      </c>
      <c r="H398" s="9">
        <v>21</v>
      </c>
      <c r="I398" s="32">
        <f t="shared" si="38"/>
        <v>0</v>
      </c>
      <c r="J398" s="32"/>
      <c r="K398" s="33">
        <f t="shared" si="39"/>
        <v>0</v>
      </c>
      <c r="L398" s="67"/>
    </row>
    <row r="399" spans="1:12" x14ac:dyDescent="0.25">
      <c r="A399" s="21"/>
      <c r="B399" s="30"/>
      <c r="C399" s="30"/>
      <c r="D399" s="38"/>
      <c r="E399" s="8"/>
      <c r="F399" s="31" t="str">
        <f t="shared" si="36"/>
        <v xml:space="preserve">N/F  </v>
      </c>
      <c r="G399" s="42">
        <f t="shared" si="37"/>
        <v>0</v>
      </c>
      <c r="H399" s="9">
        <v>21</v>
      </c>
      <c r="I399" s="32">
        <f t="shared" si="38"/>
        <v>0</v>
      </c>
      <c r="J399" s="32"/>
      <c r="K399" s="33">
        <f t="shared" si="39"/>
        <v>0</v>
      </c>
      <c r="L399" s="67"/>
    </row>
    <row r="400" spans="1:12" x14ac:dyDescent="0.25">
      <c r="A400" s="21"/>
      <c r="B400" s="30"/>
      <c r="C400" s="30"/>
      <c r="D400" s="38"/>
      <c r="E400" s="8"/>
      <c r="F400" s="31" t="str">
        <f t="shared" si="36"/>
        <v xml:space="preserve">N/F  </v>
      </c>
      <c r="G400" s="42">
        <f t="shared" si="37"/>
        <v>0</v>
      </c>
      <c r="H400" s="9">
        <v>21</v>
      </c>
      <c r="I400" s="32">
        <f t="shared" si="38"/>
        <v>0</v>
      </c>
      <c r="J400" s="32"/>
      <c r="K400" s="33">
        <f t="shared" si="39"/>
        <v>0</v>
      </c>
      <c r="L400" s="67"/>
    </row>
    <row r="401" spans="1:12" x14ac:dyDescent="0.25">
      <c r="A401" s="21"/>
      <c r="B401" s="30"/>
      <c r="C401" s="30"/>
      <c r="D401" s="38"/>
      <c r="E401" s="8"/>
      <c r="F401" s="31" t="str">
        <f t="shared" si="36"/>
        <v xml:space="preserve">N/F  </v>
      </c>
      <c r="G401" s="42">
        <f t="shared" si="37"/>
        <v>0</v>
      </c>
      <c r="H401" s="9">
        <v>21</v>
      </c>
      <c r="I401" s="32">
        <f t="shared" si="38"/>
        <v>0</v>
      </c>
      <c r="J401" s="32"/>
      <c r="K401" s="33">
        <f t="shared" si="39"/>
        <v>0</v>
      </c>
      <c r="L401" s="67"/>
    </row>
    <row r="402" spans="1:12" x14ac:dyDescent="0.25">
      <c r="A402" s="21"/>
      <c r="B402" s="30"/>
      <c r="C402" s="30"/>
      <c r="D402" s="38"/>
      <c r="E402" s="8"/>
      <c r="F402" s="31" t="str">
        <f t="shared" si="36"/>
        <v xml:space="preserve">N/F  </v>
      </c>
      <c r="G402" s="42">
        <f t="shared" si="37"/>
        <v>0</v>
      </c>
      <c r="H402" s="9">
        <v>21</v>
      </c>
      <c r="I402" s="32">
        <f t="shared" si="38"/>
        <v>0</v>
      </c>
      <c r="J402" s="32"/>
      <c r="K402" s="33">
        <f t="shared" si="39"/>
        <v>0</v>
      </c>
      <c r="L402" s="67"/>
    </row>
    <row r="403" spans="1:12" x14ac:dyDescent="0.25">
      <c r="A403" s="21"/>
      <c r="B403" s="30"/>
      <c r="C403" s="30"/>
      <c r="D403" s="38"/>
      <c r="E403" s="8"/>
      <c r="F403" s="31" t="str">
        <f t="shared" si="36"/>
        <v xml:space="preserve">N/F  </v>
      </c>
      <c r="G403" s="42">
        <f t="shared" si="37"/>
        <v>0</v>
      </c>
      <c r="H403" s="9">
        <v>21</v>
      </c>
      <c r="I403" s="32">
        <f t="shared" si="38"/>
        <v>0</v>
      </c>
      <c r="J403" s="32"/>
      <c r="K403" s="33">
        <f t="shared" si="39"/>
        <v>0</v>
      </c>
      <c r="L403" s="67"/>
    </row>
    <row r="404" spans="1:12" x14ac:dyDescent="0.25">
      <c r="A404" s="21"/>
      <c r="B404" s="30"/>
      <c r="C404" s="30"/>
      <c r="D404" s="38"/>
      <c r="E404" s="8"/>
      <c r="F404" s="31" t="str">
        <f t="shared" si="36"/>
        <v xml:space="preserve">N/F  </v>
      </c>
      <c r="G404" s="42">
        <f t="shared" si="37"/>
        <v>0</v>
      </c>
      <c r="H404" s="9">
        <v>21</v>
      </c>
      <c r="I404" s="32">
        <f t="shared" si="38"/>
        <v>0</v>
      </c>
      <c r="J404" s="32"/>
      <c r="K404" s="33">
        <f t="shared" si="39"/>
        <v>0</v>
      </c>
      <c r="L404" s="67"/>
    </row>
    <row r="405" spans="1:12" x14ac:dyDescent="0.25">
      <c r="A405" s="21"/>
      <c r="B405" s="30"/>
      <c r="C405" s="30"/>
      <c r="D405" s="38"/>
      <c r="E405" s="8"/>
      <c r="F405" s="31" t="str">
        <f t="shared" si="36"/>
        <v xml:space="preserve">N/F  </v>
      </c>
      <c r="G405" s="42">
        <f t="shared" si="37"/>
        <v>0</v>
      </c>
      <c r="H405" s="9">
        <v>21</v>
      </c>
      <c r="I405" s="32">
        <f t="shared" si="38"/>
        <v>0</v>
      </c>
      <c r="J405" s="32"/>
      <c r="K405" s="33">
        <f t="shared" si="39"/>
        <v>0</v>
      </c>
      <c r="L405" s="67"/>
    </row>
    <row r="406" spans="1:12" x14ac:dyDescent="0.25">
      <c r="A406" s="21"/>
      <c r="B406" s="30"/>
      <c r="C406" s="30"/>
      <c r="D406" s="38"/>
      <c r="E406" s="8"/>
      <c r="F406" s="31" t="str">
        <f t="shared" si="36"/>
        <v xml:space="preserve">N/F  </v>
      </c>
      <c r="G406" s="42">
        <f t="shared" si="37"/>
        <v>0</v>
      </c>
      <c r="H406" s="9">
        <v>21</v>
      </c>
      <c r="I406" s="32">
        <f t="shared" si="38"/>
        <v>0</v>
      </c>
      <c r="J406" s="32"/>
      <c r="K406" s="33">
        <f t="shared" si="39"/>
        <v>0</v>
      </c>
      <c r="L406" s="67"/>
    </row>
    <row r="407" spans="1:12" x14ac:dyDescent="0.25">
      <c r="A407" s="21"/>
      <c r="B407" s="30"/>
      <c r="C407" s="30"/>
      <c r="D407" s="38"/>
      <c r="E407" s="8"/>
      <c r="F407" s="31" t="str">
        <f t="shared" si="36"/>
        <v xml:space="preserve">N/F  </v>
      </c>
      <c r="G407" s="42">
        <f t="shared" si="37"/>
        <v>0</v>
      </c>
      <c r="H407" s="9">
        <v>21</v>
      </c>
      <c r="I407" s="32">
        <f t="shared" si="38"/>
        <v>0</v>
      </c>
      <c r="J407" s="32"/>
      <c r="K407" s="33">
        <f t="shared" si="39"/>
        <v>0</v>
      </c>
      <c r="L407" s="67"/>
    </row>
    <row r="408" spans="1:12" x14ac:dyDescent="0.25">
      <c r="A408" s="21"/>
      <c r="B408" s="30"/>
      <c r="C408" s="30"/>
      <c r="D408" s="38"/>
      <c r="E408" s="8"/>
      <c r="F408" s="31" t="str">
        <f t="shared" si="36"/>
        <v xml:space="preserve">N/F  </v>
      </c>
      <c r="G408" s="42">
        <f t="shared" si="37"/>
        <v>0</v>
      </c>
      <c r="H408" s="9">
        <v>21</v>
      </c>
      <c r="I408" s="32">
        <f t="shared" si="38"/>
        <v>0</v>
      </c>
      <c r="J408" s="32"/>
      <c r="K408" s="33">
        <f t="shared" si="39"/>
        <v>0</v>
      </c>
      <c r="L408" s="67"/>
    </row>
    <row r="409" spans="1:12" x14ac:dyDescent="0.25">
      <c r="A409" s="21"/>
      <c r="B409" s="30"/>
      <c r="C409" s="30"/>
      <c r="D409" s="38"/>
      <c r="E409" s="8"/>
      <c r="F409" s="31" t="str">
        <f t="shared" si="36"/>
        <v xml:space="preserve">N/F  </v>
      </c>
      <c r="G409" s="42">
        <f t="shared" si="37"/>
        <v>0</v>
      </c>
      <c r="H409" s="9">
        <v>21</v>
      </c>
      <c r="I409" s="32">
        <f t="shared" si="38"/>
        <v>0</v>
      </c>
      <c r="J409" s="32"/>
      <c r="K409" s="33">
        <f t="shared" si="39"/>
        <v>0</v>
      </c>
      <c r="L409" s="67"/>
    </row>
    <row r="410" spans="1:12" x14ac:dyDescent="0.25">
      <c r="A410" s="21"/>
      <c r="B410" s="30"/>
      <c r="C410" s="30"/>
      <c r="D410" s="38"/>
      <c r="E410" s="8"/>
      <c r="F410" s="31" t="str">
        <f t="shared" si="36"/>
        <v xml:space="preserve">N/F  </v>
      </c>
      <c r="G410" s="42">
        <f t="shared" si="37"/>
        <v>0</v>
      </c>
      <c r="H410" s="9">
        <v>21</v>
      </c>
      <c r="I410" s="32">
        <f t="shared" si="38"/>
        <v>0</v>
      </c>
      <c r="J410" s="32"/>
      <c r="K410" s="33">
        <f t="shared" si="39"/>
        <v>0</v>
      </c>
      <c r="L410" s="67"/>
    </row>
    <row r="411" spans="1:12" x14ac:dyDescent="0.25">
      <c r="A411" s="21"/>
      <c r="B411" s="30"/>
      <c r="C411" s="30"/>
      <c r="D411" s="38"/>
      <c r="E411" s="8"/>
      <c r="F411" s="31" t="str">
        <f t="shared" si="36"/>
        <v xml:space="preserve">N/F  </v>
      </c>
      <c r="G411" s="42">
        <f t="shared" si="37"/>
        <v>0</v>
      </c>
      <c r="H411" s="9">
        <v>21</v>
      </c>
      <c r="I411" s="32">
        <f t="shared" si="38"/>
        <v>0</v>
      </c>
      <c r="J411" s="32"/>
      <c r="K411" s="33">
        <f t="shared" si="39"/>
        <v>0</v>
      </c>
      <c r="L411" s="67"/>
    </row>
    <row r="412" spans="1:12" x14ac:dyDescent="0.25">
      <c r="A412" s="21"/>
      <c r="B412" s="30"/>
      <c r="C412" s="30"/>
      <c r="D412" s="38"/>
      <c r="E412" s="8"/>
      <c r="F412" s="31" t="str">
        <f t="shared" si="36"/>
        <v xml:space="preserve">N/F  </v>
      </c>
      <c r="G412" s="42">
        <f t="shared" si="37"/>
        <v>0</v>
      </c>
      <c r="H412" s="9">
        <v>21</v>
      </c>
      <c r="I412" s="32">
        <f t="shared" si="38"/>
        <v>0</v>
      </c>
      <c r="J412" s="32"/>
      <c r="K412" s="33">
        <f t="shared" si="39"/>
        <v>0</v>
      </c>
      <c r="L412" s="67"/>
    </row>
    <row r="413" spans="1:12" x14ac:dyDescent="0.25">
      <c r="A413" s="21"/>
      <c r="B413" s="30"/>
      <c r="C413" s="30"/>
      <c r="D413" s="38"/>
      <c r="E413" s="8"/>
      <c r="F413" s="31" t="str">
        <f t="shared" si="36"/>
        <v xml:space="preserve">N/F  </v>
      </c>
      <c r="G413" s="42">
        <f t="shared" si="37"/>
        <v>0</v>
      </c>
      <c r="H413" s="9">
        <v>21</v>
      </c>
      <c r="I413" s="32">
        <f t="shared" si="38"/>
        <v>0</v>
      </c>
      <c r="J413" s="32"/>
      <c r="K413" s="33">
        <f t="shared" si="39"/>
        <v>0</v>
      </c>
      <c r="L413" s="67"/>
    </row>
    <row r="414" spans="1:12" x14ac:dyDescent="0.25">
      <c r="A414" s="21"/>
      <c r="B414" s="30"/>
      <c r="C414" s="30"/>
      <c r="D414" s="38"/>
      <c r="E414" s="8"/>
      <c r="F414" s="31" t="str">
        <f t="shared" si="36"/>
        <v xml:space="preserve">N/F  </v>
      </c>
      <c r="G414" s="42">
        <f t="shared" si="37"/>
        <v>0</v>
      </c>
      <c r="H414" s="9">
        <v>21</v>
      </c>
      <c r="I414" s="32">
        <f t="shared" si="38"/>
        <v>0</v>
      </c>
      <c r="J414" s="32"/>
      <c r="K414" s="33">
        <f t="shared" si="39"/>
        <v>0</v>
      </c>
      <c r="L414" s="67"/>
    </row>
    <row r="415" spans="1:12" x14ac:dyDescent="0.25">
      <c r="A415" s="21"/>
      <c r="B415" s="30"/>
      <c r="C415" s="30"/>
      <c r="D415" s="38"/>
      <c r="E415" s="8"/>
      <c r="F415" s="31" t="str">
        <f t="shared" si="36"/>
        <v xml:space="preserve">N/F  </v>
      </c>
      <c r="G415" s="42">
        <f t="shared" si="37"/>
        <v>0</v>
      </c>
      <c r="H415" s="9">
        <v>21</v>
      </c>
      <c r="I415" s="32">
        <f t="shared" si="38"/>
        <v>0</v>
      </c>
      <c r="J415" s="32"/>
      <c r="K415" s="33">
        <f t="shared" si="39"/>
        <v>0</v>
      </c>
      <c r="L415" s="67"/>
    </row>
    <row r="416" spans="1:12" x14ac:dyDescent="0.25">
      <c r="A416" s="21"/>
      <c r="B416" s="30"/>
      <c r="C416" s="30"/>
      <c r="D416" s="38"/>
      <c r="E416" s="8"/>
      <c r="F416" s="31" t="str">
        <f t="shared" si="36"/>
        <v xml:space="preserve">N/F  </v>
      </c>
      <c r="G416" s="42">
        <f t="shared" si="37"/>
        <v>0</v>
      </c>
      <c r="H416" s="9">
        <v>21</v>
      </c>
      <c r="I416" s="32">
        <f t="shared" si="38"/>
        <v>0</v>
      </c>
      <c r="J416" s="32"/>
      <c r="K416" s="33">
        <f t="shared" si="39"/>
        <v>0</v>
      </c>
      <c r="L416" s="67"/>
    </row>
    <row r="417" spans="1:12" x14ac:dyDescent="0.25">
      <c r="A417" s="21"/>
      <c r="B417" s="30"/>
      <c r="C417" s="30"/>
      <c r="D417" s="38"/>
      <c r="E417" s="8"/>
      <c r="F417" s="31" t="str">
        <f t="shared" si="36"/>
        <v xml:space="preserve">N/F  </v>
      </c>
      <c r="G417" s="42">
        <f t="shared" si="37"/>
        <v>0</v>
      </c>
      <c r="H417" s="9">
        <v>21</v>
      </c>
      <c r="I417" s="32">
        <f t="shared" si="38"/>
        <v>0</v>
      </c>
      <c r="J417" s="32"/>
      <c r="K417" s="33">
        <f t="shared" si="39"/>
        <v>0</v>
      </c>
      <c r="L417" s="67"/>
    </row>
    <row r="418" spans="1:12" x14ac:dyDescent="0.25">
      <c r="A418" s="21"/>
      <c r="B418" s="30"/>
      <c r="C418" s="30"/>
      <c r="D418" s="38"/>
      <c r="E418" s="8"/>
      <c r="F418" s="31" t="str">
        <f t="shared" si="36"/>
        <v xml:space="preserve">N/F  </v>
      </c>
      <c r="G418" s="42">
        <f t="shared" si="37"/>
        <v>0</v>
      </c>
      <c r="H418" s="9">
        <v>21</v>
      </c>
      <c r="I418" s="32">
        <f t="shared" si="38"/>
        <v>0</v>
      </c>
      <c r="J418" s="32"/>
      <c r="K418" s="33">
        <f t="shared" si="39"/>
        <v>0</v>
      </c>
      <c r="L418" s="67"/>
    </row>
    <row r="419" spans="1:12" x14ac:dyDescent="0.25">
      <c r="A419" s="21"/>
      <c r="B419" s="30"/>
      <c r="C419" s="30"/>
      <c r="D419" s="38"/>
      <c r="E419" s="8"/>
      <c r="F419" s="31" t="str">
        <f t="shared" si="36"/>
        <v xml:space="preserve">N/F  </v>
      </c>
      <c r="G419" s="42">
        <f t="shared" si="37"/>
        <v>0</v>
      </c>
      <c r="H419" s="9">
        <v>21</v>
      </c>
      <c r="I419" s="32">
        <f t="shared" si="38"/>
        <v>0</v>
      </c>
      <c r="J419" s="32"/>
      <c r="K419" s="33">
        <f t="shared" si="39"/>
        <v>0</v>
      </c>
      <c r="L419" s="67"/>
    </row>
    <row r="420" spans="1:12" x14ac:dyDescent="0.25">
      <c r="A420" s="21"/>
      <c r="B420" s="30"/>
      <c r="C420" s="30"/>
      <c r="D420" s="38"/>
      <c r="E420" s="8"/>
      <c r="F420" s="31" t="str">
        <f t="shared" si="36"/>
        <v xml:space="preserve">N/F  </v>
      </c>
      <c r="G420" s="42">
        <f t="shared" si="37"/>
        <v>0</v>
      </c>
      <c r="H420" s="9">
        <v>21</v>
      </c>
      <c r="I420" s="32">
        <f t="shared" si="38"/>
        <v>0</v>
      </c>
      <c r="J420" s="32"/>
      <c r="K420" s="33">
        <f t="shared" si="39"/>
        <v>0</v>
      </c>
      <c r="L420" s="67"/>
    </row>
    <row r="421" spans="1:12" x14ac:dyDescent="0.25">
      <c r="A421" s="21"/>
      <c r="B421" s="30"/>
      <c r="C421" s="30"/>
      <c r="D421" s="38"/>
      <c r="E421" s="8"/>
      <c r="F421" s="31" t="str">
        <f t="shared" si="36"/>
        <v xml:space="preserve">N/F  </v>
      </c>
      <c r="G421" s="42">
        <f t="shared" si="37"/>
        <v>0</v>
      </c>
      <c r="H421" s="9">
        <v>21</v>
      </c>
      <c r="I421" s="32">
        <f t="shared" si="38"/>
        <v>0</v>
      </c>
      <c r="J421" s="32"/>
      <c r="K421" s="33">
        <f t="shared" si="39"/>
        <v>0</v>
      </c>
      <c r="L421" s="67"/>
    </row>
    <row r="422" spans="1:12" x14ac:dyDescent="0.25">
      <c r="A422" s="21"/>
      <c r="B422" s="30"/>
      <c r="C422" s="30"/>
      <c r="D422" s="38"/>
      <c r="E422" s="8"/>
      <c r="F422" s="31" t="str">
        <f t="shared" si="36"/>
        <v xml:space="preserve">N/F  </v>
      </c>
      <c r="G422" s="42">
        <f t="shared" si="37"/>
        <v>0</v>
      </c>
      <c r="H422" s="9">
        <v>21</v>
      </c>
      <c r="I422" s="32">
        <f t="shared" si="38"/>
        <v>0</v>
      </c>
      <c r="J422" s="32"/>
      <c r="K422" s="33">
        <f t="shared" si="39"/>
        <v>0</v>
      </c>
      <c r="L422" s="67"/>
    </row>
    <row r="423" spans="1:12" x14ac:dyDescent="0.25">
      <c r="A423" s="21"/>
      <c r="B423" s="30"/>
      <c r="C423" s="30"/>
      <c r="D423" s="38"/>
      <c r="E423" s="8"/>
      <c r="F423" s="31" t="str">
        <f t="shared" si="36"/>
        <v xml:space="preserve">N/F  </v>
      </c>
      <c r="G423" s="42">
        <f t="shared" si="37"/>
        <v>0</v>
      </c>
      <c r="H423" s="9">
        <v>21</v>
      </c>
      <c r="I423" s="32">
        <f t="shared" si="38"/>
        <v>0</v>
      </c>
      <c r="J423" s="32"/>
      <c r="K423" s="33">
        <f t="shared" si="39"/>
        <v>0</v>
      </c>
      <c r="L423" s="67"/>
    </row>
    <row r="424" spans="1:12" x14ac:dyDescent="0.25">
      <c r="A424" s="21"/>
      <c r="B424" s="30"/>
      <c r="C424" s="30"/>
      <c r="D424" s="38"/>
      <c r="E424" s="8"/>
      <c r="F424" s="31" t="str">
        <f t="shared" si="36"/>
        <v xml:space="preserve">N/F  </v>
      </c>
      <c r="G424" s="42">
        <f t="shared" si="37"/>
        <v>0</v>
      </c>
      <c r="H424" s="9">
        <v>21</v>
      </c>
      <c r="I424" s="32">
        <f t="shared" si="38"/>
        <v>0</v>
      </c>
      <c r="J424" s="32"/>
      <c r="K424" s="33">
        <f t="shared" si="39"/>
        <v>0</v>
      </c>
      <c r="L424" s="67"/>
    </row>
    <row r="425" spans="1:12" x14ac:dyDescent="0.25">
      <c r="A425" s="21"/>
      <c r="B425" s="30"/>
      <c r="C425" s="30"/>
      <c r="D425" s="38"/>
      <c r="E425" s="8"/>
      <c r="F425" s="31" t="str">
        <f t="shared" si="36"/>
        <v xml:space="preserve">N/F  </v>
      </c>
      <c r="G425" s="42">
        <f t="shared" si="37"/>
        <v>0</v>
      </c>
      <c r="H425" s="9">
        <v>21</v>
      </c>
      <c r="I425" s="32">
        <f t="shared" si="38"/>
        <v>0</v>
      </c>
      <c r="J425" s="32"/>
      <c r="K425" s="33">
        <f t="shared" si="39"/>
        <v>0</v>
      </c>
      <c r="L425" s="67"/>
    </row>
    <row r="426" spans="1:12" x14ac:dyDescent="0.25">
      <c r="A426" s="21"/>
      <c r="B426" s="30"/>
      <c r="C426" s="30"/>
      <c r="D426" s="38"/>
      <c r="E426" s="8"/>
      <c r="F426" s="31" t="str">
        <f t="shared" ref="F426:F489" si="40">"N/F "&amp;B426&amp;" "&amp;E426</f>
        <v xml:space="preserve">N/F  </v>
      </c>
      <c r="G426" s="42">
        <f t="shared" ref="G426:G489" si="41">+D426/1.21</f>
        <v>0</v>
      </c>
      <c r="H426" s="9">
        <v>21</v>
      </c>
      <c r="I426" s="32">
        <f t="shared" ref="I426:I489" si="42">+IF(G426&lt;&gt;0,G426*H426/100,0)</f>
        <v>0</v>
      </c>
      <c r="J426" s="32"/>
      <c r="K426" s="33">
        <f t="shared" ref="K426:K489" si="43">+G426+I426</f>
        <v>0</v>
      </c>
      <c r="L426" s="67"/>
    </row>
    <row r="427" spans="1:12" x14ac:dyDescent="0.25">
      <c r="A427" s="21"/>
      <c r="B427" s="30"/>
      <c r="C427" s="30"/>
      <c r="D427" s="38"/>
      <c r="E427" s="8"/>
      <c r="F427" s="31" t="str">
        <f t="shared" si="40"/>
        <v xml:space="preserve">N/F  </v>
      </c>
      <c r="G427" s="42">
        <f t="shared" si="41"/>
        <v>0</v>
      </c>
      <c r="H427" s="9">
        <v>21</v>
      </c>
      <c r="I427" s="32">
        <f t="shared" si="42"/>
        <v>0</v>
      </c>
      <c r="J427" s="32"/>
      <c r="K427" s="33">
        <f t="shared" si="43"/>
        <v>0</v>
      </c>
      <c r="L427" s="67"/>
    </row>
    <row r="428" spans="1:12" x14ac:dyDescent="0.25">
      <c r="A428" s="21"/>
      <c r="B428" s="30"/>
      <c r="C428" s="30"/>
      <c r="D428" s="38"/>
      <c r="E428" s="8"/>
      <c r="F428" s="31" t="str">
        <f t="shared" si="40"/>
        <v xml:space="preserve">N/F  </v>
      </c>
      <c r="G428" s="42">
        <f t="shared" si="41"/>
        <v>0</v>
      </c>
      <c r="H428" s="9">
        <v>21</v>
      </c>
      <c r="I428" s="32">
        <f t="shared" si="42"/>
        <v>0</v>
      </c>
      <c r="J428" s="32"/>
      <c r="K428" s="33">
        <f t="shared" si="43"/>
        <v>0</v>
      </c>
      <c r="L428" s="67"/>
    </row>
    <row r="429" spans="1:12" x14ac:dyDescent="0.25">
      <c r="A429" s="21"/>
      <c r="B429" s="30"/>
      <c r="C429" s="30"/>
      <c r="D429" s="38"/>
      <c r="E429" s="8"/>
      <c r="F429" s="31" t="str">
        <f t="shared" si="40"/>
        <v xml:space="preserve">N/F  </v>
      </c>
      <c r="G429" s="42">
        <f t="shared" si="41"/>
        <v>0</v>
      </c>
      <c r="H429" s="9">
        <v>21</v>
      </c>
      <c r="I429" s="32">
        <f t="shared" si="42"/>
        <v>0</v>
      </c>
      <c r="J429" s="32"/>
      <c r="K429" s="33">
        <f t="shared" si="43"/>
        <v>0</v>
      </c>
      <c r="L429" s="67"/>
    </row>
    <row r="430" spans="1:12" x14ac:dyDescent="0.25">
      <c r="A430" s="21"/>
      <c r="B430" s="30"/>
      <c r="C430" s="30"/>
      <c r="D430" s="38"/>
      <c r="E430" s="8"/>
      <c r="F430" s="31" t="str">
        <f t="shared" si="40"/>
        <v xml:space="preserve">N/F  </v>
      </c>
      <c r="G430" s="42">
        <f t="shared" si="41"/>
        <v>0</v>
      </c>
      <c r="H430" s="9">
        <v>21</v>
      </c>
      <c r="I430" s="32">
        <f t="shared" si="42"/>
        <v>0</v>
      </c>
      <c r="J430" s="32"/>
      <c r="K430" s="33">
        <f t="shared" si="43"/>
        <v>0</v>
      </c>
      <c r="L430" s="67"/>
    </row>
    <row r="431" spans="1:12" x14ac:dyDescent="0.25">
      <c r="A431" s="21"/>
      <c r="B431" s="30"/>
      <c r="C431" s="30"/>
      <c r="D431" s="38"/>
      <c r="E431" s="8"/>
      <c r="F431" s="31" t="str">
        <f t="shared" si="40"/>
        <v xml:space="preserve">N/F  </v>
      </c>
      <c r="G431" s="42">
        <f t="shared" si="41"/>
        <v>0</v>
      </c>
      <c r="H431" s="9">
        <v>21</v>
      </c>
      <c r="I431" s="32">
        <f t="shared" si="42"/>
        <v>0</v>
      </c>
      <c r="J431" s="32"/>
      <c r="K431" s="33">
        <f t="shared" si="43"/>
        <v>0</v>
      </c>
      <c r="L431" s="67"/>
    </row>
    <row r="432" spans="1:12" x14ac:dyDescent="0.25">
      <c r="A432" s="21"/>
      <c r="B432" s="30"/>
      <c r="C432" s="30"/>
      <c r="D432" s="38"/>
      <c r="E432" s="8"/>
      <c r="F432" s="31" t="str">
        <f t="shared" si="40"/>
        <v xml:space="preserve">N/F  </v>
      </c>
      <c r="G432" s="42">
        <f t="shared" si="41"/>
        <v>0</v>
      </c>
      <c r="H432" s="9">
        <v>21</v>
      </c>
      <c r="I432" s="32">
        <f t="shared" si="42"/>
        <v>0</v>
      </c>
      <c r="J432" s="32"/>
      <c r="K432" s="33">
        <f t="shared" si="43"/>
        <v>0</v>
      </c>
      <c r="L432" s="67"/>
    </row>
    <row r="433" spans="1:12" x14ac:dyDescent="0.25">
      <c r="A433" s="21"/>
      <c r="B433" s="30"/>
      <c r="C433" s="30"/>
      <c r="D433" s="38"/>
      <c r="E433" s="8"/>
      <c r="F433" s="31" t="str">
        <f t="shared" si="40"/>
        <v xml:space="preserve">N/F  </v>
      </c>
      <c r="G433" s="42">
        <f t="shared" si="41"/>
        <v>0</v>
      </c>
      <c r="H433" s="9">
        <v>21</v>
      </c>
      <c r="I433" s="32">
        <f t="shared" si="42"/>
        <v>0</v>
      </c>
      <c r="J433" s="32"/>
      <c r="K433" s="33">
        <f t="shared" si="43"/>
        <v>0</v>
      </c>
      <c r="L433" s="67"/>
    </row>
    <row r="434" spans="1:12" x14ac:dyDescent="0.25">
      <c r="A434" s="21"/>
      <c r="B434" s="30"/>
      <c r="C434" s="30"/>
      <c r="D434" s="38"/>
      <c r="E434" s="8"/>
      <c r="F434" s="31" t="str">
        <f t="shared" si="40"/>
        <v xml:space="preserve">N/F  </v>
      </c>
      <c r="G434" s="42">
        <f t="shared" si="41"/>
        <v>0</v>
      </c>
      <c r="H434" s="9">
        <v>21</v>
      </c>
      <c r="I434" s="32">
        <f t="shared" si="42"/>
        <v>0</v>
      </c>
      <c r="J434" s="32"/>
      <c r="K434" s="33">
        <f t="shared" si="43"/>
        <v>0</v>
      </c>
      <c r="L434" s="67"/>
    </row>
    <row r="435" spans="1:12" x14ac:dyDescent="0.25">
      <c r="A435" s="21"/>
      <c r="B435" s="30"/>
      <c r="C435" s="30"/>
      <c r="D435" s="38"/>
      <c r="E435" s="8"/>
      <c r="F435" s="31" t="str">
        <f t="shared" si="40"/>
        <v xml:space="preserve">N/F  </v>
      </c>
      <c r="G435" s="42">
        <f t="shared" si="41"/>
        <v>0</v>
      </c>
      <c r="H435" s="9">
        <v>21</v>
      </c>
      <c r="I435" s="32">
        <f t="shared" si="42"/>
        <v>0</v>
      </c>
      <c r="J435" s="32"/>
      <c r="K435" s="33">
        <f t="shared" si="43"/>
        <v>0</v>
      </c>
      <c r="L435" s="67"/>
    </row>
    <row r="436" spans="1:12" x14ac:dyDescent="0.25">
      <c r="A436" s="21"/>
      <c r="B436" s="30"/>
      <c r="C436" s="30"/>
      <c r="D436" s="38"/>
      <c r="E436" s="8"/>
      <c r="F436" s="31" t="str">
        <f t="shared" si="40"/>
        <v xml:space="preserve">N/F  </v>
      </c>
      <c r="G436" s="42">
        <f t="shared" si="41"/>
        <v>0</v>
      </c>
      <c r="H436" s="9">
        <v>21</v>
      </c>
      <c r="I436" s="32">
        <f t="shared" si="42"/>
        <v>0</v>
      </c>
      <c r="J436" s="32"/>
      <c r="K436" s="33">
        <f t="shared" si="43"/>
        <v>0</v>
      </c>
      <c r="L436" s="67"/>
    </row>
    <row r="437" spans="1:12" x14ac:dyDescent="0.25">
      <c r="A437" s="21"/>
      <c r="B437" s="30"/>
      <c r="C437" s="30"/>
      <c r="D437" s="38"/>
      <c r="E437" s="8"/>
      <c r="F437" s="31" t="str">
        <f t="shared" si="40"/>
        <v xml:space="preserve">N/F  </v>
      </c>
      <c r="G437" s="42">
        <f t="shared" si="41"/>
        <v>0</v>
      </c>
      <c r="H437" s="9">
        <v>21</v>
      </c>
      <c r="I437" s="32">
        <f t="shared" si="42"/>
        <v>0</v>
      </c>
      <c r="J437" s="32"/>
      <c r="K437" s="33">
        <f t="shared" si="43"/>
        <v>0</v>
      </c>
      <c r="L437" s="67"/>
    </row>
    <row r="438" spans="1:12" x14ac:dyDescent="0.25">
      <c r="A438" s="21"/>
      <c r="B438" s="30"/>
      <c r="C438" s="30"/>
      <c r="D438" s="38"/>
      <c r="E438" s="8"/>
      <c r="F438" s="31" t="str">
        <f t="shared" si="40"/>
        <v xml:space="preserve">N/F  </v>
      </c>
      <c r="G438" s="42">
        <f t="shared" si="41"/>
        <v>0</v>
      </c>
      <c r="H438" s="9">
        <v>21</v>
      </c>
      <c r="I438" s="32">
        <f t="shared" si="42"/>
        <v>0</v>
      </c>
      <c r="J438" s="32"/>
      <c r="K438" s="33">
        <f t="shared" si="43"/>
        <v>0</v>
      </c>
      <c r="L438" s="67"/>
    </row>
    <row r="439" spans="1:12" x14ac:dyDescent="0.25">
      <c r="A439" s="21"/>
      <c r="B439" s="30"/>
      <c r="C439" s="30"/>
      <c r="D439" s="38"/>
      <c r="E439" s="8"/>
      <c r="F439" s="31" t="str">
        <f t="shared" si="40"/>
        <v xml:space="preserve">N/F  </v>
      </c>
      <c r="G439" s="42">
        <f t="shared" si="41"/>
        <v>0</v>
      </c>
      <c r="H439" s="9">
        <v>21</v>
      </c>
      <c r="I439" s="32">
        <f t="shared" si="42"/>
        <v>0</v>
      </c>
      <c r="J439" s="32"/>
      <c r="K439" s="33">
        <f t="shared" si="43"/>
        <v>0</v>
      </c>
      <c r="L439" s="67"/>
    </row>
    <row r="440" spans="1:12" x14ac:dyDescent="0.25">
      <c r="A440" s="21"/>
      <c r="B440" s="30"/>
      <c r="C440" s="30"/>
      <c r="D440" s="38"/>
      <c r="E440" s="8"/>
      <c r="F440" s="31" t="str">
        <f t="shared" si="40"/>
        <v xml:space="preserve">N/F  </v>
      </c>
      <c r="G440" s="42">
        <f t="shared" si="41"/>
        <v>0</v>
      </c>
      <c r="H440" s="9">
        <v>21</v>
      </c>
      <c r="I440" s="32">
        <f t="shared" si="42"/>
        <v>0</v>
      </c>
      <c r="J440" s="32"/>
      <c r="K440" s="33">
        <f t="shared" si="43"/>
        <v>0</v>
      </c>
      <c r="L440" s="67"/>
    </row>
    <row r="441" spans="1:12" x14ac:dyDescent="0.25">
      <c r="A441" s="21"/>
      <c r="B441" s="30"/>
      <c r="C441" s="30"/>
      <c r="D441" s="38"/>
      <c r="E441" s="8"/>
      <c r="F441" s="31" t="str">
        <f t="shared" si="40"/>
        <v xml:space="preserve">N/F  </v>
      </c>
      <c r="G441" s="42">
        <f t="shared" si="41"/>
        <v>0</v>
      </c>
      <c r="H441" s="9">
        <v>21</v>
      </c>
      <c r="I441" s="32">
        <f t="shared" si="42"/>
        <v>0</v>
      </c>
      <c r="J441" s="32"/>
      <c r="K441" s="33">
        <f t="shared" si="43"/>
        <v>0</v>
      </c>
      <c r="L441" s="67"/>
    </row>
    <row r="442" spans="1:12" x14ac:dyDescent="0.25">
      <c r="A442" s="21"/>
      <c r="B442" s="30"/>
      <c r="C442" s="30"/>
      <c r="D442" s="38"/>
      <c r="E442" s="8"/>
      <c r="F442" s="31" t="str">
        <f t="shared" si="40"/>
        <v xml:space="preserve">N/F  </v>
      </c>
      <c r="G442" s="42">
        <f t="shared" si="41"/>
        <v>0</v>
      </c>
      <c r="H442" s="9">
        <v>21</v>
      </c>
      <c r="I442" s="32">
        <f t="shared" si="42"/>
        <v>0</v>
      </c>
      <c r="J442" s="32"/>
      <c r="K442" s="33">
        <f t="shared" si="43"/>
        <v>0</v>
      </c>
      <c r="L442" s="67"/>
    </row>
    <row r="443" spans="1:12" x14ac:dyDescent="0.25">
      <c r="A443" s="21"/>
      <c r="B443" s="30"/>
      <c r="C443" s="30"/>
      <c r="D443" s="38"/>
      <c r="E443" s="8"/>
      <c r="F443" s="31" t="str">
        <f t="shared" si="40"/>
        <v xml:space="preserve">N/F  </v>
      </c>
      <c r="G443" s="42">
        <f t="shared" si="41"/>
        <v>0</v>
      </c>
      <c r="H443" s="9">
        <v>21</v>
      </c>
      <c r="I443" s="32">
        <f t="shared" si="42"/>
        <v>0</v>
      </c>
      <c r="J443" s="32"/>
      <c r="K443" s="33">
        <f t="shared" si="43"/>
        <v>0</v>
      </c>
      <c r="L443" s="67"/>
    </row>
    <row r="444" spans="1:12" x14ac:dyDescent="0.25">
      <c r="A444" s="21"/>
      <c r="B444" s="30"/>
      <c r="C444" s="30"/>
      <c r="D444" s="38"/>
      <c r="E444" s="8"/>
      <c r="F444" s="31" t="str">
        <f t="shared" si="40"/>
        <v xml:space="preserve">N/F  </v>
      </c>
      <c r="G444" s="42">
        <f t="shared" si="41"/>
        <v>0</v>
      </c>
      <c r="H444" s="9">
        <v>21</v>
      </c>
      <c r="I444" s="32">
        <f t="shared" si="42"/>
        <v>0</v>
      </c>
      <c r="J444" s="32"/>
      <c r="K444" s="33">
        <f t="shared" si="43"/>
        <v>0</v>
      </c>
      <c r="L444" s="67"/>
    </row>
    <row r="445" spans="1:12" x14ac:dyDescent="0.25">
      <c r="A445" s="21"/>
      <c r="B445" s="30"/>
      <c r="C445" s="30"/>
      <c r="D445" s="38"/>
      <c r="E445" s="8"/>
      <c r="F445" s="31" t="str">
        <f t="shared" si="40"/>
        <v xml:space="preserve">N/F  </v>
      </c>
      <c r="G445" s="42">
        <f t="shared" si="41"/>
        <v>0</v>
      </c>
      <c r="H445" s="9">
        <v>21</v>
      </c>
      <c r="I445" s="32">
        <f t="shared" si="42"/>
        <v>0</v>
      </c>
      <c r="J445" s="32"/>
      <c r="K445" s="33">
        <f t="shared" si="43"/>
        <v>0</v>
      </c>
      <c r="L445" s="67"/>
    </row>
    <row r="446" spans="1:12" x14ac:dyDescent="0.25">
      <c r="A446" s="21"/>
      <c r="B446" s="30"/>
      <c r="C446" s="30"/>
      <c r="D446" s="38"/>
      <c r="E446" s="8"/>
      <c r="F446" s="31" t="str">
        <f t="shared" si="40"/>
        <v xml:space="preserve">N/F  </v>
      </c>
      <c r="G446" s="42">
        <f t="shared" si="41"/>
        <v>0</v>
      </c>
      <c r="H446" s="9">
        <v>21</v>
      </c>
      <c r="I446" s="32">
        <f t="shared" si="42"/>
        <v>0</v>
      </c>
      <c r="J446" s="32"/>
      <c r="K446" s="33">
        <f t="shared" si="43"/>
        <v>0</v>
      </c>
      <c r="L446" s="67"/>
    </row>
    <row r="447" spans="1:12" x14ac:dyDescent="0.25">
      <c r="A447" s="21"/>
      <c r="B447" s="30"/>
      <c r="C447" s="30"/>
      <c r="D447" s="38"/>
      <c r="E447" s="8"/>
      <c r="F447" s="31" t="str">
        <f t="shared" si="40"/>
        <v xml:space="preserve">N/F  </v>
      </c>
      <c r="G447" s="42">
        <f t="shared" si="41"/>
        <v>0</v>
      </c>
      <c r="H447" s="9">
        <v>21</v>
      </c>
      <c r="I447" s="32">
        <f t="shared" si="42"/>
        <v>0</v>
      </c>
      <c r="J447" s="32"/>
      <c r="K447" s="33">
        <f t="shared" si="43"/>
        <v>0</v>
      </c>
      <c r="L447" s="67"/>
    </row>
    <row r="448" spans="1:12" x14ac:dyDescent="0.25">
      <c r="A448" s="21"/>
      <c r="B448" s="30"/>
      <c r="C448" s="30"/>
      <c r="D448" s="38"/>
      <c r="E448" s="8"/>
      <c r="F448" s="31" t="str">
        <f t="shared" si="40"/>
        <v xml:space="preserve">N/F  </v>
      </c>
      <c r="G448" s="42">
        <f t="shared" si="41"/>
        <v>0</v>
      </c>
      <c r="H448" s="9">
        <v>21</v>
      </c>
      <c r="I448" s="32">
        <f t="shared" si="42"/>
        <v>0</v>
      </c>
      <c r="J448" s="32"/>
      <c r="K448" s="33">
        <f t="shared" si="43"/>
        <v>0</v>
      </c>
      <c r="L448" s="67"/>
    </row>
    <row r="449" spans="1:12" x14ac:dyDescent="0.25">
      <c r="A449" s="21"/>
      <c r="B449" s="30"/>
      <c r="C449" s="30"/>
      <c r="D449" s="38"/>
      <c r="E449" s="8"/>
      <c r="F449" s="31" t="str">
        <f t="shared" si="40"/>
        <v xml:space="preserve">N/F  </v>
      </c>
      <c r="G449" s="42">
        <f t="shared" si="41"/>
        <v>0</v>
      </c>
      <c r="H449" s="9">
        <v>21</v>
      </c>
      <c r="I449" s="32">
        <f t="shared" si="42"/>
        <v>0</v>
      </c>
      <c r="J449" s="32"/>
      <c r="K449" s="33">
        <f t="shared" si="43"/>
        <v>0</v>
      </c>
      <c r="L449" s="67"/>
    </row>
    <row r="450" spans="1:12" x14ac:dyDescent="0.25">
      <c r="A450" s="21"/>
      <c r="B450" s="30"/>
      <c r="C450" s="30"/>
      <c r="D450" s="38"/>
      <c r="E450" s="8"/>
      <c r="F450" s="31" t="str">
        <f t="shared" si="40"/>
        <v xml:space="preserve">N/F  </v>
      </c>
      <c r="G450" s="42">
        <f t="shared" si="41"/>
        <v>0</v>
      </c>
      <c r="H450" s="9">
        <v>21</v>
      </c>
      <c r="I450" s="32">
        <f t="shared" si="42"/>
        <v>0</v>
      </c>
      <c r="J450" s="32"/>
      <c r="K450" s="33">
        <f t="shared" si="43"/>
        <v>0</v>
      </c>
      <c r="L450" s="67"/>
    </row>
    <row r="451" spans="1:12" x14ac:dyDescent="0.25">
      <c r="A451" s="21"/>
      <c r="B451" s="30"/>
      <c r="C451" s="30"/>
      <c r="D451" s="38"/>
      <c r="E451" s="8"/>
      <c r="F451" s="31" t="str">
        <f t="shared" si="40"/>
        <v xml:space="preserve">N/F  </v>
      </c>
      <c r="G451" s="42">
        <f t="shared" si="41"/>
        <v>0</v>
      </c>
      <c r="H451" s="9">
        <v>21</v>
      </c>
      <c r="I451" s="32">
        <f t="shared" si="42"/>
        <v>0</v>
      </c>
      <c r="J451" s="32"/>
      <c r="K451" s="33">
        <f t="shared" si="43"/>
        <v>0</v>
      </c>
      <c r="L451" s="67"/>
    </row>
    <row r="452" spans="1:12" x14ac:dyDescent="0.25">
      <c r="A452" s="21"/>
      <c r="B452" s="30"/>
      <c r="C452" s="30"/>
      <c r="D452" s="38"/>
      <c r="E452" s="8"/>
      <c r="F452" s="31" t="str">
        <f t="shared" si="40"/>
        <v xml:space="preserve">N/F  </v>
      </c>
      <c r="G452" s="42">
        <f t="shared" si="41"/>
        <v>0</v>
      </c>
      <c r="H452" s="9">
        <v>21</v>
      </c>
      <c r="I452" s="32">
        <f t="shared" si="42"/>
        <v>0</v>
      </c>
      <c r="J452" s="32"/>
      <c r="K452" s="33">
        <f t="shared" si="43"/>
        <v>0</v>
      </c>
      <c r="L452" s="67"/>
    </row>
    <row r="453" spans="1:12" x14ac:dyDescent="0.25">
      <c r="A453" s="21"/>
      <c r="B453" s="30"/>
      <c r="C453" s="30"/>
      <c r="D453" s="38"/>
      <c r="E453" s="8"/>
      <c r="F453" s="31" t="str">
        <f t="shared" si="40"/>
        <v xml:space="preserve">N/F  </v>
      </c>
      <c r="G453" s="42">
        <f t="shared" si="41"/>
        <v>0</v>
      </c>
      <c r="H453" s="9">
        <v>21</v>
      </c>
      <c r="I453" s="32">
        <f t="shared" si="42"/>
        <v>0</v>
      </c>
      <c r="J453" s="32"/>
      <c r="K453" s="33">
        <f t="shared" si="43"/>
        <v>0</v>
      </c>
      <c r="L453" s="67"/>
    </row>
    <row r="454" spans="1:12" x14ac:dyDescent="0.25">
      <c r="A454" s="21"/>
      <c r="B454" s="30"/>
      <c r="C454" s="30"/>
      <c r="D454" s="38"/>
      <c r="E454" s="8"/>
      <c r="F454" s="31" t="str">
        <f t="shared" si="40"/>
        <v xml:space="preserve">N/F  </v>
      </c>
      <c r="G454" s="42">
        <f t="shared" si="41"/>
        <v>0</v>
      </c>
      <c r="H454" s="9">
        <v>21</v>
      </c>
      <c r="I454" s="32">
        <f t="shared" si="42"/>
        <v>0</v>
      </c>
      <c r="J454" s="32"/>
      <c r="K454" s="33">
        <f t="shared" si="43"/>
        <v>0</v>
      </c>
      <c r="L454" s="67"/>
    </row>
    <row r="455" spans="1:12" x14ac:dyDescent="0.25">
      <c r="A455" s="21"/>
      <c r="B455" s="30"/>
      <c r="C455" s="30"/>
      <c r="D455" s="38"/>
      <c r="E455" s="8"/>
      <c r="F455" s="31" t="str">
        <f t="shared" si="40"/>
        <v xml:space="preserve">N/F  </v>
      </c>
      <c r="G455" s="42">
        <f t="shared" si="41"/>
        <v>0</v>
      </c>
      <c r="H455" s="9">
        <v>21</v>
      </c>
      <c r="I455" s="32">
        <f t="shared" si="42"/>
        <v>0</v>
      </c>
      <c r="J455" s="32"/>
      <c r="K455" s="33">
        <f t="shared" si="43"/>
        <v>0</v>
      </c>
      <c r="L455" s="67"/>
    </row>
    <row r="456" spans="1:12" x14ac:dyDescent="0.25">
      <c r="A456" s="21"/>
      <c r="B456" s="30"/>
      <c r="C456" s="30"/>
      <c r="D456" s="38"/>
      <c r="E456" s="8"/>
      <c r="F456" s="31" t="str">
        <f t="shared" si="40"/>
        <v xml:space="preserve">N/F  </v>
      </c>
      <c r="G456" s="42">
        <f t="shared" si="41"/>
        <v>0</v>
      </c>
      <c r="H456" s="9">
        <v>21</v>
      </c>
      <c r="I456" s="32">
        <f t="shared" si="42"/>
        <v>0</v>
      </c>
      <c r="J456" s="32"/>
      <c r="K456" s="33">
        <f t="shared" si="43"/>
        <v>0</v>
      </c>
      <c r="L456" s="67"/>
    </row>
    <row r="457" spans="1:12" x14ac:dyDescent="0.25">
      <c r="A457" s="21"/>
      <c r="B457" s="30"/>
      <c r="C457" s="30"/>
      <c r="D457" s="38"/>
      <c r="E457" s="8"/>
      <c r="F457" s="31" t="str">
        <f t="shared" si="40"/>
        <v xml:space="preserve">N/F  </v>
      </c>
      <c r="G457" s="42">
        <f t="shared" si="41"/>
        <v>0</v>
      </c>
      <c r="H457" s="9">
        <v>21</v>
      </c>
      <c r="I457" s="32">
        <f t="shared" si="42"/>
        <v>0</v>
      </c>
      <c r="J457" s="32"/>
      <c r="K457" s="33">
        <f t="shared" si="43"/>
        <v>0</v>
      </c>
      <c r="L457" s="67"/>
    </row>
    <row r="458" spans="1:12" x14ac:dyDescent="0.25">
      <c r="A458" s="21"/>
      <c r="B458" s="30"/>
      <c r="C458" s="30"/>
      <c r="D458" s="38"/>
      <c r="E458" s="8"/>
      <c r="F458" s="31" t="str">
        <f t="shared" si="40"/>
        <v xml:space="preserve">N/F  </v>
      </c>
      <c r="G458" s="42">
        <f t="shared" si="41"/>
        <v>0</v>
      </c>
      <c r="H458" s="9">
        <v>21</v>
      </c>
      <c r="I458" s="32">
        <f t="shared" si="42"/>
        <v>0</v>
      </c>
      <c r="J458" s="32"/>
      <c r="K458" s="33">
        <f t="shared" si="43"/>
        <v>0</v>
      </c>
      <c r="L458" s="67"/>
    </row>
    <row r="459" spans="1:12" x14ac:dyDescent="0.25">
      <c r="A459" s="21"/>
      <c r="B459" s="30"/>
      <c r="C459" s="30"/>
      <c r="D459" s="38"/>
      <c r="E459" s="8"/>
      <c r="F459" s="31" t="str">
        <f t="shared" si="40"/>
        <v xml:space="preserve">N/F  </v>
      </c>
      <c r="G459" s="42">
        <f t="shared" si="41"/>
        <v>0</v>
      </c>
      <c r="H459" s="9">
        <v>21</v>
      </c>
      <c r="I459" s="32">
        <f t="shared" si="42"/>
        <v>0</v>
      </c>
      <c r="J459" s="32"/>
      <c r="K459" s="33">
        <f t="shared" si="43"/>
        <v>0</v>
      </c>
      <c r="L459" s="67"/>
    </row>
    <row r="460" spans="1:12" x14ac:dyDescent="0.25">
      <c r="A460" s="21"/>
      <c r="B460" s="30"/>
      <c r="C460" s="30"/>
      <c r="D460" s="38"/>
      <c r="E460" s="8"/>
      <c r="F460" s="31" t="str">
        <f t="shared" si="40"/>
        <v xml:space="preserve">N/F  </v>
      </c>
      <c r="G460" s="42">
        <f t="shared" si="41"/>
        <v>0</v>
      </c>
      <c r="H460" s="9">
        <v>21</v>
      </c>
      <c r="I460" s="32">
        <f t="shared" si="42"/>
        <v>0</v>
      </c>
      <c r="J460" s="32"/>
      <c r="K460" s="33">
        <f t="shared" si="43"/>
        <v>0</v>
      </c>
      <c r="L460" s="67"/>
    </row>
    <row r="461" spans="1:12" x14ac:dyDescent="0.25">
      <c r="A461" s="21"/>
      <c r="B461" s="30"/>
      <c r="C461" s="30"/>
      <c r="D461" s="38"/>
      <c r="E461" s="8"/>
      <c r="F461" s="31" t="str">
        <f t="shared" si="40"/>
        <v xml:space="preserve">N/F  </v>
      </c>
      <c r="G461" s="42">
        <f t="shared" si="41"/>
        <v>0</v>
      </c>
      <c r="H461" s="9">
        <v>21</v>
      </c>
      <c r="I461" s="32">
        <f t="shared" si="42"/>
        <v>0</v>
      </c>
      <c r="J461" s="32"/>
      <c r="K461" s="33">
        <f t="shared" si="43"/>
        <v>0</v>
      </c>
      <c r="L461" s="67"/>
    </row>
    <row r="462" spans="1:12" x14ac:dyDescent="0.25">
      <c r="A462" s="21"/>
      <c r="B462" s="30"/>
      <c r="C462" s="30"/>
      <c r="D462" s="38"/>
      <c r="E462" s="8"/>
      <c r="F462" s="31" t="str">
        <f t="shared" si="40"/>
        <v xml:space="preserve">N/F  </v>
      </c>
      <c r="G462" s="42">
        <f t="shared" si="41"/>
        <v>0</v>
      </c>
      <c r="H462" s="9">
        <v>21</v>
      </c>
      <c r="I462" s="32">
        <f t="shared" si="42"/>
        <v>0</v>
      </c>
      <c r="J462" s="32"/>
      <c r="K462" s="33">
        <f t="shared" si="43"/>
        <v>0</v>
      </c>
      <c r="L462" s="67"/>
    </row>
    <row r="463" spans="1:12" x14ac:dyDescent="0.25">
      <c r="A463" s="21"/>
      <c r="B463" s="30"/>
      <c r="C463" s="30"/>
      <c r="D463" s="38"/>
      <c r="E463" s="8"/>
      <c r="F463" s="31" t="str">
        <f t="shared" si="40"/>
        <v xml:space="preserve">N/F  </v>
      </c>
      <c r="G463" s="42">
        <f t="shared" si="41"/>
        <v>0</v>
      </c>
      <c r="H463" s="9">
        <v>21</v>
      </c>
      <c r="I463" s="32">
        <f t="shared" si="42"/>
        <v>0</v>
      </c>
      <c r="J463" s="32"/>
      <c r="K463" s="33">
        <f t="shared" si="43"/>
        <v>0</v>
      </c>
      <c r="L463" s="67"/>
    </row>
    <row r="464" spans="1:12" x14ac:dyDescent="0.25">
      <c r="A464" s="21"/>
      <c r="B464" s="30"/>
      <c r="C464" s="30"/>
      <c r="D464" s="38"/>
      <c r="E464" s="8"/>
      <c r="F464" s="31" t="str">
        <f t="shared" si="40"/>
        <v xml:space="preserve">N/F  </v>
      </c>
      <c r="G464" s="42">
        <f t="shared" si="41"/>
        <v>0</v>
      </c>
      <c r="H464" s="9">
        <v>21</v>
      </c>
      <c r="I464" s="32">
        <f t="shared" si="42"/>
        <v>0</v>
      </c>
      <c r="J464" s="32"/>
      <c r="K464" s="33">
        <f t="shared" si="43"/>
        <v>0</v>
      </c>
      <c r="L464" s="67"/>
    </row>
    <row r="465" spans="1:12" x14ac:dyDescent="0.25">
      <c r="A465" s="21"/>
      <c r="B465" s="30"/>
      <c r="C465" s="30"/>
      <c r="D465" s="38"/>
      <c r="E465" s="8"/>
      <c r="F465" s="31" t="str">
        <f t="shared" si="40"/>
        <v xml:space="preserve">N/F  </v>
      </c>
      <c r="G465" s="42">
        <f t="shared" si="41"/>
        <v>0</v>
      </c>
      <c r="H465" s="9">
        <v>21</v>
      </c>
      <c r="I465" s="32">
        <f t="shared" si="42"/>
        <v>0</v>
      </c>
      <c r="J465" s="32"/>
      <c r="K465" s="33">
        <f t="shared" si="43"/>
        <v>0</v>
      </c>
      <c r="L465" s="67"/>
    </row>
    <row r="466" spans="1:12" x14ac:dyDescent="0.25">
      <c r="A466" s="21"/>
      <c r="B466" s="30"/>
      <c r="C466" s="30"/>
      <c r="D466" s="38"/>
      <c r="E466" s="8"/>
      <c r="F466" s="31" t="str">
        <f t="shared" si="40"/>
        <v xml:space="preserve">N/F  </v>
      </c>
      <c r="G466" s="42">
        <f t="shared" si="41"/>
        <v>0</v>
      </c>
      <c r="H466" s="9">
        <v>21</v>
      </c>
      <c r="I466" s="32">
        <f t="shared" si="42"/>
        <v>0</v>
      </c>
      <c r="J466" s="32"/>
      <c r="K466" s="33">
        <f t="shared" si="43"/>
        <v>0</v>
      </c>
      <c r="L466" s="67"/>
    </row>
    <row r="467" spans="1:12" x14ac:dyDescent="0.25">
      <c r="A467" s="21"/>
      <c r="B467" s="30"/>
      <c r="C467" s="30"/>
      <c r="D467" s="38"/>
      <c r="E467" s="8"/>
      <c r="F467" s="31" t="str">
        <f t="shared" si="40"/>
        <v xml:space="preserve">N/F  </v>
      </c>
      <c r="G467" s="42">
        <f t="shared" si="41"/>
        <v>0</v>
      </c>
      <c r="H467" s="9">
        <v>21</v>
      </c>
      <c r="I467" s="32">
        <f t="shared" si="42"/>
        <v>0</v>
      </c>
      <c r="J467" s="32"/>
      <c r="K467" s="33">
        <f t="shared" si="43"/>
        <v>0</v>
      </c>
      <c r="L467" s="67"/>
    </row>
    <row r="468" spans="1:12" x14ac:dyDescent="0.25">
      <c r="A468" s="21"/>
      <c r="B468" s="30"/>
      <c r="C468" s="30"/>
      <c r="D468" s="38"/>
      <c r="E468" s="8"/>
      <c r="F468" s="31" t="str">
        <f t="shared" si="40"/>
        <v xml:space="preserve">N/F  </v>
      </c>
      <c r="G468" s="42">
        <f t="shared" si="41"/>
        <v>0</v>
      </c>
      <c r="H468" s="9">
        <v>21</v>
      </c>
      <c r="I468" s="32">
        <f t="shared" si="42"/>
        <v>0</v>
      </c>
      <c r="J468" s="32"/>
      <c r="K468" s="33">
        <f t="shared" si="43"/>
        <v>0</v>
      </c>
      <c r="L468" s="67"/>
    </row>
    <row r="469" spans="1:12" x14ac:dyDescent="0.25">
      <c r="A469" s="21"/>
      <c r="B469" s="30"/>
      <c r="C469" s="30"/>
      <c r="D469" s="38"/>
      <c r="E469" s="8"/>
      <c r="F469" s="31" t="str">
        <f t="shared" si="40"/>
        <v xml:space="preserve">N/F  </v>
      </c>
      <c r="G469" s="42">
        <f t="shared" si="41"/>
        <v>0</v>
      </c>
      <c r="H469" s="9">
        <v>21</v>
      </c>
      <c r="I469" s="32">
        <f t="shared" si="42"/>
        <v>0</v>
      </c>
      <c r="J469" s="32"/>
      <c r="K469" s="33">
        <f t="shared" si="43"/>
        <v>0</v>
      </c>
      <c r="L469" s="67"/>
    </row>
    <row r="470" spans="1:12" x14ac:dyDescent="0.25">
      <c r="A470" s="21"/>
      <c r="B470" s="30"/>
      <c r="C470" s="30"/>
      <c r="D470" s="38"/>
      <c r="E470" s="8"/>
      <c r="F470" s="31" t="str">
        <f t="shared" si="40"/>
        <v xml:space="preserve">N/F  </v>
      </c>
      <c r="G470" s="42">
        <f t="shared" si="41"/>
        <v>0</v>
      </c>
      <c r="H470" s="9">
        <v>21</v>
      </c>
      <c r="I470" s="32">
        <f t="shared" si="42"/>
        <v>0</v>
      </c>
      <c r="J470" s="32"/>
      <c r="K470" s="33">
        <f t="shared" si="43"/>
        <v>0</v>
      </c>
      <c r="L470" s="67"/>
    </row>
    <row r="471" spans="1:12" x14ac:dyDescent="0.25">
      <c r="A471" s="21"/>
      <c r="B471" s="30"/>
      <c r="C471" s="30"/>
      <c r="D471" s="38"/>
      <c r="E471" s="8"/>
      <c r="F471" s="31" t="str">
        <f t="shared" si="40"/>
        <v xml:space="preserve">N/F  </v>
      </c>
      <c r="G471" s="42">
        <f t="shared" si="41"/>
        <v>0</v>
      </c>
      <c r="H471" s="9">
        <v>21</v>
      </c>
      <c r="I471" s="32">
        <f t="shared" si="42"/>
        <v>0</v>
      </c>
      <c r="J471" s="32"/>
      <c r="K471" s="33">
        <f t="shared" si="43"/>
        <v>0</v>
      </c>
      <c r="L471" s="67"/>
    </row>
    <row r="472" spans="1:12" x14ac:dyDescent="0.25">
      <c r="A472" s="21"/>
      <c r="B472" s="30"/>
      <c r="C472" s="30"/>
      <c r="D472" s="38"/>
      <c r="E472" s="8"/>
      <c r="F472" s="31" t="str">
        <f t="shared" si="40"/>
        <v xml:space="preserve">N/F  </v>
      </c>
      <c r="G472" s="42">
        <f t="shared" si="41"/>
        <v>0</v>
      </c>
      <c r="H472" s="9">
        <v>21</v>
      </c>
      <c r="I472" s="32">
        <f t="shared" si="42"/>
        <v>0</v>
      </c>
      <c r="J472" s="32"/>
      <c r="K472" s="33">
        <f t="shared" si="43"/>
        <v>0</v>
      </c>
      <c r="L472" s="67"/>
    </row>
    <row r="473" spans="1:12" x14ac:dyDescent="0.25">
      <c r="A473" s="21"/>
      <c r="B473" s="30"/>
      <c r="C473" s="30"/>
      <c r="D473" s="38"/>
      <c r="E473" s="8"/>
      <c r="F473" s="31" t="str">
        <f t="shared" si="40"/>
        <v xml:space="preserve">N/F  </v>
      </c>
      <c r="G473" s="42">
        <f t="shared" si="41"/>
        <v>0</v>
      </c>
      <c r="H473" s="9">
        <v>21</v>
      </c>
      <c r="I473" s="32">
        <f t="shared" si="42"/>
        <v>0</v>
      </c>
      <c r="J473" s="32"/>
      <c r="K473" s="33">
        <f t="shared" si="43"/>
        <v>0</v>
      </c>
      <c r="L473" s="67"/>
    </row>
    <row r="474" spans="1:12" x14ac:dyDescent="0.25">
      <c r="A474" s="21"/>
      <c r="B474" s="30"/>
      <c r="C474" s="30"/>
      <c r="D474" s="38"/>
      <c r="E474" s="8"/>
      <c r="F474" s="31" t="str">
        <f t="shared" si="40"/>
        <v xml:space="preserve">N/F  </v>
      </c>
      <c r="G474" s="42">
        <f t="shared" si="41"/>
        <v>0</v>
      </c>
      <c r="H474" s="9">
        <v>21</v>
      </c>
      <c r="I474" s="32">
        <f t="shared" si="42"/>
        <v>0</v>
      </c>
      <c r="J474" s="32"/>
      <c r="K474" s="33">
        <f t="shared" si="43"/>
        <v>0</v>
      </c>
      <c r="L474" s="67"/>
    </row>
    <row r="475" spans="1:12" x14ac:dyDescent="0.25">
      <c r="A475" s="21"/>
      <c r="B475" s="30"/>
      <c r="C475" s="30"/>
      <c r="D475" s="38"/>
      <c r="E475" s="8"/>
      <c r="F475" s="31" t="str">
        <f t="shared" si="40"/>
        <v xml:space="preserve">N/F  </v>
      </c>
      <c r="G475" s="42">
        <f t="shared" si="41"/>
        <v>0</v>
      </c>
      <c r="H475" s="9">
        <v>21</v>
      </c>
      <c r="I475" s="32">
        <f t="shared" si="42"/>
        <v>0</v>
      </c>
      <c r="J475" s="32"/>
      <c r="K475" s="33">
        <f t="shared" si="43"/>
        <v>0</v>
      </c>
      <c r="L475" s="67"/>
    </row>
    <row r="476" spans="1:12" x14ac:dyDescent="0.25">
      <c r="A476" s="21"/>
      <c r="B476" s="30"/>
      <c r="C476" s="30"/>
      <c r="D476" s="38"/>
      <c r="E476" s="8"/>
      <c r="F476" s="31" t="str">
        <f t="shared" si="40"/>
        <v xml:space="preserve">N/F  </v>
      </c>
      <c r="G476" s="42">
        <f t="shared" si="41"/>
        <v>0</v>
      </c>
      <c r="H476" s="9">
        <v>21</v>
      </c>
      <c r="I476" s="32">
        <f t="shared" si="42"/>
        <v>0</v>
      </c>
      <c r="J476" s="32"/>
      <c r="K476" s="33">
        <f t="shared" si="43"/>
        <v>0</v>
      </c>
      <c r="L476" s="67"/>
    </row>
    <row r="477" spans="1:12" x14ac:dyDescent="0.25">
      <c r="A477" s="21"/>
      <c r="B477" s="30"/>
      <c r="C477" s="30"/>
      <c r="D477" s="38"/>
      <c r="E477" s="8"/>
      <c r="F477" s="31" t="str">
        <f t="shared" si="40"/>
        <v xml:space="preserve">N/F  </v>
      </c>
      <c r="G477" s="42">
        <f t="shared" si="41"/>
        <v>0</v>
      </c>
      <c r="H477" s="9">
        <v>21</v>
      </c>
      <c r="I477" s="32">
        <f t="shared" si="42"/>
        <v>0</v>
      </c>
      <c r="J477" s="32"/>
      <c r="K477" s="33">
        <f t="shared" si="43"/>
        <v>0</v>
      </c>
      <c r="L477" s="67"/>
    </row>
    <row r="478" spans="1:12" x14ac:dyDescent="0.25">
      <c r="A478" s="21"/>
      <c r="B478" s="30"/>
      <c r="C478" s="30"/>
      <c r="D478" s="38"/>
      <c r="E478" s="8"/>
      <c r="F478" s="31" t="str">
        <f t="shared" si="40"/>
        <v xml:space="preserve">N/F  </v>
      </c>
      <c r="G478" s="42">
        <f t="shared" si="41"/>
        <v>0</v>
      </c>
      <c r="H478" s="9">
        <v>21</v>
      </c>
      <c r="I478" s="32">
        <f t="shared" si="42"/>
        <v>0</v>
      </c>
      <c r="J478" s="32"/>
      <c r="K478" s="33">
        <f t="shared" si="43"/>
        <v>0</v>
      </c>
      <c r="L478" s="67"/>
    </row>
    <row r="479" spans="1:12" x14ac:dyDescent="0.25">
      <c r="A479" s="21"/>
      <c r="B479" s="30"/>
      <c r="C479" s="30"/>
      <c r="D479" s="38"/>
      <c r="E479" s="8"/>
      <c r="F479" s="31" t="str">
        <f t="shared" si="40"/>
        <v xml:space="preserve">N/F  </v>
      </c>
      <c r="G479" s="42">
        <f t="shared" si="41"/>
        <v>0</v>
      </c>
      <c r="H479" s="9">
        <v>21</v>
      </c>
      <c r="I479" s="32">
        <f t="shared" si="42"/>
        <v>0</v>
      </c>
      <c r="J479" s="32"/>
      <c r="K479" s="33">
        <f t="shared" si="43"/>
        <v>0</v>
      </c>
      <c r="L479" s="67"/>
    </row>
    <row r="480" spans="1:12" x14ac:dyDescent="0.25">
      <c r="A480" s="21"/>
      <c r="B480" s="30"/>
      <c r="C480" s="30"/>
      <c r="D480" s="38"/>
      <c r="E480" s="8"/>
      <c r="F480" s="31" t="str">
        <f t="shared" si="40"/>
        <v xml:space="preserve">N/F  </v>
      </c>
      <c r="G480" s="42">
        <f t="shared" si="41"/>
        <v>0</v>
      </c>
      <c r="H480" s="9">
        <v>21</v>
      </c>
      <c r="I480" s="32">
        <f t="shared" si="42"/>
        <v>0</v>
      </c>
      <c r="J480" s="32"/>
      <c r="K480" s="33">
        <f t="shared" si="43"/>
        <v>0</v>
      </c>
      <c r="L480" s="67"/>
    </row>
    <row r="481" spans="1:12" x14ac:dyDescent="0.25">
      <c r="A481" s="21"/>
      <c r="B481" s="30"/>
      <c r="C481" s="30"/>
      <c r="D481" s="38"/>
      <c r="E481" s="8"/>
      <c r="F481" s="31" t="str">
        <f t="shared" si="40"/>
        <v xml:space="preserve">N/F  </v>
      </c>
      <c r="G481" s="42">
        <f t="shared" si="41"/>
        <v>0</v>
      </c>
      <c r="H481" s="9">
        <v>21</v>
      </c>
      <c r="I481" s="32">
        <f t="shared" si="42"/>
        <v>0</v>
      </c>
      <c r="J481" s="32"/>
      <c r="K481" s="33">
        <f t="shared" si="43"/>
        <v>0</v>
      </c>
      <c r="L481" s="67"/>
    </row>
    <row r="482" spans="1:12" x14ac:dyDescent="0.25">
      <c r="A482" s="21"/>
      <c r="B482" s="30"/>
      <c r="C482" s="30"/>
      <c r="D482" s="38"/>
      <c r="E482" s="8"/>
      <c r="F482" s="31" t="str">
        <f t="shared" si="40"/>
        <v xml:space="preserve">N/F  </v>
      </c>
      <c r="G482" s="42">
        <f t="shared" si="41"/>
        <v>0</v>
      </c>
      <c r="H482" s="9">
        <v>21</v>
      </c>
      <c r="I482" s="32">
        <f t="shared" si="42"/>
        <v>0</v>
      </c>
      <c r="J482" s="32"/>
      <c r="K482" s="33">
        <f t="shared" si="43"/>
        <v>0</v>
      </c>
      <c r="L482" s="67"/>
    </row>
    <row r="483" spans="1:12" x14ac:dyDescent="0.25">
      <c r="A483" s="21"/>
      <c r="B483" s="30"/>
      <c r="C483" s="30"/>
      <c r="D483" s="38"/>
      <c r="E483" s="8"/>
      <c r="F483" s="31" t="str">
        <f t="shared" si="40"/>
        <v xml:space="preserve">N/F  </v>
      </c>
      <c r="G483" s="42">
        <f t="shared" si="41"/>
        <v>0</v>
      </c>
      <c r="H483" s="9">
        <v>21</v>
      </c>
      <c r="I483" s="32">
        <f t="shared" si="42"/>
        <v>0</v>
      </c>
      <c r="J483" s="32"/>
      <c r="K483" s="33">
        <f t="shared" si="43"/>
        <v>0</v>
      </c>
      <c r="L483" s="67"/>
    </row>
    <row r="484" spans="1:12" x14ac:dyDescent="0.25">
      <c r="A484" s="21"/>
      <c r="B484" s="30"/>
      <c r="C484" s="30"/>
      <c r="D484" s="38"/>
      <c r="E484" s="8"/>
      <c r="F484" s="31" t="str">
        <f t="shared" si="40"/>
        <v xml:space="preserve">N/F  </v>
      </c>
      <c r="G484" s="42">
        <f t="shared" si="41"/>
        <v>0</v>
      </c>
      <c r="H484" s="9">
        <v>21</v>
      </c>
      <c r="I484" s="32">
        <f t="shared" si="42"/>
        <v>0</v>
      </c>
      <c r="J484" s="32"/>
      <c r="K484" s="33">
        <f t="shared" si="43"/>
        <v>0</v>
      </c>
      <c r="L484" s="67"/>
    </row>
    <row r="485" spans="1:12" x14ac:dyDescent="0.25">
      <c r="A485" s="21"/>
      <c r="B485" s="30"/>
      <c r="C485" s="30"/>
      <c r="D485" s="38"/>
      <c r="E485" s="8"/>
      <c r="F485" s="31" t="str">
        <f t="shared" si="40"/>
        <v xml:space="preserve">N/F  </v>
      </c>
      <c r="G485" s="42">
        <f t="shared" si="41"/>
        <v>0</v>
      </c>
      <c r="H485" s="9">
        <v>21</v>
      </c>
      <c r="I485" s="32">
        <f t="shared" si="42"/>
        <v>0</v>
      </c>
      <c r="J485" s="32"/>
      <c r="K485" s="33">
        <f t="shared" si="43"/>
        <v>0</v>
      </c>
      <c r="L485" s="67"/>
    </row>
    <row r="486" spans="1:12" x14ac:dyDescent="0.25">
      <c r="A486" s="21"/>
      <c r="B486" s="30"/>
      <c r="C486" s="30"/>
      <c r="D486" s="38"/>
      <c r="E486" s="8"/>
      <c r="F486" s="31" t="str">
        <f t="shared" si="40"/>
        <v xml:space="preserve">N/F  </v>
      </c>
      <c r="G486" s="42">
        <f t="shared" si="41"/>
        <v>0</v>
      </c>
      <c r="H486" s="9">
        <v>21</v>
      </c>
      <c r="I486" s="32">
        <f t="shared" si="42"/>
        <v>0</v>
      </c>
      <c r="J486" s="32"/>
      <c r="K486" s="33">
        <f t="shared" si="43"/>
        <v>0</v>
      </c>
      <c r="L486" s="67"/>
    </row>
    <row r="487" spans="1:12" x14ac:dyDescent="0.25">
      <c r="A487" s="21"/>
      <c r="B487" s="30"/>
      <c r="C487" s="30"/>
      <c r="D487" s="38"/>
      <c r="E487" s="8"/>
      <c r="F487" s="31" t="str">
        <f t="shared" si="40"/>
        <v xml:space="preserve">N/F  </v>
      </c>
      <c r="G487" s="42">
        <f t="shared" si="41"/>
        <v>0</v>
      </c>
      <c r="H487" s="9">
        <v>21</v>
      </c>
      <c r="I487" s="32">
        <f t="shared" si="42"/>
        <v>0</v>
      </c>
      <c r="J487" s="32"/>
      <c r="K487" s="33">
        <f t="shared" si="43"/>
        <v>0</v>
      </c>
      <c r="L487" s="67"/>
    </row>
    <row r="488" spans="1:12" x14ac:dyDescent="0.25">
      <c r="A488" s="21"/>
      <c r="B488" s="30"/>
      <c r="C488" s="30"/>
      <c r="D488" s="38"/>
      <c r="E488" s="8"/>
      <c r="F488" s="31" t="str">
        <f t="shared" si="40"/>
        <v xml:space="preserve">N/F  </v>
      </c>
      <c r="G488" s="42">
        <f t="shared" si="41"/>
        <v>0</v>
      </c>
      <c r="H488" s="9">
        <v>21</v>
      </c>
      <c r="I488" s="32">
        <f t="shared" si="42"/>
        <v>0</v>
      </c>
      <c r="J488" s="32"/>
      <c r="K488" s="33">
        <f t="shared" si="43"/>
        <v>0</v>
      </c>
      <c r="L488" s="67"/>
    </row>
    <row r="489" spans="1:12" x14ac:dyDescent="0.25">
      <c r="A489" s="21"/>
      <c r="B489" s="30"/>
      <c r="C489" s="30"/>
      <c r="D489" s="38"/>
      <c r="E489" s="8"/>
      <c r="F489" s="31" t="str">
        <f t="shared" si="40"/>
        <v xml:space="preserve">N/F  </v>
      </c>
      <c r="G489" s="42">
        <f t="shared" si="41"/>
        <v>0</v>
      </c>
      <c r="H489" s="9">
        <v>21</v>
      </c>
      <c r="I489" s="32">
        <f t="shared" si="42"/>
        <v>0</v>
      </c>
      <c r="J489" s="32"/>
      <c r="K489" s="33">
        <f t="shared" si="43"/>
        <v>0</v>
      </c>
      <c r="L489" s="67"/>
    </row>
    <row r="490" spans="1:12" x14ac:dyDescent="0.25">
      <c r="A490" s="21"/>
      <c r="B490" s="30"/>
      <c r="C490" s="30"/>
      <c r="D490" s="38"/>
      <c r="E490" s="8"/>
      <c r="F490" s="31" t="str">
        <f t="shared" ref="F490:F553" si="44">"N/F "&amp;B490&amp;" "&amp;E490</f>
        <v xml:space="preserve">N/F  </v>
      </c>
      <c r="G490" s="42">
        <f t="shared" ref="G490:G553" si="45">+D490/1.21</f>
        <v>0</v>
      </c>
      <c r="H490" s="9">
        <v>21</v>
      </c>
      <c r="I490" s="32">
        <f t="shared" ref="I490:I553" si="46">+IF(G490&lt;&gt;0,G490*H490/100,0)</f>
        <v>0</v>
      </c>
      <c r="J490" s="32"/>
      <c r="K490" s="33">
        <f t="shared" ref="K490:K553" si="47">+G490+I490</f>
        <v>0</v>
      </c>
      <c r="L490" s="67"/>
    </row>
    <row r="491" spans="1:12" x14ac:dyDescent="0.25">
      <c r="A491" s="21"/>
      <c r="B491" s="30"/>
      <c r="C491" s="30"/>
      <c r="D491" s="38"/>
      <c r="E491" s="8"/>
      <c r="F491" s="31" t="str">
        <f t="shared" si="44"/>
        <v xml:space="preserve">N/F  </v>
      </c>
      <c r="G491" s="42">
        <f t="shared" si="45"/>
        <v>0</v>
      </c>
      <c r="H491" s="9">
        <v>21</v>
      </c>
      <c r="I491" s="32">
        <f t="shared" si="46"/>
        <v>0</v>
      </c>
      <c r="J491" s="32"/>
      <c r="K491" s="33">
        <f t="shared" si="47"/>
        <v>0</v>
      </c>
      <c r="L491" s="67"/>
    </row>
    <row r="492" spans="1:12" x14ac:dyDescent="0.25">
      <c r="A492" s="21"/>
      <c r="B492" s="30"/>
      <c r="C492" s="30"/>
      <c r="D492" s="38"/>
      <c r="E492" s="8"/>
      <c r="F492" s="31" t="str">
        <f t="shared" si="44"/>
        <v xml:space="preserve">N/F  </v>
      </c>
      <c r="G492" s="42">
        <f t="shared" si="45"/>
        <v>0</v>
      </c>
      <c r="H492" s="9">
        <v>21</v>
      </c>
      <c r="I492" s="32">
        <f t="shared" si="46"/>
        <v>0</v>
      </c>
      <c r="J492" s="32"/>
      <c r="K492" s="33">
        <f t="shared" si="47"/>
        <v>0</v>
      </c>
      <c r="L492" s="67"/>
    </row>
    <row r="493" spans="1:12" x14ac:dyDescent="0.25">
      <c r="A493" s="21"/>
      <c r="B493" s="30"/>
      <c r="C493" s="30"/>
      <c r="D493" s="38"/>
      <c r="E493" s="8"/>
      <c r="F493" s="31" t="str">
        <f t="shared" si="44"/>
        <v xml:space="preserve">N/F  </v>
      </c>
      <c r="G493" s="42">
        <f t="shared" si="45"/>
        <v>0</v>
      </c>
      <c r="H493" s="9">
        <v>21</v>
      </c>
      <c r="I493" s="32">
        <f t="shared" si="46"/>
        <v>0</v>
      </c>
      <c r="J493" s="32"/>
      <c r="K493" s="33">
        <f t="shared" si="47"/>
        <v>0</v>
      </c>
      <c r="L493" s="67"/>
    </row>
    <row r="494" spans="1:12" x14ac:dyDescent="0.25">
      <c r="A494" s="21"/>
      <c r="B494" s="30"/>
      <c r="C494" s="30"/>
      <c r="D494" s="38"/>
      <c r="E494" s="8"/>
      <c r="F494" s="31" t="str">
        <f t="shared" si="44"/>
        <v xml:space="preserve">N/F  </v>
      </c>
      <c r="G494" s="42">
        <f t="shared" si="45"/>
        <v>0</v>
      </c>
      <c r="H494" s="9">
        <v>21</v>
      </c>
      <c r="I494" s="32">
        <f t="shared" si="46"/>
        <v>0</v>
      </c>
      <c r="J494" s="32"/>
      <c r="K494" s="33">
        <f t="shared" si="47"/>
        <v>0</v>
      </c>
      <c r="L494" s="67"/>
    </row>
    <row r="495" spans="1:12" x14ac:dyDescent="0.25">
      <c r="A495" s="21"/>
      <c r="B495" s="30"/>
      <c r="C495" s="30"/>
      <c r="D495" s="38"/>
      <c r="E495" s="8"/>
      <c r="F495" s="31" t="str">
        <f t="shared" si="44"/>
        <v xml:space="preserve">N/F  </v>
      </c>
      <c r="G495" s="42">
        <f t="shared" si="45"/>
        <v>0</v>
      </c>
      <c r="H495" s="9">
        <v>21</v>
      </c>
      <c r="I495" s="32">
        <f t="shared" si="46"/>
        <v>0</v>
      </c>
      <c r="J495" s="32"/>
      <c r="K495" s="33">
        <f t="shared" si="47"/>
        <v>0</v>
      </c>
      <c r="L495" s="67"/>
    </row>
    <row r="496" spans="1:12" x14ac:dyDescent="0.25">
      <c r="A496" s="21"/>
      <c r="B496" s="30"/>
      <c r="C496" s="30"/>
      <c r="D496" s="38"/>
      <c r="E496" s="8"/>
      <c r="F496" s="31" t="str">
        <f t="shared" si="44"/>
        <v xml:space="preserve">N/F  </v>
      </c>
      <c r="G496" s="42">
        <f t="shared" si="45"/>
        <v>0</v>
      </c>
      <c r="H496" s="9">
        <v>21</v>
      </c>
      <c r="I496" s="32">
        <f t="shared" si="46"/>
        <v>0</v>
      </c>
      <c r="J496" s="32"/>
      <c r="K496" s="33">
        <f t="shared" si="47"/>
        <v>0</v>
      </c>
      <c r="L496" s="67"/>
    </row>
    <row r="497" spans="1:12" x14ac:dyDescent="0.25">
      <c r="A497" s="21"/>
      <c r="B497" s="30"/>
      <c r="C497" s="30"/>
      <c r="D497" s="38"/>
      <c r="E497" s="8"/>
      <c r="F497" s="31" t="str">
        <f t="shared" si="44"/>
        <v xml:space="preserve">N/F  </v>
      </c>
      <c r="G497" s="42">
        <f t="shared" si="45"/>
        <v>0</v>
      </c>
      <c r="H497" s="9">
        <v>21</v>
      </c>
      <c r="I497" s="32">
        <f t="shared" si="46"/>
        <v>0</v>
      </c>
      <c r="J497" s="32"/>
      <c r="K497" s="33">
        <f t="shared" si="47"/>
        <v>0</v>
      </c>
      <c r="L497" s="67"/>
    </row>
    <row r="498" spans="1:12" x14ac:dyDescent="0.25">
      <c r="A498" s="21"/>
      <c r="B498" s="30"/>
      <c r="C498" s="30"/>
      <c r="D498" s="38"/>
      <c r="E498" s="8"/>
      <c r="F498" s="31" t="str">
        <f t="shared" si="44"/>
        <v xml:space="preserve">N/F  </v>
      </c>
      <c r="G498" s="42">
        <f t="shared" si="45"/>
        <v>0</v>
      </c>
      <c r="H498" s="9">
        <v>21</v>
      </c>
      <c r="I498" s="32">
        <f t="shared" si="46"/>
        <v>0</v>
      </c>
      <c r="J498" s="32"/>
      <c r="K498" s="33">
        <f t="shared" si="47"/>
        <v>0</v>
      </c>
      <c r="L498" s="67"/>
    </row>
    <row r="499" spans="1:12" x14ac:dyDescent="0.25">
      <c r="A499" s="21"/>
      <c r="B499" s="30"/>
      <c r="C499" s="30"/>
      <c r="D499" s="38"/>
      <c r="E499" s="8"/>
      <c r="F499" s="31" t="str">
        <f t="shared" si="44"/>
        <v xml:space="preserve">N/F  </v>
      </c>
      <c r="G499" s="42">
        <f t="shared" si="45"/>
        <v>0</v>
      </c>
      <c r="H499" s="9">
        <v>21</v>
      </c>
      <c r="I499" s="32">
        <f t="shared" si="46"/>
        <v>0</v>
      </c>
      <c r="J499" s="32"/>
      <c r="K499" s="33">
        <f t="shared" si="47"/>
        <v>0</v>
      </c>
      <c r="L499" s="67"/>
    </row>
    <row r="500" spans="1:12" x14ac:dyDescent="0.25">
      <c r="A500" s="21"/>
      <c r="B500" s="30"/>
      <c r="C500" s="30"/>
      <c r="D500" s="38"/>
      <c r="E500" s="8"/>
      <c r="F500" s="31" t="str">
        <f t="shared" si="44"/>
        <v xml:space="preserve">N/F  </v>
      </c>
      <c r="G500" s="42">
        <f t="shared" si="45"/>
        <v>0</v>
      </c>
      <c r="H500" s="9">
        <v>21</v>
      </c>
      <c r="I500" s="32">
        <f t="shared" si="46"/>
        <v>0</v>
      </c>
      <c r="J500" s="32"/>
      <c r="K500" s="33">
        <f t="shared" si="47"/>
        <v>0</v>
      </c>
      <c r="L500" s="67"/>
    </row>
    <row r="501" spans="1:12" x14ac:dyDescent="0.25">
      <c r="A501" s="21"/>
      <c r="B501" s="30"/>
      <c r="C501" s="30"/>
      <c r="D501" s="38"/>
      <c r="E501" s="8"/>
      <c r="F501" s="31" t="str">
        <f t="shared" si="44"/>
        <v xml:space="preserve">N/F  </v>
      </c>
      <c r="G501" s="42">
        <f t="shared" si="45"/>
        <v>0</v>
      </c>
      <c r="H501" s="9">
        <v>21</v>
      </c>
      <c r="I501" s="32">
        <f t="shared" si="46"/>
        <v>0</v>
      </c>
      <c r="J501" s="32"/>
      <c r="K501" s="33">
        <f t="shared" si="47"/>
        <v>0</v>
      </c>
      <c r="L501" s="67"/>
    </row>
    <row r="502" spans="1:12" x14ac:dyDescent="0.25">
      <c r="A502" s="21"/>
      <c r="B502" s="30"/>
      <c r="C502" s="30"/>
      <c r="D502" s="38"/>
      <c r="E502" s="8"/>
      <c r="F502" s="31" t="str">
        <f t="shared" si="44"/>
        <v xml:space="preserve">N/F  </v>
      </c>
      <c r="G502" s="42">
        <f t="shared" si="45"/>
        <v>0</v>
      </c>
      <c r="H502" s="9">
        <v>21</v>
      </c>
      <c r="I502" s="32">
        <f t="shared" si="46"/>
        <v>0</v>
      </c>
      <c r="J502" s="32"/>
      <c r="K502" s="33">
        <f t="shared" si="47"/>
        <v>0</v>
      </c>
      <c r="L502" s="67"/>
    </row>
    <row r="503" spans="1:12" x14ac:dyDescent="0.25">
      <c r="A503" s="21"/>
      <c r="B503" s="30"/>
      <c r="C503" s="30"/>
      <c r="D503" s="38"/>
      <c r="E503" s="8"/>
      <c r="F503" s="31" t="str">
        <f t="shared" si="44"/>
        <v xml:space="preserve">N/F  </v>
      </c>
      <c r="G503" s="42">
        <f t="shared" si="45"/>
        <v>0</v>
      </c>
      <c r="H503" s="9">
        <v>21</v>
      </c>
      <c r="I503" s="32">
        <f t="shared" si="46"/>
        <v>0</v>
      </c>
      <c r="J503" s="32"/>
      <c r="K503" s="33">
        <f t="shared" si="47"/>
        <v>0</v>
      </c>
      <c r="L503" s="67"/>
    </row>
    <row r="504" spans="1:12" x14ac:dyDescent="0.25">
      <c r="A504" s="21"/>
      <c r="B504" s="30"/>
      <c r="C504" s="30"/>
      <c r="D504" s="38"/>
      <c r="E504" s="8"/>
      <c r="F504" s="31" t="str">
        <f t="shared" si="44"/>
        <v xml:space="preserve">N/F  </v>
      </c>
      <c r="G504" s="42">
        <f t="shared" si="45"/>
        <v>0</v>
      </c>
      <c r="H504" s="9">
        <v>21</v>
      </c>
      <c r="I504" s="32">
        <f t="shared" si="46"/>
        <v>0</v>
      </c>
      <c r="J504" s="32"/>
      <c r="K504" s="33">
        <f t="shared" si="47"/>
        <v>0</v>
      </c>
      <c r="L504" s="67"/>
    </row>
    <row r="505" spans="1:12" x14ac:dyDescent="0.25">
      <c r="A505" s="21"/>
      <c r="B505" s="30"/>
      <c r="C505" s="30"/>
      <c r="D505" s="38"/>
      <c r="E505" s="8"/>
      <c r="F505" s="31" t="str">
        <f t="shared" si="44"/>
        <v xml:space="preserve">N/F  </v>
      </c>
      <c r="G505" s="42">
        <f t="shared" si="45"/>
        <v>0</v>
      </c>
      <c r="H505" s="9">
        <v>21</v>
      </c>
      <c r="I505" s="32">
        <f t="shared" si="46"/>
        <v>0</v>
      </c>
      <c r="J505" s="32"/>
      <c r="K505" s="33">
        <f t="shared" si="47"/>
        <v>0</v>
      </c>
      <c r="L505" s="67"/>
    </row>
    <row r="506" spans="1:12" x14ac:dyDescent="0.25">
      <c r="A506" s="21"/>
      <c r="B506" s="30"/>
      <c r="C506" s="30"/>
      <c r="D506" s="38"/>
      <c r="E506" s="8"/>
      <c r="F506" s="31" t="str">
        <f t="shared" si="44"/>
        <v xml:space="preserve">N/F  </v>
      </c>
      <c r="G506" s="42">
        <f t="shared" si="45"/>
        <v>0</v>
      </c>
      <c r="H506" s="9">
        <v>21</v>
      </c>
      <c r="I506" s="32">
        <f t="shared" si="46"/>
        <v>0</v>
      </c>
      <c r="J506" s="32"/>
      <c r="K506" s="33">
        <f t="shared" si="47"/>
        <v>0</v>
      </c>
    </row>
    <row r="507" spans="1:12" x14ac:dyDescent="0.25">
      <c r="A507" s="21"/>
      <c r="B507" s="30"/>
      <c r="C507" s="30"/>
      <c r="D507" s="38"/>
      <c r="E507" s="8"/>
      <c r="F507" s="31" t="str">
        <f t="shared" si="44"/>
        <v xml:space="preserve">N/F  </v>
      </c>
      <c r="G507" s="42">
        <f t="shared" si="45"/>
        <v>0</v>
      </c>
      <c r="H507" s="9">
        <v>21</v>
      </c>
      <c r="I507" s="32">
        <f t="shared" si="46"/>
        <v>0</v>
      </c>
      <c r="J507" s="32"/>
      <c r="K507" s="33">
        <f t="shared" si="47"/>
        <v>0</v>
      </c>
    </row>
    <row r="508" spans="1:12" x14ac:dyDescent="0.25">
      <c r="A508" s="21"/>
      <c r="B508" s="30"/>
      <c r="C508" s="30"/>
      <c r="D508" s="38"/>
      <c r="E508" s="8"/>
      <c r="F508" s="31" t="str">
        <f t="shared" si="44"/>
        <v xml:space="preserve">N/F  </v>
      </c>
      <c r="G508" s="42">
        <f t="shared" si="45"/>
        <v>0</v>
      </c>
      <c r="H508" s="9">
        <v>21</v>
      </c>
      <c r="I508" s="32">
        <f t="shared" si="46"/>
        <v>0</v>
      </c>
      <c r="J508" s="32"/>
      <c r="K508" s="33">
        <f t="shared" si="47"/>
        <v>0</v>
      </c>
    </row>
    <row r="509" spans="1:12" x14ac:dyDescent="0.25">
      <c r="A509" s="21"/>
      <c r="B509" s="30"/>
      <c r="C509" s="30"/>
      <c r="D509" s="38"/>
      <c r="E509" s="8"/>
      <c r="F509" s="31" t="str">
        <f t="shared" si="44"/>
        <v xml:space="preserve">N/F  </v>
      </c>
      <c r="G509" s="42">
        <f t="shared" si="45"/>
        <v>0</v>
      </c>
      <c r="H509" s="9">
        <v>21</v>
      </c>
      <c r="I509" s="32">
        <f t="shared" si="46"/>
        <v>0</v>
      </c>
      <c r="J509" s="32"/>
      <c r="K509" s="33">
        <f t="shared" si="47"/>
        <v>0</v>
      </c>
    </row>
    <row r="510" spans="1:12" x14ac:dyDescent="0.25">
      <c r="A510" s="21"/>
      <c r="B510" s="30"/>
      <c r="C510" s="30"/>
      <c r="D510" s="38"/>
      <c r="E510" s="8"/>
      <c r="F510" s="31" t="str">
        <f t="shared" si="44"/>
        <v xml:space="preserve">N/F  </v>
      </c>
      <c r="G510" s="42">
        <f t="shared" si="45"/>
        <v>0</v>
      </c>
      <c r="H510" s="9">
        <v>21</v>
      </c>
      <c r="I510" s="32">
        <f t="shared" si="46"/>
        <v>0</v>
      </c>
      <c r="J510" s="32"/>
      <c r="K510" s="33">
        <f t="shared" si="47"/>
        <v>0</v>
      </c>
    </row>
    <row r="511" spans="1:12" x14ac:dyDescent="0.25">
      <c r="A511" s="21"/>
      <c r="B511" s="30"/>
      <c r="C511" s="30"/>
      <c r="D511" s="38"/>
      <c r="E511" s="8"/>
      <c r="F511" s="31" t="str">
        <f t="shared" si="44"/>
        <v xml:space="preserve">N/F  </v>
      </c>
      <c r="G511" s="42">
        <f t="shared" si="45"/>
        <v>0</v>
      </c>
      <c r="H511" s="9">
        <v>21</v>
      </c>
      <c r="I511" s="32">
        <f t="shared" si="46"/>
        <v>0</v>
      </c>
      <c r="J511" s="32"/>
      <c r="K511" s="33">
        <f t="shared" si="47"/>
        <v>0</v>
      </c>
    </row>
    <row r="512" spans="1:12" x14ac:dyDescent="0.25">
      <c r="A512" s="21"/>
      <c r="B512" s="30"/>
      <c r="C512" s="30"/>
      <c r="D512" s="38"/>
      <c r="E512" s="8"/>
      <c r="F512" s="31" t="str">
        <f t="shared" si="44"/>
        <v xml:space="preserve">N/F  </v>
      </c>
      <c r="G512" s="42">
        <f t="shared" si="45"/>
        <v>0</v>
      </c>
      <c r="H512" s="9">
        <v>21</v>
      </c>
      <c r="I512" s="32">
        <f t="shared" si="46"/>
        <v>0</v>
      </c>
      <c r="J512" s="32"/>
      <c r="K512" s="33">
        <f t="shared" si="47"/>
        <v>0</v>
      </c>
    </row>
    <row r="513" spans="1:11" x14ac:dyDescent="0.25">
      <c r="A513" s="21"/>
      <c r="B513" s="30"/>
      <c r="C513" s="30"/>
      <c r="D513" s="38"/>
      <c r="E513" s="8"/>
      <c r="F513" s="31" t="str">
        <f t="shared" si="44"/>
        <v xml:space="preserve">N/F  </v>
      </c>
      <c r="G513" s="42">
        <f t="shared" si="45"/>
        <v>0</v>
      </c>
      <c r="H513" s="9">
        <v>21</v>
      </c>
      <c r="I513" s="32">
        <f t="shared" si="46"/>
        <v>0</v>
      </c>
      <c r="J513" s="32"/>
      <c r="K513" s="33">
        <f t="shared" si="47"/>
        <v>0</v>
      </c>
    </row>
    <row r="514" spans="1:11" x14ac:dyDescent="0.25">
      <c r="A514" s="21"/>
      <c r="B514" s="30"/>
      <c r="C514" s="30"/>
      <c r="D514" s="38"/>
      <c r="E514" s="8"/>
      <c r="F514" s="31" t="str">
        <f t="shared" si="44"/>
        <v xml:space="preserve">N/F  </v>
      </c>
      <c r="G514" s="42">
        <f t="shared" si="45"/>
        <v>0</v>
      </c>
      <c r="H514" s="9">
        <v>21</v>
      </c>
      <c r="I514" s="32">
        <f t="shared" si="46"/>
        <v>0</v>
      </c>
      <c r="J514" s="32"/>
      <c r="K514" s="33">
        <f t="shared" si="47"/>
        <v>0</v>
      </c>
    </row>
    <row r="515" spans="1:11" x14ac:dyDescent="0.25">
      <c r="A515" s="21"/>
      <c r="B515" s="30"/>
      <c r="C515" s="30"/>
      <c r="D515" s="38"/>
      <c r="E515" s="8"/>
      <c r="F515" s="31" t="str">
        <f t="shared" si="44"/>
        <v xml:space="preserve">N/F  </v>
      </c>
      <c r="G515" s="42">
        <f t="shared" si="45"/>
        <v>0</v>
      </c>
      <c r="H515" s="9">
        <v>21</v>
      </c>
      <c r="I515" s="32">
        <f t="shared" si="46"/>
        <v>0</v>
      </c>
      <c r="J515" s="32"/>
      <c r="K515" s="33">
        <f t="shared" si="47"/>
        <v>0</v>
      </c>
    </row>
    <row r="516" spans="1:11" x14ac:dyDescent="0.25">
      <c r="A516" s="21"/>
      <c r="B516" s="30"/>
      <c r="C516" s="30"/>
      <c r="D516" s="38"/>
      <c r="E516" s="8"/>
      <c r="F516" s="31" t="str">
        <f t="shared" si="44"/>
        <v xml:space="preserve">N/F  </v>
      </c>
      <c r="G516" s="42">
        <f t="shared" si="45"/>
        <v>0</v>
      </c>
      <c r="H516" s="9">
        <v>21</v>
      </c>
      <c r="I516" s="32">
        <f t="shared" si="46"/>
        <v>0</v>
      </c>
      <c r="J516" s="32"/>
      <c r="K516" s="33">
        <f t="shared" si="47"/>
        <v>0</v>
      </c>
    </row>
    <row r="517" spans="1:11" x14ac:dyDescent="0.25">
      <c r="A517" s="21"/>
      <c r="B517" s="30"/>
      <c r="C517" s="30"/>
      <c r="D517" s="38"/>
      <c r="E517" s="8"/>
      <c r="F517" s="31" t="str">
        <f t="shared" si="44"/>
        <v xml:space="preserve">N/F  </v>
      </c>
      <c r="G517" s="42">
        <f t="shared" si="45"/>
        <v>0</v>
      </c>
      <c r="H517" s="9">
        <v>21</v>
      </c>
      <c r="I517" s="32">
        <f t="shared" si="46"/>
        <v>0</v>
      </c>
      <c r="J517" s="32"/>
      <c r="K517" s="33">
        <f t="shared" si="47"/>
        <v>0</v>
      </c>
    </row>
    <row r="518" spans="1:11" x14ac:dyDescent="0.25">
      <c r="A518" s="21"/>
      <c r="B518" s="30"/>
      <c r="C518" s="30"/>
      <c r="D518" s="38"/>
      <c r="E518" s="8"/>
      <c r="F518" s="31" t="str">
        <f t="shared" si="44"/>
        <v xml:space="preserve">N/F  </v>
      </c>
      <c r="G518" s="42">
        <f t="shared" si="45"/>
        <v>0</v>
      </c>
      <c r="H518" s="9">
        <v>21</v>
      </c>
      <c r="I518" s="32">
        <f t="shared" si="46"/>
        <v>0</v>
      </c>
      <c r="J518" s="32"/>
      <c r="K518" s="33">
        <f t="shared" si="47"/>
        <v>0</v>
      </c>
    </row>
    <row r="519" spans="1:11" x14ac:dyDescent="0.25">
      <c r="A519" s="21"/>
      <c r="B519" s="30"/>
      <c r="C519" s="30"/>
      <c r="D519" s="38"/>
      <c r="E519" s="8"/>
      <c r="F519" s="31" t="str">
        <f t="shared" si="44"/>
        <v xml:space="preserve">N/F  </v>
      </c>
      <c r="G519" s="42">
        <f t="shared" si="45"/>
        <v>0</v>
      </c>
      <c r="H519" s="9">
        <v>21</v>
      </c>
      <c r="I519" s="32">
        <f t="shared" si="46"/>
        <v>0</v>
      </c>
      <c r="J519" s="32"/>
      <c r="K519" s="33">
        <f t="shared" si="47"/>
        <v>0</v>
      </c>
    </row>
    <row r="520" spans="1:11" x14ac:dyDescent="0.25">
      <c r="A520" s="21"/>
      <c r="B520" s="30"/>
      <c r="C520" s="30"/>
      <c r="D520" s="38"/>
      <c r="E520" s="8"/>
      <c r="F520" s="31" t="str">
        <f t="shared" si="44"/>
        <v xml:space="preserve">N/F  </v>
      </c>
      <c r="G520" s="42">
        <f t="shared" si="45"/>
        <v>0</v>
      </c>
      <c r="H520" s="9">
        <v>21</v>
      </c>
      <c r="I520" s="32">
        <f t="shared" si="46"/>
        <v>0</v>
      </c>
      <c r="J520" s="32"/>
      <c r="K520" s="33">
        <f t="shared" si="47"/>
        <v>0</v>
      </c>
    </row>
    <row r="521" spans="1:11" x14ac:dyDescent="0.25">
      <c r="A521" s="21"/>
      <c r="B521" s="30"/>
      <c r="C521" s="30"/>
      <c r="D521" s="38"/>
      <c r="E521" s="8"/>
      <c r="F521" s="31" t="str">
        <f t="shared" si="44"/>
        <v xml:space="preserve">N/F  </v>
      </c>
      <c r="G521" s="42">
        <f t="shared" si="45"/>
        <v>0</v>
      </c>
      <c r="H521" s="9">
        <v>21</v>
      </c>
      <c r="I521" s="32">
        <f t="shared" si="46"/>
        <v>0</v>
      </c>
      <c r="J521" s="32"/>
      <c r="K521" s="33">
        <f t="shared" si="47"/>
        <v>0</v>
      </c>
    </row>
    <row r="522" spans="1:11" x14ac:dyDescent="0.25">
      <c r="A522" s="21"/>
      <c r="B522" s="30"/>
      <c r="C522" s="30"/>
      <c r="D522" s="38"/>
      <c r="E522" s="8"/>
      <c r="F522" s="31" t="str">
        <f t="shared" si="44"/>
        <v xml:space="preserve">N/F  </v>
      </c>
      <c r="G522" s="42">
        <f t="shared" si="45"/>
        <v>0</v>
      </c>
      <c r="H522" s="9">
        <v>21</v>
      </c>
      <c r="I522" s="32">
        <f t="shared" si="46"/>
        <v>0</v>
      </c>
      <c r="J522" s="32"/>
      <c r="K522" s="33">
        <f t="shared" si="47"/>
        <v>0</v>
      </c>
    </row>
    <row r="523" spans="1:11" x14ac:dyDescent="0.25">
      <c r="A523" s="21"/>
      <c r="B523" s="30"/>
      <c r="C523" s="30"/>
      <c r="D523" s="38"/>
      <c r="E523" s="8"/>
      <c r="F523" s="31" t="str">
        <f t="shared" si="44"/>
        <v xml:space="preserve">N/F  </v>
      </c>
      <c r="G523" s="42">
        <f t="shared" si="45"/>
        <v>0</v>
      </c>
      <c r="H523" s="9">
        <v>21</v>
      </c>
      <c r="I523" s="32">
        <f t="shared" si="46"/>
        <v>0</v>
      </c>
      <c r="J523" s="32"/>
      <c r="K523" s="33">
        <f t="shared" si="47"/>
        <v>0</v>
      </c>
    </row>
    <row r="524" spans="1:11" x14ac:dyDescent="0.25">
      <c r="A524" s="21"/>
      <c r="B524" s="30"/>
      <c r="C524" s="30"/>
      <c r="D524" s="38"/>
      <c r="E524" s="8"/>
      <c r="F524" s="31" t="str">
        <f t="shared" si="44"/>
        <v xml:space="preserve">N/F  </v>
      </c>
      <c r="G524" s="42">
        <f t="shared" si="45"/>
        <v>0</v>
      </c>
      <c r="H524" s="9">
        <v>21</v>
      </c>
      <c r="I524" s="32">
        <f t="shared" si="46"/>
        <v>0</v>
      </c>
      <c r="J524" s="32"/>
      <c r="K524" s="33">
        <f t="shared" si="47"/>
        <v>0</v>
      </c>
    </row>
    <row r="525" spans="1:11" x14ac:dyDescent="0.25">
      <c r="A525" s="21"/>
      <c r="B525" s="30"/>
      <c r="C525" s="30"/>
      <c r="D525" s="38"/>
      <c r="E525" s="8"/>
      <c r="F525" s="31" t="str">
        <f t="shared" si="44"/>
        <v xml:space="preserve">N/F  </v>
      </c>
      <c r="G525" s="42">
        <f t="shared" si="45"/>
        <v>0</v>
      </c>
      <c r="H525" s="9">
        <v>21</v>
      </c>
      <c r="I525" s="32">
        <f t="shared" si="46"/>
        <v>0</v>
      </c>
      <c r="J525" s="32"/>
      <c r="K525" s="33">
        <f t="shared" si="47"/>
        <v>0</v>
      </c>
    </row>
    <row r="526" spans="1:11" x14ac:dyDescent="0.25">
      <c r="A526" s="21"/>
      <c r="B526" s="30"/>
      <c r="C526" s="30"/>
      <c r="D526" s="38"/>
      <c r="E526" s="8"/>
      <c r="F526" s="31" t="str">
        <f t="shared" si="44"/>
        <v xml:space="preserve">N/F  </v>
      </c>
      <c r="G526" s="42">
        <f t="shared" si="45"/>
        <v>0</v>
      </c>
      <c r="H526" s="9">
        <v>21</v>
      </c>
      <c r="I526" s="32">
        <f t="shared" si="46"/>
        <v>0</v>
      </c>
      <c r="J526" s="32"/>
      <c r="K526" s="33">
        <f t="shared" si="47"/>
        <v>0</v>
      </c>
    </row>
    <row r="527" spans="1:11" x14ac:dyDescent="0.25">
      <c r="A527" s="21"/>
      <c r="B527" s="30"/>
      <c r="C527" s="30"/>
      <c r="D527" s="38"/>
      <c r="E527" s="8"/>
      <c r="F527" s="31" t="str">
        <f t="shared" si="44"/>
        <v xml:space="preserve">N/F  </v>
      </c>
      <c r="G527" s="42">
        <f t="shared" si="45"/>
        <v>0</v>
      </c>
      <c r="H527" s="9">
        <v>21</v>
      </c>
      <c r="I527" s="32">
        <f t="shared" si="46"/>
        <v>0</v>
      </c>
      <c r="J527" s="32"/>
      <c r="K527" s="33">
        <f t="shared" si="47"/>
        <v>0</v>
      </c>
    </row>
    <row r="528" spans="1:11" x14ac:dyDescent="0.25">
      <c r="A528" s="21"/>
      <c r="B528" s="30"/>
      <c r="C528" s="30"/>
      <c r="D528" s="38"/>
      <c r="E528" s="8"/>
      <c r="F528" s="31" t="str">
        <f t="shared" si="44"/>
        <v xml:space="preserve">N/F  </v>
      </c>
      <c r="G528" s="42">
        <f t="shared" si="45"/>
        <v>0</v>
      </c>
      <c r="H528" s="9">
        <v>21</v>
      </c>
      <c r="I528" s="32">
        <f t="shared" si="46"/>
        <v>0</v>
      </c>
      <c r="J528" s="32"/>
      <c r="K528" s="33">
        <f t="shared" si="47"/>
        <v>0</v>
      </c>
    </row>
    <row r="529" spans="1:11" x14ac:dyDescent="0.25">
      <c r="A529" s="21"/>
      <c r="B529" s="30"/>
      <c r="C529" s="30"/>
      <c r="D529" s="38"/>
      <c r="E529" s="8"/>
      <c r="F529" s="31" t="str">
        <f t="shared" si="44"/>
        <v xml:space="preserve">N/F  </v>
      </c>
      <c r="G529" s="42">
        <f t="shared" si="45"/>
        <v>0</v>
      </c>
      <c r="H529" s="9">
        <v>21</v>
      </c>
      <c r="I529" s="32">
        <f t="shared" si="46"/>
        <v>0</v>
      </c>
      <c r="J529" s="32"/>
      <c r="K529" s="33">
        <f t="shared" si="47"/>
        <v>0</v>
      </c>
    </row>
    <row r="530" spans="1:11" x14ac:dyDescent="0.25">
      <c r="A530" s="21"/>
      <c r="B530" s="30"/>
      <c r="C530" s="30"/>
      <c r="D530" s="38"/>
      <c r="E530" s="8"/>
      <c r="F530" s="31" t="str">
        <f t="shared" si="44"/>
        <v xml:space="preserve">N/F  </v>
      </c>
      <c r="G530" s="42">
        <f t="shared" si="45"/>
        <v>0</v>
      </c>
      <c r="H530" s="9">
        <v>21</v>
      </c>
      <c r="I530" s="32">
        <f t="shared" si="46"/>
        <v>0</v>
      </c>
      <c r="J530" s="32"/>
      <c r="K530" s="33">
        <f t="shared" si="47"/>
        <v>0</v>
      </c>
    </row>
    <row r="531" spans="1:11" x14ac:dyDescent="0.25">
      <c r="A531" s="21"/>
      <c r="B531" s="30"/>
      <c r="C531" s="30"/>
      <c r="D531" s="38"/>
      <c r="E531" s="8"/>
      <c r="F531" s="31" t="str">
        <f t="shared" si="44"/>
        <v xml:space="preserve">N/F  </v>
      </c>
      <c r="G531" s="42">
        <f t="shared" si="45"/>
        <v>0</v>
      </c>
      <c r="H531" s="9">
        <v>21</v>
      </c>
      <c r="I531" s="32">
        <f t="shared" si="46"/>
        <v>0</v>
      </c>
      <c r="J531" s="32"/>
      <c r="K531" s="33">
        <f t="shared" si="47"/>
        <v>0</v>
      </c>
    </row>
    <row r="532" spans="1:11" x14ac:dyDescent="0.25">
      <c r="A532" s="21"/>
      <c r="B532" s="30"/>
      <c r="C532" s="30"/>
      <c r="D532" s="38"/>
      <c r="E532" s="8"/>
      <c r="F532" s="31" t="str">
        <f t="shared" si="44"/>
        <v xml:space="preserve">N/F  </v>
      </c>
      <c r="G532" s="42">
        <f t="shared" si="45"/>
        <v>0</v>
      </c>
      <c r="H532" s="9">
        <v>21</v>
      </c>
      <c r="I532" s="32">
        <f t="shared" si="46"/>
        <v>0</v>
      </c>
      <c r="J532" s="32"/>
      <c r="K532" s="33">
        <f t="shared" si="47"/>
        <v>0</v>
      </c>
    </row>
    <row r="533" spans="1:11" x14ac:dyDescent="0.25">
      <c r="A533" s="21"/>
      <c r="B533" s="30"/>
      <c r="C533" s="30"/>
      <c r="D533" s="38"/>
      <c r="E533" s="8"/>
      <c r="F533" s="31" t="str">
        <f t="shared" si="44"/>
        <v xml:space="preserve">N/F  </v>
      </c>
      <c r="G533" s="42">
        <f t="shared" si="45"/>
        <v>0</v>
      </c>
      <c r="H533" s="9">
        <v>21</v>
      </c>
      <c r="I533" s="32">
        <f t="shared" si="46"/>
        <v>0</v>
      </c>
      <c r="J533" s="32"/>
      <c r="K533" s="33">
        <f t="shared" si="47"/>
        <v>0</v>
      </c>
    </row>
    <row r="534" spans="1:11" x14ac:dyDescent="0.25">
      <c r="A534" s="21"/>
      <c r="B534" s="30"/>
      <c r="C534" s="30"/>
      <c r="D534" s="38"/>
      <c r="E534" s="8"/>
      <c r="F534" s="31" t="str">
        <f t="shared" si="44"/>
        <v xml:space="preserve">N/F  </v>
      </c>
      <c r="G534" s="42">
        <f t="shared" si="45"/>
        <v>0</v>
      </c>
      <c r="H534" s="9">
        <v>21</v>
      </c>
      <c r="I534" s="32">
        <f t="shared" si="46"/>
        <v>0</v>
      </c>
      <c r="J534" s="32"/>
      <c r="K534" s="33">
        <f t="shared" si="47"/>
        <v>0</v>
      </c>
    </row>
    <row r="535" spans="1:11" x14ac:dyDescent="0.25">
      <c r="A535" s="21"/>
      <c r="B535" s="30"/>
      <c r="C535" s="30"/>
      <c r="D535" s="38"/>
      <c r="E535" s="8"/>
      <c r="F535" s="31" t="str">
        <f t="shared" si="44"/>
        <v xml:space="preserve">N/F  </v>
      </c>
      <c r="G535" s="42">
        <f t="shared" si="45"/>
        <v>0</v>
      </c>
      <c r="H535" s="9">
        <v>21</v>
      </c>
      <c r="I535" s="32">
        <f t="shared" si="46"/>
        <v>0</v>
      </c>
      <c r="J535" s="32"/>
      <c r="K535" s="33">
        <f t="shared" si="47"/>
        <v>0</v>
      </c>
    </row>
    <row r="536" spans="1:11" x14ac:dyDescent="0.25">
      <c r="A536" s="21"/>
      <c r="B536" s="30"/>
      <c r="C536" s="30"/>
      <c r="D536" s="38"/>
      <c r="E536" s="8"/>
      <c r="F536" s="31" t="str">
        <f t="shared" si="44"/>
        <v xml:space="preserve">N/F  </v>
      </c>
      <c r="G536" s="42">
        <f t="shared" si="45"/>
        <v>0</v>
      </c>
      <c r="H536" s="9">
        <v>21</v>
      </c>
      <c r="I536" s="32">
        <f t="shared" si="46"/>
        <v>0</v>
      </c>
      <c r="J536" s="32"/>
      <c r="K536" s="33">
        <f t="shared" si="47"/>
        <v>0</v>
      </c>
    </row>
    <row r="537" spans="1:11" x14ac:dyDescent="0.25">
      <c r="A537" s="21"/>
      <c r="B537" s="30"/>
      <c r="C537" s="30"/>
      <c r="D537" s="38"/>
      <c r="E537" s="8"/>
      <c r="F537" s="31" t="str">
        <f t="shared" si="44"/>
        <v xml:space="preserve">N/F  </v>
      </c>
      <c r="G537" s="42">
        <f t="shared" si="45"/>
        <v>0</v>
      </c>
      <c r="H537" s="9">
        <v>21</v>
      </c>
      <c r="I537" s="32">
        <f t="shared" si="46"/>
        <v>0</v>
      </c>
      <c r="J537" s="32"/>
      <c r="K537" s="33">
        <f t="shared" si="47"/>
        <v>0</v>
      </c>
    </row>
    <row r="538" spans="1:11" x14ac:dyDescent="0.25">
      <c r="A538" s="21"/>
      <c r="B538" s="30"/>
      <c r="C538" s="30"/>
      <c r="D538" s="38"/>
      <c r="E538" s="8"/>
      <c r="F538" s="31" t="str">
        <f t="shared" si="44"/>
        <v xml:space="preserve">N/F  </v>
      </c>
      <c r="G538" s="42">
        <f t="shared" si="45"/>
        <v>0</v>
      </c>
      <c r="H538" s="9">
        <v>21</v>
      </c>
      <c r="I538" s="32">
        <f t="shared" si="46"/>
        <v>0</v>
      </c>
      <c r="J538" s="32"/>
      <c r="K538" s="33">
        <f t="shared" si="47"/>
        <v>0</v>
      </c>
    </row>
    <row r="539" spans="1:11" x14ac:dyDescent="0.25">
      <c r="A539" s="21"/>
      <c r="B539" s="30"/>
      <c r="C539" s="30"/>
      <c r="D539" s="38"/>
      <c r="E539" s="8"/>
      <c r="F539" s="31" t="str">
        <f t="shared" si="44"/>
        <v xml:space="preserve">N/F  </v>
      </c>
      <c r="G539" s="42">
        <f t="shared" si="45"/>
        <v>0</v>
      </c>
      <c r="H539" s="9">
        <v>21</v>
      </c>
      <c r="I539" s="32">
        <f t="shared" si="46"/>
        <v>0</v>
      </c>
      <c r="J539" s="32"/>
      <c r="K539" s="33">
        <f t="shared" si="47"/>
        <v>0</v>
      </c>
    </row>
    <row r="540" spans="1:11" x14ac:dyDescent="0.25">
      <c r="A540" s="21"/>
      <c r="B540" s="30"/>
      <c r="C540" s="30"/>
      <c r="D540" s="38"/>
      <c r="E540" s="8"/>
      <c r="F540" s="31" t="str">
        <f t="shared" si="44"/>
        <v xml:space="preserve">N/F  </v>
      </c>
      <c r="G540" s="42">
        <f t="shared" si="45"/>
        <v>0</v>
      </c>
      <c r="H540" s="9">
        <v>21</v>
      </c>
      <c r="I540" s="32">
        <f t="shared" si="46"/>
        <v>0</v>
      </c>
      <c r="J540" s="32"/>
      <c r="K540" s="33">
        <f t="shared" si="47"/>
        <v>0</v>
      </c>
    </row>
    <row r="541" spans="1:11" x14ac:dyDescent="0.25">
      <c r="A541" s="21"/>
      <c r="B541" s="30"/>
      <c r="C541" s="30"/>
      <c r="D541" s="38"/>
      <c r="E541" s="8"/>
      <c r="F541" s="31" t="str">
        <f t="shared" si="44"/>
        <v xml:space="preserve">N/F  </v>
      </c>
      <c r="G541" s="42">
        <f t="shared" si="45"/>
        <v>0</v>
      </c>
      <c r="H541" s="9">
        <v>21</v>
      </c>
      <c r="I541" s="32">
        <f t="shared" si="46"/>
        <v>0</v>
      </c>
      <c r="J541" s="32"/>
      <c r="K541" s="33">
        <f t="shared" si="47"/>
        <v>0</v>
      </c>
    </row>
    <row r="542" spans="1:11" x14ac:dyDescent="0.25">
      <c r="A542" s="21"/>
      <c r="B542" s="30"/>
      <c r="C542" s="30"/>
      <c r="D542" s="38"/>
      <c r="E542" s="8"/>
      <c r="F542" s="31" t="str">
        <f t="shared" si="44"/>
        <v xml:space="preserve">N/F  </v>
      </c>
      <c r="G542" s="42">
        <f t="shared" si="45"/>
        <v>0</v>
      </c>
      <c r="H542" s="9">
        <v>21</v>
      </c>
      <c r="I542" s="32">
        <f t="shared" si="46"/>
        <v>0</v>
      </c>
      <c r="J542" s="32"/>
      <c r="K542" s="33">
        <f t="shared" si="47"/>
        <v>0</v>
      </c>
    </row>
    <row r="543" spans="1:11" x14ac:dyDescent="0.25">
      <c r="A543" s="21"/>
      <c r="B543" s="30"/>
      <c r="C543" s="30"/>
      <c r="D543" s="38"/>
      <c r="E543" s="8"/>
      <c r="F543" s="31" t="str">
        <f t="shared" si="44"/>
        <v xml:space="preserve">N/F  </v>
      </c>
      <c r="G543" s="42">
        <f t="shared" si="45"/>
        <v>0</v>
      </c>
      <c r="H543" s="9">
        <v>21</v>
      </c>
      <c r="I543" s="32">
        <f t="shared" si="46"/>
        <v>0</v>
      </c>
      <c r="J543" s="32"/>
      <c r="K543" s="33">
        <f t="shared" si="47"/>
        <v>0</v>
      </c>
    </row>
    <row r="544" spans="1:11" x14ac:dyDescent="0.25">
      <c r="A544" s="21"/>
      <c r="B544" s="30"/>
      <c r="C544" s="30"/>
      <c r="D544" s="38"/>
      <c r="E544" s="8"/>
      <c r="F544" s="31" t="str">
        <f t="shared" si="44"/>
        <v xml:space="preserve">N/F  </v>
      </c>
      <c r="G544" s="42">
        <f t="shared" si="45"/>
        <v>0</v>
      </c>
      <c r="H544" s="9">
        <v>21</v>
      </c>
      <c r="I544" s="32">
        <f t="shared" si="46"/>
        <v>0</v>
      </c>
      <c r="J544" s="32"/>
      <c r="K544" s="33">
        <f t="shared" si="47"/>
        <v>0</v>
      </c>
    </row>
    <row r="545" spans="1:11" x14ac:dyDescent="0.25">
      <c r="A545" s="21"/>
      <c r="B545" s="30"/>
      <c r="C545" s="30"/>
      <c r="D545" s="38"/>
      <c r="E545" s="8"/>
      <c r="F545" s="31" t="str">
        <f t="shared" si="44"/>
        <v xml:space="preserve">N/F  </v>
      </c>
      <c r="G545" s="42">
        <f t="shared" si="45"/>
        <v>0</v>
      </c>
      <c r="H545" s="9">
        <v>21</v>
      </c>
      <c r="I545" s="32">
        <f t="shared" si="46"/>
        <v>0</v>
      </c>
      <c r="J545" s="32"/>
      <c r="K545" s="33">
        <f t="shared" si="47"/>
        <v>0</v>
      </c>
    </row>
    <row r="546" spans="1:11" x14ac:dyDescent="0.25">
      <c r="A546" s="21"/>
      <c r="B546" s="30"/>
      <c r="C546" s="30"/>
      <c r="D546" s="38"/>
      <c r="E546" s="8"/>
      <c r="F546" s="31" t="str">
        <f t="shared" si="44"/>
        <v xml:space="preserve">N/F  </v>
      </c>
      <c r="G546" s="42">
        <f t="shared" si="45"/>
        <v>0</v>
      </c>
      <c r="H546" s="9">
        <v>21</v>
      </c>
      <c r="I546" s="32">
        <f t="shared" si="46"/>
        <v>0</v>
      </c>
      <c r="J546" s="32"/>
      <c r="K546" s="33">
        <f t="shared" si="47"/>
        <v>0</v>
      </c>
    </row>
    <row r="547" spans="1:11" x14ac:dyDescent="0.25">
      <c r="A547" s="21"/>
      <c r="B547" s="30"/>
      <c r="C547" s="30"/>
      <c r="D547" s="38"/>
      <c r="E547" s="8"/>
      <c r="F547" s="31" t="str">
        <f t="shared" si="44"/>
        <v xml:space="preserve">N/F  </v>
      </c>
      <c r="G547" s="42">
        <f t="shared" si="45"/>
        <v>0</v>
      </c>
      <c r="H547" s="9">
        <v>21</v>
      </c>
      <c r="I547" s="32">
        <f t="shared" si="46"/>
        <v>0</v>
      </c>
      <c r="J547" s="32"/>
      <c r="K547" s="33">
        <f t="shared" si="47"/>
        <v>0</v>
      </c>
    </row>
    <row r="548" spans="1:11" x14ac:dyDescent="0.25">
      <c r="A548" s="21"/>
      <c r="B548" s="30"/>
      <c r="C548" s="30"/>
      <c r="D548" s="38"/>
      <c r="E548" s="8"/>
      <c r="F548" s="31" t="str">
        <f t="shared" si="44"/>
        <v xml:space="preserve">N/F  </v>
      </c>
      <c r="G548" s="42">
        <f t="shared" si="45"/>
        <v>0</v>
      </c>
      <c r="H548" s="9">
        <v>21</v>
      </c>
      <c r="I548" s="32">
        <f t="shared" si="46"/>
        <v>0</v>
      </c>
      <c r="J548" s="32"/>
      <c r="K548" s="33">
        <f t="shared" si="47"/>
        <v>0</v>
      </c>
    </row>
    <row r="549" spans="1:11" x14ac:dyDescent="0.25">
      <c r="A549" s="21"/>
      <c r="B549" s="30"/>
      <c r="C549" s="30"/>
      <c r="D549" s="38"/>
      <c r="E549" s="8"/>
      <c r="F549" s="31" t="str">
        <f t="shared" si="44"/>
        <v xml:space="preserve">N/F  </v>
      </c>
      <c r="G549" s="42">
        <f t="shared" si="45"/>
        <v>0</v>
      </c>
      <c r="H549" s="9">
        <v>21</v>
      </c>
      <c r="I549" s="32">
        <f t="shared" si="46"/>
        <v>0</v>
      </c>
      <c r="J549" s="32"/>
      <c r="K549" s="33">
        <f t="shared" si="47"/>
        <v>0</v>
      </c>
    </row>
    <row r="550" spans="1:11" x14ac:dyDescent="0.25">
      <c r="A550" s="21"/>
      <c r="B550" s="30"/>
      <c r="C550" s="30"/>
      <c r="D550" s="38"/>
      <c r="E550" s="8"/>
      <c r="F550" s="31" t="str">
        <f t="shared" si="44"/>
        <v xml:space="preserve">N/F  </v>
      </c>
      <c r="G550" s="42">
        <f t="shared" si="45"/>
        <v>0</v>
      </c>
      <c r="H550" s="9">
        <v>21</v>
      </c>
      <c r="I550" s="32">
        <f t="shared" si="46"/>
        <v>0</v>
      </c>
      <c r="J550" s="32"/>
      <c r="K550" s="33">
        <f t="shared" si="47"/>
        <v>0</v>
      </c>
    </row>
    <row r="551" spans="1:11" x14ac:dyDescent="0.25">
      <c r="A551" s="21"/>
      <c r="B551" s="30"/>
      <c r="C551" s="30"/>
      <c r="D551" s="38"/>
      <c r="E551" s="8"/>
      <c r="F551" s="31" t="str">
        <f t="shared" si="44"/>
        <v xml:space="preserve">N/F  </v>
      </c>
      <c r="G551" s="42">
        <f t="shared" si="45"/>
        <v>0</v>
      </c>
      <c r="H551" s="9">
        <v>21</v>
      </c>
      <c r="I551" s="32">
        <f t="shared" si="46"/>
        <v>0</v>
      </c>
      <c r="J551" s="32"/>
      <c r="K551" s="33">
        <f t="shared" si="47"/>
        <v>0</v>
      </c>
    </row>
    <row r="552" spans="1:11" x14ac:dyDescent="0.25">
      <c r="A552" s="21"/>
      <c r="B552" s="30"/>
      <c r="C552" s="30"/>
      <c r="D552" s="38"/>
      <c r="E552" s="8"/>
      <c r="F552" s="31" t="str">
        <f t="shared" si="44"/>
        <v xml:space="preserve">N/F  </v>
      </c>
      <c r="G552" s="42">
        <f t="shared" si="45"/>
        <v>0</v>
      </c>
      <c r="H552" s="9">
        <v>21</v>
      </c>
      <c r="I552" s="32">
        <f t="shared" si="46"/>
        <v>0</v>
      </c>
      <c r="J552" s="32"/>
      <c r="K552" s="33">
        <f t="shared" si="47"/>
        <v>0</v>
      </c>
    </row>
    <row r="553" spans="1:11" x14ac:dyDescent="0.25">
      <c r="A553" s="21"/>
      <c r="B553" s="30"/>
      <c r="C553" s="30"/>
      <c r="D553" s="38"/>
      <c r="E553" s="8"/>
      <c r="F553" s="31" t="str">
        <f t="shared" si="44"/>
        <v xml:space="preserve">N/F  </v>
      </c>
      <c r="G553" s="42">
        <f t="shared" si="45"/>
        <v>0</v>
      </c>
      <c r="H553" s="9">
        <v>21</v>
      </c>
      <c r="I553" s="32">
        <f t="shared" si="46"/>
        <v>0</v>
      </c>
      <c r="J553" s="32"/>
      <c r="K553" s="33">
        <f t="shared" si="47"/>
        <v>0</v>
      </c>
    </row>
    <row r="554" spans="1:11" x14ac:dyDescent="0.25">
      <c r="A554" s="21"/>
      <c r="B554" s="30"/>
      <c r="C554" s="30"/>
      <c r="D554" s="38"/>
      <c r="E554" s="8"/>
      <c r="F554" s="31" t="str">
        <f t="shared" ref="F554:F586" si="48">"N/F "&amp;B554&amp;" "&amp;E554</f>
        <v xml:space="preserve">N/F  </v>
      </c>
      <c r="G554" s="42">
        <f t="shared" ref="G554:G586" si="49">+D554/1.21</f>
        <v>0</v>
      </c>
      <c r="H554" s="9">
        <v>21</v>
      </c>
      <c r="I554" s="32">
        <f t="shared" ref="I554:I586" si="50">+IF(G554&lt;&gt;0,G554*H554/100,0)</f>
        <v>0</v>
      </c>
      <c r="J554" s="32"/>
      <c r="K554" s="33">
        <f t="shared" ref="K554:K586" si="51">+G554+I554</f>
        <v>0</v>
      </c>
    </row>
    <row r="555" spans="1:11" x14ac:dyDescent="0.25">
      <c r="A555" s="21"/>
      <c r="B555" s="30"/>
      <c r="C555" s="30"/>
      <c r="D555" s="38"/>
      <c r="E555" s="8"/>
      <c r="F555" s="31" t="str">
        <f t="shared" si="48"/>
        <v xml:space="preserve">N/F  </v>
      </c>
      <c r="G555" s="42">
        <f t="shared" si="49"/>
        <v>0</v>
      </c>
      <c r="H555" s="9">
        <v>21</v>
      </c>
      <c r="I555" s="32">
        <f t="shared" si="50"/>
        <v>0</v>
      </c>
      <c r="J555" s="32"/>
      <c r="K555" s="33">
        <f t="shared" si="51"/>
        <v>0</v>
      </c>
    </row>
    <row r="556" spans="1:11" x14ac:dyDescent="0.25">
      <c r="A556" s="21"/>
      <c r="B556" s="30"/>
      <c r="C556" s="30"/>
      <c r="D556" s="38"/>
      <c r="E556" s="8"/>
      <c r="F556" s="31" t="str">
        <f t="shared" si="48"/>
        <v xml:space="preserve">N/F  </v>
      </c>
      <c r="G556" s="42">
        <f t="shared" si="49"/>
        <v>0</v>
      </c>
      <c r="H556" s="9">
        <v>21</v>
      </c>
      <c r="I556" s="32">
        <f t="shared" si="50"/>
        <v>0</v>
      </c>
      <c r="J556" s="32"/>
      <c r="K556" s="33">
        <f t="shared" si="51"/>
        <v>0</v>
      </c>
    </row>
    <row r="557" spans="1:11" x14ac:dyDescent="0.25">
      <c r="A557" s="21"/>
      <c r="B557" s="30"/>
      <c r="C557" s="30"/>
      <c r="D557" s="38"/>
      <c r="E557" s="8"/>
      <c r="F557" s="31" t="str">
        <f t="shared" si="48"/>
        <v xml:space="preserve">N/F  </v>
      </c>
      <c r="G557" s="42">
        <f t="shared" si="49"/>
        <v>0</v>
      </c>
      <c r="H557" s="9">
        <v>21</v>
      </c>
      <c r="I557" s="32">
        <f t="shared" si="50"/>
        <v>0</v>
      </c>
      <c r="J557" s="32"/>
      <c r="K557" s="33">
        <f t="shared" si="51"/>
        <v>0</v>
      </c>
    </row>
    <row r="558" spans="1:11" x14ac:dyDescent="0.25">
      <c r="A558" s="21"/>
      <c r="B558" s="30"/>
      <c r="C558" s="30"/>
      <c r="D558" s="38"/>
      <c r="E558" s="8"/>
      <c r="F558" s="31" t="str">
        <f t="shared" si="48"/>
        <v xml:space="preserve">N/F  </v>
      </c>
      <c r="G558" s="42">
        <f t="shared" si="49"/>
        <v>0</v>
      </c>
      <c r="H558" s="9">
        <v>21</v>
      </c>
      <c r="I558" s="32">
        <f t="shared" si="50"/>
        <v>0</v>
      </c>
      <c r="J558" s="32"/>
      <c r="K558" s="33">
        <f t="shared" si="51"/>
        <v>0</v>
      </c>
    </row>
    <row r="559" spans="1:11" x14ac:dyDescent="0.25">
      <c r="A559" s="21"/>
      <c r="B559" s="30"/>
      <c r="C559" s="30"/>
      <c r="D559" s="38"/>
      <c r="E559" s="8"/>
      <c r="F559" s="31" t="str">
        <f t="shared" si="48"/>
        <v xml:space="preserve">N/F  </v>
      </c>
      <c r="G559" s="42">
        <f t="shared" si="49"/>
        <v>0</v>
      </c>
      <c r="H559" s="9">
        <v>21</v>
      </c>
      <c r="I559" s="32">
        <f t="shared" si="50"/>
        <v>0</v>
      </c>
      <c r="J559" s="32"/>
      <c r="K559" s="33">
        <f t="shared" si="51"/>
        <v>0</v>
      </c>
    </row>
    <row r="560" spans="1:11" x14ac:dyDescent="0.25">
      <c r="A560" s="21"/>
      <c r="B560" s="30"/>
      <c r="C560" s="30"/>
      <c r="D560" s="38"/>
      <c r="E560" s="8"/>
      <c r="F560" s="31" t="str">
        <f t="shared" si="48"/>
        <v xml:space="preserve">N/F  </v>
      </c>
      <c r="G560" s="42">
        <f t="shared" si="49"/>
        <v>0</v>
      </c>
      <c r="H560" s="9">
        <v>21</v>
      </c>
      <c r="I560" s="32">
        <f t="shared" si="50"/>
        <v>0</v>
      </c>
      <c r="J560" s="32"/>
      <c r="K560" s="33">
        <f t="shared" si="51"/>
        <v>0</v>
      </c>
    </row>
    <row r="561" spans="1:11" x14ac:dyDescent="0.25">
      <c r="A561" s="21"/>
      <c r="B561" s="30"/>
      <c r="C561" s="30"/>
      <c r="D561" s="38"/>
      <c r="E561" s="8"/>
      <c r="F561" s="31" t="str">
        <f t="shared" si="48"/>
        <v xml:space="preserve">N/F  </v>
      </c>
      <c r="G561" s="42">
        <f t="shared" si="49"/>
        <v>0</v>
      </c>
      <c r="H561" s="9">
        <v>21</v>
      </c>
      <c r="I561" s="32">
        <f t="shared" si="50"/>
        <v>0</v>
      </c>
      <c r="J561" s="32"/>
      <c r="K561" s="33">
        <f t="shared" si="51"/>
        <v>0</v>
      </c>
    </row>
    <row r="562" spans="1:11" x14ac:dyDescent="0.25">
      <c r="A562" s="21"/>
      <c r="B562" s="30"/>
      <c r="C562" s="30"/>
      <c r="D562" s="38"/>
      <c r="E562" s="8"/>
      <c r="F562" s="31" t="str">
        <f t="shared" si="48"/>
        <v xml:space="preserve">N/F  </v>
      </c>
      <c r="G562" s="42">
        <f t="shared" si="49"/>
        <v>0</v>
      </c>
      <c r="H562" s="9">
        <v>21</v>
      </c>
      <c r="I562" s="32">
        <f t="shared" si="50"/>
        <v>0</v>
      </c>
      <c r="J562" s="32"/>
      <c r="K562" s="33">
        <f t="shared" si="51"/>
        <v>0</v>
      </c>
    </row>
    <row r="563" spans="1:11" x14ac:dyDescent="0.25">
      <c r="A563" s="21"/>
      <c r="B563" s="30"/>
      <c r="C563" s="30"/>
      <c r="D563" s="38"/>
      <c r="E563" s="8"/>
      <c r="F563" s="31" t="str">
        <f t="shared" si="48"/>
        <v xml:space="preserve">N/F  </v>
      </c>
      <c r="G563" s="42">
        <f t="shared" si="49"/>
        <v>0</v>
      </c>
      <c r="H563" s="9">
        <v>21</v>
      </c>
      <c r="I563" s="32">
        <f t="shared" si="50"/>
        <v>0</v>
      </c>
      <c r="J563" s="32"/>
      <c r="K563" s="33">
        <f t="shared" si="51"/>
        <v>0</v>
      </c>
    </row>
    <row r="564" spans="1:11" x14ac:dyDescent="0.25">
      <c r="A564" s="21"/>
      <c r="B564" s="30"/>
      <c r="C564" s="30"/>
      <c r="D564" s="38"/>
      <c r="E564" s="8"/>
      <c r="F564" s="31" t="str">
        <f t="shared" si="48"/>
        <v xml:space="preserve">N/F  </v>
      </c>
      <c r="G564" s="42">
        <f t="shared" si="49"/>
        <v>0</v>
      </c>
      <c r="H564" s="9">
        <v>21</v>
      </c>
      <c r="I564" s="32">
        <f t="shared" si="50"/>
        <v>0</v>
      </c>
      <c r="J564" s="32"/>
      <c r="K564" s="33">
        <f t="shared" si="51"/>
        <v>0</v>
      </c>
    </row>
    <row r="565" spans="1:11" x14ac:dyDescent="0.25">
      <c r="A565" s="21"/>
      <c r="B565" s="30"/>
      <c r="C565" s="30"/>
      <c r="D565" s="38"/>
      <c r="E565" s="8"/>
      <c r="F565" s="31" t="str">
        <f t="shared" si="48"/>
        <v xml:space="preserve">N/F  </v>
      </c>
      <c r="G565" s="42">
        <f t="shared" si="49"/>
        <v>0</v>
      </c>
      <c r="H565" s="9">
        <v>21</v>
      </c>
      <c r="I565" s="32">
        <f t="shared" si="50"/>
        <v>0</v>
      </c>
      <c r="J565" s="32"/>
      <c r="K565" s="33">
        <f t="shared" si="51"/>
        <v>0</v>
      </c>
    </row>
    <row r="566" spans="1:11" x14ac:dyDescent="0.25">
      <c r="A566" s="21"/>
      <c r="B566" s="30"/>
      <c r="C566" s="30"/>
      <c r="D566" s="38"/>
      <c r="E566" s="8"/>
      <c r="F566" s="31" t="str">
        <f t="shared" si="48"/>
        <v xml:space="preserve">N/F  </v>
      </c>
      <c r="G566" s="42">
        <f t="shared" si="49"/>
        <v>0</v>
      </c>
      <c r="H566" s="9">
        <v>21</v>
      </c>
      <c r="I566" s="32">
        <f t="shared" si="50"/>
        <v>0</v>
      </c>
      <c r="J566" s="32"/>
      <c r="K566" s="33">
        <f t="shared" si="51"/>
        <v>0</v>
      </c>
    </row>
    <row r="567" spans="1:11" x14ac:dyDescent="0.25">
      <c r="A567" s="21"/>
      <c r="B567" s="30"/>
      <c r="C567" s="30"/>
      <c r="D567" s="38"/>
      <c r="E567" s="8"/>
      <c r="F567" s="31" t="str">
        <f t="shared" si="48"/>
        <v xml:space="preserve">N/F  </v>
      </c>
      <c r="G567" s="42">
        <f t="shared" si="49"/>
        <v>0</v>
      </c>
      <c r="H567" s="9">
        <v>21</v>
      </c>
      <c r="I567" s="32">
        <f t="shared" si="50"/>
        <v>0</v>
      </c>
      <c r="J567" s="32"/>
      <c r="K567" s="33">
        <f t="shared" si="51"/>
        <v>0</v>
      </c>
    </row>
    <row r="568" spans="1:11" x14ac:dyDescent="0.25">
      <c r="A568" s="21"/>
      <c r="B568" s="30"/>
      <c r="C568" s="30"/>
      <c r="D568" s="38"/>
      <c r="E568" s="8"/>
      <c r="F568" s="31" t="str">
        <f t="shared" si="48"/>
        <v xml:space="preserve">N/F  </v>
      </c>
      <c r="G568" s="42">
        <f t="shared" si="49"/>
        <v>0</v>
      </c>
      <c r="H568" s="9">
        <v>21</v>
      </c>
      <c r="I568" s="32">
        <f t="shared" si="50"/>
        <v>0</v>
      </c>
      <c r="J568" s="32"/>
      <c r="K568" s="33">
        <f t="shared" si="51"/>
        <v>0</v>
      </c>
    </row>
    <row r="569" spans="1:11" x14ac:dyDescent="0.25">
      <c r="A569" s="21"/>
      <c r="B569" s="30"/>
      <c r="C569" s="30"/>
      <c r="D569" s="38"/>
      <c r="E569" s="8"/>
      <c r="F569" s="31" t="str">
        <f t="shared" si="48"/>
        <v xml:space="preserve">N/F  </v>
      </c>
      <c r="G569" s="42">
        <f t="shared" si="49"/>
        <v>0</v>
      </c>
      <c r="H569" s="9">
        <v>21</v>
      </c>
      <c r="I569" s="32">
        <f t="shared" si="50"/>
        <v>0</v>
      </c>
      <c r="J569" s="32"/>
      <c r="K569" s="33">
        <f t="shared" si="51"/>
        <v>0</v>
      </c>
    </row>
    <row r="570" spans="1:11" x14ac:dyDescent="0.25">
      <c r="A570" s="21"/>
      <c r="B570" s="30"/>
      <c r="C570" s="30"/>
      <c r="D570" s="38"/>
      <c r="E570" s="8"/>
      <c r="F570" s="31" t="str">
        <f t="shared" si="48"/>
        <v xml:space="preserve">N/F  </v>
      </c>
      <c r="G570" s="42">
        <f t="shared" si="49"/>
        <v>0</v>
      </c>
      <c r="H570" s="9">
        <v>21</v>
      </c>
      <c r="I570" s="32">
        <f t="shared" si="50"/>
        <v>0</v>
      </c>
      <c r="J570" s="32"/>
      <c r="K570" s="33">
        <f t="shared" si="51"/>
        <v>0</v>
      </c>
    </row>
    <row r="571" spans="1:11" x14ac:dyDescent="0.25">
      <c r="A571" s="21"/>
      <c r="B571" s="30"/>
      <c r="C571" s="30"/>
      <c r="D571" s="38"/>
      <c r="E571" s="8"/>
      <c r="F571" s="31" t="str">
        <f t="shared" si="48"/>
        <v xml:space="preserve">N/F  </v>
      </c>
      <c r="G571" s="42">
        <f t="shared" si="49"/>
        <v>0</v>
      </c>
      <c r="H571" s="9">
        <v>21</v>
      </c>
      <c r="I571" s="32">
        <f t="shared" si="50"/>
        <v>0</v>
      </c>
      <c r="J571" s="32"/>
      <c r="K571" s="33">
        <f t="shared" si="51"/>
        <v>0</v>
      </c>
    </row>
    <row r="572" spans="1:11" x14ac:dyDescent="0.25">
      <c r="A572" s="21"/>
      <c r="B572" s="30"/>
      <c r="C572" s="30"/>
      <c r="D572" s="38"/>
      <c r="E572" s="8"/>
      <c r="F572" s="31" t="str">
        <f t="shared" si="48"/>
        <v xml:space="preserve">N/F  </v>
      </c>
      <c r="G572" s="42">
        <f t="shared" si="49"/>
        <v>0</v>
      </c>
      <c r="H572" s="9">
        <v>21</v>
      </c>
      <c r="I572" s="32">
        <f t="shared" si="50"/>
        <v>0</v>
      </c>
      <c r="J572" s="32"/>
      <c r="K572" s="33">
        <f t="shared" si="51"/>
        <v>0</v>
      </c>
    </row>
    <row r="573" spans="1:11" x14ac:dyDescent="0.25">
      <c r="A573" s="21"/>
      <c r="B573" s="30"/>
      <c r="C573" s="30"/>
      <c r="D573" s="38"/>
      <c r="E573" s="8"/>
      <c r="F573" s="31" t="str">
        <f t="shared" si="48"/>
        <v xml:space="preserve">N/F  </v>
      </c>
      <c r="G573" s="42">
        <f t="shared" si="49"/>
        <v>0</v>
      </c>
      <c r="H573" s="9">
        <v>21</v>
      </c>
      <c r="I573" s="32">
        <f t="shared" si="50"/>
        <v>0</v>
      </c>
      <c r="J573" s="32"/>
      <c r="K573" s="33">
        <f t="shared" si="51"/>
        <v>0</v>
      </c>
    </row>
    <row r="574" spans="1:11" x14ac:dyDescent="0.25">
      <c r="A574" s="21"/>
      <c r="B574" s="30"/>
      <c r="C574" s="30"/>
      <c r="D574" s="38"/>
      <c r="E574" s="8"/>
      <c r="F574" s="31" t="str">
        <f t="shared" si="48"/>
        <v xml:space="preserve">N/F  </v>
      </c>
      <c r="G574" s="42">
        <f t="shared" si="49"/>
        <v>0</v>
      </c>
      <c r="H574" s="9">
        <v>21</v>
      </c>
      <c r="I574" s="32">
        <f t="shared" si="50"/>
        <v>0</v>
      </c>
      <c r="J574" s="32"/>
      <c r="K574" s="33">
        <f t="shared" si="51"/>
        <v>0</v>
      </c>
    </row>
    <row r="575" spans="1:11" x14ac:dyDescent="0.25">
      <c r="A575" s="21"/>
      <c r="B575" s="30"/>
      <c r="C575" s="30"/>
      <c r="D575" s="38"/>
      <c r="E575" s="8"/>
      <c r="F575" s="31" t="str">
        <f t="shared" si="48"/>
        <v xml:space="preserve">N/F  </v>
      </c>
      <c r="G575" s="42">
        <f t="shared" si="49"/>
        <v>0</v>
      </c>
      <c r="H575" s="9">
        <v>21</v>
      </c>
      <c r="I575" s="32">
        <f t="shared" si="50"/>
        <v>0</v>
      </c>
      <c r="J575" s="32"/>
      <c r="K575" s="33">
        <f t="shared" si="51"/>
        <v>0</v>
      </c>
    </row>
    <row r="576" spans="1:11" x14ac:dyDescent="0.25">
      <c r="A576" s="21"/>
      <c r="B576" s="30"/>
      <c r="C576" s="30"/>
      <c r="D576" s="38"/>
      <c r="E576" s="8"/>
      <c r="F576" s="31" t="str">
        <f t="shared" si="48"/>
        <v xml:space="preserve">N/F  </v>
      </c>
      <c r="G576" s="42">
        <f t="shared" si="49"/>
        <v>0</v>
      </c>
      <c r="H576" s="9">
        <v>21</v>
      </c>
      <c r="I576" s="32">
        <f t="shared" si="50"/>
        <v>0</v>
      </c>
      <c r="J576" s="32"/>
      <c r="K576" s="33">
        <f t="shared" si="51"/>
        <v>0</v>
      </c>
    </row>
    <row r="577" spans="1:11" x14ac:dyDescent="0.25">
      <c r="A577" s="21"/>
      <c r="B577" s="30"/>
      <c r="C577" s="30"/>
      <c r="D577" s="38"/>
      <c r="E577" s="8"/>
      <c r="F577" s="31" t="str">
        <f t="shared" si="48"/>
        <v xml:space="preserve">N/F  </v>
      </c>
      <c r="G577" s="42">
        <f t="shared" si="49"/>
        <v>0</v>
      </c>
      <c r="H577" s="9">
        <v>21</v>
      </c>
      <c r="I577" s="32">
        <f t="shared" si="50"/>
        <v>0</v>
      </c>
      <c r="J577" s="32"/>
      <c r="K577" s="33">
        <f t="shared" si="51"/>
        <v>0</v>
      </c>
    </row>
    <row r="578" spans="1:11" x14ac:dyDescent="0.25">
      <c r="A578" s="21"/>
      <c r="B578" s="30"/>
      <c r="C578" s="30"/>
      <c r="D578" s="38"/>
      <c r="E578" s="8"/>
      <c r="F578" s="31" t="str">
        <f t="shared" si="48"/>
        <v xml:space="preserve">N/F  </v>
      </c>
      <c r="G578" s="42">
        <f t="shared" si="49"/>
        <v>0</v>
      </c>
      <c r="H578" s="9">
        <v>21</v>
      </c>
      <c r="I578" s="32">
        <f t="shared" si="50"/>
        <v>0</v>
      </c>
      <c r="J578" s="32"/>
      <c r="K578" s="33">
        <f t="shared" si="51"/>
        <v>0</v>
      </c>
    </row>
    <row r="579" spans="1:11" x14ac:dyDescent="0.25">
      <c r="A579" s="21"/>
      <c r="B579" s="30"/>
      <c r="C579" s="30"/>
      <c r="D579" s="38"/>
      <c r="E579" s="8"/>
      <c r="F579" s="31" t="str">
        <f t="shared" si="48"/>
        <v xml:space="preserve">N/F  </v>
      </c>
      <c r="G579" s="42">
        <f t="shared" si="49"/>
        <v>0</v>
      </c>
      <c r="H579" s="9">
        <v>21</v>
      </c>
      <c r="I579" s="32">
        <f t="shared" si="50"/>
        <v>0</v>
      </c>
      <c r="J579" s="32"/>
      <c r="K579" s="33">
        <f t="shared" si="51"/>
        <v>0</v>
      </c>
    </row>
    <row r="580" spans="1:11" x14ac:dyDescent="0.25">
      <c r="A580" s="21"/>
      <c r="B580" s="30"/>
      <c r="C580" s="30"/>
      <c r="D580" s="38"/>
      <c r="E580" s="8"/>
      <c r="F580" s="31" t="str">
        <f t="shared" si="48"/>
        <v xml:space="preserve">N/F  </v>
      </c>
      <c r="G580" s="42">
        <f t="shared" si="49"/>
        <v>0</v>
      </c>
      <c r="H580" s="9">
        <v>21</v>
      </c>
      <c r="I580" s="32">
        <f t="shared" si="50"/>
        <v>0</v>
      </c>
      <c r="J580" s="32"/>
      <c r="K580" s="33">
        <f t="shared" si="51"/>
        <v>0</v>
      </c>
    </row>
    <row r="581" spans="1:11" x14ac:dyDescent="0.25">
      <c r="A581" s="21"/>
      <c r="B581" s="30"/>
      <c r="C581" s="30"/>
      <c r="D581" s="38"/>
      <c r="E581" s="8"/>
      <c r="F581" s="31" t="str">
        <f t="shared" si="48"/>
        <v xml:space="preserve">N/F  </v>
      </c>
      <c r="G581" s="42">
        <f t="shared" si="49"/>
        <v>0</v>
      </c>
      <c r="H581" s="9">
        <v>21</v>
      </c>
      <c r="I581" s="32">
        <f t="shared" si="50"/>
        <v>0</v>
      </c>
      <c r="J581" s="32"/>
      <c r="K581" s="33">
        <f t="shared" si="51"/>
        <v>0</v>
      </c>
    </row>
    <row r="582" spans="1:11" x14ac:dyDescent="0.25">
      <c r="A582" s="21"/>
      <c r="B582" s="30"/>
      <c r="C582" s="30"/>
      <c r="D582" s="38"/>
      <c r="E582" s="8"/>
      <c r="F582" s="31" t="str">
        <f t="shared" si="48"/>
        <v xml:space="preserve">N/F  </v>
      </c>
      <c r="G582" s="42">
        <f t="shared" si="49"/>
        <v>0</v>
      </c>
      <c r="H582" s="9">
        <v>21</v>
      </c>
      <c r="I582" s="32">
        <f t="shared" si="50"/>
        <v>0</v>
      </c>
      <c r="J582" s="32"/>
      <c r="K582" s="33">
        <f t="shared" si="51"/>
        <v>0</v>
      </c>
    </row>
    <row r="583" spans="1:11" x14ac:dyDescent="0.25">
      <c r="A583" s="21"/>
      <c r="B583" s="30"/>
      <c r="C583" s="30"/>
      <c r="D583" s="38"/>
      <c r="E583" s="8"/>
      <c r="F583" s="31" t="str">
        <f t="shared" si="48"/>
        <v xml:space="preserve">N/F  </v>
      </c>
      <c r="G583" s="42">
        <f t="shared" si="49"/>
        <v>0</v>
      </c>
      <c r="H583" s="9">
        <v>21</v>
      </c>
      <c r="I583" s="32">
        <f t="shared" si="50"/>
        <v>0</v>
      </c>
      <c r="J583" s="32"/>
      <c r="K583" s="33">
        <f t="shared" si="51"/>
        <v>0</v>
      </c>
    </row>
    <row r="584" spans="1:11" x14ac:dyDescent="0.25">
      <c r="A584" s="21"/>
      <c r="B584" s="30"/>
      <c r="C584" s="30"/>
      <c r="D584" s="38"/>
      <c r="E584" s="8"/>
      <c r="F584" s="31" t="str">
        <f t="shared" si="48"/>
        <v xml:space="preserve">N/F  </v>
      </c>
      <c r="G584" s="42">
        <f t="shared" si="49"/>
        <v>0</v>
      </c>
      <c r="H584" s="9">
        <v>21</v>
      </c>
      <c r="I584" s="32">
        <f t="shared" si="50"/>
        <v>0</v>
      </c>
      <c r="J584" s="32"/>
      <c r="K584" s="33">
        <f t="shared" si="51"/>
        <v>0</v>
      </c>
    </row>
    <row r="585" spans="1:11" x14ac:dyDescent="0.25">
      <c r="A585" s="21"/>
      <c r="B585" s="30"/>
      <c r="C585" s="30"/>
      <c r="D585" s="38"/>
      <c r="E585" s="8"/>
      <c r="F585" s="31" t="str">
        <f t="shared" si="48"/>
        <v xml:space="preserve">N/F  </v>
      </c>
      <c r="G585" s="42">
        <f t="shared" si="49"/>
        <v>0</v>
      </c>
      <c r="H585" s="9">
        <v>21</v>
      </c>
      <c r="I585" s="32">
        <f t="shared" si="50"/>
        <v>0</v>
      </c>
      <c r="J585" s="32"/>
      <c r="K585" s="33">
        <f t="shared" si="51"/>
        <v>0</v>
      </c>
    </row>
    <row r="586" spans="1:11" x14ac:dyDescent="0.25">
      <c r="A586" s="21"/>
      <c r="B586" s="30"/>
      <c r="C586" s="30"/>
      <c r="D586" s="38"/>
      <c r="E586" s="8"/>
      <c r="F586" s="31" t="str">
        <f t="shared" si="48"/>
        <v xml:space="preserve">N/F  </v>
      </c>
      <c r="G586" s="42">
        <f t="shared" si="49"/>
        <v>0</v>
      </c>
      <c r="H586" s="9">
        <v>21</v>
      </c>
      <c r="I586" s="32">
        <f t="shared" si="50"/>
        <v>0</v>
      </c>
      <c r="J586" s="32"/>
      <c r="K586" s="33">
        <f t="shared" si="51"/>
        <v>0</v>
      </c>
    </row>
    <row r="587" spans="1:11" x14ac:dyDescent="0.25">
      <c r="A587" s="21"/>
      <c r="B587" s="30"/>
      <c r="C587" s="30"/>
      <c r="D587" s="38"/>
      <c r="E587" s="8"/>
      <c r="F587" s="6" t="str">
        <f t="shared" ref="F587:F593" si="52">"N/F "&amp;B587&amp;" "&amp;E587</f>
        <v xml:space="preserve">N/F  </v>
      </c>
      <c r="G587" s="28">
        <f t="shared" ref="G587:G593" si="53">+D587/1.21</f>
        <v>0</v>
      </c>
      <c r="H587" s="9">
        <v>21</v>
      </c>
    </row>
    <row r="588" spans="1:11" x14ac:dyDescent="0.25">
      <c r="A588" s="21"/>
      <c r="B588" s="30"/>
      <c r="C588" s="30"/>
      <c r="D588" s="38"/>
      <c r="E588" s="8"/>
      <c r="F588" s="6" t="str">
        <f t="shared" si="52"/>
        <v xml:space="preserve">N/F  </v>
      </c>
      <c r="G588" s="28">
        <f t="shared" si="53"/>
        <v>0</v>
      </c>
      <c r="H588" s="9">
        <v>21</v>
      </c>
    </row>
    <row r="589" spans="1:11" x14ac:dyDescent="0.25">
      <c r="A589" s="21"/>
      <c r="B589" s="30"/>
      <c r="C589" s="30"/>
      <c r="D589" s="38"/>
      <c r="E589" s="8"/>
      <c r="F589" s="6" t="str">
        <f t="shared" si="52"/>
        <v xml:space="preserve">N/F  </v>
      </c>
      <c r="G589" s="28">
        <f t="shared" si="53"/>
        <v>0</v>
      </c>
      <c r="H589" s="9">
        <v>21</v>
      </c>
    </row>
    <row r="590" spans="1:11" x14ac:dyDescent="0.25">
      <c r="A590" s="21"/>
      <c r="B590" s="30"/>
      <c r="C590" s="30"/>
      <c r="D590" s="38"/>
      <c r="E590" s="8"/>
      <c r="F590" s="6" t="str">
        <f t="shared" si="52"/>
        <v xml:space="preserve">N/F  </v>
      </c>
      <c r="G590" s="28">
        <f t="shared" si="53"/>
        <v>0</v>
      </c>
      <c r="H590" s="9">
        <v>21</v>
      </c>
    </row>
    <row r="591" spans="1:11" x14ac:dyDescent="0.25">
      <c r="A591" s="21"/>
      <c r="B591" s="30"/>
      <c r="C591" s="30"/>
      <c r="D591" s="38"/>
      <c r="E591" s="8"/>
      <c r="F591" s="6" t="str">
        <f t="shared" si="52"/>
        <v xml:space="preserve">N/F  </v>
      </c>
      <c r="G591" s="28">
        <f t="shared" si="53"/>
        <v>0</v>
      </c>
      <c r="H591" s="9">
        <v>21</v>
      </c>
    </row>
    <row r="592" spans="1:11" x14ac:dyDescent="0.25">
      <c r="A592" s="21"/>
      <c r="B592" s="30"/>
      <c r="C592" s="30"/>
      <c r="D592" s="38"/>
      <c r="E592" s="8"/>
      <c r="F592" s="6" t="str">
        <f t="shared" si="52"/>
        <v xml:space="preserve">N/F  </v>
      </c>
      <c r="G592" s="28">
        <f t="shared" si="53"/>
        <v>0</v>
      </c>
      <c r="H592" s="9">
        <v>21</v>
      </c>
    </row>
    <row r="593" spans="1:8" x14ac:dyDescent="0.25">
      <c r="A593" s="21"/>
      <c r="B593" s="30"/>
      <c r="C593" s="30"/>
      <c r="D593" s="38"/>
      <c r="E593" s="8"/>
      <c r="F593" s="6" t="str">
        <f t="shared" si="52"/>
        <v xml:space="preserve">N/F  </v>
      </c>
      <c r="G593" s="28">
        <f t="shared" si="53"/>
        <v>0</v>
      </c>
      <c r="H593" s="9">
        <v>21</v>
      </c>
    </row>
    <row r="594" spans="1:8" x14ac:dyDescent="0.25">
      <c r="A594" s="21"/>
      <c r="B594" s="30"/>
      <c r="C594" s="30"/>
      <c r="D594" s="38"/>
      <c r="E594" s="8"/>
      <c r="F594" s="6" t="str">
        <f t="shared" ref="F594:F657" si="54">"N/F "&amp;B594&amp;" "&amp;E594</f>
        <v xml:space="preserve">N/F  </v>
      </c>
      <c r="G594" s="28">
        <f t="shared" ref="G594:G657" si="55">+D594/1.21</f>
        <v>0</v>
      </c>
      <c r="H594" s="9">
        <v>21</v>
      </c>
    </row>
    <row r="595" spans="1:8" x14ac:dyDescent="0.25">
      <c r="A595" s="21"/>
      <c r="B595" s="30"/>
      <c r="C595" s="30"/>
      <c r="D595" s="38"/>
      <c r="E595" s="8"/>
      <c r="F595" s="6" t="str">
        <f t="shared" si="54"/>
        <v xml:space="preserve">N/F  </v>
      </c>
      <c r="G595" s="28">
        <f t="shared" si="55"/>
        <v>0</v>
      </c>
      <c r="H595" s="9">
        <v>21</v>
      </c>
    </row>
    <row r="596" spans="1:8" x14ac:dyDescent="0.25">
      <c r="A596" s="21"/>
      <c r="B596" s="30"/>
      <c r="C596" s="30"/>
      <c r="D596" s="38"/>
      <c r="E596" s="8"/>
      <c r="F596" s="6" t="str">
        <f t="shared" si="54"/>
        <v xml:space="preserve">N/F  </v>
      </c>
      <c r="G596" s="28">
        <f t="shared" si="55"/>
        <v>0</v>
      </c>
      <c r="H596" s="9">
        <v>21</v>
      </c>
    </row>
    <row r="597" spans="1:8" x14ac:dyDescent="0.25">
      <c r="A597" s="21"/>
      <c r="B597" s="30"/>
      <c r="C597" s="30"/>
      <c r="D597" s="38"/>
      <c r="E597" s="8"/>
      <c r="F597" s="6" t="str">
        <f t="shared" si="54"/>
        <v xml:space="preserve">N/F  </v>
      </c>
      <c r="G597" s="28">
        <f t="shared" si="55"/>
        <v>0</v>
      </c>
      <c r="H597" s="9">
        <v>21</v>
      </c>
    </row>
    <row r="598" spans="1:8" x14ac:dyDescent="0.25">
      <c r="A598" s="21"/>
      <c r="B598" s="30"/>
      <c r="C598" s="30"/>
      <c r="D598" s="38"/>
      <c r="E598" s="8"/>
      <c r="F598" s="6" t="str">
        <f t="shared" si="54"/>
        <v xml:space="preserve">N/F  </v>
      </c>
      <c r="G598" s="28">
        <f t="shared" si="55"/>
        <v>0</v>
      </c>
      <c r="H598" s="9">
        <v>21</v>
      </c>
    </row>
    <row r="599" spans="1:8" x14ac:dyDescent="0.25">
      <c r="A599" s="21"/>
      <c r="B599" s="30"/>
      <c r="C599" s="30"/>
      <c r="D599" s="38"/>
      <c r="E599" s="8"/>
      <c r="F599" s="6" t="str">
        <f t="shared" si="54"/>
        <v xml:space="preserve">N/F  </v>
      </c>
      <c r="G599" s="28">
        <f t="shared" si="55"/>
        <v>0</v>
      </c>
      <c r="H599" s="9">
        <v>21</v>
      </c>
    </row>
    <row r="600" spans="1:8" x14ac:dyDescent="0.25">
      <c r="A600" s="21"/>
      <c r="B600" s="30"/>
      <c r="C600" s="30"/>
      <c r="D600" s="38"/>
      <c r="E600" s="8"/>
      <c r="F600" s="6" t="str">
        <f t="shared" si="54"/>
        <v xml:space="preserve">N/F  </v>
      </c>
      <c r="G600" s="28">
        <f t="shared" si="55"/>
        <v>0</v>
      </c>
      <c r="H600" s="9">
        <v>21</v>
      </c>
    </row>
    <row r="601" spans="1:8" x14ac:dyDescent="0.25">
      <c r="A601" s="21"/>
      <c r="B601" s="30"/>
      <c r="C601" s="30"/>
      <c r="D601" s="38"/>
      <c r="E601" s="8"/>
      <c r="F601" s="6" t="str">
        <f t="shared" si="54"/>
        <v xml:space="preserve">N/F  </v>
      </c>
      <c r="G601" s="28">
        <f t="shared" si="55"/>
        <v>0</v>
      </c>
      <c r="H601" s="9">
        <v>21</v>
      </c>
    </row>
    <row r="602" spans="1:8" x14ac:dyDescent="0.25">
      <c r="A602" s="21"/>
      <c r="B602" s="30"/>
      <c r="C602" s="30"/>
      <c r="D602" s="38"/>
      <c r="E602" s="8"/>
      <c r="F602" s="6" t="str">
        <f t="shared" si="54"/>
        <v xml:space="preserve">N/F  </v>
      </c>
      <c r="G602" s="28">
        <f t="shared" si="55"/>
        <v>0</v>
      </c>
      <c r="H602" s="9">
        <v>21</v>
      </c>
    </row>
    <row r="603" spans="1:8" x14ac:dyDescent="0.25">
      <c r="A603" s="21"/>
      <c r="B603" s="30"/>
      <c r="C603" s="30"/>
      <c r="D603" s="38"/>
      <c r="E603" s="8"/>
      <c r="F603" s="6" t="str">
        <f t="shared" si="54"/>
        <v xml:space="preserve">N/F  </v>
      </c>
      <c r="G603" s="28">
        <f t="shared" si="55"/>
        <v>0</v>
      </c>
      <c r="H603" s="9">
        <v>21</v>
      </c>
    </row>
    <row r="604" spans="1:8" x14ac:dyDescent="0.25">
      <c r="A604" s="21"/>
      <c r="B604" s="30"/>
      <c r="C604" s="30"/>
      <c r="D604" s="38"/>
      <c r="E604" s="8"/>
      <c r="F604" s="6" t="str">
        <f t="shared" si="54"/>
        <v xml:space="preserve">N/F  </v>
      </c>
      <c r="G604" s="28">
        <f t="shared" si="55"/>
        <v>0</v>
      </c>
      <c r="H604" s="9">
        <v>21</v>
      </c>
    </row>
    <row r="605" spans="1:8" x14ac:dyDescent="0.25">
      <c r="A605" s="21"/>
      <c r="B605" s="30"/>
      <c r="C605" s="30"/>
      <c r="D605" s="38"/>
      <c r="E605" s="8"/>
      <c r="F605" s="6" t="str">
        <f t="shared" si="54"/>
        <v xml:space="preserve">N/F  </v>
      </c>
      <c r="G605" s="28">
        <f t="shared" si="55"/>
        <v>0</v>
      </c>
      <c r="H605" s="9">
        <v>21</v>
      </c>
    </row>
    <row r="606" spans="1:8" x14ac:dyDescent="0.25">
      <c r="A606" s="21"/>
      <c r="B606" s="30"/>
      <c r="C606" s="30"/>
      <c r="D606" s="38"/>
      <c r="E606" s="8"/>
      <c r="F606" s="6" t="str">
        <f t="shared" si="54"/>
        <v xml:space="preserve">N/F  </v>
      </c>
      <c r="G606" s="28">
        <f t="shared" si="55"/>
        <v>0</v>
      </c>
      <c r="H606" s="9">
        <v>21</v>
      </c>
    </row>
    <row r="607" spans="1:8" x14ac:dyDescent="0.25">
      <c r="A607" s="21"/>
      <c r="B607" s="30"/>
      <c r="C607" s="30"/>
      <c r="D607" s="38"/>
      <c r="E607" s="8"/>
      <c r="F607" s="6" t="str">
        <f t="shared" si="54"/>
        <v xml:space="preserve">N/F  </v>
      </c>
      <c r="G607" s="28">
        <f t="shared" si="55"/>
        <v>0</v>
      </c>
      <c r="H607" s="9">
        <v>21</v>
      </c>
    </row>
    <row r="608" spans="1:8" x14ac:dyDescent="0.25">
      <c r="A608" s="21"/>
      <c r="B608" s="30"/>
      <c r="C608" s="30"/>
      <c r="D608" s="38"/>
      <c r="E608" s="8"/>
      <c r="F608" s="6" t="str">
        <f t="shared" si="54"/>
        <v xml:space="preserve">N/F  </v>
      </c>
      <c r="G608" s="28">
        <f t="shared" si="55"/>
        <v>0</v>
      </c>
      <c r="H608" s="9">
        <v>21</v>
      </c>
    </row>
    <row r="609" spans="1:8" x14ac:dyDescent="0.25">
      <c r="A609" s="21"/>
      <c r="B609" s="30"/>
      <c r="C609" s="30"/>
      <c r="D609" s="38"/>
      <c r="E609" s="8"/>
      <c r="F609" s="6" t="str">
        <f t="shared" si="54"/>
        <v xml:space="preserve">N/F  </v>
      </c>
      <c r="G609" s="28">
        <f t="shared" si="55"/>
        <v>0</v>
      </c>
      <c r="H609" s="9">
        <v>21</v>
      </c>
    </row>
    <row r="610" spans="1:8" x14ac:dyDescent="0.25">
      <c r="A610" s="21"/>
      <c r="B610" s="30"/>
      <c r="C610" s="30"/>
      <c r="D610" s="38"/>
      <c r="E610" s="8"/>
      <c r="F610" s="6" t="str">
        <f t="shared" si="54"/>
        <v xml:space="preserve">N/F  </v>
      </c>
      <c r="G610" s="28">
        <f t="shared" si="55"/>
        <v>0</v>
      </c>
      <c r="H610" s="9">
        <v>21</v>
      </c>
    </row>
    <row r="611" spans="1:8" x14ac:dyDescent="0.25">
      <c r="A611" s="21"/>
      <c r="B611" s="30"/>
      <c r="C611" s="30"/>
      <c r="D611" s="38"/>
      <c r="E611" s="8"/>
      <c r="F611" s="6" t="str">
        <f t="shared" si="54"/>
        <v xml:space="preserve">N/F  </v>
      </c>
      <c r="G611" s="28">
        <f t="shared" si="55"/>
        <v>0</v>
      </c>
      <c r="H611" s="9">
        <v>21</v>
      </c>
    </row>
    <row r="612" spans="1:8" x14ac:dyDescent="0.25">
      <c r="A612" s="21"/>
      <c r="B612" s="30"/>
      <c r="C612" s="30"/>
      <c r="D612" s="38"/>
      <c r="E612" s="8"/>
      <c r="F612" s="6" t="str">
        <f t="shared" si="54"/>
        <v xml:space="preserve">N/F  </v>
      </c>
      <c r="G612" s="28">
        <f t="shared" si="55"/>
        <v>0</v>
      </c>
      <c r="H612" s="9">
        <v>21</v>
      </c>
    </row>
    <row r="613" spans="1:8" x14ac:dyDescent="0.25">
      <c r="A613" s="21"/>
      <c r="B613" s="30"/>
      <c r="C613" s="30"/>
      <c r="D613" s="38"/>
      <c r="E613" s="8"/>
      <c r="F613" s="6" t="str">
        <f t="shared" si="54"/>
        <v xml:space="preserve">N/F  </v>
      </c>
      <c r="G613" s="28">
        <f t="shared" si="55"/>
        <v>0</v>
      </c>
      <c r="H613" s="9">
        <v>21</v>
      </c>
    </row>
    <row r="614" spans="1:8" x14ac:dyDescent="0.25">
      <c r="A614" s="21"/>
      <c r="B614" s="30"/>
      <c r="C614" s="30"/>
      <c r="D614" s="38"/>
      <c r="E614" s="8"/>
      <c r="F614" s="6" t="str">
        <f t="shared" si="54"/>
        <v xml:space="preserve">N/F  </v>
      </c>
      <c r="G614" s="28">
        <f t="shared" si="55"/>
        <v>0</v>
      </c>
      <c r="H614" s="9">
        <v>21</v>
      </c>
    </row>
    <row r="615" spans="1:8" x14ac:dyDescent="0.25">
      <c r="A615" s="21"/>
      <c r="B615" s="30"/>
      <c r="C615" s="30"/>
      <c r="D615" s="38"/>
      <c r="E615" s="8"/>
      <c r="F615" s="6" t="str">
        <f t="shared" si="54"/>
        <v xml:space="preserve">N/F  </v>
      </c>
      <c r="G615" s="28">
        <f t="shared" si="55"/>
        <v>0</v>
      </c>
      <c r="H615" s="9">
        <v>21</v>
      </c>
    </row>
    <row r="616" spans="1:8" x14ac:dyDescent="0.25">
      <c r="A616" s="21"/>
      <c r="B616" s="30"/>
      <c r="C616" s="30"/>
      <c r="D616" s="38"/>
      <c r="E616" s="8"/>
      <c r="F616" s="6" t="str">
        <f t="shared" si="54"/>
        <v xml:space="preserve">N/F  </v>
      </c>
      <c r="G616" s="28">
        <f t="shared" si="55"/>
        <v>0</v>
      </c>
      <c r="H616" s="9">
        <v>21</v>
      </c>
    </row>
    <row r="617" spans="1:8" x14ac:dyDescent="0.25">
      <c r="A617" s="21"/>
      <c r="B617" s="30"/>
      <c r="C617" s="30"/>
      <c r="D617" s="38"/>
      <c r="E617" s="8"/>
      <c r="F617" s="6" t="str">
        <f t="shared" si="54"/>
        <v xml:space="preserve">N/F  </v>
      </c>
      <c r="G617" s="28">
        <f t="shared" si="55"/>
        <v>0</v>
      </c>
      <c r="H617" s="9">
        <v>21</v>
      </c>
    </row>
    <row r="618" spans="1:8" x14ac:dyDescent="0.25">
      <c r="A618" s="21"/>
      <c r="B618" s="30"/>
      <c r="C618" s="30"/>
      <c r="D618" s="38"/>
      <c r="E618" s="8"/>
      <c r="F618" s="6" t="str">
        <f t="shared" si="54"/>
        <v xml:space="preserve">N/F  </v>
      </c>
      <c r="G618" s="28">
        <f t="shared" si="55"/>
        <v>0</v>
      </c>
      <c r="H618" s="9">
        <v>21</v>
      </c>
    </row>
    <row r="619" spans="1:8" x14ac:dyDescent="0.25">
      <c r="A619" s="21"/>
      <c r="B619" s="30"/>
      <c r="C619" s="30"/>
      <c r="D619" s="38"/>
      <c r="E619" s="8"/>
      <c r="F619" s="6" t="str">
        <f t="shared" si="54"/>
        <v xml:space="preserve">N/F  </v>
      </c>
      <c r="G619" s="28">
        <f t="shared" si="55"/>
        <v>0</v>
      </c>
      <c r="H619" s="9">
        <v>21</v>
      </c>
    </row>
    <row r="620" spans="1:8" x14ac:dyDescent="0.25">
      <c r="A620" s="21"/>
      <c r="B620" s="30"/>
      <c r="C620" s="30"/>
      <c r="D620" s="38"/>
      <c r="E620" s="8"/>
      <c r="F620" s="6" t="str">
        <f t="shared" si="54"/>
        <v xml:space="preserve">N/F  </v>
      </c>
      <c r="G620" s="28">
        <f t="shared" si="55"/>
        <v>0</v>
      </c>
      <c r="H620" s="9">
        <v>21</v>
      </c>
    </row>
    <row r="621" spans="1:8" x14ac:dyDescent="0.25">
      <c r="A621" s="21"/>
      <c r="B621" s="30"/>
      <c r="C621" s="30"/>
      <c r="D621" s="38"/>
      <c r="E621" s="8"/>
      <c r="F621" s="6" t="str">
        <f t="shared" si="54"/>
        <v xml:space="preserve">N/F  </v>
      </c>
      <c r="G621" s="28">
        <f t="shared" si="55"/>
        <v>0</v>
      </c>
      <c r="H621" s="9">
        <v>21</v>
      </c>
    </row>
    <row r="622" spans="1:8" x14ac:dyDescent="0.25">
      <c r="A622" s="21"/>
      <c r="B622" s="30"/>
      <c r="C622" s="30"/>
      <c r="D622" s="38"/>
      <c r="E622" s="8"/>
      <c r="F622" s="6" t="str">
        <f t="shared" si="54"/>
        <v xml:space="preserve">N/F  </v>
      </c>
      <c r="G622" s="28">
        <f t="shared" si="55"/>
        <v>0</v>
      </c>
      <c r="H622" s="9">
        <v>21</v>
      </c>
    </row>
    <row r="623" spans="1:8" x14ac:dyDescent="0.25">
      <c r="A623" s="21"/>
      <c r="B623" s="30"/>
      <c r="C623" s="30"/>
      <c r="D623" s="38"/>
      <c r="E623" s="8"/>
      <c r="F623" s="6" t="str">
        <f t="shared" si="54"/>
        <v xml:space="preserve">N/F  </v>
      </c>
      <c r="G623" s="28">
        <f t="shared" si="55"/>
        <v>0</v>
      </c>
      <c r="H623" s="9">
        <v>21</v>
      </c>
    </row>
    <row r="624" spans="1:8" x14ac:dyDescent="0.25">
      <c r="A624" s="21"/>
      <c r="B624" s="30"/>
      <c r="C624" s="30"/>
      <c r="D624" s="38"/>
      <c r="E624" s="8"/>
      <c r="F624" s="6" t="str">
        <f t="shared" si="54"/>
        <v xml:space="preserve">N/F  </v>
      </c>
      <c r="G624" s="28">
        <f t="shared" si="55"/>
        <v>0</v>
      </c>
      <c r="H624" s="9">
        <v>21</v>
      </c>
    </row>
    <row r="625" spans="1:8" x14ac:dyDescent="0.25">
      <c r="A625" s="21"/>
      <c r="B625" s="30"/>
      <c r="C625" s="30"/>
      <c r="D625" s="38"/>
      <c r="E625" s="8"/>
      <c r="F625" s="6" t="str">
        <f t="shared" si="54"/>
        <v xml:space="preserve">N/F  </v>
      </c>
      <c r="G625" s="28">
        <f t="shared" si="55"/>
        <v>0</v>
      </c>
      <c r="H625" s="9">
        <v>21</v>
      </c>
    </row>
    <row r="626" spans="1:8" x14ac:dyDescent="0.25">
      <c r="A626" s="21"/>
      <c r="B626" s="30"/>
      <c r="C626" s="30"/>
      <c r="D626" s="38"/>
      <c r="E626" s="8"/>
      <c r="F626" s="6" t="str">
        <f t="shared" si="54"/>
        <v xml:space="preserve">N/F  </v>
      </c>
      <c r="G626" s="28">
        <f t="shared" si="55"/>
        <v>0</v>
      </c>
      <c r="H626" s="9">
        <v>21</v>
      </c>
    </row>
    <row r="627" spans="1:8" x14ac:dyDescent="0.25">
      <c r="A627" s="21"/>
      <c r="B627" s="30"/>
      <c r="C627" s="30"/>
      <c r="D627" s="38"/>
      <c r="E627" s="8"/>
      <c r="F627" s="6" t="str">
        <f t="shared" si="54"/>
        <v xml:space="preserve">N/F  </v>
      </c>
      <c r="G627" s="28">
        <f t="shared" si="55"/>
        <v>0</v>
      </c>
      <c r="H627" s="9">
        <v>21</v>
      </c>
    </row>
    <row r="628" spans="1:8" x14ac:dyDescent="0.25">
      <c r="A628" s="21"/>
      <c r="B628" s="30"/>
      <c r="C628" s="30"/>
      <c r="D628" s="38"/>
      <c r="E628" s="8"/>
      <c r="F628" s="6" t="str">
        <f t="shared" si="54"/>
        <v xml:space="preserve">N/F  </v>
      </c>
      <c r="G628" s="28">
        <f t="shared" si="55"/>
        <v>0</v>
      </c>
      <c r="H628" s="9">
        <v>21</v>
      </c>
    </row>
    <row r="629" spans="1:8" x14ac:dyDescent="0.25">
      <c r="A629" s="21"/>
      <c r="B629" s="30"/>
      <c r="C629" s="30"/>
      <c r="D629" s="38"/>
      <c r="E629" s="8"/>
      <c r="F629" s="6" t="str">
        <f t="shared" si="54"/>
        <v xml:space="preserve">N/F  </v>
      </c>
      <c r="G629" s="28">
        <f t="shared" si="55"/>
        <v>0</v>
      </c>
      <c r="H629" s="9">
        <v>21</v>
      </c>
    </row>
    <row r="630" spans="1:8" x14ac:dyDescent="0.25">
      <c r="A630" s="21"/>
      <c r="B630" s="30"/>
      <c r="C630" s="30"/>
      <c r="D630" s="38"/>
      <c r="E630" s="8"/>
      <c r="F630" s="6" t="str">
        <f t="shared" si="54"/>
        <v xml:space="preserve">N/F  </v>
      </c>
      <c r="G630" s="28">
        <f t="shared" si="55"/>
        <v>0</v>
      </c>
      <c r="H630" s="9">
        <v>21</v>
      </c>
    </row>
    <row r="631" spans="1:8" x14ac:dyDescent="0.25">
      <c r="A631" s="21"/>
      <c r="B631" s="30"/>
      <c r="C631" s="30"/>
      <c r="D631" s="38"/>
      <c r="E631" s="8"/>
      <c r="F631" s="6" t="str">
        <f t="shared" si="54"/>
        <v xml:space="preserve">N/F  </v>
      </c>
      <c r="G631" s="28">
        <f t="shared" si="55"/>
        <v>0</v>
      </c>
      <c r="H631" s="9">
        <v>21</v>
      </c>
    </row>
    <row r="632" spans="1:8" x14ac:dyDescent="0.25">
      <c r="A632" s="21"/>
      <c r="B632" s="30"/>
      <c r="C632" s="30"/>
      <c r="D632" s="38"/>
      <c r="E632" s="8"/>
      <c r="F632" s="6" t="str">
        <f t="shared" si="54"/>
        <v xml:space="preserve">N/F  </v>
      </c>
      <c r="G632" s="28">
        <f t="shared" si="55"/>
        <v>0</v>
      </c>
      <c r="H632" s="9">
        <v>21</v>
      </c>
    </row>
    <row r="633" spans="1:8" x14ac:dyDescent="0.25">
      <c r="A633" s="21"/>
      <c r="B633" s="30"/>
      <c r="C633" s="30"/>
      <c r="D633" s="38"/>
      <c r="E633" s="8"/>
      <c r="F633" s="6" t="str">
        <f t="shared" si="54"/>
        <v xml:space="preserve">N/F  </v>
      </c>
      <c r="G633" s="28">
        <f t="shared" si="55"/>
        <v>0</v>
      </c>
      <c r="H633" s="9">
        <v>21</v>
      </c>
    </row>
    <row r="634" spans="1:8" x14ac:dyDescent="0.25">
      <c r="A634" s="21"/>
      <c r="B634" s="30"/>
      <c r="C634" s="30"/>
      <c r="D634" s="38"/>
      <c r="E634" s="8"/>
      <c r="F634" s="6" t="str">
        <f t="shared" si="54"/>
        <v xml:space="preserve">N/F  </v>
      </c>
      <c r="G634" s="28">
        <f t="shared" si="55"/>
        <v>0</v>
      </c>
      <c r="H634" s="9">
        <v>21</v>
      </c>
    </row>
    <row r="635" spans="1:8" x14ac:dyDescent="0.25">
      <c r="A635" s="21"/>
      <c r="B635" s="30"/>
      <c r="C635" s="30"/>
      <c r="D635" s="38"/>
      <c r="E635" s="8"/>
      <c r="F635" s="6" t="str">
        <f t="shared" si="54"/>
        <v xml:space="preserve">N/F  </v>
      </c>
      <c r="G635" s="28">
        <f t="shared" si="55"/>
        <v>0</v>
      </c>
      <c r="H635" s="9">
        <v>21</v>
      </c>
    </row>
    <row r="636" spans="1:8" x14ac:dyDescent="0.25">
      <c r="A636" s="21"/>
      <c r="B636" s="30"/>
      <c r="C636" s="30"/>
      <c r="D636" s="38"/>
      <c r="E636" s="8"/>
      <c r="F636" s="6" t="str">
        <f t="shared" si="54"/>
        <v xml:space="preserve">N/F  </v>
      </c>
      <c r="G636" s="28">
        <f t="shared" si="55"/>
        <v>0</v>
      </c>
      <c r="H636" s="9">
        <v>21</v>
      </c>
    </row>
    <row r="637" spans="1:8" x14ac:dyDescent="0.25">
      <c r="A637" s="21"/>
      <c r="B637" s="30"/>
      <c r="C637" s="30"/>
      <c r="D637" s="38"/>
      <c r="E637" s="8"/>
      <c r="F637" s="6" t="str">
        <f t="shared" si="54"/>
        <v xml:space="preserve">N/F  </v>
      </c>
      <c r="G637" s="28">
        <f t="shared" si="55"/>
        <v>0</v>
      </c>
      <c r="H637" s="9">
        <v>21</v>
      </c>
    </row>
    <row r="638" spans="1:8" x14ac:dyDescent="0.25">
      <c r="A638" s="21"/>
      <c r="B638" s="30"/>
      <c r="C638" s="30"/>
      <c r="D638" s="38"/>
      <c r="E638" s="8"/>
      <c r="F638" s="6" t="str">
        <f t="shared" si="54"/>
        <v xml:space="preserve">N/F  </v>
      </c>
      <c r="G638" s="28">
        <f t="shared" si="55"/>
        <v>0</v>
      </c>
      <c r="H638" s="9">
        <v>21</v>
      </c>
    </row>
    <row r="639" spans="1:8" x14ac:dyDescent="0.25">
      <c r="A639" s="21"/>
      <c r="B639" s="30"/>
      <c r="C639" s="30"/>
      <c r="D639" s="38"/>
      <c r="E639" s="8"/>
      <c r="F639" s="6" t="str">
        <f t="shared" si="54"/>
        <v xml:space="preserve">N/F  </v>
      </c>
      <c r="G639" s="28">
        <f t="shared" si="55"/>
        <v>0</v>
      </c>
      <c r="H639" s="9">
        <v>21</v>
      </c>
    </row>
    <row r="640" spans="1:8" x14ac:dyDescent="0.25">
      <c r="A640" s="21"/>
      <c r="B640" s="30"/>
      <c r="C640" s="30"/>
      <c r="D640" s="38"/>
      <c r="E640" s="8"/>
      <c r="F640" s="6" t="str">
        <f t="shared" si="54"/>
        <v xml:space="preserve">N/F  </v>
      </c>
      <c r="G640" s="28">
        <f t="shared" si="55"/>
        <v>0</v>
      </c>
      <c r="H640" s="9">
        <v>21</v>
      </c>
    </row>
    <row r="641" spans="1:8" x14ac:dyDescent="0.25">
      <c r="A641" s="21"/>
      <c r="B641" s="30"/>
      <c r="C641" s="30"/>
      <c r="D641" s="38"/>
      <c r="E641" s="8"/>
      <c r="F641" s="6" t="str">
        <f t="shared" si="54"/>
        <v xml:space="preserve">N/F  </v>
      </c>
      <c r="G641" s="28">
        <f t="shared" si="55"/>
        <v>0</v>
      </c>
      <c r="H641" s="9">
        <v>21</v>
      </c>
    </row>
    <row r="642" spans="1:8" x14ac:dyDescent="0.25">
      <c r="A642" s="21"/>
      <c r="B642" s="30"/>
      <c r="C642" s="30"/>
      <c r="D642" s="38"/>
      <c r="E642" s="8"/>
      <c r="F642" s="6" t="str">
        <f t="shared" si="54"/>
        <v xml:space="preserve">N/F  </v>
      </c>
      <c r="G642" s="28">
        <f t="shared" si="55"/>
        <v>0</v>
      </c>
      <c r="H642" s="9">
        <v>21</v>
      </c>
    </row>
    <row r="643" spans="1:8" x14ac:dyDescent="0.25">
      <c r="A643" s="21"/>
      <c r="B643" s="30"/>
      <c r="C643" s="30"/>
      <c r="D643" s="38"/>
      <c r="E643" s="8"/>
      <c r="F643" s="6" t="str">
        <f t="shared" si="54"/>
        <v xml:space="preserve">N/F  </v>
      </c>
      <c r="G643" s="28">
        <f t="shared" si="55"/>
        <v>0</v>
      </c>
      <c r="H643" s="9">
        <v>21</v>
      </c>
    </row>
    <row r="644" spans="1:8" x14ac:dyDescent="0.25">
      <c r="A644" s="21"/>
      <c r="B644" s="30"/>
      <c r="C644" s="30"/>
      <c r="D644" s="38"/>
      <c r="E644" s="8"/>
      <c r="F644" s="6" t="str">
        <f t="shared" si="54"/>
        <v xml:space="preserve">N/F  </v>
      </c>
      <c r="G644" s="28">
        <f t="shared" si="55"/>
        <v>0</v>
      </c>
      <c r="H644" s="9">
        <v>21</v>
      </c>
    </row>
    <row r="645" spans="1:8" x14ac:dyDescent="0.25">
      <c r="A645" s="21"/>
      <c r="B645" s="30"/>
      <c r="C645" s="30"/>
      <c r="D645" s="38"/>
      <c r="E645" s="8"/>
      <c r="F645" s="6" t="str">
        <f t="shared" si="54"/>
        <v xml:space="preserve">N/F  </v>
      </c>
      <c r="G645" s="28">
        <f t="shared" si="55"/>
        <v>0</v>
      </c>
      <c r="H645" s="9">
        <v>21</v>
      </c>
    </row>
    <row r="646" spans="1:8" x14ac:dyDescent="0.25">
      <c r="A646" s="21"/>
      <c r="B646" s="30"/>
      <c r="C646" s="30"/>
      <c r="D646" s="38"/>
      <c r="E646" s="8"/>
      <c r="F646" s="6" t="str">
        <f t="shared" si="54"/>
        <v xml:space="preserve">N/F  </v>
      </c>
      <c r="G646" s="28">
        <f t="shared" si="55"/>
        <v>0</v>
      </c>
      <c r="H646" s="9">
        <v>21</v>
      </c>
    </row>
    <row r="647" spans="1:8" x14ac:dyDescent="0.25">
      <c r="A647" s="21"/>
      <c r="B647" s="30"/>
      <c r="C647" s="30"/>
      <c r="D647" s="38"/>
      <c r="E647" s="8"/>
      <c r="F647" s="6" t="str">
        <f t="shared" si="54"/>
        <v xml:space="preserve">N/F  </v>
      </c>
      <c r="G647" s="28">
        <f t="shared" si="55"/>
        <v>0</v>
      </c>
      <c r="H647" s="9">
        <v>21</v>
      </c>
    </row>
    <row r="648" spans="1:8" x14ac:dyDescent="0.25">
      <c r="A648" s="21"/>
      <c r="B648" s="30"/>
      <c r="C648" s="30"/>
      <c r="D648" s="38"/>
      <c r="E648" s="8"/>
      <c r="F648" s="6" t="str">
        <f t="shared" si="54"/>
        <v xml:space="preserve">N/F  </v>
      </c>
      <c r="G648" s="28">
        <f t="shared" si="55"/>
        <v>0</v>
      </c>
      <c r="H648" s="9">
        <v>21</v>
      </c>
    </row>
    <row r="649" spans="1:8" x14ac:dyDescent="0.25">
      <c r="A649" s="21"/>
      <c r="B649" s="30"/>
      <c r="C649" s="30"/>
      <c r="D649" s="38"/>
      <c r="E649" s="8"/>
      <c r="F649" s="6" t="str">
        <f t="shared" si="54"/>
        <v xml:space="preserve">N/F  </v>
      </c>
      <c r="G649" s="28">
        <f t="shared" si="55"/>
        <v>0</v>
      </c>
      <c r="H649" s="9">
        <v>21</v>
      </c>
    </row>
    <row r="650" spans="1:8" x14ac:dyDescent="0.25">
      <c r="A650" s="21"/>
      <c r="B650" s="30"/>
      <c r="C650" s="30"/>
      <c r="D650" s="38"/>
      <c r="E650" s="8"/>
      <c r="F650" s="6" t="str">
        <f t="shared" si="54"/>
        <v xml:space="preserve">N/F  </v>
      </c>
      <c r="G650" s="28">
        <f t="shared" si="55"/>
        <v>0</v>
      </c>
      <c r="H650" s="9">
        <v>21</v>
      </c>
    </row>
    <row r="651" spans="1:8" x14ac:dyDescent="0.25">
      <c r="A651" s="21"/>
      <c r="B651" s="30"/>
      <c r="C651" s="30"/>
      <c r="D651" s="38"/>
      <c r="E651" s="8"/>
      <c r="F651" s="6" t="str">
        <f t="shared" si="54"/>
        <v xml:space="preserve">N/F  </v>
      </c>
      <c r="G651" s="28">
        <f t="shared" si="55"/>
        <v>0</v>
      </c>
      <c r="H651" s="9">
        <v>21</v>
      </c>
    </row>
    <row r="652" spans="1:8" x14ac:dyDescent="0.25">
      <c r="A652" s="21"/>
      <c r="B652" s="30"/>
      <c r="C652" s="30"/>
      <c r="D652" s="38"/>
      <c r="E652" s="8"/>
      <c r="F652" s="6" t="str">
        <f t="shared" si="54"/>
        <v xml:space="preserve">N/F  </v>
      </c>
      <c r="G652" s="28">
        <f t="shared" si="55"/>
        <v>0</v>
      </c>
      <c r="H652" s="9">
        <v>21</v>
      </c>
    </row>
    <row r="653" spans="1:8" x14ac:dyDescent="0.25">
      <c r="A653" s="21"/>
      <c r="B653" s="30"/>
      <c r="C653" s="30"/>
      <c r="D653" s="38"/>
      <c r="E653" s="8"/>
      <c r="F653" s="6" t="str">
        <f t="shared" si="54"/>
        <v xml:space="preserve">N/F  </v>
      </c>
      <c r="G653" s="28">
        <f t="shared" si="55"/>
        <v>0</v>
      </c>
      <c r="H653" s="9">
        <v>21</v>
      </c>
    </row>
    <row r="654" spans="1:8" x14ac:dyDescent="0.25">
      <c r="A654" s="21"/>
      <c r="B654" s="30"/>
      <c r="C654" s="30"/>
      <c r="D654" s="38"/>
      <c r="E654" s="8"/>
      <c r="F654" s="6" t="str">
        <f t="shared" si="54"/>
        <v xml:space="preserve">N/F  </v>
      </c>
      <c r="G654" s="28">
        <f t="shared" si="55"/>
        <v>0</v>
      </c>
      <c r="H654" s="9">
        <v>21</v>
      </c>
    </row>
    <row r="655" spans="1:8" x14ac:dyDescent="0.25">
      <c r="A655" s="21"/>
      <c r="B655" s="30"/>
      <c r="C655" s="30"/>
      <c r="D655" s="38"/>
      <c r="E655" s="8"/>
      <c r="F655" s="6" t="str">
        <f t="shared" si="54"/>
        <v xml:space="preserve">N/F  </v>
      </c>
      <c r="G655" s="28">
        <f t="shared" si="55"/>
        <v>0</v>
      </c>
      <c r="H655" s="9">
        <v>21</v>
      </c>
    </row>
    <row r="656" spans="1:8" x14ac:dyDescent="0.25">
      <c r="A656" s="21"/>
      <c r="B656" s="30"/>
      <c r="C656" s="30"/>
      <c r="D656" s="38"/>
      <c r="E656" s="8"/>
      <c r="F656" s="6" t="str">
        <f t="shared" si="54"/>
        <v xml:space="preserve">N/F  </v>
      </c>
      <c r="G656" s="28">
        <f t="shared" si="55"/>
        <v>0</v>
      </c>
      <c r="H656" s="9">
        <v>21</v>
      </c>
    </row>
    <row r="657" spans="1:8" x14ac:dyDescent="0.25">
      <c r="A657" s="21"/>
      <c r="B657" s="30"/>
      <c r="C657" s="30"/>
      <c r="D657" s="38"/>
      <c r="E657" s="8"/>
      <c r="F657" s="6" t="str">
        <f t="shared" si="54"/>
        <v xml:space="preserve">N/F  </v>
      </c>
      <c r="G657" s="28">
        <f t="shared" si="55"/>
        <v>0</v>
      </c>
      <c r="H657" s="9">
        <v>21</v>
      </c>
    </row>
    <row r="658" spans="1:8" x14ac:dyDescent="0.25">
      <c r="A658" s="21"/>
      <c r="B658" s="30"/>
      <c r="C658" s="30"/>
      <c r="D658" s="38"/>
      <c r="E658" s="8"/>
      <c r="F658" s="6" t="str">
        <f t="shared" ref="F658:F721" si="56">"N/F "&amp;B658&amp;" "&amp;E658</f>
        <v xml:space="preserve">N/F  </v>
      </c>
      <c r="G658" s="28">
        <f t="shared" ref="G658:G721" si="57">+D658/1.21</f>
        <v>0</v>
      </c>
      <c r="H658" s="9">
        <v>21</v>
      </c>
    </row>
    <row r="659" spans="1:8" x14ac:dyDescent="0.25">
      <c r="A659" s="21"/>
      <c r="B659" s="30"/>
      <c r="C659" s="30"/>
      <c r="D659" s="38"/>
      <c r="E659" s="8"/>
      <c r="F659" s="6" t="str">
        <f t="shared" si="56"/>
        <v xml:space="preserve">N/F  </v>
      </c>
      <c r="G659" s="28">
        <f t="shared" si="57"/>
        <v>0</v>
      </c>
      <c r="H659" s="9">
        <v>21</v>
      </c>
    </row>
    <row r="660" spans="1:8" x14ac:dyDescent="0.25">
      <c r="A660" s="21"/>
      <c r="B660" s="30"/>
      <c r="C660" s="30"/>
      <c r="D660" s="38"/>
      <c r="E660" s="8"/>
      <c r="F660" s="6" t="str">
        <f t="shared" si="56"/>
        <v xml:space="preserve">N/F  </v>
      </c>
      <c r="G660" s="28">
        <f t="shared" si="57"/>
        <v>0</v>
      </c>
      <c r="H660" s="9">
        <v>21</v>
      </c>
    </row>
    <row r="661" spans="1:8" x14ac:dyDescent="0.25">
      <c r="A661" s="21"/>
      <c r="B661" s="30"/>
      <c r="C661" s="30"/>
      <c r="D661" s="38"/>
      <c r="E661" s="8"/>
      <c r="F661" s="6" t="str">
        <f t="shared" si="56"/>
        <v xml:space="preserve">N/F  </v>
      </c>
      <c r="G661" s="28">
        <f t="shared" si="57"/>
        <v>0</v>
      </c>
      <c r="H661" s="9">
        <v>21</v>
      </c>
    </row>
    <row r="662" spans="1:8" x14ac:dyDescent="0.25">
      <c r="A662" s="21"/>
      <c r="B662" s="30"/>
      <c r="C662" s="30"/>
      <c r="D662" s="38"/>
      <c r="E662" s="8"/>
      <c r="F662" s="6" t="str">
        <f t="shared" si="56"/>
        <v xml:space="preserve">N/F  </v>
      </c>
      <c r="G662" s="28">
        <f t="shared" si="57"/>
        <v>0</v>
      </c>
      <c r="H662" s="9">
        <v>21</v>
      </c>
    </row>
    <row r="663" spans="1:8" x14ac:dyDescent="0.25">
      <c r="A663" s="21"/>
      <c r="B663" s="30"/>
      <c r="C663" s="30"/>
      <c r="D663" s="38"/>
      <c r="E663" s="8"/>
      <c r="F663" s="6" t="str">
        <f t="shared" si="56"/>
        <v xml:space="preserve">N/F  </v>
      </c>
      <c r="G663" s="28">
        <f t="shared" si="57"/>
        <v>0</v>
      </c>
      <c r="H663" s="9">
        <v>21</v>
      </c>
    </row>
    <row r="664" spans="1:8" x14ac:dyDescent="0.25">
      <c r="A664" s="21"/>
      <c r="B664" s="30"/>
      <c r="C664" s="30"/>
      <c r="D664" s="38"/>
      <c r="E664" s="8"/>
      <c r="F664" s="6" t="str">
        <f t="shared" si="56"/>
        <v xml:space="preserve">N/F  </v>
      </c>
      <c r="G664" s="28">
        <f t="shared" si="57"/>
        <v>0</v>
      </c>
      <c r="H664" s="9">
        <v>21</v>
      </c>
    </row>
    <row r="665" spans="1:8" x14ac:dyDescent="0.25">
      <c r="A665" s="21"/>
      <c r="B665" s="30"/>
      <c r="C665" s="30"/>
      <c r="D665" s="38"/>
      <c r="E665" s="8"/>
      <c r="F665" s="6" t="str">
        <f t="shared" si="56"/>
        <v xml:space="preserve">N/F  </v>
      </c>
      <c r="G665" s="28">
        <f t="shared" si="57"/>
        <v>0</v>
      </c>
      <c r="H665" s="9">
        <v>21</v>
      </c>
    </row>
    <row r="666" spans="1:8" x14ac:dyDescent="0.25">
      <c r="A666" s="21"/>
      <c r="B666" s="30"/>
      <c r="C666" s="30"/>
      <c r="D666" s="38"/>
      <c r="E666" s="8"/>
      <c r="F666" s="6" t="str">
        <f t="shared" si="56"/>
        <v xml:space="preserve">N/F  </v>
      </c>
      <c r="G666" s="28">
        <f t="shared" si="57"/>
        <v>0</v>
      </c>
      <c r="H666" s="9">
        <v>21</v>
      </c>
    </row>
    <row r="667" spans="1:8" x14ac:dyDescent="0.25">
      <c r="A667" s="21"/>
      <c r="B667" s="30"/>
      <c r="C667" s="30"/>
      <c r="D667" s="38"/>
      <c r="E667" s="8"/>
      <c r="F667" s="6" t="str">
        <f t="shared" si="56"/>
        <v xml:space="preserve">N/F  </v>
      </c>
      <c r="G667" s="28">
        <f t="shared" si="57"/>
        <v>0</v>
      </c>
      <c r="H667" s="9">
        <v>21</v>
      </c>
    </row>
    <row r="668" spans="1:8" x14ac:dyDescent="0.25">
      <c r="A668" s="21"/>
      <c r="B668" s="30"/>
      <c r="C668" s="30"/>
      <c r="D668" s="38"/>
      <c r="E668" s="8"/>
      <c r="F668" s="6" t="str">
        <f t="shared" si="56"/>
        <v xml:space="preserve">N/F  </v>
      </c>
      <c r="G668" s="28">
        <f t="shared" si="57"/>
        <v>0</v>
      </c>
      <c r="H668" s="9">
        <v>21</v>
      </c>
    </row>
    <row r="669" spans="1:8" x14ac:dyDescent="0.25">
      <c r="A669" s="21"/>
      <c r="B669" s="30"/>
      <c r="C669" s="30"/>
      <c r="D669" s="38"/>
      <c r="E669" s="8"/>
      <c r="F669" s="6" t="str">
        <f t="shared" si="56"/>
        <v xml:space="preserve">N/F  </v>
      </c>
      <c r="G669" s="28">
        <f t="shared" si="57"/>
        <v>0</v>
      </c>
      <c r="H669" s="9">
        <v>21</v>
      </c>
    </row>
    <row r="670" spans="1:8" x14ac:dyDescent="0.25">
      <c r="A670" s="21"/>
      <c r="B670" s="30"/>
      <c r="C670" s="30"/>
      <c r="D670" s="38"/>
      <c r="E670" s="8"/>
      <c r="F670" s="6" t="str">
        <f t="shared" si="56"/>
        <v xml:space="preserve">N/F  </v>
      </c>
      <c r="G670" s="28">
        <f t="shared" si="57"/>
        <v>0</v>
      </c>
      <c r="H670" s="9">
        <v>21</v>
      </c>
    </row>
    <row r="671" spans="1:8" x14ac:dyDescent="0.25">
      <c r="A671" s="21"/>
      <c r="B671" s="30"/>
      <c r="C671" s="30"/>
      <c r="D671" s="38"/>
      <c r="E671" s="8"/>
      <c r="F671" s="6" t="str">
        <f t="shared" si="56"/>
        <v xml:space="preserve">N/F  </v>
      </c>
      <c r="G671" s="28">
        <f t="shared" si="57"/>
        <v>0</v>
      </c>
      <c r="H671" s="9">
        <v>21</v>
      </c>
    </row>
    <row r="672" spans="1:8" x14ac:dyDescent="0.25">
      <c r="A672" s="21"/>
      <c r="B672" s="30"/>
      <c r="C672" s="30"/>
      <c r="D672" s="38"/>
      <c r="E672" s="8"/>
      <c r="F672" s="6" t="str">
        <f t="shared" si="56"/>
        <v xml:space="preserve">N/F  </v>
      </c>
      <c r="G672" s="28">
        <f t="shared" si="57"/>
        <v>0</v>
      </c>
      <c r="H672" s="9">
        <v>21</v>
      </c>
    </row>
    <row r="673" spans="1:8" x14ac:dyDescent="0.25">
      <c r="A673" s="21"/>
      <c r="B673" s="30"/>
      <c r="C673" s="30"/>
      <c r="D673" s="38"/>
      <c r="E673" s="8"/>
      <c r="F673" s="6" t="str">
        <f t="shared" si="56"/>
        <v xml:space="preserve">N/F  </v>
      </c>
      <c r="G673" s="28">
        <f t="shared" si="57"/>
        <v>0</v>
      </c>
      <c r="H673" s="9">
        <v>21</v>
      </c>
    </row>
    <row r="674" spans="1:8" x14ac:dyDescent="0.25">
      <c r="A674" s="21"/>
      <c r="B674" s="30"/>
      <c r="C674" s="30"/>
      <c r="D674" s="38"/>
      <c r="E674" s="8"/>
      <c r="F674" s="6" t="str">
        <f t="shared" si="56"/>
        <v xml:space="preserve">N/F  </v>
      </c>
      <c r="G674" s="28">
        <f t="shared" si="57"/>
        <v>0</v>
      </c>
      <c r="H674" s="9">
        <v>21</v>
      </c>
    </row>
    <row r="675" spans="1:8" x14ac:dyDescent="0.25">
      <c r="A675" s="21"/>
      <c r="B675" s="30"/>
      <c r="C675" s="30"/>
      <c r="D675" s="38"/>
      <c r="E675" s="8"/>
      <c r="F675" s="6" t="str">
        <f t="shared" si="56"/>
        <v xml:space="preserve">N/F  </v>
      </c>
      <c r="G675" s="28">
        <f t="shared" si="57"/>
        <v>0</v>
      </c>
      <c r="H675" s="9">
        <v>21</v>
      </c>
    </row>
    <row r="676" spans="1:8" x14ac:dyDescent="0.25">
      <c r="A676" s="21"/>
      <c r="B676" s="30"/>
      <c r="C676" s="30"/>
      <c r="D676" s="38"/>
      <c r="E676" s="8"/>
      <c r="F676" s="6" t="str">
        <f t="shared" si="56"/>
        <v xml:space="preserve">N/F  </v>
      </c>
      <c r="G676" s="28">
        <f t="shared" si="57"/>
        <v>0</v>
      </c>
      <c r="H676" s="9">
        <v>21</v>
      </c>
    </row>
    <row r="677" spans="1:8" x14ac:dyDescent="0.25">
      <c r="A677" s="21"/>
      <c r="B677" s="30"/>
      <c r="C677" s="30"/>
      <c r="D677" s="38"/>
      <c r="E677" s="8"/>
      <c r="F677" s="6" t="str">
        <f t="shared" si="56"/>
        <v xml:space="preserve">N/F  </v>
      </c>
      <c r="G677" s="28">
        <f t="shared" si="57"/>
        <v>0</v>
      </c>
      <c r="H677" s="9">
        <v>21</v>
      </c>
    </row>
    <row r="678" spans="1:8" x14ac:dyDescent="0.25">
      <c r="A678" s="21"/>
      <c r="B678" s="30"/>
      <c r="C678" s="30"/>
      <c r="D678" s="38"/>
      <c r="E678" s="8"/>
      <c r="F678" s="6" t="str">
        <f t="shared" si="56"/>
        <v xml:space="preserve">N/F  </v>
      </c>
      <c r="G678" s="28">
        <f t="shared" si="57"/>
        <v>0</v>
      </c>
      <c r="H678" s="9">
        <v>21</v>
      </c>
    </row>
    <row r="679" spans="1:8" x14ac:dyDescent="0.25">
      <c r="A679" s="21"/>
      <c r="B679" s="30"/>
      <c r="C679" s="30"/>
      <c r="D679" s="38"/>
      <c r="E679" s="8"/>
      <c r="F679" s="6" t="str">
        <f t="shared" si="56"/>
        <v xml:space="preserve">N/F  </v>
      </c>
      <c r="G679" s="28">
        <f t="shared" si="57"/>
        <v>0</v>
      </c>
      <c r="H679" s="9">
        <v>21</v>
      </c>
    </row>
    <row r="680" spans="1:8" x14ac:dyDescent="0.25">
      <c r="A680" s="21"/>
      <c r="B680" s="30"/>
      <c r="C680" s="30"/>
      <c r="D680" s="38"/>
      <c r="E680" s="8"/>
      <c r="F680" s="6" t="str">
        <f t="shared" si="56"/>
        <v xml:space="preserve">N/F  </v>
      </c>
      <c r="G680" s="28">
        <f t="shared" si="57"/>
        <v>0</v>
      </c>
      <c r="H680" s="9">
        <v>21</v>
      </c>
    </row>
    <row r="681" spans="1:8" x14ac:dyDescent="0.25">
      <c r="A681" s="21"/>
      <c r="B681" s="30"/>
      <c r="C681" s="30"/>
      <c r="D681" s="38"/>
      <c r="E681" s="8"/>
      <c r="F681" s="6" t="str">
        <f t="shared" si="56"/>
        <v xml:space="preserve">N/F  </v>
      </c>
      <c r="G681" s="28">
        <f t="shared" si="57"/>
        <v>0</v>
      </c>
      <c r="H681" s="9">
        <v>21</v>
      </c>
    </row>
    <row r="682" spans="1:8" x14ac:dyDescent="0.25">
      <c r="A682" s="21"/>
      <c r="B682" s="30"/>
      <c r="C682" s="30"/>
      <c r="D682" s="38"/>
      <c r="E682" s="8"/>
      <c r="F682" s="6" t="str">
        <f t="shared" si="56"/>
        <v xml:space="preserve">N/F  </v>
      </c>
      <c r="G682" s="28">
        <f t="shared" si="57"/>
        <v>0</v>
      </c>
      <c r="H682" s="9">
        <v>21</v>
      </c>
    </row>
    <row r="683" spans="1:8" x14ac:dyDescent="0.25">
      <c r="A683" s="21"/>
      <c r="B683" s="30"/>
      <c r="C683" s="30"/>
      <c r="D683" s="38"/>
      <c r="E683" s="8"/>
      <c r="F683" s="6" t="str">
        <f t="shared" si="56"/>
        <v xml:space="preserve">N/F  </v>
      </c>
      <c r="G683" s="28">
        <f t="shared" si="57"/>
        <v>0</v>
      </c>
      <c r="H683" s="9">
        <v>21</v>
      </c>
    </row>
    <row r="684" spans="1:8" x14ac:dyDescent="0.25">
      <c r="A684" s="21"/>
      <c r="B684" s="30"/>
      <c r="C684" s="30"/>
      <c r="D684" s="38"/>
      <c r="E684" s="8"/>
      <c r="F684" s="6" t="str">
        <f t="shared" si="56"/>
        <v xml:space="preserve">N/F  </v>
      </c>
      <c r="G684" s="28">
        <f t="shared" si="57"/>
        <v>0</v>
      </c>
      <c r="H684" s="9">
        <v>21</v>
      </c>
    </row>
    <row r="685" spans="1:8" x14ac:dyDescent="0.25">
      <c r="A685" s="21"/>
      <c r="B685" s="30"/>
      <c r="C685" s="30"/>
      <c r="D685" s="38"/>
      <c r="E685" s="8"/>
      <c r="F685" s="6" t="str">
        <f t="shared" si="56"/>
        <v xml:space="preserve">N/F  </v>
      </c>
      <c r="G685" s="28">
        <f t="shared" si="57"/>
        <v>0</v>
      </c>
      <c r="H685" s="9">
        <v>21</v>
      </c>
    </row>
    <row r="686" spans="1:8" x14ac:dyDescent="0.25">
      <c r="A686" s="21"/>
      <c r="B686" s="30"/>
      <c r="C686" s="30"/>
      <c r="D686" s="38"/>
      <c r="E686" s="8"/>
      <c r="F686" s="6" t="str">
        <f t="shared" si="56"/>
        <v xml:space="preserve">N/F  </v>
      </c>
      <c r="G686" s="28">
        <f t="shared" si="57"/>
        <v>0</v>
      </c>
      <c r="H686" s="9">
        <v>21</v>
      </c>
    </row>
    <row r="687" spans="1:8" x14ac:dyDescent="0.25">
      <c r="A687" s="21"/>
      <c r="B687" s="30"/>
      <c r="C687" s="30"/>
      <c r="D687" s="38"/>
      <c r="E687" s="8"/>
      <c r="F687" s="6" t="str">
        <f t="shared" si="56"/>
        <v xml:space="preserve">N/F  </v>
      </c>
      <c r="G687" s="28">
        <f t="shared" si="57"/>
        <v>0</v>
      </c>
      <c r="H687" s="9">
        <v>21</v>
      </c>
    </row>
    <row r="688" spans="1:8" x14ac:dyDescent="0.25">
      <c r="A688" s="21"/>
      <c r="B688" s="30"/>
      <c r="C688" s="30"/>
      <c r="D688" s="38"/>
      <c r="E688" s="8"/>
      <c r="F688" s="6" t="str">
        <f t="shared" si="56"/>
        <v xml:space="preserve">N/F  </v>
      </c>
      <c r="G688" s="28">
        <f t="shared" si="57"/>
        <v>0</v>
      </c>
      <c r="H688" s="9">
        <v>21</v>
      </c>
    </row>
    <row r="689" spans="1:8" x14ac:dyDescent="0.25">
      <c r="A689" s="21"/>
      <c r="B689" s="30"/>
      <c r="C689" s="30"/>
      <c r="D689" s="38"/>
      <c r="E689" s="8"/>
      <c r="F689" s="6" t="str">
        <f t="shared" si="56"/>
        <v xml:space="preserve">N/F  </v>
      </c>
      <c r="G689" s="28">
        <f t="shared" si="57"/>
        <v>0</v>
      </c>
      <c r="H689" s="9">
        <v>21</v>
      </c>
    </row>
    <row r="690" spans="1:8" x14ac:dyDescent="0.25">
      <c r="A690" s="21"/>
      <c r="B690" s="30"/>
      <c r="C690" s="30"/>
      <c r="D690" s="38"/>
      <c r="E690" s="8"/>
      <c r="F690" s="6" t="str">
        <f t="shared" si="56"/>
        <v xml:space="preserve">N/F  </v>
      </c>
      <c r="G690" s="28">
        <f t="shared" si="57"/>
        <v>0</v>
      </c>
      <c r="H690" s="9">
        <v>21</v>
      </c>
    </row>
    <row r="691" spans="1:8" x14ac:dyDescent="0.25">
      <c r="A691" s="21"/>
      <c r="B691" s="30"/>
      <c r="C691" s="30"/>
      <c r="D691" s="38"/>
      <c r="E691" s="8"/>
      <c r="F691" s="6" t="str">
        <f t="shared" si="56"/>
        <v xml:space="preserve">N/F  </v>
      </c>
      <c r="G691" s="28">
        <f t="shared" si="57"/>
        <v>0</v>
      </c>
      <c r="H691" s="9">
        <v>21</v>
      </c>
    </row>
    <row r="692" spans="1:8" x14ac:dyDescent="0.25">
      <c r="A692" s="21"/>
      <c r="B692" s="30"/>
      <c r="C692" s="30"/>
      <c r="D692" s="38"/>
      <c r="E692" s="8"/>
      <c r="F692" s="6" t="str">
        <f t="shared" si="56"/>
        <v xml:space="preserve">N/F  </v>
      </c>
      <c r="G692" s="28">
        <f t="shared" si="57"/>
        <v>0</v>
      </c>
      <c r="H692" s="9">
        <v>21</v>
      </c>
    </row>
    <row r="693" spans="1:8" x14ac:dyDescent="0.25">
      <c r="A693" s="21"/>
      <c r="B693" s="30"/>
      <c r="C693" s="30"/>
      <c r="D693" s="38"/>
      <c r="E693" s="8"/>
      <c r="F693" s="6" t="str">
        <f t="shared" si="56"/>
        <v xml:space="preserve">N/F  </v>
      </c>
      <c r="G693" s="28">
        <f t="shared" si="57"/>
        <v>0</v>
      </c>
      <c r="H693" s="9">
        <v>21</v>
      </c>
    </row>
    <row r="694" spans="1:8" x14ac:dyDescent="0.25">
      <c r="A694" s="21"/>
      <c r="B694" s="30"/>
      <c r="C694" s="30"/>
      <c r="D694" s="38"/>
      <c r="E694" s="8"/>
      <c r="F694" s="6" t="str">
        <f t="shared" si="56"/>
        <v xml:space="preserve">N/F  </v>
      </c>
      <c r="G694" s="28">
        <f t="shared" si="57"/>
        <v>0</v>
      </c>
      <c r="H694" s="9">
        <v>21</v>
      </c>
    </row>
    <row r="695" spans="1:8" x14ac:dyDescent="0.25">
      <c r="A695" s="21"/>
      <c r="B695" s="30"/>
      <c r="C695" s="30"/>
      <c r="D695" s="38"/>
      <c r="E695" s="8"/>
      <c r="F695" s="6" t="str">
        <f t="shared" si="56"/>
        <v xml:space="preserve">N/F  </v>
      </c>
      <c r="G695" s="28">
        <f t="shared" si="57"/>
        <v>0</v>
      </c>
      <c r="H695" s="9">
        <v>21</v>
      </c>
    </row>
    <row r="696" spans="1:8" x14ac:dyDescent="0.25">
      <c r="A696" s="21"/>
      <c r="B696" s="30"/>
      <c r="C696" s="30"/>
      <c r="D696" s="38"/>
      <c r="E696" s="8"/>
      <c r="F696" s="6" t="str">
        <f t="shared" si="56"/>
        <v xml:space="preserve">N/F  </v>
      </c>
      <c r="G696" s="28">
        <f t="shared" si="57"/>
        <v>0</v>
      </c>
      <c r="H696" s="9">
        <v>21</v>
      </c>
    </row>
    <row r="697" spans="1:8" x14ac:dyDescent="0.25">
      <c r="A697" s="21"/>
      <c r="B697" s="30"/>
      <c r="C697" s="30"/>
      <c r="D697" s="38"/>
      <c r="E697" s="8"/>
      <c r="F697" s="6" t="str">
        <f t="shared" si="56"/>
        <v xml:space="preserve">N/F  </v>
      </c>
      <c r="G697" s="28">
        <f t="shared" si="57"/>
        <v>0</v>
      </c>
      <c r="H697" s="9">
        <v>21</v>
      </c>
    </row>
    <row r="698" spans="1:8" x14ac:dyDescent="0.25">
      <c r="A698" s="21"/>
      <c r="B698" s="30"/>
      <c r="C698" s="30"/>
      <c r="D698" s="38"/>
      <c r="E698" s="8"/>
      <c r="F698" s="6" t="str">
        <f t="shared" si="56"/>
        <v xml:space="preserve">N/F  </v>
      </c>
      <c r="G698" s="28">
        <f t="shared" si="57"/>
        <v>0</v>
      </c>
      <c r="H698" s="9">
        <v>21</v>
      </c>
    </row>
    <row r="699" spans="1:8" x14ac:dyDescent="0.25">
      <c r="A699" s="21"/>
      <c r="B699" s="30"/>
      <c r="C699" s="30"/>
      <c r="D699" s="38"/>
      <c r="E699" s="8"/>
      <c r="F699" s="6" t="str">
        <f t="shared" si="56"/>
        <v xml:space="preserve">N/F  </v>
      </c>
      <c r="G699" s="28">
        <f t="shared" si="57"/>
        <v>0</v>
      </c>
      <c r="H699" s="9">
        <v>21</v>
      </c>
    </row>
    <row r="700" spans="1:8" x14ac:dyDescent="0.25">
      <c r="A700" s="21"/>
      <c r="B700" s="30"/>
      <c r="C700" s="30"/>
      <c r="D700" s="38"/>
      <c r="E700" s="8"/>
      <c r="F700" s="6" t="str">
        <f t="shared" si="56"/>
        <v xml:space="preserve">N/F  </v>
      </c>
      <c r="G700" s="28">
        <f t="shared" si="57"/>
        <v>0</v>
      </c>
      <c r="H700" s="9">
        <v>21</v>
      </c>
    </row>
    <row r="701" spans="1:8" x14ac:dyDescent="0.25">
      <c r="A701" s="21"/>
      <c r="B701" s="30"/>
      <c r="C701" s="30"/>
      <c r="D701" s="38"/>
      <c r="E701" s="8"/>
      <c r="F701" s="6" t="str">
        <f t="shared" si="56"/>
        <v xml:space="preserve">N/F  </v>
      </c>
      <c r="G701" s="28">
        <f t="shared" si="57"/>
        <v>0</v>
      </c>
      <c r="H701" s="9">
        <v>21</v>
      </c>
    </row>
    <row r="702" spans="1:8" x14ac:dyDescent="0.25">
      <c r="A702" s="21"/>
      <c r="B702" s="30"/>
      <c r="C702" s="30"/>
      <c r="D702" s="38"/>
      <c r="E702" s="8"/>
      <c r="F702" s="6" t="str">
        <f t="shared" si="56"/>
        <v xml:space="preserve">N/F  </v>
      </c>
      <c r="G702" s="28">
        <f t="shared" si="57"/>
        <v>0</v>
      </c>
      <c r="H702" s="9">
        <v>21</v>
      </c>
    </row>
    <row r="703" spans="1:8" x14ac:dyDescent="0.25">
      <c r="A703" s="21"/>
      <c r="B703" s="30"/>
      <c r="C703" s="30"/>
      <c r="D703" s="38"/>
      <c r="E703" s="8"/>
      <c r="F703" s="6" t="str">
        <f t="shared" si="56"/>
        <v xml:space="preserve">N/F  </v>
      </c>
      <c r="G703" s="28">
        <f t="shared" si="57"/>
        <v>0</v>
      </c>
      <c r="H703" s="9">
        <v>21</v>
      </c>
    </row>
    <row r="704" spans="1:8" x14ac:dyDescent="0.25">
      <c r="A704" s="21"/>
      <c r="B704" s="30"/>
      <c r="C704" s="30"/>
      <c r="D704" s="38"/>
      <c r="E704" s="8"/>
      <c r="F704" s="6" t="str">
        <f t="shared" si="56"/>
        <v xml:space="preserve">N/F  </v>
      </c>
      <c r="G704" s="28">
        <f t="shared" si="57"/>
        <v>0</v>
      </c>
      <c r="H704" s="9">
        <v>21</v>
      </c>
    </row>
    <row r="705" spans="1:8" x14ac:dyDescent="0.25">
      <c r="A705" s="21"/>
      <c r="B705" s="30"/>
      <c r="C705" s="30"/>
      <c r="D705" s="38"/>
      <c r="E705" s="8"/>
      <c r="F705" s="6" t="str">
        <f t="shared" si="56"/>
        <v xml:space="preserve">N/F  </v>
      </c>
      <c r="G705" s="28">
        <f t="shared" si="57"/>
        <v>0</v>
      </c>
      <c r="H705" s="9">
        <v>21</v>
      </c>
    </row>
    <row r="706" spans="1:8" x14ac:dyDescent="0.25">
      <c r="A706" s="21"/>
      <c r="B706" s="30"/>
      <c r="C706" s="30"/>
      <c r="D706" s="38"/>
      <c r="E706" s="8"/>
      <c r="F706" s="6" t="str">
        <f t="shared" si="56"/>
        <v xml:space="preserve">N/F  </v>
      </c>
      <c r="G706" s="28">
        <f t="shared" si="57"/>
        <v>0</v>
      </c>
      <c r="H706" s="9">
        <v>21</v>
      </c>
    </row>
    <row r="707" spans="1:8" x14ac:dyDescent="0.25">
      <c r="A707" s="21"/>
      <c r="B707" s="30"/>
      <c r="C707" s="30"/>
      <c r="D707" s="38"/>
      <c r="E707" s="8"/>
      <c r="F707" s="6" t="str">
        <f t="shared" si="56"/>
        <v xml:space="preserve">N/F  </v>
      </c>
      <c r="G707" s="28">
        <f t="shared" si="57"/>
        <v>0</v>
      </c>
      <c r="H707" s="9">
        <v>21</v>
      </c>
    </row>
    <row r="708" spans="1:8" x14ac:dyDescent="0.25">
      <c r="A708" s="21"/>
      <c r="B708" s="30"/>
      <c r="C708" s="30"/>
      <c r="D708" s="38"/>
      <c r="E708" s="8"/>
      <c r="F708" s="6" t="str">
        <f t="shared" si="56"/>
        <v xml:space="preserve">N/F  </v>
      </c>
      <c r="G708" s="28">
        <f t="shared" si="57"/>
        <v>0</v>
      </c>
      <c r="H708" s="9">
        <v>21</v>
      </c>
    </row>
    <row r="709" spans="1:8" x14ac:dyDescent="0.25">
      <c r="A709" s="21"/>
      <c r="B709" s="30"/>
      <c r="C709" s="30"/>
      <c r="D709" s="38"/>
      <c r="E709" s="8"/>
      <c r="F709" s="6" t="str">
        <f t="shared" si="56"/>
        <v xml:space="preserve">N/F  </v>
      </c>
      <c r="G709" s="28">
        <f t="shared" si="57"/>
        <v>0</v>
      </c>
      <c r="H709" s="9">
        <v>21</v>
      </c>
    </row>
    <row r="710" spans="1:8" x14ac:dyDescent="0.25">
      <c r="A710" s="21"/>
      <c r="B710" s="30"/>
      <c r="C710" s="30"/>
      <c r="D710" s="38"/>
      <c r="E710" s="8"/>
      <c r="F710" s="6" t="str">
        <f t="shared" si="56"/>
        <v xml:space="preserve">N/F  </v>
      </c>
      <c r="G710" s="28">
        <f t="shared" si="57"/>
        <v>0</v>
      </c>
      <c r="H710" s="9">
        <v>21</v>
      </c>
    </row>
    <row r="711" spans="1:8" x14ac:dyDescent="0.25">
      <c r="A711" s="21"/>
      <c r="B711" s="30"/>
      <c r="C711" s="30"/>
      <c r="D711" s="38"/>
      <c r="E711" s="8"/>
      <c r="F711" s="6" t="str">
        <f t="shared" si="56"/>
        <v xml:space="preserve">N/F  </v>
      </c>
      <c r="G711" s="28">
        <f t="shared" si="57"/>
        <v>0</v>
      </c>
      <c r="H711" s="9">
        <v>21</v>
      </c>
    </row>
    <row r="712" spans="1:8" x14ac:dyDescent="0.25">
      <c r="A712" s="21"/>
      <c r="B712" s="30"/>
      <c r="C712" s="30"/>
      <c r="D712" s="38"/>
      <c r="E712" s="8"/>
      <c r="F712" s="6" t="str">
        <f t="shared" si="56"/>
        <v xml:space="preserve">N/F  </v>
      </c>
      <c r="G712" s="28">
        <f t="shared" si="57"/>
        <v>0</v>
      </c>
      <c r="H712" s="9">
        <v>21</v>
      </c>
    </row>
    <row r="713" spans="1:8" x14ac:dyDescent="0.25">
      <c r="A713" s="21"/>
      <c r="B713" s="30"/>
      <c r="C713" s="30"/>
      <c r="D713" s="38"/>
      <c r="E713" s="8"/>
      <c r="F713" s="6" t="str">
        <f t="shared" si="56"/>
        <v xml:space="preserve">N/F  </v>
      </c>
      <c r="G713" s="28">
        <f t="shared" si="57"/>
        <v>0</v>
      </c>
      <c r="H713" s="9">
        <v>21</v>
      </c>
    </row>
    <row r="714" spans="1:8" x14ac:dyDescent="0.25">
      <c r="A714" s="21"/>
      <c r="B714" s="30"/>
      <c r="C714" s="30"/>
      <c r="D714" s="38"/>
      <c r="E714" s="8"/>
      <c r="F714" s="6" t="str">
        <f t="shared" si="56"/>
        <v xml:space="preserve">N/F  </v>
      </c>
      <c r="G714" s="28">
        <f t="shared" si="57"/>
        <v>0</v>
      </c>
      <c r="H714" s="9">
        <v>21</v>
      </c>
    </row>
    <row r="715" spans="1:8" x14ac:dyDescent="0.25">
      <c r="A715" s="21"/>
      <c r="B715" s="30"/>
      <c r="C715" s="30"/>
      <c r="D715" s="38"/>
      <c r="E715" s="8"/>
      <c r="F715" s="6" t="str">
        <f t="shared" si="56"/>
        <v xml:space="preserve">N/F  </v>
      </c>
      <c r="G715" s="28">
        <f t="shared" si="57"/>
        <v>0</v>
      </c>
      <c r="H715" s="9">
        <v>21</v>
      </c>
    </row>
    <row r="716" spans="1:8" x14ac:dyDescent="0.25">
      <c r="A716" s="21"/>
      <c r="B716" s="30"/>
      <c r="C716" s="30"/>
      <c r="D716" s="38"/>
      <c r="E716" s="8"/>
      <c r="F716" s="6" t="str">
        <f t="shared" si="56"/>
        <v xml:space="preserve">N/F  </v>
      </c>
      <c r="G716" s="28">
        <f t="shared" si="57"/>
        <v>0</v>
      </c>
      <c r="H716" s="9">
        <v>21</v>
      </c>
    </row>
    <row r="717" spans="1:8" x14ac:dyDescent="0.25">
      <c r="A717" s="21"/>
      <c r="B717" s="30"/>
      <c r="C717" s="30"/>
      <c r="D717" s="38"/>
      <c r="E717" s="8"/>
      <c r="F717" s="6" t="str">
        <f t="shared" si="56"/>
        <v xml:space="preserve">N/F  </v>
      </c>
      <c r="G717" s="28">
        <f t="shared" si="57"/>
        <v>0</v>
      </c>
      <c r="H717" s="9">
        <v>21</v>
      </c>
    </row>
    <row r="718" spans="1:8" x14ac:dyDescent="0.25">
      <c r="A718" s="21"/>
      <c r="B718" s="30"/>
      <c r="C718" s="30"/>
      <c r="D718" s="38"/>
      <c r="E718" s="8"/>
      <c r="F718" s="6" t="str">
        <f t="shared" si="56"/>
        <v xml:space="preserve">N/F  </v>
      </c>
      <c r="G718" s="28">
        <f t="shared" si="57"/>
        <v>0</v>
      </c>
      <c r="H718" s="9">
        <v>21</v>
      </c>
    </row>
    <row r="719" spans="1:8" x14ac:dyDescent="0.25">
      <c r="A719" s="21"/>
      <c r="B719" s="30"/>
      <c r="C719" s="30"/>
      <c r="D719" s="38"/>
      <c r="E719" s="8"/>
      <c r="F719" s="6" t="str">
        <f t="shared" si="56"/>
        <v xml:space="preserve">N/F  </v>
      </c>
      <c r="G719" s="28">
        <f t="shared" si="57"/>
        <v>0</v>
      </c>
      <c r="H719" s="9">
        <v>21</v>
      </c>
    </row>
    <row r="720" spans="1:8" x14ac:dyDescent="0.25">
      <c r="A720" s="21"/>
      <c r="B720" s="30"/>
      <c r="C720" s="30"/>
      <c r="D720" s="38"/>
      <c r="E720" s="8"/>
      <c r="F720" s="6" t="str">
        <f t="shared" si="56"/>
        <v xml:space="preserve">N/F  </v>
      </c>
      <c r="G720" s="28">
        <f t="shared" si="57"/>
        <v>0</v>
      </c>
      <c r="H720" s="9">
        <v>21</v>
      </c>
    </row>
    <row r="721" spans="1:8" x14ac:dyDescent="0.25">
      <c r="A721" s="21"/>
      <c r="B721" s="30"/>
      <c r="C721" s="30"/>
      <c r="D721" s="38"/>
      <c r="E721" s="8"/>
      <c r="F721" s="6" t="str">
        <f t="shared" si="56"/>
        <v xml:space="preserve">N/F  </v>
      </c>
      <c r="G721" s="28">
        <f t="shared" si="57"/>
        <v>0</v>
      </c>
      <c r="H721" s="9">
        <v>21</v>
      </c>
    </row>
    <row r="722" spans="1:8" x14ac:dyDescent="0.25">
      <c r="A722" s="21"/>
      <c r="B722" s="30"/>
      <c r="C722" s="30"/>
      <c r="D722" s="38"/>
      <c r="E722" s="8"/>
      <c r="F722" s="6" t="str">
        <f t="shared" ref="F722:F736" si="58">"N/F "&amp;B722&amp;" "&amp;E722</f>
        <v xml:space="preserve">N/F  </v>
      </c>
      <c r="G722" s="28">
        <f t="shared" ref="G722:G785" si="59">+D722/1.21</f>
        <v>0</v>
      </c>
      <c r="H722" s="9">
        <v>21</v>
      </c>
    </row>
    <row r="723" spans="1:8" x14ac:dyDescent="0.25">
      <c r="A723" s="21"/>
      <c r="B723" s="30"/>
      <c r="C723" s="30"/>
      <c r="D723" s="38"/>
      <c r="E723" s="8"/>
      <c r="F723" s="6" t="str">
        <f t="shared" si="58"/>
        <v xml:space="preserve">N/F  </v>
      </c>
      <c r="G723" s="28">
        <f t="shared" si="59"/>
        <v>0</v>
      </c>
      <c r="H723" s="9">
        <v>21</v>
      </c>
    </row>
    <row r="724" spans="1:8" x14ac:dyDescent="0.25">
      <c r="A724" s="21"/>
      <c r="B724" s="30"/>
      <c r="C724" s="30"/>
      <c r="D724" s="38"/>
      <c r="E724" s="8"/>
      <c r="F724" s="6" t="str">
        <f t="shared" si="58"/>
        <v xml:space="preserve">N/F  </v>
      </c>
      <c r="G724" s="28">
        <f t="shared" si="59"/>
        <v>0</v>
      </c>
      <c r="H724" s="9">
        <v>21</v>
      </c>
    </row>
    <row r="725" spans="1:8" x14ac:dyDescent="0.25">
      <c r="A725" s="21"/>
      <c r="B725" s="30"/>
      <c r="C725" s="30"/>
      <c r="D725" s="38"/>
      <c r="E725" s="8"/>
      <c r="F725" s="6" t="str">
        <f t="shared" si="58"/>
        <v xml:space="preserve">N/F  </v>
      </c>
      <c r="G725" s="28">
        <f t="shared" si="59"/>
        <v>0</v>
      </c>
      <c r="H725" s="9">
        <v>21</v>
      </c>
    </row>
    <row r="726" spans="1:8" x14ac:dyDescent="0.25">
      <c r="A726" s="21"/>
      <c r="B726" s="30"/>
      <c r="C726" s="30"/>
      <c r="D726" s="38"/>
      <c r="E726" s="8"/>
      <c r="F726" s="6" t="str">
        <f t="shared" si="58"/>
        <v xml:space="preserve">N/F  </v>
      </c>
      <c r="G726" s="28">
        <f t="shared" si="59"/>
        <v>0</v>
      </c>
      <c r="H726" s="9">
        <v>21</v>
      </c>
    </row>
    <row r="727" spans="1:8" x14ac:dyDescent="0.25">
      <c r="A727" s="21"/>
      <c r="B727" s="30"/>
      <c r="C727" s="30"/>
      <c r="D727" s="38"/>
      <c r="E727" s="8"/>
      <c r="F727" s="6" t="str">
        <f t="shared" si="58"/>
        <v xml:space="preserve">N/F  </v>
      </c>
      <c r="G727" s="28">
        <f t="shared" si="59"/>
        <v>0</v>
      </c>
      <c r="H727" s="9">
        <v>21</v>
      </c>
    </row>
    <row r="728" spans="1:8" x14ac:dyDescent="0.25">
      <c r="A728" s="21"/>
      <c r="B728" s="30"/>
      <c r="C728" s="30"/>
      <c r="D728" s="38"/>
      <c r="E728" s="8"/>
      <c r="F728" s="6" t="str">
        <f t="shared" si="58"/>
        <v xml:space="preserve">N/F  </v>
      </c>
      <c r="G728" s="28">
        <f t="shared" si="59"/>
        <v>0</v>
      </c>
      <c r="H728" s="9">
        <v>21</v>
      </c>
    </row>
    <row r="729" spans="1:8" x14ac:dyDescent="0.25">
      <c r="A729" s="21"/>
      <c r="B729" s="30"/>
      <c r="C729" s="30"/>
      <c r="D729" s="38"/>
      <c r="E729" s="8"/>
      <c r="F729" s="6" t="str">
        <f t="shared" si="58"/>
        <v xml:space="preserve">N/F  </v>
      </c>
      <c r="G729" s="28">
        <f t="shared" si="59"/>
        <v>0</v>
      </c>
      <c r="H729" s="9">
        <v>21</v>
      </c>
    </row>
    <row r="730" spans="1:8" x14ac:dyDescent="0.25">
      <c r="A730" s="21"/>
      <c r="B730" s="30"/>
      <c r="C730" s="30"/>
      <c r="D730" s="38"/>
      <c r="E730" s="8"/>
      <c r="F730" s="6" t="str">
        <f t="shared" si="58"/>
        <v xml:space="preserve">N/F  </v>
      </c>
      <c r="G730" s="28">
        <f t="shared" si="59"/>
        <v>0</v>
      </c>
      <c r="H730" s="9">
        <v>21</v>
      </c>
    </row>
    <row r="731" spans="1:8" x14ac:dyDescent="0.25">
      <c r="A731" s="21"/>
      <c r="B731" s="30"/>
      <c r="C731" s="30"/>
      <c r="D731" s="38"/>
      <c r="E731" s="8"/>
      <c r="F731" s="6" t="str">
        <f t="shared" si="58"/>
        <v xml:space="preserve">N/F  </v>
      </c>
      <c r="G731" s="28">
        <f t="shared" si="59"/>
        <v>0</v>
      </c>
      <c r="H731" s="9">
        <v>21</v>
      </c>
    </row>
    <row r="732" spans="1:8" x14ac:dyDescent="0.25">
      <c r="A732" s="21"/>
      <c r="B732" s="30"/>
      <c r="C732" s="30"/>
      <c r="D732" s="38"/>
      <c r="E732" s="8"/>
      <c r="F732" s="6" t="str">
        <f t="shared" si="58"/>
        <v xml:space="preserve">N/F  </v>
      </c>
      <c r="G732" s="28">
        <f t="shared" si="59"/>
        <v>0</v>
      </c>
      <c r="H732" s="9">
        <v>21</v>
      </c>
    </row>
    <row r="733" spans="1:8" x14ac:dyDescent="0.25">
      <c r="A733" s="21"/>
      <c r="B733" s="30"/>
      <c r="C733" s="30"/>
      <c r="D733" s="38"/>
      <c r="E733" s="8"/>
      <c r="F733" s="6" t="str">
        <f t="shared" si="58"/>
        <v xml:space="preserve">N/F  </v>
      </c>
      <c r="G733" s="28">
        <f t="shared" si="59"/>
        <v>0</v>
      </c>
      <c r="H733" s="9">
        <v>21</v>
      </c>
    </row>
    <row r="734" spans="1:8" x14ac:dyDescent="0.25">
      <c r="A734" s="21"/>
      <c r="B734" s="30"/>
      <c r="C734" s="30"/>
      <c r="D734" s="38"/>
      <c r="E734" s="8"/>
      <c r="F734" s="6" t="str">
        <f t="shared" si="58"/>
        <v xml:space="preserve">N/F  </v>
      </c>
      <c r="G734" s="28">
        <f t="shared" si="59"/>
        <v>0</v>
      </c>
      <c r="H734" s="9">
        <v>21</v>
      </c>
    </row>
    <row r="735" spans="1:8" x14ac:dyDescent="0.25">
      <c r="A735" s="21"/>
      <c r="B735" s="30"/>
      <c r="C735" s="30"/>
      <c r="D735" s="38"/>
      <c r="E735" s="8"/>
      <c r="F735" s="6" t="str">
        <f t="shared" si="58"/>
        <v xml:space="preserve">N/F  </v>
      </c>
      <c r="G735" s="28">
        <f t="shared" si="59"/>
        <v>0</v>
      </c>
      <c r="H735" s="9">
        <v>21</v>
      </c>
    </row>
    <row r="736" spans="1:8" x14ac:dyDescent="0.25">
      <c r="A736" s="21"/>
      <c r="B736" s="30"/>
      <c r="C736" s="30"/>
      <c r="D736" s="38"/>
      <c r="E736" s="8"/>
      <c r="F736" s="6" t="str">
        <f t="shared" si="58"/>
        <v xml:space="preserve">N/F  </v>
      </c>
      <c r="G736" s="28">
        <f t="shared" si="59"/>
        <v>0</v>
      </c>
      <c r="H736" s="9">
        <v>21</v>
      </c>
    </row>
    <row r="737" spans="1:8" x14ac:dyDescent="0.25">
      <c r="A737" s="21"/>
      <c r="B737" s="30"/>
      <c r="C737" s="30"/>
      <c r="D737" s="38"/>
      <c r="E737" s="8"/>
      <c r="G737" s="28">
        <f t="shared" si="59"/>
        <v>0</v>
      </c>
      <c r="H737" s="9">
        <v>21</v>
      </c>
    </row>
    <row r="738" spans="1:8" x14ac:dyDescent="0.25">
      <c r="A738" s="21"/>
      <c r="B738" s="30"/>
      <c r="C738" s="30"/>
      <c r="D738" s="38"/>
      <c r="E738" s="8"/>
      <c r="G738" s="28">
        <f t="shared" si="59"/>
        <v>0</v>
      </c>
      <c r="H738" s="9">
        <v>21</v>
      </c>
    </row>
    <row r="739" spans="1:8" x14ac:dyDescent="0.25">
      <c r="A739" s="21"/>
      <c r="B739" s="30"/>
      <c r="C739" s="30"/>
      <c r="D739" s="38"/>
      <c r="E739" s="8"/>
      <c r="G739" s="28">
        <f t="shared" si="59"/>
        <v>0</v>
      </c>
      <c r="H739" s="9">
        <v>21</v>
      </c>
    </row>
    <row r="740" spans="1:8" x14ac:dyDescent="0.25">
      <c r="A740" s="21"/>
      <c r="B740" s="30"/>
      <c r="C740" s="30"/>
      <c r="D740" s="38"/>
      <c r="E740" s="8"/>
      <c r="G740" s="28">
        <f t="shared" si="59"/>
        <v>0</v>
      </c>
      <c r="H740" s="9">
        <v>21</v>
      </c>
    </row>
    <row r="741" spans="1:8" x14ac:dyDescent="0.25">
      <c r="A741" s="21"/>
      <c r="B741" s="30"/>
      <c r="C741" s="30"/>
      <c r="D741" s="38"/>
      <c r="E741" s="8"/>
      <c r="G741" s="28">
        <f t="shared" si="59"/>
        <v>0</v>
      </c>
      <c r="H741" s="9">
        <v>21</v>
      </c>
    </row>
    <row r="742" spans="1:8" x14ac:dyDescent="0.25">
      <c r="A742" s="21"/>
      <c r="B742" s="30"/>
      <c r="C742" s="30"/>
      <c r="D742" s="38"/>
      <c r="E742" s="8"/>
      <c r="G742" s="28">
        <f t="shared" si="59"/>
        <v>0</v>
      </c>
      <c r="H742" s="9">
        <v>21</v>
      </c>
    </row>
    <row r="743" spans="1:8" x14ac:dyDescent="0.25">
      <c r="A743" s="21"/>
      <c r="B743" s="30"/>
      <c r="C743" s="30"/>
      <c r="D743" s="38"/>
      <c r="E743" s="8"/>
      <c r="G743" s="28">
        <f t="shared" si="59"/>
        <v>0</v>
      </c>
      <c r="H743" s="9">
        <v>21</v>
      </c>
    </row>
    <row r="744" spans="1:8" x14ac:dyDescent="0.25">
      <c r="A744" s="21"/>
      <c r="B744" s="30"/>
      <c r="C744" s="30"/>
      <c r="D744" s="38"/>
      <c r="E744" s="8"/>
      <c r="G744" s="28">
        <f t="shared" si="59"/>
        <v>0</v>
      </c>
      <c r="H744" s="9">
        <v>21</v>
      </c>
    </row>
    <row r="745" spans="1:8" x14ac:dyDescent="0.25">
      <c r="A745" s="21"/>
      <c r="B745" s="30"/>
      <c r="C745" s="30"/>
      <c r="D745" s="38"/>
      <c r="E745" s="8"/>
      <c r="G745" s="28">
        <f t="shared" si="59"/>
        <v>0</v>
      </c>
      <c r="H745" s="9">
        <v>21</v>
      </c>
    </row>
    <row r="746" spans="1:8" x14ac:dyDescent="0.25">
      <c r="A746" s="21"/>
      <c r="B746" s="30"/>
      <c r="C746" s="30"/>
      <c r="D746" s="38"/>
      <c r="E746" s="8"/>
      <c r="G746" s="28">
        <f t="shared" si="59"/>
        <v>0</v>
      </c>
      <c r="H746" s="9">
        <v>21</v>
      </c>
    </row>
    <row r="747" spans="1:8" x14ac:dyDescent="0.25">
      <c r="A747" s="21"/>
      <c r="B747" s="30"/>
      <c r="C747" s="30"/>
      <c r="D747" s="38"/>
      <c r="E747" s="8"/>
      <c r="G747" s="28">
        <f t="shared" si="59"/>
        <v>0</v>
      </c>
      <c r="H747" s="9">
        <v>21</v>
      </c>
    </row>
    <row r="748" spans="1:8" x14ac:dyDescent="0.25">
      <c r="A748" s="21"/>
      <c r="B748" s="30"/>
      <c r="C748" s="30"/>
      <c r="D748" s="38"/>
      <c r="E748" s="8"/>
      <c r="G748" s="28">
        <f t="shared" si="59"/>
        <v>0</v>
      </c>
      <c r="H748" s="9">
        <v>21</v>
      </c>
    </row>
    <row r="749" spans="1:8" x14ac:dyDescent="0.25">
      <c r="A749" s="21"/>
      <c r="B749" s="30"/>
      <c r="C749" s="30"/>
      <c r="D749" s="38"/>
      <c r="E749" s="8"/>
      <c r="G749" s="28">
        <f t="shared" si="59"/>
        <v>0</v>
      </c>
      <c r="H749" s="9">
        <v>21</v>
      </c>
    </row>
    <row r="750" spans="1:8" x14ac:dyDescent="0.25">
      <c r="A750" s="21"/>
      <c r="B750" s="30"/>
      <c r="C750" s="30"/>
      <c r="D750" s="38"/>
      <c r="E750" s="8"/>
      <c r="G750" s="28">
        <f t="shared" si="59"/>
        <v>0</v>
      </c>
      <c r="H750" s="9">
        <v>21</v>
      </c>
    </row>
    <row r="751" spans="1:8" x14ac:dyDescent="0.25">
      <c r="A751" s="21"/>
      <c r="B751" s="30"/>
      <c r="C751" s="30"/>
      <c r="D751" s="38"/>
      <c r="E751" s="8"/>
      <c r="G751" s="28">
        <f t="shared" si="59"/>
        <v>0</v>
      </c>
      <c r="H751" s="9">
        <v>21</v>
      </c>
    </row>
    <row r="752" spans="1:8" x14ac:dyDescent="0.25">
      <c r="A752" s="21"/>
      <c r="B752" s="30"/>
      <c r="C752" s="30"/>
      <c r="D752" s="38"/>
      <c r="E752" s="8"/>
      <c r="G752" s="28">
        <f t="shared" si="59"/>
        <v>0</v>
      </c>
      <c r="H752" s="9">
        <v>21</v>
      </c>
    </row>
    <row r="753" spans="1:8" x14ac:dyDescent="0.25">
      <c r="A753" s="21"/>
      <c r="B753" s="30"/>
      <c r="C753" s="30"/>
      <c r="D753" s="38"/>
      <c r="E753" s="8"/>
      <c r="G753" s="28">
        <f t="shared" si="59"/>
        <v>0</v>
      </c>
      <c r="H753" s="9">
        <v>21</v>
      </c>
    </row>
    <row r="754" spans="1:8" x14ac:dyDescent="0.25">
      <c r="A754" s="21"/>
      <c r="B754" s="30"/>
      <c r="C754" s="30"/>
      <c r="D754" s="38"/>
      <c r="E754" s="8"/>
      <c r="G754" s="28">
        <f t="shared" si="59"/>
        <v>0</v>
      </c>
      <c r="H754" s="9">
        <v>21</v>
      </c>
    </row>
    <row r="755" spans="1:8" x14ac:dyDescent="0.25">
      <c r="A755" s="21"/>
      <c r="B755" s="30"/>
      <c r="C755" s="30"/>
      <c r="D755" s="38"/>
      <c r="E755" s="8"/>
      <c r="G755" s="28">
        <f t="shared" si="59"/>
        <v>0</v>
      </c>
      <c r="H755" s="9">
        <v>21</v>
      </c>
    </row>
    <row r="756" spans="1:8" x14ac:dyDescent="0.25">
      <c r="A756" s="21"/>
      <c r="B756" s="30"/>
      <c r="C756" s="30"/>
      <c r="D756" s="38"/>
      <c r="E756" s="8"/>
      <c r="G756" s="28">
        <f t="shared" si="59"/>
        <v>0</v>
      </c>
      <c r="H756" s="9">
        <v>21</v>
      </c>
    </row>
    <row r="757" spans="1:8" x14ac:dyDescent="0.25">
      <c r="A757" s="21"/>
      <c r="B757" s="30"/>
      <c r="C757" s="30"/>
      <c r="D757" s="38"/>
      <c r="E757" s="8"/>
      <c r="G757" s="28">
        <f t="shared" si="59"/>
        <v>0</v>
      </c>
      <c r="H757" s="9">
        <v>21</v>
      </c>
    </row>
    <row r="758" spans="1:8" x14ac:dyDescent="0.25">
      <c r="A758" s="21"/>
      <c r="B758" s="30"/>
      <c r="C758" s="30"/>
      <c r="D758" s="38"/>
      <c r="E758" s="8"/>
      <c r="G758" s="28">
        <f t="shared" si="59"/>
        <v>0</v>
      </c>
      <c r="H758" s="9">
        <v>21</v>
      </c>
    </row>
    <row r="759" spans="1:8" x14ac:dyDescent="0.25">
      <c r="A759" s="21"/>
      <c r="B759" s="30"/>
      <c r="C759" s="30"/>
      <c r="D759" s="38"/>
      <c r="E759" s="8"/>
      <c r="G759" s="28">
        <f t="shared" si="59"/>
        <v>0</v>
      </c>
      <c r="H759" s="9">
        <v>21</v>
      </c>
    </row>
    <row r="760" spans="1:8" x14ac:dyDescent="0.25">
      <c r="A760" s="21"/>
      <c r="B760" s="30"/>
      <c r="C760" s="30"/>
      <c r="D760" s="38"/>
      <c r="E760" s="8"/>
      <c r="G760" s="28">
        <f t="shared" si="59"/>
        <v>0</v>
      </c>
      <c r="H760" s="9">
        <v>21</v>
      </c>
    </row>
    <row r="761" spans="1:8" x14ac:dyDescent="0.25">
      <c r="A761" s="21"/>
      <c r="B761" s="30"/>
      <c r="C761" s="30"/>
      <c r="D761" s="38"/>
      <c r="E761" s="8"/>
      <c r="G761" s="28">
        <f t="shared" si="59"/>
        <v>0</v>
      </c>
      <c r="H761" s="9">
        <v>21</v>
      </c>
    </row>
    <row r="762" spans="1:8" x14ac:dyDescent="0.25">
      <c r="A762" s="21"/>
      <c r="B762" s="30"/>
      <c r="C762" s="30"/>
      <c r="D762" s="38"/>
      <c r="E762" s="8"/>
      <c r="G762" s="28">
        <f t="shared" si="59"/>
        <v>0</v>
      </c>
      <c r="H762" s="9">
        <v>21</v>
      </c>
    </row>
    <row r="763" spans="1:8" x14ac:dyDescent="0.25">
      <c r="A763" s="21"/>
      <c r="B763" s="30"/>
      <c r="C763" s="30"/>
      <c r="D763" s="38"/>
      <c r="E763" s="8"/>
      <c r="G763" s="28">
        <f t="shared" si="59"/>
        <v>0</v>
      </c>
      <c r="H763" s="9">
        <v>21</v>
      </c>
    </row>
    <row r="764" spans="1:8" x14ac:dyDescent="0.25">
      <c r="A764" s="21"/>
      <c r="B764" s="30"/>
      <c r="C764" s="30"/>
      <c r="D764" s="38"/>
      <c r="E764" s="8"/>
      <c r="G764" s="28">
        <f t="shared" si="59"/>
        <v>0</v>
      </c>
      <c r="H764" s="9">
        <v>21</v>
      </c>
    </row>
    <row r="765" spans="1:8" x14ac:dyDescent="0.25">
      <c r="A765" s="21"/>
      <c r="B765" s="30"/>
      <c r="C765" s="30"/>
      <c r="D765" s="38"/>
      <c r="E765" s="8"/>
      <c r="G765" s="28">
        <f t="shared" si="59"/>
        <v>0</v>
      </c>
      <c r="H765" s="9">
        <v>21</v>
      </c>
    </row>
    <row r="766" spans="1:8" x14ac:dyDescent="0.25">
      <c r="A766" s="21"/>
      <c r="B766" s="30"/>
      <c r="C766" s="30"/>
      <c r="D766" s="38"/>
      <c r="E766" s="8"/>
      <c r="G766" s="28">
        <f t="shared" si="59"/>
        <v>0</v>
      </c>
      <c r="H766" s="9">
        <v>21</v>
      </c>
    </row>
    <row r="767" spans="1:8" x14ac:dyDescent="0.25">
      <c r="A767" s="21"/>
      <c r="B767" s="30"/>
      <c r="C767" s="30"/>
      <c r="D767" s="38"/>
      <c r="E767" s="8"/>
      <c r="G767" s="28">
        <f t="shared" si="59"/>
        <v>0</v>
      </c>
      <c r="H767" s="9">
        <v>21</v>
      </c>
    </row>
    <row r="768" spans="1:8" x14ac:dyDescent="0.25">
      <c r="A768" s="21"/>
      <c r="B768" s="30"/>
      <c r="C768" s="30"/>
      <c r="D768" s="38"/>
      <c r="E768" s="8"/>
      <c r="G768" s="28">
        <f t="shared" si="59"/>
        <v>0</v>
      </c>
      <c r="H768" s="9">
        <v>21</v>
      </c>
    </row>
    <row r="769" spans="1:8" x14ac:dyDescent="0.25">
      <c r="A769" s="21"/>
      <c r="B769" s="30"/>
      <c r="C769" s="30"/>
      <c r="D769" s="38"/>
      <c r="E769" s="8"/>
      <c r="G769" s="28">
        <f t="shared" si="59"/>
        <v>0</v>
      </c>
      <c r="H769" s="9">
        <v>21</v>
      </c>
    </row>
    <row r="770" spans="1:8" x14ac:dyDescent="0.25">
      <c r="A770" s="21"/>
      <c r="B770" s="30"/>
      <c r="C770" s="30"/>
      <c r="D770" s="38"/>
      <c r="E770" s="8"/>
      <c r="G770" s="28">
        <f t="shared" si="59"/>
        <v>0</v>
      </c>
      <c r="H770" s="9">
        <v>21</v>
      </c>
    </row>
    <row r="771" spans="1:8" x14ac:dyDescent="0.25">
      <c r="A771" s="21"/>
      <c r="B771" s="30"/>
      <c r="C771" s="30"/>
      <c r="D771" s="38"/>
      <c r="E771" s="8"/>
      <c r="G771" s="28">
        <f t="shared" si="59"/>
        <v>0</v>
      </c>
      <c r="H771" s="9">
        <v>21</v>
      </c>
    </row>
    <row r="772" spans="1:8" x14ac:dyDescent="0.25">
      <c r="A772" s="21"/>
      <c r="B772" s="30"/>
      <c r="C772" s="30"/>
      <c r="D772" s="38"/>
      <c r="E772" s="8"/>
      <c r="G772" s="28">
        <f t="shared" si="59"/>
        <v>0</v>
      </c>
      <c r="H772" s="9">
        <v>21</v>
      </c>
    </row>
    <row r="773" spans="1:8" x14ac:dyDescent="0.25">
      <c r="A773" s="21"/>
      <c r="B773" s="30"/>
      <c r="C773" s="30"/>
      <c r="D773" s="38"/>
      <c r="E773" s="8"/>
      <c r="G773" s="28">
        <f t="shared" si="59"/>
        <v>0</v>
      </c>
      <c r="H773" s="9">
        <v>21</v>
      </c>
    </row>
    <row r="774" spans="1:8" x14ac:dyDescent="0.25">
      <c r="A774" s="21"/>
      <c r="B774" s="30"/>
      <c r="C774" s="30"/>
      <c r="D774" s="38"/>
      <c r="E774" s="8"/>
      <c r="G774" s="28">
        <f t="shared" si="59"/>
        <v>0</v>
      </c>
      <c r="H774" s="9">
        <v>21</v>
      </c>
    </row>
    <row r="775" spans="1:8" x14ac:dyDescent="0.25">
      <c r="A775" s="21"/>
      <c r="B775" s="30"/>
      <c r="C775" s="30"/>
      <c r="D775" s="38"/>
      <c r="E775" s="8"/>
      <c r="G775" s="28">
        <f t="shared" si="59"/>
        <v>0</v>
      </c>
      <c r="H775" s="9">
        <v>21</v>
      </c>
    </row>
    <row r="776" spans="1:8" x14ac:dyDescent="0.25">
      <c r="A776" s="21"/>
      <c r="B776" s="30"/>
      <c r="C776" s="30"/>
      <c r="D776" s="38"/>
      <c r="E776" s="8"/>
      <c r="G776" s="28">
        <f t="shared" si="59"/>
        <v>0</v>
      </c>
      <c r="H776" s="9">
        <v>21</v>
      </c>
    </row>
    <row r="777" spans="1:8" x14ac:dyDescent="0.25">
      <c r="A777" s="21"/>
      <c r="B777" s="30"/>
      <c r="C777" s="30"/>
      <c r="D777" s="38"/>
      <c r="E777" s="8"/>
      <c r="G777" s="28">
        <f t="shared" si="59"/>
        <v>0</v>
      </c>
      <c r="H777" s="9">
        <v>21</v>
      </c>
    </row>
    <row r="778" spans="1:8" x14ac:dyDescent="0.25">
      <c r="A778" s="21"/>
      <c r="B778" s="30"/>
      <c r="C778" s="30"/>
      <c r="D778" s="38"/>
      <c r="E778" s="8"/>
      <c r="G778" s="28">
        <f t="shared" si="59"/>
        <v>0</v>
      </c>
      <c r="H778" s="9">
        <v>21</v>
      </c>
    </row>
    <row r="779" spans="1:8" x14ac:dyDescent="0.25">
      <c r="A779" s="21"/>
      <c r="B779" s="30"/>
      <c r="C779" s="30"/>
      <c r="D779" s="38"/>
      <c r="E779" s="8"/>
      <c r="G779" s="28">
        <f t="shared" si="59"/>
        <v>0</v>
      </c>
      <c r="H779" s="9">
        <v>21</v>
      </c>
    </row>
    <row r="780" spans="1:8" x14ac:dyDescent="0.25">
      <c r="A780" s="21"/>
      <c r="B780" s="30"/>
      <c r="C780" s="30"/>
      <c r="D780" s="38"/>
      <c r="E780" s="8"/>
      <c r="G780" s="28">
        <f t="shared" si="59"/>
        <v>0</v>
      </c>
      <c r="H780" s="9">
        <v>21</v>
      </c>
    </row>
    <row r="781" spans="1:8" x14ac:dyDescent="0.25">
      <c r="A781" s="21"/>
      <c r="B781" s="30"/>
      <c r="C781" s="30"/>
      <c r="D781" s="38"/>
      <c r="E781" s="8"/>
      <c r="G781" s="28">
        <f t="shared" si="59"/>
        <v>0</v>
      </c>
      <c r="H781" s="9">
        <v>21</v>
      </c>
    </row>
    <row r="782" spans="1:8" x14ac:dyDescent="0.25">
      <c r="A782" s="21"/>
      <c r="B782" s="30"/>
      <c r="C782" s="30"/>
      <c r="D782" s="38"/>
      <c r="E782" s="8"/>
      <c r="G782" s="28">
        <f t="shared" si="59"/>
        <v>0</v>
      </c>
      <c r="H782" s="9">
        <v>21</v>
      </c>
    </row>
    <row r="783" spans="1:8" x14ac:dyDescent="0.25">
      <c r="A783" s="21"/>
      <c r="B783" s="30"/>
      <c r="C783" s="30"/>
      <c r="D783" s="38"/>
      <c r="E783" s="8"/>
      <c r="G783" s="28">
        <f t="shared" si="59"/>
        <v>0</v>
      </c>
      <c r="H783" s="9">
        <v>21</v>
      </c>
    </row>
    <row r="784" spans="1:8" x14ac:dyDescent="0.25">
      <c r="A784" s="21"/>
      <c r="B784" s="30"/>
      <c r="C784" s="30"/>
      <c r="D784" s="38"/>
      <c r="E784" s="8"/>
      <c r="G784" s="28">
        <f t="shared" si="59"/>
        <v>0</v>
      </c>
      <c r="H784" s="9">
        <v>21</v>
      </c>
    </row>
    <row r="785" spans="1:8" x14ac:dyDescent="0.25">
      <c r="A785" s="21"/>
      <c r="B785" s="30"/>
      <c r="C785" s="30"/>
      <c r="D785" s="38"/>
      <c r="E785" s="8"/>
      <c r="G785" s="28">
        <f t="shared" si="59"/>
        <v>0</v>
      </c>
      <c r="H785" s="9">
        <v>21</v>
      </c>
    </row>
    <row r="786" spans="1:8" x14ac:dyDescent="0.25">
      <c r="A786" s="21"/>
      <c r="B786" s="30"/>
      <c r="C786" s="30"/>
      <c r="D786" s="38"/>
      <c r="E786" s="8"/>
      <c r="G786" s="28">
        <f t="shared" ref="G786:G849" si="60">+D786/1.21</f>
        <v>0</v>
      </c>
      <c r="H786" s="9">
        <v>21</v>
      </c>
    </row>
    <row r="787" spans="1:8" x14ac:dyDescent="0.25">
      <c r="A787" s="21"/>
      <c r="B787" s="30"/>
      <c r="C787" s="30"/>
      <c r="D787" s="38"/>
      <c r="E787" s="8"/>
      <c r="G787" s="28">
        <f t="shared" si="60"/>
        <v>0</v>
      </c>
      <c r="H787" s="9">
        <v>21</v>
      </c>
    </row>
    <row r="788" spans="1:8" x14ac:dyDescent="0.25">
      <c r="A788" s="21"/>
      <c r="B788" s="30"/>
      <c r="C788" s="30"/>
      <c r="D788" s="38"/>
      <c r="E788" s="8"/>
      <c r="G788" s="28">
        <f t="shared" si="60"/>
        <v>0</v>
      </c>
      <c r="H788" s="9">
        <v>21</v>
      </c>
    </row>
    <row r="789" spans="1:8" x14ac:dyDescent="0.25">
      <c r="A789" s="21"/>
      <c r="B789" s="30"/>
      <c r="C789" s="30"/>
      <c r="D789" s="38"/>
      <c r="E789" s="8"/>
      <c r="G789" s="28">
        <f t="shared" si="60"/>
        <v>0</v>
      </c>
      <c r="H789" s="9">
        <v>21</v>
      </c>
    </row>
    <row r="790" spans="1:8" x14ac:dyDescent="0.25">
      <c r="A790" s="21"/>
      <c r="B790" s="30"/>
      <c r="C790" s="30"/>
      <c r="D790" s="38"/>
      <c r="E790" s="8"/>
      <c r="G790" s="28">
        <f t="shared" si="60"/>
        <v>0</v>
      </c>
      <c r="H790" s="9">
        <v>21</v>
      </c>
    </row>
    <row r="791" spans="1:8" x14ac:dyDescent="0.25">
      <c r="A791" s="21"/>
      <c r="B791" s="30"/>
      <c r="C791" s="30"/>
      <c r="D791" s="38"/>
      <c r="E791" s="8"/>
      <c r="G791" s="28">
        <f t="shared" si="60"/>
        <v>0</v>
      </c>
      <c r="H791" s="9">
        <v>21</v>
      </c>
    </row>
    <row r="792" spans="1:8" x14ac:dyDescent="0.25">
      <c r="A792" s="21"/>
      <c r="B792" s="30"/>
      <c r="C792" s="30"/>
      <c r="D792" s="38"/>
      <c r="E792" s="8"/>
      <c r="G792" s="28">
        <f t="shared" si="60"/>
        <v>0</v>
      </c>
      <c r="H792" s="9">
        <v>21</v>
      </c>
    </row>
    <row r="793" spans="1:8" x14ac:dyDescent="0.25">
      <c r="A793" s="21"/>
      <c r="B793" s="30"/>
      <c r="C793" s="30"/>
      <c r="D793" s="38"/>
      <c r="E793" s="8"/>
      <c r="G793" s="28">
        <f t="shared" si="60"/>
        <v>0</v>
      </c>
      <c r="H793" s="9">
        <v>21</v>
      </c>
    </row>
    <row r="794" spans="1:8" x14ac:dyDescent="0.25">
      <c r="A794" s="21"/>
      <c r="B794" s="30"/>
      <c r="C794" s="30"/>
      <c r="D794" s="38"/>
      <c r="E794" s="8"/>
      <c r="G794" s="28">
        <f t="shared" si="60"/>
        <v>0</v>
      </c>
      <c r="H794" s="9">
        <v>21</v>
      </c>
    </row>
    <row r="795" spans="1:8" x14ac:dyDescent="0.25">
      <c r="A795" s="21"/>
      <c r="B795" s="30"/>
      <c r="C795" s="30"/>
      <c r="D795" s="38"/>
      <c r="E795" s="8"/>
      <c r="G795" s="28">
        <f t="shared" si="60"/>
        <v>0</v>
      </c>
      <c r="H795" s="9">
        <v>21</v>
      </c>
    </row>
    <row r="796" spans="1:8" x14ac:dyDescent="0.25">
      <c r="A796" s="21"/>
      <c r="B796" s="30"/>
      <c r="C796" s="30"/>
      <c r="D796" s="38"/>
      <c r="E796" s="8"/>
      <c r="G796" s="28">
        <f t="shared" si="60"/>
        <v>0</v>
      </c>
      <c r="H796" s="9">
        <v>21</v>
      </c>
    </row>
    <row r="797" spans="1:8" x14ac:dyDescent="0.25">
      <c r="A797" s="21"/>
      <c r="B797" s="30"/>
      <c r="C797" s="30"/>
      <c r="D797" s="38"/>
      <c r="E797" s="8"/>
      <c r="G797" s="28">
        <f t="shared" si="60"/>
        <v>0</v>
      </c>
      <c r="H797" s="9">
        <v>21</v>
      </c>
    </row>
    <row r="798" spans="1:8" x14ac:dyDescent="0.25">
      <c r="A798" s="21"/>
      <c r="B798" s="30"/>
      <c r="C798" s="30"/>
      <c r="D798" s="38"/>
      <c r="E798" s="8"/>
      <c r="G798" s="28">
        <f t="shared" si="60"/>
        <v>0</v>
      </c>
      <c r="H798" s="9">
        <v>21</v>
      </c>
    </row>
    <row r="799" spans="1:8" x14ac:dyDescent="0.25">
      <c r="A799" s="21"/>
      <c r="B799" s="30"/>
      <c r="C799" s="30"/>
      <c r="D799" s="38"/>
      <c r="E799" s="8"/>
      <c r="G799" s="28">
        <f t="shared" si="60"/>
        <v>0</v>
      </c>
      <c r="H799" s="9">
        <v>21</v>
      </c>
    </row>
    <row r="800" spans="1:8" x14ac:dyDescent="0.25">
      <c r="A800" s="21"/>
      <c r="B800" s="30"/>
      <c r="C800" s="30"/>
      <c r="D800" s="38"/>
      <c r="E800" s="8"/>
      <c r="G800" s="28">
        <f t="shared" si="60"/>
        <v>0</v>
      </c>
      <c r="H800" s="9">
        <v>21</v>
      </c>
    </row>
    <row r="801" spans="1:8" x14ac:dyDescent="0.25">
      <c r="A801" s="21"/>
      <c r="B801" s="30"/>
      <c r="C801" s="30"/>
      <c r="D801" s="38"/>
      <c r="E801" s="8"/>
      <c r="G801" s="28">
        <f t="shared" si="60"/>
        <v>0</v>
      </c>
      <c r="H801" s="9">
        <v>21</v>
      </c>
    </row>
    <row r="802" spans="1:8" x14ac:dyDescent="0.25">
      <c r="A802" s="21"/>
      <c r="B802" s="30"/>
      <c r="C802" s="30"/>
      <c r="D802" s="38"/>
      <c r="E802" s="8"/>
      <c r="G802" s="28">
        <f t="shared" si="60"/>
        <v>0</v>
      </c>
      <c r="H802" s="9">
        <v>21</v>
      </c>
    </row>
    <row r="803" spans="1:8" x14ac:dyDescent="0.25">
      <c r="A803" s="21"/>
      <c r="B803" s="30"/>
      <c r="C803" s="30"/>
      <c r="D803" s="38"/>
      <c r="E803" s="8"/>
      <c r="G803" s="28">
        <f t="shared" si="60"/>
        <v>0</v>
      </c>
      <c r="H803" s="9">
        <v>21</v>
      </c>
    </row>
    <row r="804" spans="1:8" x14ac:dyDescent="0.25">
      <c r="A804" s="21"/>
      <c r="B804" s="30"/>
      <c r="C804" s="30"/>
      <c r="D804" s="38"/>
      <c r="E804" s="8"/>
      <c r="G804" s="28">
        <f t="shared" si="60"/>
        <v>0</v>
      </c>
      <c r="H804" s="9">
        <v>21</v>
      </c>
    </row>
    <row r="805" spans="1:8" x14ac:dyDescent="0.25">
      <c r="A805" s="21"/>
      <c r="B805" s="30"/>
      <c r="C805" s="30"/>
      <c r="D805" s="38"/>
      <c r="E805" s="8"/>
      <c r="G805" s="28">
        <f t="shared" si="60"/>
        <v>0</v>
      </c>
      <c r="H805" s="9">
        <v>21</v>
      </c>
    </row>
    <row r="806" spans="1:8" x14ac:dyDescent="0.25">
      <c r="A806" s="21"/>
      <c r="B806" s="30"/>
      <c r="C806" s="30"/>
      <c r="D806" s="38"/>
      <c r="E806" s="8"/>
      <c r="G806" s="28">
        <f t="shared" si="60"/>
        <v>0</v>
      </c>
      <c r="H806" s="9">
        <v>21</v>
      </c>
    </row>
    <row r="807" spans="1:8" x14ac:dyDescent="0.25">
      <c r="A807" s="21"/>
      <c r="B807" s="30"/>
      <c r="C807" s="30"/>
      <c r="D807" s="38"/>
      <c r="E807" s="8"/>
      <c r="G807" s="28">
        <f t="shared" si="60"/>
        <v>0</v>
      </c>
      <c r="H807" s="9">
        <v>21</v>
      </c>
    </row>
    <row r="808" spans="1:8" x14ac:dyDescent="0.25">
      <c r="A808" s="21"/>
      <c r="B808" s="30"/>
      <c r="C808" s="30"/>
      <c r="D808" s="38"/>
      <c r="E808" s="8"/>
      <c r="G808" s="28">
        <f t="shared" si="60"/>
        <v>0</v>
      </c>
      <c r="H808" s="9">
        <v>21</v>
      </c>
    </row>
    <row r="809" spans="1:8" x14ac:dyDescent="0.25">
      <c r="A809" s="21"/>
      <c r="B809" s="30"/>
      <c r="C809" s="30"/>
      <c r="D809" s="38"/>
      <c r="E809" s="8"/>
      <c r="G809" s="28">
        <f t="shared" si="60"/>
        <v>0</v>
      </c>
      <c r="H809" s="9">
        <v>21</v>
      </c>
    </row>
    <row r="810" spans="1:8" x14ac:dyDescent="0.25">
      <c r="A810" s="21"/>
      <c r="B810" s="30"/>
      <c r="C810" s="30"/>
      <c r="D810" s="38"/>
      <c r="E810" s="8"/>
      <c r="G810" s="28">
        <f t="shared" si="60"/>
        <v>0</v>
      </c>
      <c r="H810" s="9">
        <v>21</v>
      </c>
    </row>
    <row r="811" spans="1:8" x14ac:dyDescent="0.25">
      <c r="A811" s="21"/>
      <c r="B811" s="30"/>
      <c r="C811" s="30"/>
      <c r="D811" s="38"/>
      <c r="E811" s="8"/>
      <c r="G811" s="28">
        <f t="shared" si="60"/>
        <v>0</v>
      </c>
      <c r="H811" s="9">
        <v>21</v>
      </c>
    </row>
    <row r="812" spans="1:8" x14ac:dyDescent="0.25">
      <c r="A812" s="21"/>
      <c r="B812" s="30"/>
      <c r="C812" s="30"/>
      <c r="D812" s="38"/>
      <c r="E812" s="8"/>
      <c r="G812" s="28">
        <f t="shared" si="60"/>
        <v>0</v>
      </c>
      <c r="H812" s="9">
        <v>21</v>
      </c>
    </row>
    <row r="813" spans="1:8" x14ac:dyDescent="0.25">
      <c r="A813" s="21"/>
      <c r="B813" s="30"/>
      <c r="C813" s="30"/>
      <c r="D813" s="38"/>
      <c r="E813" s="8"/>
      <c r="G813" s="28">
        <f t="shared" si="60"/>
        <v>0</v>
      </c>
      <c r="H813" s="9">
        <v>21</v>
      </c>
    </row>
    <row r="814" spans="1:8" x14ac:dyDescent="0.25">
      <c r="A814" s="21"/>
      <c r="B814" s="30"/>
      <c r="C814" s="30"/>
      <c r="D814" s="38"/>
      <c r="E814" s="8"/>
      <c r="G814" s="28">
        <f t="shared" si="60"/>
        <v>0</v>
      </c>
      <c r="H814" s="9">
        <v>21</v>
      </c>
    </row>
    <row r="815" spans="1:8" x14ac:dyDescent="0.25">
      <c r="A815" s="21"/>
      <c r="B815" s="30"/>
      <c r="C815" s="30"/>
      <c r="D815" s="38"/>
      <c r="E815" s="8"/>
      <c r="G815" s="28">
        <f t="shared" si="60"/>
        <v>0</v>
      </c>
      <c r="H815" s="9">
        <v>21</v>
      </c>
    </row>
    <row r="816" spans="1:8" x14ac:dyDescent="0.25">
      <c r="A816" s="21"/>
      <c r="B816" s="30"/>
      <c r="C816" s="30"/>
      <c r="D816" s="38"/>
      <c r="E816" s="8"/>
      <c r="G816" s="28">
        <f t="shared" si="60"/>
        <v>0</v>
      </c>
      <c r="H816" s="9">
        <v>21</v>
      </c>
    </row>
    <row r="817" spans="1:8" x14ac:dyDescent="0.25">
      <c r="A817" s="21"/>
      <c r="B817" s="30"/>
      <c r="C817" s="30"/>
      <c r="D817" s="38"/>
      <c r="E817" s="8"/>
      <c r="G817" s="28">
        <f t="shared" si="60"/>
        <v>0</v>
      </c>
      <c r="H817" s="9">
        <v>21</v>
      </c>
    </row>
    <row r="818" spans="1:8" x14ac:dyDescent="0.25">
      <c r="A818" s="21"/>
      <c r="B818" s="30"/>
      <c r="C818" s="30"/>
      <c r="D818" s="38"/>
      <c r="E818" s="8"/>
      <c r="G818" s="28">
        <f t="shared" si="60"/>
        <v>0</v>
      </c>
      <c r="H818" s="9">
        <v>21</v>
      </c>
    </row>
    <row r="819" spans="1:8" x14ac:dyDescent="0.25">
      <c r="A819" s="21"/>
      <c r="B819" s="30"/>
      <c r="C819" s="30"/>
      <c r="D819" s="38"/>
      <c r="E819" s="8"/>
      <c r="G819" s="28">
        <f t="shared" si="60"/>
        <v>0</v>
      </c>
      <c r="H819" s="9">
        <v>21</v>
      </c>
    </row>
    <row r="820" spans="1:8" x14ac:dyDescent="0.25">
      <c r="A820" s="21"/>
      <c r="B820" s="30"/>
      <c r="C820" s="30"/>
      <c r="D820" s="38"/>
      <c r="E820" s="8"/>
      <c r="G820" s="28">
        <f t="shared" si="60"/>
        <v>0</v>
      </c>
      <c r="H820" s="9">
        <v>21</v>
      </c>
    </row>
    <row r="821" spans="1:8" x14ac:dyDescent="0.25">
      <c r="A821" s="21"/>
      <c r="B821" s="30"/>
      <c r="C821" s="30"/>
      <c r="D821" s="38"/>
      <c r="E821" s="8"/>
      <c r="G821" s="28">
        <f t="shared" si="60"/>
        <v>0</v>
      </c>
      <c r="H821" s="9">
        <v>21</v>
      </c>
    </row>
    <row r="822" spans="1:8" x14ac:dyDescent="0.25">
      <c r="A822" s="21"/>
      <c r="B822" s="30"/>
      <c r="C822" s="30"/>
      <c r="D822" s="38"/>
      <c r="E822" s="8"/>
      <c r="G822" s="28">
        <f t="shared" si="60"/>
        <v>0</v>
      </c>
      <c r="H822" s="9">
        <v>21</v>
      </c>
    </row>
    <row r="823" spans="1:8" x14ac:dyDescent="0.25">
      <c r="A823" s="21"/>
      <c r="B823" s="30"/>
      <c r="C823" s="30"/>
      <c r="D823" s="38"/>
      <c r="E823" s="8"/>
      <c r="G823" s="28">
        <f t="shared" si="60"/>
        <v>0</v>
      </c>
      <c r="H823" s="9">
        <v>21</v>
      </c>
    </row>
    <row r="824" spans="1:8" x14ac:dyDescent="0.25">
      <c r="A824" s="21"/>
      <c r="B824" s="30"/>
      <c r="C824" s="30"/>
      <c r="D824" s="38"/>
      <c r="E824" s="8"/>
      <c r="G824" s="28">
        <f t="shared" si="60"/>
        <v>0</v>
      </c>
      <c r="H824" s="9">
        <v>21</v>
      </c>
    </row>
    <row r="825" spans="1:8" x14ac:dyDescent="0.25">
      <c r="A825" s="21"/>
      <c r="B825" s="30"/>
      <c r="C825" s="30"/>
      <c r="D825" s="38"/>
      <c r="E825" s="8"/>
      <c r="G825" s="28">
        <f t="shared" si="60"/>
        <v>0</v>
      </c>
      <c r="H825" s="9">
        <v>21</v>
      </c>
    </row>
    <row r="826" spans="1:8" x14ac:dyDescent="0.25">
      <c r="A826" s="21"/>
      <c r="B826" s="30"/>
      <c r="C826" s="30"/>
      <c r="D826" s="38"/>
      <c r="E826" s="8"/>
      <c r="G826" s="28">
        <f t="shared" si="60"/>
        <v>0</v>
      </c>
      <c r="H826" s="9">
        <v>21</v>
      </c>
    </row>
    <row r="827" spans="1:8" x14ac:dyDescent="0.25">
      <c r="A827" s="21"/>
      <c r="B827" s="30"/>
      <c r="C827" s="30"/>
      <c r="D827" s="38"/>
      <c r="E827" s="8"/>
      <c r="G827" s="28">
        <f t="shared" si="60"/>
        <v>0</v>
      </c>
      <c r="H827" s="9">
        <v>21</v>
      </c>
    </row>
    <row r="828" spans="1:8" x14ac:dyDescent="0.25">
      <c r="A828" s="21"/>
      <c r="B828" s="30"/>
      <c r="C828" s="30"/>
      <c r="D828" s="38"/>
      <c r="E828" s="8"/>
      <c r="G828" s="28">
        <f t="shared" si="60"/>
        <v>0</v>
      </c>
      <c r="H828" s="9">
        <v>21</v>
      </c>
    </row>
    <row r="829" spans="1:8" x14ac:dyDescent="0.25">
      <c r="A829" s="21"/>
      <c r="B829" s="30"/>
      <c r="C829" s="30"/>
      <c r="D829" s="38"/>
      <c r="E829" s="8"/>
      <c r="G829" s="28">
        <f t="shared" si="60"/>
        <v>0</v>
      </c>
      <c r="H829" s="9">
        <v>21</v>
      </c>
    </row>
    <row r="830" spans="1:8" x14ac:dyDescent="0.25">
      <c r="A830" s="21"/>
      <c r="B830" s="30"/>
      <c r="C830" s="30"/>
      <c r="D830" s="38"/>
      <c r="E830" s="8"/>
      <c r="G830" s="28">
        <f t="shared" si="60"/>
        <v>0</v>
      </c>
      <c r="H830" s="9">
        <v>21</v>
      </c>
    </row>
    <row r="831" spans="1:8" x14ac:dyDescent="0.25">
      <c r="A831" s="21"/>
      <c r="B831" s="30"/>
      <c r="C831" s="30"/>
      <c r="D831" s="38"/>
      <c r="E831" s="8"/>
      <c r="G831" s="28">
        <f t="shared" si="60"/>
        <v>0</v>
      </c>
      <c r="H831" s="9">
        <v>21</v>
      </c>
    </row>
    <row r="832" spans="1:8" x14ac:dyDescent="0.25">
      <c r="A832" s="21"/>
      <c r="B832" s="30"/>
      <c r="C832" s="30"/>
      <c r="D832" s="38"/>
      <c r="E832" s="8"/>
      <c r="G832" s="28">
        <f t="shared" si="60"/>
        <v>0</v>
      </c>
      <c r="H832" s="9">
        <v>21</v>
      </c>
    </row>
    <row r="833" spans="1:8" x14ac:dyDescent="0.25">
      <c r="A833" s="21"/>
      <c r="B833" s="30"/>
      <c r="C833" s="30"/>
      <c r="D833" s="38"/>
      <c r="E833" s="8"/>
      <c r="G833" s="28">
        <f t="shared" si="60"/>
        <v>0</v>
      </c>
      <c r="H833" s="9">
        <v>21</v>
      </c>
    </row>
    <row r="834" spans="1:8" x14ac:dyDescent="0.25">
      <c r="A834" s="21"/>
      <c r="B834" s="30"/>
      <c r="C834" s="30"/>
      <c r="D834" s="38"/>
      <c r="E834" s="8"/>
      <c r="G834" s="28">
        <f t="shared" si="60"/>
        <v>0</v>
      </c>
      <c r="H834" s="9">
        <v>21</v>
      </c>
    </row>
    <row r="835" spans="1:8" x14ac:dyDescent="0.25">
      <c r="A835" s="21"/>
      <c r="B835" s="30"/>
      <c r="C835" s="30"/>
      <c r="D835" s="38"/>
      <c r="E835" s="8"/>
      <c r="G835" s="28">
        <f t="shared" si="60"/>
        <v>0</v>
      </c>
      <c r="H835" s="9">
        <v>21</v>
      </c>
    </row>
    <row r="836" spans="1:8" x14ac:dyDescent="0.25">
      <c r="A836" s="21"/>
      <c r="B836" s="30"/>
      <c r="C836" s="30"/>
      <c r="D836" s="38"/>
      <c r="E836" s="8"/>
      <c r="G836" s="28">
        <f t="shared" si="60"/>
        <v>0</v>
      </c>
      <c r="H836" s="9">
        <v>21</v>
      </c>
    </row>
    <row r="837" spans="1:8" x14ac:dyDescent="0.25">
      <c r="A837" s="21"/>
      <c r="B837" s="30"/>
      <c r="C837" s="30"/>
      <c r="D837" s="38"/>
      <c r="E837" s="8"/>
      <c r="G837" s="28">
        <f t="shared" si="60"/>
        <v>0</v>
      </c>
      <c r="H837" s="9">
        <v>21</v>
      </c>
    </row>
    <row r="838" spans="1:8" x14ac:dyDescent="0.25">
      <c r="A838" s="21"/>
      <c r="B838" s="30"/>
      <c r="C838" s="30"/>
      <c r="D838" s="38"/>
      <c r="E838" s="8"/>
      <c r="G838" s="28">
        <f t="shared" si="60"/>
        <v>0</v>
      </c>
      <c r="H838" s="9">
        <v>21</v>
      </c>
    </row>
    <row r="839" spans="1:8" x14ac:dyDescent="0.25">
      <c r="A839" s="21"/>
      <c r="B839" s="30"/>
      <c r="C839" s="30"/>
      <c r="D839" s="38"/>
      <c r="E839" s="8"/>
      <c r="G839" s="28">
        <f t="shared" si="60"/>
        <v>0</v>
      </c>
      <c r="H839" s="9">
        <v>21</v>
      </c>
    </row>
    <row r="840" spans="1:8" x14ac:dyDescent="0.25">
      <c r="A840" s="21"/>
      <c r="B840" s="30"/>
      <c r="C840" s="30"/>
      <c r="D840" s="38"/>
      <c r="E840" s="8"/>
      <c r="G840" s="28">
        <f t="shared" si="60"/>
        <v>0</v>
      </c>
      <c r="H840" s="9">
        <v>21</v>
      </c>
    </row>
    <row r="841" spans="1:8" x14ac:dyDescent="0.25">
      <c r="A841" s="21"/>
      <c r="B841" s="30"/>
      <c r="C841" s="30"/>
      <c r="D841" s="38"/>
      <c r="E841" s="8"/>
      <c r="G841" s="28">
        <f t="shared" si="60"/>
        <v>0</v>
      </c>
      <c r="H841" s="9">
        <v>21</v>
      </c>
    </row>
    <row r="842" spans="1:8" x14ac:dyDescent="0.25">
      <c r="A842" s="21"/>
      <c r="B842" s="30"/>
      <c r="C842" s="30"/>
      <c r="D842" s="38"/>
      <c r="E842" s="8"/>
      <c r="G842" s="28">
        <f t="shared" si="60"/>
        <v>0</v>
      </c>
      <c r="H842" s="9">
        <v>21</v>
      </c>
    </row>
    <row r="843" spans="1:8" x14ac:dyDescent="0.25">
      <c r="A843" s="21"/>
      <c r="B843" s="30"/>
      <c r="C843" s="30"/>
      <c r="D843" s="38"/>
      <c r="E843" s="8"/>
      <c r="G843" s="28">
        <f t="shared" si="60"/>
        <v>0</v>
      </c>
      <c r="H843" s="9">
        <v>21</v>
      </c>
    </row>
    <row r="844" spans="1:8" x14ac:dyDescent="0.25">
      <c r="A844" s="21"/>
      <c r="B844" s="30"/>
      <c r="C844" s="30"/>
      <c r="D844" s="38"/>
      <c r="E844" s="8"/>
      <c r="G844" s="28">
        <f t="shared" si="60"/>
        <v>0</v>
      </c>
      <c r="H844" s="9">
        <v>21</v>
      </c>
    </row>
    <row r="845" spans="1:8" x14ac:dyDescent="0.25">
      <c r="A845" s="21"/>
      <c r="B845" s="30"/>
      <c r="C845" s="30"/>
      <c r="D845" s="38"/>
      <c r="E845" s="8"/>
      <c r="G845" s="28">
        <f t="shared" si="60"/>
        <v>0</v>
      </c>
      <c r="H845" s="9">
        <v>21</v>
      </c>
    </row>
    <row r="846" spans="1:8" x14ac:dyDescent="0.25">
      <c r="A846" s="21"/>
      <c r="B846" s="30"/>
      <c r="C846" s="30"/>
      <c r="D846" s="38"/>
      <c r="E846" s="8"/>
      <c r="G846" s="28">
        <f t="shared" si="60"/>
        <v>0</v>
      </c>
      <c r="H846" s="9">
        <v>21</v>
      </c>
    </row>
    <row r="847" spans="1:8" x14ac:dyDescent="0.25">
      <c r="A847" s="21"/>
      <c r="B847" s="30"/>
      <c r="C847" s="30"/>
      <c r="D847" s="38"/>
      <c r="E847" s="8"/>
      <c r="G847" s="28">
        <f t="shared" si="60"/>
        <v>0</v>
      </c>
      <c r="H847" s="9">
        <v>21</v>
      </c>
    </row>
    <row r="848" spans="1:8" x14ac:dyDescent="0.25">
      <c r="A848" s="21"/>
      <c r="B848" s="30"/>
      <c r="C848" s="30"/>
      <c r="D848" s="38"/>
      <c r="E848" s="8"/>
      <c r="G848" s="28">
        <f t="shared" si="60"/>
        <v>0</v>
      </c>
      <c r="H848" s="9">
        <v>21</v>
      </c>
    </row>
    <row r="849" spans="1:8" x14ac:dyDescent="0.25">
      <c r="A849" s="21"/>
      <c r="B849" s="30"/>
      <c r="C849" s="30"/>
      <c r="D849" s="38"/>
      <c r="E849" s="8"/>
      <c r="G849" s="28">
        <f t="shared" si="60"/>
        <v>0</v>
      </c>
      <c r="H849" s="9">
        <v>21</v>
      </c>
    </row>
    <row r="850" spans="1:8" x14ac:dyDescent="0.25">
      <c r="A850" s="21"/>
      <c r="B850" s="30"/>
      <c r="C850" s="30"/>
      <c r="D850" s="38"/>
      <c r="E850" s="8"/>
      <c r="G850" s="28">
        <f t="shared" ref="G850:G913" si="61">+D850/1.21</f>
        <v>0</v>
      </c>
      <c r="H850" s="9">
        <v>21</v>
      </c>
    </row>
    <row r="851" spans="1:8" x14ac:dyDescent="0.25">
      <c r="A851" s="21"/>
      <c r="B851" s="30"/>
      <c r="C851" s="30"/>
      <c r="D851" s="38"/>
      <c r="E851" s="8"/>
      <c r="G851" s="28">
        <f t="shared" si="61"/>
        <v>0</v>
      </c>
      <c r="H851" s="9">
        <v>21</v>
      </c>
    </row>
    <row r="852" spans="1:8" x14ac:dyDescent="0.25">
      <c r="A852" s="21"/>
      <c r="B852" s="30"/>
      <c r="C852" s="30"/>
      <c r="D852" s="38"/>
      <c r="E852" s="8"/>
      <c r="G852" s="28">
        <f t="shared" si="61"/>
        <v>0</v>
      </c>
      <c r="H852" s="9">
        <v>21</v>
      </c>
    </row>
    <row r="853" spans="1:8" x14ac:dyDescent="0.25">
      <c r="A853" s="21"/>
      <c r="B853" s="30"/>
      <c r="C853" s="30"/>
      <c r="D853" s="38"/>
      <c r="E853" s="8"/>
      <c r="G853" s="28">
        <f t="shared" si="61"/>
        <v>0</v>
      </c>
      <c r="H853" s="9">
        <v>21</v>
      </c>
    </row>
    <row r="854" spans="1:8" x14ac:dyDescent="0.25">
      <c r="A854" s="21"/>
      <c r="B854" s="30"/>
      <c r="C854" s="30"/>
      <c r="D854" s="38"/>
      <c r="E854" s="8"/>
      <c r="G854" s="28">
        <f t="shared" si="61"/>
        <v>0</v>
      </c>
      <c r="H854" s="9">
        <v>21</v>
      </c>
    </row>
    <row r="855" spans="1:8" x14ac:dyDescent="0.25">
      <c r="A855" s="21"/>
      <c r="B855" s="30"/>
      <c r="C855" s="30"/>
      <c r="D855" s="38"/>
      <c r="E855" s="8"/>
      <c r="G855" s="28">
        <f t="shared" si="61"/>
        <v>0</v>
      </c>
      <c r="H855" s="9">
        <v>21</v>
      </c>
    </row>
    <row r="856" spans="1:8" x14ac:dyDescent="0.25">
      <c r="A856" s="21"/>
      <c r="B856" s="30"/>
      <c r="C856" s="30"/>
      <c r="D856" s="38"/>
      <c r="E856" s="8"/>
      <c r="G856" s="28">
        <f t="shared" si="61"/>
        <v>0</v>
      </c>
      <c r="H856" s="9">
        <v>21</v>
      </c>
    </row>
    <row r="857" spans="1:8" x14ac:dyDescent="0.25">
      <c r="A857" s="21"/>
      <c r="B857" s="30"/>
      <c r="C857" s="30"/>
      <c r="D857" s="38"/>
      <c r="E857" s="8"/>
      <c r="G857" s="28">
        <f t="shared" si="61"/>
        <v>0</v>
      </c>
      <c r="H857" s="9">
        <v>21</v>
      </c>
    </row>
    <row r="858" spans="1:8" x14ac:dyDescent="0.25">
      <c r="A858" s="21"/>
      <c r="B858" s="30"/>
      <c r="C858" s="30"/>
      <c r="D858" s="38"/>
      <c r="E858" s="8"/>
      <c r="G858" s="28">
        <f t="shared" si="61"/>
        <v>0</v>
      </c>
      <c r="H858" s="9">
        <v>21</v>
      </c>
    </row>
    <row r="859" spans="1:8" x14ac:dyDescent="0.25">
      <c r="A859" s="21"/>
      <c r="B859" s="30"/>
      <c r="C859" s="30"/>
      <c r="D859" s="38"/>
      <c r="E859" s="8"/>
      <c r="G859" s="28">
        <f t="shared" si="61"/>
        <v>0</v>
      </c>
      <c r="H859" s="9">
        <v>21</v>
      </c>
    </row>
    <row r="860" spans="1:8" x14ac:dyDescent="0.25">
      <c r="A860" s="21"/>
      <c r="B860" s="30"/>
      <c r="C860" s="30"/>
      <c r="D860" s="38"/>
      <c r="E860" s="8"/>
      <c r="G860" s="28">
        <f t="shared" si="61"/>
        <v>0</v>
      </c>
      <c r="H860" s="9">
        <v>21</v>
      </c>
    </row>
    <row r="861" spans="1:8" x14ac:dyDescent="0.25">
      <c r="A861" s="21"/>
      <c r="B861" s="30"/>
      <c r="C861" s="30"/>
      <c r="D861" s="38"/>
      <c r="E861" s="8"/>
      <c r="G861" s="28">
        <f t="shared" si="61"/>
        <v>0</v>
      </c>
      <c r="H861" s="9">
        <v>21</v>
      </c>
    </row>
    <row r="862" spans="1:8" x14ac:dyDescent="0.25">
      <c r="A862" s="21"/>
      <c r="B862" s="30"/>
      <c r="C862" s="30"/>
      <c r="D862" s="38"/>
      <c r="E862" s="8"/>
      <c r="G862" s="28">
        <f t="shared" si="61"/>
        <v>0</v>
      </c>
      <c r="H862" s="9">
        <v>21</v>
      </c>
    </row>
    <row r="863" spans="1:8" x14ac:dyDescent="0.25">
      <c r="A863" s="21"/>
      <c r="B863" s="30"/>
      <c r="C863" s="30"/>
      <c r="D863" s="38"/>
      <c r="E863" s="8"/>
      <c r="G863" s="28">
        <f t="shared" si="61"/>
        <v>0</v>
      </c>
      <c r="H863" s="9">
        <v>21</v>
      </c>
    </row>
    <row r="864" spans="1:8" x14ac:dyDescent="0.25">
      <c r="A864" s="21"/>
      <c r="B864" s="30"/>
      <c r="C864" s="30"/>
      <c r="D864" s="38"/>
      <c r="E864" s="8"/>
      <c r="G864" s="28">
        <f t="shared" si="61"/>
        <v>0</v>
      </c>
      <c r="H864" s="9">
        <v>21</v>
      </c>
    </row>
    <row r="865" spans="1:8" x14ac:dyDescent="0.25">
      <c r="A865" s="21"/>
      <c r="B865" s="30"/>
      <c r="C865" s="30"/>
      <c r="D865" s="38"/>
      <c r="E865" s="8"/>
      <c r="G865" s="28">
        <f t="shared" si="61"/>
        <v>0</v>
      </c>
      <c r="H865" s="9">
        <v>21</v>
      </c>
    </row>
    <row r="866" spans="1:8" x14ac:dyDescent="0.25">
      <c r="A866" s="21"/>
      <c r="B866" s="30"/>
      <c r="C866" s="30"/>
      <c r="D866" s="38"/>
      <c r="E866" s="8"/>
      <c r="G866" s="28">
        <f t="shared" si="61"/>
        <v>0</v>
      </c>
      <c r="H866" s="9">
        <v>21</v>
      </c>
    </row>
    <row r="867" spans="1:8" x14ac:dyDescent="0.25">
      <c r="A867" s="21"/>
      <c r="B867" s="30"/>
      <c r="C867" s="30"/>
      <c r="D867" s="38"/>
      <c r="E867" s="8"/>
      <c r="G867" s="28">
        <f t="shared" si="61"/>
        <v>0</v>
      </c>
      <c r="H867" s="9">
        <v>21</v>
      </c>
    </row>
    <row r="868" spans="1:8" x14ac:dyDescent="0.25">
      <c r="A868" s="21"/>
      <c r="B868" s="30"/>
      <c r="C868" s="30"/>
      <c r="D868" s="38"/>
      <c r="E868" s="8"/>
      <c r="G868" s="28">
        <f t="shared" si="61"/>
        <v>0</v>
      </c>
      <c r="H868" s="9">
        <v>21</v>
      </c>
    </row>
    <row r="869" spans="1:8" x14ac:dyDescent="0.25">
      <c r="A869" s="21"/>
      <c r="B869" s="30"/>
      <c r="C869" s="30"/>
      <c r="D869" s="38"/>
      <c r="E869" s="8"/>
      <c r="G869" s="28">
        <f t="shared" si="61"/>
        <v>0</v>
      </c>
      <c r="H869" s="9">
        <v>21</v>
      </c>
    </row>
    <row r="870" spans="1:8" x14ac:dyDescent="0.25">
      <c r="A870" s="21"/>
      <c r="B870" s="30"/>
      <c r="C870" s="30"/>
      <c r="D870" s="38"/>
      <c r="E870" s="8"/>
      <c r="G870" s="28">
        <f t="shared" si="61"/>
        <v>0</v>
      </c>
      <c r="H870" s="9">
        <v>21</v>
      </c>
    </row>
    <row r="871" spans="1:8" x14ac:dyDescent="0.25">
      <c r="A871" s="21"/>
      <c r="B871" s="30"/>
      <c r="C871" s="30"/>
      <c r="D871" s="38"/>
      <c r="E871" s="8"/>
      <c r="G871" s="28">
        <f t="shared" si="61"/>
        <v>0</v>
      </c>
      <c r="H871" s="9">
        <v>21</v>
      </c>
    </row>
    <row r="872" spans="1:8" x14ac:dyDescent="0.25">
      <c r="A872" s="21"/>
      <c r="B872" s="30"/>
      <c r="C872" s="30"/>
      <c r="D872" s="38"/>
      <c r="E872" s="8"/>
      <c r="G872" s="28">
        <f t="shared" si="61"/>
        <v>0</v>
      </c>
      <c r="H872" s="9">
        <v>21</v>
      </c>
    </row>
    <row r="873" spans="1:8" x14ac:dyDescent="0.25">
      <c r="A873" s="21"/>
      <c r="B873" s="30"/>
      <c r="C873" s="30"/>
      <c r="D873" s="38"/>
      <c r="E873" s="8"/>
      <c r="G873" s="28">
        <f t="shared" si="61"/>
        <v>0</v>
      </c>
      <c r="H873" s="9">
        <v>21</v>
      </c>
    </row>
    <row r="874" spans="1:8" x14ac:dyDescent="0.25">
      <c r="A874" s="21"/>
      <c r="B874" s="30"/>
      <c r="C874" s="30"/>
      <c r="D874" s="38"/>
      <c r="E874" s="8"/>
      <c r="G874" s="28">
        <f t="shared" si="61"/>
        <v>0</v>
      </c>
      <c r="H874" s="9">
        <v>21</v>
      </c>
    </row>
    <row r="875" spans="1:8" x14ac:dyDescent="0.25">
      <c r="A875" s="21"/>
      <c r="B875" s="30"/>
      <c r="C875" s="30"/>
      <c r="D875" s="38"/>
      <c r="E875" s="8"/>
      <c r="G875" s="28">
        <f t="shared" si="61"/>
        <v>0</v>
      </c>
      <c r="H875" s="9">
        <v>21</v>
      </c>
    </row>
    <row r="876" spans="1:8" x14ac:dyDescent="0.25">
      <c r="A876" s="21"/>
      <c r="B876" s="30"/>
      <c r="C876" s="30"/>
      <c r="D876" s="38"/>
      <c r="E876" s="8"/>
      <c r="G876" s="28">
        <f t="shared" si="61"/>
        <v>0</v>
      </c>
      <c r="H876" s="9">
        <v>21</v>
      </c>
    </row>
    <row r="877" spans="1:8" x14ac:dyDescent="0.25">
      <c r="A877" s="21"/>
      <c r="B877" s="30"/>
      <c r="C877" s="30"/>
      <c r="D877" s="38"/>
      <c r="E877" s="8"/>
      <c r="G877" s="28">
        <f t="shared" si="61"/>
        <v>0</v>
      </c>
      <c r="H877" s="9">
        <v>21</v>
      </c>
    </row>
    <row r="878" spans="1:8" x14ac:dyDescent="0.25">
      <c r="A878" s="21"/>
      <c r="B878" s="30"/>
      <c r="C878" s="30"/>
      <c r="D878" s="38"/>
      <c r="E878" s="8"/>
      <c r="G878" s="28">
        <f t="shared" si="61"/>
        <v>0</v>
      </c>
      <c r="H878" s="9">
        <v>21</v>
      </c>
    </row>
    <row r="879" spans="1:8" x14ac:dyDescent="0.25">
      <c r="A879" s="21"/>
      <c r="B879" s="30"/>
      <c r="C879" s="30"/>
      <c r="D879" s="38"/>
      <c r="E879" s="8"/>
      <c r="G879" s="28">
        <f t="shared" si="61"/>
        <v>0</v>
      </c>
      <c r="H879" s="9">
        <v>21</v>
      </c>
    </row>
    <row r="880" spans="1:8" x14ac:dyDescent="0.25">
      <c r="A880" s="21"/>
      <c r="B880" s="30"/>
      <c r="C880" s="30"/>
      <c r="D880" s="38"/>
      <c r="E880" s="8"/>
      <c r="G880" s="28">
        <f t="shared" si="61"/>
        <v>0</v>
      </c>
      <c r="H880" s="9">
        <v>21</v>
      </c>
    </row>
    <row r="881" spans="1:8" x14ac:dyDescent="0.25">
      <c r="A881" s="21"/>
      <c r="B881" s="30"/>
      <c r="C881" s="30"/>
      <c r="D881" s="38"/>
      <c r="E881" s="8"/>
      <c r="G881" s="28">
        <f t="shared" si="61"/>
        <v>0</v>
      </c>
      <c r="H881" s="9">
        <v>21</v>
      </c>
    </row>
    <row r="882" spans="1:8" x14ac:dyDescent="0.25">
      <c r="A882" s="21"/>
      <c r="B882" s="30"/>
      <c r="C882" s="30"/>
      <c r="D882" s="38"/>
      <c r="E882" s="8"/>
      <c r="G882" s="28">
        <f t="shared" si="61"/>
        <v>0</v>
      </c>
      <c r="H882" s="9">
        <v>21</v>
      </c>
    </row>
    <row r="883" spans="1:8" x14ac:dyDescent="0.25">
      <c r="A883" s="21"/>
      <c r="B883" s="30"/>
      <c r="C883" s="30"/>
      <c r="D883" s="38"/>
      <c r="E883" s="8"/>
      <c r="G883" s="28">
        <f t="shared" si="61"/>
        <v>0</v>
      </c>
      <c r="H883" s="9">
        <v>21</v>
      </c>
    </row>
    <row r="884" spans="1:8" x14ac:dyDescent="0.25">
      <c r="A884" s="21"/>
      <c r="B884" s="30"/>
      <c r="C884" s="30"/>
      <c r="D884" s="38"/>
      <c r="E884" s="8"/>
      <c r="G884" s="28">
        <f t="shared" si="61"/>
        <v>0</v>
      </c>
      <c r="H884" s="9">
        <v>21</v>
      </c>
    </row>
    <row r="885" spans="1:8" x14ac:dyDescent="0.25">
      <c r="A885" s="21"/>
      <c r="B885" s="30"/>
      <c r="C885" s="30"/>
      <c r="D885" s="38"/>
      <c r="E885" s="8"/>
      <c r="G885" s="28">
        <f t="shared" si="61"/>
        <v>0</v>
      </c>
      <c r="H885" s="9">
        <v>21</v>
      </c>
    </row>
    <row r="886" spans="1:8" x14ac:dyDescent="0.25">
      <c r="A886" s="21"/>
      <c r="B886" s="30"/>
      <c r="C886" s="30"/>
      <c r="D886" s="38"/>
      <c r="E886" s="8"/>
      <c r="G886" s="28">
        <f t="shared" si="61"/>
        <v>0</v>
      </c>
      <c r="H886" s="9">
        <v>21</v>
      </c>
    </row>
    <row r="887" spans="1:8" x14ac:dyDescent="0.25">
      <c r="A887" s="21"/>
      <c r="B887" s="30"/>
      <c r="C887" s="30"/>
      <c r="D887" s="38"/>
      <c r="E887" s="8"/>
      <c r="G887" s="28">
        <f t="shared" si="61"/>
        <v>0</v>
      </c>
      <c r="H887" s="9">
        <v>21</v>
      </c>
    </row>
    <row r="888" spans="1:8" x14ac:dyDescent="0.25">
      <c r="A888" s="21"/>
      <c r="B888" s="30"/>
      <c r="C888" s="30"/>
      <c r="D888" s="38"/>
      <c r="E888" s="8"/>
      <c r="G888" s="28">
        <f t="shared" si="61"/>
        <v>0</v>
      </c>
      <c r="H888" s="9">
        <v>21</v>
      </c>
    </row>
    <row r="889" spans="1:8" x14ac:dyDescent="0.25">
      <c r="A889" s="21"/>
      <c r="B889" s="30"/>
      <c r="C889" s="30"/>
      <c r="D889" s="38"/>
      <c r="E889" s="8"/>
      <c r="G889" s="28">
        <f t="shared" si="61"/>
        <v>0</v>
      </c>
      <c r="H889" s="9">
        <v>21</v>
      </c>
    </row>
    <row r="890" spans="1:8" x14ac:dyDescent="0.25">
      <c r="A890" s="21"/>
      <c r="B890" s="30"/>
      <c r="C890" s="30"/>
      <c r="D890" s="38"/>
      <c r="E890" s="8"/>
      <c r="G890" s="28">
        <f t="shared" si="61"/>
        <v>0</v>
      </c>
      <c r="H890" s="9">
        <v>21</v>
      </c>
    </row>
    <row r="891" spans="1:8" x14ac:dyDescent="0.25">
      <c r="A891" s="21"/>
      <c r="B891" s="30"/>
      <c r="C891" s="30"/>
      <c r="D891" s="38"/>
      <c r="E891" s="8"/>
      <c r="G891" s="28">
        <f t="shared" si="61"/>
        <v>0</v>
      </c>
      <c r="H891" s="9">
        <v>21</v>
      </c>
    </row>
    <row r="892" spans="1:8" x14ac:dyDescent="0.25">
      <c r="A892" s="21"/>
      <c r="B892" s="30"/>
      <c r="C892" s="30"/>
      <c r="D892" s="38"/>
      <c r="E892" s="8"/>
      <c r="G892" s="28">
        <f t="shared" si="61"/>
        <v>0</v>
      </c>
      <c r="H892" s="9">
        <v>21</v>
      </c>
    </row>
    <row r="893" spans="1:8" x14ac:dyDescent="0.25">
      <c r="A893" s="21"/>
      <c r="B893" s="30"/>
      <c r="C893" s="30"/>
      <c r="D893" s="38"/>
      <c r="E893" s="8"/>
      <c r="G893" s="28">
        <f t="shared" si="61"/>
        <v>0</v>
      </c>
      <c r="H893" s="9">
        <v>21</v>
      </c>
    </row>
    <row r="894" spans="1:8" x14ac:dyDescent="0.25">
      <c r="A894" s="21"/>
      <c r="B894" s="30"/>
      <c r="C894" s="30"/>
      <c r="D894" s="38"/>
      <c r="E894" s="8"/>
      <c r="G894" s="28">
        <f t="shared" si="61"/>
        <v>0</v>
      </c>
      <c r="H894" s="9">
        <v>21</v>
      </c>
    </row>
    <row r="895" spans="1:8" x14ac:dyDescent="0.25">
      <c r="A895" s="21"/>
      <c r="B895" s="30"/>
      <c r="C895" s="30"/>
      <c r="D895" s="38"/>
      <c r="E895" s="8"/>
      <c r="G895" s="28">
        <f t="shared" si="61"/>
        <v>0</v>
      </c>
      <c r="H895" s="9">
        <v>21</v>
      </c>
    </row>
    <row r="896" spans="1:8" x14ac:dyDescent="0.25">
      <c r="A896" s="21"/>
      <c r="B896" s="30"/>
      <c r="C896" s="30"/>
      <c r="D896" s="38"/>
      <c r="E896" s="8"/>
      <c r="G896" s="28">
        <f t="shared" si="61"/>
        <v>0</v>
      </c>
      <c r="H896" s="9">
        <v>21</v>
      </c>
    </row>
    <row r="897" spans="1:8" x14ac:dyDescent="0.25">
      <c r="A897" s="21"/>
      <c r="B897" s="30"/>
      <c r="C897" s="30"/>
      <c r="D897" s="38"/>
      <c r="E897" s="8"/>
      <c r="G897" s="28">
        <f t="shared" si="61"/>
        <v>0</v>
      </c>
      <c r="H897" s="9">
        <v>21</v>
      </c>
    </row>
    <row r="898" spans="1:8" x14ac:dyDescent="0.25">
      <c r="A898" s="21"/>
      <c r="B898" s="30"/>
      <c r="C898" s="30"/>
      <c r="D898" s="38"/>
      <c r="E898" s="8"/>
      <c r="G898" s="28">
        <f t="shared" si="61"/>
        <v>0</v>
      </c>
      <c r="H898" s="9">
        <v>21</v>
      </c>
    </row>
    <row r="899" spans="1:8" x14ac:dyDescent="0.25">
      <c r="A899" s="21"/>
      <c r="B899" s="30"/>
      <c r="C899" s="30"/>
      <c r="D899" s="38"/>
      <c r="E899" s="8"/>
      <c r="G899" s="28">
        <f t="shared" si="61"/>
        <v>0</v>
      </c>
      <c r="H899" s="9">
        <v>21</v>
      </c>
    </row>
    <row r="900" spans="1:8" x14ac:dyDescent="0.25">
      <c r="A900" s="21"/>
      <c r="B900" s="30"/>
      <c r="C900" s="30"/>
      <c r="D900" s="38"/>
      <c r="E900" s="8"/>
      <c r="G900" s="28">
        <f t="shared" si="61"/>
        <v>0</v>
      </c>
      <c r="H900" s="9">
        <v>21</v>
      </c>
    </row>
    <row r="901" spans="1:8" x14ac:dyDescent="0.25">
      <c r="A901" s="21"/>
      <c r="B901" s="30"/>
      <c r="C901" s="30"/>
      <c r="D901" s="38"/>
      <c r="E901" s="8"/>
      <c r="G901" s="28">
        <f t="shared" si="61"/>
        <v>0</v>
      </c>
      <c r="H901" s="9">
        <v>21</v>
      </c>
    </row>
    <row r="902" spans="1:8" x14ac:dyDescent="0.25">
      <c r="A902" s="21"/>
      <c r="B902" s="30"/>
      <c r="C902" s="30"/>
      <c r="D902" s="38"/>
      <c r="E902" s="8"/>
      <c r="G902" s="28">
        <f t="shared" si="61"/>
        <v>0</v>
      </c>
      <c r="H902" s="9">
        <v>21</v>
      </c>
    </row>
    <row r="903" spans="1:8" x14ac:dyDescent="0.25">
      <c r="A903" s="21"/>
      <c r="B903" s="30"/>
      <c r="C903" s="30"/>
      <c r="D903" s="38"/>
      <c r="E903" s="8"/>
      <c r="G903" s="28">
        <f t="shared" si="61"/>
        <v>0</v>
      </c>
      <c r="H903" s="9">
        <v>21</v>
      </c>
    </row>
    <row r="904" spans="1:8" x14ac:dyDescent="0.25">
      <c r="A904" s="21"/>
      <c r="B904" s="30"/>
      <c r="C904" s="30"/>
      <c r="D904" s="38"/>
      <c r="E904" s="8"/>
      <c r="G904" s="28">
        <f t="shared" si="61"/>
        <v>0</v>
      </c>
      <c r="H904" s="9">
        <v>21</v>
      </c>
    </row>
    <row r="905" spans="1:8" x14ac:dyDescent="0.25">
      <c r="A905" s="21"/>
      <c r="B905" s="30"/>
      <c r="C905" s="30"/>
      <c r="D905" s="38"/>
      <c r="E905" s="8"/>
      <c r="G905" s="28">
        <f t="shared" si="61"/>
        <v>0</v>
      </c>
      <c r="H905" s="9">
        <v>21</v>
      </c>
    </row>
    <row r="906" spans="1:8" x14ac:dyDescent="0.25">
      <c r="A906" s="21"/>
      <c r="B906" s="30"/>
      <c r="C906" s="30"/>
      <c r="D906" s="38"/>
      <c r="E906" s="8"/>
      <c r="G906" s="28">
        <f t="shared" si="61"/>
        <v>0</v>
      </c>
      <c r="H906" s="9">
        <v>21</v>
      </c>
    </row>
    <row r="907" spans="1:8" x14ac:dyDescent="0.25">
      <c r="A907" s="21"/>
      <c r="B907" s="30"/>
      <c r="C907" s="30"/>
      <c r="D907" s="38"/>
      <c r="E907" s="8"/>
      <c r="G907" s="28">
        <f t="shared" si="61"/>
        <v>0</v>
      </c>
      <c r="H907" s="9">
        <v>21</v>
      </c>
    </row>
    <row r="908" spans="1:8" x14ac:dyDescent="0.25">
      <c r="A908" s="21"/>
      <c r="B908" s="30"/>
      <c r="C908" s="30"/>
      <c r="D908" s="38"/>
      <c r="E908" s="8"/>
      <c r="G908" s="28">
        <f t="shared" si="61"/>
        <v>0</v>
      </c>
      <c r="H908" s="9">
        <v>21</v>
      </c>
    </row>
    <row r="909" spans="1:8" x14ac:dyDescent="0.25">
      <c r="A909" s="21"/>
      <c r="B909" s="30"/>
      <c r="C909" s="30"/>
      <c r="D909" s="38"/>
      <c r="E909" s="8"/>
      <c r="G909" s="28">
        <f t="shared" si="61"/>
        <v>0</v>
      </c>
      <c r="H909" s="9">
        <v>21</v>
      </c>
    </row>
    <row r="910" spans="1:8" x14ac:dyDescent="0.25">
      <c r="A910" s="21"/>
      <c r="B910" s="30"/>
      <c r="C910" s="30"/>
      <c r="D910" s="38"/>
      <c r="E910" s="8"/>
      <c r="G910" s="28">
        <f t="shared" si="61"/>
        <v>0</v>
      </c>
      <c r="H910" s="9">
        <v>21</v>
      </c>
    </row>
    <row r="911" spans="1:8" x14ac:dyDescent="0.25">
      <c r="A911" s="21"/>
      <c r="B911" s="30"/>
      <c r="C911" s="30"/>
      <c r="D911" s="38"/>
      <c r="E911" s="8"/>
      <c r="G911" s="28">
        <f t="shared" si="61"/>
        <v>0</v>
      </c>
      <c r="H911" s="9">
        <v>21</v>
      </c>
    </row>
    <row r="912" spans="1:8" x14ac:dyDescent="0.25">
      <c r="A912" s="21"/>
      <c r="B912" s="30"/>
      <c r="C912" s="30"/>
      <c r="D912" s="38"/>
      <c r="E912" s="8"/>
      <c r="G912" s="28">
        <f t="shared" si="61"/>
        <v>0</v>
      </c>
      <c r="H912" s="9">
        <v>21</v>
      </c>
    </row>
    <row r="913" spans="1:8" x14ac:dyDescent="0.25">
      <c r="A913" s="21"/>
      <c r="B913" s="30"/>
      <c r="C913" s="30"/>
      <c r="D913" s="38"/>
      <c r="E913" s="8"/>
      <c r="G913" s="28">
        <f t="shared" si="61"/>
        <v>0</v>
      </c>
      <c r="H913" s="9">
        <v>21</v>
      </c>
    </row>
    <row r="914" spans="1:8" x14ac:dyDescent="0.25">
      <c r="A914" s="21"/>
      <c r="B914" s="30"/>
      <c r="C914" s="30"/>
      <c r="D914" s="38"/>
      <c r="E914" s="8"/>
      <c r="G914" s="28">
        <f t="shared" ref="G914:G977" si="62">+D914/1.21</f>
        <v>0</v>
      </c>
      <c r="H914" s="9">
        <v>21</v>
      </c>
    </row>
    <row r="915" spans="1:8" x14ac:dyDescent="0.25">
      <c r="A915" s="21"/>
      <c r="B915" s="30"/>
      <c r="C915" s="30"/>
      <c r="D915" s="38"/>
      <c r="E915" s="8"/>
      <c r="G915" s="28">
        <f t="shared" si="62"/>
        <v>0</v>
      </c>
      <c r="H915" s="9">
        <v>21</v>
      </c>
    </row>
    <row r="916" spans="1:8" x14ac:dyDescent="0.25">
      <c r="A916" s="21"/>
      <c r="B916" s="30"/>
      <c r="C916" s="30"/>
      <c r="D916" s="38"/>
      <c r="E916" s="8"/>
      <c r="G916" s="28">
        <f t="shared" si="62"/>
        <v>0</v>
      </c>
      <c r="H916" s="9">
        <v>21</v>
      </c>
    </row>
    <row r="917" spans="1:8" x14ac:dyDescent="0.25">
      <c r="A917" s="21"/>
      <c r="B917" s="30"/>
      <c r="C917" s="30"/>
      <c r="D917" s="38"/>
      <c r="E917" s="8"/>
      <c r="G917" s="28">
        <f t="shared" si="62"/>
        <v>0</v>
      </c>
      <c r="H917" s="9">
        <v>21</v>
      </c>
    </row>
    <row r="918" spans="1:8" x14ac:dyDescent="0.25">
      <c r="A918" s="21"/>
      <c r="B918" s="30"/>
      <c r="C918" s="30"/>
      <c r="D918" s="38"/>
      <c r="E918" s="8"/>
      <c r="G918" s="28">
        <f t="shared" si="62"/>
        <v>0</v>
      </c>
      <c r="H918" s="9">
        <v>21</v>
      </c>
    </row>
    <row r="919" spans="1:8" x14ac:dyDescent="0.25">
      <c r="A919" s="21"/>
      <c r="B919" s="30"/>
      <c r="C919" s="30"/>
      <c r="D919" s="38"/>
      <c r="E919" s="8"/>
      <c r="G919" s="28">
        <f t="shared" si="62"/>
        <v>0</v>
      </c>
      <c r="H919" s="9">
        <v>21</v>
      </c>
    </row>
    <row r="920" spans="1:8" x14ac:dyDescent="0.25">
      <c r="A920" s="21"/>
      <c r="B920" s="30"/>
      <c r="C920" s="30"/>
      <c r="D920" s="38"/>
      <c r="E920" s="8"/>
      <c r="G920" s="28">
        <f t="shared" si="62"/>
        <v>0</v>
      </c>
      <c r="H920" s="9">
        <v>21</v>
      </c>
    </row>
    <row r="921" spans="1:8" x14ac:dyDescent="0.25">
      <c r="A921" s="21"/>
      <c r="B921" s="30"/>
      <c r="C921" s="30"/>
      <c r="D921" s="38"/>
      <c r="E921" s="8"/>
      <c r="G921" s="28">
        <f t="shared" si="62"/>
        <v>0</v>
      </c>
      <c r="H921" s="9">
        <v>21</v>
      </c>
    </row>
    <row r="922" spans="1:8" x14ac:dyDescent="0.25">
      <c r="A922" s="21"/>
      <c r="B922" s="30"/>
      <c r="C922" s="30"/>
      <c r="D922" s="38"/>
      <c r="E922" s="8"/>
      <c r="G922" s="28">
        <f t="shared" si="62"/>
        <v>0</v>
      </c>
      <c r="H922" s="9">
        <v>21</v>
      </c>
    </row>
    <row r="923" spans="1:8" x14ac:dyDescent="0.25">
      <c r="A923" s="21"/>
      <c r="B923" s="30"/>
      <c r="C923" s="30"/>
      <c r="D923" s="38"/>
      <c r="E923" s="8"/>
      <c r="G923" s="28">
        <f t="shared" si="62"/>
        <v>0</v>
      </c>
      <c r="H923" s="9">
        <v>21</v>
      </c>
    </row>
    <row r="924" spans="1:8" x14ac:dyDescent="0.25">
      <c r="A924" s="21"/>
      <c r="B924" s="30"/>
      <c r="C924" s="30"/>
      <c r="D924" s="38"/>
      <c r="E924" s="8"/>
      <c r="G924" s="28">
        <f t="shared" si="62"/>
        <v>0</v>
      </c>
      <c r="H924" s="9">
        <v>21</v>
      </c>
    </row>
    <row r="925" spans="1:8" x14ac:dyDescent="0.25">
      <c r="A925" s="21"/>
      <c r="B925" s="30"/>
      <c r="C925" s="30"/>
      <c r="D925" s="38"/>
      <c r="E925" s="8"/>
      <c r="G925" s="28">
        <f t="shared" si="62"/>
        <v>0</v>
      </c>
      <c r="H925" s="9">
        <v>21</v>
      </c>
    </row>
    <row r="926" spans="1:8" x14ac:dyDescent="0.25">
      <c r="A926" s="21"/>
      <c r="B926" s="30"/>
      <c r="C926" s="30"/>
      <c r="D926" s="38"/>
      <c r="E926" s="8"/>
      <c r="G926" s="28">
        <f t="shared" si="62"/>
        <v>0</v>
      </c>
      <c r="H926" s="9">
        <v>21</v>
      </c>
    </row>
    <row r="927" spans="1:8" x14ac:dyDescent="0.25">
      <c r="A927" s="21"/>
      <c r="B927" s="30"/>
      <c r="C927" s="30"/>
      <c r="D927" s="38"/>
      <c r="E927" s="8"/>
      <c r="G927" s="28">
        <f t="shared" si="62"/>
        <v>0</v>
      </c>
      <c r="H927" s="9">
        <v>21</v>
      </c>
    </row>
    <row r="928" spans="1:8" x14ac:dyDescent="0.25">
      <c r="A928" s="21"/>
      <c r="B928" s="30"/>
      <c r="C928" s="30"/>
      <c r="D928" s="38"/>
      <c r="E928" s="8"/>
      <c r="G928" s="28">
        <f t="shared" si="62"/>
        <v>0</v>
      </c>
      <c r="H928" s="9">
        <v>21</v>
      </c>
    </row>
    <row r="929" spans="1:8" x14ac:dyDescent="0.25">
      <c r="A929" s="21"/>
      <c r="B929" s="30"/>
      <c r="C929" s="30"/>
      <c r="D929" s="38"/>
      <c r="E929" s="8"/>
      <c r="G929" s="28">
        <f t="shared" si="62"/>
        <v>0</v>
      </c>
      <c r="H929" s="9">
        <v>21</v>
      </c>
    </row>
    <row r="930" spans="1:8" x14ac:dyDescent="0.25">
      <c r="A930" s="21"/>
      <c r="B930" s="30"/>
      <c r="C930" s="30"/>
      <c r="D930" s="38"/>
      <c r="E930" s="8"/>
      <c r="G930" s="28">
        <f t="shared" si="62"/>
        <v>0</v>
      </c>
      <c r="H930" s="9">
        <v>21</v>
      </c>
    </row>
    <row r="931" spans="1:8" x14ac:dyDescent="0.25">
      <c r="A931" s="21"/>
      <c r="B931" s="30"/>
      <c r="C931" s="30"/>
      <c r="D931" s="38"/>
      <c r="E931" s="8"/>
      <c r="G931" s="28">
        <f t="shared" si="62"/>
        <v>0</v>
      </c>
      <c r="H931" s="9">
        <v>21</v>
      </c>
    </row>
    <row r="932" spans="1:8" x14ac:dyDescent="0.25">
      <c r="A932" s="21"/>
      <c r="B932" s="30"/>
      <c r="C932" s="30"/>
      <c r="D932" s="38"/>
      <c r="E932" s="8"/>
      <c r="G932" s="28">
        <f t="shared" si="62"/>
        <v>0</v>
      </c>
      <c r="H932" s="9">
        <v>21</v>
      </c>
    </row>
    <row r="933" spans="1:8" x14ac:dyDescent="0.25">
      <c r="A933" s="21"/>
      <c r="B933" s="30"/>
      <c r="C933" s="30"/>
      <c r="D933" s="38"/>
      <c r="E933" s="8"/>
      <c r="G933" s="28">
        <f t="shared" si="62"/>
        <v>0</v>
      </c>
      <c r="H933" s="9">
        <v>21</v>
      </c>
    </row>
    <row r="934" spans="1:8" x14ac:dyDescent="0.25">
      <c r="A934" s="21"/>
      <c r="B934" s="30"/>
      <c r="C934" s="30"/>
      <c r="D934" s="38"/>
      <c r="E934" s="8"/>
      <c r="G934" s="28">
        <f t="shared" si="62"/>
        <v>0</v>
      </c>
      <c r="H934" s="9">
        <v>21</v>
      </c>
    </row>
    <row r="935" spans="1:8" x14ac:dyDescent="0.25">
      <c r="A935" s="21"/>
      <c r="B935" s="30"/>
      <c r="C935" s="30"/>
      <c r="D935" s="38"/>
      <c r="E935" s="8"/>
      <c r="G935" s="28">
        <f t="shared" si="62"/>
        <v>0</v>
      </c>
      <c r="H935" s="9">
        <v>21</v>
      </c>
    </row>
    <row r="936" spans="1:8" x14ac:dyDescent="0.25">
      <c r="A936" s="21"/>
      <c r="B936" s="30"/>
      <c r="C936" s="30"/>
      <c r="D936" s="38"/>
      <c r="E936" s="8"/>
      <c r="G936" s="28">
        <f t="shared" si="62"/>
        <v>0</v>
      </c>
      <c r="H936" s="9">
        <v>21</v>
      </c>
    </row>
    <row r="937" spans="1:8" x14ac:dyDescent="0.25">
      <c r="A937" s="21"/>
      <c r="B937" s="30"/>
      <c r="C937" s="30"/>
      <c r="D937" s="38"/>
      <c r="E937" s="8"/>
      <c r="G937" s="28">
        <f t="shared" si="62"/>
        <v>0</v>
      </c>
      <c r="H937" s="9">
        <v>21</v>
      </c>
    </row>
    <row r="938" spans="1:8" x14ac:dyDescent="0.25">
      <c r="A938" s="21"/>
      <c r="B938" s="30"/>
      <c r="C938" s="30"/>
      <c r="D938" s="38"/>
      <c r="E938" s="8"/>
      <c r="G938" s="28">
        <f t="shared" si="62"/>
        <v>0</v>
      </c>
      <c r="H938" s="9">
        <v>21</v>
      </c>
    </row>
    <row r="939" spans="1:8" x14ac:dyDescent="0.25">
      <c r="A939" s="21"/>
      <c r="B939" s="30"/>
      <c r="C939" s="30"/>
      <c r="D939" s="38"/>
      <c r="E939" s="8"/>
      <c r="G939" s="28">
        <f t="shared" si="62"/>
        <v>0</v>
      </c>
      <c r="H939" s="9">
        <v>21</v>
      </c>
    </row>
    <row r="940" spans="1:8" x14ac:dyDescent="0.25">
      <c r="A940" s="21"/>
      <c r="B940" s="30"/>
      <c r="C940" s="30"/>
      <c r="D940" s="38"/>
      <c r="E940" s="8"/>
      <c r="G940" s="28">
        <f t="shared" si="62"/>
        <v>0</v>
      </c>
      <c r="H940" s="9">
        <v>21</v>
      </c>
    </row>
    <row r="941" spans="1:8" x14ac:dyDescent="0.25">
      <c r="A941" s="21"/>
      <c r="B941" s="30"/>
      <c r="C941" s="30"/>
      <c r="D941" s="38"/>
      <c r="E941" s="8"/>
      <c r="G941" s="28">
        <f t="shared" si="62"/>
        <v>0</v>
      </c>
      <c r="H941" s="9">
        <v>21</v>
      </c>
    </row>
    <row r="942" spans="1:8" x14ac:dyDescent="0.25">
      <c r="A942" s="21"/>
      <c r="B942" s="30"/>
      <c r="C942" s="30"/>
      <c r="D942" s="38"/>
      <c r="E942" s="8"/>
      <c r="G942" s="28">
        <f t="shared" si="62"/>
        <v>0</v>
      </c>
      <c r="H942" s="9">
        <v>21</v>
      </c>
    </row>
    <row r="943" spans="1:8" x14ac:dyDescent="0.25">
      <c r="A943" s="21"/>
      <c r="B943" s="30"/>
      <c r="C943" s="30"/>
      <c r="D943" s="38"/>
      <c r="E943" s="8"/>
      <c r="G943" s="28">
        <f t="shared" si="62"/>
        <v>0</v>
      </c>
      <c r="H943" s="9">
        <v>21</v>
      </c>
    </row>
    <row r="944" spans="1:8" x14ac:dyDescent="0.25">
      <c r="A944" s="21"/>
      <c r="B944" s="30"/>
      <c r="C944" s="30"/>
      <c r="D944" s="38"/>
      <c r="E944" s="8"/>
      <c r="G944" s="28">
        <f t="shared" si="62"/>
        <v>0</v>
      </c>
      <c r="H944" s="9">
        <v>21</v>
      </c>
    </row>
    <row r="945" spans="1:8" x14ac:dyDescent="0.25">
      <c r="A945" s="21"/>
      <c r="B945" s="30"/>
      <c r="C945" s="30"/>
      <c r="D945" s="38"/>
      <c r="E945" s="8"/>
      <c r="G945" s="28">
        <f t="shared" si="62"/>
        <v>0</v>
      </c>
      <c r="H945" s="9">
        <v>21</v>
      </c>
    </row>
    <row r="946" spans="1:8" x14ac:dyDescent="0.25">
      <c r="A946" s="21"/>
      <c r="B946" s="30"/>
      <c r="C946" s="30"/>
      <c r="D946" s="38"/>
      <c r="E946" s="8"/>
      <c r="G946" s="28">
        <f t="shared" si="62"/>
        <v>0</v>
      </c>
      <c r="H946" s="9">
        <v>21</v>
      </c>
    </row>
    <row r="947" spans="1:8" x14ac:dyDescent="0.25">
      <c r="A947" s="21"/>
      <c r="B947" s="30"/>
      <c r="C947" s="30"/>
      <c r="D947" s="38"/>
      <c r="E947" s="8"/>
      <c r="G947" s="28">
        <f t="shared" si="62"/>
        <v>0</v>
      </c>
      <c r="H947" s="9">
        <v>21</v>
      </c>
    </row>
    <row r="948" spans="1:8" x14ac:dyDescent="0.25">
      <c r="A948" s="21"/>
      <c r="B948" s="30"/>
      <c r="C948" s="30"/>
      <c r="D948" s="38"/>
      <c r="E948" s="8"/>
      <c r="G948" s="28">
        <f t="shared" si="62"/>
        <v>0</v>
      </c>
      <c r="H948" s="9">
        <v>21</v>
      </c>
    </row>
    <row r="949" spans="1:8" x14ac:dyDescent="0.25">
      <c r="A949" s="21"/>
      <c r="B949" s="30"/>
      <c r="C949" s="30"/>
      <c r="D949" s="38"/>
      <c r="E949" s="8"/>
      <c r="G949" s="28">
        <f t="shared" si="62"/>
        <v>0</v>
      </c>
      <c r="H949" s="9">
        <v>21</v>
      </c>
    </row>
    <row r="950" spans="1:8" x14ac:dyDescent="0.25">
      <c r="A950" s="21"/>
      <c r="B950" s="30"/>
      <c r="C950" s="30"/>
      <c r="D950" s="38"/>
      <c r="E950" s="8"/>
      <c r="G950" s="28">
        <f t="shared" si="62"/>
        <v>0</v>
      </c>
      <c r="H950" s="9">
        <v>21</v>
      </c>
    </row>
    <row r="951" spans="1:8" x14ac:dyDescent="0.25">
      <c r="A951" s="21"/>
      <c r="B951" s="30"/>
      <c r="C951" s="30"/>
      <c r="D951" s="38"/>
      <c r="E951" s="8"/>
      <c r="G951" s="28">
        <f t="shared" si="62"/>
        <v>0</v>
      </c>
      <c r="H951" s="9">
        <v>21</v>
      </c>
    </row>
    <row r="952" spans="1:8" x14ac:dyDescent="0.25">
      <c r="A952" s="21"/>
      <c r="B952" s="30"/>
      <c r="C952" s="30"/>
      <c r="D952" s="38"/>
      <c r="E952" s="8"/>
      <c r="G952" s="28">
        <f t="shared" si="62"/>
        <v>0</v>
      </c>
      <c r="H952" s="9">
        <v>21</v>
      </c>
    </row>
    <row r="953" spans="1:8" x14ac:dyDescent="0.25">
      <c r="A953" s="21"/>
      <c r="B953" s="30"/>
      <c r="C953" s="30"/>
      <c r="D953" s="38"/>
      <c r="E953" s="8"/>
      <c r="G953" s="28">
        <f t="shared" si="62"/>
        <v>0</v>
      </c>
      <c r="H953" s="9">
        <v>21</v>
      </c>
    </row>
    <row r="954" spans="1:8" x14ac:dyDescent="0.25">
      <c r="A954" s="21"/>
      <c r="B954" s="30"/>
      <c r="C954" s="30"/>
      <c r="D954" s="38"/>
      <c r="E954" s="8"/>
      <c r="G954" s="28">
        <f t="shared" si="62"/>
        <v>0</v>
      </c>
      <c r="H954" s="9">
        <v>21</v>
      </c>
    </row>
    <row r="955" spans="1:8" x14ac:dyDescent="0.25">
      <c r="A955" s="21"/>
      <c r="B955" s="30"/>
      <c r="C955" s="30"/>
      <c r="D955" s="38"/>
      <c r="E955" s="8"/>
      <c r="G955" s="28">
        <f t="shared" si="62"/>
        <v>0</v>
      </c>
      <c r="H955" s="9">
        <v>21</v>
      </c>
    </row>
    <row r="956" spans="1:8" x14ac:dyDescent="0.25">
      <c r="A956" s="21"/>
      <c r="B956" s="30"/>
      <c r="C956" s="30"/>
      <c r="D956" s="38"/>
      <c r="E956" s="8"/>
      <c r="G956" s="28">
        <f t="shared" si="62"/>
        <v>0</v>
      </c>
      <c r="H956" s="9">
        <v>21</v>
      </c>
    </row>
    <row r="957" spans="1:8" x14ac:dyDescent="0.25">
      <c r="A957" s="21"/>
      <c r="B957" s="30"/>
      <c r="C957" s="30"/>
      <c r="D957" s="38"/>
      <c r="E957" s="8"/>
      <c r="G957" s="28">
        <f t="shared" si="62"/>
        <v>0</v>
      </c>
      <c r="H957" s="9">
        <v>21</v>
      </c>
    </row>
    <row r="958" spans="1:8" x14ac:dyDescent="0.25">
      <c r="A958" s="21"/>
      <c r="B958" s="30"/>
      <c r="C958" s="30"/>
      <c r="D958" s="38"/>
      <c r="E958" s="8"/>
      <c r="G958" s="28">
        <f t="shared" si="62"/>
        <v>0</v>
      </c>
      <c r="H958" s="9">
        <v>21</v>
      </c>
    </row>
    <row r="959" spans="1:8" x14ac:dyDescent="0.25">
      <c r="A959" s="21"/>
      <c r="B959" s="30"/>
      <c r="C959" s="30"/>
      <c r="D959" s="38"/>
      <c r="E959" s="8"/>
      <c r="G959" s="28">
        <f t="shared" si="62"/>
        <v>0</v>
      </c>
      <c r="H959" s="9">
        <v>21</v>
      </c>
    </row>
    <row r="960" spans="1:8" x14ac:dyDescent="0.25">
      <c r="A960" s="21"/>
      <c r="B960" s="30"/>
      <c r="C960" s="30"/>
      <c r="D960" s="38"/>
      <c r="E960" s="8"/>
      <c r="G960" s="28">
        <f t="shared" si="62"/>
        <v>0</v>
      </c>
      <c r="H960" s="9">
        <v>21</v>
      </c>
    </row>
    <row r="961" spans="1:8" x14ac:dyDescent="0.25">
      <c r="A961" s="21"/>
      <c r="B961" s="30"/>
      <c r="C961" s="30"/>
      <c r="D961" s="38"/>
      <c r="E961" s="8"/>
      <c r="G961" s="28">
        <f t="shared" si="62"/>
        <v>0</v>
      </c>
      <c r="H961" s="9">
        <v>21</v>
      </c>
    </row>
    <row r="962" spans="1:8" x14ac:dyDescent="0.25">
      <c r="A962" s="21"/>
      <c r="B962" s="30"/>
      <c r="C962" s="30"/>
      <c r="D962" s="38"/>
      <c r="E962" s="8"/>
      <c r="G962" s="28">
        <f t="shared" si="62"/>
        <v>0</v>
      </c>
      <c r="H962" s="9">
        <v>21</v>
      </c>
    </row>
    <row r="963" spans="1:8" x14ac:dyDescent="0.25">
      <c r="A963" s="21"/>
      <c r="B963" s="30"/>
      <c r="C963" s="30"/>
      <c r="D963" s="38"/>
      <c r="E963" s="8"/>
      <c r="G963" s="28">
        <f t="shared" si="62"/>
        <v>0</v>
      </c>
      <c r="H963" s="9">
        <v>21</v>
      </c>
    </row>
    <row r="964" spans="1:8" x14ac:dyDescent="0.25">
      <c r="A964" s="21"/>
      <c r="B964" s="30"/>
      <c r="C964" s="30"/>
      <c r="D964" s="38"/>
      <c r="E964" s="8"/>
      <c r="G964" s="28">
        <f t="shared" si="62"/>
        <v>0</v>
      </c>
      <c r="H964" s="9">
        <v>21</v>
      </c>
    </row>
    <row r="965" spans="1:8" x14ac:dyDescent="0.25">
      <c r="A965" s="21"/>
      <c r="B965" s="30"/>
      <c r="C965" s="30"/>
      <c r="D965" s="38"/>
      <c r="E965" s="8"/>
      <c r="G965" s="28">
        <f t="shared" si="62"/>
        <v>0</v>
      </c>
      <c r="H965" s="9">
        <v>21</v>
      </c>
    </row>
    <row r="966" spans="1:8" x14ac:dyDescent="0.25">
      <c r="A966" s="21"/>
      <c r="B966" s="30"/>
      <c r="C966" s="30"/>
      <c r="D966" s="38"/>
      <c r="E966" s="8"/>
      <c r="G966" s="28">
        <f t="shared" si="62"/>
        <v>0</v>
      </c>
      <c r="H966" s="9">
        <v>21</v>
      </c>
    </row>
    <row r="967" spans="1:8" x14ac:dyDescent="0.25">
      <c r="A967" s="21"/>
      <c r="B967" s="30"/>
      <c r="C967" s="30"/>
      <c r="D967" s="38"/>
      <c r="E967" s="8"/>
      <c r="G967" s="28">
        <f t="shared" si="62"/>
        <v>0</v>
      </c>
      <c r="H967" s="9">
        <v>21</v>
      </c>
    </row>
    <row r="968" spans="1:8" x14ac:dyDescent="0.25">
      <c r="A968" s="21"/>
      <c r="B968" s="30"/>
      <c r="C968" s="30"/>
      <c r="D968" s="38"/>
      <c r="E968" s="8"/>
      <c r="G968" s="28">
        <f t="shared" si="62"/>
        <v>0</v>
      </c>
      <c r="H968" s="9">
        <v>21</v>
      </c>
    </row>
    <row r="969" spans="1:8" x14ac:dyDescent="0.25">
      <c r="A969" s="21"/>
      <c r="B969" s="30"/>
      <c r="C969" s="30"/>
      <c r="D969" s="38"/>
      <c r="E969" s="8"/>
      <c r="G969" s="28">
        <f t="shared" si="62"/>
        <v>0</v>
      </c>
      <c r="H969" s="9">
        <v>21</v>
      </c>
    </row>
    <row r="970" spans="1:8" x14ac:dyDescent="0.25">
      <c r="A970" s="21"/>
      <c r="B970" s="30"/>
      <c r="C970" s="30"/>
      <c r="D970" s="38"/>
      <c r="E970" s="8"/>
      <c r="G970" s="28">
        <f t="shared" si="62"/>
        <v>0</v>
      </c>
      <c r="H970" s="9">
        <v>21</v>
      </c>
    </row>
    <row r="971" spans="1:8" x14ac:dyDescent="0.25">
      <c r="A971" s="21"/>
      <c r="B971" s="30"/>
      <c r="C971" s="30"/>
      <c r="D971" s="38"/>
      <c r="E971" s="8"/>
      <c r="G971" s="28">
        <f t="shared" si="62"/>
        <v>0</v>
      </c>
      <c r="H971" s="9">
        <v>21</v>
      </c>
    </row>
    <row r="972" spans="1:8" x14ac:dyDescent="0.25">
      <c r="A972" s="21"/>
      <c r="B972" s="30"/>
      <c r="C972" s="30"/>
      <c r="D972" s="38"/>
      <c r="E972" s="8"/>
      <c r="G972" s="28">
        <f t="shared" si="62"/>
        <v>0</v>
      </c>
      <c r="H972" s="9">
        <v>21</v>
      </c>
    </row>
    <row r="973" spans="1:8" x14ac:dyDescent="0.25">
      <c r="A973" s="21"/>
      <c r="B973" s="30"/>
      <c r="C973" s="30"/>
      <c r="D973" s="38"/>
      <c r="E973" s="8"/>
      <c r="G973" s="28">
        <f t="shared" si="62"/>
        <v>0</v>
      </c>
      <c r="H973" s="9">
        <v>21</v>
      </c>
    </row>
    <row r="974" spans="1:8" x14ac:dyDescent="0.25">
      <c r="A974" s="21"/>
      <c r="B974" s="30"/>
      <c r="C974" s="30"/>
      <c r="D974" s="38"/>
      <c r="E974" s="8"/>
      <c r="G974" s="28">
        <f t="shared" si="62"/>
        <v>0</v>
      </c>
      <c r="H974" s="9">
        <v>21</v>
      </c>
    </row>
    <row r="975" spans="1:8" x14ac:dyDescent="0.25">
      <c r="A975" s="21"/>
      <c r="B975" s="30"/>
      <c r="C975" s="30"/>
      <c r="D975" s="38"/>
      <c r="E975" s="8"/>
      <c r="G975" s="28">
        <f t="shared" si="62"/>
        <v>0</v>
      </c>
      <c r="H975" s="9">
        <v>21</v>
      </c>
    </row>
    <row r="976" spans="1:8" x14ac:dyDescent="0.25">
      <c r="A976" s="21"/>
      <c r="B976" s="30"/>
      <c r="C976" s="30"/>
      <c r="D976" s="38"/>
      <c r="E976" s="8"/>
      <c r="G976" s="28">
        <f t="shared" si="62"/>
        <v>0</v>
      </c>
      <c r="H976" s="9">
        <v>21</v>
      </c>
    </row>
    <row r="977" spans="1:8" x14ac:dyDescent="0.25">
      <c r="A977" s="21"/>
      <c r="B977" s="30"/>
      <c r="C977" s="30"/>
      <c r="D977" s="38"/>
      <c r="E977" s="8"/>
      <c r="G977" s="28">
        <f t="shared" si="62"/>
        <v>0</v>
      </c>
      <c r="H977" s="9">
        <v>21</v>
      </c>
    </row>
    <row r="978" spans="1:8" x14ac:dyDescent="0.25">
      <c r="A978" s="21"/>
      <c r="B978" s="30"/>
      <c r="C978" s="30"/>
      <c r="D978" s="38"/>
      <c r="E978" s="8"/>
      <c r="G978" s="28">
        <f t="shared" ref="G978:G1041" si="63">+D978/1.21</f>
        <v>0</v>
      </c>
      <c r="H978" s="9">
        <v>21</v>
      </c>
    </row>
    <row r="979" spans="1:8" x14ac:dyDescent="0.25">
      <c r="A979" s="21"/>
      <c r="B979" s="30"/>
      <c r="C979" s="30"/>
      <c r="D979" s="38"/>
      <c r="E979" s="8"/>
      <c r="G979" s="28">
        <f t="shared" si="63"/>
        <v>0</v>
      </c>
      <c r="H979" s="9">
        <v>21</v>
      </c>
    </row>
    <row r="980" spans="1:8" x14ac:dyDescent="0.25">
      <c r="A980" s="21"/>
      <c r="B980" s="30"/>
      <c r="C980" s="30"/>
      <c r="D980" s="38"/>
      <c r="E980" s="8"/>
      <c r="G980" s="28">
        <f t="shared" si="63"/>
        <v>0</v>
      </c>
      <c r="H980" s="9">
        <v>21</v>
      </c>
    </row>
    <row r="981" spans="1:8" x14ac:dyDescent="0.25">
      <c r="A981" s="21"/>
      <c r="B981" s="30"/>
      <c r="C981" s="30"/>
      <c r="D981" s="38"/>
      <c r="E981" s="8"/>
      <c r="G981" s="28">
        <f t="shared" si="63"/>
        <v>0</v>
      </c>
      <c r="H981" s="9">
        <v>21</v>
      </c>
    </row>
    <row r="982" spans="1:8" x14ac:dyDescent="0.25">
      <c r="A982" s="21"/>
      <c r="B982" s="30"/>
      <c r="C982" s="30"/>
      <c r="D982" s="38"/>
      <c r="E982" s="8"/>
      <c r="G982" s="28">
        <f t="shared" si="63"/>
        <v>0</v>
      </c>
      <c r="H982" s="9">
        <v>21</v>
      </c>
    </row>
    <row r="983" spans="1:8" x14ac:dyDescent="0.25">
      <c r="A983" s="21"/>
      <c r="B983" s="30"/>
      <c r="C983" s="30"/>
      <c r="D983" s="38"/>
      <c r="E983" s="8"/>
      <c r="G983" s="28">
        <f t="shared" si="63"/>
        <v>0</v>
      </c>
      <c r="H983" s="9">
        <v>21</v>
      </c>
    </row>
    <row r="984" spans="1:8" x14ac:dyDescent="0.25">
      <c r="A984" s="21"/>
      <c r="B984" s="30"/>
      <c r="C984" s="30"/>
      <c r="D984" s="38"/>
      <c r="E984" s="8"/>
      <c r="G984" s="28">
        <f t="shared" si="63"/>
        <v>0</v>
      </c>
      <c r="H984" s="9">
        <v>21</v>
      </c>
    </row>
    <row r="985" spans="1:8" x14ac:dyDescent="0.25">
      <c r="A985" s="21"/>
      <c r="B985" s="30"/>
      <c r="C985" s="30"/>
      <c r="D985" s="38"/>
      <c r="E985" s="8"/>
      <c r="G985" s="28">
        <f t="shared" si="63"/>
        <v>0</v>
      </c>
      <c r="H985" s="9">
        <v>21</v>
      </c>
    </row>
    <row r="986" spans="1:8" x14ac:dyDescent="0.25">
      <c r="A986" s="21"/>
      <c r="B986" s="30"/>
      <c r="C986" s="30"/>
      <c r="D986" s="38"/>
      <c r="E986" s="8"/>
      <c r="G986" s="28">
        <f t="shared" si="63"/>
        <v>0</v>
      </c>
      <c r="H986" s="9">
        <v>21</v>
      </c>
    </row>
    <row r="987" spans="1:8" x14ac:dyDescent="0.25">
      <c r="A987" s="21"/>
      <c r="B987" s="30"/>
      <c r="C987" s="30"/>
      <c r="D987" s="38"/>
      <c r="E987" s="8"/>
      <c r="G987" s="28">
        <f t="shared" si="63"/>
        <v>0</v>
      </c>
      <c r="H987" s="9">
        <v>21</v>
      </c>
    </row>
    <row r="988" spans="1:8" x14ac:dyDescent="0.25">
      <c r="A988" s="21"/>
      <c r="B988" s="30"/>
      <c r="C988" s="30"/>
      <c r="D988" s="38"/>
      <c r="E988" s="8"/>
      <c r="G988" s="28">
        <f t="shared" si="63"/>
        <v>0</v>
      </c>
      <c r="H988" s="9">
        <v>21</v>
      </c>
    </row>
    <row r="989" spans="1:8" x14ac:dyDescent="0.25">
      <c r="A989" s="21"/>
      <c r="B989" s="30"/>
      <c r="C989" s="30"/>
      <c r="D989" s="38"/>
      <c r="E989" s="8"/>
      <c r="G989" s="28">
        <f t="shared" si="63"/>
        <v>0</v>
      </c>
      <c r="H989" s="9">
        <v>21</v>
      </c>
    </row>
    <row r="990" spans="1:8" x14ac:dyDescent="0.25">
      <c r="A990" s="21"/>
      <c r="B990" s="30"/>
      <c r="C990" s="30"/>
      <c r="D990" s="38"/>
      <c r="E990" s="8"/>
      <c r="G990" s="28">
        <f t="shared" si="63"/>
        <v>0</v>
      </c>
      <c r="H990" s="9">
        <v>21</v>
      </c>
    </row>
    <row r="991" spans="1:8" x14ac:dyDescent="0.25">
      <c r="A991" s="21"/>
      <c r="B991" s="30"/>
      <c r="C991" s="30"/>
      <c r="D991" s="38"/>
      <c r="E991" s="8"/>
      <c r="G991" s="28">
        <f t="shared" si="63"/>
        <v>0</v>
      </c>
      <c r="H991" s="9">
        <v>21</v>
      </c>
    </row>
    <row r="992" spans="1:8" x14ac:dyDescent="0.25">
      <c r="A992" s="21"/>
      <c r="B992" s="30"/>
      <c r="C992" s="30"/>
      <c r="D992" s="38"/>
      <c r="E992" s="8"/>
      <c r="G992" s="28">
        <f t="shared" si="63"/>
        <v>0</v>
      </c>
      <c r="H992" s="9">
        <v>21</v>
      </c>
    </row>
    <row r="993" spans="1:8" x14ac:dyDescent="0.25">
      <c r="A993" s="21"/>
      <c r="B993" s="30"/>
      <c r="C993" s="30"/>
      <c r="D993" s="38"/>
      <c r="E993" s="8"/>
      <c r="G993" s="28">
        <f t="shared" si="63"/>
        <v>0</v>
      </c>
      <c r="H993" s="9">
        <v>21</v>
      </c>
    </row>
    <row r="994" spans="1:8" x14ac:dyDescent="0.25">
      <c r="A994" s="21"/>
      <c r="B994" s="30"/>
      <c r="C994" s="30"/>
      <c r="D994" s="38"/>
      <c r="E994" s="8"/>
      <c r="G994" s="28">
        <f t="shared" si="63"/>
        <v>0</v>
      </c>
      <c r="H994" s="9">
        <v>21</v>
      </c>
    </row>
    <row r="995" spans="1:8" x14ac:dyDescent="0.25">
      <c r="A995" s="21"/>
      <c r="B995" s="30"/>
      <c r="C995" s="30"/>
      <c r="D995" s="38"/>
      <c r="E995" s="8"/>
      <c r="G995" s="28">
        <f t="shared" si="63"/>
        <v>0</v>
      </c>
      <c r="H995" s="9">
        <v>21</v>
      </c>
    </row>
    <row r="996" spans="1:8" x14ac:dyDescent="0.25">
      <c r="A996" s="21"/>
      <c r="B996" s="30"/>
      <c r="C996" s="30"/>
      <c r="D996" s="38"/>
      <c r="E996" s="8"/>
      <c r="G996" s="28">
        <f t="shared" si="63"/>
        <v>0</v>
      </c>
      <c r="H996" s="9">
        <v>21</v>
      </c>
    </row>
    <row r="997" spans="1:8" x14ac:dyDescent="0.25">
      <c r="A997" s="21"/>
      <c r="B997" s="30"/>
      <c r="C997" s="30"/>
      <c r="D997" s="38"/>
      <c r="E997" s="8"/>
      <c r="G997" s="28">
        <f t="shared" si="63"/>
        <v>0</v>
      </c>
      <c r="H997" s="9">
        <v>21</v>
      </c>
    </row>
    <row r="998" spans="1:8" x14ac:dyDescent="0.25">
      <c r="A998" s="21"/>
      <c r="B998" s="30"/>
      <c r="C998" s="30"/>
      <c r="D998" s="38"/>
      <c r="E998" s="8"/>
      <c r="G998" s="28">
        <f t="shared" si="63"/>
        <v>0</v>
      </c>
      <c r="H998" s="9">
        <v>21</v>
      </c>
    </row>
    <row r="999" spans="1:8" x14ac:dyDescent="0.25">
      <c r="A999" s="21"/>
      <c r="B999" s="30"/>
      <c r="C999" s="30"/>
      <c r="D999" s="38"/>
      <c r="E999" s="8"/>
      <c r="G999" s="28">
        <f t="shared" si="63"/>
        <v>0</v>
      </c>
      <c r="H999" s="9">
        <v>21</v>
      </c>
    </row>
    <row r="1000" spans="1:8" x14ac:dyDescent="0.25">
      <c r="A1000" s="21"/>
      <c r="B1000" s="30"/>
      <c r="C1000" s="30"/>
      <c r="D1000" s="38"/>
      <c r="E1000" s="8"/>
      <c r="G1000" s="28">
        <f t="shared" si="63"/>
        <v>0</v>
      </c>
      <c r="H1000" s="9">
        <v>21</v>
      </c>
    </row>
    <row r="1001" spans="1:8" x14ac:dyDescent="0.25">
      <c r="A1001" s="21"/>
      <c r="B1001" s="30"/>
      <c r="C1001" s="30"/>
      <c r="D1001" s="38"/>
      <c r="E1001" s="8"/>
      <c r="G1001" s="28">
        <f t="shared" si="63"/>
        <v>0</v>
      </c>
      <c r="H1001" s="9">
        <v>21</v>
      </c>
    </row>
    <row r="1002" spans="1:8" x14ac:dyDescent="0.25">
      <c r="A1002" s="21"/>
      <c r="B1002" s="30"/>
      <c r="C1002" s="30"/>
      <c r="D1002" s="38"/>
      <c r="E1002" s="8"/>
      <c r="G1002" s="28">
        <f t="shared" si="63"/>
        <v>0</v>
      </c>
      <c r="H1002" s="9">
        <v>21</v>
      </c>
    </row>
    <row r="1003" spans="1:8" x14ac:dyDescent="0.25">
      <c r="A1003" s="21"/>
      <c r="B1003" s="30"/>
      <c r="C1003" s="30"/>
      <c r="D1003" s="38"/>
      <c r="E1003" s="8"/>
      <c r="G1003" s="28">
        <f t="shared" si="63"/>
        <v>0</v>
      </c>
      <c r="H1003" s="9">
        <v>21</v>
      </c>
    </row>
    <row r="1004" spans="1:8" x14ac:dyDescent="0.25">
      <c r="A1004" s="21"/>
      <c r="B1004" s="30"/>
      <c r="C1004" s="30"/>
      <c r="D1004" s="38"/>
      <c r="E1004" s="8"/>
      <c r="G1004" s="28">
        <f t="shared" si="63"/>
        <v>0</v>
      </c>
      <c r="H1004" s="9">
        <v>21</v>
      </c>
    </row>
    <row r="1005" spans="1:8" x14ac:dyDescent="0.25">
      <c r="A1005" s="21"/>
      <c r="B1005" s="30"/>
      <c r="C1005" s="30"/>
      <c r="D1005" s="38"/>
      <c r="E1005" s="8"/>
      <c r="G1005" s="28">
        <f t="shared" si="63"/>
        <v>0</v>
      </c>
      <c r="H1005" s="9">
        <v>21</v>
      </c>
    </row>
    <row r="1006" spans="1:8" x14ac:dyDescent="0.25">
      <c r="A1006" s="21"/>
      <c r="B1006" s="30"/>
      <c r="C1006" s="30"/>
      <c r="D1006" s="38"/>
      <c r="E1006" s="8"/>
      <c r="G1006" s="28">
        <f t="shared" si="63"/>
        <v>0</v>
      </c>
      <c r="H1006" s="9">
        <v>21</v>
      </c>
    </row>
    <row r="1007" spans="1:8" x14ac:dyDescent="0.25">
      <c r="A1007" s="21"/>
      <c r="B1007" s="30"/>
      <c r="C1007" s="30"/>
      <c r="D1007" s="38"/>
      <c r="E1007" s="8"/>
      <c r="G1007" s="28">
        <f t="shared" si="63"/>
        <v>0</v>
      </c>
      <c r="H1007" s="9">
        <v>21</v>
      </c>
    </row>
    <row r="1008" spans="1:8" x14ac:dyDescent="0.25">
      <c r="A1008" s="21"/>
      <c r="B1008" s="30"/>
      <c r="C1008" s="30"/>
      <c r="D1008" s="38"/>
      <c r="E1008" s="8"/>
      <c r="G1008" s="28">
        <f t="shared" si="63"/>
        <v>0</v>
      </c>
      <c r="H1008" s="9">
        <v>21</v>
      </c>
    </row>
    <row r="1009" spans="1:8" x14ac:dyDescent="0.25">
      <c r="A1009" s="21"/>
      <c r="B1009" s="30"/>
      <c r="C1009" s="30"/>
      <c r="D1009" s="38"/>
      <c r="E1009" s="8"/>
      <c r="G1009" s="28">
        <f t="shared" si="63"/>
        <v>0</v>
      </c>
      <c r="H1009" s="9">
        <v>21</v>
      </c>
    </row>
    <row r="1010" spans="1:8" x14ac:dyDescent="0.25">
      <c r="A1010" s="21"/>
      <c r="B1010" s="30"/>
      <c r="C1010" s="30"/>
      <c r="D1010" s="38"/>
      <c r="E1010" s="8"/>
      <c r="G1010" s="28">
        <f t="shared" si="63"/>
        <v>0</v>
      </c>
      <c r="H1010" s="9">
        <v>21</v>
      </c>
    </row>
    <row r="1011" spans="1:8" x14ac:dyDescent="0.25">
      <c r="A1011" s="21"/>
      <c r="B1011" s="30"/>
      <c r="C1011" s="30"/>
      <c r="D1011" s="38"/>
      <c r="E1011" s="8"/>
      <c r="G1011" s="28">
        <f t="shared" si="63"/>
        <v>0</v>
      </c>
      <c r="H1011" s="9">
        <v>21</v>
      </c>
    </row>
    <row r="1012" spans="1:8" x14ac:dyDescent="0.25">
      <c r="A1012" s="21"/>
      <c r="B1012" s="30"/>
      <c r="C1012" s="30"/>
      <c r="D1012" s="38"/>
      <c r="E1012" s="8"/>
      <c r="G1012" s="28">
        <f t="shared" si="63"/>
        <v>0</v>
      </c>
      <c r="H1012" s="9">
        <v>21</v>
      </c>
    </row>
    <row r="1013" spans="1:8" x14ac:dyDescent="0.25">
      <c r="A1013" s="21"/>
      <c r="B1013" s="30"/>
      <c r="C1013" s="30"/>
      <c r="D1013" s="38"/>
      <c r="E1013" s="8"/>
      <c r="G1013" s="28">
        <f t="shared" si="63"/>
        <v>0</v>
      </c>
      <c r="H1013" s="9">
        <v>21</v>
      </c>
    </row>
    <row r="1014" spans="1:8" x14ac:dyDescent="0.25">
      <c r="A1014" s="21"/>
      <c r="B1014" s="30"/>
      <c r="C1014" s="30"/>
      <c r="D1014" s="38"/>
      <c r="E1014" s="8"/>
      <c r="G1014" s="28">
        <f t="shared" si="63"/>
        <v>0</v>
      </c>
      <c r="H1014" s="9">
        <v>21</v>
      </c>
    </row>
    <row r="1015" spans="1:8" x14ac:dyDescent="0.25">
      <c r="A1015" s="21"/>
      <c r="B1015" s="30"/>
      <c r="C1015" s="30"/>
      <c r="D1015" s="38"/>
      <c r="E1015" s="8"/>
      <c r="G1015" s="28">
        <f t="shared" si="63"/>
        <v>0</v>
      </c>
      <c r="H1015" s="9">
        <v>21</v>
      </c>
    </row>
    <row r="1016" spans="1:8" x14ac:dyDescent="0.25">
      <c r="A1016" s="21"/>
      <c r="B1016" s="30"/>
      <c r="C1016" s="30"/>
      <c r="D1016" s="38"/>
      <c r="E1016" s="8"/>
      <c r="G1016" s="28">
        <f t="shared" si="63"/>
        <v>0</v>
      </c>
      <c r="H1016" s="9">
        <v>21</v>
      </c>
    </row>
    <row r="1017" spans="1:8" x14ac:dyDescent="0.25">
      <c r="A1017" s="21"/>
      <c r="B1017" s="30"/>
      <c r="C1017" s="30"/>
      <c r="D1017" s="38"/>
      <c r="E1017" s="8"/>
      <c r="G1017" s="28">
        <f t="shared" si="63"/>
        <v>0</v>
      </c>
      <c r="H1017" s="9">
        <v>21</v>
      </c>
    </row>
    <row r="1018" spans="1:8" x14ac:dyDescent="0.25">
      <c r="A1018" s="21"/>
      <c r="B1018" s="30"/>
      <c r="C1018" s="30"/>
      <c r="D1018" s="38"/>
      <c r="E1018" s="8"/>
      <c r="G1018" s="28">
        <f t="shared" si="63"/>
        <v>0</v>
      </c>
      <c r="H1018" s="9">
        <v>21</v>
      </c>
    </row>
    <row r="1019" spans="1:8" x14ac:dyDescent="0.25">
      <c r="A1019" s="21"/>
      <c r="B1019" s="30"/>
      <c r="C1019" s="30"/>
      <c r="D1019" s="38"/>
      <c r="E1019" s="8"/>
      <c r="G1019" s="28">
        <f t="shared" si="63"/>
        <v>0</v>
      </c>
      <c r="H1019" s="9">
        <v>21</v>
      </c>
    </row>
    <row r="1020" spans="1:8" x14ac:dyDescent="0.25">
      <c r="A1020" s="21"/>
      <c r="B1020" s="30"/>
      <c r="C1020" s="30"/>
      <c r="D1020" s="38"/>
      <c r="E1020" s="8"/>
      <c r="G1020" s="28">
        <f t="shared" si="63"/>
        <v>0</v>
      </c>
      <c r="H1020" s="9">
        <v>21</v>
      </c>
    </row>
    <row r="1021" spans="1:8" x14ac:dyDescent="0.25">
      <c r="A1021" s="21"/>
      <c r="B1021" s="30"/>
      <c r="C1021" s="30"/>
      <c r="D1021" s="38"/>
      <c r="E1021" s="8"/>
      <c r="G1021" s="28">
        <f t="shared" si="63"/>
        <v>0</v>
      </c>
      <c r="H1021" s="9">
        <v>21</v>
      </c>
    </row>
    <row r="1022" spans="1:8" x14ac:dyDescent="0.25">
      <c r="A1022" s="21"/>
      <c r="B1022" s="30"/>
      <c r="C1022" s="30"/>
      <c r="D1022" s="38"/>
      <c r="E1022" s="8"/>
      <c r="G1022" s="28">
        <f t="shared" si="63"/>
        <v>0</v>
      </c>
      <c r="H1022" s="9">
        <v>21</v>
      </c>
    </row>
    <row r="1023" spans="1:8" x14ac:dyDescent="0.25">
      <c r="A1023" s="21"/>
      <c r="B1023" s="30"/>
      <c r="C1023" s="30"/>
      <c r="D1023" s="38"/>
      <c r="E1023" s="8"/>
      <c r="G1023" s="28">
        <f t="shared" si="63"/>
        <v>0</v>
      </c>
      <c r="H1023" s="9">
        <v>21</v>
      </c>
    </row>
    <row r="1024" spans="1:8" x14ac:dyDescent="0.25">
      <c r="A1024" s="21"/>
      <c r="B1024" s="30"/>
      <c r="C1024" s="30"/>
      <c r="D1024" s="38"/>
      <c r="E1024" s="8"/>
      <c r="G1024" s="28">
        <f t="shared" si="63"/>
        <v>0</v>
      </c>
      <c r="H1024" s="9">
        <v>21</v>
      </c>
    </row>
    <row r="1025" spans="1:8" x14ac:dyDescent="0.25">
      <c r="A1025" s="21"/>
      <c r="B1025" s="30"/>
      <c r="C1025" s="30"/>
      <c r="D1025" s="38"/>
      <c r="E1025" s="8"/>
      <c r="G1025" s="28">
        <f t="shared" si="63"/>
        <v>0</v>
      </c>
      <c r="H1025" s="9">
        <v>21</v>
      </c>
    </row>
    <row r="1026" spans="1:8" x14ac:dyDescent="0.25">
      <c r="A1026" s="21"/>
      <c r="B1026" s="30"/>
      <c r="C1026" s="30"/>
      <c r="D1026" s="38"/>
      <c r="E1026" s="8"/>
      <c r="G1026" s="28">
        <f t="shared" si="63"/>
        <v>0</v>
      </c>
      <c r="H1026" s="9">
        <v>21</v>
      </c>
    </row>
    <row r="1027" spans="1:8" x14ac:dyDescent="0.25">
      <c r="A1027" s="21"/>
      <c r="B1027" s="30"/>
      <c r="C1027" s="30"/>
      <c r="D1027" s="38"/>
      <c r="E1027" s="8"/>
      <c r="G1027" s="28">
        <f t="shared" si="63"/>
        <v>0</v>
      </c>
      <c r="H1027" s="9">
        <v>21</v>
      </c>
    </row>
    <row r="1028" spans="1:8" x14ac:dyDescent="0.25">
      <c r="A1028" s="21"/>
      <c r="B1028" s="30"/>
      <c r="C1028" s="30"/>
      <c r="D1028" s="38"/>
      <c r="E1028" s="8"/>
      <c r="G1028" s="28">
        <f t="shared" si="63"/>
        <v>0</v>
      </c>
      <c r="H1028" s="9">
        <v>21</v>
      </c>
    </row>
    <row r="1029" spans="1:8" x14ac:dyDescent="0.25">
      <c r="A1029" s="21"/>
      <c r="B1029" s="30"/>
      <c r="C1029" s="30"/>
      <c r="D1029" s="38"/>
      <c r="E1029" s="8"/>
      <c r="G1029" s="28">
        <f t="shared" si="63"/>
        <v>0</v>
      </c>
      <c r="H1029" s="9">
        <v>21</v>
      </c>
    </row>
    <row r="1030" spans="1:8" x14ac:dyDescent="0.25">
      <c r="A1030" s="21"/>
      <c r="B1030" s="30"/>
      <c r="C1030" s="30"/>
      <c r="D1030" s="38"/>
      <c r="E1030" s="8"/>
      <c r="G1030" s="28">
        <f t="shared" si="63"/>
        <v>0</v>
      </c>
      <c r="H1030" s="9">
        <v>21</v>
      </c>
    </row>
    <row r="1031" spans="1:8" x14ac:dyDescent="0.25">
      <c r="A1031" s="21"/>
      <c r="B1031" s="30"/>
      <c r="C1031" s="30"/>
      <c r="D1031" s="38"/>
      <c r="E1031" s="8"/>
      <c r="G1031" s="28">
        <f t="shared" si="63"/>
        <v>0</v>
      </c>
      <c r="H1031" s="9">
        <v>21</v>
      </c>
    </row>
    <row r="1032" spans="1:8" x14ac:dyDescent="0.25">
      <c r="A1032" s="21"/>
      <c r="B1032" s="30"/>
      <c r="C1032" s="30"/>
      <c r="D1032" s="38"/>
      <c r="E1032" s="8"/>
      <c r="G1032" s="28">
        <f t="shared" si="63"/>
        <v>0</v>
      </c>
      <c r="H1032" s="9">
        <v>21</v>
      </c>
    </row>
    <row r="1033" spans="1:8" x14ac:dyDescent="0.25">
      <c r="A1033" s="21"/>
      <c r="B1033" s="30"/>
      <c r="C1033" s="30"/>
      <c r="D1033" s="38"/>
      <c r="E1033" s="8"/>
      <c r="G1033" s="28">
        <f t="shared" si="63"/>
        <v>0</v>
      </c>
      <c r="H1033" s="9">
        <v>21</v>
      </c>
    </row>
    <row r="1034" spans="1:8" x14ac:dyDescent="0.25">
      <c r="A1034" s="21"/>
      <c r="B1034" s="30"/>
      <c r="C1034" s="30"/>
      <c r="D1034" s="38"/>
      <c r="E1034" s="8"/>
      <c r="G1034" s="28">
        <f t="shared" si="63"/>
        <v>0</v>
      </c>
      <c r="H1034" s="9">
        <v>21</v>
      </c>
    </row>
    <row r="1035" spans="1:8" x14ac:dyDescent="0.25">
      <c r="A1035" s="21"/>
      <c r="B1035" s="30"/>
      <c r="C1035" s="30"/>
      <c r="D1035" s="38"/>
      <c r="E1035" s="8"/>
      <c r="G1035" s="28">
        <f t="shared" si="63"/>
        <v>0</v>
      </c>
      <c r="H1035" s="9">
        <v>21</v>
      </c>
    </row>
    <row r="1036" spans="1:8" x14ac:dyDescent="0.25">
      <c r="A1036" s="21"/>
      <c r="B1036" s="30"/>
      <c r="C1036" s="30"/>
      <c r="D1036" s="38"/>
      <c r="E1036" s="8"/>
      <c r="G1036" s="28">
        <f t="shared" si="63"/>
        <v>0</v>
      </c>
      <c r="H1036" s="9">
        <v>21</v>
      </c>
    </row>
    <row r="1037" spans="1:8" x14ac:dyDescent="0.25">
      <c r="A1037" s="21"/>
      <c r="B1037" s="30"/>
      <c r="C1037" s="30"/>
      <c r="D1037" s="38"/>
      <c r="E1037" s="8"/>
      <c r="G1037" s="28">
        <f t="shared" si="63"/>
        <v>0</v>
      </c>
      <c r="H1037" s="9">
        <v>21</v>
      </c>
    </row>
    <row r="1038" spans="1:8" x14ac:dyDescent="0.25">
      <c r="A1038" s="21"/>
      <c r="B1038" s="30"/>
      <c r="C1038" s="30"/>
      <c r="D1038" s="38"/>
      <c r="E1038" s="8"/>
      <c r="G1038" s="28">
        <f t="shared" si="63"/>
        <v>0</v>
      </c>
      <c r="H1038" s="9">
        <v>21</v>
      </c>
    </row>
    <row r="1039" spans="1:8" x14ac:dyDescent="0.25">
      <c r="A1039" s="21"/>
      <c r="B1039" s="30"/>
      <c r="C1039" s="30"/>
      <c r="D1039" s="38"/>
      <c r="E1039" s="8"/>
      <c r="G1039" s="28">
        <f t="shared" si="63"/>
        <v>0</v>
      </c>
      <c r="H1039" s="9">
        <v>21</v>
      </c>
    </row>
    <row r="1040" spans="1:8" x14ac:dyDescent="0.25">
      <c r="A1040" s="21"/>
      <c r="B1040" s="30"/>
      <c r="C1040" s="30"/>
      <c r="D1040" s="38"/>
      <c r="E1040" s="8"/>
      <c r="G1040" s="28">
        <f t="shared" si="63"/>
        <v>0</v>
      </c>
      <c r="H1040" s="9">
        <v>21</v>
      </c>
    </row>
    <row r="1041" spans="1:8" x14ac:dyDescent="0.25">
      <c r="A1041" s="21"/>
      <c r="B1041" s="30"/>
      <c r="C1041" s="30"/>
      <c r="D1041" s="38"/>
      <c r="E1041" s="8"/>
      <c r="G1041" s="28">
        <f t="shared" si="63"/>
        <v>0</v>
      </c>
      <c r="H1041" s="9">
        <v>21</v>
      </c>
    </row>
    <row r="1042" spans="1:8" x14ac:dyDescent="0.25">
      <c r="A1042" s="21"/>
      <c r="B1042" s="30"/>
      <c r="C1042" s="30"/>
      <c r="D1042" s="38"/>
      <c r="E1042" s="8"/>
      <c r="G1042" s="28">
        <f t="shared" ref="G1042:G1105" si="64">+D1042/1.21</f>
        <v>0</v>
      </c>
      <c r="H1042" s="9">
        <v>21</v>
      </c>
    </row>
    <row r="1043" spans="1:8" x14ac:dyDescent="0.25">
      <c r="A1043" s="21"/>
      <c r="B1043" s="30"/>
      <c r="C1043" s="30"/>
      <c r="D1043" s="38"/>
      <c r="E1043" s="8"/>
      <c r="G1043" s="28">
        <f t="shared" si="64"/>
        <v>0</v>
      </c>
      <c r="H1043" s="9">
        <v>21</v>
      </c>
    </row>
    <row r="1044" spans="1:8" x14ac:dyDescent="0.25">
      <c r="A1044" s="21"/>
      <c r="B1044" s="30"/>
      <c r="C1044" s="30"/>
      <c r="D1044" s="38"/>
      <c r="E1044" s="8"/>
      <c r="G1044" s="28">
        <f t="shared" si="64"/>
        <v>0</v>
      </c>
      <c r="H1044" s="9">
        <v>21</v>
      </c>
    </row>
    <row r="1045" spans="1:8" x14ac:dyDescent="0.25">
      <c r="A1045" s="21"/>
      <c r="B1045" s="30"/>
      <c r="C1045" s="30"/>
      <c r="D1045" s="38"/>
      <c r="E1045" s="8"/>
      <c r="G1045" s="28">
        <f t="shared" si="64"/>
        <v>0</v>
      </c>
      <c r="H1045" s="9">
        <v>21</v>
      </c>
    </row>
    <row r="1046" spans="1:8" x14ac:dyDescent="0.25">
      <c r="A1046" s="21"/>
      <c r="B1046" s="30"/>
      <c r="C1046" s="30"/>
      <c r="D1046" s="38"/>
      <c r="E1046" s="8"/>
      <c r="G1046" s="28">
        <f t="shared" si="64"/>
        <v>0</v>
      </c>
      <c r="H1046" s="9">
        <v>21</v>
      </c>
    </row>
    <row r="1047" spans="1:8" x14ac:dyDescent="0.25">
      <c r="A1047" s="21"/>
      <c r="B1047" s="30"/>
      <c r="C1047" s="30"/>
      <c r="D1047" s="38"/>
      <c r="E1047" s="8"/>
      <c r="G1047" s="28">
        <f t="shared" si="64"/>
        <v>0</v>
      </c>
      <c r="H1047" s="9">
        <v>21</v>
      </c>
    </row>
    <row r="1048" spans="1:8" x14ac:dyDescent="0.25">
      <c r="A1048" s="21"/>
      <c r="B1048" s="30"/>
      <c r="C1048" s="30"/>
      <c r="D1048" s="38"/>
      <c r="E1048" s="8"/>
      <c r="G1048" s="28">
        <f t="shared" si="64"/>
        <v>0</v>
      </c>
      <c r="H1048" s="9">
        <v>21</v>
      </c>
    </row>
    <row r="1049" spans="1:8" x14ac:dyDescent="0.25">
      <c r="A1049" s="21"/>
      <c r="B1049" s="30"/>
      <c r="C1049" s="30"/>
      <c r="D1049" s="38"/>
      <c r="E1049" s="8"/>
      <c r="G1049" s="28">
        <f t="shared" si="64"/>
        <v>0</v>
      </c>
      <c r="H1049" s="9">
        <v>21</v>
      </c>
    </row>
    <row r="1050" spans="1:8" x14ac:dyDescent="0.25">
      <c r="A1050" s="21"/>
      <c r="B1050" s="30"/>
      <c r="C1050" s="30"/>
      <c r="D1050" s="38"/>
      <c r="E1050" s="8"/>
      <c r="G1050" s="28">
        <f t="shared" si="64"/>
        <v>0</v>
      </c>
      <c r="H1050" s="9">
        <v>21</v>
      </c>
    </row>
    <row r="1051" spans="1:8" x14ac:dyDescent="0.25">
      <c r="A1051" s="21"/>
      <c r="B1051" s="30"/>
      <c r="C1051" s="30"/>
      <c r="D1051" s="38"/>
      <c r="E1051" s="8"/>
      <c r="G1051" s="28">
        <f t="shared" si="64"/>
        <v>0</v>
      </c>
      <c r="H1051" s="9">
        <v>21</v>
      </c>
    </row>
    <row r="1052" spans="1:8" x14ac:dyDescent="0.25">
      <c r="A1052" s="21"/>
      <c r="B1052" s="30"/>
      <c r="C1052" s="30"/>
      <c r="D1052" s="38"/>
      <c r="E1052" s="8"/>
      <c r="G1052" s="28">
        <f t="shared" si="64"/>
        <v>0</v>
      </c>
      <c r="H1052" s="9">
        <v>21</v>
      </c>
    </row>
    <row r="1053" spans="1:8" x14ac:dyDescent="0.25">
      <c r="A1053" s="21"/>
      <c r="B1053" s="30"/>
      <c r="C1053" s="30"/>
      <c r="D1053" s="38"/>
      <c r="E1053" s="8"/>
      <c r="G1053" s="28">
        <f t="shared" si="64"/>
        <v>0</v>
      </c>
      <c r="H1053" s="9">
        <v>21</v>
      </c>
    </row>
    <row r="1054" spans="1:8" x14ac:dyDescent="0.25">
      <c r="A1054" s="21"/>
      <c r="B1054" s="30"/>
      <c r="C1054" s="30"/>
      <c r="D1054" s="38"/>
      <c r="E1054" s="8"/>
      <c r="G1054" s="28">
        <f t="shared" si="64"/>
        <v>0</v>
      </c>
      <c r="H1054" s="9">
        <v>21</v>
      </c>
    </row>
    <row r="1055" spans="1:8" x14ac:dyDescent="0.25">
      <c r="A1055" s="21"/>
      <c r="B1055" s="30"/>
      <c r="C1055" s="30"/>
      <c r="D1055" s="38"/>
      <c r="E1055" s="8"/>
      <c r="G1055" s="28">
        <f t="shared" si="64"/>
        <v>0</v>
      </c>
      <c r="H1055" s="9">
        <v>21</v>
      </c>
    </row>
    <row r="1056" spans="1:8" x14ac:dyDescent="0.25">
      <c r="A1056" s="21"/>
      <c r="B1056" s="30"/>
      <c r="C1056" s="30"/>
      <c r="D1056" s="38"/>
      <c r="E1056" s="8"/>
      <c r="G1056" s="28">
        <f t="shared" si="64"/>
        <v>0</v>
      </c>
      <c r="H1056" s="9">
        <v>21</v>
      </c>
    </row>
    <row r="1057" spans="1:8" x14ac:dyDescent="0.25">
      <c r="A1057" s="21"/>
      <c r="B1057" s="30"/>
      <c r="C1057" s="30"/>
      <c r="D1057" s="38"/>
      <c r="E1057" s="8"/>
      <c r="G1057" s="28">
        <f t="shared" si="64"/>
        <v>0</v>
      </c>
      <c r="H1057" s="9">
        <v>21</v>
      </c>
    </row>
    <row r="1058" spans="1:8" x14ac:dyDescent="0.25">
      <c r="A1058" s="21"/>
      <c r="B1058" s="30"/>
      <c r="C1058" s="30"/>
      <c r="D1058" s="38"/>
      <c r="E1058" s="8"/>
      <c r="G1058" s="28">
        <f t="shared" si="64"/>
        <v>0</v>
      </c>
      <c r="H1058" s="9">
        <v>21</v>
      </c>
    </row>
    <row r="1059" spans="1:8" x14ac:dyDescent="0.25">
      <c r="A1059" s="21"/>
      <c r="B1059" s="30"/>
      <c r="C1059" s="30"/>
      <c r="D1059" s="38"/>
      <c r="E1059" s="8"/>
      <c r="G1059" s="28">
        <f t="shared" si="64"/>
        <v>0</v>
      </c>
      <c r="H1059" s="9">
        <v>21</v>
      </c>
    </row>
    <row r="1060" spans="1:8" x14ac:dyDescent="0.25">
      <c r="A1060" s="21"/>
      <c r="B1060" s="30"/>
      <c r="C1060" s="30"/>
      <c r="D1060" s="38"/>
      <c r="E1060" s="8"/>
      <c r="G1060" s="28">
        <f t="shared" si="64"/>
        <v>0</v>
      </c>
      <c r="H1060" s="9">
        <v>21</v>
      </c>
    </row>
    <row r="1061" spans="1:8" x14ac:dyDescent="0.25">
      <c r="A1061" s="21"/>
      <c r="B1061" s="30"/>
      <c r="C1061" s="30"/>
      <c r="D1061" s="38"/>
      <c r="E1061" s="8"/>
      <c r="G1061" s="28">
        <f t="shared" si="64"/>
        <v>0</v>
      </c>
      <c r="H1061" s="9">
        <v>21</v>
      </c>
    </row>
    <row r="1062" spans="1:8" x14ac:dyDescent="0.25">
      <c r="A1062" s="21"/>
      <c r="B1062" s="30"/>
      <c r="C1062" s="30"/>
      <c r="D1062" s="38"/>
      <c r="E1062" s="8"/>
      <c r="G1062" s="28">
        <f t="shared" si="64"/>
        <v>0</v>
      </c>
      <c r="H1062" s="9">
        <v>21</v>
      </c>
    </row>
    <row r="1063" spans="1:8" x14ac:dyDescent="0.25">
      <c r="A1063" s="21"/>
      <c r="B1063" s="30"/>
      <c r="C1063" s="30"/>
      <c r="D1063" s="38"/>
      <c r="E1063" s="8"/>
      <c r="G1063" s="28">
        <f t="shared" si="64"/>
        <v>0</v>
      </c>
      <c r="H1063" s="9">
        <v>21</v>
      </c>
    </row>
    <row r="1064" spans="1:8" x14ac:dyDescent="0.25">
      <c r="A1064" s="21"/>
      <c r="B1064" s="30"/>
      <c r="C1064" s="30"/>
      <c r="D1064" s="38"/>
      <c r="E1064" s="8"/>
      <c r="G1064" s="28">
        <f t="shared" si="64"/>
        <v>0</v>
      </c>
      <c r="H1064" s="9">
        <v>21</v>
      </c>
    </row>
    <row r="1065" spans="1:8" x14ac:dyDescent="0.25">
      <c r="A1065" s="21"/>
      <c r="B1065" s="30"/>
      <c r="C1065" s="30"/>
      <c r="D1065" s="38"/>
      <c r="E1065" s="8"/>
      <c r="G1065" s="28">
        <f t="shared" si="64"/>
        <v>0</v>
      </c>
      <c r="H1065" s="9">
        <v>21</v>
      </c>
    </row>
    <row r="1066" spans="1:8" x14ac:dyDescent="0.25">
      <c r="A1066" s="21"/>
      <c r="B1066" s="30"/>
      <c r="C1066" s="30"/>
      <c r="D1066" s="38"/>
      <c r="E1066" s="8"/>
      <c r="G1066" s="28">
        <f t="shared" si="64"/>
        <v>0</v>
      </c>
      <c r="H1066" s="9">
        <v>21</v>
      </c>
    </row>
    <row r="1067" spans="1:8" x14ac:dyDescent="0.25">
      <c r="A1067" s="21"/>
      <c r="B1067" s="30"/>
      <c r="C1067" s="30"/>
      <c r="D1067" s="38"/>
      <c r="E1067" s="8"/>
      <c r="G1067" s="28">
        <f t="shared" si="64"/>
        <v>0</v>
      </c>
      <c r="H1067" s="9">
        <v>21</v>
      </c>
    </row>
    <row r="1068" spans="1:8" x14ac:dyDescent="0.25">
      <c r="A1068" s="21"/>
      <c r="B1068" s="30"/>
      <c r="C1068" s="30"/>
      <c r="D1068" s="38"/>
      <c r="E1068" s="8"/>
      <c r="G1068" s="28">
        <f t="shared" si="64"/>
        <v>0</v>
      </c>
      <c r="H1068" s="9">
        <v>21</v>
      </c>
    </row>
    <row r="1069" spans="1:8" x14ac:dyDescent="0.25">
      <c r="A1069" s="21"/>
      <c r="B1069" s="30"/>
      <c r="C1069" s="30"/>
      <c r="D1069" s="38"/>
      <c r="E1069" s="8"/>
      <c r="G1069" s="28">
        <f t="shared" si="64"/>
        <v>0</v>
      </c>
      <c r="H1069" s="9">
        <v>21</v>
      </c>
    </row>
    <row r="1070" spans="1:8" x14ac:dyDescent="0.25">
      <c r="A1070" s="21"/>
      <c r="B1070" s="30"/>
      <c r="C1070" s="30"/>
      <c r="D1070" s="38"/>
      <c r="E1070" s="8"/>
      <c r="G1070" s="28">
        <f t="shared" si="64"/>
        <v>0</v>
      </c>
      <c r="H1070" s="9">
        <v>21</v>
      </c>
    </row>
    <row r="1071" spans="1:8" x14ac:dyDescent="0.25">
      <c r="A1071" s="21"/>
      <c r="B1071" s="30"/>
      <c r="C1071" s="30"/>
      <c r="D1071" s="38"/>
      <c r="E1071" s="8"/>
      <c r="G1071" s="28">
        <f t="shared" si="64"/>
        <v>0</v>
      </c>
      <c r="H1071" s="9">
        <v>21</v>
      </c>
    </row>
    <row r="1072" spans="1:8" x14ac:dyDescent="0.25">
      <c r="A1072" s="21"/>
      <c r="B1072" s="30"/>
      <c r="C1072" s="30"/>
      <c r="D1072" s="38"/>
      <c r="E1072" s="8"/>
      <c r="G1072" s="28">
        <f t="shared" si="64"/>
        <v>0</v>
      </c>
      <c r="H1072" s="9">
        <v>21</v>
      </c>
    </row>
    <row r="1073" spans="1:8" x14ac:dyDescent="0.25">
      <c r="A1073" s="21"/>
      <c r="B1073" s="30"/>
      <c r="C1073" s="30"/>
      <c r="D1073" s="38"/>
      <c r="E1073" s="8"/>
      <c r="G1073" s="28">
        <f t="shared" si="64"/>
        <v>0</v>
      </c>
      <c r="H1073" s="9">
        <v>21</v>
      </c>
    </row>
    <row r="1074" spans="1:8" x14ac:dyDescent="0.25">
      <c r="A1074" s="21"/>
      <c r="B1074" s="30"/>
      <c r="C1074" s="30"/>
      <c r="D1074" s="38"/>
      <c r="E1074" s="8"/>
      <c r="G1074" s="28">
        <f t="shared" si="64"/>
        <v>0</v>
      </c>
      <c r="H1074" s="9">
        <v>21</v>
      </c>
    </row>
    <row r="1075" spans="1:8" x14ac:dyDescent="0.25">
      <c r="A1075" s="21"/>
      <c r="B1075" s="30"/>
      <c r="C1075" s="30"/>
      <c r="D1075" s="38"/>
      <c r="E1075" s="8"/>
      <c r="G1075" s="28">
        <f t="shared" si="64"/>
        <v>0</v>
      </c>
      <c r="H1075" s="9">
        <v>21</v>
      </c>
    </row>
    <row r="1076" spans="1:8" x14ac:dyDescent="0.25">
      <c r="A1076" s="21"/>
      <c r="B1076" s="30"/>
      <c r="C1076" s="30"/>
      <c r="D1076" s="38"/>
      <c r="E1076" s="8"/>
      <c r="G1076" s="28">
        <f t="shared" si="64"/>
        <v>0</v>
      </c>
      <c r="H1076" s="9">
        <v>21</v>
      </c>
    </row>
    <row r="1077" spans="1:8" x14ac:dyDescent="0.25">
      <c r="A1077" s="21"/>
      <c r="B1077" s="30"/>
      <c r="C1077" s="30"/>
      <c r="D1077" s="38"/>
      <c r="E1077" s="8"/>
      <c r="G1077" s="28">
        <f t="shared" si="64"/>
        <v>0</v>
      </c>
      <c r="H1077" s="9">
        <v>21</v>
      </c>
    </row>
    <row r="1078" spans="1:8" x14ac:dyDescent="0.25">
      <c r="A1078" s="21"/>
      <c r="B1078" s="30"/>
      <c r="C1078" s="30"/>
      <c r="D1078" s="38"/>
      <c r="E1078" s="8"/>
      <c r="G1078" s="28">
        <f t="shared" si="64"/>
        <v>0</v>
      </c>
      <c r="H1078" s="9">
        <v>21</v>
      </c>
    </row>
    <row r="1079" spans="1:8" x14ac:dyDescent="0.25">
      <c r="A1079" s="21"/>
      <c r="B1079" s="30"/>
      <c r="C1079" s="30"/>
      <c r="D1079" s="38"/>
      <c r="E1079" s="8"/>
      <c r="G1079" s="28">
        <f t="shared" si="64"/>
        <v>0</v>
      </c>
      <c r="H1079" s="9">
        <v>21</v>
      </c>
    </row>
    <row r="1080" spans="1:8" x14ac:dyDescent="0.25">
      <c r="A1080" s="21"/>
      <c r="B1080" s="30"/>
      <c r="C1080" s="30"/>
      <c r="D1080" s="38"/>
      <c r="E1080" s="8"/>
      <c r="G1080" s="28">
        <f t="shared" si="64"/>
        <v>0</v>
      </c>
      <c r="H1080" s="9">
        <v>21</v>
      </c>
    </row>
    <row r="1081" spans="1:8" x14ac:dyDescent="0.25">
      <c r="A1081" s="21"/>
      <c r="B1081" s="30"/>
      <c r="C1081" s="30"/>
      <c r="D1081" s="38"/>
      <c r="E1081" s="8"/>
      <c r="G1081" s="28">
        <f t="shared" si="64"/>
        <v>0</v>
      </c>
      <c r="H1081" s="9">
        <v>21</v>
      </c>
    </row>
    <row r="1082" spans="1:8" x14ac:dyDescent="0.25">
      <c r="A1082" s="21"/>
      <c r="B1082" s="30"/>
      <c r="C1082" s="30"/>
      <c r="D1082" s="38"/>
      <c r="E1082" s="8"/>
      <c r="G1082" s="28">
        <f t="shared" si="64"/>
        <v>0</v>
      </c>
      <c r="H1082" s="9">
        <v>21</v>
      </c>
    </row>
    <row r="1083" spans="1:8" x14ac:dyDescent="0.25">
      <c r="A1083" s="21"/>
      <c r="B1083" s="30"/>
      <c r="C1083" s="30"/>
      <c r="D1083" s="38"/>
      <c r="E1083" s="8"/>
      <c r="G1083" s="28">
        <f t="shared" si="64"/>
        <v>0</v>
      </c>
      <c r="H1083" s="9">
        <v>21</v>
      </c>
    </row>
    <row r="1084" spans="1:8" x14ac:dyDescent="0.25">
      <c r="A1084" s="21"/>
      <c r="B1084" s="30"/>
      <c r="C1084" s="30"/>
      <c r="D1084" s="38"/>
      <c r="E1084" s="8"/>
      <c r="G1084" s="28">
        <f t="shared" si="64"/>
        <v>0</v>
      </c>
      <c r="H1084" s="9">
        <v>21</v>
      </c>
    </row>
    <row r="1085" spans="1:8" x14ac:dyDescent="0.25">
      <c r="A1085" s="21"/>
      <c r="B1085" s="30"/>
      <c r="C1085" s="30"/>
      <c r="D1085" s="38"/>
      <c r="E1085" s="8"/>
      <c r="G1085" s="28">
        <f t="shared" si="64"/>
        <v>0</v>
      </c>
      <c r="H1085" s="9">
        <v>21</v>
      </c>
    </row>
    <row r="1086" spans="1:8" x14ac:dyDescent="0.25">
      <c r="A1086" s="21"/>
      <c r="B1086" s="30"/>
      <c r="C1086" s="30"/>
      <c r="D1086" s="38"/>
      <c r="E1086" s="8"/>
      <c r="G1086" s="28">
        <f t="shared" si="64"/>
        <v>0</v>
      </c>
      <c r="H1086" s="9">
        <v>21</v>
      </c>
    </row>
    <row r="1087" spans="1:8" x14ac:dyDescent="0.25">
      <c r="A1087" s="21"/>
      <c r="B1087" s="30"/>
      <c r="C1087" s="30"/>
      <c r="D1087" s="38"/>
      <c r="E1087" s="8"/>
      <c r="G1087" s="28">
        <f t="shared" si="64"/>
        <v>0</v>
      </c>
      <c r="H1087" s="9">
        <v>21</v>
      </c>
    </row>
    <row r="1088" spans="1:8" x14ac:dyDescent="0.25">
      <c r="A1088" s="21"/>
      <c r="B1088" s="30"/>
      <c r="C1088" s="30"/>
      <c r="D1088" s="38"/>
      <c r="E1088" s="8"/>
      <c r="G1088" s="28">
        <f t="shared" si="64"/>
        <v>0</v>
      </c>
      <c r="H1088" s="9">
        <v>21</v>
      </c>
    </row>
    <row r="1089" spans="1:8" x14ac:dyDescent="0.25">
      <c r="A1089" s="21"/>
      <c r="B1089" s="30"/>
      <c r="C1089" s="30"/>
      <c r="D1089" s="38"/>
      <c r="E1089" s="8"/>
      <c r="G1089" s="28">
        <f t="shared" si="64"/>
        <v>0</v>
      </c>
      <c r="H1089" s="9">
        <v>21</v>
      </c>
    </row>
    <row r="1090" spans="1:8" x14ac:dyDescent="0.25">
      <c r="A1090" s="21"/>
      <c r="B1090" s="30"/>
      <c r="C1090" s="30"/>
      <c r="D1090" s="38"/>
      <c r="E1090" s="8"/>
      <c r="G1090" s="28">
        <f t="shared" si="64"/>
        <v>0</v>
      </c>
      <c r="H1090" s="9">
        <v>21</v>
      </c>
    </row>
    <row r="1091" spans="1:8" x14ac:dyDescent="0.25">
      <c r="A1091" s="21"/>
      <c r="B1091" s="30"/>
      <c r="C1091" s="30"/>
      <c r="D1091" s="38"/>
      <c r="E1091" s="8"/>
      <c r="G1091" s="28">
        <f t="shared" si="64"/>
        <v>0</v>
      </c>
      <c r="H1091" s="9">
        <v>21</v>
      </c>
    </row>
    <row r="1092" spans="1:8" x14ac:dyDescent="0.25">
      <c r="A1092" s="21"/>
      <c r="B1092" s="30"/>
      <c r="C1092" s="30"/>
      <c r="D1092" s="38"/>
      <c r="E1092" s="8"/>
      <c r="G1092" s="28">
        <f t="shared" si="64"/>
        <v>0</v>
      </c>
      <c r="H1092" s="9">
        <v>21</v>
      </c>
    </row>
    <row r="1093" spans="1:8" x14ac:dyDescent="0.25">
      <c r="A1093" s="21"/>
      <c r="B1093" s="30"/>
      <c r="C1093" s="30"/>
      <c r="D1093" s="38"/>
      <c r="E1093" s="8"/>
      <c r="G1093" s="28">
        <f t="shared" si="64"/>
        <v>0</v>
      </c>
      <c r="H1093" s="9">
        <v>21</v>
      </c>
    </row>
    <row r="1094" spans="1:8" x14ac:dyDescent="0.25">
      <c r="A1094" s="21"/>
      <c r="B1094" s="30"/>
      <c r="C1094" s="30"/>
      <c r="D1094" s="38"/>
      <c r="E1094" s="8"/>
      <c r="G1094" s="28">
        <f t="shared" si="64"/>
        <v>0</v>
      </c>
      <c r="H1094" s="9">
        <v>21</v>
      </c>
    </row>
    <row r="1095" spans="1:8" x14ac:dyDescent="0.25">
      <c r="A1095" s="21"/>
      <c r="B1095" s="30"/>
      <c r="C1095" s="30"/>
      <c r="D1095" s="38"/>
      <c r="E1095" s="8"/>
      <c r="G1095" s="28">
        <f t="shared" si="64"/>
        <v>0</v>
      </c>
      <c r="H1095" s="9">
        <v>21</v>
      </c>
    </row>
    <row r="1096" spans="1:8" x14ac:dyDescent="0.25">
      <c r="A1096" s="21"/>
      <c r="B1096" s="30"/>
      <c r="C1096" s="30"/>
      <c r="D1096" s="38"/>
      <c r="E1096" s="8"/>
      <c r="G1096" s="28">
        <f t="shared" si="64"/>
        <v>0</v>
      </c>
      <c r="H1096" s="9">
        <v>21</v>
      </c>
    </row>
    <row r="1097" spans="1:8" x14ac:dyDescent="0.25">
      <c r="A1097" s="21"/>
      <c r="B1097" s="30"/>
      <c r="C1097" s="30"/>
      <c r="D1097" s="38"/>
      <c r="E1097" s="8"/>
      <c r="G1097" s="28">
        <f t="shared" si="64"/>
        <v>0</v>
      </c>
      <c r="H1097" s="9">
        <v>21</v>
      </c>
    </row>
    <row r="1098" spans="1:8" x14ac:dyDescent="0.25">
      <c r="A1098" s="21"/>
      <c r="B1098" s="30"/>
      <c r="C1098" s="30"/>
      <c r="D1098" s="38"/>
      <c r="E1098" s="8"/>
      <c r="G1098" s="28">
        <f t="shared" si="64"/>
        <v>0</v>
      </c>
      <c r="H1098" s="9">
        <v>21</v>
      </c>
    </row>
    <row r="1099" spans="1:8" x14ac:dyDescent="0.25">
      <c r="A1099" s="21"/>
      <c r="B1099" s="30"/>
      <c r="C1099" s="30"/>
      <c r="D1099" s="38"/>
      <c r="E1099" s="8"/>
      <c r="G1099" s="28">
        <f t="shared" si="64"/>
        <v>0</v>
      </c>
      <c r="H1099" s="9">
        <v>21</v>
      </c>
    </row>
    <row r="1100" spans="1:8" x14ac:dyDescent="0.25">
      <c r="A1100" s="21"/>
      <c r="B1100" s="30"/>
      <c r="C1100" s="30"/>
      <c r="D1100" s="38"/>
      <c r="E1100" s="8"/>
      <c r="G1100" s="28">
        <f t="shared" si="64"/>
        <v>0</v>
      </c>
      <c r="H1100" s="9">
        <v>21</v>
      </c>
    </row>
    <row r="1101" spans="1:8" x14ac:dyDescent="0.25">
      <c r="A1101" s="21"/>
      <c r="B1101" s="30"/>
      <c r="C1101" s="30"/>
      <c r="D1101" s="38"/>
      <c r="E1101" s="8"/>
      <c r="G1101" s="28">
        <f t="shared" si="64"/>
        <v>0</v>
      </c>
      <c r="H1101" s="9">
        <v>21</v>
      </c>
    </row>
    <row r="1102" spans="1:8" x14ac:dyDescent="0.25">
      <c r="A1102" s="21"/>
      <c r="B1102" s="30"/>
      <c r="C1102" s="30"/>
      <c r="D1102" s="38"/>
      <c r="E1102" s="8"/>
      <c r="G1102" s="28">
        <f t="shared" si="64"/>
        <v>0</v>
      </c>
      <c r="H1102" s="9">
        <v>21</v>
      </c>
    </row>
    <row r="1103" spans="1:8" x14ac:dyDescent="0.25">
      <c r="A1103" s="21"/>
      <c r="B1103" s="30"/>
      <c r="C1103" s="30"/>
      <c r="D1103" s="38"/>
      <c r="E1103" s="8"/>
      <c r="G1103" s="28">
        <f t="shared" si="64"/>
        <v>0</v>
      </c>
      <c r="H1103" s="9">
        <v>21</v>
      </c>
    </row>
    <row r="1104" spans="1:8" x14ac:dyDescent="0.25">
      <c r="A1104" s="21"/>
      <c r="B1104" s="30"/>
      <c r="C1104" s="30"/>
      <c r="D1104" s="38"/>
      <c r="E1104" s="8"/>
      <c r="G1104" s="28">
        <f t="shared" si="64"/>
        <v>0</v>
      </c>
      <c r="H1104" s="9">
        <v>21</v>
      </c>
    </row>
    <row r="1105" spans="1:8" x14ac:dyDescent="0.25">
      <c r="A1105" s="21"/>
      <c r="B1105" s="30"/>
      <c r="C1105" s="30"/>
      <c r="D1105" s="38"/>
      <c r="E1105" s="8"/>
      <c r="G1105" s="28">
        <f t="shared" si="64"/>
        <v>0</v>
      </c>
      <c r="H1105" s="9">
        <v>21</v>
      </c>
    </row>
    <row r="1106" spans="1:8" x14ac:dyDescent="0.25">
      <c r="A1106" s="21"/>
      <c r="B1106" s="30"/>
      <c r="C1106" s="30"/>
      <c r="D1106" s="38"/>
      <c r="E1106" s="8"/>
      <c r="G1106" s="28">
        <f t="shared" ref="G1106:G1169" si="65">+D1106/1.21</f>
        <v>0</v>
      </c>
      <c r="H1106" s="9">
        <v>21</v>
      </c>
    </row>
    <row r="1107" spans="1:8" x14ac:dyDescent="0.25">
      <c r="A1107" s="21"/>
      <c r="B1107" s="30"/>
      <c r="C1107" s="30"/>
      <c r="D1107" s="38"/>
      <c r="E1107" s="8"/>
      <c r="G1107" s="28">
        <f t="shared" si="65"/>
        <v>0</v>
      </c>
      <c r="H1107" s="9">
        <v>21</v>
      </c>
    </row>
    <row r="1108" spans="1:8" x14ac:dyDescent="0.25">
      <c r="A1108" s="21"/>
      <c r="B1108" s="30"/>
      <c r="C1108" s="30"/>
      <c r="D1108" s="38"/>
      <c r="E1108" s="8"/>
      <c r="G1108" s="28">
        <f t="shared" si="65"/>
        <v>0</v>
      </c>
      <c r="H1108" s="9">
        <v>21</v>
      </c>
    </row>
    <row r="1109" spans="1:8" x14ac:dyDescent="0.25">
      <c r="A1109" s="21"/>
      <c r="B1109" s="30"/>
      <c r="C1109" s="30"/>
      <c r="D1109" s="38"/>
      <c r="E1109" s="8"/>
      <c r="G1109" s="28">
        <f t="shared" si="65"/>
        <v>0</v>
      </c>
      <c r="H1109" s="9">
        <v>21</v>
      </c>
    </row>
    <row r="1110" spans="1:8" x14ac:dyDescent="0.25">
      <c r="A1110" s="21"/>
      <c r="B1110" s="30"/>
      <c r="C1110" s="30"/>
      <c r="D1110" s="38"/>
      <c r="E1110" s="8"/>
      <c r="G1110" s="28">
        <f t="shared" si="65"/>
        <v>0</v>
      </c>
      <c r="H1110" s="9">
        <v>21</v>
      </c>
    </row>
    <row r="1111" spans="1:8" x14ac:dyDescent="0.25">
      <c r="A1111" s="21"/>
      <c r="B1111" s="30"/>
      <c r="C1111" s="30"/>
      <c r="D1111" s="38"/>
      <c r="E1111" s="8"/>
      <c r="G1111" s="28">
        <f t="shared" si="65"/>
        <v>0</v>
      </c>
      <c r="H1111" s="9">
        <v>21</v>
      </c>
    </row>
    <row r="1112" spans="1:8" x14ac:dyDescent="0.25">
      <c r="A1112" s="21"/>
      <c r="B1112" s="30"/>
      <c r="C1112" s="30"/>
      <c r="D1112" s="38"/>
      <c r="E1112" s="8"/>
      <c r="G1112" s="28">
        <f t="shared" si="65"/>
        <v>0</v>
      </c>
      <c r="H1112" s="9">
        <v>21</v>
      </c>
    </row>
    <row r="1113" spans="1:8" x14ac:dyDescent="0.25">
      <c r="A1113" s="21"/>
      <c r="B1113" s="30"/>
      <c r="C1113" s="30"/>
      <c r="D1113" s="38"/>
      <c r="E1113" s="8"/>
      <c r="G1113" s="28">
        <f t="shared" si="65"/>
        <v>0</v>
      </c>
      <c r="H1113" s="9">
        <v>21</v>
      </c>
    </row>
    <row r="1114" spans="1:8" x14ac:dyDescent="0.25">
      <c r="A1114" s="21"/>
      <c r="B1114" s="30"/>
      <c r="C1114" s="30"/>
      <c r="D1114" s="38"/>
      <c r="E1114" s="8"/>
      <c r="G1114" s="28">
        <f t="shared" si="65"/>
        <v>0</v>
      </c>
      <c r="H1114" s="9">
        <v>21</v>
      </c>
    </row>
    <row r="1115" spans="1:8" x14ac:dyDescent="0.25">
      <c r="A1115" s="21"/>
      <c r="B1115" s="30"/>
      <c r="C1115" s="30"/>
      <c r="D1115" s="38"/>
      <c r="E1115" s="8"/>
      <c r="G1115" s="28">
        <f t="shared" si="65"/>
        <v>0</v>
      </c>
      <c r="H1115" s="9">
        <v>21</v>
      </c>
    </row>
    <row r="1116" spans="1:8" x14ac:dyDescent="0.25">
      <c r="A1116" s="21"/>
      <c r="B1116" s="30"/>
      <c r="C1116" s="30"/>
      <c r="D1116" s="38"/>
      <c r="E1116" s="8"/>
      <c r="G1116" s="28">
        <f t="shared" si="65"/>
        <v>0</v>
      </c>
      <c r="H1116" s="9">
        <v>21</v>
      </c>
    </row>
    <row r="1117" spans="1:8" x14ac:dyDescent="0.25">
      <c r="A1117" s="21"/>
      <c r="B1117" s="30"/>
      <c r="C1117" s="30"/>
      <c r="D1117" s="38"/>
      <c r="E1117" s="8"/>
      <c r="G1117" s="28">
        <f t="shared" si="65"/>
        <v>0</v>
      </c>
      <c r="H1117" s="9">
        <v>21</v>
      </c>
    </row>
    <row r="1118" spans="1:8" x14ac:dyDescent="0.25">
      <c r="A1118" s="21"/>
      <c r="B1118" s="30"/>
      <c r="C1118" s="30"/>
      <c r="D1118" s="38"/>
      <c r="E1118" s="8"/>
      <c r="G1118" s="28">
        <f t="shared" si="65"/>
        <v>0</v>
      </c>
      <c r="H1118" s="9">
        <v>21</v>
      </c>
    </row>
    <row r="1119" spans="1:8" x14ac:dyDescent="0.25">
      <c r="A1119" s="21"/>
      <c r="B1119" s="30"/>
      <c r="C1119" s="30"/>
      <c r="D1119" s="38"/>
      <c r="E1119" s="8"/>
      <c r="G1119" s="28">
        <f t="shared" si="65"/>
        <v>0</v>
      </c>
      <c r="H1119" s="9">
        <v>21</v>
      </c>
    </row>
    <row r="1120" spans="1:8" x14ac:dyDescent="0.25">
      <c r="A1120" s="21"/>
      <c r="B1120" s="30"/>
      <c r="C1120" s="30"/>
      <c r="D1120" s="38"/>
      <c r="E1120" s="8"/>
      <c r="G1120" s="28">
        <f t="shared" si="65"/>
        <v>0</v>
      </c>
      <c r="H1120" s="9">
        <v>21</v>
      </c>
    </row>
    <row r="1121" spans="1:8" x14ac:dyDescent="0.25">
      <c r="A1121" s="21"/>
      <c r="B1121" s="30"/>
      <c r="C1121" s="30"/>
      <c r="D1121" s="38"/>
      <c r="E1121" s="8"/>
      <c r="G1121" s="28">
        <f t="shared" si="65"/>
        <v>0</v>
      </c>
      <c r="H1121" s="9">
        <v>21</v>
      </c>
    </row>
    <row r="1122" spans="1:8" x14ac:dyDescent="0.25">
      <c r="A1122" s="21"/>
      <c r="B1122" s="30"/>
      <c r="C1122" s="30"/>
      <c r="D1122" s="38"/>
      <c r="E1122" s="8"/>
      <c r="G1122" s="28">
        <f t="shared" si="65"/>
        <v>0</v>
      </c>
      <c r="H1122" s="9">
        <v>21</v>
      </c>
    </row>
    <row r="1123" spans="1:8" x14ac:dyDescent="0.25">
      <c r="A1123" s="21"/>
      <c r="B1123" s="30"/>
      <c r="C1123" s="30"/>
      <c r="D1123" s="38"/>
      <c r="E1123" s="8"/>
      <c r="G1123" s="28">
        <f t="shared" si="65"/>
        <v>0</v>
      </c>
      <c r="H1123" s="9">
        <v>21</v>
      </c>
    </row>
    <row r="1124" spans="1:8" x14ac:dyDescent="0.25">
      <c r="A1124" s="21"/>
      <c r="B1124" s="30"/>
      <c r="C1124" s="30"/>
      <c r="D1124" s="38"/>
      <c r="E1124" s="8"/>
      <c r="G1124" s="28">
        <f t="shared" si="65"/>
        <v>0</v>
      </c>
      <c r="H1124" s="9">
        <v>21</v>
      </c>
    </row>
    <row r="1125" spans="1:8" x14ac:dyDescent="0.25">
      <c r="A1125" s="21"/>
      <c r="B1125" s="30"/>
      <c r="C1125" s="30"/>
      <c r="D1125" s="38"/>
      <c r="E1125" s="8"/>
      <c r="G1125" s="28">
        <f t="shared" si="65"/>
        <v>0</v>
      </c>
      <c r="H1125" s="9">
        <v>21</v>
      </c>
    </row>
    <row r="1126" spans="1:8" x14ac:dyDescent="0.25">
      <c r="A1126" s="21"/>
      <c r="B1126" s="30"/>
      <c r="C1126" s="30"/>
      <c r="D1126" s="38"/>
      <c r="E1126" s="8"/>
      <c r="G1126" s="28">
        <f t="shared" si="65"/>
        <v>0</v>
      </c>
      <c r="H1126" s="9">
        <v>21</v>
      </c>
    </row>
    <row r="1127" spans="1:8" x14ac:dyDescent="0.25">
      <c r="A1127" s="21"/>
      <c r="B1127" s="30"/>
      <c r="C1127" s="30"/>
      <c r="D1127" s="38"/>
      <c r="E1127" s="8"/>
      <c r="G1127" s="28">
        <f t="shared" si="65"/>
        <v>0</v>
      </c>
      <c r="H1127" s="9">
        <v>21</v>
      </c>
    </row>
    <row r="1128" spans="1:8" x14ac:dyDescent="0.25">
      <c r="A1128" s="21"/>
      <c r="B1128" s="30"/>
      <c r="C1128" s="30"/>
      <c r="D1128" s="38"/>
      <c r="E1128" s="8"/>
      <c r="G1128" s="28">
        <f t="shared" si="65"/>
        <v>0</v>
      </c>
      <c r="H1128" s="9">
        <v>21</v>
      </c>
    </row>
    <row r="1129" spans="1:8" x14ac:dyDescent="0.25">
      <c r="A1129" s="21"/>
      <c r="B1129" s="30"/>
      <c r="C1129" s="30"/>
      <c r="D1129" s="38"/>
      <c r="E1129" s="8"/>
      <c r="G1129" s="28">
        <f t="shared" si="65"/>
        <v>0</v>
      </c>
      <c r="H1129" s="9">
        <v>21</v>
      </c>
    </row>
    <row r="1130" spans="1:8" x14ac:dyDescent="0.25">
      <c r="A1130" s="21"/>
      <c r="B1130" s="30"/>
      <c r="C1130" s="30"/>
      <c r="D1130" s="38"/>
      <c r="E1130" s="8"/>
      <c r="G1130" s="28">
        <f t="shared" si="65"/>
        <v>0</v>
      </c>
      <c r="H1130" s="9">
        <v>21</v>
      </c>
    </row>
    <row r="1131" spans="1:8" x14ac:dyDescent="0.25">
      <c r="A1131" s="21"/>
      <c r="B1131" s="30"/>
      <c r="C1131" s="30"/>
      <c r="D1131" s="38"/>
      <c r="E1131" s="8"/>
      <c r="G1131" s="28">
        <f t="shared" si="65"/>
        <v>0</v>
      </c>
      <c r="H1131" s="9">
        <v>21</v>
      </c>
    </row>
    <row r="1132" spans="1:8" x14ac:dyDescent="0.25">
      <c r="A1132" s="21"/>
      <c r="B1132" s="30"/>
      <c r="C1132" s="30"/>
      <c r="D1132" s="38"/>
      <c r="E1132" s="8"/>
      <c r="G1132" s="28">
        <f t="shared" si="65"/>
        <v>0</v>
      </c>
      <c r="H1132" s="9">
        <v>21</v>
      </c>
    </row>
    <row r="1133" spans="1:8" x14ac:dyDescent="0.25">
      <c r="A1133" s="21"/>
      <c r="B1133" s="30"/>
      <c r="C1133" s="30"/>
      <c r="D1133" s="38"/>
      <c r="E1133" s="8"/>
      <c r="G1133" s="28">
        <f t="shared" si="65"/>
        <v>0</v>
      </c>
      <c r="H1133" s="9">
        <v>21</v>
      </c>
    </row>
    <row r="1134" spans="1:8" x14ac:dyDescent="0.25">
      <c r="A1134" s="21"/>
      <c r="B1134" s="30"/>
      <c r="C1134" s="30"/>
      <c r="D1134" s="38"/>
      <c r="E1134" s="8"/>
      <c r="G1134" s="28">
        <f t="shared" si="65"/>
        <v>0</v>
      </c>
      <c r="H1134" s="9">
        <v>21</v>
      </c>
    </row>
    <row r="1135" spans="1:8" x14ac:dyDescent="0.25">
      <c r="A1135" s="21"/>
      <c r="B1135" s="30"/>
      <c r="C1135" s="30"/>
      <c r="D1135" s="38"/>
      <c r="E1135" s="8"/>
      <c r="G1135" s="28">
        <f t="shared" si="65"/>
        <v>0</v>
      </c>
      <c r="H1135" s="9">
        <v>21</v>
      </c>
    </row>
    <row r="1136" spans="1:8" x14ac:dyDescent="0.25">
      <c r="A1136" s="21"/>
      <c r="B1136" s="30"/>
      <c r="C1136" s="30"/>
      <c r="D1136" s="38"/>
      <c r="E1136" s="8"/>
      <c r="G1136" s="28">
        <f t="shared" si="65"/>
        <v>0</v>
      </c>
      <c r="H1136" s="9">
        <v>21</v>
      </c>
    </row>
    <row r="1137" spans="1:8" x14ac:dyDescent="0.25">
      <c r="A1137" s="21"/>
      <c r="B1137" s="30"/>
      <c r="C1137" s="30"/>
      <c r="D1137" s="38"/>
      <c r="E1137" s="8"/>
      <c r="G1137" s="28">
        <f t="shared" si="65"/>
        <v>0</v>
      </c>
      <c r="H1137" s="9">
        <v>21</v>
      </c>
    </row>
    <row r="1138" spans="1:8" x14ac:dyDescent="0.25">
      <c r="A1138" s="21"/>
      <c r="B1138" s="30"/>
      <c r="C1138" s="30"/>
      <c r="D1138" s="38"/>
      <c r="E1138" s="8"/>
      <c r="G1138" s="28">
        <f t="shared" si="65"/>
        <v>0</v>
      </c>
      <c r="H1138" s="9">
        <v>21</v>
      </c>
    </row>
    <row r="1139" spans="1:8" x14ac:dyDescent="0.25">
      <c r="A1139" s="21"/>
      <c r="B1139" s="30"/>
      <c r="C1139" s="30"/>
      <c r="D1139" s="38"/>
      <c r="E1139" s="8"/>
      <c r="G1139" s="28">
        <f t="shared" si="65"/>
        <v>0</v>
      </c>
      <c r="H1139" s="9">
        <v>21</v>
      </c>
    </row>
    <row r="1140" spans="1:8" x14ac:dyDescent="0.25">
      <c r="A1140" s="21"/>
      <c r="B1140" s="30"/>
      <c r="C1140" s="30"/>
      <c r="D1140" s="38"/>
      <c r="E1140" s="8"/>
      <c r="G1140" s="28">
        <f t="shared" si="65"/>
        <v>0</v>
      </c>
      <c r="H1140" s="9">
        <v>21</v>
      </c>
    </row>
    <row r="1141" spans="1:8" x14ac:dyDescent="0.25">
      <c r="A1141" s="21"/>
      <c r="B1141" s="30"/>
      <c r="C1141" s="30"/>
      <c r="D1141" s="38"/>
      <c r="E1141" s="8"/>
      <c r="G1141" s="28">
        <f t="shared" si="65"/>
        <v>0</v>
      </c>
      <c r="H1141" s="9">
        <v>21</v>
      </c>
    </row>
    <row r="1142" spans="1:8" x14ac:dyDescent="0.25">
      <c r="A1142" s="21"/>
      <c r="B1142" s="30"/>
      <c r="C1142" s="30"/>
      <c r="D1142" s="38"/>
      <c r="E1142" s="8"/>
      <c r="G1142" s="28">
        <f t="shared" si="65"/>
        <v>0</v>
      </c>
      <c r="H1142" s="9">
        <v>21</v>
      </c>
    </row>
    <row r="1143" spans="1:8" x14ac:dyDescent="0.25">
      <c r="A1143" s="21"/>
      <c r="B1143" s="30"/>
      <c r="C1143" s="30"/>
      <c r="D1143" s="38"/>
      <c r="E1143" s="8"/>
      <c r="G1143" s="28">
        <f t="shared" si="65"/>
        <v>0</v>
      </c>
      <c r="H1143" s="9">
        <v>21</v>
      </c>
    </row>
    <row r="1144" spans="1:8" x14ac:dyDescent="0.25">
      <c r="A1144" s="21"/>
      <c r="B1144" s="30"/>
      <c r="C1144" s="30"/>
      <c r="D1144" s="38"/>
      <c r="E1144" s="8"/>
      <c r="G1144" s="28">
        <f t="shared" si="65"/>
        <v>0</v>
      </c>
      <c r="H1144" s="9">
        <v>21</v>
      </c>
    </row>
    <row r="1145" spans="1:8" x14ac:dyDescent="0.25">
      <c r="A1145" s="21"/>
      <c r="B1145" s="30"/>
      <c r="C1145" s="30"/>
      <c r="D1145" s="38"/>
      <c r="E1145" s="8"/>
      <c r="G1145" s="28">
        <f t="shared" si="65"/>
        <v>0</v>
      </c>
      <c r="H1145" s="9">
        <v>21</v>
      </c>
    </row>
    <row r="1146" spans="1:8" x14ac:dyDescent="0.25">
      <c r="A1146" s="21"/>
      <c r="B1146" s="30"/>
      <c r="C1146" s="30"/>
      <c r="D1146" s="38"/>
      <c r="E1146" s="8"/>
      <c r="G1146" s="28">
        <f t="shared" si="65"/>
        <v>0</v>
      </c>
      <c r="H1146" s="9">
        <v>21</v>
      </c>
    </row>
    <row r="1147" spans="1:8" x14ac:dyDescent="0.25">
      <c r="A1147" s="21"/>
      <c r="B1147" s="30"/>
      <c r="C1147" s="30"/>
      <c r="D1147" s="38"/>
      <c r="E1147" s="8"/>
      <c r="G1147" s="28">
        <f t="shared" si="65"/>
        <v>0</v>
      </c>
      <c r="H1147" s="9">
        <v>21</v>
      </c>
    </row>
    <row r="1148" spans="1:8" x14ac:dyDescent="0.25">
      <c r="A1148" s="21"/>
      <c r="B1148" s="30"/>
      <c r="C1148" s="30"/>
      <c r="D1148" s="38"/>
      <c r="E1148" s="8"/>
      <c r="G1148" s="28">
        <f t="shared" si="65"/>
        <v>0</v>
      </c>
      <c r="H1148" s="9">
        <v>21</v>
      </c>
    </row>
    <row r="1149" spans="1:8" x14ac:dyDescent="0.25">
      <c r="A1149" s="21"/>
      <c r="B1149" s="30"/>
      <c r="C1149" s="30"/>
      <c r="D1149" s="38"/>
      <c r="E1149" s="8"/>
      <c r="G1149" s="28">
        <f t="shared" si="65"/>
        <v>0</v>
      </c>
      <c r="H1149" s="9">
        <v>21</v>
      </c>
    </row>
    <row r="1150" spans="1:8" x14ac:dyDescent="0.25">
      <c r="A1150" s="21"/>
      <c r="B1150" s="30"/>
      <c r="C1150" s="30"/>
      <c r="D1150" s="38"/>
      <c r="E1150" s="8"/>
      <c r="G1150" s="28">
        <f t="shared" si="65"/>
        <v>0</v>
      </c>
      <c r="H1150" s="9">
        <v>21</v>
      </c>
    </row>
    <row r="1151" spans="1:8" x14ac:dyDescent="0.25">
      <c r="A1151" s="21"/>
      <c r="B1151" s="30"/>
      <c r="C1151" s="30"/>
      <c r="D1151" s="38"/>
      <c r="E1151" s="8"/>
      <c r="G1151" s="28">
        <f t="shared" si="65"/>
        <v>0</v>
      </c>
      <c r="H1151" s="9">
        <v>21</v>
      </c>
    </row>
    <row r="1152" spans="1:8" x14ac:dyDescent="0.25">
      <c r="A1152" s="21"/>
      <c r="B1152" s="30"/>
      <c r="C1152" s="30"/>
      <c r="D1152" s="38"/>
      <c r="E1152" s="8"/>
      <c r="G1152" s="28">
        <f t="shared" si="65"/>
        <v>0</v>
      </c>
      <c r="H1152" s="9">
        <v>21</v>
      </c>
    </row>
    <row r="1153" spans="1:8" x14ac:dyDescent="0.25">
      <c r="A1153" s="21"/>
      <c r="B1153" s="30"/>
      <c r="C1153" s="30"/>
      <c r="D1153" s="38"/>
      <c r="E1153" s="8"/>
      <c r="G1153" s="28">
        <f t="shared" si="65"/>
        <v>0</v>
      </c>
      <c r="H1153" s="9">
        <v>21</v>
      </c>
    </row>
    <row r="1154" spans="1:8" x14ac:dyDescent="0.25">
      <c r="A1154" s="21"/>
      <c r="B1154" s="30"/>
      <c r="C1154" s="30"/>
      <c r="D1154" s="38"/>
      <c r="E1154" s="8"/>
      <c r="G1154" s="28">
        <f t="shared" si="65"/>
        <v>0</v>
      </c>
      <c r="H1154" s="9">
        <v>21</v>
      </c>
    </row>
    <row r="1155" spans="1:8" x14ac:dyDescent="0.25">
      <c r="A1155" s="21"/>
      <c r="B1155" s="30"/>
      <c r="C1155" s="30"/>
      <c r="D1155" s="38"/>
      <c r="E1155" s="8"/>
      <c r="G1155" s="28">
        <f t="shared" si="65"/>
        <v>0</v>
      </c>
      <c r="H1155" s="9">
        <v>21</v>
      </c>
    </row>
    <row r="1156" spans="1:8" x14ac:dyDescent="0.25">
      <c r="A1156" s="21"/>
      <c r="B1156" s="30"/>
      <c r="C1156" s="30"/>
      <c r="D1156" s="38"/>
      <c r="E1156" s="8"/>
      <c r="G1156" s="28">
        <f t="shared" si="65"/>
        <v>0</v>
      </c>
      <c r="H1156" s="9">
        <v>21</v>
      </c>
    </row>
    <row r="1157" spans="1:8" x14ac:dyDescent="0.25">
      <c r="A1157" s="21"/>
      <c r="B1157" s="30"/>
      <c r="C1157" s="30"/>
      <c r="D1157" s="38"/>
      <c r="E1157" s="8"/>
      <c r="G1157" s="28">
        <f t="shared" si="65"/>
        <v>0</v>
      </c>
      <c r="H1157" s="9">
        <v>21</v>
      </c>
    </row>
    <row r="1158" spans="1:8" x14ac:dyDescent="0.25">
      <c r="A1158" s="21"/>
      <c r="B1158" s="30"/>
      <c r="C1158" s="30"/>
      <c r="D1158" s="38"/>
      <c r="E1158" s="8"/>
      <c r="G1158" s="28">
        <f t="shared" si="65"/>
        <v>0</v>
      </c>
      <c r="H1158" s="9">
        <v>21</v>
      </c>
    </row>
    <row r="1159" spans="1:8" x14ac:dyDescent="0.25">
      <c r="A1159" s="21"/>
      <c r="B1159" s="30"/>
      <c r="C1159" s="30"/>
      <c r="D1159" s="38"/>
      <c r="E1159" s="8"/>
      <c r="G1159" s="28">
        <f t="shared" si="65"/>
        <v>0</v>
      </c>
      <c r="H1159" s="9">
        <v>21</v>
      </c>
    </row>
    <row r="1160" spans="1:8" x14ac:dyDescent="0.25">
      <c r="A1160" s="21"/>
      <c r="B1160" s="30"/>
      <c r="C1160" s="30"/>
      <c r="D1160" s="38"/>
      <c r="E1160" s="8"/>
      <c r="G1160" s="28">
        <f t="shared" si="65"/>
        <v>0</v>
      </c>
      <c r="H1160" s="9">
        <v>21</v>
      </c>
    </row>
    <row r="1161" spans="1:8" x14ac:dyDescent="0.25">
      <c r="A1161" s="21"/>
      <c r="B1161" s="30"/>
      <c r="C1161" s="30"/>
      <c r="D1161" s="38"/>
      <c r="E1161" s="8"/>
      <c r="G1161" s="28">
        <f t="shared" si="65"/>
        <v>0</v>
      </c>
      <c r="H1161" s="9">
        <v>21</v>
      </c>
    </row>
    <row r="1162" spans="1:8" x14ac:dyDescent="0.25">
      <c r="A1162" s="21"/>
      <c r="B1162" s="30"/>
      <c r="C1162" s="30"/>
      <c r="D1162" s="38"/>
      <c r="E1162" s="8"/>
      <c r="G1162" s="28">
        <f t="shared" si="65"/>
        <v>0</v>
      </c>
      <c r="H1162" s="9">
        <v>21</v>
      </c>
    </row>
    <row r="1163" spans="1:8" x14ac:dyDescent="0.25">
      <c r="A1163" s="21"/>
      <c r="B1163" s="30"/>
      <c r="C1163" s="30"/>
      <c r="D1163" s="38"/>
      <c r="E1163" s="8"/>
      <c r="G1163" s="28">
        <f t="shared" si="65"/>
        <v>0</v>
      </c>
      <c r="H1163" s="9">
        <v>21</v>
      </c>
    </row>
    <row r="1164" spans="1:8" x14ac:dyDescent="0.25">
      <c r="A1164" s="21"/>
      <c r="B1164" s="30"/>
      <c r="C1164" s="30"/>
      <c r="D1164" s="38"/>
      <c r="E1164" s="8"/>
      <c r="G1164" s="28">
        <f t="shared" si="65"/>
        <v>0</v>
      </c>
      <c r="H1164" s="9">
        <v>21</v>
      </c>
    </row>
    <row r="1165" spans="1:8" x14ac:dyDescent="0.25">
      <c r="A1165" s="21"/>
      <c r="B1165" s="30"/>
      <c r="C1165" s="30"/>
      <c r="D1165" s="38"/>
      <c r="E1165" s="8"/>
      <c r="G1165" s="28">
        <f t="shared" si="65"/>
        <v>0</v>
      </c>
      <c r="H1165" s="9">
        <v>21</v>
      </c>
    </row>
    <row r="1166" spans="1:8" x14ac:dyDescent="0.25">
      <c r="A1166" s="21"/>
      <c r="B1166" s="30"/>
      <c r="C1166" s="30"/>
      <c r="D1166" s="38"/>
      <c r="E1166" s="8"/>
      <c r="G1166" s="28">
        <f t="shared" si="65"/>
        <v>0</v>
      </c>
      <c r="H1166" s="9">
        <v>21</v>
      </c>
    </row>
    <row r="1167" spans="1:8" x14ac:dyDescent="0.25">
      <c r="A1167" s="21"/>
      <c r="B1167" s="30"/>
      <c r="C1167" s="30"/>
      <c r="D1167" s="38"/>
      <c r="E1167" s="8"/>
      <c r="G1167" s="28">
        <f t="shared" si="65"/>
        <v>0</v>
      </c>
      <c r="H1167" s="9">
        <v>21</v>
      </c>
    </row>
    <row r="1168" spans="1:8" x14ac:dyDescent="0.25">
      <c r="A1168" s="21"/>
      <c r="B1168" s="30"/>
      <c r="C1168" s="30"/>
      <c r="D1168" s="38"/>
      <c r="E1168" s="8"/>
      <c r="G1168" s="28">
        <f t="shared" si="65"/>
        <v>0</v>
      </c>
      <c r="H1168" s="9">
        <v>21</v>
      </c>
    </row>
    <row r="1169" spans="1:8" x14ac:dyDescent="0.25">
      <c r="A1169" s="21"/>
      <c r="B1169" s="30"/>
      <c r="C1169" s="30"/>
      <c r="D1169" s="38"/>
      <c r="E1169" s="8"/>
      <c r="G1169" s="28">
        <f t="shared" si="65"/>
        <v>0</v>
      </c>
      <c r="H1169" s="9">
        <v>21</v>
      </c>
    </row>
    <row r="1170" spans="1:8" x14ac:dyDescent="0.25">
      <c r="A1170" s="21"/>
      <c r="B1170" s="30"/>
      <c r="C1170" s="30"/>
      <c r="D1170" s="38"/>
      <c r="E1170" s="8"/>
      <c r="G1170" s="28">
        <f t="shared" ref="G1170:G1233" si="66">+D1170/1.21</f>
        <v>0</v>
      </c>
      <c r="H1170" s="9">
        <v>21</v>
      </c>
    </row>
    <row r="1171" spans="1:8" x14ac:dyDescent="0.25">
      <c r="A1171" s="21"/>
      <c r="B1171" s="30"/>
      <c r="C1171" s="30"/>
      <c r="D1171" s="38"/>
      <c r="E1171" s="8"/>
      <c r="G1171" s="28">
        <f t="shared" si="66"/>
        <v>0</v>
      </c>
      <c r="H1171" s="9">
        <v>21</v>
      </c>
    </row>
    <row r="1172" spans="1:8" x14ac:dyDescent="0.25">
      <c r="A1172" s="21"/>
      <c r="B1172" s="30"/>
      <c r="C1172" s="30"/>
      <c r="D1172" s="38"/>
      <c r="E1172" s="8"/>
      <c r="G1172" s="28">
        <f t="shared" si="66"/>
        <v>0</v>
      </c>
      <c r="H1172" s="9">
        <v>21</v>
      </c>
    </row>
    <row r="1173" spans="1:8" x14ac:dyDescent="0.25">
      <c r="A1173" s="21"/>
      <c r="B1173" s="30"/>
      <c r="C1173" s="30"/>
      <c r="D1173" s="38"/>
      <c r="E1173" s="8"/>
      <c r="G1173" s="28">
        <f t="shared" si="66"/>
        <v>0</v>
      </c>
      <c r="H1173" s="9">
        <v>21</v>
      </c>
    </row>
    <row r="1174" spans="1:8" x14ac:dyDescent="0.25">
      <c r="A1174" s="21"/>
      <c r="B1174" s="30"/>
      <c r="C1174" s="30"/>
      <c r="D1174" s="38"/>
      <c r="E1174" s="8"/>
      <c r="G1174" s="28">
        <f t="shared" si="66"/>
        <v>0</v>
      </c>
      <c r="H1174" s="9">
        <v>21</v>
      </c>
    </row>
    <row r="1175" spans="1:8" x14ac:dyDescent="0.25">
      <c r="A1175" s="21"/>
      <c r="B1175" s="30"/>
      <c r="C1175" s="30"/>
      <c r="D1175" s="38"/>
      <c r="E1175" s="8"/>
      <c r="G1175" s="28">
        <f t="shared" si="66"/>
        <v>0</v>
      </c>
      <c r="H1175" s="9">
        <v>21</v>
      </c>
    </row>
    <row r="1176" spans="1:8" x14ac:dyDescent="0.25">
      <c r="A1176" s="21"/>
      <c r="B1176" s="30"/>
      <c r="C1176" s="30"/>
      <c r="D1176" s="38"/>
      <c r="E1176" s="8"/>
      <c r="G1176" s="28">
        <f t="shared" si="66"/>
        <v>0</v>
      </c>
      <c r="H1176" s="9">
        <v>21</v>
      </c>
    </row>
    <row r="1177" spans="1:8" x14ac:dyDescent="0.25">
      <c r="A1177" s="21"/>
      <c r="B1177" s="30"/>
      <c r="C1177" s="30"/>
      <c r="D1177" s="38"/>
      <c r="E1177" s="8"/>
      <c r="G1177" s="28">
        <f t="shared" si="66"/>
        <v>0</v>
      </c>
      <c r="H1177" s="9">
        <v>21</v>
      </c>
    </row>
    <row r="1178" spans="1:8" x14ac:dyDescent="0.25">
      <c r="A1178" s="21"/>
      <c r="B1178" s="30"/>
      <c r="C1178" s="30"/>
      <c r="D1178" s="38"/>
      <c r="E1178" s="8"/>
      <c r="G1178" s="28">
        <f t="shared" si="66"/>
        <v>0</v>
      </c>
      <c r="H1178" s="9">
        <v>21</v>
      </c>
    </row>
    <row r="1179" spans="1:8" x14ac:dyDescent="0.25">
      <c r="A1179" s="21"/>
      <c r="B1179" s="30"/>
      <c r="C1179" s="30"/>
      <c r="D1179" s="38"/>
      <c r="E1179" s="8"/>
      <c r="G1179" s="28">
        <f t="shared" si="66"/>
        <v>0</v>
      </c>
      <c r="H1179" s="9">
        <v>21</v>
      </c>
    </row>
    <row r="1180" spans="1:8" x14ac:dyDescent="0.25">
      <c r="A1180" s="21"/>
      <c r="B1180" s="30"/>
      <c r="C1180" s="30"/>
      <c r="D1180" s="38"/>
      <c r="E1180" s="8"/>
      <c r="G1180" s="28">
        <f t="shared" si="66"/>
        <v>0</v>
      </c>
      <c r="H1180" s="9">
        <v>21</v>
      </c>
    </row>
    <row r="1181" spans="1:8" x14ac:dyDescent="0.25">
      <c r="A1181" s="21"/>
      <c r="B1181" s="30"/>
      <c r="C1181" s="30"/>
      <c r="D1181" s="38"/>
      <c r="E1181" s="8"/>
      <c r="G1181" s="28">
        <f t="shared" si="66"/>
        <v>0</v>
      </c>
      <c r="H1181" s="9">
        <v>21</v>
      </c>
    </row>
    <row r="1182" spans="1:8" x14ac:dyDescent="0.25">
      <c r="A1182" s="21"/>
      <c r="B1182" s="30"/>
      <c r="C1182" s="30"/>
      <c r="D1182" s="38"/>
      <c r="E1182" s="8"/>
      <c r="G1182" s="28">
        <f t="shared" si="66"/>
        <v>0</v>
      </c>
      <c r="H1182" s="9">
        <v>21</v>
      </c>
    </row>
    <row r="1183" spans="1:8" x14ac:dyDescent="0.25">
      <c r="A1183" s="21"/>
      <c r="B1183" s="30"/>
      <c r="C1183" s="30"/>
      <c r="D1183" s="38"/>
      <c r="E1183" s="8"/>
      <c r="G1183" s="28">
        <f t="shared" si="66"/>
        <v>0</v>
      </c>
      <c r="H1183" s="9">
        <v>21</v>
      </c>
    </row>
    <row r="1184" spans="1:8" x14ac:dyDescent="0.25">
      <c r="G1184" s="28">
        <f t="shared" si="66"/>
        <v>0</v>
      </c>
      <c r="H1184" s="9">
        <v>21</v>
      </c>
    </row>
    <row r="1185" spans="7:8" x14ac:dyDescent="0.25">
      <c r="G1185" s="28">
        <f t="shared" si="66"/>
        <v>0</v>
      </c>
      <c r="H1185" s="9">
        <v>21</v>
      </c>
    </row>
    <row r="1186" spans="7:8" x14ac:dyDescent="0.25">
      <c r="G1186" s="28">
        <f t="shared" si="66"/>
        <v>0</v>
      </c>
      <c r="H1186" s="9">
        <v>21</v>
      </c>
    </row>
    <row r="1187" spans="7:8" x14ac:dyDescent="0.25">
      <c r="G1187" s="28">
        <f t="shared" si="66"/>
        <v>0</v>
      </c>
      <c r="H1187" s="9">
        <v>21</v>
      </c>
    </row>
    <row r="1188" spans="7:8" x14ac:dyDescent="0.25">
      <c r="G1188" s="28">
        <f t="shared" si="66"/>
        <v>0</v>
      </c>
      <c r="H1188" s="9">
        <v>21</v>
      </c>
    </row>
    <row r="1189" spans="7:8" x14ac:dyDescent="0.25">
      <c r="G1189" s="28">
        <f t="shared" si="66"/>
        <v>0</v>
      </c>
      <c r="H1189" s="9">
        <v>21</v>
      </c>
    </row>
    <row r="1190" spans="7:8" x14ac:dyDescent="0.25">
      <c r="G1190" s="28">
        <f t="shared" si="66"/>
        <v>0</v>
      </c>
      <c r="H1190" s="9">
        <v>21</v>
      </c>
    </row>
    <row r="1191" spans="7:8" x14ac:dyDescent="0.25">
      <c r="G1191" s="28">
        <f t="shared" si="66"/>
        <v>0</v>
      </c>
      <c r="H1191" s="9">
        <v>21</v>
      </c>
    </row>
    <row r="1192" spans="7:8" x14ac:dyDescent="0.25">
      <c r="G1192" s="28">
        <f t="shared" si="66"/>
        <v>0</v>
      </c>
      <c r="H1192" s="9">
        <v>21</v>
      </c>
    </row>
    <row r="1193" spans="7:8" x14ac:dyDescent="0.25">
      <c r="G1193" s="28">
        <f t="shared" si="66"/>
        <v>0</v>
      </c>
      <c r="H1193" s="9">
        <v>21</v>
      </c>
    </row>
    <row r="1194" spans="7:8" x14ac:dyDescent="0.25">
      <c r="G1194" s="28">
        <f t="shared" si="66"/>
        <v>0</v>
      </c>
      <c r="H1194" s="9">
        <v>21</v>
      </c>
    </row>
    <row r="1195" spans="7:8" x14ac:dyDescent="0.25">
      <c r="G1195" s="28">
        <f t="shared" si="66"/>
        <v>0</v>
      </c>
      <c r="H1195" s="9">
        <v>21</v>
      </c>
    </row>
    <row r="1196" spans="7:8" x14ac:dyDescent="0.25">
      <c r="G1196" s="28">
        <f t="shared" si="66"/>
        <v>0</v>
      </c>
      <c r="H1196" s="9">
        <v>21</v>
      </c>
    </row>
    <row r="1197" spans="7:8" x14ac:dyDescent="0.25">
      <c r="G1197" s="28">
        <f t="shared" si="66"/>
        <v>0</v>
      </c>
      <c r="H1197" s="9">
        <v>21</v>
      </c>
    </row>
    <row r="1198" spans="7:8" x14ac:dyDescent="0.25">
      <c r="G1198" s="28">
        <f t="shared" si="66"/>
        <v>0</v>
      </c>
      <c r="H1198" s="9">
        <v>21</v>
      </c>
    </row>
    <row r="1199" spans="7:8" x14ac:dyDescent="0.25">
      <c r="G1199" s="28">
        <f t="shared" si="66"/>
        <v>0</v>
      </c>
      <c r="H1199" s="9">
        <v>21</v>
      </c>
    </row>
    <row r="1200" spans="7:8" x14ac:dyDescent="0.25">
      <c r="G1200" s="28">
        <f t="shared" si="66"/>
        <v>0</v>
      </c>
      <c r="H1200" s="9">
        <v>21</v>
      </c>
    </row>
    <row r="1201" spans="7:8" x14ac:dyDescent="0.25">
      <c r="G1201" s="28">
        <f t="shared" si="66"/>
        <v>0</v>
      </c>
      <c r="H1201" s="9">
        <v>21</v>
      </c>
    </row>
    <row r="1202" spans="7:8" x14ac:dyDescent="0.25">
      <c r="G1202" s="28">
        <f t="shared" si="66"/>
        <v>0</v>
      </c>
      <c r="H1202" s="9">
        <v>21</v>
      </c>
    </row>
    <row r="1203" spans="7:8" x14ac:dyDescent="0.25">
      <c r="G1203" s="28">
        <f t="shared" si="66"/>
        <v>0</v>
      </c>
      <c r="H1203" s="9">
        <v>21</v>
      </c>
    </row>
    <row r="1204" spans="7:8" x14ac:dyDescent="0.25">
      <c r="G1204" s="28">
        <f t="shared" si="66"/>
        <v>0</v>
      </c>
      <c r="H1204" s="9">
        <v>21</v>
      </c>
    </row>
    <row r="1205" spans="7:8" x14ac:dyDescent="0.25">
      <c r="G1205" s="28">
        <f t="shared" si="66"/>
        <v>0</v>
      </c>
      <c r="H1205" s="9">
        <v>21</v>
      </c>
    </row>
    <row r="1206" spans="7:8" x14ac:dyDescent="0.25">
      <c r="G1206" s="28">
        <f t="shared" si="66"/>
        <v>0</v>
      </c>
      <c r="H1206" s="9">
        <v>21</v>
      </c>
    </row>
    <row r="1207" spans="7:8" x14ac:dyDescent="0.25">
      <c r="G1207" s="28">
        <f t="shared" si="66"/>
        <v>0</v>
      </c>
      <c r="H1207" s="9">
        <v>21</v>
      </c>
    </row>
    <row r="1208" spans="7:8" x14ac:dyDescent="0.25">
      <c r="G1208" s="28">
        <f t="shared" si="66"/>
        <v>0</v>
      </c>
      <c r="H1208" s="9">
        <v>21</v>
      </c>
    </row>
    <row r="1209" spans="7:8" x14ac:dyDescent="0.25">
      <c r="G1209" s="28">
        <f t="shared" si="66"/>
        <v>0</v>
      </c>
      <c r="H1209" s="9">
        <v>21</v>
      </c>
    </row>
    <row r="1210" spans="7:8" x14ac:dyDescent="0.25">
      <c r="G1210" s="28">
        <f t="shared" si="66"/>
        <v>0</v>
      </c>
      <c r="H1210" s="9">
        <v>21</v>
      </c>
    </row>
    <row r="1211" spans="7:8" x14ac:dyDescent="0.25">
      <c r="G1211" s="28">
        <f t="shared" si="66"/>
        <v>0</v>
      </c>
      <c r="H1211" s="9">
        <v>21</v>
      </c>
    </row>
    <row r="1212" spans="7:8" x14ac:dyDescent="0.25">
      <c r="G1212" s="28">
        <f t="shared" si="66"/>
        <v>0</v>
      </c>
      <c r="H1212" s="9">
        <v>21</v>
      </c>
    </row>
    <row r="1213" spans="7:8" x14ac:dyDescent="0.25">
      <c r="G1213" s="28">
        <f t="shared" si="66"/>
        <v>0</v>
      </c>
      <c r="H1213" s="9">
        <v>21</v>
      </c>
    </row>
    <row r="1214" spans="7:8" x14ac:dyDescent="0.25">
      <c r="G1214" s="28">
        <f t="shared" si="66"/>
        <v>0</v>
      </c>
      <c r="H1214" s="9">
        <v>21</v>
      </c>
    </row>
    <row r="1215" spans="7:8" x14ac:dyDescent="0.25">
      <c r="G1215" s="28">
        <f t="shared" si="66"/>
        <v>0</v>
      </c>
      <c r="H1215" s="9">
        <v>21</v>
      </c>
    </row>
    <row r="1216" spans="7:8" x14ac:dyDescent="0.25">
      <c r="G1216" s="28">
        <f t="shared" si="66"/>
        <v>0</v>
      </c>
      <c r="H1216" s="9">
        <v>21</v>
      </c>
    </row>
    <row r="1217" spans="7:8" x14ac:dyDescent="0.25">
      <c r="G1217" s="28">
        <f t="shared" si="66"/>
        <v>0</v>
      </c>
      <c r="H1217" s="9">
        <v>21</v>
      </c>
    </row>
    <row r="1218" spans="7:8" x14ac:dyDescent="0.25">
      <c r="G1218" s="28">
        <f t="shared" si="66"/>
        <v>0</v>
      </c>
      <c r="H1218" s="9">
        <v>21</v>
      </c>
    </row>
    <row r="1219" spans="7:8" x14ac:dyDescent="0.25">
      <c r="G1219" s="28">
        <f t="shared" si="66"/>
        <v>0</v>
      </c>
      <c r="H1219" s="9">
        <v>21</v>
      </c>
    </row>
    <row r="1220" spans="7:8" x14ac:dyDescent="0.25">
      <c r="G1220" s="28">
        <f t="shared" si="66"/>
        <v>0</v>
      </c>
      <c r="H1220" s="9">
        <v>21</v>
      </c>
    </row>
    <row r="1221" spans="7:8" x14ac:dyDescent="0.25">
      <c r="G1221" s="28">
        <f t="shared" si="66"/>
        <v>0</v>
      </c>
      <c r="H1221" s="9">
        <v>21</v>
      </c>
    </row>
    <row r="1222" spans="7:8" x14ac:dyDescent="0.25">
      <c r="G1222" s="28">
        <f t="shared" si="66"/>
        <v>0</v>
      </c>
      <c r="H1222" s="9">
        <v>21</v>
      </c>
    </row>
    <row r="1223" spans="7:8" x14ac:dyDescent="0.25">
      <c r="G1223" s="28">
        <f t="shared" si="66"/>
        <v>0</v>
      </c>
      <c r="H1223" s="9">
        <v>21</v>
      </c>
    </row>
    <row r="1224" spans="7:8" x14ac:dyDescent="0.25">
      <c r="G1224" s="28">
        <f t="shared" si="66"/>
        <v>0</v>
      </c>
      <c r="H1224" s="9">
        <v>21</v>
      </c>
    </row>
    <row r="1225" spans="7:8" x14ac:dyDescent="0.25">
      <c r="G1225" s="28">
        <f t="shared" si="66"/>
        <v>0</v>
      </c>
      <c r="H1225" s="9">
        <v>21</v>
      </c>
    </row>
    <row r="1226" spans="7:8" x14ac:dyDescent="0.25">
      <c r="G1226" s="28">
        <f t="shared" si="66"/>
        <v>0</v>
      </c>
      <c r="H1226" s="9">
        <v>21</v>
      </c>
    </row>
    <row r="1227" spans="7:8" x14ac:dyDescent="0.25">
      <c r="G1227" s="28">
        <f t="shared" si="66"/>
        <v>0</v>
      </c>
      <c r="H1227" s="9">
        <v>21</v>
      </c>
    </row>
    <row r="1228" spans="7:8" x14ac:dyDescent="0.25">
      <c r="G1228" s="28">
        <f t="shared" si="66"/>
        <v>0</v>
      </c>
      <c r="H1228" s="9">
        <v>21</v>
      </c>
    </row>
    <row r="1229" spans="7:8" x14ac:dyDescent="0.25">
      <c r="G1229" s="28">
        <f t="shared" si="66"/>
        <v>0</v>
      </c>
      <c r="H1229" s="9">
        <v>21</v>
      </c>
    </row>
    <row r="1230" spans="7:8" x14ac:dyDescent="0.25">
      <c r="G1230" s="28">
        <f t="shared" si="66"/>
        <v>0</v>
      </c>
      <c r="H1230" s="9">
        <v>21</v>
      </c>
    </row>
    <row r="1231" spans="7:8" x14ac:dyDescent="0.25">
      <c r="G1231" s="28">
        <f t="shared" si="66"/>
        <v>0</v>
      </c>
      <c r="H1231" s="9">
        <v>21</v>
      </c>
    </row>
    <row r="1232" spans="7:8" x14ac:dyDescent="0.25">
      <c r="G1232" s="28">
        <f t="shared" si="66"/>
        <v>0</v>
      </c>
      <c r="H1232" s="9">
        <v>21</v>
      </c>
    </row>
    <row r="1233" spans="7:8" x14ac:dyDescent="0.25">
      <c r="G1233" s="28">
        <f t="shared" si="66"/>
        <v>0</v>
      </c>
      <c r="H1233" s="9">
        <v>21</v>
      </c>
    </row>
    <row r="1234" spans="7:8" x14ac:dyDescent="0.25">
      <c r="G1234" s="28">
        <f t="shared" ref="G1234:G1297" si="67">+D1234/1.21</f>
        <v>0</v>
      </c>
      <c r="H1234" s="9">
        <v>21</v>
      </c>
    </row>
    <row r="1235" spans="7:8" x14ac:dyDescent="0.25">
      <c r="G1235" s="28">
        <f t="shared" si="67"/>
        <v>0</v>
      </c>
      <c r="H1235" s="9">
        <v>21</v>
      </c>
    </row>
    <row r="1236" spans="7:8" x14ac:dyDescent="0.25">
      <c r="G1236" s="28">
        <f t="shared" si="67"/>
        <v>0</v>
      </c>
      <c r="H1236" s="9">
        <v>21</v>
      </c>
    </row>
    <row r="1237" spans="7:8" x14ac:dyDescent="0.25">
      <c r="G1237" s="28">
        <f t="shared" si="67"/>
        <v>0</v>
      </c>
      <c r="H1237" s="9">
        <v>21</v>
      </c>
    </row>
    <row r="1238" spans="7:8" x14ac:dyDescent="0.25">
      <c r="G1238" s="28">
        <f t="shared" si="67"/>
        <v>0</v>
      </c>
      <c r="H1238" s="9">
        <v>21</v>
      </c>
    </row>
    <row r="1239" spans="7:8" x14ac:dyDescent="0.25">
      <c r="G1239" s="28">
        <f t="shared" si="67"/>
        <v>0</v>
      </c>
      <c r="H1239" s="9">
        <v>21</v>
      </c>
    </row>
    <row r="1240" spans="7:8" x14ac:dyDescent="0.25">
      <c r="G1240" s="28">
        <f t="shared" si="67"/>
        <v>0</v>
      </c>
      <c r="H1240" s="9">
        <v>21</v>
      </c>
    </row>
    <row r="1241" spans="7:8" x14ac:dyDescent="0.25">
      <c r="G1241" s="28">
        <f t="shared" si="67"/>
        <v>0</v>
      </c>
      <c r="H1241" s="9">
        <v>21</v>
      </c>
    </row>
    <row r="1242" spans="7:8" x14ac:dyDescent="0.25">
      <c r="G1242" s="28">
        <f t="shared" si="67"/>
        <v>0</v>
      </c>
      <c r="H1242" s="9">
        <v>21</v>
      </c>
    </row>
    <row r="1243" spans="7:8" x14ac:dyDescent="0.25">
      <c r="G1243" s="28">
        <f t="shared" si="67"/>
        <v>0</v>
      </c>
      <c r="H1243" s="9">
        <v>21</v>
      </c>
    </row>
    <row r="1244" spans="7:8" x14ac:dyDescent="0.25">
      <c r="G1244" s="28">
        <f t="shared" si="67"/>
        <v>0</v>
      </c>
      <c r="H1244" s="9">
        <v>21</v>
      </c>
    </row>
    <row r="1245" spans="7:8" x14ac:dyDescent="0.25">
      <c r="G1245" s="28">
        <f t="shared" si="67"/>
        <v>0</v>
      </c>
      <c r="H1245" s="9">
        <v>21</v>
      </c>
    </row>
    <row r="1246" spans="7:8" x14ac:dyDescent="0.25">
      <c r="G1246" s="28">
        <f t="shared" si="67"/>
        <v>0</v>
      </c>
      <c r="H1246" s="9">
        <v>21</v>
      </c>
    </row>
    <row r="1247" spans="7:8" x14ac:dyDescent="0.25">
      <c r="G1247" s="28">
        <f t="shared" si="67"/>
        <v>0</v>
      </c>
      <c r="H1247" s="9">
        <v>21</v>
      </c>
    </row>
    <row r="1248" spans="7:8" x14ac:dyDescent="0.25">
      <c r="G1248" s="28">
        <f t="shared" si="67"/>
        <v>0</v>
      </c>
      <c r="H1248" s="9">
        <v>21</v>
      </c>
    </row>
    <row r="1249" spans="7:8" x14ac:dyDescent="0.25">
      <c r="G1249" s="28">
        <f t="shared" si="67"/>
        <v>0</v>
      </c>
      <c r="H1249" s="9">
        <v>21</v>
      </c>
    </row>
    <row r="1250" spans="7:8" x14ac:dyDescent="0.25">
      <c r="G1250" s="28">
        <f t="shared" si="67"/>
        <v>0</v>
      </c>
      <c r="H1250" s="9">
        <v>21</v>
      </c>
    </row>
    <row r="1251" spans="7:8" x14ac:dyDescent="0.25">
      <c r="G1251" s="28">
        <f t="shared" si="67"/>
        <v>0</v>
      </c>
      <c r="H1251" s="9">
        <v>21</v>
      </c>
    </row>
    <row r="1252" spans="7:8" x14ac:dyDescent="0.25">
      <c r="G1252" s="28">
        <f t="shared" si="67"/>
        <v>0</v>
      </c>
      <c r="H1252" s="9">
        <v>21</v>
      </c>
    </row>
    <row r="1253" spans="7:8" x14ac:dyDescent="0.25">
      <c r="G1253" s="28">
        <f t="shared" si="67"/>
        <v>0</v>
      </c>
      <c r="H1253" s="9">
        <v>21</v>
      </c>
    </row>
    <row r="1254" spans="7:8" x14ac:dyDescent="0.25">
      <c r="G1254" s="28">
        <f t="shared" si="67"/>
        <v>0</v>
      </c>
      <c r="H1254" s="9">
        <v>21</v>
      </c>
    </row>
    <row r="1255" spans="7:8" x14ac:dyDescent="0.25">
      <c r="G1255" s="28">
        <f t="shared" si="67"/>
        <v>0</v>
      </c>
      <c r="H1255" s="9">
        <v>21</v>
      </c>
    </row>
    <row r="1256" spans="7:8" x14ac:dyDescent="0.25">
      <c r="G1256" s="28">
        <f t="shared" si="67"/>
        <v>0</v>
      </c>
      <c r="H1256" s="9">
        <v>21</v>
      </c>
    </row>
    <row r="1257" spans="7:8" x14ac:dyDescent="0.25">
      <c r="G1257" s="28">
        <f t="shared" si="67"/>
        <v>0</v>
      </c>
      <c r="H1257" s="9">
        <v>21</v>
      </c>
    </row>
    <row r="1258" spans="7:8" x14ac:dyDescent="0.25">
      <c r="G1258" s="28">
        <f t="shared" si="67"/>
        <v>0</v>
      </c>
      <c r="H1258" s="9">
        <v>21</v>
      </c>
    </row>
    <row r="1259" spans="7:8" x14ac:dyDescent="0.25">
      <c r="G1259" s="28">
        <f t="shared" si="67"/>
        <v>0</v>
      </c>
      <c r="H1259" s="9">
        <v>21</v>
      </c>
    </row>
    <row r="1260" spans="7:8" x14ac:dyDescent="0.25">
      <c r="G1260" s="28">
        <f t="shared" si="67"/>
        <v>0</v>
      </c>
      <c r="H1260" s="9">
        <v>21</v>
      </c>
    </row>
    <row r="1261" spans="7:8" x14ac:dyDescent="0.25">
      <c r="G1261" s="28">
        <f t="shared" si="67"/>
        <v>0</v>
      </c>
      <c r="H1261" s="9">
        <v>21</v>
      </c>
    </row>
    <row r="1262" spans="7:8" x14ac:dyDescent="0.25">
      <c r="G1262" s="28">
        <f t="shared" si="67"/>
        <v>0</v>
      </c>
      <c r="H1262" s="9">
        <v>21</v>
      </c>
    </row>
    <row r="1263" spans="7:8" x14ac:dyDescent="0.25">
      <c r="G1263" s="28">
        <f t="shared" si="67"/>
        <v>0</v>
      </c>
      <c r="H1263" s="9">
        <v>21</v>
      </c>
    </row>
    <row r="1264" spans="7:8" x14ac:dyDescent="0.25">
      <c r="G1264" s="28">
        <f t="shared" si="67"/>
        <v>0</v>
      </c>
      <c r="H1264" s="9">
        <v>21</v>
      </c>
    </row>
    <row r="1265" spans="7:8" x14ac:dyDescent="0.25">
      <c r="G1265" s="28">
        <f t="shared" si="67"/>
        <v>0</v>
      </c>
      <c r="H1265" s="9">
        <v>21</v>
      </c>
    </row>
    <row r="1266" spans="7:8" x14ac:dyDescent="0.25">
      <c r="G1266" s="28">
        <f t="shared" si="67"/>
        <v>0</v>
      </c>
      <c r="H1266" s="9">
        <v>21</v>
      </c>
    </row>
    <row r="1267" spans="7:8" x14ac:dyDescent="0.25">
      <c r="G1267" s="28">
        <f t="shared" si="67"/>
        <v>0</v>
      </c>
      <c r="H1267" s="9">
        <v>21</v>
      </c>
    </row>
    <row r="1268" spans="7:8" x14ac:dyDescent="0.25">
      <c r="G1268" s="28">
        <f t="shared" si="67"/>
        <v>0</v>
      </c>
      <c r="H1268" s="9">
        <v>21</v>
      </c>
    </row>
    <row r="1269" spans="7:8" x14ac:dyDescent="0.25">
      <c r="G1269" s="28">
        <f t="shared" si="67"/>
        <v>0</v>
      </c>
      <c r="H1269" s="9">
        <v>21</v>
      </c>
    </row>
    <row r="1270" spans="7:8" x14ac:dyDescent="0.25">
      <c r="G1270" s="28">
        <f t="shared" si="67"/>
        <v>0</v>
      </c>
      <c r="H1270" s="9">
        <v>21</v>
      </c>
    </row>
    <row r="1271" spans="7:8" x14ac:dyDescent="0.25">
      <c r="G1271" s="28">
        <f t="shared" si="67"/>
        <v>0</v>
      </c>
      <c r="H1271" s="9">
        <v>21</v>
      </c>
    </row>
    <row r="1272" spans="7:8" x14ac:dyDescent="0.25">
      <c r="G1272" s="28">
        <f t="shared" si="67"/>
        <v>0</v>
      </c>
      <c r="H1272" s="9">
        <v>21</v>
      </c>
    </row>
    <row r="1273" spans="7:8" x14ac:dyDescent="0.25">
      <c r="G1273" s="28">
        <f t="shared" si="67"/>
        <v>0</v>
      </c>
      <c r="H1273" s="9">
        <v>21</v>
      </c>
    </row>
    <row r="1274" spans="7:8" x14ac:dyDescent="0.25">
      <c r="G1274" s="28">
        <f t="shared" si="67"/>
        <v>0</v>
      </c>
      <c r="H1274" s="9">
        <v>21</v>
      </c>
    </row>
    <row r="1275" spans="7:8" x14ac:dyDescent="0.25">
      <c r="G1275" s="28">
        <f t="shared" si="67"/>
        <v>0</v>
      </c>
      <c r="H1275" s="9">
        <v>21</v>
      </c>
    </row>
    <row r="1276" spans="7:8" x14ac:dyDescent="0.25">
      <c r="G1276" s="28">
        <f t="shared" si="67"/>
        <v>0</v>
      </c>
      <c r="H1276" s="9">
        <v>21</v>
      </c>
    </row>
    <row r="1277" spans="7:8" x14ac:dyDescent="0.25">
      <c r="G1277" s="28">
        <f t="shared" si="67"/>
        <v>0</v>
      </c>
      <c r="H1277" s="9">
        <v>21</v>
      </c>
    </row>
    <row r="1278" spans="7:8" x14ac:dyDescent="0.25">
      <c r="G1278" s="28">
        <f t="shared" si="67"/>
        <v>0</v>
      </c>
      <c r="H1278" s="9">
        <v>21</v>
      </c>
    </row>
    <row r="1279" spans="7:8" x14ac:dyDescent="0.25">
      <c r="G1279" s="28">
        <f t="shared" si="67"/>
        <v>0</v>
      </c>
      <c r="H1279" s="9">
        <v>21</v>
      </c>
    </row>
    <row r="1280" spans="7:8" x14ac:dyDescent="0.25">
      <c r="G1280" s="28">
        <f t="shared" si="67"/>
        <v>0</v>
      </c>
      <c r="H1280" s="9">
        <v>21</v>
      </c>
    </row>
    <row r="1281" spans="7:8" x14ac:dyDescent="0.25">
      <c r="G1281" s="28">
        <f t="shared" si="67"/>
        <v>0</v>
      </c>
      <c r="H1281" s="9">
        <v>21</v>
      </c>
    </row>
    <row r="1282" spans="7:8" x14ac:dyDescent="0.25">
      <c r="G1282" s="28">
        <f t="shared" si="67"/>
        <v>0</v>
      </c>
      <c r="H1282" s="9">
        <v>21</v>
      </c>
    </row>
    <row r="1283" spans="7:8" x14ac:dyDescent="0.25">
      <c r="G1283" s="28">
        <f t="shared" si="67"/>
        <v>0</v>
      </c>
      <c r="H1283" s="9">
        <v>21</v>
      </c>
    </row>
    <row r="1284" spans="7:8" x14ac:dyDescent="0.25">
      <c r="G1284" s="28">
        <f t="shared" si="67"/>
        <v>0</v>
      </c>
      <c r="H1284" s="9">
        <v>21</v>
      </c>
    </row>
    <row r="1285" spans="7:8" x14ac:dyDescent="0.25">
      <c r="G1285" s="28">
        <f t="shared" si="67"/>
        <v>0</v>
      </c>
      <c r="H1285" s="9">
        <v>21</v>
      </c>
    </row>
    <row r="1286" spans="7:8" x14ac:dyDescent="0.25">
      <c r="G1286" s="28">
        <f t="shared" si="67"/>
        <v>0</v>
      </c>
      <c r="H1286" s="9">
        <v>21</v>
      </c>
    </row>
    <row r="1287" spans="7:8" x14ac:dyDescent="0.25">
      <c r="G1287" s="28">
        <f t="shared" si="67"/>
        <v>0</v>
      </c>
      <c r="H1287" s="9">
        <v>21</v>
      </c>
    </row>
    <row r="1288" spans="7:8" x14ac:dyDescent="0.25">
      <c r="G1288" s="28">
        <f t="shared" si="67"/>
        <v>0</v>
      </c>
      <c r="H1288" s="9">
        <v>21</v>
      </c>
    </row>
    <row r="1289" spans="7:8" x14ac:dyDescent="0.25">
      <c r="G1289" s="28">
        <f t="shared" si="67"/>
        <v>0</v>
      </c>
      <c r="H1289" s="9">
        <v>21</v>
      </c>
    </row>
    <row r="1290" spans="7:8" x14ac:dyDescent="0.25">
      <c r="G1290" s="28">
        <f t="shared" si="67"/>
        <v>0</v>
      </c>
      <c r="H1290" s="9">
        <v>21</v>
      </c>
    </row>
    <row r="1291" spans="7:8" x14ac:dyDescent="0.25">
      <c r="G1291" s="28">
        <f t="shared" si="67"/>
        <v>0</v>
      </c>
      <c r="H1291" s="9">
        <v>21</v>
      </c>
    </row>
    <row r="1292" spans="7:8" x14ac:dyDescent="0.25">
      <c r="G1292" s="28">
        <f t="shared" si="67"/>
        <v>0</v>
      </c>
      <c r="H1292" s="9">
        <v>21</v>
      </c>
    </row>
    <row r="1293" spans="7:8" x14ac:dyDescent="0.25">
      <c r="G1293" s="28">
        <f t="shared" si="67"/>
        <v>0</v>
      </c>
      <c r="H1293" s="9">
        <v>21</v>
      </c>
    </row>
    <row r="1294" spans="7:8" x14ac:dyDescent="0.25">
      <c r="G1294" s="28">
        <f t="shared" si="67"/>
        <v>0</v>
      </c>
      <c r="H1294" s="9">
        <v>21</v>
      </c>
    </row>
    <row r="1295" spans="7:8" x14ac:dyDescent="0.25">
      <c r="G1295" s="28">
        <f t="shared" si="67"/>
        <v>0</v>
      </c>
      <c r="H1295" s="9">
        <v>21</v>
      </c>
    </row>
    <row r="1296" spans="7:8" x14ac:dyDescent="0.25">
      <c r="G1296" s="28">
        <f t="shared" si="67"/>
        <v>0</v>
      </c>
      <c r="H1296" s="9">
        <v>21</v>
      </c>
    </row>
    <row r="1297" spans="7:8" x14ac:dyDescent="0.25">
      <c r="G1297" s="28">
        <f t="shared" si="67"/>
        <v>0</v>
      </c>
      <c r="H1297" s="9">
        <v>21</v>
      </c>
    </row>
    <row r="1298" spans="7:8" x14ac:dyDescent="0.25">
      <c r="G1298" s="28">
        <f t="shared" ref="G1298:G1361" si="68">+D1298/1.21</f>
        <v>0</v>
      </c>
      <c r="H1298" s="9">
        <v>21</v>
      </c>
    </row>
    <row r="1299" spans="7:8" x14ac:dyDescent="0.25">
      <c r="G1299" s="28">
        <f t="shared" si="68"/>
        <v>0</v>
      </c>
      <c r="H1299" s="9">
        <v>21</v>
      </c>
    </row>
    <row r="1300" spans="7:8" x14ac:dyDescent="0.25">
      <c r="G1300" s="28">
        <f t="shared" si="68"/>
        <v>0</v>
      </c>
      <c r="H1300" s="9">
        <v>21</v>
      </c>
    </row>
    <row r="1301" spans="7:8" x14ac:dyDescent="0.25">
      <c r="G1301" s="28">
        <f t="shared" si="68"/>
        <v>0</v>
      </c>
      <c r="H1301" s="9">
        <v>21</v>
      </c>
    </row>
    <row r="1302" spans="7:8" x14ac:dyDescent="0.25">
      <c r="G1302" s="28">
        <f t="shared" si="68"/>
        <v>0</v>
      </c>
      <c r="H1302" s="9">
        <v>21</v>
      </c>
    </row>
    <row r="1303" spans="7:8" x14ac:dyDescent="0.25">
      <c r="G1303" s="28">
        <f t="shared" si="68"/>
        <v>0</v>
      </c>
      <c r="H1303" s="9">
        <v>21</v>
      </c>
    </row>
    <row r="1304" spans="7:8" x14ac:dyDescent="0.25">
      <c r="G1304" s="28">
        <f t="shared" si="68"/>
        <v>0</v>
      </c>
      <c r="H1304" s="9">
        <v>21</v>
      </c>
    </row>
    <row r="1305" spans="7:8" x14ac:dyDescent="0.25">
      <c r="G1305" s="28">
        <f t="shared" si="68"/>
        <v>0</v>
      </c>
      <c r="H1305" s="9">
        <v>21</v>
      </c>
    </row>
    <row r="1306" spans="7:8" x14ac:dyDescent="0.25">
      <c r="G1306" s="28">
        <f t="shared" si="68"/>
        <v>0</v>
      </c>
      <c r="H1306" s="9">
        <v>21</v>
      </c>
    </row>
    <row r="1307" spans="7:8" x14ac:dyDescent="0.25">
      <c r="G1307" s="28">
        <f t="shared" si="68"/>
        <v>0</v>
      </c>
      <c r="H1307" s="9">
        <v>21</v>
      </c>
    </row>
    <row r="1308" spans="7:8" x14ac:dyDescent="0.25">
      <c r="G1308" s="28">
        <f t="shared" si="68"/>
        <v>0</v>
      </c>
      <c r="H1308" s="9">
        <v>21</v>
      </c>
    </row>
    <row r="1309" spans="7:8" x14ac:dyDescent="0.25">
      <c r="G1309" s="28">
        <f t="shared" si="68"/>
        <v>0</v>
      </c>
      <c r="H1309" s="9">
        <v>21</v>
      </c>
    </row>
    <row r="1310" spans="7:8" x14ac:dyDescent="0.25">
      <c r="G1310" s="28">
        <f t="shared" si="68"/>
        <v>0</v>
      </c>
      <c r="H1310" s="9">
        <v>21</v>
      </c>
    </row>
    <row r="1311" spans="7:8" x14ac:dyDescent="0.25">
      <c r="G1311" s="28">
        <f t="shared" si="68"/>
        <v>0</v>
      </c>
      <c r="H1311" s="9">
        <v>21</v>
      </c>
    </row>
    <row r="1312" spans="7:8" x14ac:dyDescent="0.25">
      <c r="G1312" s="28">
        <f t="shared" si="68"/>
        <v>0</v>
      </c>
      <c r="H1312" s="9">
        <v>21</v>
      </c>
    </row>
    <row r="1313" spans="7:8" x14ac:dyDescent="0.25">
      <c r="G1313" s="28">
        <f t="shared" si="68"/>
        <v>0</v>
      </c>
      <c r="H1313" s="9">
        <v>21</v>
      </c>
    </row>
    <row r="1314" spans="7:8" x14ac:dyDescent="0.25">
      <c r="G1314" s="28">
        <f t="shared" si="68"/>
        <v>0</v>
      </c>
      <c r="H1314" s="9">
        <v>21</v>
      </c>
    </row>
    <row r="1315" spans="7:8" x14ac:dyDescent="0.25">
      <c r="G1315" s="28">
        <f t="shared" si="68"/>
        <v>0</v>
      </c>
      <c r="H1315" s="9">
        <v>21</v>
      </c>
    </row>
    <row r="1316" spans="7:8" x14ac:dyDescent="0.25">
      <c r="G1316" s="28">
        <f t="shared" si="68"/>
        <v>0</v>
      </c>
      <c r="H1316" s="9">
        <v>21</v>
      </c>
    </row>
    <row r="1317" spans="7:8" x14ac:dyDescent="0.25">
      <c r="G1317" s="28">
        <f t="shared" si="68"/>
        <v>0</v>
      </c>
      <c r="H1317" s="9">
        <v>21</v>
      </c>
    </row>
    <row r="1318" spans="7:8" x14ac:dyDescent="0.25">
      <c r="G1318" s="28">
        <f t="shared" si="68"/>
        <v>0</v>
      </c>
      <c r="H1318" s="9">
        <v>21</v>
      </c>
    </row>
    <row r="1319" spans="7:8" x14ac:dyDescent="0.25">
      <c r="G1319" s="28">
        <f t="shared" si="68"/>
        <v>0</v>
      </c>
      <c r="H1319" s="9">
        <v>21</v>
      </c>
    </row>
    <row r="1320" spans="7:8" x14ac:dyDescent="0.25">
      <c r="G1320" s="28">
        <f t="shared" si="68"/>
        <v>0</v>
      </c>
      <c r="H1320" s="9">
        <v>21</v>
      </c>
    </row>
    <row r="1321" spans="7:8" x14ac:dyDescent="0.25">
      <c r="G1321" s="28">
        <f t="shared" si="68"/>
        <v>0</v>
      </c>
      <c r="H1321" s="9">
        <v>21</v>
      </c>
    </row>
    <row r="1322" spans="7:8" x14ac:dyDescent="0.25">
      <c r="G1322" s="28">
        <f t="shared" si="68"/>
        <v>0</v>
      </c>
      <c r="H1322" s="9">
        <v>21</v>
      </c>
    </row>
    <row r="1323" spans="7:8" x14ac:dyDescent="0.25">
      <c r="G1323" s="28">
        <f t="shared" si="68"/>
        <v>0</v>
      </c>
      <c r="H1323" s="9">
        <v>21</v>
      </c>
    </row>
    <row r="1324" spans="7:8" x14ac:dyDescent="0.25">
      <c r="G1324" s="28">
        <f t="shared" si="68"/>
        <v>0</v>
      </c>
      <c r="H1324" s="9">
        <v>21</v>
      </c>
    </row>
    <row r="1325" spans="7:8" x14ac:dyDescent="0.25">
      <c r="G1325" s="28">
        <f t="shared" si="68"/>
        <v>0</v>
      </c>
      <c r="H1325" s="9">
        <v>21</v>
      </c>
    </row>
    <row r="1326" spans="7:8" x14ac:dyDescent="0.25">
      <c r="G1326" s="28">
        <f t="shared" si="68"/>
        <v>0</v>
      </c>
      <c r="H1326" s="9">
        <v>21</v>
      </c>
    </row>
    <row r="1327" spans="7:8" x14ac:dyDescent="0.25">
      <c r="G1327" s="28">
        <f t="shared" si="68"/>
        <v>0</v>
      </c>
      <c r="H1327" s="9">
        <v>21</v>
      </c>
    </row>
    <row r="1328" spans="7:8" x14ac:dyDescent="0.25">
      <c r="G1328" s="28">
        <f t="shared" si="68"/>
        <v>0</v>
      </c>
      <c r="H1328" s="9">
        <v>21</v>
      </c>
    </row>
    <row r="1329" spans="7:8" x14ac:dyDescent="0.25">
      <c r="G1329" s="28">
        <f t="shared" si="68"/>
        <v>0</v>
      </c>
      <c r="H1329" s="9">
        <v>21</v>
      </c>
    </row>
    <row r="1330" spans="7:8" x14ac:dyDescent="0.25">
      <c r="G1330" s="28">
        <f t="shared" si="68"/>
        <v>0</v>
      </c>
      <c r="H1330" s="9">
        <v>21</v>
      </c>
    </row>
    <row r="1331" spans="7:8" x14ac:dyDescent="0.25">
      <c r="G1331" s="28">
        <f t="shared" si="68"/>
        <v>0</v>
      </c>
      <c r="H1331" s="9">
        <v>21</v>
      </c>
    </row>
    <row r="1332" spans="7:8" x14ac:dyDescent="0.25">
      <c r="G1332" s="28">
        <f t="shared" si="68"/>
        <v>0</v>
      </c>
      <c r="H1332" s="9">
        <v>21</v>
      </c>
    </row>
    <row r="1333" spans="7:8" x14ac:dyDescent="0.25">
      <c r="G1333" s="28">
        <f t="shared" si="68"/>
        <v>0</v>
      </c>
      <c r="H1333" s="9">
        <v>21</v>
      </c>
    </row>
    <row r="1334" spans="7:8" x14ac:dyDescent="0.25">
      <c r="G1334" s="28">
        <f t="shared" si="68"/>
        <v>0</v>
      </c>
      <c r="H1334" s="9">
        <v>21</v>
      </c>
    </row>
    <row r="1335" spans="7:8" x14ac:dyDescent="0.25">
      <c r="G1335" s="28">
        <f t="shared" si="68"/>
        <v>0</v>
      </c>
      <c r="H1335" s="9">
        <v>21</v>
      </c>
    </row>
    <row r="1336" spans="7:8" x14ac:dyDescent="0.25">
      <c r="G1336" s="28">
        <f t="shared" si="68"/>
        <v>0</v>
      </c>
      <c r="H1336" s="9">
        <v>21</v>
      </c>
    </row>
    <row r="1337" spans="7:8" x14ac:dyDescent="0.25">
      <c r="G1337" s="28">
        <f t="shared" si="68"/>
        <v>0</v>
      </c>
      <c r="H1337" s="9">
        <v>21</v>
      </c>
    </row>
    <row r="1338" spans="7:8" x14ac:dyDescent="0.25">
      <c r="G1338" s="28">
        <f t="shared" si="68"/>
        <v>0</v>
      </c>
      <c r="H1338" s="9">
        <v>21</v>
      </c>
    </row>
    <row r="1339" spans="7:8" x14ac:dyDescent="0.25">
      <c r="G1339" s="28">
        <f t="shared" si="68"/>
        <v>0</v>
      </c>
      <c r="H1339" s="9">
        <v>21</v>
      </c>
    </row>
    <row r="1340" spans="7:8" x14ac:dyDescent="0.25">
      <c r="G1340" s="28">
        <f t="shared" si="68"/>
        <v>0</v>
      </c>
      <c r="H1340" s="9">
        <v>21</v>
      </c>
    </row>
    <row r="1341" spans="7:8" x14ac:dyDescent="0.25">
      <c r="G1341" s="28">
        <f t="shared" si="68"/>
        <v>0</v>
      </c>
      <c r="H1341" s="9">
        <v>21</v>
      </c>
    </row>
    <row r="1342" spans="7:8" x14ac:dyDescent="0.25">
      <c r="G1342" s="28">
        <f t="shared" si="68"/>
        <v>0</v>
      </c>
      <c r="H1342" s="9">
        <v>21</v>
      </c>
    </row>
    <row r="1343" spans="7:8" x14ac:dyDescent="0.25">
      <c r="G1343" s="28">
        <f t="shared" si="68"/>
        <v>0</v>
      </c>
      <c r="H1343" s="9">
        <v>21</v>
      </c>
    </row>
    <row r="1344" spans="7:8" x14ac:dyDescent="0.25">
      <c r="G1344" s="28">
        <f t="shared" si="68"/>
        <v>0</v>
      </c>
      <c r="H1344" s="9">
        <v>21</v>
      </c>
    </row>
    <row r="1345" spans="7:8" x14ac:dyDescent="0.25">
      <c r="G1345" s="28">
        <f t="shared" si="68"/>
        <v>0</v>
      </c>
      <c r="H1345" s="9">
        <v>21</v>
      </c>
    </row>
    <row r="1346" spans="7:8" x14ac:dyDescent="0.25">
      <c r="G1346" s="28">
        <f t="shared" si="68"/>
        <v>0</v>
      </c>
      <c r="H1346" s="9">
        <v>21</v>
      </c>
    </row>
    <row r="1347" spans="7:8" x14ac:dyDescent="0.25">
      <c r="G1347" s="28">
        <f t="shared" si="68"/>
        <v>0</v>
      </c>
      <c r="H1347" s="9">
        <v>21</v>
      </c>
    </row>
    <row r="1348" spans="7:8" x14ac:dyDescent="0.25">
      <c r="G1348" s="28">
        <f t="shared" si="68"/>
        <v>0</v>
      </c>
      <c r="H1348" s="9">
        <v>21</v>
      </c>
    </row>
    <row r="1349" spans="7:8" x14ac:dyDescent="0.25">
      <c r="G1349" s="28">
        <f t="shared" si="68"/>
        <v>0</v>
      </c>
      <c r="H1349" s="9">
        <v>21</v>
      </c>
    </row>
    <row r="1350" spans="7:8" x14ac:dyDescent="0.25">
      <c r="G1350" s="28">
        <f t="shared" si="68"/>
        <v>0</v>
      </c>
      <c r="H1350" s="9">
        <v>21</v>
      </c>
    </row>
    <row r="1351" spans="7:8" x14ac:dyDescent="0.25">
      <c r="G1351" s="28">
        <f t="shared" si="68"/>
        <v>0</v>
      </c>
      <c r="H1351" s="9">
        <v>21</v>
      </c>
    </row>
    <row r="1352" spans="7:8" x14ac:dyDescent="0.25">
      <c r="G1352" s="28">
        <f t="shared" si="68"/>
        <v>0</v>
      </c>
      <c r="H1352" s="9">
        <v>21</v>
      </c>
    </row>
    <row r="1353" spans="7:8" x14ac:dyDescent="0.25">
      <c r="G1353" s="28">
        <f t="shared" si="68"/>
        <v>0</v>
      </c>
      <c r="H1353" s="9">
        <v>21</v>
      </c>
    </row>
    <row r="1354" spans="7:8" x14ac:dyDescent="0.25">
      <c r="G1354" s="28">
        <f t="shared" si="68"/>
        <v>0</v>
      </c>
      <c r="H1354" s="9">
        <v>21</v>
      </c>
    </row>
    <row r="1355" spans="7:8" x14ac:dyDescent="0.25">
      <c r="G1355" s="28">
        <f t="shared" si="68"/>
        <v>0</v>
      </c>
      <c r="H1355" s="9">
        <v>21</v>
      </c>
    </row>
    <row r="1356" spans="7:8" x14ac:dyDescent="0.25">
      <c r="G1356" s="28">
        <f t="shared" si="68"/>
        <v>0</v>
      </c>
      <c r="H1356" s="9">
        <v>21</v>
      </c>
    </row>
    <row r="1357" spans="7:8" x14ac:dyDescent="0.25">
      <c r="G1357" s="28">
        <f t="shared" si="68"/>
        <v>0</v>
      </c>
      <c r="H1357" s="9">
        <v>21</v>
      </c>
    </row>
    <row r="1358" spans="7:8" x14ac:dyDescent="0.25">
      <c r="G1358" s="28">
        <f t="shared" si="68"/>
        <v>0</v>
      </c>
      <c r="H1358" s="9">
        <v>21</v>
      </c>
    </row>
    <row r="1359" spans="7:8" x14ac:dyDescent="0.25">
      <c r="G1359" s="28">
        <f t="shared" si="68"/>
        <v>0</v>
      </c>
      <c r="H1359" s="9">
        <v>21</v>
      </c>
    </row>
    <row r="1360" spans="7:8" x14ac:dyDescent="0.25">
      <c r="G1360" s="28">
        <f t="shared" si="68"/>
        <v>0</v>
      </c>
      <c r="H1360" s="9">
        <v>21</v>
      </c>
    </row>
    <row r="1361" spans="7:8" x14ac:dyDescent="0.25">
      <c r="G1361" s="28">
        <f t="shared" si="68"/>
        <v>0</v>
      </c>
      <c r="H1361" s="9">
        <v>21</v>
      </c>
    </row>
    <row r="1362" spans="7:8" x14ac:dyDescent="0.25">
      <c r="G1362" s="28">
        <f t="shared" ref="G1362:G1425" si="69">+D1362/1.21</f>
        <v>0</v>
      </c>
      <c r="H1362" s="9">
        <v>21</v>
      </c>
    </row>
    <row r="1363" spans="7:8" x14ac:dyDescent="0.25">
      <c r="G1363" s="28">
        <f t="shared" si="69"/>
        <v>0</v>
      </c>
      <c r="H1363" s="9">
        <v>21</v>
      </c>
    </row>
    <row r="1364" spans="7:8" x14ac:dyDescent="0.25">
      <c r="G1364" s="28">
        <f t="shared" si="69"/>
        <v>0</v>
      </c>
      <c r="H1364" s="9">
        <v>21</v>
      </c>
    </row>
    <row r="1365" spans="7:8" x14ac:dyDescent="0.25">
      <c r="G1365" s="28">
        <f t="shared" si="69"/>
        <v>0</v>
      </c>
      <c r="H1365" s="9">
        <v>21</v>
      </c>
    </row>
    <row r="1366" spans="7:8" x14ac:dyDescent="0.25">
      <c r="G1366" s="28">
        <f t="shared" si="69"/>
        <v>0</v>
      </c>
      <c r="H1366" s="9">
        <v>21</v>
      </c>
    </row>
    <row r="1367" spans="7:8" x14ac:dyDescent="0.25">
      <c r="G1367" s="28">
        <f t="shared" si="69"/>
        <v>0</v>
      </c>
      <c r="H1367" s="9">
        <v>21</v>
      </c>
    </row>
    <row r="1368" spans="7:8" x14ac:dyDescent="0.25">
      <c r="G1368" s="28">
        <f t="shared" si="69"/>
        <v>0</v>
      </c>
      <c r="H1368" s="9">
        <v>21</v>
      </c>
    </row>
    <row r="1369" spans="7:8" x14ac:dyDescent="0.25">
      <c r="G1369" s="28">
        <f t="shared" si="69"/>
        <v>0</v>
      </c>
      <c r="H1369" s="9">
        <v>21</v>
      </c>
    </row>
    <row r="1370" spans="7:8" x14ac:dyDescent="0.25">
      <c r="G1370" s="28">
        <f t="shared" si="69"/>
        <v>0</v>
      </c>
      <c r="H1370" s="9">
        <v>21</v>
      </c>
    </row>
    <row r="1371" spans="7:8" x14ac:dyDescent="0.25">
      <c r="G1371" s="28">
        <f t="shared" si="69"/>
        <v>0</v>
      </c>
      <c r="H1371" s="9">
        <v>21</v>
      </c>
    </row>
    <row r="1372" spans="7:8" x14ac:dyDescent="0.25">
      <c r="G1372" s="28">
        <f t="shared" si="69"/>
        <v>0</v>
      </c>
      <c r="H1372" s="9">
        <v>21</v>
      </c>
    </row>
    <row r="1373" spans="7:8" x14ac:dyDescent="0.25">
      <c r="G1373" s="28">
        <f t="shared" si="69"/>
        <v>0</v>
      </c>
      <c r="H1373" s="9">
        <v>21</v>
      </c>
    </row>
    <row r="1374" spans="7:8" x14ac:dyDescent="0.25">
      <c r="G1374" s="28">
        <f t="shared" si="69"/>
        <v>0</v>
      </c>
      <c r="H1374" s="9">
        <v>21</v>
      </c>
    </row>
    <row r="1375" spans="7:8" x14ac:dyDescent="0.25">
      <c r="G1375" s="28">
        <f t="shared" si="69"/>
        <v>0</v>
      </c>
      <c r="H1375" s="9">
        <v>21</v>
      </c>
    </row>
    <row r="1376" spans="7:8" x14ac:dyDescent="0.25">
      <c r="G1376" s="28">
        <f t="shared" si="69"/>
        <v>0</v>
      </c>
      <c r="H1376" s="9">
        <v>21</v>
      </c>
    </row>
    <row r="1377" spans="7:8" x14ac:dyDescent="0.25">
      <c r="G1377" s="28">
        <f t="shared" si="69"/>
        <v>0</v>
      </c>
      <c r="H1377" s="9">
        <v>21</v>
      </c>
    </row>
    <row r="1378" spans="7:8" x14ac:dyDescent="0.25">
      <c r="G1378" s="28">
        <f t="shared" si="69"/>
        <v>0</v>
      </c>
      <c r="H1378" s="9">
        <v>21</v>
      </c>
    </row>
    <row r="1379" spans="7:8" x14ac:dyDescent="0.25">
      <c r="G1379" s="28">
        <f t="shared" si="69"/>
        <v>0</v>
      </c>
      <c r="H1379" s="9">
        <v>21</v>
      </c>
    </row>
    <row r="1380" spans="7:8" x14ac:dyDescent="0.25">
      <c r="G1380" s="28">
        <f t="shared" si="69"/>
        <v>0</v>
      </c>
      <c r="H1380" s="9">
        <v>21</v>
      </c>
    </row>
    <row r="1381" spans="7:8" x14ac:dyDescent="0.25">
      <c r="G1381" s="28">
        <f t="shared" si="69"/>
        <v>0</v>
      </c>
      <c r="H1381" s="9">
        <v>21</v>
      </c>
    </row>
    <row r="1382" spans="7:8" x14ac:dyDescent="0.25">
      <c r="G1382" s="28">
        <f t="shared" si="69"/>
        <v>0</v>
      </c>
      <c r="H1382" s="9">
        <v>21</v>
      </c>
    </row>
    <row r="1383" spans="7:8" x14ac:dyDescent="0.25">
      <c r="G1383" s="28">
        <f t="shared" si="69"/>
        <v>0</v>
      </c>
      <c r="H1383" s="9">
        <v>21</v>
      </c>
    </row>
    <row r="1384" spans="7:8" x14ac:dyDescent="0.25">
      <c r="G1384" s="28">
        <f t="shared" si="69"/>
        <v>0</v>
      </c>
      <c r="H1384" s="9">
        <v>21</v>
      </c>
    </row>
    <row r="1385" spans="7:8" x14ac:dyDescent="0.25">
      <c r="G1385" s="28">
        <f t="shared" si="69"/>
        <v>0</v>
      </c>
      <c r="H1385" s="9">
        <v>21</v>
      </c>
    </row>
    <row r="1386" spans="7:8" x14ac:dyDescent="0.25">
      <c r="G1386" s="28">
        <f t="shared" si="69"/>
        <v>0</v>
      </c>
      <c r="H1386" s="9">
        <v>21</v>
      </c>
    </row>
    <row r="1387" spans="7:8" x14ac:dyDescent="0.25">
      <c r="G1387" s="28">
        <f t="shared" si="69"/>
        <v>0</v>
      </c>
      <c r="H1387" s="9">
        <v>21</v>
      </c>
    </row>
    <row r="1388" spans="7:8" x14ac:dyDescent="0.25">
      <c r="G1388" s="28">
        <f t="shared" si="69"/>
        <v>0</v>
      </c>
      <c r="H1388" s="9">
        <v>21</v>
      </c>
    </row>
    <row r="1389" spans="7:8" x14ac:dyDescent="0.25">
      <c r="G1389" s="28">
        <f t="shared" si="69"/>
        <v>0</v>
      </c>
      <c r="H1389" s="9">
        <v>21</v>
      </c>
    </row>
    <row r="1390" spans="7:8" x14ac:dyDescent="0.25">
      <c r="G1390" s="28">
        <f t="shared" si="69"/>
        <v>0</v>
      </c>
      <c r="H1390" s="9">
        <v>21</v>
      </c>
    </row>
    <row r="1391" spans="7:8" x14ac:dyDescent="0.25">
      <c r="G1391" s="28">
        <f t="shared" si="69"/>
        <v>0</v>
      </c>
      <c r="H1391" s="9">
        <v>21</v>
      </c>
    </row>
    <row r="1392" spans="7:8" x14ac:dyDescent="0.25">
      <c r="G1392" s="28">
        <f t="shared" si="69"/>
        <v>0</v>
      </c>
      <c r="H1392" s="9">
        <v>21</v>
      </c>
    </row>
    <row r="1393" spans="7:8" x14ac:dyDescent="0.25">
      <c r="G1393" s="28">
        <f t="shared" si="69"/>
        <v>0</v>
      </c>
      <c r="H1393" s="9">
        <v>21</v>
      </c>
    </row>
    <row r="1394" spans="7:8" x14ac:dyDescent="0.25">
      <c r="G1394" s="28">
        <f t="shared" si="69"/>
        <v>0</v>
      </c>
      <c r="H1394" s="9">
        <v>21</v>
      </c>
    </row>
    <row r="1395" spans="7:8" x14ac:dyDescent="0.25">
      <c r="G1395" s="28">
        <f t="shared" si="69"/>
        <v>0</v>
      </c>
      <c r="H1395" s="9">
        <v>21</v>
      </c>
    </row>
    <row r="1396" spans="7:8" x14ac:dyDescent="0.25">
      <c r="G1396" s="28">
        <f t="shared" si="69"/>
        <v>0</v>
      </c>
      <c r="H1396" s="9">
        <v>21</v>
      </c>
    </row>
    <row r="1397" spans="7:8" x14ac:dyDescent="0.25">
      <c r="G1397" s="28">
        <f t="shared" si="69"/>
        <v>0</v>
      </c>
      <c r="H1397" s="9">
        <v>21</v>
      </c>
    </row>
    <row r="1398" spans="7:8" x14ac:dyDescent="0.25">
      <c r="G1398" s="28">
        <f t="shared" si="69"/>
        <v>0</v>
      </c>
      <c r="H1398" s="9">
        <v>21</v>
      </c>
    </row>
    <row r="1399" spans="7:8" x14ac:dyDescent="0.25">
      <c r="G1399" s="28">
        <f t="shared" si="69"/>
        <v>0</v>
      </c>
      <c r="H1399" s="9">
        <v>21</v>
      </c>
    </row>
    <row r="1400" spans="7:8" x14ac:dyDescent="0.25">
      <c r="G1400" s="28">
        <f t="shared" si="69"/>
        <v>0</v>
      </c>
      <c r="H1400" s="9">
        <v>21</v>
      </c>
    </row>
    <row r="1401" spans="7:8" x14ac:dyDescent="0.25">
      <c r="G1401" s="28">
        <f t="shared" si="69"/>
        <v>0</v>
      </c>
      <c r="H1401" s="9">
        <v>21</v>
      </c>
    </row>
    <row r="1402" spans="7:8" x14ac:dyDescent="0.25">
      <c r="G1402" s="28">
        <f t="shared" si="69"/>
        <v>0</v>
      </c>
      <c r="H1402" s="9">
        <v>21</v>
      </c>
    </row>
    <row r="1403" spans="7:8" x14ac:dyDescent="0.25">
      <c r="G1403" s="28">
        <f t="shared" si="69"/>
        <v>0</v>
      </c>
      <c r="H1403" s="9">
        <v>21</v>
      </c>
    </row>
    <row r="1404" spans="7:8" x14ac:dyDescent="0.25">
      <c r="G1404" s="28">
        <f t="shared" si="69"/>
        <v>0</v>
      </c>
      <c r="H1404" s="9">
        <v>21</v>
      </c>
    </row>
    <row r="1405" spans="7:8" x14ac:dyDescent="0.25">
      <c r="G1405" s="28">
        <f t="shared" si="69"/>
        <v>0</v>
      </c>
      <c r="H1405" s="9">
        <v>21</v>
      </c>
    </row>
    <row r="1406" spans="7:8" x14ac:dyDescent="0.25">
      <c r="G1406" s="28">
        <f t="shared" si="69"/>
        <v>0</v>
      </c>
      <c r="H1406" s="9">
        <v>21</v>
      </c>
    </row>
    <row r="1407" spans="7:8" x14ac:dyDescent="0.25">
      <c r="G1407" s="28">
        <f t="shared" si="69"/>
        <v>0</v>
      </c>
      <c r="H1407" s="9">
        <v>21</v>
      </c>
    </row>
    <row r="1408" spans="7:8" x14ac:dyDescent="0.25">
      <c r="G1408" s="28">
        <f t="shared" si="69"/>
        <v>0</v>
      </c>
      <c r="H1408" s="9">
        <v>21</v>
      </c>
    </row>
    <row r="1409" spans="7:8" x14ac:dyDescent="0.25">
      <c r="G1409" s="28">
        <f t="shared" si="69"/>
        <v>0</v>
      </c>
      <c r="H1409" s="9">
        <v>21</v>
      </c>
    </row>
    <row r="1410" spans="7:8" x14ac:dyDescent="0.25">
      <c r="G1410" s="28">
        <f t="shared" si="69"/>
        <v>0</v>
      </c>
      <c r="H1410" s="9">
        <v>21</v>
      </c>
    </row>
    <row r="1411" spans="7:8" x14ac:dyDescent="0.25">
      <c r="G1411" s="28">
        <f t="shared" si="69"/>
        <v>0</v>
      </c>
      <c r="H1411" s="9">
        <v>21</v>
      </c>
    </row>
    <row r="1412" spans="7:8" x14ac:dyDescent="0.25">
      <c r="G1412" s="28">
        <f t="shared" si="69"/>
        <v>0</v>
      </c>
      <c r="H1412" s="9">
        <v>21</v>
      </c>
    </row>
    <row r="1413" spans="7:8" x14ac:dyDescent="0.25">
      <c r="G1413" s="28">
        <f t="shared" si="69"/>
        <v>0</v>
      </c>
      <c r="H1413" s="9">
        <v>21</v>
      </c>
    </row>
    <row r="1414" spans="7:8" x14ac:dyDescent="0.25">
      <c r="G1414" s="28">
        <f t="shared" si="69"/>
        <v>0</v>
      </c>
      <c r="H1414" s="9">
        <v>21</v>
      </c>
    </row>
    <row r="1415" spans="7:8" x14ac:dyDescent="0.25">
      <c r="G1415" s="28">
        <f t="shared" si="69"/>
        <v>0</v>
      </c>
      <c r="H1415" s="9">
        <v>21</v>
      </c>
    </row>
    <row r="1416" spans="7:8" x14ac:dyDescent="0.25">
      <c r="G1416" s="28">
        <f t="shared" si="69"/>
        <v>0</v>
      </c>
      <c r="H1416" s="9">
        <v>21</v>
      </c>
    </row>
    <row r="1417" spans="7:8" x14ac:dyDescent="0.25">
      <c r="G1417" s="28">
        <f t="shared" si="69"/>
        <v>0</v>
      </c>
      <c r="H1417" s="9">
        <v>21</v>
      </c>
    </row>
    <row r="1418" spans="7:8" x14ac:dyDescent="0.25">
      <c r="G1418" s="28">
        <f t="shared" si="69"/>
        <v>0</v>
      </c>
      <c r="H1418" s="9">
        <v>21</v>
      </c>
    </row>
    <row r="1419" spans="7:8" x14ac:dyDescent="0.25">
      <c r="G1419" s="28">
        <f t="shared" si="69"/>
        <v>0</v>
      </c>
      <c r="H1419" s="9">
        <v>21</v>
      </c>
    </row>
    <row r="1420" spans="7:8" x14ac:dyDescent="0.25">
      <c r="G1420" s="28">
        <f t="shared" si="69"/>
        <v>0</v>
      </c>
      <c r="H1420" s="9">
        <v>21</v>
      </c>
    </row>
    <row r="1421" spans="7:8" x14ac:dyDescent="0.25">
      <c r="G1421" s="28">
        <f t="shared" si="69"/>
        <v>0</v>
      </c>
      <c r="H1421" s="9">
        <v>21</v>
      </c>
    </row>
    <row r="1422" spans="7:8" x14ac:dyDescent="0.25">
      <c r="G1422" s="28">
        <f t="shared" si="69"/>
        <v>0</v>
      </c>
      <c r="H1422" s="9">
        <v>21</v>
      </c>
    </row>
    <row r="1423" spans="7:8" x14ac:dyDescent="0.25">
      <c r="G1423" s="28">
        <f t="shared" si="69"/>
        <v>0</v>
      </c>
      <c r="H1423" s="9">
        <v>21</v>
      </c>
    </row>
    <row r="1424" spans="7:8" x14ac:dyDescent="0.25">
      <c r="G1424" s="28">
        <f t="shared" si="69"/>
        <v>0</v>
      </c>
      <c r="H1424" s="9">
        <v>21</v>
      </c>
    </row>
    <row r="1425" spans="7:8" x14ac:dyDescent="0.25">
      <c r="G1425" s="28">
        <f t="shared" si="69"/>
        <v>0</v>
      </c>
      <c r="H1425" s="9">
        <v>21</v>
      </c>
    </row>
    <row r="1426" spans="7:8" x14ac:dyDescent="0.25">
      <c r="G1426" s="28">
        <f t="shared" ref="G1426:G1489" si="70">+D1426/1.21</f>
        <v>0</v>
      </c>
      <c r="H1426" s="9">
        <v>21</v>
      </c>
    </row>
    <row r="1427" spans="7:8" x14ac:dyDescent="0.25">
      <c r="G1427" s="28">
        <f t="shared" si="70"/>
        <v>0</v>
      </c>
      <c r="H1427" s="9">
        <v>21</v>
      </c>
    </row>
    <row r="1428" spans="7:8" x14ac:dyDescent="0.25">
      <c r="G1428" s="28">
        <f t="shared" si="70"/>
        <v>0</v>
      </c>
      <c r="H1428" s="9">
        <v>21</v>
      </c>
    </row>
    <row r="1429" spans="7:8" x14ac:dyDescent="0.25">
      <c r="G1429" s="28">
        <f t="shared" si="70"/>
        <v>0</v>
      </c>
      <c r="H1429" s="9">
        <v>21</v>
      </c>
    </row>
    <row r="1430" spans="7:8" x14ac:dyDescent="0.25">
      <c r="G1430" s="28">
        <f t="shared" si="70"/>
        <v>0</v>
      </c>
      <c r="H1430" s="9">
        <v>21</v>
      </c>
    </row>
    <row r="1431" spans="7:8" x14ac:dyDescent="0.25">
      <c r="G1431" s="28">
        <f t="shared" si="70"/>
        <v>0</v>
      </c>
      <c r="H1431" s="9">
        <v>21</v>
      </c>
    </row>
    <row r="1432" spans="7:8" x14ac:dyDescent="0.25">
      <c r="G1432" s="28">
        <f t="shared" si="70"/>
        <v>0</v>
      </c>
      <c r="H1432" s="9">
        <v>21</v>
      </c>
    </row>
    <row r="1433" spans="7:8" x14ac:dyDescent="0.25">
      <c r="G1433" s="28">
        <f t="shared" si="70"/>
        <v>0</v>
      </c>
      <c r="H1433" s="9">
        <v>21</v>
      </c>
    </row>
    <row r="1434" spans="7:8" x14ac:dyDescent="0.25">
      <c r="G1434" s="28">
        <f t="shared" si="70"/>
        <v>0</v>
      </c>
      <c r="H1434" s="9">
        <v>21</v>
      </c>
    </row>
    <row r="1435" spans="7:8" x14ac:dyDescent="0.25">
      <c r="G1435" s="28">
        <f t="shared" si="70"/>
        <v>0</v>
      </c>
      <c r="H1435" s="9">
        <v>21</v>
      </c>
    </row>
    <row r="1436" spans="7:8" x14ac:dyDescent="0.25">
      <c r="G1436" s="28">
        <f t="shared" si="70"/>
        <v>0</v>
      </c>
      <c r="H1436" s="9">
        <v>21</v>
      </c>
    </row>
    <row r="1437" spans="7:8" x14ac:dyDescent="0.25">
      <c r="G1437" s="28">
        <f t="shared" si="70"/>
        <v>0</v>
      </c>
      <c r="H1437" s="9">
        <v>21</v>
      </c>
    </row>
    <row r="1438" spans="7:8" x14ac:dyDescent="0.25">
      <c r="G1438" s="28">
        <f t="shared" si="70"/>
        <v>0</v>
      </c>
      <c r="H1438" s="9">
        <v>21</v>
      </c>
    </row>
    <row r="1439" spans="7:8" x14ac:dyDescent="0.25">
      <c r="G1439" s="28">
        <f t="shared" si="70"/>
        <v>0</v>
      </c>
      <c r="H1439" s="9">
        <v>21</v>
      </c>
    </row>
    <row r="1440" spans="7:8" x14ac:dyDescent="0.25">
      <c r="G1440" s="28">
        <f t="shared" si="70"/>
        <v>0</v>
      </c>
      <c r="H1440" s="9">
        <v>21</v>
      </c>
    </row>
    <row r="1441" spans="7:8" x14ac:dyDescent="0.25">
      <c r="G1441" s="28">
        <f t="shared" si="70"/>
        <v>0</v>
      </c>
      <c r="H1441" s="9">
        <v>21</v>
      </c>
    </row>
    <row r="1442" spans="7:8" x14ac:dyDescent="0.25">
      <c r="G1442" s="28">
        <f t="shared" si="70"/>
        <v>0</v>
      </c>
      <c r="H1442" s="9">
        <v>21</v>
      </c>
    </row>
    <row r="1443" spans="7:8" x14ac:dyDescent="0.25">
      <c r="G1443" s="28">
        <f t="shared" si="70"/>
        <v>0</v>
      </c>
      <c r="H1443" s="9">
        <v>21</v>
      </c>
    </row>
    <row r="1444" spans="7:8" x14ac:dyDescent="0.25">
      <c r="G1444" s="28">
        <f t="shared" si="70"/>
        <v>0</v>
      </c>
      <c r="H1444" s="9">
        <v>21</v>
      </c>
    </row>
    <row r="1445" spans="7:8" x14ac:dyDescent="0.25">
      <c r="G1445" s="28">
        <f t="shared" si="70"/>
        <v>0</v>
      </c>
      <c r="H1445" s="9">
        <v>21</v>
      </c>
    </row>
    <row r="1446" spans="7:8" x14ac:dyDescent="0.25">
      <c r="G1446" s="28">
        <f t="shared" si="70"/>
        <v>0</v>
      </c>
      <c r="H1446" s="9">
        <v>21</v>
      </c>
    </row>
    <row r="1447" spans="7:8" x14ac:dyDescent="0.25">
      <c r="G1447" s="28">
        <f t="shared" si="70"/>
        <v>0</v>
      </c>
      <c r="H1447" s="9">
        <v>21</v>
      </c>
    </row>
    <row r="1448" spans="7:8" x14ac:dyDescent="0.25">
      <c r="G1448" s="28">
        <f t="shared" si="70"/>
        <v>0</v>
      </c>
      <c r="H1448" s="9">
        <v>21</v>
      </c>
    </row>
    <row r="1449" spans="7:8" x14ac:dyDescent="0.25">
      <c r="G1449" s="28">
        <f t="shared" si="70"/>
        <v>0</v>
      </c>
      <c r="H1449" s="9">
        <v>21</v>
      </c>
    </row>
    <row r="1450" spans="7:8" x14ac:dyDescent="0.25">
      <c r="G1450" s="28">
        <f t="shared" si="70"/>
        <v>0</v>
      </c>
      <c r="H1450" s="9">
        <v>21</v>
      </c>
    </row>
    <row r="1451" spans="7:8" x14ac:dyDescent="0.25">
      <c r="G1451" s="28">
        <f t="shared" si="70"/>
        <v>0</v>
      </c>
      <c r="H1451" s="9">
        <v>21</v>
      </c>
    </row>
    <row r="1452" spans="7:8" x14ac:dyDescent="0.25">
      <c r="G1452" s="28">
        <f t="shared" si="70"/>
        <v>0</v>
      </c>
      <c r="H1452" s="9">
        <v>21</v>
      </c>
    </row>
    <row r="1453" spans="7:8" x14ac:dyDescent="0.25">
      <c r="G1453" s="28">
        <f t="shared" si="70"/>
        <v>0</v>
      </c>
      <c r="H1453" s="9">
        <v>21</v>
      </c>
    </row>
    <row r="1454" spans="7:8" x14ac:dyDescent="0.25">
      <c r="G1454" s="28">
        <f t="shared" si="70"/>
        <v>0</v>
      </c>
      <c r="H1454" s="9">
        <v>21</v>
      </c>
    </row>
    <row r="1455" spans="7:8" x14ac:dyDescent="0.25">
      <c r="G1455" s="28">
        <f t="shared" si="70"/>
        <v>0</v>
      </c>
      <c r="H1455" s="9">
        <v>21</v>
      </c>
    </row>
    <row r="1456" spans="7:8" x14ac:dyDescent="0.25">
      <c r="G1456" s="28">
        <f t="shared" si="70"/>
        <v>0</v>
      </c>
      <c r="H1456" s="9">
        <v>21</v>
      </c>
    </row>
    <row r="1457" spans="7:8" x14ac:dyDescent="0.25">
      <c r="G1457" s="28">
        <f t="shared" si="70"/>
        <v>0</v>
      </c>
      <c r="H1457" s="9">
        <v>21</v>
      </c>
    </row>
    <row r="1458" spans="7:8" x14ac:dyDescent="0.25">
      <c r="G1458" s="28">
        <f t="shared" si="70"/>
        <v>0</v>
      </c>
      <c r="H1458" s="9">
        <v>21</v>
      </c>
    </row>
    <row r="1459" spans="7:8" x14ac:dyDescent="0.25">
      <c r="G1459" s="28">
        <f t="shared" si="70"/>
        <v>0</v>
      </c>
      <c r="H1459" s="9">
        <v>21</v>
      </c>
    </row>
    <row r="1460" spans="7:8" x14ac:dyDescent="0.25">
      <c r="G1460" s="28">
        <f t="shared" si="70"/>
        <v>0</v>
      </c>
      <c r="H1460" s="9">
        <v>21</v>
      </c>
    </row>
    <row r="1461" spans="7:8" x14ac:dyDescent="0.25">
      <c r="G1461" s="28">
        <f t="shared" si="70"/>
        <v>0</v>
      </c>
      <c r="H1461" s="9">
        <v>21</v>
      </c>
    </row>
    <row r="1462" spans="7:8" x14ac:dyDescent="0.25">
      <c r="G1462" s="28">
        <f t="shared" si="70"/>
        <v>0</v>
      </c>
      <c r="H1462" s="9">
        <v>21</v>
      </c>
    </row>
    <row r="1463" spans="7:8" x14ac:dyDescent="0.25">
      <c r="G1463" s="28">
        <f t="shared" si="70"/>
        <v>0</v>
      </c>
      <c r="H1463" s="9">
        <v>21</v>
      </c>
    </row>
    <row r="1464" spans="7:8" x14ac:dyDescent="0.25">
      <c r="G1464" s="28">
        <f t="shared" si="70"/>
        <v>0</v>
      </c>
      <c r="H1464" s="9">
        <v>21</v>
      </c>
    </row>
    <row r="1465" spans="7:8" x14ac:dyDescent="0.25">
      <c r="G1465" s="28">
        <f t="shared" si="70"/>
        <v>0</v>
      </c>
      <c r="H1465" s="9">
        <v>21</v>
      </c>
    </row>
    <row r="1466" spans="7:8" x14ac:dyDescent="0.25">
      <c r="G1466" s="28">
        <f t="shared" si="70"/>
        <v>0</v>
      </c>
      <c r="H1466" s="9">
        <v>21</v>
      </c>
    </row>
    <row r="1467" spans="7:8" x14ac:dyDescent="0.25">
      <c r="G1467" s="28">
        <f t="shared" si="70"/>
        <v>0</v>
      </c>
      <c r="H1467" s="9">
        <v>21</v>
      </c>
    </row>
    <row r="1468" spans="7:8" x14ac:dyDescent="0.25">
      <c r="G1468" s="28">
        <f t="shared" si="70"/>
        <v>0</v>
      </c>
      <c r="H1468" s="9">
        <v>21</v>
      </c>
    </row>
    <row r="1469" spans="7:8" x14ac:dyDescent="0.25">
      <c r="G1469" s="28">
        <f t="shared" si="70"/>
        <v>0</v>
      </c>
      <c r="H1469" s="9">
        <v>21</v>
      </c>
    </row>
    <row r="1470" spans="7:8" x14ac:dyDescent="0.25">
      <c r="G1470" s="28">
        <f t="shared" si="70"/>
        <v>0</v>
      </c>
      <c r="H1470" s="9">
        <v>21</v>
      </c>
    </row>
    <row r="1471" spans="7:8" x14ac:dyDescent="0.25">
      <c r="G1471" s="28">
        <f t="shared" si="70"/>
        <v>0</v>
      </c>
      <c r="H1471" s="9">
        <v>21</v>
      </c>
    </row>
    <row r="1472" spans="7:8" x14ac:dyDescent="0.25">
      <c r="G1472" s="28">
        <f t="shared" si="70"/>
        <v>0</v>
      </c>
      <c r="H1472" s="9">
        <v>21</v>
      </c>
    </row>
    <row r="1473" spans="7:8" x14ac:dyDescent="0.25">
      <c r="G1473" s="28">
        <f t="shared" si="70"/>
        <v>0</v>
      </c>
      <c r="H1473" s="9">
        <v>21</v>
      </c>
    </row>
    <row r="1474" spans="7:8" x14ac:dyDescent="0.25">
      <c r="G1474" s="28">
        <f t="shared" si="70"/>
        <v>0</v>
      </c>
      <c r="H1474" s="9">
        <v>21</v>
      </c>
    </row>
    <row r="1475" spans="7:8" x14ac:dyDescent="0.25">
      <c r="G1475" s="28">
        <f t="shared" si="70"/>
        <v>0</v>
      </c>
      <c r="H1475" s="9">
        <v>21</v>
      </c>
    </row>
    <row r="1476" spans="7:8" x14ac:dyDescent="0.25">
      <c r="G1476" s="28">
        <f t="shared" si="70"/>
        <v>0</v>
      </c>
      <c r="H1476" s="9">
        <v>21</v>
      </c>
    </row>
    <row r="1477" spans="7:8" x14ac:dyDescent="0.25">
      <c r="G1477" s="28">
        <f t="shared" si="70"/>
        <v>0</v>
      </c>
      <c r="H1477" s="9">
        <v>21</v>
      </c>
    </row>
    <row r="1478" spans="7:8" x14ac:dyDescent="0.25">
      <c r="G1478" s="28">
        <f t="shared" si="70"/>
        <v>0</v>
      </c>
      <c r="H1478" s="9">
        <v>21</v>
      </c>
    </row>
    <row r="1479" spans="7:8" x14ac:dyDescent="0.25">
      <c r="G1479" s="28">
        <f t="shared" si="70"/>
        <v>0</v>
      </c>
      <c r="H1479" s="9">
        <v>21</v>
      </c>
    </row>
    <row r="1480" spans="7:8" x14ac:dyDescent="0.25">
      <c r="G1480" s="28">
        <f t="shared" si="70"/>
        <v>0</v>
      </c>
      <c r="H1480" s="9">
        <v>21</v>
      </c>
    </row>
    <row r="1481" spans="7:8" x14ac:dyDescent="0.25">
      <c r="G1481" s="28">
        <f t="shared" si="70"/>
        <v>0</v>
      </c>
      <c r="H1481" s="9">
        <v>21</v>
      </c>
    </row>
    <row r="1482" spans="7:8" x14ac:dyDescent="0.25">
      <c r="G1482" s="28">
        <f t="shared" si="70"/>
        <v>0</v>
      </c>
      <c r="H1482" s="9">
        <v>21</v>
      </c>
    </row>
    <row r="1483" spans="7:8" x14ac:dyDescent="0.25">
      <c r="G1483" s="28">
        <f t="shared" si="70"/>
        <v>0</v>
      </c>
      <c r="H1483" s="9">
        <v>21</v>
      </c>
    </row>
    <row r="1484" spans="7:8" x14ac:dyDescent="0.25">
      <c r="G1484" s="28">
        <f t="shared" si="70"/>
        <v>0</v>
      </c>
      <c r="H1484" s="9">
        <v>21</v>
      </c>
    </row>
    <row r="1485" spans="7:8" x14ac:dyDescent="0.25">
      <c r="G1485" s="28">
        <f t="shared" si="70"/>
        <v>0</v>
      </c>
      <c r="H1485" s="9">
        <v>21</v>
      </c>
    </row>
    <row r="1486" spans="7:8" x14ac:dyDescent="0.25">
      <c r="G1486" s="28">
        <f t="shared" si="70"/>
        <v>0</v>
      </c>
      <c r="H1486" s="9">
        <v>21</v>
      </c>
    </row>
    <row r="1487" spans="7:8" x14ac:dyDescent="0.25">
      <c r="G1487" s="28">
        <f t="shared" si="70"/>
        <v>0</v>
      </c>
      <c r="H1487" s="9">
        <v>21</v>
      </c>
    </row>
    <row r="1488" spans="7:8" x14ac:dyDescent="0.25">
      <c r="G1488" s="28">
        <f t="shared" si="70"/>
        <v>0</v>
      </c>
      <c r="H1488" s="9">
        <v>21</v>
      </c>
    </row>
    <row r="1489" spans="7:8" x14ac:dyDescent="0.25">
      <c r="G1489" s="28">
        <f t="shared" si="70"/>
        <v>0</v>
      </c>
      <c r="H1489" s="9">
        <v>21</v>
      </c>
    </row>
    <row r="1490" spans="7:8" x14ac:dyDescent="0.25">
      <c r="G1490" s="28">
        <f t="shared" ref="G1490:G1553" si="71">+D1490/1.21</f>
        <v>0</v>
      </c>
      <c r="H1490" s="9">
        <v>21</v>
      </c>
    </row>
    <row r="1491" spans="7:8" x14ac:dyDescent="0.25">
      <c r="G1491" s="28">
        <f t="shared" si="71"/>
        <v>0</v>
      </c>
      <c r="H1491" s="9">
        <v>21</v>
      </c>
    </row>
    <row r="1492" spans="7:8" x14ac:dyDescent="0.25">
      <c r="G1492" s="28">
        <f t="shared" si="71"/>
        <v>0</v>
      </c>
      <c r="H1492" s="9">
        <v>21</v>
      </c>
    </row>
    <row r="1493" spans="7:8" x14ac:dyDescent="0.25">
      <c r="G1493" s="28">
        <f t="shared" si="71"/>
        <v>0</v>
      </c>
      <c r="H1493" s="9">
        <v>21</v>
      </c>
    </row>
    <row r="1494" spans="7:8" x14ac:dyDescent="0.25">
      <c r="G1494" s="28">
        <f t="shared" si="71"/>
        <v>0</v>
      </c>
      <c r="H1494" s="9">
        <v>21</v>
      </c>
    </row>
    <row r="1495" spans="7:8" x14ac:dyDescent="0.25">
      <c r="G1495" s="28">
        <f t="shared" si="71"/>
        <v>0</v>
      </c>
      <c r="H1495" s="9">
        <v>21</v>
      </c>
    </row>
    <row r="1496" spans="7:8" x14ac:dyDescent="0.25">
      <c r="G1496" s="28">
        <f t="shared" si="71"/>
        <v>0</v>
      </c>
      <c r="H1496" s="9">
        <v>21</v>
      </c>
    </row>
    <row r="1497" spans="7:8" x14ac:dyDescent="0.25">
      <c r="G1497" s="28">
        <f t="shared" si="71"/>
        <v>0</v>
      </c>
      <c r="H1497" s="9">
        <v>21</v>
      </c>
    </row>
    <row r="1498" spans="7:8" x14ac:dyDescent="0.25">
      <c r="G1498" s="28">
        <f t="shared" si="71"/>
        <v>0</v>
      </c>
      <c r="H1498" s="9">
        <v>21</v>
      </c>
    </row>
    <row r="1499" spans="7:8" x14ac:dyDescent="0.25">
      <c r="G1499" s="28">
        <f t="shared" si="71"/>
        <v>0</v>
      </c>
      <c r="H1499" s="9">
        <v>21</v>
      </c>
    </row>
    <row r="1500" spans="7:8" x14ac:dyDescent="0.25">
      <c r="G1500" s="28">
        <f t="shared" si="71"/>
        <v>0</v>
      </c>
      <c r="H1500" s="9">
        <v>21</v>
      </c>
    </row>
    <row r="1501" spans="7:8" x14ac:dyDescent="0.25">
      <c r="G1501" s="28">
        <f t="shared" si="71"/>
        <v>0</v>
      </c>
      <c r="H1501" s="9">
        <v>21</v>
      </c>
    </row>
    <row r="1502" spans="7:8" x14ac:dyDescent="0.25">
      <c r="G1502" s="28">
        <f t="shared" si="71"/>
        <v>0</v>
      </c>
      <c r="H1502" s="9">
        <v>21</v>
      </c>
    </row>
    <row r="1503" spans="7:8" x14ac:dyDescent="0.25">
      <c r="G1503" s="28">
        <f t="shared" si="71"/>
        <v>0</v>
      </c>
      <c r="H1503" s="9">
        <v>21</v>
      </c>
    </row>
    <row r="1504" spans="7:8" x14ac:dyDescent="0.25">
      <c r="G1504" s="28">
        <f t="shared" si="71"/>
        <v>0</v>
      </c>
      <c r="H1504" s="9">
        <v>21</v>
      </c>
    </row>
    <row r="1505" spans="7:8" x14ac:dyDescent="0.25">
      <c r="G1505" s="28">
        <f t="shared" si="71"/>
        <v>0</v>
      </c>
      <c r="H1505" s="9">
        <v>21</v>
      </c>
    </row>
    <row r="1506" spans="7:8" x14ac:dyDescent="0.25">
      <c r="G1506" s="28">
        <f t="shared" si="71"/>
        <v>0</v>
      </c>
      <c r="H1506" s="9">
        <v>21</v>
      </c>
    </row>
    <row r="1507" spans="7:8" x14ac:dyDescent="0.25">
      <c r="G1507" s="28">
        <f t="shared" si="71"/>
        <v>0</v>
      </c>
      <c r="H1507" s="9">
        <v>21</v>
      </c>
    </row>
    <row r="1508" spans="7:8" x14ac:dyDescent="0.25">
      <c r="G1508" s="28">
        <f t="shared" si="71"/>
        <v>0</v>
      </c>
      <c r="H1508" s="9">
        <v>21</v>
      </c>
    </row>
    <row r="1509" spans="7:8" x14ac:dyDescent="0.25">
      <c r="G1509" s="28">
        <f t="shared" si="71"/>
        <v>0</v>
      </c>
      <c r="H1509" s="9">
        <v>21</v>
      </c>
    </row>
    <row r="1510" spans="7:8" x14ac:dyDescent="0.25">
      <c r="G1510" s="28">
        <f t="shared" si="71"/>
        <v>0</v>
      </c>
      <c r="H1510" s="9">
        <v>21</v>
      </c>
    </row>
    <row r="1511" spans="7:8" x14ac:dyDescent="0.25">
      <c r="G1511" s="28">
        <f t="shared" si="71"/>
        <v>0</v>
      </c>
      <c r="H1511" s="9">
        <v>21</v>
      </c>
    </row>
    <row r="1512" spans="7:8" x14ac:dyDescent="0.25">
      <c r="G1512" s="28">
        <f t="shared" si="71"/>
        <v>0</v>
      </c>
      <c r="H1512" s="9">
        <v>21</v>
      </c>
    </row>
    <row r="1513" spans="7:8" x14ac:dyDescent="0.25">
      <c r="G1513" s="28">
        <f t="shared" si="71"/>
        <v>0</v>
      </c>
      <c r="H1513" s="9">
        <v>21</v>
      </c>
    </row>
    <row r="1514" spans="7:8" x14ac:dyDescent="0.25">
      <c r="G1514" s="28">
        <f t="shared" si="71"/>
        <v>0</v>
      </c>
      <c r="H1514" s="9">
        <v>21</v>
      </c>
    </row>
    <row r="1515" spans="7:8" x14ac:dyDescent="0.25">
      <c r="G1515" s="28">
        <f t="shared" si="71"/>
        <v>0</v>
      </c>
      <c r="H1515" s="9">
        <v>21</v>
      </c>
    </row>
    <row r="1516" spans="7:8" x14ac:dyDescent="0.25">
      <c r="G1516" s="28">
        <f t="shared" si="71"/>
        <v>0</v>
      </c>
      <c r="H1516" s="9">
        <v>21</v>
      </c>
    </row>
    <row r="1517" spans="7:8" x14ac:dyDescent="0.25">
      <c r="G1517" s="28">
        <f t="shared" si="71"/>
        <v>0</v>
      </c>
      <c r="H1517" s="9">
        <v>21</v>
      </c>
    </row>
    <row r="1518" spans="7:8" x14ac:dyDescent="0.25">
      <c r="G1518" s="28">
        <f t="shared" si="71"/>
        <v>0</v>
      </c>
      <c r="H1518" s="9">
        <v>21</v>
      </c>
    </row>
    <row r="1519" spans="7:8" x14ac:dyDescent="0.25">
      <c r="G1519" s="28">
        <f t="shared" si="71"/>
        <v>0</v>
      </c>
      <c r="H1519" s="9">
        <v>21</v>
      </c>
    </row>
    <row r="1520" spans="7:8" x14ac:dyDescent="0.25">
      <c r="G1520" s="28">
        <f t="shared" si="71"/>
        <v>0</v>
      </c>
      <c r="H1520" s="9">
        <v>21</v>
      </c>
    </row>
    <row r="1521" spans="7:8" x14ac:dyDescent="0.25">
      <c r="G1521" s="28">
        <f t="shared" si="71"/>
        <v>0</v>
      </c>
      <c r="H1521" s="9">
        <v>21</v>
      </c>
    </row>
    <row r="1522" spans="7:8" x14ac:dyDescent="0.25">
      <c r="G1522" s="28">
        <f t="shared" si="71"/>
        <v>0</v>
      </c>
      <c r="H1522" s="9">
        <v>21</v>
      </c>
    </row>
    <row r="1523" spans="7:8" x14ac:dyDescent="0.25">
      <c r="G1523" s="28">
        <f t="shared" si="71"/>
        <v>0</v>
      </c>
      <c r="H1523" s="9">
        <v>21</v>
      </c>
    </row>
    <row r="1524" spans="7:8" x14ac:dyDescent="0.25">
      <c r="G1524" s="28">
        <f t="shared" si="71"/>
        <v>0</v>
      </c>
      <c r="H1524" s="9">
        <v>21</v>
      </c>
    </row>
    <row r="1525" spans="7:8" x14ac:dyDescent="0.25">
      <c r="G1525" s="28">
        <f t="shared" si="71"/>
        <v>0</v>
      </c>
      <c r="H1525" s="9">
        <v>21</v>
      </c>
    </row>
    <row r="1526" spans="7:8" x14ac:dyDescent="0.25">
      <c r="G1526" s="28">
        <f t="shared" si="71"/>
        <v>0</v>
      </c>
      <c r="H1526" s="9">
        <v>21</v>
      </c>
    </row>
    <row r="1527" spans="7:8" x14ac:dyDescent="0.25">
      <c r="G1527" s="28">
        <f t="shared" si="71"/>
        <v>0</v>
      </c>
      <c r="H1527" s="9">
        <v>21</v>
      </c>
    </row>
    <row r="1528" spans="7:8" x14ac:dyDescent="0.25">
      <c r="G1528" s="28">
        <f t="shared" si="71"/>
        <v>0</v>
      </c>
      <c r="H1528" s="9">
        <v>21</v>
      </c>
    </row>
    <row r="1529" spans="7:8" x14ac:dyDescent="0.25">
      <c r="G1529" s="28">
        <f t="shared" si="71"/>
        <v>0</v>
      </c>
      <c r="H1529" s="9">
        <v>21</v>
      </c>
    </row>
    <row r="1530" spans="7:8" x14ac:dyDescent="0.25">
      <c r="G1530" s="28">
        <f t="shared" si="71"/>
        <v>0</v>
      </c>
      <c r="H1530" s="9">
        <v>21</v>
      </c>
    </row>
    <row r="1531" spans="7:8" x14ac:dyDescent="0.25">
      <c r="G1531" s="28">
        <f t="shared" si="71"/>
        <v>0</v>
      </c>
      <c r="H1531" s="9">
        <v>21</v>
      </c>
    </row>
    <row r="1532" spans="7:8" x14ac:dyDescent="0.25">
      <c r="G1532" s="28">
        <f t="shared" si="71"/>
        <v>0</v>
      </c>
      <c r="H1532" s="9">
        <v>21</v>
      </c>
    </row>
    <row r="1533" spans="7:8" x14ac:dyDescent="0.25">
      <c r="G1533" s="28">
        <f t="shared" si="71"/>
        <v>0</v>
      </c>
      <c r="H1533" s="9">
        <v>21</v>
      </c>
    </row>
    <row r="1534" spans="7:8" x14ac:dyDescent="0.25">
      <c r="G1534" s="28">
        <f t="shared" si="71"/>
        <v>0</v>
      </c>
      <c r="H1534" s="9">
        <v>21</v>
      </c>
    </row>
    <row r="1535" spans="7:8" x14ac:dyDescent="0.25">
      <c r="G1535" s="28">
        <f t="shared" si="71"/>
        <v>0</v>
      </c>
      <c r="H1535" s="9">
        <v>21</v>
      </c>
    </row>
    <row r="1536" spans="7:8" x14ac:dyDescent="0.25">
      <c r="G1536" s="28">
        <f t="shared" si="71"/>
        <v>0</v>
      </c>
      <c r="H1536" s="9">
        <v>21</v>
      </c>
    </row>
    <row r="1537" spans="7:8" x14ac:dyDescent="0.25">
      <c r="G1537" s="28">
        <f t="shared" si="71"/>
        <v>0</v>
      </c>
      <c r="H1537" s="9">
        <v>21</v>
      </c>
    </row>
    <row r="1538" spans="7:8" x14ac:dyDescent="0.25">
      <c r="G1538" s="28">
        <f t="shared" si="71"/>
        <v>0</v>
      </c>
      <c r="H1538" s="9">
        <v>21</v>
      </c>
    </row>
    <row r="1539" spans="7:8" x14ac:dyDescent="0.25">
      <c r="G1539" s="28">
        <f t="shared" si="71"/>
        <v>0</v>
      </c>
      <c r="H1539" s="9">
        <v>21</v>
      </c>
    </row>
    <row r="1540" spans="7:8" x14ac:dyDescent="0.25">
      <c r="G1540" s="28">
        <f t="shared" si="71"/>
        <v>0</v>
      </c>
      <c r="H1540" s="9">
        <v>21</v>
      </c>
    </row>
    <row r="1541" spans="7:8" x14ac:dyDescent="0.25">
      <c r="G1541" s="28">
        <f t="shared" si="71"/>
        <v>0</v>
      </c>
      <c r="H1541" s="9">
        <v>21</v>
      </c>
    </row>
    <row r="1542" spans="7:8" x14ac:dyDescent="0.25">
      <c r="G1542" s="28">
        <f t="shared" si="71"/>
        <v>0</v>
      </c>
      <c r="H1542" s="9">
        <v>21</v>
      </c>
    </row>
    <row r="1543" spans="7:8" x14ac:dyDescent="0.25">
      <c r="G1543" s="28">
        <f t="shared" si="71"/>
        <v>0</v>
      </c>
      <c r="H1543" s="9">
        <v>21</v>
      </c>
    </row>
    <row r="1544" spans="7:8" x14ac:dyDescent="0.25">
      <c r="G1544" s="28">
        <f t="shared" si="71"/>
        <v>0</v>
      </c>
      <c r="H1544" s="9">
        <v>21</v>
      </c>
    </row>
    <row r="1545" spans="7:8" x14ac:dyDescent="0.25">
      <c r="G1545" s="28">
        <f t="shared" si="71"/>
        <v>0</v>
      </c>
      <c r="H1545" s="9">
        <v>21</v>
      </c>
    </row>
    <row r="1546" spans="7:8" x14ac:dyDescent="0.25">
      <c r="G1546" s="28">
        <f t="shared" si="71"/>
        <v>0</v>
      </c>
      <c r="H1546" s="9">
        <v>21</v>
      </c>
    </row>
    <row r="1547" spans="7:8" x14ac:dyDescent="0.25">
      <c r="G1547" s="28">
        <f t="shared" si="71"/>
        <v>0</v>
      </c>
      <c r="H1547" s="9">
        <v>21</v>
      </c>
    </row>
    <row r="1548" spans="7:8" x14ac:dyDescent="0.25">
      <c r="G1548" s="28">
        <f t="shared" si="71"/>
        <v>0</v>
      </c>
      <c r="H1548" s="9">
        <v>21</v>
      </c>
    </row>
    <row r="1549" spans="7:8" x14ac:dyDescent="0.25">
      <c r="G1549" s="28">
        <f t="shared" si="71"/>
        <v>0</v>
      </c>
      <c r="H1549" s="9">
        <v>21</v>
      </c>
    </row>
    <row r="1550" spans="7:8" x14ac:dyDescent="0.25">
      <c r="G1550" s="28">
        <f t="shared" si="71"/>
        <v>0</v>
      </c>
      <c r="H1550" s="9">
        <v>21</v>
      </c>
    </row>
    <row r="1551" spans="7:8" x14ac:dyDescent="0.25">
      <c r="G1551" s="28">
        <f t="shared" si="71"/>
        <v>0</v>
      </c>
      <c r="H1551" s="9">
        <v>21</v>
      </c>
    </row>
    <row r="1552" spans="7:8" x14ac:dyDescent="0.25">
      <c r="G1552" s="28">
        <f t="shared" si="71"/>
        <v>0</v>
      </c>
      <c r="H1552" s="9">
        <v>21</v>
      </c>
    </row>
    <row r="1553" spans="7:8" x14ac:dyDescent="0.25">
      <c r="G1553" s="28">
        <f t="shared" si="71"/>
        <v>0</v>
      </c>
      <c r="H1553" s="9">
        <v>21</v>
      </c>
    </row>
    <row r="1554" spans="7:8" x14ac:dyDescent="0.25">
      <c r="G1554" s="28">
        <f t="shared" ref="G1554:G1617" si="72">+D1554/1.21</f>
        <v>0</v>
      </c>
      <c r="H1554" s="9">
        <v>21</v>
      </c>
    </row>
    <row r="1555" spans="7:8" x14ac:dyDescent="0.25">
      <c r="G1555" s="28">
        <f t="shared" si="72"/>
        <v>0</v>
      </c>
      <c r="H1555" s="9">
        <v>21</v>
      </c>
    </row>
    <row r="1556" spans="7:8" x14ac:dyDescent="0.25">
      <c r="G1556" s="28">
        <f t="shared" si="72"/>
        <v>0</v>
      </c>
      <c r="H1556" s="9">
        <v>21</v>
      </c>
    </row>
    <row r="1557" spans="7:8" x14ac:dyDescent="0.25">
      <c r="G1557" s="28">
        <f t="shared" si="72"/>
        <v>0</v>
      </c>
      <c r="H1557" s="9">
        <v>21</v>
      </c>
    </row>
    <row r="1558" spans="7:8" x14ac:dyDescent="0.25">
      <c r="G1558" s="28">
        <f t="shared" si="72"/>
        <v>0</v>
      </c>
      <c r="H1558" s="9">
        <v>21</v>
      </c>
    </row>
    <row r="1559" spans="7:8" x14ac:dyDescent="0.25">
      <c r="G1559" s="28">
        <f t="shared" si="72"/>
        <v>0</v>
      </c>
      <c r="H1559" s="9">
        <v>21</v>
      </c>
    </row>
    <row r="1560" spans="7:8" x14ac:dyDescent="0.25">
      <c r="G1560" s="28">
        <f t="shared" si="72"/>
        <v>0</v>
      </c>
      <c r="H1560" s="9">
        <v>21</v>
      </c>
    </row>
    <row r="1561" spans="7:8" x14ac:dyDescent="0.25">
      <c r="G1561" s="28">
        <f t="shared" si="72"/>
        <v>0</v>
      </c>
      <c r="H1561" s="9">
        <v>21</v>
      </c>
    </row>
    <row r="1562" spans="7:8" x14ac:dyDescent="0.25">
      <c r="G1562" s="28">
        <f t="shared" si="72"/>
        <v>0</v>
      </c>
      <c r="H1562" s="9">
        <v>21</v>
      </c>
    </row>
    <row r="1563" spans="7:8" x14ac:dyDescent="0.25">
      <c r="G1563" s="28">
        <f t="shared" si="72"/>
        <v>0</v>
      </c>
      <c r="H1563" s="9">
        <v>21</v>
      </c>
    </row>
    <row r="1564" spans="7:8" x14ac:dyDescent="0.25">
      <c r="G1564" s="28">
        <f t="shared" si="72"/>
        <v>0</v>
      </c>
      <c r="H1564" s="9">
        <v>21</v>
      </c>
    </row>
    <row r="1565" spans="7:8" x14ac:dyDescent="0.25">
      <c r="G1565" s="28">
        <f t="shared" si="72"/>
        <v>0</v>
      </c>
      <c r="H1565" s="9">
        <v>21</v>
      </c>
    </row>
    <row r="1566" spans="7:8" x14ac:dyDescent="0.25">
      <c r="G1566" s="28">
        <f t="shared" si="72"/>
        <v>0</v>
      </c>
      <c r="H1566" s="9">
        <v>21</v>
      </c>
    </row>
    <row r="1567" spans="7:8" x14ac:dyDescent="0.25">
      <c r="G1567" s="28">
        <f t="shared" si="72"/>
        <v>0</v>
      </c>
      <c r="H1567" s="9">
        <v>21</v>
      </c>
    </row>
    <row r="1568" spans="7:8" x14ac:dyDescent="0.25">
      <c r="G1568" s="28">
        <f t="shared" si="72"/>
        <v>0</v>
      </c>
      <c r="H1568" s="9">
        <v>21</v>
      </c>
    </row>
    <row r="1569" spans="7:8" x14ac:dyDescent="0.25">
      <c r="G1569" s="28">
        <f t="shared" si="72"/>
        <v>0</v>
      </c>
      <c r="H1569" s="9">
        <v>21</v>
      </c>
    </row>
    <row r="1570" spans="7:8" x14ac:dyDescent="0.25">
      <c r="G1570" s="28">
        <f t="shared" si="72"/>
        <v>0</v>
      </c>
      <c r="H1570" s="9">
        <v>21</v>
      </c>
    </row>
    <row r="1571" spans="7:8" x14ac:dyDescent="0.25">
      <c r="G1571" s="28">
        <f t="shared" si="72"/>
        <v>0</v>
      </c>
      <c r="H1571" s="9">
        <v>21</v>
      </c>
    </row>
    <row r="1572" spans="7:8" x14ac:dyDescent="0.25">
      <c r="G1572" s="28">
        <f t="shared" si="72"/>
        <v>0</v>
      </c>
      <c r="H1572" s="9">
        <v>21</v>
      </c>
    </row>
    <row r="1573" spans="7:8" x14ac:dyDescent="0.25">
      <c r="G1573" s="28">
        <f t="shared" si="72"/>
        <v>0</v>
      </c>
      <c r="H1573" s="9">
        <v>21</v>
      </c>
    </row>
    <row r="1574" spans="7:8" x14ac:dyDescent="0.25">
      <c r="G1574" s="28">
        <f t="shared" si="72"/>
        <v>0</v>
      </c>
      <c r="H1574" s="9">
        <v>21</v>
      </c>
    </row>
    <row r="1575" spans="7:8" x14ac:dyDescent="0.25">
      <c r="G1575" s="28">
        <f t="shared" si="72"/>
        <v>0</v>
      </c>
      <c r="H1575" s="9">
        <v>21</v>
      </c>
    </row>
    <row r="1576" spans="7:8" x14ac:dyDescent="0.25">
      <c r="G1576" s="28">
        <f t="shared" si="72"/>
        <v>0</v>
      </c>
      <c r="H1576" s="9">
        <v>21</v>
      </c>
    </row>
    <row r="1577" spans="7:8" x14ac:dyDescent="0.25">
      <c r="G1577" s="28">
        <f t="shared" si="72"/>
        <v>0</v>
      </c>
      <c r="H1577" s="9">
        <v>21</v>
      </c>
    </row>
    <row r="1578" spans="7:8" x14ac:dyDescent="0.25">
      <c r="G1578" s="28">
        <f t="shared" si="72"/>
        <v>0</v>
      </c>
      <c r="H1578" s="9">
        <v>21</v>
      </c>
    </row>
    <row r="1579" spans="7:8" x14ac:dyDescent="0.25">
      <c r="G1579" s="28">
        <f t="shared" si="72"/>
        <v>0</v>
      </c>
      <c r="H1579" s="9">
        <v>21</v>
      </c>
    </row>
    <row r="1580" spans="7:8" x14ac:dyDescent="0.25">
      <c r="G1580" s="28">
        <f t="shared" si="72"/>
        <v>0</v>
      </c>
      <c r="H1580" s="9">
        <v>21</v>
      </c>
    </row>
    <row r="1581" spans="7:8" x14ac:dyDescent="0.25">
      <c r="G1581" s="28">
        <f t="shared" si="72"/>
        <v>0</v>
      </c>
      <c r="H1581" s="9">
        <v>21</v>
      </c>
    </row>
    <row r="1582" spans="7:8" x14ac:dyDescent="0.25">
      <c r="G1582" s="28">
        <f t="shared" si="72"/>
        <v>0</v>
      </c>
      <c r="H1582" s="9">
        <v>21</v>
      </c>
    </row>
    <row r="1583" spans="7:8" x14ac:dyDescent="0.25">
      <c r="G1583" s="28">
        <f t="shared" si="72"/>
        <v>0</v>
      </c>
      <c r="H1583" s="9">
        <v>21</v>
      </c>
    </row>
    <row r="1584" spans="7:8" x14ac:dyDescent="0.25">
      <c r="G1584" s="28">
        <f t="shared" si="72"/>
        <v>0</v>
      </c>
      <c r="H1584" s="9">
        <v>21</v>
      </c>
    </row>
    <row r="1585" spans="7:8" x14ac:dyDescent="0.25">
      <c r="G1585" s="28">
        <f t="shared" si="72"/>
        <v>0</v>
      </c>
      <c r="H1585" s="9">
        <v>21</v>
      </c>
    </row>
    <row r="1586" spans="7:8" x14ac:dyDescent="0.25">
      <c r="G1586" s="28">
        <f t="shared" si="72"/>
        <v>0</v>
      </c>
      <c r="H1586" s="9">
        <v>21</v>
      </c>
    </row>
    <row r="1587" spans="7:8" x14ac:dyDescent="0.25">
      <c r="G1587" s="28">
        <f t="shared" si="72"/>
        <v>0</v>
      </c>
      <c r="H1587" s="9">
        <v>21</v>
      </c>
    </row>
    <row r="1588" spans="7:8" x14ac:dyDescent="0.25">
      <c r="G1588" s="28">
        <f t="shared" si="72"/>
        <v>0</v>
      </c>
      <c r="H1588" s="9">
        <v>21</v>
      </c>
    </row>
    <row r="1589" spans="7:8" x14ac:dyDescent="0.25">
      <c r="G1589" s="28">
        <f t="shared" si="72"/>
        <v>0</v>
      </c>
      <c r="H1589" s="9">
        <v>21</v>
      </c>
    </row>
    <row r="1590" spans="7:8" x14ac:dyDescent="0.25">
      <c r="G1590" s="28">
        <f t="shared" si="72"/>
        <v>0</v>
      </c>
      <c r="H1590" s="9">
        <v>21</v>
      </c>
    </row>
    <row r="1591" spans="7:8" x14ac:dyDescent="0.25">
      <c r="G1591" s="28">
        <f t="shared" si="72"/>
        <v>0</v>
      </c>
      <c r="H1591" s="9">
        <v>21</v>
      </c>
    </row>
    <row r="1592" spans="7:8" x14ac:dyDescent="0.25">
      <c r="G1592" s="28">
        <f t="shared" si="72"/>
        <v>0</v>
      </c>
      <c r="H1592" s="9">
        <v>21</v>
      </c>
    </row>
    <row r="1593" spans="7:8" x14ac:dyDescent="0.25">
      <c r="G1593" s="28">
        <f t="shared" si="72"/>
        <v>0</v>
      </c>
      <c r="H1593" s="9">
        <v>21</v>
      </c>
    </row>
    <row r="1594" spans="7:8" x14ac:dyDescent="0.25">
      <c r="G1594" s="28">
        <f t="shared" si="72"/>
        <v>0</v>
      </c>
      <c r="H1594" s="9">
        <v>21</v>
      </c>
    </row>
    <row r="1595" spans="7:8" x14ac:dyDescent="0.25">
      <c r="G1595" s="28">
        <f t="shared" si="72"/>
        <v>0</v>
      </c>
      <c r="H1595" s="9">
        <v>21</v>
      </c>
    </row>
    <row r="1596" spans="7:8" x14ac:dyDescent="0.25">
      <c r="G1596" s="28">
        <f t="shared" si="72"/>
        <v>0</v>
      </c>
      <c r="H1596" s="9">
        <v>21</v>
      </c>
    </row>
    <row r="1597" spans="7:8" x14ac:dyDescent="0.25">
      <c r="G1597" s="28">
        <f t="shared" si="72"/>
        <v>0</v>
      </c>
      <c r="H1597" s="9">
        <v>21</v>
      </c>
    </row>
    <row r="1598" spans="7:8" x14ac:dyDescent="0.25">
      <c r="G1598" s="28">
        <f t="shared" si="72"/>
        <v>0</v>
      </c>
      <c r="H1598" s="9">
        <v>21</v>
      </c>
    </row>
    <row r="1599" spans="7:8" x14ac:dyDescent="0.25">
      <c r="G1599" s="28">
        <f t="shared" si="72"/>
        <v>0</v>
      </c>
      <c r="H1599" s="9">
        <v>21</v>
      </c>
    </row>
    <row r="1600" spans="7:8" x14ac:dyDescent="0.25">
      <c r="G1600" s="28">
        <f t="shared" si="72"/>
        <v>0</v>
      </c>
      <c r="H1600" s="9">
        <v>21</v>
      </c>
    </row>
    <row r="1601" spans="7:8" x14ac:dyDescent="0.25">
      <c r="G1601" s="28">
        <f t="shared" si="72"/>
        <v>0</v>
      </c>
      <c r="H1601" s="9">
        <v>21</v>
      </c>
    </row>
    <row r="1602" spans="7:8" x14ac:dyDescent="0.25">
      <c r="G1602" s="28">
        <f t="shared" si="72"/>
        <v>0</v>
      </c>
      <c r="H1602" s="9">
        <v>21</v>
      </c>
    </row>
    <row r="1603" spans="7:8" x14ac:dyDescent="0.25">
      <c r="G1603" s="28">
        <f t="shared" si="72"/>
        <v>0</v>
      </c>
      <c r="H1603" s="9">
        <v>21</v>
      </c>
    </row>
    <row r="1604" spans="7:8" x14ac:dyDescent="0.25">
      <c r="G1604" s="28">
        <f t="shared" si="72"/>
        <v>0</v>
      </c>
      <c r="H1604" s="9">
        <v>21</v>
      </c>
    </row>
    <row r="1605" spans="7:8" x14ac:dyDescent="0.25">
      <c r="G1605" s="28">
        <f t="shared" si="72"/>
        <v>0</v>
      </c>
      <c r="H1605" s="9">
        <v>21</v>
      </c>
    </row>
    <row r="1606" spans="7:8" x14ac:dyDescent="0.25">
      <c r="G1606" s="28">
        <f t="shared" si="72"/>
        <v>0</v>
      </c>
      <c r="H1606" s="9">
        <v>21</v>
      </c>
    </row>
    <row r="1607" spans="7:8" x14ac:dyDescent="0.25">
      <c r="G1607" s="28">
        <f t="shared" si="72"/>
        <v>0</v>
      </c>
      <c r="H1607" s="9">
        <v>21</v>
      </c>
    </row>
    <row r="1608" spans="7:8" x14ac:dyDescent="0.25">
      <c r="G1608" s="28">
        <f t="shared" si="72"/>
        <v>0</v>
      </c>
      <c r="H1608" s="9">
        <v>21</v>
      </c>
    </row>
    <row r="1609" spans="7:8" x14ac:dyDescent="0.25">
      <c r="G1609" s="28">
        <f t="shared" si="72"/>
        <v>0</v>
      </c>
      <c r="H1609" s="9">
        <v>21</v>
      </c>
    </row>
    <row r="1610" spans="7:8" x14ac:dyDescent="0.25">
      <c r="G1610" s="28">
        <f t="shared" si="72"/>
        <v>0</v>
      </c>
      <c r="H1610" s="9">
        <v>21</v>
      </c>
    </row>
    <row r="1611" spans="7:8" x14ac:dyDescent="0.25">
      <c r="G1611" s="28">
        <f t="shared" si="72"/>
        <v>0</v>
      </c>
      <c r="H1611" s="9">
        <v>21</v>
      </c>
    </row>
    <row r="1612" spans="7:8" x14ac:dyDescent="0.25">
      <c r="G1612" s="28">
        <f t="shared" si="72"/>
        <v>0</v>
      </c>
      <c r="H1612" s="9">
        <v>21</v>
      </c>
    </row>
    <row r="1613" spans="7:8" x14ac:dyDescent="0.25">
      <c r="G1613" s="28">
        <f t="shared" si="72"/>
        <v>0</v>
      </c>
      <c r="H1613" s="9">
        <v>21</v>
      </c>
    </row>
    <row r="1614" spans="7:8" x14ac:dyDescent="0.25">
      <c r="G1614" s="28">
        <f t="shared" si="72"/>
        <v>0</v>
      </c>
      <c r="H1614" s="9">
        <v>21</v>
      </c>
    </row>
    <row r="1615" spans="7:8" x14ac:dyDescent="0.25">
      <c r="G1615" s="28">
        <f t="shared" si="72"/>
        <v>0</v>
      </c>
      <c r="H1615" s="9">
        <v>21</v>
      </c>
    </row>
    <row r="1616" spans="7:8" x14ac:dyDescent="0.25">
      <c r="G1616" s="28">
        <f t="shared" si="72"/>
        <v>0</v>
      </c>
      <c r="H1616" s="9">
        <v>21</v>
      </c>
    </row>
    <row r="1617" spans="7:8" x14ac:dyDescent="0.25">
      <c r="G1617" s="28">
        <f t="shared" si="72"/>
        <v>0</v>
      </c>
      <c r="H1617" s="9">
        <v>21</v>
      </c>
    </row>
    <row r="1618" spans="7:8" x14ac:dyDescent="0.25">
      <c r="G1618" s="28">
        <f t="shared" ref="G1618:G1622" si="73">+D1618/1.21</f>
        <v>0</v>
      </c>
      <c r="H1618" s="9">
        <v>21</v>
      </c>
    </row>
    <row r="1619" spans="7:8" x14ac:dyDescent="0.25">
      <c r="G1619" s="28">
        <f t="shared" si="73"/>
        <v>0</v>
      </c>
      <c r="H1619" s="9">
        <v>21</v>
      </c>
    </row>
    <row r="1620" spans="7:8" x14ac:dyDescent="0.25">
      <c r="G1620" s="28">
        <f t="shared" si="73"/>
        <v>0</v>
      </c>
      <c r="H1620" s="9">
        <v>21</v>
      </c>
    </row>
    <row r="1621" spans="7:8" x14ac:dyDescent="0.25">
      <c r="G1621" s="28">
        <f t="shared" si="73"/>
        <v>0</v>
      </c>
      <c r="H1621" s="9">
        <v>21</v>
      </c>
    </row>
    <row r="1622" spans="7:8" x14ac:dyDescent="0.25">
      <c r="G1622" s="28">
        <f t="shared" si="73"/>
        <v>0</v>
      </c>
      <c r="H1622" s="9">
        <v>21</v>
      </c>
    </row>
    <row r="1623" spans="7:8" x14ac:dyDescent="0.25">
      <c r="G1623" s="29">
        <v>0</v>
      </c>
      <c r="H1623" s="9">
        <v>21</v>
      </c>
    </row>
    <row r="1624" spans="7:8" x14ac:dyDescent="0.25">
      <c r="G1624" s="29">
        <v>0</v>
      </c>
      <c r="H1624" s="9">
        <v>21</v>
      </c>
    </row>
    <row r="1625" spans="7:8" x14ac:dyDescent="0.25">
      <c r="G1625" s="29">
        <v>0</v>
      </c>
      <c r="H1625" s="9">
        <v>21</v>
      </c>
    </row>
    <row r="1626" spans="7:8" x14ac:dyDescent="0.25">
      <c r="G1626" s="29">
        <v>0</v>
      </c>
      <c r="H1626" s="9">
        <v>21</v>
      </c>
    </row>
    <row r="1627" spans="7:8" x14ac:dyDescent="0.25">
      <c r="G1627" s="29">
        <v>0</v>
      </c>
      <c r="H1627" s="9">
        <v>21</v>
      </c>
    </row>
    <row r="1628" spans="7:8" x14ac:dyDescent="0.25">
      <c r="G1628" s="29">
        <v>0</v>
      </c>
      <c r="H1628" s="9">
        <v>21</v>
      </c>
    </row>
    <row r="1629" spans="7:8" x14ac:dyDescent="0.25">
      <c r="G1629" s="29">
        <v>0</v>
      </c>
      <c r="H1629" s="9">
        <v>21</v>
      </c>
    </row>
    <row r="1630" spans="7:8" x14ac:dyDescent="0.25">
      <c r="G1630" s="29">
        <v>0</v>
      </c>
      <c r="H1630" s="9">
        <v>21</v>
      </c>
    </row>
    <row r="1631" spans="7:8" x14ac:dyDescent="0.25">
      <c r="G1631" s="29">
        <v>0</v>
      </c>
      <c r="H1631" s="9">
        <v>21</v>
      </c>
    </row>
    <row r="1632" spans="7:8" x14ac:dyDescent="0.25">
      <c r="G1632" s="29">
        <v>0</v>
      </c>
      <c r="H1632" s="9">
        <v>21</v>
      </c>
    </row>
    <row r="1633" spans="7:8" x14ac:dyDescent="0.25">
      <c r="G1633" s="29">
        <v>0</v>
      </c>
      <c r="H1633" s="9">
        <v>21</v>
      </c>
    </row>
    <row r="1634" spans="7:8" x14ac:dyDescent="0.25">
      <c r="G1634" s="29">
        <v>0</v>
      </c>
      <c r="H1634" s="9">
        <v>21</v>
      </c>
    </row>
    <row r="1635" spans="7:8" x14ac:dyDescent="0.25">
      <c r="G1635" s="29">
        <v>0</v>
      </c>
      <c r="H1635" s="9">
        <v>21</v>
      </c>
    </row>
    <row r="1636" spans="7:8" x14ac:dyDescent="0.25">
      <c r="G1636" s="29">
        <v>0</v>
      </c>
      <c r="H1636" s="9">
        <v>21</v>
      </c>
    </row>
    <row r="1637" spans="7:8" x14ac:dyDescent="0.25">
      <c r="G1637" s="29">
        <v>0</v>
      </c>
      <c r="H1637" s="9">
        <v>21</v>
      </c>
    </row>
    <row r="1638" spans="7:8" x14ac:dyDescent="0.25">
      <c r="G1638" s="29">
        <v>0</v>
      </c>
      <c r="H1638" s="9">
        <v>21</v>
      </c>
    </row>
    <row r="1639" spans="7:8" x14ac:dyDescent="0.25">
      <c r="G1639" s="29">
        <v>0</v>
      </c>
      <c r="H1639" s="9">
        <v>21</v>
      </c>
    </row>
    <row r="1640" spans="7:8" x14ac:dyDescent="0.25">
      <c r="G1640" s="29">
        <v>0</v>
      </c>
      <c r="H1640" s="9">
        <v>21</v>
      </c>
    </row>
    <row r="1641" spans="7:8" x14ac:dyDescent="0.25">
      <c r="G1641" s="29">
        <v>0</v>
      </c>
      <c r="H1641" s="9">
        <v>21</v>
      </c>
    </row>
    <row r="1642" spans="7:8" x14ac:dyDescent="0.25">
      <c r="G1642" s="29">
        <v>0</v>
      </c>
      <c r="H1642" s="9">
        <v>21</v>
      </c>
    </row>
    <row r="1643" spans="7:8" x14ac:dyDescent="0.25">
      <c r="G1643" s="29">
        <v>0</v>
      </c>
      <c r="H1643" s="9">
        <v>21</v>
      </c>
    </row>
    <row r="1644" spans="7:8" x14ac:dyDescent="0.25">
      <c r="G1644" s="29">
        <v>0</v>
      </c>
      <c r="H1644" s="9">
        <v>21</v>
      </c>
    </row>
    <row r="1645" spans="7:8" x14ac:dyDescent="0.25">
      <c r="G1645" s="29">
        <v>0</v>
      </c>
      <c r="H1645" s="9">
        <v>21</v>
      </c>
    </row>
    <row r="1646" spans="7:8" x14ac:dyDescent="0.25">
      <c r="G1646" s="29">
        <v>0</v>
      </c>
      <c r="H1646" s="9">
        <v>21</v>
      </c>
    </row>
    <row r="1647" spans="7:8" x14ac:dyDescent="0.25">
      <c r="G1647" s="29">
        <v>0</v>
      </c>
      <c r="H1647" s="9">
        <v>21</v>
      </c>
    </row>
    <row r="1648" spans="7:8" x14ac:dyDescent="0.25">
      <c r="G1648" s="29">
        <v>0</v>
      </c>
      <c r="H1648" s="9">
        <v>21</v>
      </c>
    </row>
    <row r="1649" spans="7:8" x14ac:dyDescent="0.25">
      <c r="G1649" s="29">
        <v>0</v>
      </c>
      <c r="H1649" s="9">
        <v>21</v>
      </c>
    </row>
    <row r="1650" spans="7:8" x14ac:dyDescent="0.25">
      <c r="G1650" s="29">
        <v>0</v>
      </c>
      <c r="H1650" s="9">
        <v>21</v>
      </c>
    </row>
    <row r="1651" spans="7:8" x14ac:dyDescent="0.25">
      <c r="G1651" s="29">
        <v>0</v>
      </c>
      <c r="H1651" s="9">
        <v>21</v>
      </c>
    </row>
    <row r="1652" spans="7:8" x14ac:dyDescent="0.25">
      <c r="G1652" s="29">
        <v>0</v>
      </c>
      <c r="H1652" s="9">
        <v>21</v>
      </c>
    </row>
    <row r="1653" spans="7:8" x14ac:dyDescent="0.25">
      <c r="G1653" s="29">
        <v>0</v>
      </c>
      <c r="H1653" s="9">
        <v>21</v>
      </c>
    </row>
    <row r="1654" spans="7:8" x14ac:dyDescent="0.25">
      <c r="G1654" s="29">
        <v>0</v>
      </c>
      <c r="H1654" s="9">
        <v>21</v>
      </c>
    </row>
    <row r="1655" spans="7:8" x14ac:dyDescent="0.25">
      <c r="G1655" s="29">
        <v>0</v>
      </c>
      <c r="H1655" s="9">
        <v>21</v>
      </c>
    </row>
    <row r="1656" spans="7:8" x14ac:dyDescent="0.25">
      <c r="G1656" s="29">
        <v>0</v>
      </c>
      <c r="H1656" s="9">
        <v>21</v>
      </c>
    </row>
    <row r="1657" spans="7:8" x14ac:dyDescent="0.25">
      <c r="G1657" s="29">
        <v>0</v>
      </c>
      <c r="H1657" s="9">
        <v>21</v>
      </c>
    </row>
    <row r="1658" spans="7:8" x14ac:dyDescent="0.25">
      <c r="G1658" s="29">
        <v>0</v>
      </c>
      <c r="H1658" s="9">
        <v>21</v>
      </c>
    </row>
    <row r="1659" spans="7:8" x14ac:dyDescent="0.25">
      <c r="G1659" s="29">
        <v>0</v>
      </c>
      <c r="H1659" s="9">
        <v>21</v>
      </c>
    </row>
    <row r="1660" spans="7:8" x14ac:dyDescent="0.25">
      <c r="G1660" s="29">
        <v>0</v>
      </c>
      <c r="H1660" s="9">
        <v>21</v>
      </c>
    </row>
    <row r="1661" spans="7:8" x14ac:dyDescent="0.25">
      <c r="G1661" s="29">
        <v>0</v>
      </c>
      <c r="H1661" s="9">
        <v>21</v>
      </c>
    </row>
    <row r="1662" spans="7:8" x14ac:dyDescent="0.25">
      <c r="G1662" s="29">
        <v>0</v>
      </c>
      <c r="H1662" s="9">
        <v>21</v>
      </c>
    </row>
    <row r="1663" spans="7:8" x14ac:dyDescent="0.25">
      <c r="G1663" s="29">
        <v>0</v>
      </c>
      <c r="H1663" s="9">
        <v>21</v>
      </c>
    </row>
    <row r="1664" spans="7:8" x14ac:dyDescent="0.25">
      <c r="G1664" s="29">
        <v>0</v>
      </c>
      <c r="H1664" s="9">
        <v>21</v>
      </c>
    </row>
    <row r="1665" spans="7:8" x14ac:dyDescent="0.25">
      <c r="G1665" s="29">
        <v>0</v>
      </c>
      <c r="H1665" s="9">
        <v>21</v>
      </c>
    </row>
    <row r="1666" spans="7:8" x14ac:dyDescent="0.25">
      <c r="G1666" s="29">
        <v>0</v>
      </c>
      <c r="H1666" s="9">
        <v>21</v>
      </c>
    </row>
    <row r="1667" spans="7:8" x14ac:dyDescent="0.25">
      <c r="G1667" s="29">
        <v>0</v>
      </c>
      <c r="H1667" s="9">
        <v>21</v>
      </c>
    </row>
    <row r="1668" spans="7:8" x14ac:dyDescent="0.25">
      <c r="G1668" s="29">
        <v>0</v>
      </c>
      <c r="H1668" s="9">
        <v>21</v>
      </c>
    </row>
    <row r="1669" spans="7:8" x14ac:dyDescent="0.25">
      <c r="G1669" s="29">
        <v>0</v>
      </c>
      <c r="H1669" s="9">
        <v>21</v>
      </c>
    </row>
    <row r="1670" spans="7:8" x14ac:dyDescent="0.25">
      <c r="G1670" s="29">
        <v>0</v>
      </c>
      <c r="H1670" s="9">
        <v>21</v>
      </c>
    </row>
    <row r="1671" spans="7:8" x14ac:dyDescent="0.25">
      <c r="G1671" s="29">
        <v>0</v>
      </c>
      <c r="H1671" s="9">
        <v>21</v>
      </c>
    </row>
    <row r="1672" spans="7:8" x14ac:dyDescent="0.25">
      <c r="G1672" s="29">
        <v>0</v>
      </c>
      <c r="H1672" s="9">
        <v>21</v>
      </c>
    </row>
    <row r="1673" spans="7:8" x14ac:dyDescent="0.25">
      <c r="G1673" s="29">
        <v>0</v>
      </c>
      <c r="H1673" s="9">
        <v>21</v>
      </c>
    </row>
    <row r="1674" spans="7:8" x14ac:dyDescent="0.25">
      <c r="G1674" s="29">
        <v>0</v>
      </c>
      <c r="H1674" s="9">
        <v>21</v>
      </c>
    </row>
    <row r="1675" spans="7:8" x14ac:dyDescent="0.25">
      <c r="G1675" s="29">
        <v>0</v>
      </c>
      <c r="H1675" s="9">
        <v>21</v>
      </c>
    </row>
    <row r="1676" spans="7:8" x14ac:dyDescent="0.25">
      <c r="G1676" s="29">
        <v>0</v>
      </c>
      <c r="H1676" s="9">
        <v>21</v>
      </c>
    </row>
    <row r="1677" spans="7:8" x14ac:dyDescent="0.25">
      <c r="G1677" s="29">
        <v>0</v>
      </c>
      <c r="H1677" s="9">
        <v>21</v>
      </c>
    </row>
    <row r="1678" spans="7:8" x14ac:dyDescent="0.25">
      <c r="G1678" s="29">
        <v>0</v>
      </c>
      <c r="H1678" s="9">
        <v>21</v>
      </c>
    </row>
    <row r="1679" spans="7:8" x14ac:dyDescent="0.25">
      <c r="G1679" s="29">
        <v>0</v>
      </c>
      <c r="H1679" s="9">
        <v>21</v>
      </c>
    </row>
    <row r="1680" spans="7:8" x14ac:dyDescent="0.25">
      <c r="G1680" s="29">
        <v>0</v>
      </c>
      <c r="H1680" s="9">
        <v>21</v>
      </c>
    </row>
    <row r="1681" spans="7:8" x14ac:dyDescent="0.25">
      <c r="G1681" s="29">
        <v>0</v>
      </c>
      <c r="H1681" s="9">
        <v>21</v>
      </c>
    </row>
    <row r="1682" spans="7:8" x14ac:dyDescent="0.25">
      <c r="G1682" s="29">
        <v>0</v>
      </c>
      <c r="H1682" s="9">
        <v>21</v>
      </c>
    </row>
    <row r="1683" spans="7:8" x14ac:dyDescent="0.25">
      <c r="G1683" s="29">
        <v>0</v>
      </c>
      <c r="H1683" s="9">
        <v>21</v>
      </c>
    </row>
    <row r="1684" spans="7:8" x14ac:dyDescent="0.25">
      <c r="G1684" s="29">
        <v>0</v>
      </c>
      <c r="H1684" s="9">
        <v>21</v>
      </c>
    </row>
    <row r="1685" spans="7:8" x14ac:dyDescent="0.25">
      <c r="G1685" s="29">
        <v>0</v>
      </c>
      <c r="H1685" s="9">
        <v>21</v>
      </c>
    </row>
    <row r="1686" spans="7:8" x14ac:dyDescent="0.25">
      <c r="G1686" s="29">
        <v>0</v>
      </c>
      <c r="H1686" s="9">
        <v>21</v>
      </c>
    </row>
    <row r="1687" spans="7:8" x14ac:dyDescent="0.25">
      <c r="G1687" s="29">
        <v>0</v>
      </c>
      <c r="H1687" s="9">
        <v>21</v>
      </c>
    </row>
    <row r="1688" spans="7:8" x14ac:dyDescent="0.25">
      <c r="G1688" s="29">
        <v>0</v>
      </c>
      <c r="H1688" s="9">
        <v>21</v>
      </c>
    </row>
    <row r="1689" spans="7:8" x14ac:dyDescent="0.25">
      <c r="G1689" s="29">
        <v>0</v>
      </c>
      <c r="H1689" s="9">
        <v>21</v>
      </c>
    </row>
    <row r="1690" spans="7:8" x14ac:dyDescent="0.25">
      <c r="G1690" s="29">
        <v>0</v>
      </c>
      <c r="H1690" s="9">
        <v>21</v>
      </c>
    </row>
    <row r="1691" spans="7:8" x14ac:dyDescent="0.25">
      <c r="G1691" s="29">
        <v>0</v>
      </c>
      <c r="H1691" s="9">
        <v>21</v>
      </c>
    </row>
    <row r="1692" spans="7:8" x14ac:dyDescent="0.25">
      <c r="G1692" s="29">
        <v>0</v>
      </c>
      <c r="H1692" s="9">
        <v>21</v>
      </c>
    </row>
    <row r="1693" spans="7:8" x14ac:dyDescent="0.25">
      <c r="G1693" s="29">
        <v>0</v>
      </c>
      <c r="H1693" s="9">
        <v>21</v>
      </c>
    </row>
    <row r="1694" spans="7:8" x14ac:dyDescent="0.25">
      <c r="G1694" s="29">
        <v>0</v>
      </c>
      <c r="H1694" s="9">
        <v>21</v>
      </c>
    </row>
    <row r="1695" spans="7:8" x14ac:dyDescent="0.25">
      <c r="G1695" s="29">
        <v>0</v>
      </c>
      <c r="H1695" s="9">
        <v>21</v>
      </c>
    </row>
    <row r="1696" spans="7:8" x14ac:dyDescent="0.25">
      <c r="G1696" s="29">
        <v>0</v>
      </c>
      <c r="H1696" s="9">
        <v>21</v>
      </c>
    </row>
    <row r="1697" spans="7:8" x14ac:dyDescent="0.25">
      <c r="G1697" s="29">
        <v>0</v>
      </c>
      <c r="H1697" s="9">
        <v>21</v>
      </c>
    </row>
    <row r="1698" spans="7:8" x14ac:dyDescent="0.25">
      <c r="G1698" s="29">
        <v>0</v>
      </c>
      <c r="H1698" s="9">
        <v>21</v>
      </c>
    </row>
    <row r="1699" spans="7:8" x14ac:dyDescent="0.25">
      <c r="G1699" s="29">
        <v>0</v>
      </c>
      <c r="H1699" s="9">
        <v>21</v>
      </c>
    </row>
    <row r="1700" spans="7:8" x14ac:dyDescent="0.25">
      <c r="G1700" s="29">
        <v>0</v>
      </c>
      <c r="H1700" s="9">
        <v>21</v>
      </c>
    </row>
    <row r="1701" spans="7:8" x14ac:dyDescent="0.25">
      <c r="G1701" s="29">
        <v>0</v>
      </c>
      <c r="H1701" s="9">
        <v>21</v>
      </c>
    </row>
    <row r="1702" spans="7:8" x14ac:dyDescent="0.25">
      <c r="G1702" s="29">
        <v>0</v>
      </c>
      <c r="H1702" s="9">
        <v>21</v>
      </c>
    </row>
    <row r="1703" spans="7:8" x14ac:dyDescent="0.25">
      <c r="G1703" s="29">
        <v>0</v>
      </c>
      <c r="H1703" s="9">
        <v>21</v>
      </c>
    </row>
    <row r="1704" spans="7:8" x14ac:dyDescent="0.25">
      <c r="G1704" s="29">
        <v>0</v>
      </c>
      <c r="H1704" s="9">
        <v>21</v>
      </c>
    </row>
    <row r="1705" spans="7:8" x14ac:dyDescent="0.25">
      <c r="G1705" s="29">
        <v>0</v>
      </c>
      <c r="H1705" s="9">
        <v>21</v>
      </c>
    </row>
    <row r="1706" spans="7:8" x14ac:dyDescent="0.25">
      <c r="G1706" s="29">
        <v>0</v>
      </c>
      <c r="H1706" s="9">
        <v>21</v>
      </c>
    </row>
    <row r="1707" spans="7:8" x14ac:dyDescent="0.25">
      <c r="G1707" s="29">
        <v>0</v>
      </c>
      <c r="H1707" s="9">
        <v>21</v>
      </c>
    </row>
    <row r="1708" spans="7:8" x14ac:dyDescent="0.25">
      <c r="G1708" s="29">
        <v>0</v>
      </c>
      <c r="H1708" s="9">
        <v>21</v>
      </c>
    </row>
    <row r="1709" spans="7:8" x14ac:dyDescent="0.25">
      <c r="G1709" s="29">
        <v>0</v>
      </c>
      <c r="H1709" s="9">
        <v>21</v>
      </c>
    </row>
    <row r="1710" spans="7:8" x14ac:dyDescent="0.25">
      <c r="G1710" s="29">
        <v>0</v>
      </c>
      <c r="H1710" s="9">
        <v>21</v>
      </c>
    </row>
    <row r="1711" spans="7:8" x14ac:dyDescent="0.25">
      <c r="G1711" s="29">
        <v>0</v>
      </c>
      <c r="H1711" s="9">
        <v>21</v>
      </c>
    </row>
    <row r="1712" spans="7:8" x14ac:dyDescent="0.25">
      <c r="G1712" s="29">
        <v>0</v>
      </c>
      <c r="H1712" s="9">
        <v>21</v>
      </c>
    </row>
    <row r="1713" spans="7:8" x14ac:dyDescent="0.25">
      <c r="G1713" s="29">
        <v>0</v>
      </c>
      <c r="H1713" s="9">
        <v>21</v>
      </c>
    </row>
    <row r="1714" spans="7:8" x14ac:dyDescent="0.25">
      <c r="G1714" s="29">
        <v>0</v>
      </c>
      <c r="H1714" s="9">
        <v>21</v>
      </c>
    </row>
    <row r="1715" spans="7:8" x14ac:dyDescent="0.25">
      <c r="G1715" s="29">
        <v>0</v>
      </c>
      <c r="H1715" s="9">
        <v>21</v>
      </c>
    </row>
    <row r="1716" spans="7:8" x14ac:dyDescent="0.25">
      <c r="G1716" s="29">
        <v>0</v>
      </c>
      <c r="H1716" s="9">
        <v>21</v>
      </c>
    </row>
    <row r="1717" spans="7:8" x14ac:dyDescent="0.25">
      <c r="G1717" s="29">
        <v>0</v>
      </c>
      <c r="H1717" s="9">
        <v>21</v>
      </c>
    </row>
    <row r="1718" spans="7:8" x14ac:dyDescent="0.25">
      <c r="G1718" s="29">
        <v>0</v>
      </c>
      <c r="H1718" s="9">
        <v>21</v>
      </c>
    </row>
    <row r="1719" spans="7:8" x14ac:dyDescent="0.25">
      <c r="G1719" s="29">
        <v>0</v>
      </c>
      <c r="H1719" s="9">
        <v>21</v>
      </c>
    </row>
    <row r="1720" spans="7:8" x14ac:dyDescent="0.25">
      <c r="G1720" s="29">
        <v>0</v>
      </c>
      <c r="H1720" s="9">
        <v>21</v>
      </c>
    </row>
    <row r="1721" spans="7:8" x14ac:dyDescent="0.25">
      <c r="G1721" s="29">
        <v>0</v>
      </c>
      <c r="H1721" s="9">
        <v>21</v>
      </c>
    </row>
    <row r="1722" spans="7:8" x14ac:dyDescent="0.25">
      <c r="G1722" s="29">
        <v>0</v>
      </c>
      <c r="H1722" s="9">
        <v>21</v>
      </c>
    </row>
    <row r="1723" spans="7:8" x14ac:dyDescent="0.25">
      <c r="G1723" s="29">
        <v>0</v>
      </c>
      <c r="H1723" s="9">
        <v>21</v>
      </c>
    </row>
    <row r="1724" spans="7:8" x14ac:dyDescent="0.25">
      <c r="G1724" s="29">
        <v>0</v>
      </c>
      <c r="H1724" s="9">
        <v>21</v>
      </c>
    </row>
    <row r="1725" spans="7:8" x14ac:dyDescent="0.25">
      <c r="G1725" s="29">
        <v>0</v>
      </c>
      <c r="H1725" s="9">
        <v>21</v>
      </c>
    </row>
    <row r="1726" spans="7:8" x14ac:dyDescent="0.25">
      <c r="G1726" s="29">
        <v>0</v>
      </c>
      <c r="H1726" s="9">
        <v>21</v>
      </c>
    </row>
    <row r="1727" spans="7:8" x14ac:dyDescent="0.25">
      <c r="G1727" s="29">
        <v>0</v>
      </c>
      <c r="H1727" s="9">
        <v>21</v>
      </c>
    </row>
    <row r="1728" spans="7:8" x14ac:dyDescent="0.25">
      <c r="G1728" s="29">
        <v>0</v>
      </c>
      <c r="H1728" s="9">
        <v>21</v>
      </c>
    </row>
    <row r="1729" spans="7:8" x14ac:dyDescent="0.25">
      <c r="G1729" s="29">
        <v>0</v>
      </c>
      <c r="H1729" s="9">
        <v>21</v>
      </c>
    </row>
    <row r="1730" spans="7:8" x14ac:dyDescent="0.25">
      <c r="G1730" s="29">
        <v>0</v>
      </c>
      <c r="H1730" s="9">
        <v>21</v>
      </c>
    </row>
    <row r="1731" spans="7:8" x14ac:dyDescent="0.25">
      <c r="G1731" s="29">
        <v>0</v>
      </c>
      <c r="H1731" s="9">
        <v>21</v>
      </c>
    </row>
    <row r="1732" spans="7:8" x14ac:dyDescent="0.25">
      <c r="G1732" s="29">
        <v>0</v>
      </c>
      <c r="H1732" s="9">
        <v>21</v>
      </c>
    </row>
    <row r="1733" spans="7:8" x14ac:dyDescent="0.25">
      <c r="G1733" s="29">
        <v>0</v>
      </c>
      <c r="H1733" s="9">
        <v>21</v>
      </c>
    </row>
    <row r="1734" spans="7:8" x14ac:dyDescent="0.25">
      <c r="G1734" s="29">
        <v>0</v>
      </c>
      <c r="H1734" s="9">
        <v>21</v>
      </c>
    </row>
    <row r="1735" spans="7:8" x14ac:dyDescent="0.25">
      <c r="G1735" s="29">
        <v>0</v>
      </c>
      <c r="H1735" s="9">
        <v>21</v>
      </c>
    </row>
    <row r="1736" spans="7:8" x14ac:dyDescent="0.25">
      <c r="G1736" s="29">
        <v>0</v>
      </c>
      <c r="H1736" s="9">
        <v>21</v>
      </c>
    </row>
    <row r="1737" spans="7:8" x14ac:dyDescent="0.25">
      <c r="G1737" s="29">
        <v>0</v>
      </c>
      <c r="H1737" s="9">
        <v>21</v>
      </c>
    </row>
    <row r="1738" spans="7:8" x14ac:dyDescent="0.25">
      <c r="G1738" s="29">
        <v>0</v>
      </c>
      <c r="H1738" s="9">
        <v>21</v>
      </c>
    </row>
    <row r="1739" spans="7:8" x14ac:dyDescent="0.25">
      <c r="G1739" s="29">
        <v>0</v>
      </c>
      <c r="H1739" s="9">
        <v>21</v>
      </c>
    </row>
    <row r="1740" spans="7:8" x14ac:dyDescent="0.25">
      <c r="G1740" s="29">
        <v>0</v>
      </c>
      <c r="H1740" s="9">
        <v>21</v>
      </c>
    </row>
    <row r="1741" spans="7:8" x14ac:dyDescent="0.25">
      <c r="G1741" s="29">
        <v>0</v>
      </c>
      <c r="H1741" s="9">
        <v>21</v>
      </c>
    </row>
    <row r="1742" spans="7:8" x14ac:dyDescent="0.25">
      <c r="G1742" s="29">
        <v>0</v>
      </c>
      <c r="H1742" s="9">
        <v>21</v>
      </c>
    </row>
    <row r="1743" spans="7:8" x14ac:dyDescent="0.25">
      <c r="G1743" s="29">
        <v>0</v>
      </c>
      <c r="H1743" s="9">
        <v>21</v>
      </c>
    </row>
    <row r="1744" spans="7:8" x14ac:dyDescent="0.25">
      <c r="G1744" s="29">
        <v>0</v>
      </c>
      <c r="H1744" s="9">
        <v>21</v>
      </c>
    </row>
    <row r="1745" spans="7:8" x14ac:dyDescent="0.25">
      <c r="G1745" s="29">
        <v>0</v>
      </c>
      <c r="H1745" s="9">
        <v>21</v>
      </c>
    </row>
    <row r="1746" spans="7:8" x14ac:dyDescent="0.25">
      <c r="G1746" s="29">
        <v>0</v>
      </c>
      <c r="H1746" s="9">
        <v>21</v>
      </c>
    </row>
    <row r="1747" spans="7:8" x14ac:dyDescent="0.25">
      <c r="G1747" s="29">
        <v>0</v>
      </c>
      <c r="H1747" s="9">
        <v>21</v>
      </c>
    </row>
    <row r="1748" spans="7:8" x14ac:dyDescent="0.25">
      <c r="G1748" s="29">
        <v>0</v>
      </c>
      <c r="H1748" s="9">
        <v>21</v>
      </c>
    </row>
    <row r="1749" spans="7:8" x14ac:dyDescent="0.25">
      <c r="G1749" s="29">
        <v>0</v>
      </c>
      <c r="H1749" s="9">
        <v>21</v>
      </c>
    </row>
    <row r="1750" spans="7:8" x14ac:dyDescent="0.25">
      <c r="G1750" s="29">
        <v>0</v>
      </c>
      <c r="H1750" s="9">
        <v>21</v>
      </c>
    </row>
    <row r="1751" spans="7:8" x14ac:dyDescent="0.25">
      <c r="G1751" s="29">
        <v>0</v>
      </c>
      <c r="H1751" s="9">
        <v>21</v>
      </c>
    </row>
    <row r="1752" spans="7:8" x14ac:dyDescent="0.25">
      <c r="G1752" s="29">
        <v>0</v>
      </c>
      <c r="H1752" s="9">
        <v>21</v>
      </c>
    </row>
    <row r="1753" spans="7:8" x14ac:dyDescent="0.25">
      <c r="G1753" s="29">
        <v>0</v>
      </c>
      <c r="H1753" s="9">
        <v>21</v>
      </c>
    </row>
    <row r="1754" spans="7:8" x14ac:dyDescent="0.25">
      <c r="G1754" s="29">
        <v>0</v>
      </c>
      <c r="H1754" s="9">
        <v>21</v>
      </c>
    </row>
    <row r="1755" spans="7:8" x14ac:dyDescent="0.25">
      <c r="G1755" s="29">
        <v>0</v>
      </c>
      <c r="H1755" s="9">
        <v>21</v>
      </c>
    </row>
    <row r="1756" spans="7:8" x14ac:dyDescent="0.25">
      <c r="G1756" s="29">
        <v>0</v>
      </c>
      <c r="H1756" s="9">
        <v>21</v>
      </c>
    </row>
    <row r="1757" spans="7:8" x14ac:dyDescent="0.25">
      <c r="G1757" s="29">
        <v>0</v>
      </c>
      <c r="H1757" s="9">
        <v>21</v>
      </c>
    </row>
    <row r="1758" spans="7:8" x14ac:dyDescent="0.25">
      <c r="G1758" s="29">
        <v>0</v>
      </c>
      <c r="H1758" s="9">
        <v>21</v>
      </c>
    </row>
    <row r="1759" spans="7:8" x14ac:dyDescent="0.25">
      <c r="G1759" s="29">
        <v>0</v>
      </c>
      <c r="H1759" s="9">
        <v>21</v>
      </c>
    </row>
    <row r="1760" spans="7:8" x14ac:dyDescent="0.25">
      <c r="G1760" s="29">
        <v>0</v>
      </c>
      <c r="H1760" s="9">
        <v>21</v>
      </c>
    </row>
    <row r="1761" spans="7:8" x14ac:dyDescent="0.25">
      <c r="G1761" s="29">
        <v>0</v>
      </c>
      <c r="H1761" s="9">
        <v>21</v>
      </c>
    </row>
    <row r="1762" spans="7:8" x14ac:dyDescent="0.25">
      <c r="G1762" s="29">
        <v>0</v>
      </c>
      <c r="H1762" s="9">
        <v>21</v>
      </c>
    </row>
    <row r="1763" spans="7:8" x14ac:dyDescent="0.25">
      <c r="G1763" s="29">
        <v>0</v>
      </c>
      <c r="H1763" s="9">
        <v>21</v>
      </c>
    </row>
    <row r="1764" spans="7:8" x14ac:dyDescent="0.25">
      <c r="G1764" s="29">
        <v>0</v>
      </c>
      <c r="H1764" s="9">
        <v>21</v>
      </c>
    </row>
    <row r="1765" spans="7:8" x14ac:dyDescent="0.25">
      <c r="G1765" s="29">
        <v>0</v>
      </c>
      <c r="H1765" s="9">
        <v>21</v>
      </c>
    </row>
    <row r="1766" spans="7:8" x14ac:dyDescent="0.25">
      <c r="G1766" s="29">
        <v>0</v>
      </c>
      <c r="H1766" s="9">
        <v>21</v>
      </c>
    </row>
    <row r="1767" spans="7:8" x14ac:dyDescent="0.25">
      <c r="G1767" s="29">
        <v>0</v>
      </c>
      <c r="H1767" s="9">
        <v>21</v>
      </c>
    </row>
    <row r="1768" spans="7:8" x14ac:dyDescent="0.25">
      <c r="G1768" s="29">
        <v>0</v>
      </c>
      <c r="H1768" s="9">
        <v>21</v>
      </c>
    </row>
    <row r="1769" spans="7:8" x14ac:dyDescent="0.25">
      <c r="G1769" s="29">
        <v>0</v>
      </c>
      <c r="H1769" s="9">
        <v>21</v>
      </c>
    </row>
    <row r="1770" spans="7:8" x14ac:dyDescent="0.25">
      <c r="G1770" s="29">
        <v>0</v>
      </c>
      <c r="H1770" s="9">
        <v>21</v>
      </c>
    </row>
    <row r="1771" spans="7:8" x14ac:dyDescent="0.25">
      <c r="G1771" s="29">
        <v>0</v>
      </c>
      <c r="H1771" s="9">
        <v>21</v>
      </c>
    </row>
    <row r="1772" spans="7:8" x14ac:dyDescent="0.25">
      <c r="G1772" s="29">
        <v>0</v>
      </c>
      <c r="H1772" s="9">
        <v>21</v>
      </c>
    </row>
    <row r="1773" spans="7:8" x14ac:dyDescent="0.25">
      <c r="G1773" s="29">
        <v>0</v>
      </c>
      <c r="H1773" s="9">
        <v>21</v>
      </c>
    </row>
    <row r="1774" spans="7:8" x14ac:dyDescent="0.25">
      <c r="G1774" s="29">
        <v>0</v>
      </c>
      <c r="H1774" s="9">
        <v>21</v>
      </c>
    </row>
    <row r="1775" spans="7:8" x14ac:dyDescent="0.25">
      <c r="G1775" s="29">
        <v>0</v>
      </c>
      <c r="H1775" s="9">
        <v>21</v>
      </c>
    </row>
    <row r="1776" spans="7:8" x14ac:dyDescent="0.25">
      <c r="G1776" s="29">
        <v>0</v>
      </c>
      <c r="H1776" s="9">
        <v>21</v>
      </c>
    </row>
    <row r="1777" spans="7:8" x14ac:dyDescent="0.25">
      <c r="G1777" s="29">
        <v>0</v>
      </c>
      <c r="H1777" s="9">
        <v>21</v>
      </c>
    </row>
    <row r="1778" spans="7:8" x14ac:dyDescent="0.25">
      <c r="G1778" s="29">
        <v>0</v>
      </c>
      <c r="H1778" s="9">
        <v>21</v>
      </c>
    </row>
    <row r="1779" spans="7:8" x14ac:dyDescent="0.25">
      <c r="G1779" s="29">
        <v>0</v>
      </c>
      <c r="H1779" s="9">
        <v>21</v>
      </c>
    </row>
    <row r="1780" spans="7:8" x14ac:dyDescent="0.25">
      <c r="G1780" s="29">
        <v>0</v>
      </c>
      <c r="H1780" s="9">
        <v>21</v>
      </c>
    </row>
    <row r="1781" spans="7:8" x14ac:dyDescent="0.25">
      <c r="G1781" s="29">
        <v>0</v>
      </c>
      <c r="H1781" s="9">
        <v>21</v>
      </c>
    </row>
    <row r="1782" spans="7:8" x14ac:dyDescent="0.25">
      <c r="G1782" s="29">
        <v>0</v>
      </c>
      <c r="H1782" s="9">
        <v>21</v>
      </c>
    </row>
    <row r="1783" spans="7:8" x14ac:dyDescent="0.25">
      <c r="G1783" s="29">
        <v>0</v>
      </c>
      <c r="H1783" s="9">
        <v>21</v>
      </c>
    </row>
    <row r="1784" spans="7:8" x14ac:dyDescent="0.25">
      <c r="G1784" s="29">
        <v>0</v>
      </c>
      <c r="H1784" s="9">
        <v>21</v>
      </c>
    </row>
    <row r="1785" spans="7:8" x14ac:dyDescent="0.25">
      <c r="G1785" s="29">
        <v>0</v>
      </c>
      <c r="H1785" s="9">
        <v>21</v>
      </c>
    </row>
    <row r="1786" spans="7:8" x14ac:dyDescent="0.25">
      <c r="G1786" s="29">
        <v>0</v>
      </c>
      <c r="H1786" s="9">
        <v>21</v>
      </c>
    </row>
    <row r="1787" spans="7:8" x14ac:dyDescent="0.25">
      <c r="G1787" s="29">
        <v>0</v>
      </c>
      <c r="H1787" s="9">
        <v>21</v>
      </c>
    </row>
    <row r="1788" spans="7:8" x14ac:dyDescent="0.25">
      <c r="G1788" s="29">
        <v>0</v>
      </c>
      <c r="H1788" s="9">
        <v>21</v>
      </c>
    </row>
    <row r="1789" spans="7:8" x14ac:dyDescent="0.25">
      <c r="G1789" s="29">
        <v>0</v>
      </c>
      <c r="H1789" s="9">
        <v>21</v>
      </c>
    </row>
    <row r="1790" spans="7:8" x14ac:dyDescent="0.25">
      <c r="G1790" s="29">
        <v>0</v>
      </c>
      <c r="H1790" s="9">
        <v>21</v>
      </c>
    </row>
    <row r="1791" spans="7:8" x14ac:dyDescent="0.25">
      <c r="G1791" s="29">
        <v>0</v>
      </c>
      <c r="H1791" s="9">
        <v>21</v>
      </c>
    </row>
    <row r="1792" spans="7:8" x14ac:dyDescent="0.25">
      <c r="G1792" s="29">
        <v>0</v>
      </c>
      <c r="H1792" s="9">
        <v>21</v>
      </c>
    </row>
    <row r="1793" spans="7:8" x14ac:dyDescent="0.25">
      <c r="G1793" s="29">
        <v>0</v>
      </c>
      <c r="H1793" s="9">
        <v>21</v>
      </c>
    </row>
    <row r="1794" spans="7:8" x14ac:dyDescent="0.25">
      <c r="G1794" s="29">
        <v>0</v>
      </c>
      <c r="H1794" s="9">
        <v>21</v>
      </c>
    </row>
    <row r="1795" spans="7:8" x14ac:dyDescent="0.25">
      <c r="G1795" s="29">
        <v>0</v>
      </c>
      <c r="H1795" s="9">
        <v>21</v>
      </c>
    </row>
    <row r="1796" spans="7:8" x14ac:dyDescent="0.25">
      <c r="G1796" s="29">
        <v>0</v>
      </c>
      <c r="H1796" s="9">
        <v>21</v>
      </c>
    </row>
    <row r="1797" spans="7:8" x14ac:dyDescent="0.25">
      <c r="G1797" s="29">
        <v>0</v>
      </c>
      <c r="H1797" s="9">
        <v>21</v>
      </c>
    </row>
    <row r="1798" spans="7:8" x14ac:dyDescent="0.25">
      <c r="G1798" s="29">
        <v>0</v>
      </c>
      <c r="H1798" s="9">
        <v>21</v>
      </c>
    </row>
    <row r="1799" spans="7:8" x14ac:dyDescent="0.25">
      <c r="G1799" s="29">
        <v>0</v>
      </c>
      <c r="H1799" s="9">
        <v>21</v>
      </c>
    </row>
    <row r="1800" spans="7:8" x14ac:dyDescent="0.25">
      <c r="G1800" s="29">
        <v>0</v>
      </c>
      <c r="H1800" s="9">
        <v>21</v>
      </c>
    </row>
    <row r="1801" spans="7:8" x14ac:dyDescent="0.25">
      <c r="G1801" s="29">
        <v>0</v>
      </c>
      <c r="H1801" s="9">
        <v>21</v>
      </c>
    </row>
    <row r="1802" spans="7:8" x14ac:dyDescent="0.25">
      <c r="G1802" s="29">
        <v>0</v>
      </c>
      <c r="H1802" s="9">
        <v>21</v>
      </c>
    </row>
    <row r="1803" spans="7:8" x14ac:dyDescent="0.25">
      <c r="G1803" s="29">
        <v>0</v>
      </c>
      <c r="H1803" s="9">
        <v>21</v>
      </c>
    </row>
    <row r="1804" spans="7:8" x14ac:dyDescent="0.25">
      <c r="G1804" s="29">
        <v>0</v>
      </c>
      <c r="H1804" s="9">
        <v>21</v>
      </c>
    </row>
    <row r="1805" spans="7:8" x14ac:dyDescent="0.25">
      <c r="G1805" s="29">
        <v>0</v>
      </c>
      <c r="H1805" s="9">
        <v>21</v>
      </c>
    </row>
    <row r="1806" spans="7:8" x14ac:dyDescent="0.25">
      <c r="G1806" s="29">
        <v>0</v>
      </c>
      <c r="H1806" s="9">
        <v>21</v>
      </c>
    </row>
    <row r="1807" spans="7:8" x14ac:dyDescent="0.25">
      <c r="G1807" s="29">
        <v>0</v>
      </c>
      <c r="H1807" s="9">
        <v>21</v>
      </c>
    </row>
    <row r="1808" spans="7:8" x14ac:dyDescent="0.25">
      <c r="G1808" s="29">
        <v>0</v>
      </c>
      <c r="H1808" s="9">
        <v>21</v>
      </c>
    </row>
    <row r="1809" spans="7:8" x14ac:dyDescent="0.25">
      <c r="G1809" s="29">
        <v>0</v>
      </c>
      <c r="H1809" s="9">
        <v>21</v>
      </c>
    </row>
    <row r="1810" spans="7:8" x14ac:dyDescent="0.25">
      <c r="G1810" s="29">
        <v>0</v>
      </c>
      <c r="H1810" s="9">
        <v>21</v>
      </c>
    </row>
    <row r="1811" spans="7:8" x14ac:dyDescent="0.25">
      <c r="G1811" s="29">
        <v>0</v>
      </c>
      <c r="H1811" s="9">
        <v>21</v>
      </c>
    </row>
    <row r="1812" spans="7:8" x14ac:dyDescent="0.25">
      <c r="G1812" s="29">
        <v>0</v>
      </c>
      <c r="H1812" s="9">
        <v>21</v>
      </c>
    </row>
    <row r="1813" spans="7:8" x14ac:dyDescent="0.25">
      <c r="G1813" s="29">
        <v>0</v>
      </c>
      <c r="H1813" s="9">
        <v>21</v>
      </c>
    </row>
    <row r="1814" spans="7:8" x14ac:dyDescent="0.25">
      <c r="G1814" s="29">
        <v>0</v>
      </c>
      <c r="H1814" s="9">
        <v>21</v>
      </c>
    </row>
    <row r="1815" spans="7:8" x14ac:dyDescent="0.25">
      <c r="G1815" s="29">
        <v>0</v>
      </c>
      <c r="H1815" s="9">
        <v>21</v>
      </c>
    </row>
    <row r="1816" spans="7:8" x14ac:dyDescent="0.25">
      <c r="G1816" s="29">
        <v>0</v>
      </c>
      <c r="H1816" s="9">
        <v>21</v>
      </c>
    </row>
    <row r="1817" spans="7:8" x14ac:dyDescent="0.25">
      <c r="G1817" s="29">
        <v>0</v>
      </c>
      <c r="H1817" s="9">
        <v>21</v>
      </c>
    </row>
    <row r="1818" spans="7:8" x14ac:dyDescent="0.25">
      <c r="G1818" s="29">
        <v>0</v>
      </c>
      <c r="H1818" s="9">
        <v>21</v>
      </c>
    </row>
    <row r="1819" spans="7:8" x14ac:dyDescent="0.25">
      <c r="G1819" s="29">
        <v>0</v>
      </c>
      <c r="H1819" s="9">
        <v>21</v>
      </c>
    </row>
    <row r="1820" spans="7:8" x14ac:dyDescent="0.25">
      <c r="G1820" s="29">
        <v>0</v>
      </c>
      <c r="H1820" s="9">
        <v>21</v>
      </c>
    </row>
    <row r="1821" spans="7:8" x14ac:dyDescent="0.25">
      <c r="G1821" s="29">
        <v>0</v>
      </c>
      <c r="H1821" s="9">
        <v>21</v>
      </c>
    </row>
    <row r="1822" spans="7:8" x14ac:dyDescent="0.25">
      <c r="G1822" s="29">
        <v>0</v>
      </c>
      <c r="H1822" s="9">
        <v>21</v>
      </c>
    </row>
    <row r="1823" spans="7:8" x14ac:dyDescent="0.25">
      <c r="G1823" s="29">
        <v>0</v>
      </c>
      <c r="H1823" s="9">
        <v>21</v>
      </c>
    </row>
    <row r="1824" spans="7:8" x14ac:dyDescent="0.25">
      <c r="G1824" s="29">
        <v>0</v>
      </c>
      <c r="H1824" s="9">
        <v>21</v>
      </c>
    </row>
    <row r="1825" spans="7:8" x14ac:dyDescent="0.25">
      <c r="G1825" s="29">
        <v>0</v>
      </c>
      <c r="H1825" s="9">
        <v>21</v>
      </c>
    </row>
    <row r="1826" spans="7:8" x14ac:dyDescent="0.25">
      <c r="G1826" s="29">
        <v>0</v>
      </c>
      <c r="H1826" s="9">
        <v>21</v>
      </c>
    </row>
    <row r="1827" spans="7:8" x14ac:dyDescent="0.25">
      <c r="G1827" s="29">
        <v>0</v>
      </c>
      <c r="H1827" s="9">
        <v>21</v>
      </c>
    </row>
    <row r="1828" spans="7:8" x14ac:dyDescent="0.25">
      <c r="G1828" s="29">
        <v>0</v>
      </c>
      <c r="H1828" s="9">
        <v>21</v>
      </c>
    </row>
    <row r="1829" spans="7:8" x14ac:dyDescent="0.25">
      <c r="G1829" s="29">
        <v>0</v>
      </c>
      <c r="H1829" s="9">
        <v>21</v>
      </c>
    </row>
    <row r="1830" spans="7:8" x14ac:dyDescent="0.25">
      <c r="G1830" s="29">
        <v>0</v>
      </c>
      <c r="H1830" s="9">
        <v>21</v>
      </c>
    </row>
    <row r="1831" spans="7:8" x14ac:dyDescent="0.25">
      <c r="G1831" s="29">
        <v>0</v>
      </c>
      <c r="H1831" s="9">
        <v>21</v>
      </c>
    </row>
    <row r="1832" spans="7:8" x14ac:dyDescent="0.25">
      <c r="G1832" s="29">
        <v>0</v>
      </c>
      <c r="H1832" s="9">
        <v>21</v>
      </c>
    </row>
    <row r="1833" spans="7:8" x14ac:dyDescent="0.25">
      <c r="G1833" s="29">
        <v>0</v>
      </c>
      <c r="H1833" s="9">
        <v>21</v>
      </c>
    </row>
    <row r="1834" spans="7:8" x14ac:dyDescent="0.25">
      <c r="G1834" s="29">
        <v>0</v>
      </c>
      <c r="H1834" s="9">
        <v>21</v>
      </c>
    </row>
    <row r="1835" spans="7:8" x14ac:dyDescent="0.25">
      <c r="G1835" s="29">
        <v>0</v>
      </c>
      <c r="H1835" s="9">
        <v>21</v>
      </c>
    </row>
    <row r="1836" spans="7:8" x14ac:dyDescent="0.25">
      <c r="G1836" s="29">
        <v>0</v>
      </c>
      <c r="H1836" s="9">
        <v>21</v>
      </c>
    </row>
    <row r="1837" spans="7:8" x14ac:dyDescent="0.25">
      <c r="G1837" s="29">
        <v>0</v>
      </c>
      <c r="H1837" s="9">
        <v>21</v>
      </c>
    </row>
    <row r="1838" spans="7:8" x14ac:dyDescent="0.25">
      <c r="G1838" s="29">
        <v>0</v>
      </c>
      <c r="H1838" s="9">
        <v>21</v>
      </c>
    </row>
    <row r="1839" spans="7:8" x14ac:dyDescent="0.25">
      <c r="G1839" s="29">
        <v>0</v>
      </c>
      <c r="H1839" s="9">
        <v>21</v>
      </c>
    </row>
    <row r="1840" spans="7:8" x14ac:dyDescent="0.25">
      <c r="G1840" s="29">
        <v>0</v>
      </c>
      <c r="H1840" s="9">
        <v>21</v>
      </c>
    </row>
    <row r="1841" spans="7:8" x14ac:dyDescent="0.25">
      <c r="G1841" s="29">
        <v>0</v>
      </c>
      <c r="H1841" s="9">
        <v>21</v>
      </c>
    </row>
    <row r="1842" spans="7:8" x14ac:dyDescent="0.25">
      <c r="G1842" s="29">
        <v>0</v>
      </c>
      <c r="H1842" s="9">
        <v>21</v>
      </c>
    </row>
    <row r="1843" spans="7:8" x14ac:dyDescent="0.25">
      <c r="G1843" s="29">
        <v>0</v>
      </c>
      <c r="H1843" s="9">
        <v>21</v>
      </c>
    </row>
    <row r="1844" spans="7:8" x14ac:dyDescent="0.25">
      <c r="G1844" s="29">
        <v>0</v>
      </c>
      <c r="H1844" s="9">
        <v>21</v>
      </c>
    </row>
    <row r="1845" spans="7:8" x14ac:dyDescent="0.25">
      <c r="G1845" s="29">
        <v>0</v>
      </c>
      <c r="H1845" s="9">
        <v>21</v>
      </c>
    </row>
    <row r="1846" spans="7:8" x14ac:dyDescent="0.25">
      <c r="G1846" s="29">
        <v>0</v>
      </c>
      <c r="H1846" s="9">
        <v>21</v>
      </c>
    </row>
    <row r="1847" spans="7:8" x14ac:dyDescent="0.25">
      <c r="G1847" s="29">
        <v>0</v>
      </c>
      <c r="H1847" s="9">
        <v>21</v>
      </c>
    </row>
    <row r="1848" spans="7:8" x14ac:dyDescent="0.25">
      <c r="G1848" s="29">
        <v>0</v>
      </c>
      <c r="H1848" s="9">
        <v>21</v>
      </c>
    </row>
    <row r="1849" spans="7:8" x14ac:dyDescent="0.25">
      <c r="G1849" s="29">
        <v>0</v>
      </c>
      <c r="H1849" s="9">
        <v>21</v>
      </c>
    </row>
    <row r="1850" spans="7:8" x14ac:dyDescent="0.25">
      <c r="G1850" s="29">
        <v>0</v>
      </c>
      <c r="H1850" s="9">
        <v>21</v>
      </c>
    </row>
    <row r="1851" spans="7:8" x14ac:dyDescent="0.25">
      <c r="G1851" s="29">
        <v>0</v>
      </c>
      <c r="H1851" s="9">
        <v>21</v>
      </c>
    </row>
    <row r="1852" spans="7:8" x14ac:dyDescent="0.25">
      <c r="G1852" s="29">
        <v>0</v>
      </c>
      <c r="H1852" s="9">
        <v>21</v>
      </c>
    </row>
    <row r="1853" spans="7:8" x14ac:dyDescent="0.25">
      <c r="G1853" s="29">
        <v>0</v>
      </c>
      <c r="H1853" s="9">
        <v>21</v>
      </c>
    </row>
    <row r="1854" spans="7:8" x14ac:dyDescent="0.25">
      <c r="G1854" s="29">
        <v>0</v>
      </c>
      <c r="H1854" s="9">
        <v>21</v>
      </c>
    </row>
    <row r="1855" spans="7:8" x14ac:dyDescent="0.25">
      <c r="G1855" s="29">
        <v>0</v>
      </c>
      <c r="H1855" s="9">
        <v>21</v>
      </c>
    </row>
    <row r="1856" spans="7:8" x14ac:dyDescent="0.25">
      <c r="G1856" s="29">
        <v>0</v>
      </c>
      <c r="H1856" s="9">
        <v>21</v>
      </c>
    </row>
    <row r="1857" spans="7:8" x14ac:dyDescent="0.25">
      <c r="G1857" s="29">
        <v>0</v>
      </c>
      <c r="H1857" s="9">
        <v>21</v>
      </c>
    </row>
    <row r="1858" spans="7:8" x14ac:dyDescent="0.25">
      <c r="G1858" s="29">
        <v>0</v>
      </c>
      <c r="H1858" s="9">
        <v>21</v>
      </c>
    </row>
    <row r="1859" spans="7:8" x14ac:dyDescent="0.25">
      <c r="G1859" s="29">
        <v>0</v>
      </c>
      <c r="H1859" s="9">
        <v>21</v>
      </c>
    </row>
    <row r="1860" spans="7:8" x14ac:dyDescent="0.25">
      <c r="G1860" s="29">
        <v>0</v>
      </c>
      <c r="H1860" s="9">
        <v>21</v>
      </c>
    </row>
    <row r="1861" spans="7:8" x14ac:dyDescent="0.25">
      <c r="G1861" s="29">
        <v>0</v>
      </c>
      <c r="H1861" s="9">
        <v>21</v>
      </c>
    </row>
    <row r="1862" spans="7:8" x14ac:dyDescent="0.25">
      <c r="G1862" s="29">
        <v>0</v>
      </c>
      <c r="H1862" s="9">
        <v>21</v>
      </c>
    </row>
    <row r="1863" spans="7:8" x14ac:dyDescent="0.25">
      <c r="G1863" s="29">
        <v>0</v>
      </c>
      <c r="H1863" s="9">
        <v>21</v>
      </c>
    </row>
    <row r="1864" spans="7:8" x14ac:dyDescent="0.25">
      <c r="G1864" s="29">
        <v>0</v>
      </c>
      <c r="H1864" s="9">
        <v>21</v>
      </c>
    </row>
    <row r="1865" spans="7:8" x14ac:dyDescent="0.25">
      <c r="G1865" s="29">
        <v>0</v>
      </c>
      <c r="H1865" s="9">
        <v>21</v>
      </c>
    </row>
    <row r="1866" spans="7:8" x14ac:dyDescent="0.25">
      <c r="G1866" s="29">
        <v>0</v>
      </c>
      <c r="H1866" s="9">
        <v>21</v>
      </c>
    </row>
    <row r="1867" spans="7:8" x14ac:dyDescent="0.25">
      <c r="G1867" s="29">
        <v>0</v>
      </c>
      <c r="H1867" s="9">
        <v>21</v>
      </c>
    </row>
    <row r="1868" spans="7:8" x14ac:dyDescent="0.25">
      <c r="G1868" s="29">
        <v>0</v>
      </c>
      <c r="H1868" s="9">
        <v>21</v>
      </c>
    </row>
    <row r="1869" spans="7:8" x14ac:dyDescent="0.25">
      <c r="G1869" s="29">
        <v>0</v>
      </c>
      <c r="H1869" s="9">
        <v>21</v>
      </c>
    </row>
    <row r="1870" spans="7:8" x14ac:dyDescent="0.25">
      <c r="G1870" s="29">
        <v>0</v>
      </c>
      <c r="H1870" s="9">
        <v>21</v>
      </c>
    </row>
    <row r="1871" spans="7:8" x14ac:dyDescent="0.25">
      <c r="G1871" s="29">
        <v>0</v>
      </c>
      <c r="H1871" s="9">
        <v>21</v>
      </c>
    </row>
    <row r="1872" spans="7:8" x14ac:dyDescent="0.25">
      <c r="G1872" s="29">
        <v>0</v>
      </c>
      <c r="H1872" s="9">
        <v>21</v>
      </c>
    </row>
    <row r="1873" spans="7:8" x14ac:dyDescent="0.25">
      <c r="G1873" s="29">
        <v>0</v>
      </c>
      <c r="H1873" s="9">
        <v>21</v>
      </c>
    </row>
    <row r="1874" spans="7:8" x14ac:dyDescent="0.25">
      <c r="G1874" s="29">
        <v>0</v>
      </c>
      <c r="H1874" s="9">
        <v>21</v>
      </c>
    </row>
    <row r="1875" spans="7:8" x14ac:dyDescent="0.25">
      <c r="G1875" s="29">
        <v>0</v>
      </c>
      <c r="H1875" s="9">
        <v>21</v>
      </c>
    </row>
    <row r="1876" spans="7:8" x14ac:dyDescent="0.25">
      <c r="G1876" s="29">
        <v>0</v>
      </c>
      <c r="H1876" s="9">
        <v>21</v>
      </c>
    </row>
    <row r="1877" spans="7:8" x14ac:dyDescent="0.25">
      <c r="G1877" s="29">
        <v>0</v>
      </c>
      <c r="H1877" s="9">
        <v>21</v>
      </c>
    </row>
    <row r="1878" spans="7:8" x14ac:dyDescent="0.25">
      <c r="G1878" s="29">
        <v>0</v>
      </c>
      <c r="H1878" s="9">
        <v>21</v>
      </c>
    </row>
    <row r="1879" spans="7:8" x14ac:dyDescent="0.25">
      <c r="G1879" s="29">
        <v>0</v>
      </c>
      <c r="H1879" s="9">
        <v>21</v>
      </c>
    </row>
    <row r="1880" spans="7:8" x14ac:dyDescent="0.25">
      <c r="G1880" s="29">
        <v>0</v>
      </c>
      <c r="H1880" s="9">
        <v>21</v>
      </c>
    </row>
    <row r="1881" spans="7:8" x14ac:dyDescent="0.25">
      <c r="G1881" s="29">
        <v>0</v>
      </c>
      <c r="H1881" s="9">
        <v>21</v>
      </c>
    </row>
    <row r="1882" spans="7:8" x14ac:dyDescent="0.25">
      <c r="G1882" s="29">
        <v>0</v>
      </c>
      <c r="H1882" s="9">
        <v>21</v>
      </c>
    </row>
    <row r="1883" spans="7:8" x14ac:dyDescent="0.25">
      <c r="G1883" s="29">
        <v>0</v>
      </c>
      <c r="H1883" s="9">
        <v>21</v>
      </c>
    </row>
    <row r="1884" spans="7:8" x14ac:dyDescent="0.25">
      <c r="G1884" s="29">
        <v>0</v>
      </c>
      <c r="H1884" s="9">
        <v>21</v>
      </c>
    </row>
    <row r="1885" spans="7:8" x14ac:dyDescent="0.25">
      <c r="G1885" s="29">
        <v>0</v>
      </c>
      <c r="H1885" s="9">
        <v>21</v>
      </c>
    </row>
    <row r="1886" spans="7:8" x14ac:dyDescent="0.25">
      <c r="G1886" s="29">
        <v>0</v>
      </c>
      <c r="H1886" s="9">
        <v>21</v>
      </c>
    </row>
    <row r="1887" spans="7:8" x14ac:dyDescent="0.25">
      <c r="G1887" s="29">
        <v>0</v>
      </c>
      <c r="H1887" s="9">
        <v>21</v>
      </c>
    </row>
    <row r="1888" spans="7:8" x14ac:dyDescent="0.25">
      <c r="G1888" s="29">
        <v>0</v>
      </c>
      <c r="H1888" s="9">
        <v>21</v>
      </c>
    </row>
    <row r="1889" spans="7:8" x14ac:dyDescent="0.25">
      <c r="G1889" s="29">
        <v>0</v>
      </c>
      <c r="H1889" s="9">
        <v>21</v>
      </c>
    </row>
    <row r="1890" spans="7:8" x14ac:dyDescent="0.25">
      <c r="G1890" s="29">
        <v>0</v>
      </c>
      <c r="H1890" s="9">
        <v>21</v>
      </c>
    </row>
    <row r="1891" spans="7:8" x14ac:dyDescent="0.25">
      <c r="G1891" s="29">
        <v>0</v>
      </c>
      <c r="H1891" s="9">
        <v>21</v>
      </c>
    </row>
    <row r="1892" spans="7:8" x14ac:dyDescent="0.25">
      <c r="G1892" s="29">
        <v>0</v>
      </c>
      <c r="H1892" s="9">
        <v>21</v>
      </c>
    </row>
    <row r="1893" spans="7:8" x14ac:dyDescent="0.25">
      <c r="G1893" s="29">
        <v>0</v>
      </c>
      <c r="H1893" s="9">
        <v>21</v>
      </c>
    </row>
    <row r="1894" spans="7:8" x14ac:dyDescent="0.25">
      <c r="G1894" s="29">
        <v>0</v>
      </c>
      <c r="H1894" s="9">
        <v>21</v>
      </c>
    </row>
    <row r="1895" spans="7:8" x14ac:dyDescent="0.25">
      <c r="G1895" s="29">
        <v>0</v>
      </c>
      <c r="H1895" s="9">
        <v>21</v>
      </c>
    </row>
    <row r="1896" spans="7:8" x14ac:dyDescent="0.25">
      <c r="G1896" s="29">
        <v>0</v>
      </c>
      <c r="H1896" s="9">
        <v>21</v>
      </c>
    </row>
    <row r="1897" spans="7:8" x14ac:dyDescent="0.25">
      <c r="G1897" s="29">
        <v>0</v>
      </c>
      <c r="H1897" s="9">
        <v>21</v>
      </c>
    </row>
    <row r="1898" spans="7:8" x14ac:dyDescent="0.25">
      <c r="G1898" s="29">
        <v>0</v>
      </c>
      <c r="H1898" s="9">
        <v>21</v>
      </c>
    </row>
    <row r="1899" spans="7:8" x14ac:dyDescent="0.25">
      <c r="G1899" s="29">
        <v>0</v>
      </c>
      <c r="H1899" s="9">
        <v>21</v>
      </c>
    </row>
    <row r="1900" spans="7:8" x14ac:dyDescent="0.25">
      <c r="G1900" s="29">
        <v>0</v>
      </c>
      <c r="H1900" s="9">
        <v>21</v>
      </c>
    </row>
    <row r="1901" spans="7:8" x14ac:dyDescent="0.25">
      <c r="G1901" s="29">
        <v>0</v>
      </c>
      <c r="H1901" s="9">
        <v>21</v>
      </c>
    </row>
    <row r="1902" spans="7:8" x14ac:dyDescent="0.25">
      <c r="G1902" s="29">
        <v>0</v>
      </c>
      <c r="H1902" s="9">
        <v>21</v>
      </c>
    </row>
    <row r="1903" spans="7:8" x14ac:dyDescent="0.25">
      <c r="G1903" s="29">
        <v>0</v>
      </c>
      <c r="H1903" s="9">
        <v>21</v>
      </c>
    </row>
    <row r="1904" spans="7:8" x14ac:dyDescent="0.25">
      <c r="G1904" s="29">
        <v>0</v>
      </c>
      <c r="H1904" s="9">
        <v>21</v>
      </c>
    </row>
    <row r="1905" spans="7:8" x14ac:dyDescent="0.25">
      <c r="G1905" s="29">
        <v>0</v>
      </c>
      <c r="H1905" s="9">
        <v>21</v>
      </c>
    </row>
    <row r="1906" spans="7:8" x14ac:dyDescent="0.25">
      <c r="G1906" s="29">
        <v>0</v>
      </c>
      <c r="H1906" s="9">
        <v>21</v>
      </c>
    </row>
    <row r="1907" spans="7:8" x14ac:dyDescent="0.25">
      <c r="G1907" s="29">
        <v>0</v>
      </c>
      <c r="H1907" s="9">
        <v>21</v>
      </c>
    </row>
    <row r="1908" spans="7:8" x14ac:dyDescent="0.25">
      <c r="G1908" s="29">
        <v>0</v>
      </c>
      <c r="H1908" s="9">
        <v>21</v>
      </c>
    </row>
    <row r="1909" spans="7:8" x14ac:dyDescent="0.25">
      <c r="G1909" s="29">
        <v>0</v>
      </c>
      <c r="H1909" s="9">
        <v>21</v>
      </c>
    </row>
    <row r="1910" spans="7:8" x14ac:dyDescent="0.25">
      <c r="G1910" s="29">
        <v>0</v>
      </c>
      <c r="H1910" s="9">
        <v>21</v>
      </c>
    </row>
    <row r="1911" spans="7:8" x14ac:dyDescent="0.25">
      <c r="G1911" s="29">
        <v>0</v>
      </c>
      <c r="H1911" s="9">
        <v>21</v>
      </c>
    </row>
    <row r="1912" spans="7:8" x14ac:dyDescent="0.25">
      <c r="G1912" s="29">
        <v>0</v>
      </c>
      <c r="H1912" s="9">
        <v>21</v>
      </c>
    </row>
    <row r="1913" spans="7:8" x14ac:dyDescent="0.25">
      <c r="G1913" s="29">
        <v>0</v>
      </c>
      <c r="H1913" s="9">
        <v>21</v>
      </c>
    </row>
    <row r="1914" spans="7:8" x14ac:dyDescent="0.25">
      <c r="G1914" s="29">
        <v>0</v>
      </c>
      <c r="H1914" s="9">
        <v>21</v>
      </c>
    </row>
    <row r="1915" spans="7:8" x14ac:dyDescent="0.25">
      <c r="G1915" s="29">
        <v>0</v>
      </c>
      <c r="H1915" s="9">
        <v>21</v>
      </c>
    </row>
    <row r="1916" spans="7:8" x14ac:dyDescent="0.25">
      <c r="G1916" s="29">
        <v>0</v>
      </c>
      <c r="H1916" s="9">
        <v>21</v>
      </c>
    </row>
    <row r="1917" spans="7:8" x14ac:dyDescent="0.25">
      <c r="G1917" s="29">
        <v>0</v>
      </c>
      <c r="H1917" s="9">
        <v>21</v>
      </c>
    </row>
    <row r="1918" spans="7:8" x14ac:dyDescent="0.25">
      <c r="G1918" s="29">
        <v>0</v>
      </c>
      <c r="H1918" s="9">
        <v>21</v>
      </c>
    </row>
    <row r="1919" spans="7:8" x14ac:dyDescent="0.25">
      <c r="G1919" s="29">
        <v>0</v>
      </c>
      <c r="H1919" s="9">
        <v>21</v>
      </c>
    </row>
    <row r="1920" spans="7:8" x14ac:dyDescent="0.25">
      <c r="G1920" s="29">
        <v>0</v>
      </c>
      <c r="H1920" s="9">
        <v>21</v>
      </c>
    </row>
    <row r="1921" spans="7:8" x14ac:dyDescent="0.25">
      <c r="G1921" s="29">
        <v>0</v>
      </c>
      <c r="H1921" s="9">
        <v>21</v>
      </c>
    </row>
    <row r="1922" spans="7:8" x14ac:dyDescent="0.25">
      <c r="G1922" s="29">
        <v>0</v>
      </c>
      <c r="H1922" s="9">
        <v>21</v>
      </c>
    </row>
    <row r="1923" spans="7:8" x14ac:dyDescent="0.25">
      <c r="G1923" s="29">
        <v>0</v>
      </c>
      <c r="H1923" s="9">
        <v>21</v>
      </c>
    </row>
    <row r="1924" spans="7:8" x14ac:dyDescent="0.25">
      <c r="G1924" s="29">
        <v>0</v>
      </c>
      <c r="H1924" s="9">
        <v>21</v>
      </c>
    </row>
    <row r="1925" spans="7:8" x14ac:dyDescent="0.25">
      <c r="G1925" s="29">
        <v>0</v>
      </c>
      <c r="H1925" s="9">
        <v>21</v>
      </c>
    </row>
    <row r="1926" spans="7:8" x14ac:dyDescent="0.25">
      <c r="G1926" s="29">
        <v>0</v>
      </c>
      <c r="H1926" s="9">
        <v>21</v>
      </c>
    </row>
    <row r="1927" spans="7:8" x14ac:dyDescent="0.25">
      <c r="G1927" s="29">
        <v>0</v>
      </c>
      <c r="H1927" s="9">
        <v>21</v>
      </c>
    </row>
    <row r="1928" spans="7:8" x14ac:dyDescent="0.25">
      <c r="G1928" s="29">
        <v>0</v>
      </c>
      <c r="H1928" s="9">
        <v>21</v>
      </c>
    </row>
    <row r="1929" spans="7:8" x14ac:dyDescent="0.25">
      <c r="G1929" s="29">
        <v>0</v>
      </c>
      <c r="H1929" s="9">
        <v>21</v>
      </c>
    </row>
    <row r="1930" spans="7:8" x14ac:dyDescent="0.25">
      <c r="G1930" s="29">
        <v>0</v>
      </c>
      <c r="H1930" s="9">
        <v>21</v>
      </c>
    </row>
    <row r="1931" spans="7:8" x14ac:dyDescent="0.25">
      <c r="G1931" s="29">
        <v>0</v>
      </c>
      <c r="H1931" s="9">
        <v>21</v>
      </c>
    </row>
    <row r="1932" spans="7:8" x14ac:dyDescent="0.25">
      <c r="G1932" s="29">
        <v>0</v>
      </c>
      <c r="H1932" s="9">
        <v>21</v>
      </c>
    </row>
    <row r="1933" spans="7:8" x14ac:dyDescent="0.25">
      <c r="G1933" s="29">
        <v>0</v>
      </c>
      <c r="H1933" s="9">
        <v>21</v>
      </c>
    </row>
    <row r="1934" spans="7:8" x14ac:dyDescent="0.25">
      <c r="G1934" s="29">
        <v>0</v>
      </c>
      <c r="H1934" s="9">
        <v>21</v>
      </c>
    </row>
    <row r="1935" spans="7:8" x14ac:dyDescent="0.25">
      <c r="G1935" s="29">
        <v>0</v>
      </c>
      <c r="H1935" s="9">
        <v>21</v>
      </c>
    </row>
    <row r="1936" spans="7:8" x14ac:dyDescent="0.25">
      <c r="G1936" s="29">
        <v>0</v>
      </c>
      <c r="H1936" s="9">
        <v>21</v>
      </c>
    </row>
    <row r="1937" spans="7:8" x14ac:dyDescent="0.25">
      <c r="G1937" s="29">
        <v>0</v>
      </c>
      <c r="H1937" s="9">
        <v>21</v>
      </c>
    </row>
    <row r="1938" spans="7:8" x14ac:dyDescent="0.25">
      <c r="G1938" s="29">
        <v>0</v>
      </c>
      <c r="H1938" s="9">
        <v>21</v>
      </c>
    </row>
    <row r="1939" spans="7:8" x14ac:dyDescent="0.25">
      <c r="G1939" s="29">
        <v>0</v>
      </c>
      <c r="H1939" s="9">
        <v>21</v>
      </c>
    </row>
    <row r="1940" spans="7:8" x14ac:dyDescent="0.25">
      <c r="G1940" s="29">
        <v>0</v>
      </c>
      <c r="H1940" s="9">
        <v>21</v>
      </c>
    </row>
    <row r="1941" spans="7:8" x14ac:dyDescent="0.25">
      <c r="G1941" s="29">
        <v>0</v>
      </c>
      <c r="H1941" s="9">
        <v>21</v>
      </c>
    </row>
    <row r="1942" spans="7:8" x14ac:dyDescent="0.25">
      <c r="G1942" s="29">
        <v>0</v>
      </c>
      <c r="H1942" s="9">
        <v>21</v>
      </c>
    </row>
    <row r="1943" spans="7:8" x14ac:dyDescent="0.25">
      <c r="G1943" s="29">
        <v>0</v>
      </c>
      <c r="H1943" s="9">
        <v>21</v>
      </c>
    </row>
    <row r="1944" spans="7:8" x14ac:dyDescent="0.25">
      <c r="G1944" s="29">
        <v>0</v>
      </c>
      <c r="H1944" s="9">
        <v>21</v>
      </c>
    </row>
    <row r="1945" spans="7:8" x14ac:dyDescent="0.25">
      <c r="G1945" s="29">
        <v>0</v>
      </c>
      <c r="H1945" s="9">
        <v>21</v>
      </c>
    </row>
    <row r="1946" spans="7:8" x14ac:dyDescent="0.25">
      <c r="G1946" s="29">
        <v>0</v>
      </c>
      <c r="H1946" s="9">
        <v>21</v>
      </c>
    </row>
    <row r="1947" spans="7:8" x14ac:dyDescent="0.25">
      <c r="G1947" s="29">
        <v>0</v>
      </c>
      <c r="H1947" s="9">
        <v>21</v>
      </c>
    </row>
    <row r="1948" spans="7:8" x14ac:dyDescent="0.25">
      <c r="G1948" s="29">
        <v>0</v>
      </c>
      <c r="H1948" s="9">
        <v>21</v>
      </c>
    </row>
    <row r="1949" spans="7:8" x14ac:dyDescent="0.25">
      <c r="G1949" s="29">
        <v>0</v>
      </c>
      <c r="H1949" s="9">
        <v>21</v>
      </c>
    </row>
    <row r="1950" spans="7:8" x14ac:dyDescent="0.25">
      <c r="G1950" s="29">
        <v>0</v>
      </c>
      <c r="H1950" s="9">
        <v>21</v>
      </c>
    </row>
    <row r="1951" spans="7:8" x14ac:dyDescent="0.25">
      <c r="G1951" s="29">
        <v>0</v>
      </c>
      <c r="H1951" s="9">
        <v>21</v>
      </c>
    </row>
    <row r="1952" spans="7:8" x14ac:dyDescent="0.25">
      <c r="G1952" s="29">
        <v>0</v>
      </c>
      <c r="H1952" s="9">
        <v>21</v>
      </c>
    </row>
    <row r="1953" spans="7:8" x14ac:dyDescent="0.25">
      <c r="G1953" s="29">
        <v>0</v>
      </c>
      <c r="H1953" s="9">
        <v>21</v>
      </c>
    </row>
    <row r="1954" spans="7:8" x14ac:dyDescent="0.25">
      <c r="G1954" s="29">
        <v>0</v>
      </c>
      <c r="H1954" s="9">
        <v>21</v>
      </c>
    </row>
    <row r="1955" spans="7:8" x14ac:dyDescent="0.25">
      <c r="G1955" s="29">
        <v>0</v>
      </c>
      <c r="H1955" s="9">
        <v>21</v>
      </c>
    </row>
    <row r="1956" spans="7:8" x14ac:dyDescent="0.25">
      <c r="G1956" s="29">
        <v>0</v>
      </c>
      <c r="H1956" s="9">
        <v>21</v>
      </c>
    </row>
    <row r="1957" spans="7:8" x14ac:dyDescent="0.25">
      <c r="G1957" s="29">
        <v>0</v>
      </c>
      <c r="H1957" s="9">
        <v>21</v>
      </c>
    </row>
    <row r="1958" spans="7:8" x14ac:dyDescent="0.25">
      <c r="G1958" s="29">
        <v>0</v>
      </c>
      <c r="H1958" s="9">
        <v>21</v>
      </c>
    </row>
    <row r="1959" spans="7:8" x14ac:dyDescent="0.25">
      <c r="G1959" s="29">
        <v>0</v>
      </c>
      <c r="H1959" s="9">
        <v>21</v>
      </c>
    </row>
    <row r="1960" spans="7:8" x14ac:dyDescent="0.25">
      <c r="G1960" s="29">
        <v>0</v>
      </c>
      <c r="H1960" s="9">
        <v>21</v>
      </c>
    </row>
    <row r="1961" spans="7:8" x14ac:dyDescent="0.25">
      <c r="G1961" s="29">
        <v>0</v>
      </c>
      <c r="H1961" s="9">
        <v>21</v>
      </c>
    </row>
    <row r="1962" spans="7:8" x14ac:dyDescent="0.25">
      <c r="G1962" s="29">
        <v>0</v>
      </c>
      <c r="H1962" s="9">
        <v>21</v>
      </c>
    </row>
    <row r="1963" spans="7:8" x14ac:dyDescent="0.25">
      <c r="G1963" s="29">
        <v>0</v>
      </c>
      <c r="H1963" s="9">
        <v>21</v>
      </c>
    </row>
    <row r="1964" spans="7:8" x14ac:dyDescent="0.25">
      <c r="G1964" s="29">
        <v>0</v>
      </c>
      <c r="H1964" s="9">
        <v>21</v>
      </c>
    </row>
    <row r="1965" spans="7:8" x14ac:dyDescent="0.25">
      <c r="G1965" s="29">
        <v>0</v>
      </c>
      <c r="H1965" s="9">
        <v>21</v>
      </c>
    </row>
    <row r="1966" spans="7:8" x14ac:dyDescent="0.25">
      <c r="G1966" s="29">
        <v>0</v>
      </c>
      <c r="H1966" s="9">
        <v>21</v>
      </c>
    </row>
    <row r="1967" spans="7:8" x14ac:dyDescent="0.25">
      <c r="G1967" s="29">
        <v>0</v>
      </c>
      <c r="H1967" s="9">
        <v>21</v>
      </c>
    </row>
    <row r="1968" spans="7:8" x14ac:dyDescent="0.25">
      <c r="G1968" s="29">
        <v>0</v>
      </c>
      <c r="H1968" s="9">
        <v>21</v>
      </c>
    </row>
    <row r="1969" spans="7:8" x14ac:dyDescent="0.25">
      <c r="G1969" s="29">
        <v>0</v>
      </c>
      <c r="H1969" s="9">
        <v>21</v>
      </c>
    </row>
    <row r="1970" spans="7:8" x14ac:dyDescent="0.25">
      <c r="G1970" s="29">
        <v>0</v>
      </c>
      <c r="H1970" s="9">
        <v>21</v>
      </c>
    </row>
    <row r="1971" spans="7:8" x14ac:dyDescent="0.25">
      <c r="G1971" s="29">
        <v>0</v>
      </c>
      <c r="H1971" s="9">
        <v>21</v>
      </c>
    </row>
    <row r="1972" spans="7:8" x14ac:dyDescent="0.25">
      <c r="G1972" s="29">
        <v>0</v>
      </c>
      <c r="H1972" s="9">
        <v>21</v>
      </c>
    </row>
    <row r="1973" spans="7:8" x14ac:dyDescent="0.25">
      <c r="G1973" s="29">
        <v>0</v>
      </c>
      <c r="H1973" s="9">
        <v>21</v>
      </c>
    </row>
    <row r="1974" spans="7:8" x14ac:dyDescent="0.25">
      <c r="G1974" s="29">
        <v>0</v>
      </c>
      <c r="H1974" s="9">
        <v>21</v>
      </c>
    </row>
    <row r="1975" spans="7:8" x14ac:dyDescent="0.25">
      <c r="G1975" s="29">
        <v>0</v>
      </c>
      <c r="H1975" s="9">
        <v>21</v>
      </c>
    </row>
    <row r="1976" spans="7:8" x14ac:dyDescent="0.25">
      <c r="G1976" s="29">
        <v>0</v>
      </c>
      <c r="H1976" s="9">
        <v>21</v>
      </c>
    </row>
    <row r="1977" spans="7:8" x14ac:dyDescent="0.25">
      <c r="G1977" s="29">
        <v>0</v>
      </c>
      <c r="H1977" s="9">
        <v>21</v>
      </c>
    </row>
    <row r="1978" spans="7:8" x14ac:dyDescent="0.25">
      <c r="G1978" s="29">
        <v>0</v>
      </c>
      <c r="H1978" s="9">
        <v>21</v>
      </c>
    </row>
    <row r="1979" spans="7:8" x14ac:dyDescent="0.25">
      <c r="G1979" s="29">
        <v>0</v>
      </c>
      <c r="H1979" s="9">
        <v>21</v>
      </c>
    </row>
    <row r="1980" spans="7:8" x14ac:dyDescent="0.25">
      <c r="G1980" s="29">
        <v>0</v>
      </c>
      <c r="H1980" s="9">
        <v>21</v>
      </c>
    </row>
    <row r="1981" spans="7:8" x14ac:dyDescent="0.25">
      <c r="G1981" s="29">
        <v>0</v>
      </c>
      <c r="H1981" s="9">
        <v>21</v>
      </c>
    </row>
    <row r="1982" spans="7:8" x14ac:dyDescent="0.25">
      <c r="G1982" s="29">
        <v>0</v>
      </c>
      <c r="H1982" s="9">
        <v>21</v>
      </c>
    </row>
    <row r="1983" spans="7:8" x14ac:dyDescent="0.25">
      <c r="G1983" s="29">
        <v>0</v>
      </c>
      <c r="H1983" s="9">
        <v>21</v>
      </c>
    </row>
    <row r="1984" spans="7:8" x14ac:dyDescent="0.25">
      <c r="G1984" s="29">
        <v>0</v>
      </c>
      <c r="H1984" s="9">
        <v>21</v>
      </c>
    </row>
    <row r="1985" spans="7:8" x14ac:dyDescent="0.25">
      <c r="G1985" s="29">
        <v>0</v>
      </c>
      <c r="H1985" s="9">
        <v>21</v>
      </c>
    </row>
    <row r="1986" spans="7:8" x14ac:dyDescent="0.25">
      <c r="G1986" s="29">
        <v>0</v>
      </c>
      <c r="H1986" s="9">
        <v>21</v>
      </c>
    </row>
    <row r="1987" spans="7:8" x14ac:dyDescent="0.25">
      <c r="G1987" s="29">
        <v>0</v>
      </c>
      <c r="H1987" s="9">
        <v>21</v>
      </c>
    </row>
    <row r="1988" spans="7:8" x14ac:dyDescent="0.25">
      <c r="G1988" s="29">
        <v>0</v>
      </c>
      <c r="H1988" s="9">
        <v>21</v>
      </c>
    </row>
    <row r="1989" spans="7:8" x14ac:dyDescent="0.25">
      <c r="G1989" s="29">
        <v>0</v>
      </c>
      <c r="H1989" s="9">
        <v>21</v>
      </c>
    </row>
    <row r="1990" spans="7:8" x14ac:dyDescent="0.25">
      <c r="G1990" s="29">
        <v>0</v>
      </c>
      <c r="H1990" s="9">
        <v>21</v>
      </c>
    </row>
    <row r="1991" spans="7:8" x14ac:dyDescent="0.25">
      <c r="G1991" s="29">
        <v>0</v>
      </c>
      <c r="H1991" s="9">
        <v>21</v>
      </c>
    </row>
    <row r="1992" spans="7:8" x14ac:dyDescent="0.25">
      <c r="G1992" s="29">
        <v>0</v>
      </c>
      <c r="H1992" s="9">
        <v>21</v>
      </c>
    </row>
    <row r="1993" spans="7:8" x14ac:dyDescent="0.25">
      <c r="G1993" s="29">
        <v>0</v>
      </c>
      <c r="H1993" s="9">
        <v>21</v>
      </c>
    </row>
    <row r="1994" spans="7:8" x14ac:dyDescent="0.25">
      <c r="G1994" s="29">
        <v>0</v>
      </c>
      <c r="H1994" s="9">
        <v>21</v>
      </c>
    </row>
    <row r="1995" spans="7:8" x14ac:dyDescent="0.25">
      <c r="G1995" s="29">
        <v>0</v>
      </c>
      <c r="H1995" s="9">
        <v>21</v>
      </c>
    </row>
    <row r="1996" spans="7:8" x14ac:dyDescent="0.25">
      <c r="G1996" s="29">
        <v>0</v>
      </c>
      <c r="H1996" s="9">
        <v>21</v>
      </c>
    </row>
    <row r="1997" spans="7:8" x14ac:dyDescent="0.25">
      <c r="G1997" s="29">
        <v>0</v>
      </c>
      <c r="H1997" s="9">
        <v>21</v>
      </c>
    </row>
    <row r="1998" spans="7:8" x14ac:dyDescent="0.25">
      <c r="G1998" s="29">
        <v>0</v>
      </c>
      <c r="H1998" s="9">
        <v>21</v>
      </c>
    </row>
    <row r="1999" spans="7:8" x14ac:dyDescent="0.25">
      <c r="G1999" s="29">
        <v>0</v>
      </c>
      <c r="H1999" s="9">
        <v>21</v>
      </c>
    </row>
    <row r="2000" spans="7:8" x14ac:dyDescent="0.25">
      <c r="G2000" s="29">
        <v>0</v>
      </c>
      <c r="H2000" s="9">
        <v>21</v>
      </c>
    </row>
    <row r="2001" spans="7:8" x14ac:dyDescent="0.25">
      <c r="G2001" s="29">
        <v>0</v>
      </c>
      <c r="H2001" s="9">
        <v>21</v>
      </c>
    </row>
    <row r="2002" spans="7:8" x14ac:dyDescent="0.25">
      <c r="G2002" s="29">
        <v>0</v>
      </c>
      <c r="H2002" s="9">
        <v>21</v>
      </c>
    </row>
    <row r="2003" spans="7:8" x14ac:dyDescent="0.25">
      <c r="G2003" s="29">
        <v>0</v>
      </c>
      <c r="H2003" s="9">
        <v>21</v>
      </c>
    </row>
    <row r="2004" spans="7:8" x14ac:dyDescent="0.25">
      <c r="G2004" s="29">
        <v>0</v>
      </c>
      <c r="H2004" s="9">
        <v>21</v>
      </c>
    </row>
    <row r="2005" spans="7:8" x14ac:dyDescent="0.25">
      <c r="G2005" s="29">
        <v>0</v>
      </c>
      <c r="H2005" s="9">
        <v>21</v>
      </c>
    </row>
    <row r="2006" spans="7:8" x14ac:dyDescent="0.25">
      <c r="G2006" s="29">
        <v>0</v>
      </c>
      <c r="H2006" s="9">
        <v>21</v>
      </c>
    </row>
    <row r="2007" spans="7:8" x14ac:dyDescent="0.25">
      <c r="G2007" s="29">
        <v>0</v>
      </c>
      <c r="H2007" s="9">
        <v>21</v>
      </c>
    </row>
    <row r="2008" spans="7:8" x14ac:dyDescent="0.25">
      <c r="G2008" s="29">
        <v>0</v>
      </c>
      <c r="H2008" s="9">
        <v>21</v>
      </c>
    </row>
    <row r="2009" spans="7:8" x14ac:dyDescent="0.25">
      <c r="G2009" s="29">
        <v>0</v>
      </c>
      <c r="H2009" s="9">
        <v>21</v>
      </c>
    </row>
    <row r="2010" spans="7:8" x14ac:dyDescent="0.25">
      <c r="G2010" s="29">
        <v>0</v>
      </c>
      <c r="H2010" s="9">
        <v>21</v>
      </c>
    </row>
    <row r="2011" spans="7:8" x14ac:dyDescent="0.25">
      <c r="G2011" s="29">
        <v>0</v>
      </c>
      <c r="H2011" s="9">
        <v>21</v>
      </c>
    </row>
    <row r="2012" spans="7:8" x14ac:dyDescent="0.25">
      <c r="G2012" s="29">
        <v>0</v>
      </c>
      <c r="H2012" s="9">
        <v>21</v>
      </c>
    </row>
    <row r="2013" spans="7:8" x14ac:dyDescent="0.25">
      <c r="G2013" s="29">
        <v>0</v>
      </c>
      <c r="H2013" s="9">
        <v>21</v>
      </c>
    </row>
    <row r="2014" spans="7:8" x14ac:dyDescent="0.25">
      <c r="G2014" s="29">
        <v>0</v>
      </c>
      <c r="H2014" s="9">
        <v>21</v>
      </c>
    </row>
    <row r="2015" spans="7:8" x14ac:dyDescent="0.25">
      <c r="G2015" s="29">
        <v>0</v>
      </c>
      <c r="H2015" s="9">
        <v>21</v>
      </c>
    </row>
    <row r="2016" spans="7:8" x14ac:dyDescent="0.25">
      <c r="G2016" s="29">
        <v>0</v>
      </c>
      <c r="H2016" s="9">
        <v>21</v>
      </c>
    </row>
    <row r="2017" spans="7:8" x14ac:dyDescent="0.25">
      <c r="G2017" s="29">
        <v>0</v>
      </c>
      <c r="H2017" s="9">
        <v>21</v>
      </c>
    </row>
    <row r="2018" spans="7:8" x14ac:dyDescent="0.25">
      <c r="G2018" s="29">
        <v>0</v>
      </c>
      <c r="H2018" s="9">
        <v>21</v>
      </c>
    </row>
    <row r="2019" spans="7:8" x14ac:dyDescent="0.25">
      <c r="G2019" s="29">
        <v>0</v>
      </c>
      <c r="H2019" s="9">
        <v>21</v>
      </c>
    </row>
    <row r="2020" spans="7:8" x14ac:dyDescent="0.25">
      <c r="G2020" s="29">
        <v>0</v>
      </c>
      <c r="H2020" s="9">
        <v>21</v>
      </c>
    </row>
    <row r="2021" spans="7:8" x14ac:dyDescent="0.25">
      <c r="G2021" s="29">
        <v>0</v>
      </c>
      <c r="H2021" s="9">
        <v>21</v>
      </c>
    </row>
    <row r="2022" spans="7:8" x14ac:dyDescent="0.25">
      <c r="G2022" s="29">
        <v>0</v>
      </c>
      <c r="H2022" s="9">
        <v>21</v>
      </c>
    </row>
    <row r="2023" spans="7:8" x14ac:dyDescent="0.25">
      <c r="G2023" s="29">
        <v>0</v>
      </c>
      <c r="H2023" s="9">
        <v>21</v>
      </c>
    </row>
    <row r="2024" spans="7:8" x14ac:dyDescent="0.25">
      <c r="G2024" s="29">
        <v>0</v>
      </c>
      <c r="H2024" s="9">
        <v>21</v>
      </c>
    </row>
    <row r="2025" spans="7:8" x14ac:dyDescent="0.25">
      <c r="G2025" s="29">
        <v>0</v>
      </c>
      <c r="H2025" s="9">
        <v>21</v>
      </c>
    </row>
    <row r="2026" spans="7:8" x14ac:dyDescent="0.25">
      <c r="G2026" s="29">
        <v>0</v>
      </c>
      <c r="H2026" s="9">
        <v>21</v>
      </c>
    </row>
    <row r="2027" spans="7:8" x14ac:dyDescent="0.25">
      <c r="G2027" s="29">
        <v>0</v>
      </c>
      <c r="H2027" s="9">
        <v>21</v>
      </c>
    </row>
    <row r="2028" spans="7:8" x14ac:dyDescent="0.25">
      <c r="G2028" s="29">
        <v>0</v>
      </c>
      <c r="H2028" s="9">
        <v>21</v>
      </c>
    </row>
    <row r="2029" spans="7:8" x14ac:dyDescent="0.25">
      <c r="G2029" s="29">
        <v>0</v>
      </c>
      <c r="H2029" s="9">
        <v>21</v>
      </c>
    </row>
    <row r="2030" spans="7:8" x14ac:dyDescent="0.25">
      <c r="G2030" s="29">
        <v>0</v>
      </c>
      <c r="H2030" s="9">
        <v>21</v>
      </c>
    </row>
    <row r="2031" spans="7:8" x14ac:dyDescent="0.25">
      <c r="G2031" s="29">
        <v>0</v>
      </c>
      <c r="H2031" s="9">
        <v>21</v>
      </c>
    </row>
    <row r="2032" spans="7:8" x14ac:dyDescent="0.25">
      <c r="G2032" s="29">
        <v>0</v>
      </c>
      <c r="H2032" s="9">
        <v>21</v>
      </c>
    </row>
    <row r="2033" spans="7:8" x14ac:dyDescent="0.25">
      <c r="G2033" s="29">
        <v>0</v>
      </c>
      <c r="H2033" s="9">
        <v>21</v>
      </c>
    </row>
    <row r="2034" spans="7:8" x14ac:dyDescent="0.25">
      <c r="G2034" s="29">
        <v>0</v>
      </c>
      <c r="H2034" s="9">
        <v>21</v>
      </c>
    </row>
    <row r="2035" spans="7:8" x14ac:dyDescent="0.25">
      <c r="G2035" s="29">
        <v>0</v>
      </c>
      <c r="H2035" s="9">
        <v>21</v>
      </c>
    </row>
    <row r="2036" spans="7:8" x14ac:dyDescent="0.25">
      <c r="G2036" s="29">
        <v>0</v>
      </c>
      <c r="H2036" s="9">
        <v>21</v>
      </c>
    </row>
    <row r="2037" spans="7:8" x14ac:dyDescent="0.25">
      <c r="G2037" s="29">
        <v>0</v>
      </c>
      <c r="H2037" s="9">
        <v>21</v>
      </c>
    </row>
    <row r="2038" spans="7:8" x14ac:dyDescent="0.25">
      <c r="G2038" s="29">
        <v>0</v>
      </c>
      <c r="H2038" s="9">
        <v>21</v>
      </c>
    </row>
    <row r="2039" spans="7:8" x14ac:dyDescent="0.25">
      <c r="G2039" s="29">
        <v>0</v>
      </c>
      <c r="H2039" s="9">
        <v>21</v>
      </c>
    </row>
    <row r="2040" spans="7:8" x14ac:dyDescent="0.25">
      <c r="G2040" s="29">
        <v>0</v>
      </c>
      <c r="H2040" s="9">
        <v>21</v>
      </c>
    </row>
    <row r="2041" spans="7:8" x14ac:dyDescent="0.25">
      <c r="G2041" s="29">
        <v>0</v>
      </c>
      <c r="H2041" s="9">
        <v>21</v>
      </c>
    </row>
    <row r="2042" spans="7:8" x14ac:dyDescent="0.25">
      <c r="G2042" s="29">
        <v>0</v>
      </c>
      <c r="H2042" s="9">
        <v>21</v>
      </c>
    </row>
    <row r="2043" spans="7:8" x14ac:dyDescent="0.25">
      <c r="G2043" s="29">
        <v>0</v>
      </c>
      <c r="H2043" s="9">
        <v>21</v>
      </c>
    </row>
    <row r="2044" spans="7:8" x14ac:dyDescent="0.25">
      <c r="G2044" s="29">
        <v>0</v>
      </c>
      <c r="H2044" s="9">
        <v>21</v>
      </c>
    </row>
    <row r="2045" spans="7:8" x14ac:dyDescent="0.25">
      <c r="G2045" s="29">
        <v>0</v>
      </c>
      <c r="H2045" s="9">
        <v>21</v>
      </c>
    </row>
    <row r="2046" spans="7:8" x14ac:dyDescent="0.25">
      <c r="G2046" s="29">
        <v>0</v>
      </c>
      <c r="H2046" s="9">
        <v>21</v>
      </c>
    </row>
    <row r="2047" spans="7:8" x14ac:dyDescent="0.25">
      <c r="G2047" s="29">
        <v>0</v>
      </c>
      <c r="H2047" s="9">
        <v>21</v>
      </c>
    </row>
    <row r="2048" spans="7:8" x14ac:dyDescent="0.25">
      <c r="G2048" s="29">
        <v>0</v>
      </c>
      <c r="H2048" s="9">
        <v>21</v>
      </c>
    </row>
    <row r="2049" spans="7:8" x14ac:dyDescent="0.25">
      <c r="G2049" s="29">
        <v>0</v>
      </c>
      <c r="H2049" s="9">
        <v>21</v>
      </c>
    </row>
    <row r="2050" spans="7:8" x14ac:dyDescent="0.25">
      <c r="G2050" s="29">
        <v>0</v>
      </c>
      <c r="H2050" s="9">
        <v>21</v>
      </c>
    </row>
    <row r="2051" spans="7:8" x14ac:dyDescent="0.25">
      <c r="G2051" s="29">
        <v>0</v>
      </c>
      <c r="H2051" s="9">
        <v>21</v>
      </c>
    </row>
    <row r="2052" spans="7:8" x14ac:dyDescent="0.25">
      <c r="G2052" s="29">
        <v>0</v>
      </c>
      <c r="H2052" s="9">
        <v>21</v>
      </c>
    </row>
    <row r="2053" spans="7:8" x14ac:dyDescent="0.25">
      <c r="G2053" s="29">
        <v>0</v>
      </c>
      <c r="H2053" s="9">
        <v>21</v>
      </c>
    </row>
    <row r="2054" spans="7:8" x14ac:dyDescent="0.25">
      <c r="G2054" s="29">
        <v>0</v>
      </c>
      <c r="H2054" s="9">
        <v>21</v>
      </c>
    </row>
    <row r="2055" spans="7:8" x14ac:dyDescent="0.25">
      <c r="G2055" s="29">
        <v>0</v>
      </c>
      <c r="H2055" s="9">
        <v>21</v>
      </c>
    </row>
    <row r="2056" spans="7:8" x14ac:dyDescent="0.25">
      <c r="G2056" s="29">
        <v>0</v>
      </c>
      <c r="H2056" s="9">
        <v>21</v>
      </c>
    </row>
    <row r="2057" spans="7:8" x14ac:dyDescent="0.25">
      <c r="G2057" s="29">
        <v>0</v>
      </c>
      <c r="H2057" s="9">
        <v>21</v>
      </c>
    </row>
    <row r="2058" spans="7:8" x14ac:dyDescent="0.25">
      <c r="G2058" s="29">
        <v>0</v>
      </c>
      <c r="H2058" s="9">
        <v>21</v>
      </c>
    </row>
    <row r="2059" spans="7:8" x14ac:dyDescent="0.25">
      <c r="G2059" s="29">
        <v>0</v>
      </c>
      <c r="H2059" s="9">
        <v>21</v>
      </c>
    </row>
    <row r="2060" spans="7:8" x14ac:dyDescent="0.25">
      <c r="G2060" s="29">
        <v>0</v>
      </c>
      <c r="H2060" s="9">
        <v>21</v>
      </c>
    </row>
    <row r="2061" spans="7:8" x14ac:dyDescent="0.25">
      <c r="G2061" s="29">
        <v>0</v>
      </c>
      <c r="H2061" s="9">
        <v>21</v>
      </c>
    </row>
    <row r="2062" spans="7:8" x14ac:dyDescent="0.25">
      <c r="G2062" s="29">
        <v>0</v>
      </c>
      <c r="H2062" s="9">
        <v>21</v>
      </c>
    </row>
    <row r="2063" spans="7:8" x14ac:dyDescent="0.25">
      <c r="G2063" s="29">
        <v>0</v>
      </c>
      <c r="H2063" s="9">
        <v>21</v>
      </c>
    </row>
    <row r="2064" spans="7:8" x14ac:dyDescent="0.25">
      <c r="G2064" s="29">
        <v>0</v>
      </c>
      <c r="H2064" s="9">
        <v>21</v>
      </c>
    </row>
    <row r="2065" spans="7:8" x14ac:dyDescent="0.25">
      <c r="G2065" s="29">
        <v>0</v>
      </c>
      <c r="H2065" s="9">
        <v>21</v>
      </c>
    </row>
    <row r="2066" spans="7:8" x14ac:dyDescent="0.25">
      <c r="G2066" s="29">
        <v>0</v>
      </c>
      <c r="H2066" s="9">
        <v>21</v>
      </c>
    </row>
    <row r="2067" spans="7:8" x14ac:dyDescent="0.25">
      <c r="G2067" s="29">
        <v>0</v>
      </c>
      <c r="H2067" s="9">
        <v>21</v>
      </c>
    </row>
    <row r="2068" spans="7:8" x14ac:dyDescent="0.25">
      <c r="G2068" s="29">
        <v>0</v>
      </c>
      <c r="H2068" s="9">
        <v>21</v>
      </c>
    </row>
    <row r="2069" spans="7:8" x14ac:dyDescent="0.25">
      <c r="G2069" s="29">
        <v>0</v>
      </c>
      <c r="H2069" s="9">
        <v>21</v>
      </c>
    </row>
    <row r="2070" spans="7:8" x14ac:dyDescent="0.25">
      <c r="G2070" s="29">
        <v>0</v>
      </c>
      <c r="H2070" s="9">
        <v>21</v>
      </c>
    </row>
    <row r="2071" spans="7:8" x14ac:dyDescent="0.25">
      <c r="G2071" s="29">
        <v>0</v>
      </c>
      <c r="H2071" s="9">
        <v>21</v>
      </c>
    </row>
    <row r="2072" spans="7:8" x14ac:dyDescent="0.25">
      <c r="G2072" s="29">
        <v>0</v>
      </c>
      <c r="H2072" s="9">
        <v>21</v>
      </c>
    </row>
    <row r="2073" spans="7:8" x14ac:dyDescent="0.25">
      <c r="G2073" s="29">
        <v>0</v>
      </c>
      <c r="H2073" s="9">
        <v>21</v>
      </c>
    </row>
    <row r="2074" spans="7:8" x14ac:dyDescent="0.25">
      <c r="G2074" s="29">
        <v>0</v>
      </c>
      <c r="H2074" s="9">
        <v>21</v>
      </c>
    </row>
    <row r="2075" spans="7:8" x14ac:dyDescent="0.25">
      <c r="G2075" s="29">
        <v>0</v>
      </c>
      <c r="H2075" s="9">
        <v>21</v>
      </c>
    </row>
    <row r="2076" spans="7:8" x14ac:dyDescent="0.25">
      <c r="G2076" s="29">
        <v>0</v>
      </c>
      <c r="H2076" s="9">
        <v>21</v>
      </c>
    </row>
    <row r="2077" spans="7:8" x14ac:dyDescent="0.25">
      <c r="G2077" s="29">
        <v>0</v>
      </c>
      <c r="H2077" s="9">
        <v>21</v>
      </c>
    </row>
    <row r="2078" spans="7:8" x14ac:dyDescent="0.25">
      <c r="G2078" s="29">
        <v>0</v>
      </c>
      <c r="H2078" s="9">
        <v>21</v>
      </c>
    </row>
    <row r="2079" spans="7:8" x14ac:dyDescent="0.25">
      <c r="G2079" s="29">
        <v>0</v>
      </c>
      <c r="H2079" s="9">
        <v>21</v>
      </c>
    </row>
    <row r="2080" spans="7:8" x14ac:dyDescent="0.25">
      <c r="G2080" s="29">
        <v>0</v>
      </c>
      <c r="H2080" s="9">
        <v>21</v>
      </c>
    </row>
    <row r="2081" spans="7:8" x14ac:dyDescent="0.25">
      <c r="G2081" s="29">
        <v>0</v>
      </c>
      <c r="H2081" s="9">
        <v>21</v>
      </c>
    </row>
    <row r="2082" spans="7:8" x14ac:dyDescent="0.25">
      <c r="G2082" s="29">
        <v>0</v>
      </c>
      <c r="H2082" s="9">
        <v>21</v>
      </c>
    </row>
    <row r="2083" spans="7:8" x14ac:dyDescent="0.25">
      <c r="G2083" s="29">
        <v>0</v>
      </c>
      <c r="H2083" s="9">
        <v>21</v>
      </c>
    </row>
    <row r="2084" spans="7:8" x14ac:dyDescent="0.25">
      <c r="G2084" s="29">
        <v>0</v>
      </c>
      <c r="H2084" s="9">
        <v>21</v>
      </c>
    </row>
    <row r="2085" spans="7:8" x14ac:dyDescent="0.25">
      <c r="G2085" s="29">
        <v>0</v>
      </c>
      <c r="H2085" s="9">
        <v>21</v>
      </c>
    </row>
    <row r="2086" spans="7:8" x14ac:dyDescent="0.25">
      <c r="G2086" s="29">
        <v>0</v>
      </c>
      <c r="H2086" s="9">
        <v>21</v>
      </c>
    </row>
    <row r="2087" spans="7:8" x14ac:dyDescent="0.25">
      <c r="G2087" s="29">
        <v>0</v>
      </c>
      <c r="H2087" s="9">
        <v>21</v>
      </c>
    </row>
    <row r="2088" spans="7:8" x14ac:dyDescent="0.25">
      <c r="G2088" s="29">
        <v>0</v>
      </c>
      <c r="H2088" s="9">
        <v>21</v>
      </c>
    </row>
    <row r="2089" spans="7:8" x14ac:dyDescent="0.25">
      <c r="G2089" s="29">
        <v>0</v>
      </c>
      <c r="H2089" s="9">
        <v>21</v>
      </c>
    </row>
    <row r="2090" spans="7:8" x14ac:dyDescent="0.25">
      <c r="G2090" s="29">
        <v>0</v>
      </c>
      <c r="H2090" s="9">
        <v>21</v>
      </c>
    </row>
    <row r="2091" spans="7:8" x14ac:dyDescent="0.25">
      <c r="G2091" s="29">
        <v>0</v>
      </c>
      <c r="H2091" s="9">
        <v>21</v>
      </c>
    </row>
    <row r="2092" spans="7:8" x14ac:dyDescent="0.25">
      <c r="G2092" s="29">
        <v>0</v>
      </c>
      <c r="H2092" s="9">
        <v>21</v>
      </c>
    </row>
    <row r="2093" spans="7:8" x14ac:dyDescent="0.25">
      <c r="G2093" s="29">
        <v>0</v>
      </c>
      <c r="H2093" s="9">
        <v>21</v>
      </c>
    </row>
    <row r="2094" spans="7:8" x14ac:dyDescent="0.25">
      <c r="G2094" s="29">
        <v>0</v>
      </c>
      <c r="H2094" s="9">
        <v>21</v>
      </c>
    </row>
    <row r="2095" spans="7:8" x14ac:dyDescent="0.25">
      <c r="G2095" s="29">
        <v>0</v>
      </c>
      <c r="H2095" s="9">
        <v>21</v>
      </c>
    </row>
    <row r="2096" spans="7:8" x14ac:dyDescent="0.25">
      <c r="G2096" s="29">
        <v>0</v>
      </c>
      <c r="H2096" s="9">
        <v>21</v>
      </c>
    </row>
    <row r="2097" spans="7:8" x14ac:dyDescent="0.25">
      <c r="G2097" s="29">
        <v>0</v>
      </c>
      <c r="H2097" s="9">
        <v>21</v>
      </c>
    </row>
    <row r="2098" spans="7:8" x14ac:dyDescent="0.25">
      <c r="G2098" s="29">
        <v>0</v>
      </c>
      <c r="H2098" s="9">
        <v>21</v>
      </c>
    </row>
    <row r="2099" spans="7:8" x14ac:dyDescent="0.25">
      <c r="G2099" s="29">
        <v>0</v>
      </c>
      <c r="H2099" s="9">
        <v>21</v>
      </c>
    </row>
    <row r="2100" spans="7:8" x14ac:dyDescent="0.25">
      <c r="G2100" s="29">
        <v>0</v>
      </c>
      <c r="H2100" s="9">
        <v>21</v>
      </c>
    </row>
    <row r="2101" spans="7:8" x14ac:dyDescent="0.25">
      <c r="G2101" s="29">
        <v>0</v>
      </c>
      <c r="H2101" s="9">
        <v>21</v>
      </c>
    </row>
    <row r="2102" spans="7:8" x14ac:dyDescent="0.25">
      <c r="G2102" s="29">
        <v>0</v>
      </c>
      <c r="H2102" s="9">
        <v>21</v>
      </c>
    </row>
    <row r="2103" spans="7:8" x14ac:dyDescent="0.25">
      <c r="G2103" s="29">
        <v>0</v>
      </c>
      <c r="H2103" s="9">
        <v>21</v>
      </c>
    </row>
    <row r="2104" spans="7:8" x14ac:dyDescent="0.25">
      <c r="G2104" s="29">
        <v>0</v>
      </c>
      <c r="H2104" s="9">
        <v>21</v>
      </c>
    </row>
    <row r="2105" spans="7:8" x14ac:dyDescent="0.25">
      <c r="G2105" s="29">
        <v>0</v>
      </c>
      <c r="H2105" s="9">
        <v>21</v>
      </c>
    </row>
    <row r="2106" spans="7:8" x14ac:dyDescent="0.25">
      <c r="G2106" s="29">
        <v>0</v>
      </c>
      <c r="H2106" s="9">
        <v>21</v>
      </c>
    </row>
    <row r="2107" spans="7:8" x14ac:dyDescent="0.25">
      <c r="G2107" s="29">
        <v>0</v>
      </c>
      <c r="H2107" s="9">
        <v>21</v>
      </c>
    </row>
    <row r="2108" spans="7:8" x14ac:dyDescent="0.25">
      <c r="G2108" s="29">
        <v>0</v>
      </c>
      <c r="H2108" s="9">
        <v>21</v>
      </c>
    </row>
    <row r="2109" spans="7:8" x14ac:dyDescent="0.25">
      <c r="G2109" s="29">
        <v>0</v>
      </c>
      <c r="H2109" s="9">
        <v>21</v>
      </c>
    </row>
    <row r="2110" spans="7:8" x14ac:dyDescent="0.25">
      <c r="G2110" s="29">
        <v>0</v>
      </c>
      <c r="H2110" s="9">
        <v>21</v>
      </c>
    </row>
    <row r="2111" spans="7:8" x14ac:dyDescent="0.25">
      <c r="G2111" s="29">
        <v>0</v>
      </c>
      <c r="H2111" s="9">
        <v>21</v>
      </c>
    </row>
    <row r="2112" spans="7:8" x14ac:dyDescent="0.25">
      <c r="G2112" s="29">
        <v>0</v>
      </c>
      <c r="H2112" s="9">
        <v>21</v>
      </c>
    </row>
    <row r="2113" spans="7:8" x14ac:dyDescent="0.25">
      <c r="G2113" s="29">
        <v>0</v>
      </c>
      <c r="H2113" s="9">
        <v>21</v>
      </c>
    </row>
    <row r="2114" spans="7:8" x14ac:dyDescent="0.25">
      <c r="G2114" s="29">
        <v>0</v>
      </c>
      <c r="H2114" s="9">
        <v>21</v>
      </c>
    </row>
    <row r="2115" spans="7:8" x14ac:dyDescent="0.25">
      <c r="G2115" s="29">
        <v>0</v>
      </c>
      <c r="H2115" s="9">
        <v>21</v>
      </c>
    </row>
    <row r="2116" spans="7:8" x14ac:dyDescent="0.25">
      <c r="G2116" s="29">
        <v>0</v>
      </c>
      <c r="H2116" s="9">
        <v>21</v>
      </c>
    </row>
    <row r="2117" spans="7:8" x14ac:dyDescent="0.25">
      <c r="G2117" s="29">
        <v>0</v>
      </c>
      <c r="H2117" s="9">
        <v>21</v>
      </c>
    </row>
    <row r="2118" spans="7:8" x14ac:dyDescent="0.25">
      <c r="G2118" s="29">
        <v>0</v>
      </c>
      <c r="H2118" s="9">
        <v>21</v>
      </c>
    </row>
    <row r="2119" spans="7:8" x14ac:dyDescent="0.25">
      <c r="G2119" s="29">
        <v>0</v>
      </c>
      <c r="H2119" s="9">
        <v>21</v>
      </c>
    </row>
    <row r="2120" spans="7:8" x14ac:dyDescent="0.25">
      <c r="G2120" s="29">
        <v>0</v>
      </c>
      <c r="H2120" s="9">
        <v>21</v>
      </c>
    </row>
    <row r="2121" spans="7:8" x14ac:dyDescent="0.25">
      <c r="G2121" s="29">
        <v>0</v>
      </c>
      <c r="H2121" s="9">
        <v>21</v>
      </c>
    </row>
    <row r="2122" spans="7:8" x14ac:dyDescent="0.25">
      <c r="G2122" s="29">
        <v>0</v>
      </c>
      <c r="H2122" s="9">
        <v>21</v>
      </c>
    </row>
    <row r="2123" spans="7:8" x14ac:dyDescent="0.25">
      <c r="G2123" s="29">
        <v>0</v>
      </c>
      <c r="H2123" s="9">
        <v>21</v>
      </c>
    </row>
    <row r="2124" spans="7:8" x14ac:dyDescent="0.25">
      <c r="G2124" s="29">
        <v>0</v>
      </c>
      <c r="H2124" s="9">
        <v>21</v>
      </c>
    </row>
    <row r="2125" spans="7:8" x14ac:dyDescent="0.25">
      <c r="G2125" s="29">
        <v>0</v>
      </c>
      <c r="H2125" s="9">
        <v>21</v>
      </c>
    </row>
    <row r="2126" spans="7:8" x14ac:dyDescent="0.25">
      <c r="G2126" s="29">
        <v>0</v>
      </c>
      <c r="H2126" s="9">
        <v>21</v>
      </c>
    </row>
    <row r="2127" spans="7:8" x14ac:dyDescent="0.25">
      <c r="G2127" s="29">
        <v>0</v>
      </c>
      <c r="H2127" s="9">
        <v>21</v>
      </c>
    </row>
    <row r="2128" spans="7:8" x14ac:dyDescent="0.25">
      <c r="G2128" s="29">
        <v>0</v>
      </c>
      <c r="H2128" s="9">
        <v>21</v>
      </c>
    </row>
    <row r="2129" spans="7:8" x14ac:dyDescent="0.25">
      <c r="G2129" s="29">
        <v>0</v>
      </c>
      <c r="H2129" s="9">
        <v>21</v>
      </c>
    </row>
    <row r="2130" spans="7:8" x14ac:dyDescent="0.25">
      <c r="G2130" s="29">
        <v>0</v>
      </c>
      <c r="H2130" s="9">
        <v>21</v>
      </c>
    </row>
    <row r="2131" spans="7:8" x14ac:dyDescent="0.25">
      <c r="G2131" s="29">
        <v>0</v>
      </c>
      <c r="H2131" s="9">
        <v>21</v>
      </c>
    </row>
    <row r="2132" spans="7:8" x14ac:dyDescent="0.25">
      <c r="G2132" s="29">
        <v>0</v>
      </c>
      <c r="H2132" s="9">
        <v>21</v>
      </c>
    </row>
    <row r="2133" spans="7:8" x14ac:dyDescent="0.25">
      <c r="G2133" s="29">
        <v>0</v>
      </c>
      <c r="H2133" s="9">
        <v>21</v>
      </c>
    </row>
    <row r="2134" spans="7:8" x14ac:dyDescent="0.25">
      <c r="G2134" s="29">
        <v>0</v>
      </c>
      <c r="H2134" s="9">
        <v>21</v>
      </c>
    </row>
    <row r="2135" spans="7:8" x14ac:dyDescent="0.25">
      <c r="G2135" s="29">
        <v>0</v>
      </c>
      <c r="H2135" s="9">
        <v>21</v>
      </c>
    </row>
    <row r="2136" spans="7:8" x14ac:dyDescent="0.25">
      <c r="G2136" s="29">
        <v>0</v>
      </c>
      <c r="H2136" s="9">
        <v>21</v>
      </c>
    </row>
    <row r="2137" spans="7:8" x14ac:dyDescent="0.25">
      <c r="G2137" s="29">
        <v>0</v>
      </c>
      <c r="H2137" s="9">
        <v>21</v>
      </c>
    </row>
    <row r="2138" spans="7:8" x14ac:dyDescent="0.25">
      <c r="G2138" s="29">
        <v>0</v>
      </c>
      <c r="H2138" s="9">
        <v>21</v>
      </c>
    </row>
    <row r="2139" spans="7:8" x14ac:dyDescent="0.25">
      <c r="G2139" s="29">
        <v>0</v>
      </c>
      <c r="H2139" s="9">
        <v>21</v>
      </c>
    </row>
    <row r="2140" spans="7:8" x14ac:dyDescent="0.25">
      <c r="G2140" s="29">
        <v>0</v>
      </c>
      <c r="H2140" s="9">
        <v>21</v>
      </c>
    </row>
    <row r="2141" spans="7:8" x14ac:dyDescent="0.25">
      <c r="G2141" s="29">
        <v>0</v>
      </c>
      <c r="H2141" s="9">
        <v>21</v>
      </c>
    </row>
    <row r="2142" spans="7:8" x14ac:dyDescent="0.25">
      <c r="G2142" s="29">
        <v>0</v>
      </c>
      <c r="H2142" s="9">
        <v>21</v>
      </c>
    </row>
    <row r="2143" spans="7:8" x14ac:dyDescent="0.25">
      <c r="G2143" s="29">
        <v>0</v>
      </c>
      <c r="H2143" s="9">
        <v>21</v>
      </c>
    </row>
    <row r="2144" spans="7:8" x14ac:dyDescent="0.25">
      <c r="G2144" s="29">
        <v>0</v>
      </c>
      <c r="H2144" s="9">
        <v>21</v>
      </c>
    </row>
    <row r="2145" spans="7:8" x14ac:dyDescent="0.25">
      <c r="G2145" s="29">
        <v>0</v>
      </c>
      <c r="H2145" s="9">
        <v>21</v>
      </c>
    </row>
    <row r="2146" spans="7:8" x14ac:dyDescent="0.25">
      <c r="G2146" s="29">
        <v>0</v>
      </c>
      <c r="H2146" s="9">
        <v>21</v>
      </c>
    </row>
    <row r="2147" spans="7:8" x14ac:dyDescent="0.25">
      <c r="G2147" s="29">
        <v>0</v>
      </c>
      <c r="H2147" s="9">
        <v>21</v>
      </c>
    </row>
    <row r="2148" spans="7:8" x14ac:dyDescent="0.25">
      <c r="G2148" s="29">
        <v>0</v>
      </c>
      <c r="H2148" s="9">
        <v>21</v>
      </c>
    </row>
    <row r="2149" spans="7:8" x14ac:dyDescent="0.25">
      <c r="G2149" s="29">
        <v>0</v>
      </c>
      <c r="H2149" s="9">
        <v>21</v>
      </c>
    </row>
    <row r="2150" spans="7:8" x14ac:dyDescent="0.25">
      <c r="G2150" s="29">
        <v>0</v>
      </c>
      <c r="H2150" s="9">
        <v>21</v>
      </c>
    </row>
    <row r="2151" spans="7:8" x14ac:dyDescent="0.25">
      <c r="G2151" s="29">
        <v>0</v>
      </c>
      <c r="H2151" s="9">
        <v>21</v>
      </c>
    </row>
    <row r="2152" spans="7:8" x14ac:dyDescent="0.25">
      <c r="G2152" s="29">
        <v>0</v>
      </c>
      <c r="H2152" s="9">
        <v>21</v>
      </c>
    </row>
    <row r="2153" spans="7:8" x14ac:dyDescent="0.25">
      <c r="G2153" s="29">
        <v>0</v>
      </c>
      <c r="H2153" s="9">
        <v>21</v>
      </c>
    </row>
    <row r="2154" spans="7:8" x14ac:dyDescent="0.25">
      <c r="G2154" s="29">
        <v>0</v>
      </c>
      <c r="H2154" s="9">
        <v>21</v>
      </c>
    </row>
    <row r="2155" spans="7:8" x14ac:dyDescent="0.25">
      <c r="G2155" s="29">
        <v>0</v>
      </c>
      <c r="H2155" s="9">
        <v>21</v>
      </c>
    </row>
    <row r="2156" spans="7:8" x14ac:dyDescent="0.25">
      <c r="G2156" s="29">
        <v>0</v>
      </c>
      <c r="H2156" s="9">
        <v>21</v>
      </c>
    </row>
    <row r="2157" spans="7:8" x14ac:dyDescent="0.25">
      <c r="G2157" s="29">
        <v>0</v>
      </c>
      <c r="H2157" s="9">
        <v>21</v>
      </c>
    </row>
    <row r="2158" spans="7:8" x14ac:dyDescent="0.25">
      <c r="G2158" s="29">
        <v>0</v>
      </c>
      <c r="H2158" s="9">
        <v>21</v>
      </c>
    </row>
    <row r="2159" spans="7:8" x14ac:dyDescent="0.25">
      <c r="G2159" s="29">
        <v>0</v>
      </c>
      <c r="H2159" s="9">
        <v>21</v>
      </c>
    </row>
    <row r="2160" spans="7:8" x14ac:dyDescent="0.25">
      <c r="G2160" s="29">
        <v>0</v>
      </c>
      <c r="H2160" s="9">
        <v>21</v>
      </c>
    </row>
    <row r="2161" spans="7:8" x14ac:dyDescent="0.25">
      <c r="G2161" s="29">
        <v>0</v>
      </c>
      <c r="H2161" s="9">
        <v>21</v>
      </c>
    </row>
    <row r="2162" spans="7:8" x14ac:dyDescent="0.25">
      <c r="G2162" s="29">
        <v>0</v>
      </c>
      <c r="H2162" s="9">
        <v>21</v>
      </c>
    </row>
    <row r="2163" spans="7:8" x14ac:dyDescent="0.25">
      <c r="G2163" s="29">
        <v>0</v>
      </c>
      <c r="H2163" s="9">
        <v>21</v>
      </c>
    </row>
    <row r="2164" spans="7:8" x14ac:dyDescent="0.25">
      <c r="G2164" s="29">
        <v>0</v>
      </c>
      <c r="H2164" s="9">
        <v>21</v>
      </c>
    </row>
    <row r="2165" spans="7:8" x14ac:dyDescent="0.25">
      <c r="G2165" s="29">
        <v>0</v>
      </c>
      <c r="H2165" s="9">
        <v>21</v>
      </c>
    </row>
    <row r="2166" spans="7:8" x14ac:dyDescent="0.25">
      <c r="G2166" s="29">
        <v>0</v>
      </c>
      <c r="H2166" s="9">
        <v>21</v>
      </c>
    </row>
    <row r="2167" spans="7:8" x14ac:dyDescent="0.25">
      <c r="G2167" s="29">
        <v>0</v>
      </c>
      <c r="H2167" s="9">
        <v>21</v>
      </c>
    </row>
    <row r="2168" spans="7:8" x14ac:dyDescent="0.25">
      <c r="G2168" s="29">
        <v>0</v>
      </c>
      <c r="H2168" s="9">
        <v>21</v>
      </c>
    </row>
    <row r="2169" spans="7:8" x14ac:dyDescent="0.25">
      <c r="G2169" s="29">
        <v>0</v>
      </c>
      <c r="H2169" s="9">
        <v>21</v>
      </c>
    </row>
    <row r="2170" spans="7:8" x14ac:dyDescent="0.25">
      <c r="G2170" s="29">
        <v>0</v>
      </c>
      <c r="H2170" s="9">
        <v>21</v>
      </c>
    </row>
    <row r="2171" spans="7:8" x14ac:dyDescent="0.25">
      <c r="G2171" s="29">
        <v>0</v>
      </c>
      <c r="H2171" s="9">
        <v>21</v>
      </c>
    </row>
    <row r="2172" spans="7:8" x14ac:dyDescent="0.25">
      <c r="G2172" s="29">
        <v>0</v>
      </c>
      <c r="H2172" s="9">
        <v>21</v>
      </c>
    </row>
    <row r="2173" spans="7:8" x14ac:dyDescent="0.25">
      <c r="G2173" s="29">
        <v>0</v>
      </c>
      <c r="H2173" s="9">
        <v>21</v>
      </c>
    </row>
    <row r="2174" spans="7:8" x14ac:dyDescent="0.25">
      <c r="G2174" s="29">
        <v>0</v>
      </c>
      <c r="H2174" s="9">
        <v>21</v>
      </c>
    </row>
    <row r="2175" spans="7:8" x14ac:dyDescent="0.25">
      <c r="G2175" s="29">
        <v>0</v>
      </c>
      <c r="H2175" s="9">
        <v>21</v>
      </c>
    </row>
    <row r="2176" spans="7:8" x14ac:dyDescent="0.25">
      <c r="G2176" s="29">
        <v>0</v>
      </c>
      <c r="H2176" s="9">
        <v>21</v>
      </c>
    </row>
    <row r="2177" spans="7:8" x14ac:dyDescent="0.25">
      <c r="G2177" s="29">
        <v>0</v>
      </c>
      <c r="H2177" s="9">
        <v>21</v>
      </c>
    </row>
    <row r="2178" spans="7:8" x14ac:dyDescent="0.25">
      <c r="G2178" s="29">
        <v>0</v>
      </c>
      <c r="H2178" s="9">
        <v>21</v>
      </c>
    </row>
    <row r="2179" spans="7:8" x14ac:dyDescent="0.25">
      <c r="G2179" s="29">
        <v>0</v>
      </c>
      <c r="H2179" s="9">
        <v>21</v>
      </c>
    </row>
    <row r="2180" spans="7:8" x14ac:dyDescent="0.25">
      <c r="G2180" s="29">
        <v>0</v>
      </c>
      <c r="H2180" s="9">
        <v>21</v>
      </c>
    </row>
    <row r="2181" spans="7:8" x14ac:dyDescent="0.25">
      <c r="G2181" s="29">
        <v>0</v>
      </c>
      <c r="H2181" s="9">
        <v>21</v>
      </c>
    </row>
    <row r="2182" spans="7:8" x14ac:dyDescent="0.25">
      <c r="G2182" s="29">
        <v>0</v>
      </c>
      <c r="H2182" s="9">
        <v>21</v>
      </c>
    </row>
    <row r="2183" spans="7:8" x14ac:dyDescent="0.25">
      <c r="G2183" s="29">
        <v>0</v>
      </c>
      <c r="H2183" s="9">
        <v>21</v>
      </c>
    </row>
    <row r="2184" spans="7:8" x14ac:dyDescent="0.25">
      <c r="G2184" s="29">
        <v>0</v>
      </c>
      <c r="H2184" s="9">
        <v>21</v>
      </c>
    </row>
    <row r="2185" spans="7:8" x14ac:dyDescent="0.25">
      <c r="G2185" s="29">
        <v>0</v>
      </c>
      <c r="H2185" s="9">
        <v>21</v>
      </c>
    </row>
    <row r="2186" spans="7:8" x14ac:dyDescent="0.25">
      <c r="G2186" s="29">
        <v>0</v>
      </c>
      <c r="H2186" s="9">
        <v>21</v>
      </c>
    </row>
    <row r="2187" spans="7:8" x14ac:dyDescent="0.25">
      <c r="G2187" s="29">
        <v>0</v>
      </c>
      <c r="H2187" s="9">
        <v>21</v>
      </c>
    </row>
    <row r="2188" spans="7:8" x14ac:dyDescent="0.25">
      <c r="G2188" s="29">
        <v>0</v>
      </c>
      <c r="H2188" s="9">
        <v>21</v>
      </c>
    </row>
    <row r="2189" spans="7:8" x14ac:dyDescent="0.25">
      <c r="G2189" s="29">
        <v>0</v>
      </c>
      <c r="H2189" s="9">
        <v>21</v>
      </c>
    </row>
    <row r="2190" spans="7:8" x14ac:dyDescent="0.25">
      <c r="G2190" s="29">
        <v>0</v>
      </c>
      <c r="H2190" s="9">
        <v>21</v>
      </c>
    </row>
    <row r="2191" spans="7:8" x14ac:dyDescent="0.25">
      <c r="G2191" s="29">
        <v>0</v>
      </c>
      <c r="H2191" s="9">
        <v>21</v>
      </c>
    </row>
    <row r="2192" spans="7:8" x14ac:dyDescent="0.25">
      <c r="G2192" s="29">
        <v>0</v>
      </c>
      <c r="H2192" s="9">
        <v>21</v>
      </c>
    </row>
    <row r="2193" spans="7:8" x14ac:dyDescent="0.25">
      <c r="G2193" s="29">
        <v>0</v>
      </c>
      <c r="H2193" s="9">
        <v>21</v>
      </c>
    </row>
    <row r="2194" spans="7:8" x14ac:dyDescent="0.25">
      <c r="G2194" s="29">
        <v>0</v>
      </c>
      <c r="H2194" s="9">
        <v>21</v>
      </c>
    </row>
    <row r="2195" spans="7:8" x14ac:dyDescent="0.25">
      <c r="G2195" s="29">
        <v>0</v>
      </c>
      <c r="H2195" s="9">
        <v>21</v>
      </c>
    </row>
    <row r="2196" spans="7:8" x14ac:dyDescent="0.25">
      <c r="G2196" s="29">
        <v>0</v>
      </c>
      <c r="H2196" s="9">
        <v>21</v>
      </c>
    </row>
    <row r="2197" spans="7:8" x14ac:dyDescent="0.25">
      <c r="G2197" s="29">
        <v>0</v>
      </c>
      <c r="H2197" s="9">
        <v>21</v>
      </c>
    </row>
    <row r="2198" spans="7:8" x14ac:dyDescent="0.25">
      <c r="G2198" s="29">
        <v>0</v>
      </c>
      <c r="H2198" s="9">
        <v>21</v>
      </c>
    </row>
    <row r="2199" spans="7:8" x14ac:dyDescent="0.25">
      <c r="G2199" s="29">
        <v>0</v>
      </c>
      <c r="H2199" s="9">
        <v>21</v>
      </c>
    </row>
    <row r="2200" spans="7:8" x14ac:dyDescent="0.25">
      <c r="G2200" s="29">
        <v>0</v>
      </c>
      <c r="H2200" s="9">
        <v>21</v>
      </c>
    </row>
    <row r="2201" spans="7:8" x14ac:dyDescent="0.25">
      <c r="G2201" s="29">
        <v>0</v>
      </c>
      <c r="H2201" s="9">
        <v>21</v>
      </c>
    </row>
    <row r="2202" spans="7:8" x14ac:dyDescent="0.25">
      <c r="G2202" s="29">
        <v>0</v>
      </c>
      <c r="H2202" s="9">
        <v>21</v>
      </c>
    </row>
    <row r="2203" spans="7:8" x14ac:dyDescent="0.25">
      <c r="G2203" s="29">
        <v>0</v>
      </c>
      <c r="H2203" s="9">
        <v>21</v>
      </c>
    </row>
    <row r="2204" spans="7:8" x14ac:dyDescent="0.25">
      <c r="G2204" s="29">
        <v>0</v>
      </c>
      <c r="H2204" s="9">
        <v>21</v>
      </c>
    </row>
    <row r="2205" spans="7:8" x14ac:dyDescent="0.25">
      <c r="G2205" s="29">
        <v>0</v>
      </c>
      <c r="H2205" s="9">
        <v>21</v>
      </c>
    </row>
    <row r="2206" spans="7:8" x14ac:dyDescent="0.25">
      <c r="G2206" s="29">
        <v>0</v>
      </c>
      <c r="H2206" s="9">
        <v>21</v>
      </c>
    </row>
    <row r="2207" spans="7:8" x14ac:dyDescent="0.25">
      <c r="G2207" s="29">
        <v>0</v>
      </c>
      <c r="H2207" s="9">
        <v>21</v>
      </c>
    </row>
    <row r="2208" spans="7:8" x14ac:dyDescent="0.25">
      <c r="G2208" s="29">
        <v>0</v>
      </c>
      <c r="H2208" s="9">
        <v>21</v>
      </c>
    </row>
    <row r="2209" spans="7:8" x14ac:dyDescent="0.25">
      <c r="G2209" s="29">
        <v>0</v>
      </c>
      <c r="H2209" s="9">
        <v>21</v>
      </c>
    </row>
    <row r="2210" spans="7:8" x14ac:dyDescent="0.25">
      <c r="G2210" s="29">
        <v>0</v>
      </c>
      <c r="H2210" s="9">
        <v>21</v>
      </c>
    </row>
    <row r="2211" spans="7:8" x14ac:dyDescent="0.25">
      <c r="G2211" s="29">
        <v>0</v>
      </c>
      <c r="H2211" s="9">
        <v>21</v>
      </c>
    </row>
    <row r="2212" spans="7:8" x14ac:dyDescent="0.25">
      <c r="G2212" s="29">
        <v>0</v>
      </c>
      <c r="H2212" s="9">
        <v>21</v>
      </c>
    </row>
    <row r="2213" spans="7:8" x14ac:dyDescent="0.25">
      <c r="G2213" s="29">
        <v>0</v>
      </c>
      <c r="H2213" s="9">
        <v>21</v>
      </c>
    </row>
    <row r="2214" spans="7:8" x14ac:dyDescent="0.25">
      <c r="G2214" s="29">
        <v>0</v>
      </c>
      <c r="H2214" s="9">
        <v>21</v>
      </c>
    </row>
    <row r="2215" spans="7:8" x14ac:dyDescent="0.25">
      <c r="G2215" s="29">
        <v>0</v>
      </c>
      <c r="H2215" s="9">
        <v>21</v>
      </c>
    </row>
    <row r="2216" spans="7:8" x14ac:dyDescent="0.25">
      <c r="G2216" s="29">
        <v>0</v>
      </c>
      <c r="H2216" s="9">
        <v>21</v>
      </c>
    </row>
    <row r="2217" spans="7:8" x14ac:dyDescent="0.25">
      <c r="G2217" s="29">
        <v>0</v>
      </c>
      <c r="H2217" s="9">
        <v>21</v>
      </c>
    </row>
    <row r="2218" spans="7:8" x14ac:dyDescent="0.25">
      <c r="G2218" s="29">
        <v>0</v>
      </c>
      <c r="H2218" s="9">
        <v>21</v>
      </c>
    </row>
    <row r="2219" spans="7:8" x14ac:dyDescent="0.25">
      <c r="G2219" s="29">
        <v>0</v>
      </c>
      <c r="H2219" s="9">
        <v>21</v>
      </c>
    </row>
    <row r="2220" spans="7:8" x14ac:dyDescent="0.25">
      <c r="G2220" s="29">
        <v>0</v>
      </c>
      <c r="H2220" s="9">
        <v>21</v>
      </c>
    </row>
    <row r="2221" spans="7:8" x14ac:dyDescent="0.25">
      <c r="G2221" s="29">
        <v>0</v>
      </c>
      <c r="H2221" s="9">
        <v>21</v>
      </c>
    </row>
    <row r="2222" spans="7:8" x14ac:dyDescent="0.25">
      <c r="G2222" s="29">
        <v>0</v>
      </c>
      <c r="H2222" s="9">
        <v>21</v>
      </c>
    </row>
    <row r="2223" spans="7:8" x14ac:dyDescent="0.25">
      <c r="G2223" s="29">
        <v>0</v>
      </c>
      <c r="H2223" s="9">
        <v>21</v>
      </c>
    </row>
    <row r="2224" spans="7:8" x14ac:dyDescent="0.25">
      <c r="G2224" s="29">
        <v>0</v>
      </c>
      <c r="H2224" s="9">
        <v>21</v>
      </c>
    </row>
    <row r="2225" spans="7:8" x14ac:dyDescent="0.25">
      <c r="G2225" s="29">
        <v>0</v>
      </c>
      <c r="H2225" s="9">
        <v>21</v>
      </c>
    </row>
    <row r="2226" spans="7:8" x14ac:dyDescent="0.25">
      <c r="G2226" s="29">
        <v>0</v>
      </c>
      <c r="H2226" s="9">
        <v>21</v>
      </c>
    </row>
    <row r="2227" spans="7:8" x14ac:dyDescent="0.25">
      <c r="G2227" s="29">
        <v>0</v>
      </c>
      <c r="H2227" s="9">
        <v>21</v>
      </c>
    </row>
    <row r="2228" spans="7:8" x14ac:dyDescent="0.25">
      <c r="G2228" s="29">
        <v>0</v>
      </c>
      <c r="H2228" s="9">
        <v>21</v>
      </c>
    </row>
    <row r="2229" spans="7:8" x14ac:dyDescent="0.25">
      <c r="G2229" s="29">
        <v>0</v>
      </c>
      <c r="H2229" s="9">
        <v>21</v>
      </c>
    </row>
    <row r="2230" spans="7:8" x14ac:dyDescent="0.25">
      <c r="G2230" s="29">
        <v>0</v>
      </c>
      <c r="H2230" s="9">
        <v>21</v>
      </c>
    </row>
    <row r="2231" spans="7:8" x14ac:dyDescent="0.25">
      <c r="G2231" s="29">
        <v>0</v>
      </c>
      <c r="H2231" s="9">
        <v>21</v>
      </c>
    </row>
    <row r="2232" spans="7:8" x14ac:dyDescent="0.25">
      <c r="G2232" s="29">
        <v>0</v>
      </c>
      <c r="H2232" s="9">
        <v>21</v>
      </c>
    </row>
    <row r="2233" spans="7:8" x14ac:dyDescent="0.25">
      <c r="G2233" s="29">
        <v>0</v>
      </c>
      <c r="H2233" s="9">
        <v>21</v>
      </c>
    </row>
    <row r="2234" spans="7:8" x14ac:dyDescent="0.25">
      <c r="G2234" s="29">
        <v>0</v>
      </c>
      <c r="H2234" s="9">
        <v>21</v>
      </c>
    </row>
    <row r="2235" spans="7:8" x14ac:dyDescent="0.25">
      <c r="G2235" s="29">
        <v>0</v>
      </c>
      <c r="H2235" s="9">
        <v>21</v>
      </c>
    </row>
    <row r="2236" spans="7:8" x14ac:dyDescent="0.25">
      <c r="G2236" s="29">
        <v>0</v>
      </c>
      <c r="H2236" s="9">
        <v>21</v>
      </c>
    </row>
    <row r="2237" spans="7:8" x14ac:dyDescent="0.25">
      <c r="G2237" s="29">
        <v>0</v>
      </c>
      <c r="H2237" s="9">
        <v>21</v>
      </c>
    </row>
    <row r="2238" spans="7:8" x14ac:dyDescent="0.25">
      <c r="G2238" s="29">
        <v>0</v>
      </c>
      <c r="H2238" s="9">
        <v>21</v>
      </c>
    </row>
    <row r="2239" spans="7:8" x14ac:dyDescent="0.25">
      <c r="G2239" s="29">
        <v>0</v>
      </c>
      <c r="H2239" s="9">
        <v>21</v>
      </c>
    </row>
    <row r="2240" spans="7:8" x14ac:dyDescent="0.25">
      <c r="G2240" s="29">
        <v>0</v>
      </c>
      <c r="H2240" s="9">
        <v>21</v>
      </c>
    </row>
    <row r="2241" spans="7:8" x14ac:dyDescent="0.25">
      <c r="G2241" s="29">
        <v>0</v>
      </c>
      <c r="H2241" s="9">
        <v>21</v>
      </c>
    </row>
    <row r="2242" spans="7:8" x14ac:dyDescent="0.25">
      <c r="G2242" s="29">
        <v>0</v>
      </c>
      <c r="H2242" s="9">
        <v>21</v>
      </c>
    </row>
    <row r="2243" spans="7:8" x14ac:dyDescent="0.25">
      <c r="G2243" s="29">
        <v>0</v>
      </c>
      <c r="H2243" s="9">
        <v>21</v>
      </c>
    </row>
    <row r="2244" spans="7:8" x14ac:dyDescent="0.25">
      <c r="G2244" s="29">
        <v>0</v>
      </c>
      <c r="H2244" s="9">
        <v>21</v>
      </c>
    </row>
    <row r="2245" spans="7:8" x14ac:dyDescent="0.25">
      <c r="G2245" s="29">
        <v>0</v>
      </c>
      <c r="H2245" s="9">
        <v>21</v>
      </c>
    </row>
    <row r="2246" spans="7:8" x14ac:dyDescent="0.25">
      <c r="G2246" s="29">
        <v>0</v>
      </c>
      <c r="H2246" s="9">
        <v>21</v>
      </c>
    </row>
    <row r="2247" spans="7:8" x14ac:dyDescent="0.25">
      <c r="G2247" s="29">
        <v>0</v>
      </c>
      <c r="H2247" s="9">
        <v>21</v>
      </c>
    </row>
    <row r="2248" spans="7:8" x14ac:dyDescent="0.25">
      <c r="G2248" s="29">
        <v>0</v>
      </c>
      <c r="H2248" s="9">
        <v>21</v>
      </c>
    </row>
    <row r="2249" spans="7:8" x14ac:dyDescent="0.25">
      <c r="G2249" s="29">
        <v>0</v>
      </c>
      <c r="H2249" s="9">
        <v>21</v>
      </c>
    </row>
    <row r="2250" spans="7:8" x14ac:dyDescent="0.25">
      <c r="G2250" s="29">
        <v>0</v>
      </c>
      <c r="H2250" s="9">
        <v>21</v>
      </c>
    </row>
    <row r="2251" spans="7:8" x14ac:dyDescent="0.25">
      <c r="G2251" s="29">
        <v>0</v>
      </c>
      <c r="H2251" s="9">
        <v>21</v>
      </c>
    </row>
    <row r="2252" spans="7:8" x14ac:dyDescent="0.25">
      <c r="G2252" s="29">
        <v>0</v>
      </c>
      <c r="H2252" s="9">
        <v>21</v>
      </c>
    </row>
    <row r="2253" spans="7:8" x14ac:dyDescent="0.25">
      <c r="G2253" s="29">
        <v>0</v>
      </c>
      <c r="H2253" s="9">
        <v>21</v>
      </c>
    </row>
    <row r="2254" spans="7:8" x14ac:dyDescent="0.25">
      <c r="G2254" s="29">
        <v>0</v>
      </c>
      <c r="H2254" s="9">
        <v>21</v>
      </c>
    </row>
    <row r="2255" spans="7:8" x14ac:dyDescent="0.25">
      <c r="G2255" s="29">
        <v>0</v>
      </c>
      <c r="H2255" s="9">
        <v>21</v>
      </c>
    </row>
    <row r="2256" spans="7:8" x14ac:dyDescent="0.25">
      <c r="G2256" s="29">
        <v>0</v>
      </c>
      <c r="H2256" s="9">
        <v>21</v>
      </c>
    </row>
    <row r="2257" spans="7:8" x14ac:dyDescent="0.25">
      <c r="G2257" s="29">
        <v>0</v>
      </c>
      <c r="H2257" s="9">
        <v>21</v>
      </c>
    </row>
    <row r="2258" spans="7:8" x14ac:dyDescent="0.25">
      <c r="G2258" s="29">
        <v>0</v>
      </c>
      <c r="H2258" s="9">
        <v>21</v>
      </c>
    </row>
    <row r="2259" spans="7:8" x14ac:dyDescent="0.25">
      <c r="G2259" s="29">
        <v>0</v>
      </c>
      <c r="H2259" s="9">
        <v>21</v>
      </c>
    </row>
    <row r="2260" spans="7:8" x14ac:dyDescent="0.25">
      <c r="G2260" s="29">
        <v>0</v>
      </c>
      <c r="H2260" s="9">
        <v>21</v>
      </c>
    </row>
    <row r="2261" spans="7:8" x14ac:dyDescent="0.25">
      <c r="G2261" s="29">
        <v>0</v>
      </c>
      <c r="H2261" s="9">
        <v>21</v>
      </c>
    </row>
    <row r="2262" spans="7:8" x14ac:dyDescent="0.25">
      <c r="G2262" s="29">
        <v>0</v>
      </c>
      <c r="H2262" s="9">
        <v>21</v>
      </c>
    </row>
    <row r="2263" spans="7:8" x14ac:dyDescent="0.25">
      <c r="G2263" s="29">
        <v>0</v>
      </c>
      <c r="H2263" s="9">
        <v>21</v>
      </c>
    </row>
    <row r="2264" spans="7:8" x14ac:dyDescent="0.25">
      <c r="G2264" s="29">
        <v>0</v>
      </c>
      <c r="H2264" s="9">
        <v>21</v>
      </c>
    </row>
    <row r="2265" spans="7:8" x14ac:dyDescent="0.25">
      <c r="G2265" s="29">
        <v>0</v>
      </c>
      <c r="H2265" s="9">
        <v>21</v>
      </c>
    </row>
    <row r="2266" spans="7:8" x14ac:dyDescent="0.25">
      <c r="G2266" s="29">
        <v>0</v>
      </c>
      <c r="H2266" s="9">
        <v>21</v>
      </c>
    </row>
    <row r="2267" spans="7:8" x14ac:dyDescent="0.25">
      <c r="G2267" s="29">
        <v>0</v>
      </c>
      <c r="H2267" s="9">
        <v>21</v>
      </c>
    </row>
    <row r="2268" spans="7:8" x14ac:dyDescent="0.25">
      <c r="G2268" s="29">
        <v>0</v>
      </c>
      <c r="H2268" s="9">
        <v>21</v>
      </c>
    </row>
    <row r="2269" spans="7:8" x14ac:dyDescent="0.25">
      <c r="G2269" s="29">
        <v>0</v>
      </c>
      <c r="H2269" s="9">
        <v>21</v>
      </c>
    </row>
    <row r="2270" spans="7:8" x14ac:dyDescent="0.25">
      <c r="G2270" s="29">
        <v>0</v>
      </c>
      <c r="H2270" s="9">
        <v>21</v>
      </c>
    </row>
    <row r="2271" spans="7:8" x14ac:dyDescent="0.25">
      <c r="G2271" s="29">
        <v>0</v>
      </c>
      <c r="H2271" s="9">
        <v>21</v>
      </c>
    </row>
    <row r="2272" spans="7:8" x14ac:dyDescent="0.25">
      <c r="G2272" s="29">
        <v>0</v>
      </c>
      <c r="H2272" s="9">
        <v>21</v>
      </c>
    </row>
    <row r="2273" spans="7:8" x14ac:dyDescent="0.25">
      <c r="G2273" s="29">
        <v>0</v>
      </c>
      <c r="H2273" s="9">
        <v>21</v>
      </c>
    </row>
    <row r="2274" spans="7:8" x14ac:dyDescent="0.25">
      <c r="G2274" s="29">
        <v>0</v>
      </c>
      <c r="H2274" s="9">
        <v>21</v>
      </c>
    </row>
    <row r="2275" spans="7:8" x14ac:dyDescent="0.25">
      <c r="G2275" s="29">
        <v>0</v>
      </c>
      <c r="H2275" s="9">
        <v>21</v>
      </c>
    </row>
    <row r="2276" spans="7:8" x14ac:dyDescent="0.25">
      <c r="G2276" s="29">
        <v>0</v>
      </c>
      <c r="H2276" s="9">
        <v>21</v>
      </c>
    </row>
    <row r="2277" spans="7:8" x14ac:dyDescent="0.25">
      <c r="G2277" s="29">
        <v>0</v>
      </c>
      <c r="H2277" s="9">
        <v>21</v>
      </c>
    </row>
    <row r="2278" spans="7:8" x14ac:dyDescent="0.25">
      <c r="G2278" s="29">
        <v>0</v>
      </c>
      <c r="H2278" s="9">
        <v>21</v>
      </c>
    </row>
    <row r="2279" spans="7:8" x14ac:dyDescent="0.25">
      <c r="G2279" s="29">
        <v>0</v>
      </c>
      <c r="H2279" s="9">
        <v>21</v>
      </c>
    </row>
    <row r="2280" spans="7:8" x14ac:dyDescent="0.25">
      <c r="G2280" s="29">
        <v>0</v>
      </c>
      <c r="H2280" s="9">
        <v>21</v>
      </c>
    </row>
    <row r="2281" spans="7:8" x14ac:dyDescent="0.25">
      <c r="G2281" s="29">
        <v>0</v>
      </c>
      <c r="H2281" s="9">
        <v>21</v>
      </c>
    </row>
    <row r="2282" spans="7:8" x14ac:dyDescent="0.25">
      <c r="G2282" s="29">
        <v>0</v>
      </c>
      <c r="H2282" s="9">
        <v>21</v>
      </c>
    </row>
    <row r="2283" spans="7:8" x14ac:dyDescent="0.25">
      <c r="G2283" s="29">
        <v>0</v>
      </c>
      <c r="H2283" s="9">
        <v>21</v>
      </c>
    </row>
    <row r="2284" spans="7:8" x14ac:dyDescent="0.25">
      <c r="G2284" s="29">
        <v>0</v>
      </c>
      <c r="H2284" s="9">
        <v>21</v>
      </c>
    </row>
    <row r="2285" spans="7:8" x14ac:dyDescent="0.25">
      <c r="G2285" s="29">
        <v>0</v>
      </c>
      <c r="H2285" s="9">
        <v>21</v>
      </c>
    </row>
    <row r="2286" spans="7:8" x14ac:dyDescent="0.25">
      <c r="G2286" s="29">
        <v>0</v>
      </c>
      <c r="H2286" s="9">
        <v>21</v>
      </c>
    </row>
    <row r="2287" spans="7:8" x14ac:dyDescent="0.25">
      <c r="G2287" s="29">
        <v>0</v>
      </c>
      <c r="H2287" s="9">
        <v>21</v>
      </c>
    </row>
    <row r="2288" spans="7:8" x14ac:dyDescent="0.25">
      <c r="G2288" s="29">
        <v>0</v>
      </c>
      <c r="H2288" s="9">
        <v>21</v>
      </c>
    </row>
    <row r="2289" spans="7:8" x14ac:dyDescent="0.25">
      <c r="G2289" s="29">
        <v>0</v>
      </c>
      <c r="H2289" s="9">
        <v>21</v>
      </c>
    </row>
    <row r="2290" spans="7:8" x14ac:dyDescent="0.25">
      <c r="G2290" s="29">
        <v>0</v>
      </c>
      <c r="H2290" s="9">
        <v>21</v>
      </c>
    </row>
    <row r="2291" spans="7:8" x14ac:dyDescent="0.25">
      <c r="G2291" s="29">
        <v>0</v>
      </c>
      <c r="H2291" s="9">
        <v>21</v>
      </c>
    </row>
    <row r="2292" spans="7:8" x14ac:dyDescent="0.25">
      <c r="G2292" s="29">
        <v>0</v>
      </c>
      <c r="H2292" s="9">
        <v>21</v>
      </c>
    </row>
    <row r="2293" spans="7:8" x14ac:dyDescent="0.25">
      <c r="G2293" s="29">
        <v>0</v>
      </c>
      <c r="H2293" s="9">
        <v>21</v>
      </c>
    </row>
    <row r="2294" spans="7:8" x14ac:dyDescent="0.25">
      <c r="G2294" s="29">
        <v>0</v>
      </c>
      <c r="H2294" s="9">
        <v>21</v>
      </c>
    </row>
    <row r="2295" spans="7:8" x14ac:dyDescent="0.25">
      <c r="G2295" s="29">
        <v>0</v>
      </c>
      <c r="H2295" s="9">
        <v>21</v>
      </c>
    </row>
    <row r="2296" spans="7:8" x14ac:dyDescent="0.25">
      <c r="G2296" s="29">
        <v>0</v>
      </c>
      <c r="H2296" s="9">
        <v>21</v>
      </c>
    </row>
    <row r="2297" spans="7:8" x14ac:dyDescent="0.25">
      <c r="G2297" s="29">
        <v>0</v>
      </c>
      <c r="H2297" s="9">
        <v>21</v>
      </c>
    </row>
    <row r="2298" spans="7:8" x14ac:dyDescent="0.25">
      <c r="G2298" s="29">
        <v>0</v>
      </c>
      <c r="H2298" s="9">
        <v>21</v>
      </c>
    </row>
    <row r="2299" spans="7:8" x14ac:dyDescent="0.25">
      <c r="G2299" s="29">
        <v>0</v>
      </c>
      <c r="H2299" s="9">
        <v>21</v>
      </c>
    </row>
    <row r="2300" spans="7:8" x14ac:dyDescent="0.25">
      <c r="G2300" s="29">
        <v>0</v>
      </c>
      <c r="H2300" s="9">
        <v>21</v>
      </c>
    </row>
    <row r="2301" spans="7:8" x14ac:dyDescent="0.25">
      <c r="G2301" s="29">
        <v>0</v>
      </c>
      <c r="H2301" s="9">
        <v>21</v>
      </c>
    </row>
    <row r="2302" spans="7:8" x14ac:dyDescent="0.25">
      <c r="G2302" s="29">
        <v>0</v>
      </c>
      <c r="H2302" s="9">
        <v>21</v>
      </c>
    </row>
    <row r="2303" spans="7:8" x14ac:dyDescent="0.25">
      <c r="G2303" s="29">
        <v>0</v>
      </c>
      <c r="H2303" s="9">
        <v>21</v>
      </c>
    </row>
    <row r="2304" spans="7:8" x14ac:dyDescent="0.25">
      <c r="G2304" s="29">
        <v>0</v>
      </c>
      <c r="H2304" s="9">
        <v>21</v>
      </c>
    </row>
    <row r="2305" spans="7:8" x14ac:dyDescent="0.25">
      <c r="G2305" s="29">
        <v>0</v>
      </c>
      <c r="H2305" s="9">
        <v>21</v>
      </c>
    </row>
    <row r="2306" spans="7:8" x14ac:dyDescent="0.25">
      <c r="G2306" s="29">
        <v>0</v>
      </c>
      <c r="H2306" s="9">
        <v>21</v>
      </c>
    </row>
    <row r="2307" spans="7:8" x14ac:dyDescent="0.25">
      <c r="G2307" s="29">
        <v>0</v>
      </c>
      <c r="H2307" s="9">
        <v>21</v>
      </c>
    </row>
    <row r="2308" spans="7:8" x14ac:dyDescent="0.25">
      <c r="G2308" s="29">
        <v>0</v>
      </c>
      <c r="H2308" s="9">
        <v>21</v>
      </c>
    </row>
    <row r="2309" spans="7:8" x14ac:dyDescent="0.25">
      <c r="G2309" s="29">
        <v>0</v>
      </c>
      <c r="H2309" s="9">
        <v>21</v>
      </c>
    </row>
    <row r="2310" spans="7:8" x14ac:dyDescent="0.25">
      <c r="G2310" s="29">
        <v>0</v>
      </c>
      <c r="H2310" s="9">
        <v>21</v>
      </c>
    </row>
    <row r="2311" spans="7:8" x14ac:dyDescent="0.25">
      <c r="G2311" s="29">
        <v>0</v>
      </c>
      <c r="H2311" s="9">
        <v>21</v>
      </c>
    </row>
    <row r="2312" spans="7:8" x14ac:dyDescent="0.25">
      <c r="G2312" s="29">
        <v>0</v>
      </c>
      <c r="H2312" s="9">
        <v>21</v>
      </c>
    </row>
    <row r="2313" spans="7:8" x14ac:dyDescent="0.25">
      <c r="G2313" s="29">
        <v>0</v>
      </c>
      <c r="H2313" s="9">
        <v>21</v>
      </c>
    </row>
    <row r="2314" spans="7:8" x14ac:dyDescent="0.25">
      <c r="G2314" s="29">
        <v>0</v>
      </c>
      <c r="H2314" s="9">
        <v>21</v>
      </c>
    </row>
    <row r="2315" spans="7:8" x14ac:dyDescent="0.25">
      <c r="G2315" s="29">
        <v>0</v>
      </c>
      <c r="H2315" s="9">
        <v>21</v>
      </c>
    </row>
    <row r="2316" spans="7:8" x14ac:dyDescent="0.25">
      <c r="G2316" s="29">
        <v>0</v>
      </c>
      <c r="H2316" s="9">
        <v>21</v>
      </c>
    </row>
    <row r="2317" spans="7:8" x14ac:dyDescent="0.25">
      <c r="G2317" s="29">
        <v>0</v>
      </c>
      <c r="H2317" s="9">
        <v>21</v>
      </c>
    </row>
    <row r="2318" spans="7:8" x14ac:dyDescent="0.25">
      <c r="G2318" s="29">
        <v>0</v>
      </c>
      <c r="H2318" s="9">
        <v>21</v>
      </c>
    </row>
    <row r="2319" spans="7:8" x14ac:dyDescent="0.25">
      <c r="G2319" s="29">
        <v>0</v>
      </c>
      <c r="H2319" s="9">
        <v>21</v>
      </c>
    </row>
    <row r="2320" spans="7:8" x14ac:dyDescent="0.25">
      <c r="G2320" s="29">
        <v>0</v>
      </c>
      <c r="H2320" s="9">
        <v>21</v>
      </c>
    </row>
    <row r="2321" spans="7:8" x14ac:dyDescent="0.25">
      <c r="G2321" s="29">
        <v>0</v>
      </c>
      <c r="H2321" s="9">
        <v>21</v>
      </c>
    </row>
    <row r="2322" spans="7:8" x14ac:dyDescent="0.25">
      <c r="G2322" s="29">
        <v>0</v>
      </c>
      <c r="H2322" s="9">
        <v>21</v>
      </c>
    </row>
    <row r="2323" spans="7:8" x14ac:dyDescent="0.25">
      <c r="G2323" s="29">
        <v>0</v>
      </c>
      <c r="H2323" s="9">
        <v>21</v>
      </c>
    </row>
    <row r="2324" spans="7:8" x14ac:dyDescent="0.25">
      <c r="G2324" s="29">
        <v>0</v>
      </c>
      <c r="H2324" s="9">
        <v>21</v>
      </c>
    </row>
    <row r="2325" spans="7:8" x14ac:dyDescent="0.25">
      <c r="G2325" s="29">
        <v>0</v>
      </c>
      <c r="H2325" s="9">
        <v>21</v>
      </c>
    </row>
    <row r="2326" spans="7:8" x14ac:dyDescent="0.25">
      <c r="G2326" s="29">
        <v>0</v>
      </c>
      <c r="H2326" s="9">
        <v>21</v>
      </c>
    </row>
    <row r="2327" spans="7:8" x14ac:dyDescent="0.25">
      <c r="G2327" s="29">
        <v>0</v>
      </c>
      <c r="H2327" s="9">
        <v>21</v>
      </c>
    </row>
    <row r="2328" spans="7:8" x14ac:dyDescent="0.25">
      <c r="G2328" s="29">
        <v>0</v>
      </c>
      <c r="H2328" s="9">
        <v>21</v>
      </c>
    </row>
    <row r="2329" spans="7:8" x14ac:dyDescent="0.25">
      <c r="G2329" s="29">
        <v>0</v>
      </c>
      <c r="H2329" s="9">
        <v>21</v>
      </c>
    </row>
    <row r="2330" spans="7:8" x14ac:dyDescent="0.25">
      <c r="G2330" s="29">
        <v>0</v>
      </c>
      <c r="H2330" s="9">
        <v>21</v>
      </c>
    </row>
    <row r="2331" spans="7:8" x14ac:dyDescent="0.25">
      <c r="G2331" s="29">
        <v>0</v>
      </c>
      <c r="H2331" s="9">
        <v>21</v>
      </c>
    </row>
    <row r="2332" spans="7:8" x14ac:dyDescent="0.25">
      <c r="G2332" s="29">
        <v>0</v>
      </c>
      <c r="H2332" s="9">
        <v>21</v>
      </c>
    </row>
    <row r="2333" spans="7:8" x14ac:dyDescent="0.25">
      <c r="G2333" s="29">
        <v>0</v>
      </c>
      <c r="H2333" s="9">
        <v>21</v>
      </c>
    </row>
    <row r="2334" spans="7:8" x14ac:dyDescent="0.25">
      <c r="G2334" s="29">
        <v>0</v>
      </c>
      <c r="H2334" s="9">
        <v>21</v>
      </c>
    </row>
    <row r="2335" spans="7:8" x14ac:dyDescent="0.25">
      <c r="G2335" s="29">
        <v>0</v>
      </c>
      <c r="H2335" s="9">
        <v>21</v>
      </c>
    </row>
    <row r="2336" spans="7:8" x14ac:dyDescent="0.25">
      <c r="G2336" s="29">
        <v>0</v>
      </c>
      <c r="H2336" s="9">
        <v>21</v>
      </c>
    </row>
    <row r="2337" spans="7:8" x14ac:dyDescent="0.25">
      <c r="G2337" s="29">
        <v>0</v>
      </c>
      <c r="H2337" s="9">
        <v>21</v>
      </c>
    </row>
    <row r="2338" spans="7:8" x14ac:dyDescent="0.25">
      <c r="G2338" s="29">
        <v>0</v>
      </c>
      <c r="H2338" s="9">
        <v>21</v>
      </c>
    </row>
    <row r="2339" spans="7:8" x14ac:dyDescent="0.25">
      <c r="G2339" s="29">
        <v>0</v>
      </c>
      <c r="H2339" s="9">
        <v>21</v>
      </c>
    </row>
    <row r="2340" spans="7:8" x14ac:dyDescent="0.25">
      <c r="G2340" s="29">
        <v>0</v>
      </c>
      <c r="H2340" s="9">
        <v>21</v>
      </c>
    </row>
    <row r="2341" spans="7:8" x14ac:dyDescent="0.25">
      <c r="G2341" s="29">
        <v>0</v>
      </c>
      <c r="H2341" s="9">
        <v>21</v>
      </c>
    </row>
    <row r="2342" spans="7:8" x14ac:dyDescent="0.25">
      <c r="G2342" s="29">
        <v>0</v>
      </c>
      <c r="H2342" s="9">
        <v>21</v>
      </c>
    </row>
    <row r="2343" spans="7:8" x14ac:dyDescent="0.25">
      <c r="G2343" s="29">
        <v>0</v>
      </c>
      <c r="H2343" s="9">
        <v>21</v>
      </c>
    </row>
    <row r="2344" spans="7:8" x14ac:dyDescent="0.25">
      <c r="G2344" s="29">
        <v>0</v>
      </c>
      <c r="H2344" s="9">
        <v>21</v>
      </c>
    </row>
    <row r="2345" spans="7:8" x14ac:dyDescent="0.25">
      <c r="G2345" s="29">
        <v>0</v>
      </c>
      <c r="H2345" s="9">
        <v>21</v>
      </c>
    </row>
    <row r="2346" spans="7:8" x14ac:dyDescent="0.25">
      <c r="G2346" s="29">
        <v>0</v>
      </c>
      <c r="H2346" s="9">
        <v>21</v>
      </c>
    </row>
    <row r="2347" spans="7:8" x14ac:dyDescent="0.25">
      <c r="G2347" s="29">
        <v>0</v>
      </c>
      <c r="H2347" s="9">
        <v>21</v>
      </c>
    </row>
    <row r="2348" spans="7:8" x14ac:dyDescent="0.25">
      <c r="G2348" s="29">
        <v>0</v>
      </c>
      <c r="H2348" s="9">
        <v>21</v>
      </c>
    </row>
    <row r="2349" spans="7:8" x14ac:dyDescent="0.25">
      <c r="G2349" s="29">
        <v>0</v>
      </c>
      <c r="H2349" s="9">
        <v>21</v>
      </c>
    </row>
    <row r="2350" spans="7:8" x14ac:dyDescent="0.25">
      <c r="G2350" s="29">
        <v>0</v>
      </c>
      <c r="H2350" s="9">
        <v>21</v>
      </c>
    </row>
    <row r="2351" spans="7:8" x14ac:dyDescent="0.25">
      <c r="G2351" s="29">
        <v>0</v>
      </c>
      <c r="H2351" s="9">
        <v>21</v>
      </c>
    </row>
    <row r="2352" spans="7:8" x14ac:dyDescent="0.25">
      <c r="G2352" s="29">
        <v>0</v>
      </c>
      <c r="H2352" s="9">
        <v>21</v>
      </c>
    </row>
    <row r="2353" spans="7:8" x14ac:dyDescent="0.25">
      <c r="G2353" s="29">
        <v>0</v>
      </c>
      <c r="H2353" s="9">
        <v>21</v>
      </c>
    </row>
    <row r="2354" spans="7:8" x14ac:dyDescent="0.25">
      <c r="G2354" s="29">
        <v>0</v>
      </c>
      <c r="H2354" s="9">
        <v>21</v>
      </c>
    </row>
    <row r="2355" spans="7:8" x14ac:dyDescent="0.25">
      <c r="G2355" s="29">
        <v>0</v>
      </c>
      <c r="H2355" s="9">
        <v>21</v>
      </c>
    </row>
    <row r="2356" spans="7:8" x14ac:dyDescent="0.25">
      <c r="G2356" s="29">
        <v>0</v>
      </c>
      <c r="H2356" s="9">
        <v>21</v>
      </c>
    </row>
    <row r="2357" spans="7:8" x14ac:dyDescent="0.25">
      <c r="G2357" s="29">
        <v>0</v>
      </c>
      <c r="H2357" s="9">
        <v>21</v>
      </c>
    </row>
    <row r="2358" spans="7:8" x14ac:dyDescent="0.25">
      <c r="G2358" s="29">
        <v>0</v>
      </c>
      <c r="H2358" s="9">
        <v>21</v>
      </c>
    </row>
    <row r="2359" spans="7:8" x14ac:dyDescent="0.25">
      <c r="G2359" s="29">
        <v>0</v>
      </c>
      <c r="H2359" s="9">
        <v>21</v>
      </c>
    </row>
    <row r="2360" spans="7:8" x14ac:dyDescent="0.25">
      <c r="G2360" s="29">
        <v>0</v>
      </c>
      <c r="H2360" s="9">
        <v>21</v>
      </c>
    </row>
    <row r="2361" spans="7:8" x14ac:dyDescent="0.25">
      <c r="G2361" s="29">
        <v>0</v>
      </c>
      <c r="H2361" s="9">
        <v>21</v>
      </c>
    </row>
    <row r="2362" spans="7:8" x14ac:dyDescent="0.25">
      <c r="G2362" s="29">
        <v>0</v>
      </c>
      <c r="H2362" s="9">
        <v>21</v>
      </c>
    </row>
    <row r="2363" spans="7:8" x14ac:dyDescent="0.25">
      <c r="G2363" s="29">
        <v>0</v>
      </c>
      <c r="H2363" s="9">
        <v>21</v>
      </c>
    </row>
    <row r="2364" spans="7:8" x14ac:dyDescent="0.25">
      <c r="G2364" s="29">
        <v>0</v>
      </c>
      <c r="H2364" s="9">
        <v>21</v>
      </c>
    </row>
    <row r="2365" spans="7:8" x14ac:dyDescent="0.25">
      <c r="G2365" s="29">
        <v>0</v>
      </c>
      <c r="H2365" s="9">
        <v>21</v>
      </c>
    </row>
    <row r="2366" spans="7:8" x14ac:dyDescent="0.25">
      <c r="G2366" s="29">
        <v>0</v>
      </c>
      <c r="H2366" s="9">
        <v>21</v>
      </c>
    </row>
    <row r="2367" spans="7:8" x14ac:dyDescent="0.25">
      <c r="G2367" s="29">
        <v>0</v>
      </c>
      <c r="H2367" s="9">
        <v>21</v>
      </c>
    </row>
    <row r="2368" spans="7:8" x14ac:dyDescent="0.25">
      <c r="G2368" s="29">
        <v>0</v>
      </c>
      <c r="H2368" s="9">
        <v>21</v>
      </c>
    </row>
    <row r="2369" spans="7:8" x14ac:dyDescent="0.25">
      <c r="G2369" s="29">
        <v>0</v>
      </c>
      <c r="H2369" s="9">
        <v>21</v>
      </c>
    </row>
    <row r="2370" spans="7:8" x14ac:dyDescent="0.25">
      <c r="G2370" s="29">
        <v>0</v>
      </c>
      <c r="H2370" s="9">
        <v>21</v>
      </c>
    </row>
    <row r="2371" spans="7:8" x14ac:dyDescent="0.25">
      <c r="G2371" s="29">
        <v>0</v>
      </c>
      <c r="H2371" s="9">
        <v>21</v>
      </c>
    </row>
    <row r="2372" spans="7:8" x14ac:dyDescent="0.25">
      <c r="G2372" s="29">
        <v>0</v>
      </c>
      <c r="H2372" s="9">
        <v>21</v>
      </c>
    </row>
    <row r="2373" spans="7:8" x14ac:dyDescent="0.25">
      <c r="G2373" s="29">
        <v>0</v>
      </c>
      <c r="H2373" s="9">
        <v>21</v>
      </c>
    </row>
    <row r="2374" spans="7:8" x14ac:dyDescent="0.25">
      <c r="G2374" s="29">
        <v>0</v>
      </c>
      <c r="H2374" s="9">
        <v>21</v>
      </c>
    </row>
    <row r="2375" spans="7:8" x14ac:dyDescent="0.25">
      <c r="G2375" s="29">
        <v>0</v>
      </c>
      <c r="H2375" s="9">
        <v>21</v>
      </c>
    </row>
    <row r="2376" spans="7:8" x14ac:dyDescent="0.25">
      <c r="G2376" s="29">
        <v>0</v>
      </c>
      <c r="H2376" s="9">
        <v>21</v>
      </c>
    </row>
    <row r="2377" spans="7:8" x14ac:dyDescent="0.25">
      <c r="G2377" s="29">
        <v>0</v>
      </c>
      <c r="H2377" s="9">
        <v>21</v>
      </c>
    </row>
    <row r="2378" spans="7:8" x14ac:dyDescent="0.25">
      <c r="G2378" s="29">
        <v>0</v>
      </c>
      <c r="H2378" s="9">
        <v>21</v>
      </c>
    </row>
    <row r="2379" spans="7:8" x14ac:dyDescent="0.25">
      <c r="G2379" s="29">
        <v>0</v>
      </c>
      <c r="H2379" s="9">
        <v>21</v>
      </c>
    </row>
    <row r="2380" spans="7:8" x14ac:dyDescent="0.25">
      <c r="G2380" s="29">
        <v>0</v>
      </c>
      <c r="H2380" s="9">
        <v>21</v>
      </c>
    </row>
    <row r="2381" spans="7:8" x14ac:dyDescent="0.25">
      <c r="G2381" s="29">
        <v>0</v>
      </c>
      <c r="H2381" s="9">
        <v>21</v>
      </c>
    </row>
    <row r="2382" spans="7:8" x14ac:dyDescent="0.25">
      <c r="G2382" s="29">
        <v>0</v>
      </c>
      <c r="H2382" s="9">
        <v>21</v>
      </c>
    </row>
    <row r="2383" spans="7:8" x14ac:dyDescent="0.25">
      <c r="G2383" s="29">
        <v>0</v>
      </c>
      <c r="H2383" s="9">
        <v>21</v>
      </c>
    </row>
    <row r="2384" spans="7:8" x14ac:dyDescent="0.25">
      <c r="G2384" s="29">
        <v>0</v>
      </c>
      <c r="H2384" s="9">
        <v>21</v>
      </c>
    </row>
    <row r="2385" spans="7:8" x14ac:dyDescent="0.25">
      <c r="G2385" s="29">
        <v>0</v>
      </c>
      <c r="H2385" s="9">
        <v>21</v>
      </c>
    </row>
    <row r="2386" spans="7:8" x14ac:dyDescent="0.25">
      <c r="G2386" s="29">
        <v>0</v>
      </c>
      <c r="H2386" s="9">
        <v>21</v>
      </c>
    </row>
    <row r="2387" spans="7:8" x14ac:dyDescent="0.25">
      <c r="G2387" s="29">
        <v>0</v>
      </c>
      <c r="H2387" s="9">
        <v>21</v>
      </c>
    </row>
    <row r="2388" spans="7:8" x14ac:dyDescent="0.25">
      <c r="G2388" s="29">
        <v>0</v>
      </c>
      <c r="H2388" s="9">
        <v>21</v>
      </c>
    </row>
    <row r="2389" spans="7:8" x14ac:dyDescent="0.25">
      <c r="G2389" s="29">
        <v>0</v>
      </c>
      <c r="H2389" s="9">
        <v>21</v>
      </c>
    </row>
    <row r="2390" spans="7:8" x14ac:dyDescent="0.25">
      <c r="G2390" s="29">
        <v>0</v>
      </c>
      <c r="H2390" s="9">
        <v>21</v>
      </c>
    </row>
    <row r="2391" spans="7:8" x14ac:dyDescent="0.25">
      <c r="G2391" s="29">
        <v>0</v>
      </c>
      <c r="H2391" s="9">
        <v>21</v>
      </c>
    </row>
    <row r="2392" spans="7:8" x14ac:dyDescent="0.25">
      <c r="G2392" s="29">
        <v>0</v>
      </c>
      <c r="H2392" s="9">
        <v>21</v>
      </c>
    </row>
    <row r="2393" spans="7:8" x14ac:dyDescent="0.25">
      <c r="G2393" s="29">
        <v>0</v>
      </c>
      <c r="H2393" s="9">
        <v>21</v>
      </c>
    </row>
    <row r="2394" spans="7:8" x14ac:dyDescent="0.25">
      <c r="G2394" s="29">
        <v>0</v>
      </c>
      <c r="H2394" s="9">
        <v>21</v>
      </c>
    </row>
    <row r="2395" spans="7:8" x14ac:dyDescent="0.25">
      <c r="G2395" s="29">
        <v>0</v>
      </c>
      <c r="H2395" s="9">
        <v>21</v>
      </c>
    </row>
    <row r="2396" spans="7:8" x14ac:dyDescent="0.25">
      <c r="G2396" s="29">
        <v>0</v>
      </c>
      <c r="H2396" s="9">
        <v>21</v>
      </c>
    </row>
    <row r="2397" spans="7:8" x14ac:dyDescent="0.25">
      <c r="G2397" s="29">
        <v>0</v>
      </c>
      <c r="H2397" s="9">
        <v>21</v>
      </c>
    </row>
    <row r="2398" spans="7:8" x14ac:dyDescent="0.25">
      <c r="G2398" s="29">
        <v>0</v>
      </c>
      <c r="H2398" s="9">
        <v>21</v>
      </c>
    </row>
    <row r="2399" spans="7:8" x14ac:dyDescent="0.25">
      <c r="G2399" s="29">
        <v>0</v>
      </c>
      <c r="H2399" s="9">
        <v>21</v>
      </c>
    </row>
    <row r="2400" spans="7:8" x14ac:dyDescent="0.25">
      <c r="G2400" s="29">
        <v>0</v>
      </c>
      <c r="H2400" s="9">
        <v>21</v>
      </c>
    </row>
    <row r="2401" spans="7:8" x14ac:dyDescent="0.25">
      <c r="G2401" s="29">
        <v>0</v>
      </c>
      <c r="H2401" s="9">
        <v>21</v>
      </c>
    </row>
    <row r="2402" spans="7:8" x14ac:dyDescent="0.25">
      <c r="G2402" s="29">
        <v>0</v>
      </c>
      <c r="H2402" s="9">
        <v>21</v>
      </c>
    </row>
    <row r="2403" spans="7:8" x14ac:dyDescent="0.25">
      <c r="G2403" s="29">
        <v>0</v>
      </c>
      <c r="H2403" s="9">
        <v>21</v>
      </c>
    </row>
    <row r="2404" spans="7:8" x14ac:dyDescent="0.25">
      <c r="G2404" s="29">
        <v>0</v>
      </c>
      <c r="H2404" s="9">
        <v>21</v>
      </c>
    </row>
    <row r="2405" spans="7:8" x14ac:dyDescent="0.25">
      <c r="G2405" s="29">
        <v>0</v>
      </c>
      <c r="H2405" s="9">
        <v>21</v>
      </c>
    </row>
    <row r="2406" spans="7:8" x14ac:dyDescent="0.25">
      <c r="G2406" s="29">
        <v>0</v>
      </c>
      <c r="H2406" s="9">
        <v>21</v>
      </c>
    </row>
    <row r="2407" spans="7:8" x14ac:dyDescent="0.25">
      <c r="G2407" s="29">
        <v>0</v>
      </c>
      <c r="H2407" s="9">
        <v>21</v>
      </c>
    </row>
    <row r="2408" spans="7:8" x14ac:dyDescent="0.25">
      <c r="G2408" s="29">
        <v>0</v>
      </c>
      <c r="H2408" s="9">
        <v>21</v>
      </c>
    </row>
    <row r="2409" spans="7:8" x14ac:dyDescent="0.25">
      <c r="G2409" s="29">
        <v>0</v>
      </c>
      <c r="H2409" s="9">
        <v>21</v>
      </c>
    </row>
    <row r="2410" spans="7:8" x14ac:dyDescent="0.25">
      <c r="G2410" s="29">
        <v>0</v>
      </c>
      <c r="H2410" s="9">
        <v>21</v>
      </c>
    </row>
    <row r="2411" spans="7:8" x14ac:dyDescent="0.25">
      <c r="G2411" s="29">
        <v>0</v>
      </c>
      <c r="H2411" s="9">
        <v>21</v>
      </c>
    </row>
    <row r="2412" spans="7:8" x14ac:dyDescent="0.25">
      <c r="G2412" s="29">
        <v>0</v>
      </c>
      <c r="H2412" s="9">
        <v>21</v>
      </c>
    </row>
    <row r="2413" spans="7:8" x14ac:dyDescent="0.25">
      <c r="G2413" s="29">
        <v>0</v>
      </c>
      <c r="H2413" s="9">
        <v>21</v>
      </c>
    </row>
    <row r="2414" spans="7:8" x14ac:dyDescent="0.25">
      <c r="G2414" s="29">
        <v>0</v>
      </c>
      <c r="H2414" s="9">
        <v>21</v>
      </c>
    </row>
    <row r="2415" spans="7:8" x14ac:dyDescent="0.25">
      <c r="G2415" s="29">
        <v>0</v>
      </c>
      <c r="H2415" s="9">
        <v>21</v>
      </c>
    </row>
    <row r="2416" spans="7:8" x14ac:dyDescent="0.25">
      <c r="G2416" s="29">
        <v>0</v>
      </c>
      <c r="H2416" s="9">
        <v>21</v>
      </c>
    </row>
    <row r="2417" spans="7:8" x14ac:dyDescent="0.25">
      <c r="G2417" s="29">
        <v>0</v>
      </c>
      <c r="H2417" s="9">
        <v>21</v>
      </c>
    </row>
    <row r="2418" spans="7:8" x14ac:dyDescent="0.25">
      <c r="G2418" s="29">
        <v>0</v>
      </c>
      <c r="H2418" s="9">
        <v>21</v>
      </c>
    </row>
    <row r="2419" spans="7:8" x14ac:dyDescent="0.25">
      <c r="G2419" s="29">
        <v>0</v>
      </c>
      <c r="H2419" s="9">
        <v>21</v>
      </c>
    </row>
    <row r="2420" spans="7:8" x14ac:dyDescent="0.25">
      <c r="G2420" s="29">
        <v>0</v>
      </c>
      <c r="H2420" s="9">
        <v>21</v>
      </c>
    </row>
    <row r="2421" spans="7:8" x14ac:dyDescent="0.25">
      <c r="G2421" s="29">
        <v>0</v>
      </c>
      <c r="H2421" s="9">
        <v>21</v>
      </c>
    </row>
    <row r="2422" spans="7:8" x14ac:dyDescent="0.25">
      <c r="G2422" s="29">
        <v>0</v>
      </c>
      <c r="H2422" s="9">
        <v>21</v>
      </c>
    </row>
    <row r="2423" spans="7:8" x14ac:dyDescent="0.25">
      <c r="G2423" s="29">
        <v>0</v>
      </c>
      <c r="H2423" s="9">
        <v>21</v>
      </c>
    </row>
    <row r="2424" spans="7:8" x14ac:dyDescent="0.25">
      <c r="G2424" s="29">
        <v>0</v>
      </c>
      <c r="H2424" s="9">
        <v>21</v>
      </c>
    </row>
    <row r="2425" spans="7:8" x14ac:dyDescent="0.25">
      <c r="G2425" s="29">
        <v>0</v>
      </c>
      <c r="H2425" s="9">
        <v>21</v>
      </c>
    </row>
    <row r="2426" spans="7:8" x14ac:dyDescent="0.25">
      <c r="G2426" s="29">
        <v>0</v>
      </c>
      <c r="H2426" s="9">
        <v>21</v>
      </c>
    </row>
    <row r="2427" spans="7:8" x14ac:dyDescent="0.25">
      <c r="G2427" s="29">
        <v>0</v>
      </c>
      <c r="H2427" s="9">
        <v>21</v>
      </c>
    </row>
    <row r="2428" spans="7:8" x14ac:dyDescent="0.25">
      <c r="G2428" s="29">
        <v>0</v>
      </c>
      <c r="H2428" s="9">
        <v>21</v>
      </c>
    </row>
    <row r="2429" spans="7:8" x14ac:dyDescent="0.25">
      <c r="G2429" s="29">
        <v>0</v>
      </c>
      <c r="H2429" s="9">
        <v>21</v>
      </c>
    </row>
    <row r="2430" spans="7:8" x14ac:dyDescent="0.25">
      <c r="G2430" s="29">
        <v>0</v>
      </c>
      <c r="H2430" s="9">
        <v>21</v>
      </c>
    </row>
    <row r="2431" spans="7:8" x14ac:dyDescent="0.25">
      <c r="G2431" s="29">
        <v>0</v>
      </c>
      <c r="H2431" s="9">
        <v>21</v>
      </c>
    </row>
    <row r="2432" spans="7:8" x14ac:dyDescent="0.25">
      <c r="G2432" s="29">
        <v>0</v>
      </c>
      <c r="H2432" s="9">
        <v>21</v>
      </c>
    </row>
    <row r="2433" spans="7:8" x14ac:dyDescent="0.25">
      <c r="G2433" s="29">
        <v>0</v>
      </c>
      <c r="H2433" s="9">
        <v>21</v>
      </c>
    </row>
    <row r="2434" spans="7:8" x14ac:dyDescent="0.25">
      <c r="G2434" s="29">
        <v>0</v>
      </c>
      <c r="H2434" s="9">
        <v>21</v>
      </c>
    </row>
    <row r="2435" spans="7:8" x14ac:dyDescent="0.25">
      <c r="G2435" s="29">
        <v>0</v>
      </c>
      <c r="H2435" s="9">
        <v>21</v>
      </c>
    </row>
    <row r="2436" spans="7:8" x14ac:dyDescent="0.25">
      <c r="G2436" s="29">
        <v>0</v>
      </c>
      <c r="H2436" s="9">
        <v>21</v>
      </c>
    </row>
    <row r="2437" spans="7:8" x14ac:dyDescent="0.25">
      <c r="G2437" s="29">
        <v>0</v>
      </c>
      <c r="H2437" s="9">
        <v>21</v>
      </c>
    </row>
    <row r="2438" spans="7:8" x14ac:dyDescent="0.25">
      <c r="G2438" s="29">
        <v>0</v>
      </c>
      <c r="H2438" s="9">
        <v>21</v>
      </c>
    </row>
    <row r="2439" spans="7:8" x14ac:dyDescent="0.25">
      <c r="G2439" s="29">
        <v>0</v>
      </c>
      <c r="H2439" s="9">
        <v>21</v>
      </c>
    </row>
    <row r="2440" spans="7:8" x14ac:dyDescent="0.25">
      <c r="G2440" s="29">
        <v>0</v>
      </c>
      <c r="H2440" s="9">
        <v>21</v>
      </c>
    </row>
    <row r="2441" spans="7:8" x14ac:dyDescent="0.25">
      <c r="G2441" s="29">
        <v>0</v>
      </c>
      <c r="H2441" s="9">
        <v>21</v>
      </c>
    </row>
    <row r="2442" spans="7:8" x14ac:dyDescent="0.25">
      <c r="G2442" s="29">
        <v>0</v>
      </c>
      <c r="H2442" s="9">
        <v>21</v>
      </c>
    </row>
    <row r="2443" spans="7:8" x14ac:dyDescent="0.25">
      <c r="G2443" s="29">
        <v>0</v>
      </c>
      <c r="H2443" s="9">
        <v>21</v>
      </c>
    </row>
    <row r="2444" spans="7:8" x14ac:dyDescent="0.25">
      <c r="G2444" s="29">
        <v>0</v>
      </c>
      <c r="H2444" s="9">
        <v>21</v>
      </c>
    </row>
    <row r="2445" spans="7:8" x14ac:dyDescent="0.25">
      <c r="G2445" s="29">
        <v>0</v>
      </c>
      <c r="H2445" s="9">
        <v>21</v>
      </c>
    </row>
    <row r="2446" spans="7:8" x14ac:dyDescent="0.25">
      <c r="G2446" s="29">
        <v>0</v>
      </c>
      <c r="H2446" s="9">
        <v>21</v>
      </c>
    </row>
    <row r="2447" spans="7:8" x14ac:dyDescent="0.25">
      <c r="G2447" s="29">
        <v>0</v>
      </c>
      <c r="H2447" s="9">
        <v>21</v>
      </c>
    </row>
    <row r="2448" spans="7:8" x14ac:dyDescent="0.25">
      <c r="G2448" s="29">
        <v>0</v>
      </c>
      <c r="H2448" s="9">
        <v>21</v>
      </c>
    </row>
    <row r="2449" spans="7:8" x14ac:dyDescent="0.25">
      <c r="G2449" s="29">
        <v>0</v>
      </c>
      <c r="H2449" s="9">
        <v>21</v>
      </c>
    </row>
    <row r="2450" spans="7:8" x14ac:dyDescent="0.25">
      <c r="G2450" s="29">
        <v>0</v>
      </c>
      <c r="H2450" s="9">
        <v>21</v>
      </c>
    </row>
    <row r="2451" spans="7:8" x14ac:dyDescent="0.25">
      <c r="G2451" s="29">
        <v>0</v>
      </c>
      <c r="H2451" s="9">
        <v>21</v>
      </c>
    </row>
    <row r="2452" spans="7:8" x14ac:dyDescent="0.25">
      <c r="G2452" s="29">
        <v>0</v>
      </c>
      <c r="H2452" s="9">
        <v>21</v>
      </c>
    </row>
    <row r="2453" spans="7:8" x14ac:dyDescent="0.25">
      <c r="G2453" s="29">
        <v>0</v>
      </c>
      <c r="H2453" s="9">
        <v>21</v>
      </c>
    </row>
    <row r="2454" spans="7:8" x14ac:dyDescent="0.25">
      <c r="G2454" s="29">
        <v>0</v>
      </c>
      <c r="H2454" s="9">
        <v>21</v>
      </c>
    </row>
    <row r="2455" spans="7:8" x14ac:dyDescent="0.25">
      <c r="G2455" s="29">
        <v>0</v>
      </c>
      <c r="H2455" s="9">
        <v>21</v>
      </c>
    </row>
    <row r="2456" spans="7:8" x14ac:dyDescent="0.25">
      <c r="G2456" s="29">
        <v>0</v>
      </c>
      <c r="H2456" s="9">
        <v>21</v>
      </c>
    </row>
    <row r="2457" spans="7:8" x14ac:dyDescent="0.25">
      <c r="G2457" s="29">
        <v>0</v>
      </c>
      <c r="H2457" s="9">
        <v>21</v>
      </c>
    </row>
    <row r="2458" spans="7:8" x14ac:dyDescent="0.25">
      <c r="G2458" s="29">
        <v>0</v>
      </c>
      <c r="H2458" s="9">
        <v>21</v>
      </c>
    </row>
    <row r="2459" spans="7:8" x14ac:dyDescent="0.25">
      <c r="G2459" s="29">
        <v>0</v>
      </c>
      <c r="H2459" s="9">
        <v>21</v>
      </c>
    </row>
    <row r="2460" spans="7:8" x14ac:dyDescent="0.25">
      <c r="G2460" s="29">
        <v>0</v>
      </c>
      <c r="H2460" s="9">
        <v>21</v>
      </c>
    </row>
    <row r="2461" spans="7:8" x14ac:dyDescent="0.25">
      <c r="G2461" s="29">
        <v>0</v>
      </c>
      <c r="H2461" s="9">
        <v>21</v>
      </c>
    </row>
    <row r="2462" spans="7:8" x14ac:dyDescent="0.25">
      <c r="G2462" s="29">
        <v>0</v>
      </c>
      <c r="H2462" s="9">
        <v>21</v>
      </c>
    </row>
    <row r="2463" spans="7:8" x14ac:dyDescent="0.25">
      <c r="G2463" s="29">
        <v>0</v>
      </c>
      <c r="H2463" s="9">
        <v>21</v>
      </c>
    </row>
    <row r="2464" spans="7:8" x14ac:dyDescent="0.25">
      <c r="G2464" s="29">
        <v>0</v>
      </c>
      <c r="H2464" s="9">
        <v>21</v>
      </c>
    </row>
    <row r="2465" spans="7:8" x14ac:dyDescent="0.25">
      <c r="G2465" s="29">
        <v>0</v>
      </c>
      <c r="H2465" s="9">
        <v>21</v>
      </c>
    </row>
    <row r="2466" spans="7:8" x14ac:dyDescent="0.25">
      <c r="G2466" s="29">
        <v>0</v>
      </c>
      <c r="H2466" s="9">
        <v>21</v>
      </c>
    </row>
    <row r="2467" spans="7:8" x14ac:dyDescent="0.25">
      <c r="G2467" s="29">
        <v>0</v>
      </c>
      <c r="H2467" s="9">
        <v>21</v>
      </c>
    </row>
    <row r="2468" spans="7:8" x14ac:dyDescent="0.25">
      <c r="G2468" s="29">
        <v>0</v>
      </c>
      <c r="H2468" s="9">
        <v>21</v>
      </c>
    </row>
    <row r="2469" spans="7:8" x14ac:dyDescent="0.25">
      <c r="G2469" s="29">
        <v>0</v>
      </c>
      <c r="H2469" s="9">
        <v>21</v>
      </c>
    </row>
    <row r="2470" spans="7:8" x14ac:dyDescent="0.25">
      <c r="G2470" s="29">
        <v>0</v>
      </c>
      <c r="H2470" s="9">
        <v>21</v>
      </c>
    </row>
    <row r="2471" spans="7:8" x14ac:dyDescent="0.25">
      <c r="G2471" s="29">
        <v>0</v>
      </c>
      <c r="H2471" s="9">
        <v>21</v>
      </c>
    </row>
    <row r="2472" spans="7:8" x14ac:dyDescent="0.25">
      <c r="G2472" s="29">
        <v>0</v>
      </c>
      <c r="H2472" s="9">
        <v>21</v>
      </c>
    </row>
    <row r="2473" spans="7:8" x14ac:dyDescent="0.25">
      <c r="G2473" s="29">
        <v>0</v>
      </c>
      <c r="H2473" s="9">
        <v>21</v>
      </c>
    </row>
    <row r="2474" spans="7:8" x14ac:dyDescent="0.25">
      <c r="G2474" s="29">
        <v>0</v>
      </c>
      <c r="H2474" s="9">
        <v>21</v>
      </c>
    </row>
    <row r="2475" spans="7:8" x14ac:dyDescent="0.25">
      <c r="G2475" s="29">
        <v>0</v>
      </c>
      <c r="H2475" s="9">
        <v>21</v>
      </c>
    </row>
    <row r="2476" spans="7:8" x14ac:dyDescent="0.25">
      <c r="G2476" s="29">
        <v>0</v>
      </c>
      <c r="H2476" s="9">
        <v>21</v>
      </c>
    </row>
    <row r="2477" spans="7:8" x14ac:dyDescent="0.25">
      <c r="G2477" s="29">
        <v>0</v>
      </c>
      <c r="H2477" s="9">
        <v>21</v>
      </c>
    </row>
    <row r="2478" spans="7:8" x14ac:dyDescent="0.25">
      <c r="G2478" s="29">
        <v>0</v>
      </c>
      <c r="H2478" s="9">
        <v>21</v>
      </c>
    </row>
    <row r="2479" spans="7:8" x14ac:dyDescent="0.25">
      <c r="G2479" s="29">
        <v>0</v>
      </c>
      <c r="H2479" s="9">
        <v>21</v>
      </c>
    </row>
    <row r="2480" spans="7:8" x14ac:dyDescent="0.25">
      <c r="G2480" s="29">
        <v>0</v>
      </c>
      <c r="H2480" s="9">
        <v>21</v>
      </c>
    </row>
    <row r="2481" spans="7:8" x14ac:dyDescent="0.25">
      <c r="G2481" s="29">
        <v>0</v>
      </c>
      <c r="H2481" s="9">
        <v>21</v>
      </c>
    </row>
    <row r="2482" spans="7:8" x14ac:dyDescent="0.25">
      <c r="G2482" s="29">
        <v>0</v>
      </c>
      <c r="H2482" s="9">
        <v>21</v>
      </c>
    </row>
    <row r="2483" spans="7:8" x14ac:dyDescent="0.25">
      <c r="G2483" s="29">
        <v>0</v>
      </c>
      <c r="H2483" s="9">
        <v>21</v>
      </c>
    </row>
    <row r="2484" spans="7:8" x14ac:dyDescent="0.25">
      <c r="G2484" s="29">
        <v>0</v>
      </c>
      <c r="H2484" s="9">
        <v>21</v>
      </c>
    </row>
    <row r="2485" spans="7:8" x14ac:dyDescent="0.25">
      <c r="G2485" s="29">
        <v>0</v>
      </c>
      <c r="H2485" s="9">
        <v>21</v>
      </c>
    </row>
    <row r="2486" spans="7:8" x14ac:dyDescent="0.25">
      <c r="G2486" s="29">
        <v>0</v>
      </c>
      <c r="H2486" s="9">
        <v>21</v>
      </c>
    </row>
    <row r="2487" spans="7:8" x14ac:dyDescent="0.25">
      <c r="G2487" s="29">
        <v>0</v>
      </c>
      <c r="H2487" s="9">
        <v>21</v>
      </c>
    </row>
    <row r="2488" spans="7:8" x14ac:dyDescent="0.25">
      <c r="G2488" s="29">
        <v>0</v>
      </c>
      <c r="H2488" s="9">
        <v>21</v>
      </c>
    </row>
    <row r="2489" spans="7:8" x14ac:dyDescent="0.25">
      <c r="G2489" s="29">
        <v>0</v>
      </c>
      <c r="H2489" s="9">
        <v>21</v>
      </c>
    </row>
    <row r="2490" spans="7:8" x14ac:dyDescent="0.25">
      <c r="G2490" s="29">
        <v>0</v>
      </c>
      <c r="H2490" s="9">
        <v>21</v>
      </c>
    </row>
    <row r="2491" spans="7:8" x14ac:dyDescent="0.25">
      <c r="G2491" s="29">
        <v>0</v>
      </c>
      <c r="H2491" s="9">
        <v>21</v>
      </c>
    </row>
    <row r="2492" spans="7:8" x14ac:dyDescent="0.25">
      <c r="G2492" s="29">
        <v>0</v>
      </c>
      <c r="H2492" s="9">
        <v>21</v>
      </c>
    </row>
    <row r="2493" spans="7:8" x14ac:dyDescent="0.25">
      <c r="G2493" s="29">
        <v>0</v>
      </c>
      <c r="H2493" s="9">
        <v>21</v>
      </c>
    </row>
    <row r="2494" spans="7:8" x14ac:dyDescent="0.25">
      <c r="G2494" s="29">
        <v>0</v>
      </c>
      <c r="H2494" s="9">
        <v>21</v>
      </c>
    </row>
    <row r="2495" spans="7:8" x14ac:dyDescent="0.25">
      <c r="G2495" s="29">
        <v>0</v>
      </c>
      <c r="H2495" s="9">
        <v>21</v>
      </c>
    </row>
    <row r="2496" spans="7:8" x14ac:dyDescent="0.25">
      <c r="G2496" s="29">
        <v>0</v>
      </c>
      <c r="H2496" s="9">
        <v>21</v>
      </c>
    </row>
    <row r="2497" spans="7:8" x14ac:dyDescent="0.25">
      <c r="G2497" s="29">
        <v>0</v>
      </c>
      <c r="H2497" s="9">
        <v>21</v>
      </c>
    </row>
    <row r="2498" spans="7:8" x14ac:dyDescent="0.25">
      <c r="G2498" s="29">
        <v>0</v>
      </c>
      <c r="H2498" s="9">
        <v>21</v>
      </c>
    </row>
    <row r="2499" spans="7:8" x14ac:dyDescent="0.25">
      <c r="G2499" s="29">
        <v>0</v>
      </c>
      <c r="H2499" s="9">
        <v>21</v>
      </c>
    </row>
    <row r="2500" spans="7:8" x14ac:dyDescent="0.25">
      <c r="G2500" s="29">
        <v>0</v>
      </c>
      <c r="H2500" s="9">
        <v>21</v>
      </c>
    </row>
    <row r="2501" spans="7:8" x14ac:dyDescent="0.25">
      <c r="G2501" s="29">
        <v>0</v>
      </c>
      <c r="H2501" s="9">
        <v>21</v>
      </c>
    </row>
    <row r="2502" spans="7:8" x14ac:dyDescent="0.25">
      <c r="G2502" s="29">
        <v>0</v>
      </c>
      <c r="H2502" s="9">
        <v>21</v>
      </c>
    </row>
    <row r="2503" spans="7:8" x14ac:dyDescent="0.25">
      <c r="G2503" s="29">
        <v>0</v>
      </c>
      <c r="H2503" s="9">
        <v>21</v>
      </c>
    </row>
    <row r="2504" spans="7:8" x14ac:dyDescent="0.25">
      <c r="G2504" s="29">
        <v>0</v>
      </c>
      <c r="H2504" s="9">
        <v>21</v>
      </c>
    </row>
    <row r="2505" spans="7:8" x14ac:dyDescent="0.25">
      <c r="G2505" s="29">
        <v>0</v>
      </c>
      <c r="H2505" s="9">
        <v>21</v>
      </c>
    </row>
    <row r="2506" spans="7:8" x14ac:dyDescent="0.25">
      <c r="G2506" s="29">
        <v>0</v>
      </c>
      <c r="H2506" s="9">
        <v>21</v>
      </c>
    </row>
    <row r="2507" spans="7:8" x14ac:dyDescent="0.25">
      <c r="G2507" s="29">
        <v>0</v>
      </c>
      <c r="H2507" s="9">
        <v>21</v>
      </c>
    </row>
    <row r="2508" spans="7:8" x14ac:dyDescent="0.25">
      <c r="G2508" s="29">
        <v>0</v>
      </c>
      <c r="H2508" s="9">
        <v>21</v>
      </c>
    </row>
    <row r="2509" spans="7:8" x14ac:dyDescent="0.25">
      <c r="G2509" s="29">
        <v>0</v>
      </c>
      <c r="H2509" s="9">
        <v>21</v>
      </c>
    </row>
    <row r="2510" spans="7:8" x14ac:dyDescent="0.25">
      <c r="G2510" s="29">
        <v>0</v>
      </c>
      <c r="H2510" s="9">
        <v>21</v>
      </c>
    </row>
    <row r="2511" spans="7:8" x14ac:dyDescent="0.25">
      <c r="G2511" s="29">
        <v>0</v>
      </c>
      <c r="H2511" s="9">
        <v>21</v>
      </c>
    </row>
    <row r="2512" spans="7:8" x14ac:dyDescent="0.25">
      <c r="G2512" s="29">
        <v>0</v>
      </c>
      <c r="H2512" s="9">
        <v>21</v>
      </c>
    </row>
    <row r="2513" spans="7:8" x14ac:dyDescent="0.25">
      <c r="G2513" s="29">
        <v>0</v>
      </c>
      <c r="H2513" s="9">
        <v>21</v>
      </c>
    </row>
    <row r="2514" spans="7:8" x14ac:dyDescent="0.25">
      <c r="G2514" s="29">
        <v>0</v>
      </c>
      <c r="H2514" s="9">
        <v>21</v>
      </c>
    </row>
    <row r="2515" spans="7:8" x14ac:dyDescent="0.25">
      <c r="G2515" s="29">
        <v>0</v>
      </c>
      <c r="H2515" s="9">
        <v>21</v>
      </c>
    </row>
    <row r="2516" spans="7:8" x14ac:dyDescent="0.25">
      <c r="G2516" s="29">
        <v>0</v>
      </c>
      <c r="H2516" s="9">
        <v>21</v>
      </c>
    </row>
    <row r="2517" spans="7:8" x14ac:dyDescent="0.25">
      <c r="G2517" s="29">
        <v>0</v>
      </c>
      <c r="H2517" s="9">
        <v>21</v>
      </c>
    </row>
    <row r="2518" spans="7:8" x14ac:dyDescent="0.25">
      <c r="G2518" s="29">
        <v>0</v>
      </c>
      <c r="H2518" s="9">
        <v>21</v>
      </c>
    </row>
    <row r="2519" spans="7:8" x14ac:dyDescent="0.25">
      <c r="G2519" s="29">
        <v>0</v>
      </c>
      <c r="H2519" s="9">
        <v>21</v>
      </c>
    </row>
    <row r="2520" spans="7:8" x14ac:dyDescent="0.25">
      <c r="G2520" s="29">
        <v>0</v>
      </c>
      <c r="H2520" s="9">
        <v>21</v>
      </c>
    </row>
    <row r="2521" spans="7:8" x14ac:dyDescent="0.25">
      <c r="G2521" s="29">
        <v>0</v>
      </c>
      <c r="H2521" s="9">
        <v>21</v>
      </c>
    </row>
    <row r="2522" spans="7:8" x14ac:dyDescent="0.25">
      <c r="G2522" s="29">
        <v>0</v>
      </c>
      <c r="H2522" s="9">
        <v>21</v>
      </c>
    </row>
    <row r="2523" spans="7:8" x14ac:dyDescent="0.25">
      <c r="G2523" s="29">
        <v>0</v>
      </c>
      <c r="H2523" s="9">
        <v>21</v>
      </c>
    </row>
    <row r="2524" spans="7:8" x14ac:dyDescent="0.25">
      <c r="G2524" s="29">
        <v>0</v>
      </c>
      <c r="H2524" s="9">
        <v>21</v>
      </c>
    </row>
    <row r="2525" spans="7:8" x14ac:dyDescent="0.25">
      <c r="G2525" s="29">
        <v>0</v>
      </c>
      <c r="H2525" s="9">
        <v>21</v>
      </c>
    </row>
    <row r="2526" spans="7:8" x14ac:dyDescent="0.25">
      <c r="G2526" s="29">
        <v>0</v>
      </c>
      <c r="H2526" s="9">
        <v>21</v>
      </c>
    </row>
    <row r="2527" spans="7:8" x14ac:dyDescent="0.25">
      <c r="G2527" s="29">
        <v>0</v>
      </c>
      <c r="H2527" s="9">
        <v>21</v>
      </c>
    </row>
    <row r="2528" spans="7:8" x14ac:dyDescent="0.25">
      <c r="G2528" s="29">
        <v>0</v>
      </c>
      <c r="H2528" s="9">
        <v>21</v>
      </c>
    </row>
    <row r="2529" spans="7:8" x14ac:dyDescent="0.25">
      <c r="G2529" s="29">
        <v>0</v>
      </c>
      <c r="H2529" s="9">
        <v>21</v>
      </c>
    </row>
    <row r="2530" spans="7:8" x14ac:dyDescent="0.25">
      <c r="G2530" s="29">
        <v>0</v>
      </c>
      <c r="H2530" s="9">
        <v>21</v>
      </c>
    </row>
    <row r="2531" spans="7:8" x14ac:dyDescent="0.25">
      <c r="G2531" s="29">
        <v>0</v>
      </c>
      <c r="H2531" s="9">
        <v>21</v>
      </c>
    </row>
    <row r="2532" spans="7:8" x14ac:dyDescent="0.25">
      <c r="G2532" s="29">
        <v>0</v>
      </c>
      <c r="H2532" s="9">
        <v>21</v>
      </c>
    </row>
    <row r="2533" spans="7:8" x14ac:dyDescent="0.25">
      <c r="G2533" s="29">
        <v>0</v>
      </c>
      <c r="H2533" s="9">
        <v>21</v>
      </c>
    </row>
    <row r="2534" spans="7:8" x14ac:dyDescent="0.25">
      <c r="G2534" s="29">
        <v>0</v>
      </c>
      <c r="H2534" s="9">
        <v>21</v>
      </c>
    </row>
    <row r="2535" spans="7:8" x14ac:dyDescent="0.25">
      <c r="G2535" s="29">
        <v>0</v>
      </c>
      <c r="H2535" s="9">
        <v>21</v>
      </c>
    </row>
    <row r="2536" spans="7:8" x14ac:dyDescent="0.25">
      <c r="G2536" s="29">
        <v>0</v>
      </c>
      <c r="H2536" s="9">
        <v>21</v>
      </c>
    </row>
    <row r="2537" spans="7:8" x14ac:dyDescent="0.25">
      <c r="G2537" s="29">
        <v>0</v>
      </c>
      <c r="H2537" s="9">
        <v>21</v>
      </c>
    </row>
    <row r="2538" spans="7:8" x14ac:dyDescent="0.25">
      <c r="G2538" s="29">
        <v>0</v>
      </c>
      <c r="H2538" s="9">
        <v>21</v>
      </c>
    </row>
    <row r="2539" spans="7:8" x14ac:dyDescent="0.25">
      <c r="G2539" s="29">
        <v>0</v>
      </c>
      <c r="H2539" s="9">
        <v>21</v>
      </c>
    </row>
    <row r="2540" spans="7:8" x14ac:dyDescent="0.25">
      <c r="G2540" s="29">
        <v>0</v>
      </c>
      <c r="H2540" s="9">
        <v>21</v>
      </c>
    </row>
    <row r="2541" spans="7:8" x14ac:dyDescent="0.25">
      <c r="G2541" s="29">
        <v>0</v>
      </c>
      <c r="H2541" s="9">
        <v>21</v>
      </c>
    </row>
    <row r="2542" spans="7:8" x14ac:dyDescent="0.25">
      <c r="G2542" s="29">
        <v>0</v>
      </c>
      <c r="H2542" s="9">
        <v>21</v>
      </c>
    </row>
    <row r="2543" spans="7:8" x14ac:dyDescent="0.25">
      <c r="G2543" s="29">
        <v>0</v>
      </c>
      <c r="H2543" s="9">
        <v>21</v>
      </c>
    </row>
    <row r="2544" spans="7:8" x14ac:dyDescent="0.25">
      <c r="G2544" s="29">
        <v>0</v>
      </c>
      <c r="H2544" s="9">
        <v>21</v>
      </c>
    </row>
    <row r="2545" spans="7:8" x14ac:dyDescent="0.25">
      <c r="G2545" s="29">
        <v>0</v>
      </c>
      <c r="H2545" s="9">
        <v>21</v>
      </c>
    </row>
    <row r="2546" spans="7:8" x14ac:dyDescent="0.25">
      <c r="G2546" s="29">
        <v>0</v>
      </c>
      <c r="H2546" s="9">
        <v>21</v>
      </c>
    </row>
    <row r="2547" spans="7:8" x14ac:dyDescent="0.25">
      <c r="G2547" s="29">
        <v>0</v>
      </c>
      <c r="H2547" s="9">
        <v>21</v>
      </c>
    </row>
    <row r="2548" spans="7:8" x14ac:dyDescent="0.25">
      <c r="G2548" s="29">
        <v>0</v>
      </c>
      <c r="H2548" s="9">
        <v>21</v>
      </c>
    </row>
    <row r="2549" spans="7:8" x14ac:dyDescent="0.25">
      <c r="G2549" s="29">
        <v>0</v>
      </c>
      <c r="H2549" s="9">
        <v>21</v>
      </c>
    </row>
    <row r="2550" spans="7:8" x14ac:dyDescent="0.25">
      <c r="G2550" s="29">
        <v>0</v>
      </c>
      <c r="H2550" s="9">
        <v>21</v>
      </c>
    </row>
    <row r="2551" spans="7:8" x14ac:dyDescent="0.25">
      <c r="G2551" s="29">
        <v>0</v>
      </c>
      <c r="H2551" s="9">
        <v>21</v>
      </c>
    </row>
    <row r="2552" spans="7:8" x14ac:dyDescent="0.25">
      <c r="G2552" s="29">
        <v>0</v>
      </c>
      <c r="H2552" s="9">
        <v>21</v>
      </c>
    </row>
    <row r="2553" spans="7:8" x14ac:dyDescent="0.25">
      <c r="G2553" s="29">
        <v>0</v>
      </c>
      <c r="H2553" s="9">
        <v>21</v>
      </c>
    </row>
    <row r="2554" spans="7:8" x14ac:dyDescent="0.25">
      <c r="G2554" s="29">
        <v>0</v>
      </c>
      <c r="H2554" s="9">
        <v>21</v>
      </c>
    </row>
    <row r="2555" spans="7:8" x14ac:dyDescent="0.25">
      <c r="G2555" s="29">
        <v>0</v>
      </c>
      <c r="H2555" s="9">
        <v>21</v>
      </c>
    </row>
    <row r="2556" spans="7:8" x14ac:dyDescent="0.25">
      <c r="G2556" s="29">
        <v>0</v>
      </c>
      <c r="H2556" s="9">
        <v>21</v>
      </c>
    </row>
    <row r="2557" spans="7:8" x14ac:dyDescent="0.25">
      <c r="G2557" s="29">
        <v>0</v>
      </c>
      <c r="H2557" s="9">
        <v>21</v>
      </c>
    </row>
    <row r="2558" spans="7:8" x14ac:dyDescent="0.25">
      <c r="G2558" s="29">
        <v>0</v>
      </c>
      <c r="H2558" s="9">
        <v>21</v>
      </c>
    </row>
    <row r="2559" spans="7:8" x14ac:dyDescent="0.25">
      <c r="G2559" s="29">
        <v>0</v>
      </c>
      <c r="H2559" s="9">
        <v>21</v>
      </c>
    </row>
    <row r="2560" spans="7:8" x14ac:dyDescent="0.25">
      <c r="G2560" s="29">
        <v>0</v>
      </c>
      <c r="H2560" s="9">
        <v>21</v>
      </c>
    </row>
    <row r="2561" spans="7:8" x14ac:dyDescent="0.25">
      <c r="G2561" s="29">
        <v>0</v>
      </c>
      <c r="H2561" s="9">
        <v>21</v>
      </c>
    </row>
    <row r="2562" spans="7:8" x14ac:dyDescent="0.25">
      <c r="G2562" s="29">
        <v>0</v>
      </c>
      <c r="H2562" s="9">
        <v>21</v>
      </c>
    </row>
    <row r="2563" spans="7:8" x14ac:dyDescent="0.25">
      <c r="G2563" s="29">
        <v>0</v>
      </c>
      <c r="H2563" s="9">
        <v>21</v>
      </c>
    </row>
    <row r="2564" spans="7:8" x14ac:dyDescent="0.25">
      <c r="G2564" s="29">
        <v>0</v>
      </c>
      <c r="H2564" s="9">
        <v>21</v>
      </c>
    </row>
    <row r="2565" spans="7:8" x14ac:dyDescent="0.25">
      <c r="G2565" s="29">
        <v>0</v>
      </c>
      <c r="H2565" s="9">
        <v>21</v>
      </c>
    </row>
    <row r="2566" spans="7:8" x14ac:dyDescent="0.25">
      <c r="G2566" s="29">
        <v>0</v>
      </c>
      <c r="H2566" s="9">
        <v>21</v>
      </c>
    </row>
    <row r="2567" spans="7:8" x14ac:dyDescent="0.25">
      <c r="G2567" s="29">
        <v>0</v>
      </c>
      <c r="H2567" s="9">
        <v>21</v>
      </c>
    </row>
    <row r="2568" spans="7:8" x14ac:dyDescent="0.25">
      <c r="G2568" s="29">
        <v>0</v>
      </c>
      <c r="H2568" s="9">
        <v>21</v>
      </c>
    </row>
    <row r="2569" spans="7:8" x14ac:dyDescent="0.25">
      <c r="G2569" s="29">
        <v>0</v>
      </c>
      <c r="H2569" s="9">
        <v>21</v>
      </c>
    </row>
    <row r="2570" spans="7:8" x14ac:dyDescent="0.25">
      <c r="G2570" s="29">
        <v>0</v>
      </c>
      <c r="H2570" s="9">
        <v>21</v>
      </c>
    </row>
    <row r="2571" spans="7:8" x14ac:dyDescent="0.25">
      <c r="G2571" s="29">
        <v>0</v>
      </c>
      <c r="H2571" s="9">
        <v>21</v>
      </c>
    </row>
    <row r="2572" spans="7:8" x14ac:dyDescent="0.25">
      <c r="G2572" s="29">
        <v>0</v>
      </c>
      <c r="H2572" s="9">
        <v>21</v>
      </c>
    </row>
    <row r="2573" spans="7:8" x14ac:dyDescent="0.25">
      <c r="G2573" s="29">
        <v>0</v>
      </c>
      <c r="H2573" s="9">
        <v>21</v>
      </c>
    </row>
    <row r="2574" spans="7:8" x14ac:dyDescent="0.25">
      <c r="G2574" s="29">
        <v>0</v>
      </c>
      <c r="H2574" s="9">
        <v>21</v>
      </c>
    </row>
    <row r="2575" spans="7:8" x14ac:dyDescent="0.25">
      <c r="G2575" s="29">
        <v>0</v>
      </c>
      <c r="H2575" s="9">
        <v>21</v>
      </c>
    </row>
    <row r="2576" spans="7:8" x14ac:dyDescent="0.25">
      <c r="G2576" s="29">
        <v>0</v>
      </c>
      <c r="H2576" s="9">
        <v>21</v>
      </c>
    </row>
    <row r="2577" spans="7:8" x14ac:dyDescent="0.25">
      <c r="G2577" s="29">
        <v>0</v>
      </c>
      <c r="H2577" s="9">
        <v>21</v>
      </c>
    </row>
    <row r="2578" spans="7:8" x14ac:dyDescent="0.25">
      <c r="G2578" s="29">
        <v>0</v>
      </c>
      <c r="H2578" s="9">
        <v>21</v>
      </c>
    </row>
    <row r="2579" spans="7:8" x14ac:dyDescent="0.25">
      <c r="G2579" s="29">
        <v>0</v>
      </c>
      <c r="H2579" s="9">
        <v>21</v>
      </c>
    </row>
    <row r="2580" spans="7:8" x14ac:dyDescent="0.25">
      <c r="G2580" s="29">
        <v>0</v>
      </c>
      <c r="H2580" s="9">
        <v>21</v>
      </c>
    </row>
    <row r="2581" spans="7:8" x14ac:dyDescent="0.25">
      <c r="G2581" s="29">
        <v>0</v>
      </c>
      <c r="H2581" s="9">
        <v>21</v>
      </c>
    </row>
    <row r="2582" spans="7:8" x14ac:dyDescent="0.25">
      <c r="G2582" s="29">
        <v>0</v>
      </c>
      <c r="H2582" s="9">
        <v>21</v>
      </c>
    </row>
    <row r="2583" spans="7:8" x14ac:dyDescent="0.25">
      <c r="G2583" s="29">
        <v>0</v>
      </c>
      <c r="H2583" s="9">
        <v>21</v>
      </c>
    </row>
    <row r="2584" spans="7:8" x14ac:dyDescent="0.25">
      <c r="G2584" s="29">
        <v>0</v>
      </c>
      <c r="H2584" s="9">
        <v>21</v>
      </c>
    </row>
    <row r="2585" spans="7:8" x14ac:dyDescent="0.25">
      <c r="G2585" s="29">
        <v>0</v>
      </c>
      <c r="H2585" s="9">
        <v>21</v>
      </c>
    </row>
    <row r="2586" spans="7:8" x14ac:dyDescent="0.25">
      <c r="G2586" s="29">
        <v>0</v>
      </c>
      <c r="H2586" s="9">
        <v>21</v>
      </c>
    </row>
    <row r="2587" spans="7:8" x14ac:dyDescent="0.25">
      <c r="G2587" s="29">
        <v>0</v>
      </c>
      <c r="H2587" s="9">
        <v>21</v>
      </c>
    </row>
    <row r="2588" spans="7:8" x14ac:dyDescent="0.25">
      <c r="G2588" s="29">
        <v>0</v>
      </c>
      <c r="H2588" s="9">
        <v>21</v>
      </c>
    </row>
  </sheetData>
  <phoneticPr fontId="17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PROVEEDORES</vt:lpstr>
      <vt:lpstr>CLIENTES</vt:lpstr>
      <vt:lpstr>COMPRAS</vt:lpstr>
      <vt:lpstr>VENTAS</vt:lpstr>
    </vt:vector>
  </TitlesOfParts>
  <Company>MARJINSA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Importación Ventas</dc:title>
  <dc:creator>SUMMAR Tecnología y Gestión, S.A.</dc:creator>
  <cp:lastModifiedBy>Alejandra Nieves</cp:lastModifiedBy>
  <cp:lastPrinted>2025-01-21T08:34:05Z</cp:lastPrinted>
  <dcterms:created xsi:type="dcterms:W3CDTF">2008-12-29T12:38:41Z</dcterms:created>
  <dcterms:modified xsi:type="dcterms:W3CDTF">2025-01-21T09:39:36Z</dcterms:modified>
</cp:coreProperties>
</file>