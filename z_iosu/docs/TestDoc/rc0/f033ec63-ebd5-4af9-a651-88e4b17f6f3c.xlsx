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CONTAMAR\AÑO 2025\FEBRERO\"/>
    </mc:Choice>
  </mc:AlternateContent>
  <xr:revisionPtr revIDLastSave="0" documentId="13_ncr:1_{462C2F2D-2014-4918-9C0C-891FA91BB2D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sta hist. facturas venta" sheetId="1" r:id="rId1"/>
    <sheet name="ABONOS EMITIDOS 27-0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6" i="2"/>
  <c r="E5" i="2"/>
  <c r="E4" i="2"/>
  <c r="E3" i="2"/>
  <c r="E2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</calcChain>
</file>

<file path=xl/sharedStrings.xml><?xml version="1.0" encoding="utf-8"?>
<sst xmlns="http://schemas.openxmlformats.org/spreadsheetml/2006/main" count="652" uniqueCount="406">
  <si>
    <t>Nº</t>
  </si>
  <si>
    <t>Nombre del cliente</t>
  </si>
  <si>
    <t>Fecha emisión documento</t>
  </si>
  <si>
    <t>Importe</t>
  </si>
  <si>
    <t>Importe IVA incl.</t>
  </si>
  <si>
    <t>FV25/00733</t>
  </si>
  <si>
    <t>PELMA S.R.L.S.</t>
  </si>
  <si>
    <t>FV25/00732</t>
  </si>
  <si>
    <t>BROCHIBETO, SL</t>
  </si>
  <si>
    <t>FV25/00731</t>
  </si>
  <si>
    <t>GAV, S.R.L.</t>
  </si>
  <si>
    <t>FV25/00730</t>
  </si>
  <si>
    <t>PIENSOS Y SERVICIOS AGROPECUARIOS, S.L.</t>
  </si>
  <si>
    <t>FV25/00729</t>
  </si>
  <si>
    <t>MERCOGUADIANA, S.L.</t>
  </si>
  <si>
    <t>FV25/00728</t>
  </si>
  <si>
    <t>FV25/00727</t>
  </si>
  <si>
    <t>VIVERO GREDOS, S.L.</t>
  </si>
  <si>
    <t>FV25/00726</t>
  </si>
  <si>
    <t>FV25/00725</t>
  </si>
  <si>
    <t>FV25/00724</t>
  </si>
  <si>
    <t>ISIDORA HIDALGO  MERA</t>
  </si>
  <si>
    <t>FV25/00723</t>
  </si>
  <si>
    <t>FV25/00722</t>
  </si>
  <si>
    <t>FV25/00721</t>
  </si>
  <si>
    <t>HERMANOS CHURRUCA CASAS S.L</t>
  </si>
  <si>
    <t>FV25/00720</t>
  </si>
  <si>
    <t>FV25/00719</t>
  </si>
  <si>
    <t>PINSOS COSTA BRAVA, C.B.</t>
  </si>
  <si>
    <t>FV25/00718</t>
  </si>
  <si>
    <t>GALIAN COGASA S.L</t>
  </si>
  <si>
    <t>FV25/00717</t>
  </si>
  <si>
    <t>SCHMIDT CHURRUCAS PET FOOD S.L</t>
  </si>
  <si>
    <t>FV25/00716</t>
  </si>
  <si>
    <t>ZOOPARK PET MARKET SRL</t>
  </si>
  <si>
    <t>FV25/00715</t>
  </si>
  <si>
    <t>VC PETFOOD GROUP, S.L</t>
  </si>
  <si>
    <t>FV25/00714</t>
  </si>
  <si>
    <t>FV25/00713</t>
  </si>
  <si>
    <t>FV25/00712</t>
  </si>
  <si>
    <t>BRAULIO PIZARRO S.L</t>
  </si>
  <si>
    <t>FV25/00711</t>
  </si>
  <si>
    <t>FV25/00710</t>
  </si>
  <si>
    <t>FV25/00709</t>
  </si>
  <si>
    <t>FV25/00708</t>
  </si>
  <si>
    <t>PARRAGA SANTAELLA, S.L.</t>
  </si>
  <si>
    <t>FV25/00707</t>
  </si>
  <si>
    <t>FV25/00706</t>
  </si>
  <si>
    <t>BIOENERGIA ECOLOGICA S.L</t>
  </si>
  <si>
    <t>FV25/00705</t>
  </si>
  <si>
    <t>FV25/00704</t>
  </si>
  <si>
    <t>AGRI-FARM, SRL</t>
  </si>
  <si>
    <t>FV25/00703</t>
  </si>
  <si>
    <t>FV25/00702</t>
  </si>
  <si>
    <t>ANIMALGREEN, S.L.</t>
  </si>
  <si>
    <t>FV25/00701</t>
  </si>
  <si>
    <t>ECOMORA, S.A</t>
  </si>
  <si>
    <t>FV25/00700</t>
  </si>
  <si>
    <t>LB EXPORTACIONES SL</t>
  </si>
  <si>
    <t>FV25/00699</t>
  </si>
  <si>
    <t>FV25/00698</t>
  </si>
  <si>
    <t>FV25/00697</t>
  </si>
  <si>
    <t>VALENTIN RAPOSO E HIJOS SL</t>
  </si>
  <si>
    <t>FV25/00696</t>
  </si>
  <si>
    <t>LA DEHESA DE LEMA, S.L.</t>
  </si>
  <si>
    <t>FV25/00695</t>
  </si>
  <si>
    <t>PEDRO GARCIA RUBIA</t>
  </si>
  <si>
    <t>FV25/00694</t>
  </si>
  <si>
    <t>ANA BELEN PEREZ RUIZ</t>
  </si>
  <si>
    <t>FV25/00693</t>
  </si>
  <si>
    <t>WAU PET FOOD, S.L.</t>
  </si>
  <si>
    <t>FV25/00692</t>
  </si>
  <si>
    <t>FV25/00691</t>
  </si>
  <si>
    <t>FV25/00690</t>
  </si>
  <si>
    <t>FV25/00689</t>
  </si>
  <si>
    <t>FV25/00688</t>
  </si>
  <si>
    <t>FV25/00687</t>
  </si>
  <si>
    <t>FV25/00686</t>
  </si>
  <si>
    <t>FV25/00685</t>
  </si>
  <si>
    <t>FV25/00684</t>
  </si>
  <si>
    <t>FV25/00683</t>
  </si>
  <si>
    <t>FV25/00682</t>
  </si>
  <si>
    <t>PIENSOS ROBLEDO S.L.</t>
  </si>
  <si>
    <t>FV25/00681</t>
  </si>
  <si>
    <t>EMILIO CABAS LEON</t>
  </si>
  <si>
    <t>FV25/00680</t>
  </si>
  <si>
    <t>PILESAN C.B</t>
  </si>
  <si>
    <t>FV25/00679</t>
  </si>
  <si>
    <t>FV25/00678</t>
  </si>
  <si>
    <t>FV25/00677</t>
  </si>
  <si>
    <t>ANTONIO GUERRERO E HIJOS, S.L.</t>
  </si>
  <si>
    <t>FV25/00676</t>
  </si>
  <si>
    <t>AGRO-COLMENAR S.C</t>
  </si>
  <si>
    <t>FV25/00675</t>
  </si>
  <si>
    <t>FV25/00674</t>
  </si>
  <si>
    <t>FV25/00673</t>
  </si>
  <si>
    <t>CIMA S.A</t>
  </si>
  <si>
    <t>FV25/00672</t>
  </si>
  <si>
    <t>NUEVO ROLLO IMPRESION, SLU</t>
  </si>
  <si>
    <t>FV25/00671</t>
  </si>
  <si>
    <t>PET DISTRIBUZIONE SRL</t>
  </si>
  <si>
    <t>FV25/00670</t>
  </si>
  <si>
    <t>FV25/00669</t>
  </si>
  <si>
    <t xml:space="preserve">MARKET L.P.F. D'ONOFRIO CEREALI </t>
  </si>
  <si>
    <t>FV25/00668</t>
  </si>
  <si>
    <t>FV25/00667</t>
  </si>
  <si>
    <t>PIENSOS LOBBY S.L</t>
  </si>
  <si>
    <t>FV25/00666</t>
  </si>
  <si>
    <t>SEPAM S.R.L.</t>
  </si>
  <si>
    <t>FV25/00665</t>
  </si>
  <si>
    <t>FV25/00664</t>
  </si>
  <si>
    <t>FV25/00663</t>
  </si>
  <si>
    <t>FV25/00662</t>
  </si>
  <si>
    <t>FV25/00661</t>
  </si>
  <si>
    <t>FV25/00660</t>
  </si>
  <si>
    <t>FV25/00659</t>
  </si>
  <si>
    <t>FV25/00658</t>
  </si>
  <si>
    <t>FV25/00657</t>
  </si>
  <si>
    <t>FV25/00656</t>
  </si>
  <si>
    <t>FV25/00655</t>
  </si>
  <si>
    <t>FV25/00654</t>
  </si>
  <si>
    <t>FV25/00653</t>
  </si>
  <si>
    <t>FV25/00652</t>
  </si>
  <si>
    <t>FV25/00651</t>
  </si>
  <si>
    <t>TOBIS SRLS</t>
  </si>
  <si>
    <t>FV25/00650</t>
  </si>
  <si>
    <t>FV25/00649</t>
  </si>
  <si>
    <t>FV25/00648</t>
  </si>
  <si>
    <t>FV25/00647</t>
  </si>
  <si>
    <t>FV25/00646</t>
  </si>
  <si>
    <t>FV25/00645</t>
  </si>
  <si>
    <t>FV25/00644</t>
  </si>
  <si>
    <t>SUMINISTROS COREN, SAU</t>
  </si>
  <si>
    <t>FV25/00643</t>
  </si>
  <si>
    <t>SDAD. COOP. COM. DE GANADEROS SIERRA DE SAN VICENTE</t>
  </si>
  <si>
    <t>FV25/00642</t>
  </si>
  <si>
    <t>STARPET SRL</t>
  </si>
  <si>
    <t>FV25/00641</t>
  </si>
  <si>
    <t>FV25/00640</t>
  </si>
  <si>
    <t>FV25/00639</t>
  </si>
  <si>
    <t>FV25/00638</t>
  </si>
  <si>
    <t>FV25/00637</t>
  </si>
  <si>
    <t>FV25/00636</t>
  </si>
  <si>
    <t>FV25/00635</t>
  </si>
  <si>
    <t>FV25/00634</t>
  </si>
  <si>
    <t>FV25/00633</t>
  </si>
  <si>
    <t>FV25/00632</t>
  </si>
  <si>
    <t>FV25/00631</t>
  </si>
  <si>
    <t>JOSE OSCAR MIRADO PEÑA</t>
  </si>
  <si>
    <t>FV25/00630</t>
  </si>
  <si>
    <t>FV25/00629</t>
  </si>
  <si>
    <t>FV25/00628</t>
  </si>
  <si>
    <t>FV25/00627</t>
  </si>
  <si>
    <t>FV25/00626</t>
  </si>
  <si>
    <t>FV25/00625</t>
  </si>
  <si>
    <t>FERRAN SABATE SERRES</t>
  </si>
  <si>
    <t>FV25/00624</t>
  </si>
  <si>
    <t>GALLARDO AGUILAR S.L</t>
  </si>
  <si>
    <t>FV25/00623</t>
  </si>
  <si>
    <t>FV25/00622</t>
  </si>
  <si>
    <t>FV25/00621</t>
  </si>
  <si>
    <t>FV25/00620</t>
  </si>
  <si>
    <t>FABRICA DE PIENSOS LUMISAN, S.L.</t>
  </si>
  <si>
    <t>FV25/00619</t>
  </si>
  <si>
    <t>FV25/00618</t>
  </si>
  <si>
    <t>FV25/00617</t>
  </si>
  <si>
    <t>FONTANERIA ARIAS IZQUIERDO, S.L.</t>
  </si>
  <si>
    <t>FV25/00616</t>
  </si>
  <si>
    <t>FV25/00615</t>
  </si>
  <si>
    <t>DECASLA, S.L.</t>
  </si>
  <si>
    <t>FV25/00614</t>
  </si>
  <si>
    <t>FV25/00613</t>
  </si>
  <si>
    <t>FV25/00612</t>
  </si>
  <si>
    <t>LEADER ALIMENTATION</t>
  </si>
  <si>
    <t>FV25/00611</t>
  </si>
  <si>
    <t>NOVA SRL</t>
  </si>
  <si>
    <t>FV25/00610</t>
  </si>
  <si>
    <t>CARLOS PEREZ ROSADO</t>
  </si>
  <si>
    <t>FV25/00609</t>
  </si>
  <si>
    <t>FV25/00608</t>
  </si>
  <si>
    <t>FV25/00607</t>
  </si>
  <si>
    <t>FV25/00606</t>
  </si>
  <si>
    <t>FV25/00605</t>
  </si>
  <si>
    <t>FV25/00604</t>
  </si>
  <si>
    <t>MABENA BURGHERIA</t>
  </si>
  <si>
    <t>FV25/00603</t>
  </si>
  <si>
    <t>FV25/00602</t>
  </si>
  <si>
    <t>FV25/00601</t>
  </si>
  <si>
    <t>FV25/00600</t>
  </si>
  <si>
    <t>FV25/00599</t>
  </si>
  <si>
    <t>FV25/00598</t>
  </si>
  <si>
    <t>FV25/00597</t>
  </si>
  <si>
    <t>FV25/00596</t>
  </si>
  <si>
    <t>FV25/00595</t>
  </si>
  <si>
    <t>FV25/00594</t>
  </si>
  <si>
    <t>FV25/00593</t>
  </si>
  <si>
    <t>FV25/00592</t>
  </si>
  <si>
    <t>FV25/00591</t>
  </si>
  <si>
    <t>ETNA PET FOOD, SRL</t>
  </si>
  <si>
    <t>FV25/00590</t>
  </si>
  <si>
    <t>FV25/00589</t>
  </si>
  <si>
    <t>FV25/00588</t>
  </si>
  <si>
    <t>FV25/00587</t>
  </si>
  <si>
    <t>FV25/00586</t>
  </si>
  <si>
    <t>FV25/00585</t>
  </si>
  <si>
    <t>FV25/00584</t>
  </si>
  <si>
    <t>FV25/00583</t>
  </si>
  <si>
    <t>FV25/00582</t>
  </si>
  <si>
    <t>FV25/00581</t>
  </si>
  <si>
    <t>FV25/00580</t>
  </si>
  <si>
    <t>CEREALI MANGIMI STILO SRL</t>
  </si>
  <si>
    <t>FV25/00579</t>
  </si>
  <si>
    <t>CRISTINA OLLERO NARROS</t>
  </si>
  <si>
    <t>FV25/00578</t>
  </si>
  <si>
    <t>FV25/00577</t>
  </si>
  <si>
    <t>FV25/00576</t>
  </si>
  <si>
    <t>FV25/00575</t>
  </si>
  <si>
    <t>FV25/00574</t>
  </si>
  <si>
    <t>FV25/00573</t>
  </si>
  <si>
    <t>FV25/00572</t>
  </si>
  <si>
    <t xml:space="preserve">VALTERXARRAMA _ ASSOCIADOS LDA </t>
  </si>
  <si>
    <t>FV25/00571</t>
  </si>
  <si>
    <t>ALEJANDRO HERNANDEZ MUÑOZ</t>
  </si>
  <si>
    <t>FV25/00561</t>
  </si>
  <si>
    <t>FV25/00570</t>
  </si>
  <si>
    <t>JOSE LLORENTE POZO</t>
  </si>
  <si>
    <t>FV25/00569</t>
  </si>
  <si>
    <t>FV25/00568</t>
  </si>
  <si>
    <t>FV25/00567</t>
  </si>
  <si>
    <t>FV25/00566</t>
  </si>
  <si>
    <t>FV25/00565</t>
  </si>
  <si>
    <t>FV25/00564</t>
  </si>
  <si>
    <t>FV25/00563</t>
  </si>
  <si>
    <t>JOSE SANZ HERRANZ</t>
  </si>
  <si>
    <t>FV25/00562</t>
  </si>
  <si>
    <t>FV25/00560</t>
  </si>
  <si>
    <t>BREEDNA PET FOOD, S.L.</t>
  </si>
  <si>
    <t>FV25/00559</t>
  </si>
  <si>
    <t>FV25/00558</t>
  </si>
  <si>
    <t>FV25/00557</t>
  </si>
  <si>
    <t>FV25/00556</t>
  </si>
  <si>
    <t>FV25/00555</t>
  </si>
  <si>
    <t>FV25/00554</t>
  </si>
  <si>
    <t>FV25/00553</t>
  </si>
  <si>
    <t>FV25/00552</t>
  </si>
  <si>
    <t>FV25/00551</t>
  </si>
  <si>
    <t>FV25/00550</t>
  </si>
  <si>
    <t>FV25/00549</t>
  </si>
  <si>
    <t>FV25/00548</t>
  </si>
  <si>
    <t>FV25/00547</t>
  </si>
  <si>
    <t>FV25/00546</t>
  </si>
  <si>
    <t>FV25/00545</t>
  </si>
  <si>
    <t>FV25/00544</t>
  </si>
  <si>
    <t>PIENSOS FAUNA S.L.</t>
  </si>
  <si>
    <t>FV25/00543</t>
  </si>
  <si>
    <t>FV25/00542</t>
  </si>
  <si>
    <t>FV25/00541</t>
  </si>
  <si>
    <t>FV25/00540</t>
  </si>
  <si>
    <t>FV25/00539</t>
  </si>
  <si>
    <t>FV25/00538</t>
  </si>
  <si>
    <t>FV25/00537</t>
  </si>
  <si>
    <t>FV25/00536</t>
  </si>
  <si>
    <t>FV25/00535</t>
  </si>
  <si>
    <t>FV25/00534</t>
  </si>
  <si>
    <t>FV25/00533</t>
  </si>
  <si>
    <t>FV25/00532</t>
  </si>
  <si>
    <t>FV25/00531</t>
  </si>
  <si>
    <t>FV25/00530</t>
  </si>
  <si>
    <t>FV25/00529</t>
  </si>
  <si>
    <t>RI.CA.RA, SRL</t>
  </si>
  <si>
    <t>FV25/00528</t>
  </si>
  <si>
    <t>GIARDINI, SPA</t>
  </si>
  <si>
    <t>FV25/00527</t>
  </si>
  <si>
    <t>FERTIGESTION, S.L.</t>
  </si>
  <si>
    <t>FV25/00526</t>
  </si>
  <si>
    <t>FV25/00525</t>
  </si>
  <si>
    <t>JERONIMO ROMAN E HIJOS S.L</t>
  </si>
  <si>
    <t>FV25/00524</t>
  </si>
  <si>
    <t>FV25/00523</t>
  </si>
  <si>
    <t>FRANCISCO JAVIER SANCHEZ GARCIA</t>
  </si>
  <si>
    <t>FV25/00522</t>
  </si>
  <si>
    <t>FV25/00521</t>
  </si>
  <si>
    <t>GARSAN, C.B.</t>
  </si>
  <si>
    <t>FV25/00520</t>
  </si>
  <si>
    <t>FV25/00519</t>
  </si>
  <si>
    <t>FV25/00518</t>
  </si>
  <si>
    <t>FV25/00517</t>
  </si>
  <si>
    <t>FV25/00516</t>
  </si>
  <si>
    <t>JUAN MANUEL FERNANDEZ FERNANDEZ</t>
  </si>
  <si>
    <t>FV25/00515</t>
  </si>
  <si>
    <t>FV25/00514</t>
  </si>
  <si>
    <t>FV25/00513</t>
  </si>
  <si>
    <t>FV25/00512</t>
  </si>
  <si>
    <t>FV25/00511</t>
  </si>
  <si>
    <t>FV25/00510</t>
  </si>
  <si>
    <t>GINES ROSELL E HIJOS S.L</t>
  </si>
  <si>
    <t>FV25/00509</t>
  </si>
  <si>
    <t>FV25/00508</t>
  </si>
  <si>
    <t>FV25/00507</t>
  </si>
  <si>
    <t>FV25/00506</t>
  </si>
  <si>
    <t>FV25/00505</t>
  </si>
  <si>
    <t>FV25/00504</t>
  </si>
  <si>
    <t>FV25/00503</t>
  </si>
  <si>
    <t>FV25/00502</t>
  </si>
  <si>
    <t>FV25/00501</t>
  </si>
  <si>
    <t>FV25/00500</t>
  </si>
  <si>
    <t>COMERCIAL EDELMIRA S.L</t>
  </si>
  <si>
    <t>FV25/00499</t>
  </si>
  <si>
    <t>FV25/00498</t>
  </si>
  <si>
    <t>FV25/00497</t>
  </si>
  <si>
    <t>FV25/00496</t>
  </si>
  <si>
    <t>NATACAN PET FOOD S.L.</t>
  </si>
  <si>
    <t>FV25/00495</t>
  </si>
  <si>
    <t>FV25/00494</t>
  </si>
  <si>
    <t>FV25/00493</t>
  </si>
  <si>
    <t>FV25/00492</t>
  </si>
  <si>
    <t>FV25/00491</t>
  </si>
  <si>
    <t>FV25/00490</t>
  </si>
  <si>
    <t>FV25/00489</t>
  </si>
  <si>
    <t>DCOOP - EL SAUCEJO</t>
  </si>
  <si>
    <t>FV25/00488</t>
  </si>
  <si>
    <t>MARTINS E MACHADO, LDA</t>
  </si>
  <si>
    <t>FV25/00487</t>
  </si>
  <si>
    <t>IBRA POLONIA Sp. z oo</t>
  </si>
  <si>
    <t>FV25/00486</t>
  </si>
  <si>
    <t>FV25/00485</t>
  </si>
  <si>
    <t>FV25/00484</t>
  </si>
  <si>
    <t>FV25/00483</t>
  </si>
  <si>
    <t>FV25/00482</t>
  </si>
  <si>
    <t>FV25/00481</t>
  </si>
  <si>
    <t>FV25/00480</t>
  </si>
  <si>
    <t>FV25/00479</t>
  </si>
  <si>
    <t>FV25/00478</t>
  </si>
  <si>
    <t>FV25/00477</t>
  </si>
  <si>
    <t>MIGAR S.A</t>
  </si>
  <si>
    <t>FV25/00476</t>
  </si>
  <si>
    <t>FV25/00475</t>
  </si>
  <si>
    <t>FV25/00474</t>
  </si>
  <si>
    <t>FV25/00473</t>
  </si>
  <si>
    <t>FV25/00472</t>
  </si>
  <si>
    <t>FV25/00471</t>
  </si>
  <si>
    <t>FV25/00470</t>
  </si>
  <si>
    <t>FV25/00469</t>
  </si>
  <si>
    <t>FV25/00468</t>
  </si>
  <si>
    <t>FV25/00467</t>
  </si>
  <si>
    <t>FV25/00466</t>
  </si>
  <si>
    <t>FV25/00465</t>
  </si>
  <si>
    <t>FV25/00464</t>
  </si>
  <si>
    <t>FV25/00463</t>
  </si>
  <si>
    <t>FV25/00462</t>
  </si>
  <si>
    <t>FV25/00461</t>
  </si>
  <si>
    <t>FV25/00460</t>
  </si>
  <si>
    <t>CENTRO COMERCIAL LA HERRADURA</t>
  </si>
  <si>
    <t>FV25/00459</t>
  </si>
  <si>
    <t>SAT KAVEROS</t>
  </si>
  <si>
    <t>FV25/00458</t>
  </si>
  <si>
    <t>DOG CATERING, SRL</t>
  </si>
  <si>
    <t>FV25/00457</t>
  </si>
  <si>
    <t>FV25/00456</t>
  </si>
  <si>
    <t>FV25/00455</t>
  </si>
  <si>
    <t>FV25/00454</t>
  </si>
  <si>
    <t>FV25/00453</t>
  </si>
  <si>
    <t>FV25/00452</t>
  </si>
  <si>
    <t>FV25/00451</t>
  </si>
  <si>
    <t>FV25/00450</t>
  </si>
  <si>
    <t>FV25/00449</t>
  </si>
  <si>
    <t>FV25/00448</t>
  </si>
  <si>
    <t>FV25/00447</t>
  </si>
  <si>
    <t>COOPERATIVA GANADERA DE SALVALEON</t>
  </si>
  <si>
    <t>FV25/00446</t>
  </si>
  <si>
    <t>FV25/00445</t>
  </si>
  <si>
    <t>FV25/00444</t>
  </si>
  <si>
    <t>FV25/00443</t>
  </si>
  <si>
    <t>FV25/00442</t>
  </si>
  <si>
    <t>FV25/00441</t>
  </si>
  <si>
    <t>FV25/00440</t>
  </si>
  <si>
    <t>FV25/00439</t>
  </si>
  <si>
    <t>FV25/00438</t>
  </si>
  <si>
    <t>FV25/00437</t>
  </si>
  <si>
    <t>FV25/00436</t>
  </si>
  <si>
    <t>FV25/00435</t>
  </si>
  <si>
    <t>FV25/00434</t>
  </si>
  <si>
    <t>FV25/00433</t>
  </si>
  <si>
    <t>FV25/00432</t>
  </si>
  <si>
    <t>FV25/00431</t>
  </si>
  <si>
    <t>PETMARKET BY ZOOPARK, SRLS</t>
  </si>
  <si>
    <t>FV25/00430</t>
  </si>
  <si>
    <t>FV25/00429</t>
  </si>
  <si>
    <t>FV25/00428</t>
  </si>
  <si>
    <t>FV25/00427</t>
  </si>
  <si>
    <t>FV25/00426</t>
  </si>
  <si>
    <t>FV25/00425</t>
  </si>
  <si>
    <t>FV25/00424</t>
  </si>
  <si>
    <t>FV25/00423</t>
  </si>
  <si>
    <t>FV25/00422</t>
  </si>
  <si>
    <t>FV25/00421</t>
  </si>
  <si>
    <t>FV25/00420</t>
  </si>
  <si>
    <t>IVA</t>
  </si>
  <si>
    <t>Fecha registro</t>
  </si>
  <si>
    <t>FR25/0015</t>
  </si>
  <si>
    <t>TAGLIAVINI ALL FOR PETS, S.R.L.</t>
  </si>
  <si>
    <t>FR25/0014</t>
  </si>
  <si>
    <t>FR25/0013</t>
  </si>
  <si>
    <t>FR25/0012</t>
  </si>
  <si>
    <t>FR25/0011</t>
  </si>
  <si>
    <t>FR25/0010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</si>
</sst>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49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315" totalsRowShown="0">
  <autoFilter ref="A1:F315" xr:uid="{00000000-0009-0000-0100-000001000000}"/>
  <tableColumns count="6">
    <tableColumn id="1" xr3:uid="{00000000-0010-0000-0000-000001000000}" name="Nº"/>
    <tableColumn id="5" xr3:uid="{00000000-0010-0000-0000-000005000000}" name="Nombre del cliente"/>
    <tableColumn id="7" xr3:uid="{00000000-0010-0000-0000-000007000000}" name="Fecha emisión documento"/>
    <tableColumn id="9" xr3:uid="{00000000-0010-0000-0000-000009000000}" name="Importe"/>
    <tableColumn id="2" xr3:uid="{42091AC1-3A71-4B63-92B8-019F84043849}" name="IVA" dataDxfId="1">
      <calculatedColumnFormula>Table1[[#This Row],[Importe IVA incl.]]-Table1[[#This Row],[Importe]]</calculatedColumnFormula>
    </tableColumn>
    <tableColumn id="10" xr3:uid="{00000000-0010-0000-0000-00000A000000}" name="Importe IVA incl.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A604BC-2CBA-41A3-B208-64A5FE279625}" name="Table13" displayName="Table13" ref="A1:F7" totalsRowShown="0">
  <autoFilter ref="A1:F7" xr:uid="{08A604BC-2CBA-41A3-B208-64A5FE279625}"/>
  <tableColumns count="6">
    <tableColumn id="1" xr3:uid="{F7243569-B22D-4B36-B021-A171112612D3}" name="Nº"/>
    <tableColumn id="3" xr3:uid="{CA5CBC48-10B7-4A0A-9794-D2C89AD15A24}" name="Nombre del cliente"/>
    <tableColumn id="5" xr3:uid="{EA535F64-6AC4-4FD4-9223-42F3D370C964}" name="Fecha registro"/>
    <tableColumn id="7" xr3:uid="{AD28522F-50B1-4EA6-9657-19A03C633DC8}" name="Importe"/>
    <tableColumn id="2" xr3:uid="{6F3DEDAE-6AEB-4CA0-8C32-57B2F49B98B0}" name="IVA" dataDxfId="0">
      <calculatedColumnFormula>Table13[[#This Row],[Importe IVA incl.]]-Table13[[#This Row],[Importe]]</calculatedColumnFormula>
    </tableColumn>
    <tableColumn id="8" xr3:uid="{C656D837-086D-40CE-B9F6-5C3D134FD93A}" name="Importe IVA incl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5"/>
  <sheetViews>
    <sheetView workbookViewId="0">
      <pane ySplit="1" topLeftCell="A2" activePane="bottomLeft" state="frozen"/>
      <selection pane="bottomLeft" activeCell="H17" sqref="H17"/>
    </sheetView>
  </sheetViews>
  <sheetFormatPr baseColWidth="10" defaultRowHeight="15" x14ac:dyDescent="0.25"/>
  <cols>
    <col min="1" max="1" width="11.5703125" customWidth="1"/>
    <col min="2" max="2" width="19.5703125" bestFit="1" customWidth="1"/>
    <col min="3" max="3" width="25.85546875" bestFit="1" customWidth="1"/>
    <col min="4" max="4" width="9.85546875" bestFit="1" customWidth="1"/>
    <col min="5" max="5" width="17.140625" customWidth="1"/>
    <col min="6" max="6" width="17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397</v>
      </c>
      <c r="F1" s="1" t="s">
        <v>4</v>
      </c>
    </row>
    <row r="2" spans="1:6" x14ac:dyDescent="0.25">
      <c r="A2" s="2" t="s">
        <v>5</v>
      </c>
      <c r="B2" s="2" t="s">
        <v>6</v>
      </c>
      <c r="C2" s="3">
        <v>45715</v>
      </c>
      <c r="D2" s="4">
        <v>15922.18</v>
      </c>
      <c r="E2" s="4">
        <f>Table1[[#This Row],[Importe IVA incl.]]-Table1[[#This Row],[Importe]]</f>
        <v>0</v>
      </c>
      <c r="F2" s="4">
        <v>15922.18</v>
      </c>
    </row>
    <row r="3" spans="1:6" x14ac:dyDescent="0.25">
      <c r="A3" s="2" t="s">
        <v>7</v>
      </c>
      <c r="B3" s="2" t="s">
        <v>8</v>
      </c>
      <c r="C3" s="3">
        <v>45715</v>
      </c>
      <c r="D3" s="4">
        <v>3088.8</v>
      </c>
      <c r="E3" s="4">
        <f>Table1[[#This Row],[Importe IVA incl.]]-Table1[[#This Row],[Importe]]</f>
        <v>308.87999999999965</v>
      </c>
      <c r="F3" s="4">
        <v>3397.68</v>
      </c>
    </row>
    <row r="4" spans="1:6" x14ac:dyDescent="0.25">
      <c r="A4" s="2" t="s">
        <v>9</v>
      </c>
      <c r="B4" s="2" t="s">
        <v>10</v>
      </c>
      <c r="C4" s="3">
        <v>45715</v>
      </c>
      <c r="D4" s="4">
        <v>14514.96</v>
      </c>
      <c r="E4" s="4">
        <f>Table1[[#This Row],[Importe IVA incl.]]-Table1[[#This Row],[Importe]]</f>
        <v>0</v>
      </c>
      <c r="F4" s="4">
        <v>14514.96</v>
      </c>
    </row>
    <row r="5" spans="1:6" x14ac:dyDescent="0.25">
      <c r="A5" s="2" t="s">
        <v>11</v>
      </c>
      <c r="B5" s="2" t="s">
        <v>12</v>
      </c>
      <c r="C5" s="3">
        <v>45715</v>
      </c>
      <c r="D5" s="4">
        <v>13277.52</v>
      </c>
      <c r="E5" s="4">
        <f>Table1[[#This Row],[Importe IVA incl.]]-Table1[[#This Row],[Importe]]</f>
        <v>1327.75</v>
      </c>
      <c r="F5" s="4">
        <v>14605.27</v>
      </c>
    </row>
    <row r="6" spans="1:6" x14ac:dyDescent="0.25">
      <c r="A6" s="2" t="s">
        <v>13</v>
      </c>
      <c r="B6" s="2" t="s">
        <v>14</v>
      </c>
      <c r="C6" s="3">
        <v>45715</v>
      </c>
      <c r="D6" s="4">
        <v>1952.64</v>
      </c>
      <c r="E6" s="4">
        <f>Table1[[#This Row],[Importe IVA incl.]]-Table1[[#This Row],[Importe]]</f>
        <v>195.26</v>
      </c>
      <c r="F6" s="4">
        <v>2147.9</v>
      </c>
    </row>
    <row r="7" spans="1:6" x14ac:dyDescent="0.25">
      <c r="A7" s="2" t="s">
        <v>15</v>
      </c>
      <c r="B7" s="2" t="s">
        <v>14</v>
      </c>
      <c r="C7" s="3">
        <v>45715</v>
      </c>
      <c r="D7" s="4">
        <v>10615.5</v>
      </c>
      <c r="E7" s="4">
        <f>Table1[[#This Row],[Importe IVA incl.]]-Table1[[#This Row],[Importe]]</f>
        <v>1061.5499999999993</v>
      </c>
      <c r="F7" s="4">
        <v>11677.05</v>
      </c>
    </row>
    <row r="8" spans="1:6" x14ac:dyDescent="0.25">
      <c r="A8" s="2" t="s">
        <v>16</v>
      </c>
      <c r="B8" s="2" t="s">
        <v>17</v>
      </c>
      <c r="C8" s="3">
        <v>45715</v>
      </c>
      <c r="D8" s="4">
        <v>12966.72</v>
      </c>
      <c r="E8" s="4">
        <f>Table1[[#This Row],[Importe IVA incl.]]-Table1[[#This Row],[Importe]]</f>
        <v>1296.67</v>
      </c>
      <c r="F8" s="4">
        <v>14263.39</v>
      </c>
    </row>
    <row r="9" spans="1:6" x14ac:dyDescent="0.25">
      <c r="A9" s="2" t="s">
        <v>18</v>
      </c>
      <c r="B9" s="2" t="s">
        <v>12</v>
      </c>
      <c r="C9" s="3">
        <v>45715</v>
      </c>
      <c r="D9" s="4">
        <v>1388.88</v>
      </c>
      <c r="E9" s="4">
        <f>Table1[[#This Row],[Importe IVA incl.]]-Table1[[#This Row],[Importe]]</f>
        <v>138.88999999999987</v>
      </c>
      <c r="F9" s="4">
        <v>1527.77</v>
      </c>
    </row>
    <row r="10" spans="1:6" x14ac:dyDescent="0.25">
      <c r="A10" s="2" t="s">
        <v>19</v>
      </c>
      <c r="B10" s="2" t="s">
        <v>12</v>
      </c>
      <c r="C10" s="3">
        <v>45715</v>
      </c>
      <c r="D10" s="4">
        <v>462.96</v>
      </c>
      <c r="E10" s="4">
        <f>Table1[[#This Row],[Importe IVA incl.]]-Table1[[#This Row],[Importe]]</f>
        <v>46.300000000000011</v>
      </c>
      <c r="F10" s="4">
        <v>509.26</v>
      </c>
    </row>
    <row r="11" spans="1:6" x14ac:dyDescent="0.25">
      <c r="A11" s="2" t="s">
        <v>20</v>
      </c>
      <c r="B11" s="2" t="s">
        <v>21</v>
      </c>
      <c r="C11" s="3">
        <v>45715</v>
      </c>
      <c r="D11" s="4">
        <v>10538.35</v>
      </c>
      <c r="E11" s="4">
        <f>Table1[[#This Row],[Importe IVA incl.]]-Table1[[#This Row],[Importe]]</f>
        <v>1053.8400000000001</v>
      </c>
      <c r="F11" s="4">
        <v>11592.19</v>
      </c>
    </row>
    <row r="12" spans="1:6" x14ac:dyDescent="0.25">
      <c r="A12" s="2" t="s">
        <v>22</v>
      </c>
      <c r="B12" s="2" t="s">
        <v>12</v>
      </c>
      <c r="C12" s="3">
        <v>45715</v>
      </c>
      <c r="D12" s="4">
        <v>6885.6</v>
      </c>
      <c r="E12" s="4">
        <f>Table1[[#This Row],[Importe IVA incl.]]-Table1[[#This Row],[Importe]]</f>
        <v>688.55999999999949</v>
      </c>
      <c r="F12" s="4">
        <v>7574.16</v>
      </c>
    </row>
    <row r="13" spans="1:6" x14ac:dyDescent="0.25">
      <c r="A13" s="2" t="s">
        <v>23</v>
      </c>
      <c r="B13" s="2" t="s">
        <v>14</v>
      </c>
      <c r="C13" s="3">
        <v>45715</v>
      </c>
      <c r="D13" s="4">
        <v>11713.8</v>
      </c>
      <c r="E13" s="4">
        <f>Table1[[#This Row],[Importe IVA incl.]]-Table1[[#This Row],[Importe]]</f>
        <v>1171.380000000001</v>
      </c>
      <c r="F13" s="4">
        <v>12885.18</v>
      </c>
    </row>
    <row r="14" spans="1:6" x14ac:dyDescent="0.25">
      <c r="A14" s="2" t="s">
        <v>24</v>
      </c>
      <c r="B14" s="2" t="s">
        <v>25</v>
      </c>
      <c r="C14" s="3">
        <v>45715</v>
      </c>
      <c r="D14" s="4">
        <v>10711.5</v>
      </c>
      <c r="E14" s="4">
        <f>Table1[[#This Row],[Importe IVA incl.]]-Table1[[#This Row],[Importe]]</f>
        <v>1097.5499999999993</v>
      </c>
      <c r="F14" s="4">
        <v>11809.05</v>
      </c>
    </row>
    <row r="15" spans="1:6" x14ac:dyDescent="0.25">
      <c r="A15" s="2" t="s">
        <v>26</v>
      </c>
      <c r="B15" s="2" t="s">
        <v>25</v>
      </c>
      <c r="C15" s="3">
        <v>45715</v>
      </c>
      <c r="D15" s="4">
        <v>4231.46</v>
      </c>
      <c r="E15" s="4">
        <f>Table1[[#This Row],[Importe IVA incl.]]-Table1[[#This Row],[Importe]]</f>
        <v>423.14999999999964</v>
      </c>
      <c r="F15" s="4">
        <v>4654.6099999999997</v>
      </c>
    </row>
    <row r="16" spans="1:6" x14ac:dyDescent="0.25">
      <c r="A16" s="2" t="s">
        <v>27</v>
      </c>
      <c r="B16" s="2" t="s">
        <v>28</v>
      </c>
      <c r="C16" s="3">
        <v>45715</v>
      </c>
      <c r="D16" s="4">
        <v>14997</v>
      </c>
      <c r="E16" s="4">
        <f>Table1[[#This Row],[Importe IVA incl.]]-Table1[[#This Row],[Importe]]</f>
        <v>1499.7000000000007</v>
      </c>
      <c r="F16" s="4">
        <v>16496.7</v>
      </c>
    </row>
    <row r="17" spans="1:6" x14ac:dyDescent="0.25">
      <c r="A17" s="2" t="s">
        <v>29</v>
      </c>
      <c r="B17" s="2" t="s">
        <v>30</v>
      </c>
      <c r="C17" s="3">
        <v>45715</v>
      </c>
      <c r="D17" s="4">
        <v>5.2</v>
      </c>
      <c r="E17" s="4">
        <f>Table1[[#This Row],[Importe IVA incl.]]-Table1[[#This Row],[Importe]]</f>
        <v>0</v>
      </c>
      <c r="F17" s="4">
        <v>5.2</v>
      </c>
    </row>
    <row r="18" spans="1:6" x14ac:dyDescent="0.25">
      <c r="A18" s="2" t="s">
        <v>31</v>
      </c>
      <c r="B18" s="2" t="s">
        <v>32</v>
      </c>
      <c r="C18" s="3">
        <v>45715</v>
      </c>
      <c r="D18" s="4">
        <v>10427.69</v>
      </c>
      <c r="E18" s="4">
        <f>Table1[[#This Row],[Importe IVA incl.]]-Table1[[#This Row],[Importe]]</f>
        <v>1043.869999999999</v>
      </c>
      <c r="F18" s="4">
        <v>11471.56</v>
      </c>
    </row>
    <row r="19" spans="1:6" x14ac:dyDescent="0.25">
      <c r="A19" s="2" t="s">
        <v>33</v>
      </c>
      <c r="B19" s="2" t="s">
        <v>34</v>
      </c>
      <c r="C19" s="3">
        <v>45715</v>
      </c>
      <c r="D19" s="4">
        <v>16630.439999999999</v>
      </c>
      <c r="E19" s="4">
        <f>Table1[[#This Row],[Importe IVA incl.]]-Table1[[#This Row],[Importe]]</f>
        <v>0</v>
      </c>
      <c r="F19" s="4">
        <v>16630.439999999999</v>
      </c>
    </row>
    <row r="20" spans="1:6" x14ac:dyDescent="0.25">
      <c r="A20" s="2" t="s">
        <v>35</v>
      </c>
      <c r="B20" s="2" t="s">
        <v>36</v>
      </c>
      <c r="C20" s="3">
        <v>45714</v>
      </c>
      <c r="D20" s="4">
        <v>13336.2</v>
      </c>
      <c r="E20" s="4">
        <f>Table1[[#This Row],[Importe IVA incl.]]-Table1[[#This Row],[Importe]]</f>
        <v>1333.619999999999</v>
      </c>
      <c r="F20" s="4">
        <v>14669.82</v>
      </c>
    </row>
    <row r="21" spans="1:6" x14ac:dyDescent="0.25">
      <c r="A21" s="2" t="s">
        <v>37</v>
      </c>
      <c r="B21" s="2" t="s">
        <v>25</v>
      </c>
      <c r="C21" s="3">
        <v>45714</v>
      </c>
      <c r="D21" s="4">
        <v>10711.5</v>
      </c>
      <c r="E21" s="4">
        <f>Table1[[#This Row],[Importe IVA incl.]]-Table1[[#This Row],[Importe]]</f>
        <v>1097.5499999999993</v>
      </c>
      <c r="F21" s="4">
        <v>11809.05</v>
      </c>
    </row>
    <row r="22" spans="1:6" x14ac:dyDescent="0.25">
      <c r="A22" s="2" t="s">
        <v>38</v>
      </c>
      <c r="B22" s="2" t="s">
        <v>32</v>
      </c>
      <c r="C22" s="3">
        <v>45714</v>
      </c>
      <c r="D22" s="4">
        <v>2264.52</v>
      </c>
      <c r="E22" s="4">
        <f>Table1[[#This Row],[Importe IVA incl.]]-Table1[[#This Row],[Importe]]</f>
        <v>226.44999999999982</v>
      </c>
      <c r="F22" s="4">
        <v>2490.9699999999998</v>
      </c>
    </row>
    <row r="23" spans="1:6" x14ac:dyDescent="0.25">
      <c r="A23" s="2" t="s">
        <v>39</v>
      </c>
      <c r="B23" s="2" t="s">
        <v>40</v>
      </c>
      <c r="C23" s="3">
        <v>45714</v>
      </c>
      <c r="D23" s="4">
        <v>11666.27</v>
      </c>
      <c r="E23" s="4">
        <f>Table1[[#This Row],[Importe IVA incl.]]-Table1[[#This Row],[Importe]]</f>
        <v>1166.6299999999992</v>
      </c>
      <c r="F23" s="4">
        <v>12832.9</v>
      </c>
    </row>
    <row r="24" spans="1:6" x14ac:dyDescent="0.25">
      <c r="A24" s="2" t="s">
        <v>41</v>
      </c>
      <c r="B24" s="2" t="s">
        <v>12</v>
      </c>
      <c r="C24" s="3">
        <v>45714</v>
      </c>
      <c r="D24" s="4">
        <v>1544.4</v>
      </c>
      <c r="E24" s="4">
        <f>Table1[[#This Row],[Importe IVA incl.]]-Table1[[#This Row],[Importe]]</f>
        <v>154.43999999999983</v>
      </c>
      <c r="F24" s="4">
        <v>1698.84</v>
      </c>
    </row>
    <row r="25" spans="1:6" x14ac:dyDescent="0.25">
      <c r="A25" s="2" t="s">
        <v>42</v>
      </c>
      <c r="B25" s="2" t="s">
        <v>12</v>
      </c>
      <c r="C25" s="3">
        <v>45714</v>
      </c>
      <c r="D25" s="4">
        <v>1158.3</v>
      </c>
      <c r="E25" s="4">
        <f>Table1[[#This Row],[Importe IVA incl.]]-Table1[[#This Row],[Importe]]</f>
        <v>115.83000000000015</v>
      </c>
      <c r="F25" s="4">
        <v>1274.1300000000001</v>
      </c>
    </row>
    <row r="26" spans="1:6" x14ac:dyDescent="0.25">
      <c r="A26" s="2" t="s">
        <v>43</v>
      </c>
      <c r="B26" s="2" t="s">
        <v>12</v>
      </c>
      <c r="C26" s="3">
        <v>45714</v>
      </c>
      <c r="D26" s="4">
        <v>386.1</v>
      </c>
      <c r="E26" s="4">
        <f>Table1[[#This Row],[Importe IVA incl.]]-Table1[[#This Row],[Importe]]</f>
        <v>38.609999999999957</v>
      </c>
      <c r="F26" s="4">
        <v>424.71</v>
      </c>
    </row>
    <row r="27" spans="1:6" x14ac:dyDescent="0.25">
      <c r="A27" s="2" t="s">
        <v>44</v>
      </c>
      <c r="B27" s="2" t="s">
        <v>45</v>
      </c>
      <c r="C27" s="3">
        <v>45714</v>
      </c>
      <c r="D27" s="4">
        <v>13923.51</v>
      </c>
      <c r="E27" s="4">
        <f>Table1[[#This Row],[Importe IVA incl.]]-Table1[[#This Row],[Importe]]</f>
        <v>1392.3500000000004</v>
      </c>
      <c r="F27" s="4">
        <v>15315.86</v>
      </c>
    </row>
    <row r="28" spans="1:6" x14ac:dyDescent="0.25">
      <c r="A28" s="2" t="s">
        <v>46</v>
      </c>
      <c r="B28" s="2" t="s">
        <v>12</v>
      </c>
      <c r="C28" s="3">
        <v>45714</v>
      </c>
      <c r="D28" s="4">
        <v>1158.3</v>
      </c>
      <c r="E28" s="4">
        <f>Table1[[#This Row],[Importe IVA incl.]]-Table1[[#This Row],[Importe]]</f>
        <v>115.83000000000015</v>
      </c>
      <c r="F28" s="4">
        <v>1274.1300000000001</v>
      </c>
    </row>
    <row r="29" spans="1:6" x14ac:dyDescent="0.25">
      <c r="A29" s="2" t="s">
        <v>47</v>
      </c>
      <c r="B29" s="2" t="s">
        <v>48</v>
      </c>
      <c r="C29" s="3">
        <v>45714</v>
      </c>
      <c r="D29" s="4">
        <v>473.16</v>
      </c>
      <c r="E29" s="4">
        <f>Table1[[#This Row],[Importe IVA incl.]]-Table1[[#This Row],[Importe]]</f>
        <v>54.579999999999984</v>
      </c>
      <c r="F29" s="4">
        <v>527.74</v>
      </c>
    </row>
    <row r="30" spans="1:6" x14ac:dyDescent="0.25">
      <c r="A30" s="2" t="s">
        <v>49</v>
      </c>
      <c r="B30" s="2" t="s">
        <v>36</v>
      </c>
      <c r="C30" s="3">
        <v>45714</v>
      </c>
      <c r="D30" s="4">
        <v>11761.4</v>
      </c>
      <c r="E30" s="4">
        <f>Table1[[#This Row],[Importe IVA incl.]]-Table1[[#This Row],[Importe]]</f>
        <v>1176.1400000000012</v>
      </c>
      <c r="F30" s="4">
        <v>12937.54</v>
      </c>
    </row>
    <row r="31" spans="1:6" x14ac:dyDescent="0.25">
      <c r="A31" s="2" t="s">
        <v>50</v>
      </c>
      <c r="B31" s="2" t="s">
        <v>51</v>
      </c>
      <c r="C31" s="3">
        <v>45714</v>
      </c>
      <c r="D31" s="4">
        <v>13606.4</v>
      </c>
      <c r="E31" s="4">
        <f>Table1[[#This Row],[Importe IVA incl.]]-Table1[[#This Row],[Importe]]</f>
        <v>0</v>
      </c>
      <c r="F31" s="4">
        <v>13606.4</v>
      </c>
    </row>
    <row r="32" spans="1:6" x14ac:dyDescent="0.25">
      <c r="A32" s="2" t="s">
        <v>52</v>
      </c>
      <c r="B32" s="2" t="s">
        <v>32</v>
      </c>
      <c r="C32" s="3">
        <v>45714</v>
      </c>
      <c r="D32" s="4">
        <v>810.21</v>
      </c>
      <c r="E32" s="4">
        <f>Table1[[#This Row],[Importe IVA incl.]]-Table1[[#This Row],[Importe]]</f>
        <v>81.019999999999982</v>
      </c>
      <c r="F32" s="4">
        <v>891.23</v>
      </c>
    </row>
    <row r="33" spans="1:6" x14ac:dyDescent="0.25">
      <c r="A33" s="2" t="s">
        <v>53</v>
      </c>
      <c r="B33" s="2" t="s">
        <v>54</v>
      </c>
      <c r="C33" s="3">
        <v>45714</v>
      </c>
      <c r="D33" s="4">
        <v>12002.4</v>
      </c>
      <c r="E33" s="4">
        <f>Table1[[#This Row],[Importe IVA incl.]]-Table1[[#This Row],[Importe]]</f>
        <v>1200.2399999999998</v>
      </c>
      <c r="F33" s="4">
        <v>13202.64</v>
      </c>
    </row>
    <row r="34" spans="1:6" x14ac:dyDescent="0.25">
      <c r="A34" s="2" t="s">
        <v>55</v>
      </c>
      <c r="B34" s="2" t="s">
        <v>56</v>
      </c>
      <c r="C34" s="3">
        <v>45714</v>
      </c>
      <c r="D34" s="4">
        <v>2028</v>
      </c>
      <c r="E34" s="4">
        <f>Table1[[#This Row],[Importe IVA incl.]]-Table1[[#This Row],[Importe]]</f>
        <v>202.80000000000018</v>
      </c>
      <c r="F34" s="4">
        <v>2230.8000000000002</v>
      </c>
    </row>
    <row r="35" spans="1:6" x14ac:dyDescent="0.25">
      <c r="A35" s="2" t="s">
        <v>57</v>
      </c>
      <c r="B35" s="2" t="s">
        <v>58</v>
      </c>
      <c r="C35" s="3">
        <v>45714</v>
      </c>
      <c r="D35" s="4">
        <v>11219.69</v>
      </c>
      <c r="E35" s="4">
        <f>Table1[[#This Row],[Importe IVA incl.]]-Table1[[#This Row],[Importe]]</f>
        <v>1121.9699999999993</v>
      </c>
      <c r="F35" s="4">
        <v>12341.66</v>
      </c>
    </row>
    <row r="36" spans="1:6" x14ac:dyDescent="0.25">
      <c r="A36" s="2" t="s">
        <v>59</v>
      </c>
      <c r="B36" s="2" t="s">
        <v>25</v>
      </c>
      <c r="C36" s="3">
        <v>45713</v>
      </c>
      <c r="D36" s="4">
        <v>10711.5</v>
      </c>
      <c r="E36" s="4">
        <f>Table1[[#This Row],[Importe IVA incl.]]-Table1[[#This Row],[Importe]]</f>
        <v>1097.5499999999993</v>
      </c>
      <c r="F36" s="4">
        <v>11809.05</v>
      </c>
    </row>
    <row r="37" spans="1:6" x14ac:dyDescent="0.25">
      <c r="A37" s="2" t="s">
        <v>60</v>
      </c>
      <c r="B37" s="2" t="s">
        <v>25</v>
      </c>
      <c r="C37" s="3">
        <v>45713</v>
      </c>
      <c r="D37" s="4">
        <v>10237.34</v>
      </c>
      <c r="E37" s="4">
        <f>Table1[[#This Row],[Importe IVA incl.]]-Table1[[#This Row],[Importe]]</f>
        <v>1023.7299999999996</v>
      </c>
      <c r="F37" s="4">
        <v>11261.07</v>
      </c>
    </row>
    <row r="38" spans="1:6" x14ac:dyDescent="0.25">
      <c r="A38" s="2" t="s">
        <v>61</v>
      </c>
      <c r="B38" s="2" t="s">
        <v>62</v>
      </c>
      <c r="C38" s="3">
        <v>45713</v>
      </c>
      <c r="D38" s="4">
        <v>3190.32</v>
      </c>
      <c r="E38" s="4">
        <f>Table1[[#This Row],[Importe IVA incl.]]-Table1[[#This Row],[Importe]]</f>
        <v>319.02999999999975</v>
      </c>
      <c r="F38" s="4">
        <v>3509.35</v>
      </c>
    </row>
    <row r="39" spans="1:6" x14ac:dyDescent="0.25">
      <c r="A39" s="2" t="s">
        <v>63</v>
      </c>
      <c r="B39" s="2" t="s">
        <v>64</v>
      </c>
      <c r="C39" s="3">
        <v>45713</v>
      </c>
      <c r="D39" s="4">
        <v>5581.77</v>
      </c>
      <c r="E39" s="4">
        <f>Table1[[#This Row],[Importe IVA incl.]]-Table1[[#This Row],[Importe]]</f>
        <v>558.17999999999938</v>
      </c>
      <c r="F39" s="4">
        <v>6139.95</v>
      </c>
    </row>
    <row r="40" spans="1:6" x14ac:dyDescent="0.25">
      <c r="A40" s="2" t="s">
        <v>65</v>
      </c>
      <c r="B40" s="2" t="s">
        <v>66</v>
      </c>
      <c r="C40" s="3">
        <v>45713</v>
      </c>
      <c r="D40" s="4">
        <v>2104.65</v>
      </c>
      <c r="E40" s="4">
        <f>Table1[[#This Row],[Importe IVA incl.]]-Table1[[#This Row],[Importe]]</f>
        <v>210.4699999999998</v>
      </c>
      <c r="F40" s="4">
        <v>2315.12</v>
      </c>
    </row>
    <row r="41" spans="1:6" x14ac:dyDescent="0.25">
      <c r="A41" s="2" t="s">
        <v>67</v>
      </c>
      <c r="B41" s="2" t="s">
        <v>68</v>
      </c>
      <c r="C41" s="3">
        <v>45713</v>
      </c>
      <c r="D41" s="4">
        <v>13743.91</v>
      </c>
      <c r="E41" s="4">
        <f>Table1[[#This Row],[Importe IVA incl.]]-Table1[[#This Row],[Importe]]</f>
        <v>1566.7999999999993</v>
      </c>
      <c r="F41" s="4">
        <v>15310.71</v>
      </c>
    </row>
    <row r="42" spans="1:6" x14ac:dyDescent="0.25">
      <c r="A42" s="2" t="s">
        <v>69</v>
      </c>
      <c r="B42" s="2" t="s">
        <v>70</v>
      </c>
      <c r="C42" s="3">
        <v>45713</v>
      </c>
      <c r="D42" s="4">
        <v>698.1</v>
      </c>
      <c r="E42" s="4">
        <f>Table1[[#This Row],[Importe IVA incl.]]-Table1[[#This Row],[Importe]]</f>
        <v>69.809999999999945</v>
      </c>
      <c r="F42" s="4">
        <v>767.91</v>
      </c>
    </row>
    <row r="43" spans="1:6" x14ac:dyDescent="0.25">
      <c r="A43" s="2" t="s">
        <v>71</v>
      </c>
      <c r="B43" s="2" t="s">
        <v>32</v>
      </c>
      <c r="C43" s="3">
        <v>45713</v>
      </c>
      <c r="D43" s="4">
        <v>1055.1099999999999</v>
      </c>
      <c r="E43" s="4">
        <f>Table1[[#This Row],[Importe IVA incl.]]-Table1[[#This Row],[Importe]]</f>
        <v>105.50999999999999</v>
      </c>
      <c r="F43" s="4">
        <v>1160.6199999999999</v>
      </c>
    </row>
    <row r="44" spans="1:6" x14ac:dyDescent="0.25">
      <c r="A44" s="2" t="s">
        <v>72</v>
      </c>
      <c r="B44" s="2" t="s">
        <v>28</v>
      </c>
      <c r="C44" s="3">
        <v>45713</v>
      </c>
      <c r="D44" s="4">
        <v>14505.6</v>
      </c>
      <c r="E44" s="4">
        <f>Table1[[#This Row],[Importe IVA incl.]]-Table1[[#This Row],[Importe]]</f>
        <v>1450.5599999999995</v>
      </c>
      <c r="F44" s="4">
        <v>15956.16</v>
      </c>
    </row>
    <row r="45" spans="1:6" x14ac:dyDescent="0.25">
      <c r="A45" s="2" t="s">
        <v>73</v>
      </c>
      <c r="B45" s="2" t="s">
        <v>25</v>
      </c>
      <c r="C45" s="3">
        <v>45713</v>
      </c>
      <c r="D45" s="4">
        <v>10138.200000000001</v>
      </c>
      <c r="E45" s="4">
        <f>Table1[[#This Row],[Importe IVA incl.]]-Table1[[#This Row],[Importe]]</f>
        <v>1040.2199999999993</v>
      </c>
      <c r="F45" s="4">
        <v>11178.42</v>
      </c>
    </row>
    <row r="46" spans="1:6" x14ac:dyDescent="0.25">
      <c r="A46" s="2" t="s">
        <v>74</v>
      </c>
      <c r="B46" s="2" t="s">
        <v>70</v>
      </c>
      <c r="C46" s="3">
        <v>45713</v>
      </c>
      <c r="D46" s="4">
        <v>10138.19</v>
      </c>
      <c r="E46" s="4">
        <f>Table1[[#This Row],[Importe IVA incl.]]-Table1[[#This Row],[Importe]]</f>
        <v>1055.619999999999</v>
      </c>
      <c r="F46" s="4">
        <v>11193.81</v>
      </c>
    </row>
    <row r="47" spans="1:6" x14ac:dyDescent="0.25">
      <c r="A47" s="2" t="s">
        <v>75</v>
      </c>
      <c r="B47" s="2" t="s">
        <v>36</v>
      </c>
      <c r="C47" s="3">
        <v>45712</v>
      </c>
      <c r="D47" s="4">
        <v>12597</v>
      </c>
      <c r="E47" s="4">
        <f>Table1[[#This Row],[Importe IVA incl.]]-Table1[[#This Row],[Importe]]</f>
        <v>1259.7000000000007</v>
      </c>
      <c r="F47" s="4">
        <v>13856.7</v>
      </c>
    </row>
    <row r="48" spans="1:6" x14ac:dyDescent="0.25">
      <c r="A48" s="2" t="s">
        <v>76</v>
      </c>
      <c r="B48" s="2" t="s">
        <v>25</v>
      </c>
      <c r="C48" s="3">
        <v>45712</v>
      </c>
      <c r="D48" s="4">
        <v>1030.69</v>
      </c>
      <c r="E48" s="4">
        <f>Table1[[#This Row],[Importe IVA incl.]]-Table1[[#This Row],[Importe]]</f>
        <v>103.06999999999994</v>
      </c>
      <c r="F48" s="4">
        <v>1133.76</v>
      </c>
    </row>
    <row r="49" spans="1:6" x14ac:dyDescent="0.25">
      <c r="A49" s="2" t="s">
        <v>77</v>
      </c>
      <c r="B49" s="2" t="s">
        <v>32</v>
      </c>
      <c r="C49" s="3">
        <v>45712</v>
      </c>
      <c r="D49" s="4">
        <v>3275.61</v>
      </c>
      <c r="E49" s="4">
        <f>Table1[[#This Row],[Importe IVA incl.]]-Table1[[#This Row],[Importe]]</f>
        <v>327.55999999999995</v>
      </c>
      <c r="F49" s="4">
        <v>3603.17</v>
      </c>
    </row>
    <row r="50" spans="1:6" x14ac:dyDescent="0.25">
      <c r="A50" s="2" t="s">
        <v>78</v>
      </c>
      <c r="B50" s="2" t="s">
        <v>25</v>
      </c>
      <c r="C50" s="3">
        <v>45712</v>
      </c>
      <c r="D50" s="4">
        <v>5062.2</v>
      </c>
      <c r="E50" s="4">
        <f>Table1[[#This Row],[Importe IVA incl.]]-Table1[[#This Row],[Importe]]</f>
        <v>506.22000000000025</v>
      </c>
      <c r="F50" s="4">
        <v>5568.42</v>
      </c>
    </row>
    <row r="51" spans="1:6" x14ac:dyDescent="0.25">
      <c r="A51" s="2" t="s">
        <v>79</v>
      </c>
      <c r="B51" s="2" t="s">
        <v>48</v>
      </c>
      <c r="C51" s="3">
        <v>45712</v>
      </c>
      <c r="D51" s="4">
        <v>473.16</v>
      </c>
      <c r="E51" s="4">
        <f>Table1[[#This Row],[Importe IVA incl.]]-Table1[[#This Row],[Importe]]</f>
        <v>54.579999999999984</v>
      </c>
      <c r="F51" s="4">
        <v>527.74</v>
      </c>
    </row>
    <row r="52" spans="1:6" x14ac:dyDescent="0.25">
      <c r="A52" s="2" t="s">
        <v>80</v>
      </c>
      <c r="B52" s="2" t="s">
        <v>48</v>
      </c>
      <c r="C52" s="3">
        <v>45712</v>
      </c>
      <c r="D52" s="4">
        <v>473.16</v>
      </c>
      <c r="E52" s="4">
        <f>Table1[[#This Row],[Importe IVA incl.]]-Table1[[#This Row],[Importe]]</f>
        <v>54.579999999999984</v>
      </c>
      <c r="F52" s="4">
        <v>527.74</v>
      </c>
    </row>
    <row r="53" spans="1:6" x14ac:dyDescent="0.25">
      <c r="A53" s="2" t="s">
        <v>81</v>
      </c>
      <c r="B53" s="2" t="s">
        <v>82</v>
      </c>
      <c r="C53" s="3">
        <v>45712</v>
      </c>
      <c r="D53" s="4">
        <v>918.84</v>
      </c>
      <c r="E53" s="4">
        <f>Table1[[#This Row],[Importe IVA incl.]]-Table1[[#This Row],[Importe]]</f>
        <v>91.88</v>
      </c>
      <c r="F53" s="4">
        <v>1010.72</v>
      </c>
    </row>
    <row r="54" spans="1:6" x14ac:dyDescent="0.25">
      <c r="A54" s="2" t="s">
        <v>83</v>
      </c>
      <c r="B54" s="2" t="s">
        <v>84</v>
      </c>
      <c r="C54" s="3">
        <v>45712</v>
      </c>
      <c r="D54" s="4">
        <v>556.53</v>
      </c>
      <c r="E54" s="4">
        <f>Table1[[#This Row],[Importe IVA incl.]]-Table1[[#This Row],[Importe]]</f>
        <v>55.649999999999977</v>
      </c>
      <c r="F54" s="4">
        <v>612.17999999999995</v>
      </c>
    </row>
    <row r="55" spans="1:6" x14ac:dyDescent="0.25">
      <c r="A55" s="2" t="s">
        <v>85</v>
      </c>
      <c r="B55" s="2" t="s">
        <v>86</v>
      </c>
      <c r="C55" s="3">
        <v>45712</v>
      </c>
      <c r="D55" s="4">
        <v>12096.63</v>
      </c>
      <c r="E55" s="4">
        <f>Table1[[#This Row],[Importe IVA incl.]]-Table1[[#This Row],[Importe]]</f>
        <v>1209.6600000000017</v>
      </c>
      <c r="F55" s="4">
        <v>13306.29</v>
      </c>
    </row>
    <row r="56" spans="1:6" x14ac:dyDescent="0.25">
      <c r="A56" s="2" t="s">
        <v>87</v>
      </c>
      <c r="B56" s="2" t="s">
        <v>12</v>
      </c>
      <c r="C56" s="3">
        <v>45712</v>
      </c>
      <c r="D56" s="4">
        <v>13976.04</v>
      </c>
      <c r="E56" s="4">
        <f>Table1[[#This Row],[Importe IVA incl.]]-Table1[[#This Row],[Importe]]</f>
        <v>1397.5999999999985</v>
      </c>
      <c r="F56" s="4">
        <v>15373.64</v>
      </c>
    </row>
    <row r="57" spans="1:6" x14ac:dyDescent="0.25">
      <c r="A57" s="2" t="s">
        <v>88</v>
      </c>
      <c r="B57" s="2" t="s">
        <v>28</v>
      </c>
      <c r="C57" s="3">
        <v>45712</v>
      </c>
      <c r="D57" s="4">
        <v>12511.2</v>
      </c>
      <c r="E57" s="4">
        <f>Table1[[#This Row],[Importe IVA incl.]]-Table1[[#This Row],[Importe]]</f>
        <v>1251.119999999999</v>
      </c>
      <c r="F57" s="4">
        <v>13762.32</v>
      </c>
    </row>
    <row r="58" spans="1:6" x14ac:dyDescent="0.25">
      <c r="A58" s="2" t="s">
        <v>89</v>
      </c>
      <c r="B58" s="2" t="s">
        <v>90</v>
      </c>
      <c r="C58" s="3">
        <v>45712</v>
      </c>
      <c r="D58" s="4">
        <v>12675</v>
      </c>
      <c r="E58" s="4">
        <f>Table1[[#This Row],[Importe IVA incl.]]-Table1[[#This Row],[Importe]]</f>
        <v>1267.5</v>
      </c>
      <c r="F58" s="4">
        <v>13942.5</v>
      </c>
    </row>
    <row r="59" spans="1:6" x14ac:dyDescent="0.25">
      <c r="A59" s="2" t="s">
        <v>91</v>
      </c>
      <c r="B59" s="2" t="s">
        <v>92</v>
      </c>
      <c r="C59" s="3">
        <v>45712</v>
      </c>
      <c r="D59" s="4">
        <v>13743.91</v>
      </c>
      <c r="E59" s="4">
        <f>Table1[[#This Row],[Importe IVA incl.]]-Table1[[#This Row],[Importe]]</f>
        <v>1374.3899999999994</v>
      </c>
      <c r="F59" s="4">
        <v>15118.3</v>
      </c>
    </row>
    <row r="60" spans="1:6" x14ac:dyDescent="0.25">
      <c r="A60" s="2" t="s">
        <v>93</v>
      </c>
      <c r="B60" s="2" t="s">
        <v>28</v>
      </c>
      <c r="C60" s="3">
        <v>45712</v>
      </c>
      <c r="D60" s="4">
        <v>13494</v>
      </c>
      <c r="E60" s="4">
        <f>Table1[[#This Row],[Importe IVA incl.]]-Table1[[#This Row],[Importe]]</f>
        <v>1349.3999999999996</v>
      </c>
      <c r="F60" s="4">
        <v>14843.4</v>
      </c>
    </row>
    <row r="61" spans="1:6" x14ac:dyDescent="0.25">
      <c r="A61" s="2" t="s">
        <v>94</v>
      </c>
      <c r="B61" s="2" t="s">
        <v>32</v>
      </c>
      <c r="C61" s="3">
        <v>45712</v>
      </c>
      <c r="D61" s="4">
        <v>10820.55</v>
      </c>
      <c r="E61" s="4">
        <f>Table1[[#This Row],[Importe IVA incl.]]-Table1[[#This Row],[Importe]]</f>
        <v>1082.0600000000013</v>
      </c>
      <c r="F61" s="4">
        <v>11902.61</v>
      </c>
    </row>
    <row r="62" spans="1:6" x14ac:dyDescent="0.25">
      <c r="A62" s="2" t="s">
        <v>95</v>
      </c>
      <c r="B62" s="2" t="s">
        <v>96</v>
      </c>
      <c r="C62" s="3">
        <v>45712</v>
      </c>
      <c r="D62" s="4">
        <v>13047.45</v>
      </c>
      <c r="E62" s="4">
        <f>Table1[[#This Row],[Importe IVA incl.]]-Table1[[#This Row],[Importe]]</f>
        <v>1304.75</v>
      </c>
      <c r="F62" s="4">
        <v>14352.2</v>
      </c>
    </row>
    <row r="63" spans="1:6" x14ac:dyDescent="0.25">
      <c r="A63" s="2" t="s">
        <v>97</v>
      </c>
      <c r="B63" s="2" t="s">
        <v>98</v>
      </c>
      <c r="C63" s="3">
        <v>45712</v>
      </c>
      <c r="D63" s="4">
        <v>1224.99</v>
      </c>
      <c r="E63" s="4">
        <f>Table1[[#This Row],[Importe IVA incl.]]-Table1[[#This Row],[Importe]]</f>
        <v>122.5</v>
      </c>
      <c r="F63" s="4">
        <v>1347.49</v>
      </c>
    </row>
    <row r="64" spans="1:6" x14ac:dyDescent="0.25">
      <c r="A64" s="2" t="s">
        <v>99</v>
      </c>
      <c r="B64" s="2" t="s">
        <v>100</v>
      </c>
      <c r="C64" s="3">
        <v>45709</v>
      </c>
      <c r="D64" s="4">
        <v>17340.689999999999</v>
      </c>
      <c r="E64" s="4">
        <f>Table1[[#This Row],[Importe IVA incl.]]-Table1[[#This Row],[Importe]]</f>
        <v>0</v>
      </c>
      <c r="F64" s="4">
        <v>17340.689999999999</v>
      </c>
    </row>
    <row r="65" spans="1:6" x14ac:dyDescent="0.25">
      <c r="A65" s="2" t="s">
        <v>101</v>
      </c>
      <c r="B65" s="2" t="s">
        <v>12</v>
      </c>
      <c r="C65" s="3">
        <v>45709</v>
      </c>
      <c r="D65" s="4">
        <v>13976.04</v>
      </c>
      <c r="E65" s="4">
        <f>Table1[[#This Row],[Importe IVA incl.]]-Table1[[#This Row],[Importe]]</f>
        <v>1397.5999999999985</v>
      </c>
      <c r="F65" s="4">
        <v>15373.64</v>
      </c>
    </row>
    <row r="66" spans="1:6" x14ac:dyDescent="0.25">
      <c r="A66" s="2" t="s">
        <v>102</v>
      </c>
      <c r="B66" s="2" t="s">
        <v>103</v>
      </c>
      <c r="C66" s="3">
        <v>45709</v>
      </c>
      <c r="D66" s="4">
        <v>16323.31</v>
      </c>
      <c r="E66" s="4">
        <f>Table1[[#This Row],[Importe IVA incl.]]-Table1[[#This Row],[Importe]]</f>
        <v>0</v>
      </c>
      <c r="F66" s="4">
        <v>16323.31</v>
      </c>
    </row>
    <row r="67" spans="1:6" x14ac:dyDescent="0.25">
      <c r="A67" s="2" t="s">
        <v>104</v>
      </c>
      <c r="B67" s="2" t="s">
        <v>10</v>
      </c>
      <c r="C67" s="3">
        <v>45709</v>
      </c>
      <c r="D67" s="4">
        <v>14504.84</v>
      </c>
      <c r="E67" s="4">
        <f>Table1[[#This Row],[Importe IVA incl.]]-Table1[[#This Row],[Importe]]</f>
        <v>0</v>
      </c>
      <c r="F67" s="4">
        <v>14504.84</v>
      </c>
    </row>
    <row r="68" spans="1:6" x14ac:dyDescent="0.25">
      <c r="A68" s="2" t="s">
        <v>105</v>
      </c>
      <c r="B68" s="2" t="s">
        <v>106</v>
      </c>
      <c r="C68" s="3">
        <v>45709</v>
      </c>
      <c r="D68" s="4">
        <v>7759.71</v>
      </c>
      <c r="E68" s="4">
        <f>Table1[[#This Row],[Importe IVA incl.]]-Table1[[#This Row],[Importe]]</f>
        <v>775.97000000000025</v>
      </c>
      <c r="F68" s="4">
        <v>8535.68</v>
      </c>
    </row>
    <row r="69" spans="1:6" x14ac:dyDescent="0.25">
      <c r="A69" s="2" t="s">
        <v>107</v>
      </c>
      <c r="B69" s="2" t="s">
        <v>108</v>
      </c>
      <c r="C69" s="3">
        <v>45709</v>
      </c>
      <c r="D69" s="4">
        <v>15998.11</v>
      </c>
      <c r="E69" s="4">
        <f>Table1[[#This Row],[Importe IVA incl.]]-Table1[[#This Row],[Importe]]</f>
        <v>0</v>
      </c>
      <c r="F69" s="4">
        <v>15998.11</v>
      </c>
    </row>
    <row r="70" spans="1:6" x14ac:dyDescent="0.25">
      <c r="A70" s="2" t="s">
        <v>109</v>
      </c>
      <c r="B70" s="2" t="s">
        <v>58</v>
      </c>
      <c r="C70" s="3">
        <v>45709</v>
      </c>
      <c r="D70" s="4">
        <v>11265.7</v>
      </c>
      <c r="E70" s="4">
        <f>Table1[[#This Row],[Importe IVA incl.]]-Table1[[#This Row],[Importe]]</f>
        <v>1126.5699999999997</v>
      </c>
      <c r="F70" s="4">
        <v>12392.27</v>
      </c>
    </row>
    <row r="71" spans="1:6" x14ac:dyDescent="0.25">
      <c r="A71" s="2" t="s">
        <v>110</v>
      </c>
      <c r="B71" s="2" t="s">
        <v>25</v>
      </c>
      <c r="C71" s="3">
        <v>45709</v>
      </c>
      <c r="D71" s="4">
        <v>2894.4</v>
      </c>
      <c r="E71" s="4">
        <f>Table1[[#This Row],[Importe IVA incl.]]-Table1[[#This Row],[Importe]]</f>
        <v>289.44000000000005</v>
      </c>
      <c r="F71" s="4">
        <v>3183.84</v>
      </c>
    </row>
    <row r="72" spans="1:6" x14ac:dyDescent="0.25">
      <c r="A72" s="2" t="s">
        <v>111</v>
      </c>
      <c r="B72" s="2" t="s">
        <v>25</v>
      </c>
      <c r="C72" s="3">
        <v>45709</v>
      </c>
      <c r="D72" s="4">
        <v>11330.02</v>
      </c>
      <c r="E72" s="4">
        <f>Table1[[#This Row],[Importe IVA incl.]]-Table1[[#This Row],[Importe]]</f>
        <v>1133</v>
      </c>
      <c r="F72" s="4">
        <v>12463.02</v>
      </c>
    </row>
    <row r="73" spans="1:6" x14ac:dyDescent="0.25">
      <c r="A73" s="2" t="s">
        <v>112</v>
      </c>
      <c r="B73" s="2" t="s">
        <v>12</v>
      </c>
      <c r="C73" s="3">
        <v>45709</v>
      </c>
      <c r="D73" s="4">
        <v>901.68</v>
      </c>
      <c r="E73" s="4">
        <f>Table1[[#This Row],[Importe IVA incl.]]-Table1[[#This Row],[Importe]]</f>
        <v>90.170000000000073</v>
      </c>
      <c r="F73" s="4">
        <v>991.85</v>
      </c>
    </row>
    <row r="74" spans="1:6" x14ac:dyDescent="0.25">
      <c r="A74" s="2" t="s">
        <v>113</v>
      </c>
      <c r="B74" s="2" t="s">
        <v>12</v>
      </c>
      <c r="C74" s="3">
        <v>45709</v>
      </c>
      <c r="D74" s="4">
        <v>1803.36</v>
      </c>
      <c r="E74" s="4">
        <f>Table1[[#This Row],[Importe IVA incl.]]-Table1[[#This Row],[Importe]]</f>
        <v>180.34000000000015</v>
      </c>
      <c r="F74" s="4">
        <v>1983.7</v>
      </c>
    </row>
    <row r="75" spans="1:6" x14ac:dyDescent="0.25">
      <c r="A75" s="2" t="s">
        <v>114</v>
      </c>
      <c r="B75" s="2" t="s">
        <v>12</v>
      </c>
      <c r="C75" s="3">
        <v>45709</v>
      </c>
      <c r="D75" s="4">
        <v>450.84</v>
      </c>
      <c r="E75" s="4">
        <f>Table1[[#This Row],[Importe IVA incl.]]-Table1[[#This Row],[Importe]]</f>
        <v>45.080000000000041</v>
      </c>
      <c r="F75" s="4">
        <v>495.92</v>
      </c>
    </row>
    <row r="76" spans="1:6" x14ac:dyDescent="0.25">
      <c r="A76" s="2" t="s">
        <v>115</v>
      </c>
      <c r="B76" s="2" t="s">
        <v>40</v>
      </c>
      <c r="C76" s="3">
        <v>45709</v>
      </c>
      <c r="D76" s="4">
        <v>12466.83</v>
      </c>
      <c r="E76" s="4">
        <f>Table1[[#This Row],[Importe IVA incl.]]-Table1[[#This Row],[Importe]]</f>
        <v>1246.6800000000003</v>
      </c>
      <c r="F76" s="4">
        <v>13713.51</v>
      </c>
    </row>
    <row r="77" spans="1:6" x14ac:dyDescent="0.25">
      <c r="A77" s="2" t="s">
        <v>116</v>
      </c>
      <c r="B77" s="2" t="s">
        <v>70</v>
      </c>
      <c r="C77" s="3">
        <v>45709</v>
      </c>
      <c r="D77" s="4">
        <v>2273.38</v>
      </c>
      <c r="E77" s="4">
        <f>Table1[[#This Row],[Importe IVA incl.]]-Table1[[#This Row],[Importe]]</f>
        <v>220.19000000000005</v>
      </c>
      <c r="F77" s="4">
        <v>2493.5700000000002</v>
      </c>
    </row>
    <row r="78" spans="1:6" x14ac:dyDescent="0.25">
      <c r="A78" s="2" t="s">
        <v>117</v>
      </c>
      <c r="B78" s="2" t="s">
        <v>25</v>
      </c>
      <c r="C78" s="3">
        <v>45709</v>
      </c>
      <c r="D78" s="4">
        <v>2809.54</v>
      </c>
      <c r="E78" s="4">
        <f>Table1[[#This Row],[Importe IVA incl.]]-Table1[[#This Row],[Importe]]</f>
        <v>280.94999999999982</v>
      </c>
      <c r="F78" s="4">
        <v>3090.49</v>
      </c>
    </row>
    <row r="79" spans="1:6" x14ac:dyDescent="0.25">
      <c r="A79" s="2" t="s">
        <v>118</v>
      </c>
      <c r="B79" s="2" t="s">
        <v>96</v>
      </c>
      <c r="C79" s="3">
        <v>45709</v>
      </c>
      <c r="D79" s="4">
        <v>13759.8</v>
      </c>
      <c r="E79" s="4">
        <f>Table1[[#This Row],[Importe IVA incl.]]-Table1[[#This Row],[Importe]]</f>
        <v>1375.9800000000014</v>
      </c>
      <c r="F79" s="4">
        <v>15135.78</v>
      </c>
    </row>
    <row r="80" spans="1:6" x14ac:dyDescent="0.25">
      <c r="A80" s="2" t="s">
        <v>119</v>
      </c>
      <c r="B80" s="2" t="s">
        <v>40</v>
      </c>
      <c r="C80" s="3">
        <v>45708</v>
      </c>
      <c r="D80" s="4">
        <v>12003.85</v>
      </c>
      <c r="E80" s="4">
        <f>Table1[[#This Row],[Importe IVA incl.]]-Table1[[#This Row],[Importe]]</f>
        <v>1200.3899999999994</v>
      </c>
      <c r="F80" s="4">
        <v>13204.24</v>
      </c>
    </row>
    <row r="81" spans="1:6" x14ac:dyDescent="0.25">
      <c r="A81" s="2" t="s">
        <v>120</v>
      </c>
      <c r="B81" s="2" t="s">
        <v>32</v>
      </c>
      <c r="C81" s="3">
        <v>45708</v>
      </c>
      <c r="D81" s="4">
        <v>10136.01</v>
      </c>
      <c r="E81" s="4">
        <f>Table1[[#This Row],[Importe IVA incl.]]-Table1[[#This Row],[Importe]]</f>
        <v>1013.6000000000004</v>
      </c>
      <c r="F81" s="4">
        <v>11149.61</v>
      </c>
    </row>
    <row r="82" spans="1:6" x14ac:dyDescent="0.25">
      <c r="A82" s="2" t="s">
        <v>121</v>
      </c>
      <c r="B82" s="2" t="s">
        <v>25</v>
      </c>
      <c r="C82" s="3">
        <v>45708</v>
      </c>
      <c r="D82" s="4">
        <v>10711.5</v>
      </c>
      <c r="E82" s="4">
        <f>Table1[[#This Row],[Importe IVA incl.]]-Table1[[#This Row],[Importe]]</f>
        <v>1097.5499999999993</v>
      </c>
      <c r="F82" s="4">
        <v>11809.05</v>
      </c>
    </row>
    <row r="83" spans="1:6" x14ac:dyDescent="0.25">
      <c r="A83" s="2" t="s">
        <v>122</v>
      </c>
      <c r="B83" s="2" t="s">
        <v>36</v>
      </c>
      <c r="C83" s="3">
        <v>45708</v>
      </c>
      <c r="D83" s="4">
        <v>12113.98</v>
      </c>
      <c r="E83" s="4">
        <f>Table1[[#This Row],[Importe IVA incl.]]-Table1[[#This Row],[Importe]]</f>
        <v>1211.3999999999996</v>
      </c>
      <c r="F83" s="4">
        <v>13325.38</v>
      </c>
    </row>
    <row r="84" spans="1:6" x14ac:dyDescent="0.25">
      <c r="A84" s="2" t="s">
        <v>123</v>
      </c>
      <c r="B84" s="2" t="s">
        <v>124</v>
      </c>
      <c r="C84" s="3">
        <v>45708</v>
      </c>
      <c r="D84" s="4">
        <v>14868.3</v>
      </c>
      <c r="E84" s="4">
        <f>Table1[[#This Row],[Importe IVA incl.]]-Table1[[#This Row],[Importe]]</f>
        <v>0</v>
      </c>
      <c r="F84" s="4">
        <v>14868.3</v>
      </c>
    </row>
    <row r="85" spans="1:6" x14ac:dyDescent="0.25">
      <c r="A85" s="2" t="s">
        <v>125</v>
      </c>
      <c r="B85" s="2" t="s">
        <v>36</v>
      </c>
      <c r="C85" s="3">
        <v>45708</v>
      </c>
      <c r="D85" s="4">
        <v>13415.28</v>
      </c>
      <c r="E85" s="4">
        <f>Table1[[#This Row],[Importe IVA incl.]]-Table1[[#This Row],[Importe]]</f>
        <v>1341.5299999999988</v>
      </c>
      <c r="F85" s="4">
        <v>14756.81</v>
      </c>
    </row>
    <row r="86" spans="1:6" x14ac:dyDescent="0.25">
      <c r="A86" s="2" t="s">
        <v>126</v>
      </c>
      <c r="B86" s="2" t="s">
        <v>25</v>
      </c>
      <c r="C86" s="3">
        <v>45708</v>
      </c>
      <c r="D86" s="4">
        <v>4903.25</v>
      </c>
      <c r="E86" s="4">
        <f>Table1[[#This Row],[Importe IVA incl.]]-Table1[[#This Row],[Importe]]</f>
        <v>490.32999999999993</v>
      </c>
      <c r="F86" s="4">
        <v>5393.58</v>
      </c>
    </row>
    <row r="87" spans="1:6" x14ac:dyDescent="0.25">
      <c r="A87" s="2" t="s">
        <v>127</v>
      </c>
      <c r="B87" s="2" t="s">
        <v>48</v>
      </c>
      <c r="C87" s="3">
        <v>45708</v>
      </c>
      <c r="D87" s="4">
        <v>11713.73</v>
      </c>
      <c r="E87" s="4">
        <f>Table1[[#This Row],[Importe IVA incl.]]-Table1[[#This Row],[Importe]]</f>
        <v>1171.3700000000008</v>
      </c>
      <c r="F87" s="4">
        <v>12885.1</v>
      </c>
    </row>
    <row r="88" spans="1:6" x14ac:dyDescent="0.25">
      <c r="A88" s="2" t="s">
        <v>128</v>
      </c>
      <c r="B88" s="2" t="s">
        <v>12</v>
      </c>
      <c r="C88" s="3">
        <v>45708</v>
      </c>
      <c r="D88" s="4">
        <v>462.96</v>
      </c>
      <c r="E88" s="4">
        <f>Table1[[#This Row],[Importe IVA incl.]]-Table1[[#This Row],[Importe]]</f>
        <v>46.300000000000011</v>
      </c>
      <c r="F88" s="4">
        <v>509.26</v>
      </c>
    </row>
    <row r="89" spans="1:6" x14ac:dyDescent="0.25">
      <c r="A89" s="2" t="s">
        <v>129</v>
      </c>
      <c r="B89" s="2" t="s">
        <v>12</v>
      </c>
      <c r="C89" s="3">
        <v>45708</v>
      </c>
      <c r="D89" s="4">
        <v>462.96</v>
      </c>
      <c r="E89" s="4">
        <f>Table1[[#This Row],[Importe IVA incl.]]-Table1[[#This Row],[Importe]]</f>
        <v>46.300000000000011</v>
      </c>
      <c r="F89" s="4">
        <v>509.26</v>
      </c>
    </row>
    <row r="90" spans="1:6" x14ac:dyDescent="0.25">
      <c r="A90" s="2" t="s">
        <v>130</v>
      </c>
      <c r="B90" s="2" t="s">
        <v>12</v>
      </c>
      <c r="C90" s="3">
        <v>45708</v>
      </c>
      <c r="D90" s="4">
        <v>2702.7</v>
      </c>
      <c r="E90" s="4">
        <f>Table1[[#This Row],[Importe IVA incl.]]-Table1[[#This Row],[Importe]]</f>
        <v>270.27</v>
      </c>
      <c r="F90" s="4">
        <v>2972.97</v>
      </c>
    </row>
    <row r="91" spans="1:6" x14ac:dyDescent="0.25">
      <c r="A91" s="2" t="s">
        <v>131</v>
      </c>
      <c r="B91" s="2" t="s">
        <v>132</v>
      </c>
      <c r="C91" s="3">
        <v>45708</v>
      </c>
      <c r="D91" s="4">
        <v>468</v>
      </c>
      <c r="E91" s="4">
        <f>Table1[[#This Row],[Importe IVA incl.]]-Table1[[#This Row],[Importe]]</f>
        <v>46.799999999999955</v>
      </c>
      <c r="F91" s="4">
        <v>514.79999999999995</v>
      </c>
    </row>
    <row r="92" spans="1:6" x14ac:dyDescent="0.25">
      <c r="A92" s="2" t="s">
        <v>133</v>
      </c>
      <c r="B92" s="2" t="s">
        <v>134</v>
      </c>
      <c r="C92" s="3">
        <v>45708</v>
      </c>
      <c r="D92" s="4">
        <v>1180.6199999999999</v>
      </c>
      <c r="E92" s="4">
        <f>Table1[[#This Row],[Importe IVA incl.]]-Table1[[#This Row],[Importe]]</f>
        <v>132.58000000000015</v>
      </c>
      <c r="F92" s="4">
        <v>1313.2</v>
      </c>
    </row>
    <row r="93" spans="1:6" x14ac:dyDescent="0.25">
      <c r="A93" s="2" t="s">
        <v>135</v>
      </c>
      <c r="B93" s="2" t="s">
        <v>136</v>
      </c>
      <c r="C93" s="3">
        <v>45708</v>
      </c>
      <c r="D93" s="4">
        <v>14334.85</v>
      </c>
      <c r="E93" s="4">
        <f>Table1[[#This Row],[Importe IVA incl.]]-Table1[[#This Row],[Importe]]</f>
        <v>0</v>
      </c>
      <c r="F93" s="4">
        <v>14334.85</v>
      </c>
    </row>
    <row r="94" spans="1:6" x14ac:dyDescent="0.25">
      <c r="A94" s="2" t="s">
        <v>137</v>
      </c>
      <c r="B94" s="2" t="s">
        <v>25</v>
      </c>
      <c r="C94" s="3">
        <v>45708</v>
      </c>
      <c r="D94" s="4">
        <v>10711.5</v>
      </c>
      <c r="E94" s="4">
        <f>Table1[[#This Row],[Importe IVA incl.]]-Table1[[#This Row],[Importe]]</f>
        <v>1097.5499999999993</v>
      </c>
      <c r="F94" s="4">
        <v>11809.05</v>
      </c>
    </row>
    <row r="95" spans="1:6" x14ac:dyDescent="0.25">
      <c r="A95" s="2" t="s">
        <v>138</v>
      </c>
      <c r="B95" s="2" t="s">
        <v>32</v>
      </c>
      <c r="C95" s="3">
        <v>45708</v>
      </c>
      <c r="D95" s="4">
        <v>10854.96</v>
      </c>
      <c r="E95" s="4">
        <f>Table1[[#This Row],[Importe IVA incl.]]-Table1[[#This Row],[Importe]]</f>
        <v>1085.5</v>
      </c>
      <c r="F95" s="4">
        <v>11940.46</v>
      </c>
    </row>
    <row r="96" spans="1:6" x14ac:dyDescent="0.25">
      <c r="A96" s="2" t="s">
        <v>139</v>
      </c>
      <c r="B96" s="2" t="s">
        <v>70</v>
      </c>
      <c r="C96" s="3">
        <v>45708</v>
      </c>
      <c r="D96" s="4">
        <v>3877.53</v>
      </c>
      <c r="E96" s="4">
        <f>Table1[[#This Row],[Importe IVA incl.]]-Table1[[#This Row],[Importe]]</f>
        <v>387.74999999999955</v>
      </c>
      <c r="F96" s="4">
        <v>4265.28</v>
      </c>
    </row>
    <row r="97" spans="1:6" x14ac:dyDescent="0.25">
      <c r="A97" s="2" t="s">
        <v>140</v>
      </c>
      <c r="B97" s="2" t="s">
        <v>25</v>
      </c>
      <c r="C97" s="3">
        <v>45708</v>
      </c>
      <c r="D97" s="4">
        <v>2485.5500000000002</v>
      </c>
      <c r="E97" s="4">
        <f>Table1[[#This Row],[Importe IVA incl.]]-Table1[[#This Row],[Importe]]</f>
        <v>248.55999999999995</v>
      </c>
      <c r="F97" s="4">
        <v>2734.11</v>
      </c>
    </row>
    <row r="98" spans="1:6" x14ac:dyDescent="0.25">
      <c r="A98" s="2" t="s">
        <v>141</v>
      </c>
      <c r="B98" s="2" t="s">
        <v>36</v>
      </c>
      <c r="C98" s="3">
        <v>45708</v>
      </c>
      <c r="D98" s="4">
        <v>12681.16</v>
      </c>
      <c r="E98" s="4">
        <f>Table1[[#This Row],[Importe IVA incl.]]-Table1[[#This Row],[Importe]]</f>
        <v>1268.1200000000008</v>
      </c>
      <c r="F98" s="4">
        <v>13949.28</v>
      </c>
    </row>
    <row r="99" spans="1:6" x14ac:dyDescent="0.25">
      <c r="A99" s="2" t="s">
        <v>142</v>
      </c>
      <c r="B99" s="2" t="s">
        <v>25</v>
      </c>
      <c r="C99" s="3">
        <v>45707</v>
      </c>
      <c r="D99" s="4">
        <v>10711.5</v>
      </c>
      <c r="E99" s="4">
        <f>Table1[[#This Row],[Importe IVA incl.]]-Table1[[#This Row],[Importe]]</f>
        <v>1097.5499999999993</v>
      </c>
      <c r="F99" s="4">
        <v>11809.05</v>
      </c>
    </row>
    <row r="100" spans="1:6" x14ac:dyDescent="0.25">
      <c r="A100" s="2" t="s">
        <v>143</v>
      </c>
      <c r="B100" s="2" t="s">
        <v>32</v>
      </c>
      <c r="C100" s="3">
        <v>45707</v>
      </c>
      <c r="D100" s="4">
        <v>4707.82</v>
      </c>
      <c r="E100" s="4">
        <f>Table1[[#This Row],[Importe IVA incl.]]-Table1[[#This Row],[Importe]]</f>
        <v>470.78000000000065</v>
      </c>
      <c r="F100" s="4">
        <v>5178.6000000000004</v>
      </c>
    </row>
    <row r="101" spans="1:6" x14ac:dyDescent="0.25">
      <c r="A101" s="2" t="s">
        <v>144</v>
      </c>
      <c r="B101" s="2" t="s">
        <v>25</v>
      </c>
      <c r="C101" s="3">
        <v>45707</v>
      </c>
      <c r="D101" s="4">
        <v>389.26</v>
      </c>
      <c r="E101" s="4">
        <f>Table1[[#This Row],[Importe IVA incl.]]-Table1[[#This Row],[Importe]]</f>
        <v>38.930000000000007</v>
      </c>
      <c r="F101" s="4">
        <v>428.19</v>
      </c>
    </row>
    <row r="102" spans="1:6" x14ac:dyDescent="0.25">
      <c r="A102" s="2" t="s">
        <v>145</v>
      </c>
      <c r="B102" s="2" t="s">
        <v>70</v>
      </c>
      <c r="C102" s="3">
        <v>45707</v>
      </c>
      <c r="D102" s="4">
        <v>349.05</v>
      </c>
      <c r="E102" s="4">
        <f>Table1[[#This Row],[Importe IVA incl.]]-Table1[[#This Row],[Importe]]</f>
        <v>34.909999999999968</v>
      </c>
      <c r="F102" s="4">
        <v>383.96</v>
      </c>
    </row>
    <row r="103" spans="1:6" x14ac:dyDescent="0.25">
      <c r="A103" s="2" t="s">
        <v>146</v>
      </c>
      <c r="B103" s="2" t="s">
        <v>36</v>
      </c>
      <c r="C103" s="3">
        <v>45707</v>
      </c>
      <c r="D103" s="4">
        <v>12653.4</v>
      </c>
      <c r="E103" s="4">
        <f>Table1[[#This Row],[Importe IVA incl.]]-Table1[[#This Row],[Importe]]</f>
        <v>1265.3400000000001</v>
      </c>
      <c r="F103" s="4">
        <v>13918.74</v>
      </c>
    </row>
    <row r="104" spans="1:6" x14ac:dyDescent="0.25">
      <c r="A104" s="2" t="s">
        <v>147</v>
      </c>
      <c r="B104" s="2" t="s">
        <v>148</v>
      </c>
      <c r="C104" s="3">
        <v>45707</v>
      </c>
      <c r="D104" s="4">
        <v>1984.17</v>
      </c>
      <c r="E104" s="4">
        <f>Table1[[#This Row],[Importe IVA incl.]]-Table1[[#This Row],[Importe]]</f>
        <v>226.19999999999982</v>
      </c>
      <c r="F104" s="4">
        <v>2210.37</v>
      </c>
    </row>
    <row r="105" spans="1:6" x14ac:dyDescent="0.25">
      <c r="A105" s="2" t="s">
        <v>149</v>
      </c>
      <c r="B105" s="2" t="s">
        <v>36</v>
      </c>
      <c r="C105" s="3">
        <v>45707</v>
      </c>
      <c r="D105" s="4">
        <v>3083.4</v>
      </c>
      <c r="E105" s="4">
        <f>Table1[[#This Row],[Importe IVA incl.]]-Table1[[#This Row],[Importe]]</f>
        <v>308.33999999999969</v>
      </c>
      <c r="F105" s="4">
        <v>3391.74</v>
      </c>
    </row>
    <row r="106" spans="1:6" x14ac:dyDescent="0.25">
      <c r="A106" s="2" t="s">
        <v>150</v>
      </c>
      <c r="B106" s="2" t="s">
        <v>28</v>
      </c>
      <c r="C106" s="3">
        <v>45707</v>
      </c>
      <c r="D106" s="4">
        <v>10335</v>
      </c>
      <c r="E106" s="4">
        <f>Table1[[#This Row],[Importe IVA incl.]]-Table1[[#This Row],[Importe]]</f>
        <v>1033.5</v>
      </c>
      <c r="F106" s="4">
        <v>11368.5</v>
      </c>
    </row>
    <row r="107" spans="1:6" x14ac:dyDescent="0.25">
      <c r="A107" s="2" t="s">
        <v>151</v>
      </c>
      <c r="B107" s="2" t="s">
        <v>36</v>
      </c>
      <c r="C107" s="3">
        <v>45707</v>
      </c>
      <c r="D107" s="4">
        <v>12475.48</v>
      </c>
      <c r="E107" s="4">
        <f>Table1[[#This Row],[Importe IVA incl.]]-Table1[[#This Row],[Importe]]</f>
        <v>1247.5500000000011</v>
      </c>
      <c r="F107" s="4">
        <v>13723.03</v>
      </c>
    </row>
    <row r="108" spans="1:6" x14ac:dyDescent="0.25">
      <c r="A108" s="2" t="s">
        <v>152</v>
      </c>
      <c r="B108" s="2" t="s">
        <v>86</v>
      </c>
      <c r="C108" s="3">
        <v>45707</v>
      </c>
      <c r="D108" s="4">
        <v>374.4</v>
      </c>
      <c r="E108" s="4">
        <f>Table1[[#This Row],[Importe IVA incl.]]-Table1[[#This Row],[Importe]]</f>
        <v>37.44</v>
      </c>
      <c r="F108" s="4">
        <v>411.84</v>
      </c>
    </row>
    <row r="109" spans="1:6" x14ac:dyDescent="0.25">
      <c r="A109" s="2" t="s">
        <v>153</v>
      </c>
      <c r="B109" s="2" t="s">
        <v>86</v>
      </c>
      <c r="C109" s="3">
        <v>45707</v>
      </c>
      <c r="D109" s="4">
        <v>2620.8000000000002</v>
      </c>
      <c r="E109" s="4">
        <f>Table1[[#This Row],[Importe IVA incl.]]-Table1[[#This Row],[Importe]]</f>
        <v>262.07999999999993</v>
      </c>
      <c r="F109" s="4">
        <v>2882.88</v>
      </c>
    </row>
    <row r="110" spans="1:6" x14ac:dyDescent="0.25">
      <c r="A110" s="2" t="s">
        <v>154</v>
      </c>
      <c r="B110" s="2" t="s">
        <v>155</v>
      </c>
      <c r="C110" s="3">
        <v>45707</v>
      </c>
      <c r="D110" s="4">
        <v>14113.15</v>
      </c>
      <c r="E110" s="4">
        <f>Table1[[#This Row],[Importe IVA incl.]]-Table1[[#This Row],[Importe]]</f>
        <v>1608.8999999999996</v>
      </c>
      <c r="F110" s="4">
        <v>15722.05</v>
      </c>
    </row>
    <row r="111" spans="1:6" x14ac:dyDescent="0.25">
      <c r="A111" s="2" t="s">
        <v>156</v>
      </c>
      <c r="B111" s="2" t="s">
        <v>157</v>
      </c>
      <c r="C111" s="3">
        <v>45707</v>
      </c>
      <c r="D111" s="4">
        <v>10389.6</v>
      </c>
      <c r="E111" s="4">
        <f>Table1[[#This Row],[Importe IVA incl.]]-Table1[[#This Row],[Importe]]</f>
        <v>1038.9599999999991</v>
      </c>
      <c r="F111" s="4">
        <v>11428.56</v>
      </c>
    </row>
    <row r="112" spans="1:6" x14ac:dyDescent="0.25">
      <c r="A112" s="2" t="s">
        <v>158</v>
      </c>
      <c r="B112" s="2" t="s">
        <v>70</v>
      </c>
      <c r="C112" s="3">
        <v>45707</v>
      </c>
      <c r="D112" s="4">
        <v>1166.7</v>
      </c>
      <c r="E112" s="4">
        <f>Table1[[#This Row],[Importe IVA incl.]]-Table1[[#This Row],[Importe]]</f>
        <v>116.66999999999985</v>
      </c>
      <c r="F112" s="4">
        <v>1283.3699999999999</v>
      </c>
    </row>
    <row r="113" spans="1:6" x14ac:dyDescent="0.25">
      <c r="A113" s="2" t="s">
        <v>159</v>
      </c>
      <c r="B113" s="2" t="s">
        <v>25</v>
      </c>
      <c r="C113" s="3">
        <v>45707</v>
      </c>
      <c r="D113" s="4">
        <v>11245.26</v>
      </c>
      <c r="E113" s="4">
        <f>Table1[[#This Row],[Importe IVA incl.]]-Table1[[#This Row],[Importe]]</f>
        <v>1124.5300000000007</v>
      </c>
      <c r="F113" s="4">
        <v>12369.79</v>
      </c>
    </row>
    <row r="114" spans="1:6" x14ac:dyDescent="0.25">
      <c r="A114" s="2" t="s">
        <v>160</v>
      </c>
      <c r="B114" s="2" t="s">
        <v>25</v>
      </c>
      <c r="C114" s="3">
        <v>45707</v>
      </c>
      <c r="D114" s="4">
        <v>1481.92</v>
      </c>
      <c r="E114" s="4">
        <f>Table1[[#This Row],[Importe IVA incl.]]-Table1[[#This Row],[Importe]]</f>
        <v>148.18999999999983</v>
      </c>
      <c r="F114" s="4">
        <v>1630.11</v>
      </c>
    </row>
    <row r="115" spans="1:6" x14ac:dyDescent="0.25">
      <c r="A115" s="2" t="s">
        <v>161</v>
      </c>
      <c r="B115" s="2" t="s">
        <v>162</v>
      </c>
      <c r="C115" s="3">
        <v>45707</v>
      </c>
      <c r="D115" s="4">
        <v>8086.5</v>
      </c>
      <c r="E115" s="4">
        <f>Table1[[#This Row],[Importe IVA incl.]]-Table1[[#This Row],[Importe]]</f>
        <v>808.64999999999964</v>
      </c>
      <c r="F115" s="4">
        <v>8895.15</v>
      </c>
    </row>
    <row r="116" spans="1:6" x14ac:dyDescent="0.25">
      <c r="A116" s="2" t="s">
        <v>163</v>
      </c>
      <c r="B116" s="2" t="s">
        <v>157</v>
      </c>
      <c r="C116" s="3">
        <v>45707</v>
      </c>
      <c r="D116" s="4">
        <v>10554.57</v>
      </c>
      <c r="E116" s="4">
        <f>Table1[[#This Row],[Importe IVA incl.]]-Table1[[#This Row],[Importe]]</f>
        <v>1055.4600000000009</v>
      </c>
      <c r="F116" s="4">
        <v>11610.03</v>
      </c>
    </row>
    <row r="117" spans="1:6" x14ac:dyDescent="0.25">
      <c r="A117" s="2" t="s">
        <v>164</v>
      </c>
      <c r="B117" s="2" t="s">
        <v>36</v>
      </c>
      <c r="C117" s="3">
        <v>45707</v>
      </c>
      <c r="D117" s="4">
        <v>12779.8</v>
      </c>
      <c r="E117" s="4">
        <f>Table1[[#This Row],[Importe IVA incl.]]-Table1[[#This Row],[Importe]]</f>
        <v>1277.9800000000014</v>
      </c>
      <c r="F117" s="4">
        <v>14057.78</v>
      </c>
    </row>
    <row r="118" spans="1:6" x14ac:dyDescent="0.25">
      <c r="A118" s="2" t="s">
        <v>165</v>
      </c>
      <c r="B118" s="2" t="s">
        <v>166</v>
      </c>
      <c r="C118" s="3">
        <v>45706</v>
      </c>
      <c r="D118" s="4">
        <v>13437.6</v>
      </c>
      <c r="E118" s="4">
        <f>Table1[[#This Row],[Importe IVA incl.]]-Table1[[#This Row],[Importe]]</f>
        <v>1343.7600000000002</v>
      </c>
      <c r="F118" s="4">
        <v>14781.36</v>
      </c>
    </row>
    <row r="119" spans="1:6" x14ac:dyDescent="0.25">
      <c r="A119" s="2" t="s">
        <v>167</v>
      </c>
      <c r="B119" s="2" t="s">
        <v>12</v>
      </c>
      <c r="C119" s="3">
        <v>45706</v>
      </c>
      <c r="D119" s="4">
        <v>1352.52</v>
      </c>
      <c r="E119" s="4">
        <f>Table1[[#This Row],[Importe IVA incl.]]-Table1[[#This Row],[Importe]]</f>
        <v>135.25</v>
      </c>
      <c r="F119" s="4">
        <v>1487.77</v>
      </c>
    </row>
    <row r="120" spans="1:6" x14ac:dyDescent="0.25">
      <c r="A120" s="2" t="s">
        <v>168</v>
      </c>
      <c r="B120" s="2" t="s">
        <v>169</v>
      </c>
      <c r="C120" s="3">
        <v>45706</v>
      </c>
      <c r="D120" s="4">
        <v>1364.58</v>
      </c>
      <c r="E120" s="4">
        <f>Table1[[#This Row],[Importe IVA incl.]]-Table1[[#This Row],[Importe]]</f>
        <v>136.46000000000004</v>
      </c>
      <c r="F120" s="4">
        <v>1501.04</v>
      </c>
    </row>
    <row r="121" spans="1:6" x14ac:dyDescent="0.25">
      <c r="A121" s="2" t="s">
        <v>170</v>
      </c>
      <c r="B121" s="2" t="s">
        <v>36</v>
      </c>
      <c r="C121" s="3">
        <v>45706</v>
      </c>
      <c r="D121" s="4">
        <v>12481.8</v>
      </c>
      <c r="E121" s="4">
        <f>Table1[[#This Row],[Importe IVA incl.]]-Table1[[#This Row],[Importe]]</f>
        <v>1248.1800000000003</v>
      </c>
      <c r="F121" s="4">
        <v>13729.98</v>
      </c>
    </row>
    <row r="122" spans="1:6" x14ac:dyDescent="0.25">
      <c r="A122" s="2" t="s">
        <v>171</v>
      </c>
      <c r="B122" s="2" t="s">
        <v>92</v>
      </c>
      <c r="C122" s="3">
        <v>45706</v>
      </c>
      <c r="D122" s="4">
        <v>14457.86</v>
      </c>
      <c r="E122" s="4">
        <f>Table1[[#This Row],[Importe IVA incl.]]-Table1[[#This Row],[Importe]]</f>
        <v>1445.7899999999991</v>
      </c>
      <c r="F122" s="4">
        <v>15903.65</v>
      </c>
    </row>
    <row r="123" spans="1:6" x14ac:dyDescent="0.25">
      <c r="A123" s="2" t="s">
        <v>172</v>
      </c>
      <c r="B123" s="2" t="s">
        <v>173</v>
      </c>
      <c r="C123" s="3">
        <v>45706</v>
      </c>
      <c r="D123" s="4">
        <v>12471</v>
      </c>
      <c r="E123" s="4">
        <f>Table1[[#This Row],[Importe IVA incl.]]-Table1[[#This Row],[Importe]]</f>
        <v>0</v>
      </c>
      <c r="F123" s="4">
        <v>12471</v>
      </c>
    </row>
    <row r="124" spans="1:6" x14ac:dyDescent="0.25">
      <c r="A124" s="2" t="s">
        <v>174</v>
      </c>
      <c r="B124" s="2" t="s">
        <v>175</v>
      </c>
      <c r="C124" s="3">
        <v>45705</v>
      </c>
      <c r="D124" s="4">
        <v>15663</v>
      </c>
      <c r="E124" s="4">
        <f>Table1[[#This Row],[Importe IVA incl.]]-Table1[[#This Row],[Importe]]</f>
        <v>0</v>
      </c>
      <c r="F124" s="4">
        <v>15663</v>
      </c>
    </row>
    <row r="125" spans="1:6" x14ac:dyDescent="0.25">
      <c r="A125" s="2" t="s">
        <v>176</v>
      </c>
      <c r="B125" s="2" t="s">
        <v>177</v>
      </c>
      <c r="C125" s="3">
        <v>45705</v>
      </c>
      <c r="D125" s="4">
        <v>12417.75</v>
      </c>
      <c r="E125" s="4">
        <f>Table1[[#This Row],[Importe IVA incl.]]-Table1[[#This Row],[Importe]]</f>
        <v>1241.7800000000007</v>
      </c>
      <c r="F125" s="4">
        <v>13659.53</v>
      </c>
    </row>
    <row r="126" spans="1:6" x14ac:dyDescent="0.25">
      <c r="A126" s="2" t="s">
        <v>178</v>
      </c>
      <c r="B126" s="2" t="s">
        <v>25</v>
      </c>
      <c r="C126" s="3">
        <v>45705</v>
      </c>
      <c r="D126" s="4">
        <v>10711.5</v>
      </c>
      <c r="E126" s="4">
        <f>Table1[[#This Row],[Importe IVA incl.]]-Table1[[#This Row],[Importe]]</f>
        <v>1097.5499999999993</v>
      </c>
      <c r="F126" s="4">
        <v>11809.05</v>
      </c>
    </row>
    <row r="127" spans="1:6" x14ac:dyDescent="0.25">
      <c r="A127" s="2" t="s">
        <v>179</v>
      </c>
      <c r="B127" s="2" t="s">
        <v>90</v>
      </c>
      <c r="C127" s="3">
        <v>45705</v>
      </c>
      <c r="D127" s="4">
        <v>12959.46</v>
      </c>
      <c r="E127" s="4">
        <f>Table1[[#This Row],[Importe IVA incl.]]-Table1[[#This Row],[Importe]]</f>
        <v>1295.9500000000007</v>
      </c>
      <c r="F127" s="4">
        <v>14255.41</v>
      </c>
    </row>
    <row r="128" spans="1:6" x14ac:dyDescent="0.25">
      <c r="A128" s="2" t="s">
        <v>180</v>
      </c>
      <c r="B128" s="2" t="s">
        <v>25</v>
      </c>
      <c r="C128" s="3">
        <v>45705</v>
      </c>
      <c r="D128" s="4">
        <v>10711.5</v>
      </c>
      <c r="E128" s="4">
        <f>Table1[[#This Row],[Importe IVA incl.]]-Table1[[#This Row],[Importe]]</f>
        <v>1097.5499999999993</v>
      </c>
      <c r="F128" s="4">
        <v>11809.05</v>
      </c>
    </row>
    <row r="129" spans="1:6" x14ac:dyDescent="0.25">
      <c r="A129" s="2" t="s">
        <v>181</v>
      </c>
      <c r="B129" s="2" t="s">
        <v>68</v>
      </c>
      <c r="C129" s="3">
        <v>45705</v>
      </c>
      <c r="D129" s="4">
        <v>11611.24</v>
      </c>
      <c r="E129" s="4">
        <f>Table1[[#This Row],[Importe IVA incl.]]-Table1[[#This Row],[Importe]]</f>
        <v>1323.6800000000003</v>
      </c>
      <c r="F129" s="4">
        <v>12934.92</v>
      </c>
    </row>
    <row r="130" spans="1:6" x14ac:dyDescent="0.25">
      <c r="A130" s="2" t="s">
        <v>182</v>
      </c>
      <c r="B130" s="2" t="s">
        <v>54</v>
      </c>
      <c r="C130" s="3">
        <v>45705</v>
      </c>
      <c r="D130" s="4">
        <v>11829.6</v>
      </c>
      <c r="E130" s="4">
        <f>Table1[[#This Row],[Importe IVA incl.]]-Table1[[#This Row],[Importe]]</f>
        <v>1182.9599999999991</v>
      </c>
      <c r="F130" s="4">
        <v>13012.56</v>
      </c>
    </row>
    <row r="131" spans="1:6" x14ac:dyDescent="0.25">
      <c r="A131" s="2" t="s">
        <v>183</v>
      </c>
      <c r="B131" s="2" t="s">
        <v>184</v>
      </c>
      <c r="C131" s="3">
        <v>45705</v>
      </c>
      <c r="D131" s="4">
        <v>16595.36</v>
      </c>
      <c r="E131" s="4">
        <f>Table1[[#This Row],[Importe IVA incl.]]-Table1[[#This Row],[Importe]]</f>
        <v>0</v>
      </c>
      <c r="F131" s="4">
        <v>16595.36</v>
      </c>
    </row>
    <row r="132" spans="1:6" x14ac:dyDescent="0.25">
      <c r="A132" s="2" t="s">
        <v>185</v>
      </c>
      <c r="B132" s="2" t="s">
        <v>48</v>
      </c>
      <c r="C132" s="3">
        <v>45705</v>
      </c>
      <c r="D132" s="4">
        <v>473.16</v>
      </c>
      <c r="E132" s="4">
        <f>Table1[[#This Row],[Importe IVA incl.]]-Table1[[#This Row],[Importe]]</f>
        <v>54.579999999999984</v>
      </c>
      <c r="F132" s="4">
        <v>527.74</v>
      </c>
    </row>
    <row r="133" spans="1:6" x14ac:dyDescent="0.25">
      <c r="A133" s="2" t="s">
        <v>186</v>
      </c>
      <c r="B133" s="2" t="s">
        <v>12</v>
      </c>
      <c r="C133" s="3">
        <v>45705</v>
      </c>
      <c r="D133" s="4">
        <v>1158.3</v>
      </c>
      <c r="E133" s="4">
        <f>Table1[[#This Row],[Importe IVA incl.]]-Table1[[#This Row],[Importe]]</f>
        <v>115.83000000000015</v>
      </c>
      <c r="F133" s="4">
        <v>1274.1300000000001</v>
      </c>
    </row>
    <row r="134" spans="1:6" x14ac:dyDescent="0.25">
      <c r="A134" s="2" t="s">
        <v>187</v>
      </c>
      <c r="B134" s="2" t="s">
        <v>25</v>
      </c>
      <c r="C134" s="3">
        <v>45705</v>
      </c>
      <c r="D134" s="4">
        <v>4085.85</v>
      </c>
      <c r="E134" s="4">
        <f>Table1[[#This Row],[Importe IVA incl.]]-Table1[[#This Row],[Importe]]</f>
        <v>408.58999999999969</v>
      </c>
      <c r="F134" s="4">
        <v>4494.4399999999996</v>
      </c>
    </row>
    <row r="135" spans="1:6" x14ac:dyDescent="0.25">
      <c r="A135" s="2" t="s">
        <v>188</v>
      </c>
      <c r="B135" s="2" t="s">
        <v>25</v>
      </c>
      <c r="C135" s="3">
        <v>45705</v>
      </c>
      <c r="D135" s="4">
        <v>1028.04</v>
      </c>
      <c r="E135" s="4">
        <f>Table1[[#This Row],[Importe IVA incl.]]-Table1[[#This Row],[Importe]]</f>
        <v>102.79999999999995</v>
      </c>
      <c r="F135" s="4">
        <v>1130.8399999999999</v>
      </c>
    </row>
    <row r="136" spans="1:6" x14ac:dyDescent="0.25">
      <c r="A136" s="2" t="s">
        <v>189</v>
      </c>
      <c r="B136" s="2" t="s">
        <v>25</v>
      </c>
      <c r="C136" s="3">
        <v>45705</v>
      </c>
      <c r="D136" s="4">
        <v>2595.06</v>
      </c>
      <c r="E136" s="4">
        <f>Table1[[#This Row],[Importe IVA incl.]]-Table1[[#This Row],[Importe]]</f>
        <v>259.51000000000022</v>
      </c>
      <c r="F136" s="4">
        <v>2854.57</v>
      </c>
    </row>
    <row r="137" spans="1:6" x14ac:dyDescent="0.25">
      <c r="A137" s="2" t="s">
        <v>190</v>
      </c>
      <c r="B137" s="2" t="s">
        <v>32</v>
      </c>
      <c r="C137" s="3">
        <v>45705</v>
      </c>
      <c r="D137" s="4">
        <v>1868.53</v>
      </c>
      <c r="E137" s="4">
        <f>Table1[[#This Row],[Importe IVA incl.]]-Table1[[#This Row],[Importe]]</f>
        <v>186.85000000000014</v>
      </c>
      <c r="F137" s="4">
        <v>2055.38</v>
      </c>
    </row>
    <row r="138" spans="1:6" x14ac:dyDescent="0.25">
      <c r="A138" s="2" t="s">
        <v>191</v>
      </c>
      <c r="B138" s="2" t="s">
        <v>32</v>
      </c>
      <c r="C138" s="3">
        <v>45705</v>
      </c>
      <c r="D138" s="4">
        <v>11013.6</v>
      </c>
      <c r="E138" s="4">
        <f>Table1[[#This Row],[Importe IVA incl.]]-Table1[[#This Row],[Importe]]</f>
        <v>1094.8799999999992</v>
      </c>
      <c r="F138" s="4">
        <v>12108.48</v>
      </c>
    </row>
    <row r="139" spans="1:6" x14ac:dyDescent="0.25">
      <c r="A139" s="2" t="s">
        <v>192</v>
      </c>
      <c r="B139" s="2" t="s">
        <v>36</v>
      </c>
      <c r="C139" s="3">
        <v>45705</v>
      </c>
      <c r="D139" s="4">
        <v>11617.6</v>
      </c>
      <c r="E139" s="4">
        <f>Table1[[#This Row],[Importe IVA incl.]]-Table1[[#This Row],[Importe]]</f>
        <v>1161.7600000000002</v>
      </c>
      <c r="F139" s="4">
        <v>12779.36</v>
      </c>
    </row>
    <row r="140" spans="1:6" x14ac:dyDescent="0.25">
      <c r="A140" s="2" t="s">
        <v>193</v>
      </c>
      <c r="B140" s="2" t="s">
        <v>12</v>
      </c>
      <c r="C140" s="3">
        <v>45705</v>
      </c>
      <c r="D140" s="4">
        <v>11990.94</v>
      </c>
      <c r="E140" s="4">
        <f>Table1[[#This Row],[Importe IVA incl.]]-Table1[[#This Row],[Importe]]</f>
        <v>1199.0900000000001</v>
      </c>
      <c r="F140" s="4">
        <v>13190.03</v>
      </c>
    </row>
    <row r="141" spans="1:6" x14ac:dyDescent="0.25">
      <c r="A141" s="2" t="s">
        <v>194</v>
      </c>
      <c r="B141" s="2" t="s">
        <v>32</v>
      </c>
      <c r="C141" s="3">
        <v>45705</v>
      </c>
      <c r="D141" s="4">
        <v>3424</v>
      </c>
      <c r="E141" s="4">
        <f>Table1[[#This Row],[Importe IVA incl.]]-Table1[[#This Row],[Importe]]</f>
        <v>342.40000000000009</v>
      </c>
      <c r="F141" s="4">
        <v>3766.4</v>
      </c>
    </row>
    <row r="142" spans="1:6" x14ac:dyDescent="0.25">
      <c r="A142" s="2" t="s">
        <v>195</v>
      </c>
      <c r="B142" s="2" t="s">
        <v>32</v>
      </c>
      <c r="C142" s="3">
        <v>45705</v>
      </c>
      <c r="D142" s="4">
        <v>1557.04</v>
      </c>
      <c r="E142" s="4">
        <f>Table1[[#This Row],[Importe IVA incl.]]-Table1[[#This Row],[Importe]]</f>
        <v>155.70000000000005</v>
      </c>
      <c r="F142" s="4">
        <v>1712.74</v>
      </c>
    </row>
    <row r="143" spans="1:6" x14ac:dyDescent="0.25">
      <c r="A143" s="2" t="s">
        <v>196</v>
      </c>
      <c r="B143" s="2" t="s">
        <v>25</v>
      </c>
      <c r="C143" s="3">
        <v>45705</v>
      </c>
      <c r="D143" s="4">
        <v>5055.7299999999996</v>
      </c>
      <c r="E143" s="4">
        <f>Table1[[#This Row],[Importe IVA incl.]]-Table1[[#This Row],[Importe]]</f>
        <v>505.57000000000062</v>
      </c>
      <c r="F143" s="4">
        <v>5561.3</v>
      </c>
    </row>
    <row r="144" spans="1:6" x14ac:dyDescent="0.25">
      <c r="A144" s="2" t="s">
        <v>197</v>
      </c>
      <c r="B144" s="2" t="s">
        <v>198</v>
      </c>
      <c r="C144" s="3">
        <v>45702</v>
      </c>
      <c r="D144" s="4">
        <v>13224.72</v>
      </c>
      <c r="E144" s="4">
        <f>Table1[[#This Row],[Importe IVA incl.]]-Table1[[#This Row],[Importe]]</f>
        <v>0</v>
      </c>
      <c r="F144" s="4">
        <v>13224.72</v>
      </c>
    </row>
    <row r="145" spans="1:6" x14ac:dyDescent="0.25">
      <c r="A145" s="2" t="s">
        <v>199</v>
      </c>
      <c r="B145" s="2" t="s">
        <v>12</v>
      </c>
      <c r="C145" s="3">
        <v>45702</v>
      </c>
      <c r="D145" s="4">
        <v>13247.64</v>
      </c>
      <c r="E145" s="4">
        <f>Table1[[#This Row],[Importe IVA incl.]]-Table1[[#This Row],[Importe]]</f>
        <v>1324.7600000000002</v>
      </c>
      <c r="F145" s="4">
        <v>14572.4</v>
      </c>
    </row>
    <row r="146" spans="1:6" x14ac:dyDescent="0.25">
      <c r="A146" s="2" t="s">
        <v>200</v>
      </c>
      <c r="B146" s="2" t="s">
        <v>96</v>
      </c>
      <c r="C146" s="3">
        <v>45702</v>
      </c>
      <c r="D146" s="4">
        <v>12775.49</v>
      </c>
      <c r="E146" s="4">
        <f>Table1[[#This Row],[Importe IVA incl.]]-Table1[[#This Row],[Importe]]</f>
        <v>1277.5500000000011</v>
      </c>
      <c r="F146" s="4">
        <v>14053.04</v>
      </c>
    </row>
    <row r="147" spans="1:6" x14ac:dyDescent="0.25">
      <c r="A147" s="2" t="s">
        <v>201</v>
      </c>
      <c r="B147" s="2" t="s">
        <v>25</v>
      </c>
      <c r="C147" s="3">
        <v>45702</v>
      </c>
      <c r="D147" s="4">
        <v>3940.61</v>
      </c>
      <c r="E147" s="4">
        <f>Table1[[#This Row],[Importe IVA incl.]]-Table1[[#This Row],[Importe]]</f>
        <v>394.05999999999995</v>
      </c>
      <c r="F147" s="4">
        <v>4334.67</v>
      </c>
    </row>
    <row r="148" spans="1:6" x14ac:dyDescent="0.25">
      <c r="A148" s="2" t="s">
        <v>202</v>
      </c>
      <c r="B148" s="2" t="s">
        <v>32</v>
      </c>
      <c r="C148" s="3">
        <v>45702</v>
      </c>
      <c r="D148" s="4">
        <v>5748.24</v>
      </c>
      <c r="E148" s="4">
        <f>Table1[[#This Row],[Importe IVA incl.]]-Table1[[#This Row],[Importe]]</f>
        <v>574.82000000000062</v>
      </c>
      <c r="F148" s="4">
        <v>6323.06</v>
      </c>
    </row>
    <row r="149" spans="1:6" x14ac:dyDescent="0.25">
      <c r="A149" s="2" t="s">
        <v>203</v>
      </c>
      <c r="B149" s="2" t="s">
        <v>25</v>
      </c>
      <c r="C149" s="3">
        <v>45702</v>
      </c>
      <c r="D149" s="4">
        <v>2862.6</v>
      </c>
      <c r="E149" s="4">
        <f>Table1[[#This Row],[Importe IVA incl.]]-Table1[[#This Row],[Importe]]</f>
        <v>286.26000000000022</v>
      </c>
      <c r="F149" s="4">
        <v>3148.86</v>
      </c>
    </row>
    <row r="150" spans="1:6" x14ac:dyDescent="0.25">
      <c r="A150" s="2" t="s">
        <v>204</v>
      </c>
      <c r="B150" s="2" t="s">
        <v>25</v>
      </c>
      <c r="C150" s="3">
        <v>45702</v>
      </c>
      <c r="D150" s="4">
        <v>97.66</v>
      </c>
      <c r="E150" s="4">
        <f>Table1[[#This Row],[Importe IVA incl.]]-Table1[[#This Row],[Importe]]</f>
        <v>9.7700000000000102</v>
      </c>
      <c r="F150" s="4">
        <v>107.43</v>
      </c>
    </row>
    <row r="151" spans="1:6" x14ac:dyDescent="0.25">
      <c r="A151" s="2" t="s">
        <v>205</v>
      </c>
      <c r="B151" s="2" t="s">
        <v>36</v>
      </c>
      <c r="C151" s="3">
        <v>45702</v>
      </c>
      <c r="D151" s="4">
        <v>8972.7000000000007</v>
      </c>
      <c r="E151" s="4">
        <f>Table1[[#This Row],[Importe IVA incl.]]-Table1[[#This Row],[Importe]]</f>
        <v>897.26999999999862</v>
      </c>
      <c r="F151" s="4">
        <v>9869.9699999999993</v>
      </c>
    </row>
    <row r="152" spans="1:6" x14ac:dyDescent="0.25">
      <c r="A152" s="2" t="s">
        <v>206</v>
      </c>
      <c r="B152" s="2" t="s">
        <v>28</v>
      </c>
      <c r="C152" s="3">
        <v>45702</v>
      </c>
      <c r="D152" s="4">
        <v>4056</v>
      </c>
      <c r="E152" s="4">
        <f>Table1[[#This Row],[Importe IVA incl.]]-Table1[[#This Row],[Importe]]</f>
        <v>405.60000000000036</v>
      </c>
      <c r="F152" s="4">
        <v>4461.6000000000004</v>
      </c>
    </row>
    <row r="153" spans="1:6" x14ac:dyDescent="0.25">
      <c r="A153" s="2" t="s">
        <v>207</v>
      </c>
      <c r="B153" s="2" t="s">
        <v>28</v>
      </c>
      <c r="C153" s="3">
        <v>45702</v>
      </c>
      <c r="D153" s="4">
        <v>1857.36</v>
      </c>
      <c r="E153" s="4">
        <f>Table1[[#This Row],[Importe IVA incl.]]-Table1[[#This Row],[Importe]]</f>
        <v>185.74</v>
      </c>
      <c r="F153" s="4">
        <v>2043.1</v>
      </c>
    </row>
    <row r="154" spans="1:6" x14ac:dyDescent="0.25">
      <c r="A154" s="2" t="s">
        <v>208</v>
      </c>
      <c r="B154" s="2" t="s">
        <v>36</v>
      </c>
      <c r="C154" s="3">
        <v>45702</v>
      </c>
      <c r="D154" s="4">
        <v>13221.2</v>
      </c>
      <c r="E154" s="4">
        <f>Table1[[#This Row],[Importe IVA incl.]]-Table1[[#This Row],[Importe]]</f>
        <v>1322.119999999999</v>
      </c>
      <c r="F154" s="4">
        <v>14543.32</v>
      </c>
    </row>
    <row r="155" spans="1:6" x14ac:dyDescent="0.25">
      <c r="A155" s="2" t="s">
        <v>209</v>
      </c>
      <c r="B155" s="2" t="s">
        <v>210</v>
      </c>
      <c r="C155" s="3">
        <v>45702</v>
      </c>
      <c r="D155" s="4">
        <v>14445.08</v>
      </c>
      <c r="E155" s="4">
        <f>Table1[[#This Row],[Importe IVA incl.]]-Table1[[#This Row],[Importe]]</f>
        <v>0</v>
      </c>
      <c r="F155" s="4">
        <v>14445.08</v>
      </c>
    </row>
    <row r="156" spans="1:6" x14ac:dyDescent="0.25">
      <c r="A156" s="2" t="s">
        <v>211</v>
      </c>
      <c r="B156" s="2" t="s">
        <v>212</v>
      </c>
      <c r="C156" s="3">
        <v>45702</v>
      </c>
      <c r="D156" s="4">
        <v>3611.79</v>
      </c>
      <c r="E156" s="4">
        <f>Table1[[#This Row],[Importe IVA incl.]]-Table1[[#This Row],[Importe]]</f>
        <v>361.17999999999984</v>
      </c>
      <c r="F156" s="4">
        <v>3972.97</v>
      </c>
    </row>
    <row r="157" spans="1:6" x14ac:dyDescent="0.25">
      <c r="A157" s="2" t="s">
        <v>213</v>
      </c>
      <c r="B157" s="2" t="s">
        <v>12</v>
      </c>
      <c r="C157" s="3">
        <v>45702</v>
      </c>
      <c r="D157" s="4">
        <v>14729.88</v>
      </c>
      <c r="E157" s="4">
        <f>Table1[[#This Row],[Importe IVA incl.]]-Table1[[#This Row],[Importe]]</f>
        <v>1472.9900000000016</v>
      </c>
      <c r="F157" s="4">
        <v>16202.87</v>
      </c>
    </row>
    <row r="158" spans="1:6" x14ac:dyDescent="0.25">
      <c r="A158" s="2" t="s">
        <v>214</v>
      </c>
      <c r="B158" s="2" t="s">
        <v>70</v>
      </c>
      <c r="C158" s="3">
        <v>45702</v>
      </c>
      <c r="D158" s="4">
        <v>432.51</v>
      </c>
      <c r="E158" s="4">
        <f>Table1[[#This Row],[Importe IVA incl.]]-Table1[[#This Row],[Importe]]</f>
        <v>43.25</v>
      </c>
      <c r="F158" s="4">
        <v>475.76</v>
      </c>
    </row>
    <row r="159" spans="1:6" x14ac:dyDescent="0.25">
      <c r="A159" s="2" t="s">
        <v>215</v>
      </c>
      <c r="B159" s="2" t="s">
        <v>25</v>
      </c>
      <c r="C159" s="3">
        <v>45702</v>
      </c>
      <c r="D159" s="4">
        <v>13921.92</v>
      </c>
      <c r="E159" s="4">
        <f>Table1[[#This Row],[Importe IVA incl.]]-Table1[[#This Row],[Importe]]</f>
        <v>1392.1900000000005</v>
      </c>
      <c r="F159" s="4">
        <v>15314.11</v>
      </c>
    </row>
    <row r="160" spans="1:6" x14ac:dyDescent="0.25">
      <c r="A160" s="2" t="s">
        <v>216</v>
      </c>
      <c r="B160" s="2" t="s">
        <v>25</v>
      </c>
      <c r="C160" s="3">
        <v>45702</v>
      </c>
      <c r="D160" s="4">
        <v>8.93</v>
      </c>
      <c r="E160" s="4">
        <f>Table1[[#This Row],[Importe IVA incl.]]-Table1[[#This Row],[Importe]]</f>
        <v>0.89000000000000057</v>
      </c>
      <c r="F160" s="4">
        <v>9.82</v>
      </c>
    </row>
    <row r="161" spans="1:6" x14ac:dyDescent="0.25">
      <c r="A161" s="2" t="s">
        <v>217</v>
      </c>
      <c r="B161" s="2" t="s">
        <v>36</v>
      </c>
      <c r="C161" s="3">
        <v>45702</v>
      </c>
      <c r="D161" s="4">
        <v>12814.74</v>
      </c>
      <c r="E161" s="4">
        <f>Table1[[#This Row],[Importe IVA incl.]]-Table1[[#This Row],[Importe]]</f>
        <v>1281.4699999999993</v>
      </c>
      <c r="F161" s="4">
        <v>14096.21</v>
      </c>
    </row>
    <row r="162" spans="1:6" x14ac:dyDescent="0.25">
      <c r="A162" s="2" t="s">
        <v>218</v>
      </c>
      <c r="B162" s="2" t="s">
        <v>30</v>
      </c>
      <c r="C162" s="3">
        <v>45702</v>
      </c>
      <c r="D162" s="4">
        <v>11981.93</v>
      </c>
      <c r="E162" s="4">
        <f>Table1[[#This Row],[Importe IVA incl.]]-Table1[[#This Row],[Importe]]</f>
        <v>1198.1900000000005</v>
      </c>
      <c r="F162" s="4">
        <v>13180.12</v>
      </c>
    </row>
    <row r="163" spans="1:6" x14ac:dyDescent="0.25">
      <c r="A163" s="2" t="s">
        <v>219</v>
      </c>
      <c r="B163" s="2" t="s">
        <v>220</v>
      </c>
      <c r="C163" s="3">
        <v>45702</v>
      </c>
      <c r="D163" s="4">
        <v>6972.78</v>
      </c>
      <c r="E163" s="4">
        <f>Table1[[#This Row],[Importe IVA incl.]]-Table1[[#This Row],[Importe]]</f>
        <v>0</v>
      </c>
      <c r="F163" s="4">
        <v>6972.78</v>
      </c>
    </row>
    <row r="164" spans="1:6" x14ac:dyDescent="0.25">
      <c r="A164" s="2" t="s">
        <v>221</v>
      </c>
      <c r="B164" s="2" t="s">
        <v>222</v>
      </c>
      <c r="C164" s="3">
        <v>45702</v>
      </c>
      <c r="D164" s="4">
        <v>1261.26</v>
      </c>
      <c r="E164" s="4">
        <f>Table1[[#This Row],[Importe IVA incl.]]-Table1[[#This Row],[Importe]]</f>
        <v>143.78999999999996</v>
      </c>
      <c r="F164" s="4">
        <v>1405.05</v>
      </c>
    </row>
    <row r="165" spans="1:6" x14ac:dyDescent="0.25">
      <c r="A165" s="2" t="s">
        <v>223</v>
      </c>
      <c r="B165" s="2" t="s">
        <v>220</v>
      </c>
      <c r="C165" s="3">
        <v>45702</v>
      </c>
      <c r="D165" s="4">
        <v>6522.18</v>
      </c>
      <c r="E165" s="4">
        <f>Table1[[#This Row],[Importe IVA incl.]]-Table1[[#This Row],[Importe]]</f>
        <v>0</v>
      </c>
      <c r="F165" s="4">
        <v>6522.18</v>
      </c>
    </row>
    <row r="166" spans="1:6" x14ac:dyDescent="0.25">
      <c r="A166" s="2" t="s">
        <v>224</v>
      </c>
      <c r="B166" s="2" t="s">
        <v>225</v>
      </c>
      <c r="C166" s="3">
        <v>45701</v>
      </c>
      <c r="D166" s="4">
        <v>13339.56</v>
      </c>
      <c r="E166" s="4">
        <f>Table1[[#This Row],[Importe IVA incl.]]-Table1[[#This Row],[Importe]]</f>
        <v>1520.7100000000009</v>
      </c>
      <c r="F166" s="4">
        <v>14860.27</v>
      </c>
    </row>
    <row r="167" spans="1:6" x14ac:dyDescent="0.25">
      <c r="A167" s="2" t="s">
        <v>226</v>
      </c>
      <c r="B167" s="2" t="s">
        <v>40</v>
      </c>
      <c r="C167" s="3">
        <v>45701</v>
      </c>
      <c r="D167" s="4">
        <v>12500.86</v>
      </c>
      <c r="E167" s="4">
        <f>Table1[[#This Row],[Importe IVA incl.]]-Table1[[#This Row],[Importe]]</f>
        <v>1250.0900000000001</v>
      </c>
      <c r="F167" s="4">
        <v>13750.95</v>
      </c>
    </row>
    <row r="168" spans="1:6" x14ac:dyDescent="0.25">
      <c r="A168" s="2" t="s">
        <v>227</v>
      </c>
      <c r="B168" s="2" t="s">
        <v>12</v>
      </c>
      <c r="C168" s="3">
        <v>45701</v>
      </c>
      <c r="D168" s="4">
        <v>386.1</v>
      </c>
      <c r="E168" s="4">
        <f>Table1[[#This Row],[Importe IVA incl.]]-Table1[[#This Row],[Importe]]</f>
        <v>38.609999999999957</v>
      </c>
      <c r="F168" s="4">
        <v>424.71</v>
      </c>
    </row>
    <row r="169" spans="1:6" x14ac:dyDescent="0.25">
      <c r="A169" s="2" t="s">
        <v>228</v>
      </c>
      <c r="B169" s="2" t="s">
        <v>12</v>
      </c>
      <c r="C169" s="3">
        <v>45701</v>
      </c>
      <c r="D169" s="4">
        <v>3606.72</v>
      </c>
      <c r="E169" s="4">
        <f>Table1[[#This Row],[Importe IVA incl.]]-Table1[[#This Row],[Importe]]</f>
        <v>360.67000000000007</v>
      </c>
      <c r="F169" s="4">
        <v>3967.39</v>
      </c>
    </row>
    <row r="170" spans="1:6" x14ac:dyDescent="0.25">
      <c r="A170" s="2" t="s">
        <v>229</v>
      </c>
      <c r="B170" s="2" t="s">
        <v>12</v>
      </c>
      <c r="C170" s="3">
        <v>45701</v>
      </c>
      <c r="D170" s="4">
        <v>925.92</v>
      </c>
      <c r="E170" s="4">
        <f>Table1[[#This Row],[Importe IVA incl.]]-Table1[[#This Row],[Importe]]</f>
        <v>92.590000000000032</v>
      </c>
      <c r="F170" s="4">
        <v>1018.51</v>
      </c>
    </row>
    <row r="171" spans="1:6" x14ac:dyDescent="0.25">
      <c r="A171" s="2" t="s">
        <v>230</v>
      </c>
      <c r="B171" s="2" t="s">
        <v>12</v>
      </c>
      <c r="C171" s="3">
        <v>45701</v>
      </c>
      <c r="D171" s="4">
        <v>462.96</v>
      </c>
      <c r="E171" s="4">
        <f>Table1[[#This Row],[Importe IVA incl.]]-Table1[[#This Row],[Importe]]</f>
        <v>46.300000000000011</v>
      </c>
      <c r="F171" s="4">
        <v>509.26</v>
      </c>
    </row>
    <row r="172" spans="1:6" x14ac:dyDescent="0.25">
      <c r="A172" s="2" t="s">
        <v>231</v>
      </c>
      <c r="B172" s="2" t="s">
        <v>21</v>
      </c>
      <c r="C172" s="3">
        <v>45701</v>
      </c>
      <c r="D172" s="4">
        <v>392.36</v>
      </c>
      <c r="E172" s="4">
        <f>Table1[[#This Row],[Importe IVA incl.]]-Table1[[#This Row],[Importe]]</f>
        <v>39.240000000000009</v>
      </c>
      <c r="F172" s="4">
        <v>431.6</v>
      </c>
    </row>
    <row r="173" spans="1:6" x14ac:dyDescent="0.25">
      <c r="A173" s="2" t="s">
        <v>232</v>
      </c>
      <c r="B173" s="2" t="s">
        <v>233</v>
      </c>
      <c r="C173" s="3">
        <v>45701</v>
      </c>
      <c r="D173" s="4">
        <v>926.76</v>
      </c>
      <c r="E173" s="4">
        <f>Table1[[#This Row],[Importe IVA incl.]]-Table1[[#This Row],[Importe]]</f>
        <v>105.65000000000009</v>
      </c>
      <c r="F173" s="4">
        <v>1032.4100000000001</v>
      </c>
    </row>
    <row r="174" spans="1:6" x14ac:dyDescent="0.25">
      <c r="A174" s="2" t="s">
        <v>234</v>
      </c>
      <c r="B174" s="2" t="s">
        <v>157</v>
      </c>
      <c r="C174" s="3">
        <v>45701</v>
      </c>
      <c r="D174" s="4">
        <v>526.67999999999995</v>
      </c>
      <c r="E174" s="4">
        <f>Table1[[#This Row],[Importe IVA incl.]]-Table1[[#This Row],[Importe]]</f>
        <v>52.670000000000073</v>
      </c>
      <c r="F174" s="4">
        <v>579.35</v>
      </c>
    </row>
    <row r="175" spans="1:6" x14ac:dyDescent="0.25">
      <c r="A175" s="2" t="s">
        <v>235</v>
      </c>
      <c r="B175" s="2" t="s">
        <v>236</v>
      </c>
      <c r="C175" s="3">
        <v>45701</v>
      </c>
      <c r="D175" s="4">
        <v>14851.2</v>
      </c>
      <c r="E175" s="4">
        <f>Table1[[#This Row],[Importe IVA incl.]]-Table1[[#This Row],[Importe]]</f>
        <v>1485.119999999999</v>
      </c>
      <c r="F175" s="4">
        <v>16336.32</v>
      </c>
    </row>
    <row r="176" spans="1:6" x14ac:dyDescent="0.25">
      <c r="A176" s="2" t="s">
        <v>237</v>
      </c>
      <c r="B176" s="2" t="s">
        <v>12</v>
      </c>
      <c r="C176" s="3">
        <v>45701</v>
      </c>
      <c r="D176" s="4">
        <v>13946.34</v>
      </c>
      <c r="E176" s="4">
        <f>Table1[[#This Row],[Importe IVA incl.]]-Table1[[#This Row],[Importe]]</f>
        <v>1394.6299999999992</v>
      </c>
      <c r="F176" s="4">
        <v>15340.97</v>
      </c>
    </row>
    <row r="177" spans="1:6" x14ac:dyDescent="0.25">
      <c r="A177" s="2" t="s">
        <v>238</v>
      </c>
      <c r="B177" s="2" t="s">
        <v>157</v>
      </c>
      <c r="C177" s="3">
        <v>45701</v>
      </c>
      <c r="D177" s="4">
        <v>10522.98</v>
      </c>
      <c r="E177" s="4">
        <f>Table1[[#This Row],[Importe IVA incl.]]-Table1[[#This Row],[Importe]]</f>
        <v>1052.3000000000011</v>
      </c>
      <c r="F177" s="4">
        <v>11575.28</v>
      </c>
    </row>
    <row r="178" spans="1:6" x14ac:dyDescent="0.25">
      <c r="A178" s="2" t="s">
        <v>239</v>
      </c>
      <c r="B178" s="2" t="s">
        <v>106</v>
      </c>
      <c r="C178" s="3">
        <v>45701</v>
      </c>
      <c r="D178" s="4">
        <v>11562.21</v>
      </c>
      <c r="E178" s="4">
        <f>Table1[[#This Row],[Importe IVA incl.]]-Table1[[#This Row],[Importe]]</f>
        <v>1156.2200000000012</v>
      </c>
      <c r="F178" s="4">
        <v>12718.43</v>
      </c>
    </row>
    <row r="179" spans="1:6" x14ac:dyDescent="0.25">
      <c r="A179" s="2" t="s">
        <v>240</v>
      </c>
      <c r="B179" s="2" t="s">
        <v>28</v>
      </c>
      <c r="C179" s="3">
        <v>45701</v>
      </c>
      <c r="D179" s="4">
        <v>13162.8</v>
      </c>
      <c r="E179" s="4">
        <f>Table1[[#This Row],[Importe IVA incl.]]-Table1[[#This Row],[Importe]]</f>
        <v>1316.2800000000007</v>
      </c>
      <c r="F179" s="4">
        <v>14479.08</v>
      </c>
    </row>
    <row r="180" spans="1:6" x14ac:dyDescent="0.25">
      <c r="A180" s="2" t="s">
        <v>241</v>
      </c>
      <c r="B180" s="2" t="s">
        <v>28</v>
      </c>
      <c r="C180" s="3">
        <v>45701</v>
      </c>
      <c r="D180" s="4">
        <v>13986.84</v>
      </c>
      <c r="E180" s="4">
        <f>Table1[[#This Row],[Importe IVA incl.]]-Table1[[#This Row],[Importe]]</f>
        <v>1398.6800000000003</v>
      </c>
      <c r="F180" s="4">
        <v>15385.52</v>
      </c>
    </row>
    <row r="181" spans="1:6" x14ac:dyDescent="0.25">
      <c r="A181" s="2" t="s">
        <v>242</v>
      </c>
      <c r="B181" s="2" t="s">
        <v>32</v>
      </c>
      <c r="C181" s="3">
        <v>45701</v>
      </c>
      <c r="D181" s="4">
        <v>4215.51</v>
      </c>
      <c r="E181" s="4">
        <f>Table1[[#This Row],[Importe IVA incl.]]-Table1[[#This Row],[Importe]]</f>
        <v>421.55000000000018</v>
      </c>
      <c r="F181" s="4">
        <v>4637.0600000000004</v>
      </c>
    </row>
    <row r="182" spans="1:6" x14ac:dyDescent="0.25">
      <c r="A182" s="2" t="s">
        <v>243</v>
      </c>
      <c r="B182" s="2" t="s">
        <v>70</v>
      </c>
      <c r="C182" s="3">
        <v>45701</v>
      </c>
      <c r="D182" s="4">
        <v>831.45</v>
      </c>
      <c r="E182" s="4">
        <f>Table1[[#This Row],[Importe IVA incl.]]-Table1[[#This Row],[Importe]]</f>
        <v>83.149999999999977</v>
      </c>
      <c r="F182" s="4">
        <v>914.6</v>
      </c>
    </row>
    <row r="183" spans="1:6" x14ac:dyDescent="0.25">
      <c r="A183" s="2" t="s">
        <v>244</v>
      </c>
      <c r="B183" s="2" t="s">
        <v>25</v>
      </c>
      <c r="C183" s="3">
        <v>45701</v>
      </c>
      <c r="D183" s="4">
        <v>3969.46</v>
      </c>
      <c r="E183" s="4">
        <f>Table1[[#This Row],[Importe IVA incl.]]-Table1[[#This Row],[Importe]]</f>
        <v>396.94999999999982</v>
      </c>
      <c r="F183" s="4">
        <v>4366.41</v>
      </c>
    </row>
    <row r="184" spans="1:6" x14ac:dyDescent="0.25">
      <c r="A184" s="2" t="s">
        <v>245</v>
      </c>
      <c r="B184" s="2" t="s">
        <v>58</v>
      </c>
      <c r="C184" s="3">
        <v>45701</v>
      </c>
      <c r="D184" s="4">
        <v>12667</v>
      </c>
      <c r="E184" s="4">
        <f>Table1[[#This Row],[Importe IVA incl.]]-Table1[[#This Row],[Importe]]</f>
        <v>1266.7000000000007</v>
      </c>
      <c r="F184" s="4">
        <v>13933.7</v>
      </c>
    </row>
    <row r="185" spans="1:6" x14ac:dyDescent="0.25">
      <c r="A185" s="2" t="s">
        <v>246</v>
      </c>
      <c r="B185" s="2" t="s">
        <v>64</v>
      </c>
      <c r="C185" s="3">
        <v>45701</v>
      </c>
      <c r="D185" s="4">
        <v>5853.7</v>
      </c>
      <c r="E185" s="4">
        <f>Table1[[#This Row],[Importe IVA incl.]]-Table1[[#This Row],[Importe]]</f>
        <v>585.36999999999989</v>
      </c>
      <c r="F185" s="4">
        <v>6439.07</v>
      </c>
    </row>
    <row r="186" spans="1:6" x14ac:dyDescent="0.25">
      <c r="A186" s="2" t="s">
        <v>247</v>
      </c>
      <c r="B186" s="2" t="s">
        <v>36</v>
      </c>
      <c r="C186" s="3">
        <v>45700</v>
      </c>
      <c r="D186" s="4">
        <v>12277.36</v>
      </c>
      <c r="E186" s="4">
        <f>Table1[[#This Row],[Importe IVA incl.]]-Table1[[#This Row],[Importe]]</f>
        <v>1227.7399999999998</v>
      </c>
      <c r="F186" s="4">
        <v>13505.1</v>
      </c>
    </row>
    <row r="187" spans="1:6" x14ac:dyDescent="0.25">
      <c r="A187" s="2" t="s">
        <v>248</v>
      </c>
      <c r="B187" s="2" t="s">
        <v>68</v>
      </c>
      <c r="C187" s="3">
        <v>45700</v>
      </c>
      <c r="D187" s="4">
        <v>11611.24</v>
      </c>
      <c r="E187" s="4">
        <f>Table1[[#This Row],[Importe IVA incl.]]-Table1[[#This Row],[Importe]]</f>
        <v>1323.6800000000003</v>
      </c>
      <c r="F187" s="4">
        <v>12934.92</v>
      </c>
    </row>
    <row r="188" spans="1:6" x14ac:dyDescent="0.25">
      <c r="A188" s="2" t="s">
        <v>249</v>
      </c>
      <c r="B188" s="2" t="s">
        <v>36</v>
      </c>
      <c r="C188" s="3">
        <v>45700</v>
      </c>
      <c r="D188" s="4">
        <v>12653.88</v>
      </c>
      <c r="E188" s="4">
        <f>Table1[[#This Row],[Importe IVA incl.]]-Table1[[#This Row],[Importe]]</f>
        <v>1265.3900000000012</v>
      </c>
      <c r="F188" s="4">
        <v>13919.27</v>
      </c>
    </row>
    <row r="189" spans="1:6" x14ac:dyDescent="0.25">
      <c r="A189" s="2" t="s">
        <v>250</v>
      </c>
      <c r="B189" s="2" t="s">
        <v>12</v>
      </c>
      <c r="C189" s="3">
        <v>45700</v>
      </c>
      <c r="D189" s="4">
        <v>462.96</v>
      </c>
      <c r="E189" s="4">
        <f>Table1[[#This Row],[Importe IVA incl.]]-Table1[[#This Row],[Importe]]</f>
        <v>46.300000000000011</v>
      </c>
      <c r="F189" s="4">
        <v>509.26</v>
      </c>
    </row>
    <row r="190" spans="1:6" x14ac:dyDescent="0.25">
      <c r="A190" s="2" t="s">
        <v>251</v>
      </c>
      <c r="B190" s="2" t="s">
        <v>12</v>
      </c>
      <c r="C190" s="3">
        <v>45700</v>
      </c>
      <c r="D190" s="4">
        <v>450.84</v>
      </c>
      <c r="E190" s="4">
        <f>Table1[[#This Row],[Importe IVA incl.]]-Table1[[#This Row],[Importe]]</f>
        <v>45.080000000000041</v>
      </c>
      <c r="F190" s="4">
        <v>495.92</v>
      </c>
    </row>
    <row r="191" spans="1:6" x14ac:dyDescent="0.25">
      <c r="A191" s="2" t="s">
        <v>252</v>
      </c>
      <c r="B191" s="2" t="s">
        <v>253</v>
      </c>
      <c r="C191" s="3">
        <v>45700</v>
      </c>
      <c r="D191" s="4">
        <v>11718.57</v>
      </c>
      <c r="E191" s="4">
        <f>Table1[[#This Row],[Importe IVA incl.]]-Table1[[#This Row],[Importe]]</f>
        <v>1171.8600000000006</v>
      </c>
      <c r="F191" s="4">
        <v>12890.43</v>
      </c>
    </row>
    <row r="192" spans="1:6" x14ac:dyDescent="0.25">
      <c r="A192" s="2" t="s">
        <v>254</v>
      </c>
      <c r="B192" s="2" t="s">
        <v>25</v>
      </c>
      <c r="C192" s="3">
        <v>45700</v>
      </c>
      <c r="D192" s="4">
        <v>1707.03</v>
      </c>
      <c r="E192" s="4">
        <f>Table1[[#This Row],[Importe IVA incl.]]-Table1[[#This Row],[Importe]]</f>
        <v>170.70000000000005</v>
      </c>
      <c r="F192" s="4">
        <v>1877.73</v>
      </c>
    </row>
    <row r="193" spans="1:6" x14ac:dyDescent="0.25">
      <c r="A193" s="2" t="s">
        <v>255</v>
      </c>
      <c r="B193" s="2" t="s">
        <v>14</v>
      </c>
      <c r="C193" s="3">
        <v>45700</v>
      </c>
      <c r="D193" s="4">
        <v>10689.63</v>
      </c>
      <c r="E193" s="4">
        <f>Table1[[#This Row],[Importe IVA incl.]]-Table1[[#This Row],[Importe]]</f>
        <v>1068.9600000000009</v>
      </c>
      <c r="F193" s="4">
        <v>11758.59</v>
      </c>
    </row>
    <row r="194" spans="1:6" x14ac:dyDescent="0.25">
      <c r="A194" s="2" t="s">
        <v>256</v>
      </c>
      <c r="B194" s="2" t="s">
        <v>36</v>
      </c>
      <c r="C194" s="3">
        <v>45700</v>
      </c>
      <c r="D194" s="4">
        <v>11949.76</v>
      </c>
      <c r="E194" s="4">
        <f>Table1[[#This Row],[Importe IVA incl.]]-Table1[[#This Row],[Importe]]</f>
        <v>1194.9799999999996</v>
      </c>
      <c r="F194" s="4">
        <v>13144.74</v>
      </c>
    </row>
    <row r="195" spans="1:6" x14ac:dyDescent="0.25">
      <c r="A195" s="2" t="s">
        <v>257</v>
      </c>
      <c r="B195" s="2" t="s">
        <v>177</v>
      </c>
      <c r="C195" s="3">
        <v>45700</v>
      </c>
      <c r="D195" s="4">
        <v>12364.68</v>
      </c>
      <c r="E195" s="4">
        <f>Table1[[#This Row],[Importe IVA incl.]]-Table1[[#This Row],[Importe]]</f>
        <v>1236.4699999999993</v>
      </c>
      <c r="F195" s="4">
        <v>13601.15</v>
      </c>
    </row>
    <row r="196" spans="1:6" x14ac:dyDescent="0.25">
      <c r="A196" s="2" t="s">
        <v>258</v>
      </c>
      <c r="B196" s="2" t="s">
        <v>70</v>
      </c>
      <c r="C196" s="3">
        <v>45700</v>
      </c>
      <c r="D196" s="4">
        <v>3042.78</v>
      </c>
      <c r="E196" s="4">
        <f>Table1[[#This Row],[Importe IVA incl.]]-Table1[[#This Row],[Importe]]</f>
        <v>304.27999999999975</v>
      </c>
      <c r="F196" s="4">
        <v>3347.06</v>
      </c>
    </row>
    <row r="197" spans="1:6" x14ac:dyDescent="0.25">
      <c r="A197" s="2" t="s">
        <v>259</v>
      </c>
      <c r="B197" s="2" t="s">
        <v>28</v>
      </c>
      <c r="C197" s="3">
        <v>45700</v>
      </c>
      <c r="D197" s="4">
        <v>13646.88</v>
      </c>
      <c r="E197" s="4">
        <f>Table1[[#This Row],[Importe IVA incl.]]-Table1[[#This Row],[Importe]]</f>
        <v>1364.6900000000005</v>
      </c>
      <c r="F197" s="4">
        <v>15011.57</v>
      </c>
    </row>
    <row r="198" spans="1:6" x14ac:dyDescent="0.25">
      <c r="A198" s="2" t="s">
        <v>260</v>
      </c>
      <c r="B198" s="2" t="s">
        <v>40</v>
      </c>
      <c r="C198" s="3">
        <v>45699</v>
      </c>
      <c r="D198" s="4">
        <v>11137.31</v>
      </c>
      <c r="E198" s="4">
        <f>Table1[[#This Row],[Importe IVA incl.]]-Table1[[#This Row],[Importe]]</f>
        <v>1113.7300000000014</v>
      </c>
      <c r="F198" s="4">
        <v>12251.04</v>
      </c>
    </row>
    <row r="199" spans="1:6" x14ac:dyDescent="0.25">
      <c r="A199" s="2" t="s">
        <v>261</v>
      </c>
      <c r="B199" s="2" t="s">
        <v>36</v>
      </c>
      <c r="C199" s="3">
        <v>45699</v>
      </c>
      <c r="D199" s="4">
        <v>501.96</v>
      </c>
      <c r="E199" s="4">
        <f>Table1[[#This Row],[Importe IVA incl.]]-Table1[[#This Row],[Importe]]</f>
        <v>57.45999999999998</v>
      </c>
      <c r="F199" s="4">
        <v>559.41999999999996</v>
      </c>
    </row>
    <row r="200" spans="1:6" x14ac:dyDescent="0.25">
      <c r="A200" s="2" t="s">
        <v>262</v>
      </c>
      <c r="B200" s="2" t="s">
        <v>12</v>
      </c>
      <c r="C200" s="3">
        <v>45699</v>
      </c>
      <c r="D200" s="4">
        <v>901.68</v>
      </c>
      <c r="E200" s="4">
        <f>Table1[[#This Row],[Importe IVA incl.]]-Table1[[#This Row],[Importe]]</f>
        <v>90.170000000000073</v>
      </c>
      <c r="F200" s="4">
        <v>991.85</v>
      </c>
    </row>
    <row r="201" spans="1:6" x14ac:dyDescent="0.25">
      <c r="A201" s="2" t="s">
        <v>263</v>
      </c>
      <c r="B201" s="2" t="s">
        <v>12</v>
      </c>
      <c r="C201" s="3">
        <v>45699</v>
      </c>
      <c r="D201" s="4">
        <v>386.1</v>
      </c>
      <c r="E201" s="4">
        <f>Table1[[#This Row],[Importe IVA incl.]]-Table1[[#This Row],[Importe]]</f>
        <v>38.609999999999957</v>
      </c>
      <c r="F201" s="4">
        <v>424.71</v>
      </c>
    </row>
    <row r="202" spans="1:6" x14ac:dyDescent="0.25">
      <c r="A202" s="2" t="s">
        <v>264</v>
      </c>
      <c r="B202" s="2" t="s">
        <v>12</v>
      </c>
      <c r="C202" s="3">
        <v>45699</v>
      </c>
      <c r="D202" s="4">
        <v>386.1</v>
      </c>
      <c r="E202" s="4">
        <f>Table1[[#This Row],[Importe IVA incl.]]-Table1[[#This Row],[Importe]]</f>
        <v>38.609999999999957</v>
      </c>
      <c r="F202" s="4">
        <v>424.71</v>
      </c>
    </row>
    <row r="203" spans="1:6" x14ac:dyDescent="0.25">
      <c r="A203" s="2" t="s">
        <v>265</v>
      </c>
      <c r="B203" s="2" t="s">
        <v>12</v>
      </c>
      <c r="C203" s="3">
        <v>45699</v>
      </c>
      <c r="D203" s="4">
        <v>2316.6</v>
      </c>
      <c r="E203" s="4">
        <f>Table1[[#This Row],[Importe IVA incl.]]-Table1[[#This Row],[Importe]]</f>
        <v>231.66000000000031</v>
      </c>
      <c r="F203" s="4">
        <v>2548.2600000000002</v>
      </c>
    </row>
    <row r="204" spans="1:6" x14ac:dyDescent="0.25">
      <c r="A204" s="2" t="s">
        <v>266</v>
      </c>
      <c r="B204" s="2" t="s">
        <v>12</v>
      </c>
      <c r="C204" s="3">
        <v>45699</v>
      </c>
      <c r="D204" s="4">
        <v>1544.4</v>
      </c>
      <c r="E204" s="4">
        <f>Table1[[#This Row],[Importe IVA incl.]]-Table1[[#This Row],[Importe]]</f>
        <v>154.43999999999983</v>
      </c>
      <c r="F204" s="4">
        <v>1698.84</v>
      </c>
    </row>
    <row r="205" spans="1:6" x14ac:dyDescent="0.25">
      <c r="A205" s="2" t="s">
        <v>267</v>
      </c>
      <c r="B205" s="2" t="s">
        <v>12</v>
      </c>
      <c r="C205" s="3">
        <v>45699</v>
      </c>
      <c r="D205" s="4">
        <v>772.2</v>
      </c>
      <c r="E205" s="4">
        <f>Table1[[#This Row],[Importe IVA incl.]]-Table1[[#This Row],[Importe]]</f>
        <v>77.219999999999914</v>
      </c>
      <c r="F205" s="4">
        <v>849.42</v>
      </c>
    </row>
    <row r="206" spans="1:6" x14ac:dyDescent="0.25">
      <c r="A206" s="2" t="s">
        <v>268</v>
      </c>
      <c r="B206" s="2" t="s">
        <v>269</v>
      </c>
      <c r="C206" s="3">
        <v>45699</v>
      </c>
      <c r="D206" s="4">
        <v>16691.669999999998</v>
      </c>
      <c r="E206" s="4">
        <f>Table1[[#This Row],[Importe IVA incl.]]-Table1[[#This Row],[Importe]]</f>
        <v>0</v>
      </c>
      <c r="F206" s="4">
        <v>16691.669999999998</v>
      </c>
    </row>
    <row r="207" spans="1:6" x14ac:dyDescent="0.25">
      <c r="A207" s="2" t="s">
        <v>270</v>
      </c>
      <c r="B207" s="2" t="s">
        <v>271</v>
      </c>
      <c r="C207" s="3">
        <v>45699</v>
      </c>
      <c r="D207" s="4">
        <v>13735.4</v>
      </c>
      <c r="E207" s="4">
        <f>Table1[[#This Row],[Importe IVA incl.]]-Table1[[#This Row],[Importe]]</f>
        <v>0</v>
      </c>
      <c r="F207" s="4">
        <v>13735.4</v>
      </c>
    </row>
    <row r="208" spans="1:6" x14ac:dyDescent="0.25">
      <c r="A208" s="2" t="s">
        <v>272</v>
      </c>
      <c r="B208" s="2" t="s">
        <v>273</v>
      </c>
      <c r="C208" s="3">
        <v>45699</v>
      </c>
      <c r="D208" s="4">
        <v>2948.4</v>
      </c>
      <c r="E208" s="4">
        <f>Table1[[#This Row],[Importe IVA incl.]]-Table1[[#This Row],[Importe]]</f>
        <v>294.83999999999969</v>
      </c>
      <c r="F208" s="4">
        <v>3243.24</v>
      </c>
    </row>
    <row r="209" spans="1:6" x14ac:dyDescent="0.25">
      <c r="A209" s="2" t="s">
        <v>274</v>
      </c>
      <c r="B209" s="2" t="s">
        <v>25</v>
      </c>
      <c r="C209" s="3">
        <v>45699</v>
      </c>
      <c r="D209" s="4">
        <v>10711.5</v>
      </c>
      <c r="E209" s="4">
        <f>Table1[[#This Row],[Importe IVA incl.]]-Table1[[#This Row],[Importe]]</f>
        <v>1097.5499999999993</v>
      </c>
      <c r="F209" s="4">
        <v>11809.05</v>
      </c>
    </row>
    <row r="210" spans="1:6" x14ac:dyDescent="0.25">
      <c r="A210" s="2" t="s">
        <v>275</v>
      </c>
      <c r="B210" s="2" t="s">
        <v>276</v>
      </c>
      <c r="C210" s="3">
        <v>45699</v>
      </c>
      <c r="D210" s="4">
        <v>3088.8</v>
      </c>
      <c r="E210" s="4">
        <f>Table1[[#This Row],[Importe IVA incl.]]-Table1[[#This Row],[Importe]]</f>
        <v>308.87999999999965</v>
      </c>
      <c r="F210" s="4">
        <v>3397.68</v>
      </c>
    </row>
    <row r="211" spans="1:6" x14ac:dyDescent="0.25">
      <c r="A211" s="2" t="s">
        <v>277</v>
      </c>
      <c r="B211" s="2" t="s">
        <v>10</v>
      </c>
      <c r="C211" s="3">
        <v>45699</v>
      </c>
      <c r="D211" s="4">
        <v>14283.62</v>
      </c>
      <c r="E211" s="4">
        <f>Table1[[#This Row],[Importe IVA incl.]]-Table1[[#This Row],[Importe]]</f>
        <v>0</v>
      </c>
      <c r="F211" s="4">
        <v>14283.62</v>
      </c>
    </row>
    <row r="212" spans="1:6" x14ac:dyDescent="0.25">
      <c r="A212" s="2" t="s">
        <v>278</v>
      </c>
      <c r="B212" s="2" t="s">
        <v>279</v>
      </c>
      <c r="C212" s="3">
        <v>45699</v>
      </c>
      <c r="D212" s="4">
        <v>3960.95</v>
      </c>
      <c r="E212" s="4">
        <f>Table1[[#This Row],[Importe IVA incl.]]-Table1[[#This Row],[Importe]]</f>
        <v>396.10000000000036</v>
      </c>
      <c r="F212" s="4">
        <v>4357.05</v>
      </c>
    </row>
    <row r="213" spans="1:6" x14ac:dyDescent="0.25">
      <c r="A213" s="2" t="s">
        <v>280</v>
      </c>
      <c r="B213" s="2" t="s">
        <v>14</v>
      </c>
      <c r="C213" s="3">
        <v>45699</v>
      </c>
      <c r="D213" s="4">
        <v>13252.2</v>
      </c>
      <c r="E213" s="4">
        <f>Table1[[#This Row],[Importe IVA incl.]]-Table1[[#This Row],[Importe]]</f>
        <v>1325.2199999999993</v>
      </c>
      <c r="F213" s="4">
        <v>14577.42</v>
      </c>
    </row>
    <row r="214" spans="1:6" x14ac:dyDescent="0.25">
      <c r="A214" s="2" t="s">
        <v>281</v>
      </c>
      <c r="B214" s="2" t="s">
        <v>282</v>
      </c>
      <c r="C214" s="3">
        <v>45699</v>
      </c>
      <c r="D214" s="4">
        <v>7829.16</v>
      </c>
      <c r="E214" s="4">
        <f>Table1[[#This Row],[Importe IVA incl.]]-Table1[[#This Row],[Importe]]</f>
        <v>782.92000000000007</v>
      </c>
      <c r="F214" s="4">
        <v>8612.08</v>
      </c>
    </row>
    <row r="215" spans="1:6" x14ac:dyDescent="0.25">
      <c r="A215" s="2" t="s">
        <v>283</v>
      </c>
      <c r="B215" s="2" t="s">
        <v>36</v>
      </c>
      <c r="C215" s="3">
        <v>45699</v>
      </c>
      <c r="D215" s="4">
        <v>12181.5</v>
      </c>
      <c r="E215" s="4">
        <f>Table1[[#This Row],[Importe IVA incl.]]-Table1[[#This Row],[Importe]]</f>
        <v>1218.1499999999996</v>
      </c>
      <c r="F215" s="4">
        <v>13399.65</v>
      </c>
    </row>
    <row r="216" spans="1:6" x14ac:dyDescent="0.25">
      <c r="A216" s="2" t="s">
        <v>284</v>
      </c>
      <c r="B216" s="2" t="s">
        <v>28</v>
      </c>
      <c r="C216" s="3">
        <v>45698</v>
      </c>
      <c r="D216" s="4">
        <v>14476.8</v>
      </c>
      <c r="E216" s="4">
        <f>Table1[[#This Row],[Importe IVA incl.]]-Table1[[#This Row],[Importe]]</f>
        <v>1447.6800000000003</v>
      </c>
      <c r="F216" s="4">
        <v>15924.48</v>
      </c>
    </row>
    <row r="217" spans="1:6" x14ac:dyDescent="0.25">
      <c r="A217" s="2" t="s">
        <v>285</v>
      </c>
      <c r="B217" s="2" t="s">
        <v>92</v>
      </c>
      <c r="C217" s="3">
        <v>45698</v>
      </c>
      <c r="D217" s="4">
        <v>13743.91</v>
      </c>
      <c r="E217" s="4">
        <f>Table1[[#This Row],[Importe IVA incl.]]-Table1[[#This Row],[Importe]]</f>
        <v>1374.3899999999994</v>
      </c>
      <c r="F217" s="4">
        <v>15118.3</v>
      </c>
    </row>
    <row r="218" spans="1:6" x14ac:dyDescent="0.25">
      <c r="A218" s="2" t="s">
        <v>286</v>
      </c>
      <c r="B218" s="2" t="s">
        <v>12</v>
      </c>
      <c r="C218" s="3">
        <v>45698</v>
      </c>
      <c r="D218" s="4">
        <v>12204.54</v>
      </c>
      <c r="E218" s="4">
        <f>Table1[[#This Row],[Importe IVA incl.]]-Table1[[#This Row],[Importe]]</f>
        <v>1220.4499999999989</v>
      </c>
      <c r="F218" s="4">
        <v>13424.99</v>
      </c>
    </row>
    <row r="219" spans="1:6" x14ac:dyDescent="0.25">
      <c r="A219" s="2" t="s">
        <v>287</v>
      </c>
      <c r="B219" s="2" t="s">
        <v>288</v>
      </c>
      <c r="C219" s="3">
        <v>45698</v>
      </c>
      <c r="D219" s="4">
        <v>13349.7</v>
      </c>
      <c r="E219" s="4">
        <f>Table1[[#This Row],[Importe IVA incl.]]-Table1[[#This Row],[Importe]]</f>
        <v>1334.9699999999993</v>
      </c>
      <c r="F219" s="4">
        <v>14684.67</v>
      </c>
    </row>
    <row r="220" spans="1:6" x14ac:dyDescent="0.25">
      <c r="A220" s="2" t="s">
        <v>289</v>
      </c>
      <c r="B220" s="2" t="s">
        <v>25</v>
      </c>
      <c r="C220" s="3">
        <v>45698</v>
      </c>
      <c r="D220" s="4">
        <v>10711.5</v>
      </c>
      <c r="E220" s="4">
        <f>Table1[[#This Row],[Importe IVA incl.]]-Table1[[#This Row],[Importe]]</f>
        <v>1097.5499999999993</v>
      </c>
      <c r="F220" s="4">
        <v>11809.05</v>
      </c>
    </row>
    <row r="221" spans="1:6" x14ac:dyDescent="0.25">
      <c r="A221" s="2" t="s">
        <v>290</v>
      </c>
      <c r="B221" s="2" t="s">
        <v>28</v>
      </c>
      <c r="C221" s="3">
        <v>45698</v>
      </c>
      <c r="D221" s="4">
        <v>13219.6</v>
      </c>
      <c r="E221" s="4">
        <f>Table1[[#This Row],[Importe IVA incl.]]-Table1[[#This Row],[Importe]]</f>
        <v>1321.9599999999991</v>
      </c>
      <c r="F221" s="4">
        <v>14541.56</v>
      </c>
    </row>
    <row r="222" spans="1:6" x14ac:dyDescent="0.25">
      <c r="A222" s="2" t="s">
        <v>291</v>
      </c>
      <c r="B222" s="2" t="s">
        <v>25</v>
      </c>
      <c r="C222" s="3">
        <v>45698</v>
      </c>
      <c r="D222" s="4">
        <v>4077.92</v>
      </c>
      <c r="E222" s="4">
        <f>Table1[[#This Row],[Importe IVA incl.]]-Table1[[#This Row],[Importe]]</f>
        <v>407.78999999999996</v>
      </c>
      <c r="F222" s="4">
        <v>4485.71</v>
      </c>
    </row>
    <row r="223" spans="1:6" x14ac:dyDescent="0.25">
      <c r="A223" s="2" t="s">
        <v>292</v>
      </c>
      <c r="B223" s="2" t="s">
        <v>70</v>
      </c>
      <c r="C223" s="3">
        <v>45698</v>
      </c>
      <c r="D223" s="4">
        <v>2309.58</v>
      </c>
      <c r="E223" s="4">
        <f>Table1[[#This Row],[Importe IVA incl.]]-Table1[[#This Row],[Importe]]</f>
        <v>230.96000000000004</v>
      </c>
      <c r="F223" s="4">
        <v>2540.54</v>
      </c>
    </row>
    <row r="224" spans="1:6" x14ac:dyDescent="0.25">
      <c r="A224" s="2" t="s">
        <v>293</v>
      </c>
      <c r="B224" s="2" t="s">
        <v>54</v>
      </c>
      <c r="C224" s="3">
        <v>45698</v>
      </c>
      <c r="D224" s="4">
        <v>12096</v>
      </c>
      <c r="E224" s="4">
        <f>Table1[[#This Row],[Importe IVA incl.]]-Table1[[#This Row],[Importe]]</f>
        <v>1209.6000000000004</v>
      </c>
      <c r="F224" s="4">
        <v>13305.6</v>
      </c>
    </row>
    <row r="225" spans="1:6" x14ac:dyDescent="0.25">
      <c r="A225" s="2" t="s">
        <v>294</v>
      </c>
      <c r="B225" s="2" t="s">
        <v>295</v>
      </c>
      <c r="C225" s="3">
        <v>45698</v>
      </c>
      <c r="D225" s="4">
        <v>12998.4</v>
      </c>
      <c r="E225" s="4">
        <f>Table1[[#This Row],[Importe IVA incl.]]-Table1[[#This Row],[Importe]]</f>
        <v>1299.8400000000001</v>
      </c>
      <c r="F225" s="4">
        <v>14298.24</v>
      </c>
    </row>
    <row r="226" spans="1:6" x14ac:dyDescent="0.25">
      <c r="A226" s="2" t="s">
        <v>296</v>
      </c>
      <c r="B226" s="2" t="s">
        <v>157</v>
      </c>
      <c r="C226" s="3">
        <v>45698</v>
      </c>
      <c r="D226" s="4">
        <v>10398.870000000001</v>
      </c>
      <c r="E226" s="4">
        <f>Table1[[#This Row],[Importe IVA incl.]]-Table1[[#This Row],[Importe]]</f>
        <v>1039.8899999999994</v>
      </c>
      <c r="F226" s="4">
        <v>11438.76</v>
      </c>
    </row>
    <row r="227" spans="1:6" x14ac:dyDescent="0.25">
      <c r="A227" s="2" t="s">
        <v>297</v>
      </c>
      <c r="B227" s="2" t="s">
        <v>32</v>
      </c>
      <c r="C227" s="3">
        <v>45698</v>
      </c>
      <c r="D227" s="4">
        <v>6282.9</v>
      </c>
      <c r="E227" s="4">
        <f>Table1[[#This Row],[Importe IVA incl.]]-Table1[[#This Row],[Importe]]</f>
        <v>628.29</v>
      </c>
      <c r="F227" s="4">
        <v>6911.19</v>
      </c>
    </row>
    <row r="228" spans="1:6" x14ac:dyDescent="0.25">
      <c r="A228" s="2" t="s">
        <v>298</v>
      </c>
      <c r="B228" s="2" t="s">
        <v>56</v>
      </c>
      <c r="C228" s="3">
        <v>45698</v>
      </c>
      <c r="D228" s="4">
        <v>3244.8</v>
      </c>
      <c r="E228" s="4">
        <f>Table1[[#This Row],[Importe IVA incl.]]-Table1[[#This Row],[Importe]]</f>
        <v>324.48</v>
      </c>
      <c r="F228" s="4">
        <v>3569.28</v>
      </c>
    </row>
    <row r="229" spans="1:6" x14ac:dyDescent="0.25">
      <c r="A229" s="2" t="s">
        <v>299</v>
      </c>
      <c r="B229" s="2" t="s">
        <v>12</v>
      </c>
      <c r="C229" s="3">
        <v>45698</v>
      </c>
      <c r="D229" s="4">
        <v>13672.44</v>
      </c>
      <c r="E229" s="4">
        <f>Table1[[#This Row],[Importe IVA incl.]]-Table1[[#This Row],[Importe]]</f>
        <v>1367.2399999999998</v>
      </c>
      <c r="F229" s="4">
        <v>15039.68</v>
      </c>
    </row>
    <row r="230" spans="1:6" x14ac:dyDescent="0.25">
      <c r="A230" s="2" t="s">
        <v>300</v>
      </c>
      <c r="B230" s="2" t="s">
        <v>32</v>
      </c>
      <c r="C230" s="3">
        <v>45695</v>
      </c>
      <c r="D230" s="4">
        <v>63</v>
      </c>
      <c r="E230" s="4">
        <f>Table1[[#This Row],[Importe IVA incl.]]-Table1[[#This Row],[Importe]]</f>
        <v>6.2999999999999972</v>
      </c>
      <c r="F230" s="4">
        <v>69.3</v>
      </c>
    </row>
    <row r="231" spans="1:6" x14ac:dyDescent="0.25">
      <c r="A231" s="2" t="s">
        <v>301</v>
      </c>
      <c r="B231" s="2" t="s">
        <v>36</v>
      </c>
      <c r="C231" s="3">
        <v>45695</v>
      </c>
      <c r="D231" s="4">
        <v>13208.88</v>
      </c>
      <c r="E231" s="4">
        <f>Table1[[#This Row],[Importe IVA incl.]]-Table1[[#This Row],[Importe]]</f>
        <v>1320.8900000000012</v>
      </c>
      <c r="F231" s="4">
        <v>14529.77</v>
      </c>
    </row>
    <row r="232" spans="1:6" x14ac:dyDescent="0.25">
      <c r="A232" s="2" t="s">
        <v>302</v>
      </c>
      <c r="B232" s="2" t="s">
        <v>25</v>
      </c>
      <c r="C232" s="3">
        <v>45695</v>
      </c>
      <c r="D232" s="4">
        <v>1816.08</v>
      </c>
      <c r="E232" s="4">
        <f>Table1[[#This Row],[Importe IVA incl.]]-Table1[[#This Row],[Importe]]</f>
        <v>181.61000000000013</v>
      </c>
      <c r="F232" s="4">
        <v>1997.69</v>
      </c>
    </row>
    <row r="233" spans="1:6" x14ac:dyDescent="0.25">
      <c r="A233" s="2" t="s">
        <v>303</v>
      </c>
      <c r="B233" s="2" t="s">
        <v>25</v>
      </c>
      <c r="C233" s="3">
        <v>45695</v>
      </c>
      <c r="D233" s="4">
        <v>865.02</v>
      </c>
      <c r="E233" s="4">
        <f>Table1[[#This Row],[Importe IVA incl.]]-Table1[[#This Row],[Importe]]</f>
        <v>86.5</v>
      </c>
      <c r="F233" s="4">
        <v>951.52</v>
      </c>
    </row>
    <row r="234" spans="1:6" x14ac:dyDescent="0.25">
      <c r="A234" s="2" t="s">
        <v>304</v>
      </c>
      <c r="B234" s="2" t="s">
        <v>32</v>
      </c>
      <c r="C234" s="3">
        <v>45695</v>
      </c>
      <c r="D234" s="4">
        <v>1302.48</v>
      </c>
      <c r="E234" s="4">
        <f>Table1[[#This Row],[Importe IVA incl.]]-Table1[[#This Row],[Importe]]</f>
        <v>130.25</v>
      </c>
      <c r="F234" s="4">
        <v>1432.73</v>
      </c>
    </row>
    <row r="235" spans="1:6" x14ac:dyDescent="0.25">
      <c r="A235" s="2" t="s">
        <v>305</v>
      </c>
      <c r="B235" s="2" t="s">
        <v>306</v>
      </c>
      <c r="C235" s="3">
        <v>45695</v>
      </c>
      <c r="D235" s="4">
        <v>11826.29</v>
      </c>
      <c r="E235" s="4">
        <f>Table1[[#This Row],[Importe IVA incl.]]-Table1[[#This Row],[Importe]]</f>
        <v>1182.6299999999992</v>
      </c>
      <c r="F235" s="4">
        <v>13008.92</v>
      </c>
    </row>
    <row r="236" spans="1:6" x14ac:dyDescent="0.25">
      <c r="A236" s="2" t="s">
        <v>307</v>
      </c>
      <c r="B236" s="2" t="s">
        <v>25</v>
      </c>
      <c r="C236" s="3">
        <v>45695</v>
      </c>
      <c r="D236" s="4">
        <v>10624</v>
      </c>
      <c r="E236" s="4">
        <f>Table1[[#This Row],[Importe IVA incl.]]-Table1[[#This Row],[Importe]]</f>
        <v>1090.5599999999995</v>
      </c>
      <c r="F236" s="4">
        <v>11714.56</v>
      </c>
    </row>
    <row r="237" spans="1:6" x14ac:dyDescent="0.25">
      <c r="A237" s="2" t="s">
        <v>308</v>
      </c>
      <c r="B237" s="2" t="s">
        <v>12</v>
      </c>
      <c r="C237" s="3">
        <v>45695</v>
      </c>
      <c r="D237" s="4">
        <v>12490.5</v>
      </c>
      <c r="E237" s="4">
        <f>Table1[[#This Row],[Importe IVA incl.]]-Table1[[#This Row],[Importe]]</f>
        <v>1249.0499999999993</v>
      </c>
      <c r="F237" s="4">
        <v>13739.55</v>
      </c>
    </row>
    <row r="238" spans="1:6" x14ac:dyDescent="0.25">
      <c r="A238" s="2" t="s">
        <v>309</v>
      </c>
      <c r="B238" s="2" t="s">
        <v>12</v>
      </c>
      <c r="C238" s="3">
        <v>45695</v>
      </c>
      <c r="D238" s="4">
        <v>1352.52</v>
      </c>
      <c r="E238" s="4">
        <f>Table1[[#This Row],[Importe IVA incl.]]-Table1[[#This Row],[Importe]]</f>
        <v>135.25</v>
      </c>
      <c r="F238" s="4">
        <v>1487.77</v>
      </c>
    </row>
    <row r="239" spans="1:6" x14ac:dyDescent="0.25">
      <c r="A239" s="2" t="s">
        <v>310</v>
      </c>
      <c r="B239" s="2" t="s">
        <v>311</v>
      </c>
      <c r="C239" s="3">
        <v>45695</v>
      </c>
      <c r="D239" s="4">
        <v>378</v>
      </c>
      <c r="E239" s="4">
        <f>Table1[[#This Row],[Importe IVA incl.]]-Table1[[#This Row],[Importe]]</f>
        <v>37.800000000000011</v>
      </c>
      <c r="F239" s="4">
        <v>415.8</v>
      </c>
    </row>
    <row r="240" spans="1:6" x14ac:dyDescent="0.25">
      <c r="A240" s="2" t="s">
        <v>312</v>
      </c>
      <c r="B240" s="2" t="s">
        <v>12</v>
      </c>
      <c r="C240" s="3">
        <v>45695</v>
      </c>
      <c r="D240" s="4">
        <v>14426.88</v>
      </c>
      <c r="E240" s="4">
        <f>Table1[[#This Row],[Importe IVA incl.]]-Table1[[#This Row],[Importe]]</f>
        <v>1442.6900000000005</v>
      </c>
      <c r="F240" s="4">
        <v>15869.57</v>
      </c>
    </row>
    <row r="241" spans="1:6" x14ac:dyDescent="0.25">
      <c r="A241" s="2" t="s">
        <v>313</v>
      </c>
      <c r="B241" s="2" t="s">
        <v>58</v>
      </c>
      <c r="C241" s="3">
        <v>45695</v>
      </c>
      <c r="D241" s="4">
        <v>11804.3</v>
      </c>
      <c r="E241" s="4">
        <f>Table1[[#This Row],[Importe IVA incl.]]-Table1[[#This Row],[Importe]]</f>
        <v>1180.4300000000003</v>
      </c>
      <c r="F241" s="4">
        <v>12984.73</v>
      </c>
    </row>
    <row r="242" spans="1:6" x14ac:dyDescent="0.25">
      <c r="A242" s="2" t="s">
        <v>314</v>
      </c>
      <c r="B242" s="2" t="s">
        <v>157</v>
      </c>
      <c r="C242" s="3">
        <v>45695</v>
      </c>
      <c r="D242" s="4">
        <v>10119.33</v>
      </c>
      <c r="E242" s="4">
        <f>Table1[[#This Row],[Importe IVA incl.]]-Table1[[#This Row],[Importe]]</f>
        <v>1011.9300000000003</v>
      </c>
      <c r="F242" s="4">
        <v>11131.26</v>
      </c>
    </row>
    <row r="243" spans="1:6" x14ac:dyDescent="0.25">
      <c r="A243" s="2" t="s">
        <v>315</v>
      </c>
      <c r="B243" s="2" t="s">
        <v>40</v>
      </c>
      <c r="C243" s="3">
        <v>45695</v>
      </c>
      <c r="D243" s="4">
        <v>12028.53</v>
      </c>
      <c r="E243" s="4">
        <f>Table1[[#This Row],[Importe IVA incl.]]-Table1[[#This Row],[Importe]]</f>
        <v>1202.8499999999985</v>
      </c>
      <c r="F243" s="4">
        <v>13231.38</v>
      </c>
    </row>
    <row r="244" spans="1:6" x14ac:dyDescent="0.25">
      <c r="A244" s="2" t="s">
        <v>316</v>
      </c>
      <c r="B244" s="2" t="s">
        <v>106</v>
      </c>
      <c r="C244" s="3">
        <v>45695</v>
      </c>
      <c r="D244" s="4">
        <v>11775.35</v>
      </c>
      <c r="E244" s="4">
        <f>Table1[[#This Row],[Importe IVA incl.]]-Table1[[#This Row],[Importe]]</f>
        <v>1177.5399999999991</v>
      </c>
      <c r="F244" s="4">
        <v>12952.89</v>
      </c>
    </row>
    <row r="245" spans="1:6" x14ac:dyDescent="0.25">
      <c r="A245" s="2" t="s">
        <v>317</v>
      </c>
      <c r="B245" s="2" t="s">
        <v>92</v>
      </c>
      <c r="C245" s="3">
        <v>45694</v>
      </c>
      <c r="D245" s="4">
        <v>12671.17</v>
      </c>
      <c r="E245" s="4">
        <f>Table1[[#This Row],[Importe IVA incl.]]-Table1[[#This Row],[Importe]]</f>
        <v>1267.1200000000008</v>
      </c>
      <c r="F245" s="4">
        <v>13938.29</v>
      </c>
    </row>
    <row r="246" spans="1:6" x14ac:dyDescent="0.25">
      <c r="A246" s="2" t="s">
        <v>318</v>
      </c>
      <c r="B246" s="2" t="s">
        <v>319</v>
      </c>
      <c r="C246" s="3">
        <v>45694</v>
      </c>
      <c r="D246" s="4">
        <v>14181.6</v>
      </c>
      <c r="E246" s="4">
        <f>Table1[[#This Row],[Importe IVA incl.]]-Table1[[#This Row],[Importe]]</f>
        <v>1418.1599999999999</v>
      </c>
      <c r="F246" s="4">
        <v>15599.76</v>
      </c>
    </row>
    <row r="247" spans="1:6" x14ac:dyDescent="0.25">
      <c r="A247" s="2" t="s">
        <v>320</v>
      </c>
      <c r="B247" s="2" t="s">
        <v>321</v>
      </c>
      <c r="C247" s="3">
        <v>45694</v>
      </c>
      <c r="D247" s="4">
        <v>13495.8</v>
      </c>
      <c r="E247" s="4">
        <f>Table1[[#This Row],[Importe IVA incl.]]-Table1[[#This Row],[Importe]]</f>
        <v>0</v>
      </c>
      <c r="F247" s="4">
        <v>13495.8</v>
      </c>
    </row>
    <row r="248" spans="1:6" x14ac:dyDescent="0.25">
      <c r="A248" s="2" t="s">
        <v>322</v>
      </c>
      <c r="B248" s="2" t="s">
        <v>323</v>
      </c>
      <c r="C248" s="3">
        <v>45694</v>
      </c>
      <c r="D248" s="4">
        <v>10416</v>
      </c>
      <c r="E248" s="4">
        <f>Table1[[#This Row],[Importe IVA incl.]]-Table1[[#This Row],[Importe]]</f>
        <v>0</v>
      </c>
      <c r="F248" s="4">
        <v>10416</v>
      </c>
    </row>
    <row r="249" spans="1:6" x14ac:dyDescent="0.25">
      <c r="A249" s="2" t="s">
        <v>324</v>
      </c>
      <c r="B249" s="2" t="s">
        <v>25</v>
      </c>
      <c r="C249" s="3">
        <v>45694</v>
      </c>
      <c r="D249" s="4">
        <v>4341.6000000000004</v>
      </c>
      <c r="E249" s="4">
        <f>Table1[[#This Row],[Importe IVA incl.]]-Table1[[#This Row],[Importe]]</f>
        <v>434.15999999999985</v>
      </c>
      <c r="F249" s="4">
        <v>4775.76</v>
      </c>
    </row>
    <row r="250" spans="1:6" x14ac:dyDescent="0.25">
      <c r="A250" s="2" t="s">
        <v>325</v>
      </c>
      <c r="B250" s="2" t="s">
        <v>25</v>
      </c>
      <c r="C250" s="3">
        <v>45694</v>
      </c>
      <c r="D250" s="4">
        <v>482.4</v>
      </c>
      <c r="E250" s="4">
        <f>Table1[[#This Row],[Importe IVA incl.]]-Table1[[#This Row],[Importe]]</f>
        <v>48.240000000000009</v>
      </c>
      <c r="F250" s="4">
        <v>530.64</v>
      </c>
    </row>
    <row r="251" spans="1:6" x14ac:dyDescent="0.25">
      <c r="A251" s="2" t="s">
        <v>326</v>
      </c>
      <c r="B251" s="2" t="s">
        <v>12</v>
      </c>
      <c r="C251" s="3">
        <v>45694</v>
      </c>
      <c r="D251" s="4">
        <v>925.92</v>
      </c>
      <c r="E251" s="4">
        <f>Table1[[#This Row],[Importe IVA incl.]]-Table1[[#This Row],[Importe]]</f>
        <v>92.590000000000032</v>
      </c>
      <c r="F251" s="4">
        <v>1018.51</v>
      </c>
    </row>
    <row r="252" spans="1:6" x14ac:dyDescent="0.25">
      <c r="A252" s="2" t="s">
        <v>327</v>
      </c>
      <c r="B252" s="2" t="s">
        <v>12</v>
      </c>
      <c r="C252" s="3">
        <v>45694</v>
      </c>
      <c r="D252" s="4">
        <v>1930.5</v>
      </c>
      <c r="E252" s="4">
        <f>Table1[[#This Row],[Importe IVA incl.]]-Table1[[#This Row],[Importe]]</f>
        <v>193.05000000000018</v>
      </c>
      <c r="F252" s="4">
        <v>2123.5500000000002</v>
      </c>
    </row>
    <row r="253" spans="1:6" x14ac:dyDescent="0.25">
      <c r="A253" s="2" t="s">
        <v>328</v>
      </c>
      <c r="B253" s="2" t="s">
        <v>48</v>
      </c>
      <c r="C253" s="3">
        <v>45694</v>
      </c>
      <c r="D253" s="4">
        <v>531.26</v>
      </c>
      <c r="E253" s="4">
        <f>Table1[[#This Row],[Importe IVA incl.]]-Table1[[#This Row],[Importe]]</f>
        <v>60.389999999999986</v>
      </c>
      <c r="F253" s="4">
        <v>591.65</v>
      </c>
    </row>
    <row r="254" spans="1:6" x14ac:dyDescent="0.25">
      <c r="A254" s="2" t="s">
        <v>329</v>
      </c>
      <c r="B254" s="2" t="s">
        <v>36</v>
      </c>
      <c r="C254" s="3">
        <v>45694</v>
      </c>
      <c r="D254" s="4">
        <v>462.2</v>
      </c>
      <c r="E254" s="4">
        <f>Table1[[#This Row],[Importe IVA incl.]]-Table1[[#This Row],[Importe]]</f>
        <v>53.479999999999961</v>
      </c>
      <c r="F254" s="4">
        <v>515.67999999999995</v>
      </c>
    </row>
    <row r="255" spans="1:6" x14ac:dyDescent="0.25">
      <c r="A255" s="2" t="s">
        <v>330</v>
      </c>
      <c r="B255" s="2" t="s">
        <v>17</v>
      </c>
      <c r="C255" s="3">
        <v>45694</v>
      </c>
      <c r="D255" s="4">
        <v>12327.78</v>
      </c>
      <c r="E255" s="4">
        <f>Table1[[#This Row],[Importe IVA incl.]]-Table1[[#This Row],[Importe]]</f>
        <v>1232.7799999999988</v>
      </c>
      <c r="F255" s="4">
        <v>13560.56</v>
      </c>
    </row>
    <row r="256" spans="1:6" x14ac:dyDescent="0.25">
      <c r="A256" s="2" t="s">
        <v>331</v>
      </c>
      <c r="B256" s="2" t="s">
        <v>58</v>
      </c>
      <c r="C256" s="3">
        <v>45694</v>
      </c>
      <c r="D256" s="4">
        <v>5896.15</v>
      </c>
      <c r="E256" s="4">
        <f>Table1[[#This Row],[Importe IVA incl.]]-Table1[[#This Row],[Importe]]</f>
        <v>589.6200000000008</v>
      </c>
      <c r="F256" s="4">
        <v>6485.77</v>
      </c>
    </row>
    <row r="257" spans="1:6" x14ac:dyDescent="0.25">
      <c r="A257" s="2" t="s">
        <v>332</v>
      </c>
      <c r="B257" s="2" t="s">
        <v>96</v>
      </c>
      <c r="C257" s="3">
        <v>45694</v>
      </c>
      <c r="D257" s="4">
        <v>13519.77</v>
      </c>
      <c r="E257" s="4">
        <f>Table1[[#This Row],[Importe IVA incl.]]-Table1[[#This Row],[Importe]]</f>
        <v>1351.9799999999996</v>
      </c>
      <c r="F257" s="4">
        <v>14871.75</v>
      </c>
    </row>
    <row r="258" spans="1:6" x14ac:dyDescent="0.25">
      <c r="A258" s="2" t="s">
        <v>333</v>
      </c>
      <c r="B258" s="2" t="s">
        <v>334</v>
      </c>
      <c r="C258" s="3">
        <v>45694</v>
      </c>
      <c r="D258" s="4">
        <v>12053.64</v>
      </c>
      <c r="E258" s="4">
        <f>Table1[[#This Row],[Importe IVA incl.]]-Table1[[#This Row],[Importe]]</f>
        <v>1205.3600000000006</v>
      </c>
      <c r="F258" s="4">
        <v>13259</v>
      </c>
    </row>
    <row r="259" spans="1:6" x14ac:dyDescent="0.25">
      <c r="A259" s="2" t="s">
        <v>335</v>
      </c>
      <c r="B259" s="2" t="s">
        <v>36</v>
      </c>
      <c r="C259" s="3">
        <v>45694</v>
      </c>
      <c r="D259" s="4">
        <v>12897.48</v>
      </c>
      <c r="E259" s="4">
        <f>Table1[[#This Row],[Importe IVA incl.]]-Table1[[#This Row],[Importe]]</f>
        <v>1289.75</v>
      </c>
      <c r="F259" s="4">
        <v>14187.23</v>
      </c>
    </row>
    <row r="260" spans="1:6" x14ac:dyDescent="0.25">
      <c r="A260" s="2" t="s">
        <v>336</v>
      </c>
      <c r="B260" s="2" t="s">
        <v>36</v>
      </c>
      <c r="C260" s="3">
        <v>45694</v>
      </c>
      <c r="D260" s="4">
        <v>14548.8</v>
      </c>
      <c r="E260" s="4">
        <f>Table1[[#This Row],[Importe IVA incl.]]-Table1[[#This Row],[Importe]]</f>
        <v>1454.880000000001</v>
      </c>
      <c r="F260" s="4">
        <v>16003.68</v>
      </c>
    </row>
    <row r="261" spans="1:6" x14ac:dyDescent="0.25">
      <c r="A261" s="2" t="s">
        <v>337</v>
      </c>
      <c r="B261" s="2" t="s">
        <v>98</v>
      </c>
      <c r="C261" s="3">
        <v>45694</v>
      </c>
      <c r="D261" s="4">
        <v>841.62</v>
      </c>
      <c r="E261" s="4">
        <f>Table1[[#This Row],[Importe IVA incl.]]-Table1[[#This Row],[Importe]]</f>
        <v>84.159999999999968</v>
      </c>
      <c r="F261" s="4">
        <v>925.78</v>
      </c>
    </row>
    <row r="262" spans="1:6" x14ac:dyDescent="0.25">
      <c r="A262" s="2" t="s">
        <v>338</v>
      </c>
      <c r="B262" s="2" t="s">
        <v>25</v>
      </c>
      <c r="C262" s="3">
        <v>45694</v>
      </c>
      <c r="D262" s="4">
        <v>3585.96</v>
      </c>
      <c r="E262" s="4">
        <f>Table1[[#This Row],[Importe IVA incl.]]-Table1[[#This Row],[Importe]]</f>
        <v>358.59999999999991</v>
      </c>
      <c r="F262" s="4">
        <v>3944.56</v>
      </c>
    </row>
    <row r="263" spans="1:6" x14ac:dyDescent="0.25">
      <c r="A263" s="2" t="s">
        <v>339</v>
      </c>
      <c r="B263" s="2" t="s">
        <v>32</v>
      </c>
      <c r="C263" s="3">
        <v>45694</v>
      </c>
      <c r="D263" s="4">
        <v>329.94</v>
      </c>
      <c r="E263" s="4">
        <f>Table1[[#This Row],[Importe IVA incl.]]-Table1[[#This Row],[Importe]]</f>
        <v>32.990000000000009</v>
      </c>
      <c r="F263" s="4">
        <v>362.93</v>
      </c>
    </row>
    <row r="264" spans="1:6" x14ac:dyDescent="0.25">
      <c r="A264" s="2" t="s">
        <v>340</v>
      </c>
      <c r="B264" s="2" t="s">
        <v>70</v>
      </c>
      <c r="C264" s="3">
        <v>45694</v>
      </c>
      <c r="D264" s="4">
        <v>2693.73</v>
      </c>
      <c r="E264" s="4">
        <f>Table1[[#This Row],[Importe IVA incl.]]-Table1[[#This Row],[Importe]]</f>
        <v>269.36999999999989</v>
      </c>
      <c r="F264" s="4">
        <v>2963.1</v>
      </c>
    </row>
    <row r="265" spans="1:6" x14ac:dyDescent="0.25">
      <c r="A265" s="2" t="s">
        <v>341</v>
      </c>
      <c r="B265" s="2" t="s">
        <v>25</v>
      </c>
      <c r="C265" s="3">
        <v>45694</v>
      </c>
      <c r="D265" s="4">
        <v>4678.05</v>
      </c>
      <c r="E265" s="4">
        <f>Table1[[#This Row],[Importe IVA incl.]]-Table1[[#This Row],[Importe]]</f>
        <v>467.80999999999949</v>
      </c>
      <c r="F265" s="4">
        <v>5145.8599999999997</v>
      </c>
    </row>
    <row r="266" spans="1:6" x14ac:dyDescent="0.25">
      <c r="A266" s="2" t="s">
        <v>342</v>
      </c>
      <c r="B266" s="2" t="s">
        <v>70</v>
      </c>
      <c r="C266" s="3">
        <v>45694</v>
      </c>
      <c r="D266" s="4">
        <v>9158.76</v>
      </c>
      <c r="E266" s="4">
        <f>Table1[[#This Row],[Importe IVA incl.]]-Table1[[#This Row],[Importe]]</f>
        <v>915.8799999999992</v>
      </c>
      <c r="F266" s="4">
        <v>10074.64</v>
      </c>
    </row>
    <row r="267" spans="1:6" x14ac:dyDescent="0.25">
      <c r="A267" s="2" t="s">
        <v>343</v>
      </c>
      <c r="B267" s="2" t="s">
        <v>12</v>
      </c>
      <c r="C267" s="3">
        <v>45693</v>
      </c>
      <c r="D267" s="4">
        <v>3155.88</v>
      </c>
      <c r="E267" s="4">
        <f>Table1[[#This Row],[Importe IVA incl.]]-Table1[[#This Row],[Importe]]</f>
        <v>315.58999999999969</v>
      </c>
      <c r="F267" s="4">
        <v>3471.47</v>
      </c>
    </row>
    <row r="268" spans="1:6" x14ac:dyDescent="0.25">
      <c r="A268" s="2" t="s">
        <v>344</v>
      </c>
      <c r="B268" s="2" t="s">
        <v>70</v>
      </c>
      <c r="C268" s="3">
        <v>45693</v>
      </c>
      <c r="D268" s="4">
        <v>1721.16</v>
      </c>
      <c r="E268" s="4">
        <f>Table1[[#This Row],[Importe IVA incl.]]-Table1[[#This Row],[Importe]]</f>
        <v>172.11999999999989</v>
      </c>
      <c r="F268" s="4">
        <v>1893.28</v>
      </c>
    </row>
    <row r="269" spans="1:6" x14ac:dyDescent="0.25">
      <c r="A269" s="2" t="s">
        <v>345</v>
      </c>
      <c r="B269" s="2" t="s">
        <v>70</v>
      </c>
      <c r="C269" s="3">
        <v>45693</v>
      </c>
      <c r="D269" s="4">
        <v>9424.35</v>
      </c>
      <c r="E269" s="4">
        <f>Table1[[#This Row],[Importe IVA incl.]]-Table1[[#This Row],[Importe]]</f>
        <v>942.44000000000051</v>
      </c>
      <c r="F269" s="4">
        <v>10366.790000000001</v>
      </c>
    </row>
    <row r="270" spans="1:6" x14ac:dyDescent="0.25">
      <c r="A270" s="2" t="s">
        <v>346</v>
      </c>
      <c r="B270" s="2" t="s">
        <v>25</v>
      </c>
      <c r="C270" s="3">
        <v>45693</v>
      </c>
      <c r="D270" s="4">
        <v>10711.5</v>
      </c>
      <c r="E270" s="4">
        <f>Table1[[#This Row],[Importe IVA incl.]]-Table1[[#This Row],[Importe]]</f>
        <v>1097.5499999999993</v>
      </c>
      <c r="F270" s="4">
        <v>11809.05</v>
      </c>
    </row>
    <row r="271" spans="1:6" x14ac:dyDescent="0.25">
      <c r="A271" s="2" t="s">
        <v>347</v>
      </c>
      <c r="B271" s="2" t="s">
        <v>25</v>
      </c>
      <c r="C271" s="3">
        <v>45693</v>
      </c>
      <c r="D271" s="4">
        <v>4503.6000000000004</v>
      </c>
      <c r="E271" s="4">
        <f>Table1[[#This Row],[Importe IVA incl.]]-Table1[[#This Row],[Importe]]</f>
        <v>450.35999999999967</v>
      </c>
      <c r="F271" s="4">
        <v>4953.96</v>
      </c>
    </row>
    <row r="272" spans="1:6" x14ac:dyDescent="0.25">
      <c r="A272" s="2" t="s">
        <v>348</v>
      </c>
      <c r="B272" s="2" t="s">
        <v>25</v>
      </c>
      <c r="C272" s="3">
        <v>45693</v>
      </c>
      <c r="D272" s="4">
        <v>1557.04</v>
      </c>
      <c r="E272" s="4">
        <f>Table1[[#This Row],[Importe IVA incl.]]-Table1[[#This Row],[Importe]]</f>
        <v>155.70000000000005</v>
      </c>
      <c r="F272" s="4">
        <v>1712.74</v>
      </c>
    </row>
    <row r="273" spans="1:6" x14ac:dyDescent="0.25">
      <c r="A273" s="2" t="s">
        <v>349</v>
      </c>
      <c r="B273" s="2" t="s">
        <v>32</v>
      </c>
      <c r="C273" s="3">
        <v>45693</v>
      </c>
      <c r="D273" s="4">
        <v>2295.34</v>
      </c>
      <c r="E273" s="4">
        <f>Table1[[#This Row],[Importe IVA incl.]]-Table1[[#This Row],[Importe]]</f>
        <v>229.52999999999975</v>
      </c>
      <c r="F273" s="4">
        <v>2524.87</v>
      </c>
    </row>
    <row r="274" spans="1:6" x14ac:dyDescent="0.25">
      <c r="A274" s="2" t="s">
        <v>350</v>
      </c>
      <c r="B274" s="2" t="s">
        <v>32</v>
      </c>
      <c r="C274" s="3">
        <v>45693</v>
      </c>
      <c r="D274" s="4">
        <v>6828.7</v>
      </c>
      <c r="E274" s="4">
        <f>Table1[[#This Row],[Importe IVA incl.]]-Table1[[#This Row],[Importe]]</f>
        <v>682.86999999999989</v>
      </c>
      <c r="F274" s="4">
        <v>7511.57</v>
      </c>
    </row>
    <row r="275" spans="1:6" x14ac:dyDescent="0.25">
      <c r="A275" s="2" t="s">
        <v>351</v>
      </c>
      <c r="B275" s="2" t="s">
        <v>352</v>
      </c>
      <c r="C275" s="3">
        <v>45693</v>
      </c>
      <c r="D275" s="4">
        <v>12490.14</v>
      </c>
      <c r="E275" s="4">
        <f>Table1[[#This Row],[Importe IVA incl.]]-Table1[[#This Row],[Importe]]</f>
        <v>1249.0100000000002</v>
      </c>
      <c r="F275" s="4">
        <v>13739.15</v>
      </c>
    </row>
    <row r="276" spans="1:6" x14ac:dyDescent="0.25">
      <c r="A276" s="2" t="s">
        <v>353</v>
      </c>
      <c r="B276" s="2" t="s">
        <v>354</v>
      </c>
      <c r="C276" s="3">
        <v>45693</v>
      </c>
      <c r="D276" s="4">
        <v>11933.76</v>
      </c>
      <c r="E276" s="4">
        <f>Table1[[#This Row],[Importe IVA incl.]]-Table1[[#This Row],[Importe]]</f>
        <v>1193.3799999999992</v>
      </c>
      <c r="F276" s="4">
        <v>13127.14</v>
      </c>
    </row>
    <row r="277" spans="1:6" x14ac:dyDescent="0.25">
      <c r="A277" s="2" t="s">
        <v>355</v>
      </c>
      <c r="B277" s="2" t="s">
        <v>356</v>
      </c>
      <c r="C277" s="3">
        <v>45693</v>
      </c>
      <c r="D277" s="4">
        <v>16095.37</v>
      </c>
      <c r="E277" s="4">
        <f>Table1[[#This Row],[Importe IVA incl.]]-Table1[[#This Row],[Importe]]</f>
        <v>0</v>
      </c>
      <c r="F277" s="4">
        <v>16095.37</v>
      </c>
    </row>
    <row r="278" spans="1:6" x14ac:dyDescent="0.25">
      <c r="A278" s="2" t="s">
        <v>357</v>
      </c>
      <c r="B278" s="2" t="s">
        <v>25</v>
      </c>
      <c r="C278" s="3">
        <v>45693</v>
      </c>
      <c r="D278" s="4">
        <v>3146.55</v>
      </c>
      <c r="E278" s="4">
        <f>Table1[[#This Row],[Importe IVA incl.]]-Table1[[#This Row],[Importe]]</f>
        <v>314.65999999999985</v>
      </c>
      <c r="F278" s="4">
        <v>3461.21</v>
      </c>
    </row>
    <row r="279" spans="1:6" x14ac:dyDescent="0.25">
      <c r="A279" s="2" t="s">
        <v>358</v>
      </c>
      <c r="B279" s="2" t="s">
        <v>25</v>
      </c>
      <c r="C279" s="3">
        <v>45693</v>
      </c>
      <c r="D279" s="4">
        <v>11565.1</v>
      </c>
      <c r="E279" s="4">
        <f>Table1[[#This Row],[Importe IVA incl.]]-Table1[[#This Row],[Importe]]</f>
        <v>1156.5100000000002</v>
      </c>
      <c r="F279" s="4">
        <v>12721.61</v>
      </c>
    </row>
    <row r="280" spans="1:6" x14ac:dyDescent="0.25">
      <c r="A280" s="2" t="s">
        <v>359</v>
      </c>
      <c r="B280" s="2" t="s">
        <v>48</v>
      </c>
      <c r="C280" s="3">
        <v>45693</v>
      </c>
      <c r="D280" s="4">
        <v>11482.56</v>
      </c>
      <c r="E280" s="4">
        <f>Table1[[#This Row],[Importe IVA incl.]]-Table1[[#This Row],[Importe]]</f>
        <v>1148.2600000000002</v>
      </c>
      <c r="F280" s="4">
        <v>12630.82</v>
      </c>
    </row>
    <row r="281" spans="1:6" x14ac:dyDescent="0.25">
      <c r="A281" s="2" t="s">
        <v>360</v>
      </c>
      <c r="B281" s="2" t="s">
        <v>36</v>
      </c>
      <c r="C281" s="3">
        <v>45693</v>
      </c>
      <c r="D281" s="4">
        <v>12831.6</v>
      </c>
      <c r="E281" s="4">
        <f>Table1[[#This Row],[Importe IVA incl.]]-Table1[[#This Row],[Importe]]</f>
        <v>1283.1599999999999</v>
      </c>
      <c r="F281" s="4">
        <v>14114.76</v>
      </c>
    </row>
    <row r="282" spans="1:6" x14ac:dyDescent="0.25">
      <c r="A282" s="2" t="s">
        <v>361</v>
      </c>
      <c r="B282" s="2" t="s">
        <v>32</v>
      </c>
      <c r="C282" s="3">
        <v>45693</v>
      </c>
      <c r="D282" s="4">
        <v>1557.04</v>
      </c>
      <c r="E282" s="4">
        <f>Table1[[#This Row],[Importe IVA incl.]]-Table1[[#This Row],[Importe]]</f>
        <v>155.70000000000005</v>
      </c>
      <c r="F282" s="4">
        <v>1712.74</v>
      </c>
    </row>
    <row r="283" spans="1:6" x14ac:dyDescent="0.25">
      <c r="A283" s="2" t="s">
        <v>362</v>
      </c>
      <c r="B283" s="2" t="s">
        <v>25</v>
      </c>
      <c r="C283" s="3">
        <v>45693</v>
      </c>
      <c r="D283" s="4">
        <v>2985.72</v>
      </c>
      <c r="E283" s="4">
        <f>Table1[[#This Row],[Importe IVA incl.]]-Table1[[#This Row],[Importe]]</f>
        <v>298.57000000000016</v>
      </c>
      <c r="F283" s="4">
        <v>3284.29</v>
      </c>
    </row>
    <row r="284" spans="1:6" x14ac:dyDescent="0.25">
      <c r="A284" s="2" t="s">
        <v>363</v>
      </c>
      <c r="B284" s="2" t="s">
        <v>70</v>
      </c>
      <c r="C284" s="3">
        <v>45693</v>
      </c>
      <c r="D284" s="4">
        <v>2094.3000000000002</v>
      </c>
      <c r="E284" s="4">
        <f>Table1[[#This Row],[Importe IVA incl.]]-Table1[[#This Row],[Importe]]</f>
        <v>209.42999999999984</v>
      </c>
      <c r="F284" s="4">
        <v>2303.73</v>
      </c>
    </row>
    <row r="285" spans="1:6" x14ac:dyDescent="0.25">
      <c r="A285" s="2" t="s">
        <v>364</v>
      </c>
      <c r="B285" s="2" t="s">
        <v>177</v>
      </c>
      <c r="C285" s="3">
        <v>45693</v>
      </c>
      <c r="D285" s="4">
        <v>12597.54</v>
      </c>
      <c r="E285" s="4">
        <f>Table1[[#This Row],[Importe IVA incl.]]-Table1[[#This Row],[Importe]]</f>
        <v>1259.75</v>
      </c>
      <c r="F285" s="4">
        <v>13857.29</v>
      </c>
    </row>
    <row r="286" spans="1:6" x14ac:dyDescent="0.25">
      <c r="A286" s="2" t="s">
        <v>365</v>
      </c>
      <c r="B286" s="2" t="s">
        <v>28</v>
      </c>
      <c r="C286" s="3">
        <v>45693</v>
      </c>
      <c r="D286" s="4">
        <v>14270.88</v>
      </c>
      <c r="E286" s="4">
        <f>Table1[[#This Row],[Importe IVA incl.]]-Table1[[#This Row],[Importe]]</f>
        <v>1427.0900000000001</v>
      </c>
      <c r="F286" s="4">
        <v>15697.97</v>
      </c>
    </row>
    <row r="287" spans="1:6" x14ac:dyDescent="0.25">
      <c r="A287" s="2" t="s">
        <v>366</v>
      </c>
      <c r="B287" s="2" t="s">
        <v>68</v>
      </c>
      <c r="C287" s="3">
        <v>45692</v>
      </c>
      <c r="D287" s="4">
        <v>11611.24</v>
      </c>
      <c r="E287" s="4">
        <f>Table1[[#This Row],[Importe IVA incl.]]-Table1[[#This Row],[Importe]]</f>
        <v>1323.6800000000003</v>
      </c>
      <c r="F287" s="4">
        <v>12934.92</v>
      </c>
    </row>
    <row r="288" spans="1:6" x14ac:dyDescent="0.25">
      <c r="A288" s="2" t="s">
        <v>367</v>
      </c>
      <c r="B288" s="2" t="s">
        <v>368</v>
      </c>
      <c r="C288" s="3">
        <v>45692</v>
      </c>
      <c r="D288" s="4">
        <v>14752.59</v>
      </c>
      <c r="E288" s="4">
        <f>Table1[[#This Row],[Importe IVA incl.]]-Table1[[#This Row],[Importe]]</f>
        <v>1475.2600000000002</v>
      </c>
      <c r="F288" s="4">
        <v>16227.85</v>
      </c>
    </row>
    <row r="289" spans="1:6" x14ac:dyDescent="0.25">
      <c r="A289" s="2" t="s">
        <v>369</v>
      </c>
      <c r="B289" s="2" t="s">
        <v>28</v>
      </c>
      <c r="C289" s="3">
        <v>45692</v>
      </c>
      <c r="D289" s="4">
        <v>8143.2</v>
      </c>
      <c r="E289" s="4">
        <f>Table1[[#This Row],[Importe IVA incl.]]-Table1[[#This Row],[Importe]]</f>
        <v>814.32000000000062</v>
      </c>
      <c r="F289" s="4">
        <v>8957.52</v>
      </c>
    </row>
    <row r="290" spans="1:6" x14ac:dyDescent="0.25">
      <c r="A290" s="2" t="s">
        <v>370</v>
      </c>
      <c r="B290" s="2" t="s">
        <v>36</v>
      </c>
      <c r="C290" s="3">
        <v>45692</v>
      </c>
      <c r="D290" s="4">
        <v>5579.1</v>
      </c>
      <c r="E290" s="4">
        <f>Table1[[#This Row],[Importe IVA incl.]]-Table1[[#This Row],[Importe]]</f>
        <v>557.90999999999985</v>
      </c>
      <c r="F290" s="4">
        <v>6137.01</v>
      </c>
    </row>
    <row r="291" spans="1:6" x14ac:dyDescent="0.25">
      <c r="A291" s="2" t="s">
        <v>371</v>
      </c>
      <c r="B291" s="2" t="s">
        <v>25</v>
      </c>
      <c r="C291" s="3">
        <v>45692</v>
      </c>
      <c r="D291" s="4">
        <v>1167.78</v>
      </c>
      <c r="E291" s="4">
        <f>Table1[[#This Row],[Importe IVA incl.]]-Table1[[#This Row],[Importe]]</f>
        <v>116.77999999999997</v>
      </c>
      <c r="F291" s="4">
        <v>1284.56</v>
      </c>
    </row>
    <row r="292" spans="1:6" x14ac:dyDescent="0.25">
      <c r="A292" s="2" t="s">
        <v>372</v>
      </c>
      <c r="B292" s="2" t="s">
        <v>25</v>
      </c>
      <c r="C292" s="3">
        <v>45692</v>
      </c>
      <c r="D292" s="4">
        <v>10567.55</v>
      </c>
      <c r="E292" s="4">
        <f>Table1[[#This Row],[Importe IVA incl.]]-Table1[[#This Row],[Importe]]</f>
        <v>1084.0400000000009</v>
      </c>
      <c r="F292" s="4">
        <v>11651.59</v>
      </c>
    </row>
    <row r="293" spans="1:6" x14ac:dyDescent="0.25">
      <c r="A293" s="2" t="s">
        <v>373</v>
      </c>
      <c r="B293" s="2" t="s">
        <v>48</v>
      </c>
      <c r="C293" s="3">
        <v>45692</v>
      </c>
      <c r="D293" s="4">
        <v>946.32</v>
      </c>
      <c r="E293" s="4">
        <f>Table1[[#This Row],[Importe IVA incl.]]-Table1[[#This Row],[Importe]]</f>
        <v>109.14999999999998</v>
      </c>
      <c r="F293" s="4">
        <v>1055.47</v>
      </c>
    </row>
    <row r="294" spans="1:6" x14ac:dyDescent="0.25">
      <c r="A294" s="2" t="s">
        <v>374</v>
      </c>
      <c r="B294" s="2" t="s">
        <v>66</v>
      </c>
      <c r="C294" s="3">
        <v>45692</v>
      </c>
      <c r="D294" s="4">
        <v>1494.48</v>
      </c>
      <c r="E294" s="4">
        <f>Table1[[#This Row],[Importe IVA incl.]]-Table1[[#This Row],[Importe]]</f>
        <v>149.45000000000005</v>
      </c>
      <c r="F294" s="4">
        <v>1643.93</v>
      </c>
    </row>
    <row r="295" spans="1:6" x14ac:dyDescent="0.25">
      <c r="A295" s="2" t="s">
        <v>375</v>
      </c>
      <c r="B295" s="2" t="s">
        <v>36</v>
      </c>
      <c r="C295" s="3">
        <v>45692</v>
      </c>
      <c r="D295" s="4">
        <v>518.4</v>
      </c>
      <c r="E295" s="4">
        <f>Table1[[#This Row],[Importe IVA incl.]]-Table1[[#This Row],[Importe]]</f>
        <v>59.100000000000023</v>
      </c>
      <c r="F295" s="4">
        <v>577.5</v>
      </c>
    </row>
    <row r="296" spans="1:6" x14ac:dyDescent="0.25">
      <c r="A296" s="2" t="s">
        <v>376</v>
      </c>
      <c r="B296" s="2" t="s">
        <v>36</v>
      </c>
      <c r="C296" s="3">
        <v>45692</v>
      </c>
      <c r="D296" s="4">
        <v>506.7</v>
      </c>
      <c r="E296" s="4">
        <f>Table1[[#This Row],[Importe IVA incl.]]-Table1[[#This Row],[Importe]]</f>
        <v>57.930000000000007</v>
      </c>
      <c r="F296" s="4">
        <v>564.63</v>
      </c>
    </row>
    <row r="297" spans="1:6" x14ac:dyDescent="0.25">
      <c r="A297" s="2" t="s">
        <v>377</v>
      </c>
      <c r="B297" s="2" t="s">
        <v>12</v>
      </c>
      <c r="C297" s="3">
        <v>45692</v>
      </c>
      <c r="D297" s="4">
        <v>386.1</v>
      </c>
      <c r="E297" s="4">
        <f>Table1[[#This Row],[Importe IVA incl.]]-Table1[[#This Row],[Importe]]</f>
        <v>38.609999999999957</v>
      </c>
      <c r="F297" s="4">
        <v>424.71</v>
      </c>
    </row>
    <row r="298" spans="1:6" x14ac:dyDescent="0.25">
      <c r="A298" s="2" t="s">
        <v>378</v>
      </c>
      <c r="B298" s="2" t="s">
        <v>12</v>
      </c>
      <c r="C298" s="3">
        <v>45692</v>
      </c>
      <c r="D298" s="4">
        <v>2705.04</v>
      </c>
      <c r="E298" s="4">
        <f>Table1[[#This Row],[Importe IVA incl.]]-Table1[[#This Row],[Importe]]</f>
        <v>270.5</v>
      </c>
      <c r="F298" s="4">
        <v>2975.54</v>
      </c>
    </row>
    <row r="299" spans="1:6" x14ac:dyDescent="0.25">
      <c r="A299" s="2" t="s">
        <v>379</v>
      </c>
      <c r="B299" s="2" t="s">
        <v>32</v>
      </c>
      <c r="C299" s="3">
        <v>45692</v>
      </c>
      <c r="D299" s="4">
        <v>2792.4</v>
      </c>
      <c r="E299" s="4">
        <f>Table1[[#This Row],[Importe IVA incl.]]-Table1[[#This Row],[Importe]]</f>
        <v>279.23999999999978</v>
      </c>
      <c r="F299" s="4">
        <v>3071.64</v>
      </c>
    </row>
    <row r="300" spans="1:6" x14ac:dyDescent="0.25">
      <c r="A300" s="2" t="s">
        <v>380</v>
      </c>
      <c r="B300" s="2" t="s">
        <v>25</v>
      </c>
      <c r="C300" s="3">
        <v>45692</v>
      </c>
      <c r="D300" s="4">
        <v>3302.29</v>
      </c>
      <c r="E300" s="4">
        <f>Table1[[#This Row],[Importe IVA incl.]]-Table1[[#This Row],[Importe]]</f>
        <v>330.23</v>
      </c>
      <c r="F300" s="4">
        <v>3632.52</v>
      </c>
    </row>
    <row r="301" spans="1:6" x14ac:dyDescent="0.25">
      <c r="A301" s="2" t="s">
        <v>381</v>
      </c>
      <c r="B301" s="2" t="s">
        <v>222</v>
      </c>
      <c r="C301" s="3">
        <v>45692</v>
      </c>
      <c r="D301" s="4">
        <v>1261.26</v>
      </c>
      <c r="E301" s="4">
        <f>Table1[[#This Row],[Importe IVA incl.]]-Table1[[#This Row],[Importe]]</f>
        <v>143.78999999999996</v>
      </c>
      <c r="F301" s="4">
        <v>1405.05</v>
      </c>
    </row>
    <row r="302" spans="1:6" x14ac:dyDescent="0.25">
      <c r="A302" s="2" t="s">
        <v>382</v>
      </c>
      <c r="B302" s="2" t="s">
        <v>40</v>
      </c>
      <c r="C302" s="3">
        <v>45691</v>
      </c>
      <c r="D302" s="4">
        <v>11848.97</v>
      </c>
      <c r="E302" s="4">
        <f>Table1[[#This Row],[Importe IVA incl.]]-Table1[[#This Row],[Importe]]</f>
        <v>1184.9000000000015</v>
      </c>
      <c r="F302" s="4">
        <v>13033.87</v>
      </c>
    </row>
    <row r="303" spans="1:6" x14ac:dyDescent="0.25">
      <c r="A303" s="2" t="s">
        <v>383</v>
      </c>
      <c r="B303" s="2" t="s">
        <v>25</v>
      </c>
      <c r="C303" s="3">
        <v>45691</v>
      </c>
      <c r="D303" s="4">
        <v>3640.19</v>
      </c>
      <c r="E303" s="4">
        <f>Table1[[#This Row],[Importe IVA incl.]]-Table1[[#This Row],[Importe]]</f>
        <v>364.02</v>
      </c>
      <c r="F303" s="4">
        <v>4004.21</v>
      </c>
    </row>
    <row r="304" spans="1:6" x14ac:dyDescent="0.25">
      <c r="A304" s="2" t="s">
        <v>384</v>
      </c>
      <c r="B304" s="2" t="s">
        <v>385</v>
      </c>
      <c r="C304" s="3">
        <v>45691</v>
      </c>
      <c r="D304" s="4">
        <v>14293.9</v>
      </c>
      <c r="E304" s="4">
        <f>Table1[[#This Row],[Importe IVA incl.]]-Table1[[#This Row],[Importe]]</f>
        <v>0</v>
      </c>
      <c r="F304" s="4">
        <v>14293.9</v>
      </c>
    </row>
    <row r="305" spans="1:6" x14ac:dyDescent="0.25">
      <c r="A305" s="2" t="s">
        <v>386</v>
      </c>
      <c r="B305" s="2" t="s">
        <v>90</v>
      </c>
      <c r="C305" s="3">
        <v>45691</v>
      </c>
      <c r="D305" s="4">
        <v>13096.2</v>
      </c>
      <c r="E305" s="4">
        <f>Table1[[#This Row],[Importe IVA incl.]]-Table1[[#This Row],[Importe]]</f>
        <v>1309.619999999999</v>
      </c>
      <c r="F305" s="4">
        <v>14405.82</v>
      </c>
    </row>
    <row r="306" spans="1:6" x14ac:dyDescent="0.25">
      <c r="A306" s="2" t="s">
        <v>387</v>
      </c>
      <c r="B306" s="2" t="s">
        <v>54</v>
      </c>
      <c r="C306" s="3">
        <v>45691</v>
      </c>
      <c r="D306" s="4">
        <v>12078</v>
      </c>
      <c r="E306" s="4">
        <f>Table1[[#This Row],[Importe IVA incl.]]-Table1[[#This Row],[Importe]]</f>
        <v>1207.7999999999993</v>
      </c>
      <c r="F306" s="4">
        <v>13285.8</v>
      </c>
    </row>
    <row r="307" spans="1:6" x14ac:dyDescent="0.25">
      <c r="A307" s="2" t="s">
        <v>388</v>
      </c>
      <c r="B307" s="2" t="s">
        <v>92</v>
      </c>
      <c r="C307" s="3">
        <v>45691</v>
      </c>
      <c r="D307" s="4">
        <v>13743.91</v>
      </c>
      <c r="E307" s="4">
        <f>Table1[[#This Row],[Importe IVA incl.]]-Table1[[#This Row],[Importe]]</f>
        <v>1374.3899999999994</v>
      </c>
      <c r="F307" s="4">
        <v>15118.3</v>
      </c>
    </row>
    <row r="308" spans="1:6" x14ac:dyDescent="0.25">
      <c r="A308" s="2" t="s">
        <v>389</v>
      </c>
      <c r="B308" s="2" t="s">
        <v>25</v>
      </c>
      <c r="C308" s="3">
        <v>45691</v>
      </c>
      <c r="D308" s="4">
        <v>1479.27</v>
      </c>
      <c r="E308" s="4">
        <f>Table1[[#This Row],[Importe IVA incl.]]-Table1[[#This Row],[Importe]]</f>
        <v>147.93000000000006</v>
      </c>
      <c r="F308" s="4">
        <v>1627.2</v>
      </c>
    </row>
    <row r="309" spans="1:6" x14ac:dyDescent="0.25">
      <c r="A309" s="2" t="s">
        <v>390</v>
      </c>
      <c r="B309" s="2" t="s">
        <v>32</v>
      </c>
      <c r="C309" s="3">
        <v>45691</v>
      </c>
      <c r="D309" s="4">
        <v>10820.55</v>
      </c>
      <c r="E309" s="4">
        <f>Table1[[#This Row],[Importe IVA incl.]]-Table1[[#This Row],[Importe]]</f>
        <v>1082.0600000000013</v>
      </c>
      <c r="F309" s="4">
        <v>11902.61</v>
      </c>
    </row>
    <row r="310" spans="1:6" x14ac:dyDescent="0.25">
      <c r="A310" s="2" t="s">
        <v>391</v>
      </c>
      <c r="B310" s="2" t="s">
        <v>25</v>
      </c>
      <c r="C310" s="3">
        <v>45691</v>
      </c>
      <c r="D310" s="4">
        <v>10711.5</v>
      </c>
      <c r="E310" s="4">
        <f>Table1[[#This Row],[Importe IVA incl.]]-Table1[[#This Row],[Importe]]</f>
        <v>1097.5499999999993</v>
      </c>
      <c r="F310" s="4">
        <v>11809.05</v>
      </c>
    </row>
    <row r="311" spans="1:6" x14ac:dyDescent="0.25">
      <c r="A311" s="2" t="s">
        <v>392</v>
      </c>
      <c r="B311" s="2" t="s">
        <v>100</v>
      </c>
      <c r="C311" s="3">
        <v>45691</v>
      </c>
      <c r="D311" s="4">
        <v>16584.75</v>
      </c>
      <c r="E311" s="4">
        <f>Table1[[#This Row],[Importe IVA incl.]]-Table1[[#This Row],[Importe]]</f>
        <v>0</v>
      </c>
      <c r="F311" s="4">
        <v>16584.75</v>
      </c>
    </row>
    <row r="312" spans="1:6" x14ac:dyDescent="0.25">
      <c r="A312" s="2" t="s">
        <v>393</v>
      </c>
      <c r="B312" s="2" t="s">
        <v>28</v>
      </c>
      <c r="C312" s="3">
        <v>45691</v>
      </c>
      <c r="D312" s="4">
        <v>12710.1</v>
      </c>
      <c r="E312" s="4">
        <f>Table1[[#This Row],[Importe IVA incl.]]-Table1[[#This Row],[Importe]]</f>
        <v>1271.0100000000002</v>
      </c>
      <c r="F312" s="4">
        <v>13981.11</v>
      </c>
    </row>
    <row r="313" spans="1:6" x14ac:dyDescent="0.25">
      <c r="A313" s="2" t="s">
        <v>394</v>
      </c>
      <c r="B313" s="2" t="s">
        <v>32</v>
      </c>
      <c r="C313" s="3">
        <v>45691</v>
      </c>
      <c r="D313" s="4">
        <v>10820.55</v>
      </c>
      <c r="E313" s="4">
        <f>Table1[[#This Row],[Importe IVA incl.]]-Table1[[#This Row],[Importe]]</f>
        <v>1082.0600000000013</v>
      </c>
      <c r="F313" s="4">
        <v>11902.61</v>
      </c>
    </row>
    <row r="314" spans="1:6" x14ac:dyDescent="0.25">
      <c r="A314" s="2" t="s">
        <v>395</v>
      </c>
      <c r="B314" s="2" t="s">
        <v>25</v>
      </c>
      <c r="C314" s="3">
        <v>45691</v>
      </c>
      <c r="D314" s="4">
        <v>10790.42</v>
      </c>
      <c r="E314" s="4">
        <f>Table1[[#This Row],[Importe IVA incl.]]-Table1[[#This Row],[Importe]]</f>
        <v>1079.0399999999991</v>
      </c>
      <c r="F314" s="4">
        <v>11869.46</v>
      </c>
    </row>
    <row r="315" spans="1:6" x14ac:dyDescent="0.25">
      <c r="A315" s="2" t="s">
        <v>396</v>
      </c>
      <c r="B315" s="2" t="s">
        <v>86</v>
      </c>
      <c r="C315" s="3">
        <v>45691</v>
      </c>
      <c r="D315" s="4">
        <v>12136.52</v>
      </c>
      <c r="E315" s="4">
        <f>Table1[[#This Row],[Importe IVA incl.]]-Table1[[#This Row],[Importe]]</f>
        <v>1213.6499999999996</v>
      </c>
      <c r="F315" s="4">
        <v>13350.17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AC07-CE4B-4457-884C-F3D8E800E4CA}">
  <sheetPr>
    <tabColor rgb="FF00B050"/>
  </sheetPr>
  <dimension ref="A1:F7"/>
  <sheetViews>
    <sheetView tabSelected="1" workbookViewId="0">
      <selection activeCell="J31" sqref="J31"/>
    </sheetView>
  </sheetViews>
  <sheetFormatPr baseColWidth="10" defaultRowHeight="15" x14ac:dyDescent="0.25"/>
  <cols>
    <col min="1" max="1" width="11" customWidth="1"/>
    <col min="2" max="2" width="19.5703125" bestFit="1" customWidth="1"/>
    <col min="3" max="3" width="15.140625" bestFit="1" customWidth="1"/>
    <col min="4" max="4" width="9.85546875" bestFit="1" customWidth="1"/>
    <col min="5" max="5" width="25.140625" customWidth="1"/>
    <col min="6" max="6" width="17.42578125" bestFit="1" customWidth="1"/>
  </cols>
  <sheetData>
    <row r="1" spans="1:6" x14ac:dyDescent="0.25">
      <c r="A1" s="1" t="s">
        <v>0</v>
      </c>
      <c r="B1" s="1" t="s">
        <v>1</v>
      </c>
      <c r="C1" s="1" t="s">
        <v>398</v>
      </c>
      <c r="D1" s="1" t="s">
        <v>3</v>
      </c>
      <c r="E1" s="1" t="s">
        <v>397</v>
      </c>
      <c r="F1" s="1" t="s">
        <v>4</v>
      </c>
    </row>
    <row r="2" spans="1:6" x14ac:dyDescent="0.25">
      <c r="A2" s="2" t="s">
        <v>399</v>
      </c>
      <c r="B2" s="2" t="s">
        <v>400</v>
      </c>
      <c r="C2" s="3">
        <v>45709</v>
      </c>
      <c r="D2" s="4">
        <v>1370.05</v>
      </c>
      <c r="E2" s="4">
        <f>Table13[[#This Row],[Importe IVA incl.]]-Table13[[#This Row],[Importe]]</f>
        <v>0</v>
      </c>
      <c r="F2" s="4">
        <v>1370.05</v>
      </c>
    </row>
    <row r="3" spans="1:6" x14ac:dyDescent="0.25">
      <c r="A3" s="2" t="s">
        <v>401</v>
      </c>
      <c r="B3" s="2" t="s">
        <v>354</v>
      </c>
      <c r="C3" s="3">
        <v>45706</v>
      </c>
      <c r="D3" s="4">
        <v>589.26</v>
      </c>
      <c r="E3" s="4">
        <f>Table13[[#This Row],[Importe IVA incl.]]-Table13[[#This Row],[Importe]]</f>
        <v>58.930000000000064</v>
      </c>
      <c r="F3" s="4">
        <v>648.19000000000005</v>
      </c>
    </row>
    <row r="4" spans="1:6" x14ac:dyDescent="0.25">
      <c r="A4" s="2" t="s">
        <v>402</v>
      </c>
      <c r="B4" s="2" t="s">
        <v>30</v>
      </c>
      <c r="C4" s="3">
        <v>45698</v>
      </c>
      <c r="D4" s="4">
        <v>909.84</v>
      </c>
      <c r="E4" s="4">
        <f>Table13[[#This Row],[Importe IVA incl.]]-Table13[[#This Row],[Importe]]</f>
        <v>90.980000000000018</v>
      </c>
      <c r="F4" s="4">
        <v>1000.82</v>
      </c>
    </row>
    <row r="5" spans="1:6" x14ac:dyDescent="0.25">
      <c r="A5" s="2" t="s">
        <v>403</v>
      </c>
      <c r="B5" s="2" t="s">
        <v>25</v>
      </c>
      <c r="C5" s="3">
        <v>45698</v>
      </c>
      <c r="D5" s="4">
        <v>664</v>
      </c>
      <c r="E5" s="4">
        <f>Table13[[#This Row],[Importe IVA incl.]]-Table13[[#This Row],[Importe]]</f>
        <v>68.159999999999968</v>
      </c>
      <c r="F5" s="4">
        <v>732.16</v>
      </c>
    </row>
    <row r="6" spans="1:6" x14ac:dyDescent="0.25">
      <c r="A6" s="2" t="s">
        <v>404</v>
      </c>
      <c r="B6" s="2" t="s">
        <v>25</v>
      </c>
      <c r="C6" s="3">
        <v>45695</v>
      </c>
      <c r="D6" s="4">
        <v>714.1</v>
      </c>
      <c r="E6" s="4">
        <f>Table13[[#This Row],[Importe IVA incl.]]-Table13[[#This Row],[Importe]]</f>
        <v>73.169999999999959</v>
      </c>
      <c r="F6" s="4">
        <v>787.27</v>
      </c>
    </row>
    <row r="7" spans="1:6" x14ac:dyDescent="0.25">
      <c r="A7" s="2" t="s">
        <v>405</v>
      </c>
      <c r="B7" s="2" t="s">
        <v>98</v>
      </c>
      <c r="C7" s="3">
        <v>45694</v>
      </c>
      <c r="D7" s="4">
        <v>543.05999999999995</v>
      </c>
      <c r="E7" s="4">
        <f>Table13[[#This Row],[Importe IVA incl.]]-Table13[[#This Row],[Importe]]</f>
        <v>54.310000000000059</v>
      </c>
      <c r="F7" s="4">
        <v>597.37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hist. facturas venta</vt:lpstr>
      <vt:lpstr>ABONOS EMITIDOS 27-02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Marta Ávila</cp:lastModifiedBy>
  <dcterms:created xsi:type="dcterms:W3CDTF">2025-02-28T12:52:21Z</dcterms:created>
  <dcterms:modified xsi:type="dcterms:W3CDTF">2025-02-28T12:53:37Z</dcterms:modified>
</cp:coreProperties>
</file>