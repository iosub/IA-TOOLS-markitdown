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RPC\Desktop\GestorLimusinas\"/>
    </mc:Choice>
  </mc:AlternateContent>
  <xr:revisionPtr revIDLastSave="0" documentId="13_ncr:1_{057FD9E7-D870-481B-B245-BED5D29DE61F}" xr6:coauthVersionLast="47" xr6:coauthVersionMax="47" xr10:uidLastSave="{00000000-0000-0000-0000-000000000000}"/>
  <bookViews>
    <workbookView xWindow="-120" yWindow="-120" windowWidth="29040" windowHeight="15840" xr2:uid="{F6532908-37C4-470E-89E6-2EBFE10C9F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1" l="1"/>
  <c r="I46" i="1" s="1"/>
  <c r="K46" i="1" s="1"/>
  <c r="G13" i="1"/>
  <c r="I47" i="1"/>
  <c r="K47" i="1" s="1"/>
  <c r="I45" i="1"/>
  <c r="K45" i="1" s="1"/>
  <c r="I44" i="1"/>
  <c r="K44" i="1" s="1"/>
  <c r="I40" i="1"/>
  <c r="K40" i="1" s="1"/>
  <c r="I41" i="1"/>
  <c r="K41" i="1" s="1"/>
  <c r="I42" i="1"/>
  <c r="K42" i="1" s="1"/>
  <c r="I37" i="1"/>
  <c r="K37" i="1" s="1"/>
  <c r="I38" i="1"/>
  <c r="K38" i="1" s="1"/>
  <c r="I39" i="1"/>
  <c r="K39" i="1" s="1"/>
  <c r="I43" i="1"/>
  <c r="K43" i="1" s="1"/>
  <c r="I48" i="1"/>
  <c r="K48" i="1" s="1"/>
  <c r="I49" i="1"/>
  <c r="K49" i="1" s="1"/>
  <c r="H50" i="1"/>
  <c r="F50" i="1"/>
  <c r="I36" i="1"/>
  <c r="K36" i="1" s="1"/>
  <c r="I35" i="1"/>
  <c r="K35" i="1" s="1"/>
  <c r="J34" i="1"/>
  <c r="J50" i="1" s="1"/>
  <c r="I34" i="1"/>
  <c r="J29" i="1"/>
  <c r="F29" i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I14" i="1"/>
  <c r="K1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K8" i="1" s="1"/>
  <c r="I7" i="1"/>
  <c r="K7" i="1" s="1"/>
  <c r="I6" i="1"/>
  <c r="K6" i="1" s="1"/>
  <c r="I5" i="1"/>
  <c r="K5" i="1" s="1"/>
  <c r="I4" i="1"/>
  <c r="K4" i="1" s="1"/>
  <c r="I3" i="1"/>
  <c r="K3" i="1" s="1"/>
  <c r="I2" i="1"/>
  <c r="G50" i="1" l="1"/>
  <c r="I29" i="1"/>
  <c r="K34" i="1"/>
  <c r="K50" i="1" s="1"/>
  <c r="I50" i="1"/>
  <c r="K2" i="1"/>
  <c r="K29" i="1" s="1"/>
</calcChain>
</file>

<file path=xl/sharedStrings.xml><?xml version="1.0" encoding="utf-8"?>
<sst xmlns="http://schemas.openxmlformats.org/spreadsheetml/2006/main" count="148" uniqueCount="60">
  <si>
    <t>FECHA</t>
  </si>
  <si>
    <t>Nº FACTURA</t>
  </si>
  <si>
    <t>PROVEEDOR</t>
  </si>
  <si>
    <t>CIF</t>
  </si>
  <si>
    <t>CONCEPTO DE LO FACTURADO</t>
  </si>
  <si>
    <t>BASE IMPONIBLE</t>
  </si>
  <si>
    <t>21% IVA</t>
  </si>
  <si>
    <t>10% IVA</t>
  </si>
  <si>
    <t>TOTAL IVA</t>
  </si>
  <si>
    <t>RETENCION</t>
  </si>
  <si>
    <t>TOTAL</t>
  </si>
  <si>
    <t>CLIENTE</t>
  </si>
  <si>
    <t>240001482635</t>
  </si>
  <si>
    <t>CANAL ISABEL II</t>
  </si>
  <si>
    <t>AGUA C/ SAN JOSE</t>
  </si>
  <si>
    <t>A 86488087</t>
  </si>
  <si>
    <t>01/2024</t>
  </si>
  <si>
    <t>02/2024</t>
  </si>
  <si>
    <t>03/2024</t>
  </si>
  <si>
    <t>XIENA TOURS S.L</t>
  </si>
  <si>
    <t>B09955170</t>
  </si>
  <si>
    <t>ALQUILER LOCAL SAN MARTIN</t>
  </si>
  <si>
    <t>04/2024</t>
  </si>
  <si>
    <t>05/2024</t>
  </si>
  <si>
    <t>06/2024</t>
  </si>
  <si>
    <t>GOOGLE IRELAND LIMITED</t>
  </si>
  <si>
    <t>IE6388047</t>
  </si>
  <si>
    <t>ANUNCIOS GOOGLE</t>
  </si>
  <si>
    <t>FC680301-931</t>
  </si>
  <si>
    <t>MINGORRERO SLU</t>
  </si>
  <si>
    <t>B44798296</t>
  </si>
  <si>
    <t>VARIOS</t>
  </si>
  <si>
    <t>IMPUESTROS OPERACIONES NORMATIVA ESPAÑA, REINO UNIDO, FRANCIA E ITALIA</t>
  </si>
  <si>
    <t>B09955171</t>
  </si>
  <si>
    <t>B09955172</t>
  </si>
  <si>
    <t>B09955173</t>
  </si>
  <si>
    <t>07/2024</t>
  </si>
  <si>
    <t>08/2024</t>
  </si>
  <si>
    <t>09/2024</t>
  </si>
  <si>
    <t>10/2024</t>
  </si>
  <si>
    <t>SERVICIOS PRIVADOS Y TRANSPORTES ADPATADOS, S.L</t>
  </si>
  <si>
    <t>B42846410</t>
  </si>
  <si>
    <t>SERVICIOS PRESTADOS</t>
  </si>
  <si>
    <t>01/2400480</t>
  </si>
  <si>
    <t>01/2400481</t>
  </si>
  <si>
    <t>OLIVERAUTO REPARACIONES CHAPA Y PINTURA SLU</t>
  </si>
  <si>
    <t>B87677761</t>
  </si>
  <si>
    <t>REPARACIÓN VEHICULO</t>
  </si>
  <si>
    <t>EFECTIVO/ TARJETA</t>
  </si>
  <si>
    <t>11/2024</t>
  </si>
  <si>
    <t>12/2024</t>
  </si>
  <si>
    <t>13/2024</t>
  </si>
  <si>
    <t>14/2024</t>
  </si>
  <si>
    <t>63/2024</t>
  </si>
  <si>
    <t>TRANSFERENCIA</t>
  </si>
  <si>
    <t>FC680301-1307</t>
  </si>
  <si>
    <t>15/2024</t>
  </si>
  <si>
    <t>AUTO 1 EUROPEAN CARS B.V</t>
  </si>
  <si>
    <t>W00398331 i</t>
  </si>
  <si>
    <t>VENTA VEHICULO BMW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</si>
</sst>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&quot; &quot;#,##0.00&quot; &quot;[$€-C0A]&quot; &quot;;&quot;-&quot;#,##0.00&quot; &quot;[$€-C0A]&quot; &quot;;&quot; -&quot;00&quot; &quot;[$€-C0A]&quot; &quot;;&quot; &quot;@&quot; 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right" vertical="center" wrapText="1"/>
    </xf>
    <xf numFmtId="49" fontId="0" fillId="0" borderId="5" xfId="0" applyNumberFormat="1" applyBorder="1"/>
    <xf numFmtId="0" fontId="0" fillId="0" borderId="5" xfId="0" applyBorder="1"/>
    <xf numFmtId="44" fontId="1" fillId="0" borderId="5" xfId="1" applyFill="1" applyBorder="1"/>
    <xf numFmtId="14" fontId="0" fillId="0" borderId="5" xfId="0" applyNumberFormat="1" applyBorder="1"/>
    <xf numFmtId="44" fontId="1" fillId="0" borderId="5" xfId="1" applyBorder="1"/>
    <xf numFmtId="0" fontId="0" fillId="0" borderId="5" xfId="0" applyBorder="1" applyAlignment="1">
      <alignment horizontal="left"/>
    </xf>
    <xf numFmtId="164" fontId="0" fillId="0" borderId="5" xfId="0" applyNumberFormat="1" applyBorder="1"/>
    <xf numFmtId="49" fontId="2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4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14" fontId="4" fillId="0" borderId="7" xfId="0" applyNumberFormat="1" applyFont="1" applyBorder="1" applyAlignment="1">
      <alignment horizontal="center" vertical="center" wrapText="1"/>
    </xf>
    <xf numFmtId="0" fontId="0" fillId="0" borderId="12" xfId="0" applyBorder="1"/>
    <xf numFmtId="0" fontId="5" fillId="0" borderId="13" xfId="0" applyFont="1" applyBorder="1"/>
    <xf numFmtId="44" fontId="5" fillId="0" borderId="5" xfId="1" applyFont="1" applyBorder="1"/>
    <xf numFmtId="0" fontId="5" fillId="0" borderId="14" xfId="0" applyFont="1" applyBorder="1"/>
    <xf numFmtId="14" fontId="0" fillId="0" borderId="8" xfId="0" applyNumberFormat="1" applyBorder="1"/>
    <xf numFmtId="0" fontId="0" fillId="0" borderId="5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1209-DB7D-4AB6-B576-646D5359D33D}">
  <dimension ref="A1:M50"/>
  <sheetViews>
    <sheetView tabSelected="1" topLeftCell="A16" workbookViewId="0">
      <selection activeCell="J48" sqref="J48"/>
    </sheetView>
  </sheetViews>
  <sheetFormatPr baseColWidth="10" defaultRowHeight="15" x14ac:dyDescent="0.25"/>
  <cols>
    <col min="1" max="1" width="15.28515625" customWidth="1"/>
    <col min="2" max="2" width="21.5703125" customWidth="1"/>
    <col min="3" max="3" width="32.42578125" customWidth="1"/>
    <col min="5" max="5" width="36.5703125" customWidth="1"/>
  </cols>
  <sheetData>
    <row r="1" spans="1:13" ht="3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</row>
    <row r="2" spans="1:13" x14ac:dyDescent="0.25">
      <c r="A2" s="6">
        <v>45349</v>
      </c>
      <c r="B2" s="7" t="s">
        <v>12</v>
      </c>
      <c r="C2" s="8" t="s">
        <v>13</v>
      </c>
      <c r="D2" s="8" t="s">
        <v>15</v>
      </c>
      <c r="E2" s="8" t="s">
        <v>14</v>
      </c>
      <c r="F2" s="9">
        <v>21.48</v>
      </c>
      <c r="G2" s="9">
        <v>2.15</v>
      </c>
      <c r="H2" s="9"/>
      <c r="I2" s="9">
        <f t="shared" ref="I2:I28" si="0">G2+H2</f>
        <v>2.15</v>
      </c>
      <c r="J2" s="9"/>
      <c r="K2" s="9">
        <f>F2+I2-J2</f>
        <v>23.63</v>
      </c>
    </row>
    <row r="3" spans="1:13" x14ac:dyDescent="0.25">
      <c r="A3" s="6"/>
      <c r="B3" s="7"/>
      <c r="C3" s="8"/>
      <c r="D3" s="8"/>
      <c r="E3" s="8"/>
      <c r="F3" s="9"/>
      <c r="G3" s="9"/>
      <c r="H3" s="9"/>
      <c r="I3" s="9">
        <f t="shared" si="0"/>
        <v>0</v>
      </c>
      <c r="J3" s="9"/>
      <c r="K3" s="9">
        <f>F3+I3-J3</f>
        <v>0</v>
      </c>
    </row>
    <row r="4" spans="1:13" x14ac:dyDescent="0.25">
      <c r="A4" s="10">
        <v>45412</v>
      </c>
      <c r="B4" s="8">
        <v>4976314591</v>
      </c>
      <c r="C4" s="8" t="s">
        <v>25</v>
      </c>
      <c r="D4" s="8" t="s">
        <v>26</v>
      </c>
      <c r="E4" s="8" t="s">
        <v>27</v>
      </c>
      <c r="F4" s="11">
        <v>363.18</v>
      </c>
      <c r="G4" s="11">
        <v>7.04</v>
      </c>
      <c r="H4" s="11"/>
      <c r="I4" s="11">
        <f t="shared" si="0"/>
        <v>7.04</v>
      </c>
      <c r="J4" s="11"/>
      <c r="K4" s="11">
        <f>F4+I4-J4</f>
        <v>370.22</v>
      </c>
      <c r="L4" t="s">
        <v>32</v>
      </c>
    </row>
    <row r="5" spans="1:13" x14ac:dyDescent="0.25">
      <c r="A5" s="10">
        <v>45443</v>
      </c>
      <c r="B5" s="8">
        <v>4994567434</v>
      </c>
      <c r="C5" s="8" t="s">
        <v>25</v>
      </c>
      <c r="D5" s="8" t="s">
        <v>26</v>
      </c>
      <c r="E5" s="8" t="s">
        <v>27</v>
      </c>
      <c r="F5" s="11">
        <v>377.6</v>
      </c>
      <c r="G5" s="11">
        <v>7.31</v>
      </c>
      <c r="H5" s="11"/>
      <c r="I5" s="11">
        <f t="shared" si="0"/>
        <v>7.31</v>
      </c>
      <c r="J5" s="11"/>
      <c r="K5" s="11">
        <f>F5+I5-J5</f>
        <v>384.91</v>
      </c>
      <c r="L5" t="s">
        <v>32</v>
      </c>
    </row>
    <row r="6" spans="1:13" x14ac:dyDescent="0.25">
      <c r="A6" s="10">
        <v>45473</v>
      </c>
      <c r="B6" s="8">
        <v>5015255483</v>
      </c>
      <c r="C6" s="8" t="s">
        <v>25</v>
      </c>
      <c r="D6" s="8" t="s">
        <v>26</v>
      </c>
      <c r="E6" s="8" t="s">
        <v>27</v>
      </c>
      <c r="F6" s="11">
        <v>349.23</v>
      </c>
      <c r="G6" s="11">
        <v>6.81</v>
      </c>
      <c r="H6" s="11"/>
      <c r="I6" s="11">
        <f t="shared" si="0"/>
        <v>6.81</v>
      </c>
      <c r="J6" s="11"/>
      <c r="K6" s="11">
        <f t="shared" ref="K6:K28" si="1">F6+I6-J6</f>
        <v>356.04</v>
      </c>
      <c r="L6" t="s">
        <v>32</v>
      </c>
    </row>
    <row r="7" spans="1:13" x14ac:dyDescent="0.25">
      <c r="A7" s="10">
        <v>45412</v>
      </c>
      <c r="B7" s="8" t="s">
        <v>28</v>
      </c>
      <c r="C7" s="8" t="s">
        <v>29</v>
      </c>
      <c r="D7" s="8" t="s">
        <v>30</v>
      </c>
      <c r="E7" s="8" t="s">
        <v>31</v>
      </c>
      <c r="F7" s="11">
        <v>26.26</v>
      </c>
      <c r="G7" s="11">
        <v>5.51</v>
      </c>
      <c r="H7" s="11"/>
      <c r="I7" s="11">
        <f t="shared" si="0"/>
        <v>5.51</v>
      </c>
      <c r="J7" s="11"/>
      <c r="K7" s="11">
        <f t="shared" si="1"/>
        <v>31.770000000000003</v>
      </c>
    </row>
    <row r="8" spans="1:13" x14ac:dyDescent="0.25">
      <c r="A8" s="10">
        <v>45504</v>
      </c>
      <c r="B8" s="8">
        <v>5039147772</v>
      </c>
      <c r="C8" s="8" t="s">
        <v>25</v>
      </c>
      <c r="D8" s="8" t="s">
        <v>26</v>
      </c>
      <c r="E8" s="8" t="s">
        <v>27</v>
      </c>
      <c r="F8" s="11">
        <v>377.77</v>
      </c>
      <c r="G8" s="11">
        <v>11.11</v>
      </c>
      <c r="H8" s="11"/>
      <c r="I8" s="11">
        <f t="shared" si="0"/>
        <v>11.11</v>
      </c>
      <c r="J8" s="11"/>
      <c r="K8" s="11">
        <f t="shared" si="1"/>
        <v>388.88</v>
      </c>
      <c r="L8" t="s">
        <v>32</v>
      </c>
    </row>
    <row r="9" spans="1:13" x14ac:dyDescent="0.25">
      <c r="A9" s="10">
        <v>45535</v>
      </c>
      <c r="B9" s="8">
        <v>5059031656</v>
      </c>
      <c r="C9" s="8" t="s">
        <v>25</v>
      </c>
      <c r="D9" s="8" t="s">
        <v>26</v>
      </c>
      <c r="E9" s="8" t="s">
        <v>27</v>
      </c>
      <c r="F9" s="11">
        <v>375.46</v>
      </c>
      <c r="G9" s="11">
        <v>10.75</v>
      </c>
      <c r="H9" s="11"/>
      <c r="I9" s="11">
        <f t="shared" si="0"/>
        <v>10.75</v>
      </c>
      <c r="J9" s="11"/>
      <c r="K9" s="11">
        <f t="shared" si="1"/>
        <v>386.21</v>
      </c>
      <c r="L9" t="s">
        <v>32</v>
      </c>
    </row>
    <row r="10" spans="1:13" x14ac:dyDescent="0.25">
      <c r="A10" s="10">
        <v>45565</v>
      </c>
      <c r="B10" s="8">
        <v>5081681367</v>
      </c>
      <c r="C10" s="8" t="s">
        <v>25</v>
      </c>
      <c r="D10" s="8" t="s">
        <v>26</v>
      </c>
      <c r="E10" s="8" t="s">
        <v>27</v>
      </c>
      <c r="F10" s="11">
        <v>347.72</v>
      </c>
      <c r="G10" s="11">
        <v>9.94</v>
      </c>
      <c r="H10" s="11"/>
      <c r="I10" s="11">
        <f t="shared" si="0"/>
        <v>9.94</v>
      </c>
      <c r="J10" s="11"/>
      <c r="K10" s="11">
        <f t="shared" si="1"/>
        <v>357.66</v>
      </c>
      <c r="L10" t="s">
        <v>32</v>
      </c>
      <c r="M10" s="17"/>
    </row>
    <row r="11" spans="1:13" x14ac:dyDescent="0.25">
      <c r="A11" s="10">
        <v>45582</v>
      </c>
      <c r="B11" s="8" t="s">
        <v>43</v>
      </c>
      <c r="C11" s="8" t="s">
        <v>45</v>
      </c>
      <c r="D11" s="8" t="s">
        <v>46</v>
      </c>
      <c r="E11" s="8" t="s">
        <v>47</v>
      </c>
      <c r="F11" s="11">
        <v>124.48</v>
      </c>
      <c r="G11" s="11">
        <v>26.14</v>
      </c>
      <c r="H11" s="11"/>
      <c r="I11" s="11">
        <f t="shared" si="0"/>
        <v>26.14</v>
      </c>
      <c r="J11" s="11"/>
      <c r="K11" s="11">
        <f t="shared" si="1"/>
        <v>150.62</v>
      </c>
      <c r="L11" t="s">
        <v>48</v>
      </c>
    </row>
    <row r="12" spans="1:13" x14ac:dyDescent="0.25">
      <c r="A12" s="10">
        <v>45582</v>
      </c>
      <c r="B12" s="12" t="s">
        <v>44</v>
      </c>
      <c r="C12" s="8" t="s">
        <v>45</v>
      </c>
      <c r="D12" s="8" t="s">
        <v>46</v>
      </c>
      <c r="E12" s="8" t="s">
        <v>47</v>
      </c>
      <c r="F12" s="11">
        <v>1927.91</v>
      </c>
      <c r="G12" s="11">
        <v>404.86</v>
      </c>
      <c r="H12" s="11"/>
      <c r="I12" s="11">
        <f t="shared" si="0"/>
        <v>404.86</v>
      </c>
      <c r="J12" s="11"/>
      <c r="K12" s="11">
        <f t="shared" si="1"/>
        <v>2332.77</v>
      </c>
      <c r="L12" t="s">
        <v>48</v>
      </c>
    </row>
    <row r="13" spans="1:13" x14ac:dyDescent="0.25">
      <c r="A13" s="24">
        <v>45627</v>
      </c>
      <c r="B13" s="25" t="s">
        <v>53</v>
      </c>
      <c r="C13" s="23" t="s">
        <v>19</v>
      </c>
      <c r="D13" s="26" t="s">
        <v>20</v>
      </c>
      <c r="E13" s="28" t="s">
        <v>42</v>
      </c>
      <c r="F13" s="27">
        <v>7190.08</v>
      </c>
      <c r="G13" s="11">
        <f t="shared" ref="G13" si="2">F13*21/100</f>
        <v>1509.9168</v>
      </c>
      <c r="H13" s="11"/>
      <c r="I13" s="11">
        <f t="shared" si="0"/>
        <v>1509.9168</v>
      </c>
      <c r="J13" s="11"/>
      <c r="K13" s="11">
        <f t="shared" si="1"/>
        <v>8699.9968000000008</v>
      </c>
      <c r="L13" t="s">
        <v>54</v>
      </c>
    </row>
    <row r="14" spans="1:13" x14ac:dyDescent="0.25">
      <c r="A14" s="10">
        <v>45457</v>
      </c>
      <c r="B14" s="20" t="s">
        <v>55</v>
      </c>
      <c r="C14" s="8" t="s">
        <v>29</v>
      </c>
      <c r="D14" s="8" t="s">
        <v>30</v>
      </c>
      <c r="E14" s="8" t="s">
        <v>31</v>
      </c>
      <c r="F14" s="11">
        <v>4.4400000000000004</v>
      </c>
      <c r="G14" s="11">
        <v>0.93</v>
      </c>
      <c r="H14" s="11"/>
      <c r="I14" s="11">
        <f t="shared" si="0"/>
        <v>0.93</v>
      </c>
      <c r="J14" s="11"/>
      <c r="K14" s="11">
        <f t="shared" si="1"/>
        <v>5.37</v>
      </c>
      <c r="L14" t="s">
        <v>48</v>
      </c>
    </row>
    <row r="15" spans="1:13" x14ac:dyDescent="0.25">
      <c r="A15" s="29">
        <v>45596</v>
      </c>
      <c r="B15" s="22">
        <v>5103830742</v>
      </c>
      <c r="C15" s="19" t="s">
        <v>25</v>
      </c>
      <c r="D15" s="8" t="s">
        <v>26</v>
      </c>
      <c r="E15" s="8" t="s">
        <v>27</v>
      </c>
      <c r="F15" s="11">
        <v>377.41</v>
      </c>
      <c r="G15" s="11">
        <v>9.9</v>
      </c>
      <c r="H15" s="11"/>
      <c r="I15" s="11">
        <f t="shared" si="0"/>
        <v>9.9</v>
      </c>
      <c r="J15" s="11"/>
      <c r="K15" s="11">
        <f t="shared" si="1"/>
        <v>387.31</v>
      </c>
      <c r="L15" t="s">
        <v>32</v>
      </c>
    </row>
    <row r="16" spans="1:13" x14ac:dyDescent="0.25">
      <c r="A16" s="29">
        <v>45626</v>
      </c>
      <c r="B16" s="22">
        <v>5129059014</v>
      </c>
      <c r="C16" s="19" t="s">
        <v>25</v>
      </c>
      <c r="D16" s="8" t="s">
        <v>26</v>
      </c>
      <c r="E16" s="8" t="s">
        <v>27</v>
      </c>
      <c r="F16" s="11">
        <v>363.56</v>
      </c>
      <c r="G16" s="11">
        <v>9.76</v>
      </c>
      <c r="H16" s="11"/>
      <c r="I16" s="11">
        <f t="shared" si="0"/>
        <v>9.76</v>
      </c>
      <c r="J16" s="11"/>
      <c r="K16" s="11">
        <f t="shared" si="1"/>
        <v>373.32</v>
      </c>
      <c r="L16" t="s">
        <v>32</v>
      </c>
    </row>
    <row r="17" spans="1:13" x14ac:dyDescent="0.25">
      <c r="A17" s="29">
        <v>45657</v>
      </c>
      <c r="B17" s="22">
        <v>5149771941</v>
      </c>
      <c r="C17" s="19" t="s">
        <v>25</v>
      </c>
      <c r="D17" s="8" t="s">
        <v>26</v>
      </c>
      <c r="E17" s="8" t="s">
        <v>27</v>
      </c>
      <c r="F17" s="11">
        <v>356.78</v>
      </c>
      <c r="G17" s="11">
        <v>10.130000000000001</v>
      </c>
      <c r="H17" s="11"/>
      <c r="I17" s="11">
        <f t="shared" si="0"/>
        <v>10.130000000000001</v>
      </c>
      <c r="J17" s="11"/>
      <c r="K17" s="11">
        <f t="shared" si="1"/>
        <v>366.90999999999997</v>
      </c>
      <c r="L17" t="s">
        <v>32</v>
      </c>
      <c r="M17" s="17"/>
    </row>
    <row r="18" spans="1:13" x14ac:dyDescent="0.25">
      <c r="A18" s="10"/>
      <c r="B18" s="21"/>
      <c r="C18" s="8"/>
      <c r="D18" s="8"/>
      <c r="E18" s="8"/>
      <c r="F18" s="11"/>
      <c r="G18" s="11"/>
      <c r="H18" s="11"/>
      <c r="I18" s="11">
        <f t="shared" si="0"/>
        <v>0</v>
      </c>
      <c r="J18" s="11"/>
      <c r="K18" s="11">
        <f t="shared" si="1"/>
        <v>0</v>
      </c>
    </row>
    <row r="19" spans="1:13" x14ac:dyDescent="0.25">
      <c r="A19" s="10"/>
      <c r="B19" s="8"/>
      <c r="C19" s="8"/>
      <c r="D19" s="8"/>
      <c r="E19" s="8"/>
      <c r="F19" s="11"/>
      <c r="G19" s="11"/>
      <c r="H19" s="11"/>
      <c r="I19" s="11">
        <f t="shared" si="0"/>
        <v>0</v>
      </c>
      <c r="J19" s="11"/>
      <c r="K19" s="11">
        <f t="shared" si="1"/>
        <v>0</v>
      </c>
    </row>
    <row r="20" spans="1:13" x14ac:dyDescent="0.25">
      <c r="A20" s="10"/>
      <c r="B20" s="8"/>
      <c r="C20" s="8"/>
      <c r="D20" s="8"/>
      <c r="E20" s="8"/>
      <c r="F20" s="11"/>
      <c r="G20" s="11"/>
      <c r="H20" s="11"/>
      <c r="I20" s="11">
        <f t="shared" si="0"/>
        <v>0</v>
      </c>
      <c r="J20" s="11"/>
      <c r="K20" s="11">
        <f t="shared" si="1"/>
        <v>0</v>
      </c>
    </row>
    <row r="21" spans="1:13" x14ac:dyDescent="0.25">
      <c r="A21" s="10"/>
      <c r="B21" s="8"/>
      <c r="C21" s="8"/>
      <c r="D21" s="8"/>
      <c r="E21" s="8"/>
      <c r="F21" s="11"/>
      <c r="G21" s="11"/>
      <c r="H21" s="11"/>
      <c r="I21" s="11">
        <f t="shared" si="0"/>
        <v>0</v>
      </c>
      <c r="J21" s="11"/>
      <c r="K21" s="11">
        <f t="shared" si="1"/>
        <v>0</v>
      </c>
    </row>
    <row r="22" spans="1:13" x14ac:dyDescent="0.25">
      <c r="A22" s="10"/>
      <c r="B22" s="8"/>
      <c r="C22" s="8"/>
      <c r="D22" s="8"/>
      <c r="E22" s="8"/>
      <c r="F22" s="11"/>
      <c r="G22" s="11"/>
      <c r="H22" s="11"/>
      <c r="I22" s="11">
        <f t="shared" si="0"/>
        <v>0</v>
      </c>
      <c r="J22" s="11"/>
      <c r="K22" s="11">
        <f t="shared" si="1"/>
        <v>0</v>
      </c>
    </row>
    <row r="23" spans="1:13" x14ac:dyDescent="0.25">
      <c r="A23" s="8"/>
      <c r="B23" s="8"/>
      <c r="C23" s="8"/>
      <c r="D23" s="8"/>
      <c r="E23" s="8"/>
      <c r="F23" s="11"/>
      <c r="G23" s="11"/>
      <c r="H23" s="11"/>
      <c r="I23" s="11">
        <f t="shared" si="0"/>
        <v>0</v>
      </c>
      <c r="J23" s="11"/>
      <c r="K23" s="11">
        <f t="shared" si="1"/>
        <v>0</v>
      </c>
    </row>
    <row r="24" spans="1:13" x14ac:dyDescent="0.25">
      <c r="A24" s="8"/>
      <c r="B24" s="8"/>
      <c r="C24" s="8"/>
      <c r="D24" s="8"/>
      <c r="E24" s="8"/>
      <c r="F24" s="11"/>
      <c r="G24" s="11"/>
      <c r="H24" s="11"/>
      <c r="I24" s="11">
        <f t="shared" si="0"/>
        <v>0</v>
      </c>
      <c r="J24" s="11"/>
      <c r="K24" s="11">
        <f t="shared" si="1"/>
        <v>0</v>
      </c>
    </row>
    <row r="25" spans="1:13" x14ac:dyDescent="0.25">
      <c r="A25" s="8"/>
      <c r="B25" s="8"/>
      <c r="C25" s="8"/>
      <c r="D25" s="8"/>
      <c r="E25" s="8"/>
      <c r="F25" s="11"/>
      <c r="G25" s="11"/>
      <c r="H25" s="11"/>
      <c r="I25" s="11">
        <f t="shared" si="0"/>
        <v>0</v>
      </c>
      <c r="J25" s="11"/>
      <c r="K25" s="11">
        <f t="shared" si="1"/>
        <v>0</v>
      </c>
    </row>
    <row r="26" spans="1:13" x14ac:dyDescent="0.25">
      <c r="A26" s="8"/>
      <c r="B26" s="8"/>
      <c r="C26" s="8"/>
      <c r="D26" s="8"/>
      <c r="E26" s="8"/>
      <c r="F26" s="11"/>
      <c r="G26" s="11"/>
      <c r="H26" s="11"/>
      <c r="I26" s="11">
        <f t="shared" si="0"/>
        <v>0</v>
      </c>
      <c r="J26" s="11"/>
      <c r="K26" s="11">
        <f t="shared" si="1"/>
        <v>0</v>
      </c>
    </row>
    <row r="27" spans="1:13" x14ac:dyDescent="0.25">
      <c r="A27" s="8"/>
      <c r="B27" s="8"/>
      <c r="C27" s="8"/>
      <c r="D27" s="8"/>
      <c r="E27" s="8"/>
      <c r="F27" s="11"/>
      <c r="G27" s="11"/>
      <c r="H27" s="11"/>
      <c r="I27" s="11">
        <f t="shared" si="0"/>
        <v>0</v>
      </c>
      <c r="J27" s="11"/>
      <c r="K27" s="11">
        <f t="shared" si="1"/>
        <v>0</v>
      </c>
    </row>
    <row r="28" spans="1:13" x14ac:dyDescent="0.25">
      <c r="A28" s="8"/>
      <c r="B28" s="8"/>
      <c r="C28" s="8"/>
      <c r="D28" s="8"/>
      <c r="E28" s="8"/>
      <c r="F28" s="11"/>
      <c r="G28" s="11"/>
      <c r="H28" s="11"/>
      <c r="I28" s="11">
        <f t="shared" si="0"/>
        <v>0</v>
      </c>
      <c r="J28" s="11"/>
      <c r="K28" s="11">
        <f t="shared" si="1"/>
        <v>0</v>
      </c>
    </row>
    <row r="29" spans="1:13" x14ac:dyDescent="0.25">
      <c r="A29" s="30" t="s">
        <v>10</v>
      </c>
      <c r="B29" s="30"/>
      <c r="C29" s="30"/>
      <c r="D29" s="30"/>
      <c r="E29" s="30"/>
      <c r="F29" s="13">
        <f>SUM(F2:F28)</f>
        <v>12583.36</v>
      </c>
      <c r="G29" s="8"/>
      <c r="H29" s="8"/>
      <c r="I29" s="13">
        <f>SUM(I2:I28)</f>
        <v>2032.2568000000001</v>
      </c>
      <c r="J29" s="13">
        <f>SUM(J2:J28)</f>
        <v>0</v>
      </c>
      <c r="K29" s="13">
        <f>SUM(K2:K28)</f>
        <v>14615.6168</v>
      </c>
    </row>
    <row r="32" spans="1:13" ht="15.75" thickBot="1" x14ac:dyDescent="0.3"/>
    <row r="33" spans="1:13" ht="30" x14ac:dyDescent="0.25">
      <c r="A33" s="1" t="s">
        <v>0</v>
      </c>
      <c r="B33" s="14" t="s">
        <v>1</v>
      </c>
      <c r="C33" s="15" t="s">
        <v>11</v>
      </c>
      <c r="D33" s="15" t="s">
        <v>3</v>
      </c>
      <c r="E33" s="16" t="s">
        <v>4</v>
      </c>
      <c r="F33" s="3" t="s">
        <v>5</v>
      </c>
      <c r="G33" s="3" t="s">
        <v>6</v>
      </c>
      <c r="H33" s="3" t="s">
        <v>7</v>
      </c>
      <c r="I33" s="3" t="s">
        <v>8</v>
      </c>
      <c r="J33" s="4" t="s">
        <v>9</v>
      </c>
      <c r="K33" s="5" t="s">
        <v>10</v>
      </c>
    </row>
    <row r="34" spans="1:13" x14ac:dyDescent="0.25">
      <c r="A34" s="10">
        <v>45292</v>
      </c>
      <c r="B34" s="7" t="s">
        <v>16</v>
      </c>
      <c r="C34" t="s">
        <v>19</v>
      </c>
      <c r="D34" s="8" t="s">
        <v>20</v>
      </c>
      <c r="E34" s="8" t="s">
        <v>21</v>
      </c>
      <c r="F34" s="11">
        <v>900</v>
      </c>
      <c r="G34" s="11">
        <v>189</v>
      </c>
      <c r="H34" s="11"/>
      <c r="I34" s="11">
        <f>G34+H34</f>
        <v>189</v>
      </c>
      <c r="J34" s="11">
        <f>F34*19/100</f>
        <v>171</v>
      </c>
      <c r="K34" s="11">
        <f>F34+I34-J34</f>
        <v>918</v>
      </c>
    </row>
    <row r="35" spans="1:13" x14ac:dyDescent="0.25">
      <c r="A35" s="10">
        <v>45323</v>
      </c>
      <c r="B35" s="7" t="s">
        <v>17</v>
      </c>
      <c r="C35" s="8" t="s">
        <v>19</v>
      </c>
      <c r="D35" s="8" t="s">
        <v>20</v>
      </c>
      <c r="E35" s="8" t="s">
        <v>21</v>
      </c>
      <c r="F35" s="11">
        <v>900</v>
      </c>
      <c r="G35" s="11">
        <v>189</v>
      </c>
      <c r="H35" s="11"/>
      <c r="I35" s="11">
        <f>G35+H35</f>
        <v>189</v>
      </c>
      <c r="J35" s="11">
        <v>171</v>
      </c>
      <c r="K35" s="11">
        <f>F35+I35-J35</f>
        <v>918</v>
      </c>
    </row>
    <row r="36" spans="1:13" x14ac:dyDescent="0.25">
      <c r="A36" s="10">
        <v>45352</v>
      </c>
      <c r="B36" s="7" t="s">
        <v>18</v>
      </c>
      <c r="C36" s="8" t="s">
        <v>19</v>
      </c>
      <c r="D36" s="20" t="s">
        <v>20</v>
      </c>
      <c r="E36" s="8" t="s">
        <v>21</v>
      </c>
      <c r="F36" s="11">
        <v>900</v>
      </c>
      <c r="G36" s="11">
        <v>189</v>
      </c>
      <c r="H36" s="11"/>
      <c r="I36" s="11">
        <f>G36+H36</f>
        <v>189</v>
      </c>
      <c r="J36" s="11">
        <v>171</v>
      </c>
      <c r="K36" s="11">
        <f>F36+I36-J36</f>
        <v>918</v>
      </c>
    </row>
    <row r="37" spans="1:13" x14ac:dyDescent="0.25">
      <c r="A37" s="10">
        <v>45383</v>
      </c>
      <c r="B37" s="7" t="s">
        <v>22</v>
      </c>
      <c r="C37" s="18" t="s">
        <v>19</v>
      </c>
      <c r="D37" s="22" t="s">
        <v>20</v>
      </c>
      <c r="E37" s="19" t="s">
        <v>21</v>
      </c>
      <c r="F37" s="11">
        <v>900</v>
      </c>
      <c r="G37" s="11">
        <v>189</v>
      </c>
      <c r="H37" s="11"/>
      <c r="I37" s="11">
        <f t="shared" ref="I37:I49" si="3">G37+H37</f>
        <v>189</v>
      </c>
      <c r="J37" s="11">
        <v>171</v>
      </c>
      <c r="K37" s="11">
        <f t="shared" ref="K37:K49" si="4">F37+I37-J37</f>
        <v>918</v>
      </c>
    </row>
    <row r="38" spans="1:13" x14ac:dyDescent="0.25">
      <c r="A38" s="10">
        <v>45413</v>
      </c>
      <c r="B38" s="7" t="s">
        <v>23</v>
      </c>
      <c r="C38" s="18" t="s">
        <v>19</v>
      </c>
      <c r="D38" s="22" t="s">
        <v>20</v>
      </c>
      <c r="E38" s="19" t="s">
        <v>21</v>
      </c>
      <c r="F38" s="11">
        <v>900</v>
      </c>
      <c r="G38" s="11">
        <v>189</v>
      </c>
      <c r="H38" s="11"/>
      <c r="I38" s="11">
        <f t="shared" si="3"/>
        <v>189</v>
      </c>
      <c r="J38" s="11">
        <v>171</v>
      </c>
      <c r="K38" s="11">
        <f t="shared" si="4"/>
        <v>918</v>
      </c>
    </row>
    <row r="39" spans="1:13" x14ac:dyDescent="0.25">
      <c r="A39" s="10">
        <v>45444</v>
      </c>
      <c r="B39" s="7" t="s">
        <v>24</v>
      </c>
      <c r="C39" s="18" t="s">
        <v>19</v>
      </c>
      <c r="D39" s="22" t="s">
        <v>20</v>
      </c>
      <c r="E39" s="19" t="s">
        <v>21</v>
      </c>
      <c r="F39" s="11">
        <v>900</v>
      </c>
      <c r="G39" s="11">
        <v>189</v>
      </c>
      <c r="H39" s="11"/>
      <c r="I39" s="11">
        <f t="shared" si="3"/>
        <v>189</v>
      </c>
      <c r="J39" s="11">
        <v>171</v>
      </c>
      <c r="K39" s="11">
        <f t="shared" si="4"/>
        <v>918</v>
      </c>
      <c r="L39" s="17"/>
      <c r="M39" s="17"/>
    </row>
    <row r="40" spans="1:13" x14ac:dyDescent="0.25">
      <c r="A40" s="10">
        <v>45474</v>
      </c>
      <c r="B40" s="7" t="s">
        <v>36</v>
      </c>
      <c r="C40" s="18" t="s">
        <v>19</v>
      </c>
      <c r="D40" s="22" t="s">
        <v>33</v>
      </c>
      <c r="E40" s="19" t="s">
        <v>21</v>
      </c>
      <c r="F40" s="11">
        <v>900</v>
      </c>
      <c r="G40" s="11">
        <v>189</v>
      </c>
      <c r="H40" s="11"/>
      <c r="I40" s="11">
        <f t="shared" si="3"/>
        <v>189</v>
      </c>
      <c r="J40" s="11">
        <v>171</v>
      </c>
      <c r="K40" s="11">
        <f t="shared" si="4"/>
        <v>918</v>
      </c>
      <c r="L40" s="17"/>
      <c r="M40" s="17"/>
    </row>
    <row r="41" spans="1:13" x14ac:dyDescent="0.25">
      <c r="A41" s="10">
        <v>45505</v>
      </c>
      <c r="B41" s="7" t="s">
        <v>37</v>
      </c>
      <c r="C41" s="18" t="s">
        <v>19</v>
      </c>
      <c r="D41" s="22" t="s">
        <v>34</v>
      </c>
      <c r="E41" s="19" t="s">
        <v>21</v>
      </c>
      <c r="F41" s="11">
        <v>900</v>
      </c>
      <c r="G41" s="11">
        <v>189</v>
      </c>
      <c r="H41" s="11"/>
      <c r="I41" s="11">
        <f t="shared" si="3"/>
        <v>189</v>
      </c>
      <c r="J41" s="11">
        <v>171</v>
      </c>
      <c r="K41" s="11">
        <f t="shared" si="4"/>
        <v>918</v>
      </c>
      <c r="L41" s="17"/>
      <c r="M41" s="17"/>
    </row>
    <row r="42" spans="1:13" x14ac:dyDescent="0.25">
      <c r="A42" s="10">
        <v>45536</v>
      </c>
      <c r="B42" s="7" t="s">
        <v>38</v>
      </c>
      <c r="C42" s="18" t="s">
        <v>19</v>
      </c>
      <c r="D42" s="22" t="s">
        <v>35</v>
      </c>
      <c r="E42" s="19" t="s">
        <v>21</v>
      </c>
      <c r="F42" s="11">
        <v>900</v>
      </c>
      <c r="G42" s="11">
        <v>189</v>
      </c>
      <c r="H42" s="11"/>
      <c r="I42" s="11">
        <f t="shared" si="3"/>
        <v>189</v>
      </c>
      <c r="J42" s="11">
        <v>171</v>
      </c>
      <c r="K42" s="11">
        <f t="shared" si="4"/>
        <v>918</v>
      </c>
      <c r="L42" s="17"/>
      <c r="M42" s="17"/>
    </row>
    <row r="43" spans="1:13" x14ac:dyDescent="0.25">
      <c r="A43" s="10">
        <v>45565</v>
      </c>
      <c r="B43" s="7" t="s">
        <v>39</v>
      </c>
      <c r="C43" s="23" t="s">
        <v>40</v>
      </c>
      <c r="D43" s="8" t="s">
        <v>41</v>
      </c>
      <c r="E43" s="12" t="s">
        <v>42</v>
      </c>
      <c r="F43" s="11">
        <v>809.52</v>
      </c>
      <c r="G43" s="11">
        <v>170</v>
      </c>
      <c r="H43" s="11"/>
      <c r="I43" s="11">
        <f t="shared" si="3"/>
        <v>170</v>
      </c>
      <c r="J43" s="11"/>
      <c r="K43" s="11">
        <f t="shared" si="4"/>
        <v>979.52</v>
      </c>
      <c r="L43" s="17"/>
    </row>
    <row r="44" spans="1:13" x14ac:dyDescent="0.25">
      <c r="A44" s="10">
        <v>45566</v>
      </c>
      <c r="B44" s="7" t="s">
        <v>49</v>
      </c>
      <c r="C44" s="18" t="s">
        <v>19</v>
      </c>
      <c r="D44" s="22" t="s">
        <v>20</v>
      </c>
      <c r="E44" s="19" t="s">
        <v>21</v>
      </c>
      <c r="F44" s="11">
        <v>900</v>
      </c>
      <c r="G44" s="11">
        <v>189</v>
      </c>
      <c r="H44" s="11"/>
      <c r="I44" s="11">
        <f t="shared" si="3"/>
        <v>189</v>
      </c>
      <c r="J44" s="11">
        <v>171</v>
      </c>
      <c r="K44" s="11">
        <f t="shared" si="4"/>
        <v>918</v>
      </c>
      <c r="L44" s="17"/>
    </row>
    <row r="45" spans="1:13" x14ac:dyDescent="0.25">
      <c r="A45" s="10">
        <v>45597</v>
      </c>
      <c r="B45" s="7" t="s">
        <v>50</v>
      </c>
      <c r="C45" s="18" t="s">
        <v>19</v>
      </c>
      <c r="D45" s="22" t="s">
        <v>33</v>
      </c>
      <c r="E45" s="19" t="s">
        <v>21</v>
      </c>
      <c r="F45" s="11">
        <v>900</v>
      </c>
      <c r="G45" s="11">
        <v>189</v>
      </c>
      <c r="H45" s="11"/>
      <c r="I45" s="11">
        <f t="shared" si="3"/>
        <v>189</v>
      </c>
      <c r="J45" s="11">
        <v>171</v>
      </c>
      <c r="K45" s="11">
        <f t="shared" si="4"/>
        <v>918</v>
      </c>
      <c r="L45" s="17"/>
    </row>
    <row r="46" spans="1:13" x14ac:dyDescent="0.25">
      <c r="A46" s="10">
        <v>45621</v>
      </c>
      <c r="B46" s="7" t="s">
        <v>51</v>
      </c>
      <c r="C46" s="18" t="s">
        <v>19</v>
      </c>
      <c r="D46" s="22" t="s">
        <v>34</v>
      </c>
      <c r="E46" s="19" t="s">
        <v>42</v>
      </c>
      <c r="F46" s="9">
        <v>595.04</v>
      </c>
      <c r="G46" s="9">
        <f>F46*21/100</f>
        <v>124.9584</v>
      </c>
      <c r="H46" s="11"/>
      <c r="I46" s="11">
        <f t="shared" si="3"/>
        <v>124.9584</v>
      </c>
      <c r="J46" s="11"/>
      <c r="K46" s="11">
        <f t="shared" si="4"/>
        <v>719.99839999999995</v>
      </c>
      <c r="L46" s="17"/>
    </row>
    <row r="47" spans="1:13" x14ac:dyDescent="0.25">
      <c r="A47" s="10">
        <v>45627</v>
      </c>
      <c r="B47" s="7" t="s">
        <v>52</v>
      </c>
      <c r="C47" s="18" t="s">
        <v>19</v>
      </c>
      <c r="D47" s="22" t="s">
        <v>35</v>
      </c>
      <c r="E47" s="19" t="s">
        <v>21</v>
      </c>
      <c r="F47" s="11">
        <v>900</v>
      </c>
      <c r="G47" s="11">
        <v>189</v>
      </c>
      <c r="H47" s="11"/>
      <c r="I47" s="11">
        <f t="shared" si="3"/>
        <v>189</v>
      </c>
      <c r="J47" s="11">
        <v>171</v>
      </c>
      <c r="K47" s="11">
        <f t="shared" si="4"/>
        <v>918</v>
      </c>
      <c r="L47" s="17"/>
    </row>
    <row r="48" spans="1:13" x14ac:dyDescent="0.25">
      <c r="A48" s="10">
        <v>45627</v>
      </c>
      <c r="B48" s="7" t="s">
        <v>56</v>
      </c>
      <c r="C48" s="8" t="s">
        <v>57</v>
      </c>
      <c r="D48" s="21" t="s">
        <v>58</v>
      </c>
      <c r="E48" s="8" t="s">
        <v>59</v>
      </c>
      <c r="F48" s="11">
        <v>7156.2</v>
      </c>
      <c r="G48" s="11">
        <v>1502.8</v>
      </c>
      <c r="H48" s="11"/>
      <c r="I48" s="11">
        <f t="shared" si="3"/>
        <v>1502.8</v>
      </c>
      <c r="J48" s="11"/>
      <c r="K48" s="11">
        <f t="shared" si="4"/>
        <v>8659</v>
      </c>
    </row>
    <row r="49" spans="1:11" x14ac:dyDescent="0.25">
      <c r="A49" s="8"/>
      <c r="B49" s="8"/>
      <c r="C49" s="8"/>
      <c r="D49" s="8"/>
      <c r="E49" s="8"/>
      <c r="F49" s="11"/>
      <c r="G49" s="11"/>
      <c r="H49" s="11"/>
      <c r="I49" s="11">
        <f t="shared" si="3"/>
        <v>0</v>
      </c>
      <c r="J49" s="11"/>
      <c r="K49" s="11">
        <f t="shared" si="4"/>
        <v>0</v>
      </c>
    </row>
    <row r="50" spans="1:11" x14ac:dyDescent="0.25">
      <c r="A50" s="30" t="s">
        <v>10</v>
      </c>
      <c r="B50" s="30"/>
      <c r="C50" s="30"/>
      <c r="D50" s="30"/>
      <c r="E50" s="30"/>
      <c r="F50" s="13">
        <f t="shared" ref="F50:K50" si="5">SUM(F34:F49)</f>
        <v>19360.760000000002</v>
      </c>
      <c r="G50" s="13">
        <f t="shared" si="5"/>
        <v>4065.7583999999997</v>
      </c>
      <c r="H50" s="13">
        <f t="shared" si="5"/>
        <v>0</v>
      </c>
      <c r="I50" s="13">
        <f t="shared" si="5"/>
        <v>4065.7583999999997</v>
      </c>
      <c r="J50" s="13">
        <f t="shared" si="5"/>
        <v>2052</v>
      </c>
      <c r="K50" s="13">
        <f t="shared" si="5"/>
        <v>21374.518400000001</v>
      </c>
    </row>
  </sheetData>
  <mergeCells count="2">
    <mergeCell ref="A29:E29"/>
    <mergeCell ref="A50:E5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xiena000</dc:creator>
  <cp:lastModifiedBy>Unax Torres</cp:lastModifiedBy>
  <dcterms:created xsi:type="dcterms:W3CDTF">2024-04-16T10:36:54Z</dcterms:created>
  <dcterms:modified xsi:type="dcterms:W3CDTF">2025-01-28T10:39:26Z</dcterms:modified>
</cp:coreProperties>
</file>