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A\new\IA-PDf-Excel\app\TestDoc\alejandra\"/>
    </mc:Choice>
  </mc:AlternateContent>
  <xr:revisionPtr revIDLastSave="0" documentId="8_{B007D08F-02C8-4F63-9F8A-314418643E33}" xr6:coauthVersionLast="47" xr6:coauthVersionMax="47" xr10:uidLastSave="{00000000-0000-0000-0000-000000000000}"/>
  <bookViews>
    <workbookView xWindow="-110" yWindow="-110" windowWidth="25820" windowHeight="13900" tabRatio="814" activeTab="4" xr2:uid="{BE17AA23-B9AD-4F6B-94D6-537446DE0BF2}"/>
  </bookViews>
  <sheets>
    <sheet name="COMPRAS" sheetId="8" r:id="rId1"/>
    <sheet name="Gráfico1" sheetId="17" state="hidden" r:id="rId2"/>
    <sheet name="COMPRAS (2)" sheetId="9" r:id="rId3"/>
    <sheet name="COMPRAS (3)" sheetId="10" r:id="rId4"/>
    <sheet name="COMPRAS (4)" sheetId="11" r:id="rId5"/>
    <sheet name="VENTAS" sheetId="4" r:id="rId6"/>
    <sheet name="VENTAS (2)" sheetId="12" r:id="rId7"/>
    <sheet name="VENTAS (3)" sheetId="13" r:id="rId8"/>
    <sheet name="VENTAS (4)" sheetId="14" r:id="rId9"/>
    <sheet name="Hoja1" sheetId="15" r:id="rId10"/>
    <sheet name="Hoja2" sheetId="16" r:id="rId11"/>
  </sheets>
  <definedNames>
    <definedName name="_xlnm._FilterDatabase" localSheetId="4" hidden="1">'COMPRAS (4)'!$A$1:$S$551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6" l="1"/>
  <c r="B4" i="16"/>
  <c r="B6" i="16"/>
  <c r="B8" i="16"/>
  <c r="B10" i="16"/>
  <c r="B12" i="16"/>
  <c r="B2" i="15"/>
  <c r="B4" i="15"/>
  <c r="F2" i="14"/>
  <c r="G2" i="14"/>
  <c r="I2" i="14"/>
  <c r="J2" i="14"/>
  <c r="L2" i="14"/>
  <c r="F3" i="14"/>
  <c r="G3" i="14"/>
  <c r="I3" i="14"/>
  <c r="J3" i="14"/>
  <c r="L3" i="14"/>
  <c r="F4" i="14"/>
  <c r="G4" i="14"/>
  <c r="I4" i="14"/>
  <c r="J4" i="14"/>
  <c r="L4" i="14"/>
  <c r="F5" i="14"/>
  <c r="G5" i="14"/>
  <c r="I5" i="14"/>
  <c r="J5" i="14"/>
  <c r="L5" i="14"/>
  <c r="F6" i="14"/>
  <c r="G6" i="14"/>
  <c r="I6" i="14"/>
  <c r="J6" i="14"/>
  <c r="L6" i="14"/>
  <c r="F7" i="14"/>
  <c r="G7" i="14"/>
  <c r="I7" i="14"/>
  <c r="J7" i="14"/>
  <c r="L7" i="14"/>
  <c r="F8" i="14"/>
  <c r="G8" i="14"/>
  <c r="I8" i="14"/>
  <c r="J8" i="14"/>
  <c r="L8" i="14"/>
  <c r="F9" i="14"/>
  <c r="G9" i="14"/>
  <c r="I9" i="14"/>
  <c r="J9" i="14"/>
  <c r="L9" i="14"/>
  <c r="F10" i="14"/>
  <c r="G10" i="14"/>
  <c r="I10" i="14"/>
  <c r="J10" i="14"/>
  <c r="L10" i="14"/>
  <c r="F11" i="14"/>
  <c r="G11" i="14"/>
  <c r="I11" i="14"/>
  <c r="J11" i="14"/>
  <c r="L11" i="14"/>
  <c r="F12" i="14"/>
  <c r="G12" i="14"/>
  <c r="I12" i="14"/>
  <c r="J12" i="14"/>
  <c r="L12" i="14"/>
  <c r="F13" i="14"/>
  <c r="G13" i="14"/>
  <c r="I13" i="14"/>
  <c r="J13" i="14"/>
  <c r="L13" i="14"/>
  <c r="F14" i="14"/>
  <c r="G14" i="14"/>
  <c r="I14" i="14"/>
  <c r="J14" i="14"/>
  <c r="L14" i="14"/>
  <c r="F15" i="14"/>
  <c r="G15" i="14"/>
  <c r="I15" i="14"/>
  <c r="J15" i="14"/>
  <c r="L15" i="14"/>
  <c r="F16" i="14"/>
  <c r="G16" i="14"/>
  <c r="I16" i="14"/>
  <c r="J16" i="14"/>
  <c r="L16" i="14"/>
  <c r="F17" i="14"/>
  <c r="G17" i="14"/>
  <c r="I17" i="14"/>
  <c r="J17" i="14"/>
  <c r="L17" i="14"/>
  <c r="F18" i="14"/>
  <c r="G18" i="14"/>
  <c r="I18" i="14"/>
  <c r="J18" i="14"/>
  <c r="L18" i="14"/>
  <c r="F19" i="14"/>
  <c r="G19" i="14"/>
  <c r="I19" i="14"/>
  <c r="J19" i="14"/>
  <c r="L19" i="14"/>
  <c r="F20" i="14"/>
  <c r="G20" i="14"/>
  <c r="I20" i="14"/>
  <c r="J20" i="14"/>
  <c r="L20" i="14"/>
  <c r="F21" i="14"/>
  <c r="G21" i="14"/>
  <c r="I21" i="14"/>
  <c r="J21" i="14"/>
  <c r="L21" i="14"/>
  <c r="F22" i="14"/>
  <c r="G22" i="14"/>
  <c r="I22" i="14"/>
  <c r="J22" i="14"/>
  <c r="L22" i="14"/>
  <c r="F23" i="14"/>
  <c r="G23" i="14"/>
  <c r="I23" i="14"/>
  <c r="J23" i="14"/>
  <c r="L23" i="14"/>
  <c r="F24" i="14"/>
  <c r="G24" i="14"/>
  <c r="I24" i="14"/>
  <c r="J24" i="14"/>
  <c r="L24" i="14"/>
  <c r="F25" i="14"/>
  <c r="G25" i="14"/>
  <c r="I25" i="14"/>
  <c r="J25" i="14"/>
  <c r="L25" i="14"/>
  <c r="F26" i="14"/>
  <c r="G26" i="14"/>
  <c r="I26" i="14"/>
  <c r="J26" i="14"/>
  <c r="L26" i="14"/>
  <c r="F27" i="14"/>
  <c r="G27" i="14"/>
  <c r="I27" i="14"/>
  <c r="J27" i="14"/>
  <c r="L27" i="14"/>
  <c r="F28" i="14"/>
  <c r="G28" i="14"/>
  <c r="I28" i="14"/>
  <c r="J28" i="14"/>
  <c r="L28" i="14"/>
  <c r="F29" i="14"/>
  <c r="G29" i="14"/>
  <c r="I29" i="14"/>
  <c r="J29" i="14"/>
  <c r="L29" i="14"/>
  <c r="F30" i="14"/>
  <c r="G30" i="14"/>
  <c r="I30" i="14"/>
  <c r="J30" i="14"/>
  <c r="L30" i="14"/>
  <c r="F31" i="14"/>
  <c r="G31" i="14"/>
  <c r="I31" i="14"/>
  <c r="J31" i="14"/>
  <c r="L31" i="14"/>
  <c r="F32" i="14"/>
  <c r="G32" i="14"/>
  <c r="I32" i="14"/>
  <c r="J32" i="14"/>
  <c r="L32" i="14"/>
  <c r="F33" i="14"/>
  <c r="G33" i="14"/>
  <c r="I33" i="14"/>
  <c r="J33" i="14"/>
  <c r="L33" i="14"/>
  <c r="F34" i="14"/>
  <c r="G34" i="14"/>
  <c r="I34" i="14"/>
  <c r="J34" i="14"/>
  <c r="L34" i="14"/>
  <c r="F35" i="14"/>
  <c r="G35" i="14"/>
  <c r="I35" i="14"/>
  <c r="J35" i="14"/>
  <c r="L35" i="14"/>
  <c r="F36" i="14"/>
  <c r="G36" i="14"/>
  <c r="I36" i="14"/>
  <c r="J36" i="14"/>
  <c r="L36" i="14"/>
  <c r="F37" i="14"/>
  <c r="G37" i="14"/>
  <c r="I37" i="14"/>
  <c r="J37" i="14"/>
  <c r="L37" i="14"/>
  <c r="F38" i="14"/>
  <c r="G38" i="14"/>
  <c r="I38" i="14"/>
  <c r="J38" i="14"/>
  <c r="L38" i="14"/>
  <c r="F39" i="14"/>
  <c r="G39" i="14"/>
  <c r="I39" i="14"/>
  <c r="J39" i="14"/>
  <c r="L39" i="14"/>
  <c r="F40" i="14"/>
  <c r="G40" i="14"/>
  <c r="I40" i="14"/>
  <c r="J40" i="14"/>
  <c r="L40" i="14"/>
  <c r="F41" i="14"/>
  <c r="G41" i="14"/>
  <c r="I41" i="14"/>
  <c r="J41" i="14"/>
  <c r="L41" i="14"/>
  <c r="F42" i="14"/>
  <c r="G42" i="14"/>
  <c r="I42" i="14"/>
  <c r="J42" i="14"/>
  <c r="L42" i="14"/>
  <c r="F43" i="14"/>
  <c r="G43" i="14"/>
  <c r="I43" i="14"/>
  <c r="J43" i="14"/>
  <c r="L43" i="14"/>
  <c r="F44" i="14"/>
  <c r="G44" i="14"/>
  <c r="I44" i="14"/>
  <c r="J44" i="14"/>
  <c r="L44" i="14"/>
  <c r="F45" i="14"/>
  <c r="G45" i="14"/>
  <c r="I45" i="14"/>
  <c r="J45" i="14"/>
  <c r="L45" i="14"/>
  <c r="F46" i="14"/>
  <c r="G46" i="14"/>
  <c r="I46" i="14"/>
  <c r="J46" i="14"/>
  <c r="L46" i="14"/>
  <c r="F47" i="14"/>
  <c r="G47" i="14"/>
  <c r="I47" i="14"/>
  <c r="J47" i="14"/>
  <c r="L47" i="14"/>
  <c r="F48" i="14"/>
  <c r="G48" i="14"/>
  <c r="I48" i="14"/>
  <c r="J48" i="14"/>
  <c r="L48" i="14"/>
  <c r="F49" i="14"/>
  <c r="G49" i="14"/>
  <c r="I49" i="14"/>
  <c r="J49" i="14"/>
  <c r="L49" i="14"/>
  <c r="F50" i="14"/>
  <c r="G50" i="14"/>
  <c r="I50" i="14"/>
  <c r="J50" i="14"/>
  <c r="L50" i="14"/>
  <c r="F51" i="14"/>
  <c r="G51" i="14"/>
  <c r="I51" i="14"/>
  <c r="J51" i="14"/>
  <c r="L51" i="14"/>
  <c r="F52" i="14"/>
  <c r="G52" i="14"/>
  <c r="I52" i="14"/>
  <c r="J52" i="14"/>
  <c r="L52" i="14"/>
  <c r="F53" i="14"/>
  <c r="G53" i="14"/>
  <c r="I53" i="14"/>
  <c r="J53" i="14"/>
  <c r="L53" i="14"/>
  <c r="F54" i="14"/>
  <c r="G54" i="14"/>
  <c r="I54" i="14"/>
  <c r="J54" i="14"/>
  <c r="L54" i="14"/>
  <c r="F55" i="14"/>
  <c r="G55" i="14"/>
  <c r="I55" i="14"/>
  <c r="J55" i="14"/>
  <c r="L55" i="14"/>
  <c r="F56" i="14"/>
  <c r="G56" i="14"/>
  <c r="I56" i="14"/>
  <c r="J56" i="14"/>
  <c r="L56" i="14"/>
  <c r="F57" i="14"/>
  <c r="G57" i="14"/>
  <c r="I57" i="14"/>
  <c r="J57" i="14"/>
  <c r="L57" i="14"/>
  <c r="F58" i="14"/>
  <c r="G58" i="14"/>
  <c r="I58" i="14"/>
  <c r="J58" i="14"/>
  <c r="L58" i="14"/>
  <c r="F59" i="14"/>
  <c r="G59" i="14"/>
  <c r="I59" i="14"/>
  <c r="J59" i="14"/>
  <c r="L59" i="14"/>
  <c r="F60" i="14"/>
  <c r="G60" i="14"/>
  <c r="I60" i="14"/>
  <c r="J60" i="14"/>
  <c r="L60" i="14"/>
  <c r="F61" i="14"/>
  <c r="G61" i="14"/>
  <c r="I61" i="14"/>
  <c r="J61" i="14"/>
  <c r="L61" i="14"/>
  <c r="F62" i="14"/>
  <c r="G62" i="14"/>
  <c r="I62" i="14"/>
  <c r="J62" i="14"/>
  <c r="L62" i="14"/>
  <c r="F63" i="14"/>
  <c r="G63" i="14"/>
  <c r="I63" i="14"/>
  <c r="J63" i="14"/>
  <c r="L63" i="14"/>
  <c r="F64" i="14"/>
  <c r="G64" i="14"/>
  <c r="I64" i="14"/>
  <c r="J64" i="14"/>
  <c r="L64" i="14"/>
  <c r="F65" i="14"/>
  <c r="G65" i="14"/>
  <c r="I65" i="14"/>
  <c r="J65" i="14"/>
  <c r="L65" i="14"/>
  <c r="F66" i="14"/>
  <c r="G66" i="14"/>
  <c r="I66" i="14"/>
  <c r="J66" i="14"/>
  <c r="L66" i="14"/>
  <c r="F67" i="14"/>
  <c r="G67" i="14"/>
  <c r="I67" i="14"/>
  <c r="J67" i="14"/>
  <c r="L67" i="14"/>
  <c r="F68" i="14"/>
  <c r="G68" i="14"/>
  <c r="I68" i="14"/>
  <c r="J68" i="14"/>
  <c r="L68" i="14"/>
  <c r="F69" i="14"/>
  <c r="G69" i="14"/>
  <c r="I69" i="14"/>
  <c r="J69" i="14"/>
  <c r="L69" i="14"/>
  <c r="F70" i="14"/>
  <c r="G70" i="14"/>
  <c r="I70" i="14"/>
  <c r="J70" i="14"/>
  <c r="L70" i="14"/>
  <c r="F71" i="14"/>
  <c r="G71" i="14"/>
  <c r="I71" i="14"/>
  <c r="J71" i="14"/>
  <c r="L71" i="14"/>
  <c r="F72" i="14"/>
  <c r="G72" i="14"/>
  <c r="I72" i="14"/>
  <c r="J72" i="14"/>
  <c r="L72" i="14"/>
  <c r="F73" i="14"/>
  <c r="G73" i="14"/>
  <c r="I73" i="14"/>
  <c r="J73" i="14"/>
  <c r="L73" i="14"/>
  <c r="F74" i="14"/>
  <c r="G74" i="14"/>
  <c r="I74" i="14"/>
  <c r="J74" i="14"/>
  <c r="L74" i="14"/>
  <c r="F75" i="14"/>
  <c r="G75" i="14"/>
  <c r="I75" i="14"/>
  <c r="J75" i="14"/>
  <c r="L75" i="14"/>
  <c r="F76" i="14"/>
  <c r="G76" i="14"/>
  <c r="I76" i="14"/>
  <c r="J76" i="14"/>
  <c r="L76" i="14"/>
  <c r="F77" i="14"/>
  <c r="G77" i="14"/>
  <c r="I77" i="14"/>
  <c r="J77" i="14"/>
  <c r="L77" i="14"/>
  <c r="F78" i="14"/>
  <c r="G78" i="14"/>
  <c r="I78" i="14"/>
  <c r="J78" i="14"/>
  <c r="L78" i="14"/>
  <c r="F79" i="14"/>
  <c r="G79" i="14"/>
  <c r="I79" i="14"/>
  <c r="J79" i="14"/>
  <c r="L79" i="14"/>
  <c r="F80" i="14"/>
  <c r="G80" i="14"/>
  <c r="I80" i="14"/>
  <c r="J80" i="14"/>
  <c r="L80" i="14"/>
  <c r="F81" i="14"/>
  <c r="G81" i="14"/>
  <c r="I81" i="14"/>
  <c r="J81" i="14"/>
  <c r="L81" i="14"/>
  <c r="F82" i="14"/>
  <c r="G82" i="14"/>
  <c r="I82" i="14"/>
  <c r="J82" i="14"/>
  <c r="L82" i="14"/>
  <c r="F83" i="14"/>
  <c r="G83" i="14"/>
  <c r="I83" i="14"/>
  <c r="J83" i="14"/>
  <c r="L83" i="14"/>
  <c r="F84" i="14"/>
  <c r="G84" i="14"/>
  <c r="I84" i="14"/>
  <c r="J84" i="14"/>
  <c r="L84" i="14"/>
  <c r="F85" i="14"/>
  <c r="G85" i="14"/>
  <c r="I85" i="14"/>
  <c r="J85" i="14"/>
  <c r="L85" i="14"/>
  <c r="F86" i="14"/>
  <c r="G86" i="14"/>
  <c r="I86" i="14"/>
  <c r="J86" i="14"/>
  <c r="L86" i="14"/>
  <c r="F87" i="14"/>
  <c r="G87" i="14"/>
  <c r="I87" i="14"/>
  <c r="J87" i="14"/>
  <c r="L87" i="14"/>
  <c r="F88" i="14"/>
  <c r="G88" i="14"/>
  <c r="I88" i="14"/>
  <c r="J88" i="14"/>
  <c r="L88" i="14"/>
  <c r="F89" i="14"/>
  <c r="G89" i="14"/>
  <c r="I89" i="14"/>
  <c r="J89" i="14"/>
  <c r="L89" i="14"/>
  <c r="F90" i="14"/>
  <c r="G90" i="14"/>
  <c r="I90" i="14"/>
  <c r="J90" i="14"/>
  <c r="L90" i="14"/>
  <c r="F91" i="14"/>
  <c r="G91" i="14"/>
  <c r="I91" i="14"/>
  <c r="J91" i="14"/>
  <c r="L91" i="14"/>
  <c r="F92" i="14"/>
  <c r="G92" i="14"/>
  <c r="I92" i="14"/>
  <c r="J92" i="14"/>
  <c r="L92" i="14"/>
  <c r="F93" i="14"/>
  <c r="G93" i="14"/>
  <c r="I93" i="14"/>
  <c r="J93" i="14"/>
  <c r="L93" i="14"/>
  <c r="F94" i="14"/>
  <c r="G94" i="14"/>
  <c r="I94" i="14"/>
  <c r="J94" i="14"/>
  <c r="L94" i="14"/>
  <c r="F95" i="14"/>
  <c r="G95" i="14"/>
  <c r="I95" i="14"/>
  <c r="J95" i="14"/>
  <c r="L95" i="14"/>
  <c r="F96" i="14"/>
  <c r="G96" i="14"/>
  <c r="I96" i="14"/>
  <c r="J96" i="14"/>
  <c r="L96" i="14"/>
  <c r="F97" i="14"/>
  <c r="G97" i="14"/>
  <c r="I97" i="14"/>
  <c r="J97" i="14"/>
  <c r="L97" i="14"/>
  <c r="F98" i="14"/>
  <c r="G98" i="14"/>
  <c r="I98" i="14"/>
  <c r="J98" i="14"/>
  <c r="L98" i="14"/>
  <c r="F99" i="14"/>
  <c r="G99" i="14"/>
  <c r="I99" i="14"/>
  <c r="J99" i="14"/>
  <c r="L99" i="14"/>
  <c r="F100" i="14"/>
  <c r="G100" i="14"/>
  <c r="I100" i="14"/>
  <c r="J100" i="14"/>
  <c r="L100" i="14"/>
  <c r="F101" i="14"/>
  <c r="G101" i="14"/>
  <c r="I101" i="14"/>
  <c r="J101" i="14"/>
  <c r="L101" i="14"/>
  <c r="F102" i="14"/>
  <c r="G102" i="14"/>
  <c r="J102" i="14"/>
  <c r="L102" i="14"/>
  <c r="F103" i="14"/>
  <c r="G103" i="14"/>
  <c r="I103" i="14"/>
  <c r="J103" i="14"/>
  <c r="L103" i="14"/>
  <c r="F104" i="14"/>
  <c r="G104" i="14"/>
  <c r="I104" i="14"/>
  <c r="J104" i="14"/>
  <c r="L104" i="14"/>
  <c r="F105" i="14"/>
  <c r="G105" i="14"/>
  <c r="I105" i="14"/>
  <c r="J105" i="14"/>
  <c r="L105" i="14"/>
  <c r="F106" i="14"/>
  <c r="G106" i="14"/>
  <c r="I106" i="14"/>
  <c r="J106" i="14"/>
  <c r="L106" i="14"/>
  <c r="F107" i="14"/>
  <c r="G107" i="14"/>
  <c r="I107" i="14"/>
  <c r="J107" i="14"/>
  <c r="L107" i="14"/>
  <c r="F108" i="14"/>
  <c r="G108" i="14"/>
  <c r="I108" i="14"/>
  <c r="J108" i="14"/>
  <c r="L108" i="14"/>
  <c r="F109" i="14"/>
  <c r="G109" i="14"/>
  <c r="I109" i="14"/>
  <c r="J109" i="14"/>
  <c r="L109" i="14"/>
  <c r="F110" i="14"/>
  <c r="G110" i="14"/>
  <c r="I110" i="14"/>
  <c r="J110" i="14"/>
  <c r="L110" i="14"/>
  <c r="F111" i="14"/>
  <c r="G111" i="14"/>
  <c r="I111" i="14"/>
  <c r="J111" i="14"/>
  <c r="L111" i="14"/>
  <c r="F112" i="14"/>
  <c r="G112" i="14"/>
  <c r="I112" i="14"/>
  <c r="J112" i="14"/>
  <c r="L112" i="14"/>
  <c r="F113" i="14"/>
  <c r="G113" i="14"/>
  <c r="I113" i="14"/>
  <c r="J113" i="14"/>
  <c r="L113" i="14"/>
  <c r="F114" i="14"/>
  <c r="G114" i="14"/>
  <c r="I114" i="14"/>
  <c r="J114" i="14"/>
  <c r="L114" i="14"/>
  <c r="F115" i="14"/>
  <c r="G115" i="14"/>
  <c r="I115" i="14"/>
  <c r="J115" i="14"/>
  <c r="L115" i="14"/>
  <c r="F116" i="14"/>
  <c r="G116" i="14"/>
  <c r="I116" i="14"/>
  <c r="J116" i="14"/>
  <c r="L116" i="14"/>
  <c r="F117" i="14"/>
  <c r="G117" i="14"/>
  <c r="I117" i="14"/>
  <c r="J117" i="14"/>
  <c r="L117" i="14"/>
  <c r="F118" i="14"/>
  <c r="G118" i="14"/>
  <c r="I118" i="14"/>
  <c r="J118" i="14"/>
  <c r="L118" i="14"/>
  <c r="F119" i="14"/>
  <c r="G119" i="14"/>
  <c r="I119" i="14"/>
  <c r="J119" i="14"/>
  <c r="L119" i="14"/>
  <c r="F120" i="14"/>
  <c r="G120" i="14"/>
  <c r="I120" i="14"/>
  <c r="J120" i="14"/>
  <c r="L120" i="14"/>
  <c r="F2" i="13"/>
  <c r="G2" i="13"/>
  <c r="I2" i="13"/>
  <c r="J2" i="13"/>
  <c r="L2" i="13"/>
  <c r="F3" i="13"/>
  <c r="G3" i="13"/>
  <c r="I3" i="13"/>
  <c r="J3" i="13"/>
  <c r="L3" i="13"/>
  <c r="F4" i="13"/>
  <c r="G4" i="13"/>
  <c r="I4" i="13"/>
  <c r="J4" i="13"/>
  <c r="L4" i="13"/>
  <c r="F5" i="13"/>
  <c r="G5" i="13"/>
  <c r="I5" i="13"/>
  <c r="J5" i="13"/>
  <c r="L5" i="13"/>
  <c r="F6" i="13"/>
  <c r="G6" i="13"/>
  <c r="I6" i="13"/>
  <c r="J6" i="13"/>
  <c r="L6" i="13"/>
  <c r="F7" i="13"/>
  <c r="G7" i="13"/>
  <c r="I7" i="13"/>
  <c r="J7" i="13"/>
  <c r="L7" i="13"/>
  <c r="F8" i="13"/>
  <c r="G8" i="13"/>
  <c r="I8" i="13"/>
  <c r="J8" i="13"/>
  <c r="L8" i="13"/>
  <c r="F9" i="13"/>
  <c r="G9" i="13"/>
  <c r="I9" i="13"/>
  <c r="J9" i="13"/>
  <c r="L9" i="13"/>
  <c r="F10" i="13"/>
  <c r="G10" i="13"/>
  <c r="I10" i="13"/>
  <c r="J10" i="13"/>
  <c r="L10" i="13"/>
  <c r="F11" i="13"/>
  <c r="G11" i="13"/>
  <c r="I11" i="13"/>
  <c r="J11" i="13"/>
  <c r="L11" i="13"/>
  <c r="F12" i="13"/>
  <c r="G12" i="13"/>
  <c r="I12" i="13"/>
  <c r="J12" i="13"/>
  <c r="L12" i="13"/>
  <c r="F13" i="13"/>
  <c r="G13" i="13"/>
  <c r="I13" i="13"/>
  <c r="J13" i="13"/>
  <c r="L13" i="13"/>
  <c r="F14" i="13"/>
  <c r="G14" i="13"/>
  <c r="I14" i="13"/>
  <c r="J14" i="13"/>
  <c r="L14" i="13"/>
  <c r="F15" i="13"/>
  <c r="G15" i="13"/>
  <c r="I15" i="13"/>
  <c r="J15" i="13"/>
  <c r="L15" i="13"/>
  <c r="F16" i="13"/>
  <c r="G16" i="13"/>
  <c r="I16" i="13"/>
  <c r="J16" i="13"/>
  <c r="L16" i="13"/>
  <c r="F17" i="13"/>
  <c r="G17" i="13"/>
  <c r="I17" i="13"/>
  <c r="J17" i="13"/>
  <c r="L17" i="13"/>
  <c r="F18" i="13"/>
  <c r="G18" i="13"/>
  <c r="I18" i="13"/>
  <c r="J18" i="13"/>
  <c r="L18" i="13"/>
  <c r="F19" i="13"/>
  <c r="G19" i="13"/>
  <c r="I19" i="13"/>
  <c r="J19" i="13"/>
  <c r="L19" i="13"/>
  <c r="F20" i="13"/>
  <c r="G20" i="13"/>
  <c r="I20" i="13"/>
  <c r="J20" i="13"/>
  <c r="L20" i="13"/>
  <c r="F21" i="13"/>
  <c r="G21" i="13"/>
  <c r="I21" i="13"/>
  <c r="J21" i="13"/>
  <c r="L21" i="13"/>
  <c r="F22" i="13"/>
  <c r="G22" i="13"/>
  <c r="I22" i="13"/>
  <c r="J22" i="13"/>
  <c r="L22" i="13"/>
  <c r="F23" i="13"/>
  <c r="G23" i="13"/>
  <c r="I23" i="13"/>
  <c r="J23" i="13"/>
  <c r="L23" i="13"/>
  <c r="F24" i="13"/>
  <c r="G24" i="13"/>
  <c r="I24" i="13"/>
  <c r="J24" i="13"/>
  <c r="L24" i="13"/>
  <c r="F25" i="13"/>
  <c r="G25" i="13"/>
  <c r="I25" i="13"/>
  <c r="J25" i="13"/>
  <c r="L25" i="13"/>
  <c r="F26" i="13"/>
  <c r="G26" i="13"/>
  <c r="I26" i="13"/>
  <c r="J26" i="13"/>
  <c r="L26" i="13"/>
  <c r="F27" i="13"/>
  <c r="G27" i="13"/>
  <c r="I27" i="13"/>
  <c r="J27" i="13"/>
  <c r="L27" i="13"/>
  <c r="F28" i="13"/>
  <c r="G28" i="13"/>
  <c r="I28" i="13"/>
  <c r="J28" i="13"/>
  <c r="L28" i="13"/>
  <c r="F29" i="13"/>
  <c r="G29" i="13"/>
  <c r="I29" i="13"/>
  <c r="J29" i="13"/>
  <c r="L29" i="13"/>
  <c r="F30" i="13"/>
  <c r="G30" i="13"/>
  <c r="I30" i="13"/>
  <c r="J30" i="13"/>
  <c r="L30" i="13"/>
  <c r="F31" i="13"/>
  <c r="G31" i="13"/>
  <c r="I31" i="13"/>
  <c r="J31" i="13"/>
  <c r="L31" i="13"/>
  <c r="F32" i="13"/>
  <c r="G32" i="13"/>
  <c r="I32" i="13"/>
  <c r="J32" i="13"/>
  <c r="L32" i="13"/>
  <c r="F33" i="13"/>
  <c r="G33" i="13"/>
  <c r="I33" i="13"/>
  <c r="J33" i="13"/>
  <c r="L33" i="13"/>
  <c r="F34" i="13"/>
  <c r="G34" i="13"/>
  <c r="I34" i="13"/>
  <c r="J34" i="13"/>
  <c r="L34" i="13"/>
  <c r="F35" i="13"/>
  <c r="G35" i="13"/>
  <c r="I35" i="13"/>
  <c r="J35" i="13"/>
  <c r="L35" i="13"/>
  <c r="F36" i="13"/>
  <c r="G36" i="13"/>
  <c r="I36" i="13"/>
  <c r="J36" i="13"/>
  <c r="L36" i="13"/>
  <c r="F37" i="13"/>
  <c r="G37" i="13"/>
  <c r="I37" i="13"/>
  <c r="J37" i="13"/>
  <c r="L37" i="13"/>
  <c r="F38" i="13"/>
  <c r="G38" i="13"/>
  <c r="I38" i="13"/>
  <c r="J38" i="13"/>
  <c r="L38" i="13"/>
  <c r="F39" i="13"/>
  <c r="G39" i="13"/>
  <c r="I39" i="13"/>
  <c r="J39" i="13"/>
  <c r="L39" i="13"/>
  <c r="F40" i="13"/>
  <c r="G40" i="13"/>
  <c r="I40" i="13"/>
  <c r="J40" i="13"/>
  <c r="L40" i="13"/>
  <c r="F41" i="13"/>
  <c r="G41" i="13"/>
  <c r="I41" i="13"/>
  <c r="J41" i="13"/>
  <c r="L41" i="13"/>
  <c r="F42" i="13"/>
  <c r="G42" i="13"/>
  <c r="I42" i="13"/>
  <c r="J42" i="13"/>
  <c r="L42" i="13"/>
  <c r="F43" i="13"/>
  <c r="G43" i="13"/>
  <c r="I43" i="13"/>
  <c r="J43" i="13"/>
  <c r="L43" i="13"/>
  <c r="F44" i="13"/>
  <c r="G44" i="13"/>
  <c r="I44" i="13"/>
  <c r="J44" i="13"/>
  <c r="L44" i="13"/>
  <c r="F45" i="13"/>
  <c r="G45" i="13"/>
  <c r="I45" i="13"/>
  <c r="J45" i="13"/>
  <c r="L45" i="13"/>
  <c r="F46" i="13"/>
  <c r="G46" i="13"/>
  <c r="I46" i="13"/>
  <c r="J46" i="13"/>
  <c r="L46" i="13"/>
  <c r="F47" i="13"/>
  <c r="G47" i="13"/>
  <c r="I47" i="13"/>
  <c r="J47" i="13"/>
  <c r="L47" i="13"/>
  <c r="F48" i="13"/>
  <c r="G48" i="13"/>
  <c r="I48" i="13"/>
  <c r="J48" i="13"/>
  <c r="L48" i="13"/>
  <c r="F49" i="13"/>
  <c r="G49" i="13"/>
  <c r="I49" i="13"/>
  <c r="J49" i="13"/>
  <c r="L49" i="13"/>
  <c r="F50" i="13"/>
  <c r="G50" i="13"/>
  <c r="I50" i="13"/>
  <c r="J50" i="13"/>
  <c r="L50" i="13"/>
  <c r="F51" i="13"/>
  <c r="G51" i="13"/>
  <c r="I51" i="13"/>
  <c r="J51" i="13"/>
  <c r="L51" i="13"/>
  <c r="F52" i="13"/>
  <c r="G52" i="13"/>
  <c r="I52" i="13"/>
  <c r="J52" i="13"/>
  <c r="L52" i="13"/>
  <c r="F53" i="13"/>
  <c r="G53" i="13"/>
  <c r="I53" i="13"/>
  <c r="J53" i="13"/>
  <c r="L53" i="13"/>
  <c r="F54" i="13"/>
  <c r="G54" i="13"/>
  <c r="I54" i="13"/>
  <c r="J54" i="13"/>
  <c r="L54" i="13"/>
  <c r="F55" i="13"/>
  <c r="G55" i="13"/>
  <c r="I55" i="13"/>
  <c r="J55" i="13"/>
  <c r="L55" i="13"/>
  <c r="F56" i="13"/>
  <c r="G56" i="13"/>
  <c r="I56" i="13"/>
  <c r="J56" i="13"/>
  <c r="L56" i="13"/>
  <c r="F57" i="13"/>
  <c r="G57" i="13"/>
  <c r="I57" i="13"/>
  <c r="J57" i="13"/>
  <c r="L57" i="13"/>
  <c r="F58" i="13"/>
  <c r="G58" i="13"/>
  <c r="I58" i="13"/>
  <c r="J58" i="13"/>
  <c r="L58" i="13"/>
  <c r="F59" i="13"/>
  <c r="G59" i="13"/>
  <c r="I59" i="13"/>
  <c r="J59" i="13"/>
  <c r="L59" i="13"/>
  <c r="F60" i="13"/>
  <c r="G60" i="13"/>
  <c r="I60" i="13"/>
  <c r="J60" i="13"/>
  <c r="L60" i="13"/>
  <c r="F61" i="13"/>
  <c r="G61" i="13"/>
  <c r="I61" i="13"/>
  <c r="J61" i="13"/>
  <c r="L61" i="13"/>
  <c r="F62" i="13"/>
  <c r="G62" i="13"/>
  <c r="I62" i="13"/>
  <c r="J62" i="13"/>
  <c r="L62" i="13"/>
  <c r="F63" i="13"/>
  <c r="G63" i="13"/>
  <c r="I63" i="13"/>
  <c r="J63" i="13"/>
  <c r="L63" i="13"/>
  <c r="F64" i="13"/>
  <c r="G64" i="13"/>
  <c r="I64" i="13"/>
  <c r="J64" i="13"/>
  <c r="L64" i="13"/>
  <c r="F65" i="13"/>
  <c r="G65" i="13"/>
  <c r="I65" i="13"/>
  <c r="J65" i="13"/>
  <c r="L65" i="13"/>
  <c r="F66" i="13"/>
  <c r="G66" i="13"/>
  <c r="I66" i="13"/>
  <c r="J66" i="13"/>
  <c r="L66" i="13"/>
  <c r="F67" i="13"/>
  <c r="G67" i="13"/>
  <c r="I67" i="13"/>
  <c r="J67" i="13"/>
  <c r="L67" i="13"/>
  <c r="F68" i="13"/>
  <c r="G68" i="13"/>
  <c r="I68" i="13"/>
  <c r="J68" i="13"/>
  <c r="L68" i="13"/>
  <c r="F69" i="13"/>
  <c r="G69" i="13"/>
  <c r="I69" i="13"/>
  <c r="J69" i="13"/>
  <c r="L69" i="13"/>
  <c r="F70" i="13"/>
  <c r="G70" i="13"/>
  <c r="I70" i="13"/>
  <c r="J70" i="13"/>
  <c r="L70" i="13"/>
  <c r="F71" i="13"/>
  <c r="G71" i="13"/>
  <c r="I71" i="13"/>
  <c r="J71" i="13"/>
  <c r="L71" i="13"/>
  <c r="F72" i="13"/>
  <c r="G72" i="13"/>
  <c r="I72" i="13"/>
  <c r="J72" i="13"/>
  <c r="L72" i="13"/>
  <c r="F73" i="13"/>
  <c r="G73" i="13"/>
  <c r="I73" i="13"/>
  <c r="J73" i="13"/>
  <c r="L73" i="13"/>
  <c r="F74" i="13"/>
  <c r="G74" i="13"/>
  <c r="I74" i="13"/>
  <c r="J74" i="13"/>
  <c r="L74" i="13"/>
  <c r="F75" i="13"/>
  <c r="G75" i="13"/>
  <c r="I75" i="13"/>
  <c r="J75" i="13"/>
  <c r="L75" i="13"/>
  <c r="F76" i="13"/>
  <c r="G76" i="13"/>
  <c r="I76" i="13"/>
  <c r="J76" i="13"/>
  <c r="L76" i="13"/>
  <c r="F77" i="13"/>
  <c r="G77" i="13"/>
  <c r="I77" i="13"/>
  <c r="J77" i="13"/>
  <c r="L77" i="13"/>
  <c r="F78" i="13"/>
  <c r="G78" i="13"/>
  <c r="J78" i="13"/>
  <c r="L78" i="13"/>
  <c r="F79" i="13"/>
  <c r="G79" i="13"/>
  <c r="I79" i="13"/>
  <c r="J79" i="13"/>
  <c r="L79" i="13"/>
  <c r="F80" i="13"/>
  <c r="G80" i="13"/>
  <c r="I80" i="13"/>
  <c r="J80" i="13"/>
  <c r="L80" i="13"/>
  <c r="F81" i="13"/>
  <c r="G81" i="13"/>
  <c r="I81" i="13"/>
  <c r="J81" i="13"/>
  <c r="L81" i="13"/>
  <c r="F82" i="13"/>
  <c r="G82" i="13"/>
  <c r="I82" i="13"/>
  <c r="J82" i="13"/>
  <c r="L82" i="13"/>
  <c r="F83" i="13"/>
  <c r="G83" i="13"/>
  <c r="I83" i="13"/>
  <c r="J83" i="13"/>
  <c r="L83" i="13"/>
  <c r="F84" i="13"/>
  <c r="G84" i="13"/>
  <c r="I84" i="13"/>
  <c r="J84" i="13"/>
  <c r="L84" i="13"/>
  <c r="F85" i="13"/>
  <c r="G85" i="13"/>
  <c r="I85" i="13"/>
  <c r="J85" i="13"/>
  <c r="L85" i="13"/>
  <c r="F86" i="13"/>
  <c r="G86" i="13"/>
  <c r="I86" i="13"/>
  <c r="J86" i="13"/>
  <c r="L86" i="13"/>
  <c r="F87" i="13"/>
  <c r="G87" i="13"/>
  <c r="I87" i="13"/>
  <c r="J87" i="13"/>
  <c r="L87" i="13"/>
  <c r="F88" i="13"/>
  <c r="G88" i="13"/>
  <c r="I88" i="13"/>
  <c r="J88" i="13"/>
  <c r="L88" i="13"/>
  <c r="F89" i="13"/>
  <c r="G89" i="13"/>
  <c r="I89" i="13"/>
  <c r="J89" i="13"/>
  <c r="L89" i="13"/>
  <c r="F90" i="13"/>
  <c r="G90" i="13"/>
  <c r="I90" i="13"/>
  <c r="J90" i="13"/>
  <c r="L90" i="13"/>
  <c r="F91" i="13"/>
  <c r="G91" i="13"/>
  <c r="I91" i="13"/>
  <c r="J91" i="13"/>
  <c r="L91" i="13"/>
  <c r="F92" i="13"/>
  <c r="G92" i="13"/>
  <c r="I92" i="13"/>
  <c r="J92" i="13"/>
  <c r="L92" i="13"/>
  <c r="F93" i="13"/>
  <c r="G93" i="13"/>
  <c r="I93" i="13"/>
  <c r="J93" i="13"/>
  <c r="L93" i="13"/>
  <c r="F94" i="13"/>
  <c r="G94" i="13"/>
  <c r="I94" i="13"/>
  <c r="J94" i="13"/>
  <c r="L94" i="13"/>
  <c r="F95" i="13"/>
  <c r="G95" i="13"/>
  <c r="I95" i="13"/>
  <c r="J95" i="13"/>
  <c r="L95" i="13"/>
  <c r="F96" i="13"/>
  <c r="G96" i="13"/>
  <c r="I96" i="13"/>
  <c r="J96" i="13"/>
  <c r="L96" i="13"/>
  <c r="F97" i="13"/>
  <c r="G97" i="13"/>
  <c r="I97" i="13"/>
  <c r="J97" i="13"/>
  <c r="L97" i="13"/>
  <c r="F98" i="13"/>
  <c r="G98" i="13"/>
  <c r="I98" i="13"/>
  <c r="J98" i="13"/>
  <c r="L98" i="13"/>
  <c r="F99" i="13"/>
  <c r="G99" i="13"/>
  <c r="I99" i="13"/>
  <c r="J99" i="13"/>
  <c r="L99" i="13"/>
  <c r="F100" i="13"/>
  <c r="G100" i="13"/>
  <c r="I100" i="13"/>
  <c r="J100" i="13"/>
  <c r="L100" i="13"/>
  <c r="F101" i="13"/>
  <c r="G101" i="13"/>
  <c r="I101" i="13"/>
  <c r="J101" i="13"/>
  <c r="L101" i="13"/>
  <c r="F102" i="13"/>
  <c r="G102" i="13"/>
  <c r="I102" i="13"/>
  <c r="J102" i="13"/>
  <c r="L102" i="13"/>
  <c r="F103" i="13"/>
  <c r="G103" i="13"/>
  <c r="I103" i="13"/>
  <c r="J103" i="13"/>
  <c r="L103" i="13"/>
  <c r="F104" i="13"/>
  <c r="G104" i="13"/>
  <c r="I104" i="13"/>
  <c r="J104" i="13"/>
  <c r="L104" i="13"/>
  <c r="F105" i="13"/>
  <c r="G105" i="13"/>
  <c r="I105" i="13"/>
  <c r="J105" i="13"/>
  <c r="L105" i="13"/>
  <c r="F106" i="13"/>
  <c r="G106" i="13"/>
  <c r="I106" i="13"/>
  <c r="J106" i="13"/>
  <c r="L106" i="13"/>
  <c r="F107" i="13"/>
  <c r="G107" i="13"/>
  <c r="I107" i="13"/>
  <c r="J107" i="13"/>
  <c r="L107" i="13"/>
  <c r="F108" i="13"/>
  <c r="G108" i="13"/>
  <c r="I108" i="13"/>
  <c r="J108" i="13"/>
  <c r="L108" i="13"/>
  <c r="F109" i="13"/>
  <c r="G109" i="13"/>
  <c r="I109" i="13"/>
  <c r="J109" i="13"/>
  <c r="L109" i="13"/>
  <c r="F110" i="13"/>
  <c r="G110" i="13"/>
  <c r="I110" i="13"/>
  <c r="J110" i="13"/>
  <c r="L110" i="13"/>
  <c r="F111" i="13"/>
  <c r="G111" i="13"/>
  <c r="I111" i="13"/>
  <c r="J111" i="13"/>
  <c r="L111" i="13"/>
  <c r="F112" i="13"/>
  <c r="G112" i="13"/>
  <c r="I112" i="13"/>
  <c r="J112" i="13"/>
  <c r="L112" i="13"/>
  <c r="F113" i="13"/>
  <c r="G113" i="13"/>
  <c r="I113" i="13"/>
  <c r="J113" i="13"/>
  <c r="L113" i="13"/>
  <c r="F114" i="13"/>
  <c r="G114" i="13"/>
  <c r="I114" i="13"/>
  <c r="J114" i="13"/>
  <c r="L114" i="13"/>
  <c r="F115" i="13"/>
  <c r="G115" i="13"/>
  <c r="I115" i="13"/>
  <c r="J115" i="13"/>
  <c r="L115" i="13"/>
  <c r="F116" i="13"/>
  <c r="G116" i="13"/>
  <c r="I116" i="13"/>
  <c r="J116" i="13"/>
  <c r="L116" i="13"/>
  <c r="F117" i="13"/>
  <c r="G117" i="13"/>
  <c r="I117" i="13"/>
  <c r="J117" i="13"/>
  <c r="L117" i="13"/>
  <c r="F118" i="13"/>
  <c r="G118" i="13"/>
  <c r="I118" i="13"/>
  <c r="J118" i="13"/>
  <c r="L118" i="13"/>
  <c r="F119" i="13"/>
  <c r="G119" i="13"/>
  <c r="I119" i="13"/>
  <c r="J119" i="13"/>
  <c r="L119" i="13"/>
  <c r="F120" i="13"/>
  <c r="G120" i="13"/>
  <c r="I120" i="13"/>
  <c r="J120" i="13"/>
  <c r="L120" i="13"/>
  <c r="F121" i="13"/>
  <c r="G121" i="13"/>
  <c r="I121" i="13"/>
  <c r="J121" i="13"/>
  <c r="L121" i="13"/>
  <c r="F122" i="13"/>
  <c r="G122" i="13"/>
  <c r="I122" i="13"/>
  <c r="J122" i="13"/>
  <c r="L122" i="13"/>
  <c r="F123" i="13"/>
  <c r="G123" i="13"/>
  <c r="I123" i="13"/>
  <c r="J123" i="13"/>
  <c r="L123" i="13"/>
  <c r="F124" i="13"/>
  <c r="G124" i="13"/>
  <c r="I124" i="13"/>
  <c r="J124" i="13"/>
  <c r="L124" i="13"/>
  <c r="F125" i="13"/>
  <c r="G125" i="13"/>
  <c r="I125" i="13"/>
  <c r="J125" i="13"/>
  <c r="L125" i="13"/>
  <c r="F126" i="13"/>
  <c r="G126" i="13"/>
  <c r="I126" i="13"/>
  <c r="J126" i="13"/>
  <c r="L126" i="13"/>
  <c r="F127" i="13"/>
  <c r="G127" i="13"/>
  <c r="I127" i="13"/>
  <c r="J127" i="13"/>
  <c r="L127" i="13"/>
  <c r="F128" i="13"/>
  <c r="G128" i="13"/>
  <c r="I128" i="13"/>
  <c r="J128" i="13"/>
  <c r="L128" i="13"/>
  <c r="F129" i="13"/>
  <c r="G129" i="13"/>
  <c r="I129" i="13"/>
  <c r="J129" i="13"/>
  <c r="L129" i="13"/>
  <c r="F130" i="13"/>
  <c r="G130" i="13"/>
  <c r="I130" i="13"/>
  <c r="J130" i="13"/>
  <c r="L130" i="13"/>
  <c r="F2" i="12"/>
  <c r="G2" i="12"/>
  <c r="I2" i="12"/>
  <c r="J2" i="12"/>
  <c r="L2" i="12"/>
  <c r="F3" i="12"/>
  <c r="G3" i="12"/>
  <c r="I3" i="12"/>
  <c r="J3" i="12"/>
  <c r="L3" i="12"/>
  <c r="F4" i="12"/>
  <c r="G4" i="12"/>
  <c r="I4" i="12"/>
  <c r="J4" i="12"/>
  <c r="L4" i="12"/>
  <c r="F5" i="12"/>
  <c r="G5" i="12"/>
  <c r="I5" i="12"/>
  <c r="J5" i="12"/>
  <c r="L5" i="12"/>
  <c r="F6" i="12"/>
  <c r="G6" i="12"/>
  <c r="I6" i="12"/>
  <c r="J6" i="12"/>
  <c r="L6" i="12"/>
  <c r="F7" i="12"/>
  <c r="G7" i="12"/>
  <c r="I7" i="12"/>
  <c r="J7" i="12"/>
  <c r="L7" i="12"/>
  <c r="F8" i="12"/>
  <c r="G8" i="12"/>
  <c r="I8" i="12"/>
  <c r="J8" i="12"/>
  <c r="L8" i="12"/>
  <c r="F9" i="12"/>
  <c r="G9" i="12"/>
  <c r="I9" i="12"/>
  <c r="J9" i="12"/>
  <c r="L9" i="12"/>
  <c r="F10" i="12"/>
  <c r="G10" i="12"/>
  <c r="I10" i="12"/>
  <c r="J10" i="12"/>
  <c r="L10" i="12"/>
  <c r="F11" i="12"/>
  <c r="G11" i="12"/>
  <c r="I11" i="12"/>
  <c r="J11" i="12"/>
  <c r="L11" i="12"/>
  <c r="F12" i="12"/>
  <c r="G12" i="12"/>
  <c r="I12" i="12"/>
  <c r="J12" i="12"/>
  <c r="L12" i="12"/>
  <c r="F13" i="12"/>
  <c r="G13" i="12"/>
  <c r="I13" i="12"/>
  <c r="J13" i="12"/>
  <c r="L13" i="12"/>
  <c r="F14" i="12"/>
  <c r="G14" i="12"/>
  <c r="I14" i="12"/>
  <c r="J14" i="12"/>
  <c r="L14" i="12"/>
  <c r="F15" i="12"/>
  <c r="G15" i="12"/>
  <c r="I15" i="12"/>
  <c r="J15" i="12"/>
  <c r="L15" i="12"/>
  <c r="F16" i="12"/>
  <c r="G16" i="12"/>
  <c r="I16" i="12"/>
  <c r="J16" i="12"/>
  <c r="L16" i="12"/>
  <c r="F17" i="12"/>
  <c r="G17" i="12"/>
  <c r="I17" i="12"/>
  <c r="J17" i="12"/>
  <c r="L17" i="12"/>
  <c r="F18" i="12"/>
  <c r="G18" i="12"/>
  <c r="I18" i="12"/>
  <c r="J18" i="12"/>
  <c r="L18" i="12"/>
  <c r="F19" i="12"/>
  <c r="G19" i="12"/>
  <c r="I19" i="12"/>
  <c r="J19" i="12"/>
  <c r="L19" i="12"/>
  <c r="F20" i="12"/>
  <c r="G20" i="12"/>
  <c r="I20" i="12"/>
  <c r="J20" i="12"/>
  <c r="L20" i="12"/>
  <c r="F21" i="12"/>
  <c r="G21" i="12"/>
  <c r="I21" i="12"/>
  <c r="J21" i="12"/>
  <c r="L21" i="12"/>
  <c r="F22" i="12"/>
  <c r="G22" i="12"/>
  <c r="I22" i="12"/>
  <c r="J22" i="12"/>
  <c r="L22" i="12"/>
  <c r="F23" i="12"/>
  <c r="G23" i="12"/>
  <c r="I23" i="12"/>
  <c r="J23" i="12"/>
  <c r="L23" i="12"/>
  <c r="F24" i="12"/>
  <c r="G24" i="12"/>
  <c r="I24" i="12"/>
  <c r="J24" i="12"/>
  <c r="L24" i="12"/>
  <c r="F25" i="12"/>
  <c r="G25" i="12"/>
  <c r="I25" i="12"/>
  <c r="J25" i="12"/>
  <c r="L25" i="12"/>
  <c r="F26" i="12"/>
  <c r="G26" i="12"/>
  <c r="I26" i="12"/>
  <c r="J26" i="12"/>
  <c r="L26" i="12"/>
  <c r="F27" i="12"/>
  <c r="G27" i="12"/>
  <c r="I27" i="12"/>
  <c r="J27" i="12"/>
  <c r="L27" i="12"/>
  <c r="F28" i="12"/>
  <c r="G28" i="12"/>
  <c r="I28" i="12"/>
  <c r="J28" i="12"/>
  <c r="L28" i="12"/>
  <c r="F29" i="12"/>
  <c r="G29" i="12"/>
  <c r="I29" i="12"/>
  <c r="J29" i="12"/>
  <c r="L29" i="12"/>
  <c r="F30" i="12"/>
  <c r="G30" i="12"/>
  <c r="I30" i="12"/>
  <c r="J30" i="12"/>
  <c r="L30" i="12"/>
  <c r="F31" i="12"/>
  <c r="G31" i="12"/>
  <c r="I31" i="12"/>
  <c r="J31" i="12"/>
  <c r="L31" i="12"/>
  <c r="F32" i="12"/>
  <c r="G32" i="12"/>
  <c r="I32" i="12"/>
  <c r="J32" i="12"/>
  <c r="L32" i="12"/>
  <c r="F33" i="12"/>
  <c r="G33" i="12"/>
  <c r="I33" i="12"/>
  <c r="J33" i="12"/>
  <c r="L33" i="12"/>
  <c r="F34" i="12"/>
  <c r="G34" i="12"/>
  <c r="I34" i="12"/>
  <c r="J34" i="12"/>
  <c r="L34" i="12"/>
  <c r="F35" i="12"/>
  <c r="G35" i="12"/>
  <c r="I35" i="12"/>
  <c r="J35" i="12"/>
  <c r="L35" i="12"/>
  <c r="F36" i="12"/>
  <c r="G36" i="12"/>
  <c r="I36" i="12"/>
  <c r="J36" i="12"/>
  <c r="L36" i="12"/>
  <c r="F37" i="12"/>
  <c r="G37" i="12"/>
  <c r="I37" i="12"/>
  <c r="J37" i="12"/>
  <c r="L37" i="12"/>
  <c r="F38" i="12"/>
  <c r="G38" i="12"/>
  <c r="I38" i="12"/>
  <c r="J38" i="12"/>
  <c r="L38" i="12"/>
  <c r="F39" i="12"/>
  <c r="G39" i="12"/>
  <c r="I39" i="12"/>
  <c r="J39" i="12"/>
  <c r="L39" i="12"/>
  <c r="F40" i="12"/>
  <c r="G40" i="12"/>
  <c r="I40" i="12"/>
  <c r="J40" i="12"/>
  <c r="L40" i="12"/>
  <c r="F41" i="12"/>
  <c r="G41" i="12"/>
  <c r="I41" i="12"/>
  <c r="J41" i="12"/>
  <c r="L41" i="12"/>
  <c r="F42" i="12"/>
  <c r="G42" i="12"/>
  <c r="I42" i="12"/>
  <c r="J42" i="12"/>
  <c r="L42" i="12"/>
  <c r="F43" i="12"/>
  <c r="G43" i="12"/>
  <c r="I43" i="12"/>
  <c r="J43" i="12"/>
  <c r="L43" i="12"/>
  <c r="F44" i="12"/>
  <c r="G44" i="12"/>
  <c r="I44" i="12"/>
  <c r="J44" i="12"/>
  <c r="L44" i="12"/>
  <c r="F45" i="12"/>
  <c r="G45" i="12"/>
  <c r="I45" i="12"/>
  <c r="J45" i="12"/>
  <c r="L45" i="12"/>
  <c r="F46" i="12"/>
  <c r="G46" i="12"/>
  <c r="I46" i="12"/>
  <c r="J46" i="12"/>
  <c r="L46" i="12"/>
  <c r="F47" i="12"/>
  <c r="G47" i="12"/>
  <c r="I47" i="12"/>
  <c r="J47" i="12"/>
  <c r="L47" i="12"/>
  <c r="F48" i="12"/>
  <c r="G48" i="12"/>
  <c r="I48" i="12"/>
  <c r="J48" i="12"/>
  <c r="L48" i="12"/>
  <c r="F49" i="12"/>
  <c r="G49" i="12"/>
  <c r="I49" i="12"/>
  <c r="J49" i="12"/>
  <c r="L49" i="12"/>
  <c r="F50" i="12"/>
  <c r="G50" i="12"/>
  <c r="I50" i="12"/>
  <c r="J50" i="12"/>
  <c r="L50" i="12"/>
  <c r="F51" i="12"/>
  <c r="G51" i="12"/>
  <c r="I51" i="12"/>
  <c r="J51" i="12"/>
  <c r="L51" i="12"/>
  <c r="F52" i="12"/>
  <c r="G52" i="12"/>
  <c r="I52" i="12"/>
  <c r="J52" i="12"/>
  <c r="L52" i="12"/>
  <c r="F53" i="12"/>
  <c r="G53" i="12"/>
  <c r="I53" i="12"/>
  <c r="J53" i="12"/>
  <c r="L53" i="12"/>
  <c r="F54" i="12"/>
  <c r="G54" i="12"/>
  <c r="I54" i="12"/>
  <c r="J54" i="12"/>
  <c r="L54" i="12"/>
  <c r="F55" i="12"/>
  <c r="G55" i="12"/>
  <c r="I55" i="12"/>
  <c r="J55" i="12"/>
  <c r="L55" i="12"/>
  <c r="F56" i="12"/>
  <c r="G56" i="12"/>
  <c r="I56" i="12"/>
  <c r="J56" i="12"/>
  <c r="L56" i="12"/>
  <c r="F57" i="12"/>
  <c r="G57" i="12"/>
  <c r="I57" i="12"/>
  <c r="J57" i="12"/>
  <c r="L57" i="12"/>
  <c r="F60" i="12"/>
  <c r="G60" i="12"/>
  <c r="I60" i="12"/>
  <c r="J60" i="12"/>
  <c r="L60" i="12"/>
  <c r="F61" i="12"/>
  <c r="G61" i="12"/>
  <c r="I61" i="12"/>
  <c r="J61" i="12"/>
  <c r="L61" i="12"/>
  <c r="F62" i="12"/>
  <c r="G62" i="12"/>
  <c r="I62" i="12"/>
  <c r="J62" i="12"/>
  <c r="L62" i="12"/>
  <c r="F63" i="12"/>
  <c r="G63" i="12"/>
  <c r="I63" i="12"/>
  <c r="J63" i="12"/>
  <c r="L63" i="12"/>
  <c r="F64" i="12"/>
  <c r="G64" i="12"/>
  <c r="I64" i="12"/>
  <c r="J64" i="12"/>
  <c r="L64" i="12"/>
  <c r="F65" i="12"/>
  <c r="G65" i="12"/>
  <c r="I65" i="12"/>
  <c r="J65" i="12"/>
  <c r="L65" i="12"/>
  <c r="F66" i="12"/>
  <c r="G66" i="12"/>
  <c r="J66" i="12"/>
  <c r="L66" i="12"/>
  <c r="F67" i="12"/>
  <c r="G67" i="12"/>
  <c r="I67" i="12"/>
  <c r="J67" i="12"/>
  <c r="L67" i="12"/>
  <c r="F68" i="12"/>
  <c r="G68" i="12"/>
  <c r="I68" i="12"/>
  <c r="J68" i="12"/>
  <c r="L68" i="12"/>
  <c r="F69" i="12"/>
  <c r="G69" i="12"/>
  <c r="I69" i="12"/>
  <c r="J69" i="12"/>
  <c r="L69" i="12"/>
  <c r="F70" i="12"/>
  <c r="G70" i="12"/>
  <c r="I70" i="12"/>
  <c r="J70" i="12"/>
  <c r="L70" i="12"/>
  <c r="F71" i="12"/>
  <c r="G71" i="12"/>
  <c r="I71" i="12"/>
  <c r="J71" i="12"/>
  <c r="L71" i="12"/>
  <c r="F72" i="12"/>
  <c r="G72" i="12"/>
  <c r="I72" i="12"/>
  <c r="J72" i="12"/>
  <c r="L72" i="12"/>
  <c r="F73" i="12"/>
  <c r="G73" i="12"/>
  <c r="I73" i="12"/>
  <c r="J73" i="12"/>
  <c r="L73" i="12"/>
  <c r="F74" i="12"/>
  <c r="G74" i="12"/>
  <c r="I74" i="12"/>
  <c r="J74" i="12"/>
  <c r="L74" i="12"/>
  <c r="F75" i="12"/>
  <c r="G75" i="12"/>
  <c r="I75" i="12"/>
  <c r="J75" i="12"/>
  <c r="L75" i="12"/>
  <c r="F76" i="12"/>
  <c r="G76" i="12"/>
  <c r="I76" i="12"/>
  <c r="J76" i="12"/>
  <c r="L76" i="12"/>
  <c r="F77" i="12"/>
  <c r="G77" i="12"/>
  <c r="I77" i="12"/>
  <c r="J77" i="12"/>
  <c r="L77" i="12"/>
  <c r="F78" i="12"/>
  <c r="G78" i="12"/>
  <c r="I78" i="12"/>
  <c r="J78" i="12"/>
  <c r="L78" i="12"/>
  <c r="F79" i="12"/>
  <c r="G79" i="12"/>
  <c r="I79" i="12"/>
  <c r="J79" i="12"/>
  <c r="L79" i="12"/>
  <c r="F80" i="12"/>
  <c r="G80" i="12"/>
  <c r="I80" i="12"/>
  <c r="J80" i="12"/>
  <c r="L80" i="12"/>
  <c r="F81" i="12"/>
  <c r="G81" i="12"/>
  <c r="I81" i="12"/>
  <c r="J81" i="12"/>
  <c r="L81" i="12"/>
  <c r="F82" i="12"/>
  <c r="G82" i="12"/>
  <c r="I82" i="12"/>
  <c r="J82" i="12"/>
  <c r="L82" i="12"/>
  <c r="F83" i="12"/>
  <c r="G83" i="12"/>
  <c r="I83" i="12"/>
  <c r="J83" i="12"/>
  <c r="L83" i="12"/>
  <c r="F84" i="12"/>
  <c r="G84" i="12"/>
  <c r="I84" i="12"/>
  <c r="J84" i="12"/>
  <c r="L84" i="12"/>
  <c r="F85" i="12"/>
  <c r="G85" i="12"/>
  <c r="I85" i="12"/>
  <c r="J85" i="12"/>
  <c r="L85" i="12"/>
  <c r="F86" i="12"/>
  <c r="G86" i="12"/>
  <c r="I86" i="12"/>
  <c r="J86" i="12"/>
  <c r="L86" i="12"/>
  <c r="F87" i="12"/>
  <c r="G87" i="12"/>
  <c r="I87" i="12"/>
  <c r="J87" i="12"/>
  <c r="L87" i="12"/>
  <c r="F88" i="12"/>
  <c r="G88" i="12"/>
  <c r="I88" i="12"/>
  <c r="J88" i="12"/>
  <c r="L88" i="12"/>
  <c r="F89" i="12"/>
  <c r="G89" i="12"/>
  <c r="I89" i="12"/>
  <c r="J89" i="12"/>
  <c r="L89" i="12"/>
  <c r="F90" i="12"/>
  <c r="G90" i="12"/>
  <c r="I90" i="12"/>
  <c r="J90" i="12"/>
  <c r="L90" i="12"/>
  <c r="F91" i="12"/>
  <c r="G91" i="12"/>
  <c r="I91" i="12"/>
  <c r="J91" i="12"/>
  <c r="L91" i="12"/>
  <c r="F92" i="12"/>
  <c r="G92" i="12"/>
  <c r="I92" i="12"/>
  <c r="J92" i="12"/>
  <c r="L92" i="12"/>
  <c r="F93" i="12"/>
  <c r="G93" i="12"/>
  <c r="I93" i="12"/>
  <c r="J93" i="12"/>
  <c r="L93" i="12"/>
  <c r="F94" i="12"/>
  <c r="G94" i="12"/>
  <c r="I94" i="12"/>
  <c r="J94" i="12"/>
  <c r="L94" i="12"/>
  <c r="F95" i="12"/>
  <c r="G95" i="12"/>
  <c r="I95" i="12"/>
  <c r="J95" i="12"/>
  <c r="L95" i="12"/>
  <c r="F96" i="12"/>
  <c r="G96" i="12"/>
  <c r="I96" i="12"/>
  <c r="J96" i="12"/>
  <c r="L96" i="12"/>
  <c r="F97" i="12"/>
  <c r="G97" i="12"/>
  <c r="I97" i="12"/>
  <c r="J97" i="12"/>
  <c r="L97" i="12"/>
  <c r="F98" i="12"/>
  <c r="G98" i="12"/>
  <c r="I98" i="12"/>
  <c r="J98" i="12"/>
  <c r="L98" i="12"/>
  <c r="F99" i="12"/>
  <c r="G99" i="12"/>
  <c r="I99" i="12"/>
  <c r="J99" i="12"/>
  <c r="L99" i="12"/>
  <c r="F100" i="12"/>
  <c r="G100" i="12"/>
  <c r="I100" i="12"/>
  <c r="J100" i="12"/>
  <c r="L100" i="12"/>
  <c r="F101" i="12"/>
  <c r="G101" i="12"/>
  <c r="I101" i="12"/>
  <c r="J101" i="12"/>
  <c r="L101" i="12"/>
  <c r="F102" i="12"/>
  <c r="G102" i="12"/>
  <c r="I102" i="12"/>
  <c r="J102" i="12"/>
  <c r="L102" i="12"/>
  <c r="F103" i="12"/>
  <c r="G103" i="12"/>
  <c r="I103" i="12"/>
  <c r="J103" i="12"/>
  <c r="L103" i="12"/>
  <c r="F104" i="12"/>
  <c r="G104" i="12"/>
  <c r="I104" i="12"/>
  <c r="J104" i="12"/>
  <c r="L104" i="12"/>
  <c r="F105" i="12"/>
  <c r="G105" i="12"/>
  <c r="I105" i="12"/>
  <c r="J105" i="12"/>
  <c r="L105" i="12"/>
  <c r="F106" i="12"/>
  <c r="G106" i="12"/>
  <c r="I106" i="12"/>
  <c r="J106" i="12"/>
  <c r="L106" i="12"/>
  <c r="F107" i="12"/>
  <c r="G107" i="12"/>
  <c r="I107" i="12"/>
  <c r="J107" i="12"/>
  <c r="L107" i="12"/>
  <c r="F108" i="12"/>
  <c r="G108" i="12"/>
  <c r="I108" i="12"/>
  <c r="J108" i="12"/>
  <c r="L108" i="12"/>
  <c r="F109" i="12"/>
  <c r="G109" i="12"/>
  <c r="I109" i="12"/>
  <c r="J109" i="12"/>
  <c r="L109" i="12"/>
  <c r="F2" i="4"/>
  <c r="G2" i="4"/>
  <c r="I2" i="4"/>
  <c r="J2" i="4"/>
  <c r="L2" i="4"/>
  <c r="F3" i="4"/>
  <c r="G3" i="4"/>
  <c r="I3" i="4"/>
  <c r="J3" i="4"/>
  <c r="L3" i="4"/>
  <c r="F4" i="4"/>
  <c r="G4" i="4"/>
  <c r="I4" i="4"/>
  <c r="J4" i="4"/>
  <c r="L4" i="4"/>
  <c r="F5" i="4"/>
  <c r="G5" i="4"/>
  <c r="I5" i="4"/>
  <c r="J5" i="4"/>
  <c r="L5" i="4"/>
  <c r="F6" i="4"/>
  <c r="G6" i="4"/>
  <c r="I6" i="4"/>
  <c r="J6" i="4"/>
  <c r="L6" i="4"/>
  <c r="F7" i="4"/>
  <c r="G7" i="4"/>
  <c r="I7" i="4"/>
  <c r="J7" i="4"/>
  <c r="L7" i="4"/>
  <c r="F8" i="4"/>
  <c r="G8" i="4"/>
  <c r="I8" i="4"/>
  <c r="J8" i="4"/>
  <c r="L8" i="4"/>
  <c r="F9" i="4"/>
  <c r="G9" i="4"/>
  <c r="I9" i="4"/>
  <c r="J9" i="4"/>
  <c r="L9" i="4"/>
  <c r="F10" i="4"/>
  <c r="G10" i="4"/>
  <c r="I10" i="4"/>
  <c r="J10" i="4"/>
  <c r="L10" i="4"/>
  <c r="F11" i="4"/>
  <c r="G11" i="4"/>
  <c r="I11" i="4"/>
  <c r="J11" i="4"/>
  <c r="L11" i="4"/>
  <c r="F12" i="4"/>
  <c r="G12" i="4"/>
  <c r="I12" i="4"/>
  <c r="J12" i="4"/>
  <c r="L12" i="4"/>
  <c r="F13" i="4"/>
  <c r="G13" i="4"/>
  <c r="I13" i="4"/>
  <c r="J13" i="4"/>
  <c r="L13" i="4"/>
  <c r="F14" i="4"/>
  <c r="G14" i="4"/>
  <c r="I14" i="4"/>
  <c r="J14" i="4"/>
  <c r="L14" i="4"/>
  <c r="F15" i="4"/>
  <c r="G15" i="4"/>
  <c r="I15" i="4"/>
  <c r="J15" i="4"/>
  <c r="L15" i="4"/>
  <c r="F16" i="4"/>
  <c r="G16" i="4"/>
  <c r="I16" i="4"/>
  <c r="J16" i="4"/>
  <c r="L16" i="4"/>
  <c r="F17" i="4"/>
  <c r="G17" i="4"/>
  <c r="I17" i="4"/>
  <c r="J17" i="4"/>
  <c r="L17" i="4"/>
  <c r="F18" i="4"/>
  <c r="G18" i="4"/>
  <c r="I18" i="4"/>
  <c r="J18" i="4"/>
  <c r="L18" i="4"/>
  <c r="F19" i="4"/>
  <c r="G19" i="4"/>
  <c r="I19" i="4"/>
  <c r="J19" i="4"/>
  <c r="L19" i="4"/>
  <c r="F20" i="4"/>
  <c r="G20" i="4"/>
  <c r="I20" i="4"/>
  <c r="J20" i="4"/>
  <c r="L20" i="4"/>
  <c r="F21" i="4"/>
  <c r="G21" i="4"/>
  <c r="I21" i="4"/>
  <c r="J21" i="4"/>
  <c r="L21" i="4"/>
  <c r="F22" i="4"/>
  <c r="G22" i="4"/>
  <c r="I22" i="4"/>
  <c r="J22" i="4"/>
  <c r="L22" i="4"/>
  <c r="F23" i="4"/>
  <c r="G23" i="4"/>
  <c r="I23" i="4"/>
  <c r="J23" i="4"/>
  <c r="L23" i="4"/>
  <c r="F24" i="4"/>
  <c r="G24" i="4"/>
  <c r="I24" i="4"/>
  <c r="J24" i="4"/>
  <c r="L24" i="4"/>
  <c r="F25" i="4"/>
  <c r="G25" i="4"/>
  <c r="I25" i="4"/>
  <c r="J25" i="4"/>
  <c r="L25" i="4"/>
  <c r="F26" i="4"/>
  <c r="G26" i="4"/>
  <c r="I26" i="4"/>
  <c r="J26" i="4"/>
  <c r="L26" i="4"/>
  <c r="F27" i="4"/>
  <c r="G27" i="4"/>
  <c r="I27" i="4"/>
  <c r="J27" i="4"/>
  <c r="L27" i="4"/>
  <c r="F28" i="4"/>
  <c r="G28" i="4"/>
  <c r="I28" i="4"/>
  <c r="J28" i="4"/>
  <c r="L28" i="4"/>
  <c r="F29" i="4"/>
  <c r="G29" i="4"/>
  <c r="I29" i="4"/>
  <c r="J29" i="4"/>
  <c r="L29" i="4"/>
  <c r="F30" i="4"/>
  <c r="G30" i="4"/>
  <c r="I30" i="4"/>
  <c r="J30" i="4"/>
  <c r="L30" i="4"/>
  <c r="F31" i="4"/>
  <c r="G31" i="4"/>
  <c r="I31" i="4"/>
  <c r="J31" i="4"/>
  <c r="L31" i="4"/>
  <c r="F32" i="4"/>
  <c r="G32" i="4"/>
  <c r="I32" i="4"/>
  <c r="J32" i="4"/>
  <c r="L32" i="4"/>
  <c r="F33" i="4"/>
  <c r="G33" i="4"/>
  <c r="I33" i="4"/>
  <c r="J33" i="4"/>
  <c r="L33" i="4"/>
  <c r="F34" i="4"/>
  <c r="G34" i="4"/>
  <c r="I34" i="4"/>
  <c r="J34" i="4"/>
  <c r="L34" i="4"/>
  <c r="F35" i="4"/>
  <c r="G35" i="4"/>
  <c r="I35" i="4"/>
  <c r="J35" i="4"/>
  <c r="L35" i="4"/>
  <c r="F36" i="4"/>
  <c r="G36" i="4"/>
  <c r="I36" i="4"/>
  <c r="J36" i="4"/>
  <c r="L36" i="4"/>
  <c r="F37" i="4"/>
  <c r="G37" i="4"/>
  <c r="I37" i="4"/>
  <c r="J37" i="4"/>
  <c r="L37" i="4"/>
  <c r="F38" i="4"/>
  <c r="G38" i="4"/>
  <c r="I38" i="4"/>
  <c r="J38" i="4"/>
  <c r="L38" i="4"/>
  <c r="F39" i="4"/>
  <c r="G39" i="4"/>
  <c r="I39" i="4"/>
  <c r="J39" i="4"/>
  <c r="L39" i="4"/>
  <c r="F40" i="4"/>
  <c r="G40" i="4"/>
  <c r="I40" i="4"/>
  <c r="J40" i="4"/>
  <c r="L40" i="4"/>
  <c r="F41" i="4"/>
  <c r="G41" i="4"/>
  <c r="I41" i="4"/>
  <c r="J41" i="4"/>
  <c r="L41" i="4"/>
  <c r="F42" i="4"/>
  <c r="G42" i="4"/>
  <c r="I42" i="4"/>
  <c r="J42" i="4"/>
  <c r="L42" i="4"/>
  <c r="F43" i="4"/>
  <c r="G43" i="4"/>
  <c r="I43" i="4"/>
  <c r="J43" i="4"/>
  <c r="L43" i="4"/>
  <c r="F44" i="4"/>
  <c r="G44" i="4"/>
  <c r="I44" i="4"/>
  <c r="J44" i="4"/>
  <c r="L44" i="4"/>
  <c r="F45" i="4"/>
  <c r="G45" i="4"/>
  <c r="I45" i="4"/>
  <c r="J45" i="4"/>
  <c r="L45" i="4"/>
  <c r="F46" i="4"/>
  <c r="G46" i="4"/>
  <c r="I46" i="4"/>
  <c r="J46" i="4"/>
  <c r="L46" i="4"/>
  <c r="F47" i="4"/>
  <c r="G47" i="4"/>
  <c r="I47" i="4"/>
  <c r="J47" i="4"/>
  <c r="L47" i="4"/>
  <c r="F48" i="4"/>
  <c r="G48" i="4"/>
  <c r="I48" i="4"/>
  <c r="J48" i="4"/>
  <c r="L48" i="4"/>
  <c r="F49" i="4"/>
  <c r="G49" i="4"/>
  <c r="I49" i="4"/>
  <c r="J49" i="4"/>
  <c r="L49" i="4"/>
  <c r="F50" i="4"/>
  <c r="G50" i="4"/>
  <c r="I50" i="4"/>
  <c r="J50" i="4"/>
  <c r="L50" i="4"/>
  <c r="F51" i="4"/>
  <c r="G51" i="4"/>
  <c r="I51" i="4"/>
  <c r="J51" i="4"/>
  <c r="L51" i="4"/>
  <c r="F52" i="4"/>
  <c r="G52" i="4"/>
  <c r="I52" i="4"/>
  <c r="J52" i="4"/>
  <c r="L52" i="4"/>
  <c r="F53" i="4"/>
  <c r="G53" i="4"/>
  <c r="I53" i="4"/>
  <c r="J53" i="4"/>
  <c r="L53" i="4"/>
  <c r="F54" i="4"/>
  <c r="G54" i="4"/>
  <c r="I54" i="4"/>
  <c r="J54" i="4"/>
  <c r="L54" i="4"/>
  <c r="F55" i="4"/>
  <c r="G55" i="4"/>
  <c r="I55" i="4"/>
  <c r="J55" i="4"/>
  <c r="L55" i="4"/>
  <c r="F56" i="4"/>
  <c r="G56" i="4"/>
  <c r="I56" i="4"/>
  <c r="J56" i="4"/>
  <c r="L56" i="4"/>
  <c r="F57" i="4"/>
  <c r="G57" i="4"/>
  <c r="I57" i="4"/>
  <c r="J57" i="4"/>
  <c r="L57" i="4"/>
  <c r="F58" i="4"/>
  <c r="G58" i="4"/>
  <c r="I58" i="4"/>
  <c r="J58" i="4"/>
  <c r="L58" i="4"/>
  <c r="F59" i="4"/>
  <c r="G59" i="4"/>
  <c r="I59" i="4"/>
  <c r="J59" i="4"/>
  <c r="L59" i="4"/>
  <c r="F60" i="4"/>
  <c r="G60" i="4"/>
  <c r="I60" i="4"/>
  <c r="J60" i="4"/>
  <c r="L60" i="4"/>
  <c r="F61" i="4"/>
  <c r="G61" i="4"/>
  <c r="I61" i="4"/>
  <c r="J61" i="4"/>
  <c r="L61" i="4"/>
  <c r="F62" i="4"/>
  <c r="G62" i="4"/>
  <c r="I62" i="4"/>
  <c r="J62" i="4"/>
  <c r="L62" i="4"/>
  <c r="F63" i="4"/>
  <c r="G63" i="4"/>
  <c r="I63" i="4"/>
  <c r="J63" i="4"/>
  <c r="L63" i="4"/>
  <c r="F64" i="4"/>
  <c r="G64" i="4"/>
  <c r="I64" i="4"/>
  <c r="J64" i="4"/>
  <c r="L64" i="4"/>
  <c r="F65" i="4"/>
  <c r="G65" i="4"/>
  <c r="I65" i="4"/>
  <c r="J65" i="4"/>
  <c r="L65" i="4"/>
  <c r="F66" i="4"/>
  <c r="G66" i="4"/>
  <c r="I66" i="4"/>
  <c r="J66" i="4"/>
  <c r="L66" i="4"/>
  <c r="F67" i="4"/>
  <c r="G67" i="4"/>
  <c r="I67" i="4"/>
  <c r="J67" i="4"/>
  <c r="L67" i="4"/>
  <c r="F68" i="4"/>
  <c r="G68" i="4"/>
  <c r="I68" i="4"/>
  <c r="J68" i="4"/>
  <c r="L68" i="4"/>
  <c r="F69" i="4"/>
  <c r="G69" i="4"/>
  <c r="I69" i="4"/>
  <c r="J69" i="4"/>
  <c r="L69" i="4"/>
  <c r="F70" i="4"/>
  <c r="G70" i="4"/>
  <c r="I70" i="4"/>
  <c r="J70" i="4"/>
  <c r="L70" i="4"/>
  <c r="F71" i="4"/>
  <c r="G71" i="4"/>
  <c r="I71" i="4"/>
  <c r="J71" i="4"/>
  <c r="L71" i="4"/>
  <c r="F72" i="4"/>
  <c r="G72" i="4"/>
  <c r="I72" i="4"/>
  <c r="J72" i="4"/>
  <c r="L72" i="4"/>
  <c r="F73" i="4"/>
  <c r="G73" i="4"/>
  <c r="I73" i="4"/>
  <c r="J73" i="4"/>
  <c r="L73" i="4"/>
  <c r="F74" i="4"/>
  <c r="G74" i="4"/>
  <c r="I74" i="4"/>
  <c r="J74" i="4"/>
  <c r="L74" i="4"/>
  <c r="F75" i="4"/>
  <c r="G75" i="4"/>
  <c r="I75" i="4"/>
  <c r="J75" i="4"/>
  <c r="L75" i="4"/>
  <c r="I76" i="4"/>
  <c r="F77" i="4"/>
  <c r="G77" i="4"/>
  <c r="I77" i="4"/>
  <c r="J77" i="4"/>
  <c r="L77" i="4"/>
  <c r="F78" i="4"/>
  <c r="G78" i="4"/>
  <c r="J78" i="4"/>
  <c r="L78" i="4"/>
  <c r="F79" i="4"/>
  <c r="G79" i="4"/>
  <c r="I79" i="4"/>
  <c r="J79" i="4"/>
  <c r="L79" i="4"/>
  <c r="F80" i="4"/>
  <c r="G80" i="4"/>
  <c r="I80" i="4"/>
  <c r="J80" i="4"/>
  <c r="L80" i="4"/>
  <c r="F81" i="4"/>
  <c r="G81" i="4"/>
  <c r="I81" i="4"/>
  <c r="J81" i="4"/>
  <c r="L81" i="4"/>
  <c r="F82" i="4"/>
  <c r="G82" i="4"/>
  <c r="I82" i="4"/>
  <c r="J82" i="4"/>
  <c r="L82" i="4"/>
  <c r="F83" i="4"/>
  <c r="G83" i="4"/>
  <c r="I83" i="4"/>
  <c r="J83" i="4"/>
  <c r="L83" i="4"/>
  <c r="F84" i="4"/>
  <c r="G84" i="4"/>
  <c r="I84" i="4"/>
  <c r="J84" i="4"/>
  <c r="L84" i="4"/>
  <c r="I85" i="4"/>
  <c r="I86" i="4"/>
  <c r="I87" i="4"/>
  <c r="F2" i="11"/>
  <c r="G2" i="11"/>
  <c r="I2" i="11"/>
  <c r="J2" i="11"/>
  <c r="L2" i="11"/>
  <c r="F3" i="11"/>
  <c r="G3" i="11"/>
  <c r="I3" i="11"/>
  <c r="J3" i="11"/>
  <c r="L3" i="11"/>
  <c r="F4" i="11"/>
  <c r="G4" i="11"/>
  <c r="I4" i="11"/>
  <c r="J4" i="11"/>
  <c r="L4" i="11"/>
  <c r="F5" i="11"/>
  <c r="G5" i="11"/>
  <c r="I5" i="11"/>
  <c r="J5" i="11"/>
  <c r="L5" i="11"/>
  <c r="F6" i="11"/>
  <c r="G6" i="11"/>
  <c r="I6" i="11"/>
  <c r="J6" i="11"/>
  <c r="L6" i="11"/>
  <c r="F7" i="11"/>
  <c r="G7" i="11"/>
  <c r="I7" i="11"/>
  <c r="J7" i="11"/>
  <c r="L7" i="11"/>
  <c r="F8" i="11"/>
  <c r="G8" i="11"/>
  <c r="I8" i="11"/>
  <c r="J8" i="11"/>
  <c r="L8" i="11"/>
  <c r="F9" i="11"/>
  <c r="G9" i="11"/>
  <c r="I9" i="11"/>
  <c r="J9" i="11"/>
  <c r="L9" i="11"/>
  <c r="F10" i="11"/>
  <c r="G10" i="11"/>
  <c r="I10" i="11"/>
  <c r="J10" i="11"/>
  <c r="L10" i="11"/>
  <c r="F11" i="11"/>
  <c r="G11" i="11"/>
  <c r="I11" i="11"/>
  <c r="J11" i="11"/>
  <c r="L11" i="11"/>
  <c r="F12" i="11"/>
  <c r="G12" i="11"/>
  <c r="I12" i="11"/>
  <c r="J12" i="11"/>
  <c r="L12" i="11"/>
  <c r="F13" i="11"/>
  <c r="G13" i="11"/>
  <c r="I13" i="11"/>
  <c r="J13" i="11"/>
  <c r="L13" i="11"/>
  <c r="F14" i="11"/>
  <c r="G14" i="11"/>
  <c r="I14" i="11"/>
  <c r="J14" i="11"/>
  <c r="L14" i="11"/>
  <c r="F15" i="11"/>
  <c r="G15" i="11"/>
  <c r="I15" i="11"/>
  <c r="J15" i="11"/>
  <c r="L15" i="11"/>
  <c r="F16" i="11"/>
  <c r="G16" i="11"/>
  <c r="I16" i="11"/>
  <c r="J16" i="11"/>
  <c r="L16" i="11"/>
  <c r="F17" i="11"/>
  <c r="G17" i="11"/>
  <c r="I17" i="11"/>
  <c r="J17" i="11"/>
  <c r="L17" i="11"/>
  <c r="F18" i="11"/>
  <c r="G18" i="11"/>
  <c r="I18" i="11"/>
  <c r="J18" i="11"/>
  <c r="L18" i="11"/>
  <c r="F19" i="11"/>
  <c r="G19" i="11"/>
  <c r="I19" i="11"/>
  <c r="J19" i="11"/>
  <c r="L19" i="11"/>
  <c r="F20" i="11"/>
  <c r="G20" i="11"/>
  <c r="I20" i="11"/>
  <c r="J20" i="11"/>
  <c r="L20" i="11"/>
  <c r="F21" i="11"/>
  <c r="G21" i="11"/>
  <c r="I21" i="11"/>
  <c r="J21" i="11"/>
  <c r="L21" i="11"/>
  <c r="F22" i="11"/>
  <c r="G22" i="11"/>
  <c r="I22" i="11"/>
  <c r="J22" i="11"/>
  <c r="L22" i="11"/>
  <c r="F23" i="11"/>
  <c r="G23" i="11"/>
  <c r="I23" i="11"/>
  <c r="J23" i="11"/>
  <c r="L23" i="11"/>
  <c r="F24" i="11"/>
  <c r="G24" i="11"/>
  <c r="I24" i="11"/>
  <c r="J24" i="11"/>
  <c r="L24" i="11"/>
  <c r="F25" i="11"/>
  <c r="G25" i="11"/>
  <c r="I25" i="11"/>
  <c r="J25" i="11"/>
  <c r="L25" i="11"/>
  <c r="F26" i="11"/>
  <c r="G26" i="11"/>
  <c r="I26" i="11"/>
  <c r="J26" i="11"/>
  <c r="L26" i="11"/>
  <c r="F27" i="11"/>
  <c r="G27" i="11"/>
  <c r="I27" i="11"/>
  <c r="J27" i="11"/>
  <c r="L27" i="11"/>
  <c r="F28" i="11"/>
  <c r="G28" i="11"/>
  <c r="I28" i="11"/>
  <c r="J28" i="11"/>
  <c r="L28" i="11"/>
  <c r="F29" i="11"/>
  <c r="G29" i="11"/>
  <c r="I29" i="11"/>
  <c r="J29" i="11"/>
  <c r="L29" i="11"/>
  <c r="F30" i="11"/>
  <c r="G30" i="11"/>
  <c r="I30" i="11"/>
  <c r="J30" i="11"/>
  <c r="L30" i="11"/>
  <c r="F31" i="11"/>
  <c r="G31" i="11"/>
  <c r="I31" i="11"/>
  <c r="J31" i="11"/>
  <c r="L31" i="11"/>
  <c r="F32" i="11"/>
  <c r="G32" i="11"/>
  <c r="I32" i="11"/>
  <c r="J32" i="11"/>
  <c r="L32" i="11"/>
  <c r="F33" i="11"/>
  <c r="I33" i="11"/>
  <c r="J33" i="11"/>
  <c r="L33" i="11"/>
  <c r="F34" i="11"/>
  <c r="G34" i="11"/>
  <c r="I34" i="11"/>
  <c r="J34" i="11"/>
  <c r="L34" i="11"/>
  <c r="F35" i="11"/>
  <c r="G35" i="11"/>
  <c r="I35" i="11"/>
  <c r="J35" i="11"/>
  <c r="L35" i="11"/>
  <c r="F36" i="11"/>
  <c r="I36" i="11"/>
  <c r="L36" i="11"/>
  <c r="F37" i="11"/>
  <c r="G37" i="11"/>
  <c r="I37" i="11"/>
  <c r="J37" i="11"/>
  <c r="L37" i="11"/>
  <c r="F38" i="11"/>
  <c r="G38" i="11"/>
  <c r="I38" i="11"/>
  <c r="J38" i="11"/>
  <c r="L38" i="11"/>
  <c r="F39" i="11"/>
  <c r="G39" i="11"/>
  <c r="I39" i="11"/>
  <c r="J39" i="11"/>
  <c r="L39" i="11"/>
  <c r="F40" i="11"/>
  <c r="G40" i="11"/>
  <c r="I40" i="11"/>
  <c r="J40" i="11"/>
  <c r="L40" i="11"/>
  <c r="F41" i="11"/>
  <c r="G41" i="11"/>
  <c r="I41" i="11"/>
  <c r="J41" i="11"/>
  <c r="L41" i="11"/>
  <c r="F42" i="11"/>
  <c r="G42" i="11"/>
  <c r="I42" i="11"/>
  <c r="J42" i="11"/>
  <c r="L42" i="11"/>
  <c r="F43" i="11"/>
  <c r="G43" i="11"/>
  <c r="I43" i="11"/>
  <c r="J43" i="11"/>
  <c r="L43" i="11"/>
  <c r="F44" i="11"/>
  <c r="G44" i="11"/>
  <c r="I44" i="11"/>
  <c r="J44" i="11"/>
  <c r="L44" i="11"/>
  <c r="F45" i="11"/>
  <c r="G45" i="11"/>
  <c r="I45" i="11"/>
  <c r="J45" i="11"/>
  <c r="L45" i="11"/>
  <c r="F46" i="11"/>
  <c r="G46" i="11"/>
  <c r="I46" i="11"/>
  <c r="J46" i="11"/>
  <c r="L46" i="11"/>
  <c r="F47" i="11"/>
  <c r="G47" i="11"/>
  <c r="I47" i="11"/>
  <c r="J47" i="11"/>
  <c r="L47" i="11"/>
  <c r="F48" i="11"/>
  <c r="G48" i="11"/>
  <c r="I48" i="11"/>
  <c r="J48" i="11"/>
  <c r="L48" i="11"/>
  <c r="F49" i="11"/>
  <c r="I49" i="11"/>
  <c r="L49" i="11"/>
  <c r="F50" i="11"/>
  <c r="G50" i="11"/>
  <c r="I50" i="11"/>
  <c r="J50" i="11"/>
  <c r="L50" i="11"/>
  <c r="F51" i="11"/>
  <c r="G51" i="11"/>
  <c r="I51" i="11"/>
  <c r="J51" i="11"/>
  <c r="L51" i="11"/>
  <c r="F52" i="11"/>
  <c r="G52" i="11"/>
  <c r="I52" i="11"/>
  <c r="J52" i="11"/>
  <c r="L52" i="11"/>
  <c r="F53" i="11"/>
  <c r="G53" i="11"/>
  <c r="I53" i="11"/>
  <c r="J53" i="11"/>
  <c r="L53" i="11"/>
  <c r="F54" i="11"/>
  <c r="G54" i="11"/>
  <c r="I54" i="11"/>
  <c r="J54" i="11"/>
  <c r="L54" i="11"/>
  <c r="F55" i="11"/>
  <c r="G55" i="11"/>
  <c r="I55" i="11"/>
  <c r="J55" i="11"/>
  <c r="L55" i="11"/>
  <c r="F56" i="11"/>
  <c r="G56" i="11"/>
  <c r="I56" i="11"/>
  <c r="J56" i="11"/>
  <c r="L56" i="11"/>
  <c r="F57" i="11"/>
  <c r="G57" i="11"/>
  <c r="I57" i="11"/>
  <c r="J57" i="11"/>
  <c r="L57" i="11"/>
  <c r="F58" i="11"/>
  <c r="G58" i="11"/>
  <c r="I58" i="11"/>
  <c r="J58" i="11"/>
  <c r="L58" i="11"/>
  <c r="F59" i="11"/>
  <c r="G59" i="11"/>
  <c r="I59" i="11"/>
  <c r="J59" i="11"/>
  <c r="L59" i="11"/>
  <c r="F60" i="11"/>
  <c r="G60" i="11"/>
  <c r="I60" i="11"/>
  <c r="J60" i="11"/>
  <c r="L60" i="11"/>
  <c r="F61" i="11"/>
  <c r="G61" i="11"/>
  <c r="I61" i="11"/>
  <c r="J61" i="11"/>
  <c r="L61" i="11"/>
  <c r="F62" i="11"/>
  <c r="G62" i="11"/>
  <c r="I62" i="11"/>
  <c r="J62" i="11"/>
  <c r="L62" i="11"/>
  <c r="F63" i="11"/>
  <c r="G63" i="11"/>
  <c r="I63" i="11"/>
  <c r="J63" i="11"/>
  <c r="L63" i="11"/>
  <c r="F64" i="11"/>
  <c r="G64" i="11"/>
  <c r="I64" i="11"/>
  <c r="J64" i="11"/>
  <c r="L64" i="11"/>
  <c r="F65" i="11"/>
  <c r="G65" i="11"/>
  <c r="I65" i="11"/>
  <c r="J65" i="11"/>
  <c r="L65" i="11"/>
  <c r="F66" i="11"/>
  <c r="G66" i="11"/>
  <c r="I66" i="11"/>
  <c r="J66" i="11"/>
  <c r="L66" i="11"/>
  <c r="F67" i="11"/>
  <c r="G67" i="11"/>
  <c r="I67" i="11"/>
  <c r="J67" i="11"/>
  <c r="L67" i="11"/>
  <c r="F68" i="11"/>
  <c r="G68" i="11"/>
  <c r="I68" i="11"/>
  <c r="J68" i="11"/>
  <c r="L68" i="11"/>
  <c r="F69" i="11"/>
  <c r="G69" i="11"/>
  <c r="I69" i="11"/>
  <c r="J69" i="11"/>
  <c r="L69" i="11"/>
  <c r="F70" i="11"/>
  <c r="G70" i="11"/>
  <c r="I70" i="11"/>
  <c r="J70" i="11"/>
  <c r="L70" i="11"/>
  <c r="F71" i="11"/>
  <c r="G71" i="11"/>
  <c r="I71" i="11"/>
  <c r="J71" i="11"/>
  <c r="L71" i="11"/>
  <c r="F72" i="11"/>
  <c r="G72" i="11"/>
  <c r="I72" i="11"/>
  <c r="J72" i="11"/>
  <c r="L72" i="11"/>
  <c r="F73" i="11"/>
  <c r="G73" i="11"/>
  <c r="I73" i="11"/>
  <c r="J73" i="11"/>
  <c r="L73" i="11"/>
  <c r="F74" i="11"/>
  <c r="G74" i="11"/>
  <c r="I74" i="11"/>
  <c r="J74" i="11"/>
  <c r="L74" i="11"/>
  <c r="F75" i="11"/>
  <c r="G75" i="11"/>
  <c r="I75" i="11"/>
  <c r="J75" i="11"/>
  <c r="L75" i="11"/>
  <c r="F76" i="11"/>
  <c r="G76" i="11"/>
  <c r="I76" i="11"/>
  <c r="J76" i="11"/>
  <c r="L76" i="11"/>
  <c r="F77" i="11"/>
  <c r="G77" i="11"/>
  <c r="I77" i="11"/>
  <c r="J77" i="11"/>
  <c r="L77" i="11"/>
  <c r="F78" i="11"/>
  <c r="G78" i="11"/>
  <c r="I78" i="11"/>
  <c r="J78" i="11"/>
  <c r="L78" i="11"/>
  <c r="F79" i="11"/>
  <c r="G79" i="11"/>
  <c r="I79" i="11"/>
  <c r="J79" i="11"/>
  <c r="L79" i="11"/>
  <c r="F80" i="11"/>
  <c r="G80" i="11"/>
  <c r="I80" i="11"/>
  <c r="J80" i="11"/>
  <c r="L80" i="11"/>
  <c r="F81" i="11"/>
  <c r="G81" i="11"/>
  <c r="I81" i="11"/>
  <c r="J81" i="11"/>
  <c r="L81" i="11"/>
  <c r="F82" i="11"/>
  <c r="G82" i="11"/>
  <c r="I82" i="11"/>
  <c r="J82" i="11"/>
  <c r="L82" i="11"/>
  <c r="F83" i="11"/>
  <c r="G83" i="11"/>
  <c r="I83" i="11"/>
  <c r="J83" i="11"/>
  <c r="L83" i="11"/>
  <c r="F84" i="11"/>
  <c r="I84" i="11"/>
  <c r="J84" i="11"/>
  <c r="L84" i="11"/>
  <c r="F85" i="11"/>
  <c r="G85" i="11"/>
  <c r="I85" i="11"/>
  <c r="J85" i="11"/>
  <c r="L85" i="11"/>
  <c r="F86" i="11"/>
  <c r="G86" i="11"/>
  <c r="I86" i="11"/>
  <c r="J86" i="11"/>
  <c r="L86" i="11"/>
  <c r="F87" i="11"/>
  <c r="G87" i="11"/>
  <c r="I87" i="11"/>
  <c r="J87" i="11"/>
  <c r="L87" i="11"/>
  <c r="F88" i="11"/>
  <c r="G88" i="11"/>
  <c r="I88" i="11"/>
  <c r="J88" i="11"/>
  <c r="L88" i="11"/>
  <c r="F89" i="11"/>
  <c r="G89" i="11"/>
  <c r="I89" i="11"/>
  <c r="J89" i="11"/>
  <c r="L89" i="11"/>
  <c r="F90" i="11"/>
  <c r="I90" i="11"/>
  <c r="L90" i="11"/>
  <c r="F91" i="11"/>
  <c r="I91" i="11"/>
  <c r="L91" i="11"/>
  <c r="F92" i="11"/>
  <c r="G92" i="11"/>
  <c r="I92" i="11"/>
  <c r="J92" i="11"/>
  <c r="L92" i="11"/>
  <c r="F93" i="11"/>
  <c r="G93" i="11"/>
  <c r="I93" i="11"/>
  <c r="J93" i="11"/>
  <c r="L93" i="11"/>
  <c r="F94" i="11"/>
  <c r="G94" i="11"/>
  <c r="I94" i="11"/>
  <c r="J94" i="11"/>
  <c r="L94" i="11"/>
  <c r="F95" i="11"/>
  <c r="G95" i="11"/>
  <c r="I95" i="11"/>
  <c r="J95" i="11"/>
  <c r="L95" i="11"/>
  <c r="F96" i="11"/>
  <c r="G96" i="11"/>
  <c r="I96" i="11"/>
  <c r="J96" i="11"/>
  <c r="L96" i="11"/>
  <c r="F97" i="11"/>
  <c r="G97" i="11"/>
  <c r="I97" i="11"/>
  <c r="J97" i="11"/>
  <c r="L97" i="11"/>
  <c r="F98" i="11"/>
  <c r="G98" i="11"/>
  <c r="I98" i="11"/>
  <c r="J98" i="11"/>
  <c r="L98" i="11"/>
  <c r="F99" i="11"/>
  <c r="G99" i="11"/>
  <c r="I99" i="11"/>
  <c r="J99" i="11"/>
  <c r="L99" i="11"/>
  <c r="F100" i="11"/>
  <c r="G100" i="11"/>
  <c r="I100" i="11"/>
  <c r="L100" i="11"/>
  <c r="F101" i="11"/>
  <c r="G101" i="11"/>
  <c r="I101" i="11"/>
  <c r="J101" i="11"/>
  <c r="L101" i="11"/>
  <c r="F102" i="11"/>
  <c r="G102" i="11"/>
  <c r="I102" i="11"/>
  <c r="J102" i="11"/>
  <c r="L102" i="11"/>
  <c r="F103" i="11"/>
  <c r="G103" i="11"/>
  <c r="I103" i="11"/>
  <c r="J103" i="11"/>
  <c r="L103" i="11"/>
  <c r="F104" i="11"/>
  <c r="G104" i="11"/>
  <c r="I104" i="11"/>
  <c r="J104" i="11"/>
  <c r="L104" i="11"/>
  <c r="F105" i="11"/>
  <c r="G105" i="11"/>
  <c r="I105" i="11"/>
  <c r="J105" i="11"/>
  <c r="L105" i="11"/>
  <c r="F106" i="11"/>
  <c r="G106" i="11"/>
  <c r="I106" i="11"/>
  <c r="J106" i="11"/>
  <c r="L106" i="11"/>
  <c r="F107" i="11"/>
  <c r="G107" i="11"/>
  <c r="I107" i="11"/>
  <c r="J107" i="11"/>
  <c r="L107" i="11"/>
  <c r="F108" i="11"/>
  <c r="G108" i="11"/>
  <c r="I108" i="11"/>
  <c r="J108" i="11"/>
  <c r="L108" i="11"/>
  <c r="F109" i="11"/>
  <c r="G109" i="11"/>
  <c r="I109" i="11"/>
  <c r="J109" i="11"/>
  <c r="L109" i="11"/>
  <c r="F110" i="11"/>
  <c r="G110" i="11"/>
  <c r="I110" i="11"/>
  <c r="J110" i="11"/>
  <c r="L110" i="11"/>
  <c r="F111" i="11"/>
  <c r="G111" i="11"/>
  <c r="I111" i="11"/>
  <c r="J111" i="11"/>
  <c r="L111" i="11"/>
  <c r="F112" i="11"/>
  <c r="G112" i="11"/>
  <c r="I112" i="11"/>
  <c r="J112" i="11"/>
  <c r="L112" i="11"/>
  <c r="F113" i="11"/>
  <c r="G113" i="11"/>
  <c r="I113" i="11"/>
  <c r="J113" i="11"/>
  <c r="L113" i="11"/>
  <c r="F114" i="11"/>
  <c r="G114" i="11"/>
  <c r="I114" i="11"/>
  <c r="J114" i="11"/>
  <c r="L114" i="11"/>
  <c r="F115" i="11"/>
  <c r="G115" i="11"/>
  <c r="I115" i="11"/>
  <c r="J115" i="11"/>
  <c r="L115" i="11"/>
  <c r="F116" i="11"/>
  <c r="G116" i="11"/>
  <c r="I116" i="11"/>
  <c r="J116" i="11"/>
  <c r="L116" i="11"/>
  <c r="F117" i="11"/>
  <c r="G117" i="11"/>
  <c r="I117" i="11"/>
  <c r="J117" i="11"/>
  <c r="L117" i="11"/>
  <c r="F118" i="11"/>
  <c r="G118" i="11"/>
  <c r="I118" i="11"/>
  <c r="J118" i="11"/>
  <c r="L118" i="11"/>
  <c r="F119" i="11"/>
  <c r="G119" i="11"/>
  <c r="I119" i="11"/>
  <c r="J119" i="11"/>
  <c r="L119" i="11"/>
  <c r="F120" i="11"/>
  <c r="I120" i="11"/>
  <c r="L120" i="11"/>
  <c r="F121" i="11"/>
  <c r="G121" i="11"/>
  <c r="I121" i="11"/>
  <c r="J121" i="11"/>
  <c r="L121" i="11"/>
  <c r="F122" i="11"/>
  <c r="G122" i="11"/>
  <c r="I122" i="11"/>
  <c r="J122" i="11"/>
  <c r="L122" i="11"/>
  <c r="F123" i="11"/>
  <c r="G123" i="11"/>
  <c r="I123" i="11"/>
  <c r="J123" i="11"/>
  <c r="L123" i="11"/>
  <c r="F124" i="11"/>
  <c r="G124" i="11"/>
  <c r="I124" i="11"/>
  <c r="J124" i="11"/>
  <c r="L124" i="11"/>
  <c r="F125" i="11"/>
  <c r="G125" i="11"/>
  <c r="I125" i="11"/>
  <c r="J125" i="11"/>
  <c r="L125" i="11"/>
  <c r="F126" i="11"/>
  <c r="G126" i="11"/>
  <c r="I126" i="11"/>
  <c r="J126" i="11"/>
  <c r="L126" i="11"/>
  <c r="F127" i="11"/>
  <c r="G127" i="11"/>
  <c r="I127" i="11"/>
  <c r="J127" i="11"/>
  <c r="L127" i="11"/>
  <c r="F128" i="11"/>
  <c r="G128" i="11"/>
  <c r="I128" i="11"/>
  <c r="J128" i="11"/>
  <c r="L128" i="11"/>
  <c r="F129" i="11"/>
  <c r="G129" i="11"/>
  <c r="I129" i="11"/>
  <c r="J129" i="11"/>
  <c r="L129" i="11"/>
  <c r="F130" i="11"/>
  <c r="G130" i="11"/>
  <c r="I130" i="11"/>
  <c r="J130" i="11"/>
  <c r="L130" i="11"/>
  <c r="F131" i="11"/>
  <c r="G131" i="11"/>
  <c r="I131" i="11"/>
  <c r="J131" i="11"/>
  <c r="L131" i="11"/>
  <c r="F132" i="11"/>
  <c r="G132" i="11"/>
  <c r="I132" i="11"/>
  <c r="J132" i="11"/>
  <c r="L132" i="11"/>
  <c r="F133" i="11"/>
  <c r="G133" i="11"/>
  <c r="I133" i="11"/>
  <c r="J133" i="11"/>
  <c r="L133" i="11"/>
  <c r="F134" i="11"/>
  <c r="G134" i="11"/>
  <c r="I134" i="11"/>
  <c r="J134" i="11"/>
  <c r="L134" i="11"/>
  <c r="F135" i="11"/>
  <c r="G135" i="11"/>
  <c r="I135" i="11"/>
  <c r="J135" i="11"/>
  <c r="L135" i="11"/>
  <c r="F136" i="11"/>
  <c r="G136" i="11"/>
  <c r="I136" i="11"/>
  <c r="J136" i="11"/>
  <c r="L136" i="11"/>
  <c r="F137" i="11"/>
  <c r="G137" i="11"/>
  <c r="I137" i="11"/>
  <c r="J137" i="11"/>
  <c r="L137" i="11"/>
  <c r="F138" i="11"/>
  <c r="G138" i="11"/>
  <c r="I138" i="11"/>
  <c r="J138" i="11"/>
  <c r="L138" i="11"/>
  <c r="F139" i="11"/>
  <c r="G139" i="11"/>
  <c r="I139" i="11"/>
  <c r="J139" i="11"/>
  <c r="L139" i="11"/>
  <c r="F140" i="11"/>
  <c r="G140" i="11"/>
  <c r="I140" i="11"/>
  <c r="J140" i="11"/>
  <c r="L140" i="11"/>
  <c r="F141" i="11"/>
  <c r="I141" i="11"/>
  <c r="J141" i="11"/>
  <c r="L141" i="11"/>
  <c r="F142" i="11"/>
  <c r="G142" i="11"/>
  <c r="I142" i="11"/>
  <c r="J142" i="11"/>
  <c r="L142" i="11"/>
  <c r="F143" i="11"/>
  <c r="G143" i="11"/>
  <c r="I143" i="11"/>
  <c r="J143" i="11"/>
  <c r="L143" i="11"/>
  <c r="F144" i="11"/>
  <c r="G144" i="11"/>
  <c r="I144" i="11"/>
  <c r="J144" i="11"/>
  <c r="L144" i="11"/>
  <c r="F145" i="11"/>
  <c r="G145" i="11"/>
  <c r="I145" i="11"/>
  <c r="J145" i="11"/>
  <c r="L145" i="11"/>
  <c r="F146" i="11"/>
  <c r="G146" i="11"/>
  <c r="I146" i="11"/>
  <c r="J146" i="11"/>
  <c r="L146" i="11"/>
  <c r="F147" i="11"/>
  <c r="G147" i="11"/>
  <c r="I147" i="11"/>
  <c r="J147" i="11"/>
  <c r="L147" i="11"/>
  <c r="F148" i="11"/>
  <c r="G148" i="11"/>
  <c r="I148" i="11"/>
  <c r="J148" i="11"/>
  <c r="L148" i="11"/>
  <c r="F149" i="11"/>
  <c r="G149" i="11"/>
  <c r="I149" i="11"/>
  <c r="J149" i="11"/>
  <c r="L149" i="11"/>
  <c r="F150" i="11"/>
  <c r="G150" i="11"/>
  <c r="I150" i="11"/>
  <c r="J150" i="11"/>
  <c r="L150" i="11"/>
  <c r="F151" i="11"/>
  <c r="G151" i="11"/>
  <c r="I151" i="11"/>
  <c r="J151" i="11"/>
  <c r="L151" i="11"/>
  <c r="F152" i="11"/>
  <c r="G152" i="11"/>
  <c r="I152" i="11"/>
  <c r="J152" i="11"/>
  <c r="L152" i="11"/>
  <c r="F153" i="11"/>
  <c r="I153" i="11"/>
  <c r="L153" i="11"/>
  <c r="F154" i="11"/>
  <c r="I154" i="11"/>
  <c r="L154" i="11"/>
  <c r="F155" i="11"/>
  <c r="G155" i="11"/>
  <c r="I155" i="11"/>
  <c r="J155" i="11"/>
  <c r="L155" i="11"/>
  <c r="F156" i="11"/>
  <c r="G156" i="11"/>
  <c r="I156" i="11"/>
  <c r="J156" i="11"/>
  <c r="L156" i="11"/>
  <c r="F157" i="11"/>
  <c r="I157" i="11"/>
  <c r="L157" i="11"/>
  <c r="F158" i="11"/>
  <c r="I158" i="11"/>
  <c r="L158" i="11"/>
  <c r="F159" i="11"/>
  <c r="G159" i="11"/>
  <c r="I159" i="11"/>
  <c r="J159" i="11"/>
  <c r="L159" i="11"/>
  <c r="F160" i="11"/>
  <c r="G160" i="11"/>
  <c r="I160" i="11"/>
  <c r="J160" i="11"/>
  <c r="L160" i="11"/>
  <c r="F161" i="11"/>
  <c r="G161" i="11"/>
  <c r="I161" i="11"/>
  <c r="J161" i="11"/>
  <c r="L161" i="11"/>
  <c r="F162" i="11"/>
  <c r="I162" i="11"/>
  <c r="L162" i="11"/>
  <c r="F163" i="11"/>
  <c r="G163" i="11"/>
  <c r="I163" i="11"/>
  <c r="J163" i="11"/>
  <c r="L163" i="11"/>
  <c r="F164" i="11"/>
  <c r="G164" i="11"/>
  <c r="I164" i="11"/>
  <c r="J164" i="11"/>
  <c r="L164" i="11"/>
  <c r="F165" i="11"/>
  <c r="G165" i="11"/>
  <c r="I165" i="11"/>
  <c r="J165" i="11"/>
  <c r="L165" i="11"/>
  <c r="F166" i="11"/>
  <c r="G166" i="11"/>
  <c r="I166" i="11"/>
  <c r="J166" i="11"/>
  <c r="L166" i="11"/>
  <c r="F167" i="11"/>
  <c r="G167" i="11"/>
  <c r="I167" i="11"/>
  <c r="J167" i="11"/>
  <c r="L167" i="11"/>
  <c r="F168" i="11"/>
  <c r="G168" i="11"/>
  <c r="I168" i="11"/>
  <c r="J168" i="11"/>
  <c r="L168" i="11"/>
  <c r="F169" i="11"/>
  <c r="G169" i="11"/>
  <c r="I169" i="11"/>
  <c r="J169" i="11"/>
  <c r="L169" i="11"/>
  <c r="F170" i="11"/>
  <c r="G170" i="11"/>
  <c r="I170" i="11"/>
  <c r="J170" i="11"/>
  <c r="L170" i="11"/>
  <c r="F171" i="11"/>
  <c r="G171" i="11"/>
  <c r="I171" i="11"/>
  <c r="J171" i="11"/>
  <c r="L171" i="11"/>
  <c r="F172" i="11"/>
  <c r="G172" i="11"/>
  <c r="I172" i="11"/>
  <c r="J172" i="11"/>
  <c r="L172" i="11"/>
  <c r="F173" i="11"/>
  <c r="G173" i="11"/>
  <c r="I173" i="11"/>
  <c r="J173" i="11"/>
  <c r="L173" i="11"/>
  <c r="F174" i="11"/>
  <c r="G174" i="11"/>
  <c r="I174" i="11"/>
  <c r="J174" i="11"/>
  <c r="L174" i="11"/>
  <c r="F175" i="11"/>
  <c r="G175" i="11"/>
  <c r="I175" i="11"/>
  <c r="J175" i="11"/>
  <c r="L175" i="11"/>
  <c r="F176" i="11"/>
  <c r="G176" i="11"/>
  <c r="I176" i="11"/>
  <c r="J176" i="11"/>
  <c r="L176" i="11"/>
  <c r="F177" i="11"/>
  <c r="G177" i="11"/>
  <c r="I177" i="11"/>
  <c r="J177" i="11"/>
  <c r="L177" i="11"/>
  <c r="F178" i="11"/>
  <c r="G178" i="11"/>
  <c r="I178" i="11"/>
  <c r="J178" i="11"/>
  <c r="L178" i="11"/>
  <c r="F179" i="11"/>
  <c r="G179" i="11"/>
  <c r="I179" i="11"/>
  <c r="J179" i="11"/>
  <c r="L179" i="11"/>
  <c r="F180" i="11"/>
  <c r="G180" i="11"/>
  <c r="I180" i="11"/>
  <c r="J180" i="11"/>
  <c r="L180" i="11"/>
  <c r="F181" i="11"/>
  <c r="G181" i="11"/>
  <c r="I181" i="11"/>
  <c r="J181" i="11"/>
  <c r="L181" i="11"/>
  <c r="F182" i="11"/>
  <c r="G182" i="11"/>
  <c r="I182" i="11"/>
  <c r="J182" i="11"/>
  <c r="L182" i="11"/>
  <c r="F183" i="11"/>
  <c r="G183" i="11"/>
  <c r="I183" i="11"/>
  <c r="J183" i="11"/>
  <c r="L183" i="11"/>
  <c r="F184" i="11"/>
  <c r="G184" i="11"/>
  <c r="I184" i="11"/>
  <c r="J184" i="11"/>
  <c r="L184" i="11"/>
  <c r="F185" i="11"/>
  <c r="G185" i="11"/>
  <c r="I185" i="11"/>
  <c r="J185" i="11"/>
  <c r="L185" i="11"/>
  <c r="F186" i="11"/>
  <c r="G186" i="11"/>
  <c r="I186" i="11"/>
  <c r="J186" i="11"/>
  <c r="L186" i="11"/>
  <c r="F187" i="11"/>
  <c r="G187" i="11"/>
  <c r="I187" i="11"/>
  <c r="J187" i="11"/>
  <c r="L187" i="11"/>
  <c r="F188" i="11"/>
  <c r="G188" i="11"/>
  <c r="I188" i="11"/>
  <c r="J188" i="11"/>
  <c r="L188" i="11"/>
  <c r="F189" i="11"/>
  <c r="G189" i="11"/>
  <c r="I189" i="11"/>
  <c r="J189" i="11"/>
  <c r="L189" i="11"/>
  <c r="F190" i="11"/>
  <c r="G190" i="11"/>
  <c r="I190" i="11"/>
  <c r="J190" i="11"/>
  <c r="L190" i="11"/>
  <c r="F191" i="11"/>
  <c r="G191" i="11"/>
  <c r="I191" i="11"/>
  <c r="J191" i="11"/>
  <c r="L191" i="11"/>
  <c r="F192" i="11"/>
  <c r="G192" i="11"/>
  <c r="I192" i="11"/>
  <c r="J192" i="11"/>
  <c r="L192" i="11"/>
  <c r="F193" i="11"/>
  <c r="G193" i="11"/>
  <c r="I193" i="11"/>
  <c r="J193" i="11"/>
  <c r="L193" i="11"/>
  <c r="F194" i="11"/>
  <c r="G194" i="11"/>
  <c r="I194" i="11"/>
  <c r="J194" i="11"/>
  <c r="L194" i="11"/>
  <c r="F195" i="11"/>
  <c r="G195" i="11"/>
  <c r="I195" i="11"/>
  <c r="J195" i="11"/>
  <c r="L195" i="11"/>
  <c r="F196" i="11"/>
  <c r="G196" i="11"/>
  <c r="I196" i="11"/>
  <c r="J196" i="11"/>
  <c r="L196" i="11"/>
  <c r="F197" i="11"/>
  <c r="G197" i="11"/>
  <c r="I197" i="11"/>
  <c r="J197" i="11"/>
  <c r="L197" i="11"/>
  <c r="F198" i="11"/>
  <c r="G198" i="11"/>
  <c r="I198" i="11"/>
  <c r="J198" i="11"/>
  <c r="L198" i="11"/>
  <c r="F199" i="11"/>
  <c r="G199" i="11"/>
  <c r="I199" i="11"/>
  <c r="J199" i="11"/>
  <c r="L199" i="11"/>
  <c r="F200" i="11"/>
  <c r="G200" i="11"/>
  <c r="I200" i="11"/>
  <c r="J200" i="11"/>
  <c r="L200" i="11"/>
  <c r="F201" i="11"/>
  <c r="G201" i="11"/>
  <c r="I201" i="11"/>
  <c r="J201" i="11"/>
  <c r="L201" i="11"/>
  <c r="F202" i="11"/>
  <c r="G202" i="11"/>
  <c r="I202" i="11"/>
  <c r="J202" i="11"/>
  <c r="L202" i="11"/>
  <c r="F203" i="11"/>
  <c r="I203" i="11"/>
  <c r="L203" i="11"/>
  <c r="F204" i="11"/>
  <c r="G204" i="11"/>
  <c r="I204" i="11"/>
  <c r="J204" i="11"/>
  <c r="L204" i="11"/>
  <c r="F205" i="11"/>
  <c r="G205" i="11"/>
  <c r="I205" i="11"/>
  <c r="J205" i="11"/>
  <c r="L205" i="11"/>
  <c r="F206" i="11"/>
  <c r="G206" i="11"/>
  <c r="I206" i="11"/>
  <c r="J206" i="11"/>
  <c r="L206" i="11"/>
  <c r="F207" i="11"/>
  <c r="G207" i="11"/>
  <c r="I207" i="11"/>
  <c r="J207" i="11"/>
  <c r="L207" i="11"/>
  <c r="F208" i="11"/>
  <c r="G208" i="11"/>
  <c r="I208" i="11"/>
  <c r="J208" i="11"/>
  <c r="L208" i="11"/>
  <c r="F209" i="11"/>
  <c r="G209" i="11"/>
  <c r="I209" i="11"/>
  <c r="J209" i="11"/>
  <c r="L209" i="11"/>
  <c r="F210" i="11"/>
  <c r="G210" i="11"/>
  <c r="I210" i="11"/>
  <c r="J210" i="11"/>
  <c r="L210" i="11"/>
  <c r="F211" i="11"/>
  <c r="G211" i="11"/>
  <c r="I211" i="11"/>
  <c r="J211" i="11"/>
  <c r="L211" i="11"/>
  <c r="F212" i="11"/>
  <c r="G212" i="11"/>
  <c r="I212" i="11"/>
  <c r="J212" i="11"/>
  <c r="L212" i="11"/>
  <c r="F213" i="11"/>
  <c r="G213" i="11"/>
  <c r="I213" i="11"/>
  <c r="J213" i="11"/>
  <c r="L213" i="11"/>
  <c r="F214" i="11"/>
  <c r="G214" i="11"/>
  <c r="I214" i="11"/>
  <c r="J214" i="11"/>
  <c r="L214" i="11"/>
  <c r="F215" i="11"/>
  <c r="G215" i="11"/>
  <c r="I215" i="11"/>
  <c r="J215" i="11"/>
  <c r="L215" i="11"/>
  <c r="F216" i="11"/>
  <c r="G216" i="11"/>
  <c r="I216" i="11"/>
  <c r="J216" i="11"/>
  <c r="L216" i="11"/>
  <c r="F217" i="11"/>
  <c r="G217" i="11"/>
  <c r="I217" i="11"/>
  <c r="J217" i="11"/>
  <c r="L217" i="11"/>
  <c r="F218" i="11"/>
  <c r="G218" i="11"/>
  <c r="I218" i="11"/>
  <c r="J218" i="11"/>
  <c r="L218" i="11"/>
  <c r="F219" i="11"/>
  <c r="G219" i="11"/>
  <c r="I219" i="11"/>
  <c r="J219" i="11"/>
  <c r="L219" i="11"/>
  <c r="F220" i="11"/>
  <c r="G220" i="11"/>
  <c r="I220" i="11"/>
  <c r="J220" i="11"/>
  <c r="L220" i="11"/>
  <c r="F221" i="11"/>
  <c r="G221" i="11"/>
  <c r="I221" i="11"/>
  <c r="J221" i="11"/>
  <c r="L221" i="11"/>
  <c r="F222" i="11"/>
  <c r="G222" i="11"/>
  <c r="I222" i="11"/>
  <c r="J222" i="11"/>
  <c r="L222" i="11"/>
  <c r="F223" i="11"/>
  <c r="G223" i="11"/>
  <c r="I223" i="11"/>
  <c r="J223" i="11"/>
  <c r="L223" i="11"/>
  <c r="F224" i="11"/>
  <c r="I224" i="11"/>
  <c r="L224" i="11"/>
  <c r="F225" i="11"/>
  <c r="G225" i="11"/>
  <c r="I225" i="11"/>
  <c r="J225" i="11"/>
  <c r="L225" i="11"/>
  <c r="F226" i="11"/>
  <c r="G226" i="11"/>
  <c r="I226" i="11"/>
  <c r="J226" i="11"/>
  <c r="L226" i="11"/>
  <c r="F227" i="11"/>
  <c r="G227" i="11"/>
  <c r="I227" i="11"/>
  <c r="J227" i="11"/>
  <c r="L227" i="11"/>
  <c r="F228" i="11"/>
  <c r="G228" i="11"/>
  <c r="I228" i="11"/>
  <c r="J228" i="11"/>
  <c r="L228" i="11"/>
  <c r="F229" i="11"/>
  <c r="G229" i="11"/>
  <c r="I229" i="11"/>
  <c r="J229" i="11"/>
  <c r="L229" i="11"/>
  <c r="F230" i="11"/>
  <c r="G230" i="11"/>
  <c r="I230" i="11"/>
  <c r="J230" i="11"/>
  <c r="L230" i="11"/>
  <c r="F231" i="11"/>
  <c r="I231" i="11"/>
  <c r="L231" i="11"/>
  <c r="F232" i="11"/>
  <c r="G232" i="11"/>
  <c r="I232" i="11"/>
  <c r="J232" i="11"/>
  <c r="L232" i="11"/>
  <c r="F233" i="11"/>
  <c r="G233" i="11"/>
  <c r="I233" i="11"/>
  <c r="J233" i="11"/>
  <c r="L233" i="11"/>
  <c r="F234" i="11"/>
  <c r="G234" i="11"/>
  <c r="I234" i="11"/>
  <c r="J234" i="11"/>
  <c r="L234" i="11"/>
  <c r="F235" i="11"/>
  <c r="G235" i="11"/>
  <c r="I235" i="11"/>
  <c r="J235" i="11"/>
  <c r="L235" i="11"/>
  <c r="F236" i="11"/>
  <c r="G236" i="11"/>
  <c r="I236" i="11"/>
  <c r="J236" i="11"/>
  <c r="L236" i="11"/>
  <c r="F237" i="11"/>
  <c r="G237" i="11"/>
  <c r="I237" i="11"/>
  <c r="J237" i="11"/>
  <c r="L237" i="11"/>
  <c r="F238" i="11"/>
  <c r="I238" i="11"/>
  <c r="L238" i="11"/>
  <c r="F239" i="11"/>
  <c r="G239" i="11"/>
  <c r="I239" i="11"/>
  <c r="J239" i="11"/>
  <c r="L239" i="11"/>
  <c r="F240" i="11"/>
  <c r="G240" i="11"/>
  <c r="I240" i="11"/>
  <c r="J240" i="11"/>
  <c r="L240" i="11"/>
  <c r="F241" i="11"/>
  <c r="G241" i="11"/>
  <c r="I241" i="11"/>
  <c r="J241" i="11"/>
  <c r="L241" i="11"/>
  <c r="F242" i="11"/>
  <c r="I242" i="11"/>
  <c r="J242" i="11"/>
  <c r="L242" i="11"/>
  <c r="F243" i="11"/>
  <c r="G243" i="11"/>
  <c r="I243" i="11"/>
  <c r="J243" i="11"/>
  <c r="L243" i="11"/>
  <c r="F244" i="11"/>
  <c r="G244" i="11"/>
  <c r="I244" i="11"/>
  <c r="J244" i="11"/>
  <c r="L244" i="11"/>
  <c r="F245" i="11"/>
  <c r="G245" i="11"/>
  <c r="I245" i="11"/>
  <c r="J245" i="11"/>
  <c r="L245" i="11"/>
  <c r="F246" i="11"/>
  <c r="G246" i="11"/>
  <c r="I246" i="11"/>
  <c r="J246" i="11"/>
  <c r="L246" i="11"/>
  <c r="F247" i="11"/>
  <c r="I247" i="11"/>
  <c r="L247" i="11"/>
  <c r="F248" i="11"/>
  <c r="I248" i="11"/>
  <c r="L248" i="11"/>
  <c r="F249" i="11"/>
  <c r="I249" i="11"/>
  <c r="L249" i="11"/>
  <c r="F250" i="11"/>
  <c r="I250" i="11"/>
  <c r="L250" i="11"/>
  <c r="R250" i="11"/>
  <c r="F251" i="11"/>
  <c r="G251" i="11"/>
  <c r="I251" i="11"/>
  <c r="J251" i="11"/>
  <c r="L251" i="11"/>
  <c r="R251" i="11"/>
  <c r="F252" i="11"/>
  <c r="G252" i="11"/>
  <c r="I252" i="11"/>
  <c r="J252" i="11"/>
  <c r="L252" i="11"/>
  <c r="F253" i="11"/>
  <c r="G253" i="11"/>
  <c r="I253" i="11"/>
  <c r="J253" i="11"/>
  <c r="L253" i="11"/>
  <c r="F254" i="11"/>
  <c r="G254" i="11"/>
  <c r="I254" i="11"/>
  <c r="J254" i="11"/>
  <c r="L254" i="11"/>
  <c r="F255" i="11"/>
  <c r="G255" i="11"/>
  <c r="I255" i="11"/>
  <c r="J255" i="11"/>
  <c r="L255" i="11"/>
  <c r="F256" i="11"/>
  <c r="G256" i="11"/>
  <c r="I256" i="11"/>
  <c r="J256" i="11"/>
  <c r="L256" i="11"/>
  <c r="F257" i="11"/>
  <c r="G257" i="11"/>
  <c r="I257" i="11"/>
  <c r="J257" i="11"/>
  <c r="L257" i="11"/>
  <c r="F258" i="11"/>
  <c r="I258" i="11"/>
  <c r="L258" i="11"/>
  <c r="F259" i="11"/>
  <c r="G259" i="11"/>
  <c r="I259" i="11"/>
  <c r="J259" i="11"/>
  <c r="L259" i="11"/>
  <c r="F260" i="11"/>
  <c r="G260" i="11"/>
  <c r="I260" i="11"/>
  <c r="J260" i="11"/>
  <c r="L260" i="11"/>
  <c r="F261" i="11"/>
  <c r="G261" i="11"/>
  <c r="I261" i="11"/>
  <c r="J261" i="11"/>
  <c r="L261" i="11"/>
  <c r="F262" i="11"/>
  <c r="G262" i="11"/>
  <c r="I262" i="11"/>
  <c r="J262" i="11"/>
  <c r="L262" i="11"/>
  <c r="F263" i="11"/>
  <c r="G263" i="11"/>
  <c r="I263" i="11"/>
  <c r="J263" i="11"/>
  <c r="L263" i="11"/>
  <c r="F264" i="11"/>
  <c r="G264" i="11"/>
  <c r="I264" i="11"/>
  <c r="J264" i="11"/>
  <c r="L264" i="11"/>
  <c r="F265" i="11"/>
  <c r="G265" i="11"/>
  <c r="I265" i="11"/>
  <c r="J265" i="11"/>
  <c r="L265" i="11"/>
  <c r="F266" i="11"/>
  <c r="G266" i="11"/>
  <c r="I266" i="11"/>
  <c r="J266" i="11"/>
  <c r="L266" i="11"/>
  <c r="F267" i="11"/>
  <c r="G267" i="11"/>
  <c r="I267" i="11"/>
  <c r="J267" i="11"/>
  <c r="L267" i="11"/>
  <c r="F268" i="11"/>
  <c r="G268" i="11"/>
  <c r="I268" i="11"/>
  <c r="J268" i="11"/>
  <c r="L268" i="11"/>
  <c r="F269" i="11"/>
  <c r="G269" i="11"/>
  <c r="I269" i="11"/>
  <c r="J269" i="11"/>
  <c r="L269" i="11"/>
  <c r="F270" i="11"/>
  <c r="I270" i="11"/>
  <c r="L270" i="11"/>
  <c r="F271" i="11"/>
  <c r="I271" i="11"/>
  <c r="L271" i="11"/>
  <c r="F272" i="11"/>
  <c r="I272" i="11"/>
  <c r="L272" i="11"/>
  <c r="F273" i="11"/>
  <c r="G273" i="11"/>
  <c r="I273" i="11"/>
  <c r="J273" i="11"/>
  <c r="L273" i="11"/>
  <c r="F274" i="11"/>
  <c r="G274" i="11"/>
  <c r="I274" i="11"/>
  <c r="J274" i="11"/>
  <c r="L274" i="11"/>
  <c r="F275" i="11"/>
  <c r="G275" i="11"/>
  <c r="I275" i="11"/>
  <c r="J275" i="11"/>
  <c r="L275" i="11"/>
  <c r="F276" i="11"/>
  <c r="G276" i="11"/>
  <c r="I276" i="11"/>
  <c r="J276" i="11"/>
  <c r="L276" i="11"/>
  <c r="F277" i="11"/>
  <c r="G277" i="11"/>
  <c r="I277" i="11"/>
  <c r="J277" i="11"/>
  <c r="L277" i="11"/>
  <c r="F278" i="11"/>
  <c r="G278" i="11"/>
  <c r="I278" i="11"/>
  <c r="J278" i="11"/>
  <c r="L278" i="11"/>
  <c r="F279" i="11"/>
  <c r="G279" i="11"/>
  <c r="I279" i="11"/>
  <c r="J279" i="11"/>
  <c r="L279" i="11"/>
  <c r="F280" i="11"/>
  <c r="G280" i="11"/>
  <c r="I280" i="11"/>
  <c r="J280" i="11"/>
  <c r="L280" i="11"/>
  <c r="F281" i="11"/>
  <c r="G281" i="11"/>
  <c r="I281" i="11"/>
  <c r="J281" i="11"/>
  <c r="L281" i="11"/>
  <c r="F282" i="11"/>
  <c r="I282" i="11"/>
  <c r="L282" i="11"/>
  <c r="F283" i="11"/>
  <c r="G283" i="11"/>
  <c r="I283" i="11"/>
  <c r="J283" i="11"/>
  <c r="L283" i="11"/>
  <c r="F284" i="11"/>
  <c r="G284" i="11"/>
  <c r="I284" i="11"/>
  <c r="J284" i="11"/>
  <c r="L284" i="11"/>
  <c r="F285" i="11"/>
  <c r="G285" i="11"/>
  <c r="I285" i="11"/>
  <c r="J285" i="11"/>
  <c r="L285" i="11"/>
  <c r="F286" i="11"/>
  <c r="G286" i="11"/>
  <c r="I286" i="11"/>
  <c r="J286" i="11"/>
  <c r="L286" i="11"/>
  <c r="F287" i="11"/>
  <c r="G287" i="11"/>
  <c r="I287" i="11"/>
  <c r="J287" i="11"/>
  <c r="L287" i="11"/>
  <c r="F288" i="11"/>
  <c r="G288" i="11"/>
  <c r="I288" i="11"/>
  <c r="J288" i="11"/>
  <c r="L288" i="11"/>
  <c r="F289" i="11"/>
  <c r="G289" i="11"/>
  <c r="I289" i="11"/>
  <c r="J289" i="11"/>
  <c r="L289" i="11"/>
  <c r="F290" i="11"/>
  <c r="G290" i="11"/>
  <c r="I290" i="11"/>
  <c r="J290" i="11"/>
  <c r="L290" i="11"/>
  <c r="F291" i="11"/>
  <c r="G291" i="11"/>
  <c r="I291" i="11"/>
  <c r="J291" i="11"/>
  <c r="L291" i="11"/>
  <c r="F292" i="11"/>
  <c r="G292" i="11"/>
  <c r="I292" i="11"/>
  <c r="J292" i="11"/>
  <c r="L292" i="11"/>
  <c r="F293" i="11"/>
  <c r="G293" i="11"/>
  <c r="I293" i="11"/>
  <c r="J293" i="11"/>
  <c r="L293" i="11"/>
  <c r="F294" i="11"/>
  <c r="G294" i="11"/>
  <c r="I294" i="11"/>
  <c r="J294" i="11"/>
  <c r="L294" i="11"/>
  <c r="F295" i="11"/>
  <c r="G295" i="11"/>
  <c r="I295" i="11"/>
  <c r="J295" i="11"/>
  <c r="L295" i="11"/>
  <c r="F296" i="11"/>
  <c r="G296" i="11"/>
  <c r="I296" i="11"/>
  <c r="J296" i="11"/>
  <c r="L296" i="11"/>
  <c r="F297" i="11"/>
  <c r="G297" i="11"/>
  <c r="I297" i="11"/>
  <c r="J297" i="11"/>
  <c r="L297" i="11"/>
  <c r="F298" i="11"/>
  <c r="G298" i="11"/>
  <c r="I298" i="11"/>
  <c r="J298" i="11"/>
  <c r="L298" i="11"/>
  <c r="F299" i="11"/>
  <c r="G299" i="11"/>
  <c r="I299" i="11"/>
  <c r="J299" i="11"/>
  <c r="L299" i="11"/>
  <c r="F300" i="11"/>
  <c r="G300" i="11"/>
  <c r="I300" i="11"/>
  <c r="J300" i="11"/>
  <c r="L300" i="11"/>
  <c r="F301" i="11"/>
  <c r="G301" i="11"/>
  <c r="I301" i="11"/>
  <c r="J301" i="11"/>
  <c r="L301" i="11"/>
  <c r="F302" i="11"/>
  <c r="G302" i="11"/>
  <c r="I302" i="11"/>
  <c r="J302" i="11"/>
  <c r="L302" i="11"/>
  <c r="F303" i="11"/>
  <c r="G303" i="11"/>
  <c r="I303" i="11"/>
  <c r="J303" i="11"/>
  <c r="L303" i="11"/>
  <c r="F304" i="11"/>
  <c r="G304" i="11"/>
  <c r="I304" i="11"/>
  <c r="J304" i="11"/>
  <c r="L304" i="11"/>
  <c r="F305" i="11"/>
  <c r="G305" i="11"/>
  <c r="I305" i="11"/>
  <c r="J305" i="11"/>
  <c r="L305" i="11"/>
  <c r="F306" i="11"/>
  <c r="G306" i="11"/>
  <c r="I306" i="11"/>
  <c r="J306" i="11"/>
  <c r="L306" i="11"/>
  <c r="F307" i="11"/>
  <c r="G307" i="11"/>
  <c r="I307" i="11"/>
  <c r="J307" i="11"/>
  <c r="L307" i="11"/>
  <c r="F308" i="11"/>
  <c r="G308" i="11"/>
  <c r="I308" i="11"/>
  <c r="J308" i="11"/>
  <c r="L308" i="11"/>
  <c r="F309" i="11"/>
  <c r="G309" i="11"/>
  <c r="I309" i="11"/>
  <c r="J309" i="11"/>
  <c r="L309" i="11"/>
  <c r="F310" i="11"/>
  <c r="G310" i="11"/>
  <c r="I310" i="11"/>
  <c r="J310" i="11"/>
  <c r="L310" i="11"/>
  <c r="F311" i="11"/>
  <c r="G311" i="11"/>
  <c r="I311" i="11"/>
  <c r="J311" i="11"/>
  <c r="L311" i="11"/>
  <c r="F312" i="11"/>
  <c r="G312" i="11"/>
  <c r="I312" i="11"/>
  <c r="J312" i="11"/>
  <c r="L312" i="11"/>
  <c r="F313" i="11"/>
  <c r="G313" i="11"/>
  <c r="I313" i="11"/>
  <c r="J313" i="11"/>
  <c r="L313" i="11"/>
  <c r="F314" i="11"/>
  <c r="G314" i="11"/>
  <c r="I314" i="11"/>
  <c r="J314" i="11"/>
  <c r="L314" i="11"/>
  <c r="F315" i="11"/>
  <c r="G315" i="11"/>
  <c r="I315" i="11"/>
  <c r="J315" i="11"/>
  <c r="L315" i="11"/>
  <c r="F316" i="11"/>
  <c r="G316" i="11"/>
  <c r="I316" i="11"/>
  <c r="J316" i="11"/>
  <c r="L316" i="11"/>
  <c r="F317" i="11"/>
  <c r="G317" i="11"/>
  <c r="I317" i="11"/>
  <c r="J317" i="11"/>
  <c r="L317" i="11"/>
  <c r="F318" i="11"/>
  <c r="G318" i="11"/>
  <c r="I318" i="11"/>
  <c r="J318" i="11"/>
  <c r="L318" i="11"/>
  <c r="F319" i="11"/>
  <c r="G319" i="11"/>
  <c r="I319" i="11"/>
  <c r="J319" i="11"/>
  <c r="L319" i="11"/>
  <c r="F320" i="11"/>
  <c r="G320" i="11"/>
  <c r="I320" i="11"/>
  <c r="J320" i="11"/>
  <c r="L320" i="11"/>
  <c r="F321" i="11"/>
  <c r="G321" i="11"/>
  <c r="I321" i="11"/>
  <c r="J321" i="11"/>
  <c r="L321" i="11"/>
  <c r="F322" i="11"/>
  <c r="G322" i="11"/>
  <c r="I322" i="11"/>
  <c r="J322" i="11"/>
  <c r="L322" i="11"/>
  <c r="F323" i="11"/>
  <c r="G323" i="11"/>
  <c r="I323" i="11"/>
  <c r="J323" i="11"/>
  <c r="L323" i="11"/>
  <c r="F324" i="11"/>
  <c r="G324" i="11"/>
  <c r="I324" i="11"/>
  <c r="J324" i="11"/>
  <c r="L324" i="11"/>
  <c r="F325" i="11"/>
  <c r="G325" i="11"/>
  <c r="I325" i="11"/>
  <c r="J325" i="11"/>
  <c r="L325" i="11"/>
  <c r="F326" i="11"/>
  <c r="G326" i="11"/>
  <c r="I326" i="11"/>
  <c r="J326" i="11"/>
  <c r="L326" i="11"/>
  <c r="F327" i="11"/>
  <c r="G327" i="11"/>
  <c r="I327" i="11"/>
  <c r="J327" i="11"/>
  <c r="L327" i="11"/>
  <c r="F328" i="11"/>
  <c r="G328" i="11"/>
  <c r="I328" i="11"/>
  <c r="J328" i="11"/>
  <c r="L328" i="11"/>
  <c r="F329" i="11"/>
  <c r="G329" i="11"/>
  <c r="I329" i="11"/>
  <c r="J329" i="11"/>
  <c r="L329" i="11"/>
  <c r="F330" i="11"/>
  <c r="G330" i="11"/>
  <c r="I330" i="11"/>
  <c r="J330" i="11"/>
  <c r="L330" i="11"/>
  <c r="F331" i="11"/>
  <c r="G331" i="11"/>
  <c r="I331" i="11"/>
  <c r="J331" i="11"/>
  <c r="L331" i="11"/>
  <c r="F332" i="11"/>
  <c r="G332" i="11"/>
  <c r="I332" i="11"/>
  <c r="J332" i="11"/>
  <c r="L332" i="11"/>
  <c r="F333" i="11"/>
  <c r="G333" i="11"/>
  <c r="I333" i="11"/>
  <c r="J333" i="11"/>
  <c r="L333" i="11"/>
  <c r="F334" i="11"/>
  <c r="G334" i="11"/>
  <c r="I334" i="11"/>
  <c r="J334" i="11"/>
  <c r="L334" i="11"/>
  <c r="F335" i="11"/>
  <c r="G335" i="11"/>
  <c r="I335" i="11"/>
  <c r="J335" i="11"/>
  <c r="L335" i="11"/>
  <c r="F336" i="11"/>
  <c r="G336" i="11"/>
  <c r="I336" i="11"/>
  <c r="J336" i="11"/>
  <c r="L336" i="11"/>
  <c r="F337" i="11"/>
  <c r="G337" i="11"/>
  <c r="I337" i="11"/>
  <c r="J337" i="11"/>
  <c r="L337" i="11"/>
  <c r="F338" i="11"/>
  <c r="G338" i="11"/>
  <c r="I338" i="11"/>
  <c r="J338" i="11"/>
  <c r="L338" i="11"/>
  <c r="F339" i="11"/>
  <c r="G339" i="11"/>
  <c r="I339" i="11"/>
  <c r="J339" i="11"/>
  <c r="L339" i="11"/>
  <c r="F340" i="11"/>
  <c r="G340" i="11"/>
  <c r="I340" i="11"/>
  <c r="J340" i="11"/>
  <c r="L340" i="11"/>
  <c r="F341" i="11"/>
  <c r="G341" i="11"/>
  <c r="I341" i="11"/>
  <c r="J341" i="11"/>
  <c r="L341" i="11"/>
  <c r="F342" i="11"/>
  <c r="G342" i="11"/>
  <c r="I342" i="11"/>
  <c r="J342" i="11"/>
  <c r="L342" i="11"/>
  <c r="F343" i="11"/>
  <c r="G343" i="11"/>
  <c r="I343" i="11"/>
  <c r="J343" i="11"/>
  <c r="L343" i="11"/>
  <c r="F344" i="11"/>
  <c r="G344" i="11"/>
  <c r="I344" i="11"/>
  <c r="J344" i="11"/>
  <c r="L344" i="11"/>
  <c r="F345" i="11"/>
  <c r="G345" i="11"/>
  <c r="I345" i="11"/>
  <c r="J345" i="11"/>
  <c r="L345" i="11"/>
  <c r="F346" i="11"/>
  <c r="G346" i="11"/>
  <c r="I346" i="11"/>
  <c r="J346" i="11"/>
  <c r="L346" i="11"/>
  <c r="F347" i="11"/>
  <c r="G347" i="11"/>
  <c r="I347" i="11"/>
  <c r="J347" i="11"/>
  <c r="L347" i="11"/>
  <c r="F348" i="11"/>
  <c r="G348" i="11"/>
  <c r="I348" i="11"/>
  <c r="J348" i="11"/>
  <c r="L348" i="11"/>
  <c r="F349" i="11"/>
  <c r="G349" i="11"/>
  <c r="I349" i="11"/>
  <c r="J349" i="11"/>
  <c r="L349" i="11"/>
  <c r="F350" i="11"/>
  <c r="G350" i="11"/>
  <c r="I350" i="11"/>
  <c r="J350" i="11"/>
  <c r="L350" i="11"/>
  <c r="F351" i="11"/>
  <c r="G351" i="11"/>
  <c r="I351" i="11"/>
  <c r="J351" i="11"/>
  <c r="L351" i="11"/>
  <c r="F352" i="11"/>
  <c r="G352" i="11"/>
  <c r="I352" i="11"/>
  <c r="J352" i="11"/>
  <c r="L352" i="11"/>
  <c r="F353" i="11"/>
  <c r="G353" i="11"/>
  <c r="I353" i="11"/>
  <c r="J353" i="11"/>
  <c r="L353" i="11"/>
  <c r="F354" i="11"/>
  <c r="G354" i="11"/>
  <c r="I354" i="11"/>
  <c r="J354" i="11"/>
  <c r="L354" i="11"/>
  <c r="F355" i="11"/>
  <c r="G355" i="11"/>
  <c r="I355" i="11"/>
  <c r="J355" i="11"/>
  <c r="L355" i="11"/>
  <c r="F356" i="11"/>
  <c r="G356" i="11"/>
  <c r="I356" i="11"/>
  <c r="J356" i="11"/>
  <c r="L356" i="11"/>
  <c r="F357" i="11"/>
  <c r="G357" i="11"/>
  <c r="I357" i="11"/>
  <c r="J357" i="11"/>
  <c r="L357" i="11"/>
  <c r="F358" i="11"/>
  <c r="G358" i="11"/>
  <c r="I358" i="11"/>
  <c r="J358" i="11"/>
  <c r="L358" i="11"/>
  <c r="F359" i="11"/>
  <c r="G359" i="11"/>
  <c r="I359" i="11"/>
  <c r="J359" i="11"/>
  <c r="L359" i="11"/>
  <c r="F360" i="11"/>
  <c r="G360" i="11"/>
  <c r="I360" i="11"/>
  <c r="J360" i="11"/>
  <c r="L360" i="11"/>
  <c r="F361" i="11"/>
  <c r="G361" i="11"/>
  <c r="I361" i="11"/>
  <c r="J361" i="11"/>
  <c r="L361" i="11"/>
  <c r="F362" i="11"/>
  <c r="G362" i="11"/>
  <c r="I362" i="11"/>
  <c r="J362" i="11"/>
  <c r="L362" i="11"/>
  <c r="F363" i="11"/>
  <c r="G363" i="11"/>
  <c r="I363" i="11"/>
  <c r="J363" i="11"/>
  <c r="L363" i="11"/>
  <c r="F364" i="11"/>
  <c r="G364" i="11"/>
  <c r="I364" i="11"/>
  <c r="J364" i="11"/>
  <c r="L364" i="11"/>
  <c r="F365" i="11"/>
  <c r="G365" i="11"/>
  <c r="I365" i="11"/>
  <c r="J365" i="11"/>
  <c r="L365" i="11"/>
  <c r="F366" i="11"/>
  <c r="G366" i="11"/>
  <c r="I366" i="11"/>
  <c r="J366" i="11"/>
  <c r="L366" i="11"/>
  <c r="F367" i="11"/>
  <c r="G367" i="11"/>
  <c r="I367" i="11"/>
  <c r="J367" i="11"/>
  <c r="L367" i="11"/>
  <c r="F368" i="11"/>
  <c r="G368" i="11"/>
  <c r="I368" i="11"/>
  <c r="J368" i="11"/>
  <c r="L368" i="11"/>
  <c r="F369" i="11"/>
  <c r="G369" i="11"/>
  <c r="I369" i="11"/>
  <c r="J369" i="11"/>
  <c r="L369" i="11"/>
  <c r="F370" i="11"/>
  <c r="G370" i="11"/>
  <c r="I370" i="11"/>
  <c r="J370" i="11"/>
  <c r="L370" i="11"/>
  <c r="F371" i="11"/>
  <c r="G371" i="11"/>
  <c r="I371" i="11"/>
  <c r="J371" i="11"/>
  <c r="L371" i="11"/>
  <c r="F372" i="11"/>
  <c r="G372" i="11"/>
  <c r="I372" i="11"/>
  <c r="J372" i="11"/>
  <c r="L372" i="11"/>
  <c r="F373" i="11"/>
  <c r="G373" i="11"/>
  <c r="I373" i="11"/>
  <c r="J373" i="11"/>
  <c r="L373" i="11"/>
  <c r="F374" i="11"/>
  <c r="G374" i="11"/>
  <c r="I374" i="11"/>
  <c r="J374" i="11"/>
  <c r="L374" i="11"/>
  <c r="F375" i="11"/>
  <c r="G375" i="11"/>
  <c r="I375" i="11"/>
  <c r="J375" i="11"/>
  <c r="L375" i="11"/>
  <c r="F376" i="11"/>
  <c r="G376" i="11"/>
  <c r="I376" i="11"/>
  <c r="J376" i="11"/>
  <c r="L376" i="11"/>
  <c r="F377" i="11"/>
  <c r="G377" i="11"/>
  <c r="I377" i="11"/>
  <c r="J377" i="11"/>
  <c r="L377" i="11"/>
  <c r="F378" i="11"/>
  <c r="G378" i="11"/>
  <c r="I378" i="11"/>
  <c r="J378" i="11"/>
  <c r="L378" i="11"/>
  <c r="F379" i="11"/>
  <c r="G379" i="11"/>
  <c r="I379" i="11"/>
  <c r="J379" i="11"/>
  <c r="L379" i="11"/>
  <c r="F380" i="11"/>
  <c r="G380" i="11"/>
  <c r="I380" i="11"/>
  <c r="J380" i="11"/>
  <c r="L380" i="11"/>
  <c r="F381" i="11"/>
  <c r="G381" i="11"/>
  <c r="I381" i="11"/>
  <c r="J381" i="11"/>
  <c r="L381" i="11"/>
  <c r="F382" i="11"/>
  <c r="G382" i="11"/>
  <c r="I382" i="11"/>
  <c r="J382" i="11"/>
  <c r="L382" i="11"/>
  <c r="F383" i="11"/>
  <c r="G383" i="11"/>
  <c r="I383" i="11"/>
  <c r="J383" i="11"/>
  <c r="L383" i="11"/>
  <c r="F384" i="11"/>
  <c r="G384" i="11"/>
  <c r="I384" i="11"/>
  <c r="J384" i="11"/>
  <c r="L384" i="11"/>
  <c r="F385" i="11"/>
  <c r="G385" i="11"/>
  <c r="I385" i="11"/>
  <c r="J385" i="11"/>
  <c r="L385" i="11"/>
  <c r="F386" i="11"/>
  <c r="G386" i="11"/>
  <c r="I386" i="11"/>
  <c r="J386" i="11"/>
  <c r="L386" i="11"/>
  <c r="F387" i="11"/>
  <c r="G387" i="11"/>
  <c r="I387" i="11"/>
  <c r="J387" i="11"/>
  <c r="L387" i="11"/>
  <c r="F388" i="11"/>
  <c r="G388" i="11"/>
  <c r="I388" i="11"/>
  <c r="J388" i="11"/>
  <c r="L388" i="11"/>
  <c r="F389" i="11"/>
  <c r="G389" i="11"/>
  <c r="I389" i="11"/>
  <c r="J389" i="11"/>
  <c r="L389" i="11"/>
  <c r="F390" i="11"/>
  <c r="G390" i="11"/>
  <c r="I390" i="11"/>
  <c r="J390" i="11"/>
  <c r="L390" i="11"/>
  <c r="F391" i="11"/>
  <c r="G391" i="11"/>
  <c r="I391" i="11"/>
  <c r="J391" i="11"/>
  <c r="L391" i="11"/>
  <c r="F392" i="11"/>
  <c r="G392" i="11"/>
  <c r="I392" i="11"/>
  <c r="J392" i="11"/>
  <c r="L392" i="11"/>
  <c r="F393" i="11"/>
  <c r="G393" i="11"/>
  <c r="I393" i="11"/>
  <c r="J393" i="11"/>
  <c r="L393" i="11"/>
  <c r="F394" i="11"/>
  <c r="G394" i="11"/>
  <c r="I394" i="11"/>
  <c r="J394" i="11"/>
  <c r="L394" i="11"/>
  <c r="F395" i="11"/>
  <c r="G395" i="11"/>
  <c r="I395" i="11"/>
  <c r="J395" i="11"/>
  <c r="L395" i="11"/>
  <c r="F396" i="11"/>
  <c r="G396" i="11"/>
  <c r="I396" i="11"/>
  <c r="J396" i="11"/>
  <c r="L396" i="11"/>
  <c r="F397" i="11"/>
  <c r="G397" i="11"/>
  <c r="I397" i="11"/>
  <c r="J397" i="11"/>
  <c r="L397" i="11"/>
  <c r="F398" i="11"/>
  <c r="G398" i="11"/>
  <c r="I398" i="11"/>
  <c r="J398" i="11"/>
  <c r="L398" i="11"/>
  <c r="F399" i="11"/>
  <c r="G399" i="11"/>
  <c r="I399" i="11"/>
  <c r="J399" i="11"/>
  <c r="L399" i="11"/>
  <c r="F400" i="11"/>
  <c r="G400" i="11"/>
  <c r="I400" i="11"/>
  <c r="J400" i="11"/>
  <c r="L400" i="11"/>
  <c r="F401" i="11"/>
  <c r="G401" i="11"/>
  <c r="I401" i="11"/>
  <c r="J401" i="11"/>
  <c r="L401" i="11"/>
  <c r="F402" i="11"/>
  <c r="G402" i="11"/>
  <c r="I402" i="11"/>
  <c r="J402" i="11"/>
  <c r="L402" i="11"/>
  <c r="F403" i="11"/>
  <c r="G403" i="11"/>
  <c r="I403" i="11"/>
  <c r="J403" i="11"/>
  <c r="L403" i="11"/>
  <c r="F404" i="11"/>
  <c r="G404" i="11"/>
  <c r="I404" i="11"/>
  <c r="J404" i="11"/>
  <c r="L404" i="11"/>
  <c r="F405" i="11"/>
  <c r="G405" i="11"/>
  <c r="I405" i="11"/>
  <c r="J405" i="11"/>
  <c r="L405" i="11"/>
  <c r="F406" i="11"/>
  <c r="G406" i="11"/>
  <c r="I406" i="11"/>
  <c r="J406" i="11"/>
  <c r="L406" i="11"/>
  <c r="F407" i="11"/>
  <c r="G407" i="11"/>
  <c r="I407" i="11"/>
  <c r="J407" i="11"/>
  <c r="L407" i="11"/>
  <c r="F408" i="11"/>
  <c r="G408" i="11"/>
  <c r="I408" i="11"/>
  <c r="J408" i="11"/>
  <c r="L408" i="11"/>
  <c r="F409" i="11"/>
  <c r="G409" i="11"/>
  <c r="I409" i="11"/>
  <c r="J409" i="11"/>
  <c r="L409" i="11"/>
  <c r="F410" i="11"/>
  <c r="G410" i="11"/>
  <c r="I410" i="11"/>
  <c r="J410" i="11"/>
  <c r="L410" i="11"/>
  <c r="F411" i="11"/>
  <c r="G411" i="11"/>
  <c r="I411" i="11"/>
  <c r="J411" i="11"/>
  <c r="L411" i="11"/>
  <c r="F412" i="11"/>
  <c r="G412" i="11"/>
  <c r="I412" i="11"/>
  <c r="J412" i="11"/>
  <c r="L412" i="11"/>
  <c r="F413" i="11"/>
  <c r="G413" i="11"/>
  <c r="I413" i="11"/>
  <c r="J413" i="11"/>
  <c r="L413" i="11"/>
  <c r="F414" i="11"/>
  <c r="G414" i="11"/>
  <c r="I414" i="11"/>
  <c r="J414" i="11"/>
  <c r="L414" i="11"/>
  <c r="F415" i="11"/>
  <c r="G415" i="11"/>
  <c r="I415" i="11"/>
  <c r="J415" i="11"/>
  <c r="L415" i="11"/>
  <c r="F416" i="11"/>
  <c r="G416" i="11"/>
  <c r="I416" i="11"/>
  <c r="J416" i="11"/>
  <c r="L416" i="11"/>
  <c r="F417" i="11"/>
  <c r="G417" i="11"/>
  <c r="I417" i="11"/>
  <c r="J417" i="11"/>
  <c r="L417" i="11"/>
  <c r="F418" i="11"/>
  <c r="G418" i="11"/>
  <c r="I418" i="11"/>
  <c r="J418" i="11"/>
  <c r="L418" i="11"/>
  <c r="F419" i="11"/>
  <c r="G419" i="11"/>
  <c r="I419" i="11"/>
  <c r="J419" i="11"/>
  <c r="L419" i="11"/>
  <c r="F420" i="11"/>
  <c r="G420" i="11"/>
  <c r="I420" i="11"/>
  <c r="J420" i="11"/>
  <c r="L420" i="11"/>
  <c r="F421" i="11"/>
  <c r="G421" i="11"/>
  <c r="I421" i="11"/>
  <c r="J421" i="11"/>
  <c r="L421" i="11"/>
  <c r="F422" i="11"/>
  <c r="G422" i="11"/>
  <c r="I422" i="11"/>
  <c r="J422" i="11"/>
  <c r="L422" i="11"/>
  <c r="F423" i="11"/>
  <c r="G423" i="11"/>
  <c r="I423" i="11"/>
  <c r="J423" i="11"/>
  <c r="L423" i="11"/>
  <c r="F424" i="11"/>
  <c r="G424" i="11"/>
  <c r="I424" i="11"/>
  <c r="J424" i="11"/>
  <c r="L424" i="11"/>
  <c r="F425" i="11"/>
  <c r="G425" i="11"/>
  <c r="I425" i="11"/>
  <c r="J425" i="11"/>
  <c r="L425" i="11"/>
  <c r="F426" i="11"/>
  <c r="G426" i="11"/>
  <c r="I426" i="11"/>
  <c r="J426" i="11"/>
  <c r="L426" i="11"/>
  <c r="F427" i="11"/>
  <c r="G427" i="11"/>
  <c r="I427" i="11"/>
  <c r="J427" i="11"/>
  <c r="L427" i="11"/>
  <c r="F428" i="11"/>
  <c r="G428" i="11"/>
  <c r="I428" i="11"/>
  <c r="J428" i="11"/>
  <c r="L428" i="11"/>
  <c r="F429" i="11"/>
  <c r="G429" i="11"/>
  <c r="I429" i="11"/>
  <c r="J429" i="11"/>
  <c r="L429" i="11"/>
  <c r="F430" i="11"/>
  <c r="G430" i="11"/>
  <c r="I430" i="11"/>
  <c r="J430" i="11"/>
  <c r="L430" i="11"/>
  <c r="F431" i="11"/>
  <c r="G431" i="11"/>
  <c r="I431" i="11"/>
  <c r="J431" i="11"/>
  <c r="L431" i="11"/>
  <c r="F432" i="11"/>
  <c r="G432" i="11"/>
  <c r="I432" i="11"/>
  <c r="J432" i="11"/>
  <c r="L432" i="11"/>
  <c r="F433" i="11"/>
  <c r="G433" i="11"/>
  <c r="I433" i="11"/>
  <c r="J433" i="11"/>
  <c r="L433" i="11"/>
  <c r="F434" i="11"/>
  <c r="G434" i="11"/>
  <c r="I434" i="11"/>
  <c r="J434" i="11"/>
  <c r="L434" i="11"/>
  <c r="F435" i="11"/>
  <c r="G435" i="11"/>
  <c r="I435" i="11"/>
  <c r="J435" i="11"/>
  <c r="L435" i="11"/>
  <c r="F436" i="11"/>
  <c r="G436" i="11"/>
  <c r="I436" i="11"/>
  <c r="J436" i="11"/>
  <c r="L436" i="11"/>
  <c r="F437" i="11"/>
  <c r="G437" i="11"/>
  <c r="I437" i="11"/>
  <c r="J437" i="11"/>
  <c r="L437" i="11"/>
  <c r="F438" i="11"/>
  <c r="I438" i="11"/>
  <c r="L438" i="11"/>
  <c r="F439" i="11"/>
  <c r="G439" i="11"/>
  <c r="I439" i="11"/>
  <c r="J439" i="11"/>
  <c r="L439" i="11"/>
  <c r="F440" i="11"/>
  <c r="G440" i="11"/>
  <c r="I440" i="11"/>
  <c r="J440" i="11"/>
  <c r="L440" i="11"/>
  <c r="F441" i="11"/>
  <c r="G441" i="11"/>
  <c r="I441" i="11"/>
  <c r="J441" i="11"/>
  <c r="L441" i="11"/>
  <c r="F442" i="11"/>
  <c r="G442" i="11"/>
  <c r="I442" i="11"/>
  <c r="J442" i="11"/>
  <c r="L442" i="11"/>
  <c r="F443" i="11"/>
  <c r="G443" i="11"/>
  <c r="I443" i="11"/>
  <c r="J443" i="11"/>
  <c r="L443" i="11"/>
  <c r="F444" i="11"/>
  <c r="G444" i="11"/>
  <c r="I444" i="11"/>
  <c r="J444" i="11"/>
  <c r="L444" i="11"/>
  <c r="F445" i="11"/>
  <c r="G445" i="11"/>
  <c r="I445" i="11"/>
  <c r="J445" i="11"/>
  <c r="L445" i="11"/>
  <c r="F446" i="11"/>
  <c r="G446" i="11"/>
  <c r="I446" i="11"/>
  <c r="J446" i="11"/>
  <c r="L446" i="11"/>
  <c r="F447" i="11"/>
  <c r="G447" i="11"/>
  <c r="I447" i="11"/>
  <c r="J447" i="11"/>
  <c r="L447" i="11"/>
  <c r="F448" i="11"/>
  <c r="G448" i="11"/>
  <c r="I448" i="11"/>
  <c r="J448" i="11"/>
  <c r="L448" i="11"/>
  <c r="F449" i="11"/>
  <c r="G449" i="11"/>
  <c r="I449" i="11"/>
  <c r="J449" i="11"/>
  <c r="L449" i="11"/>
  <c r="F450" i="11"/>
  <c r="G450" i="11"/>
  <c r="I450" i="11"/>
  <c r="J450" i="11"/>
  <c r="L450" i="11"/>
  <c r="F451" i="11"/>
  <c r="G451" i="11"/>
  <c r="I451" i="11"/>
  <c r="J451" i="11"/>
  <c r="L451" i="11"/>
  <c r="F452" i="11"/>
  <c r="G452" i="11"/>
  <c r="I452" i="11"/>
  <c r="J452" i="11"/>
  <c r="L452" i="11"/>
  <c r="F453" i="11"/>
  <c r="G453" i="11"/>
  <c r="I453" i="11"/>
  <c r="J453" i="11"/>
  <c r="L453" i="11"/>
  <c r="F454" i="11"/>
  <c r="G454" i="11"/>
  <c r="I454" i="11"/>
  <c r="J454" i="11"/>
  <c r="L454" i="11"/>
  <c r="F455" i="11"/>
  <c r="G455" i="11"/>
  <c r="I455" i="11"/>
  <c r="J455" i="11"/>
  <c r="L455" i="11"/>
  <c r="F456" i="11"/>
  <c r="G456" i="11"/>
  <c r="I456" i="11"/>
  <c r="J456" i="11"/>
  <c r="L456" i="11"/>
  <c r="F457" i="11"/>
  <c r="G457" i="11"/>
  <c r="I457" i="11"/>
  <c r="J457" i="11"/>
  <c r="L457" i="11"/>
  <c r="F458" i="11"/>
  <c r="G458" i="11"/>
  <c r="I458" i="11"/>
  <c r="J458" i="11"/>
  <c r="L458" i="11"/>
  <c r="F459" i="11"/>
  <c r="G459" i="11"/>
  <c r="I459" i="11"/>
  <c r="J459" i="11"/>
  <c r="L459" i="11"/>
  <c r="F460" i="11"/>
  <c r="G460" i="11"/>
  <c r="I460" i="11"/>
  <c r="J460" i="11"/>
  <c r="L460" i="11"/>
  <c r="F461" i="11"/>
  <c r="G461" i="11"/>
  <c r="I461" i="11"/>
  <c r="J461" i="11"/>
  <c r="L461" i="11"/>
  <c r="F462" i="11"/>
  <c r="G462" i="11"/>
  <c r="I462" i="11"/>
  <c r="J462" i="11"/>
  <c r="L462" i="11"/>
  <c r="F463" i="11"/>
  <c r="G463" i="11"/>
  <c r="I463" i="11"/>
  <c r="J463" i="11"/>
  <c r="L463" i="11"/>
  <c r="F464" i="11"/>
  <c r="G464" i="11"/>
  <c r="I464" i="11"/>
  <c r="J464" i="11"/>
  <c r="L464" i="11"/>
  <c r="F465" i="11"/>
  <c r="G465" i="11"/>
  <c r="I465" i="11"/>
  <c r="J465" i="11"/>
  <c r="L465" i="11"/>
  <c r="F466" i="11"/>
  <c r="G466" i="11"/>
  <c r="I466" i="11"/>
  <c r="J466" i="11"/>
  <c r="L466" i="11"/>
  <c r="F467" i="11"/>
  <c r="G467" i="11"/>
  <c r="I467" i="11"/>
  <c r="J467" i="11"/>
  <c r="L467" i="11"/>
  <c r="F468" i="11"/>
  <c r="G468" i="11"/>
  <c r="I468" i="11"/>
  <c r="J468" i="11"/>
  <c r="L468" i="11"/>
  <c r="F469" i="11"/>
  <c r="G469" i="11"/>
  <c r="I469" i="11"/>
  <c r="J469" i="11"/>
  <c r="L469" i="11"/>
  <c r="F470" i="11"/>
  <c r="G470" i="11"/>
  <c r="I470" i="11"/>
  <c r="J470" i="11"/>
  <c r="L470" i="11"/>
  <c r="F471" i="11"/>
  <c r="G471" i="11"/>
  <c r="I471" i="11"/>
  <c r="J471" i="11"/>
  <c r="L471" i="11"/>
  <c r="F472" i="11"/>
  <c r="G472" i="11"/>
  <c r="I472" i="11"/>
  <c r="J472" i="11"/>
  <c r="L472" i="11"/>
  <c r="F473" i="11"/>
  <c r="G473" i="11"/>
  <c r="I473" i="11"/>
  <c r="J473" i="11"/>
  <c r="L473" i="11"/>
  <c r="F474" i="11"/>
  <c r="G474" i="11"/>
  <c r="I474" i="11"/>
  <c r="J474" i="11"/>
  <c r="L474" i="11"/>
  <c r="F475" i="11"/>
  <c r="G475" i="11"/>
  <c r="I475" i="11"/>
  <c r="J475" i="11"/>
  <c r="L475" i="11"/>
  <c r="F476" i="11"/>
  <c r="G476" i="11"/>
  <c r="I476" i="11"/>
  <c r="J476" i="11"/>
  <c r="L476" i="11"/>
  <c r="F477" i="11"/>
  <c r="G477" i="11"/>
  <c r="I477" i="11"/>
  <c r="J477" i="11"/>
  <c r="L477" i="11"/>
  <c r="F478" i="11"/>
  <c r="G478" i="11"/>
  <c r="I478" i="11"/>
  <c r="J478" i="11"/>
  <c r="L478" i="11"/>
  <c r="F479" i="11"/>
  <c r="G479" i="11"/>
  <c r="I479" i="11"/>
  <c r="J479" i="11"/>
  <c r="L479" i="11"/>
  <c r="F480" i="11"/>
  <c r="G480" i="11"/>
  <c r="I480" i="11"/>
  <c r="J480" i="11"/>
  <c r="L480" i="11"/>
  <c r="F481" i="11"/>
  <c r="G481" i="11"/>
  <c r="I481" i="11"/>
  <c r="J481" i="11"/>
  <c r="L481" i="11"/>
  <c r="F482" i="11"/>
  <c r="G482" i="11"/>
  <c r="I482" i="11"/>
  <c r="J482" i="11"/>
  <c r="L482" i="11"/>
  <c r="F483" i="11"/>
  <c r="G483" i="11"/>
  <c r="I483" i="11"/>
  <c r="J483" i="11"/>
  <c r="L483" i="11"/>
  <c r="F484" i="11"/>
  <c r="G484" i="11"/>
  <c r="I484" i="11"/>
  <c r="J484" i="11"/>
  <c r="L484" i="11"/>
  <c r="F485" i="11"/>
  <c r="G485" i="11"/>
  <c r="I485" i="11"/>
  <c r="J485" i="11"/>
  <c r="L485" i="11"/>
  <c r="F486" i="11"/>
  <c r="G486" i="11"/>
  <c r="I486" i="11"/>
  <c r="J486" i="11"/>
  <c r="L486" i="11"/>
  <c r="F487" i="11"/>
  <c r="G487" i="11"/>
  <c r="I487" i="11"/>
  <c r="J487" i="11"/>
  <c r="L487" i="11"/>
  <c r="F488" i="11"/>
  <c r="G488" i="11"/>
  <c r="I488" i="11"/>
  <c r="J488" i="11"/>
  <c r="L488" i="11"/>
  <c r="F489" i="11"/>
  <c r="G489" i="11"/>
  <c r="I489" i="11"/>
  <c r="J489" i="11"/>
  <c r="L489" i="11"/>
  <c r="F490" i="11"/>
  <c r="G490" i="11"/>
  <c r="I490" i="11"/>
  <c r="J490" i="11"/>
  <c r="L490" i="11"/>
  <c r="F491" i="11"/>
  <c r="G491" i="11"/>
  <c r="I491" i="11"/>
  <c r="J491" i="11"/>
  <c r="L491" i="11"/>
  <c r="F492" i="11"/>
  <c r="G492" i="11"/>
  <c r="I492" i="11"/>
  <c r="J492" i="11"/>
  <c r="L492" i="11"/>
  <c r="F493" i="11"/>
  <c r="G493" i="11"/>
  <c r="I493" i="11"/>
  <c r="J493" i="11"/>
  <c r="L493" i="11"/>
  <c r="F494" i="11"/>
  <c r="G494" i="11"/>
  <c r="I494" i="11"/>
  <c r="J494" i="11"/>
  <c r="L494" i="11"/>
  <c r="F495" i="11"/>
  <c r="G495" i="11"/>
  <c r="I495" i="11"/>
  <c r="J495" i="11"/>
  <c r="L495" i="11"/>
  <c r="F496" i="11"/>
  <c r="G496" i="11"/>
  <c r="I496" i="11"/>
  <c r="J496" i="11"/>
  <c r="L496" i="11"/>
  <c r="F497" i="11"/>
  <c r="G497" i="11"/>
  <c r="I497" i="11"/>
  <c r="J497" i="11"/>
  <c r="L497" i="11"/>
  <c r="F498" i="11"/>
  <c r="G498" i="11"/>
  <c r="I498" i="11"/>
  <c r="J498" i="11"/>
  <c r="L498" i="11"/>
  <c r="F499" i="11"/>
  <c r="G499" i="11"/>
  <c r="I499" i="11"/>
  <c r="J499" i="11"/>
  <c r="L499" i="11"/>
  <c r="F500" i="11"/>
  <c r="G500" i="11"/>
  <c r="I500" i="11"/>
  <c r="J500" i="11"/>
  <c r="L500" i="11"/>
  <c r="F501" i="11"/>
  <c r="G501" i="11"/>
  <c r="I501" i="11"/>
  <c r="J501" i="11"/>
  <c r="L501" i="11"/>
  <c r="F502" i="11"/>
  <c r="G502" i="11"/>
  <c r="I502" i="11"/>
  <c r="J502" i="11"/>
  <c r="L502" i="11"/>
  <c r="F503" i="11"/>
  <c r="G503" i="11"/>
  <c r="I503" i="11"/>
  <c r="J503" i="11"/>
  <c r="L503" i="11"/>
  <c r="F504" i="11"/>
  <c r="I504" i="11"/>
  <c r="L504" i="11"/>
  <c r="F505" i="11"/>
  <c r="I505" i="11"/>
  <c r="L505" i="11"/>
  <c r="F506" i="11"/>
  <c r="G506" i="11"/>
  <c r="I506" i="11"/>
  <c r="J506" i="11"/>
  <c r="L506" i="11"/>
  <c r="F507" i="11"/>
  <c r="G507" i="11"/>
  <c r="I507" i="11"/>
  <c r="J507" i="11"/>
  <c r="L507" i="11"/>
  <c r="F508" i="11"/>
  <c r="G508" i="11"/>
  <c r="I508" i="11"/>
  <c r="J508" i="11"/>
  <c r="L508" i="11"/>
  <c r="F509" i="11"/>
  <c r="I509" i="11"/>
  <c r="L509" i="11"/>
  <c r="F510" i="11"/>
  <c r="G510" i="11"/>
  <c r="I510" i="11"/>
  <c r="J510" i="11"/>
  <c r="L510" i="11"/>
  <c r="F511" i="11"/>
  <c r="G511" i="11"/>
  <c r="I511" i="11"/>
  <c r="J511" i="11"/>
  <c r="L511" i="11"/>
  <c r="F512" i="11"/>
  <c r="G512" i="11"/>
  <c r="I512" i="11"/>
  <c r="J512" i="11"/>
  <c r="L512" i="11"/>
  <c r="F513" i="11"/>
  <c r="G513" i="11"/>
  <c r="I513" i="11"/>
  <c r="J513" i="11"/>
  <c r="L513" i="11"/>
  <c r="F514" i="11"/>
  <c r="G514" i="11"/>
  <c r="I514" i="11"/>
  <c r="J514" i="11"/>
  <c r="L514" i="11"/>
  <c r="F515" i="11"/>
  <c r="G515" i="11"/>
  <c r="I515" i="11"/>
  <c r="J515" i="11"/>
  <c r="L515" i="11"/>
  <c r="F516" i="11"/>
  <c r="G516" i="11"/>
  <c r="I516" i="11"/>
  <c r="J516" i="11"/>
  <c r="L516" i="11"/>
  <c r="F517" i="11"/>
  <c r="G517" i="11"/>
  <c r="I517" i="11"/>
  <c r="J517" i="11"/>
  <c r="L517" i="11"/>
  <c r="F518" i="11"/>
  <c r="G518" i="11"/>
  <c r="I518" i="11"/>
  <c r="J518" i="11"/>
  <c r="L518" i="11"/>
  <c r="F519" i="11"/>
  <c r="G519" i="11"/>
  <c r="I519" i="11"/>
  <c r="J519" i="11"/>
  <c r="L519" i="11"/>
  <c r="F520" i="11"/>
  <c r="G520" i="11"/>
  <c r="I520" i="11"/>
  <c r="J520" i="11"/>
  <c r="L520" i="11"/>
  <c r="F521" i="11"/>
  <c r="G521" i="11"/>
  <c r="I521" i="11"/>
  <c r="J521" i="11"/>
  <c r="L521" i="11"/>
  <c r="F522" i="11"/>
  <c r="I522" i="11"/>
  <c r="L522" i="11"/>
  <c r="F523" i="11"/>
  <c r="G523" i="11"/>
  <c r="I523" i="11"/>
  <c r="J523" i="11"/>
  <c r="L523" i="11"/>
  <c r="F524" i="11"/>
  <c r="G524" i="11"/>
  <c r="I524" i="11"/>
  <c r="J524" i="11"/>
  <c r="L524" i="11"/>
  <c r="F525" i="11"/>
  <c r="G525" i="11"/>
  <c r="I525" i="11"/>
  <c r="J525" i="11"/>
  <c r="L525" i="11"/>
  <c r="F526" i="11"/>
  <c r="G526" i="11"/>
  <c r="I526" i="11"/>
  <c r="J526" i="11"/>
  <c r="L526" i="11"/>
  <c r="F527" i="11"/>
  <c r="I527" i="11"/>
  <c r="L527" i="11"/>
  <c r="F528" i="11"/>
  <c r="I528" i="11"/>
  <c r="J528" i="11"/>
  <c r="L528" i="11"/>
  <c r="F529" i="11"/>
  <c r="G529" i="11"/>
  <c r="I529" i="11"/>
  <c r="J529" i="11"/>
  <c r="L529" i="11"/>
  <c r="F530" i="11"/>
  <c r="G530" i="11"/>
  <c r="I530" i="11"/>
  <c r="J530" i="11"/>
  <c r="L530" i="11"/>
  <c r="F531" i="11"/>
  <c r="G531" i="11"/>
  <c r="I531" i="11"/>
  <c r="J531" i="11"/>
  <c r="L531" i="11"/>
  <c r="F532" i="11"/>
  <c r="G532" i="11"/>
  <c r="I532" i="11"/>
  <c r="J532" i="11"/>
  <c r="L532" i="11"/>
  <c r="F533" i="11"/>
  <c r="G533" i="11"/>
  <c r="I533" i="11"/>
  <c r="J533" i="11"/>
  <c r="L533" i="11"/>
  <c r="F534" i="11"/>
  <c r="G534" i="11"/>
  <c r="I534" i="11"/>
  <c r="J534" i="11"/>
  <c r="L534" i="11"/>
  <c r="F535" i="11"/>
  <c r="G535" i="11"/>
  <c r="I535" i="11"/>
  <c r="J535" i="11"/>
  <c r="L535" i="11"/>
  <c r="G536" i="11"/>
  <c r="I536" i="11"/>
  <c r="J536" i="11"/>
  <c r="L536" i="11"/>
  <c r="G537" i="11"/>
  <c r="I537" i="11"/>
  <c r="J537" i="11"/>
  <c r="L537" i="11"/>
  <c r="G538" i="11"/>
  <c r="I538" i="11"/>
  <c r="J538" i="11"/>
  <c r="L538" i="11"/>
  <c r="G539" i="11"/>
  <c r="I539" i="11"/>
  <c r="J539" i="11"/>
  <c r="L539" i="11"/>
  <c r="G540" i="11"/>
  <c r="I540" i="11"/>
  <c r="J540" i="11"/>
  <c r="L540" i="11"/>
  <c r="G541" i="11"/>
  <c r="I541" i="11"/>
  <c r="J541" i="11"/>
  <c r="L541" i="11"/>
  <c r="G542" i="11"/>
  <c r="I542" i="11"/>
  <c r="J542" i="11"/>
  <c r="L542" i="11"/>
  <c r="G543" i="11"/>
  <c r="I543" i="11"/>
  <c r="J543" i="11"/>
  <c r="L543" i="11"/>
  <c r="G544" i="11"/>
  <c r="I544" i="11"/>
  <c r="J544" i="11"/>
  <c r="L544" i="11"/>
  <c r="G545" i="11"/>
  <c r="I545" i="11"/>
  <c r="J545" i="11"/>
  <c r="L545" i="11"/>
  <c r="G546" i="11"/>
  <c r="I546" i="11"/>
  <c r="J546" i="11"/>
  <c r="L546" i="11"/>
  <c r="G547" i="11"/>
  <c r="I547" i="11"/>
  <c r="J547" i="11"/>
  <c r="L547" i="11"/>
  <c r="G548" i="11"/>
  <c r="I548" i="11"/>
  <c r="J548" i="11"/>
  <c r="L548" i="11"/>
  <c r="G549" i="11"/>
  <c r="I549" i="11"/>
  <c r="J549" i="11"/>
  <c r="L549" i="11"/>
  <c r="G550" i="11"/>
  <c r="I550" i="11"/>
  <c r="J550" i="11"/>
  <c r="L550" i="11"/>
  <c r="G551" i="11"/>
  <c r="I551" i="11"/>
  <c r="J551" i="11"/>
  <c r="L551" i="11"/>
  <c r="F2" i="10"/>
  <c r="G2" i="10"/>
  <c r="I2" i="10"/>
  <c r="J2" i="10"/>
  <c r="L2" i="10"/>
  <c r="F3" i="10"/>
  <c r="G3" i="10"/>
  <c r="I3" i="10"/>
  <c r="J3" i="10"/>
  <c r="L3" i="10"/>
  <c r="F4" i="10"/>
  <c r="G4" i="10"/>
  <c r="I4" i="10"/>
  <c r="J4" i="10"/>
  <c r="L4" i="10"/>
  <c r="F5" i="10"/>
  <c r="G5" i="10"/>
  <c r="I5" i="10"/>
  <c r="J5" i="10"/>
  <c r="L5" i="10"/>
  <c r="F6" i="10"/>
  <c r="G6" i="10"/>
  <c r="I6" i="10"/>
  <c r="J6" i="10"/>
  <c r="L6" i="10"/>
  <c r="F7" i="10"/>
  <c r="G7" i="10"/>
  <c r="I7" i="10"/>
  <c r="J7" i="10"/>
  <c r="L7" i="10"/>
  <c r="F8" i="10"/>
  <c r="G8" i="10"/>
  <c r="I8" i="10"/>
  <c r="J8" i="10"/>
  <c r="L8" i="10"/>
  <c r="F9" i="10"/>
  <c r="G9" i="10"/>
  <c r="I9" i="10"/>
  <c r="J9" i="10"/>
  <c r="L9" i="10"/>
  <c r="F10" i="10"/>
  <c r="G10" i="10"/>
  <c r="I10" i="10"/>
  <c r="J10" i="10"/>
  <c r="L10" i="10"/>
  <c r="F11" i="10"/>
  <c r="G11" i="10"/>
  <c r="I11" i="10"/>
  <c r="J11" i="10"/>
  <c r="L11" i="10"/>
  <c r="F12" i="10"/>
  <c r="G12" i="10"/>
  <c r="I12" i="10"/>
  <c r="J12" i="10"/>
  <c r="L12" i="10"/>
  <c r="F13" i="10"/>
  <c r="G13" i="10"/>
  <c r="I13" i="10"/>
  <c r="J13" i="10"/>
  <c r="L13" i="10"/>
  <c r="F14" i="10"/>
  <c r="G14" i="10"/>
  <c r="I14" i="10"/>
  <c r="J14" i="10"/>
  <c r="L14" i="10"/>
  <c r="F15" i="10"/>
  <c r="G15" i="10"/>
  <c r="I15" i="10"/>
  <c r="J15" i="10"/>
  <c r="L15" i="10"/>
  <c r="F16" i="10"/>
  <c r="G16" i="10"/>
  <c r="I16" i="10"/>
  <c r="J16" i="10"/>
  <c r="L16" i="10"/>
  <c r="F17" i="10"/>
  <c r="G17" i="10"/>
  <c r="I17" i="10"/>
  <c r="J17" i="10"/>
  <c r="L17" i="10"/>
  <c r="F18" i="10"/>
  <c r="G18" i="10"/>
  <c r="I18" i="10"/>
  <c r="J18" i="10"/>
  <c r="L18" i="10"/>
  <c r="F19" i="10"/>
  <c r="G19" i="10"/>
  <c r="I19" i="10"/>
  <c r="J19" i="10"/>
  <c r="L19" i="10"/>
  <c r="F20" i="10"/>
  <c r="G20" i="10"/>
  <c r="I20" i="10"/>
  <c r="J20" i="10"/>
  <c r="L20" i="10"/>
  <c r="F21" i="10"/>
  <c r="G21" i="10"/>
  <c r="I21" i="10"/>
  <c r="J21" i="10"/>
  <c r="L21" i="10"/>
  <c r="F22" i="10"/>
  <c r="G22" i="10"/>
  <c r="I22" i="10"/>
  <c r="J22" i="10"/>
  <c r="L22" i="10"/>
  <c r="F23" i="10"/>
  <c r="G23" i="10"/>
  <c r="I23" i="10"/>
  <c r="J23" i="10"/>
  <c r="L23" i="10"/>
  <c r="F24" i="10"/>
  <c r="G24" i="10"/>
  <c r="I24" i="10"/>
  <c r="J24" i="10"/>
  <c r="L24" i="10"/>
  <c r="F25" i="10"/>
  <c r="G25" i="10"/>
  <c r="I25" i="10"/>
  <c r="J25" i="10"/>
  <c r="L25" i="10"/>
  <c r="F26" i="10"/>
  <c r="G26" i="10"/>
  <c r="I26" i="10"/>
  <c r="J26" i="10"/>
  <c r="L26" i="10"/>
  <c r="F27" i="10"/>
  <c r="G27" i="10"/>
  <c r="I27" i="10"/>
  <c r="J27" i="10"/>
  <c r="L27" i="10"/>
  <c r="F28" i="10"/>
  <c r="G28" i="10"/>
  <c r="I28" i="10"/>
  <c r="J28" i="10"/>
  <c r="L28" i="10"/>
  <c r="F29" i="10"/>
  <c r="G29" i="10"/>
  <c r="I29" i="10"/>
  <c r="J29" i="10"/>
  <c r="L29" i="10"/>
  <c r="F30" i="10"/>
  <c r="G30" i="10"/>
  <c r="I30" i="10"/>
  <c r="J30" i="10"/>
  <c r="L30" i="10"/>
  <c r="F31" i="10"/>
  <c r="G31" i="10"/>
  <c r="I31" i="10"/>
  <c r="J31" i="10"/>
  <c r="L31" i="10"/>
  <c r="F32" i="10"/>
  <c r="G32" i="10"/>
  <c r="I32" i="10"/>
  <c r="J32" i="10"/>
  <c r="L32" i="10"/>
  <c r="F33" i="10"/>
  <c r="G33" i="10"/>
  <c r="I33" i="10"/>
  <c r="J33" i="10"/>
  <c r="L33" i="10"/>
  <c r="F34" i="10"/>
  <c r="I34" i="10"/>
  <c r="L34" i="10"/>
  <c r="F35" i="10"/>
  <c r="G35" i="10"/>
  <c r="I35" i="10"/>
  <c r="J35" i="10"/>
  <c r="L35" i="10"/>
  <c r="F36" i="10"/>
  <c r="G36" i="10"/>
  <c r="I36" i="10"/>
  <c r="J36" i="10"/>
  <c r="L36" i="10"/>
  <c r="F37" i="10"/>
  <c r="G37" i="10"/>
  <c r="I37" i="10"/>
  <c r="J37" i="10"/>
  <c r="L37" i="10"/>
  <c r="F38" i="10"/>
  <c r="G38" i="10"/>
  <c r="I38" i="10"/>
  <c r="J38" i="10"/>
  <c r="L38" i="10"/>
  <c r="F39" i="10"/>
  <c r="G39" i="10"/>
  <c r="I39" i="10"/>
  <c r="J39" i="10"/>
  <c r="L39" i="10"/>
  <c r="F40" i="10"/>
  <c r="G40" i="10"/>
  <c r="I40" i="10"/>
  <c r="J40" i="10"/>
  <c r="L40" i="10"/>
  <c r="F41" i="10"/>
  <c r="G41" i="10"/>
  <c r="I41" i="10"/>
  <c r="J41" i="10"/>
  <c r="L41" i="10"/>
  <c r="F42" i="10"/>
  <c r="G42" i="10"/>
  <c r="I42" i="10"/>
  <c r="J42" i="10"/>
  <c r="L42" i="10"/>
  <c r="F43" i="10"/>
  <c r="G43" i="10"/>
  <c r="I43" i="10"/>
  <c r="J43" i="10"/>
  <c r="L43" i="10"/>
  <c r="F44" i="10"/>
  <c r="G44" i="10"/>
  <c r="I44" i="10"/>
  <c r="J44" i="10"/>
  <c r="L44" i="10"/>
  <c r="F45" i="10"/>
  <c r="G45" i="10"/>
  <c r="I45" i="10"/>
  <c r="J45" i="10"/>
  <c r="L45" i="10"/>
  <c r="F46" i="10"/>
  <c r="G46" i="10"/>
  <c r="I46" i="10"/>
  <c r="J46" i="10"/>
  <c r="L46" i="10"/>
  <c r="F47" i="10"/>
  <c r="G47" i="10"/>
  <c r="I47" i="10"/>
  <c r="J47" i="10"/>
  <c r="L47" i="10"/>
  <c r="F48" i="10"/>
  <c r="G48" i="10"/>
  <c r="I48" i="10"/>
  <c r="J48" i="10"/>
  <c r="L48" i="10"/>
  <c r="F49" i="10"/>
  <c r="G49" i="10"/>
  <c r="I49" i="10"/>
  <c r="J49" i="10"/>
  <c r="L49" i="10"/>
  <c r="F50" i="10"/>
  <c r="G50" i="10"/>
  <c r="I50" i="10"/>
  <c r="J50" i="10"/>
  <c r="L50" i="10"/>
  <c r="F51" i="10"/>
  <c r="G51" i="10"/>
  <c r="I51" i="10"/>
  <c r="J51" i="10"/>
  <c r="L51" i="10"/>
  <c r="F52" i="10"/>
  <c r="G52" i="10"/>
  <c r="I52" i="10"/>
  <c r="J52" i="10"/>
  <c r="L52" i="10"/>
  <c r="F53" i="10"/>
  <c r="G53" i="10"/>
  <c r="I53" i="10"/>
  <c r="J53" i="10"/>
  <c r="L53" i="10"/>
  <c r="F54" i="10"/>
  <c r="G54" i="10"/>
  <c r="I54" i="10"/>
  <c r="J54" i="10"/>
  <c r="L54" i="10"/>
  <c r="F55" i="10"/>
  <c r="G55" i="10"/>
  <c r="I55" i="10"/>
  <c r="J55" i="10"/>
  <c r="L55" i="10"/>
  <c r="F56" i="10"/>
  <c r="G56" i="10"/>
  <c r="I56" i="10"/>
  <c r="J56" i="10"/>
  <c r="L56" i="10"/>
  <c r="F57" i="10"/>
  <c r="G57" i="10"/>
  <c r="I57" i="10"/>
  <c r="J57" i="10"/>
  <c r="L57" i="10"/>
  <c r="F58" i="10"/>
  <c r="G58" i="10"/>
  <c r="I58" i="10"/>
  <c r="J58" i="10"/>
  <c r="L58" i="10"/>
  <c r="F59" i="10"/>
  <c r="G59" i="10"/>
  <c r="I59" i="10"/>
  <c r="J59" i="10"/>
  <c r="L59" i="10"/>
  <c r="F60" i="10"/>
  <c r="G60" i="10"/>
  <c r="I60" i="10"/>
  <c r="J60" i="10"/>
  <c r="L60" i="10"/>
  <c r="F61" i="10"/>
  <c r="G61" i="10"/>
  <c r="I61" i="10"/>
  <c r="J61" i="10"/>
  <c r="L61" i="10"/>
  <c r="F62" i="10"/>
  <c r="G62" i="10"/>
  <c r="I62" i="10"/>
  <c r="J62" i="10"/>
  <c r="L62" i="10"/>
  <c r="F63" i="10"/>
  <c r="G63" i="10"/>
  <c r="I63" i="10"/>
  <c r="J63" i="10"/>
  <c r="L63" i="10"/>
  <c r="F64" i="10"/>
  <c r="G64" i="10"/>
  <c r="I64" i="10"/>
  <c r="J64" i="10"/>
  <c r="L64" i="10"/>
  <c r="F65" i="10"/>
  <c r="G65" i="10"/>
  <c r="I65" i="10"/>
  <c r="J65" i="10"/>
  <c r="L65" i="10"/>
  <c r="F66" i="10"/>
  <c r="G66" i="10"/>
  <c r="I66" i="10"/>
  <c r="J66" i="10"/>
  <c r="L66" i="10"/>
  <c r="F67" i="10"/>
  <c r="G67" i="10"/>
  <c r="I67" i="10"/>
  <c r="J67" i="10"/>
  <c r="L67" i="10"/>
  <c r="F68" i="10"/>
  <c r="G68" i="10"/>
  <c r="I68" i="10"/>
  <c r="J68" i="10"/>
  <c r="L68" i="10"/>
  <c r="F69" i="10"/>
  <c r="G69" i="10"/>
  <c r="I69" i="10"/>
  <c r="J69" i="10"/>
  <c r="L69" i="10"/>
  <c r="F70" i="10"/>
  <c r="G70" i="10"/>
  <c r="I70" i="10"/>
  <c r="J70" i="10"/>
  <c r="L70" i="10"/>
  <c r="F71" i="10"/>
  <c r="G71" i="10"/>
  <c r="I71" i="10"/>
  <c r="J71" i="10"/>
  <c r="L71" i="10"/>
  <c r="F72" i="10"/>
  <c r="G72" i="10"/>
  <c r="I72" i="10"/>
  <c r="J72" i="10"/>
  <c r="L72" i="10"/>
  <c r="F73" i="10"/>
  <c r="G73" i="10"/>
  <c r="I73" i="10"/>
  <c r="J73" i="10"/>
  <c r="L73" i="10"/>
  <c r="F74" i="10"/>
  <c r="G74" i="10"/>
  <c r="I74" i="10"/>
  <c r="J74" i="10"/>
  <c r="L74" i="10"/>
  <c r="F75" i="10"/>
  <c r="I75" i="10"/>
  <c r="J75" i="10"/>
  <c r="L75" i="10"/>
  <c r="F76" i="10"/>
  <c r="I76" i="10"/>
  <c r="J76" i="10"/>
  <c r="L76" i="10"/>
  <c r="F77" i="10"/>
  <c r="I77" i="10"/>
  <c r="J77" i="10"/>
  <c r="L77" i="10"/>
  <c r="F78" i="10"/>
  <c r="G78" i="10"/>
  <c r="I78" i="10"/>
  <c r="J78" i="10"/>
  <c r="L78" i="10"/>
  <c r="F79" i="10"/>
  <c r="G79" i="10"/>
  <c r="I79" i="10"/>
  <c r="J79" i="10"/>
  <c r="L79" i="10"/>
  <c r="F80" i="10"/>
  <c r="G80" i="10"/>
  <c r="I80" i="10"/>
  <c r="J80" i="10"/>
  <c r="L80" i="10"/>
  <c r="F81" i="10"/>
  <c r="G81" i="10"/>
  <c r="I81" i="10"/>
  <c r="J81" i="10"/>
  <c r="L81" i="10"/>
  <c r="F82" i="10"/>
  <c r="G82" i="10"/>
  <c r="I82" i="10"/>
  <c r="J82" i="10"/>
  <c r="L82" i="10"/>
  <c r="F83" i="10"/>
  <c r="G83" i="10"/>
  <c r="I83" i="10"/>
  <c r="J83" i="10"/>
  <c r="L83" i="10"/>
  <c r="F84" i="10"/>
  <c r="G84" i="10"/>
  <c r="I84" i="10"/>
  <c r="J84" i="10"/>
  <c r="L84" i="10"/>
  <c r="F85" i="10"/>
  <c r="G85" i="10"/>
  <c r="I85" i="10"/>
  <c r="J85" i="10"/>
  <c r="L85" i="10"/>
  <c r="F86" i="10"/>
  <c r="G86" i="10"/>
  <c r="I86" i="10"/>
  <c r="J86" i="10"/>
  <c r="L86" i="10"/>
  <c r="F87" i="10"/>
  <c r="G87" i="10"/>
  <c r="I87" i="10"/>
  <c r="J87" i="10"/>
  <c r="L87" i="10"/>
  <c r="F88" i="10"/>
  <c r="G88" i="10"/>
  <c r="I88" i="10"/>
  <c r="J88" i="10"/>
  <c r="L88" i="10"/>
  <c r="F89" i="10"/>
  <c r="G89" i="10"/>
  <c r="I89" i="10"/>
  <c r="J89" i="10"/>
  <c r="L89" i="10"/>
  <c r="F90" i="10"/>
  <c r="G90" i="10"/>
  <c r="I90" i="10"/>
  <c r="J90" i="10"/>
  <c r="L90" i="10"/>
  <c r="F91" i="10"/>
  <c r="G91" i="10"/>
  <c r="I91" i="10"/>
  <c r="J91" i="10"/>
  <c r="L91" i="10"/>
  <c r="F92" i="10"/>
  <c r="G92" i="10"/>
  <c r="I92" i="10"/>
  <c r="J92" i="10"/>
  <c r="L92" i="10"/>
  <c r="F93" i="10"/>
  <c r="G93" i="10"/>
  <c r="I93" i="10"/>
  <c r="J93" i="10"/>
  <c r="L93" i="10"/>
  <c r="F94" i="10"/>
  <c r="G94" i="10"/>
  <c r="I94" i="10"/>
  <c r="J94" i="10"/>
  <c r="L94" i="10"/>
  <c r="F95" i="10"/>
  <c r="G95" i="10"/>
  <c r="I95" i="10"/>
  <c r="J95" i="10"/>
  <c r="L95" i="10"/>
  <c r="F96" i="10"/>
  <c r="G96" i="10"/>
  <c r="I96" i="10"/>
  <c r="J96" i="10"/>
  <c r="L96" i="10"/>
  <c r="F97" i="10"/>
  <c r="G97" i="10"/>
  <c r="I97" i="10"/>
  <c r="J97" i="10"/>
  <c r="L97" i="10"/>
  <c r="F98" i="10"/>
  <c r="G98" i="10"/>
  <c r="I98" i="10"/>
  <c r="J98" i="10"/>
  <c r="L98" i="10"/>
  <c r="F99" i="10"/>
  <c r="G99" i="10"/>
  <c r="I99" i="10"/>
  <c r="J99" i="10"/>
  <c r="L99" i="10"/>
  <c r="F100" i="10"/>
  <c r="G100" i="10"/>
  <c r="I100" i="10"/>
  <c r="J100" i="10"/>
  <c r="L100" i="10"/>
  <c r="F101" i="10"/>
  <c r="I101" i="10"/>
  <c r="J101" i="10"/>
  <c r="L101" i="10"/>
  <c r="F102" i="10"/>
  <c r="G102" i="10"/>
  <c r="I102" i="10"/>
  <c r="J102" i="10"/>
  <c r="L102" i="10"/>
  <c r="F103" i="10"/>
  <c r="G103" i="10"/>
  <c r="I103" i="10"/>
  <c r="J103" i="10"/>
  <c r="L103" i="10"/>
  <c r="F104" i="10"/>
  <c r="G104" i="10"/>
  <c r="I104" i="10"/>
  <c r="J104" i="10"/>
  <c r="L104" i="10"/>
  <c r="F105" i="10"/>
  <c r="G105" i="10"/>
  <c r="I105" i="10"/>
  <c r="J105" i="10"/>
  <c r="L105" i="10"/>
  <c r="F106" i="10"/>
  <c r="G106" i="10"/>
  <c r="I106" i="10"/>
  <c r="J106" i="10"/>
  <c r="L106" i="10"/>
  <c r="F107" i="10"/>
  <c r="G107" i="10"/>
  <c r="I107" i="10"/>
  <c r="J107" i="10"/>
  <c r="L107" i="10"/>
  <c r="F108" i="10"/>
  <c r="G108" i="10"/>
  <c r="I108" i="10"/>
  <c r="J108" i="10"/>
  <c r="L108" i="10"/>
  <c r="F109" i="10"/>
  <c r="G109" i="10"/>
  <c r="I109" i="10"/>
  <c r="J109" i="10"/>
  <c r="L109" i="10"/>
  <c r="F110" i="10"/>
  <c r="G110" i="10"/>
  <c r="I110" i="10"/>
  <c r="J110" i="10"/>
  <c r="L110" i="10"/>
  <c r="F111" i="10"/>
  <c r="G111" i="10"/>
  <c r="I111" i="10"/>
  <c r="J111" i="10"/>
  <c r="L111" i="10"/>
  <c r="F112" i="10"/>
  <c r="G112" i="10"/>
  <c r="I112" i="10"/>
  <c r="J112" i="10"/>
  <c r="L112" i="10"/>
  <c r="F113" i="10"/>
  <c r="I113" i="10"/>
  <c r="L113" i="10"/>
  <c r="F114" i="10"/>
  <c r="G114" i="10"/>
  <c r="I114" i="10"/>
  <c r="J114" i="10"/>
  <c r="L114" i="10"/>
  <c r="F115" i="10"/>
  <c r="G115" i="10"/>
  <c r="I115" i="10"/>
  <c r="J115" i="10"/>
  <c r="L115" i="10"/>
  <c r="F116" i="10"/>
  <c r="G116" i="10"/>
  <c r="I116" i="10"/>
  <c r="J116" i="10"/>
  <c r="L116" i="10"/>
  <c r="F117" i="10"/>
  <c r="G117" i="10"/>
  <c r="I117" i="10"/>
  <c r="J117" i="10"/>
  <c r="L117" i="10"/>
  <c r="F118" i="10"/>
  <c r="G118" i="10"/>
  <c r="I118" i="10"/>
  <c r="J118" i="10"/>
  <c r="L118" i="10"/>
  <c r="F119" i="10"/>
  <c r="I119" i="10"/>
  <c r="L119" i="10"/>
  <c r="F120" i="10"/>
  <c r="G120" i="10"/>
  <c r="I120" i="10"/>
  <c r="J120" i="10"/>
  <c r="L120" i="10"/>
  <c r="F121" i="10"/>
  <c r="G121" i="10"/>
  <c r="I121" i="10"/>
  <c r="J121" i="10"/>
  <c r="L121" i="10"/>
  <c r="F122" i="10"/>
  <c r="G122" i="10"/>
  <c r="I122" i="10"/>
  <c r="J122" i="10"/>
  <c r="L122" i="10"/>
  <c r="F123" i="10"/>
  <c r="G123" i="10"/>
  <c r="I123" i="10"/>
  <c r="J123" i="10"/>
  <c r="L123" i="10"/>
  <c r="F124" i="10"/>
  <c r="G124" i="10"/>
  <c r="I124" i="10"/>
  <c r="J124" i="10"/>
  <c r="L124" i="10"/>
  <c r="F125" i="10"/>
  <c r="G125" i="10"/>
  <c r="I125" i="10"/>
  <c r="J125" i="10"/>
  <c r="L125" i="10"/>
  <c r="F126" i="10"/>
  <c r="G126" i="10"/>
  <c r="I126" i="10"/>
  <c r="J126" i="10"/>
  <c r="L126" i="10"/>
  <c r="F127" i="10"/>
  <c r="G127" i="10"/>
  <c r="I127" i="10"/>
  <c r="J127" i="10"/>
  <c r="L127" i="10"/>
  <c r="F128" i="10"/>
  <c r="G128" i="10"/>
  <c r="I128" i="10"/>
  <c r="J128" i="10"/>
  <c r="L128" i="10"/>
  <c r="F129" i="10"/>
  <c r="I129" i="10"/>
  <c r="L129" i="10"/>
  <c r="F130" i="10"/>
  <c r="G130" i="10"/>
  <c r="I130" i="10"/>
  <c r="J130" i="10"/>
  <c r="L130" i="10"/>
  <c r="F131" i="10"/>
  <c r="G131" i="10"/>
  <c r="I131" i="10"/>
  <c r="J131" i="10"/>
  <c r="L131" i="10"/>
  <c r="F132" i="10"/>
  <c r="G132" i="10"/>
  <c r="I132" i="10"/>
  <c r="J132" i="10"/>
  <c r="L132" i="10"/>
  <c r="F133" i="10"/>
  <c r="G133" i="10"/>
  <c r="I133" i="10"/>
  <c r="J133" i="10"/>
  <c r="L133" i="10"/>
  <c r="F134" i="10"/>
  <c r="G134" i="10"/>
  <c r="I134" i="10"/>
  <c r="J134" i="10"/>
  <c r="L134" i="10"/>
  <c r="F135" i="10"/>
  <c r="G135" i="10"/>
  <c r="I135" i="10"/>
  <c r="J135" i="10"/>
  <c r="L135" i="10"/>
  <c r="F136" i="10"/>
  <c r="G136" i="10"/>
  <c r="I136" i="10"/>
  <c r="J136" i="10"/>
  <c r="L136" i="10"/>
  <c r="F137" i="10"/>
  <c r="G137" i="10"/>
  <c r="I137" i="10"/>
  <c r="J137" i="10"/>
  <c r="L137" i="10"/>
  <c r="F138" i="10"/>
  <c r="G138" i="10"/>
  <c r="I138" i="10"/>
  <c r="J138" i="10"/>
  <c r="L138" i="10"/>
  <c r="F139" i="10"/>
  <c r="G139" i="10"/>
  <c r="I139" i="10"/>
  <c r="J139" i="10"/>
  <c r="L139" i="10"/>
  <c r="F140" i="10"/>
  <c r="G140" i="10"/>
  <c r="I140" i="10"/>
  <c r="J140" i="10"/>
  <c r="L140" i="10"/>
  <c r="F141" i="10"/>
  <c r="G141" i="10"/>
  <c r="I141" i="10"/>
  <c r="J141" i="10"/>
  <c r="L141" i="10"/>
  <c r="F142" i="10"/>
  <c r="G142" i="10"/>
  <c r="I142" i="10"/>
  <c r="J142" i="10"/>
  <c r="L142" i="10"/>
  <c r="F143" i="10"/>
  <c r="G143" i="10"/>
  <c r="I143" i="10"/>
  <c r="J143" i="10"/>
  <c r="L143" i="10"/>
  <c r="F144" i="10"/>
  <c r="G144" i="10"/>
  <c r="I144" i="10"/>
  <c r="J144" i="10"/>
  <c r="L144" i="10"/>
  <c r="F145" i="10"/>
  <c r="G145" i="10"/>
  <c r="I145" i="10"/>
  <c r="J145" i="10"/>
  <c r="L145" i="10"/>
  <c r="F146" i="10"/>
  <c r="G146" i="10"/>
  <c r="I146" i="10"/>
  <c r="J146" i="10"/>
  <c r="L146" i="10"/>
  <c r="F147" i="10"/>
  <c r="G147" i="10"/>
  <c r="I147" i="10"/>
  <c r="J147" i="10"/>
  <c r="L147" i="10"/>
  <c r="F148" i="10"/>
  <c r="G148" i="10"/>
  <c r="I148" i="10"/>
  <c r="J148" i="10"/>
  <c r="L148" i="10"/>
  <c r="F149" i="10"/>
  <c r="G149" i="10"/>
  <c r="I149" i="10"/>
  <c r="J149" i="10"/>
  <c r="L149" i="10"/>
  <c r="F150" i="10"/>
  <c r="G150" i="10"/>
  <c r="I150" i="10"/>
  <c r="J150" i="10"/>
  <c r="L150" i="10"/>
  <c r="F151" i="10"/>
  <c r="G151" i="10"/>
  <c r="I151" i="10"/>
  <c r="J151" i="10"/>
  <c r="L151" i="10"/>
  <c r="F152" i="10"/>
  <c r="G152" i="10"/>
  <c r="I152" i="10"/>
  <c r="J152" i="10"/>
  <c r="L152" i="10"/>
  <c r="F153" i="10"/>
  <c r="G153" i="10"/>
  <c r="I153" i="10"/>
  <c r="J153" i="10"/>
  <c r="L153" i="10"/>
  <c r="F154" i="10"/>
  <c r="G154" i="10"/>
  <c r="I154" i="10"/>
  <c r="J154" i="10"/>
  <c r="L154" i="10"/>
  <c r="F155" i="10"/>
  <c r="G155" i="10"/>
  <c r="I155" i="10"/>
  <c r="J155" i="10"/>
  <c r="L155" i="10"/>
  <c r="F156" i="10"/>
  <c r="G156" i="10"/>
  <c r="I156" i="10"/>
  <c r="J156" i="10"/>
  <c r="L156" i="10"/>
  <c r="F157" i="10"/>
  <c r="G157" i="10"/>
  <c r="I157" i="10"/>
  <c r="J157" i="10"/>
  <c r="L157" i="10"/>
  <c r="F158" i="10"/>
  <c r="G158" i="10"/>
  <c r="I158" i="10"/>
  <c r="J158" i="10"/>
  <c r="L158" i="10"/>
  <c r="F159" i="10"/>
  <c r="G159" i="10"/>
  <c r="I159" i="10"/>
  <c r="J159" i="10"/>
  <c r="L159" i="10"/>
  <c r="F160" i="10"/>
  <c r="G160" i="10"/>
  <c r="I160" i="10"/>
  <c r="J160" i="10"/>
  <c r="L160" i="10"/>
  <c r="F161" i="10"/>
  <c r="G161" i="10"/>
  <c r="I161" i="10"/>
  <c r="J161" i="10"/>
  <c r="L161" i="10"/>
  <c r="F162" i="10"/>
  <c r="G162" i="10"/>
  <c r="I162" i="10"/>
  <c r="J162" i="10"/>
  <c r="L162" i="10"/>
  <c r="F163" i="10"/>
  <c r="G163" i="10"/>
  <c r="I163" i="10"/>
  <c r="J163" i="10"/>
  <c r="L163" i="10"/>
  <c r="F164" i="10"/>
  <c r="G164" i="10"/>
  <c r="I164" i="10"/>
  <c r="J164" i="10"/>
  <c r="L164" i="10"/>
  <c r="F165" i="10"/>
  <c r="I165" i="10"/>
  <c r="L165" i="10"/>
  <c r="F166" i="10"/>
  <c r="G166" i="10"/>
  <c r="I166" i="10"/>
  <c r="J166" i="10"/>
  <c r="L166" i="10"/>
  <c r="F167" i="10"/>
  <c r="G167" i="10"/>
  <c r="I167" i="10"/>
  <c r="J167" i="10"/>
  <c r="L167" i="10"/>
  <c r="F168" i="10"/>
  <c r="G168" i="10"/>
  <c r="I168" i="10"/>
  <c r="J168" i="10"/>
  <c r="L168" i="10"/>
  <c r="F169" i="10"/>
  <c r="G169" i="10"/>
  <c r="I169" i="10"/>
  <c r="J169" i="10"/>
  <c r="L169" i="10"/>
  <c r="F170" i="10"/>
  <c r="G170" i="10"/>
  <c r="I170" i="10"/>
  <c r="J170" i="10"/>
  <c r="L170" i="10"/>
  <c r="F171" i="10"/>
  <c r="G171" i="10"/>
  <c r="I171" i="10"/>
  <c r="J171" i="10"/>
  <c r="L171" i="10"/>
  <c r="F172" i="10"/>
  <c r="G172" i="10"/>
  <c r="I172" i="10"/>
  <c r="J172" i="10"/>
  <c r="L172" i="10"/>
  <c r="F173" i="10"/>
  <c r="G173" i="10"/>
  <c r="I173" i="10"/>
  <c r="J173" i="10"/>
  <c r="L173" i="10"/>
  <c r="F174" i="10"/>
  <c r="G174" i="10"/>
  <c r="I174" i="10"/>
  <c r="J174" i="10"/>
  <c r="L174" i="10"/>
  <c r="F175" i="10"/>
  <c r="G175" i="10"/>
  <c r="I175" i="10"/>
  <c r="J175" i="10"/>
  <c r="L175" i="10"/>
  <c r="F176" i="10"/>
  <c r="G176" i="10"/>
  <c r="I176" i="10"/>
  <c r="J176" i="10"/>
  <c r="L176" i="10"/>
  <c r="F177" i="10"/>
  <c r="G177" i="10"/>
  <c r="I177" i="10"/>
  <c r="J177" i="10"/>
  <c r="L177" i="10"/>
  <c r="F178" i="10"/>
  <c r="G178" i="10"/>
  <c r="I178" i="10"/>
  <c r="J178" i="10"/>
  <c r="L178" i="10"/>
  <c r="F179" i="10"/>
  <c r="G179" i="10"/>
  <c r="I179" i="10"/>
  <c r="J179" i="10"/>
  <c r="L179" i="10"/>
  <c r="F180" i="10"/>
  <c r="G180" i="10"/>
  <c r="I180" i="10"/>
  <c r="J180" i="10"/>
  <c r="L180" i="10"/>
  <c r="F181" i="10"/>
  <c r="G181" i="10"/>
  <c r="I181" i="10"/>
  <c r="J181" i="10"/>
  <c r="L181" i="10"/>
  <c r="F182" i="10"/>
  <c r="G182" i="10"/>
  <c r="I182" i="10"/>
  <c r="J182" i="10"/>
  <c r="L182" i="10"/>
  <c r="F183" i="10"/>
  <c r="I183" i="10"/>
  <c r="J183" i="10"/>
  <c r="L183" i="10"/>
  <c r="F184" i="10"/>
  <c r="G184" i="10"/>
  <c r="I184" i="10"/>
  <c r="J184" i="10"/>
  <c r="L184" i="10"/>
  <c r="F185" i="10"/>
  <c r="G185" i="10"/>
  <c r="I185" i="10"/>
  <c r="J185" i="10"/>
  <c r="L185" i="10"/>
  <c r="F186" i="10"/>
  <c r="G186" i="10"/>
  <c r="I186" i="10"/>
  <c r="J186" i="10"/>
  <c r="L186" i="10"/>
  <c r="F187" i="10"/>
  <c r="G187" i="10"/>
  <c r="I187" i="10"/>
  <c r="J187" i="10"/>
  <c r="L187" i="10"/>
  <c r="F188" i="10"/>
  <c r="G188" i="10"/>
  <c r="I188" i="10"/>
  <c r="J188" i="10"/>
  <c r="L188" i="10"/>
  <c r="F189" i="10"/>
  <c r="G189" i="10"/>
  <c r="I189" i="10"/>
  <c r="J189" i="10"/>
  <c r="L189" i="10"/>
  <c r="F190" i="10"/>
  <c r="G190" i="10"/>
  <c r="I190" i="10"/>
  <c r="J190" i="10"/>
  <c r="L190" i="10"/>
  <c r="F191" i="10"/>
  <c r="G191" i="10"/>
  <c r="I191" i="10"/>
  <c r="J191" i="10"/>
  <c r="L191" i="10"/>
  <c r="F192" i="10"/>
  <c r="G192" i="10"/>
  <c r="I192" i="10"/>
  <c r="J192" i="10"/>
  <c r="L192" i="10"/>
  <c r="F193" i="10"/>
  <c r="G193" i="10"/>
  <c r="I193" i="10"/>
  <c r="J193" i="10"/>
  <c r="L193" i="10"/>
  <c r="F194" i="10"/>
  <c r="G194" i="10"/>
  <c r="I194" i="10"/>
  <c r="J194" i="10"/>
  <c r="L194" i="10"/>
  <c r="F195" i="10"/>
  <c r="G195" i="10"/>
  <c r="I195" i="10"/>
  <c r="J195" i="10"/>
  <c r="L195" i="10"/>
  <c r="F196" i="10"/>
  <c r="G196" i="10"/>
  <c r="I196" i="10"/>
  <c r="J196" i="10"/>
  <c r="L196" i="10"/>
  <c r="F197" i="10"/>
  <c r="G197" i="10"/>
  <c r="I197" i="10"/>
  <c r="J197" i="10"/>
  <c r="L197" i="10"/>
  <c r="F198" i="10"/>
  <c r="G198" i="10"/>
  <c r="I198" i="10"/>
  <c r="J198" i="10"/>
  <c r="L198" i="10"/>
  <c r="F199" i="10"/>
  <c r="G199" i="10"/>
  <c r="I199" i="10"/>
  <c r="J199" i="10"/>
  <c r="L199" i="10"/>
  <c r="F200" i="10"/>
  <c r="G200" i="10"/>
  <c r="I200" i="10"/>
  <c r="J200" i="10"/>
  <c r="L200" i="10"/>
  <c r="F201" i="10"/>
  <c r="G201" i="10"/>
  <c r="I201" i="10"/>
  <c r="J201" i="10"/>
  <c r="L201" i="10"/>
  <c r="F202" i="10"/>
  <c r="G202" i="10"/>
  <c r="I202" i="10"/>
  <c r="J202" i="10"/>
  <c r="L202" i="10"/>
  <c r="F203" i="10"/>
  <c r="G203" i="10"/>
  <c r="I203" i="10"/>
  <c r="J203" i="10"/>
  <c r="L203" i="10"/>
  <c r="F204" i="10"/>
  <c r="G204" i="10"/>
  <c r="I204" i="10"/>
  <c r="J204" i="10"/>
  <c r="L204" i="10"/>
  <c r="F205" i="10"/>
  <c r="G205" i="10"/>
  <c r="I205" i="10"/>
  <c r="J205" i="10"/>
  <c r="L205" i="10"/>
  <c r="F206" i="10"/>
  <c r="G206" i="10"/>
  <c r="I206" i="10"/>
  <c r="J206" i="10"/>
  <c r="L206" i="10"/>
  <c r="F207" i="10"/>
  <c r="G207" i="10"/>
  <c r="I207" i="10"/>
  <c r="J207" i="10"/>
  <c r="L207" i="10"/>
  <c r="F208" i="10"/>
  <c r="G208" i="10"/>
  <c r="I208" i="10"/>
  <c r="J208" i="10"/>
  <c r="L208" i="10"/>
  <c r="F209" i="10"/>
  <c r="G209" i="10"/>
  <c r="I209" i="10"/>
  <c r="J209" i="10"/>
  <c r="L209" i="10"/>
  <c r="F210" i="10"/>
  <c r="G210" i="10"/>
  <c r="I210" i="10"/>
  <c r="J210" i="10"/>
  <c r="L210" i="10"/>
  <c r="F211" i="10"/>
  <c r="G211" i="10"/>
  <c r="I211" i="10"/>
  <c r="J211" i="10"/>
  <c r="L211" i="10"/>
  <c r="F212" i="10"/>
  <c r="G212" i="10"/>
  <c r="I212" i="10"/>
  <c r="J212" i="10"/>
  <c r="L212" i="10"/>
  <c r="F213" i="10"/>
  <c r="G213" i="10"/>
  <c r="I213" i="10"/>
  <c r="J213" i="10"/>
  <c r="L213" i="10"/>
  <c r="F214" i="10"/>
  <c r="G214" i="10"/>
  <c r="I214" i="10"/>
  <c r="J214" i="10"/>
  <c r="L214" i="10"/>
  <c r="F215" i="10"/>
  <c r="G215" i="10"/>
  <c r="I215" i="10"/>
  <c r="J215" i="10"/>
  <c r="L215" i="10"/>
  <c r="F216" i="10"/>
  <c r="G216" i="10"/>
  <c r="I216" i="10"/>
  <c r="J216" i="10"/>
  <c r="L216" i="10"/>
  <c r="F217" i="10"/>
  <c r="G217" i="10"/>
  <c r="I217" i="10"/>
  <c r="J217" i="10"/>
  <c r="L217" i="10"/>
  <c r="F218" i="10"/>
  <c r="G218" i="10"/>
  <c r="I218" i="10"/>
  <c r="J218" i="10"/>
  <c r="L218" i="10"/>
  <c r="F219" i="10"/>
  <c r="G219" i="10"/>
  <c r="I219" i="10"/>
  <c r="J219" i="10"/>
  <c r="L219" i="10"/>
  <c r="F220" i="10"/>
  <c r="G220" i="10"/>
  <c r="I220" i="10"/>
  <c r="J220" i="10"/>
  <c r="L220" i="10"/>
  <c r="F221" i="10"/>
  <c r="G221" i="10"/>
  <c r="I221" i="10"/>
  <c r="J221" i="10"/>
  <c r="L221" i="10"/>
  <c r="F222" i="10"/>
  <c r="G222" i="10"/>
  <c r="I222" i="10"/>
  <c r="J222" i="10"/>
  <c r="L222" i="10"/>
  <c r="F223" i="10"/>
  <c r="G223" i="10"/>
  <c r="I223" i="10"/>
  <c r="J223" i="10"/>
  <c r="L223" i="10"/>
  <c r="F224" i="10"/>
  <c r="G224" i="10"/>
  <c r="I224" i="10"/>
  <c r="J224" i="10"/>
  <c r="L224" i="10"/>
  <c r="F225" i="10"/>
  <c r="G225" i="10"/>
  <c r="I225" i="10"/>
  <c r="J225" i="10"/>
  <c r="L225" i="10"/>
  <c r="F226" i="10"/>
  <c r="G226" i="10"/>
  <c r="I226" i="10"/>
  <c r="J226" i="10"/>
  <c r="L226" i="10"/>
  <c r="F227" i="10"/>
  <c r="G227" i="10"/>
  <c r="I227" i="10"/>
  <c r="J227" i="10"/>
  <c r="L227" i="10"/>
  <c r="F228" i="10"/>
  <c r="I228" i="10"/>
  <c r="J228" i="10"/>
  <c r="L228" i="10"/>
  <c r="F229" i="10"/>
  <c r="G229" i="10"/>
  <c r="I229" i="10"/>
  <c r="J229" i="10"/>
  <c r="L229" i="10"/>
  <c r="F230" i="10"/>
  <c r="I230" i="10"/>
  <c r="J230" i="10"/>
  <c r="L230" i="10"/>
  <c r="F231" i="10"/>
  <c r="G231" i="10"/>
  <c r="I231" i="10"/>
  <c r="J231" i="10"/>
  <c r="L231" i="10"/>
  <c r="F232" i="10"/>
  <c r="G232" i="10"/>
  <c r="I232" i="10"/>
  <c r="J232" i="10"/>
  <c r="L232" i="10"/>
  <c r="F233" i="10"/>
  <c r="G233" i="10"/>
  <c r="I233" i="10"/>
  <c r="J233" i="10"/>
  <c r="L233" i="10"/>
  <c r="F234" i="10"/>
  <c r="G234" i="10"/>
  <c r="I234" i="10"/>
  <c r="J234" i="10"/>
  <c r="L234" i="10"/>
  <c r="F235" i="10"/>
  <c r="G235" i="10"/>
  <c r="I235" i="10"/>
  <c r="J235" i="10"/>
  <c r="L235" i="10"/>
  <c r="F236" i="10"/>
  <c r="G236" i="10"/>
  <c r="I236" i="10"/>
  <c r="J236" i="10"/>
  <c r="L236" i="10"/>
  <c r="F237" i="10"/>
  <c r="G237" i="10"/>
  <c r="I237" i="10"/>
  <c r="J237" i="10"/>
  <c r="L237" i="10"/>
  <c r="F238" i="10"/>
  <c r="G238" i="10"/>
  <c r="I238" i="10"/>
  <c r="J238" i="10"/>
  <c r="L238" i="10"/>
  <c r="F239" i="10"/>
  <c r="G239" i="10"/>
  <c r="I239" i="10"/>
  <c r="J239" i="10"/>
  <c r="L239" i="10"/>
  <c r="F240" i="10"/>
  <c r="G240" i="10"/>
  <c r="I240" i="10"/>
  <c r="J240" i="10"/>
  <c r="L240" i="10"/>
  <c r="F241" i="10"/>
  <c r="G241" i="10"/>
  <c r="I241" i="10"/>
  <c r="J241" i="10"/>
  <c r="L241" i="10"/>
  <c r="F242" i="10"/>
  <c r="G242" i="10"/>
  <c r="I242" i="10"/>
  <c r="J242" i="10"/>
  <c r="L242" i="10"/>
  <c r="F243" i="10"/>
  <c r="G243" i="10"/>
  <c r="I243" i="10"/>
  <c r="J243" i="10"/>
  <c r="L243" i="10"/>
  <c r="F244" i="10"/>
  <c r="G244" i="10"/>
  <c r="I244" i="10"/>
  <c r="J244" i="10"/>
  <c r="L244" i="10"/>
  <c r="F245" i="10"/>
  <c r="G245" i="10"/>
  <c r="I245" i="10"/>
  <c r="J245" i="10"/>
  <c r="L245" i="10"/>
  <c r="F246" i="10"/>
  <c r="G246" i="10"/>
  <c r="I246" i="10"/>
  <c r="J246" i="10"/>
  <c r="L246" i="10"/>
  <c r="F247" i="10"/>
  <c r="G247" i="10"/>
  <c r="I247" i="10"/>
  <c r="J247" i="10"/>
  <c r="L247" i="10"/>
  <c r="F248" i="10"/>
  <c r="G248" i="10"/>
  <c r="I248" i="10"/>
  <c r="J248" i="10"/>
  <c r="L248" i="10"/>
  <c r="F249" i="10"/>
  <c r="G249" i="10"/>
  <c r="I249" i="10"/>
  <c r="J249" i="10"/>
  <c r="L249" i="10"/>
  <c r="F250" i="10"/>
  <c r="I250" i="10"/>
  <c r="J250" i="10"/>
  <c r="L250" i="10"/>
  <c r="F251" i="10"/>
  <c r="I251" i="10"/>
  <c r="J251" i="10"/>
  <c r="L251" i="10"/>
  <c r="F252" i="10"/>
  <c r="G252" i="10"/>
  <c r="I252" i="10"/>
  <c r="J252" i="10"/>
  <c r="L252" i="10"/>
  <c r="F253" i="10"/>
  <c r="G253" i="10"/>
  <c r="I253" i="10"/>
  <c r="J253" i="10"/>
  <c r="L253" i="10"/>
  <c r="F254" i="10"/>
  <c r="G254" i="10"/>
  <c r="I254" i="10"/>
  <c r="J254" i="10"/>
  <c r="L254" i="10"/>
  <c r="F255" i="10"/>
  <c r="G255" i="10"/>
  <c r="I255" i="10"/>
  <c r="J255" i="10"/>
  <c r="L255" i="10"/>
  <c r="F256" i="10"/>
  <c r="G256" i="10"/>
  <c r="I256" i="10"/>
  <c r="J256" i="10"/>
  <c r="L256" i="10"/>
  <c r="F257" i="10"/>
  <c r="G257" i="10"/>
  <c r="I257" i="10"/>
  <c r="J257" i="10"/>
  <c r="L257" i="10"/>
  <c r="F258" i="10"/>
  <c r="G258" i="10"/>
  <c r="I258" i="10"/>
  <c r="J258" i="10"/>
  <c r="L258" i="10"/>
  <c r="F259" i="10"/>
  <c r="G259" i="10"/>
  <c r="I259" i="10"/>
  <c r="J259" i="10"/>
  <c r="L259" i="10"/>
  <c r="F260" i="10"/>
  <c r="G260" i="10"/>
  <c r="I260" i="10"/>
  <c r="J260" i="10"/>
  <c r="L260" i="10"/>
  <c r="F261" i="10"/>
  <c r="G261" i="10"/>
  <c r="I261" i="10"/>
  <c r="J261" i="10"/>
  <c r="L261" i="10"/>
  <c r="F262" i="10"/>
  <c r="G262" i="10"/>
  <c r="I262" i="10"/>
  <c r="J262" i="10"/>
  <c r="L262" i="10"/>
  <c r="F263" i="10"/>
  <c r="G263" i="10"/>
  <c r="I263" i="10"/>
  <c r="J263" i="10"/>
  <c r="L263" i="10"/>
  <c r="F264" i="10"/>
  <c r="G264" i="10"/>
  <c r="I264" i="10"/>
  <c r="J264" i="10"/>
  <c r="L264" i="10"/>
  <c r="F265" i="10"/>
  <c r="G265" i="10"/>
  <c r="I265" i="10"/>
  <c r="J265" i="10"/>
  <c r="L265" i="10"/>
  <c r="F266" i="10"/>
  <c r="G266" i="10"/>
  <c r="I266" i="10"/>
  <c r="J266" i="10"/>
  <c r="L266" i="10"/>
  <c r="F267" i="10"/>
  <c r="G267" i="10"/>
  <c r="I267" i="10"/>
  <c r="J267" i="10"/>
  <c r="L267" i="10"/>
  <c r="F268" i="10"/>
  <c r="G268" i="10"/>
  <c r="I268" i="10"/>
  <c r="J268" i="10"/>
  <c r="L268" i="10"/>
  <c r="F269" i="10"/>
  <c r="G269" i="10"/>
  <c r="I269" i="10"/>
  <c r="J269" i="10"/>
  <c r="L269" i="10"/>
  <c r="F270" i="10"/>
  <c r="G270" i="10"/>
  <c r="I270" i="10"/>
  <c r="J270" i="10"/>
  <c r="L270" i="10"/>
  <c r="F271" i="10"/>
  <c r="I271" i="10"/>
  <c r="J271" i="10"/>
  <c r="L271" i="10"/>
  <c r="F272" i="10"/>
  <c r="I272" i="10"/>
  <c r="J272" i="10"/>
  <c r="L272" i="10"/>
  <c r="F273" i="10"/>
  <c r="G273" i="10"/>
  <c r="I273" i="10"/>
  <c r="J273" i="10"/>
  <c r="L273" i="10"/>
  <c r="F274" i="10"/>
  <c r="G274" i="10"/>
  <c r="I274" i="10"/>
  <c r="J274" i="10"/>
  <c r="L274" i="10"/>
  <c r="F275" i="10"/>
  <c r="G275" i="10"/>
  <c r="I275" i="10"/>
  <c r="J275" i="10"/>
  <c r="L275" i="10"/>
  <c r="F276" i="10"/>
  <c r="G276" i="10"/>
  <c r="I276" i="10"/>
  <c r="J276" i="10"/>
  <c r="L276" i="10"/>
  <c r="F277" i="10"/>
  <c r="G277" i="10"/>
  <c r="I277" i="10"/>
  <c r="J277" i="10"/>
  <c r="L277" i="10"/>
  <c r="F278" i="10"/>
  <c r="G278" i="10"/>
  <c r="I278" i="10"/>
  <c r="J278" i="10"/>
  <c r="L278" i="10"/>
  <c r="F279" i="10"/>
  <c r="G279" i="10"/>
  <c r="I279" i="10"/>
  <c r="J279" i="10"/>
  <c r="L279" i="10"/>
  <c r="F280" i="10"/>
  <c r="G280" i="10"/>
  <c r="I280" i="10"/>
  <c r="J280" i="10"/>
  <c r="L280" i="10"/>
  <c r="F281" i="10"/>
  <c r="G281" i="10"/>
  <c r="I281" i="10"/>
  <c r="J281" i="10"/>
  <c r="L281" i="10"/>
  <c r="F282" i="10"/>
  <c r="G282" i="10"/>
  <c r="I282" i="10"/>
  <c r="J282" i="10"/>
  <c r="L282" i="10"/>
  <c r="F283" i="10"/>
  <c r="G283" i="10"/>
  <c r="I283" i="10"/>
  <c r="J283" i="10"/>
  <c r="L283" i="10"/>
  <c r="F284" i="10"/>
  <c r="G284" i="10"/>
  <c r="I284" i="10"/>
  <c r="J284" i="10"/>
  <c r="L284" i="10"/>
  <c r="F285" i="10"/>
  <c r="G285" i="10"/>
  <c r="I285" i="10"/>
  <c r="J285" i="10"/>
  <c r="L285" i="10"/>
  <c r="F286" i="10"/>
  <c r="G286" i="10"/>
  <c r="I286" i="10"/>
  <c r="J286" i="10"/>
  <c r="L286" i="10"/>
  <c r="F287" i="10"/>
  <c r="G287" i="10"/>
  <c r="I287" i="10"/>
  <c r="J287" i="10"/>
  <c r="L287" i="10"/>
  <c r="F288" i="10"/>
  <c r="G288" i="10"/>
  <c r="I288" i="10"/>
  <c r="J288" i="10"/>
  <c r="L288" i="10"/>
  <c r="F289" i="10"/>
  <c r="G289" i="10"/>
  <c r="I289" i="10"/>
  <c r="J289" i="10"/>
  <c r="L289" i="10"/>
  <c r="F290" i="10"/>
  <c r="G290" i="10"/>
  <c r="I290" i="10"/>
  <c r="J290" i="10"/>
  <c r="L290" i="10"/>
  <c r="F291" i="10"/>
  <c r="G291" i="10"/>
  <c r="I291" i="10"/>
  <c r="J291" i="10"/>
  <c r="L291" i="10"/>
  <c r="F292" i="10"/>
  <c r="G292" i="10"/>
  <c r="I292" i="10"/>
  <c r="J292" i="10"/>
  <c r="L292" i="10"/>
  <c r="F293" i="10"/>
  <c r="G293" i="10"/>
  <c r="I293" i="10"/>
  <c r="J293" i="10"/>
  <c r="L293" i="10"/>
  <c r="F294" i="10"/>
  <c r="G294" i="10"/>
  <c r="I294" i="10"/>
  <c r="J294" i="10"/>
  <c r="L294" i="10"/>
  <c r="F295" i="10"/>
  <c r="G295" i="10"/>
  <c r="I295" i="10"/>
  <c r="J295" i="10"/>
  <c r="L295" i="10"/>
  <c r="F296" i="10"/>
  <c r="G296" i="10"/>
  <c r="I296" i="10"/>
  <c r="J296" i="10"/>
  <c r="L296" i="10"/>
  <c r="F297" i="10"/>
  <c r="G297" i="10"/>
  <c r="I297" i="10"/>
  <c r="J297" i="10"/>
  <c r="L297" i="10"/>
  <c r="F298" i="10"/>
  <c r="G298" i="10"/>
  <c r="I298" i="10"/>
  <c r="J298" i="10"/>
  <c r="L298" i="10"/>
  <c r="F299" i="10"/>
  <c r="G299" i="10"/>
  <c r="I299" i="10"/>
  <c r="J299" i="10"/>
  <c r="L299" i="10"/>
  <c r="F300" i="10"/>
  <c r="G300" i="10"/>
  <c r="I300" i="10"/>
  <c r="J300" i="10"/>
  <c r="L300" i="10"/>
  <c r="F301" i="10"/>
  <c r="G301" i="10"/>
  <c r="I301" i="10"/>
  <c r="J301" i="10"/>
  <c r="L301" i="10"/>
  <c r="F302" i="10"/>
  <c r="G302" i="10"/>
  <c r="I302" i="10"/>
  <c r="J302" i="10"/>
  <c r="L302" i="10"/>
  <c r="F303" i="10"/>
  <c r="G303" i="10"/>
  <c r="I303" i="10"/>
  <c r="J303" i="10"/>
  <c r="L303" i="10"/>
  <c r="F304" i="10"/>
  <c r="G304" i="10"/>
  <c r="I304" i="10"/>
  <c r="J304" i="10"/>
  <c r="L304" i="10"/>
  <c r="F305" i="10"/>
  <c r="G305" i="10"/>
  <c r="I305" i="10"/>
  <c r="J305" i="10"/>
  <c r="L305" i="10"/>
  <c r="F306" i="10"/>
  <c r="G306" i="10"/>
  <c r="I306" i="10"/>
  <c r="J306" i="10"/>
  <c r="L306" i="10"/>
  <c r="F307" i="10"/>
  <c r="G307" i="10"/>
  <c r="I307" i="10"/>
  <c r="J307" i="10"/>
  <c r="L307" i="10"/>
  <c r="F308" i="10"/>
  <c r="G308" i="10"/>
  <c r="I308" i="10"/>
  <c r="J308" i="10"/>
  <c r="L308" i="10"/>
  <c r="F309" i="10"/>
  <c r="G309" i="10"/>
  <c r="I309" i="10"/>
  <c r="J309" i="10"/>
  <c r="L309" i="10"/>
  <c r="F310" i="10"/>
  <c r="G310" i="10"/>
  <c r="I310" i="10"/>
  <c r="J310" i="10"/>
  <c r="L310" i="10"/>
  <c r="F311" i="10"/>
  <c r="G311" i="10"/>
  <c r="I311" i="10"/>
  <c r="J311" i="10"/>
  <c r="L311" i="10"/>
  <c r="F312" i="10"/>
  <c r="G312" i="10"/>
  <c r="I312" i="10"/>
  <c r="J312" i="10"/>
  <c r="L312" i="10"/>
  <c r="F313" i="10"/>
  <c r="G313" i="10"/>
  <c r="I313" i="10"/>
  <c r="J313" i="10"/>
  <c r="L313" i="10"/>
  <c r="F314" i="10"/>
  <c r="G314" i="10"/>
  <c r="I314" i="10"/>
  <c r="J314" i="10"/>
  <c r="L314" i="10"/>
  <c r="F315" i="10"/>
  <c r="G315" i="10"/>
  <c r="I315" i="10"/>
  <c r="J315" i="10"/>
  <c r="L315" i="10"/>
  <c r="F316" i="10"/>
  <c r="G316" i="10"/>
  <c r="I316" i="10"/>
  <c r="J316" i="10"/>
  <c r="L316" i="10"/>
  <c r="F317" i="10"/>
  <c r="G317" i="10"/>
  <c r="I317" i="10"/>
  <c r="J317" i="10"/>
  <c r="L317" i="10"/>
  <c r="F318" i="10"/>
  <c r="G318" i="10"/>
  <c r="I318" i="10"/>
  <c r="J318" i="10"/>
  <c r="L318" i="10"/>
  <c r="F319" i="10"/>
  <c r="G319" i="10"/>
  <c r="I319" i="10"/>
  <c r="J319" i="10"/>
  <c r="L319" i="10"/>
  <c r="F320" i="10"/>
  <c r="G320" i="10"/>
  <c r="I320" i="10"/>
  <c r="J320" i="10"/>
  <c r="L320" i="10"/>
  <c r="F321" i="10"/>
  <c r="G321" i="10"/>
  <c r="I321" i="10"/>
  <c r="J321" i="10"/>
  <c r="L321" i="10"/>
  <c r="F322" i="10"/>
  <c r="G322" i="10"/>
  <c r="I322" i="10"/>
  <c r="J322" i="10"/>
  <c r="L322" i="10"/>
  <c r="F323" i="10"/>
  <c r="G323" i="10"/>
  <c r="I323" i="10"/>
  <c r="J323" i="10"/>
  <c r="L323" i="10"/>
  <c r="F324" i="10"/>
  <c r="G324" i="10"/>
  <c r="I324" i="10"/>
  <c r="J324" i="10"/>
  <c r="L324" i="10"/>
  <c r="F325" i="10"/>
  <c r="G325" i="10"/>
  <c r="I325" i="10"/>
  <c r="J325" i="10"/>
  <c r="L325" i="10"/>
  <c r="F326" i="10"/>
  <c r="G326" i="10"/>
  <c r="I326" i="10"/>
  <c r="J326" i="10"/>
  <c r="L326" i="10"/>
  <c r="F327" i="10"/>
  <c r="G327" i="10"/>
  <c r="I327" i="10"/>
  <c r="J327" i="10"/>
  <c r="L327" i="10"/>
  <c r="F328" i="10"/>
  <c r="G328" i="10"/>
  <c r="I328" i="10"/>
  <c r="J328" i="10"/>
  <c r="L328" i="10"/>
  <c r="F329" i="10"/>
  <c r="G329" i="10"/>
  <c r="I329" i="10"/>
  <c r="J329" i="10"/>
  <c r="L329" i="10"/>
  <c r="F330" i="10"/>
  <c r="G330" i="10"/>
  <c r="I330" i="10"/>
  <c r="J330" i="10"/>
  <c r="L330" i="10"/>
  <c r="F331" i="10"/>
  <c r="G331" i="10"/>
  <c r="I331" i="10"/>
  <c r="J331" i="10"/>
  <c r="L331" i="10"/>
  <c r="F332" i="10"/>
  <c r="G332" i="10"/>
  <c r="I332" i="10"/>
  <c r="J332" i="10"/>
  <c r="L332" i="10"/>
  <c r="F333" i="10"/>
  <c r="G333" i="10"/>
  <c r="I333" i="10"/>
  <c r="J333" i="10"/>
  <c r="L333" i="10"/>
  <c r="F334" i="10"/>
  <c r="G334" i="10"/>
  <c r="I334" i="10"/>
  <c r="J334" i="10"/>
  <c r="L334" i="10"/>
  <c r="F335" i="10"/>
  <c r="G335" i="10"/>
  <c r="I335" i="10"/>
  <c r="J335" i="10"/>
  <c r="L335" i="10"/>
  <c r="F336" i="10"/>
  <c r="G336" i="10"/>
  <c r="I336" i="10"/>
  <c r="J336" i="10"/>
  <c r="L336" i="10"/>
  <c r="F337" i="10"/>
  <c r="G337" i="10"/>
  <c r="I337" i="10"/>
  <c r="J337" i="10"/>
  <c r="L337" i="10"/>
  <c r="F338" i="10"/>
  <c r="G338" i="10"/>
  <c r="I338" i="10"/>
  <c r="J338" i="10"/>
  <c r="L338" i="10"/>
  <c r="F339" i="10"/>
  <c r="G339" i="10"/>
  <c r="I339" i="10"/>
  <c r="J339" i="10"/>
  <c r="L339" i="10"/>
  <c r="F340" i="10"/>
  <c r="G340" i="10"/>
  <c r="I340" i="10"/>
  <c r="J340" i="10"/>
  <c r="L340" i="10"/>
  <c r="F341" i="10"/>
  <c r="G341" i="10"/>
  <c r="I341" i="10"/>
  <c r="J341" i="10"/>
  <c r="L341" i="10"/>
  <c r="F342" i="10"/>
  <c r="G342" i="10"/>
  <c r="I342" i="10"/>
  <c r="J342" i="10"/>
  <c r="L342" i="10"/>
  <c r="F343" i="10"/>
  <c r="G343" i="10"/>
  <c r="I343" i="10"/>
  <c r="J343" i="10"/>
  <c r="L343" i="10"/>
  <c r="F344" i="10"/>
  <c r="G344" i="10"/>
  <c r="I344" i="10"/>
  <c r="J344" i="10"/>
  <c r="L344" i="10"/>
  <c r="F345" i="10"/>
  <c r="G345" i="10"/>
  <c r="I345" i="10"/>
  <c r="J345" i="10"/>
  <c r="L345" i="10"/>
  <c r="F346" i="10"/>
  <c r="G346" i="10"/>
  <c r="I346" i="10"/>
  <c r="J346" i="10"/>
  <c r="L346" i="10"/>
  <c r="F347" i="10"/>
  <c r="G347" i="10"/>
  <c r="I347" i="10"/>
  <c r="J347" i="10"/>
  <c r="L347" i="10"/>
  <c r="F348" i="10"/>
  <c r="G348" i="10"/>
  <c r="I348" i="10"/>
  <c r="J348" i="10"/>
  <c r="L348" i="10"/>
  <c r="F349" i="10"/>
  <c r="G349" i="10"/>
  <c r="I349" i="10"/>
  <c r="J349" i="10"/>
  <c r="L349" i="10"/>
  <c r="F350" i="10"/>
  <c r="G350" i="10"/>
  <c r="I350" i="10"/>
  <c r="J350" i="10"/>
  <c r="L350" i="10"/>
  <c r="F351" i="10"/>
  <c r="G351" i="10"/>
  <c r="I351" i="10"/>
  <c r="J351" i="10"/>
  <c r="L351" i="10"/>
  <c r="F352" i="10"/>
  <c r="G352" i="10"/>
  <c r="I352" i="10"/>
  <c r="J352" i="10"/>
  <c r="L352" i="10"/>
  <c r="F353" i="10"/>
  <c r="G353" i="10"/>
  <c r="I353" i="10"/>
  <c r="J353" i="10"/>
  <c r="L353" i="10"/>
  <c r="F354" i="10"/>
  <c r="G354" i="10"/>
  <c r="I354" i="10"/>
  <c r="J354" i="10"/>
  <c r="L354" i="10"/>
  <c r="F355" i="10"/>
  <c r="G355" i="10"/>
  <c r="I355" i="10"/>
  <c r="J355" i="10"/>
  <c r="L355" i="10"/>
  <c r="F356" i="10"/>
  <c r="G356" i="10"/>
  <c r="I356" i="10"/>
  <c r="J356" i="10"/>
  <c r="L356" i="10"/>
  <c r="F357" i="10"/>
  <c r="G357" i="10"/>
  <c r="I357" i="10"/>
  <c r="J357" i="10"/>
  <c r="L357" i="10"/>
  <c r="F358" i="10"/>
  <c r="G358" i="10"/>
  <c r="I358" i="10"/>
  <c r="J358" i="10"/>
  <c r="L358" i="10"/>
  <c r="F359" i="10"/>
  <c r="G359" i="10"/>
  <c r="I359" i="10"/>
  <c r="J359" i="10"/>
  <c r="L359" i="10"/>
  <c r="F360" i="10"/>
  <c r="G360" i="10"/>
  <c r="I360" i="10"/>
  <c r="J360" i="10"/>
  <c r="L360" i="10"/>
  <c r="F361" i="10"/>
  <c r="G361" i="10"/>
  <c r="I361" i="10"/>
  <c r="J361" i="10"/>
  <c r="L361" i="10"/>
  <c r="F362" i="10"/>
  <c r="G362" i="10"/>
  <c r="I362" i="10"/>
  <c r="J362" i="10"/>
  <c r="L362" i="10"/>
  <c r="F363" i="10"/>
  <c r="G363" i="10"/>
  <c r="I363" i="10"/>
  <c r="J363" i="10"/>
  <c r="L363" i="10"/>
  <c r="F364" i="10"/>
  <c r="G364" i="10"/>
  <c r="I364" i="10"/>
  <c r="J364" i="10"/>
  <c r="L364" i="10"/>
  <c r="F365" i="10"/>
  <c r="G365" i="10"/>
  <c r="I365" i="10"/>
  <c r="J365" i="10"/>
  <c r="L365" i="10"/>
  <c r="F366" i="10"/>
  <c r="G366" i="10"/>
  <c r="I366" i="10"/>
  <c r="J366" i="10"/>
  <c r="L366" i="10"/>
  <c r="F367" i="10"/>
  <c r="G367" i="10"/>
  <c r="I367" i="10"/>
  <c r="J367" i="10"/>
  <c r="L367" i="10"/>
  <c r="F368" i="10"/>
  <c r="G368" i="10"/>
  <c r="I368" i="10"/>
  <c r="J368" i="10"/>
  <c r="L368" i="10"/>
  <c r="F369" i="10"/>
  <c r="G369" i="10"/>
  <c r="I369" i="10"/>
  <c r="J369" i="10"/>
  <c r="L369" i="10"/>
  <c r="F370" i="10"/>
  <c r="G370" i="10"/>
  <c r="I370" i="10"/>
  <c r="J370" i="10"/>
  <c r="L370" i="10"/>
  <c r="F371" i="10"/>
  <c r="G371" i="10"/>
  <c r="I371" i="10"/>
  <c r="J371" i="10"/>
  <c r="L371" i="10"/>
  <c r="F372" i="10"/>
  <c r="G372" i="10"/>
  <c r="I372" i="10"/>
  <c r="J372" i="10"/>
  <c r="L372" i="10"/>
  <c r="F373" i="10"/>
  <c r="G373" i="10"/>
  <c r="I373" i="10"/>
  <c r="J373" i="10"/>
  <c r="L373" i="10"/>
  <c r="F374" i="10"/>
  <c r="G374" i="10"/>
  <c r="I374" i="10"/>
  <c r="J374" i="10"/>
  <c r="L374" i="10"/>
  <c r="F375" i="10"/>
  <c r="G375" i="10"/>
  <c r="I375" i="10"/>
  <c r="J375" i="10"/>
  <c r="L375" i="10"/>
  <c r="F376" i="10"/>
  <c r="G376" i="10"/>
  <c r="I376" i="10"/>
  <c r="J376" i="10"/>
  <c r="L376" i="10"/>
  <c r="F377" i="10"/>
  <c r="G377" i="10"/>
  <c r="I377" i="10"/>
  <c r="J377" i="10"/>
  <c r="L377" i="10"/>
  <c r="F378" i="10"/>
  <c r="G378" i="10"/>
  <c r="I378" i="10"/>
  <c r="J378" i="10"/>
  <c r="L378" i="10"/>
  <c r="F379" i="10"/>
  <c r="G379" i="10"/>
  <c r="I379" i="10"/>
  <c r="J379" i="10"/>
  <c r="L379" i="10"/>
  <c r="F380" i="10"/>
  <c r="G380" i="10"/>
  <c r="I380" i="10"/>
  <c r="J380" i="10"/>
  <c r="L380" i="10"/>
  <c r="F381" i="10"/>
  <c r="I381" i="10"/>
  <c r="L381" i="10"/>
  <c r="F382" i="10"/>
  <c r="G382" i="10"/>
  <c r="I382" i="10"/>
  <c r="J382" i="10"/>
  <c r="L382" i="10"/>
  <c r="F383" i="10"/>
  <c r="G383" i="10"/>
  <c r="I383" i="10"/>
  <c r="J383" i="10"/>
  <c r="L383" i="10"/>
  <c r="F384" i="10"/>
  <c r="G384" i="10"/>
  <c r="I384" i="10"/>
  <c r="J384" i="10"/>
  <c r="L384" i="10"/>
  <c r="F385" i="10"/>
  <c r="G385" i="10"/>
  <c r="I385" i="10"/>
  <c r="J385" i="10"/>
  <c r="L385" i="10"/>
  <c r="F386" i="10"/>
  <c r="G386" i="10"/>
  <c r="I386" i="10"/>
  <c r="J386" i="10"/>
  <c r="L386" i="10"/>
  <c r="F387" i="10"/>
  <c r="G387" i="10"/>
  <c r="I387" i="10"/>
  <c r="J387" i="10"/>
  <c r="L387" i="10"/>
  <c r="F388" i="10"/>
  <c r="G388" i="10"/>
  <c r="I388" i="10"/>
  <c r="J388" i="10"/>
  <c r="L388" i="10"/>
  <c r="F389" i="10"/>
  <c r="G389" i="10"/>
  <c r="I389" i="10"/>
  <c r="J389" i="10"/>
  <c r="L389" i="10"/>
  <c r="F390" i="10"/>
  <c r="G390" i="10"/>
  <c r="I390" i="10"/>
  <c r="J390" i="10"/>
  <c r="L390" i="10"/>
  <c r="F391" i="10"/>
  <c r="G391" i="10"/>
  <c r="I391" i="10"/>
  <c r="J391" i="10"/>
  <c r="L391" i="10"/>
  <c r="F392" i="10"/>
  <c r="G392" i="10"/>
  <c r="I392" i="10"/>
  <c r="J392" i="10"/>
  <c r="L392" i="10"/>
  <c r="F393" i="10"/>
  <c r="G393" i="10"/>
  <c r="I393" i="10"/>
  <c r="J393" i="10"/>
  <c r="L393" i="10"/>
  <c r="F394" i="10"/>
  <c r="G394" i="10"/>
  <c r="I394" i="10"/>
  <c r="J394" i="10"/>
  <c r="L394" i="10"/>
  <c r="F395" i="10"/>
  <c r="G395" i="10"/>
  <c r="I395" i="10"/>
  <c r="J395" i="10"/>
  <c r="L395" i="10"/>
  <c r="F396" i="10"/>
  <c r="G396" i="10"/>
  <c r="I396" i="10"/>
  <c r="J396" i="10"/>
  <c r="L396" i="10"/>
  <c r="F397" i="10"/>
  <c r="G397" i="10"/>
  <c r="I397" i="10"/>
  <c r="J397" i="10"/>
  <c r="L397" i="10"/>
  <c r="F398" i="10"/>
  <c r="G398" i="10"/>
  <c r="I398" i="10"/>
  <c r="J398" i="10"/>
  <c r="L398" i="10"/>
  <c r="F399" i="10"/>
  <c r="G399" i="10"/>
  <c r="I399" i="10"/>
  <c r="J399" i="10"/>
  <c r="L399" i="10"/>
  <c r="F400" i="10"/>
  <c r="G400" i="10"/>
  <c r="I400" i="10"/>
  <c r="J400" i="10"/>
  <c r="L400" i="10"/>
  <c r="F401" i="10"/>
  <c r="G401" i="10"/>
  <c r="I401" i="10"/>
  <c r="J401" i="10"/>
  <c r="L401" i="10"/>
  <c r="F402" i="10"/>
  <c r="G402" i="10"/>
  <c r="I402" i="10"/>
  <c r="J402" i="10"/>
  <c r="L402" i="10"/>
  <c r="F403" i="10"/>
  <c r="G403" i="10"/>
  <c r="I403" i="10"/>
  <c r="J403" i="10"/>
  <c r="L403" i="10"/>
  <c r="F404" i="10"/>
  <c r="G404" i="10"/>
  <c r="I404" i="10"/>
  <c r="J404" i="10"/>
  <c r="L404" i="10"/>
  <c r="F405" i="10"/>
  <c r="G405" i="10"/>
  <c r="I405" i="10"/>
  <c r="J405" i="10"/>
  <c r="L405" i="10"/>
  <c r="F406" i="10"/>
  <c r="G406" i="10"/>
  <c r="I406" i="10"/>
  <c r="J406" i="10"/>
  <c r="L406" i="10"/>
  <c r="F407" i="10"/>
  <c r="G407" i="10"/>
  <c r="I407" i="10"/>
  <c r="J407" i="10"/>
  <c r="L407" i="10"/>
  <c r="F408" i="10"/>
  <c r="G408" i="10"/>
  <c r="I408" i="10"/>
  <c r="J408" i="10"/>
  <c r="L408" i="10"/>
  <c r="F409" i="10"/>
  <c r="G409" i="10"/>
  <c r="I409" i="10"/>
  <c r="J409" i="10"/>
  <c r="L409" i="10"/>
  <c r="F410" i="10"/>
  <c r="G410" i="10"/>
  <c r="I410" i="10"/>
  <c r="J410" i="10"/>
  <c r="L410" i="10"/>
  <c r="F411" i="10"/>
  <c r="G411" i="10"/>
  <c r="I411" i="10"/>
  <c r="J411" i="10"/>
  <c r="L411" i="10"/>
  <c r="F412" i="10"/>
  <c r="G412" i="10"/>
  <c r="I412" i="10"/>
  <c r="J412" i="10"/>
  <c r="L412" i="10"/>
  <c r="F413" i="10"/>
  <c r="G413" i="10"/>
  <c r="I413" i="10"/>
  <c r="J413" i="10"/>
  <c r="L413" i="10"/>
  <c r="F414" i="10"/>
  <c r="G414" i="10"/>
  <c r="I414" i="10"/>
  <c r="J414" i="10"/>
  <c r="L414" i="10"/>
  <c r="F415" i="10"/>
  <c r="G415" i="10"/>
  <c r="I415" i="10"/>
  <c r="J415" i="10"/>
  <c r="L415" i="10"/>
  <c r="F416" i="10"/>
  <c r="G416" i="10"/>
  <c r="I416" i="10"/>
  <c r="J416" i="10"/>
  <c r="L416" i="10"/>
  <c r="F417" i="10"/>
  <c r="G417" i="10"/>
  <c r="I417" i="10"/>
  <c r="J417" i="10"/>
  <c r="L417" i="10"/>
  <c r="F418" i="10"/>
  <c r="G418" i="10"/>
  <c r="I418" i="10"/>
  <c r="J418" i="10"/>
  <c r="L418" i="10"/>
  <c r="F419" i="10"/>
  <c r="G419" i="10"/>
  <c r="I419" i="10"/>
  <c r="J419" i="10"/>
  <c r="L419" i="10"/>
  <c r="F420" i="10"/>
  <c r="G420" i="10"/>
  <c r="I420" i="10"/>
  <c r="J420" i="10"/>
  <c r="L420" i="10"/>
  <c r="F421" i="10"/>
  <c r="G421" i="10"/>
  <c r="I421" i="10"/>
  <c r="J421" i="10"/>
  <c r="L421" i="10"/>
  <c r="F422" i="10"/>
  <c r="G422" i="10"/>
  <c r="I422" i="10"/>
  <c r="J422" i="10"/>
  <c r="L422" i="10"/>
  <c r="F423" i="10"/>
  <c r="G423" i="10"/>
  <c r="I423" i="10"/>
  <c r="J423" i="10"/>
  <c r="L423" i="10"/>
  <c r="F424" i="10"/>
  <c r="G424" i="10"/>
  <c r="I424" i="10"/>
  <c r="J424" i="10"/>
  <c r="L424" i="10"/>
  <c r="F425" i="10"/>
  <c r="G425" i="10"/>
  <c r="I425" i="10"/>
  <c r="J425" i="10"/>
  <c r="L425" i="10"/>
  <c r="F426" i="10"/>
  <c r="G426" i="10"/>
  <c r="I426" i="10"/>
  <c r="J426" i="10"/>
  <c r="L426" i="10"/>
  <c r="F427" i="10"/>
  <c r="G427" i="10"/>
  <c r="I427" i="10"/>
  <c r="J427" i="10"/>
  <c r="L427" i="10"/>
  <c r="F428" i="10"/>
  <c r="G428" i="10"/>
  <c r="I428" i="10"/>
  <c r="J428" i="10"/>
  <c r="L428" i="10"/>
  <c r="F429" i="10"/>
  <c r="G429" i="10"/>
  <c r="I429" i="10"/>
  <c r="J429" i="10"/>
  <c r="L429" i="10"/>
  <c r="F430" i="10"/>
  <c r="G430" i="10"/>
  <c r="I430" i="10"/>
  <c r="J430" i="10"/>
  <c r="L430" i="10"/>
  <c r="F431" i="10"/>
  <c r="G431" i="10"/>
  <c r="I431" i="10"/>
  <c r="J431" i="10"/>
  <c r="L431" i="10"/>
  <c r="F432" i="10"/>
  <c r="G432" i="10"/>
  <c r="I432" i="10"/>
  <c r="J432" i="10"/>
  <c r="L432" i="10"/>
  <c r="F433" i="10"/>
  <c r="G433" i="10"/>
  <c r="I433" i="10"/>
  <c r="J433" i="10"/>
  <c r="L433" i="10"/>
  <c r="F434" i="10"/>
  <c r="G434" i="10"/>
  <c r="I434" i="10"/>
  <c r="J434" i="10"/>
  <c r="L434" i="10"/>
  <c r="F435" i="10"/>
  <c r="G435" i="10"/>
  <c r="I435" i="10"/>
  <c r="J435" i="10"/>
  <c r="L435" i="10"/>
  <c r="F436" i="10"/>
  <c r="G436" i="10"/>
  <c r="I436" i="10"/>
  <c r="J436" i="10"/>
  <c r="L436" i="10"/>
  <c r="F437" i="10"/>
  <c r="G437" i="10"/>
  <c r="I437" i="10"/>
  <c r="J437" i="10"/>
  <c r="L437" i="10"/>
  <c r="F438" i="10"/>
  <c r="G438" i="10"/>
  <c r="I438" i="10"/>
  <c r="J438" i="10"/>
  <c r="L438" i="10"/>
  <c r="F439" i="10"/>
  <c r="G439" i="10"/>
  <c r="I439" i="10"/>
  <c r="J439" i="10"/>
  <c r="L439" i="10"/>
  <c r="F440" i="10"/>
  <c r="G440" i="10"/>
  <c r="I440" i="10"/>
  <c r="J440" i="10"/>
  <c r="L440" i="10"/>
  <c r="F441" i="10"/>
  <c r="G441" i="10"/>
  <c r="I441" i="10"/>
  <c r="J441" i="10"/>
  <c r="L441" i="10"/>
  <c r="F442" i="10"/>
  <c r="G442" i="10"/>
  <c r="I442" i="10"/>
  <c r="J442" i="10"/>
  <c r="L442" i="10"/>
  <c r="F443" i="10"/>
  <c r="I443" i="10"/>
  <c r="J443" i="10"/>
  <c r="L443" i="10"/>
  <c r="F444" i="10"/>
  <c r="G444" i="10"/>
  <c r="I444" i="10"/>
  <c r="J444" i="10"/>
  <c r="L444" i="10"/>
  <c r="F445" i="10"/>
  <c r="G445" i="10"/>
  <c r="I445" i="10"/>
  <c r="J445" i="10"/>
  <c r="L445" i="10"/>
  <c r="F446" i="10"/>
  <c r="G446" i="10"/>
  <c r="I446" i="10"/>
  <c r="J446" i="10"/>
  <c r="L446" i="10"/>
  <c r="F447" i="10"/>
  <c r="G447" i="10"/>
  <c r="I447" i="10"/>
  <c r="J447" i="10"/>
  <c r="L447" i="10"/>
  <c r="F448" i="10"/>
  <c r="I448" i="10"/>
  <c r="J448" i="10"/>
  <c r="L448" i="10"/>
  <c r="F449" i="10"/>
  <c r="G449" i="10"/>
  <c r="I449" i="10"/>
  <c r="J449" i="10"/>
  <c r="L449" i="10"/>
  <c r="F450" i="10"/>
  <c r="G450" i="10"/>
  <c r="I450" i="10"/>
  <c r="J450" i="10"/>
  <c r="L450" i="10"/>
  <c r="F451" i="10"/>
  <c r="G451" i="10"/>
  <c r="I451" i="10"/>
  <c r="J451" i="10"/>
  <c r="L451" i="10"/>
  <c r="F452" i="10"/>
  <c r="G452" i="10"/>
  <c r="I452" i="10"/>
  <c r="J452" i="10"/>
  <c r="L452" i="10"/>
  <c r="F453" i="10"/>
  <c r="I453" i="10"/>
  <c r="J453" i="10"/>
  <c r="L453" i="10"/>
  <c r="F454" i="10"/>
  <c r="G454" i="10"/>
  <c r="I454" i="10"/>
  <c r="J454" i="10"/>
  <c r="L454" i="10"/>
  <c r="F455" i="10"/>
  <c r="G455" i="10"/>
  <c r="I455" i="10"/>
  <c r="J455" i="10"/>
  <c r="L455" i="10"/>
  <c r="F456" i="10"/>
  <c r="G456" i="10"/>
  <c r="I456" i="10"/>
  <c r="J456" i="10"/>
  <c r="L456" i="10"/>
  <c r="F457" i="10"/>
  <c r="G457" i="10"/>
  <c r="I457" i="10"/>
  <c r="J457" i="10"/>
  <c r="L457" i="10"/>
  <c r="F458" i="10"/>
  <c r="G458" i="10"/>
  <c r="I458" i="10"/>
  <c r="J458" i="10"/>
  <c r="L458" i="10"/>
  <c r="F459" i="10"/>
  <c r="G459" i="10"/>
  <c r="I459" i="10"/>
  <c r="J459" i="10"/>
  <c r="L459" i="10"/>
  <c r="F460" i="10"/>
  <c r="G460" i="10"/>
  <c r="I460" i="10"/>
  <c r="J460" i="10"/>
  <c r="L460" i="10"/>
  <c r="F461" i="10"/>
  <c r="G461" i="10"/>
  <c r="I461" i="10"/>
  <c r="J461" i="10"/>
  <c r="L461" i="10"/>
  <c r="F462" i="10"/>
  <c r="G462" i="10"/>
  <c r="I462" i="10"/>
  <c r="J462" i="10"/>
  <c r="L462" i="10"/>
  <c r="F463" i="10"/>
  <c r="G463" i="10"/>
  <c r="I463" i="10"/>
  <c r="J463" i="10"/>
  <c r="L463" i="10"/>
  <c r="F464" i="10"/>
  <c r="G464" i="10"/>
  <c r="I464" i="10"/>
  <c r="J464" i="10"/>
  <c r="L464" i="10"/>
  <c r="F465" i="10"/>
  <c r="G465" i="10"/>
  <c r="I465" i="10"/>
  <c r="J465" i="10"/>
  <c r="L465" i="10"/>
  <c r="F466" i="10"/>
  <c r="G466" i="10"/>
  <c r="I466" i="10"/>
  <c r="J466" i="10"/>
  <c r="L466" i="10"/>
  <c r="F467" i="10"/>
  <c r="G467" i="10"/>
  <c r="I467" i="10"/>
  <c r="J467" i="10"/>
  <c r="L467" i="10"/>
  <c r="F468" i="10"/>
  <c r="G468" i="10"/>
  <c r="I468" i="10"/>
  <c r="J468" i="10"/>
  <c r="L468" i="10"/>
  <c r="F469" i="10"/>
  <c r="G469" i="10"/>
  <c r="I469" i="10"/>
  <c r="J469" i="10"/>
  <c r="L469" i="10"/>
  <c r="F470" i="10"/>
  <c r="G470" i="10"/>
  <c r="I470" i="10"/>
  <c r="J470" i="10"/>
  <c r="L470" i="10"/>
  <c r="F471" i="10"/>
  <c r="G471" i="10"/>
  <c r="I471" i="10"/>
  <c r="J471" i="10"/>
  <c r="L471" i="10"/>
  <c r="F472" i="10"/>
  <c r="G472" i="10"/>
  <c r="I472" i="10"/>
  <c r="J472" i="10"/>
  <c r="L472" i="10"/>
  <c r="F473" i="10"/>
  <c r="G473" i="10"/>
  <c r="I473" i="10"/>
  <c r="J473" i="10"/>
  <c r="L473" i="10"/>
  <c r="F474" i="10"/>
  <c r="G474" i="10"/>
  <c r="I474" i="10"/>
  <c r="J474" i="10"/>
  <c r="L474" i="10"/>
  <c r="F475" i="10"/>
  <c r="G475" i="10"/>
  <c r="I475" i="10"/>
  <c r="J475" i="10"/>
  <c r="L475" i="10"/>
  <c r="F476" i="10"/>
  <c r="G476" i="10"/>
  <c r="I476" i="10"/>
  <c r="J476" i="10"/>
  <c r="L476" i="10"/>
  <c r="F477" i="10"/>
  <c r="G477" i="10"/>
  <c r="I477" i="10"/>
  <c r="J477" i="10"/>
  <c r="L477" i="10"/>
  <c r="F478" i="10"/>
  <c r="G478" i="10"/>
  <c r="I478" i="10"/>
  <c r="J478" i="10"/>
  <c r="L478" i="10"/>
  <c r="F479" i="10"/>
  <c r="G479" i="10"/>
  <c r="I479" i="10"/>
  <c r="J479" i="10"/>
  <c r="L479" i="10"/>
  <c r="F480" i="10"/>
  <c r="G480" i="10"/>
  <c r="I480" i="10"/>
  <c r="J480" i="10"/>
  <c r="L480" i="10"/>
  <c r="F481" i="10"/>
  <c r="G481" i="10"/>
  <c r="I481" i="10"/>
  <c r="J481" i="10"/>
  <c r="L481" i="10"/>
  <c r="F482" i="10"/>
  <c r="G482" i="10"/>
  <c r="I482" i="10"/>
  <c r="J482" i="10"/>
  <c r="L482" i="10"/>
  <c r="F483" i="10"/>
  <c r="G483" i="10"/>
  <c r="I483" i="10"/>
  <c r="J483" i="10"/>
  <c r="L483" i="10"/>
  <c r="F484" i="10"/>
  <c r="G484" i="10"/>
  <c r="I484" i="10"/>
  <c r="J484" i="10"/>
  <c r="L484" i="10"/>
  <c r="F485" i="10"/>
  <c r="G485" i="10"/>
  <c r="I485" i="10"/>
  <c r="J485" i="10"/>
  <c r="L485" i="10"/>
  <c r="F486" i="10"/>
  <c r="G486" i="10"/>
  <c r="I486" i="10"/>
  <c r="J486" i="10"/>
  <c r="L486" i="10"/>
  <c r="F487" i="10"/>
  <c r="G487" i="10"/>
  <c r="I487" i="10"/>
  <c r="J487" i="10"/>
  <c r="L487" i="10"/>
  <c r="F488" i="10"/>
  <c r="G488" i="10"/>
  <c r="I488" i="10"/>
  <c r="J488" i="10"/>
  <c r="L488" i="10"/>
  <c r="F489" i="10"/>
  <c r="G489" i="10"/>
  <c r="I489" i="10"/>
  <c r="J489" i="10"/>
  <c r="L489" i="10"/>
  <c r="F490" i="10"/>
  <c r="G490" i="10"/>
  <c r="I490" i="10"/>
  <c r="J490" i="10"/>
  <c r="L490" i="10"/>
  <c r="F491" i="10"/>
  <c r="G491" i="10"/>
  <c r="I491" i="10"/>
  <c r="J491" i="10"/>
  <c r="L491" i="10"/>
  <c r="F492" i="10"/>
  <c r="G492" i="10"/>
  <c r="I492" i="10"/>
  <c r="J492" i="10"/>
  <c r="L492" i="10"/>
  <c r="F493" i="10"/>
  <c r="G493" i="10"/>
  <c r="I493" i="10"/>
  <c r="J493" i="10"/>
  <c r="L493" i="10"/>
  <c r="F494" i="10"/>
  <c r="G494" i="10"/>
  <c r="I494" i="10"/>
  <c r="J494" i="10"/>
  <c r="L494" i="10"/>
  <c r="F495" i="10"/>
  <c r="G495" i="10"/>
  <c r="I495" i="10"/>
  <c r="J495" i="10"/>
  <c r="L495" i="10"/>
  <c r="F496" i="10"/>
  <c r="G496" i="10"/>
  <c r="I496" i="10"/>
  <c r="J496" i="10"/>
  <c r="L496" i="10"/>
  <c r="F497" i="10"/>
  <c r="G497" i="10"/>
  <c r="I497" i="10"/>
  <c r="J497" i="10"/>
  <c r="L497" i="10"/>
  <c r="F498" i="10"/>
  <c r="I498" i="10"/>
  <c r="J498" i="10"/>
  <c r="L498" i="10"/>
  <c r="F499" i="10"/>
  <c r="G499" i="10"/>
  <c r="I499" i="10"/>
  <c r="J499" i="10"/>
  <c r="L499" i="10"/>
  <c r="F500" i="10"/>
  <c r="G500" i="10"/>
  <c r="I500" i="10"/>
  <c r="J500" i="10"/>
  <c r="L500" i="10"/>
  <c r="F501" i="10"/>
  <c r="G501" i="10"/>
  <c r="I501" i="10"/>
  <c r="J501" i="10"/>
  <c r="L501" i="10"/>
  <c r="F502" i="10"/>
  <c r="G502" i="10"/>
  <c r="I502" i="10"/>
  <c r="J502" i="10"/>
  <c r="L502" i="10"/>
  <c r="F503" i="10"/>
  <c r="G503" i="10"/>
  <c r="I503" i="10"/>
  <c r="J503" i="10"/>
  <c r="L503" i="10"/>
  <c r="F504" i="10"/>
  <c r="G504" i="10"/>
  <c r="I504" i="10"/>
  <c r="J504" i="10"/>
  <c r="L504" i="10"/>
  <c r="F505" i="10"/>
  <c r="G505" i="10"/>
  <c r="I505" i="10"/>
  <c r="J505" i="10"/>
  <c r="L505" i="10"/>
  <c r="F506" i="10"/>
  <c r="G506" i="10"/>
  <c r="I506" i="10"/>
  <c r="J506" i="10"/>
  <c r="L506" i="10"/>
  <c r="F507" i="10"/>
  <c r="G507" i="10"/>
  <c r="I507" i="10"/>
  <c r="J507" i="10"/>
  <c r="L507" i="10"/>
  <c r="F508" i="10"/>
  <c r="G508" i="10"/>
  <c r="I508" i="10"/>
  <c r="J508" i="10"/>
  <c r="L508" i="10"/>
  <c r="F509" i="10"/>
  <c r="G509" i="10"/>
  <c r="I509" i="10"/>
  <c r="J509" i="10"/>
  <c r="L509" i="10"/>
  <c r="F510" i="10"/>
  <c r="G510" i="10"/>
  <c r="I510" i="10"/>
  <c r="J510" i="10"/>
  <c r="L510" i="10"/>
  <c r="F511" i="10"/>
  <c r="G511" i="10"/>
  <c r="I511" i="10"/>
  <c r="J511" i="10"/>
  <c r="L511" i="10"/>
  <c r="F512" i="10"/>
  <c r="G512" i="10"/>
  <c r="I512" i="10"/>
  <c r="J512" i="10"/>
  <c r="L512" i="10"/>
  <c r="F513" i="10"/>
  <c r="G513" i="10"/>
  <c r="I513" i="10"/>
  <c r="J513" i="10"/>
  <c r="L513" i="10"/>
  <c r="F514" i="10"/>
  <c r="G514" i="10"/>
  <c r="I514" i="10"/>
  <c r="J514" i="10"/>
  <c r="L514" i="10"/>
  <c r="F515" i="10"/>
  <c r="G515" i="10"/>
  <c r="I515" i="10"/>
  <c r="J515" i="10"/>
  <c r="L515" i="10"/>
  <c r="F516" i="10"/>
  <c r="G516" i="10"/>
  <c r="I516" i="10"/>
  <c r="J516" i="10"/>
  <c r="L516" i="10"/>
  <c r="F517" i="10"/>
  <c r="G517" i="10"/>
  <c r="I517" i="10"/>
  <c r="J517" i="10"/>
  <c r="L517" i="10"/>
  <c r="F518" i="10"/>
  <c r="G518" i="10"/>
  <c r="I518" i="10"/>
  <c r="J518" i="10"/>
  <c r="L518" i="10"/>
  <c r="F519" i="10"/>
  <c r="G519" i="10"/>
  <c r="I519" i="10"/>
  <c r="J519" i="10"/>
  <c r="L519" i="10"/>
  <c r="F520" i="10"/>
  <c r="G520" i="10"/>
  <c r="I520" i="10"/>
  <c r="J520" i="10"/>
  <c r="L520" i="10"/>
  <c r="F521" i="10"/>
  <c r="G521" i="10"/>
  <c r="I521" i="10"/>
  <c r="J521" i="10"/>
  <c r="L521" i="10"/>
  <c r="F522" i="10"/>
  <c r="G522" i="10"/>
  <c r="I522" i="10"/>
  <c r="J522" i="10"/>
  <c r="L522" i="10"/>
  <c r="F523" i="10"/>
  <c r="G523" i="10"/>
  <c r="I523" i="10"/>
  <c r="J523" i="10"/>
  <c r="L523" i="10"/>
  <c r="F524" i="10"/>
  <c r="G524" i="10"/>
  <c r="I524" i="10"/>
  <c r="J524" i="10"/>
  <c r="L524" i="10"/>
  <c r="F525" i="10"/>
  <c r="G525" i="10"/>
  <c r="I525" i="10"/>
  <c r="J525" i="10"/>
  <c r="L525" i="10"/>
  <c r="F526" i="10"/>
  <c r="G526" i="10"/>
  <c r="I526" i="10"/>
  <c r="J526" i="10"/>
  <c r="L526" i="10"/>
  <c r="F527" i="10"/>
  <c r="G527" i="10"/>
  <c r="I527" i="10"/>
  <c r="J527" i="10"/>
  <c r="L527" i="10"/>
  <c r="F528" i="10"/>
  <c r="G528" i="10"/>
  <c r="I528" i="10"/>
  <c r="J528" i="10"/>
  <c r="L528" i="10"/>
  <c r="F529" i="10"/>
  <c r="G529" i="10"/>
  <c r="I529" i="10"/>
  <c r="J529" i="10"/>
  <c r="L529" i="10"/>
  <c r="F530" i="10"/>
  <c r="G530" i="10"/>
  <c r="I530" i="10"/>
  <c r="J530" i="10"/>
  <c r="L530" i="10"/>
  <c r="F531" i="10"/>
  <c r="G531" i="10"/>
  <c r="I531" i="10"/>
  <c r="J531" i="10"/>
  <c r="L531" i="10"/>
  <c r="F532" i="10"/>
  <c r="G532" i="10"/>
  <c r="I532" i="10"/>
  <c r="J532" i="10"/>
  <c r="L532" i="10"/>
  <c r="F533" i="10"/>
  <c r="G533" i="10"/>
  <c r="I533" i="10"/>
  <c r="J533" i="10"/>
  <c r="L533" i="10"/>
  <c r="F534" i="10"/>
  <c r="G534" i="10"/>
  <c r="I534" i="10"/>
  <c r="J534" i="10"/>
  <c r="L534" i="10"/>
  <c r="F535" i="10"/>
  <c r="G535" i="10"/>
  <c r="I535" i="10"/>
  <c r="J535" i="10"/>
  <c r="L535" i="10"/>
  <c r="F536" i="10"/>
  <c r="G536" i="10"/>
  <c r="I536" i="10"/>
  <c r="J536" i="10"/>
  <c r="L536" i="10"/>
  <c r="F537" i="10"/>
  <c r="G537" i="10"/>
  <c r="I537" i="10"/>
  <c r="J537" i="10"/>
  <c r="L537" i="10"/>
  <c r="F538" i="10"/>
  <c r="G538" i="10"/>
  <c r="I538" i="10"/>
  <c r="J538" i="10"/>
  <c r="L538" i="10"/>
  <c r="F539" i="10"/>
  <c r="G539" i="10"/>
  <c r="I539" i="10"/>
  <c r="J539" i="10"/>
  <c r="L539" i="10"/>
  <c r="F540" i="10"/>
  <c r="G540" i="10"/>
  <c r="I540" i="10"/>
  <c r="J540" i="10"/>
  <c r="L540" i="10"/>
  <c r="F541" i="10"/>
  <c r="G541" i="10"/>
  <c r="I541" i="10"/>
  <c r="J541" i="10"/>
  <c r="L541" i="10"/>
  <c r="F542" i="10"/>
  <c r="G542" i="10"/>
  <c r="I542" i="10"/>
  <c r="J542" i="10"/>
  <c r="L542" i="10"/>
  <c r="F543" i="10"/>
  <c r="G543" i="10"/>
  <c r="I543" i="10"/>
  <c r="J543" i="10"/>
  <c r="L543" i="10"/>
  <c r="F544" i="10"/>
  <c r="G544" i="10"/>
  <c r="I544" i="10"/>
  <c r="J544" i="10"/>
  <c r="L544" i="10"/>
  <c r="F545" i="10"/>
  <c r="G545" i="10"/>
  <c r="I545" i="10"/>
  <c r="J545" i="10"/>
  <c r="L545" i="10"/>
  <c r="F546" i="10"/>
  <c r="G546" i="10"/>
  <c r="I546" i="10"/>
  <c r="J546" i="10"/>
  <c r="L546" i="10"/>
  <c r="F547" i="10"/>
  <c r="G547" i="10"/>
  <c r="I547" i="10"/>
  <c r="J547" i="10"/>
  <c r="L547" i="10"/>
  <c r="F548" i="10"/>
  <c r="G548" i="10"/>
  <c r="I548" i="10"/>
  <c r="J548" i="10"/>
  <c r="L548" i="10"/>
  <c r="F549" i="10"/>
  <c r="G549" i="10"/>
  <c r="I549" i="10"/>
  <c r="J549" i="10"/>
  <c r="L549" i="10"/>
  <c r="F550" i="10"/>
  <c r="G550" i="10"/>
  <c r="I550" i="10"/>
  <c r="J550" i="10"/>
  <c r="L550" i="10"/>
  <c r="F551" i="10"/>
  <c r="G551" i="10"/>
  <c r="I551" i="10"/>
  <c r="J551" i="10"/>
  <c r="L551" i="10"/>
  <c r="F552" i="10"/>
  <c r="G552" i="10"/>
  <c r="I552" i="10"/>
  <c r="J552" i="10"/>
  <c r="L552" i="10"/>
  <c r="F553" i="10"/>
  <c r="G553" i="10"/>
  <c r="I553" i="10"/>
  <c r="J553" i="10"/>
  <c r="L553" i="10"/>
  <c r="F554" i="10"/>
  <c r="G554" i="10"/>
  <c r="I554" i="10"/>
  <c r="J554" i="10"/>
  <c r="L554" i="10"/>
  <c r="F555" i="10"/>
  <c r="G555" i="10"/>
  <c r="I555" i="10"/>
  <c r="J555" i="10"/>
  <c r="L555" i="10"/>
  <c r="F556" i="10"/>
  <c r="G556" i="10"/>
  <c r="I556" i="10"/>
  <c r="J556" i="10"/>
  <c r="L556" i="10"/>
  <c r="F557" i="10"/>
  <c r="G557" i="10"/>
  <c r="I557" i="10"/>
  <c r="J557" i="10"/>
  <c r="L557" i="10"/>
  <c r="F558" i="10"/>
  <c r="G558" i="10"/>
  <c r="I558" i="10"/>
  <c r="J558" i="10"/>
  <c r="L558" i="10"/>
  <c r="F559" i="10"/>
  <c r="G559" i="10"/>
  <c r="I559" i="10"/>
  <c r="J559" i="10"/>
  <c r="L559" i="10"/>
  <c r="F560" i="10"/>
  <c r="G560" i="10"/>
  <c r="I560" i="10"/>
  <c r="J560" i="10"/>
  <c r="L560" i="10"/>
  <c r="F561" i="10"/>
  <c r="G561" i="10"/>
  <c r="I561" i="10"/>
  <c r="J561" i="10"/>
  <c r="L561" i="10"/>
  <c r="F562" i="10"/>
  <c r="G562" i="10"/>
  <c r="I562" i="10"/>
  <c r="J562" i="10"/>
  <c r="L562" i="10"/>
  <c r="F563" i="10"/>
  <c r="G563" i="10"/>
  <c r="I563" i="10"/>
  <c r="J563" i="10"/>
  <c r="L563" i="10"/>
  <c r="F564" i="10"/>
  <c r="G564" i="10"/>
  <c r="I564" i="10"/>
  <c r="J564" i="10"/>
  <c r="L564" i="10"/>
  <c r="F565" i="10"/>
  <c r="G565" i="10"/>
  <c r="I565" i="10"/>
  <c r="J565" i="10"/>
  <c r="L565" i="10"/>
  <c r="F566" i="10"/>
  <c r="G566" i="10"/>
  <c r="I566" i="10"/>
  <c r="J566" i="10"/>
  <c r="L566" i="10"/>
  <c r="F567" i="10"/>
  <c r="G567" i="10"/>
  <c r="I567" i="10"/>
  <c r="J567" i="10"/>
  <c r="L567" i="10"/>
  <c r="F568" i="10"/>
  <c r="G568" i="10"/>
  <c r="I568" i="10"/>
  <c r="J568" i="10"/>
  <c r="L568" i="10"/>
  <c r="F569" i="10"/>
  <c r="G569" i="10"/>
  <c r="I569" i="10"/>
  <c r="J569" i="10"/>
  <c r="L569" i="10"/>
  <c r="F570" i="10"/>
  <c r="G570" i="10"/>
  <c r="I570" i="10"/>
  <c r="J570" i="10"/>
  <c r="L570" i="10"/>
  <c r="F571" i="10"/>
  <c r="G571" i="10"/>
  <c r="I571" i="10"/>
  <c r="J571" i="10"/>
  <c r="L571" i="10"/>
  <c r="F572" i="10"/>
  <c r="G572" i="10"/>
  <c r="I572" i="10"/>
  <c r="J572" i="10"/>
  <c r="L572" i="10"/>
  <c r="F573" i="10"/>
  <c r="G573" i="10"/>
  <c r="I573" i="10"/>
  <c r="J573" i="10"/>
  <c r="L573" i="10"/>
  <c r="F574" i="10"/>
  <c r="G574" i="10"/>
  <c r="I574" i="10"/>
  <c r="J574" i="10"/>
  <c r="L574" i="10"/>
  <c r="G575" i="10"/>
  <c r="I575" i="10"/>
  <c r="J575" i="10"/>
  <c r="L575" i="10"/>
  <c r="F2" i="9"/>
  <c r="G2" i="9"/>
  <c r="I2" i="9"/>
  <c r="J2" i="9"/>
  <c r="L2" i="9"/>
  <c r="F3" i="9"/>
  <c r="I3" i="9"/>
  <c r="J3" i="9"/>
  <c r="L3" i="9"/>
  <c r="F4" i="9"/>
  <c r="G4" i="9"/>
  <c r="I4" i="9"/>
  <c r="J4" i="9"/>
  <c r="L4" i="9"/>
  <c r="F5" i="9"/>
  <c r="G5" i="9"/>
  <c r="I5" i="9"/>
  <c r="J5" i="9"/>
  <c r="L5" i="9"/>
  <c r="F6" i="9"/>
  <c r="G6" i="9"/>
  <c r="I6" i="9"/>
  <c r="J6" i="9"/>
  <c r="L6" i="9"/>
  <c r="F7" i="9"/>
  <c r="G7" i="9"/>
  <c r="I7" i="9"/>
  <c r="J7" i="9"/>
  <c r="L7" i="9"/>
  <c r="F8" i="9"/>
  <c r="G8" i="9"/>
  <c r="I8" i="9"/>
  <c r="J8" i="9"/>
  <c r="L8" i="9"/>
  <c r="F9" i="9"/>
  <c r="G9" i="9"/>
  <c r="I9" i="9"/>
  <c r="J9" i="9"/>
  <c r="L9" i="9"/>
  <c r="F10" i="9"/>
  <c r="G10" i="9"/>
  <c r="I10" i="9"/>
  <c r="J10" i="9"/>
  <c r="L10" i="9"/>
  <c r="F11" i="9"/>
  <c r="G11" i="9"/>
  <c r="I11" i="9"/>
  <c r="J11" i="9"/>
  <c r="L11" i="9"/>
  <c r="F12" i="9"/>
  <c r="G12" i="9"/>
  <c r="I12" i="9"/>
  <c r="J12" i="9"/>
  <c r="L12" i="9"/>
  <c r="F13" i="9"/>
  <c r="G13" i="9"/>
  <c r="I13" i="9"/>
  <c r="J13" i="9"/>
  <c r="L13" i="9"/>
  <c r="F14" i="9"/>
  <c r="G14" i="9"/>
  <c r="I14" i="9"/>
  <c r="J14" i="9"/>
  <c r="L14" i="9"/>
  <c r="F15" i="9"/>
  <c r="G15" i="9"/>
  <c r="I15" i="9"/>
  <c r="J15" i="9"/>
  <c r="L15" i="9"/>
  <c r="F16" i="9"/>
  <c r="G16" i="9"/>
  <c r="I16" i="9"/>
  <c r="J16" i="9"/>
  <c r="L16" i="9"/>
  <c r="F17" i="9"/>
  <c r="G17" i="9"/>
  <c r="I17" i="9"/>
  <c r="J17" i="9"/>
  <c r="L17" i="9"/>
  <c r="F18" i="9"/>
  <c r="G18" i="9"/>
  <c r="I18" i="9"/>
  <c r="J18" i="9"/>
  <c r="L18" i="9"/>
  <c r="F19" i="9"/>
  <c r="G19" i="9"/>
  <c r="I19" i="9"/>
  <c r="J19" i="9"/>
  <c r="L19" i="9"/>
  <c r="F20" i="9"/>
  <c r="G20" i="9"/>
  <c r="I20" i="9"/>
  <c r="J20" i="9"/>
  <c r="L20" i="9"/>
  <c r="F21" i="9"/>
  <c r="G21" i="9"/>
  <c r="I21" i="9"/>
  <c r="J21" i="9"/>
  <c r="L21" i="9"/>
  <c r="F22" i="9"/>
  <c r="G22" i="9"/>
  <c r="I22" i="9"/>
  <c r="J22" i="9"/>
  <c r="L22" i="9"/>
  <c r="F23" i="9"/>
  <c r="G23" i="9"/>
  <c r="I23" i="9"/>
  <c r="J23" i="9"/>
  <c r="L23" i="9"/>
  <c r="F24" i="9"/>
  <c r="G24" i="9"/>
  <c r="I24" i="9"/>
  <c r="J24" i="9"/>
  <c r="L24" i="9"/>
  <c r="F25" i="9"/>
  <c r="G25" i="9"/>
  <c r="I25" i="9"/>
  <c r="J25" i="9"/>
  <c r="L25" i="9"/>
  <c r="F26" i="9"/>
  <c r="G26" i="9"/>
  <c r="I26" i="9"/>
  <c r="J26" i="9"/>
  <c r="L26" i="9"/>
  <c r="F27" i="9"/>
  <c r="G27" i="9"/>
  <c r="I27" i="9"/>
  <c r="J27" i="9"/>
  <c r="L27" i="9"/>
  <c r="F28" i="9"/>
  <c r="G28" i="9"/>
  <c r="I28" i="9"/>
  <c r="J28" i="9"/>
  <c r="L28" i="9"/>
  <c r="F29" i="9"/>
  <c r="G29" i="9"/>
  <c r="I29" i="9"/>
  <c r="J29" i="9"/>
  <c r="L29" i="9"/>
  <c r="F30" i="9"/>
  <c r="G30" i="9"/>
  <c r="I30" i="9"/>
  <c r="J30" i="9"/>
  <c r="L30" i="9"/>
  <c r="F31" i="9"/>
  <c r="G31" i="9"/>
  <c r="I31" i="9"/>
  <c r="J31" i="9"/>
  <c r="L31" i="9"/>
  <c r="F32" i="9"/>
  <c r="G32" i="9"/>
  <c r="I32" i="9"/>
  <c r="J32" i="9"/>
  <c r="L32" i="9"/>
  <c r="F33" i="9"/>
  <c r="G33" i="9"/>
  <c r="I33" i="9"/>
  <c r="J33" i="9"/>
  <c r="L33" i="9"/>
  <c r="F34" i="9"/>
  <c r="G34" i="9"/>
  <c r="I34" i="9"/>
  <c r="J34" i="9"/>
  <c r="L34" i="9"/>
  <c r="F35" i="9"/>
  <c r="G35" i="9"/>
  <c r="I35" i="9"/>
  <c r="J35" i="9"/>
  <c r="L35" i="9"/>
  <c r="F36" i="9"/>
  <c r="G36" i="9"/>
  <c r="I36" i="9"/>
  <c r="J36" i="9"/>
  <c r="L36" i="9"/>
  <c r="F37" i="9"/>
  <c r="G37" i="9"/>
  <c r="I37" i="9"/>
  <c r="J37" i="9"/>
  <c r="L37" i="9"/>
  <c r="F38" i="9"/>
  <c r="G38" i="9"/>
  <c r="I38" i="9"/>
  <c r="J38" i="9"/>
  <c r="L38" i="9"/>
  <c r="F39" i="9"/>
  <c r="G39" i="9"/>
  <c r="I39" i="9"/>
  <c r="J39" i="9"/>
  <c r="L39" i="9"/>
  <c r="F40" i="9"/>
  <c r="G40" i="9"/>
  <c r="I40" i="9"/>
  <c r="J40" i="9"/>
  <c r="L40" i="9"/>
  <c r="F41" i="9"/>
  <c r="G41" i="9"/>
  <c r="I41" i="9"/>
  <c r="J41" i="9"/>
  <c r="L41" i="9"/>
  <c r="F42" i="9"/>
  <c r="G42" i="9"/>
  <c r="I42" i="9"/>
  <c r="J42" i="9"/>
  <c r="L42" i="9"/>
  <c r="F43" i="9"/>
  <c r="G43" i="9"/>
  <c r="I43" i="9"/>
  <c r="J43" i="9"/>
  <c r="L43" i="9"/>
  <c r="F44" i="9"/>
  <c r="G44" i="9"/>
  <c r="I44" i="9"/>
  <c r="J44" i="9"/>
  <c r="L44" i="9"/>
  <c r="F45" i="9"/>
  <c r="G45" i="9"/>
  <c r="I45" i="9"/>
  <c r="J45" i="9"/>
  <c r="L45" i="9"/>
  <c r="F46" i="9"/>
  <c r="G46" i="9"/>
  <c r="I46" i="9"/>
  <c r="J46" i="9"/>
  <c r="L46" i="9"/>
  <c r="F47" i="9"/>
  <c r="G47" i="9"/>
  <c r="I47" i="9"/>
  <c r="J47" i="9"/>
  <c r="L47" i="9"/>
  <c r="F48" i="9"/>
  <c r="G48" i="9"/>
  <c r="I48" i="9"/>
  <c r="J48" i="9"/>
  <c r="L48" i="9"/>
  <c r="F49" i="9"/>
  <c r="G49" i="9"/>
  <c r="I49" i="9"/>
  <c r="J49" i="9"/>
  <c r="L49" i="9"/>
  <c r="F50" i="9"/>
  <c r="G50" i="9"/>
  <c r="I50" i="9"/>
  <c r="J50" i="9"/>
  <c r="L50" i="9"/>
  <c r="F51" i="9"/>
  <c r="G51" i="9"/>
  <c r="I51" i="9"/>
  <c r="J51" i="9"/>
  <c r="L51" i="9"/>
  <c r="F52" i="9"/>
  <c r="G52" i="9"/>
  <c r="I52" i="9"/>
  <c r="J52" i="9"/>
  <c r="L52" i="9"/>
  <c r="F53" i="9"/>
  <c r="G53" i="9"/>
  <c r="I53" i="9"/>
  <c r="J53" i="9"/>
  <c r="L53" i="9"/>
  <c r="F54" i="9"/>
  <c r="G54" i="9"/>
  <c r="I54" i="9"/>
  <c r="J54" i="9"/>
  <c r="L54" i="9"/>
  <c r="F55" i="9"/>
  <c r="G55" i="9"/>
  <c r="I55" i="9"/>
  <c r="J55" i="9"/>
  <c r="L55" i="9"/>
  <c r="F56" i="9"/>
  <c r="G56" i="9"/>
  <c r="I56" i="9"/>
  <c r="J56" i="9"/>
  <c r="L56" i="9"/>
  <c r="F57" i="9"/>
  <c r="G57" i="9"/>
  <c r="I57" i="9"/>
  <c r="J57" i="9"/>
  <c r="L57" i="9"/>
  <c r="F58" i="9"/>
  <c r="G58" i="9"/>
  <c r="I58" i="9"/>
  <c r="J58" i="9"/>
  <c r="L58" i="9"/>
  <c r="F59" i="9"/>
  <c r="G59" i="9"/>
  <c r="I59" i="9"/>
  <c r="J59" i="9"/>
  <c r="L59" i="9"/>
  <c r="F60" i="9"/>
  <c r="G60" i="9"/>
  <c r="I60" i="9"/>
  <c r="J60" i="9"/>
  <c r="L60" i="9"/>
  <c r="F61" i="9"/>
  <c r="G61" i="9"/>
  <c r="I61" i="9"/>
  <c r="J61" i="9"/>
  <c r="L61" i="9"/>
  <c r="F62" i="9"/>
  <c r="G62" i="9"/>
  <c r="I62" i="9"/>
  <c r="J62" i="9"/>
  <c r="L62" i="9"/>
  <c r="F63" i="9"/>
  <c r="G63" i="9"/>
  <c r="I63" i="9"/>
  <c r="J63" i="9"/>
  <c r="L63" i="9"/>
  <c r="F64" i="9"/>
  <c r="G64" i="9"/>
  <c r="I64" i="9"/>
  <c r="J64" i="9"/>
  <c r="L64" i="9"/>
  <c r="F65" i="9"/>
  <c r="G65" i="9"/>
  <c r="I65" i="9"/>
  <c r="J65" i="9"/>
  <c r="L65" i="9"/>
  <c r="F66" i="9"/>
  <c r="G66" i="9"/>
  <c r="I66" i="9"/>
  <c r="J66" i="9"/>
  <c r="L66" i="9"/>
  <c r="F67" i="9"/>
  <c r="G67" i="9"/>
  <c r="I67" i="9"/>
  <c r="J67" i="9"/>
  <c r="L67" i="9"/>
  <c r="F68" i="9"/>
  <c r="G68" i="9"/>
  <c r="I68" i="9"/>
  <c r="J68" i="9"/>
  <c r="L68" i="9"/>
  <c r="F69" i="9"/>
  <c r="G69" i="9"/>
  <c r="I69" i="9"/>
  <c r="J69" i="9"/>
  <c r="L69" i="9"/>
  <c r="F70" i="9"/>
  <c r="G70" i="9"/>
  <c r="I70" i="9"/>
  <c r="J70" i="9"/>
  <c r="L70" i="9"/>
  <c r="F71" i="9"/>
  <c r="G71" i="9"/>
  <c r="I71" i="9"/>
  <c r="J71" i="9"/>
  <c r="L71" i="9"/>
  <c r="F72" i="9"/>
  <c r="G72" i="9"/>
  <c r="I72" i="9"/>
  <c r="J72" i="9"/>
  <c r="L72" i="9"/>
  <c r="F73" i="9"/>
  <c r="G73" i="9"/>
  <c r="I73" i="9"/>
  <c r="J73" i="9"/>
  <c r="L73" i="9"/>
  <c r="F74" i="9"/>
  <c r="G74" i="9"/>
  <c r="I74" i="9"/>
  <c r="J74" i="9"/>
  <c r="L74" i="9"/>
  <c r="F75" i="9"/>
  <c r="G75" i="9"/>
  <c r="I75" i="9"/>
  <c r="J75" i="9"/>
  <c r="L75" i="9"/>
  <c r="F76" i="9"/>
  <c r="G76" i="9"/>
  <c r="I76" i="9"/>
  <c r="J76" i="9"/>
  <c r="L76" i="9"/>
  <c r="F77" i="9"/>
  <c r="G77" i="9"/>
  <c r="I77" i="9"/>
  <c r="J77" i="9"/>
  <c r="L77" i="9"/>
  <c r="F78" i="9"/>
  <c r="G78" i="9"/>
  <c r="I78" i="9"/>
  <c r="J78" i="9"/>
  <c r="L78" i="9"/>
  <c r="F79" i="9"/>
  <c r="G79" i="9"/>
  <c r="I79" i="9"/>
  <c r="J79" i="9"/>
  <c r="L79" i="9"/>
  <c r="F80" i="9"/>
  <c r="G80" i="9"/>
  <c r="I80" i="9"/>
  <c r="J80" i="9"/>
  <c r="L80" i="9"/>
  <c r="F81" i="9"/>
  <c r="G81" i="9"/>
  <c r="I81" i="9"/>
  <c r="J81" i="9"/>
  <c r="L81" i="9"/>
  <c r="F82" i="9"/>
  <c r="G82" i="9"/>
  <c r="I82" i="9"/>
  <c r="J82" i="9"/>
  <c r="L82" i="9"/>
  <c r="F83" i="9"/>
  <c r="G83" i="9"/>
  <c r="I83" i="9"/>
  <c r="J83" i="9"/>
  <c r="L83" i="9"/>
  <c r="F84" i="9"/>
  <c r="G84" i="9"/>
  <c r="I84" i="9"/>
  <c r="J84" i="9"/>
  <c r="L84" i="9"/>
  <c r="F85" i="9"/>
  <c r="G85" i="9"/>
  <c r="I85" i="9"/>
  <c r="J85" i="9"/>
  <c r="L85" i="9"/>
  <c r="F86" i="9"/>
  <c r="G86" i="9"/>
  <c r="I86" i="9"/>
  <c r="J86" i="9"/>
  <c r="L86" i="9"/>
  <c r="F87" i="9"/>
  <c r="G87" i="9"/>
  <c r="I87" i="9"/>
  <c r="J87" i="9"/>
  <c r="L87" i="9"/>
  <c r="F88" i="9"/>
  <c r="G88" i="9"/>
  <c r="I88" i="9"/>
  <c r="J88" i="9"/>
  <c r="L88" i="9"/>
  <c r="F89" i="9"/>
  <c r="G89" i="9"/>
  <c r="I89" i="9"/>
  <c r="J89" i="9"/>
  <c r="L89" i="9"/>
  <c r="F90" i="9"/>
  <c r="G90" i="9"/>
  <c r="I90" i="9"/>
  <c r="J90" i="9"/>
  <c r="L90" i="9"/>
  <c r="F91" i="9"/>
  <c r="G91" i="9"/>
  <c r="I91" i="9"/>
  <c r="J91" i="9"/>
  <c r="L91" i="9"/>
  <c r="F92" i="9"/>
  <c r="G92" i="9"/>
  <c r="I92" i="9"/>
  <c r="J92" i="9"/>
  <c r="L92" i="9"/>
  <c r="F93" i="9"/>
  <c r="G93" i="9"/>
  <c r="I93" i="9"/>
  <c r="J93" i="9"/>
  <c r="L93" i="9"/>
  <c r="F94" i="9"/>
  <c r="G94" i="9"/>
  <c r="I94" i="9"/>
  <c r="J94" i="9"/>
  <c r="L94" i="9"/>
  <c r="F95" i="9"/>
  <c r="G95" i="9"/>
  <c r="I95" i="9"/>
  <c r="J95" i="9"/>
  <c r="L95" i="9"/>
  <c r="F96" i="9"/>
  <c r="G96" i="9"/>
  <c r="I96" i="9"/>
  <c r="J96" i="9"/>
  <c r="L96" i="9"/>
  <c r="F97" i="9"/>
  <c r="G97" i="9"/>
  <c r="I97" i="9"/>
  <c r="J97" i="9"/>
  <c r="L97" i="9"/>
  <c r="F98" i="9"/>
  <c r="G98" i="9"/>
  <c r="I98" i="9"/>
  <c r="J98" i="9"/>
  <c r="L98" i="9"/>
  <c r="F99" i="9"/>
  <c r="G99" i="9"/>
  <c r="I99" i="9"/>
  <c r="J99" i="9"/>
  <c r="L99" i="9"/>
  <c r="F100" i="9"/>
  <c r="G100" i="9"/>
  <c r="I100" i="9"/>
  <c r="J100" i="9"/>
  <c r="L100" i="9"/>
  <c r="F101" i="9"/>
  <c r="G101" i="9"/>
  <c r="I101" i="9"/>
  <c r="J101" i="9"/>
  <c r="L101" i="9"/>
  <c r="F102" i="9"/>
  <c r="G102" i="9"/>
  <c r="I102" i="9"/>
  <c r="J102" i="9"/>
  <c r="L102" i="9"/>
  <c r="F103" i="9"/>
  <c r="G103" i="9"/>
  <c r="I103" i="9"/>
  <c r="J103" i="9"/>
  <c r="L103" i="9"/>
  <c r="F104" i="9"/>
  <c r="G104" i="9"/>
  <c r="I104" i="9"/>
  <c r="J104" i="9"/>
  <c r="L104" i="9"/>
  <c r="F105" i="9"/>
  <c r="G105" i="9"/>
  <c r="I105" i="9"/>
  <c r="J105" i="9"/>
  <c r="L105" i="9"/>
  <c r="F106" i="9"/>
  <c r="G106" i="9"/>
  <c r="I106" i="9"/>
  <c r="J106" i="9"/>
  <c r="L106" i="9"/>
  <c r="F107" i="9"/>
  <c r="G107" i="9"/>
  <c r="I107" i="9"/>
  <c r="J107" i="9"/>
  <c r="L107" i="9"/>
  <c r="F108" i="9"/>
  <c r="G108" i="9"/>
  <c r="I108" i="9"/>
  <c r="J108" i="9"/>
  <c r="L108" i="9"/>
  <c r="F109" i="9"/>
  <c r="G109" i="9"/>
  <c r="I109" i="9"/>
  <c r="J109" i="9"/>
  <c r="L109" i="9"/>
  <c r="F110" i="9"/>
  <c r="G110" i="9"/>
  <c r="I110" i="9"/>
  <c r="J110" i="9"/>
  <c r="L110" i="9"/>
  <c r="F111" i="9"/>
  <c r="G111" i="9"/>
  <c r="I111" i="9"/>
  <c r="J111" i="9"/>
  <c r="L111" i="9"/>
  <c r="F112" i="9"/>
  <c r="G112" i="9"/>
  <c r="I112" i="9"/>
  <c r="J112" i="9"/>
  <c r="L112" i="9"/>
  <c r="F113" i="9"/>
  <c r="G113" i="9"/>
  <c r="I113" i="9"/>
  <c r="J113" i="9"/>
  <c r="L113" i="9"/>
  <c r="F114" i="9"/>
  <c r="G114" i="9"/>
  <c r="I114" i="9"/>
  <c r="J114" i="9"/>
  <c r="L114" i="9"/>
  <c r="F115" i="9"/>
  <c r="G115" i="9"/>
  <c r="I115" i="9"/>
  <c r="J115" i="9"/>
  <c r="L115" i="9"/>
  <c r="F116" i="9"/>
  <c r="G116" i="9"/>
  <c r="I116" i="9"/>
  <c r="J116" i="9"/>
  <c r="L116" i="9"/>
  <c r="F117" i="9"/>
  <c r="G117" i="9"/>
  <c r="I117" i="9"/>
  <c r="J117" i="9"/>
  <c r="L117" i="9"/>
  <c r="F118" i="9"/>
  <c r="G118" i="9"/>
  <c r="I118" i="9"/>
  <c r="J118" i="9"/>
  <c r="L118" i="9"/>
  <c r="F119" i="9"/>
  <c r="G119" i="9"/>
  <c r="I119" i="9"/>
  <c r="J119" i="9"/>
  <c r="L119" i="9"/>
  <c r="F120" i="9"/>
  <c r="G120" i="9"/>
  <c r="I120" i="9"/>
  <c r="J120" i="9"/>
  <c r="L120" i="9"/>
  <c r="F121" i="9"/>
  <c r="G121" i="9"/>
  <c r="I121" i="9"/>
  <c r="J121" i="9"/>
  <c r="L121" i="9"/>
  <c r="F122" i="9"/>
  <c r="G122" i="9"/>
  <c r="I122" i="9"/>
  <c r="J122" i="9"/>
  <c r="L122" i="9"/>
  <c r="F123" i="9"/>
  <c r="G123" i="9"/>
  <c r="I123" i="9"/>
  <c r="J123" i="9"/>
  <c r="L123" i="9"/>
  <c r="F124" i="9"/>
  <c r="G124" i="9"/>
  <c r="I124" i="9"/>
  <c r="J124" i="9"/>
  <c r="L124" i="9"/>
  <c r="F125" i="9"/>
  <c r="G125" i="9"/>
  <c r="I125" i="9"/>
  <c r="J125" i="9"/>
  <c r="L125" i="9"/>
  <c r="F126" i="9"/>
  <c r="G126" i="9"/>
  <c r="I126" i="9"/>
  <c r="J126" i="9"/>
  <c r="L126" i="9"/>
  <c r="F127" i="9"/>
  <c r="G127" i="9"/>
  <c r="I127" i="9"/>
  <c r="J127" i="9"/>
  <c r="L127" i="9"/>
  <c r="F128" i="9"/>
  <c r="G128" i="9"/>
  <c r="I128" i="9"/>
  <c r="J128" i="9"/>
  <c r="L128" i="9"/>
  <c r="F129" i="9"/>
  <c r="G129" i="9"/>
  <c r="I129" i="9"/>
  <c r="J129" i="9"/>
  <c r="L129" i="9"/>
  <c r="F130" i="9"/>
  <c r="G130" i="9"/>
  <c r="I130" i="9"/>
  <c r="J130" i="9"/>
  <c r="L130" i="9"/>
  <c r="F131" i="9"/>
  <c r="G131" i="9"/>
  <c r="I131" i="9"/>
  <c r="J131" i="9"/>
  <c r="L131" i="9"/>
  <c r="F132" i="9"/>
  <c r="G132" i="9"/>
  <c r="I132" i="9"/>
  <c r="J132" i="9"/>
  <c r="L132" i="9"/>
  <c r="F133" i="9"/>
  <c r="G133" i="9"/>
  <c r="I133" i="9"/>
  <c r="J133" i="9"/>
  <c r="L133" i="9"/>
  <c r="F134" i="9"/>
  <c r="G134" i="9"/>
  <c r="I134" i="9"/>
  <c r="J134" i="9"/>
  <c r="L134" i="9"/>
  <c r="F135" i="9"/>
  <c r="G135" i="9"/>
  <c r="I135" i="9"/>
  <c r="J135" i="9"/>
  <c r="L135" i="9"/>
  <c r="F136" i="9"/>
  <c r="G136" i="9"/>
  <c r="I136" i="9"/>
  <c r="J136" i="9"/>
  <c r="L136" i="9"/>
  <c r="F137" i="9"/>
  <c r="G137" i="9"/>
  <c r="I137" i="9"/>
  <c r="J137" i="9"/>
  <c r="L137" i="9"/>
  <c r="F138" i="9"/>
  <c r="G138" i="9"/>
  <c r="I138" i="9"/>
  <c r="J138" i="9"/>
  <c r="L138" i="9"/>
  <c r="F139" i="9"/>
  <c r="G139" i="9"/>
  <c r="I139" i="9"/>
  <c r="J139" i="9"/>
  <c r="L139" i="9"/>
  <c r="F140" i="9"/>
  <c r="G140" i="9"/>
  <c r="I140" i="9"/>
  <c r="J140" i="9"/>
  <c r="L140" i="9"/>
  <c r="F141" i="9"/>
  <c r="G141" i="9"/>
  <c r="I141" i="9"/>
  <c r="J141" i="9"/>
  <c r="L141" i="9"/>
  <c r="F142" i="9"/>
  <c r="G142" i="9"/>
  <c r="I142" i="9"/>
  <c r="J142" i="9"/>
  <c r="L142" i="9"/>
  <c r="F143" i="9"/>
  <c r="G143" i="9"/>
  <c r="I143" i="9"/>
  <c r="J143" i="9"/>
  <c r="L143" i="9"/>
  <c r="F144" i="9"/>
  <c r="G144" i="9"/>
  <c r="I144" i="9"/>
  <c r="J144" i="9"/>
  <c r="L144" i="9"/>
  <c r="F145" i="9"/>
  <c r="G145" i="9"/>
  <c r="I145" i="9"/>
  <c r="J145" i="9"/>
  <c r="L145" i="9"/>
  <c r="F146" i="9"/>
  <c r="G146" i="9"/>
  <c r="I146" i="9"/>
  <c r="J146" i="9"/>
  <c r="L146" i="9"/>
  <c r="F147" i="9"/>
  <c r="G147" i="9"/>
  <c r="I147" i="9"/>
  <c r="J147" i="9"/>
  <c r="L147" i="9"/>
  <c r="F148" i="9"/>
  <c r="G148" i="9"/>
  <c r="I148" i="9"/>
  <c r="J148" i="9"/>
  <c r="L148" i="9"/>
  <c r="F149" i="9"/>
  <c r="G149" i="9"/>
  <c r="I149" i="9"/>
  <c r="J149" i="9"/>
  <c r="L149" i="9"/>
  <c r="F150" i="9"/>
  <c r="G150" i="9"/>
  <c r="I150" i="9"/>
  <c r="J150" i="9"/>
  <c r="L150" i="9"/>
  <c r="F151" i="9"/>
  <c r="G151" i="9"/>
  <c r="I151" i="9"/>
  <c r="J151" i="9"/>
  <c r="L151" i="9"/>
  <c r="F152" i="9"/>
  <c r="I152" i="9"/>
  <c r="L152" i="9"/>
  <c r="F153" i="9"/>
  <c r="G153" i="9"/>
  <c r="I153" i="9"/>
  <c r="J153" i="9"/>
  <c r="L153" i="9"/>
  <c r="F154" i="9"/>
  <c r="G154" i="9"/>
  <c r="I154" i="9"/>
  <c r="J154" i="9"/>
  <c r="L154" i="9"/>
  <c r="F155" i="9"/>
  <c r="G155" i="9"/>
  <c r="I155" i="9"/>
  <c r="J155" i="9"/>
  <c r="L155" i="9"/>
  <c r="F156" i="9"/>
  <c r="G156" i="9"/>
  <c r="I156" i="9"/>
  <c r="J156" i="9"/>
  <c r="L156" i="9"/>
  <c r="F157" i="9"/>
  <c r="G157" i="9"/>
  <c r="I157" i="9"/>
  <c r="J157" i="9"/>
  <c r="L157" i="9"/>
  <c r="F158" i="9"/>
  <c r="G158" i="9"/>
  <c r="I158" i="9"/>
  <c r="J158" i="9"/>
  <c r="L158" i="9"/>
  <c r="F159" i="9"/>
  <c r="G159" i="9"/>
  <c r="I159" i="9"/>
  <c r="J159" i="9"/>
  <c r="L159" i="9"/>
  <c r="F160" i="9"/>
  <c r="G160" i="9"/>
  <c r="I160" i="9"/>
  <c r="J160" i="9"/>
  <c r="L160" i="9"/>
  <c r="F161" i="9"/>
  <c r="G161" i="9"/>
  <c r="I161" i="9"/>
  <c r="J161" i="9"/>
  <c r="L161" i="9"/>
  <c r="F162" i="9"/>
  <c r="G162" i="9"/>
  <c r="I162" i="9"/>
  <c r="J162" i="9"/>
  <c r="L162" i="9"/>
  <c r="F163" i="9"/>
  <c r="G163" i="9"/>
  <c r="I163" i="9"/>
  <c r="J163" i="9"/>
  <c r="L163" i="9"/>
  <c r="F164" i="9"/>
  <c r="G164" i="9"/>
  <c r="I164" i="9"/>
  <c r="J164" i="9"/>
  <c r="L164" i="9"/>
  <c r="F165" i="9"/>
  <c r="G165" i="9"/>
  <c r="I165" i="9"/>
  <c r="J165" i="9"/>
  <c r="L165" i="9"/>
  <c r="F166" i="9"/>
  <c r="G166" i="9"/>
  <c r="I166" i="9"/>
  <c r="J166" i="9"/>
  <c r="L166" i="9"/>
  <c r="F167" i="9"/>
  <c r="I167" i="9"/>
  <c r="J167" i="9"/>
  <c r="L167" i="9"/>
  <c r="F168" i="9"/>
  <c r="G168" i="9"/>
  <c r="I168" i="9"/>
  <c r="J168" i="9"/>
  <c r="L168" i="9"/>
  <c r="F169" i="9"/>
  <c r="G169" i="9"/>
  <c r="I169" i="9"/>
  <c r="L169" i="9"/>
  <c r="F170" i="9"/>
  <c r="G170" i="9"/>
  <c r="I170" i="9"/>
  <c r="J170" i="9"/>
  <c r="L170" i="9"/>
  <c r="F171" i="9"/>
  <c r="G171" i="9"/>
  <c r="I171" i="9"/>
  <c r="J171" i="9"/>
  <c r="L171" i="9"/>
  <c r="F172" i="9"/>
  <c r="G172" i="9"/>
  <c r="I172" i="9"/>
  <c r="J172" i="9"/>
  <c r="L172" i="9"/>
  <c r="F173" i="9"/>
  <c r="G173" i="9"/>
  <c r="I173" i="9"/>
  <c r="J173" i="9"/>
  <c r="L173" i="9"/>
  <c r="F174" i="9"/>
  <c r="G174" i="9"/>
  <c r="I174" i="9"/>
  <c r="J174" i="9"/>
  <c r="L174" i="9"/>
  <c r="F175" i="9"/>
  <c r="G175" i="9"/>
  <c r="I175" i="9"/>
  <c r="J175" i="9"/>
  <c r="L175" i="9"/>
  <c r="F176" i="9"/>
  <c r="G176" i="9"/>
  <c r="I176" i="9"/>
  <c r="J176" i="9"/>
  <c r="L176" i="9"/>
  <c r="F177" i="9"/>
  <c r="G177" i="9"/>
  <c r="I177" i="9"/>
  <c r="J177" i="9"/>
  <c r="L177" i="9"/>
  <c r="F178" i="9"/>
  <c r="G178" i="9"/>
  <c r="I178" i="9"/>
  <c r="J178" i="9"/>
  <c r="L178" i="9"/>
  <c r="F179" i="9"/>
  <c r="G179" i="9"/>
  <c r="I179" i="9"/>
  <c r="J179" i="9"/>
  <c r="L179" i="9"/>
  <c r="F180" i="9"/>
  <c r="G180" i="9"/>
  <c r="I180" i="9"/>
  <c r="J180" i="9"/>
  <c r="L180" i="9"/>
  <c r="F181" i="9"/>
  <c r="G181" i="9"/>
  <c r="I181" i="9"/>
  <c r="J181" i="9"/>
  <c r="L181" i="9"/>
  <c r="F182" i="9"/>
  <c r="G182" i="9"/>
  <c r="I182" i="9"/>
  <c r="J182" i="9"/>
  <c r="L182" i="9"/>
  <c r="F183" i="9"/>
  <c r="G183" i="9"/>
  <c r="I183" i="9"/>
  <c r="J183" i="9"/>
  <c r="L183" i="9"/>
  <c r="F184" i="9"/>
  <c r="G184" i="9"/>
  <c r="I184" i="9"/>
  <c r="J184" i="9"/>
  <c r="L184" i="9"/>
  <c r="F185" i="9"/>
  <c r="G185" i="9"/>
  <c r="I185" i="9"/>
  <c r="J185" i="9"/>
  <c r="L185" i="9"/>
  <c r="F186" i="9"/>
  <c r="G186" i="9"/>
  <c r="I186" i="9"/>
  <c r="J186" i="9"/>
  <c r="L186" i="9"/>
  <c r="F187" i="9"/>
  <c r="G187" i="9"/>
  <c r="I187" i="9"/>
  <c r="J187" i="9"/>
  <c r="L187" i="9"/>
  <c r="F188" i="9"/>
  <c r="G188" i="9"/>
  <c r="I188" i="9"/>
  <c r="J188" i="9"/>
  <c r="L188" i="9"/>
  <c r="F189" i="9"/>
  <c r="G189" i="9"/>
  <c r="I189" i="9"/>
  <c r="J189" i="9"/>
  <c r="L189" i="9"/>
  <c r="F190" i="9"/>
  <c r="G190" i="9"/>
  <c r="I190" i="9"/>
  <c r="J190" i="9"/>
  <c r="L190" i="9"/>
  <c r="F191" i="9"/>
  <c r="G191" i="9"/>
  <c r="I191" i="9"/>
  <c r="J191" i="9"/>
  <c r="L191" i="9"/>
  <c r="F192" i="9"/>
  <c r="G192" i="9"/>
  <c r="I192" i="9"/>
  <c r="J192" i="9"/>
  <c r="L192" i="9"/>
  <c r="F193" i="9"/>
  <c r="G193" i="9"/>
  <c r="I193" i="9"/>
  <c r="J193" i="9"/>
  <c r="L193" i="9"/>
  <c r="F194" i="9"/>
  <c r="G194" i="9"/>
  <c r="I194" i="9"/>
  <c r="J194" i="9"/>
  <c r="L194" i="9"/>
  <c r="F195" i="9"/>
  <c r="G195" i="9"/>
  <c r="I195" i="9"/>
  <c r="J195" i="9"/>
  <c r="L195" i="9"/>
  <c r="F196" i="9"/>
  <c r="G196" i="9"/>
  <c r="I196" i="9"/>
  <c r="J196" i="9"/>
  <c r="L196" i="9"/>
  <c r="F197" i="9"/>
  <c r="G197" i="9"/>
  <c r="I197" i="9"/>
  <c r="J197" i="9"/>
  <c r="L197" i="9"/>
  <c r="F198" i="9"/>
  <c r="G198" i="9"/>
  <c r="I198" i="9"/>
  <c r="J198" i="9"/>
  <c r="L198" i="9"/>
  <c r="F199" i="9"/>
  <c r="G199" i="9"/>
  <c r="I199" i="9"/>
  <c r="J199" i="9"/>
  <c r="L199" i="9"/>
  <c r="F200" i="9"/>
  <c r="G200" i="9"/>
  <c r="I200" i="9"/>
  <c r="J200" i="9"/>
  <c r="L200" i="9"/>
  <c r="F201" i="9"/>
  <c r="G201" i="9"/>
  <c r="I201" i="9"/>
  <c r="J201" i="9"/>
  <c r="L201" i="9"/>
  <c r="F202" i="9"/>
  <c r="G202" i="9"/>
  <c r="I202" i="9"/>
  <c r="J202" i="9"/>
  <c r="L202" i="9"/>
  <c r="F203" i="9"/>
  <c r="G203" i="9"/>
  <c r="I203" i="9"/>
  <c r="J203" i="9"/>
  <c r="L203" i="9"/>
  <c r="F204" i="9"/>
  <c r="G204" i="9"/>
  <c r="I204" i="9"/>
  <c r="J204" i="9"/>
  <c r="L204" i="9"/>
  <c r="F205" i="9"/>
  <c r="G205" i="9"/>
  <c r="I205" i="9"/>
  <c r="J205" i="9"/>
  <c r="L205" i="9"/>
  <c r="F206" i="9"/>
  <c r="G206" i="9"/>
  <c r="I206" i="9"/>
  <c r="J206" i="9"/>
  <c r="L206" i="9"/>
  <c r="F207" i="9"/>
  <c r="G207" i="9"/>
  <c r="I207" i="9"/>
  <c r="J207" i="9"/>
  <c r="L207" i="9"/>
  <c r="F208" i="9"/>
  <c r="G208" i="9"/>
  <c r="I208" i="9"/>
  <c r="J208" i="9"/>
  <c r="L208" i="9"/>
  <c r="F209" i="9"/>
  <c r="G209" i="9"/>
  <c r="I209" i="9"/>
  <c r="J209" i="9"/>
  <c r="L209" i="9"/>
  <c r="F210" i="9"/>
  <c r="G210" i="9"/>
  <c r="I210" i="9"/>
  <c r="J210" i="9"/>
  <c r="L210" i="9"/>
  <c r="F211" i="9"/>
  <c r="G211" i="9"/>
  <c r="I211" i="9"/>
  <c r="J211" i="9"/>
  <c r="L211" i="9"/>
  <c r="F212" i="9"/>
  <c r="G212" i="9"/>
  <c r="I212" i="9"/>
  <c r="J212" i="9"/>
  <c r="L212" i="9"/>
  <c r="F213" i="9"/>
  <c r="G213" i="9"/>
  <c r="I213" i="9"/>
  <c r="J213" i="9"/>
  <c r="L213" i="9"/>
  <c r="F214" i="9"/>
  <c r="G214" i="9"/>
  <c r="I214" i="9"/>
  <c r="J214" i="9"/>
  <c r="L214" i="9"/>
  <c r="F215" i="9"/>
  <c r="G215" i="9"/>
  <c r="I215" i="9"/>
  <c r="J215" i="9"/>
  <c r="L215" i="9"/>
  <c r="F216" i="9"/>
  <c r="G216" i="9"/>
  <c r="I216" i="9"/>
  <c r="J216" i="9"/>
  <c r="L216" i="9"/>
  <c r="F217" i="9"/>
  <c r="G217" i="9"/>
  <c r="I217" i="9"/>
  <c r="J217" i="9"/>
  <c r="L217" i="9"/>
  <c r="F218" i="9"/>
  <c r="G218" i="9"/>
  <c r="I218" i="9"/>
  <c r="J218" i="9"/>
  <c r="L218" i="9"/>
  <c r="F219" i="9"/>
  <c r="G219" i="9"/>
  <c r="I219" i="9"/>
  <c r="J219" i="9"/>
  <c r="L219" i="9"/>
  <c r="F220" i="9"/>
  <c r="G220" i="9"/>
  <c r="I220" i="9"/>
  <c r="J220" i="9"/>
  <c r="L220" i="9"/>
  <c r="F221" i="9"/>
  <c r="G221" i="9"/>
  <c r="I221" i="9"/>
  <c r="J221" i="9"/>
  <c r="L221" i="9"/>
  <c r="F222" i="9"/>
  <c r="G222" i="9"/>
  <c r="I222" i="9"/>
  <c r="J222" i="9"/>
  <c r="L222" i="9"/>
  <c r="F223" i="9"/>
  <c r="G223" i="9"/>
  <c r="I223" i="9"/>
  <c r="J223" i="9"/>
  <c r="L223" i="9"/>
  <c r="F224" i="9"/>
  <c r="G224" i="9"/>
  <c r="I224" i="9"/>
  <c r="J224" i="9"/>
  <c r="L224" i="9"/>
  <c r="F225" i="9"/>
  <c r="G225" i="9"/>
  <c r="I225" i="9"/>
  <c r="J225" i="9"/>
  <c r="L225" i="9"/>
  <c r="F226" i="9"/>
  <c r="G226" i="9"/>
  <c r="I226" i="9"/>
  <c r="J226" i="9"/>
  <c r="L226" i="9"/>
  <c r="F227" i="9"/>
  <c r="G227" i="9"/>
  <c r="I227" i="9"/>
  <c r="J227" i="9"/>
  <c r="L227" i="9"/>
  <c r="F228" i="9"/>
  <c r="G228" i="9"/>
  <c r="I228" i="9"/>
  <c r="J228" i="9"/>
  <c r="L228" i="9"/>
  <c r="F229" i="9"/>
  <c r="G229" i="9"/>
  <c r="I229" i="9"/>
  <c r="J229" i="9"/>
  <c r="L229" i="9"/>
  <c r="F230" i="9"/>
  <c r="G230" i="9"/>
  <c r="I230" i="9"/>
  <c r="J230" i="9"/>
  <c r="L230" i="9"/>
  <c r="F231" i="9"/>
  <c r="G231" i="9"/>
  <c r="I231" i="9"/>
  <c r="J231" i="9"/>
  <c r="L231" i="9"/>
  <c r="F232" i="9"/>
  <c r="G232" i="9"/>
  <c r="I232" i="9"/>
  <c r="J232" i="9"/>
  <c r="L232" i="9"/>
  <c r="F233" i="9"/>
  <c r="G233" i="9"/>
  <c r="I233" i="9"/>
  <c r="J233" i="9"/>
  <c r="L233" i="9"/>
  <c r="F234" i="9"/>
  <c r="G234" i="9"/>
  <c r="I234" i="9"/>
  <c r="J234" i="9"/>
  <c r="L234" i="9"/>
  <c r="F235" i="9"/>
  <c r="G235" i="9"/>
  <c r="I235" i="9"/>
  <c r="J235" i="9"/>
  <c r="L235" i="9"/>
  <c r="F236" i="9"/>
  <c r="G236" i="9"/>
  <c r="I236" i="9"/>
  <c r="J236" i="9"/>
  <c r="L236" i="9"/>
  <c r="F237" i="9"/>
  <c r="G237" i="9"/>
  <c r="I237" i="9"/>
  <c r="J237" i="9"/>
  <c r="L237" i="9"/>
  <c r="F238" i="9"/>
  <c r="G238" i="9"/>
  <c r="I238" i="9"/>
  <c r="J238" i="9"/>
  <c r="L238" i="9"/>
  <c r="F239" i="9"/>
  <c r="G239" i="9"/>
  <c r="I239" i="9"/>
  <c r="J239" i="9"/>
  <c r="L239" i="9"/>
  <c r="F240" i="9"/>
  <c r="G240" i="9"/>
  <c r="I240" i="9"/>
  <c r="J240" i="9"/>
  <c r="L240" i="9"/>
  <c r="F241" i="9"/>
  <c r="G241" i="9"/>
  <c r="I241" i="9"/>
  <c r="J241" i="9"/>
  <c r="L241" i="9"/>
  <c r="F242" i="9"/>
  <c r="G242" i="9"/>
  <c r="I242" i="9"/>
  <c r="J242" i="9"/>
  <c r="L242" i="9"/>
  <c r="F243" i="9"/>
  <c r="G243" i="9"/>
  <c r="I243" i="9"/>
  <c r="J243" i="9"/>
  <c r="L243" i="9"/>
  <c r="F244" i="9"/>
  <c r="G244" i="9"/>
  <c r="I244" i="9"/>
  <c r="J244" i="9"/>
  <c r="L244" i="9"/>
  <c r="F245" i="9"/>
  <c r="G245" i="9"/>
  <c r="I245" i="9"/>
  <c r="J245" i="9"/>
  <c r="L245" i="9"/>
  <c r="F246" i="9"/>
  <c r="G246" i="9"/>
  <c r="I246" i="9"/>
  <c r="J246" i="9"/>
  <c r="L246" i="9"/>
  <c r="F247" i="9"/>
  <c r="G247" i="9"/>
  <c r="I247" i="9"/>
  <c r="J247" i="9"/>
  <c r="L247" i="9"/>
  <c r="F248" i="9"/>
  <c r="G248" i="9"/>
  <c r="I248" i="9"/>
  <c r="J248" i="9"/>
  <c r="L248" i="9"/>
  <c r="F249" i="9"/>
  <c r="G249" i="9"/>
  <c r="I249" i="9"/>
  <c r="J249" i="9"/>
  <c r="L249" i="9"/>
  <c r="F250" i="9"/>
  <c r="G250" i="9"/>
  <c r="I250" i="9"/>
  <c r="J250" i="9"/>
  <c r="L250" i="9"/>
  <c r="F251" i="9"/>
  <c r="G251" i="9"/>
  <c r="I251" i="9"/>
  <c r="J251" i="9"/>
  <c r="L251" i="9"/>
  <c r="F252" i="9"/>
  <c r="G252" i="9"/>
  <c r="I252" i="9"/>
  <c r="J252" i="9"/>
  <c r="L252" i="9"/>
  <c r="F253" i="9"/>
  <c r="G253" i="9"/>
  <c r="I253" i="9"/>
  <c r="J253" i="9"/>
  <c r="L253" i="9"/>
  <c r="F254" i="9"/>
  <c r="G254" i="9"/>
  <c r="I254" i="9"/>
  <c r="J254" i="9"/>
  <c r="L254" i="9"/>
  <c r="F255" i="9"/>
  <c r="G255" i="9"/>
  <c r="I255" i="9"/>
  <c r="J255" i="9"/>
  <c r="L255" i="9"/>
  <c r="F256" i="9"/>
  <c r="G256" i="9"/>
  <c r="I256" i="9"/>
  <c r="J256" i="9"/>
  <c r="L256" i="9"/>
  <c r="F257" i="9"/>
  <c r="G257" i="9"/>
  <c r="I257" i="9"/>
  <c r="J257" i="9"/>
  <c r="L257" i="9"/>
  <c r="F258" i="9"/>
  <c r="G258" i="9"/>
  <c r="I258" i="9"/>
  <c r="J258" i="9"/>
  <c r="L258" i="9"/>
  <c r="F259" i="9"/>
  <c r="G259" i="9"/>
  <c r="I259" i="9"/>
  <c r="J259" i="9"/>
  <c r="L259" i="9"/>
  <c r="F260" i="9"/>
  <c r="G260" i="9"/>
  <c r="I260" i="9"/>
  <c r="J260" i="9"/>
  <c r="L260" i="9"/>
  <c r="F261" i="9"/>
  <c r="G261" i="9"/>
  <c r="I261" i="9"/>
  <c r="J261" i="9"/>
  <c r="L261" i="9"/>
  <c r="F262" i="9"/>
  <c r="G262" i="9"/>
  <c r="I262" i="9"/>
  <c r="J262" i="9"/>
  <c r="L262" i="9"/>
  <c r="F263" i="9"/>
  <c r="G263" i="9"/>
  <c r="I263" i="9"/>
  <c r="J263" i="9"/>
  <c r="L263" i="9"/>
  <c r="F264" i="9"/>
  <c r="G264" i="9"/>
  <c r="I264" i="9"/>
  <c r="J264" i="9"/>
  <c r="L264" i="9"/>
  <c r="F265" i="9"/>
  <c r="G265" i="9"/>
  <c r="I265" i="9"/>
  <c r="J265" i="9"/>
  <c r="L265" i="9"/>
  <c r="F266" i="9"/>
  <c r="G266" i="9"/>
  <c r="I266" i="9"/>
  <c r="J266" i="9"/>
  <c r="L266" i="9"/>
  <c r="F267" i="9"/>
  <c r="G267" i="9"/>
  <c r="I267" i="9"/>
  <c r="J267" i="9"/>
  <c r="L267" i="9"/>
  <c r="F268" i="9"/>
  <c r="G268" i="9"/>
  <c r="I268" i="9"/>
  <c r="J268" i="9"/>
  <c r="L268" i="9"/>
  <c r="F269" i="9"/>
  <c r="G269" i="9"/>
  <c r="I269" i="9"/>
  <c r="J269" i="9"/>
  <c r="L269" i="9"/>
  <c r="F270" i="9"/>
  <c r="G270" i="9"/>
  <c r="I270" i="9"/>
  <c r="J270" i="9"/>
  <c r="L270" i="9"/>
  <c r="F271" i="9"/>
  <c r="G271" i="9"/>
  <c r="I271" i="9"/>
  <c r="J271" i="9"/>
  <c r="L271" i="9"/>
  <c r="F272" i="9"/>
  <c r="G272" i="9"/>
  <c r="I272" i="9"/>
  <c r="J272" i="9"/>
  <c r="L272" i="9"/>
  <c r="F273" i="9"/>
  <c r="G273" i="9"/>
  <c r="I273" i="9"/>
  <c r="J273" i="9"/>
  <c r="L273" i="9"/>
  <c r="F274" i="9"/>
  <c r="G274" i="9"/>
  <c r="I274" i="9"/>
  <c r="J274" i="9"/>
  <c r="L274" i="9"/>
  <c r="F275" i="9"/>
  <c r="G275" i="9"/>
  <c r="I275" i="9"/>
  <c r="J275" i="9"/>
  <c r="L275" i="9"/>
  <c r="F276" i="9"/>
  <c r="G276" i="9"/>
  <c r="I276" i="9"/>
  <c r="J276" i="9"/>
  <c r="L276" i="9"/>
  <c r="F277" i="9"/>
  <c r="G277" i="9"/>
  <c r="I277" i="9"/>
  <c r="J277" i="9"/>
  <c r="L277" i="9"/>
  <c r="F278" i="9"/>
  <c r="G278" i="9"/>
  <c r="I278" i="9"/>
  <c r="J278" i="9"/>
  <c r="L278" i="9"/>
  <c r="F279" i="9"/>
  <c r="G279" i="9"/>
  <c r="I279" i="9"/>
  <c r="J279" i="9"/>
  <c r="L279" i="9"/>
  <c r="F280" i="9"/>
  <c r="G280" i="9"/>
  <c r="I280" i="9"/>
  <c r="J280" i="9"/>
  <c r="L280" i="9"/>
  <c r="F281" i="9"/>
  <c r="G281" i="9"/>
  <c r="I281" i="9"/>
  <c r="J281" i="9"/>
  <c r="L281" i="9"/>
  <c r="F282" i="9"/>
  <c r="G282" i="9"/>
  <c r="I282" i="9"/>
  <c r="J282" i="9"/>
  <c r="L282" i="9"/>
  <c r="F283" i="9"/>
  <c r="G283" i="9"/>
  <c r="I283" i="9"/>
  <c r="J283" i="9"/>
  <c r="L283" i="9"/>
  <c r="F284" i="9"/>
  <c r="G284" i="9"/>
  <c r="I284" i="9"/>
  <c r="J284" i="9"/>
  <c r="L284" i="9"/>
  <c r="F285" i="9"/>
  <c r="G285" i="9"/>
  <c r="I285" i="9"/>
  <c r="J285" i="9"/>
  <c r="L285" i="9"/>
  <c r="F286" i="9"/>
  <c r="G286" i="9"/>
  <c r="I286" i="9"/>
  <c r="J286" i="9"/>
  <c r="L286" i="9"/>
  <c r="F287" i="9"/>
  <c r="G287" i="9"/>
  <c r="I287" i="9"/>
  <c r="J287" i="9"/>
  <c r="L287" i="9"/>
  <c r="F288" i="9"/>
  <c r="G288" i="9"/>
  <c r="I288" i="9"/>
  <c r="J288" i="9"/>
  <c r="L288" i="9"/>
  <c r="F289" i="9"/>
  <c r="G289" i="9"/>
  <c r="I289" i="9"/>
  <c r="J289" i="9"/>
  <c r="L289" i="9"/>
  <c r="F290" i="9"/>
  <c r="G290" i="9"/>
  <c r="I290" i="9"/>
  <c r="J290" i="9"/>
  <c r="L290" i="9"/>
  <c r="F291" i="9"/>
  <c r="G291" i="9"/>
  <c r="I291" i="9"/>
  <c r="J291" i="9"/>
  <c r="L291" i="9"/>
  <c r="F292" i="9"/>
  <c r="G292" i="9"/>
  <c r="I292" i="9"/>
  <c r="J292" i="9"/>
  <c r="L292" i="9"/>
  <c r="F293" i="9"/>
  <c r="G293" i="9"/>
  <c r="I293" i="9"/>
  <c r="J293" i="9"/>
  <c r="L293" i="9"/>
  <c r="F294" i="9"/>
  <c r="G294" i="9"/>
  <c r="I294" i="9"/>
  <c r="J294" i="9"/>
  <c r="L294" i="9"/>
  <c r="F295" i="9"/>
  <c r="G295" i="9"/>
  <c r="I295" i="9"/>
  <c r="J295" i="9"/>
  <c r="L295" i="9"/>
  <c r="F296" i="9"/>
  <c r="G296" i="9"/>
  <c r="I296" i="9"/>
  <c r="J296" i="9"/>
  <c r="L296" i="9"/>
  <c r="F297" i="9"/>
  <c r="G297" i="9"/>
  <c r="I297" i="9"/>
  <c r="J297" i="9"/>
  <c r="L297" i="9"/>
  <c r="F298" i="9"/>
  <c r="G298" i="9"/>
  <c r="I298" i="9"/>
  <c r="J298" i="9"/>
  <c r="L298" i="9"/>
  <c r="F299" i="9"/>
  <c r="G299" i="9"/>
  <c r="I299" i="9"/>
  <c r="J299" i="9"/>
  <c r="L299" i="9"/>
  <c r="F300" i="9"/>
  <c r="G300" i="9"/>
  <c r="I300" i="9"/>
  <c r="J300" i="9"/>
  <c r="L300" i="9"/>
  <c r="F301" i="9"/>
  <c r="I301" i="9"/>
  <c r="J301" i="9"/>
  <c r="L301" i="9"/>
  <c r="F302" i="9"/>
  <c r="I302" i="9"/>
  <c r="J302" i="9"/>
  <c r="L302" i="9"/>
  <c r="F303" i="9"/>
  <c r="G303" i="9"/>
  <c r="I303" i="9"/>
  <c r="J303" i="9"/>
  <c r="L303" i="9"/>
  <c r="F304" i="9"/>
  <c r="G304" i="9"/>
  <c r="I304" i="9"/>
  <c r="J304" i="9"/>
  <c r="L304" i="9"/>
  <c r="F305" i="9"/>
  <c r="G305" i="9"/>
  <c r="I305" i="9"/>
  <c r="J305" i="9"/>
  <c r="L305" i="9"/>
  <c r="F306" i="9"/>
  <c r="I306" i="9"/>
  <c r="L306" i="9"/>
  <c r="F307" i="9"/>
  <c r="G307" i="9"/>
  <c r="I307" i="9"/>
  <c r="J307" i="9"/>
  <c r="L307" i="9"/>
  <c r="F308" i="9"/>
  <c r="G308" i="9"/>
  <c r="I308" i="9"/>
  <c r="J308" i="9"/>
  <c r="L308" i="9"/>
  <c r="F309" i="9"/>
  <c r="G309" i="9"/>
  <c r="I309" i="9"/>
  <c r="J309" i="9"/>
  <c r="L309" i="9"/>
  <c r="F310" i="9"/>
  <c r="G310" i="9"/>
  <c r="I310" i="9"/>
  <c r="J310" i="9"/>
  <c r="L310" i="9"/>
  <c r="F311" i="9"/>
  <c r="G311" i="9"/>
  <c r="I311" i="9"/>
  <c r="J311" i="9"/>
  <c r="L311" i="9"/>
  <c r="F312" i="9"/>
  <c r="G312" i="9"/>
  <c r="I312" i="9"/>
  <c r="J312" i="9"/>
  <c r="L312" i="9"/>
  <c r="F313" i="9"/>
  <c r="G313" i="9"/>
  <c r="I313" i="9"/>
  <c r="J313" i="9"/>
  <c r="L313" i="9"/>
  <c r="F314" i="9"/>
  <c r="I314" i="9"/>
  <c r="L314" i="9"/>
  <c r="F315" i="9"/>
  <c r="I315" i="9"/>
  <c r="L315" i="9"/>
  <c r="F316" i="9"/>
  <c r="G316" i="9"/>
  <c r="I316" i="9"/>
  <c r="J316" i="9"/>
  <c r="L316" i="9"/>
  <c r="F317" i="9"/>
  <c r="G317" i="9"/>
  <c r="I317" i="9"/>
  <c r="J317" i="9"/>
  <c r="L317" i="9"/>
  <c r="F318" i="9"/>
  <c r="G318" i="9"/>
  <c r="I318" i="9"/>
  <c r="J318" i="9"/>
  <c r="L318" i="9"/>
  <c r="F319" i="9"/>
  <c r="G319" i="9"/>
  <c r="I319" i="9"/>
  <c r="J319" i="9"/>
  <c r="L319" i="9"/>
  <c r="F320" i="9"/>
  <c r="G320" i="9"/>
  <c r="I320" i="9"/>
  <c r="J320" i="9"/>
  <c r="L320" i="9"/>
  <c r="F321" i="9"/>
  <c r="G321" i="9"/>
  <c r="I321" i="9"/>
  <c r="J321" i="9"/>
  <c r="L321" i="9"/>
  <c r="F322" i="9"/>
  <c r="G322" i="9"/>
  <c r="I322" i="9"/>
  <c r="J322" i="9"/>
  <c r="L322" i="9"/>
  <c r="F323" i="9"/>
  <c r="G323" i="9"/>
  <c r="I323" i="9"/>
  <c r="J323" i="9"/>
  <c r="L323" i="9"/>
  <c r="F324" i="9"/>
  <c r="G324" i="9"/>
  <c r="I324" i="9"/>
  <c r="J324" i="9"/>
  <c r="L324" i="9"/>
  <c r="F325" i="9"/>
  <c r="G325" i="9"/>
  <c r="I325" i="9"/>
  <c r="J325" i="9"/>
  <c r="L325" i="9"/>
  <c r="F326" i="9"/>
  <c r="G326" i="9"/>
  <c r="I326" i="9"/>
  <c r="J326" i="9"/>
  <c r="L326" i="9"/>
  <c r="F327" i="9"/>
  <c r="G327" i="9"/>
  <c r="I327" i="9"/>
  <c r="J327" i="9"/>
  <c r="L327" i="9"/>
  <c r="F328" i="9"/>
  <c r="G328" i="9"/>
  <c r="I328" i="9"/>
  <c r="J328" i="9"/>
  <c r="L328" i="9"/>
  <c r="F329" i="9"/>
  <c r="G329" i="9"/>
  <c r="I329" i="9"/>
  <c r="J329" i="9"/>
  <c r="L329" i="9"/>
  <c r="F330" i="9"/>
  <c r="G330" i="9"/>
  <c r="I330" i="9"/>
  <c r="J330" i="9"/>
  <c r="L330" i="9"/>
  <c r="F331" i="9"/>
  <c r="G331" i="9"/>
  <c r="I331" i="9"/>
  <c r="J331" i="9"/>
  <c r="L331" i="9"/>
  <c r="F332" i="9"/>
  <c r="I332" i="9"/>
  <c r="J332" i="9"/>
  <c r="L332" i="9"/>
  <c r="F333" i="9"/>
  <c r="G333" i="9"/>
  <c r="I333" i="9"/>
  <c r="J333" i="9"/>
  <c r="L333" i="9"/>
  <c r="F334" i="9"/>
  <c r="G334" i="9"/>
  <c r="I334" i="9"/>
  <c r="J334" i="9"/>
  <c r="L334" i="9"/>
  <c r="F335" i="9"/>
  <c r="G335" i="9"/>
  <c r="I335" i="9"/>
  <c r="J335" i="9"/>
  <c r="L335" i="9"/>
  <c r="F336" i="9"/>
  <c r="G336" i="9"/>
  <c r="I336" i="9"/>
  <c r="J336" i="9"/>
  <c r="L336" i="9"/>
  <c r="F337" i="9"/>
  <c r="G337" i="9"/>
  <c r="I337" i="9"/>
  <c r="J337" i="9"/>
  <c r="L337" i="9"/>
  <c r="F338" i="9"/>
  <c r="G338" i="9"/>
  <c r="I338" i="9"/>
  <c r="J338" i="9"/>
  <c r="L338" i="9"/>
  <c r="F339" i="9"/>
  <c r="G339" i="9"/>
  <c r="I339" i="9"/>
  <c r="J339" i="9"/>
  <c r="L339" i="9"/>
  <c r="F340" i="9"/>
  <c r="G340" i="9"/>
  <c r="I340" i="9"/>
  <c r="J340" i="9"/>
  <c r="L340" i="9"/>
  <c r="F341" i="9"/>
  <c r="G341" i="9"/>
  <c r="I341" i="9"/>
  <c r="J341" i="9"/>
  <c r="L341" i="9"/>
  <c r="F342" i="9"/>
  <c r="G342" i="9"/>
  <c r="I342" i="9"/>
  <c r="J342" i="9"/>
  <c r="L342" i="9"/>
  <c r="F343" i="9"/>
  <c r="G343" i="9"/>
  <c r="I343" i="9"/>
  <c r="J343" i="9"/>
  <c r="L343" i="9"/>
  <c r="F344" i="9"/>
  <c r="G344" i="9"/>
  <c r="I344" i="9"/>
  <c r="J344" i="9"/>
  <c r="L344" i="9"/>
  <c r="F345" i="9"/>
  <c r="G345" i="9"/>
  <c r="I345" i="9"/>
  <c r="J345" i="9"/>
  <c r="L345" i="9"/>
  <c r="F346" i="9"/>
  <c r="G346" i="9"/>
  <c r="I346" i="9"/>
  <c r="J346" i="9"/>
  <c r="L346" i="9"/>
  <c r="F347" i="9"/>
  <c r="G347" i="9"/>
  <c r="I347" i="9"/>
  <c r="J347" i="9"/>
  <c r="L347" i="9"/>
  <c r="F348" i="9"/>
  <c r="G348" i="9"/>
  <c r="I348" i="9"/>
  <c r="J348" i="9"/>
  <c r="L348" i="9"/>
  <c r="F349" i="9"/>
  <c r="G349" i="9"/>
  <c r="I349" i="9"/>
  <c r="J349" i="9"/>
  <c r="L349" i="9"/>
  <c r="F350" i="9"/>
  <c r="G350" i="9"/>
  <c r="I350" i="9"/>
  <c r="J350" i="9"/>
  <c r="L350" i="9"/>
  <c r="F351" i="9"/>
  <c r="G351" i="9"/>
  <c r="I351" i="9"/>
  <c r="J351" i="9"/>
  <c r="L351" i="9"/>
  <c r="F352" i="9"/>
  <c r="G352" i="9"/>
  <c r="I352" i="9"/>
  <c r="J352" i="9"/>
  <c r="L352" i="9"/>
  <c r="F353" i="9"/>
  <c r="G353" i="9"/>
  <c r="I353" i="9"/>
  <c r="J353" i="9"/>
  <c r="L353" i="9"/>
  <c r="F354" i="9"/>
  <c r="G354" i="9"/>
  <c r="I354" i="9"/>
  <c r="J354" i="9"/>
  <c r="L354" i="9"/>
  <c r="F355" i="9"/>
  <c r="G355" i="9"/>
  <c r="I355" i="9"/>
  <c r="J355" i="9"/>
  <c r="L355" i="9"/>
  <c r="F356" i="9"/>
  <c r="G356" i="9"/>
  <c r="I356" i="9"/>
  <c r="J356" i="9"/>
  <c r="L356" i="9"/>
  <c r="F357" i="9"/>
  <c r="G357" i="9"/>
  <c r="I357" i="9"/>
  <c r="J357" i="9"/>
  <c r="L357" i="9"/>
  <c r="F358" i="9"/>
  <c r="G358" i="9"/>
  <c r="I358" i="9"/>
  <c r="J358" i="9"/>
  <c r="L358" i="9"/>
  <c r="F359" i="9"/>
  <c r="G359" i="9"/>
  <c r="I359" i="9"/>
  <c r="J359" i="9"/>
  <c r="L359" i="9"/>
  <c r="F360" i="9"/>
  <c r="G360" i="9"/>
  <c r="I360" i="9"/>
  <c r="J360" i="9"/>
  <c r="L360" i="9"/>
  <c r="F361" i="9"/>
  <c r="G361" i="9"/>
  <c r="I361" i="9"/>
  <c r="J361" i="9"/>
  <c r="L361" i="9"/>
  <c r="F362" i="9"/>
  <c r="G362" i="9"/>
  <c r="I362" i="9"/>
  <c r="J362" i="9"/>
  <c r="L362" i="9"/>
  <c r="F363" i="9"/>
  <c r="G363" i="9"/>
  <c r="I363" i="9"/>
  <c r="J363" i="9"/>
  <c r="L363" i="9"/>
  <c r="F364" i="9"/>
  <c r="I364" i="9"/>
  <c r="J364" i="9"/>
  <c r="L364" i="9"/>
  <c r="F365" i="9"/>
  <c r="G365" i="9"/>
  <c r="I365" i="9"/>
  <c r="J365" i="9"/>
  <c r="L365" i="9"/>
  <c r="F366" i="9"/>
  <c r="G366" i="9"/>
  <c r="I366" i="9"/>
  <c r="J366" i="9"/>
  <c r="L366" i="9"/>
  <c r="F367" i="9"/>
  <c r="G367" i="9"/>
  <c r="I367" i="9"/>
  <c r="J367" i="9"/>
  <c r="L367" i="9"/>
  <c r="F368" i="9"/>
  <c r="G368" i="9"/>
  <c r="I368" i="9"/>
  <c r="J368" i="9"/>
  <c r="L368" i="9"/>
  <c r="F369" i="9"/>
  <c r="G369" i="9"/>
  <c r="I369" i="9"/>
  <c r="J369" i="9"/>
  <c r="L369" i="9"/>
  <c r="F370" i="9"/>
  <c r="G370" i="9"/>
  <c r="I370" i="9"/>
  <c r="J370" i="9"/>
  <c r="L370" i="9"/>
  <c r="F371" i="9"/>
  <c r="G371" i="9"/>
  <c r="I371" i="9"/>
  <c r="J371" i="9"/>
  <c r="L371" i="9"/>
  <c r="F372" i="9"/>
  <c r="G372" i="9"/>
  <c r="I372" i="9"/>
  <c r="J372" i="9"/>
  <c r="L372" i="9"/>
  <c r="F373" i="9"/>
  <c r="G373" i="9"/>
  <c r="I373" i="9"/>
  <c r="J373" i="9"/>
  <c r="L373" i="9"/>
  <c r="F374" i="9"/>
  <c r="G374" i="9"/>
  <c r="I374" i="9"/>
  <c r="J374" i="9"/>
  <c r="L374" i="9"/>
  <c r="F375" i="9"/>
  <c r="G375" i="9"/>
  <c r="I375" i="9"/>
  <c r="J375" i="9"/>
  <c r="L375" i="9"/>
  <c r="F376" i="9"/>
  <c r="G376" i="9"/>
  <c r="I376" i="9"/>
  <c r="J376" i="9"/>
  <c r="L376" i="9"/>
  <c r="F377" i="9"/>
  <c r="G377" i="9"/>
  <c r="I377" i="9"/>
  <c r="J377" i="9"/>
  <c r="L377" i="9"/>
  <c r="F378" i="9"/>
  <c r="I378" i="9"/>
  <c r="J378" i="9"/>
  <c r="L378" i="9"/>
  <c r="F379" i="9"/>
  <c r="G379" i="9"/>
  <c r="I379" i="9"/>
  <c r="J379" i="9"/>
  <c r="L379" i="9"/>
  <c r="F380" i="9"/>
  <c r="G380" i="9"/>
  <c r="I380" i="9"/>
  <c r="J380" i="9"/>
  <c r="L380" i="9"/>
  <c r="F381" i="9"/>
  <c r="G381" i="9"/>
  <c r="I381" i="9"/>
  <c r="J381" i="9"/>
  <c r="L381" i="9"/>
  <c r="F382" i="9"/>
  <c r="G382" i="9"/>
  <c r="I382" i="9"/>
  <c r="J382" i="9"/>
  <c r="L382" i="9"/>
  <c r="F383" i="9"/>
  <c r="G383" i="9"/>
  <c r="I383" i="9"/>
  <c r="J383" i="9"/>
  <c r="L383" i="9"/>
  <c r="F384" i="9"/>
  <c r="G384" i="9"/>
  <c r="I384" i="9"/>
  <c r="J384" i="9"/>
  <c r="L384" i="9"/>
  <c r="F385" i="9"/>
  <c r="G385" i="9"/>
  <c r="I385" i="9"/>
  <c r="J385" i="9"/>
  <c r="L385" i="9"/>
  <c r="F386" i="9"/>
  <c r="G386" i="9"/>
  <c r="I386" i="9"/>
  <c r="J386" i="9"/>
  <c r="L386" i="9"/>
  <c r="F387" i="9"/>
  <c r="G387" i="9"/>
  <c r="I387" i="9"/>
  <c r="J387" i="9"/>
  <c r="L387" i="9"/>
  <c r="F388" i="9"/>
  <c r="G388" i="9"/>
  <c r="I388" i="9"/>
  <c r="J388" i="9"/>
  <c r="L388" i="9"/>
  <c r="F389" i="9"/>
  <c r="G389" i="9"/>
  <c r="I389" i="9"/>
  <c r="J389" i="9"/>
  <c r="L389" i="9"/>
  <c r="F390" i="9"/>
  <c r="G390" i="9"/>
  <c r="I390" i="9"/>
  <c r="J390" i="9"/>
  <c r="L390" i="9"/>
  <c r="F391" i="9"/>
  <c r="G391" i="9"/>
  <c r="I391" i="9"/>
  <c r="J391" i="9"/>
  <c r="L391" i="9"/>
  <c r="F392" i="9"/>
  <c r="G392" i="9"/>
  <c r="I392" i="9"/>
  <c r="J392" i="9"/>
  <c r="L392" i="9"/>
  <c r="F393" i="9"/>
  <c r="G393" i="9"/>
  <c r="I393" i="9"/>
  <c r="J393" i="9"/>
  <c r="L393" i="9"/>
  <c r="F394" i="9"/>
  <c r="G394" i="9"/>
  <c r="I394" i="9"/>
  <c r="J394" i="9"/>
  <c r="L394" i="9"/>
  <c r="F395" i="9"/>
  <c r="G395" i="9"/>
  <c r="I395" i="9"/>
  <c r="J395" i="9"/>
  <c r="L395" i="9"/>
  <c r="F396" i="9"/>
  <c r="G396" i="9"/>
  <c r="I396" i="9"/>
  <c r="J396" i="9"/>
  <c r="L396" i="9"/>
  <c r="F397" i="9"/>
  <c r="G397" i="9"/>
  <c r="I397" i="9"/>
  <c r="J397" i="9"/>
  <c r="L397" i="9"/>
  <c r="F398" i="9"/>
  <c r="G398" i="9"/>
  <c r="I398" i="9"/>
  <c r="J398" i="9"/>
  <c r="L398" i="9"/>
  <c r="F399" i="9"/>
  <c r="G399" i="9"/>
  <c r="I399" i="9"/>
  <c r="J399" i="9"/>
  <c r="L399" i="9"/>
  <c r="F400" i="9"/>
  <c r="G400" i="9"/>
  <c r="I400" i="9"/>
  <c r="J400" i="9"/>
  <c r="L400" i="9"/>
  <c r="F401" i="9"/>
  <c r="G401" i="9"/>
  <c r="I401" i="9"/>
  <c r="J401" i="9"/>
  <c r="L401" i="9"/>
  <c r="F402" i="9"/>
  <c r="G402" i="9"/>
  <c r="I402" i="9"/>
  <c r="J402" i="9"/>
  <c r="L402" i="9"/>
  <c r="F403" i="9"/>
  <c r="G403" i="9"/>
  <c r="I403" i="9"/>
  <c r="J403" i="9"/>
  <c r="L403" i="9"/>
  <c r="F404" i="9"/>
  <c r="G404" i="9"/>
  <c r="I404" i="9"/>
  <c r="J404" i="9"/>
  <c r="L404" i="9"/>
  <c r="F405" i="9"/>
  <c r="G405" i="9"/>
  <c r="I405" i="9"/>
  <c r="J405" i="9"/>
  <c r="L405" i="9"/>
  <c r="F406" i="9"/>
  <c r="G406" i="9"/>
  <c r="I406" i="9"/>
  <c r="J406" i="9"/>
  <c r="L406" i="9"/>
  <c r="F407" i="9"/>
  <c r="G407" i="9"/>
  <c r="I407" i="9"/>
  <c r="J407" i="9"/>
  <c r="L407" i="9"/>
  <c r="F408" i="9"/>
  <c r="G408" i="9"/>
  <c r="I408" i="9"/>
  <c r="J408" i="9"/>
  <c r="L408" i="9"/>
  <c r="F409" i="9"/>
  <c r="G409" i="9"/>
  <c r="I409" i="9"/>
  <c r="J409" i="9"/>
  <c r="L409" i="9"/>
  <c r="F410" i="9"/>
  <c r="G410" i="9"/>
  <c r="I410" i="9"/>
  <c r="J410" i="9"/>
  <c r="L410" i="9"/>
  <c r="F411" i="9"/>
  <c r="G411" i="9"/>
  <c r="I411" i="9"/>
  <c r="J411" i="9"/>
  <c r="L411" i="9"/>
  <c r="F412" i="9"/>
  <c r="G412" i="9"/>
  <c r="I412" i="9"/>
  <c r="J412" i="9"/>
  <c r="L412" i="9"/>
  <c r="F413" i="9"/>
  <c r="G413" i="9"/>
  <c r="I413" i="9"/>
  <c r="J413" i="9"/>
  <c r="L413" i="9"/>
  <c r="F414" i="9"/>
  <c r="G414" i="9"/>
  <c r="I414" i="9"/>
  <c r="J414" i="9"/>
  <c r="L414" i="9"/>
  <c r="F415" i="9"/>
  <c r="G415" i="9"/>
  <c r="I415" i="9"/>
  <c r="J415" i="9"/>
  <c r="L415" i="9"/>
  <c r="F416" i="9"/>
  <c r="G416" i="9"/>
  <c r="I416" i="9"/>
  <c r="J416" i="9"/>
  <c r="L416" i="9"/>
  <c r="F417" i="9"/>
  <c r="G417" i="9"/>
  <c r="I417" i="9"/>
  <c r="J417" i="9"/>
  <c r="L417" i="9"/>
  <c r="F418" i="9"/>
  <c r="G418" i="9"/>
  <c r="I418" i="9"/>
  <c r="J418" i="9"/>
  <c r="L418" i="9"/>
  <c r="F419" i="9"/>
  <c r="G419" i="9"/>
  <c r="I419" i="9"/>
  <c r="J419" i="9"/>
  <c r="L419" i="9"/>
  <c r="F420" i="9"/>
  <c r="G420" i="9"/>
  <c r="I420" i="9"/>
  <c r="J420" i="9"/>
  <c r="L420" i="9"/>
  <c r="F421" i="9"/>
  <c r="G421" i="9"/>
  <c r="I421" i="9"/>
  <c r="J421" i="9"/>
  <c r="L421" i="9"/>
  <c r="F422" i="9"/>
  <c r="G422" i="9"/>
  <c r="I422" i="9"/>
  <c r="J422" i="9"/>
  <c r="L422" i="9"/>
  <c r="F423" i="9"/>
  <c r="G423" i="9"/>
  <c r="I423" i="9"/>
  <c r="J423" i="9"/>
  <c r="L423" i="9"/>
  <c r="F424" i="9"/>
  <c r="G424" i="9"/>
  <c r="I424" i="9"/>
  <c r="J424" i="9"/>
  <c r="L424" i="9"/>
  <c r="F425" i="9"/>
  <c r="G425" i="9"/>
  <c r="I425" i="9"/>
  <c r="J425" i="9"/>
  <c r="L425" i="9"/>
  <c r="F426" i="9"/>
  <c r="G426" i="9"/>
  <c r="I426" i="9"/>
  <c r="J426" i="9"/>
  <c r="L426" i="9"/>
  <c r="F427" i="9"/>
  <c r="G427" i="9"/>
  <c r="I427" i="9"/>
  <c r="J427" i="9"/>
  <c r="L427" i="9"/>
  <c r="F428" i="9"/>
  <c r="G428" i="9"/>
  <c r="I428" i="9"/>
  <c r="J428" i="9"/>
  <c r="L428" i="9"/>
  <c r="F429" i="9"/>
  <c r="G429" i="9"/>
  <c r="I429" i="9"/>
  <c r="J429" i="9"/>
  <c r="L429" i="9"/>
  <c r="F430" i="9"/>
  <c r="G430" i="9"/>
  <c r="I430" i="9"/>
  <c r="J430" i="9"/>
  <c r="L430" i="9"/>
  <c r="F431" i="9"/>
  <c r="G431" i="9"/>
  <c r="I431" i="9"/>
  <c r="J431" i="9"/>
  <c r="L431" i="9"/>
  <c r="F432" i="9"/>
  <c r="G432" i="9"/>
  <c r="I432" i="9"/>
  <c r="J432" i="9"/>
  <c r="L432" i="9"/>
  <c r="F433" i="9"/>
  <c r="G433" i="9"/>
  <c r="I433" i="9"/>
  <c r="J433" i="9"/>
  <c r="L433" i="9"/>
  <c r="F434" i="9"/>
  <c r="G434" i="9"/>
  <c r="I434" i="9"/>
  <c r="J434" i="9"/>
  <c r="L434" i="9"/>
  <c r="F435" i="9"/>
  <c r="G435" i="9"/>
  <c r="I435" i="9"/>
  <c r="J435" i="9"/>
  <c r="L435" i="9"/>
  <c r="F436" i="9"/>
  <c r="G436" i="9"/>
  <c r="I436" i="9"/>
  <c r="J436" i="9"/>
  <c r="L436" i="9"/>
  <c r="F437" i="9"/>
  <c r="G437" i="9"/>
  <c r="I437" i="9"/>
  <c r="J437" i="9"/>
  <c r="L437" i="9"/>
  <c r="F438" i="9"/>
  <c r="G438" i="9"/>
  <c r="I438" i="9"/>
  <c r="J438" i="9"/>
  <c r="L438" i="9"/>
  <c r="F439" i="9"/>
  <c r="G439" i="9"/>
  <c r="I439" i="9"/>
  <c r="J439" i="9"/>
  <c r="L439" i="9"/>
  <c r="F440" i="9"/>
  <c r="G440" i="9"/>
  <c r="I440" i="9"/>
  <c r="J440" i="9"/>
  <c r="L440" i="9"/>
  <c r="F441" i="9"/>
  <c r="G441" i="9"/>
  <c r="I441" i="9"/>
  <c r="J441" i="9"/>
  <c r="L441" i="9"/>
  <c r="F442" i="9"/>
  <c r="G442" i="9"/>
  <c r="I442" i="9"/>
  <c r="J442" i="9"/>
  <c r="L442" i="9"/>
  <c r="F443" i="9"/>
  <c r="G443" i="9"/>
  <c r="I443" i="9"/>
  <c r="J443" i="9"/>
  <c r="L443" i="9"/>
  <c r="F444" i="9"/>
  <c r="G444" i="9"/>
  <c r="I444" i="9"/>
  <c r="J444" i="9"/>
  <c r="L444" i="9"/>
  <c r="F445" i="9"/>
  <c r="G445" i="9"/>
  <c r="I445" i="9"/>
  <c r="J445" i="9"/>
  <c r="L445" i="9"/>
  <c r="F446" i="9"/>
  <c r="G446" i="9"/>
  <c r="I446" i="9"/>
  <c r="J446" i="9"/>
  <c r="L446" i="9"/>
  <c r="F447" i="9"/>
  <c r="G447" i="9"/>
  <c r="I447" i="9"/>
  <c r="J447" i="9"/>
  <c r="L447" i="9"/>
  <c r="F448" i="9"/>
  <c r="G448" i="9"/>
  <c r="I448" i="9"/>
  <c r="J448" i="9"/>
  <c r="L448" i="9"/>
  <c r="F449" i="9"/>
  <c r="G449" i="9"/>
  <c r="I449" i="9"/>
  <c r="J449" i="9"/>
  <c r="L449" i="9"/>
  <c r="F450" i="9"/>
  <c r="G450" i="9"/>
  <c r="I450" i="9"/>
  <c r="J450" i="9"/>
  <c r="L450" i="9"/>
  <c r="F451" i="9"/>
  <c r="G451" i="9"/>
  <c r="I451" i="9"/>
  <c r="J451" i="9"/>
  <c r="L451" i="9"/>
  <c r="F452" i="9"/>
  <c r="G452" i="9"/>
  <c r="I452" i="9"/>
  <c r="J452" i="9"/>
  <c r="L452" i="9"/>
  <c r="F453" i="9"/>
  <c r="I453" i="9"/>
  <c r="L453" i="9"/>
  <c r="F454" i="9"/>
  <c r="G454" i="9"/>
  <c r="I454" i="9"/>
  <c r="J454" i="9"/>
  <c r="L454" i="9"/>
  <c r="F455" i="9"/>
  <c r="G455" i="9"/>
  <c r="I455" i="9"/>
  <c r="J455" i="9"/>
  <c r="L455" i="9"/>
  <c r="F456" i="9"/>
  <c r="G456" i="9"/>
  <c r="I456" i="9"/>
  <c r="J456" i="9"/>
  <c r="L456" i="9"/>
  <c r="F457" i="9"/>
  <c r="G457" i="9"/>
  <c r="I457" i="9"/>
  <c r="J457" i="9"/>
  <c r="L457" i="9"/>
  <c r="F458" i="9"/>
  <c r="G458" i="9"/>
  <c r="I458" i="9"/>
  <c r="J458" i="9"/>
  <c r="L458" i="9"/>
  <c r="F459" i="9"/>
  <c r="G459" i="9"/>
  <c r="I459" i="9"/>
  <c r="J459" i="9"/>
  <c r="L459" i="9"/>
  <c r="F460" i="9"/>
  <c r="G460" i="9"/>
  <c r="I460" i="9"/>
  <c r="J460" i="9"/>
  <c r="L460" i="9"/>
  <c r="F461" i="9"/>
  <c r="G461" i="9"/>
  <c r="I461" i="9"/>
  <c r="J461" i="9"/>
  <c r="L461" i="9"/>
  <c r="F462" i="9"/>
  <c r="G462" i="9"/>
  <c r="I462" i="9"/>
  <c r="J462" i="9"/>
  <c r="L462" i="9"/>
  <c r="F463" i="9"/>
  <c r="G463" i="9"/>
  <c r="I463" i="9"/>
  <c r="J463" i="9"/>
  <c r="L463" i="9"/>
  <c r="F464" i="9"/>
  <c r="G464" i="9"/>
  <c r="I464" i="9"/>
  <c r="J464" i="9"/>
  <c r="L464" i="9"/>
  <c r="F465" i="9"/>
  <c r="G465" i="9"/>
  <c r="I465" i="9"/>
  <c r="J465" i="9"/>
  <c r="L465" i="9"/>
  <c r="F466" i="9"/>
  <c r="G466" i="9"/>
  <c r="I466" i="9"/>
  <c r="J466" i="9"/>
  <c r="L466" i="9"/>
  <c r="F467" i="9"/>
  <c r="G467" i="9"/>
  <c r="I467" i="9"/>
  <c r="J467" i="9"/>
  <c r="L467" i="9"/>
  <c r="F468" i="9"/>
  <c r="G468" i="9"/>
  <c r="I468" i="9"/>
  <c r="J468" i="9"/>
  <c r="L468" i="9"/>
  <c r="F469" i="9"/>
  <c r="G469" i="9"/>
  <c r="I469" i="9"/>
  <c r="J469" i="9"/>
  <c r="L469" i="9"/>
  <c r="F470" i="9"/>
  <c r="G470" i="9"/>
  <c r="I470" i="9"/>
  <c r="J470" i="9"/>
  <c r="L470" i="9"/>
  <c r="F471" i="9"/>
  <c r="G471" i="9"/>
  <c r="I471" i="9"/>
  <c r="J471" i="9"/>
  <c r="L471" i="9"/>
  <c r="F472" i="9"/>
  <c r="G472" i="9"/>
  <c r="I472" i="9"/>
  <c r="J472" i="9"/>
  <c r="L472" i="9"/>
  <c r="F473" i="9"/>
  <c r="G473" i="9"/>
  <c r="I473" i="9"/>
  <c r="J473" i="9"/>
  <c r="L473" i="9"/>
  <c r="F474" i="9"/>
  <c r="G474" i="9"/>
  <c r="I474" i="9"/>
  <c r="J474" i="9"/>
  <c r="L474" i="9"/>
  <c r="F475" i="9"/>
  <c r="G475" i="9"/>
  <c r="I475" i="9"/>
  <c r="J475" i="9"/>
  <c r="L475" i="9"/>
  <c r="F476" i="9"/>
  <c r="G476" i="9"/>
  <c r="I476" i="9"/>
  <c r="J476" i="9"/>
  <c r="L476" i="9"/>
  <c r="F477" i="9"/>
  <c r="G477" i="9"/>
  <c r="I477" i="9"/>
  <c r="J477" i="9"/>
  <c r="L477" i="9"/>
  <c r="F478" i="9"/>
  <c r="G478" i="9"/>
  <c r="I478" i="9"/>
  <c r="J478" i="9"/>
  <c r="L478" i="9"/>
  <c r="F479" i="9"/>
  <c r="G479" i="9"/>
  <c r="I479" i="9"/>
  <c r="J479" i="9"/>
  <c r="L479" i="9"/>
  <c r="F480" i="9"/>
  <c r="G480" i="9"/>
  <c r="I480" i="9"/>
  <c r="J480" i="9"/>
  <c r="L480" i="9"/>
  <c r="F481" i="9"/>
  <c r="G481" i="9"/>
  <c r="I481" i="9"/>
  <c r="J481" i="9"/>
  <c r="L481" i="9"/>
  <c r="F482" i="9"/>
  <c r="G482" i="9"/>
  <c r="I482" i="9"/>
  <c r="J482" i="9"/>
  <c r="L482" i="9"/>
  <c r="F483" i="9"/>
  <c r="G483" i="9"/>
  <c r="I483" i="9"/>
  <c r="J483" i="9"/>
  <c r="L483" i="9"/>
  <c r="F484" i="9"/>
  <c r="G484" i="9"/>
  <c r="I484" i="9"/>
  <c r="J484" i="9"/>
  <c r="L484" i="9"/>
  <c r="F485" i="9"/>
  <c r="G485" i="9"/>
  <c r="I485" i="9"/>
  <c r="J485" i="9"/>
  <c r="L485" i="9"/>
  <c r="F486" i="9"/>
  <c r="G486" i="9"/>
  <c r="I486" i="9"/>
  <c r="J486" i="9"/>
  <c r="L486" i="9"/>
  <c r="F487" i="9"/>
  <c r="G487" i="9"/>
  <c r="I487" i="9"/>
  <c r="J487" i="9"/>
  <c r="L487" i="9"/>
  <c r="F488" i="9"/>
  <c r="G488" i="9"/>
  <c r="I488" i="9"/>
  <c r="J488" i="9"/>
  <c r="L488" i="9"/>
  <c r="F489" i="9"/>
  <c r="G489" i="9"/>
  <c r="I489" i="9"/>
  <c r="J489" i="9"/>
  <c r="L489" i="9"/>
  <c r="F490" i="9"/>
  <c r="G490" i="9"/>
  <c r="I490" i="9"/>
  <c r="J490" i="9"/>
  <c r="L490" i="9"/>
  <c r="F491" i="9"/>
  <c r="G491" i="9"/>
  <c r="I491" i="9"/>
  <c r="J491" i="9"/>
  <c r="L491" i="9"/>
  <c r="F492" i="9"/>
  <c r="G492" i="9"/>
  <c r="I492" i="9"/>
  <c r="J492" i="9"/>
  <c r="L492" i="9"/>
  <c r="F493" i="9"/>
  <c r="G493" i="9"/>
  <c r="I493" i="9"/>
  <c r="J493" i="9"/>
  <c r="L493" i="9"/>
  <c r="F494" i="9"/>
  <c r="G494" i="9"/>
  <c r="I494" i="9"/>
  <c r="J494" i="9"/>
  <c r="L494" i="9"/>
  <c r="F495" i="9"/>
  <c r="G495" i="9"/>
  <c r="I495" i="9"/>
  <c r="J495" i="9"/>
  <c r="L495" i="9"/>
  <c r="F496" i="9"/>
  <c r="G496" i="9"/>
  <c r="I496" i="9"/>
  <c r="J496" i="9"/>
  <c r="L496" i="9"/>
  <c r="F497" i="9"/>
  <c r="G497" i="9"/>
  <c r="I497" i="9"/>
  <c r="J497" i="9"/>
  <c r="L497" i="9"/>
  <c r="F498" i="9"/>
  <c r="G498" i="9"/>
  <c r="I498" i="9"/>
  <c r="J498" i="9"/>
  <c r="L498" i="9"/>
  <c r="F499" i="9"/>
  <c r="G499" i="9"/>
  <c r="I499" i="9"/>
  <c r="J499" i="9"/>
  <c r="L499" i="9"/>
  <c r="F500" i="9"/>
  <c r="G500" i="9"/>
  <c r="I500" i="9"/>
  <c r="J500" i="9"/>
  <c r="L500" i="9"/>
  <c r="F501" i="9"/>
  <c r="G501" i="9"/>
  <c r="I501" i="9"/>
  <c r="J501" i="9"/>
  <c r="L501" i="9"/>
  <c r="F502" i="9"/>
  <c r="G502" i="9"/>
  <c r="I502" i="9"/>
  <c r="J502" i="9"/>
  <c r="L502" i="9"/>
  <c r="F503" i="9"/>
  <c r="G503" i="9"/>
  <c r="I503" i="9"/>
  <c r="J503" i="9"/>
  <c r="L503" i="9"/>
  <c r="F504" i="9"/>
  <c r="G504" i="9"/>
  <c r="I504" i="9"/>
  <c r="J504" i="9"/>
  <c r="L504" i="9"/>
  <c r="F505" i="9"/>
  <c r="G505" i="9"/>
  <c r="I505" i="9"/>
  <c r="J505" i="9"/>
  <c r="L505" i="9"/>
  <c r="F506" i="9"/>
  <c r="G506" i="9"/>
  <c r="I506" i="9"/>
  <c r="J506" i="9"/>
  <c r="L506" i="9"/>
  <c r="F507" i="9"/>
  <c r="G507" i="9"/>
  <c r="I507" i="9"/>
  <c r="J507" i="9"/>
  <c r="L507" i="9"/>
  <c r="F508" i="9"/>
  <c r="G508" i="9"/>
  <c r="I508" i="9"/>
  <c r="J508" i="9"/>
  <c r="L508" i="9"/>
  <c r="F509" i="9"/>
  <c r="G509" i="9"/>
  <c r="I509" i="9"/>
  <c r="J509" i="9"/>
  <c r="L509" i="9"/>
  <c r="F510" i="9"/>
  <c r="G510" i="9"/>
  <c r="I510" i="9"/>
  <c r="J510" i="9"/>
  <c r="L510" i="9"/>
  <c r="F511" i="9"/>
  <c r="G511" i="9"/>
  <c r="I511" i="9"/>
  <c r="J511" i="9"/>
  <c r="L511" i="9"/>
  <c r="F512" i="9"/>
  <c r="G512" i="9"/>
  <c r="I512" i="9"/>
  <c r="J512" i="9"/>
  <c r="L512" i="9"/>
  <c r="F513" i="9"/>
  <c r="G513" i="9"/>
  <c r="I513" i="9"/>
  <c r="J513" i="9"/>
  <c r="L513" i="9"/>
  <c r="F514" i="9"/>
  <c r="G514" i="9"/>
  <c r="I514" i="9"/>
  <c r="J514" i="9"/>
  <c r="L514" i="9"/>
  <c r="F515" i="9"/>
  <c r="G515" i="9"/>
  <c r="I515" i="9"/>
  <c r="J515" i="9"/>
  <c r="L515" i="9"/>
  <c r="F516" i="9"/>
  <c r="G516" i="9"/>
  <c r="I516" i="9"/>
  <c r="J516" i="9"/>
  <c r="L516" i="9"/>
  <c r="F517" i="9"/>
  <c r="G517" i="9"/>
  <c r="I517" i="9"/>
  <c r="J517" i="9"/>
  <c r="L517" i="9"/>
  <c r="F518" i="9"/>
  <c r="G518" i="9"/>
  <c r="I518" i="9"/>
  <c r="J518" i="9"/>
  <c r="L518" i="9"/>
  <c r="F519" i="9"/>
  <c r="G519" i="9"/>
  <c r="I519" i="9"/>
  <c r="J519" i="9"/>
  <c r="L519" i="9"/>
  <c r="F520" i="9"/>
  <c r="G520" i="9"/>
  <c r="I520" i="9"/>
  <c r="J520" i="9"/>
  <c r="L520" i="9"/>
  <c r="F521" i="9"/>
  <c r="G521" i="9"/>
  <c r="I521" i="9"/>
  <c r="J521" i="9"/>
  <c r="L521" i="9"/>
  <c r="F522" i="9"/>
  <c r="G522" i="9"/>
  <c r="I522" i="9"/>
  <c r="J522" i="9"/>
  <c r="L522" i="9"/>
  <c r="F523" i="9"/>
  <c r="G523" i="9"/>
  <c r="I523" i="9"/>
  <c r="J523" i="9"/>
  <c r="L523" i="9"/>
  <c r="F524" i="9"/>
  <c r="G524" i="9"/>
  <c r="I524" i="9"/>
  <c r="J524" i="9"/>
  <c r="L524" i="9"/>
  <c r="F525" i="9"/>
  <c r="G525" i="9"/>
  <c r="I525" i="9"/>
  <c r="J525" i="9"/>
  <c r="L525" i="9"/>
  <c r="F526" i="9"/>
  <c r="G526" i="9"/>
  <c r="I526" i="9"/>
  <c r="J526" i="9"/>
  <c r="L526" i="9"/>
  <c r="F527" i="9"/>
  <c r="G527" i="9"/>
  <c r="I527" i="9"/>
  <c r="J527" i="9"/>
  <c r="L527" i="9"/>
  <c r="F528" i="9"/>
  <c r="G528" i="9"/>
  <c r="I528" i="9"/>
  <c r="J528" i="9"/>
  <c r="L528" i="9"/>
  <c r="F529" i="9"/>
  <c r="G529" i="9"/>
  <c r="I529" i="9"/>
  <c r="J529" i="9"/>
  <c r="L529" i="9"/>
  <c r="F530" i="9"/>
  <c r="G530" i="9"/>
  <c r="I530" i="9"/>
  <c r="J530" i="9"/>
  <c r="L530" i="9"/>
  <c r="F531" i="9"/>
  <c r="G531" i="9"/>
  <c r="I531" i="9"/>
  <c r="J531" i="9"/>
  <c r="L531" i="9"/>
  <c r="F532" i="9"/>
  <c r="G532" i="9"/>
  <c r="I532" i="9"/>
  <c r="J532" i="9"/>
  <c r="L532" i="9"/>
  <c r="F533" i="9"/>
  <c r="G533" i="9"/>
  <c r="I533" i="9"/>
  <c r="J533" i="9"/>
  <c r="L533" i="9"/>
  <c r="F534" i="9"/>
  <c r="G534" i="9"/>
  <c r="I534" i="9"/>
  <c r="J534" i="9"/>
  <c r="L534" i="9"/>
  <c r="F535" i="9"/>
  <c r="G535" i="9"/>
  <c r="I535" i="9"/>
  <c r="J535" i="9"/>
  <c r="L535" i="9"/>
  <c r="F536" i="9"/>
  <c r="I536" i="9"/>
  <c r="L536" i="9"/>
  <c r="F537" i="9"/>
  <c r="G537" i="9"/>
  <c r="I537" i="9"/>
  <c r="J537" i="9"/>
  <c r="L537" i="9"/>
  <c r="F538" i="9"/>
  <c r="G538" i="9"/>
  <c r="I538" i="9"/>
  <c r="J538" i="9"/>
  <c r="L538" i="9"/>
  <c r="F539" i="9"/>
  <c r="G539" i="9"/>
  <c r="I539" i="9"/>
  <c r="J539" i="9"/>
  <c r="L539" i="9"/>
  <c r="F540" i="9"/>
  <c r="G540" i="9"/>
  <c r="I540" i="9"/>
  <c r="J540" i="9"/>
  <c r="L540" i="9"/>
  <c r="F541" i="9"/>
  <c r="G541" i="9"/>
  <c r="I541" i="9"/>
  <c r="J541" i="9"/>
  <c r="L541" i="9"/>
  <c r="F542" i="9"/>
  <c r="G542" i="9"/>
  <c r="I542" i="9"/>
  <c r="J542" i="9"/>
  <c r="L542" i="9"/>
  <c r="F543" i="9"/>
  <c r="G543" i="9"/>
  <c r="I543" i="9"/>
  <c r="J543" i="9"/>
  <c r="L543" i="9"/>
  <c r="G544" i="9"/>
  <c r="I544" i="9"/>
  <c r="J544" i="9"/>
  <c r="L544" i="9"/>
  <c r="G545" i="9"/>
  <c r="I545" i="9"/>
  <c r="J545" i="9"/>
  <c r="L545" i="9"/>
  <c r="G546" i="9"/>
  <c r="I546" i="9"/>
  <c r="J546" i="9"/>
  <c r="L546" i="9"/>
  <c r="G547" i="9"/>
  <c r="I547" i="9"/>
  <c r="J547" i="9"/>
  <c r="L547" i="9"/>
  <c r="G548" i="9"/>
  <c r="I548" i="9"/>
  <c r="J548" i="9"/>
  <c r="L548" i="9"/>
  <c r="F2" i="8"/>
  <c r="G2" i="8"/>
  <c r="I2" i="8"/>
  <c r="J2" i="8"/>
  <c r="L2" i="8"/>
  <c r="F3" i="8"/>
  <c r="G3" i="8"/>
  <c r="I3" i="8"/>
  <c r="J3" i="8"/>
  <c r="L3" i="8"/>
  <c r="F4" i="8"/>
  <c r="G4" i="8"/>
  <c r="I4" i="8"/>
  <c r="J4" i="8"/>
  <c r="L4" i="8"/>
  <c r="F5" i="8"/>
  <c r="G5" i="8"/>
  <c r="I5" i="8"/>
  <c r="J5" i="8"/>
  <c r="L5" i="8"/>
  <c r="F6" i="8"/>
  <c r="G6" i="8"/>
  <c r="I6" i="8"/>
  <c r="J6" i="8"/>
  <c r="L6" i="8"/>
  <c r="F7" i="8"/>
  <c r="G7" i="8"/>
  <c r="I7" i="8"/>
  <c r="J7" i="8"/>
  <c r="L7" i="8"/>
  <c r="F8" i="8"/>
  <c r="G8" i="8"/>
  <c r="I8" i="8"/>
  <c r="J8" i="8"/>
  <c r="L8" i="8"/>
  <c r="F9" i="8"/>
  <c r="G9" i="8"/>
  <c r="I9" i="8"/>
  <c r="J9" i="8"/>
  <c r="L9" i="8"/>
  <c r="F10" i="8"/>
  <c r="G10" i="8"/>
  <c r="I10" i="8"/>
  <c r="J10" i="8"/>
  <c r="L10" i="8"/>
  <c r="F11" i="8"/>
  <c r="G11" i="8"/>
  <c r="I11" i="8"/>
  <c r="J11" i="8"/>
  <c r="L11" i="8"/>
  <c r="F12" i="8"/>
  <c r="G12" i="8"/>
  <c r="I12" i="8"/>
  <c r="J12" i="8"/>
  <c r="L12" i="8"/>
  <c r="F13" i="8"/>
  <c r="G13" i="8"/>
  <c r="I13" i="8"/>
  <c r="J13" i="8"/>
  <c r="L13" i="8"/>
  <c r="F14" i="8"/>
  <c r="G14" i="8"/>
  <c r="I14" i="8"/>
  <c r="J14" i="8"/>
  <c r="L14" i="8"/>
  <c r="F15" i="8"/>
  <c r="G15" i="8"/>
  <c r="I15" i="8"/>
  <c r="J15" i="8"/>
  <c r="L15" i="8"/>
  <c r="F16" i="8"/>
  <c r="G16" i="8"/>
  <c r="I16" i="8"/>
  <c r="J16" i="8"/>
  <c r="L16" i="8"/>
  <c r="F17" i="8"/>
  <c r="G17" i="8"/>
  <c r="I17" i="8"/>
  <c r="J17" i="8"/>
  <c r="L17" i="8"/>
  <c r="F18" i="8"/>
  <c r="G18" i="8"/>
  <c r="I18" i="8"/>
  <c r="J18" i="8"/>
  <c r="L18" i="8"/>
  <c r="F19" i="8"/>
  <c r="G19" i="8"/>
  <c r="I19" i="8"/>
  <c r="J19" i="8"/>
  <c r="L19" i="8"/>
  <c r="F20" i="8"/>
  <c r="G20" i="8"/>
  <c r="I20" i="8"/>
  <c r="J20" i="8"/>
  <c r="L20" i="8"/>
  <c r="F21" i="8"/>
  <c r="G21" i="8"/>
  <c r="I21" i="8"/>
  <c r="J21" i="8"/>
  <c r="L21" i="8"/>
  <c r="F22" i="8"/>
  <c r="G22" i="8"/>
  <c r="I22" i="8"/>
  <c r="J22" i="8"/>
  <c r="L22" i="8"/>
  <c r="F23" i="8"/>
  <c r="G23" i="8"/>
  <c r="I23" i="8"/>
  <c r="J23" i="8"/>
  <c r="L23" i="8"/>
  <c r="F24" i="8"/>
  <c r="G24" i="8"/>
  <c r="I24" i="8"/>
  <c r="J24" i="8"/>
  <c r="L24" i="8"/>
  <c r="F25" i="8"/>
  <c r="G25" i="8"/>
  <c r="I25" i="8"/>
  <c r="J25" i="8"/>
  <c r="L25" i="8"/>
  <c r="F26" i="8"/>
  <c r="G26" i="8"/>
  <c r="I26" i="8"/>
  <c r="J26" i="8"/>
  <c r="L26" i="8"/>
  <c r="F27" i="8"/>
  <c r="G27" i="8"/>
  <c r="I27" i="8"/>
  <c r="J27" i="8"/>
  <c r="L27" i="8"/>
  <c r="F28" i="8"/>
  <c r="G28" i="8"/>
  <c r="I28" i="8"/>
  <c r="J28" i="8"/>
  <c r="L28" i="8"/>
  <c r="F29" i="8"/>
  <c r="G29" i="8"/>
  <c r="I29" i="8"/>
  <c r="J29" i="8"/>
  <c r="L29" i="8"/>
  <c r="F30" i="8"/>
  <c r="G30" i="8"/>
  <c r="I30" i="8"/>
  <c r="J30" i="8"/>
  <c r="L30" i="8"/>
  <c r="F31" i="8"/>
  <c r="G31" i="8"/>
  <c r="I31" i="8"/>
  <c r="J31" i="8"/>
  <c r="L31" i="8"/>
  <c r="F32" i="8"/>
  <c r="G32" i="8"/>
  <c r="I32" i="8"/>
  <c r="J32" i="8"/>
  <c r="L32" i="8"/>
  <c r="F33" i="8"/>
  <c r="G33" i="8"/>
  <c r="I33" i="8"/>
  <c r="J33" i="8"/>
  <c r="L33" i="8"/>
  <c r="F34" i="8"/>
  <c r="G34" i="8"/>
  <c r="I34" i="8"/>
  <c r="J34" i="8"/>
  <c r="L34" i="8"/>
  <c r="F35" i="8"/>
  <c r="G35" i="8"/>
  <c r="I35" i="8"/>
  <c r="J35" i="8"/>
  <c r="L35" i="8"/>
  <c r="F36" i="8"/>
  <c r="G36" i="8"/>
  <c r="I36" i="8"/>
  <c r="J36" i="8"/>
  <c r="L36" i="8"/>
  <c r="F37" i="8"/>
  <c r="G37" i="8"/>
  <c r="I37" i="8"/>
  <c r="J37" i="8"/>
  <c r="L37" i="8"/>
  <c r="F38" i="8"/>
  <c r="G38" i="8"/>
  <c r="I38" i="8"/>
  <c r="J38" i="8"/>
  <c r="L38" i="8"/>
  <c r="F39" i="8"/>
  <c r="G39" i="8"/>
  <c r="I39" i="8"/>
  <c r="J39" i="8"/>
  <c r="L39" i="8"/>
  <c r="F40" i="8"/>
  <c r="G40" i="8"/>
  <c r="I40" i="8"/>
  <c r="J40" i="8"/>
  <c r="L40" i="8"/>
  <c r="F41" i="8"/>
  <c r="G41" i="8"/>
  <c r="I41" i="8"/>
  <c r="J41" i="8"/>
  <c r="L41" i="8"/>
  <c r="F42" i="8"/>
  <c r="G42" i="8"/>
  <c r="I42" i="8"/>
  <c r="J42" i="8"/>
  <c r="L42" i="8"/>
  <c r="F43" i="8"/>
  <c r="G43" i="8"/>
  <c r="I43" i="8"/>
  <c r="J43" i="8"/>
  <c r="L43" i="8"/>
  <c r="F44" i="8"/>
  <c r="G44" i="8"/>
  <c r="I44" i="8"/>
  <c r="J44" i="8"/>
  <c r="L44" i="8"/>
  <c r="F45" i="8"/>
  <c r="G45" i="8"/>
  <c r="I45" i="8"/>
  <c r="J45" i="8"/>
  <c r="L45" i="8"/>
  <c r="F46" i="8"/>
  <c r="G46" i="8"/>
  <c r="I46" i="8"/>
  <c r="J46" i="8"/>
  <c r="L46" i="8"/>
  <c r="F47" i="8"/>
  <c r="G47" i="8"/>
  <c r="I47" i="8"/>
  <c r="J47" i="8"/>
  <c r="L47" i="8"/>
  <c r="F48" i="8"/>
  <c r="G48" i="8"/>
  <c r="I48" i="8"/>
  <c r="J48" i="8"/>
  <c r="L48" i="8"/>
  <c r="F49" i="8"/>
  <c r="G49" i="8"/>
  <c r="I49" i="8"/>
  <c r="J49" i="8"/>
  <c r="L49" i="8"/>
  <c r="F50" i="8"/>
  <c r="G50" i="8"/>
  <c r="I50" i="8"/>
  <c r="J50" i="8"/>
  <c r="L50" i="8"/>
  <c r="F51" i="8"/>
  <c r="G51" i="8"/>
  <c r="I51" i="8"/>
  <c r="J51" i="8"/>
  <c r="L51" i="8"/>
  <c r="F52" i="8"/>
  <c r="G52" i="8"/>
  <c r="I52" i="8"/>
  <c r="J52" i="8"/>
  <c r="L52" i="8"/>
  <c r="F53" i="8"/>
  <c r="G53" i="8"/>
  <c r="I53" i="8"/>
  <c r="J53" i="8"/>
  <c r="L53" i="8"/>
  <c r="F54" i="8"/>
  <c r="G54" i="8"/>
  <c r="I54" i="8"/>
  <c r="J54" i="8"/>
  <c r="L54" i="8"/>
  <c r="F55" i="8"/>
  <c r="G55" i="8"/>
  <c r="I55" i="8"/>
  <c r="J55" i="8"/>
  <c r="L55" i="8"/>
  <c r="F56" i="8"/>
  <c r="G56" i="8"/>
  <c r="I56" i="8"/>
  <c r="J56" i="8"/>
  <c r="L56" i="8"/>
  <c r="F57" i="8"/>
  <c r="G57" i="8"/>
  <c r="I57" i="8"/>
  <c r="J57" i="8"/>
  <c r="L57" i="8"/>
  <c r="F58" i="8"/>
  <c r="G58" i="8"/>
  <c r="I58" i="8"/>
  <c r="J58" i="8"/>
  <c r="L58" i="8"/>
  <c r="F59" i="8"/>
  <c r="G59" i="8"/>
  <c r="I59" i="8"/>
  <c r="J59" i="8"/>
  <c r="L59" i="8"/>
  <c r="F60" i="8"/>
  <c r="G60" i="8"/>
  <c r="I60" i="8"/>
  <c r="J60" i="8"/>
  <c r="L60" i="8"/>
  <c r="F61" i="8"/>
  <c r="G61" i="8"/>
  <c r="I61" i="8"/>
  <c r="J61" i="8"/>
  <c r="L61" i="8"/>
  <c r="F62" i="8"/>
  <c r="G62" i="8"/>
  <c r="I62" i="8"/>
  <c r="J62" i="8"/>
  <c r="L62" i="8"/>
  <c r="F63" i="8"/>
  <c r="G63" i="8"/>
  <c r="I63" i="8"/>
  <c r="J63" i="8"/>
  <c r="L63" i="8"/>
  <c r="F64" i="8"/>
  <c r="G64" i="8"/>
  <c r="I64" i="8"/>
  <c r="J64" i="8"/>
  <c r="L64" i="8"/>
  <c r="F65" i="8"/>
  <c r="G65" i="8"/>
  <c r="I65" i="8"/>
  <c r="J65" i="8"/>
  <c r="L65" i="8"/>
  <c r="F66" i="8"/>
  <c r="G66" i="8"/>
  <c r="I66" i="8"/>
  <c r="J66" i="8"/>
  <c r="L66" i="8"/>
  <c r="F67" i="8"/>
  <c r="G67" i="8"/>
  <c r="I67" i="8"/>
  <c r="J67" i="8"/>
  <c r="L67" i="8"/>
  <c r="F68" i="8"/>
  <c r="G68" i="8"/>
  <c r="I68" i="8"/>
  <c r="J68" i="8"/>
  <c r="L68" i="8"/>
  <c r="F69" i="8"/>
  <c r="G69" i="8"/>
  <c r="I69" i="8"/>
  <c r="J69" i="8"/>
  <c r="L69" i="8"/>
  <c r="F70" i="8"/>
  <c r="G70" i="8"/>
  <c r="I70" i="8"/>
  <c r="J70" i="8"/>
  <c r="L70" i="8"/>
  <c r="F71" i="8"/>
  <c r="G71" i="8"/>
  <c r="I71" i="8"/>
  <c r="J71" i="8"/>
  <c r="L71" i="8"/>
  <c r="F72" i="8"/>
  <c r="G72" i="8"/>
  <c r="I72" i="8"/>
  <c r="J72" i="8"/>
  <c r="L72" i="8"/>
  <c r="F73" i="8"/>
  <c r="G73" i="8"/>
  <c r="I73" i="8"/>
  <c r="J73" i="8"/>
  <c r="L73" i="8"/>
  <c r="F74" i="8"/>
  <c r="G74" i="8"/>
  <c r="I74" i="8"/>
  <c r="J74" i="8"/>
  <c r="L74" i="8"/>
  <c r="F75" i="8"/>
  <c r="G75" i="8"/>
  <c r="I75" i="8"/>
  <c r="J75" i="8"/>
  <c r="L75" i="8"/>
  <c r="F76" i="8"/>
  <c r="G76" i="8"/>
  <c r="I76" i="8"/>
  <c r="J76" i="8"/>
  <c r="L76" i="8"/>
  <c r="F77" i="8"/>
  <c r="G77" i="8"/>
  <c r="I77" i="8"/>
  <c r="J77" i="8"/>
  <c r="L77" i="8"/>
  <c r="F78" i="8"/>
  <c r="G78" i="8"/>
  <c r="I78" i="8"/>
  <c r="J78" i="8"/>
  <c r="L78" i="8"/>
  <c r="F79" i="8"/>
  <c r="G79" i="8"/>
  <c r="I79" i="8"/>
  <c r="J79" i="8"/>
  <c r="L79" i="8"/>
  <c r="F80" i="8"/>
  <c r="G80" i="8"/>
  <c r="I80" i="8"/>
  <c r="J80" i="8"/>
  <c r="L80" i="8"/>
  <c r="F81" i="8"/>
  <c r="G81" i="8"/>
  <c r="I81" i="8"/>
  <c r="J81" i="8"/>
  <c r="L81" i="8"/>
  <c r="F82" i="8"/>
  <c r="G82" i="8"/>
  <c r="I82" i="8"/>
  <c r="J82" i="8"/>
  <c r="L82" i="8"/>
  <c r="F83" i="8"/>
  <c r="G83" i="8"/>
  <c r="I83" i="8"/>
  <c r="J83" i="8"/>
  <c r="L83" i="8"/>
  <c r="F84" i="8"/>
  <c r="G84" i="8"/>
  <c r="I84" i="8"/>
  <c r="J84" i="8"/>
  <c r="L84" i="8"/>
  <c r="F85" i="8"/>
  <c r="G85" i="8"/>
  <c r="I85" i="8"/>
  <c r="J85" i="8"/>
  <c r="L85" i="8"/>
  <c r="F86" i="8"/>
  <c r="G86" i="8"/>
  <c r="I86" i="8"/>
  <c r="J86" i="8"/>
  <c r="L86" i="8"/>
  <c r="F87" i="8"/>
  <c r="G87" i="8"/>
  <c r="I87" i="8"/>
  <c r="J87" i="8"/>
  <c r="L87" i="8"/>
  <c r="F88" i="8"/>
  <c r="G88" i="8"/>
  <c r="I88" i="8"/>
  <c r="J88" i="8"/>
  <c r="L88" i="8"/>
  <c r="F89" i="8"/>
  <c r="G89" i="8"/>
  <c r="I89" i="8"/>
  <c r="J89" i="8"/>
  <c r="L89" i="8"/>
  <c r="F90" i="8"/>
  <c r="I90" i="8"/>
  <c r="J90" i="8"/>
  <c r="L90" i="8"/>
  <c r="F91" i="8"/>
  <c r="G91" i="8"/>
  <c r="I91" i="8"/>
  <c r="J91" i="8"/>
  <c r="L91" i="8"/>
  <c r="F92" i="8"/>
  <c r="G92" i="8"/>
  <c r="I92" i="8"/>
  <c r="J92" i="8"/>
  <c r="L92" i="8"/>
  <c r="F93" i="8"/>
  <c r="G93" i="8"/>
  <c r="I93" i="8"/>
  <c r="J93" i="8"/>
  <c r="L93" i="8"/>
  <c r="F94" i="8"/>
  <c r="I94" i="8"/>
  <c r="J94" i="8"/>
  <c r="L94" i="8"/>
  <c r="F95" i="8"/>
  <c r="G95" i="8"/>
  <c r="I95" i="8"/>
  <c r="J95" i="8"/>
  <c r="L95" i="8"/>
  <c r="F96" i="8"/>
  <c r="G96" i="8"/>
  <c r="I96" i="8"/>
  <c r="J96" i="8"/>
  <c r="L96" i="8"/>
  <c r="F97" i="8"/>
  <c r="G97" i="8"/>
  <c r="I97" i="8"/>
  <c r="J97" i="8"/>
  <c r="L97" i="8"/>
  <c r="F98" i="8"/>
  <c r="G98" i="8"/>
  <c r="I98" i="8"/>
  <c r="J98" i="8"/>
  <c r="L98" i="8"/>
  <c r="F99" i="8"/>
  <c r="G99" i="8"/>
  <c r="I99" i="8"/>
  <c r="J99" i="8"/>
  <c r="L99" i="8"/>
  <c r="F100" i="8"/>
  <c r="G100" i="8"/>
  <c r="I100" i="8"/>
  <c r="J100" i="8"/>
  <c r="L100" i="8"/>
  <c r="F101" i="8"/>
  <c r="G101" i="8"/>
  <c r="I101" i="8"/>
  <c r="J101" i="8"/>
  <c r="L101" i="8"/>
  <c r="F102" i="8"/>
  <c r="G102" i="8"/>
  <c r="I102" i="8"/>
  <c r="J102" i="8"/>
  <c r="L102" i="8"/>
  <c r="F103" i="8"/>
  <c r="G103" i="8"/>
  <c r="I103" i="8"/>
  <c r="J103" i="8"/>
  <c r="L103" i="8"/>
  <c r="F104" i="8"/>
  <c r="G104" i="8"/>
  <c r="I104" i="8"/>
  <c r="J104" i="8"/>
  <c r="L104" i="8"/>
  <c r="F105" i="8"/>
  <c r="G105" i="8"/>
  <c r="I105" i="8"/>
  <c r="J105" i="8"/>
  <c r="L105" i="8"/>
  <c r="F106" i="8"/>
  <c r="I106" i="8"/>
  <c r="J106" i="8"/>
  <c r="L106" i="8"/>
  <c r="F107" i="8"/>
  <c r="G107" i="8"/>
  <c r="I107" i="8"/>
  <c r="J107" i="8"/>
  <c r="L107" i="8"/>
  <c r="F108" i="8"/>
  <c r="G108" i="8"/>
  <c r="I108" i="8"/>
  <c r="J108" i="8"/>
  <c r="L108" i="8"/>
  <c r="F109" i="8"/>
  <c r="G109" i="8"/>
  <c r="I109" i="8"/>
  <c r="J109" i="8"/>
  <c r="L109" i="8"/>
  <c r="F110" i="8"/>
  <c r="G110" i="8"/>
  <c r="I110" i="8"/>
  <c r="J110" i="8"/>
  <c r="L110" i="8"/>
  <c r="F111" i="8"/>
  <c r="G111" i="8"/>
  <c r="I111" i="8"/>
  <c r="J111" i="8"/>
  <c r="L111" i="8"/>
  <c r="F112" i="8"/>
  <c r="G112" i="8"/>
  <c r="I112" i="8"/>
  <c r="J112" i="8"/>
  <c r="L112" i="8"/>
  <c r="F113" i="8"/>
  <c r="G113" i="8"/>
  <c r="I113" i="8"/>
  <c r="J113" i="8"/>
  <c r="L113" i="8"/>
  <c r="F114" i="8"/>
  <c r="G114" i="8"/>
  <c r="I114" i="8"/>
  <c r="J114" i="8"/>
  <c r="L114" i="8"/>
  <c r="F115" i="8"/>
  <c r="G115" i="8"/>
  <c r="I115" i="8"/>
  <c r="J115" i="8"/>
  <c r="L115" i="8"/>
  <c r="F116" i="8"/>
  <c r="G116" i="8"/>
  <c r="I116" i="8"/>
  <c r="J116" i="8"/>
  <c r="L116" i="8"/>
  <c r="F117" i="8"/>
  <c r="G117" i="8"/>
  <c r="I117" i="8"/>
  <c r="J117" i="8"/>
  <c r="L117" i="8"/>
  <c r="F118" i="8"/>
  <c r="G118" i="8"/>
  <c r="I118" i="8"/>
  <c r="J118" i="8"/>
  <c r="L118" i="8"/>
  <c r="F119" i="8"/>
  <c r="G119" i="8"/>
  <c r="I119" i="8"/>
  <c r="J119" i="8"/>
  <c r="L119" i="8"/>
  <c r="F120" i="8"/>
  <c r="G120" i="8"/>
  <c r="I120" i="8"/>
  <c r="J120" i="8"/>
  <c r="L120" i="8"/>
  <c r="F121" i="8"/>
  <c r="G121" i="8"/>
  <c r="I121" i="8"/>
  <c r="J121" i="8"/>
  <c r="L121" i="8"/>
  <c r="F122" i="8"/>
  <c r="G122" i="8"/>
  <c r="I122" i="8"/>
  <c r="J122" i="8"/>
  <c r="L122" i="8"/>
  <c r="F123" i="8"/>
  <c r="G123" i="8"/>
  <c r="I123" i="8"/>
  <c r="J123" i="8"/>
  <c r="L123" i="8"/>
  <c r="F124" i="8"/>
  <c r="G124" i="8"/>
  <c r="I124" i="8"/>
  <c r="J124" i="8"/>
  <c r="L124" i="8"/>
  <c r="F125" i="8"/>
  <c r="G125" i="8"/>
  <c r="I125" i="8"/>
  <c r="J125" i="8"/>
  <c r="L125" i="8"/>
  <c r="F126" i="8"/>
  <c r="G126" i="8"/>
  <c r="I126" i="8"/>
  <c r="J126" i="8"/>
  <c r="L126" i="8"/>
  <c r="F127" i="8"/>
  <c r="G127" i="8"/>
  <c r="I127" i="8"/>
  <c r="J127" i="8"/>
  <c r="L127" i="8"/>
  <c r="F128" i="8"/>
  <c r="G128" i="8"/>
  <c r="I128" i="8"/>
  <c r="J128" i="8"/>
  <c r="L128" i="8"/>
  <c r="F129" i="8"/>
  <c r="G129" i="8"/>
  <c r="I129" i="8"/>
  <c r="J129" i="8"/>
  <c r="L129" i="8"/>
  <c r="F130" i="8"/>
  <c r="G130" i="8"/>
  <c r="I130" i="8"/>
  <c r="J130" i="8"/>
  <c r="L130" i="8"/>
  <c r="F131" i="8"/>
  <c r="G131" i="8"/>
  <c r="I131" i="8"/>
  <c r="J131" i="8"/>
  <c r="L131" i="8"/>
  <c r="F132" i="8"/>
  <c r="G132" i="8"/>
  <c r="I132" i="8"/>
  <c r="J132" i="8"/>
  <c r="L132" i="8"/>
  <c r="F133" i="8"/>
  <c r="G133" i="8"/>
  <c r="I133" i="8"/>
  <c r="J133" i="8"/>
  <c r="L133" i="8"/>
  <c r="F134" i="8"/>
  <c r="G134" i="8"/>
  <c r="I134" i="8"/>
  <c r="J134" i="8"/>
  <c r="L134" i="8"/>
  <c r="F135" i="8"/>
  <c r="G135" i="8"/>
  <c r="I135" i="8"/>
  <c r="J135" i="8"/>
  <c r="L135" i="8"/>
  <c r="F136" i="8"/>
  <c r="G136" i="8"/>
  <c r="I136" i="8"/>
  <c r="J136" i="8"/>
  <c r="L136" i="8"/>
  <c r="F137" i="8"/>
  <c r="G137" i="8"/>
  <c r="I137" i="8"/>
  <c r="J137" i="8"/>
  <c r="L137" i="8"/>
  <c r="F138" i="8"/>
  <c r="G138" i="8"/>
  <c r="I138" i="8"/>
  <c r="J138" i="8"/>
  <c r="L138" i="8"/>
  <c r="F139" i="8"/>
  <c r="G139" i="8"/>
  <c r="I139" i="8"/>
  <c r="J139" i="8"/>
  <c r="L139" i="8"/>
  <c r="F140" i="8"/>
  <c r="G140" i="8"/>
  <c r="I140" i="8"/>
  <c r="J140" i="8"/>
  <c r="L140" i="8"/>
  <c r="F141" i="8"/>
  <c r="G141" i="8"/>
  <c r="I141" i="8"/>
  <c r="J141" i="8"/>
  <c r="L141" i="8"/>
  <c r="F142" i="8"/>
  <c r="G142" i="8"/>
  <c r="I142" i="8"/>
  <c r="J142" i="8"/>
  <c r="L142" i="8"/>
  <c r="F143" i="8"/>
  <c r="G143" i="8"/>
  <c r="I143" i="8"/>
  <c r="J143" i="8"/>
  <c r="L143" i="8"/>
  <c r="F144" i="8"/>
  <c r="G144" i="8"/>
  <c r="I144" i="8"/>
  <c r="J144" i="8"/>
  <c r="L144" i="8"/>
  <c r="F145" i="8"/>
  <c r="G145" i="8"/>
  <c r="I145" i="8"/>
  <c r="J145" i="8"/>
  <c r="L145" i="8"/>
  <c r="F146" i="8"/>
  <c r="G146" i="8"/>
  <c r="I146" i="8"/>
  <c r="J146" i="8"/>
  <c r="L146" i="8"/>
  <c r="F147" i="8"/>
  <c r="G147" i="8"/>
  <c r="I147" i="8"/>
  <c r="J147" i="8"/>
  <c r="L147" i="8"/>
  <c r="F148" i="8"/>
  <c r="G148" i="8"/>
  <c r="I148" i="8"/>
  <c r="J148" i="8"/>
  <c r="L148" i="8"/>
  <c r="F149" i="8"/>
  <c r="G149" i="8"/>
  <c r="I149" i="8"/>
  <c r="J149" i="8"/>
  <c r="L149" i="8"/>
  <c r="F150" i="8"/>
  <c r="G150" i="8"/>
  <c r="I150" i="8"/>
  <c r="J150" i="8"/>
  <c r="L150" i="8"/>
  <c r="F151" i="8"/>
  <c r="G151" i="8"/>
  <c r="I151" i="8"/>
  <c r="J151" i="8"/>
  <c r="L151" i="8"/>
  <c r="F152" i="8"/>
  <c r="G152" i="8"/>
  <c r="I152" i="8"/>
  <c r="J152" i="8"/>
  <c r="L152" i="8"/>
  <c r="F153" i="8"/>
  <c r="G153" i="8"/>
  <c r="I153" i="8"/>
  <c r="J153" i="8"/>
  <c r="L153" i="8"/>
  <c r="F154" i="8"/>
  <c r="G154" i="8"/>
  <c r="I154" i="8"/>
  <c r="J154" i="8"/>
  <c r="L154" i="8"/>
  <c r="F155" i="8"/>
  <c r="G155" i="8"/>
  <c r="I155" i="8"/>
  <c r="J155" i="8"/>
  <c r="L155" i="8"/>
  <c r="F156" i="8"/>
  <c r="G156" i="8"/>
  <c r="I156" i="8"/>
  <c r="J156" i="8"/>
  <c r="L156" i="8"/>
  <c r="F157" i="8"/>
  <c r="G157" i="8"/>
  <c r="I157" i="8"/>
  <c r="J157" i="8"/>
  <c r="L157" i="8"/>
  <c r="F158" i="8"/>
  <c r="G158" i="8"/>
  <c r="I158" i="8"/>
  <c r="J158" i="8"/>
  <c r="L158" i="8"/>
  <c r="F159" i="8"/>
  <c r="G159" i="8"/>
  <c r="I159" i="8"/>
  <c r="J159" i="8"/>
  <c r="L159" i="8"/>
  <c r="F160" i="8"/>
  <c r="G160" i="8"/>
  <c r="I160" i="8"/>
  <c r="J160" i="8"/>
  <c r="L160" i="8"/>
  <c r="F161" i="8"/>
  <c r="G161" i="8"/>
  <c r="I161" i="8"/>
  <c r="J161" i="8"/>
  <c r="L161" i="8"/>
  <c r="F162" i="8"/>
  <c r="G162" i="8"/>
  <c r="I162" i="8"/>
  <c r="J162" i="8"/>
  <c r="L162" i="8"/>
  <c r="F163" i="8"/>
  <c r="G163" i="8"/>
  <c r="I163" i="8"/>
  <c r="J163" i="8"/>
  <c r="L163" i="8"/>
  <c r="F164" i="8"/>
  <c r="G164" i="8"/>
  <c r="I164" i="8"/>
  <c r="J164" i="8"/>
  <c r="L164" i="8"/>
  <c r="F165" i="8"/>
  <c r="G165" i="8"/>
  <c r="I165" i="8"/>
  <c r="J165" i="8"/>
  <c r="L165" i="8"/>
  <c r="F166" i="8"/>
  <c r="G166" i="8"/>
  <c r="I166" i="8"/>
  <c r="J166" i="8"/>
  <c r="L166" i="8"/>
  <c r="F167" i="8"/>
  <c r="G167" i="8"/>
  <c r="I167" i="8"/>
  <c r="J167" i="8"/>
  <c r="L167" i="8"/>
  <c r="F168" i="8"/>
  <c r="G168" i="8"/>
  <c r="I168" i="8"/>
  <c r="J168" i="8"/>
  <c r="L168" i="8"/>
  <c r="F169" i="8"/>
  <c r="G169" i="8"/>
  <c r="I169" i="8"/>
  <c r="J169" i="8"/>
  <c r="L169" i="8"/>
  <c r="F170" i="8"/>
  <c r="G170" i="8"/>
  <c r="I170" i="8"/>
  <c r="J170" i="8"/>
  <c r="L170" i="8"/>
  <c r="F171" i="8"/>
  <c r="G171" i="8"/>
  <c r="I171" i="8"/>
  <c r="J171" i="8"/>
  <c r="L171" i="8"/>
  <c r="F172" i="8"/>
  <c r="G172" i="8"/>
  <c r="I172" i="8"/>
  <c r="J172" i="8"/>
  <c r="L172" i="8"/>
  <c r="F173" i="8"/>
  <c r="G173" i="8"/>
  <c r="I173" i="8"/>
  <c r="J173" i="8"/>
  <c r="L173" i="8"/>
  <c r="F174" i="8"/>
  <c r="G174" i="8"/>
  <c r="I174" i="8"/>
  <c r="J174" i="8"/>
  <c r="L174" i="8"/>
  <c r="F175" i="8"/>
  <c r="G175" i="8"/>
  <c r="I175" i="8"/>
  <c r="J175" i="8"/>
  <c r="L175" i="8"/>
  <c r="F176" i="8"/>
  <c r="G176" i="8"/>
  <c r="I176" i="8"/>
  <c r="J176" i="8"/>
  <c r="L176" i="8"/>
  <c r="F177" i="8"/>
  <c r="G177" i="8"/>
  <c r="I177" i="8"/>
  <c r="J177" i="8"/>
  <c r="L177" i="8"/>
  <c r="F178" i="8"/>
  <c r="G178" i="8"/>
  <c r="I178" i="8"/>
  <c r="J178" i="8"/>
  <c r="L178" i="8"/>
  <c r="F179" i="8"/>
  <c r="G179" i="8"/>
  <c r="I179" i="8"/>
  <c r="J179" i="8"/>
  <c r="L179" i="8"/>
  <c r="F180" i="8"/>
  <c r="G180" i="8"/>
  <c r="I180" i="8"/>
  <c r="J180" i="8"/>
  <c r="L180" i="8"/>
  <c r="F181" i="8"/>
  <c r="G181" i="8"/>
  <c r="I181" i="8"/>
  <c r="J181" i="8"/>
  <c r="L181" i="8"/>
  <c r="F182" i="8"/>
  <c r="G182" i="8"/>
  <c r="I182" i="8"/>
  <c r="J182" i="8"/>
  <c r="L182" i="8"/>
  <c r="F183" i="8"/>
  <c r="G183" i="8"/>
  <c r="I183" i="8"/>
  <c r="J183" i="8"/>
  <c r="L183" i="8"/>
  <c r="F184" i="8"/>
  <c r="G184" i="8"/>
  <c r="I184" i="8"/>
  <c r="J184" i="8"/>
  <c r="L184" i="8"/>
  <c r="F185" i="8"/>
  <c r="G185" i="8"/>
  <c r="I185" i="8"/>
  <c r="J185" i="8"/>
  <c r="L185" i="8"/>
  <c r="F186" i="8"/>
  <c r="G186" i="8"/>
  <c r="I186" i="8"/>
  <c r="J186" i="8"/>
  <c r="L186" i="8"/>
  <c r="F187" i="8"/>
  <c r="G187" i="8"/>
  <c r="I187" i="8"/>
  <c r="J187" i="8"/>
  <c r="L187" i="8"/>
  <c r="F188" i="8"/>
  <c r="G188" i="8"/>
  <c r="I188" i="8"/>
  <c r="J188" i="8"/>
  <c r="L188" i="8"/>
  <c r="F189" i="8"/>
  <c r="G189" i="8"/>
  <c r="I189" i="8"/>
  <c r="J189" i="8"/>
  <c r="L189" i="8"/>
  <c r="F190" i="8"/>
  <c r="G190" i="8"/>
  <c r="I190" i="8"/>
  <c r="J190" i="8"/>
  <c r="L190" i="8"/>
  <c r="F191" i="8"/>
  <c r="G191" i="8"/>
  <c r="I191" i="8"/>
  <c r="J191" i="8"/>
  <c r="L191" i="8"/>
  <c r="F192" i="8"/>
  <c r="G192" i="8"/>
  <c r="I192" i="8"/>
  <c r="J192" i="8"/>
  <c r="L192" i="8"/>
  <c r="F193" i="8"/>
  <c r="G193" i="8"/>
  <c r="I193" i="8"/>
  <c r="J193" i="8"/>
  <c r="L193" i="8"/>
  <c r="F194" i="8"/>
  <c r="G194" i="8"/>
  <c r="I194" i="8"/>
  <c r="J194" i="8"/>
  <c r="L194" i="8"/>
  <c r="F195" i="8"/>
  <c r="G195" i="8"/>
  <c r="I195" i="8"/>
  <c r="J195" i="8"/>
  <c r="L195" i="8"/>
  <c r="F196" i="8"/>
  <c r="G196" i="8"/>
  <c r="I196" i="8"/>
  <c r="J196" i="8"/>
  <c r="L196" i="8"/>
  <c r="F197" i="8"/>
  <c r="I197" i="8"/>
  <c r="J197" i="8"/>
  <c r="L197" i="8"/>
  <c r="F198" i="8"/>
  <c r="G198" i="8"/>
  <c r="I198" i="8"/>
  <c r="J198" i="8"/>
  <c r="L198" i="8"/>
  <c r="F199" i="8"/>
  <c r="G199" i="8"/>
  <c r="I199" i="8"/>
  <c r="J199" i="8"/>
  <c r="L199" i="8"/>
  <c r="F200" i="8"/>
  <c r="G200" i="8"/>
  <c r="I200" i="8"/>
  <c r="J200" i="8"/>
  <c r="L200" i="8"/>
  <c r="F201" i="8"/>
  <c r="G201" i="8"/>
  <c r="I201" i="8"/>
  <c r="J201" i="8"/>
  <c r="L201" i="8"/>
  <c r="F202" i="8"/>
  <c r="G202" i="8"/>
  <c r="I202" i="8"/>
  <c r="J202" i="8"/>
  <c r="L202" i="8"/>
  <c r="F203" i="8"/>
  <c r="G203" i="8"/>
  <c r="I203" i="8"/>
  <c r="J203" i="8"/>
  <c r="L203" i="8"/>
  <c r="F204" i="8"/>
  <c r="I204" i="8"/>
  <c r="J204" i="8"/>
  <c r="L204" i="8"/>
  <c r="F205" i="8"/>
  <c r="I205" i="8"/>
  <c r="J205" i="8"/>
  <c r="L205" i="8"/>
  <c r="F206" i="8"/>
  <c r="I206" i="8"/>
  <c r="J206" i="8"/>
  <c r="L206" i="8"/>
  <c r="F207" i="8"/>
  <c r="G207" i="8"/>
  <c r="I207" i="8"/>
  <c r="J207" i="8"/>
  <c r="L207" i="8"/>
  <c r="F208" i="8"/>
  <c r="G208" i="8"/>
  <c r="I208" i="8"/>
  <c r="J208" i="8"/>
  <c r="L208" i="8"/>
  <c r="F209" i="8"/>
  <c r="G209" i="8"/>
  <c r="I209" i="8"/>
  <c r="J209" i="8"/>
  <c r="L209" i="8"/>
  <c r="F210" i="8"/>
  <c r="I210" i="8"/>
  <c r="J210" i="8"/>
  <c r="L210" i="8"/>
  <c r="F211" i="8"/>
  <c r="G211" i="8"/>
  <c r="I211" i="8"/>
  <c r="J211" i="8"/>
  <c r="L211" i="8"/>
  <c r="F212" i="8"/>
  <c r="G212" i="8"/>
  <c r="I212" i="8"/>
  <c r="J212" i="8"/>
  <c r="L212" i="8"/>
  <c r="F213" i="8"/>
  <c r="G213" i="8"/>
  <c r="I213" i="8"/>
  <c r="J213" i="8"/>
  <c r="L213" i="8"/>
  <c r="F214" i="8"/>
  <c r="G214" i="8"/>
  <c r="I214" i="8"/>
  <c r="J214" i="8"/>
  <c r="L214" i="8"/>
  <c r="F215" i="8"/>
  <c r="G215" i="8"/>
  <c r="I215" i="8"/>
  <c r="J215" i="8"/>
  <c r="L215" i="8"/>
  <c r="F216" i="8"/>
  <c r="G216" i="8"/>
  <c r="I216" i="8"/>
  <c r="J216" i="8"/>
  <c r="L216" i="8"/>
  <c r="F217" i="8"/>
  <c r="G217" i="8"/>
  <c r="I217" i="8"/>
  <c r="J217" i="8"/>
  <c r="L217" i="8"/>
  <c r="F218" i="8"/>
  <c r="G218" i="8"/>
  <c r="I218" i="8"/>
  <c r="J218" i="8"/>
  <c r="L218" i="8"/>
  <c r="F219" i="8"/>
  <c r="G219" i="8"/>
  <c r="I219" i="8"/>
  <c r="J219" i="8"/>
  <c r="L219" i="8"/>
  <c r="F220" i="8"/>
  <c r="G220" i="8"/>
  <c r="I220" i="8"/>
  <c r="J220" i="8"/>
  <c r="L220" i="8"/>
  <c r="F221" i="8"/>
  <c r="G221" i="8"/>
  <c r="I221" i="8"/>
  <c r="J221" i="8"/>
  <c r="L221" i="8"/>
  <c r="F222" i="8"/>
  <c r="G222" i="8"/>
  <c r="I222" i="8"/>
  <c r="J222" i="8"/>
  <c r="L222" i="8"/>
  <c r="F223" i="8"/>
  <c r="G223" i="8"/>
  <c r="I223" i="8"/>
  <c r="J223" i="8"/>
  <c r="L223" i="8"/>
  <c r="F224" i="8"/>
  <c r="G224" i="8"/>
  <c r="I224" i="8"/>
  <c r="J224" i="8"/>
  <c r="L224" i="8"/>
  <c r="F225" i="8"/>
  <c r="G225" i="8"/>
  <c r="I225" i="8"/>
  <c r="J225" i="8"/>
  <c r="L225" i="8"/>
  <c r="F226" i="8"/>
  <c r="G226" i="8"/>
  <c r="I226" i="8"/>
  <c r="J226" i="8"/>
  <c r="L226" i="8"/>
  <c r="F227" i="8"/>
  <c r="G227" i="8"/>
  <c r="I227" i="8"/>
  <c r="J227" i="8"/>
  <c r="L227" i="8"/>
  <c r="F228" i="8"/>
  <c r="G228" i="8"/>
  <c r="I228" i="8"/>
  <c r="J228" i="8"/>
  <c r="L228" i="8"/>
  <c r="F229" i="8"/>
  <c r="G229" i="8"/>
  <c r="I229" i="8"/>
  <c r="J229" i="8"/>
  <c r="L229" i="8"/>
  <c r="F230" i="8"/>
  <c r="G230" i="8"/>
  <c r="I230" i="8"/>
  <c r="J230" i="8"/>
  <c r="L230" i="8"/>
  <c r="F231" i="8"/>
  <c r="I231" i="8"/>
  <c r="J231" i="8"/>
  <c r="L231" i="8"/>
  <c r="F232" i="8"/>
  <c r="G232" i="8"/>
  <c r="I232" i="8"/>
  <c r="J232" i="8"/>
  <c r="L232" i="8"/>
  <c r="F233" i="8"/>
  <c r="G233" i="8"/>
  <c r="I233" i="8"/>
  <c r="J233" i="8"/>
  <c r="L233" i="8"/>
  <c r="F234" i="8"/>
  <c r="G234" i="8"/>
  <c r="I234" i="8"/>
  <c r="J234" i="8"/>
  <c r="L234" i="8"/>
  <c r="F235" i="8"/>
  <c r="G235" i="8"/>
  <c r="I235" i="8"/>
  <c r="J235" i="8"/>
  <c r="L235" i="8"/>
  <c r="F236" i="8"/>
  <c r="G236" i="8"/>
  <c r="I236" i="8"/>
  <c r="J236" i="8"/>
  <c r="L236" i="8"/>
  <c r="F237" i="8"/>
  <c r="G237" i="8"/>
  <c r="I237" i="8"/>
  <c r="J237" i="8"/>
  <c r="L237" i="8"/>
  <c r="F238" i="8"/>
  <c r="G238" i="8"/>
  <c r="I238" i="8"/>
  <c r="J238" i="8"/>
  <c r="L238" i="8"/>
  <c r="F239" i="8"/>
  <c r="G239" i="8"/>
  <c r="I239" i="8"/>
  <c r="J239" i="8"/>
  <c r="L239" i="8"/>
  <c r="F240" i="8"/>
  <c r="G240" i="8"/>
  <c r="I240" i="8"/>
  <c r="J240" i="8"/>
  <c r="L240" i="8"/>
  <c r="F241" i="8"/>
  <c r="G241" i="8"/>
  <c r="I241" i="8"/>
  <c r="J241" i="8"/>
  <c r="L241" i="8"/>
  <c r="F242" i="8"/>
  <c r="G242" i="8"/>
  <c r="I242" i="8"/>
  <c r="J242" i="8"/>
  <c r="L242" i="8"/>
  <c r="F243" i="8"/>
  <c r="G243" i="8"/>
  <c r="I243" i="8"/>
  <c r="J243" i="8"/>
  <c r="L243" i="8"/>
  <c r="F244" i="8"/>
  <c r="G244" i="8"/>
  <c r="I244" i="8"/>
  <c r="J244" i="8"/>
  <c r="L244" i="8"/>
  <c r="F245" i="8"/>
  <c r="G245" i="8"/>
  <c r="I245" i="8"/>
  <c r="J245" i="8"/>
  <c r="L245" i="8"/>
  <c r="F246" i="8"/>
  <c r="G246" i="8"/>
  <c r="I246" i="8"/>
  <c r="J246" i="8"/>
  <c r="L246" i="8"/>
  <c r="F247" i="8"/>
  <c r="G247" i="8"/>
  <c r="I247" i="8"/>
  <c r="J247" i="8"/>
  <c r="L247" i="8"/>
  <c r="F248" i="8"/>
  <c r="G248" i="8"/>
  <c r="I248" i="8"/>
  <c r="J248" i="8"/>
  <c r="L248" i="8"/>
  <c r="F249" i="8"/>
  <c r="G249" i="8"/>
  <c r="I249" i="8"/>
  <c r="J249" i="8"/>
  <c r="L249" i="8"/>
  <c r="F250" i="8"/>
  <c r="G250" i="8"/>
  <c r="I250" i="8"/>
  <c r="J250" i="8"/>
  <c r="L250" i="8"/>
  <c r="F251" i="8"/>
  <c r="G251" i="8"/>
  <c r="I251" i="8"/>
  <c r="J251" i="8"/>
  <c r="L251" i="8"/>
  <c r="F252" i="8"/>
  <c r="G252" i="8"/>
  <c r="I252" i="8"/>
  <c r="J252" i="8"/>
  <c r="L252" i="8"/>
  <c r="F253" i="8"/>
  <c r="G253" i="8"/>
  <c r="I253" i="8"/>
  <c r="J253" i="8"/>
  <c r="L253" i="8"/>
  <c r="F254" i="8"/>
  <c r="G254" i="8"/>
  <c r="I254" i="8"/>
  <c r="J254" i="8"/>
  <c r="L254" i="8"/>
  <c r="F255" i="8"/>
  <c r="G255" i="8"/>
  <c r="I255" i="8"/>
  <c r="J255" i="8"/>
  <c r="L255" i="8"/>
  <c r="F256" i="8"/>
  <c r="G256" i="8"/>
  <c r="I256" i="8"/>
  <c r="J256" i="8"/>
  <c r="L256" i="8"/>
  <c r="F257" i="8"/>
  <c r="G257" i="8"/>
  <c r="I257" i="8"/>
  <c r="J257" i="8"/>
  <c r="L257" i="8"/>
  <c r="F258" i="8"/>
  <c r="G258" i="8"/>
  <c r="I258" i="8"/>
  <c r="J258" i="8"/>
  <c r="L258" i="8"/>
  <c r="F259" i="8"/>
  <c r="G259" i="8"/>
  <c r="I259" i="8"/>
  <c r="J259" i="8"/>
  <c r="L259" i="8"/>
  <c r="F260" i="8"/>
  <c r="G260" i="8"/>
  <c r="I260" i="8"/>
  <c r="J260" i="8"/>
  <c r="L260" i="8"/>
  <c r="F261" i="8"/>
  <c r="G261" i="8"/>
  <c r="I261" i="8"/>
  <c r="J261" i="8"/>
  <c r="L261" i="8"/>
  <c r="F262" i="8"/>
  <c r="G262" i="8"/>
  <c r="I262" i="8"/>
  <c r="J262" i="8"/>
  <c r="L262" i="8"/>
  <c r="F263" i="8"/>
  <c r="G263" i="8"/>
  <c r="I263" i="8"/>
  <c r="J263" i="8"/>
  <c r="L263" i="8"/>
  <c r="F264" i="8"/>
  <c r="G264" i="8"/>
  <c r="I264" i="8"/>
  <c r="J264" i="8"/>
  <c r="L264" i="8"/>
  <c r="F265" i="8"/>
  <c r="G265" i="8"/>
  <c r="I265" i="8"/>
  <c r="J265" i="8"/>
  <c r="L265" i="8"/>
  <c r="F266" i="8"/>
  <c r="G266" i="8"/>
  <c r="I266" i="8"/>
  <c r="J266" i="8"/>
  <c r="L266" i="8"/>
  <c r="F267" i="8"/>
  <c r="G267" i="8"/>
  <c r="I267" i="8"/>
  <c r="J267" i="8"/>
  <c r="L267" i="8"/>
  <c r="F268" i="8"/>
  <c r="G268" i="8"/>
  <c r="I268" i="8"/>
  <c r="J268" i="8"/>
  <c r="L268" i="8"/>
  <c r="F269" i="8"/>
  <c r="G269" i="8"/>
  <c r="I269" i="8"/>
  <c r="J269" i="8"/>
  <c r="L269" i="8"/>
  <c r="F270" i="8"/>
  <c r="G270" i="8"/>
  <c r="I270" i="8"/>
  <c r="J270" i="8"/>
  <c r="L270" i="8"/>
  <c r="F271" i="8"/>
  <c r="G271" i="8"/>
  <c r="I271" i="8"/>
  <c r="J271" i="8"/>
  <c r="L271" i="8"/>
  <c r="F272" i="8"/>
  <c r="G272" i="8"/>
  <c r="I272" i="8"/>
  <c r="J272" i="8"/>
  <c r="L272" i="8"/>
  <c r="F273" i="8"/>
  <c r="G273" i="8"/>
  <c r="I273" i="8"/>
  <c r="J273" i="8"/>
  <c r="L273" i="8"/>
  <c r="F274" i="8"/>
  <c r="G274" i="8"/>
  <c r="I274" i="8"/>
  <c r="J274" i="8"/>
  <c r="L274" i="8"/>
  <c r="F275" i="8"/>
  <c r="G275" i="8"/>
  <c r="I275" i="8"/>
  <c r="J275" i="8"/>
  <c r="L275" i="8"/>
  <c r="F276" i="8"/>
  <c r="G276" i="8"/>
  <c r="I276" i="8"/>
  <c r="J276" i="8"/>
  <c r="L276" i="8"/>
  <c r="F277" i="8"/>
  <c r="G277" i="8"/>
  <c r="I277" i="8"/>
  <c r="J277" i="8"/>
  <c r="L277" i="8"/>
  <c r="F278" i="8"/>
  <c r="G278" i="8"/>
  <c r="I278" i="8"/>
  <c r="J278" i="8"/>
  <c r="L278" i="8"/>
  <c r="F279" i="8"/>
  <c r="G279" i="8"/>
  <c r="I279" i="8"/>
  <c r="J279" i="8"/>
  <c r="L279" i="8"/>
  <c r="F280" i="8"/>
  <c r="G280" i="8"/>
  <c r="I280" i="8"/>
  <c r="J280" i="8"/>
  <c r="L280" i="8"/>
  <c r="F281" i="8"/>
  <c r="G281" i="8"/>
  <c r="I281" i="8"/>
  <c r="J281" i="8"/>
  <c r="L281" i="8"/>
  <c r="F282" i="8"/>
  <c r="G282" i="8"/>
  <c r="I282" i="8"/>
  <c r="J282" i="8"/>
  <c r="L282" i="8"/>
  <c r="F283" i="8"/>
  <c r="G283" i="8"/>
  <c r="I283" i="8"/>
  <c r="J283" i="8"/>
  <c r="L283" i="8"/>
  <c r="F284" i="8"/>
  <c r="G284" i="8"/>
  <c r="I284" i="8"/>
  <c r="J284" i="8"/>
  <c r="L284" i="8"/>
  <c r="F285" i="8"/>
  <c r="G285" i="8"/>
  <c r="I285" i="8"/>
  <c r="J285" i="8"/>
  <c r="L285" i="8"/>
  <c r="F286" i="8"/>
  <c r="G286" i="8"/>
  <c r="I286" i="8"/>
  <c r="J286" i="8"/>
  <c r="L286" i="8"/>
  <c r="F287" i="8"/>
  <c r="G287" i="8"/>
  <c r="I287" i="8"/>
  <c r="J287" i="8"/>
  <c r="L287" i="8"/>
  <c r="F288" i="8"/>
  <c r="G288" i="8"/>
  <c r="I288" i="8"/>
  <c r="J288" i="8"/>
  <c r="L288" i="8"/>
  <c r="F289" i="8"/>
  <c r="G289" i="8"/>
  <c r="I289" i="8"/>
  <c r="J289" i="8"/>
  <c r="L289" i="8"/>
  <c r="F290" i="8"/>
  <c r="G290" i="8"/>
  <c r="I290" i="8"/>
  <c r="J290" i="8"/>
  <c r="L290" i="8"/>
  <c r="F291" i="8"/>
  <c r="G291" i="8"/>
  <c r="I291" i="8"/>
  <c r="J291" i="8"/>
  <c r="L291" i="8"/>
  <c r="F292" i="8"/>
  <c r="G292" i="8"/>
  <c r="I292" i="8"/>
  <c r="J292" i="8"/>
  <c r="L292" i="8"/>
  <c r="F293" i="8"/>
  <c r="G293" i="8"/>
  <c r="I293" i="8"/>
  <c r="J293" i="8"/>
  <c r="L293" i="8"/>
  <c r="F294" i="8"/>
  <c r="I294" i="8"/>
  <c r="L294" i="8"/>
  <c r="F295" i="8"/>
  <c r="G295" i="8"/>
  <c r="I295" i="8"/>
  <c r="J295" i="8"/>
  <c r="L295" i="8"/>
  <c r="F296" i="8"/>
  <c r="G296" i="8"/>
  <c r="I296" i="8"/>
  <c r="J296" i="8"/>
  <c r="L296" i="8"/>
  <c r="F297" i="8"/>
  <c r="G297" i="8"/>
  <c r="I297" i="8"/>
  <c r="J297" i="8"/>
  <c r="L297" i="8"/>
  <c r="F298" i="8"/>
  <c r="G298" i="8"/>
  <c r="I298" i="8"/>
  <c r="J298" i="8"/>
  <c r="L298" i="8"/>
  <c r="F299" i="8"/>
  <c r="G299" i="8"/>
  <c r="I299" i="8"/>
  <c r="J299" i="8"/>
  <c r="L299" i="8"/>
  <c r="F300" i="8"/>
  <c r="G300" i="8"/>
  <c r="I300" i="8"/>
  <c r="J300" i="8"/>
  <c r="L300" i="8"/>
  <c r="F301" i="8"/>
  <c r="G301" i="8"/>
  <c r="I301" i="8"/>
  <c r="J301" i="8"/>
  <c r="L301" i="8"/>
  <c r="F302" i="8"/>
  <c r="G302" i="8"/>
  <c r="I302" i="8"/>
  <c r="J302" i="8"/>
  <c r="L302" i="8"/>
  <c r="F303" i="8"/>
  <c r="G303" i="8"/>
  <c r="I303" i="8"/>
  <c r="J303" i="8"/>
  <c r="L303" i="8"/>
  <c r="F304" i="8"/>
  <c r="G304" i="8"/>
  <c r="I304" i="8"/>
  <c r="J304" i="8"/>
  <c r="L304" i="8"/>
  <c r="F305" i="8"/>
  <c r="G305" i="8"/>
  <c r="I305" i="8"/>
  <c r="J305" i="8"/>
  <c r="L305" i="8"/>
  <c r="F306" i="8"/>
  <c r="G306" i="8"/>
  <c r="I306" i="8"/>
  <c r="J306" i="8"/>
  <c r="L306" i="8"/>
  <c r="F307" i="8"/>
  <c r="G307" i="8"/>
  <c r="I307" i="8"/>
  <c r="J307" i="8"/>
  <c r="L307" i="8"/>
  <c r="F308" i="8"/>
  <c r="G308" i="8"/>
  <c r="I308" i="8"/>
  <c r="J308" i="8"/>
  <c r="L308" i="8"/>
  <c r="F309" i="8"/>
  <c r="G309" i="8"/>
  <c r="I309" i="8"/>
  <c r="J309" i="8"/>
  <c r="L309" i="8"/>
  <c r="F310" i="8"/>
  <c r="G310" i="8"/>
  <c r="I310" i="8"/>
  <c r="J310" i="8"/>
  <c r="L310" i="8"/>
  <c r="F311" i="8"/>
  <c r="G311" i="8"/>
  <c r="I311" i="8"/>
  <c r="J311" i="8"/>
  <c r="L311" i="8"/>
  <c r="F312" i="8"/>
  <c r="I312" i="8"/>
  <c r="L312" i="8"/>
  <c r="F313" i="8"/>
  <c r="I313" i="8"/>
  <c r="J313" i="8"/>
  <c r="L313" i="8"/>
  <c r="F314" i="8"/>
  <c r="G314" i="8"/>
  <c r="I314" i="8"/>
  <c r="J314" i="8"/>
  <c r="L314" i="8"/>
  <c r="F315" i="8"/>
  <c r="G315" i="8"/>
  <c r="I315" i="8"/>
  <c r="J315" i="8"/>
  <c r="L315" i="8"/>
  <c r="F316" i="8"/>
  <c r="G316" i="8"/>
  <c r="I316" i="8"/>
  <c r="J316" i="8"/>
  <c r="L316" i="8"/>
  <c r="F317" i="8"/>
  <c r="G317" i="8"/>
  <c r="I317" i="8"/>
  <c r="J317" i="8"/>
  <c r="L317" i="8"/>
  <c r="F318" i="8"/>
  <c r="G318" i="8"/>
  <c r="I318" i="8"/>
  <c r="J318" i="8"/>
  <c r="L318" i="8"/>
  <c r="F319" i="8"/>
  <c r="G319" i="8"/>
  <c r="I319" i="8"/>
  <c r="J319" i="8"/>
  <c r="L319" i="8"/>
  <c r="F320" i="8"/>
  <c r="G320" i="8"/>
  <c r="I320" i="8"/>
  <c r="J320" i="8"/>
  <c r="L320" i="8"/>
  <c r="F321" i="8"/>
  <c r="G321" i="8"/>
  <c r="I321" i="8"/>
  <c r="J321" i="8"/>
  <c r="L321" i="8"/>
  <c r="F322" i="8"/>
  <c r="G322" i="8"/>
  <c r="I322" i="8"/>
  <c r="J322" i="8"/>
  <c r="L322" i="8"/>
  <c r="F323" i="8"/>
  <c r="G323" i="8"/>
  <c r="I323" i="8"/>
  <c r="J323" i="8"/>
  <c r="L323" i="8"/>
  <c r="F324" i="8"/>
  <c r="G324" i="8"/>
  <c r="I324" i="8"/>
  <c r="J324" i="8"/>
  <c r="L324" i="8"/>
  <c r="F325" i="8"/>
  <c r="G325" i="8"/>
  <c r="I325" i="8"/>
  <c r="J325" i="8"/>
  <c r="L325" i="8"/>
  <c r="F326" i="8"/>
  <c r="G326" i="8"/>
  <c r="I326" i="8"/>
  <c r="J326" i="8"/>
  <c r="L326" i="8"/>
  <c r="F327" i="8"/>
  <c r="G327" i="8"/>
  <c r="I327" i="8"/>
  <c r="J327" i="8"/>
  <c r="L327" i="8"/>
  <c r="F328" i="8"/>
  <c r="G328" i="8"/>
  <c r="I328" i="8"/>
  <c r="J328" i="8"/>
  <c r="L328" i="8"/>
  <c r="F329" i="8"/>
  <c r="G329" i="8"/>
  <c r="I329" i="8"/>
  <c r="J329" i="8"/>
  <c r="L329" i="8"/>
  <c r="F330" i="8"/>
  <c r="G330" i="8"/>
  <c r="I330" i="8"/>
  <c r="J330" i="8"/>
  <c r="L330" i="8"/>
  <c r="F331" i="8"/>
  <c r="G331" i="8"/>
  <c r="I331" i="8"/>
  <c r="J331" i="8"/>
  <c r="L331" i="8"/>
  <c r="F332" i="8"/>
  <c r="G332" i="8"/>
  <c r="I332" i="8"/>
  <c r="J332" i="8"/>
  <c r="L332" i="8"/>
  <c r="F333" i="8"/>
  <c r="G333" i="8"/>
  <c r="I333" i="8"/>
  <c r="J333" i="8"/>
  <c r="L333" i="8"/>
  <c r="F334" i="8"/>
  <c r="G334" i="8"/>
  <c r="I334" i="8"/>
  <c r="J334" i="8"/>
  <c r="L334" i="8"/>
  <c r="F335" i="8"/>
  <c r="G335" i="8"/>
  <c r="I335" i="8"/>
  <c r="J335" i="8"/>
  <c r="L335" i="8"/>
  <c r="F336" i="8"/>
  <c r="G336" i="8"/>
  <c r="I336" i="8"/>
  <c r="J336" i="8"/>
  <c r="L336" i="8"/>
  <c r="F337" i="8"/>
  <c r="G337" i="8"/>
  <c r="I337" i="8"/>
  <c r="J337" i="8"/>
  <c r="L337" i="8"/>
  <c r="F338" i="8"/>
  <c r="G338" i="8"/>
  <c r="I338" i="8"/>
  <c r="J338" i="8"/>
  <c r="L338" i="8"/>
  <c r="F339" i="8"/>
  <c r="G339" i="8"/>
  <c r="I339" i="8"/>
  <c r="J339" i="8"/>
  <c r="L339" i="8"/>
  <c r="F340" i="8"/>
  <c r="G340" i="8"/>
  <c r="I340" i="8"/>
  <c r="J340" i="8"/>
  <c r="L340" i="8"/>
  <c r="F341" i="8"/>
  <c r="G341" i="8"/>
  <c r="I341" i="8"/>
  <c r="J341" i="8"/>
  <c r="L341" i="8"/>
  <c r="F342" i="8"/>
  <c r="G342" i="8"/>
  <c r="I342" i="8"/>
  <c r="J342" i="8"/>
  <c r="L342" i="8"/>
  <c r="F343" i="8"/>
  <c r="G343" i="8"/>
  <c r="I343" i="8"/>
  <c r="J343" i="8"/>
  <c r="L343" i="8"/>
  <c r="F344" i="8"/>
  <c r="G344" i="8"/>
  <c r="I344" i="8"/>
  <c r="J344" i="8"/>
  <c r="L344" i="8"/>
  <c r="F345" i="8"/>
  <c r="G345" i="8"/>
  <c r="I345" i="8"/>
  <c r="J345" i="8"/>
  <c r="L345" i="8"/>
  <c r="F346" i="8"/>
  <c r="G346" i="8"/>
  <c r="I346" i="8"/>
  <c r="J346" i="8"/>
  <c r="L346" i="8"/>
  <c r="F347" i="8"/>
  <c r="G347" i="8"/>
  <c r="I347" i="8"/>
  <c r="J347" i="8"/>
  <c r="L347" i="8"/>
  <c r="F348" i="8"/>
  <c r="G348" i="8"/>
  <c r="I348" i="8"/>
  <c r="J348" i="8"/>
  <c r="L348" i="8"/>
  <c r="F349" i="8"/>
  <c r="G349" i="8"/>
  <c r="I349" i="8"/>
  <c r="J349" i="8"/>
  <c r="L349" i="8"/>
  <c r="F350" i="8"/>
  <c r="G350" i="8"/>
  <c r="I350" i="8"/>
  <c r="J350" i="8"/>
  <c r="L350" i="8"/>
  <c r="F351" i="8"/>
  <c r="G351" i="8"/>
  <c r="I351" i="8"/>
  <c r="J351" i="8"/>
  <c r="L351" i="8"/>
  <c r="F352" i="8"/>
  <c r="G352" i="8"/>
  <c r="I352" i="8"/>
  <c r="J352" i="8"/>
  <c r="L352" i="8"/>
  <c r="F353" i="8"/>
  <c r="G353" i="8"/>
  <c r="I353" i="8"/>
  <c r="J353" i="8"/>
  <c r="L353" i="8"/>
  <c r="F354" i="8"/>
  <c r="G354" i="8"/>
  <c r="I354" i="8"/>
  <c r="J354" i="8"/>
  <c r="L354" i="8"/>
  <c r="F355" i="8"/>
  <c r="G355" i="8"/>
  <c r="I355" i="8"/>
  <c r="J355" i="8"/>
  <c r="L355" i="8"/>
  <c r="F356" i="8"/>
  <c r="G356" i="8"/>
  <c r="I356" i="8"/>
  <c r="J356" i="8"/>
  <c r="L356" i="8"/>
  <c r="F357" i="8"/>
  <c r="G357" i="8"/>
  <c r="I357" i="8"/>
  <c r="J357" i="8"/>
  <c r="L357" i="8"/>
  <c r="F358" i="8"/>
  <c r="G358" i="8"/>
  <c r="I358" i="8"/>
  <c r="J358" i="8"/>
  <c r="L358" i="8"/>
  <c r="F359" i="8"/>
  <c r="G359" i="8"/>
  <c r="I359" i="8"/>
  <c r="J359" i="8"/>
  <c r="L359" i="8"/>
  <c r="F360" i="8"/>
  <c r="G360" i="8"/>
  <c r="I360" i="8"/>
  <c r="J360" i="8"/>
  <c r="L360" i="8"/>
  <c r="F361" i="8"/>
  <c r="G361" i="8"/>
  <c r="I361" i="8"/>
  <c r="J361" i="8"/>
  <c r="L361" i="8"/>
  <c r="F362" i="8"/>
  <c r="G362" i="8"/>
  <c r="I362" i="8"/>
  <c r="J362" i="8"/>
  <c r="L362" i="8"/>
  <c r="F363" i="8"/>
  <c r="G363" i="8"/>
  <c r="I363" i="8"/>
  <c r="J363" i="8"/>
  <c r="L363" i="8"/>
  <c r="F364" i="8"/>
  <c r="G364" i="8"/>
  <c r="I364" i="8"/>
  <c r="J364" i="8"/>
  <c r="L364" i="8"/>
  <c r="F365" i="8"/>
  <c r="G365" i="8"/>
  <c r="I365" i="8"/>
  <c r="J365" i="8"/>
  <c r="L365" i="8"/>
  <c r="F366" i="8"/>
  <c r="G366" i="8"/>
  <c r="I366" i="8"/>
  <c r="J366" i="8"/>
  <c r="L366" i="8"/>
  <c r="F367" i="8"/>
  <c r="G367" i="8"/>
  <c r="I367" i="8"/>
  <c r="J367" i="8"/>
  <c r="L367" i="8"/>
  <c r="F368" i="8"/>
  <c r="G368" i="8"/>
  <c r="I368" i="8"/>
  <c r="J368" i="8"/>
  <c r="L368" i="8"/>
  <c r="F369" i="8"/>
  <c r="G369" i="8"/>
  <c r="I369" i="8"/>
  <c r="J369" i="8"/>
  <c r="L369" i="8"/>
  <c r="F370" i="8"/>
  <c r="I370" i="8"/>
  <c r="L370" i="8"/>
  <c r="F371" i="8"/>
  <c r="G371" i="8"/>
  <c r="I371" i="8"/>
  <c r="J371" i="8"/>
  <c r="L371" i="8"/>
  <c r="F372" i="8"/>
  <c r="G372" i="8"/>
  <c r="I372" i="8"/>
  <c r="J372" i="8"/>
  <c r="L372" i="8"/>
  <c r="F373" i="8"/>
  <c r="G373" i="8"/>
  <c r="I373" i="8"/>
  <c r="J373" i="8"/>
  <c r="L373" i="8"/>
  <c r="F374" i="8"/>
  <c r="G374" i="8"/>
  <c r="I374" i="8"/>
  <c r="J374" i="8"/>
  <c r="L374" i="8"/>
  <c r="F375" i="8"/>
  <c r="G375" i="8"/>
  <c r="I375" i="8"/>
  <c r="J375" i="8"/>
  <c r="L375" i="8"/>
  <c r="F376" i="8"/>
  <c r="G376" i="8"/>
  <c r="I376" i="8"/>
  <c r="J376" i="8"/>
  <c r="L376" i="8"/>
  <c r="F377" i="8"/>
  <c r="G377" i="8"/>
  <c r="I377" i="8"/>
  <c r="J377" i="8"/>
  <c r="L377" i="8"/>
  <c r="F378" i="8"/>
  <c r="G378" i="8"/>
  <c r="I378" i="8"/>
  <c r="J378" i="8"/>
  <c r="L378" i="8"/>
  <c r="F379" i="8"/>
  <c r="G379" i="8"/>
  <c r="I379" i="8"/>
  <c r="J379" i="8"/>
  <c r="L379" i="8"/>
  <c r="F380" i="8"/>
  <c r="G380" i="8"/>
  <c r="I380" i="8"/>
  <c r="J380" i="8"/>
  <c r="L380" i="8"/>
  <c r="F381" i="8"/>
  <c r="G381" i="8"/>
  <c r="I381" i="8"/>
  <c r="J381" i="8"/>
  <c r="L381" i="8"/>
  <c r="F382" i="8"/>
  <c r="G382" i="8"/>
  <c r="I382" i="8"/>
  <c r="J382" i="8"/>
  <c r="L382" i="8"/>
  <c r="F383" i="8"/>
  <c r="G383" i="8"/>
  <c r="I383" i="8"/>
  <c r="J383" i="8"/>
  <c r="L383" i="8"/>
  <c r="F384" i="8"/>
  <c r="G384" i="8"/>
  <c r="I384" i="8"/>
  <c r="J384" i="8"/>
  <c r="L384" i="8"/>
  <c r="F385" i="8"/>
  <c r="G385" i="8"/>
  <c r="I385" i="8"/>
  <c r="J385" i="8"/>
  <c r="L385" i="8"/>
  <c r="F386" i="8"/>
  <c r="G386" i="8"/>
  <c r="I386" i="8"/>
  <c r="J386" i="8"/>
  <c r="L386" i="8"/>
  <c r="F387" i="8"/>
  <c r="G387" i="8"/>
  <c r="I387" i="8"/>
  <c r="J387" i="8"/>
  <c r="L387" i="8"/>
  <c r="F388" i="8"/>
  <c r="G388" i="8"/>
  <c r="I388" i="8"/>
  <c r="J388" i="8"/>
  <c r="L388" i="8"/>
  <c r="F389" i="8"/>
  <c r="G389" i="8"/>
  <c r="I389" i="8"/>
  <c r="J389" i="8"/>
  <c r="L389" i="8"/>
  <c r="F390" i="8"/>
  <c r="G390" i="8"/>
  <c r="I390" i="8"/>
  <c r="J390" i="8"/>
  <c r="L390" i="8"/>
  <c r="F391" i="8"/>
  <c r="G391" i="8"/>
  <c r="I391" i="8"/>
  <c r="J391" i="8"/>
  <c r="L391" i="8"/>
  <c r="F392" i="8"/>
  <c r="G392" i="8"/>
  <c r="I392" i="8"/>
  <c r="J392" i="8"/>
  <c r="L392" i="8"/>
  <c r="F393" i="8"/>
  <c r="G393" i="8"/>
  <c r="I393" i="8"/>
  <c r="J393" i="8"/>
  <c r="L393" i="8"/>
  <c r="F394" i="8"/>
  <c r="G394" i="8"/>
  <c r="I394" i="8"/>
  <c r="J394" i="8"/>
  <c r="L394" i="8"/>
  <c r="F395" i="8"/>
  <c r="G395" i="8"/>
  <c r="I395" i="8"/>
  <c r="J395" i="8"/>
  <c r="L395" i="8"/>
  <c r="F396" i="8"/>
  <c r="G396" i="8"/>
  <c r="I396" i="8"/>
  <c r="J396" i="8"/>
  <c r="L396" i="8"/>
  <c r="F397" i="8"/>
  <c r="G397" i="8"/>
  <c r="I397" i="8"/>
  <c r="J397" i="8"/>
  <c r="L397" i="8"/>
  <c r="F398" i="8"/>
  <c r="G398" i="8"/>
  <c r="I398" i="8"/>
  <c r="J398" i="8"/>
  <c r="L398" i="8"/>
  <c r="F399" i="8"/>
  <c r="I399" i="8"/>
  <c r="L399" i="8"/>
  <c r="F400" i="8"/>
  <c r="G400" i="8"/>
  <c r="I400" i="8"/>
  <c r="J400" i="8"/>
  <c r="L400" i="8"/>
  <c r="F401" i="8"/>
  <c r="G401" i="8"/>
  <c r="I401" i="8"/>
  <c r="J401" i="8"/>
  <c r="L401" i="8"/>
  <c r="F402" i="8"/>
  <c r="G402" i="8"/>
  <c r="I402" i="8"/>
  <c r="J402" i="8"/>
  <c r="L402" i="8"/>
  <c r="F403" i="8"/>
  <c r="G403" i="8"/>
  <c r="I403" i="8"/>
  <c r="J403" i="8"/>
  <c r="L403" i="8"/>
  <c r="F404" i="8"/>
  <c r="G404" i="8"/>
  <c r="I404" i="8"/>
  <c r="J404" i="8"/>
  <c r="L404" i="8"/>
  <c r="F405" i="8"/>
  <c r="G405" i="8"/>
  <c r="I405" i="8"/>
  <c r="J405" i="8"/>
  <c r="L405" i="8"/>
  <c r="F406" i="8"/>
  <c r="G406" i="8"/>
  <c r="I406" i="8"/>
  <c r="J406" i="8"/>
  <c r="L406" i="8"/>
  <c r="F407" i="8"/>
  <c r="G407" i="8"/>
  <c r="I407" i="8"/>
  <c r="J407" i="8"/>
  <c r="L407" i="8"/>
  <c r="F408" i="8"/>
  <c r="G408" i="8"/>
  <c r="I408" i="8"/>
  <c r="J408" i="8"/>
  <c r="L408" i="8"/>
  <c r="F409" i="8"/>
  <c r="G409" i="8"/>
  <c r="I409" i="8"/>
  <c r="J409" i="8"/>
  <c r="L409" i="8"/>
  <c r="F410" i="8"/>
  <c r="G410" i="8"/>
  <c r="I410" i="8"/>
  <c r="J410" i="8"/>
  <c r="L410" i="8"/>
  <c r="F411" i="8"/>
  <c r="G411" i="8"/>
  <c r="I411" i="8"/>
  <c r="J411" i="8"/>
  <c r="L411" i="8"/>
  <c r="F412" i="8"/>
  <c r="G412" i="8"/>
  <c r="I412" i="8"/>
  <c r="J412" i="8"/>
  <c r="L412" i="8"/>
  <c r="F413" i="8"/>
  <c r="G413" i="8"/>
  <c r="I413" i="8"/>
  <c r="J413" i="8"/>
  <c r="L413" i="8"/>
  <c r="F414" i="8"/>
  <c r="G414" i="8"/>
  <c r="I414" i="8"/>
  <c r="J414" i="8"/>
  <c r="L414" i="8"/>
  <c r="F415" i="8"/>
  <c r="G415" i="8"/>
  <c r="I415" i="8"/>
  <c r="J415" i="8"/>
  <c r="L415" i="8"/>
  <c r="F416" i="8"/>
  <c r="G416" i="8"/>
  <c r="I416" i="8"/>
  <c r="J416" i="8"/>
  <c r="L416" i="8"/>
  <c r="F417" i="8"/>
  <c r="G417" i="8"/>
  <c r="I417" i="8"/>
  <c r="J417" i="8"/>
  <c r="L417" i="8"/>
  <c r="F418" i="8"/>
  <c r="G418" i="8"/>
  <c r="I418" i="8"/>
  <c r="J418" i="8"/>
  <c r="L418" i="8"/>
  <c r="F419" i="8"/>
  <c r="G419" i="8"/>
  <c r="I419" i="8"/>
  <c r="J419" i="8"/>
  <c r="L419" i="8"/>
  <c r="F420" i="8"/>
  <c r="G420" i="8"/>
  <c r="I420" i="8"/>
  <c r="J420" i="8"/>
  <c r="L420" i="8"/>
  <c r="F421" i="8"/>
  <c r="G421" i="8"/>
  <c r="I421" i="8"/>
  <c r="J421" i="8"/>
  <c r="L421" i="8"/>
  <c r="F422" i="8"/>
  <c r="G422" i="8"/>
  <c r="I422" i="8"/>
  <c r="J422" i="8"/>
  <c r="L422" i="8"/>
  <c r="F423" i="8"/>
  <c r="G423" i="8"/>
  <c r="I423" i="8"/>
  <c r="J423" i="8"/>
  <c r="L423" i="8"/>
  <c r="F424" i="8"/>
  <c r="G424" i="8"/>
  <c r="I424" i="8"/>
  <c r="J424" i="8"/>
  <c r="L424" i="8"/>
  <c r="F425" i="8"/>
  <c r="G425" i="8"/>
  <c r="I425" i="8"/>
  <c r="J425" i="8"/>
  <c r="L425" i="8"/>
  <c r="F426" i="8"/>
  <c r="G426" i="8"/>
  <c r="I426" i="8"/>
  <c r="J426" i="8"/>
  <c r="L426" i="8"/>
  <c r="F427" i="8"/>
  <c r="G427" i="8"/>
  <c r="I427" i="8"/>
  <c r="J427" i="8"/>
  <c r="L427" i="8"/>
  <c r="F428" i="8"/>
  <c r="G428" i="8"/>
  <c r="I428" i="8"/>
  <c r="J428" i="8"/>
  <c r="L428" i="8"/>
  <c r="F429" i="8"/>
  <c r="G429" i="8"/>
  <c r="I429" i="8"/>
  <c r="J429" i="8"/>
  <c r="L429" i="8"/>
  <c r="F430" i="8"/>
  <c r="G430" i="8"/>
  <c r="I430" i="8"/>
  <c r="J430" i="8"/>
  <c r="L430" i="8"/>
  <c r="F431" i="8"/>
  <c r="G431" i="8"/>
  <c r="I431" i="8"/>
  <c r="J431" i="8"/>
  <c r="L431" i="8"/>
  <c r="F432" i="8"/>
  <c r="G432" i="8"/>
  <c r="I432" i="8"/>
  <c r="J432" i="8"/>
  <c r="L432" i="8"/>
  <c r="F433" i="8"/>
  <c r="G433" i="8"/>
  <c r="I433" i="8"/>
  <c r="J433" i="8"/>
  <c r="L433" i="8"/>
  <c r="F434" i="8"/>
  <c r="G434" i="8"/>
  <c r="I434" i="8"/>
  <c r="J434" i="8"/>
  <c r="L434" i="8"/>
  <c r="F435" i="8"/>
  <c r="G435" i="8"/>
  <c r="I435" i="8"/>
  <c r="J435" i="8"/>
  <c r="L435" i="8"/>
  <c r="F436" i="8"/>
  <c r="G436" i="8"/>
  <c r="I436" i="8"/>
  <c r="J436" i="8"/>
  <c r="L436" i="8"/>
  <c r="F437" i="8"/>
  <c r="G437" i="8"/>
  <c r="I437" i="8"/>
  <c r="J437" i="8"/>
  <c r="L437" i="8"/>
  <c r="F438" i="8"/>
  <c r="G438" i="8"/>
  <c r="I438" i="8"/>
  <c r="J438" i="8"/>
  <c r="L438" i="8"/>
  <c r="F439" i="8"/>
  <c r="G439" i="8"/>
  <c r="I439" i="8"/>
  <c r="J439" i="8"/>
  <c r="L439" i="8"/>
  <c r="F440" i="8"/>
  <c r="G440" i="8"/>
  <c r="I440" i="8"/>
  <c r="J440" i="8"/>
  <c r="L440" i="8"/>
  <c r="F441" i="8"/>
  <c r="G441" i="8"/>
  <c r="I441" i="8"/>
  <c r="J441" i="8"/>
  <c r="L441" i="8"/>
  <c r="F442" i="8"/>
  <c r="G442" i="8"/>
  <c r="I442" i="8"/>
  <c r="J442" i="8"/>
  <c r="L442" i="8"/>
  <c r="F443" i="8"/>
  <c r="G443" i="8"/>
  <c r="I443" i="8"/>
  <c r="J443" i="8"/>
  <c r="L443" i="8"/>
  <c r="F444" i="8"/>
  <c r="G444" i="8"/>
  <c r="I444" i="8"/>
  <c r="J444" i="8"/>
  <c r="L444" i="8"/>
  <c r="F445" i="8"/>
  <c r="G445" i="8"/>
  <c r="I445" i="8"/>
  <c r="J445" i="8"/>
  <c r="L445" i="8"/>
  <c r="F446" i="8"/>
  <c r="G446" i="8"/>
  <c r="I446" i="8"/>
  <c r="J446" i="8"/>
  <c r="L446" i="8"/>
  <c r="F447" i="8"/>
  <c r="G447" i="8"/>
  <c r="I447" i="8"/>
  <c r="J447" i="8"/>
  <c r="L447" i="8"/>
  <c r="F448" i="8"/>
  <c r="G448" i="8"/>
  <c r="I448" i="8"/>
  <c r="J448" i="8"/>
  <c r="L448" i="8"/>
  <c r="F449" i="8"/>
  <c r="G449" i="8"/>
  <c r="I449" i="8"/>
  <c r="J449" i="8"/>
  <c r="L449" i="8"/>
  <c r="F450" i="8"/>
  <c r="G450" i="8"/>
  <c r="I450" i="8"/>
  <c r="J450" i="8"/>
  <c r="L450" i="8"/>
  <c r="F451" i="8"/>
  <c r="G451" i="8"/>
  <c r="I451" i="8"/>
  <c r="J451" i="8"/>
  <c r="L451" i="8"/>
  <c r="F452" i="8"/>
  <c r="G452" i="8"/>
  <c r="I452" i="8"/>
  <c r="J452" i="8"/>
  <c r="L452" i="8"/>
  <c r="F453" i="8"/>
  <c r="G453" i="8"/>
  <c r="I453" i="8"/>
  <c r="J453" i="8"/>
  <c r="L453" i="8"/>
  <c r="F454" i="8"/>
  <c r="G454" i="8"/>
  <c r="I454" i="8"/>
  <c r="J454" i="8"/>
  <c r="L454" i="8"/>
  <c r="F455" i="8"/>
  <c r="G455" i="8"/>
  <c r="I455" i="8"/>
  <c r="J455" i="8"/>
  <c r="L455" i="8"/>
  <c r="F456" i="8"/>
  <c r="G456" i="8"/>
  <c r="I456" i="8"/>
  <c r="J456" i="8"/>
  <c r="L456" i="8"/>
  <c r="F457" i="8"/>
  <c r="G457" i="8"/>
  <c r="I457" i="8"/>
  <c r="J457" i="8"/>
  <c r="L457" i="8"/>
  <c r="F458" i="8"/>
  <c r="G458" i="8"/>
  <c r="I458" i="8"/>
  <c r="J458" i="8"/>
  <c r="L458" i="8"/>
  <c r="F459" i="8"/>
  <c r="G459" i="8"/>
  <c r="I459" i="8"/>
  <c r="J459" i="8"/>
  <c r="L459" i="8"/>
  <c r="F460" i="8"/>
  <c r="G460" i="8"/>
  <c r="I460" i="8"/>
  <c r="J460" i="8"/>
  <c r="L460" i="8"/>
  <c r="F461" i="8"/>
  <c r="G461" i="8"/>
  <c r="I461" i="8"/>
  <c r="J461" i="8"/>
  <c r="L461" i="8"/>
  <c r="F462" i="8"/>
  <c r="G462" i="8"/>
  <c r="I462" i="8"/>
  <c r="J462" i="8"/>
  <c r="L462" i="8"/>
  <c r="F463" i="8"/>
  <c r="G463" i="8"/>
  <c r="I463" i="8"/>
  <c r="J463" i="8"/>
  <c r="L463" i="8"/>
  <c r="F464" i="8"/>
  <c r="G464" i="8"/>
  <c r="I464" i="8"/>
  <c r="J464" i="8"/>
  <c r="L464" i="8"/>
  <c r="F465" i="8"/>
  <c r="G465" i="8"/>
  <c r="I465" i="8"/>
  <c r="J465" i="8"/>
  <c r="L465" i="8"/>
  <c r="F466" i="8"/>
  <c r="G466" i="8"/>
  <c r="I466" i="8"/>
  <c r="J466" i="8"/>
  <c r="L466" i="8"/>
  <c r="F467" i="8"/>
  <c r="G467" i="8"/>
  <c r="I467" i="8"/>
  <c r="J467" i="8"/>
  <c r="L467" i="8"/>
  <c r="F468" i="8"/>
  <c r="G468" i="8"/>
  <c r="I468" i="8"/>
  <c r="J468" i="8"/>
  <c r="L468" i="8"/>
  <c r="F469" i="8"/>
  <c r="G469" i="8"/>
  <c r="I469" i="8"/>
  <c r="J469" i="8"/>
  <c r="L469" i="8"/>
  <c r="F470" i="8"/>
  <c r="G470" i="8"/>
  <c r="I470" i="8"/>
  <c r="J470" i="8"/>
  <c r="L470" i="8"/>
  <c r="F471" i="8"/>
  <c r="G471" i="8"/>
  <c r="I471" i="8"/>
  <c r="J471" i="8"/>
  <c r="L471" i="8"/>
  <c r="F472" i="8"/>
  <c r="G472" i="8"/>
  <c r="I472" i="8"/>
  <c r="J472" i="8"/>
  <c r="L472" i="8"/>
  <c r="F473" i="8"/>
  <c r="G473" i="8"/>
  <c r="I473" i="8"/>
  <c r="J473" i="8"/>
  <c r="L473" i="8"/>
  <c r="F474" i="8"/>
  <c r="G474" i="8"/>
  <c r="I474" i="8"/>
  <c r="J474" i="8"/>
  <c r="L474" i="8"/>
  <c r="F475" i="8"/>
  <c r="G475" i="8"/>
  <c r="I475" i="8"/>
  <c r="J475" i="8"/>
  <c r="L475" i="8"/>
  <c r="F476" i="8"/>
  <c r="G476" i="8"/>
  <c r="I476" i="8"/>
  <c r="J476" i="8"/>
  <c r="L476" i="8"/>
  <c r="F477" i="8"/>
  <c r="G477" i="8"/>
  <c r="I477" i="8"/>
  <c r="J477" i="8"/>
  <c r="L477" i="8"/>
  <c r="F478" i="8"/>
  <c r="G478" i="8"/>
  <c r="I478" i="8"/>
  <c r="J478" i="8"/>
  <c r="L478" i="8"/>
  <c r="F479" i="8"/>
  <c r="G479" i="8"/>
  <c r="I479" i="8"/>
  <c r="J479" i="8"/>
  <c r="L479" i="8"/>
  <c r="F480" i="8"/>
  <c r="G480" i="8"/>
  <c r="I480" i="8"/>
  <c r="J480" i="8"/>
  <c r="L480" i="8"/>
  <c r="F481" i="8"/>
  <c r="G481" i="8"/>
  <c r="I481" i="8"/>
  <c r="J481" i="8"/>
  <c r="L481" i="8"/>
  <c r="F482" i="8"/>
  <c r="G482" i="8"/>
  <c r="I482" i="8"/>
  <c r="J482" i="8"/>
  <c r="L482" i="8"/>
  <c r="F483" i="8"/>
  <c r="G483" i="8"/>
  <c r="I483" i="8"/>
  <c r="J483" i="8"/>
  <c r="L483" i="8"/>
  <c r="F484" i="8"/>
  <c r="G484" i="8"/>
  <c r="I484" i="8"/>
  <c r="J484" i="8"/>
  <c r="L484" i="8"/>
  <c r="F485" i="8"/>
  <c r="G485" i="8"/>
  <c r="I485" i="8"/>
  <c r="J485" i="8"/>
  <c r="L485" i="8"/>
  <c r="F486" i="8"/>
  <c r="G486" i="8"/>
  <c r="I486" i="8"/>
  <c r="J486" i="8"/>
  <c r="L486" i="8"/>
  <c r="F487" i="8"/>
  <c r="G487" i="8"/>
  <c r="I487" i="8"/>
  <c r="J487" i="8"/>
  <c r="L487" i="8"/>
  <c r="F488" i="8"/>
  <c r="G488" i="8"/>
  <c r="I488" i="8"/>
  <c r="J488" i="8"/>
  <c r="L488" i="8"/>
  <c r="F489" i="8"/>
  <c r="G489" i="8"/>
  <c r="I489" i="8"/>
  <c r="J489" i="8"/>
  <c r="L489" i="8"/>
  <c r="F490" i="8"/>
  <c r="G490" i="8"/>
  <c r="I490" i="8"/>
  <c r="J490" i="8"/>
  <c r="L490" i="8"/>
  <c r="F491" i="8"/>
  <c r="G491" i="8"/>
  <c r="I491" i="8"/>
  <c r="J491" i="8"/>
  <c r="L491" i="8"/>
  <c r="F492" i="8"/>
  <c r="G492" i="8"/>
  <c r="I492" i="8"/>
  <c r="J492" i="8"/>
  <c r="L492" i="8"/>
  <c r="F493" i="8"/>
  <c r="G493" i="8"/>
  <c r="I493" i="8"/>
  <c r="J493" i="8"/>
  <c r="L493" i="8"/>
  <c r="F494" i="8"/>
  <c r="G494" i="8"/>
  <c r="I494" i="8"/>
  <c r="J494" i="8"/>
  <c r="L494" i="8"/>
  <c r="F495" i="8"/>
  <c r="G495" i="8"/>
  <c r="I495" i="8"/>
  <c r="J495" i="8"/>
  <c r="L495" i="8"/>
  <c r="F496" i="8"/>
  <c r="G496" i="8"/>
  <c r="I496" i="8"/>
  <c r="J496" i="8"/>
  <c r="L496" i="8"/>
  <c r="F497" i="8"/>
  <c r="G497" i="8"/>
  <c r="I497" i="8"/>
  <c r="J497" i="8"/>
  <c r="L497" i="8"/>
  <c r="F498" i="8"/>
  <c r="G498" i="8"/>
  <c r="I498" i="8"/>
  <c r="J498" i="8"/>
  <c r="L498" i="8"/>
  <c r="F499" i="8"/>
  <c r="G499" i="8"/>
  <c r="I499" i="8"/>
  <c r="J499" i="8"/>
  <c r="L499" i="8"/>
  <c r="F500" i="8"/>
  <c r="G500" i="8"/>
  <c r="I500" i="8"/>
  <c r="J500" i="8"/>
  <c r="L500" i="8"/>
  <c r="F501" i="8"/>
  <c r="G501" i="8"/>
  <c r="I501" i="8"/>
  <c r="J501" i="8"/>
  <c r="L501" i="8"/>
  <c r="F502" i="8"/>
  <c r="G502" i="8"/>
  <c r="I502" i="8"/>
  <c r="J502" i="8"/>
  <c r="L502" i="8"/>
  <c r="F503" i="8"/>
  <c r="G503" i="8"/>
  <c r="I503" i="8"/>
  <c r="J503" i="8"/>
  <c r="L503" i="8"/>
  <c r="F504" i="8"/>
  <c r="G504" i="8"/>
  <c r="I504" i="8"/>
  <c r="J504" i="8"/>
  <c r="L504" i="8"/>
  <c r="F505" i="8"/>
  <c r="G505" i="8"/>
  <c r="I505" i="8"/>
  <c r="J505" i="8"/>
  <c r="L505" i="8"/>
  <c r="F506" i="8"/>
  <c r="G506" i="8"/>
  <c r="I506" i="8"/>
  <c r="J506" i="8"/>
  <c r="L506" i="8"/>
  <c r="F507" i="8"/>
  <c r="G507" i="8"/>
  <c r="I507" i="8"/>
  <c r="J507" i="8"/>
  <c r="L507" i="8"/>
  <c r="F508" i="8"/>
  <c r="G508" i="8"/>
  <c r="I508" i="8"/>
  <c r="J508" i="8"/>
  <c r="L508" i="8"/>
  <c r="F509" i="8"/>
  <c r="G509" i="8"/>
  <c r="I509" i="8"/>
  <c r="J509" i="8"/>
  <c r="L509" i="8"/>
  <c r="F510" i="8"/>
  <c r="G510" i="8"/>
  <c r="I510" i="8"/>
  <c r="J510" i="8"/>
  <c r="L510" i="8"/>
  <c r="F511" i="8"/>
  <c r="G511" i="8"/>
  <c r="I511" i="8"/>
  <c r="J511" i="8"/>
  <c r="L511" i="8"/>
  <c r="F512" i="8"/>
  <c r="G512" i="8"/>
  <c r="I512" i="8"/>
  <c r="J512" i="8"/>
  <c r="L512" i="8"/>
  <c r="F513" i="8"/>
  <c r="G513" i="8"/>
  <c r="I513" i="8"/>
  <c r="J513" i="8"/>
  <c r="L513" i="8"/>
  <c r="F514" i="8"/>
  <c r="G514" i="8"/>
  <c r="I514" i="8"/>
  <c r="J514" i="8"/>
  <c r="L514" i="8"/>
  <c r="F515" i="8"/>
  <c r="G515" i="8"/>
  <c r="I515" i="8"/>
  <c r="J515" i="8"/>
  <c r="L515" i="8"/>
  <c r="F516" i="8"/>
  <c r="G516" i="8"/>
  <c r="I516" i="8"/>
  <c r="J516" i="8"/>
  <c r="L516" i="8"/>
  <c r="F517" i="8"/>
  <c r="G517" i="8"/>
  <c r="I517" i="8"/>
  <c r="J517" i="8"/>
  <c r="L517" i="8"/>
  <c r="F518" i="8"/>
  <c r="G518" i="8"/>
  <c r="I518" i="8"/>
  <c r="J518" i="8"/>
  <c r="L518" i="8"/>
  <c r="F519" i="8"/>
  <c r="G519" i="8"/>
  <c r="I519" i="8"/>
  <c r="J519" i="8"/>
  <c r="L519" i="8"/>
  <c r="F520" i="8"/>
  <c r="G520" i="8"/>
  <c r="I520" i="8"/>
  <c r="J520" i="8"/>
  <c r="L520" i="8"/>
  <c r="F521" i="8"/>
  <c r="G521" i="8"/>
  <c r="I521" i="8"/>
  <c r="J521" i="8"/>
  <c r="L521" i="8"/>
  <c r="F522" i="8"/>
  <c r="G522" i="8"/>
  <c r="I522" i="8"/>
  <c r="J522" i="8"/>
  <c r="L522" i="8"/>
  <c r="F523" i="8"/>
  <c r="G523" i="8"/>
  <c r="I523" i="8"/>
  <c r="J523" i="8"/>
  <c r="L523" i="8"/>
  <c r="F524" i="8"/>
  <c r="G524" i="8"/>
  <c r="I524" i="8"/>
  <c r="J524" i="8"/>
  <c r="L524" i="8"/>
  <c r="F525" i="8"/>
  <c r="G525" i="8"/>
  <c r="I525" i="8"/>
  <c r="J525" i="8"/>
  <c r="L525" i="8"/>
  <c r="F526" i="8"/>
  <c r="G526" i="8"/>
  <c r="I526" i="8"/>
  <c r="J526" i="8"/>
  <c r="L526" i="8"/>
  <c r="F527" i="8"/>
  <c r="G527" i="8"/>
  <c r="I527" i="8"/>
  <c r="J527" i="8"/>
  <c r="L527" i="8"/>
  <c r="F528" i="8"/>
  <c r="G528" i="8"/>
  <c r="I528" i="8"/>
  <c r="J528" i="8"/>
  <c r="L528" i="8"/>
  <c r="F529" i="8"/>
  <c r="G529" i="8"/>
  <c r="I529" i="8"/>
  <c r="J529" i="8"/>
  <c r="L529" i="8"/>
  <c r="F530" i="8"/>
  <c r="G530" i="8"/>
  <c r="I530" i="8"/>
  <c r="J530" i="8"/>
  <c r="L530" i="8"/>
  <c r="F531" i="8"/>
  <c r="G531" i="8"/>
  <c r="I531" i="8"/>
  <c r="J531" i="8"/>
  <c r="L531" i="8"/>
  <c r="F532" i="8"/>
  <c r="I532" i="8"/>
  <c r="J532" i="8"/>
  <c r="L532" i="8"/>
  <c r="F533" i="8"/>
  <c r="I533" i="8"/>
  <c r="J533" i="8"/>
  <c r="L533" i="8"/>
  <c r="F534" i="8"/>
  <c r="G534" i="8"/>
  <c r="I534" i="8"/>
  <c r="J534" i="8"/>
  <c r="L534" i="8"/>
  <c r="F535" i="8"/>
  <c r="G535" i="8"/>
  <c r="I535" i="8"/>
  <c r="J535" i="8"/>
  <c r="L535" i="8"/>
  <c r="F536" i="8"/>
  <c r="G536" i="8"/>
  <c r="I536" i="8"/>
  <c r="J536" i="8"/>
  <c r="L536" i="8"/>
  <c r="F537" i="8"/>
  <c r="G537" i="8"/>
  <c r="I537" i="8"/>
  <c r="J537" i="8"/>
  <c r="L537" i="8"/>
  <c r="F538" i="8"/>
  <c r="G538" i="8"/>
  <c r="I538" i="8"/>
  <c r="J538" i="8"/>
  <c r="L538" i="8"/>
  <c r="F539" i="8"/>
  <c r="G539" i="8"/>
  <c r="I539" i="8"/>
  <c r="J539" i="8"/>
  <c r="L539" i="8"/>
  <c r="F540" i="8"/>
  <c r="G540" i="8"/>
  <c r="I540" i="8"/>
  <c r="J540" i="8"/>
  <c r="L540" i="8"/>
  <c r="F541" i="8"/>
  <c r="G541" i="8"/>
  <c r="I541" i="8"/>
  <c r="J541" i="8"/>
  <c r="L541" i="8"/>
  <c r="F542" i="8"/>
  <c r="G542" i="8"/>
  <c r="I542" i="8"/>
  <c r="J542" i="8"/>
  <c r="L542" i="8"/>
  <c r="F543" i="8"/>
  <c r="G543" i="8"/>
  <c r="I543" i="8"/>
  <c r="J543" i="8"/>
  <c r="L543" i="8"/>
  <c r="F544" i="8"/>
  <c r="G544" i="8"/>
  <c r="I544" i="8"/>
  <c r="J544" i="8"/>
  <c r="L544" i="8"/>
  <c r="F545" i="8"/>
  <c r="G545" i="8"/>
  <c r="I545" i="8"/>
  <c r="J545" i="8"/>
  <c r="L545" i="8"/>
  <c r="F546" i="8"/>
  <c r="G546" i="8"/>
  <c r="I546" i="8"/>
  <c r="J546" i="8"/>
  <c r="L546" i="8"/>
  <c r="F547" i="8"/>
  <c r="G547" i="8"/>
  <c r="I547" i="8"/>
  <c r="J547" i="8"/>
  <c r="L547" i="8"/>
  <c r="F548" i="8"/>
  <c r="G548" i="8"/>
  <c r="I548" i="8"/>
  <c r="J548" i="8"/>
  <c r="L548" i="8"/>
  <c r="F549" i="8"/>
  <c r="G549" i="8"/>
  <c r="I549" i="8"/>
  <c r="J549" i="8"/>
  <c r="L549" i="8"/>
  <c r="F550" i="8"/>
  <c r="G550" i="8"/>
  <c r="I550" i="8"/>
  <c r="J550" i="8"/>
  <c r="L550" i="8"/>
  <c r="F551" i="8"/>
  <c r="G551" i="8"/>
  <c r="I551" i="8"/>
  <c r="J551" i="8"/>
  <c r="L551" i="8"/>
  <c r="F552" i="8"/>
  <c r="G552" i="8"/>
  <c r="I552" i="8"/>
  <c r="J552" i="8"/>
  <c r="L552" i="8"/>
  <c r="F553" i="8"/>
  <c r="G553" i="8"/>
  <c r="I553" i="8"/>
  <c r="J553" i="8"/>
  <c r="L553" i="8"/>
  <c r="F554" i="8"/>
  <c r="G554" i="8"/>
  <c r="I554" i="8"/>
  <c r="J554" i="8"/>
  <c r="L554" i="8"/>
  <c r="F555" i="8"/>
  <c r="G555" i="8"/>
  <c r="I555" i="8"/>
  <c r="J555" i="8"/>
  <c r="L555" i="8"/>
  <c r="F556" i="8"/>
  <c r="G556" i="8"/>
  <c r="I556" i="8"/>
  <c r="J556" i="8"/>
  <c r="L556" i="8"/>
  <c r="F557" i="8"/>
  <c r="G557" i="8"/>
  <c r="I557" i="8"/>
  <c r="J557" i="8"/>
  <c r="L557" i="8"/>
  <c r="F558" i="8"/>
  <c r="G558" i="8"/>
  <c r="I558" i="8"/>
  <c r="J558" i="8"/>
  <c r="L558" i="8"/>
  <c r="F559" i="8"/>
  <c r="G559" i="8"/>
  <c r="I559" i="8"/>
  <c r="J559" i="8"/>
  <c r="L559" i="8"/>
  <c r="F560" i="8"/>
  <c r="G560" i="8"/>
  <c r="I560" i="8"/>
  <c r="J560" i="8"/>
  <c r="L560" i="8"/>
  <c r="F561" i="8"/>
  <c r="G561" i="8"/>
  <c r="I561" i="8"/>
  <c r="J561" i="8"/>
  <c r="L561" i="8"/>
  <c r="F562" i="8"/>
  <c r="G562" i="8"/>
  <c r="I562" i="8"/>
  <c r="J562" i="8"/>
  <c r="L562" i="8"/>
  <c r="F563" i="8"/>
  <c r="G563" i="8"/>
  <c r="I563" i="8"/>
  <c r="J563" i="8"/>
  <c r="L563" i="8"/>
  <c r="F564" i="8"/>
  <c r="G564" i="8"/>
  <c r="I564" i="8"/>
  <c r="J564" i="8"/>
  <c r="L564" i="8"/>
  <c r="F565" i="8"/>
  <c r="G565" i="8"/>
  <c r="I565" i="8"/>
  <c r="J565" i="8"/>
  <c r="L565" i="8"/>
  <c r="F566" i="8"/>
  <c r="G566" i="8"/>
  <c r="I566" i="8"/>
  <c r="J566" i="8"/>
  <c r="L566" i="8"/>
  <c r="F567" i="8"/>
  <c r="G567" i="8"/>
  <c r="I567" i="8"/>
  <c r="J567" i="8"/>
  <c r="L567" i="8"/>
  <c r="F568" i="8"/>
  <c r="G568" i="8"/>
  <c r="I568" i="8"/>
  <c r="J568" i="8"/>
  <c r="L568" i="8"/>
  <c r="F569" i="8"/>
  <c r="G569" i="8"/>
  <c r="I569" i="8"/>
  <c r="J569" i="8"/>
  <c r="L569" i="8"/>
  <c r="F570" i="8"/>
  <c r="G570" i="8"/>
  <c r="I570" i="8"/>
  <c r="J570" i="8"/>
  <c r="L570" i="8"/>
  <c r="F571" i="8"/>
  <c r="G571" i="8"/>
  <c r="I571" i="8"/>
  <c r="J571" i="8"/>
  <c r="L571" i="8"/>
  <c r="F572" i="8"/>
  <c r="G572" i="8"/>
  <c r="I572" i="8"/>
  <c r="J572" i="8"/>
  <c r="L572" i="8"/>
  <c r="F573" i="8"/>
  <c r="G573" i="8"/>
  <c r="I573" i="8"/>
  <c r="J573" i="8"/>
  <c r="L573" i="8"/>
  <c r="F574" i="8"/>
  <c r="G574" i="8"/>
  <c r="I574" i="8"/>
  <c r="J574" i="8"/>
  <c r="L574" i="8"/>
  <c r="F575" i="8"/>
  <c r="G575" i="8"/>
  <c r="I575" i="8"/>
  <c r="J575" i="8"/>
  <c r="L575" i="8"/>
  <c r="F576" i="8"/>
  <c r="G576" i="8"/>
  <c r="I576" i="8"/>
  <c r="J576" i="8"/>
  <c r="L576" i="8"/>
  <c r="F577" i="8"/>
  <c r="G577" i="8"/>
  <c r="I577" i="8"/>
  <c r="J577" i="8"/>
  <c r="L577" i="8"/>
  <c r="F578" i="8"/>
  <c r="G578" i="8"/>
  <c r="I578" i="8"/>
  <c r="J578" i="8"/>
  <c r="L578" i="8"/>
  <c r="F579" i="8"/>
  <c r="G579" i="8"/>
  <c r="I579" i="8"/>
  <c r="J579" i="8"/>
  <c r="L579" i="8"/>
  <c r="F580" i="8"/>
  <c r="G580" i="8"/>
  <c r="I580" i="8"/>
  <c r="J580" i="8"/>
  <c r="L580" i="8"/>
  <c r="F581" i="8"/>
  <c r="G581" i="8"/>
  <c r="I581" i="8"/>
  <c r="J581" i="8"/>
  <c r="L581" i="8"/>
  <c r="F582" i="8"/>
  <c r="G582" i="8"/>
  <c r="I582" i="8"/>
  <c r="J582" i="8"/>
  <c r="L582" i="8"/>
  <c r="F583" i="8"/>
  <c r="G583" i="8"/>
  <c r="I583" i="8"/>
  <c r="J583" i="8"/>
  <c r="L583" i="8"/>
  <c r="F584" i="8"/>
  <c r="G584" i="8"/>
  <c r="I584" i="8"/>
  <c r="J584" i="8"/>
  <c r="L584" i="8"/>
  <c r="F585" i="8"/>
  <c r="G585" i="8"/>
  <c r="I585" i="8"/>
  <c r="J585" i="8"/>
  <c r="L585" i="8"/>
  <c r="F586" i="8"/>
  <c r="G586" i="8"/>
  <c r="I586" i="8"/>
  <c r="J586" i="8"/>
  <c r="L586" i="8"/>
  <c r="F587" i="8"/>
  <c r="G587" i="8"/>
  <c r="I587" i="8"/>
  <c r="J587" i="8"/>
  <c r="L587" i="8"/>
  <c r="F588" i="8"/>
  <c r="G588" i="8"/>
  <c r="I588" i="8"/>
  <c r="J588" i="8"/>
  <c r="L588" i="8"/>
  <c r="F589" i="8"/>
  <c r="G589" i="8"/>
  <c r="I589" i="8"/>
  <c r="J589" i="8"/>
  <c r="L589" i="8"/>
  <c r="F590" i="8"/>
  <c r="G590" i="8"/>
  <c r="I590" i="8"/>
  <c r="J590" i="8"/>
  <c r="L590" i="8"/>
  <c r="F591" i="8"/>
  <c r="G591" i="8"/>
  <c r="I591" i="8"/>
  <c r="J591" i="8"/>
  <c r="L591" i="8"/>
  <c r="F592" i="8"/>
  <c r="G592" i="8"/>
  <c r="I592" i="8"/>
  <c r="J592" i="8"/>
  <c r="L592" i="8"/>
  <c r="F593" i="8"/>
  <c r="G593" i="8"/>
  <c r="I593" i="8"/>
  <c r="J593" i="8"/>
  <c r="L593" i="8"/>
  <c r="F594" i="8"/>
  <c r="G594" i="8"/>
  <c r="I594" i="8"/>
  <c r="J594" i="8"/>
  <c r="L594" i="8"/>
  <c r="F595" i="8"/>
  <c r="G595" i="8"/>
  <c r="I595" i="8"/>
  <c r="J595" i="8"/>
  <c r="L595" i="8"/>
  <c r="F596" i="8"/>
  <c r="G596" i="8"/>
  <c r="I596" i="8"/>
  <c r="J596" i="8"/>
  <c r="L596" i="8"/>
  <c r="F597" i="8"/>
  <c r="G597" i="8"/>
  <c r="I597" i="8"/>
  <c r="J597" i="8"/>
  <c r="L597" i="8"/>
  <c r="F598" i="8"/>
  <c r="G598" i="8"/>
  <c r="I598" i="8"/>
  <c r="J598" i="8"/>
  <c r="L598" i="8"/>
  <c r="F599" i="8"/>
  <c r="G599" i="8"/>
  <c r="I599" i="8"/>
  <c r="J599" i="8"/>
  <c r="L599" i="8"/>
  <c r="F600" i="8"/>
  <c r="G600" i="8"/>
  <c r="I600" i="8"/>
  <c r="J600" i="8"/>
  <c r="L600" i="8"/>
  <c r="F601" i="8"/>
  <c r="G601" i="8"/>
  <c r="I601" i="8"/>
  <c r="J601" i="8"/>
  <c r="L601" i="8"/>
  <c r="F602" i="8"/>
  <c r="G602" i="8"/>
  <c r="I602" i="8"/>
  <c r="J602" i="8"/>
  <c r="L602" i="8"/>
  <c r="F603" i="8"/>
  <c r="G603" i="8"/>
  <c r="I603" i="8"/>
  <c r="J603" i="8"/>
  <c r="L603" i="8"/>
  <c r="F604" i="8"/>
  <c r="G604" i="8"/>
  <c r="I604" i="8"/>
  <c r="J604" i="8"/>
  <c r="L604" i="8"/>
  <c r="F605" i="8"/>
  <c r="G605" i="8"/>
  <c r="I605" i="8"/>
  <c r="J605" i="8"/>
  <c r="L605" i="8"/>
  <c r="F606" i="8"/>
  <c r="G606" i="8"/>
  <c r="I606" i="8"/>
  <c r="J606" i="8"/>
  <c r="L606" i="8"/>
  <c r="F607" i="8"/>
  <c r="G607" i="8"/>
  <c r="I607" i="8"/>
  <c r="J607" i="8"/>
  <c r="L607" i="8"/>
  <c r="F608" i="8"/>
  <c r="G608" i="8"/>
  <c r="I608" i="8"/>
  <c r="J608" i="8"/>
  <c r="L608" i="8"/>
  <c r="F609" i="8"/>
  <c r="G609" i="8"/>
  <c r="I609" i="8"/>
  <c r="J609" i="8"/>
  <c r="L609" i="8"/>
  <c r="F610" i="8"/>
  <c r="G610" i="8"/>
  <c r="I610" i="8"/>
  <c r="J610" i="8"/>
  <c r="L610" i="8"/>
  <c r="F611" i="8"/>
  <c r="G611" i="8"/>
  <c r="I611" i="8"/>
  <c r="J611" i="8"/>
  <c r="L611" i="8"/>
  <c r="F612" i="8"/>
  <c r="G612" i="8"/>
  <c r="I612" i="8"/>
  <c r="J612" i="8"/>
  <c r="L612" i="8"/>
  <c r="F613" i="8"/>
  <c r="G613" i="8"/>
  <c r="I613" i="8"/>
  <c r="J613" i="8"/>
  <c r="L613" i="8"/>
  <c r="F614" i="8"/>
  <c r="G614" i="8"/>
  <c r="I614" i="8"/>
  <c r="J614" i="8"/>
  <c r="L614" i="8"/>
  <c r="F615" i="8"/>
  <c r="G615" i="8"/>
  <c r="I615" i="8"/>
  <c r="J615" i="8"/>
  <c r="L615" i="8"/>
  <c r="F616" i="8"/>
  <c r="G616" i="8"/>
  <c r="I616" i="8"/>
  <c r="J616" i="8"/>
  <c r="L616" i="8"/>
  <c r="F617" i="8"/>
  <c r="G617" i="8"/>
  <c r="I617" i="8"/>
  <c r="J617" i="8"/>
  <c r="L617" i="8"/>
  <c r="F618" i="8"/>
  <c r="G618" i="8"/>
  <c r="I618" i="8"/>
  <c r="J618" i="8"/>
  <c r="L618" i="8"/>
  <c r="F619" i="8"/>
  <c r="G619" i="8"/>
  <c r="I619" i="8"/>
  <c r="J619" i="8"/>
  <c r="L619" i="8"/>
  <c r="F620" i="8"/>
  <c r="G620" i="8"/>
  <c r="I620" i="8"/>
  <c r="J620" i="8"/>
  <c r="L620" i="8"/>
  <c r="F621" i="8"/>
  <c r="G621" i="8"/>
  <c r="I621" i="8"/>
  <c r="J621" i="8"/>
  <c r="L621" i="8"/>
  <c r="F622" i="8"/>
  <c r="G622" i="8"/>
  <c r="I622" i="8"/>
  <c r="J622" i="8"/>
  <c r="L622" i="8"/>
  <c r="F623" i="8"/>
  <c r="G623" i="8"/>
  <c r="I623" i="8"/>
  <c r="J623" i="8"/>
  <c r="L623" i="8"/>
  <c r="F624" i="8"/>
  <c r="G624" i="8"/>
  <c r="I624" i="8"/>
  <c r="J624" i="8"/>
  <c r="L624" i="8"/>
  <c r="F625" i="8"/>
  <c r="G625" i="8"/>
  <c r="I625" i="8"/>
  <c r="J625" i="8"/>
  <c r="L625" i="8"/>
  <c r="F626" i="8"/>
  <c r="G626" i="8"/>
  <c r="I626" i="8"/>
  <c r="J626" i="8"/>
  <c r="L626" i="8"/>
  <c r="F627" i="8"/>
  <c r="G627" i="8"/>
  <c r="I627" i="8"/>
  <c r="J627" i="8"/>
  <c r="L627" i="8"/>
  <c r="F628" i="8"/>
  <c r="G628" i="8"/>
  <c r="I628" i="8"/>
  <c r="J628" i="8"/>
  <c r="L628" i="8"/>
  <c r="F629" i="8"/>
  <c r="I629" i="8"/>
  <c r="J629" i="8"/>
  <c r="L629" i="8"/>
  <c r="F630" i="8"/>
  <c r="G630" i="8"/>
  <c r="I630" i="8"/>
  <c r="J630" i="8"/>
  <c r="L630" i="8"/>
  <c r="F631" i="8"/>
  <c r="G631" i="8"/>
  <c r="I631" i="8"/>
  <c r="J631" i="8"/>
  <c r="L631" i="8"/>
  <c r="F632" i="8"/>
  <c r="G632" i="8"/>
  <c r="I632" i="8"/>
  <c r="J632" i="8"/>
  <c r="L632" i="8"/>
  <c r="F633" i="8"/>
  <c r="G633" i="8"/>
  <c r="I633" i="8"/>
  <c r="J633" i="8"/>
  <c r="L633" i="8"/>
  <c r="F634" i="8"/>
  <c r="G634" i="8"/>
  <c r="I634" i="8"/>
  <c r="J634" i="8"/>
  <c r="L634" i="8"/>
  <c r="F635" i="8"/>
  <c r="G635" i="8"/>
  <c r="I635" i="8"/>
  <c r="J635" i="8"/>
  <c r="L635" i="8"/>
  <c r="F636" i="8"/>
  <c r="G636" i="8"/>
  <c r="I636" i="8"/>
  <c r="J636" i="8"/>
  <c r="L636" i="8"/>
  <c r="F637" i="8"/>
  <c r="G637" i="8"/>
  <c r="I637" i="8"/>
  <c r="J637" i="8"/>
  <c r="L637" i="8"/>
  <c r="F638" i="8"/>
  <c r="G638" i="8"/>
  <c r="I638" i="8"/>
  <c r="J638" i="8"/>
  <c r="L638" i="8"/>
  <c r="F639" i="8"/>
  <c r="G639" i="8"/>
  <c r="I639" i="8"/>
  <c r="J639" i="8"/>
  <c r="L639" i="8"/>
  <c r="F640" i="8"/>
  <c r="G640" i="8"/>
  <c r="I640" i="8"/>
  <c r="J640" i="8"/>
  <c r="L640" i="8"/>
  <c r="F641" i="8"/>
  <c r="G641" i="8"/>
  <c r="I641" i="8"/>
  <c r="J641" i="8"/>
  <c r="L641" i="8"/>
  <c r="F642" i="8"/>
  <c r="G642" i="8"/>
  <c r="I642" i="8"/>
  <c r="J642" i="8"/>
  <c r="L642" i="8"/>
  <c r="F643" i="8"/>
  <c r="G643" i="8"/>
  <c r="I643" i="8"/>
  <c r="J643" i="8"/>
  <c r="L643" i="8"/>
  <c r="F644" i="8"/>
  <c r="G644" i="8"/>
  <c r="I644" i="8"/>
  <c r="J644" i="8"/>
  <c r="L644" i="8"/>
  <c r="F645" i="8"/>
  <c r="G645" i="8"/>
  <c r="I645" i="8"/>
  <c r="J645" i="8"/>
  <c r="L645" i="8"/>
  <c r="F646" i="8"/>
  <c r="G646" i="8"/>
  <c r="I646" i="8"/>
  <c r="J646" i="8"/>
  <c r="L646" i="8"/>
  <c r="F647" i="8"/>
  <c r="G647" i="8"/>
  <c r="I647" i="8"/>
  <c r="J647" i="8"/>
  <c r="L647" i="8"/>
  <c r="F648" i="8"/>
  <c r="G648" i="8"/>
  <c r="I648" i="8"/>
  <c r="J648" i="8"/>
  <c r="L648" i="8"/>
  <c r="F649" i="8"/>
  <c r="G649" i="8"/>
  <c r="I649" i="8"/>
  <c r="J649" i="8"/>
  <c r="L649" i="8"/>
  <c r="F650" i="8"/>
  <c r="G650" i="8"/>
  <c r="I650" i="8"/>
  <c r="J650" i="8"/>
  <c r="L650" i="8"/>
  <c r="F651" i="8"/>
  <c r="G651" i="8"/>
  <c r="I651" i="8"/>
  <c r="J651" i="8"/>
  <c r="L651" i="8"/>
  <c r="F652" i="8"/>
  <c r="G652" i="8"/>
  <c r="I652" i="8"/>
  <c r="J652" i="8"/>
  <c r="L652" i="8"/>
  <c r="F653" i="8"/>
  <c r="G653" i="8"/>
  <c r="I653" i="8"/>
  <c r="J653" i="8"/>
  <c r="L653" i="8"/>
  <c r="F654" i="8"/>
  <c r="G654" i="8"/>
  <c r="I654" i="8"/>
  <c r="J654" i="8"/>
  <c r="L654" i="8"/>
  <c r="F655" i="8"/>
  <c r="G655" i="8"/>
  <c r="I655" i="8"/>
  <c r="J655" i="8"/>
  <c r="L655" i="8"/>
  <c r="F656" i="8"/>
  <c r="G656" i="8"/>
  <c r="I656" i="8"/>
  <c r="J656" i="8"/>
  <c r="L656" i="8"/>
  <c r="F657" i="8"/>
  <c r="G657" i="8"/>
  <c r="I657" i="8"/>
  <c r="J657" i="8"/>
  <c r="L657" i="8"/>
  <c r="F658" i="8"/>
  <c r="G658" i="8"/>
  <c r="I658" i="8"/>
  <c r="J658" i="8"/>
  <c r="L658" i="8"/>
  <c r="F659" i="8"/>
  <c r="G659" i="8"/>
  <c r="I659" i="8"/>
  <c r="J659" i="8"/>
  <c r="L659" i="8"/>
  <c r="F660" i="8"/>
  <c r="G660" i="8"/>
  <c r="I660" i="8"/>
  <c r="J660" i="8"/>
  <c r="L660" i="8"/>
  <c r="F661" i="8"/>
  <c r="G661" i="8"/>
  <c r="I661" i="8"/>
  <c r="J661" i="8"/>
  <c r="L661" i="8"/>
  <c r="F662" i="8"/>
  <c r="G662" i="8"/>
  <c r="I662" i="8"/>
  <c r="J662" i="8"/>
  <c r="L662" i="8"/>
  <c r="F663" i="8"/>
  <c r="G663" i="8"/>
  <c r="I663" i="8"/>
  <c r="J663" i="8"/>
  <c r="L663" i="8"/>
  <c r="F664" i="8"/>
  <c r="G664" i="8"/>
  <c r="I664" i="8"/>
  <c r="J664" i="8"/>
  <c r="L664" i="8"/>
  <c r="F665" i="8"/>
  <c r="G665" i="8"/>
  <c r="I665" i="8"/>
  <c r="J665" i="8"/>
  <c r="L665" i="8"/>
  <c r="F666" i="8"/>
  <c r="G666" i="8"/>
  <c r="I666" i="8"/>
  <c r="J666" i="8"/>
  <c r="L666" i="8"/>
  <c r="F667" i="8"/>
  <c r="G667" i="8"/>
  <c r="I667" i="8"/>
  <c r="J667" i="8"/>
  <c r="L667" i="8"/>
  <c r="F668" i="8"/>
  <c r="G668" i="8"/>
  <c r="I668" i="8"/>
  <c r="J668" i="8"/>
  <c r="L668" i="8"/>
  <c r="F669" i="8"/>
  <c r="G669" i="8"/>
  <c r="I669" i="8"/>
  <c r="J669" i="8"/>
  <c r="L669" i="8"/>
  <c r="F670" i="8"/>
  <c r="G670" i="8"/>
  <c r="I670" i="8"/>
  <c r="J670" i="8"/>
  <c r="L670" i="8"/>
  <c r="F671" i="8"/>
  <c r="G671" i="8"/>
  <c r="I671" i="8"/>
  <c r="J671" i="8"/>
  <c r="L671" i="8"/>
  <c r="F672" i="8"/>
  <c r="G672" i="8"/>
  <c r="I672" i="8"/>
  <c r="J672" i="8"/>
  <c r="L672" i="8"/>
  <c r="F673" i="8"/>
  <c r="G673" i="8"/>
  <c r="I673" i="8"/>
  <c r="J673" i="8"/>
  <c r="L673" i="8"/>
  <c r="F674" i="8"/>
  <c r="G674" i="8"/>
  <c r="I674" i="8"/>
  <c r="J674" i="8"/>
  <c r="L674" i="8"/>
  <c r="F675" i="8"/>
  <c r="G675" i="8"/>
  <c r="I675" i="8"/>
  <c r="J675" i="8"/>
  <c r="L675" i="8"/>
  <c r="F676" i="8"/>
  <c r="G676" i="8"/>
  <c r="I676" i="8"/>
  <c r="J676" i="8"/>
  <c r="L676" i="8"/>
  <c r="F677" i="8"/>
  <c r="G677" i="8"/>
  <c r="I677" i="8"/>
  <c r="J677" i="8"/>
  <c r="L677" i="8"/>
  <c r="F678" i="8"/>
  <c r="G678" i="8"/>
  <c r="I678" i="8"/>
  <c r="J678" i="8"/>
  <c r="L678" i="8"/>
  <c r="F679" i="8"/>
  <c r="G679" i="8"/>
  <c r="I679" i="8"/>
  <c r="J679" i="8"/>
  <c r="L679" i="8"/>
  <c r="F680" i="8"/>
  <c r="G680" i="8"/>
  <c r="I680" i="8"/>
  <c r="J680" i="8"/>
  <c r="L680" i="8"/>
  <c r="F681" i="8"/>
  <c r="G681" i="8"/>
  <c r="I681" i="8"/>
  <c r="J681" i="8"/>
  <c r="L681" i="8"/>
  <c r="F682" i="8"/>
  <c r="G682" i="8"/>
  <c r="I682" i="8"/>
  <c r="J682" i="8"/>
  <c r="L682" i="8"/>
  <c r="F683" i="8"/>
  <c r="G683" i="8"/>
  <c r="I683" i="8"/>
  <c r="J683" i="8"/>
  <c r="L683" i="8"/>
  <c r="F684" i="8"/>
  <c r="G684" i="8"/>
  <c r="I684" i="8"/>
  <c r="J684" i="8"/>
  <c r="L684" i="8"/>
  <c r="G685" i="8"/>
  <c r="I685" i="8"/>
  <c r="J685" i="8"/>
  <c r="L685" i="8"/>
  <c r="G686" i="8"/>
  <c r="I686" i="8"/>
  <c r="J686" i="8"/>
  <c r="L686" i="8"/>
  <c r="G687" i="8"/>
  <c r="I687" i="8"/>
  <c r="J687" i="8"/>
  <c r="L687" i="8"/>
  <c r="G688" i="8"/>
  <c r="I688" i="8"/>
  <c r="J688" i="8"/>
  <c r="L688" i="8"/>
  <c r="G689" i="8"/>
  <c r="I689" i="8"/>
  <c r="J689" i="8"/>
  <c r="L689" i="8"/>
  <c r="G690" i="8"/>
  <c r="I690" i="8"/>
  <c r="J690" i="8"/>
  <c r="L690" i="8"/>
  <c r="G691" i="8"/>
  <c r="I691" i="8"/>
  <c r="J691" i="8"/>
  <c r="L691" i="8"/>
  <c r="G692" i="8"/>
  <c r="I692" i="8"/>
  <c r="J692" i="8"/>
  <c r="L692" i="8"/>
  <c r="G693" i="8"/>
  <c r="I693" i="8"/>
  <c r="J693" i="8"/>
  <c r="L69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7699173B-28E9-4E9F-802E-1A5D4FE575FC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21E9E53A-EEBD-42F7-9433-298CBB42C741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15AFC217-CA45-4DF2-AE2C-2DF4E3B7E2AA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851FE49F-4404-450D-9121-0311FB1FA696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E33FF005-D9A3-448F-87A9-B2B5274F5C0B}">
      <text>
        <r>
          <rPr>
            <b/>
            <sz val="10"/>
            <color indexed="81"/>
            <rFont val="Tahoma"/>
            <family val="2"/>
          </rPr>
          <t xml:space="preserve">BASE IMPONIBLE DE LA FACTURA. </t>
        </r>
      </text>
    </comment>
    <comment ref="I1" authorId="0" shapeId="0" xr:uid="{C2CDD1BF-0838-4B4E-BC65-03F0E236657E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31E2E299-CB93-402B-8AC0-067628CE9BC8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E03E2C9E-2933-4359-B809-8BA09900A94A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529CA5A6-2064-4CE2-8AE0-C40A1E147227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4FCFBC15-2690-4D06-B7F8-4783CA816622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BFA613BF-63DC-40E3-9D0E-9BC985AE9BFE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A040F943-522E-4A2F-99A1-14E14D0A481B}">
      <text>
        <r>
          <rPr>
            <b/>
            <sz val="10"/>
            <color indexed="81"/>
            <rFont val="Tahoma"/>
            <family val="2"/>
          </rPr>
          <t xml:space="preserve">BASE IMPONIBLE DE LA FACTURA. </t>
        </r>
      </text>
    </comment>
    <comment ref="I1" authorId="0" shapeId="0" xr:uid="{9BA1DDD2-C41A-4D99-B0CA-DDB2720AAF3D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587DBE93-A2CA-4CF5-8235-40016EF2721C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96D642C-6566-4ACD-8EA5-62028A3999EF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D935248A-93CC-405E-8E07-FD205A4BA4D9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707A2BDF-87CA-423F-88CD-DF4B51CB5197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81672E78-6BB5-4A32-BD35-B9700565DD41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88CA233A-2960-4E6D-8A81-72A1DA33E726}">
      <text>
        <r>
          <rPr>
            <b/>
            <sz val="10"/>
            <color indexed="81"/>
            <rFont val="Tahoma"/>
            <family val="2"/>
          </rPr>
          <t xml:space="preserve">BASE IMPONIBLE DE LA FACTURA. </t>
        </r>
      </text>
    </comment>
    <comment ref="I1" authorId="0" shapeId="0" xr:uid="{99D0D8F4-318A-44DB-98DF-99C256D0F909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F6D22B87-7F38-4397-8746-25F3E4098A83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6079936C-A484-4702-BFFB-14C07E5BD04D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2B38DF8C-979E-4986-87F5-F19375EE0CAA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80D88F4-5DF0-4505-AC2E-5EE9F5880ACA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52EF32B-9A69-47DE-9E53-FBA4AFAC4B35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7FBDB200-9CA9-4CA6-8D73-BB501E5A5FB3}">
      <text>
        <r>
          <rPr>
            <b/>
            <sz val="10"/>
            <color indexed="81"/>
            <rFont val="Tahoma"/>
            <family val="2"/>
          </rPr>
          <t xml:space="preserve">BASE IMPONIBLE DE LA FACTURA. </t>
        </r>
      </text>
    </comment>
    <comment ref="I1" authorId="0" shapeId="0" xr:uid="{34231CC5-149A-49C2-8B76-AE371E84898D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85A128FA-81D5-4B61-AA10-6096C5A8314A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4E08DF39-100B-45EC-8BD3-442D00F0EF46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692AF64B-52A9-41F3-8CE7-83E9F4EF1DE8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587AA7A-77F4-42DC-976D-4B9D2FF02FD2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FEBD73B0-8271-4129-A5DA-3ACBDF72DC0E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C24963B4-542D-457B-9C61-3ED187CAF2DF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2EC0597-AC42-46F7-94A8-79938C1C3586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DE6C5C06-E28E-4756-B7FD-2206990FE89B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N1" authorId="0" shapeId="0" xr:uid="{B2F696F5-9DD9-4869-90F1-B166F168B243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C647022A-1731-4845-B420-EEC0A7A7CF87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E5C82A6A-8F4D-4997-A26B-BCCAC726E8E6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388EDC6D-2AE1-4D7B-BB62-20E9B89CEBFD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FE3E244-90D3-4A47-9D84-A0D0BCBDD742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A5115D20-D324-4613-BA2A-82F498090E96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DD749E2D-53E1-44C4-BC8B-BFC2A2BD93C1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FEBDA3FC-FB02-41E0-8517-43C204B149EC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N1" authorId="0" shapeId="0" xr:uid="{917ED046-E057-478E-A51E-305D14491CCD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471973B5-02B8-4728-94DD-CC0E31C6FAEC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E471F8A9-62DC-449E-BFA4-77A31A5733AF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2DC5C892-D9C6-4385-AB1E-D82788B6DEFC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AC07170B-EFF8-4099-8956-6F1B5DE039A9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AD0079B1-4E52-4A98-A0B9-F0922787DA73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7D0CB8C0-DDFD-4B2C-A859-9A0AF1632872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7336CACF-3B6C-4C95-B6F2-FA660816FFFA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N1" authorId="0" shapeId="0" xr:uid="{566810CD-BCCD-4D14-9277-088B835D6AE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E5577B0E-2E5F-467E-9F12-EDE1682C5DCC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2D83E8A2-2A10-4B2B-9BFD-1C174BD01C35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F4DFFD58-321D-412A-9E7C-1CE88000EAF3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47737768-2E71-4DD0-9C72-FCA7F5B341E5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1D4A42B4-97B9-4B16-9004-B131CD86651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91806E2D-E17A-402D-A863-79F017EE16A9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5351BA3F-E0C1-4D4B-BA0B-1FF4F43EF1B7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N1" authorId="0" shapeId="0" xr:uid="{646A7629-B602-4C27-8B3D-B1A23C4076EF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sharedStrings.xml><?xml version="1.0" encoding="utf-8"?>
<sst xmlns="http://schemas.openxmlformats.org/spreadsheetml/2006/main" count="12930" uniqueCount="3389">
  <si>
    <t>FECHA</t>
  </si>
  <si>
    <t>REG.</t>
  </si>
  <si>
    <t>CUENTA</t>
  </si>
  <si>
    <t>NIF</t>
  </si>
  <si>
    <t>NOMBRE</t>
  </si>
  <si>
    <t>DESCRIPCIÓN</t>
  </si>
  <si>
    <t>BASE</t>
  </si>
  <si>
    <t>%IVA</t>
  </si>
  <si>
    <t>IMPORTE IVA</t>
  </si>
  <si>
    <t>BASE RETENCION</t>
  </si>
  <si>
    <t>%IRPF</t>
  </si>
  <si>
    <t>TOTAL IRPF</t>
  </si>
  <si>
    <t>TOTAL</t>
  </si>
  <si>
    <t>CONTRAPARTIDA</t>
  </si>
  <si>
    <t>PAIS</t>
  </si>
  <si>
    <t>PROVINCIA</t>
  </si>
  <si>
    <t>PAGO AUTOMATICO</t>
  </si>
  <si>
    <t>OPERACION ARRENDAMIENTO</t>
  </si>
  <si>
    <t>Nº DOCUMENTO</t>
  </si>
  <si>
    <t xml:space="preserve">S/F </t>
  </si>
  <si>
    <t xml:space="preserve">N/F </t>
  </si>
  <si>
    <t>MATERIAL</t>
  </si>
  <si>
    <t>GASOIL</t>
  </si>
  <si>
    <t>E87445011</t>
  </si>
  <si>
    <t>REPSOL</t>
  </si>
  <si>
    <t>A82825456</t>
  </si>
  <si>
    <t>SALTOKI</t>
  </si>
  <si>
    <t>B87149506</t>
  </si>
  <si>
    <t>RESTAURANTE</t>
  </si>
  <si>
    <t>B86509460</t>
  </si>
  <si>
    <t>A78805801</t>
  </si>
  <si>
    <t>MARTA REY ABAD</t>
  </si>
  <si>
    <t>XVENT</t>
  </si>
  <si>
    <t>CAMBIO CONTENEDOR</t>
  </si>
  <si>
    <t>B79283982</t>
  </si>
  <si>
    <t>B86234556</t>
  </si>
  <si>
    <t>E. LECLERC</t>
  </si>
  <si>
    <t>OBRA</t>
  </si>
  <si>
    <t>LUZ</t>
  </si>
  <si>
    <t>TELEFONO</t>
  </si>
  <si>
    <t>B83937292</t>
  </si>
  <si>
    <t>CONTENEDORES OSCONSUR</t>
  </si>
  <si>
    <t>DISCESUR</t>
  </si>
  <si>
    <t>EUGENIO PEREDA</t>
  </si>
  <si>
    <t>LEROY MERLIN</t>
  </si>
  <si>
    <t>X6931388Q</t>
  </si>
  <si>
    <t>ALQUILER OFICINA</t>
  </si>
  <si>
    <t>51125037Q</t>
  </si>
  <si>
    <t>B82251455</t>
  </si>
  <si>
    <t>A28354520</t>
  </si>
  <si>
    <t>COCHE</t>
  </si>
  <si>
    <t>B87974820</t>
  </si>
  <si>
    <t>ITV COCHE</t>
  </si>
  <si>
    <t>ARREGLO COCHE</t>
  </si>
  <si>
    <t>B84904256</t>
  </si>
  <si>
    <t>GESTORIA</t>
  </si>
  <si>
    <t>TRANSPORTE</t>
  </si>
  <si>
    <t>B84818442</t>
  </si>
  <si>
    <t>B84406289</t>
  </si>
  <si>
    <t>A78674983</t>
  </si>
  <si>
    <t>A80298839</t>
  </si>
  <si>
    <t>MATERIAL OFICINA</t>
  </si>
  <si>
    <t>TRANSF</t>
  </si>
  <si>
    <t>TARJETA</t>
  </si>
  <si>
    <t>METALICO</t>
  </si>
  <si>
    <t>GIRO BANCARIO</t>
  </si>
  <si>
    <t>A79209854</t>
  </si>
  <si>
    <t>GIRO</t>
  </si>
  <si>
    <t>TRANSFERENCIA</t>
  </si>
  <si>
    <t>OLARIU ADRIAN RAZVAN</t>
  </si>
  <si>
    <t>PINTOCOLORS CB</t>
  </si>
  <si>
    <t>Y0776666Q</t>
  </si>
  <si>
    <t>X06616261N</t>
  </si>
  <si>
    <t>COSTEL DINCU</t>
  </si>
  <si>
    <t>51688537Q</t>
  </si>
  <si>
    <t>A28812618</t>
  </si>
  <si>
    <t>COSTCO</t>
  </si>
  <si>
    <t>B88373865</t>
  </si>
  <si>
    <t>03</t>
  </si>
  <si>
    <t>34</t>
  </si>
  <si>
    <t>B86083656</t>
  </si>
  <si>
    <t>S7800001E</t>
  </si>
  <si>
    <t>50822719X</t>
  </si>
  <si>
    <t>48</t>
  </si>
  <si>
    <t>52</t>
  </si>
  <si>
    <t>B84808708</t>
  </si>
  <si>
    <t>56</t>
  </si>
  <si>
    <t>A81948077</t>
  </si>
  <si>
    <t>ENDESA</t>
  </si>
  <si>
    <t>A28559573</t>
  </si>
  <si>
    <t>GALP</t>
  </si>
  <si>
    <t>A28308484</t>
  </si>
  <si>
    <t>D59474577</t>
  </si>
  <si>
    <t>BAUHAUS</t>
  </si>
  <si>
    <t>B88430459</t>
  </si>
  <si>
    <t>06657741T</t>
  </si>
  <si>
    <t>MARCEL DUMITER BEGOFF</t>
  </si>
  <si>
    <t>IKEA</t>
  </si>
  <si>
    <t>67</t>
  </si>
  <si>
    <t>A80393812</t>
  </si>
  <si>
    <t>34249779L</t>
  </si>
  <si>
    <t>B13364112</t>
  </si>
  <si>
    <t>ALQUILER MAQUINA</t>
  </si>
  <si>
    <t>LU19647148</t>
  </si>
  <si>
    <t>2000€ 30/07</t>
  </si>
  <si>
    <t>B81274565</t>
  </si>
  <si>
    <t xml:space="preserve">ITV </t>
  </si>
  <si>
    <t>B85242121</t>
  </si>
  <si>
    <t>HOTEL</t>
  </si>
  <si>
    <t>B05348610</t>
  </si>
  <si>
    <t>TRAIAN DARIUS NEAG</t>
  </si>
  <si>
    <t>B93275394</t>
  </si>
  <si>
    <t>79500814A</t>
  </si>
  <si>
    <t>CORREO</t>
  </si>
  <si>
    <t>LIVIU COSMIN JULA ANDREICA</t>
  </si>
  <si>
    <t>GINOS</t>
  </si>
  <si>
    <t>B82823741</t>
  </si>
  <si>
    <t>SAGO PACKAGING SL</t>
  </si>
  <si>
    <t>ALQUILER MAQUINARIA</t>
  </si>
  <si>
    <t>MEDIA MARKT</t>
  </si>
  <si>
    <t>B84155647</t>
  </si>
  <si>
    <t>B32335028</t>
  </si>
  <si>
    <t>PINTOCOLORS</t>
  </si>
  <si>
    <t>50</t>
  </si>
  <si>
    <t>CIA ESPAÑOLA DIST PETROLEOS</t>
  </si>
  <si>
    <t>LA TAGLIATELLA</t>
  </si>
  <si>
    <t>52537554B</t>
  </si>
  <si>
    <t>MAZARRACIN POVEDA JESUS</t>
  </si>
  <si>
    <t>51</t>
  </si>
  <si>
    <t>LINOTEC SOLUCIONES TECNICAS SL</t>
  </si>
  <si>
    <t>53</t>
  </si>
  <si>
    <t>54</t>
  </si>
  <si>
    <t>B86722295</t>
  </si>
  <si>
    <t>55</t>
  </si>
  <si>
    <t>X6761641D</t>
  </si>
  <si>
    <t>61</t>
  </si>
  <si>
    <t>B86430287</t>
  </si>
  <si>
    <t>50861394E</t>
  </si>
  <si>
    <t>FILTROS ANCORA</t>
  </si>
  <si>
    <t>BIGMAT</t>
  </si>
  <si>
    <t>B80512148</t>
  </si>
  <si>
    <t>ED OIL</t>
  </si>
  <si>
    <t>B71178040</t>
  </si>
  <si>
    <t>IOAN NICULAI</t>
  </si>
  <si>
    <t>R01</t>
  </si>
  <si>
    <t>X6478196Q</t>
  </si>
  <si>
    <t>DAVID MARGIN</t>
  </si>
  <si>
    <t>AZULEJOS ROSA</t>
  </si>
  <si>
    <t>X8664710N</t>
  </si>
  <si>
    <t>A28704062</t>
  </si>
  <si>
    <t>TUBOS PARIS</t>
  </si>
  <si>
    <t>E.S. SESEÑA</t>
  </si>
  <si>
    <t>E.S. OLIVAR ALTO</t>
  </si>
  <si>
    <t>Y4415099X</t>
  </si>
  <si>
    <t>85,05</t>
  </si>
  <si>
    <t>21,5</t>
  </si>
  <si>
    <t>67,6</t>
  </si>
  <si>
    <t>39,73</t>
  </si>
  <si>
    <t>114,89</t>
  </si>
  <si>
    <t>44,53</t>
  </si>
  <si>
    <t>114,52</t>
  </si>
  <si>
    <t>96,07</t>
  </si>
  <si>
    <t>64,32</t>
  </si>
  <si>
    <t>EMANUEL CODITA</t>
  </si>
  <si>
    <t>MILANUNCIOS</t>
  </si>
  <si>
    <t>3</t>
  </si>
  <si>
    <t>SHELL</t>
  </si>
  <si>
    <t>PINTODIS SL</t>
  </si>
  <si>
    <t>A65371171</t>
  </si>
  <si>
    <t>BALLENOIL</t>
  </si>
  <si>
    <t>B61643540</t>
  </si>
  <si>
    <t>MOTOCARD</t>
  </si>
  <si>
    <t>OLIVAR ALTO</t>
  </si>
  <si>
    <t>SERVICIO PREVENCION</t>
  </si>
  <si>
    <t>A808288410</t>
  </si>
  <si>
    <t>B06903421</t>
  </si>
  <si>
    <t>CALBAR BENIAMIN</t>
  </si>
  <si>
    <t>Y6639028T</t>
  </si>
  <si>
    <t>ZACARIAS ORTEGA MERCEDES</t>
  </si>
  <si>
    <t>CESTA NAVIDAD</t>
  </si>
  <si>
    <t>Y0016300F</t>
  </si>
  <si>
    <t>FILIP ADISOR BALEA</t>
  </si>
  <si>
    <t>01</t>
  </si>
  <si>
    <t>02</t>
  </si>
  <si>
    <t>06</t>
  </si>
  <si>
    <t>05</t>
  </si>
  <si>
    <t>I.D.F. SUMINISTROS INDUSTRIALES</t>
  </si>
  <si>
    <t>09</t>
  </si>
  <si>
    <t>13</t>
  </si>
  <si>
    <t>14</t>
  </si>
  <si>
    <t>15</t>
  </si>
  <si>
    <t>20</t>
  </si>
  <si>
    <t>19</t>
  </si>
  <si>
    <t>MARKOIL</t>
  </si>
  <si>
    <t>GASOLEOS GETAFE SL</t>
  </si>
  <si>
    <t>A83052407</t>
  </si>
  <si>
    <t>CORREOS</t>
  </si>
  <si>
    <t>22</t>
  </si>
  <si>
    <t>23</t>
  </si>
  <si>
    <t>A48035273</t>
  </si>
  <si>
    <t>B72736473</t>
  </si>
  <si>
    <t>W0071513F</t>
  </si>
  <si>
    <t>RYANAIR DAC</t>
  </si>
  <si>
    <t>BILLETE AVION</t>
  </si>
  <si>
    <t>24</t>
  </si>
  <si>
    <t>26</t>
  </si>
  <si>
    <t>27</t>
  </si>
  <si>
    <t>29</t>
  </si>
  <si>
    <t>30</t>
  </si>
  <si>
    <t>31</t>
  </si>
  <si>
    <t>37</t>
  </si>
  <si>
    <t>38</t>
  </si>
  <si>
    <t>WALLAPOP</t>
  </si>
  <si>
    <t>39</t>
  </si>
  <si>
    <t>40</t>
  </si>
  <si>
    <t>41</t>
  </si>
  <si>
    <t>42</t>
  </si>
  <si>
    <t>pagado</t>
  </si>
  <si>
    <t>PUBLICIDAD</t>
  </si>
  <si>
    <t>2002 V.C.F.L CARPINTERIA SLU</t>
  </si>
  <si>
    <t>TELEFONICA</t>
  </si>
  <si>
    <t>57</t>
  </si>
  <si>
    <t>58</t>
  </si>
  <si>
    <t>59</t>
  </si>
  <si>
    <t>60</t>
  </si>
  <si>
    <t>62</t>
  </si>
  <si>
    <t>63</t>
  </si>
  <si>
    <t>64</t>
  </si>
  <si>
    <t>65</t>
  </si>
  <si>
    <t>B82563495</t>
  </si>
  <si>
    <t>66</t>
  </si>
  <si>
    <t>B87435137</t>
  </si>
  <si>
    <t>X6641437A</t>
  </si>
  <si>
    <t>CORINA NICOLETA MOLDOVANU</t>
  </si>
  <si>
    <t>X7741484Y</t>
  </si>
  <si>
    <t>VIOREL ROBCIUC</t>
  </si>
  <si>
    <t>MATERIAÑ</t>
  </si>
  <si>
    <t>PLENOIL</t>
  </si>
  <si>
    <t>A82018474</t>
  </si>
  <si>
    <t>RECONOCIMIENTO MEDICO</t>
  </si>
  <si>
    <t>B84202670</t>
  </si>
  <si>
    <t>E.S. RACHELO</t>
  </si>
  <si>
    <t>RESTAURANTE LA SALA</t>
  </si>
  <si>
    <t>B86002318</t>
  </si>
  <si>
    <t>MEDA INMUEBLES SL</t>
  </si>
  <si>
    <t>B99144438</t>
  </si>
  <si>
    <t>MASGEO ASOCIADOS SLU</t>
  </si>
  <si>
    <t>B87576682</t>
  </si>
  <si>
    <t>52104958E</t>
  </si>
  <si>
    <t>LUIS VALVERDE MORENO</t>
  </si>
  <si>
    <t>RESTAURANTE LAS MEZQUITAS</t>
  </si>
  <si>
    <t>05283812E</t>
  </si>
  <si>
    <t>B88257225</t>
  </si>
  <si>
    <t>ATENOIL</t>
  </si>
  <si>
    <t>B83351767</t>
  </si>
  <si>
    <t>A20025888</t>
  </si>
  <si>
    <t>X5644161F</t>
  </si>
  <si>
    <t>ATTILA ANDREAS ZURBO</t>
  </si>
  <si>
    <t>B78752755</t>
  </si>
  <si>
    <t>CRISTALERIA ESCOBAR</t>
  </si>
  <si>
    <t>GASTOS PISO MALLORCA</t>
  </si>
  <si>
    <t>GASOL</t>
  </si>
  <si>
    <t>DISA</t>
  </si>
  <si>
    <t>B44760692</t>
  </si>
  <si>
    <t>MQF SL</t>
  </si>
  <si>
    <t>B86462132</t>
  </si>
  <si>
    <t>PARNASUS IDEARIOS SL</t>
  </si>
  <si>
    <t>143</t>
  </si>
  <si>
    <t>sabadell</t>
  </si>
  <si>
    <t>pagado 04/10/</t>
  </si>
  <si>
    <t>B87223046</t>
  </si>
  <si>
    <t>23029894V</t>
  </si>
  <si>
    <t>B02985877</t>
  </si>
  <si>
    <t>A80298896</t>
  </si>
  <si>
    <t>B30764849</t>
  </si>
  <si>
    <t>FANATICO ICE &amp; COFFEE</t>
  </si>
  <si>
    <t>170</t>
  </si>
  <si>
    <t>171</t>
  </si>
  <si>
    <t>B71458871</t>
  </si>
  <si>
    <t>H86922341</t>
  </si>
  <si>
    <t>C.P. FERNANDO VII 24</t>
  </si>
  <si>
    <t>B42892588</t>
  </si>
  <si>
    <t>C.P. PASEO DEL PRADO 2</t>
  </si>
  <si>
    <t>H79739074</t>
  </si>
  <si>
    <t>C.P. CRISTO DE LA SALUD 9</t>
  </si>
  <si>
    <t>2111256</t>
  </si>
  <si>
    <t>DOFITEC SOLUCIONES INTEGRALES</t>
  </si>
  <si>
    <t>B30347348</t>
  </si>
  <si>
    <t>B45319910</t>
  </si>
  <si>
    <t>TOL MOTO SL</t>
  </si>
  <si>
    <t>22938117X</t>
  </si>
  <si>
    <t>B81771628</t>
  </si>
  <si>
    <t>WAY ATALAYA SL</t>
  </si>
  <si>
    <t>TELEPIZZA</t>
  </si>
  <si>
    <t>metalico</t>
  </si>
  <si>
    <t>A12022737</t>
  </si>
  <si>
    <t>PORCELANOSA</t>
  </si>
  <si>
    <t>PATRICIA DIAZ PIÑERO</t>
  </si>
  <si>
    <t>pagado 08/01/</t>
  </si>
  <si>
    <t>pagado 15/12/23</t>
  </si>
  <si>
    <t>2024/000005</t>
  </si>
  <si>
    <t xml:space="preserve">PADRISA </t>
  </si>
  <si>
    <t>2024/02/000007</t>
  </si>
  <si>
    <t>07</t>
  </si>
  <si>
    <t>BERTA MARTINEZ DELGADO</t>
  </si>
  <si>
    <t>08</t>
  </si>
  <si>
    <t>H81789208</t>
  </si>
  <si>
    <t>10</t>
  </si>
  <si>
    <t>11</t>
  </si>
  <si>
    <t>12</t>
  </si>
  <si>
    <t>FRO20240086253</t>
  </si>
  <si>
    <t>DS-ASE-INV-ES-2024-3293519</t>
  </si>
  <si>
    <t>CLEVERSTUFF INTERNATIONAL</t>
  </si>
  <si>
    <t>1/351/20/238340</t>
  </si>
  <si>
    <t>B22399414</t>
  </si>
  <si>
    <t>LA NEU DE BENAS SL</t>
  </si>
  <si>
    <t>53390174K</t>
  </si>
  <si>
    <t>2024/000012</t>
  </si>
  <si>
    <t>1 000001</t>
  </si>
  <si>
    <t>70350242G</t>
  </si>
  <si>
    <t>FERRETERIA BOROX MONICA ROJAS MATEO</t>
  </si>
  <si>
    <t>24000221</t>
  </si>
  <si>
    <t>B79140034</t>
  </si>
  <si>
    <t>AUTOLYT SL</t>
  </si>
  <si>
    <t>007-0001-363669</t>
  </si>
  <si>
    <t>BRICOLAJE BRICOMAN SL</t>
  </si>
  <si>
    <t>VEN/20218274</t>
  </si>
  <si>
    <t>E12002024000000098</t>
  </si>
  <si>
    <t>E12002024000000042</t>
  </si>
  <si>
    <t>E12002024000000002</t>
  </si>
  <si>
    <t>0010187508</t>
  </si>
  <si>
    <t>0010000733</t>
  </si>
  <si>
    <t>E.S.RIVAS</t>
  </si>
  <si>
    <t>SALTOKI MURCIA</t>
  </si>
  <si>
    <t>24100314</t>
  </si>
  <si>
    <t>2410067</t>
  </si>
  <si>
    <t>24100315</t>
  </si>
  <si>
    <t>24100316</t>
  </si>
  <si>
    <t>AL01</t>
  </si>
  <si>
    <t>pagado 1020€ 02/01</t>
  </si>
  <si>
    <t>32,64€ 16/01/</t>
  </si>
  <si>
    <t>pagado 17/01/</t>
  </si>
  <si>
    <t>pagado 16/01/</t>
  </si>
  <si>
    <t>0120112</t>
  </si>
  <si>
    <t>2120586</t>
  </si>
  <si>
    <t>000009</t>
  </si>
  <si>
    <t>B85954386</t>
  </si>
  <si>
    <t>ALCARRIA PLUVIALES CANALONES SLU</t>
  </si>
  <si>
    <t>A/470</t>
  </si>
  <si>
    <t>A/487</t>
  </si>
  <si>
    <t>406400049</t>
  </si>
  <si>
    <t>BPV SUMINISTROS ELECTRICOS VALDEMORO</t>
  </si>
  <si>
    <t>DURPLEI</t>
  </si>
  <si>
    <t>16</t>
  </si>
  <si>
    <t>14855</t>
  </si>
  <si>
    <t xml:space="preserve">SALTOKI   </t>
  </si>
  <si>
    <t>VEN/20220788</t>
  </si>
  <si>
    <t>A/24</t>
  </si>
  <si>
    <t>pagado 22/01/</t>
  </si>
  <si>
    <t>17</t>
  </si>
  <si>
    <t>18</t>
  </si>
  <si>
    <t>H78114964</t>
  </si>
  <si>
    <t>COM PROP ALCALDE SAINZ DE BARANDA</t>
  </si>
  <si>
    <t>pagado 24/01/</t>
  </si>
  <si>
    <t>pagado 23/01/</t>
  </si>
  <si>
    <t>E19F/3406</t>
  </si>
  <si>
    <t>FM0043762</t>
  </si>
  <si>
    <t xml:space="preserve">GRUPO VERALIA </t>
  </si>
  <si>
    <t>2024/16</t>
  </si>
  <si>
    <t>4</t>
  </si>
  <si>
    <t>00002-2024/A0103/00001424</t>
  </si>
  <si>
    <t>018-0001-168346</t>
  </si>
  <si>
    <t>018-0001-168330</t>
  </si>
  <si>
    <t>012-0001-599998</t>
  </si>
  <si>
    <t>A/525</t>
  </si>
  <si>
    <t>FT124/54</t>
  </si>
  <si>
    <t>MANGAMAT MATERIALES DE CONSTR.</t>
  </si>
  <si>
    <t>FT124/36</t>
  </si>
  <si>
    <t>FT124/58</t>
  </si>
  <si>
    <t>012-0001-550035</t>
  </si>
  <si>
    <t>ESCAYOLAS Y AISLAMIENTOS VILLAVERDE</t>
  </si>
  <si>
    <t>00002-2024/A0103/00000054</t>
  </si>
  <si>
    <t>43000226</t>
  </si>
  <si>
    <t>E120071246LJ2WFE000027</t>
  </si>
  <si>
    <t>E12002024000000004</t>
  </si>
  <si>
    <t>E12007524CA61SFE000019</t>
  </si>
  <si>
    <t>43</t>
  </si>
  <si>
    <t>2024/4</t>
  </si>
  <si>
    <t>55299561V</t>
  </si>
  <si>
    <t>24/008</t>
  </si>
  <si>
    <t>AIRCLIMA200 SL</t>
  </si>
  <si>
    <t>05/2024</t>
  </si>
  <si>
    <t>24001</t>
  </si>
  <si>
    <t>B86136900</t>
  </si>
  <si>
    <t>ROELSAN CONSTRUCCIONES</t>
  </si>
  <si>
    <t>00010701</t>
  </si>
  <si>
    <t>00010702</t>
  </si>
  <si>
    <t>01/24</t>
  </si>
  <si>
    <t>22057</t>
  </si>
  <si>
    <t>pagado 29/01/</t>
  </si>
  <si>
    <t>AL02</t>
  </si>
  <si>
    <t>pagado 15/01/</t>
  </si>
  <si>
    <t>21</t>
  </si>
  <si>
    <t>MANUELA CASTRO VIDALES</t>
  </si>
  <si>
    <t>25</t>
  </si>
  <si>
    <t>28</t>
  </si>
  <si>
    <t>FRANCISCA LEIVA PEREZ</t>
  </si>
  <si>
    <t>JILTRES CONSTRUCCIONES</t>
  </si>
  <si>
    <t>VEN/20223695</t>
  </si>
  <si>
    <t>8</t>
  </si>
  <si>
    <t>20240015</t>
  </si>
  <si>
    <t>20240016</t>
  </si>
  <si>
    <t>20240017</t>
  </si>
  <si>
    <t>24/030</t>
  </si>
  <si>
    <t>AN GAS SL</t>
  </si>
  <si>
    <t>202409</t>
  </si>
  <si>
    <t>X5368232D</t>
  </si>
  <si>
    <t>ZENOVIU MARIUS GORGAN</t>
  </si>
  <si>
    <t>04</t>
  </si>
  <si>
    <t>2121242</t>
  </si>
  <si>
    <t>24/016</t>
  </si>
  <si>
    <t>0120315</t>
  </si>
  <si>
    <t>F240191</t>
  </si>
  <si>
    <t>CONTAMAR ASESORES</t>
  </si>
  <si>
    <t>FACG 833</t>
  </si>
  <si>
    <t>ESCAYOLAS EUROPA SL</t>
  </si>
  <si>
    <t>FACG 825</t>
  </si>
  <si>
    <t>00002-2024/A0103/00001972</t>
  </si>
  <si>
    <t>012-0002-632493</t>
  </si>
  <si>
    <t>012-0001-628081</t>
  </si>
  <si>
    <t>012-0001-626231</t>
  </si>
  <si>
    <t>012-0001-622523</t>
  </si>
  <si>
    <t>00002-2024/A0103/00001606</t>
  </si>
  <si>
    <t>1067-C</t>
  </si>
  <si>
    <t>ROD &amp; PLUS SYSTEM SL</t>
  </si>
  <si>
    <t>097087/24/000721</t>
  </si>
  <si>
    <t>24FAS000346</t>
  </si>
  <si>
    <t>pagado 18/01/</t>
  </si>
  <si>
    <t xml:space="preserve">GALP </t>
  </si>
  <si>
    <t>2023f00000058</t>
  </si>
  <si>
    <t>J56260433</t>
  </si>
  <si>
    <t>NEUMATICOS BEETLECAT SC</t>
  </si>
  <si>
    <t>TA78W0174473</t>
  </si>
  <si>
    <t>TA78W0174472</t>
  </si>
  <si>
    <t>TA78W0174471</t>
  </si>
  <si>
    <t>TA78W0174474</t>
  </si>
  <si>
    <t>28-A4U1-062049</t>
  </si>
  <si>
    <t>TA78X0172474</t>
  </si>
  <si>
    <t>TA78X0172473</t>
  </si>
  <si>
    <t>TA78X0172472</t>
  </si>
  <si>
    <t>28-B4I1-020407</t>
  </si>
  <si>
    <t>TA78X0172475</t>
  </si>
  <si>
    <t>406400132</t>
  </si>
  <si>
    <t>pagado 06/02</t>
  </si>
  <si>
    <t>pagado 05/02/</t>
  </si>
  <si>
    <t>2024/000061</t>
  </si>
  <si>
    <t>160/24</t>
  </si>
  <si>
    <t>09718758A</t>
  </si>
  <si>
    <t>007-0002-403074</t>
  </si>
  <si>
    <t>007-0002-403068</t>
  </si>
  <si>
    <t>241242101204</t>
  </si>
  <si>
    <t>21/012/2023</t>
  </si>
  <si>
    <t>007-0012-352703</t>
  </si>
  <si>
    <t>007-0010-248786</t>
  </si>
  <si>
    <t>230209406</t>
  </si>
  <si>
    <t>UNI-HER SL</t>
  </si>
  <si>
    <t>024-0001-874343</t>
  </si>
  <si>
    <t>P23CON031588029</t>
  </si>
  <si>
    <t>0240001224</t>
  </si>
  <si>
    <t>602030513</t>
  </si>
  <si>
    <t>B28240075</t>
  </si>
  <si>
    <t>MEGINO SL</t>
  </si>
  <si>
    <t>141500448</t>
  </si>
  <si>
    <t>pagado 02/02/</t>
  </si>
  <si>
    <t>E12007224TS000FE000084</t>
  </si>
  <si>
    <t>23T50549</t>
  </si>
  <si>
    <t>GANESHA COMBUSTIBLE SL</t>
  </si>
  <si>
    <t>23T51807</t>
  </si>
  <si>
    <t>5477-2024-00512544</t>
  </si>
  <si>
    <t>001D2300027748</t>
  </si>
  <si>
    <t>001D2400000113</t>
  </si>
  <si>
    <t>001D2400000355</t>
  </si>
  <si>
    <t>CLEVESTUFF INTERNATIONAL LIMITED</t>
  </si>
  <si>
    <t>ES429L5QAEUS</t>
  </si>
  <si>
    <t>W0184081H</t>
  </si>
  <si>
    <t>AMAZON</t>
  </si>
  <si>
    <t>ES42K3BCAEUS</t>
  </si>
  <si>
    <t>DS-ASE-INV-ES-2024-9539840</t>
  </si>
  <si>
    <t>SHENZHEN</t>
  </si>
  <si>
    <t>42156</t>
  </si>
  <si>
    <t>1026544479</t>
  </si>
  <si>
    <t>F2400154</t>
  </si>
  <si>
    <t>B27135961</t>
  </si>
  <si>
    <t>JV CENTRO JARDIN SLU CARDENAL HOTEL</t>
  </si>
  <si>
    <t>191811784</t>
  </si>
  <si>
    <t>B97499214</t>
  </si>
  <si>
    <t>TURIASOL SL</t>
  </si>
  <si>
    <t>ORD_498_2024/0003208</t>
  </si>
  <si>
    <t>5477-2023-00693253</t>
  </si>
  <si>
    <t>5477-2024-00511672</t>
  </si>
  <si>
    <t>5477-2024-00697464</t>
  </si>
  <si>
    <t>007/24</t>
  </si>
  <si>
    <t>B87252524</t>
  </si>
  <si>
    <t>BY  CONCEPT</t>
  </si>
  <si>
    <t>2024/000065</t>
  </si>
  <si>
    <t>240754</t>
  </si>
  <si>
    <t>B84772441</t>
  </si>
  <si>
    <t>CAVINSA</t>
  </si>
  <si>
    <t>024-0001-859244</t>
  </si>
  <si>
    <t>004-0002-033170</t>
  </si>
  <si>
    <t>pagado 13/02/</t>
  </si>
  <si>
    <t>32</t>
  </si>
  <si>
    <t>33</t>
  </si>
  <si>
    <t>35</t>
  </si>
  <si>
    <t>36</t>
  </si>
  <si>
    <t>033077/A/24/000093</t>
  </si>
  <si>
    <t>5477-2024-00515010</t>
  </si>
  <si>
    <t>5477-2024-00360983</t>
  </si>
  <si>
    <t>165883</t>
  </si>
  <si>
    <t>HIPER CASA SL</t>
  </si>
  <si>
    <t>24FT000162</t>
  </si>
  <si>
    <t>E78795416</t>
  </si>
  <si>
    <t>C.P. VICENTE BLANCO IBAÑEZ</t>
  </si>
  <si>
    <t>pagado 14/02/</t>
  </si>
  <si>
    <t>010/24</t>
  </si>
  <si>
    <t>2024-0045</t>
  </si>
  <si>
    <t>PUERTAS AUTOMATICAS OSVAN OSCAR GARCIA ALVAREZ</t>
  </si>
  <si>
    <t>24102032</t>
  </si>
  <si>
    <t>24102033</t>
  </si>
  <si>
    <t>0120685</t>
  </si>
  <si>
    <t>245001559</t>
  </si>
  <si>
    <t xml:space="preserve">CEMEVISA </t>
  </si>
  <si>
    <t>026-0001-775971</t>
  </si>
  <si>
    <t>FACG 411</t>
  </si>
  <si>
    <t>046-0001-922016</t>
  </si>
  <si>
    <t>00002-2024/A0103/00001210</t>
  </si>
  <si>
    <t>012-0001-597442</t>
  </si>
  <si>
    <t>026-0001-785483</t>
  </si>
  <si>
    <t>A/2107</t>
  </si>
  <si>
    <t>00002-2024/A0103/00002114</t>
  </si>
  <si>
    <t>012-0002-642536</t>
  </si>
  <si>
    <t>012-0002-642651</t>
  </si>
  <si>
    <t>012-0002-646184</t>
  </si>
  <si>
    <t>00002-2024/A0121/00000296</t>
  </si>
  <si>
    <t>FACG 991</t>
  </si>
  <si>
    <t>FACG 1035</t>
  </si>
  <si>
    <t>012-0002-657839</t>
  </si>
  <si>
    <t>012-0002-663877</t>
  </si>
  <si>
    <t>012-0002-663905</t>
  </si>
  <si>
    <t>012-0002-667598</t>
  </si>
  <si>
    <t>012-0002-667325</t>
  </si>
  <si>
    <t>012-0002-668362</t>
  </si>
  <si>
    <t>012-0002-672168</t>
  </si>
  <si>
    <t>FACG 1175</t>
  </si>
  <si>
    <t>375</t>
  </si>
  <si>
    <t>096622/A/24/000267</t>
  </si>
  <si>
    <t>1-2145</t>
  </si>
  <si>
    <t>CARLA`S JR</t>
  </si>
  <si>
    <t>24FAS000205</t>
  </si>
  <si>
    <t>E.S. SESEÑA NOVARANDIS</t>
  </si>
  <si>
    <t>RESTAURANTE EL RANCHO</t>
  </si>
  <si>
    <t>003720024/00000130</t>
  </si>
  <si>
    <t>24FAS000169</t>
  </si>
  <si>
    <t>T101_1/23828</t>
  </si>
  <si>
    <t>03909957A</t>
  </si>
  <si>
    <t xml:space="preserve">WAIKIKI </t>
  </si>
  <si>
    <t>T-262072</t>
  </si>
  <si>
    <t>F-88123146</t>
  </si>
  <si>
    <t>LAS MEZQUITAS</t>
  </si>
  <si>
    <t>T101_1/23577</t>
  </si>
  <si>
    <t>033939/A/24/000015</t>
  </si>
  <si>
    <t>003720024/00000049</t>
  </si>
  <si>
    <t>53830</t>
  </si>
  <si>
    <t>RESTAURANTE EL MOLINO</t>
  </si>
  <si>
    <t>E1200202400000090</t>
  </si>
  <si>
    <t>033939/A/24/000013</t>
  </si>
  <si>
    <t>00001TM150162</t>
  </si>
  <si>
    <t>51425818A</t>
  </si>
  <si>
    <t>ASADOR SESEÑA</t>
  </si>
  <si>
    <t>481</t>
  </si>
  <si>
    <t>24FAS000523</t>
  </si>
  <si>
    <t>E30452024000000589</t>
  </si>
  <si>
    <t>0000044624</t>
  </si>
  <si>
    <t>T-5698</t>
  </si>
  <si>
    <t>Y66390228T</t>
  </si>
  <si>
    <t>1-3512</t>
  </si>
  <si>
    <t>0008860024/00000866</t>
  </si>
  <si>
    <t>CEPSA COMERCIAL PETROLEO</t>
  </si>
  <si>
    <t>24FAS000473</t>
  </si>
  <si>
    <t>T-30066</t>
  </si>
  <si>
    <t>B88605159</t>
  </si>
  <si>
    <t>TABERNA LOS MADRILES</t>
  </si>
  <si>
    <t>00210020202402000040</t>
  </si>
  <si>
    <t>B87512430</t>
  </si>
  <si>
    <t>MC DONALD`S</t>
  </si>
  <si>
    <t>8880023010</t>
  </si>
  <si>
    <t>A53293213</t>
  </si>
  <si>
    <t>EUROLINEAS MARITIMAS SA</t>
  </si>
  <si>
    <t>CONSEJERIA DE VIVIENDA TRANSP. E INFR.</t>
  </si>
  <si>
    <t>2024/1074</t>
  </si>
  <si>
    <t>B98571409</t>
  </si>
  <si>
    <t>CLEVER SPAIN SL</t>
  </si>
  <si>
    <t>47</t>
  </si>
  <si>
    <t>CONTENEDORES ZORRO</t>
  </si>
  <si>
    <t>VEN/20225969</t>
  </si>
  <si>
    <t>VEN/20228854</t>
  </si>
  <si>
    <t>VEN/20230403</t>
  </si>
  <si>
    <t>2122071</t>
  </si>
  <si>
    <t>097029/A/24/000320</t>
  </si>
  <si>
    <t>2122076</t>
  </si>
  <si>
    <t>F240583</t>
  </si>
  <si>
    <t>TF00392</t>
  </si>
  <si>
    <t>pagado 26/02/</t>
  </si>
  <si>
    <t>FT00032</t>
  </si>
  <si>
    <t>A/696</t>
  </si>
  <si>
    <t>A/2351</t>
  </si>
  <si>
    <t>15/12/23</t>
  </si>
  <si>
    <t>44</t>
  </si>
  <si>
    <t>B28835866</t>
  </si>
  <si>
    <t>CREACIONES BENTON SL</t>
  </si>
  <si>
    <t>45</t>
  </si>
  <si>
    <t>46</t>
  </si>
  <si>
    <t>202413</t>
  </si>
  <si>
    <t>02/24</t>
  </si>
  <si>
    <t>069/02</t>
  </si>
  <si>
    <t>B84865518</t>
  </si>
  <si>
    <t>M. DEL MONTE SL CANALONES</t>
  </si>
  <si>
    <t>1</t>
  </si>
  <si>
    <t>X6931118E</t>
  </si>
  <si>
    <t>ADRIAN CODITA</t>
  </si>
  <si>
    <t>VEN/20232732</t>
  </si>
  <si>
    <t>04/24</t>
  </si>
  <si>
    <t>0667741T</t>
  </si>
  <si>
    <t>65678</t>
  </si>
  <si>
    <t>pagado 29/02/</t>
  </si>
  <si>
    <t>pagado 16/02/</t>
  </si>
  <si>
    <t>pagado 01/03/</t>
  </si>
  <si>
    <t>al03</t>
  </si>
  <si>
    <t>pagado 21/02/</t>
  </si>
  <si>
    <t>49</t>
  </si>
  <si>
    <t>A79079547</t>
  </si>
  <si>
    <t>INMOBILIARIA HERMANOS RUBIO SA</t>
  </si>
  <si>
    <t>pagada 05/03/</t>
  </si>
  <si>
    <t>B84667675</t>
  </si>
  <si>
    <t>DECOR EXCEL</t>
  </si>
  <si>
    <t>B88580113</t>
  </si>
  <si>
    <t>EUROCONTRUCCIONES 2020</t>
  </si>
  <si>
    <t>0120880</t>
  </si>
  <si>
    <t>0120881</t>
  </si>
  <si>
    <t>3/2024</t>
  </si>
  <si>
    <t>B83667675</t>
  </si>
  <si>
    <t>FVM2404870</t>
  </si>
  <si>
    <t>B66049057</t>
  </si>
  <si>
    <t>TA78Y0172325</t>
  </si>
  <si>
    <t>TA78Y0172323</t>
  </si>
  <si>
    <t>TA78Y0172324</t>
  </si>
  <si>
    <t>TA78Y0172326</t>
  </si>
  <si>
    <t>28-C4U1-048659</t>
  </si>
  <si>
    <t>2</t>
  </si>
  <si>
    <t>2122631</t>
  </si>
  <si>
    <t>ORD_498_2024/0006666</t>
  </si>
  <si>
    <t>B88343280</t>
  </si>
  <si>
    <t>BAMBOO ASIA</t>
  </si>
  <si>
    <t>24TK004991</t>
  </si>
  <si>
    <t>A32310484</t>
  </si>
  <si>
    <t>MESON DE EROSA</t>
  </si>
  <si>
    <t>1653291</t>
  </si>
  <si>
    <t>VEC RIOS SL</t>
  </si>
  <si>
    <t>pagada 23/01/</t>
  </si>
  <si>
    <t>S08971717</t>
  </si>
  <si>
    <t>pagado 08/03</t>
  </si>
  <si>
    <t>pagado 08/03/</t>
  </si>
  <si>
    <t>VEN/20235285</t>
  </si>
  <si>
    <t>76128</t>
  </si>
  <si>
    <t>423/24</t>
  </si>
  <si>
    <t>VAL/20066009</t>
  </si>
  <si>
    <t>12/2024</t>
  </si>
  <si>
    <t>EMANUEL  CODITA Y OLARIUA SILVANA</t>
  </si>
  <si>
    <t>03/24</t>
  </si>
  <si>
    <t>FT124/625</t>
  </si>
  <si>
    <t>012-0002-686497</t>
  </si>
  <si>
    <t>00002-2024/A0101/00001546</t>
  </si>
  <si>
    <t>00002-2024/A0103/00003201</t>
  </si>
  <si>
    <t>012-0002-690255</t>
  </si>
  <si>
    <t>012-0002-690404</t>
  </si>
  <si>
    <t>24/00031</t>
  </si>
  <si>
    <t>2024000145</t>
  </si>
  <si>
    <t>B87812681</t>
  </si>
  <si>
    <t>LADUNI GLOBAL</t>
  </si>
  <si>
    <t>027612</t>
  </si>
  <si>
    <t>B78036316</t>
  </si>
  <si>
    <t>TRANSMAVE SL</t>
  </si>
  <si>
    <t>012-0002-698802</t>
  </si>
  <si>
    <t>012-0002-698692</t>
  </si>
  <si>
    <t>012-0002-707529</t>
  </si>
  <si>
    <t>FSCG 1409</t>
  </si>
  <si>
    <t>012-0002-709265</t>
  </si>
  <si>
    <t>012-0002-711914</t>
  </si>
  <si>
    <t>00002-2024/A0103/000004002</t>
  </si>
  <si>
    <t>1084</t>
  </si>
  <si>
    <t>24FAS000686</t>
  </si>
  <si>
    <t>T011012098</t>
  </si>
  <si>
    <t>B87978615</t>
  </si>
  <si>
    <t>MANOLO BAKES</t>
  </si>
  <si>
    <t>E12002024000000051</t>
  </si>
  <si>
    <t>1-278</t>
  </si>
  <si>
    <t>E12002024000000761</t>
  </si>
  <si>
    <t>24FAS000803</t>
  </si>
  <si>
    <t>505</t>
  </si>
  <si>
    <t>B30325468</t>
  </si>
  <si>
    <t>AREA SUNSET</t>
  </si>
  <si>
    <t>1/23395</t>
  </si>
  <si>
    <t>096378/A/24/000393</t>
  </si>
  <si>
    <t>034377/A/24/001096</t>
  </si>
  <si>
    <t>227</t>
  </si>
  <si>
    <t>27893</t>
  </si>
  <si>
    <t>BONAJA 2 SL</t>
  </si>
  <si>
    <t>S1202401001-000766</t>
  </si>
  <si>
    <t>B73144834</t>
  </si>
  <si>
    <t>T-6292</t>
  </si>
  <si>
    <t>TB046401</t>
  </si>
  <si>
    <t>B83694669</t>
  </si>
  <si>
    <t>WELAT</t>
  </si>
  <si>
    <t>00730023202402000349</t>
  </si>
  <si>
    <t>B87078911</t>
  </si>
  <si>
    <t>MM0000295040</t>
  </si>
  <si>
    <t>00002-2024/a0101/00001894</t>
  </si>
  <si>
    <t>FACG 1696</t>
  </si>
  <si>
    <t>00002-2024/A0102/00001158</t>
  </si>
  <si>
    <t>012-0003-737322</t>
  </si>
  <si>
    <t>00002-2024/A0104/00002636</t>
  </si>
  <si>
    <t>00002-2024/A0121/00000523</t>
  </si>
  <si>
    <t>024-0003-961312</t>
  </si>
  <si>
    <t>024-0003-961431</t>
  </si>
  <si>
    <t>012-0003-745526</t>
  </si>
  <si>
    <t>FACG 1837</t>
  </si>
  <si>
    <t>FACG 1850</t>
  </si>
  <si>
    <t>1 24 0005 0001025861</t>
  </si>
  <si>
    <t>A79935607</t>
  </si>
  <si>
    <t>DECATHLON</t>
  </si>
  <si>
    <t>00002-2024/A0103/00004850</t>
  </si>
  <si>
    <t>FACG 1881</t>
  </si>
  <si>
    <t>00002-2024/A0103/00004958</t>
  </si>
  <si>
    <t>FC2024-00000018</t>
  </si>
  <si>
    <t>NEUMATICOS BEETLECAR SC</t>
  </si>
  <si>
    <t>CO F24 0100000623</t>
  </si>
  <si>
    <t>20240030</t>
  </si>
  <si>
    <t>20240031</t>
  </si>
  <si>
    <t>20240032</t>
  </si>
  <si>
    <t>20240033</t>
  </si>
  <si>
    <t>pagado 13/03/</t>
  </si>
  <si>
    <t>097-0002-124946</t>
  </si>
  <si>
    <t>097-0002-124947</t>
  </si>
  <si>
    <t>1.381.103</t>
  </si>
  <si>
    <t>B27241439</t>
  </si>
  <si>
    <t>RECAMBIOS ROBERTO SL</t>
  </si>
  <si>
    <t>024-0002-929697</t>
  </si>
  <si>
    <t>0240002680</t>
  </si>
  <si>
    <t>0240002336</t>
  </si>
  <si>
    <t>046-0002-930089</t>
  </si>
  <si>
    <t>101137315</t>
  </si>
  <si>
    <t>5020049210</t>
  </si>
  <si>
    <t>DE283313489</t>
  </si>
  <si>
    <t>DORINT</t>
  </si>
  <si>
    <t>1413105355</t>
  </si>
  <si>
    <t>0240001471</t>
  </si>
  <si>
    <t>ES0022S2402128</t>
  </si>
  <si>
    <t>GROUPE SEB IBERICA SA</t>
  </si>
  <si>
    <t>1416101495</t>
  </si>
  <si>
    <t>ORD_031_2023/0019985</t>
  </si>
  <si>
    <t>096670/A/24/001351</t>
  </si>
  <si>
    <t>096671/A/24/001414</t>
  </si>
  <si>
    <t>249000280617</t>
  </si>
  <si>
    <t>B23709892</t>
  </si>
  <si>
    <t>PETROPRIX</t>
  </si>
  <si>
    <t>24236200886</t>
  </si>
  <si>
    <t>2024/000118</t>
  </si>
  <si>
    <t>pagado 14/03/</t>
  </si>
  <si>
    <t>5477202400004157</t>
  </si>
  <si>
    <t>5477202400007436</t>
  </si>
  <si>
    <t>5477202400698243</t>
  </si>
  <si>
    <t>5477202400366543</t>
  </si>
  <si>
    <t>5477-2024-00367104</t>
  </si>
  <si>
    <t>60BDFE00213</t>
  </si>
  <si>
    <t>B88400015</t>
  </si>
  <si>
    <t>METALTIM</t>
  </si>
  <si>
    <t xml:space="preserve">GESTION </t>
  </si>
  <si>
    <t>24103507</t>
  </si>
  <si>
    <t>pagado 15/03/</t>
  </si>
  <si>
    <t>E12002024000000899</t>
  </si>
  <si>
    <t>E12002024000000855</t>
  </si>
  <si>
    <t>003720024/00000632</t>
  </si>
  <si>
    <t>096622/A/24/000849</t>
  </si>
  <si>
    <t>043813024/00002785</t>
  </si>
  <si>
    <t>1-5302</t>
  </si>
  <si>
    <t>05424FE000002781</t>
  </si>
  <si>
    <t>1/23548</t>
  </si>
  <si>
    <t>62271</t>
  </si>
  <si>
    <t>74044217H</t>
  </si>
  <si>
    <t>BAR RL PUERTO LA MANGA</t>
  </si>
  <si>
    <t>T-270527</t>
  </si>
  <si>
    <t>F88123146</t>
  </si>
  <si>
    <t>00000055</t>
  </si>
  <si>
    <t>B87194353</t>
  </si>
  <si>
    <t>ALMEIDA HOSTELERIA SL</t>
  </si>
  <si>
    <t>1/1884</t>
  </si>
  <si>
    <t>B88173323</t>
  </si>
  <si>
    <t>MESON TOLEDANO</t>
  </si>
  <si>
    <t>24103810</t>
  </si>
  <si>
    <t>A/669</t>
  </si>
  <si>
    <t>045-0003-36410</t>
  </si>
  <si>
    <t>25/2024</t>
  </si>
  <si>
    <t>B80990112</t>
  </si>
  <si>
    <t>MARMOLES ARGANDA SL</t>
  </si>
  <si>
    <t>1418109324</t>
  </si>
  <si>
    <t>A/698</t>
  </si>
  <si>
    <t>A/699</t>
  </si>
  <si>
    <t>A/472</t>
  </si>
  <si>
    <t>1053-C</t>
  </si>
  <si>
    <t>A/1056</t>
  </si>
  <si>
    <t>A/1528</t>
  </si>
  <si>
    <t>A/2701</t>
  </si>
  <si>
    <t>A/13776</t>
  </si>
  <si>
    <t>A/2023</t>
  </si>
  <si>
    <t>A1747</t>
  </si>
  <si>
    <t>A/1808</t>
  </si>
  <si>
    <t>A/1801</t>
  </si>
  <si>
    <t>A/2959</t>
  </si>
  <si>
    <t>A/2964</t>
  </si>
  <si>
    <t>A82977</t>
  </si>
  <si>
    <t>A/2349</t>
  </si>
  <si>
    <t>A/2262</t>
  </si>
  <si>
    <t>A/2475</t>
  </si>
  <si>
    <t>A/2489</t>
  </si>
  <si>
    <t>A/2621</t>
  </si>
  <si>
    <t>A/2615</t>
  </si>
  <si>
    <t>A/2140</t>
  </si>
  <si>
    <t>012-0001-630603</t>
  </si>
  <si>
    <t>007-0002-401301</t>
  </si>
  <si>
    <t>012-0001-615067</t>
  </si>
  <si>
    <t>007-0001-389919</t>
  </si>
  <si>
    <t>012-0001-597035</t>
  </si>
  <si>
    <t>012-0001-576721</t>
  </si>
  <si>
    <t>012-0001-576835</t>
  </si>
  <si>
    <t>007-0001-399410</t>
  </si>
  <si>
    <t>007-0001-398271</t>
  </si>
  <si>
    <t>012-0001-624539</t>
  </si>
  <si>
    <t>004-0001-252326</t>
  </si>
  <si>
    <t>004-0001-252388</t>
  </si>
  <si>
    <t>004-0001-252264</t>
  </si>
  <si>
    <t>007-0001-387964</t>
  </si>
  <si>
    <t>007-0001-387901</t>
  </si>
  <si>
    <t>012-0001-604415</t>
  </si>
  <si>
    <t>007-0001-388864</t>
  </si>
  <si>
    <t>007-0001-390133</t>
  </si>
  <si>
    <t>007-0001-390271</t>
  </si>
  <si>
    <t>007-0001-390262</t>
  </si>
  <si>
    <t>012-0001-604379</t>
  </si>
  <si>
    <t>007-0001-392778</t>
  </si>
  <si>
    <t>007-0001-391762</t>
  </si>
  <si>
    <t>007-0001-391797</t>
  </si>
  <si>
    <t>007-0001-391782</t>
  </si>
  <si>
    <t>007-0001-391776</t>
  </si>
  <si>
    <t>004-0001-245785</t>
  </si>
  <si>
    <t>012-0001-618173</t>
  </si>
  <si>
    <t>012-0001-617610</t>
  </si>
  <si>
    <t>012-0001-618131</t>
  </si>
  <si>
    <t>007-0001-393860</t>
  </si>
  <si>
    <t>007-0001-393818</t>
  </si>
  <si>
    <t>004-0001-214925</t>
  </si>
  <si>
    <t>007-0001-370923</t>
  </si>
  <si>
    <t>007-0001-374275</t>
  </si>
  <si>
    <t>012-0001-575012</t>
  </si>
  <si>
    <t>007-0001-379597</t>
  </si>
  <si>
    <t>007-0001-383899</t>
  </si>
  <si>
    <t>007-0001-381710</t>
  </si>
  <si>
    <t>007-0001-397145</t>
  </si>
  <si>
    <t>007-0001-R057586</t>
  </si>
  <si>
    <t>004-0001-245790</t>
  </si>
  <si>
    <t>007-0001-368719</t>
  </si>
  <si>
    <t>012-0001-561015</t>
  </si>
  <si>
    <t>012-0001-560895</t>
  </si>
  <si>
    <t>007-0002-412347</t>
  </si>
  <si>
    <t>007-0002-412312</t>
  </si>
  <si>
    <t>007-0002-411372</t>
  </si>
  <si>
    <t>007-0002-409871</t>
  </si>
  <si>
    <t>007-0002-408797</t>
  </si>
  <si>
    <t>007-0002-405984</t>
  </si>
  <si>
    <t>007-0002-407366</t>
  </si>
  <si>
    <t>007-0002-412612</t>
  </si>
  <si>
    <t>007-0002-415405</t>
  </si>
  <si>
    <t>011-0002-734046</t>
  </si>
  <si>
    <t>007-0002-415460</t>
  </si>
  <si>
    <t>007-0002-416819</t>
  </si>
  <si>
    <t>007-0002-416862</t>
  </si>
  <si>
    <t>007-0002-R059311</t>
  </si>
  <si>
    <t>007-0002-417076</t>
  </si>
  <si>
    <t>007-0003-442094</t>
  </si>
  <si>
    <t>007-0003-441772</t>
  </si>
  <si>
    <t>007-0003-441734</t>
  </si>
  <si>
    <t>007-0003-441424</t>
  </si>
  <si>
    <t>007-0003-441382</t>
  </si>
  <si>
    <t>29/02/224</t>
  </si>
  <si>
    <t>007-0002-439966</t>
  </si>
  <si>
    <t>007-0003-444711</t>
  </si>
  <si>
    <t>012-0003-731015</t>
  </si>
  <si>
    <t>012-0003-730970</t>
  </si>
  <si>
    <t>007-0003-445392</t>
  </si>
  <si>
    <t>007-0002-427542</t>
  </si>
  <si>
    <t>007-0002-427449</t>
  </si>
  <si>
    <t>007-0002-426713</t>
  </si>
  <si>
    <t>007-0002-426697</t>
  </si>
  <si>
    <t>007-0002-425652</t>
  </si>
  <si>
    <t>007-0002-425607</t>
  </si>
  <si>
    <t>007-0002-425605</t>
  </si>
  <si>
    <t>007-0002-422868</t>
  </si>
  <si>
    <t>007-0002-421983</t>
  </si>
  <si>
    <t>007-0002-R059827</t>
  </si>
  <si>
    <t>007-0002-422223</t>
  </si>
  <si>
    <t>007-0002-422023</t>
  </si>
  <si>
    <t>007-0002-422258</t>
  </si>
  <si>
    <t>011-0002-740008</t>
  </si>
  <si>
    <t>007-0002-422393</t>
  </si>
  <si>
    <t>007-0002-418580</t>
  </si>
  <si>
    <t>007-0002-418538</t>
  </si>
  <si>
    <t>011-0002-R992352</t>
  </si>
  <si>
    <t>011-0002-738046</t>
  </si>
  <si>
    <t>011-0002-739756</t>
  </si>
  <si>
    <t>011-0002-739780</t>
  </si>
  <si>
    <t>011-0002-740040</t>
  </si>
  <si>
    <t>007-0002-428485</t>
  </si>
  <si>
    <t>007-0002-429007</t>
  </si>
  <si>
    <t>007-0002-438781</t>
  </si>
  <si>
    <t>007-0002-438286</t>
  </si>
  <si>
    <t>007-0002-438254</t>
  </si>
  <si>
    <t>007-0002-428499</t>
  </si>
  <si>
    <t>007-0002-430015</t>
  </si>
  <si>
    <t>007-0002-430894</t>
  </si>
  <si>
    <t>007-0002-436676</t>
  </si>
  <si>
    <t>007-0002-R061331</t>
  </si>
  <si>
    <t>011-0003-778436</t>
  </si>
  <si>
    <t>007-0003-454448</t>
  </si>
  <si>
    <t>012-0003-745534</t>
  </si>
  <si>
    <t>007-0003-451295</t>
  </si>
  <si>
    <t>007-0003-456337</t>
  </si>
  <si>
    <t>007-0003-454925</t>
  </si>
  <si>
    <t>007-0003-456287</t>
  </si>
  <si>
    <t>007-0003-446521</t>
  </si>
  <si>
    <t>007-0003-451240</t>
  </si>
  <si>
    <t>007-0003-448120</t>
  </si>
  <si>
    <t>02214</t>
  </si>
  <si>
    <t>B87096244</t>
  </si>
  <si>
    <t>001D2400005706</t>
  </si>
  <si>
    <t>001D2400006073</t>
  </si>
  <si>
    <t>950/5002940</t>
  </si>
  <si>
    <t>B66810045</t>
  </si>
  <si>
    <t>LA ESPECIALISTA</t>
  </si>
  <si>
    <t>0240003986</t>
  </si>
  <si>
    <t xml:space="preserve"> 00002-2024/A1001/00000442</t>
  </si>
  <si>
    <t>024-0002-933202</t>
  </si>
  <si>
    <t>0240002949</t>
  </si>
  <si>
    <t>240000249</t>
  </si>
  <si>
    <t>B85132264</t>
  </si>
  <si>
    <t>MC BRICOESCORIAL SL</t>
  </si>
  <si>
    <t>1417105940</t>
  </si>
  <si>
    <t>1417101657</t>
  </si>
  <si>
    <t>1433100046</t>
  </si>
  <si>
    <t>012-0001-570547</t>
  </si>
  <si>
    <t>240000252</t>
  </si>
  <si>
    <t>1132</t>
  </si>
  <si>
    <t>240000220</t>
  </si>
  <si>
    <t>240000067</t>
  </si>
  <si>
    <t>096622/A/24/000199</t>
  </si>
  <si>
    <t>0000098745</t>
  </si>
  <si>
    <t>E12007224TS000FE000041</t>
  </si>
  <si>
    <t>096268/A/24/000387</t>
  </si>
  <si>
    <t>096268/A/24/000349</t>
  </si>
  <si>
    <t>0010905</t>
  </si>
  <si>
    <t>pagado 18/03/</t>
  </si>
  <si>
    <t>pagado 19/03/</t>
  </si>
  <si>
    <t>AT2241242100345</t>
  </si>
  <si>
    <t>AT2241242100344</t>
  </si>
  <si>
    <t>AT2241242100986</t>
  </si>
  <si>
    <t>AT1241241101536</t>
  </si>
  <si>
    <t>096268/A/24/000289</t>
  </si>
  <si>
    <t>033007/A/24/000369</t>
  </si>
  <si>
    <t>096268/A/24/000198</t>
  </si>
  <si>
    <t>096268/A/24/000173</t>
  </si>
  <si>
    <t>096268/A/24/000135</t>
  </si>
  <si>
    <t>033007/A/24/000199</t>
  </si>
  <si>
    <t>096792/A/24/000151</t>
  </si>
  <si>
    <t>E120071246LJ2WFE000125</t>
  </si>
  <si>
    <t>E12007224TS000FE000172</t>
  </si>
  <si>
    <t>E12007224TS000FE000268</t>
  </si>
  <si>
    <t>5478-2024-00674855</t>
  </si>
  <si>
    <t>E120071246LJ2WFE000183</t>
  </si>
  <si>
    <t>pagado 21/03/</t>
  </si>
  <si>
    <t>H81538928</t>
  </si>
  <si>
    <t>C.P. DOCTOR MATA 2-4-6</t>
  </si>
  <si>
    <t>B-4210</t>
  </si>
  <si>
    <t>B79795597</t>
  </si>
  <si>
    <t>IPE MADERAS 1991 SLU</t>
  </si>
  <si>
    <t>5</t>
  </si>
  <si>
    <t>X6903389P</t>
  </si>
  <si>
    <t>ALEXANDRO MIHAILA</t>
  </si>
  <si>
    <t>0254</t>
  </si>
  <si>
    <t>46868279</t>
  </si>
  <si>
    <t>2024/826</t>
  </si>
  <si>
    <t>43137937B</t>
  </si>
  <si>
    <t>FRANCISCO RODRIGUEZ MACIAS</t>
  </si>
  <si>
    <t>094/03</t>
  </si>
  <si>
    <t>M.DEL MONTE S.L. CANALONES</t>
  </si>
  <si>
    <t>1212333</t>
  </si>
  <si>
    <t>55233250S</t>
  </si>
  <si>
    <t>JONATHAN MAYOL DOMINGUEZ</t>
  </si>
  <si>
    <t>VEN/20238132</t>
  </si>
  <si>
    <t>2024/18</t>
  </si>
  <si>
    <t>53145180T</t>
  </si>
  <si>
    <t>TRANSPORTES SIMARRO</t>
  </si>
  <si>
    <t>00004</t>
  </si>
  <si>
    <t>2123223</t>
  </si>
  <si>
    <t>f241004</t>
  </si>
  <si>
    <t>A01</t>
  </si>
  <si>
    <t>E226-60527852</t>
  </si>
  <si>
    <t>A82037929</t>
  </si>
  <si>
    <t>92436</t>
  </si>
  <si>
    <t>09/24</t>
  </si>
  <si>
    <t>19/24</t>
  </si>
  <si>
    <t>9124003622</t>
  </si>
  <si>
    <t>1 000352</t>
  </si>
  <si>
    <t>B45878261</t>
  </si>
  <si>
    <t>STEINBOX SL</t>
  </si>
  <si>
    <t>pagado 27/03/</t>
  </si>
  <si>
    <t>pagado 28/03/</t>
  </si>
  <si>
    <t>B31246820</t>
  </si>
  <si>
    <t>INNOMAT</t>
  </si>
  <si>
    <t>24104759</t>
  </si>
  <si>
    <t>99931</t>
  </si>
  <si>
    <t>VEN/20240606</t>
  </si>
  <si>
    <t>0121524</t>
  </si>
  <si>
    <t>pagado 22/03/</t>
  </si>
  <si>
    <t>ADVENTURE PARTS SRL</t>
  </si>
  <si>
    <t>00002-2024/A0602/0003147</t>
  </si>
  <si>
    <t>012-0003-785867</t>
  </si>
  <si>
    <t>012-0003-785841</t>
  </si>
  <si>
    <t>00002-2024/A0101/00002260</t>
  </si>
  <si>
    <t>00002-2024/A0103/00005906</t>
  </si>
  <si>
    <t>RO-1026</t>
  </si>
  <si>
    <t>B80203078</t>
  </si>
  <si>
    <t>LA FUENTE SEGOVIANA</t>
  </si>
  <si>
    <t>012-0003-779586</t>
  </si>
  <si>
    <t>012-0003-779529</t>
  </si>
  <si>
    <t>V24-2421</t>
  </si>
  <si>
    <t>B85749323</t>
  </si>
  <si>
    <t>HERREROCONS MATERIALES SL</t>
  </si>
  <si>
    <t>012-0003-775643</t>
  </si>
  <si>
    <t>00002-2024/A0102/00001375</t>
  </si>
  <si>
    <t>A/3316</t>
  </si>
  <si>
    <t>0240003675</t>
  </si>
  <si>
    <t>012-0003-763495</t>
  </si>
  <si>
    <t>012-0003-763282</t>
  </si>
  <si>
    <t>012-0003-763447</t>
  </si>
  <si>
    <t>012-0003-763038</t>
  </si>
  <si>
    <t>012-0003-760797</t>
  </si>
  <si>
    <t>1794</t>
  </si>
  <si>
    <t>096622/A/24/000931</t>
  </si>
  <si>
    <t>034377/A/24/001703</t>
  </si>
  <si>
    <t>096622/A/24/001088</t>
  </si>
  <si>
    <t>10110323</t>
  </si>
  <si>
    <t>00210021202403000273</t>
  </si>
  <si>
    <t>00210022202403000367</t>
  </si>
  <si>
    <t>003720024/00000790</t>
  </si>
  <si>
    <t>24FAS001048</t>
  </si>
  <si>
    <t>10110316</t>
  </si>
  <si>
    <t>22724FE000003877</t>
  </si>
  <si>
    <t>00210023202403000376</t>
  </si>
  <si>
    <t>1-6391</t>
  </si>
  <si>
    <t>00336023202403001402</t>
  </si>
  <si>
    <t>B27449388</t>
  </si>
  <si>
    <t>096792/A/24/000325</t>
  </si>
  <si>
    <t>T-273502</t>
  </si>
  <si>
    <t>t-3192-1 f2-00005222</t>
  </si>
  <si>
    <t>B56911159</t>
  </si>
  <si>
    <t>GARITO EL GARITO</t>
  </si>
  <si>
    <t>24ft000274</t>
  </si>
  <si>
    <t>T-7889</t>
  </si>
  <si>
    <t>320426/T-320051</t>
  </si>
  <si>
    <t>B86321627</t>
  </si>
  <si>
    <t>LA LABRANZA</t>
  </si>
  <si>
    <t>FT124/304</t>
  </si>
  <si>
    <t>240000200</t>
  </si>
  <si>
    <t>402703332</t>
  </si>
  <si>
    <t>A78875499</t>
  </si>
  <si>
    <t>SUMINISTROS ELECTRICOS GUARCONSA</t>
  </si>
  <si>
    <t>012-0003-796697</t>
  </si>
  <si>
    <t>FT124/289</t>
  </si>
  <si>
    <t>E226-60529789</t>
  </si>
  <si>
    <t>012-0003-801520</t>
  </si>
  <si>
    <t>402703372</t>
  </si>
  <si>
    <t>00002-A0102/00001746</t>
  </si>
  <si>
    <t>E226-60529799</t>
  </si>
  <si>
    <t xml:space="preserve">MATERIAL </t>
  </si>
  <si>
    <t>046-0003-938229</t>
  </si>
  <si>
    <t>1/351/20/239577</t>
  </si>
  <si>
    <t>A/FA-241057</t>
  </si>
  <si>
    <t>B85123040</t>
  </si>
  <si>
    <t xml:space="preserve">IPETEL ADQUISICIONES </t>
  </si>
  <si>
    <t>3-002006</t>
  </si>
  <si>
    <t>B81943433</t>
  </si>
  <si>
    <t>FLORAMA ARTE FLORAL</t>
  </si>
  <si>
    <t>240000333</t>
  </si>
  <si>
    <t>BC BRICO ESCORIAL</t>
  </si>
  <si>
    <t>024-0001-839758</t>
  </si>
  <si>
    <t>024-0002-891861</t>
  </si>
  <si>
    <t>018-0002-210716</t>
  </si>
  <si>
    <t>I102124AA077954</t>
  </si>
  <si>
    <t>1415103499</t>
  </si>
  <si>
    <t>007-0003-451662</t>
  </si>
  <si>
    <t>452701278</t>
  </si>
  <si>
    <t>B84753292</t>
  </si>
  <si>
    <t>452701203</t>
  </si>
  <si>
    <t>452701305</t>
  </si>
  <si>
    <t>451700132</t>
  </si>
  <si>
    <t>452701317</t>
  </si>
  <si>
    <t>024-0003-978184</t>
  </si>
  <si>
    <t>I106124AB016713</t>
  </si>
  <si>
    <t>E12007224TS000FE000294</t>
  </si>
  <si>
    <t>E12002024000000109</t>
  </si>
  <si>
    <t>E12007224TS000FE000325</t>
  </si>
  <si>
    <t>E12007224TS000FE000149</t>
  </si>
  <si>
    <t>E12007224TS000FE000046</t>
  </si>
  <si>
    <t>0000045004</t>
  </si>
  <si>
    <t>0000100096</t>
  </si>
  <si>
    <t>096268/A/24/000252</t>
  </si>
  <si>
    <t>033007/A/24/000784</t>
  </si>
  <si>
    <t>096671/A/24/002099</t>
  </si>
  <si>
    <t>033939/A/24/000072</t>
  </si>
  <si>
    <t>012010015806AA0E05042024000000323</t>
  </si>
  <si>
    <t>0010025397</t>
  </si>
  <si>
    <t>097029/A/24/000481</t>
  </si>
  <si>
    <t>0010018179</t>
  </si>
  <si>
    <t>0240004258</t>
  </si>
  <si>
    <t>0240003478</t>
  </si>
  <si>
    <t>P24CON006864634</t>
  </si>
  <si>
    <t>007-0003-452094</t>
  </si>
  <si>
    <t>A/3999</t>
  </si>
  <si>
    <t>2024FBFN00649594</t>
  </si>
  <si>
    <t>A28425270</t>
  </si>
  <si>
    <t>CARREFOUR</t>
  </si>
  <si>
    <t>007-0003-472371</t>
  </si>
  <si>
    <t>011-0003-799814</t>
  </si>
  <si>
    <t>007-0003-477062</t>
  </si>
  <si>
    <t>209</t>
  </si>
  <si>
    <t>X8683862M</t>
  </si>
  <si>
    <t>AURA MITOSERIU</t>
  </si>
  <si>
    <t>EN 2023 16/05/</t>
  </si>
  <si>
    <t>249000385482</t>
  </si>
  <si>
    <t>5477-2024-00376390</t>
  </si>
  <si>
    <t>5477-2024-00373702</t>
  </si>
  <si>
    <t>05/24</t>
  </si>
  <si>
    <t>006844</t>
  </si>
  <si>
    <t>51678288W</t>
  </si>
  <si>
    <t>BICIBOOM</t>
  </si>
  <si>
    <t>00519</t>
  </si>
  <si>
    <t>B87029518</t>
  </si>
  <si>
    <t>ESTUDIO DE COCINA COCISUR</t>
  </si>
  <si>
    <t>1433100075</t>
  </si>
  <si>
    <t>04/04/2024</t>
  </si>
  <si>
    <t>014/24</t>
  </si>
  <si>
    <t>512104958E</t>
  </si>
  <si>
    <t>000428</t>
  </si>
  <si>
    <t>024-0004-018363</t>
  </si>
  <si>
    <t>BRICOLAJE BRICOMAN SLU</t>
  </si>
  <si>
    <t>LGFON241241100434</t>
  </si>
  <si>
    <t>1414105717</t>
  </si>
  <si>
    <t>012-0004-821822</t>
  </si>
  <si>
    <t>R01 37</t>
  </si>
  <si>
    <t>B57991887</t>
  </si>
  <si>
    <t>BM MOBILIARIO HOTEL SL</t>
  </si>
  <si>
    <t>012-0004-813734</t>
  </si>
  <si>
    <t>012-0004-813781</t>
  </si>
  <si>
    <t>312/5155/2017</t>
  </si>
  <si>
    <t>DE261253179</t>
  </si>
  <si>
    <t>KSW AUTOMOBILE K. WEIBLE</t>
  </si>
  <si>
    <t>E12002024000000145</t>
  </si>
  <si>
    <t>E12007224TS000FE000344</t>
  </si>
  <si>
    <t>096622/A/24/001188</t>
  </si>
  <si>
    <t>0000100138</t>
  </si>
  <si>
    <t>A803938112</t>
  </si>
  <si>
    <t>68</t>
  </si>
  <si>
    <t>pagado 06/03</t>
  </si>
  <si>
    <t>69</t>
  </si>
  <si>
    <t>DOFITEC SOLUCIONES INTEGRALES SL</t>
  </si>
  <si>
    <t>9219,50€ 05/12/23</t>
  </si>
  <si>
    <t>1233,23€ 19/12/23</t>
  </si>
  <si>
    <t>70</t>
  </si>
  <si>
    <t>71</t>
  </si>
  <si>
    <t>495/24</t>
  </si>
  <si>
    <t>X6550467K</t>
  </si>
  <si>
    <t>INSTALATE CALIN HORATOI IELCEAN</t>
  </si>
  <si>
    <t>108976</t>
  </si>
  <si>
    <t>108975</t>
  </si>
  <si>
    <t>G 9251</t>
  </si>
  <si>
    <t>A28386225</t>
  </si>
  <si>
    <t>AZULEJOS PEÑA</t>
  </si>
  <si>
    <t>A/3573</t>
  </si>
  <si>
    <t>A/3927</t>
  </si>
  <si>
    <t>EC 614</t>
  </si>
  <si>
    <t>A/3749</t>
  </si>
  <si>
    <t>A/3893</t>
  </si>
  <si>
    <t>A/4090</t>
  </si>
  <si>
    <t>007-0003-461182</t>
  </si>
  <si>
    <t>024-0003-978079</t>
  </si>
  <si>
    <t>pagado 19/12</t>
  </si>
  <si>
    <t>007-0003-458108</t>
  </si>
  <si>
    <t>007-0003-461231</t>
  </si>
  <si>
    <t>007-0003-461110</t>
  </si>
  <si>
    <t>007-0003-464433</t>
  </si>
  <si>
    <t>007-0003-464472</t>
  </si>
  <si>
    <t>007-0003-464913</t>
  </si>
  <si>
    <t>007-0003-466399</t>
  </si>
  <si>
    <t>007-0003-466457</t>
  </si>
  <si>
    <t>007-0003-468107</t>
  </si>
  <si>
    <t>007-0003-468133</t>
  </si>
  <si>
    <t>007-0003-468749</t>
  </si>
  <si>
    <t>007-0003-469890</t>
  </si>
  <si>
    <t>011-0003-797159</t>
  </si>
  <si>
    <t>004-0003-351729</t>
  </si>
  <si>
    <t>007-0003-471185</t>
  </si>
  <si>
    <t>007-0003-471265</t>
  </si>
  <si>
    <t>007-0003-472439</t>
  </si>
  <si>
    <t>007-0003-472454</t>
  </si>
  <si>
    <t>007-0003-474794</t>
  </si>
  <si>
    <t>007-0003-480491</t>
  </si>
  <si>
    <t>249000398685</t>
  </si>
  <si>
    <t>249000398664</t>
  </si>
  <si>
    <t>001D2400007141</t>
  </si>
  <si>
    <t>001D2400006975</t>
  </si>
  <si>
    <t>001D2400006604</t>
  </si>
  <si>
    <t>72</t>
  </si>
  <si>
    <t>C.P. CRISTO DE LA SALUD</t>
  </si>
  <si>
    <t>A02</t>
  </si>
  <si>
    <t>X3868573L</t>
  </si>
  <si>
    <t>NICOLAE CRISAN</t>
  </si>
  <si>
    <t>A03</t>
  </si>
  <si>
    <t>TZ 403174</t>
  </si>
  <si>
    <t>AL04</t>
  </si>
  <si>
    <t>002</t>
  </si>
  <si>
    <t>47552745</t>
  </si>
  <si>
    <t>SADOVSKI IGOR</t>
  </si>
  <si>
    <t>SERVICIOS</t>
  </si>
  <si>
    <t>24/041</t>
  </si>
  <si>
    <t>AIRCLIMA 2000 SL</t>
  </si>
  <si>
    <t>007-0004-482255</t>
  </si>
  <si>
    <t>012-0004-815225</t>
  </si>
  <si>
    <t>007-0004-484276</t>
  </si>
  <si>
    <t>A/4308</t>
  </si>
  <si>
    <t>A/4376</t>
  </si>
  <si>
    <t>06/24</t>
  </si>
  <si>
    <t>F241176</t>
  </si>
  <si>
    <t>pagado 10/04/</t>
  </si>
  <si>
    <t>73</t>
  </si>
  <si>
    <t>74</t>
  </si>
  <si>
    <t>H81315194</t>
  </si>
  <si>
    <t>C.P. OSA MENOR 12</t>
  </si>
  <si>
    <t>75</t>
  </si>
  <si>
    <t>76</t>
  </si>
  <si>
    <t>pagado 08/04/</t>
  </si>
  <si>
    <t>2024/23</t>
  </si>
  <si>
    <t>VEN/20243273</t>
  </si>
  <si>
    <t>VENTALUX ROXANA ADRIANA MARINA MARINA</t>
  </si>
  <si>
    <t>2024/24</t>
  </si>
  <si>
    <t>2024004</t>
  </si>
  <si>
    <t>X7745102J</t>
  </si>
  <si>
    <t>MARIUS MIHAI CIOCAN</t>
  </si>
  <si>
    <t>TA78Z0172580</t>
  </si>
  <si>
    <t>TA78Z0172579</t>
  </si>
  <si>
    <t>TA78Z0172578</t>
  </si>
  <si>
    <t>TA78Z0172581</t>
  </si>
  <si>
    <t>28-D4U1-015852</t>
  </si>
  <si>
    <t>QE 4637</t>
  </si>
  <si>
    <t>RO43082071</t>
  </si>
  <si>
    <t>QUICK EXPEDITII SRL</t>
  </si>
  <si>
    <t>2124044</t>
  </si>
  <si>
    <t>ICAR DISTRIBUCIONES FERRETERIAS SL I.D.F.</t>
  </si>
  <si>
    <t>116305</t>
  </si>
  <si>
    <t>116306</t>
  </si>
  <si>
    <t>116304</t>
  </si>
  <si>
    <t>GINTAV0012742</t>
  </si>
  <si>
    <t>74635008P</t>
  </si>
  <si>
    <t>EL MIRADOR</t>
  </si>
  <si>
    <t>B18546663</t>
  </si>
  <si>
    <t>RESTAURANTE ARRAYANES GRANADA SL</t>
  </si>
  <si>
    <t>001D2400008120</t>
  </si>
  <si>
    <t>240317</t>
  </si>
  <si>
    <t>B45004827</t>
  </si>
  <si>
    <t>BEDYFA SL</t>
  </si>
  <si>
    <t>240318</t>
  </si>
  <si>
    <t>77</t>
  </si>
  <si>
    <t>CONSEJERIA DE VIVIENDA TRASP. E INFRAESTRUCTURA</t>
  </si>
  <si>
    <t>78</t>
  </si>
  <si>
    <t>79</t>
  </si>
  <si>
    <t>24105669</t>
  </si>
  <si>
    <t>24105670</t>
  </si>
  <si>
    <t>24105671</t>
  </si>
  <si>
    <t>0121872</t>
  </si>
  <si>
    <t>406400485</t>
  </si>
  <si>
    <t>SUMINISTROS ELECTRICOS BPV VALDEMORO SL</t>
  </si>
  <si>
    <t>A/5152</t>
  </si>
  <si>
    <t>105 000009780</t>
  </si>
  <si>
    <t>B79608345</t>
  </si>
  <si>
    <t>TREK BICYCLE SL</t>
  </si>
  <si>
    <t>00002-2024/A0101/00002996</t>
  </si>
  <si>
    <t>86</t>
  </si>
  <si>
    <t>52107388Z</t>
  </si>
  <si>
    <t>SILVIA SILVA BLAS</t>
  </si>
  <si>
    <t>00002-2024/A0103/00007428</t>
  </si>
  <si>
    <t>0002-2024/A0101/00002979</t>
  </si>
  <si>
    <t>OV-2249</t>
  </si>
  <si>
    <t>LAFUENTE SEGOVIA SL</t>
  </si>
  <si>
    <t>012-0004-849188</t>
  </si>
  <si>
    <t>A/4781</t>
  </si>
  <si>
    <t>00002-2024/A0103/00007158</t>
  </si>
  <si>
    <t>FACG 2731</t>
  </si>
  <si>
    <t>ESCAYOLAS EUROPA</t>
  </si>
  <si>
    <t>012-0004-841744</t>
  </si>
  <si>
    <t>012-0004-840439</t>
  </si>
  <si>
    <t>00002-2024/A0103/00006775</t>
  </si>
  <si>
    <t>E12002024000000305</t>
  </si>
  <si>
    <t>E12002024000000422</t>
  </si>
  <si>
    <t>pagado 18/04/</t>
  </si>
  <si>
    <t>003720024/00000264</t>
  </si>
  <si>
    <t>018-0002-204158</t>
  </si>
  <si>
    <t>432703232</t>
  </si>
  <si>
    <t>B86636024</t>
  </si>
  <si>
    <t>SUMINISTROS ELECTRICOS GUARDEÑO</t>
  </si>
  <si>
    <t>00002-2024/A0101/00003142</t>
  </si>
  <si>
    <t>03824FE000002520</t>
  </si>
  <si>
    <t>MARKOIL S.A.U.</t>
  </si>
  <si>
    <t>2024-0093</t>
  </si>
  <si>
    <t>B88223466</t>
  </si>
  <si>
    <t>PIKYOE AUTOMOCION SL</t>
  </si>
  <si>
    <t>FAC 2024000169</t>
  </si>
  <si>
    <t>B86245891</t>
  </si>
  <si>
    <t>AUTOS GAITAN SERVICE SLU</t>
  </si>
  <si>
    <t>VEN/20246140</t>
  </si>
  <si>
    <t>124282</t>
  </si>
  <si>
    <t>124283</t>
  </si>
  <si>
    <t>012-0004-883042</t>
  </si>
  <si>
    <t>RO-1424</t>
  </si>
  <si>
    <t>2024/102</t>
  </si>
  <si>
    <t>80</t>
  </si>
  <si>
    <t>81</t>
  </si>
  <si>
    <t>82</t>
  </si>
  <si>
    <t>83</t>
  </si>
  <si>
    <t>B87987798</t>
  </si>
  <si>
    <t>CPM PETRE ADAM</t>
  </si>
  <si>
    <t>84</t>
  </si>
  <si>
    <t>85</t>
  </si>
  <si>
    <t>B09243254</t>
  </si>
  <si>
    <t>PARQUETS FLOTANTES BURGOS SL</t>
  </si>
  <si>
    <t>pagado 25/04/</t>
  </si>
  <si>
    <t>2024-0105</t>
  </si>
  <si>
    <t>240355</t>
  </si>
  <si>
    <t>2024/000178</t>
  </si>
  <si>
    <t>PADRISA AUTOMOCION SL</t>
  </si>
  <si>
    <t>FILIP ADRIAN BALEA</t>
  </si>
  <si>
    <t>20240052</t>
  </si>
  <si>
    <t>24/00080</t>
  </si>
  <si>
    <t>pagada 26/04/</t>
  </si>
  <si>
    <t>132568</t>
  </si>
  <si>
    <t>132569</t>
  </si>
  <si>
    <t>2024002721</t>
  </si>
  <si>
    <t>A81862328</t>
  </si>
  <si>
    <t>NATUZZI IBERICA SA</t>
  </si>
  <si>
    <t>AL05</t>
  </si>
  <si>
    <t>87</t>
  </si>
  <si>
    <t>88</t>
  </si>
  <si>
    <t>89</t>
  </si>
  <si>
    <t>B31803943</t>
  </si>
  <si>
    <t>DECORACIONES J. GARCIA S.L.</t>
  </si>
  <si>
    <t>pagado 29/04/</t>
  </si>
  <si>
    <t>0122221</t>
  </si>
  <si>
    <t>19/2024</t>
  </si>
  <si>
    <t>FV02401618</t>
  </si>
  <si>
    <t>A45410891</t>
  </si>
  <si>
    <t>ECOMAMPARA</t>
  </si>
  <si>
    <t>VEN/20248929</t>
  </si>
  <si>
    <t>139782</t>
  </si>
  <si>
    <t>145518</t>
  </si>
  <si>
    <t>145519</t>
  </si>
  <si>
    <t>E19F/3541</t>
  </si>
  <si>
    <t>24106736</t>
  </si>
  <si>
    <t>24106737</t>
  </si>
  <si>
    <t>24106738</t>
  </si>
  <si>
    <t>24106739</t>
  </si>
  <si>
    <t>pagado 02/05</t>
  </si>
  <si>
    <t>pagado 03/05/</t>
  </si>
  <si>
    <t>pagado 06/05/</t>
  </si>
  <si>
    <t>00002-2024/A0101/00003492</t>
  </si>
  <si>
    <t>00002-2024/A0103/00008109</t>
  </si>
  <si>
    <t>00002-2024/A0103/00008107</t>
  </si>
  <si>
    <t>00002-2024/A0103/00007900</t>
  </si>
  <si>
    <t>012-0004-882073</t>
  </si>
  <si>
    <t>012-0004-881895</t>
  </si>
  <si>
    <t>00002-2024/A0102/00003493</t>
  </si>
  <si>
    <t>00002-2024/A0605/00001733</t>
  </si>
  <si>
    <t>1/351/3/242358</t>
  </si>
  <si>
    <t>00002-2024/A0103/00007608</t>
  </si>
  <si>
    <t>00002-2024/A0103/00007577</t>
  </si>
  <si>
    <t>00002-2024/A0103/00007576</t>
  </si>
  <si>
    <t>00002-2024/A0101/00003098</t>
  </si>
  <si>
    <t>24FAS001629</t>
  </si>
  <si>
    <t>E12002024000000572</t>
  </si>
  <si>
    <t>00210022202404001122</t>
  </si>
  <si>
    <t>Mc DONALD´S</t>
  </si>
  <si>
    <t>F241392</t>
  </si>
  <si>
    <t>CONTAMAR</t>
  </si>
  <si>
    <t>F241555</t>
  </si>
  <si>
    <t>90</t>
  </si>
  <si>
    <t>91</t>
  </si>
  <si>
    <t>05249621D</t>
  </si>
  <si>
    <t>ISABEL RODRIGUEZ ENRIQUEZ</t>
  </si>
  <si>
    <t>92</t>
  </si>
  <si>
    <t>pagado 07/05/</t>
  </si>
  <si>
    <t>2404-000065</t>
  </si>
  <si>
    <t>DE2323772077</t>
  </si>
  <si>
    <t>JENDRICH AUTOMOBILE</t>
  </si>
  <si>
    <t>pagado 12/04</t>
  </si>
  <si>
    <t>pagado 12/0/</t>
  </si>
  <si>
    <t>00002-2024/A0101/00003553</t>
  </si>
  <si>
    <t>08002-2024/A0101/000000302</t>
  </si>
  <si>
    <t>012-0004-908542</t>
  </si>
  <si>
    <t>406400565</t>
  </si>
  <si>
    <t>SUMINISTROS ELECTRICOS BPV VALDEMORO</t>
  </si>
  <si>
    <t>E226-60530833</t>
  </si>
  <si>
    <t>A82037292</t>
  </si>
  <si>
    <t>00002-2024/A0121/00000816</t>
  </si>
  <si>
    <t>14 40185</t>
  </si>
  <si>
    <t>B86101482</t>
  </si>
  <si>
    <t>REPARACIONES ANTON</t>
  </si>
  <si>
    <t>2633</t>
  </si>
  <si>
    <t>003720024/00001293</t>
  </si>
  <si>
    <t>028187024/00000834</t>
  </si>
  <si>
    <t>CEPSA</t>
  </si>
  <si>
    <t>E30012024000000881</t>
  </si>
  <si>
    <t>E30012024000000736</t>
  </si>
  <si>
    <t>096622/A/24/001225</t>
  </si>
  <si>
    <t>E12002024000000384</t>
  </si>
  <si>
    <t>E12002024000000590</t>
  </si>
  <si>
    <t>0000045054</t>
  </si>
  <si>
    <t>0000045083</t>
  </si>
  <si>
    <t>T-9608</t>
  </si>
  <si>
    <t>00730024202404000119</t>
  </si>
  <si>
    <t>143748</t>
  </si>
  <si>
    <t>B88171087</t>
  </si>
  <si>
    <t>PROYECTOS CONSCIENTES SL</t>
  </si>
  <si>
    <t>E12007224TS000FE000460</t>
  </si>
  <si>
    <t>E12007224TS000FE000437</t>
  </si>
  <si>
    <t>0000100592</t>
  </si>
  <si>
    <t>0000100528</t>
  </si>
  <si>
    <t>241.125</t>
  </si>
  <si>
    <t>B81086472</t>
  </si>
  <si>
    <t>PAVIMENTOS ESCORIAL</t>
  </si>
  <si>
    <t>241.079</t>
  </si>
  <si>
    <t>179139</t>
  </si>
  <si>
    <t>HIPER CASA</t>
  </si>
  <si>
    <t>242001200</t>
  </si>
  <si>
    <t>B23718232</t>
  </si>
  <si>
    <t>E.S. NAZAR DESPEÑAPEROS</t>
  </si>
  <si>
    <t>0240005928</t>
  </si>
  <si>
    <t>045-0004-380289</t>
  </si>
  <si>
    <t>002422</t>
  </si>
  <si>
    <t>2698531X</t>
  </si>
  <si>
    <t>GARDEN RIVAS</t>
  </si>
  <si>
    <t>245003217</t>
  </si>
  <si>
    <t>CEMEVISA</t>
  </si>
  <si>
    <t>20240060</t>
  </si>
  <si>
    <t>Y2602294L</t>
  </si>
  <si>
    <t>ELENA LAMBOVA DIMITROVA</t>
  </si>
  <si>
    <t>20240061</t>
  </si>
  <si>
    <t>0240005212</t>
  </si>
  <si>
    <t>0240005106</t>
  </si>
  <si>
    <t>0240004466</t>
  </si>
  <si>
    <t>0240004866</t>
  </si>
  <si>
    <t>0240005415</t>
  </si>
  <si>
    <t>0240005660</t>
  </si>
  <si>
    <t>E255-60808132</t>
  </si>
  <si>
    <t>176359</t>
  </si>
  <si>
    <t>B78402328</t>
  </si>
  <si>
    <t>SERVICIOS DIEZ SL</t>
  </si>
  <si>
    <t>018-0004-329193</t>
  </si>
  <si>
    <t>097-0003-129338</t>
  </si>
  <si>
    <t>GRX04 12406977</t>
  </si>
  <si>
    <t xml:space="preserve">HOTEL SANTOS SARAY </t>
  </si>
  <si>
    <t>12477</t>
  </si>
  <si>
    <t>B02826881</t>
  </si>
  <si>
    <t>A45537362</t>
  </si>
  <si>
    <t>ITV SESEÑA SA</t>
  </si>
  <si>
    <t>240202</t>
  </si>
  <si>
    <t>B86636826</t>
  </si>
  <si>
    <t>AUDAX STONE MADEMOL</t>
  </si>
  <si>
    <t>018-0004-342224</t>
  </si>
  <si>
    <t>272-0004-146216</t>
  </si>
  <si>
    <t>272-0004-146202</t>
  </si>
  <si>
    <t>452702010</t>
  </si>
  <si>
    <t>GUARCONSA ALCOBENDAS</t>
  </si>
  <si>
    <t>272-0004-146206</t>
  </si>
  <si>
    <t>018-0004-341002</t>
  </si>
  <si>
    <t>18-24-000831</t>
  </si>
  <si>
    <t>B85527844</t>
  </si>
  <si>
    <t>TOOLQUICK ALQUILER SL</t>
  </si>
  <si>
    <t>452702052</t>
  </si>
  <si>
    <t>452702024</t>
  </si>
  <si>
    <t>452702023</t>
  </si>
  <si>
    <t>0240005943</t>
  </si>
  <si>
    <t>0240006243</t>
  </si>
  <si>
    <t>1418114533</t>
  </si>
  <si>
    <t>011-0004-862641</t>
  </si>
  <si>
    <t>0240006538</t>
  </si>
  <si>
    <t>432703451</t>
  </si>
  <si>
    <t>431700362</t>
  </si>
  <si>
    <t>432703530</t>
  </si>
  <si>
    <t>BB0213447</t>
  </si>
  <si>
    <t>GRUPO VERALIA</t>
  </si>
  <si>
    <t>050-0005-893478</t>
  </si>
  <si>
    <t>018-0005-357495</t>
  </si>
  <si>
    <t>012-0005-917722</t>
  </si>
  <si>
    <t>018-0005-357500</t>
  </si>
  <si>
    <t>2024000311</t>
  </si>
  <si>
    <t>GLOBAL LEDUNI SL</t>
  </si>
  <si>
    <t>2024000470</t>
  </si>
  <si>
    <t>00097</t>
  </si>
  <si>
    <t>SILVIU MATERIALES DE CONSTRUCCION SL</t>
  </si>
  <si>
    <t>928</t>
  </si>
  <si>
    <t>B87076238</t>
  </si>
  <si>
    <t>CUBADIS SL</t>
  </si>
  <si>
    <t>096792/A/24/000466</t>
  </si>
  <si>
    <t>096671/A/24/002768</t>
  </si>
  <si>
    <t>034377/A/24/002102</t>
  </si>
  <si>
    <t>E12007224TS000FE000414</t>
  </si>
  <si>
    <t>E120071246LJ2WFE000261</t>
  </si>
  <si>
    <t>0000100492</t>
  </si>
  <si>
    <t>0000100589</t>
  </si>
  <si>
    <t>0000100179</t>
  </si>
  <si>
    <t>0000100349</t>
  </si>
  <si>
    <t>5477-2024-00384418</t>
  </si>
  <si>
    <t>5477-2024-00522558</t>
  </si>
  <si>
    <t>5477-2024-00380973</t>
  </si>
  <si>
    <t>5477-2024-00378733</t>
  </si>
  <si>
    <t>FACTE241005675</t>
  </si>
  <si>
    <t>B81385445</t>
  </si>
  <si>
    <t>EXPLOTACIONES IND POZUELO SL</t>
  </si>
  <si>
    <t>0000045129</t>
  </si>
  <si>
    <t>096622/A/24/0014216</t>
  </si>
  <si>
    <t>10110315</t>
  </si>
  <si>
    <t>E19T/175568</t>
  </si>
  <si>
    <t>0000100448</t>
  </si>
  <si>
    <t>93</t>
  </si>
  <si>
    <t>94</t>
  </si>
  <si>
    <t>95</t>
  </si>
  <si>
    <t>HBP2403297</t>
  </si>
  <si>
    <t>B13881469</t>
  </si>
  <si>
    <t>HOTEL BED4U PAMPLONA</t>
  </si>
  <si>
    <t>HBP2403298</t>
  </si>
  <si>
    <t>HBP2403024</t>
  </si>
  <si>
    <t>A24000290</t>
  </si>
  <si>
    <t>A31709793</t>
  </si>
  <si>
    <t>HOTEL ALHAMA</t>
  </si>
  <si>
    <t>FSCT24/00603</t>
  </si>
  <si>
    <t>72884766C</t>
  </si>
  <si>
    <t>HOTEL VIENA</t>
  </si>
  <si>
    <t>24/060</t>
  </si>
  <si>
    <t>VEN/20251510</t>
  </si>
  <si>
    <t>842/24</t>
  </si>
  <si>
    <t>A/6518</t>
  </si>
  <si>
    <t>2024-0100</t>
  </si>
  <si>
    <t>TA7AP0171888</t>
  </si>
  <si>
    <t>TA7AP0171886</t>
  </si>
  <si>
    <t>01/0/2024</t>
  </si>
  <si>
    <t>TA7AP0171887</t>
  </si>
  <si>
    <t>TA7AP0171889</t>
  </si>
  <si>
    <t>28-E4U1-047238</t>
  </si>
  <si>
    <t>149992</t>
  </si>
  <si>
    <t>pagado 14/05/</t>
  </si>
  <si>
    <t>157729</t>
  </si>
  <si>
    <t>157728</t>
  </si>
  <si>
    <t>96</t>
  </si>
  <si>
    <t>pagado 17/05/</t>
  </si>
  <si>
    <t>97</t>
  </si>
  <si>
    <t>0122474</t>
  </si>
  <si>
    <t>2024-0117</t>
  </si>
  <si>
    <t>24107739</t>
  </si>
  <si>
    <t>24107740</t>
  </si>
  <si>
    <t>24107741</t>
  </si>
  <si>
    <t>24107742</t>
  </si>
  <si>
    <t>08/24</t>
  </si>
  <si>
    <t>VEM/20001073</t>
  </si>
  <si>
    <t>VEN/20253928</t>
  </si>
  <si>
    <t>20240063</t>
  </si>
  <si>
    <t>98</t>
  </si>
  <si>
    <t>B78613593</t>
  </si>
  <si>
    <t>DISTRIBUCIONES GARVIC S.L.</t>
  </si>
  <si>
    <t>pagado 21/05/</t>
  </si>
  <si>
    <t>X6409493Z</t>
  </si>
  <si>
    <t>OLARIU SILAVA ADRIANA</t>
  </si>
  <si>
    <t>004</t>
  </si>
  <si>
    <t>99</t>
  </si>
  <si>
    <t>pagado 13/05/</t>
  </si>
  <si>
    <t>007-0003-479630</t>
  </si>
  <si>
    <t>046-0004-947036</t>
  </si>
  <si>
    <t>240840</t>
  </si>
  <si>
    <t>B02906451</t>
  </si>
  <si>
    <t>MADEMOL NATURAL SL</t>
  </si>
  <si>
    <t>016-0004-765767</t>
  </si>
  <si>
    <t>A483</t>
  </si>
  <si>
    <t>B84572916</t>
  </si>
  <si>
    <t>MAS COLOR</t>
  </si>
  <si>
    <t>06718/24</t>
  </si>
  <si>
    <t>B81648891</t>
  </si>
  <si>
    <t>SUMINISTROS VILLAVICIOSA S.L.</t>
  </si>
  <si>
    <t>06866/24</t>
  </si>
  <si>
    <t>011-0004-821963</t>
  </si>
  <si>
    <t>E12007224TS000FE000482</t>
  </si>
  <si>
    <t>011064024/00003915</t>
  </si>
  <si>
    <t>F51-77360</t>
  </si>
  <si>
    <t>B98845944</t>
  </si>
  <si>
    <t>EFECTO LED</t>
  </si>
  <si>
    <t>011-0005-878692</t>
  </si>
  <si>
    <t>011-0005-879639</t>
  </si>
  <si>
    <t>272-0005-147518</t>
  </si>
  <si>
    <t>0240006826</t>
  </si>
  <si>
    <t>0240007017</t>
  </si>
  <si>
    <t>024-0005-111891</t>
  </si>
  <si>
    <t>452702194</t>
  </si>
  <si>
    <t>012-0005-940168</t>
  </si>
  <si>
    <t>004-0005-078060</t>
  </si>
  <si>
    <t>046-0005-R437929</t>
  </si>
  <si>
    <t>012-0005-940256</t>
  </si>
  <si>
    <t>00002-2024/A0102/00004643</t>
  </si>
  <si>
    <t>00002-2024/A0103/00008984</t>
  </si>
  <si>
    <t>012-00005934486</t>
  </si>
  <si>
    <t>00002-2024/A0101/00003767</t>
  </si>
  <si>
    <t>CO F24 0100001090</t>
  </si>
  <si>
    <t>E12007224TS000FE000525</t>
  </si>
  <si>
    <t>E12002024000000750</t>
  </si>
  <si>
    <t>E12002024000000757</t>
  </si>
  <si>
    <t>0000101051</t>
  </si>
  <si>
    <t>0000100957</t>
  </si>
  <si>
    <t>0000064614</t>
  </si>
  <si>
    <t>096622/A/24/001725</t>
  </si>
  <si>
    <t>10110441</t>
  </si>
  <si>
    <t>5477-2024-00391683</t>
  </si>
  <si>
    <t>2024006</t>
  </si>
  <si>
    <t>20/2024</t>
  </si>
  <si>
    <t>24/00092</t>
  </si>
  <si>
    <t>24/00094</t>
  </si>
  <si>
    <t>24FAS001818</t>
  </si>
  <si>
    <t>000870024/0000094</t>
  </si>
  <si>
    <t>B45459377</t>
  </si>
  <si>
    <t>E.S. EL CRUCE DE CEDILLO</t>
  </si>
  <si>
    <t>000002TB050433</t>
  </si>
  <si>
    <t>B45578523</t>
  </si>
  <si>
    <t>LAS ESPARTERAS</t>
  </si>
  <si>
    <t>145875</t>
  </si>
  <si>
    <t>243622001144</t>
  </si>
  <si>
    <t>165696</t>
  </si>
  <si>
    <t>AL06</t>
  </si>
  <si>
    <t>100</t>
  </si>
  <si>
    <t>101</t>
  </si>
  <si>
    <t>X8385707E</t>
  </si>
  <si>
    <t>GEORGEL LAZAR</t>
  </si>
  <si>
    <t>102</t>
  </si>
  <si>
    <t>103</t>
  </si>
  <si>
    <t>pagado 30/05/</t>
  </si>
  <si>
    <t>104</t>
  </si>
  <si>
    <t>20909/2024</t>
  </si>
  <si>
    <t>B86078797</t>
  </si>
  <si>
    <t>AQUASALUD AQUA Y VIDA SANA SL</t>
  </si>
  <si>
    <t>24/068</t>
  </si>
  <si>
    <t>VEN/20257062</t>
  </si>
  <si>
    <t>ORD_498_2024/0017295</t>
  </si>
  <si>
    <t>5477-2024-00547411</t>
  </si>
  <si>
    <t>105</t>
  </si>
  <si>
    <t>017/24</t>
  </si>
  <si>
    <t>08132848W</t>
  </si>
  <si>
    <t>VASILE STELAIN DETESAN PINTILIE</t>
  </si>
  <si>
    <t>pagado 31/05/</t>
  </si>
  <si>
    <t>T001/18285</t>
  </si>
  <si>
    <t>B05421839</t>
  </si>
  <si>
    <t>CASA CARMEN</t>
  </si>
  <si>
    <t>010/01/0165993</t>
  </si>
  <si>
    <t>B85325579</t>
  </si>
  <si>
    <t>TACO BELL</t>
  </si>
  <si>
    <t>5926</t>
  </si>
  <si>
    <t>A01020353</t>
  </si>
  <si>
    <t>LINDT</t>
  </si>
  <si>
    <t>REGALO CLIENTE</t>
  </si>
  <si>
    <t>5477-2024-00544897</t>
  </si>
  <si>
    <t>VIPSTCC0052978</t>
  </si>
  <si>
    <t>VIPS</t>
  </si>
  <si>
    <t>5477-2024-00029071</t>
  </si>
  <si>
    <t>5477-2024-00011583</t>
  </si>
  <si>
    <t>5766</t>
  </si>
  <si>
    <t>175166</t>
  </si>
  <si>
    <t>F241782</t>
  </si>
  <si>
    <t>24108701</t>
  </si>
  <si>
    <t>24108702</t>
  </si>
  <si>
    <t>24108703</t>
  </si>
  <si>
    <t>24108704</t>
  </si>
  <si>
    <t>24108705</t>
  </si>
  <si>
    <t>106</t>
  </si>
  <si>
    <t>H82387580</t>
  </si>
  <si>
    <t>C.P. BELGICA 21-47</t>
  </si>
  <si>
    <t>pagado 03/06/</t>
  </si>
  <si>
    <t>107</t>
  </si>
  <si>
    <t>108</t>
  </si>
  <si>
    <t>109</t>
  </si>
  <si>
    <t>pagado 04/06</t>
  </si>
  <si>
    <t>pagado 04/06/</t>
  </si>
  <si>
    <t>pagadp 04/06/</t>
  </si>
  <si>
    <t>241180</t>
  </si>
  <si>
    <t>07/24</t>
  </si>
  <si>
    <t>024-0005-R271926</t>
  </si>
  <si>
    <t>024-0005-151809</t>
  </si>
  <si>
    <t>0240008173</t>
  </si>
  <si>
    <t>P24CON018602114</t>
  </si>
  <si>
    <t>32913</t>
  </si>
  <si>
    <t>00002-2024/A0602/00005272</t>
  </si>
  <si>
    <t>0000152</t>
  </si>
  <si>
    <t>00685080W</t>
  </si>
  <si>
    <t>JG SUMINISTROS</t>
  </si>
  <si>
    <t>0240007533</t>
  </si>
  <si>
    <t>00002-2024/A1002/00005982</t>
  </si>
  <si>
    <t>0240007731</t>
  </si>
  <si>
    <t>002345024/00009258</t>
  </si>
  <si>
    <t>0000101216</t>
  </si>
  <si>
    <t>0000101165</t>
  </si>
  <si>
    <t>0000101082</t>
  </si>
  <si>
    <t>0000101135</t>
  </si>
  <si>
    <t>5477-2024-00395204</t>
  </si>
  <si>
    <t>VEN/20259847</t>
  </si>
  <si>
    <t>111</t>
  </si>
  <si>
    <t>14046107F</t>
  </si>
  <si>
    <t>NILOOFAR TOCHAI SAFAI</t>
  </si>
  <si>
    <t>110</t>
  </si>
  <si>
    <t>A04</t>
  </si>
  <si>
    <t>B16350902</t>
  </si>
  <si>
    <t>VISARION S.L.</t>
  </si>
  <si>
    <t>pagado 05/04/</t>
  </si>
  <si>
    <t>pagado 11/06/</t>
  </si>
  <si>
    <t>112</t>
  </si>
  <si>
    <t>24/003</t>
  </si>
  <si>
    <t>2024-0142</t>
  </si>
  <si>
    <t>2024-0143</t>
  </si>
  <si>
    <t>A06</t>
  </si>
  <si>
    <t>48899957W</t>
  </si>
  <si>
    <t>OMAR GONZALEZ BUENO</t>
  </si>
  <si>
    <t>3300€ 13/06/</t>
  </si>
  <si>
    <t>500€ 07/06/</t>
  </si>
  <si>
    <t>24109800</t>
  </si>
  <si>
    <t>00011336</t>
  </si>
  <si>
    <t>1068/24</t>
  </si>
  <si>
    <t>000022024/A0103/00004467</t>
  </si>
  <si>
    <t>FACG 4309</t>
  </si>
  <si>
    <t>pagado 17/06/</t>
  </si>
  <si>
    <t>0123101</t>
  </si>
  <si>
    <t>113</t>
  </si>
  <si>
    <t xml:space="preserve">ESTRUCTURAS METALTIM </t>
  </si>
  <si>
    <t>114</t>
  </si>
  <si>
    <t>115</t>
  </si>
  <si>
    <t>37/2024</t>
  </si>
  <si>
    <t>DE36293270</t>
  </si>
  <si>
    <t>ROMEL 24 HANDEL</t>
  </si>
  <si>
    <t>A/8656</t>
  </si>
  <si>
    <t>G240502104257</t>
  </si>
  <si>
    <t>A28581882</t>
  </si>
  <si>
    <t>ALCAMPO</t>
  </si>
  <si>
    <t>HT41126</t>
  </si>
  <si>
    <t>B83896068</t>
  </si>
  <si>
    <t>HONDA</t>
  </si>
  <si>
    <t>011-0006-928495</t>
  </si>
  <si>
    <t>011-0006-928542</t>
  </si>
  <si>
    <t>011-0006-929279</t>
  </si>
  <si>
    <t>011-0006-931117</t>
  </si>
  <si>
    <t>452702532</t>
  </si>
  <si>
    <t>18465</t>
  </si>
  <si>
    <t>007-0006-578761</t>
  </si>
  <si>
    <t>045-0006-395362</t>
  </si>
  <si>
    <t>011-0005-912283</t>
  </si>
  <si>
    <t>3693</t>
  </si>
  <si>
    <t>E19T/182666</t>
  </si>
  <si>
    <t>096268/A/24/000916</t>
  </si>
  <si>
    <t>E19T/182671</t>
  </si>
  <si>
    <t>T001/569270</t>
  </si>
  <si>
    <t>B86980844</t>
  </si>
  <si>
    <t>CRISTINA ORIA</t>
  </si>
  <si>
    <t>00001TM00225439</t>
  </si>
  <si>
    <t>B85451268</t>
  </si>
  <si>
    <t>NON SOLO CAFFE</t>
  </si>
  <si>
    <t>24FVT001949</t>
  </si>
  <si>
    <t>B10464311</t>
  </si>
  <si>
    <t>A.S. LOS CERRILLOS</t>
  </si>
  <si>
    <t>0000043766</t>
  </si>
  <si>
    <t>096736/A/24/002459</t>
  </si>
  <si>
    <t>00210022202405001462</t>
  </si>
  <si>
    <t>F242114</t>
  </si>
  <si>
    <t>F241951</t>
  </si>
  <si>
    <t>2024009</t>
  </si>
  <si>
    <t>406400752</t>
  </si>
  <si>
    <t>A05</t>
  </si>
  <si>
    <t>TZ 472001</t>
  </si>
  <si>
    <t>ANA GHERMAN</t>
  </si>
  <si>
    <t>pagado 18/06/</t>
  </si>
  <si>
    <t>116</t>
  </si>
  <si>
    <t>117</t>
  </si>
  <si>
    <t>24-F4U1-034133</t>
  </si>
  <si>
    <t>A78923125</t>
  </si>
  <si>
    <t>TA7AQ0171477</t>
  </si>
  <si>
    <t>TA7AQ0171478</t>
  </si>
  <si>
    <t>TA7AQ0171479</t>
  </si>
  <si>
    <t>TA7AQ0171480</t>
  </si>
  <si>
    <t>20240081</t>
  </si>
  <si>
    <t>VEM/20001117</t>
  </si>
  <si>
    <t>VEN/20262720</t>
  </si>
  <si>
    <t>pagado 20/06/</t>
  </si>
  <si>
    <t>118</t>
  </si>
  <si>
    <t>28/24</t>
  </si>
  <si>
    <t>39/24</t>
  </si>
  <si>
    <t>44/24</t>
  </si>
  <si>
    <t>24/24</t>
  </si>
  <si>
    <t>1368</t>
  </si>
  <si>
    <t>B84966688</t>
  </si>
  <si>
    <t>PREVINTEGRA</t>
  </si>
  <si>
    <t>27/2024</t>
  </si>
  <si>
    <t>119</t>
  </si>
  <si>
    <t>202989</t>
  </si>
  <si>
    <t>202990</t>
  </si>
  <si>
    <t>pagado 24/06/</t>
  </si>
  <si>
    <t>2126795</t>
  </si>
  <si>
    <t>291-5</t>
  </si>
  <si>
    <t>76618634B</t>
  </si>
  <si>
    <t>MARIA LUCIA FERNANDEZ PEREZ</t>
  </si>
  <si>
    <t>045-0005-387628</t>
  </si>
  <si>
    <t>120</t>
  </si>
  <si>
    <t>121</t>
  </si>
  <si>
    <t>122</t>
  </si>
  <si>
    <t>123</t>
  </si>
  <si>
    <t>B10820405</t>
  </si>
  <si>
    <t xml:space="preserve">PETRA RESIDENCES </t>
  </si>
  <si>
    <t>2999,59€ 18/06/</t>
  </si>
  <si>
    <t>pagado 26/06/</t>
  </si>
  <si>
    <t>10/24</t>
  </si>
  <si>
    <t>011-0006-950179</t>
  </si>
  <si>
    <t>011-0006-950192</t>
  </si>
  <si>
    <t>0240009279</t>
  </si>
  <si>
    <t>011-0006-939654</t>
  </si>
  <si>
    <t>011-0006-943883</t>
  </si>
  <si>
    <t>011-0006-943954</t>
  </si>
  <si>
    <t>011-0006-946903</t>
  </si>
  <si>
    <t>011-0006-946793</t>
  </si>
  <si>
    <t>011-0006-941844</t>
  </si>
  <si>
    <t>011-0006-935011</t>
  </si>
  <si>
    <t>011-0006-934961</t>
  </si>
  <si>
    <t>011-0006-956309</t>
  </si>
  <si>
    <t>011-0006-956286</t>
  </si>
  <si>
    <t>I-1516</t>
  </si>
  <si>
    <t>B85830040</t>
  </si>
  <si>
    <t>IBERVILNA</t>
  </si>
  <si>
    <t>G 16991</t>
  </si>
  <si>
    <t>A/6179</t>
  </si>
  <si>
    <t>A/5706</t>
  </si>
  <si>
    <t>007-0005-537662</t>
  </si>
  <si>
    <t>G 20657</t>
  </si>
  <si>
    <t>007-0005-534302</t>
  </si>
  <si>
    <t>007-0005-534242</t>
  </si>
  <si>
    <t>007-0005-532312</t>
  </si>
  <si>
    <t>007-0005-537688</t>
  </si>
  <si>
    <t>007-0005-539686</t>
  </si>
  <si>
    <t>007-0003-442990</t>
  </si>
  <si>
    <t>007-0003-443014</t>
  </si>
  <si>
    <t>007-0005-533778</t>
  </si>
  <si>
    <t>007-0005-527442</t>
  </si>
  <si>
    <t>012-0004-826300</t>
  </si>
  <si>
    <t>007-0004-506655</t>
  </si>
  <si>
    <t>007-0004-504587</t>
  </si>
  <si>
    <t>007-0004-504699</t>
  </si>
  <si>
    <t>007-0004-503798</t>
  </si>
  <si>
    <t>007-0004-502991</t>
  </si>
  <si>
    <t>004-0004-396342</t>
  </si>
  <si>
    <t>007-0004-R066851</t>
  </si>
  <si>
    <t>007-0004-500262</t>
  </si>
  <si>
    <t>007-0004-500158</t>
  </si>
  <si>
    <t>007-0004-508109</t>
  </si>
  <si>
    <t>007-0004-486069</t>
  </si>
  <si>
    <t>007-0004-486088</t>
  </si>
  <si>
    <t>007-0004-496144</t>
  </si>
  <si>
    <t>007-0005-531867</t>
  </si>
  <si>
    <t>007-0005-R069431</t>
  </si>
  <si>
    <t>007-0005-530259</t>
  </si>
  <si>
    <t>007-0005-531854</t>
  </si>
  <si>
    <t>007-0005-R069470</t>
  </si>
  <si>
    <t>007-0004-520424</t>
  </si>
  <si>
    <t>007-0004-519195</t>
  </si>
  <si>
    <t>007-0004-517354</t>
  </si>
  <si>
    <t>007-0004-516822</t>
  </si>
  <si>
    <t>007-0004-515405</t>
  </si>
  <si>
    <t>007-0004-512902</t>
  </si>
  <si>
    <t>007-0004-513618</t>
  </si>
  <si>
    <t>007-0004-512981</t>
  </si>
  <si>
    <t>007-0004-510868</t>
  </si>
  <si>
    <t>007-0004-509931</t>
  </si>
  <si>
    <t>007-0004-891740</t>
  </si>
  <si>
    <t>007-0004-524092</t>
  </si>
  <si>
    <t>007-0004-524147</t>
  </si>
  <si>
    <t>007-0005-431647</t>
  </si>
  <si>
    <t>007-0004-524199</t>
  </si>
  <si>
    <t>004-0005-431631</t>
  </si>
  <si>
    <t>007-0005-R069235</t>
  </si>
  <si>
    <t>007-0005-529978</t>
  </si>
  <si>
    <t>007-0005-529238</t>
  </si>
  <si>
    <t>007-0005-R069239</t>
  </si>
  <si>
    <t>007-0005-528622</t>
  </si>
  <si>
    <t>007-0005-546820</t>
  </si>
  <si>
    <t>007-0005-547628</t>
  </si>
  <si>
    <t>007-0005-546644</t>
  </si>
  <si>
    <t>007-0005-R070776</t>
  </si>
  <si>
    <t>007-0005-546022</t>
  </si>
  <si>
    <t>007-0005-546009</t>
  </si>
  <si>
    <t>004-0005-452697</t>
  </si>
  <si>
    <t>007-0005-544064</t>
  </si>
  <si>
    <t>004-0005-452596</t>
  </si>
  <si>
    <t>007-0005-542697</t>
  </si>
  <si>
    <t>011-0005-900224</t>
  </si>
  <si>
    <t>011-0005-R006588</t>
  </si>
  <si>
    <t>011-0005-900789</t>
  </si>
  <si>
    <t>011-0005-900718</t>
  </si>
  <si>
    <t>007-0005-563256</t>
  </si>
  <si>
    <t>011-0005-909275</t>
  </si>
  <si>
    <t>007-0005-563329</t>
  </si>
  <si>
    <t>011-0005-R007343</t>
  </si>
  <si>
    <t>007-0005-565099</t>
  </si>
  <si>
    <t>011-0005-911415</t>
  </si>
  <si>
    <t>007-0005-567398</t>
  </si>
  <si>
    <t>007-0006-574158</t>
  </si>
  <si>
    <t>007-0005-567695</t>
  </si>
  <si>
    <t>007-0005-570866</t>
  </si>
  <si>
    <t>007-0005-569516</t>
  </si>
  <si>
    <t>007-0005-569500</t>
  </si>
  <si>
    <t>011-0005-916099</t>
  </si>
  <si>
    <t>011-0005-915995</t>
  </si>
  <si>
    <t>018-0005-409204</t>
  </si>
  <si>
    <t>011-0006-926668</t>
  </si>
  <si>
    <t>007-0006-575903</t>
  </si>
  <si>
    <t>007-0006-586581</t>
  </si>
  <si>
    <t>007-0006-R074425</t>
  </si>
  <si>
    <t>012-0006-049872</t>
  </si>
  <si>
    <t>007-0006-590871</t>
  </si>
  <si>
    <t>011-0006-937318</t>
  </si>
  <si>
    <t>007-0005-549011</t>
  </si>
  <si>
    <t>pagado 27/06/</t>
  </si>
  <si>
    <t>9</t>
  </si>
  <si>
    <t>F242414</t>
  </si>
  <si>
    <t>5783-C</t>
  </si>
  <si>
    <t>ROD &amp; PLUS SYSTEM S.L.</t>
  </si>
  <si>
    <t>A/7289</t>
  </si>
  <si>
    <t>045-0005-R-660966</t>
  </si>
  <si>
    <t>007-0005-549044</t>
  </si>
  <si>
    <t>A/6450</t>
  </si>
  <si>
    <t>A/6181</t>
  </si>
  <si>
    <t>A/4789</t>
  </si>
  <si>
    <t>A/4441</t>
  </si>
  <si>
    <t>A/5219</t>
  </si>
  <si>
    <t>G 20886</t>
  </si>
  <si>
    <t>VEN/20265415</t>
  </si>
  <si>
    <t>MM/20240955</t>
  </si>
  <si>
    <t>A28724193</t>
  </si>
  <si>
    <t>COMERCIAL DE PROTECCION CONTRA INCENDIOS</t>
  </si>
  <si>
    <t>CPI</t>
  </si>
  <si>
    <t>2410932</t>
  </si>
  <si>
    <t>24110789</t>
  </si>
  <si>
    <t>6</t>
  </si>
  <si>
    <t>F/4861</t>
  </si>
  <si>
    <t>B67949354</t>
  </si>
  <si>
    <t>BRICOLAJE GETAFE S.L.</t>
  </si>
  <si>
    <t>pagado 05/06/</t>
  </si>
  <si>
    <t>pagado 25/06/</t>
  </si>
  <si>
    <t>212607</t>
  </si>
  <si>
    <t>212606</t>
  </si>
  <si>
    <t>QE 5126</t>
  </si>
  <si>
    <t>QUICK EXPEDITII S.R.L.</t>
  </si>
  <si>
    <t>pagado 17/04/</t>
  </si>
  <si>
    <t>097029/A/24/001014</t>
  </si>
  <si>
    <t>P146977</t>
  </si>
  <si>
    <t>A28127025</t>
  </si>
  <si>
    <t>SUDEL POZUELO S.A.</t>
  </si>
  <si>
    <t>033007/A/24/001412</t>
  </si>
  <si>
    <t>249000838884</t>
  </si>
  <si>
    <t>B237099892</t>
  </si>
  <si>
    <t>F/6149</t>
  </si>
  <si>
    <t>0.123285</t>
  </si>
  <si>
    <t>11/24</t>
  </si>
  <si>
    <t>3991,79€ 02/07/</t>
  </si>
  <si>
    <t>1289/24</t>
  </si>
  <si>
    <t>073-0006-867099</t>
  </si>
  <si>
    <t>034-0006-353040</t>
  </si>
  <si>
    <t>034-0006-352685</t>
  </si>
  <si>
    <t>034-0006-352645</t>
  </si>
  <si>
    <t>034-0006-352981</t>
  </si>
  <si>
    <t>009-0006-645499</t>
  </si>
  <si>
    <t>009-0006-645530</t>
  </si>
  <si>
    <t>20240087</t>
  </si>
  <si>
    <t>1 001115</t>
  </si>
  <si>
    <t>FAC 2024000292</t>
  </si>
  <si>
    <t>2024-0160</t>
  </si>
  <si>
    <t>391/24</t>
  </si>
  <si>
    <t>DE187651234</t>
  </si>
  <si>
    <t>AUTOHANDEL JERKOVIC</t>
  </si>
  <si>
    <t>9124016027</t>
  </si>
  <si>
    <t>GRUPO PORCELANOSA</t>
  </si>
  <si>
    <t>24/097</t>
  </si>
  <si>
    <t>AIRCLIMA2000 S.L.</t>
  </si>
  <si>
    <t>00011465</t>
  </si>
  <si>
    <t>20240090</t>
  </si>
  <si>
    <t>FA2024006499</t>
  </si>
  <si>
    <t>B67208728</t>
  </si>
  <si>
    <t>POPP LIGHTING SL</t>
  </si>
  <si>
    <t>073-0007-R081105</t>
  </si>
  <si>
    <t>BRICOLAJE BRICOMAN</t>
  </si>
  <si>
    <t>20240091</t>
  </si>
  <si>
    <t>020-0007-662386</t>
  </si>
  <si>
    <t>VEN/20268365</t>
  </si>
  <si>
    <t>050</t>
  </si>
  <si>
    <t>B87518486</t>
  </si>
  <si>
    <t>DORU PISCINAS</t>
  </si>
  <si>
    <t>249000963707</t>
  </si>
  <si>
    <t>230641</t>
  </si>
  <si>
    <t>230642</t>
  </si>
  <si>
    <t>FAC 2024000302</t>
  </si>
  <si>
    <t>0123672</t>
  </si>
  <si>
    <t>24111440</t>
  </si>
  <si>
    <t>24111763</t>
  </si>
  <si>
    <t>24111764</t>
  </si>
  <si>
    <t>24111765</t>
  </si>
  <si>
    <t>124</t>
  </si>
  <si>
    <t>DOFITEC SOLUCIONES INTEGRALES S.L.</t>
  </si>
  <si>
    <t>125</t>
  </si>
  <si>
    <t>pagado 17/07/</t>
  </si>
  <si>
    <t>127</t>
  </si>
  <si>
    <t>MEDA INMUEBLES</t>
  </si>
  <si>
    <t>128</t>
  </si>
  <si>
    <t>129</t>
  </si>
  <si>
    <t>130</t>
  </si>
  <si>
    <t>131</t>
  </si>
  <si>
    <t>132</t>
  </si>
  <si>
    <t>CONSEJERIA DE VIVIENDA TRANSPORTE E INFRAESTRUCTURA</t>
  </si>
  <si>
    <t>133</t>
  </si>
  <si>
    <t>134</t>
  </si>
  <si>
    <t>135</t>
  </si>
  <si>
    <t>136</t>
  </si>
  <si>
    <t>137</t>
  </si>
  <si>
    <t>126</t>
  </si>
  <si>
    <t>DISTRIBUCIONES GARVIC SL</t>
  </si>
  <si>
    <t>138</t>
  </si>
  <si>
    <t>VISARION</t>
  </si>
  <si>
    <t>139</t>
  </si>
  <si>
    <t>140</t>
  </si>
  <si>
    <t>141</t>
  </si>
  <si>
    <t>142</t>
  </si>
  <si>
    <t>H81450603</t>
  </si>
  <si>
    <t>C.P. JUANA I DE CASTILLA 1-9</t>
  </si>
  <si>
    <t>pagado 15/07</t>
  </si>
  <si>
    <t>pagado 27/06</t>
  </si>
  <si>
    <t>pagado 04/07</t>
  </si>
  <si>
    <t>pagado 08/07/</t>
  </si>
  <si>
    <t xml:space="preserve">pagado 03/07  </t>
  </si>
  <si>
    <t>pagado 03/07</t>
  </si>
  <si>
    <t>1 24 0005 0002807030</t>
  </si>
  <si>
    <t>00011497</t>
  </si>
  <si>
    <t>A07</t>
  </si>
  <si>
    <t>B44911154</t>
  </si>
  <si>
    <t>GRUPO CIOBICONS SL</t>
  </si>
  <si>
    <t>14459,50€ 01/07</t>
  </si>
  <si>
    <t>AL07</t>
  </si>
  <si>
    <t>pagado 29/07/</t>
  </si>
  <si>
    <t>C.P. OSA MEMOR 12</t>
  </si>
  <si>
    <t>pagado 26/07/</t>
  </si>
  <si>
    <t>pagado 30/07/</t>
  </si>
  <si>
    <t>3000€ 30/07</t>
  </si>
  <si>
    <t>144</t>
  </si>
  <si>
    <t>145</t>
  </si>
  <si>
    <t>146</t>
  </si>
  <si>
    <t>50111924F</t>
  </si>
  <si>
    <t>MANUEL MONTERRUBIO MUÑOZ</t>
  </si>
  <si>
    <t>147</t>
  </si>
  <si>
    <t>148</t>
  </si>
  <si>
    <t>B72730690</t>
  </si>
  <si>
    <t>ARTESBEYAS CONSTRUCCIONES Y REFORMAS</t>
  </si>
  <si>
    <t>14459,50€ 02/07</t>
  </si>
  <si>
    <t>pagado 09/07/</t>
  </si>
  <si>
    <t>pafado 05/07/</t>
  </si>
  <si>
    <t>pagado 05/07/</t>
  </si>
  <si>
    <t>pagado 19/07/</t>
  </si>
  <si>
    <t>pagado 22/07/</t>
  </si>
  <si>
    <t>pagado 60/07/</t>
  </si>
  <si>
    <t>pagado 01/08/</t>
  </si>
  <si>
    <t>920,52€ 01/08/</t>
  </si>
  <si>
    <t>149</t>
  </si>
  <si>
    <t>150</t>
  </si>
  <si>
    <t>151</t>
  </si>
  <si>
    <t>152</t>
  </si>
  <si>
    <t>153</t>
  </si>
  <si>
    <t>2024/000344</t>
  </si>
  <si>
    <t>PADRISA</t>
  </si>
  <si>
    <t>178213</t>
  </si>
  <si>
    <t>B09858531</t>
  </si>
  <si>
    <t>TRABADO RESTAURACION SLU</t>
  </si>
  <si>
    <t>AL08</t>
  </si>
  <si>
    <t>NTV24000935</t>
  </si>
  <si>
    <t>B25605353</t>
  </si>
  <si>
    <t>NAUT VIAJES SL</t>
  </si>
  <si>
    <t>NTV24000936</t>
  </si>
  <si>
    <t>AT9241429105078</t>
  </si>
  <si>
    <t>240908</t>
  </si>
  <si>
    <t>B43221852</t>
  </si>
  <si>
    <t>IBP S.L.</t>
  </si>
  <si>
    <t>452702635</t>
  </si>
  <si>
    <t>GUARCONSA</t>
  </si>
  <si>
    <t>451700249</t>
  </si>
  <si>
    <t>422703827</t>
  </si>
  <si>
    <t>B81955411</t>
  </si>
  <si>
    <t>SUMINISTROS ELECTRICOS MADRID</t>
  </si>
  <si>
    <t>007-0005-530647</t>
  </si>
  <si>
    <t>00001-2024/a0602/00000865</t>
  </si>
  <si>
    <t>011-0006-930374</t>
  </si>
  <si>
    <t>AT1241241103465</t>
  </si>
  <si>
    <t>011-0006-944634</t>
  </si>
  <si>
    <t>045-0006-402601</t>
  </si>
  <si>
    <t>046-0007-966536</t>
  </si>
  <si>
    <t>007-0007-631367</t>
  </si>
  <si>
    <t>LgFon241241100897</t>
  </si>
  <si>
    <t>952/5032918</t>
  </si>
  <si>
    <t>A43039288</t>
  </si>
  <si>
    <t>ISOLANA</t>
  </si>
  <si>
    <t xml:space="preserve">TARJETA </t>
  </si>
  <si>
    <t>P24CON023678383</t>
  </si>
  <si>
    <t>4424402994</t>
  </si>
  <si>
    <t>011-0007-982023</t>
  </si>
  <si>
    <t>011-0007-992012</t>
  </si>
  <si>
    <t>FH2420535</t>
  </si>
  <si>
    <t>B81979965</t>
  </si>
  <si>
    <t>F24/2957</t>
  </si>
  <si>
    <t>B86591849</t>
  </si>
  <si>
    <t>TODO EN COMUNICACIÓN MADRID S.L.</t>
  </si>
  <si>
    <t>F24/142A</t>
  </si>
  <si>
    <t>DIGITAL AUDIMAGEN BQ SL</t>
  </si>
  <si>
    <t>FH2420536</t>
  </si>
  <si>
    <t>7596-C</t>
  </si>
  <si>
    <t xml:space="preserve">ROD Y PLUS SYSTEM SL </t>
  </si>
  <si>
    <t>G 20676</t>
  </si>
  <si>
    <t>011-0006-942650</t>
  </si>
  <si>
    <t>007-0005-566479</t>
  </si>
  <si>
    <t>452702489</t>
  </si>
  <si>
    <t>451700237</t>
  </si>
  <si>
    <t>452702505</t>
  </si>
  <si>
    <t>452702624</t>
  </si>
  <si>
    <t>F.24.000669</t>
  </si>
  <si>
    <t>B01388230</t>
  </si>
  <si>
    <t>NUEVA TERRAIN</t>
  </si>
  <si>
    <t>432705340</t>
  </si>
  <si>
    <t xml:space="preserve">SUMINISTROS ELECTRICOS GUARDEÑO  </t>
  </si>
  <si>
    <t>402001587</t>
  </si>
  <si>
    <t>B86900206</t>
  </si>
  <si>
    <t>IBC CLIMAFUSION SL</t>
  </si>
  <si>
    <t>402001608</t>
  </si>
  <si>
    <t>402001574</t>
  </si>
  <si>
    <t>011-0007-977868</t>
  </si>
  <si>
    <t>0123930</t>
  </si>
  <si>
    <t>VEN/20271179</t>
  </si>
  <si>
    <t>VEN/20273968</t>
  </si>
  <si>
    <t>253643</t>
  </si>
  <si>
    <t>24112794</t>
  </si>
  <si>
    <t>85924FE000007587</t>
  </si>
  <si>
    <t>E05042024000002100</t>
  </si>
  <si>
    <t>092158/A24/001139</t>
  </si>
  <si>
    <t>0000101585</t>
  </si>
  <si>
    <t>E12007224TS000FE000501</t>
  </si>
  <si>
    <t>0000101437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</si>
  <si>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</si>
  <si>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</si>
  <si>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</si>
  <si>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</si>
  <si>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</si>
  <si>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</si>
  <si>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</si>
  <si>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</si>
  <si>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</si>
  <si>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</si>
  <si>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</si>
  <si>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OLARIU ADRIANA SILVANA</t>
  </si>
  <si>
    <t>F242601</t>
  </si>
  <si>
    <t>F242835</t>
  </si>
  <si>
    <t>F243001</t>
  </si>
  <si>
    <t>B-4217</t>
  </si>
  <si>
    <t>IPE MADERAS 1991 S.L.U.</t>
  </si>
  <si>
    <t>FV02402690</t>
  </si>
  <si>
    <t>ECOMAMPARA S.A.</t>
  </si>
  <si>
    <t>5000€ 02/08/</t>
  </si>
  <si>
    <t>5477202400026941</t>
  </si>
  <si>
    <t>166</t>
  </si>
  <si>
    <t>167</t>
  </si>
  <si>
    <t>168</t>
  </si>
  <si>
    <t>165</t>
  </si>
  <si>
    <t>PARQUETS FLOTANTES BURGOS S.L.</t>
  </si>
  <si>
    <t>003076</t>
  </si>
  <si>
    <t>25137</t>
  </si>
  <si>
    <t>ITV SESEÑA</t>
  </si>
  <si>
    <t>ITV</t>
  </si>
  <si>
    <t>A1648</t>
  </si>
  <si>
    <t>B86950292</t>
  </si>
  <si>
    <t>VENTANAS NOGALES</t>
  </si>
  <si>
    <t>0240010785</t>
  </si>
  <si>
    <t>PINTODIS</t>
  </si>
  <si>
    <t>0240010549</t>
  </si>
  <si>
    <t>0240009964</t>
  </si>
  <si>
    <t>0240010101</t>
  </si>
  <si>
    <t>011-0006-963866</t>
  </si>
  <si>
    <t>011-0006-963951</t>
  </si>
  <si>
    <t>0240009294</t>
  </si>
  <si>
    <t>0240008689</t>
  </si>
  <si>
    <t>0240008503</t>
  </si>
  <si>
    <t>5477-2024-00041070</t>
  </si>
  <si>
    <t>CENA EMPRESA</t>
  </si>
  <si>
    <t>36390</t>
  </si>
  <si>
    <t>A08271942</t>
  </si>
  <si>
    <t>RESTAURANTE PLA DE BERET</t>
  </si>
  <si>
    <t>020</t>
  </si>
  <si>
    <t>B56811862</t>
  </si>
  <si>
    <t>LA BOVEDA</t>
  </si>
  <si>
    <t>004696/A/24/002929</t>
  </si>
  <si>
    <t>18245038</t>
  </si>
  <si>
    <t>DE338066576</t>
  </si>
  <si>
    <t>EUROPA SERVICE</t>
  </si>
  <si>
    <t>0709436</t>
  </si>
  <si>
    <t>DE126044974</t>
  </si>
  <si>
    <t>BERESA SMBH &amp; CO. KG</t>
  </si>
  <si>
    <t>1498/24</t>
  </si>
  <si>
    <t>266136</t>
  </si>
  <si>
    <t>266137</t>
  </si>
  <si>
    <t>VEN/20276533</t>
  </si>
  <si>
    <t>VEN/20278646</t>
  </si>
  <si>
    <t>24113788</t>
  </si>
  <si>
    <t>2024015</t>
  </si>
  <si>
    <t>ALEXANDRU MIHAILA</t>
  </si>
  <si>
    <t>0124263</t>
  </si>
  <si>
    <t>2129069</t>
  </si>
  <si>
    <t>A/01251</t>
  </si>
  <si>
    <t>00824029P</t>
  </si>
  <si>
    <t>MARIA VICTORIA VALIENTE DE RAFAEL</t>
  </si>
  <si>
    <t>NOTARIA</t>
  </si>
  <si>
    <t>00011599</t>
  </si>
  <si>
    <t>2024/216</t>
  </si>
  <si>
    <t>24-160</t>
  </si>
  <si>
    <t>47488305K</t>
  </si>
  <si>
    <t>MARVER</t>
  </si>
  <si>
    <t>F2024/002147</t>
  </si>
  <si>
    <t>B83475434</t>
  </si>
  <si>
    <t>TRANSPIERRE</t>
  </si>
  <si>
    <t>024-0008-338191</t>
  </si>
  <si>
    <t>169</t>
  </si>
  <si>
    <t>172</t>
  </si>
  <si>
    <t>pagado 08/08/</t>
  </si>
  <si>
    <t>pagado 06/08/</t>
  </si>
  <si>
    <t>pagado 13/08/</t>
  </si>
  <si>
    <t>pagado 14/08/</t>
  </si>
  <si>
    <t>pagado 16/08/</t>
  </si>
  <si>
    <t>pagado 18/08/</t>
  </si>
  <si>
    <t>pagado 23/08/</t>
  </si>
  <si>
    <t>15101,71€ 26/08</t>
  </si>
  <si>
    <t>6000€ 01/08/</t>
  </si>
  <si>
    <t>pagado 26/08/</t>
  </si>
  <si>
    <t>434</t>
  </si>
  <si>
    <t>B87449104</t>
  </si>
  <si>
    <t>SPAUCO TUNING</t>
  </si>
  <si>
    <t>28-G4U1-075563</t>
  </si>
  <si>
    <t>TA7DM0171210</t>
  </si>
  <si>
    <t>TA7DM0171209</t>
  </si>
  <si>
    <t>TA7DM0171207</t>
  </si>
  <si>
    <t>TA7DM0171208</t>
  </si>
  <si>
    <t>28-H4U1-048255</t>
  </si>
  <si>
    <t>TA7DN0171764</t>
  </si>
  <si>
    <t>TA7DN0171765</t>
  </si>
  <si>
    <t>TA7DN0171766</t>
  </si>
  <si>
    <t>TA7DN0171767</t>
  </si>
  <si>
    <t>3000€ 29/08</t>
  </si>
  <si>
    <t>2406€ 29/08/</t>
  </si>
  <si>
    <t>24/00162</t>
  </si>
  <si>
    <t>286879</t>
  </si>
  <si>
    <t>9124018939</t>
  </si>
  <si>
    <t>9124017855</t>
  </si>
  <si>
    <t>0124423</t>
  </si>
  <si>
    <t>F/7089</t>
  </si>
  <si>
    <t>12/24</t>
  </si>
  <si>
    <t>13/24</t>
  </si>
  <si>
    <t>AL09</t>
  </si>
  <si>
    <t>173</t>
  </si>
  <si>
    <t>174</t>
  </si>
  <si>
    <t>175</t>
  </si>
  <si>
    <t>28-I4U1-047774</t>
  </si>
  <si>
    <t>TA7DO0170840</t>
  </si>
  <si>
    <t>TA7DO0170841</t>
  </si>
  <si>
    <t>TA7DO0170843</t>
  </si>
  <si>
    <t>TA7DO170842</t>
  </si>
  <si>
    <t>24FO001311</t>
  </si>
  <si>
    <t>VEN/20280918</t>
  </si>
  <si>
    <t>24114523</t>
  </si>
  <si>
    <t>X7747484Y</t>
  </si>
  <si>
    <t>435</t>
  </si>
  <si>
    <t>1684/24</t>
  </si>
  <si>
    <t>F243218</t>
  </si>
  <si>
    <t>F243378</t>
  </si>
  <si>
    <t>FACG 5552</t>
  </si>
  <si>
    <t>024-0008-385448</t>
  </si>
  <si>
    <t>007-0008-698356</t>
  </si>
  <si>
    <t>007-0008-698082</t>
  </si>
  <si>
    <t>007-008-698774</t>
  </si>
  <si>
    <t>007-0008-698392</t>
  </si>
  <si>
    <t>0240011696</t>
  </si>
  <si>
    <t>0240011829</t>
  </si>
  <si>
    <t>0240011259</t>
  </si>
  <si>
    <t>0240011086</t>
  </si>
  <si>
    <t>024-0008-371077</t>
  </si>
  <si>
    <t>FA2024007904</t>
  </si>
  <si>
    <t>HT41623</t>
  </si>
  <si>
    <t>IKONOMOTORBIKE S.L.</t>
  </si>
  <si>
    <t>26080</t>
  </si>
  <si>
    <t>241635</t>
  </si>
  <si>
    <t>MADEMOL NATURAL</t>
  </si>
  <si>
    <t>007-0008-697239</t>
  </si>
  <si>
    <t>007-0008-697217</t>
  </si>
  <si>
    <t>I-1985</t>
  </si>
  <si>
    <t>I-1927</t>
  </si>
  <si>
    <t>011-0007-992493</t>
  </si>
  <si>
    <t>018-0007-482222</t>
  </si>
  <si>
    <t>011-0007-998973</t>
  </si>
  <si>
    <t>011-0007-022523</t>
  </si>
  <si>
    <t>24009778</t>
  </si>
  <si>
    <t>AUTOLYT</t>
  </si>
  <si>
    <t>011-0007-026858</t>
  </si>
  <si>
    <t>011-0008-028201</t>
  </si>
  <si>
    <t>011-0007-018441</t>
  </si>
  <si>
    <t>011-0007-012284</t>
  </si>
  <si>
    <t>011-0007-007421</t>
  </si>
  <si>
    <t>011-0008-051054</t>
  </si>
  <si>
    <t>F.24.65.000833</t>
  </si>
  <si>
    <t>011-0007-005286</t>
  </si>
  <si>
    <t>011-0008-053676</t>
  </si>
  <si>
    <t>011-0008-054350</t>
  </si>
  <si>
    <t>011-0008-058080</t>
  </si>
  <si>
    <t>011-0008-059238</t>
  </si>
  <si>
    <t>011-0008-060564</t>
  </si>
  <si>
    <t>011-0008-061509</t>
  </si>
  <si>
    <t>24010970</t>
  </si>
  <si>
    <t>011-0008-066906</t>
  </si>
  <si>
    <t>5477202400544897</t>
  </si>
  <si>
    <t>5477202400701011</t>
  </si>
  <si>
    <t>5477202400554555</t>
  </si>
  <si>
    <t>5477222400710621</t>
  </si>
  <si>
    <t>5477202400562142</t>
  </si>
  <si>
    <t>5477202400706966</t>
  </si>
  <si>
    <t>5477202400564427</t>
  </si>
  <si>
    <t>4398</t>
  </si>
  <si>
    <t>FC13273872</t>
  </si>
  <si>
    <t>B82661232</t>
  </si>
  <si>
    <t>E.S. SALTOS DEL SIL</t>
  </si>
  <si>
    <t>321649</t>
  </si>
  <si>
    <t>B85939890</t>
  </si>
  <si>
    <t>CAFÉ DE LA IBERIA</t>
  </si>
  <si>
    <t>176</t>
  </si>
  <si>
    <t>10000 05/09</t>
  </si>
  <si>
    <t>177</t>
  </si>
  <si>
    <t>pagado 09/09/</t>
  </si>
  <si>
    <t>FV241973</t>
  </si>
  <si>
    <t>B25713256</t>
  </si>
  <si>
    <t>LUDERNA RENTALS SLU</t>
  </si>
  <si>
    <t>24/152</t>
  </si>
  <si>
    <t>VEN/20283459</t>
  </si>
  <si>
    <t>179</t>
  </si>
  <si>
    <t>178</t>
  </si>
  <si>
    <t>180</t>
  </si>
  <si>
    <t>52365162G</t>
  </si>
  <si>
    <t>ALEJANDRO PASTRANA</t>
  </si>
  <si>
    <t>3285,15€ 04/07</t>
  </si>
  <si>
    <t>3285,15€ 16/07/</t>
  </si>
  <si>
    <t>14/24</t>
  </si>
  <si>
    <t>2157.24</t>
  </si>
  <si>
    <t>B87912150</t>
  </si>
  <si>
    <t>RENALTA GLOBAL COMPANY S.L.</t>
  </si>
  <si>
    <t>286720120180372</t>
  </si>
  <si>
    <t>B81041444</t>
  </si>
  <si>
    <t>APPLUS ITEUVE TECHNOLOGY</t>
  </si>
  <si>
    <t>I-2067</t>
  </si>
  <si>
    <t>ES0022S2417626</t>
  </si>
  <si>
    <t>HOME &amp; COOK</t>
  </si>
  <si>
    <t>ES0022S2417625</t>
  </si>
  <si>
    <t>5477-2024-00710621</t>
  </si>
  <si>
    <t>249001235435</t>
  </si>
  <si>
    <t>24FP001249</t>
  </si>
  <si>
    <t>2129683</t>
  </si>
  <si>
    <t>pagado 12/09/</t>
  </si>
  <si>
    <t>pagado 10/09/</t>
  </si>
  <si>
    <t>24115277</t>
  </si>
  <si>
    <t>24115278</t>
  </si>
  <si>
    <t>181</t>
  </si>
  <si>
    <t>B84168327</t>
  </si>
  <si>
    <t>CUEVAS GRIMAS OBRAS Y SERVICIOS</t>
  </si>
  <si>
    <t>182</t>
  </si>
  <si>
    <t>pagado 18/09/</t>
  </si>
  <si>
    <t>183</t>
  </si>
  <si>
    <t>717/24</t>
  </si>
  <si>
    <t>49015637S</t>
  </si>
  <si>
    <t>DASHER GAS</t>
  </si>
  <si>
    <t>1706559082</t>
  </si>
  <si>
    <t>A28226090</t>
  </si>
  <si>
    <t>HILTI</t>
  </si>
  <si>
    <t>A29568177</t>
  </si>
  <si>
    <t>DATA CONTROL</t>
  </si>
  <si>
    <t>GESTION REDES SOCIALES</t>
  </si>
  <si>
    <t>0124757</t>
  </si>
  <si>
    <t>pagado 20/09/</t>
  </si>
  <si>
    <t>VEN/20286099</t>
  </si>
  <si>
    <t>312350</t>
  </si>
  <si>
    <t>RE-2024-21519</t>
  </si>
  <si>
    <t>DE815855021</t>
  </si>
  <si>
    <t>MBZ CLASISCPARTS</t>
  </si>
  <si>
    <t>MATERIAL COCHE</t>
  </si>
  <si>
    <t>2130023</t>
  </si>
  <si>
    <t>49/24</t>
  </si>
  <si>
    <t>62/24</t>
  </si>
  <si>
    <t>74/24</t>
  </si>
  <si>
    <t>FH17208008290</t>
  </si>
  <si>
    <t>4005407818</t>
  </si>
  <si>
    <t>N0049864B</t>
  </si>
  <si>
    <t>BERLIN BRANDS GROUP</t>
  </si>
  <si>
    <t>FV02403864</t>
  </si>
  <si>
    <t>2024019</t>
  </si>
  <si>
    <t>42/2024</t>
  </si>
  <si>
    <t>2024-0188</t>
  </si>
  <si>
    <t>PUERTAS AUTOMATICAS OSVAN</t>
  </si>
  <si>
    <t>FRO20241623988</t>
  </si>
  <si>
    <t>COOREOS</t>
  </si>
  <si>
    <t>CARTA</t>
  </si>
  <si>
    <t>185</t>
  </si>
  <si>
    <t>50000€ 24/09</t>
  </si>
  <si>
    <t>50000€ 25/09/</t>
  </si>
  <si>
    <t>184</t>
  </si>
  <si>
    <t>A08</t>
  </si>
  <si>
    <t>B72770191</t>
  </si>
  <si>
    <t>SANCHOYJOTE S.L.</t>
  </si>
  <si>
    <t>320665</t>
  </si>
  <si>
    <t>132855684290</t>
  </si>
  <si>
    <t>APPLE</t>
  </si>
  <si>
    <t>F243632</t>
  </si>
  <si>
    <t>288/24</t>
  </si>
  <si>
    <t>B88004205</t>
  </si>
  <si>
    <t>GRAMAR AUTOMOCION</t>
  </si>
  <si>
    <t>15/24</t>
  </si>
  <si>
    <t>C424110924</t>
  </si>
  <si>
    <t>B31891690</t>
  </si>
  <si>
    <t>CRISTAL BOX</t>
  </si>
  <si>
    <t>29473</t>
  </si>
  <si>
    <t>P24CON032696199</t>
  </si>
  <si>
    <t>I-2017</t>
  </si>
  <si>
    <t>A/9928</t>
  </si>
  <si>
    <t>CO F24 0100002358</t>
  </si>
  <si>
    <t>A/9330</t>
  </si>
  <si>
    <t>2403908</t>
  </si>
  <si>
    <t>B84567122</t>
  </si>
  <si>
    <t>EXMARZHEN SL</t>
  </si>
  <si>
    <t>0240011984</t>
  </si>
  <si>
    <t>0240012068</t>
  </si>
  <si>
    <t>0240012161</t>
  </si>
  <si>
    <t>452704527</t>
  </si>
  <si>
    <t>024-0009-445025</t>
  </si>
  <si>
    <t>18-24-001968</t>
  </si>
  <si>
    <t>TOOL QUICK</t>
  </si>
  <si>
    <t>2024FBFN02136422</t>
  </si>
  <si>
    <t>016-0009-829653</t>
  </si>
  <si>
    <t>432707752</t>
  </si>
  <si>
    <t>003299</t>
  </si>
  <si>
    <t>024-0009-420987</t>
  </si>
  <si>
    <t>011-0009-098593</t>
  </si>
  <si>
    <t>024-0009-433696</t>
  </si>
  <si>
    <t>024-0009-431877</t>
  </si>
  <si>
    <t>003259</t>
  </si>
  <si>
    <t>CO F24 0100002710</t>
  </si>
  <si>
    <t>E30422024000003473</t>
  </si>
  <si>
    <t>5477-2023-00718526</t>
  </si>
  <si>
    <t>097029/A/24/001426</t>
  </si>
  <si>
    <t>B80298839</t>
  </si>
  <si>
    <t>5477-2024-00047898</t>
  </si>
  <si>
    <t>ROPA LABORAL</t>
  </si>
  <si>
    <t>035950024/00004045</t>
  </si>
  <si>
    <t>A28834520</t>
  </si>
  <si>
    <t>5477-2024-00716564</t>
  </si>
  <si>
    <t>10110819</t>
  </si>
  <si>
    <t>1/2029</t>
  </si>
  <si>
    <t>001000389114</t>
  </si>
  <si>
    <t>B86234309</t>
  </si>
  <si>
    <t>VALDEMODIS</t>
  </si>
  <si>
    <t>61760852</t>
  </si>
  <si>
    <t>B84076371</t>
  </si>
  <si>
    <t>BUENAVENTURA</t>
  </si>
  <si>
    <t>243622004812</t>
  </si>
  <si>
    <t>00556</t>
  </si>
  <si>
    <t>ESTUDIO DE COCINA COCISUR S.L.</t>
  </si>
  <si>
    <t>503</t>
  </si>
  <si>
    <t>pagado 27/09/</t>
  </si>
  <si>
    <t>24-2506</t>
  </si>
  <si>
    <t>B86624764</t>
  </si>
  <si>
    <t>PROMALLAS</t>
  </si>
  <si>
    <t>VEN/20288642</t>
  </si>
  <si>
    <t>0124986</t>
  </si>
  <si>
    <t>406401168</t>
  </si>
  <si>
    <t>SUMINISTROS ELECTRICOS BPV VALDEMORO S.L.</t>
  </si>
  <si>
    <t>1884/24</t>
  </si>
  <si>
    <t>16/24</t>
  </si>
  <si>
    <t>452704363</t>
  </si>
  <si>
    <t>011-0009-086018</t>
  </si>
  <si>
    <t>011-0009-101164</t>
  </si>
  <si>
    <t>011-0009-101213</t>
  </si>
  <si>
    <t>011-0009-096874</t>
  </si>
  <si>
    <t>011-0009-088822</t>
  </si>
  <si>
    <t>011-0009-113324</t>
  </si>
  <si>
    <t>011-0009-120712</t>
  </si>
  <si>
    <t>CO F24 01000002737</t>
  </si>
  <si>
    <t>FILTROS ACONCORA</t>
  </si>
  <si>
    <t>0000103627</t>
  </si>
  <si>
    <t>007-0009-740275</t>
  </si>
  <si>
    <t>0007-0009-721107</t>
  </si>
  <si>
    <t>007-0008-661145</t>
  </si>
  <si>
    <t>007-0008-697813</t>
  </si>
  <si>
    <t>007-0009-729860</t>
  </si>
  <si>
    <t>024-0009-442286</t>
  </si>
  <si>
    <t>73000657</t>
  </si>
  <si>
    <t>B8174565</t>
  </si>
  <si>
    <t>GASOLEOS GETAFE S.L.</t>
  </si>
  <si>
    <t>007-0008-R083912</t>
  </si>
  <si>
    <t>012-0008-253630</t>
  </si>
  <si>
    <t>007-0008-R083103</t>
  </si>
  <si>
    <t>007-0008-683860</t>
  </si>
  <si>
    <t>007-0008-685413</t>
  </si>
  <si>
    <t>007-0008-R083913</t>
  </si>
  <si>
    <t>007-0007-658852</t>
  </si>
  <si>
    <t>007-0007-656567</t>
  </si>
  <si>
    <t>007-0008-667868</t>
  </si>
  <si>
    <t>020-0008-693666</t>
  </si>
  <si>
    <t>020-0008-693674</t>
  </si>
  <si>
    <t>007-0008-682602</t>
  </si>
  <si>
    <t>007-0008-681462</t>
  </si>
  <si>
    <t>007-0008-R083305</t>
  </si>
  <si>
    <t>018-0008-562095</t>
  </si>
  <si>
    <t>007-0008-688357</t>
  </si>
  <si>
    <t>034-0008-399423</t>
  </si>
  <si>
    <t>034-0008-401612</t>
  </si>
  <si>
    <t>007-0007-618222</t>
  </si>
  <si>
    <t>011-0007-975747</t>
  </si>
  <si>
    <t>034-0006-349864</t>
  </si>
  <si>
    <t>034-0006-350714</t>
  </si>
  <si>
    <t>034-0006-350703</t>
  </si>
  <si>
    <t>034-0006-349885</t>
  </si>
  <si>
    <t>011-0006-956159</t>
  </si>
  <si>
    <t>007-0006-603896</t>
  </si>
  <si>
    <t>034-0006-350785</t>
  </si>
  <si>
    <t>020-0006-656946</t>
  </si>
  <si>
    <t>034-0006-352973</t>
  </si>
  <si>
    <t>007-0007-649498</t>
  </si>
  <si>
    <t>020-0007-662433</t>
  </si>
  <si>
    <t>034-0007-359726</t>
  </si>
  <si>
    <t>034-0007-360925</t>
  </si>
  <si>
    <t>007-0007-657180</t>
  </si>
  <si>
    <t>007-0007-659287</t>
  </si>
  <si>
    <t>007-0007-659992</t>
  </si>
  <si>
    <t>007-0007-660619</t>
  </si>
  <si>
    <t>007-0007-649527</t>
  </si>
  <si>
    <t>007-0007-649503</t>
  </si>
  <si>
    <t>007-0007-651335</t>
  </si>
  <si>
    <t>007-0007-651322</t>
  </si>
  <si>
    <t>007-0007-649057</t>
  </si>
  <si>
    <t>007-0007-649244</t>
  </si>
  <si>
    <t>007-0006-602194</t>
  </si>
  <si>
    <t>007-0006-584307</t>
  </si>
  <si>
    <t>007-0006-585178</t>
  </si>
  <si>
    <t>007-0006-590189</t>
  </si>
  <si>
    <t>007-0006-587782</t>
  </si>
  <si>
    <t>011-0006-941706</t>
  </si>
  <si>
    <t>011-0006-941765</t>
  </si>
  <si>
    <t>007-0006-595891</t>
  </si>
  <si>
    <t>007-0006-597706</t>
  </si>
  <si>
    <t>1-350/43/395605</t>
  </si>
  <si>
    <t>045-0008-418315</t>
  </si>
  <si>
    <t>045-0008-418736</t>
  </si>
  <si>
    <t>2024-000802</t>
  </si>
  <si>
    <t>B86209673</t>
  </si>
  <si>
    <t>ENERGIA SOLAR LED S.L.</t>
  </si>
  <si>
    <t>073-0006-866703</t>
  </si>
  <si>
    <t>045-0007-403549</t>
  </si>
  <si>
    <t>FA2024006625</t>
  </si>
  <si>
    <t>FA2024006811</t>
  </si>
  <si>
    <t>FA2024007231</t>
  </si>
  <si>
    <t>FA2024007261</t>
  </si>
  <si>
    <t>067-0007-911620</t>
  </si>
  <si>
    <t>067-0007-911615</t>
  </si>
  <si>
    <t>A/10397</t>
  </si>
  <si>
    <t>A/10394</t>
  </si>
  <si>
    <t>A/10411</t>
  </si>
  <si>
    <t>A/10031</t>
  </si>
  <si>
    <t>A/8658</t>
  </si>
  <si>
    <t>045-0009-427918</t>
  </si>
  <si>
    <t>045-0009-427955</t>
  </si>
  <si>
    <t>1/351/21/322407</t>
  </si>
  <si>
    <t>1/351/2/881751</t>
  </si>
  <si>
    <t>1418131896</t>
  </si>
  <si>
    <t>A/12183</t>
  </si>
  <si>
    <t>A/12184</t>
  </si>
  <si>
    <t>096743/A/24/002143</t>
  </si>
  <si>
    <t>096743/A/24/002162</t>
  </si>
  <si>
    <t>096743/A/24/001879</t>
  </si>
  <si>
    <t>096743/A/24/002124</t>
  </si>
  <si>
    <t>001D2400015629</t>
  </si>
  <si>
    <t>PLENOIL S.L.</t>
  </si>
  <si>
    <t>001D2400015628</t>
  </si>
  <si>
    <t>001D2400022147</t>
  </si>
  <si>
    <t>B16330748</t>
  </si>
  <si>
    <t>CILANTRO Y CURCUMA S.L.</t>
  </si>
  <si>
    <t>20240072</t>
  </si>
  <si>
    <t>AT9241249106859</t>
  </si>
  <si>
    <t>2024/000441</t>
  </si>
  <si>
    <t>24/00183</t>
  </si>
  <si>
    <t>CO F24 0100002815</t>
  </si>
  <si>
    <t>186</t>
  </si>
  <si>
    <t>187</t>
  </si>
  <si>
    <t>CONTAMAR ASESORES DE EMPRESAS</t>
  </si>
  <si>
    <t>188</t>
  </si>
  <si>
    <t>CUEVAS GRIMAS OBRAS Y SERVICIOS SLNEU</t>
  </si>
  <si>
    <t>pagado 07/10/</t>
  </si>
  <si>
    <t>189</t>
  </si>
  <si>
    <t>190</t>
  </si>
  <si>
    <t>MEDA INMUEBLES S.L.</t>
  </si>
  <si>
    <t>191</t>
  </si>
  <si>
    <t>192</t>
  </si>
  <si>
    <t>B97794531</t>
  </si>
  <si>
    <t>ESPGOL EUROGROUP</t>
  </si>
  <si>
    <t>193</t>
  </si>
  <si>
    <t>MQF S.L.</t>
  </si>
  <si>
    <t>194</t>
  </si>
  <si>
    <t>CONSEJERIA DE VIVIENDA TRANSPORTES E INFRAESTRUCTURA</t>
  </si>
  <si>
    <t>195</t>
  </si>
  <si>
    <t>196</t>
  </si>
  <si>
    <t>A09</t>
  </si>
  <si>
    <t>X9146590L</t>
  </si>
  <si>
    <t>MACOVEI OVIDIU IULIAN</t>
  </si>
  <si>
    <t>11500€ 18/07</t>
  </si>
  <si>
    <t>10500€ 18/07</t>
  </si>
  <si>
    <t>10000€ 18/07</t>
  </si>
  <si>
    <t>AL10</t>
  </si>
  <si>
    <t>pagado 09/10</t>
  </si>
  <si>
    <t>270</t>
  </si>
  <si>
    <t>B84333129</t>
  </si>
  <si>
    <t>ARTE VETA</t>
  </si>
  <si>
    <t>VEN/20291274</t>
  </si>
  <si>
    <t>pagado 11/10</t>
  </si>
  <si>
    <t>pagado 10/10</t>
  </si>
  <si>
    <t>8537€ 10/10</t>
  </si>
  <si>
    <t>197</t>
  </si>
  <si>
    <t>pagado10/10/</t>
  </si>
  <si>
    <t>pagado 10/10/</t>
  </si>
  <si>
    <t>24117075</t>
  </si>
  <si>
    <t>2024/273</t>
  </si>
  <si>
    <t>0125405</t>
  </si>
  <si>
    <t>198</t>
  </si>
  <si>
    <t>DECORACIONES J. GARCIA SL</t>
  </si>
  <si>
    <t>pagado 17/10/</t>
  </si>
  <si>
    <t>VEN/20293790</t>
  </si>
  <si>
    <t>INSTALATE CALIN HORATIU IELCEAN</t>
  </si>
  <si>
    <t>AV24000398</t>
  </si>
  <si>
    <t>A80518020</t>
  </si>
  <si>
    <t>GAROTECNIA</t>
  </si>
  <si>
    <t>20240121</t>
  </si>
  <si>
    <t>20240124</t>
  </si>
  <si>
    <t>20240125</t>
  </si>
  <si>
    <t>406401234</t>
  </si>
  <si>
    <t>SUMINSTROS ELECTRICOS BPV VALDEMORO</t>
  </si>
  <si>
    <t>350460</t>
  </si>
  <si>
    <t>359437</t>
  </si>
  <si>
    <t>359438</t>
  </si>
  <si>
    <t>9124025380</t>
  </si>
  <si>
    <t>24116143</t>
  </si>
  <si>
    <t>199</t>
  </si>
  <si>
    <t>200</t>
  </si>
  <si>
    <t>201</t>
  </si>
  <si>
    <t>202</t>
  </si>
  <si>
    <t>09008664R</t>
  </si>
  <si>
    <t>ALMUDENA CARRASCO MORENO</t>
  </si>
  <si>
    <t>203</t>
  </si>
  <si>
    <t>204</t>
  </si>
  <si>
    <t>205</t>
  </si>
  <si>
    <t>206</t>
  </si>
  <si>
    <t>pagado 29/10/</t>
  </si>
  <si>
    <t>pagado 28/10/</t>
  </si>
  <si>
    <t>pagado 25/10/</t>
  </si>
  <si>
    <t>AL11</t>
  </si>
  <si>
    <t>00002-2024/A0603/00001167</t>
  </si>
  <si>
    <t>245903487</t>
  </si>
  <si>
    <t>007-0010-762983</t>
  </si>
  <si>
    <t>BRICOLAJE BRICOMAN S.L.U.</t>
  </si>
  <si>
    <t>2024FBFN02295717</t>
  </si>
  <si>
    <t>024-0010-496388</t>
  </si>
  <si>
    <t>I036-697</t>
  </si>
  <si>
    <t>B80341985</t>
  </si>
  <si>
    <t>SPANPETROL S.L.</t>
  </si>
  <si>
    <t>024-0010-483944</t>
  </si>
  <si>
    <t>007-0010-764550</t>
  </si>
  <si>
    <t>33410</t>
  </si>
  <si>
    <t>432708196</t>
  </si>
  <si>
    <t>GUARDEÑO SUMINISTROS ELECTRICOS</t>
  </si>
  <si>
    <t>432708277</t>
  </si>
  <si>
    <t>5477202460097805</t>
  </si>
  <si>
    <t>ES0022S2419682</t>
  </si>
  <si>
    <t>GROPUE SEB IBERIA SA</t>
  </si>
  <si>
    <t>ES0022S2419622</t>
  </si>
  <si>
    <t>045-0009-430282</t>
  </si>
  <si>
    <t>0240012365</t>
  </si>
  <si>
    <t>E19T/185758</t>
  </si>
  <si>
    <t>T001/57793</t>
  </si>
  <si>
    <t>B87215976</t>
  </si>
  <si>
    <t>BENARES MADRID</t>
  </si>
  <si>
    <t>24FP001297</t>
  </si>
  <si>
    <t>E.S. OLIVAR ALTO AGROPIEDRA</t>
  </si>
  <si>
    <t>249001379382</t>
  </si>
  <si>
    <t>41424F1000008359</t>
  </si>
  <si>
    <t>A28421170</t>
  </si>
  <si>
    <t>ADENOR ENERGY SA</t>
  </si>
  <si>
    <t>5477-2024-00571051</t>
  </si>
  <si>
    <t>2240</t>
  </si>
  <si>
    <t>5477202400064763</t>
  </si>
  <si>
    <t>5477202400064764</t>
  </si>
  <si>
    <t>012-0010-458828</t>
  </si>
  <si>
    <t>207</t>
  </si>
  <si>
    <t>pagado 30/10/</t>
  </si>
  <si>
    <t>51818520A</t>
  </si>
  <si>
    <t>JUAN DE DIOS MARTE DE LA ROSA</t>
  </si>
  <si>
    <t>47/2024</t>
  </si>
  <si>
    <t>L/24/00149771</t>
  </si>
  <si>
    <t>A79707345</t>
  </si>
  <si>
    <t>SOLRED</t>
  </si>
  <si>
    <t>24FO001643</t>
  </si>
  <si>
    <t>OLIVAR ALTO AGROPIEDRA</t>
  </si>
  <si>
    <t>0125657</t>
  </si>
  <si>
    <t>2024/000512</t>
  </si>
  <si>
    <t>368710</t>
  </si>
  <si>
    <t>368709</t>
  </si>
  <si>
    <t>24118028</t>
  </si>
  <si>
    <t>24118029</t>
  </si>
  <si>
    <t>VEN/20296692</t>
  </si>
  <si>
    <t>52/2024</t>
  </si>
  <si>
    <t>ARTBEYAS CONSTRUCCIONES Y REFORMAS</t>
  </si>
  <si>
    <t>2024/000524</t>
  </si>
  <si>
    <t>379849</t>
  </si>
  <si>
    <t>VEN/20299148</t>
  </si>
  <si>
    <t>2163/24</t>
  </si>
  <si>
    <t>2024/63</t>
  </si>
  <si>
    <t>VENTALUX</t>
  </si>
  <si>
    <t>2024/64</t>
  </si>
  <si>
    <t>208</t>
  </si>
  <si>
    <t>210</t>
  </si>
  <si>
    <t>211</t>
  </si>
  <si>
    <t>212</t>
  </si>
  <si>
    <t>LINOTEC SOLUCIONES TECNICAS</t>
  </si>
  <si>
    <t>02111909A</t>
  </si>
  <si>
    <t>PILAR MORENO CUADRA</t>
  </si>
  <si>
    <t>213</t>
  </si>
  <si>
    <t xml:space="preserve">C.P. PASEO DEL PRADO 2 </t>
  </si>
  <si>
    <t>1 001739</t>
  </si>
  <si>
    <t>0240013204</t>
  </si>
  <si>
    <t>24/00207</t>
  </si>
  <si>
    <t>00011974</t>
  </si>
  <si>
    <t>00011975</t>
  </si>
  <si>
    <t>2299</t>
  </si>
  <si>
    <t>11950€ 13/11/</t>
  </si>
  <si>
    <t>15000€ 12/11</t>
  </si>
  <si>
    <t>pagado 07/11/</t>
  </si>
  <si>
    <t>pagado 05/11/</t>
  </si>
  <si>
    <t>8886,79€ 12/11</t>
  </si>
  <si>
    <t>pagado 18/10/</t>
  </si>
  <si>
    <t>pagado 18/11/</t>
  </si>
  <si>
    <t>0240013465</t>
  </si>
  <si>
    <t>1-242383</t>
  </si>
  <si>
    <t>B88352190</t>
  </si>
  <si>
    <t>FONTICAL</t>
  </si>
  <si>
    <t>24119014</t>
  </si>
  <si>
    <t>24119015</t>
  </si>
  <si>
    <t>434313886</t>
  </si>
  <si>
    <t>SUMINISTRO ELECTRICOS GUARDEÑO</t>
  </si>
  <si>
    <t>314</t>
  </si>
  <si>
    <t>329</t>
  </si>
  <si>
    <t>2024010</t>
  </si>
  <si>
    <t>VEN/20301942</t>
  </si>
  <si>
    <t>pagado 20/11/</t>
  </si>
  <si>
    <t>214</t>
  </si>
  <si>
    <t>1000€ 21/11/</t>
  </si>
  <si>
    <t>2024-0274</t>
  </si>
  <si>
    <t>PIKYOE AUTIMICION</t>
  </si>
  <si>
    <t>C/343</t>
  </si>
  <si>
    <t>34352817V</t>
  </si>
  <si>
    <t>VITOR MANUEL LOPES GOMES</t>
  </si>
  <si>
    <t>A10</t>
  </si>
  <si>
    <t>B19723261</t>
  </si>
  <si>
    <t>TIRSONEX SLU</t>
  </si>
  <si>
    <t>22400€ 08/08</t>
  </si>
  <si>
    <t>3000€ 08/08/</t>
  </si>
  <si>
    <t>397668</t>
  </si>
  <si>
    <t>397669</t>
  </si>
  <si>
    <t>215</t>
  </si>
  <si>
    <t>216</t>
  </si>
  <si>
    <t>217</t>
  </si>
  <si>
    <t>218</t>
  </si>
  <si>
    <t>B13425129</t>
  </si>
  <si>
    <t>MOVITEX SL</t>
  </si>
  <si>
    <t>pagado 26/11/</t>
  </si>
  <si>
    <t>2024000188</t>
  </si>
  <si>
    <t>202490</t>
  </si>
  <si>
    <t>ZENOVIU MARIS GORGAN</t>
  </si>
  <si>
    <t>B50796689</t>
  </si>
  <si>
    <t>PEREZ CEBOLLA S.L.</t>
  </si>
  <si>
    <t>219</t>
  </si>
  <si>
    <t>220</t>
  </si>
  <si>
    <t>7219483J</t>
  </si>
  <si>
    <t>CARLOS CORNEJO BAZAN</t>
  </si>
  <si>
    <t>1000€ 23/09/</t>
  </si>
  <si>
    <t>pagado 27/11/</t>
  </si>
  <si>
    <t>221</t>
  </si>
  <si>
    <t>H01920123</t>
  </si>
  <si>
    <t>C.P. TROYA - CACERES - ACROPOLIS</t>
  </si>
  <si>
    <t>222</t>
  </si>
  <si>
    <t>223</t>
  </si>
  <si>
    <t>224</t>
  </si>
  <si>
    <t>AL12</t>
  </si>
  <si>
    <t>H01920008</t>
  </si>
  <si>
    <t>C.P. GRAN MURALLA 1,5,5,7 VERSALLES 2,4,6,8</t>
  </si>
  <si>
    <t>pagado 28/11/</t>
  </si>
  <si>
    <t>50/2024</t>
  </si>
  <si>
    <t>N001959/2024</t>
  </si>
  <si>
    <t>01176862K</t>
  </si>
  <si>
    <t>DOLORES MORLAN GIMENEZ MONTESINOS FARMACIA</t>
  </si>
  <si>
    <t>P000675/2024</t>
  </si>
  <si>
    <t>B87649000</t>
  </si>
  <si>
    <t>GRUPO MOLRA GIMENEZ MONTESINOS</t>
  </si>
  <si>
    <t>BOTIQUIN</t>
  </si>
  <si>
    <t>20240138</t>
  </si>
  <si>
    <t>15140</t>
  </si>
  <si>
    <t>A78067378</t>
  </si>
  <si>
    <t>DAPSA</t>
  </si>
  <si>
    <t>18/10/20214</t>
  </si>
  <si>
    <t>208820</t>
  </si>
  <si>
    <t>243622005678</t>
  </si>
  <si>
    <t>pagado 02/12/</t>
  </si>
  <si>
    <t>pagado 05/12/</t>
  </si>
  <si>
    <t>pagado 04/12/</t>
  </si>
  <si>
    <t>0240013642</t>
  </si>
  <si>
    <t>0240013820</t>
  </si>
  <si>
    <t>24/195</t>
  </si>
  <si>
    <t>00043</t>
  </si>
  <si>
    <t>X6837672W</t>
  </si>
  <si>
    <t>FLORIN DORIN STOICA</t>
  </si>
  <si>
    <t>357</t>
  </si>
  <si>
    <t>17/24</t>
  </si>
  <si>
    <t>0126397</t>
  </si>
  <si>
    <t>407726</t>
  </si>
  <si>
    <t>407725</t>
  </si>
  <si>
    <t>407724</t>
  </si>
  <si>
    <t>418399</t>
  </si>
  <si>
    <t>434314642</t>
  </si>
  <si>
    <t>SUMINSTROS ELECTRICOS GUARDEÑO</t>
  </si>
  <si>
    <t>24119932</t>
  </si>
  <si>
    <t>24119933</t>
  </si>
  <si>
    <t>24119934</t>
  </si>
  <si>
    <t>24119935</t>
  </si>
  <si>
    <t>24119936</t>
  </si>
  <si>
    <t>24119937</t>
  </si>
  <si>
    <t>24119938</t>
  </si>
  <si>
    <t>VEN/20304775</t>
  </si>
  <si>
    <t>2024-00009</t>
  </si>
  <si>
    <t>55517245Y</t>
  </si>
  <si>
    <t>LIMPIEZA COCHE</t>
  </si>
  <si>
    <t>2024-00010</t>
  </si>
  <si>
    <t>MARCELA ROMAN TUNS</t>
  </si>
  <si>
    <t>225</t>
  </si>
  <si>
    <t>pagado 09/12/</t>
  </si>
  <si>
    <t>226</t>
  </si>
  <si>
    <t>228</t>
  </si>
  <si>
    <t>229</t>
  </si>
  <si>
    <t>230</t>
  </si>
  <si>
    <t>pagado 29/11/</t>
  </si>
  <si>
    <t>pagado 13/11/</t>
  </si>
  <si>
    <t>pagado 10/12/</t>
  </si>
  <si>
    <t>231</t>
  </si>
  <si>
    <t>A84395839</t>
  </si>
  <si>
    <t>ASUMAN SERVICIO Y MANTENIMIENTO</t>
  </si>
  <si>
    <t>232</t>
  </si>
  <si>
    <t>233</t>
  </si>
  <si>
    <t>234</t>
  </si>
  <si>
    <t>L/24/00165481</t>
  </si>
  <si>
    <t>003564</t>
  </si>
  <si>
    <t>007-0011-792187</t>
  </si>
  <si>
    <t>045-0012-452114</t>
  </si>
  <si>
    <t>007-0012-835312</t>
  </si>
  <si>
    <t>018-0011-749075</t>
  </si>
  <si>
    <t>1437100354</t>
  </si>
  <si>
    <t>141836973</t>
  </si>
  <si>
    <t>ES0022S2420159</t>
  </si>
  <si>
    <t>GROUPE SEB IBERICA</t>
  </si>
  <si>
    <t>802,40 TARJETA</t>
  </si>
  <si>
    <t>24C 240096700</t>
  </si>
  <si>
    <t>A16619207</t>
  </si>
  <si>
    <t>GULLERMO DURAN</t>
  </si>
  <si>
    <t>007-0011-818684</t>
  </si>
  <si>
    <t>007-0011-818692</t>
  </si>
  <si>
    <t>I110124AA041448</t>
  </si>
  <si>
    <t>ATEN OIL SETOR OPERACIONES SL</t>
  </si>
  <si>
    <t>007-0010-777250</t>
  </si>
  <si>
    <t>007-0010-R091948</t>
  </si>
  <si>
    <t>007-0010-777229</t>
  </si>
  <si>
    <t>024-0010-513929</t>
  </si>
  <si>
    <t>1417114535</t>
  </si>
  <si>
    <t>1413126106</t>
  </si>
  <si>
    <t>I-2605</t>
  </si>
  <si>
    <t>007-0011-816748</t>
  </si>
  <si>
    <t>02100285638</t>
  </si>
  <si>
    <t>P24CON043038133</t>
  </si>
  <si>
    <t>011-0011-197310</t>
  </si>
  <si>
    <t>0240013377</t>
  </si>
  <si>
    <t>01414100113</t>
  </si>
  <si>
    <t>1414117431</t>
  </si>
  <si>
    <t>1414117432</t>
  </si>
  <si>
    <t>007-0011-787519</t>
  </si>
  <si>
    <t>024-0010-534415</t>
  </si>
  <si>
    <t>045-0010-439263</t>
  </si>
  <si>
    <t>1413127022</t>
  </si>
  <si>
    <t>1416114467</t>
  </si>
  <si>
    <t>17-24-002349</t>
  </si>
  <si>
    <t>5477-2024-00086989</t>
  </si>
  <si>
    <t>5477-2024-00086988</t>
  </si>
  <si>
    <t>23/10/20214</t>
  </si>
  <si>
    <t>6766</t>
  </si>
  <si>
    <t>011064024/00009708</t>
  </si>
  <si>
    <t>2024FBFN02723321</t>
  </si>
  <si>
    <t>5477-2024-00086583</t>
  </si>
  <si>
    <t>5477-2024-0064763</t>
  </si>
  <si>
    <t>5477-2024-00085172</t>
  </si>
  <si>
    <t>096670/A/24/009295</t>
  </si>
  <si>
    <t>5477-2024-00064764</t>
  </si>
  <si>
    <t>SFU120237</t>
  </si>
  <si>
    <t>B70444583</t>
  </si>
  <si>
    <t>CARBUGAL FUENLABRADA</t>
  </si>
  <si>
    <t>0000102610</t>
  </si>
  <si>
    <t>5477-2024-00582360</t>
  </si>
  <si>
    <t>5477-2024-00582356</t>
  </si>
  <si>
    <t>5477-2024-00579373</t>
  </si>
  <si>
    <t>5477-2024-00575737</t>
  </si>
  <si>
    <t>AP024652</t>
  </si>
  <si>
    <t>99-31468</t>
  </si>
  <si>
    <t xml:space="preserve">CARLA`S </t>
  </si>
  <si>
    <t>99-31469</t>
  </si>
  <si>
    <t>704</t>
  </si>
  <si>
    <t>E94198637</t>
  </si>
  <si>
    <t>MIÑA NAI</t>
  </si>
  <si>
    <t>1/2061</t>
  </si>
  <si>
    <t>2024/000566</t>
  </si>
  <si>
    <t>2024/000565</t>
  </si>
  <si>
    <t>2367/24</t>
  </si>
  <si>
    <t>VEN/20307315</t>
  </si>
  <si>
    <t>MSTERIAL</t>
  </si>
  <si>
    <t>2884,10€ 11/12</t>
  </si>
  <si>
    <t>4000€ 23/09/</t>
  </si>
  <si>
    <t>F244021</t>
  </si>
  <si>
    <t>F243802</t>
  </si>
  <si>
    <t>F244432</t>
  </si>
  <si>
    <t>F244605</t>
  </si>
  <si>
    <t>28-J4U1-045800</t>
  </si>
  <si>
    <t>TA7DP0170655</t>
  </si>
  <si>
    <t>TA7DP0170656</t>
  </si>
  <si>
    <t>TA7DP0170657</t>
  </si>
  <si>
    <t>TA7DP0170658</t>
  </si>
  <si>
    <t>28-K4U1-049589</t>
  </si>
  <si>
    <t>TA7DQ0169890</t>
  </si>
  <si>
    <t>TA7DQ0169891</t>
  </si>
  <si>
    <t>TA7DQ0169892</t>
  </si>
  <si>
    <t>TA7DQ0169893</t>
  </si>
  <si>
    <t>DS-AEU-INV-ES-2024-18626020</t>
  </si>
  <si>
    <t>LU20260743</t>
  </si>
  <si>
    <t>DS-AEU-INV-ES-2024-18958591</t>
  </si>
  <si>
    <t>DS-AEU-INV-ES-2024-19140553</t>
  </si>
  <si>
    <t>REE20241000491316</t>
  </si>
  <si>
    <t>N0087538E</t>
  </si>
  <si>
    <t>BSSW EUROPE GMBH</t>
  </si>
  <si>
    <t>CARTA CERTIFICADA</t>
  </si>
  <si>
    <t>00012102</t>
  </si>
  <si>
    <t>00012103</t>
  </si>
  <si>
    <t>2685</t>
  </si>
  <si>
    <t>0126703</t>
  </si>
  <si>
    <t>011359</t>
  </si>
  <si>
    <t>B84126648</t>
  </si>
  <si>
    <t>DEL ESPINO</t>
  </si>
  <si>
    <t>011367</t>
  </si>
  <si>
    <t>2411852</t>
  </si>
  <si>
    <t>24120861</t>
  </si>
  <si>
    <t>24120860</t>
  </si>
  <si>
    <t>24120859</t>
  </si>
  <si>
    <t>24120858</t>
  </si>
  <si>
    <t>24120857</t>
  </si>
  <si>
    <t>426138</t>
  </si>
  <si>
    <t>426139</t>
  </si>
  <si>
    <t>SIM-INV-ES-1102429215-2024-85084</t>
  </si>
  <si>
    <t>B13599261</t>
  </si>
  <si>
    <t>REDCAR LOW COST</t>
  </si>
  <si>
    <t>24/201</t>
  </si>
  <si>
    <t>B-4233</t>
  </si>
  <si>
    <t>60JDFE002456</t>
  </si>
  <si>
    <t>FAC-09CUB24-001854</t>
  </si>
  <si>
    <t>DATA CONTROL TECNOLOGIAS DE LA INFORMACION SA</t>
  </si>
  <si>
    <t>REDES</t>
  </si>
  <si>
    <t>PAGADO 420€</t>
  </si>
  <si>
    <t>PAGADO 210€</t>
  </si>
  <si>
    <t>28-L4U1-064603</t>
  </si>
  <si>
    <t>TA7DR0170187</t>
  </si>
  <si>
    <t>TA7DR0170188</t>
  </si>
  <si>
    <t>TA7DR0170190</t>
  </si>
  <si>
    <t>TA7DR0170189</t>
  </si>
  <si>
    <t>235</t>
  </si>
  <si>
    <t>236</t>
  </si>
  <si>
    <t>237</t>
  </si>
  <si>
    <t>434315379</t>
  </si>
  <si>
    <t>pagado 18/12/</t>
  </si>
  <si>
    <t>238</t>
  </si>
  <si>
    <t>239</t>
  </si>
  <si>
    <t>0001750Z</t>
  </si>
  <si>
    <t>AVELINA PASTOR RUIZ</t>
  </si>
  <si>
    <t>240</t>
  </si>
  <si>
    <t>B/00217</t>
  </si>
  <si>
    <t>B87455531</t>
  </si>
  <si>
    <t>NOTARIOS DE LA CIBELINA S.C.</t>
  </si>
  <si>
    <t>F4/20222</t>
  </si>
  <si>
    <t>B63321269</t>
  </si>
  <si>
    <t>GALERIAS MIMMA</t>
  </si>
  <si>
    <t>1245€ 06/12/</t>
  </si>
  <si>
    <t>A99319030</t>
  </si>
  <si>
    <t>L/24/00083843</t>
  </si>
  <si>
    <t>L/24/00100479</t>
  </si>
  <si>
    <t>L/24/00117301</t>
  </si>
  <si>
    <t>L/24/00133848</t>
  </si>
  <si>
    <t>G-241931</t>
  </si>
  <si>
    <t>24099299Z</t>
  </si>
  <si>
    <t>GESTORIA ENRIQUE RAYA ALVAREZ</t>
  </si>
  <si>
    <t>435266</t>
  </si>
  <si>
    <t>VEN/20309847</t>
  </si>
  <si>
    <t>pagado 24/12/</t>
  </si>
  <si>
    <t>00012132</t>
  </si>
  <si>
    <t>5477202400724681</t>
  </si>
  <si>
    <t>5477202400731482</t>
  </si>
  <si>
    <t>5477202400734370</t>
  </si>
  <si>
    <t>5477202400080988</t>
  </si>
  <si>
    <t>F244878</t>
  </si>
  <si>
    <t>016-0012-864538</t>
  </si>
  <si>
    <t>1320112024</t>
  </si>
  <si>
    <t>B70999503</t>
  </si>
  <si>
    <t>WILLCO SPAIN</t>
  </si>
  <si>
    <t xml:space="preserve">GESTOR  </t>
  </si>
  <si>
    <t>2024026</t>
  </si>
  <si>
    <t>PE/097045/V/24/000265</t>
  </si>
  <si>
    <t>A28076420</t>
  </si>
  <si>
    <t>1036/09/2024/ES</t>
  </si>
  <si>
    <t>PL8792554728</t>
  </si>
  <si>
    <t>MOSSA PIOTR BLAHYJ</t>
  </si>
  <si>
    <t>VA 2400139</t>
  </si>
  <si>
    <t>B03364064</t>
  </si>
  <si>
    <t>CAMPOS RECAMBIOS Y ACCESORIOS</t>
  </si>
  <si>
    <t>5477-2024-00087852</t>
  </si>
  <si>
    <t>5477-2024-00076329</t>
  </si>
  <si>
    <t>5477-2024-00080988</t>
  </si>
  <si>
    <t>5477-2024-00076324</t>
  </si>
  <si>
    <t>5477-2024-00582752</t>
  </si>
  <si>
    <t>ORD_282_2024/0055681</t>
  </si>
  <si>
    <t>25019/2024</t>
  </si>
  <si>
    <t>46858003B</t>
  </si>
  <si>
    <t>OH LA LAU</t>
  </si>
  <si>
    <t>514698</t>
  </si>
  <si>
    <t>B01894746</t>
  </si>
  <si>
    <t>CHATTER CAFÉ GETAFE</t>
  </si>
  <si>
    <t>2024FBFN02855937</t>
  </si>
  <si>
    <t>673</t>
  </si>
  <si>
    <t>E85031912</t>
  </si>
  <si>
    <t>LA ROSA AMARILLA</t>
  </si>
  <si>
    <t>N001984/2024</t>
  </si>
  <si>
    <t>01176862L</t>
  </si>
  <si>
    <t xml:space="preserve">DOLORES MORLAN GIMENEZ MONTESINOS </t>
  </si>
  <si>
    <t>P000699/2024</t>
  </si>
  <si>
    <t>GRUUPO MORLAN GIMENEZ- MONTESINOS</t>
  </si>
  <si>
    <t>pagado 30/12/</t>
  </si>
  <si>
    <t>pagafo 30/12/</t>
  </si>
  <si>
    <t>pagado 31/12/</t>
  </si>
  <si>
    <t>0240014314</t>
  </si>
  <si>
    <t>VEN/20311610</t>
  </si>
  <si>
    <t>441729</t>
  </si>
  <si>
    <t>450097</t>
  </si>
  <si>
    <t>450098</t>
  </si>
  <si>
    <t>24121718</t>
  </si>
  <si>
    <t>24121719</t>
  </si>
  <si>
    <t>24121720</t>
  </si>
  <si>
    <t>24121721</t>
  </si>
  <si>
    <t>24121722</t>
  </si>
  <si>
    <t>00047</t>
  </si>
  <si>
    <t>08104016090</t>
  </si>
  <si>
    <t>A28017895</t>
  </si>
  <si>
    <t>08104016091</t>
  </si>
  <si>
    <t>08104016089</t>
  </si>
  <si>
    <t>EL CORTE INGLES HIPERCOR</t>
  </si>
  <si>
    <t>010822A/24/002857</t>
  </si>
  <si>
    <t>5477-2024-00585437</t>
  </si>
  <si>
    <t>pagado 23/12/</t>
  </si>
  <si>
    <t>434316033</t>
  </si>
  <si>
    <t>pagado 20/12/</t>
  </si>
  <si>
    <t>241</t>
  </si>
  <si>
    <t>242</t>
  </si>
  <si>
    <t>pagado 02/01/25</t>
  </si>
  <si>
    <t>0126915</t>
  </si>
  <si>
    <t>5477202400573162</t>
  </si>
  <si>
    <t>5477202400574601</t>
  </si>
  <si>
    <t>5477202400732903</t>
  </si>
  <si>
    <t>5477202400582752</t>
  </si>
  <si>
    <t>5477202400087843</t>
  </si>
  <si>
    <t>5477202400448557</t>
  </si>
  <si>
    <t>5477202400081772</t>
  </si>
  <si>
    <t>5477202400736671</t>
  </si>
  <si>
    <t>5477202400736672</t>
  </si>
  <si>
    <t>pagado 08/01/25</t>
  </si>
  <si>
    <t>R241855</t>
  </si>
  <si>
    <t>DE282547067</t>
  </si>
  <si>
    <t>AUTOHAUS WUNDEN</t>
  </si>
  <si>
    <t>1497</t>
  </si>
  <si>
    <t>71646771T</t>
  </si>
  <si>
    <t>RUIZ DE LA PEÑA GONZALEZ MARIA</t>
  </si>
  <si>
    <t>011-0010-158855</t>
  </si>
  <si>
    <t>011-0010-164610</t>
  </si>
  <si>
    <t>6083</t>
  </si>
  <si>
    <t>011-0010-170163</t>
  </si>
  <si>
    <t>011-0011-221355</t>
  </si>
  <si>
    <t>12570799</t>
  </si>
  <si>
    <t>B88022793</t>
  </si>
  <si>
    <t>MADRIFERR</t>
  </si>
  <si>
    <t>03/00001320</t>
  </si>
  <si>
    <t>B28556280</t>
  </si>
  <si>
    <t>GILPEREZ SLU</t>
  </si>
  <si>
    <t>011-0011-195436</t>
  </si>
  <si>
    <t>007-0011-786654</t>
  </si>
  <si>
    <t>011-0011-190429</t>
  </si>
  <si>
    <t>011-0010-165492</t>
  </si>
  <si>
    <t>011-0010-153634</t>
  </si>
  <si>
    <t>011-0010-153692</t>
  </si>
  <si>
    <t>011-0010-161647</t>
  </si>
  <si>
    <t>011-0010-149776</t>
  </si>
  <si>
    <t>011-0010-149774</t>
  </si>
  <si>
    <t>011-0010-150764</t>
  </si>
  <si>
    <t>011-0010-149779</t>
  </si>
  <si>
    <t>011-0010-152552</t>
  </si>
  <si>
    <t>011-0011-182318</t>
  </si>
  <si>
    <t>011-0011-R031261</t>
  </si>
  <si>
    <t>011-0011-183033</t>
  </si>
  <si>
    <t>011-0011-184534</t>
  </si>
  <si>
    <t>011-0011-185750</t>
  </si>
  <si>
    <t>011-0011-190496</t>
  </si>
  <si>
    <t>011-0011-R031938</t>
  </si>
  <si>
    <t>011-0010-153529</t>
  </si>
  <si>
    <t>011-0010-138705</t>
  </si>
  <si>
    <t>011-0010-144591</t>
  </si>
  <si>
    <t>011-0010-144615</t>
  </si>
  <si>
    <t>011-0010-140502</t>
  </si>
  <si>
    <t>011-0010-145595</t>
  </si>
  <si>
    <t>011-0010-140460</t>
  </si>
  <si>
    <t>011-0010-145615</t>
  </si>
  <si>
    <t>011-0010-133948</t>
  </si>
  <si>
    <t>011-0010-131879</t>
  </si>
  <si>
    <t>011-0010-128665</t>
  </si>
  <si>
    <t>011-0010-133932</t>
  </si>
  <si>
    <t>011-0010-135986</t>
  </si>
  <si>
    <t>ES0022S2427267</t>
  </si>
  <si>
    <t>2024V 011582</t>
  </si>
  <si>
    <t>6248</t>
  </si>
  <si>
    <t>F2465001135</t>
  </si>
  <si>
    <t>011-0011-217647</t>
  </si>
  <si>
    <t>FC13277345</t>
  </si>
  <si>
    <t>G.I. AFIDCASA SL</t>
  </si>
  <si>
    <t>011-0011-222672</t>
  </si>
  <si>
    <t>FC13277369</t>
  </si>
  <si>
    <t>23367/24</t>
  </si>
  <si>
    <t>SUMINISTROS VILLAVICIOSA SL</t>
  </si>
  <si>
    <t>23502/24</t>
  </si>
  <si>
    <t>1/351/41/376664</t>
  </si>
  <si>
    <t>018-0012-762856</t>
  </si>
  <si>
    <t>018-0012-762871</t>
  </si>
  <si>
    <t>018-0012-773293</t>
  </si>
  <si>
    <t>9232</t>
  </si>
  <si>
    <t>ESCAYOLAS EUROPÀ</t>
  </si>
  <si>
    <t>018-0012-774691</t>
  </si>
  <si>
    <t>018-0012-774762</t>
  </si>
  <si>
    <t>018-0012-781310</t>
  </si>
  <si>
    <t>2024004475</t>
  </si>
  <si>
    <t>B82030438</t>
  </si>
  <si>
    <t>CERAMICAS LEGANES SL</t>
  </si>
  <si>
    <t>00002-2024/A0603/00002208</t>
  </si>
  <si>
    <t>011-0012-251945</t>
  </si>
  <si>
    <t>00002-2024/A0101/00010865</t>
  </si>
  <si>
    <t>00002-2024/A0603/00002282</t>
  </si>
  <si>
    <t>00002-2024/A0602/00012570</t>
  </si>
  <si>
    <t>24587/24</t>
  </si>
  <si>
    <t>011-0012-260646</t>
  </si>
  <si>
    <t>007-0012-858205</t>
  </si>
  <si>
    <t>7129</t>
  </si>
  <si>
    <t>FC13278567</t>
  </si>
  <si>
    <t>1407</t>
  </si>
  <si>
    <t>B82195736</t>
  </si>
  <si>
    <t>CLASIFICASION DE TIERRAS GARCIAS MORENO SL</t>
  </si>
  <si>
    <t>FC13278447</t>
  </si>
  <si>
    <t>011-0012-262954</t>
  </si>
  <si>
    <t>007-0012-483372</t>
  </si>
  <si>
    <t>007-0012-483373</t>
  </si>
  <si>
    <t>12570889</t>
  </si>
  <si>
    <t>535061</t>
  </si>
  <si>
    <t>B87474094</t>
  </si>
  <si>
    <t>VILLAR CORCES SL</t>
  </si>
  <si>
    <t>9267</t>
  </si>
  <si>
    <t>045-0012-457026</t>
  </si>
  <si>
    <t>24015028</t>
  </si>
  <si>
    <t>AUTOLUT SL</t>
  </si>
  <si>
    <t>007-0012-850055</t>
  </si>
  <si>
    <t>HT42430</t>
  </si>
  <si>
    <t>IKOMO MOTORBIKE HONDA</t>
  </si>
  <si>
    <t>018-0012-793029</t>
  </si>
  <si>
    <t>0002-2024/A0605/00005099</t>
  </si>
  <si>
    <t>1 24 0005 0005437961</t>
  </si>
  <si>
    <t xml:space="preserve">DECATHLOIN </t>
  </si>
  <si>
    <t>CO F24 0100003430</t>
  </si>
  <si>
    <t xml:space="preserve">TA </t>
  </si>
  <si>
    <t>009560024/00004651</t>
  </si>
  <si>
    <t>011064024/00009778</t>
  </si>
  <si>
    <t>TA</t>
  </si>
  <si>
    <t>097029/A/24/001928</t>
  </si>
  <si>
    <t>097029/A/24/001856</t>
  </si>
  <si>
    <t>000001-TB015314</t>
  </si>
  <si>
    <t>B72480577</t>
  </si>
  <si>
    <t>TUTTO CAPSULE</t>
  </si>
  <si>
    <t>07324FE000006343</t>
  </si>
  <si>
    <t>00424FI0040000001813</t>
  </si>
  <si>
    <t>A29351525</t>
  </si>
  <si>
    <t>ASCIA EAS</t>
  </si>
  <si>
    <t>00324FI003000002870</t>
  </si>
  <si>
    <t>24101</t>
  </si>
  <si>
    <t>B86846078</t>
  </si>
  <si>
    <t>VALREY TELECOM</t>
  </si>
  <si>
    <t>TELEFONOS</t>
  </si>
  <si>
    <t>91/24</t>
  </si>
  <si>
    <t>82/24</t>
  </si>
  <si>
    <t>104/24</t>
  </si>
  <si>
    <t>pagado 17/12/</t>
  </si>
  <si>
    <t>OLARIU SILVANA ADRIANA</t>
  </si>
  <si>
    <t>CODITA EMANUEL</t>
  </si>
  <si>
    <t>18/24</t>
  </si>
  <si>
    <t>007-0011-816000</t>
  </si>
  <si>
    <t>007-0011-R095970</t>
  </si>
  <si>
    <t>007-0011-820926</t>
  </si>
  <si>
    <t>004-0011-836777</t>
  </si>
  <si>
    <t>004-0011-836763</t>
  </si>
  <si>
    <t>007-0011-815269</t>
  </si>
  <si>
    <t>007-0011-802149</t>
  </si>
  <si>
    <t>007-0011-R094320</t>
  </si>
  <si>
    <t>007-0011-802639</t>
  </si>
  <si>
    <t>007-0011-803308</t>
  </si>
  <si>
    <t>007-0011-811420</t>
  </si>
  <si>
    <t>007-0011-805247</t>
  </si>
  <si>
    <t>007-0011-817726</t>
  </si>
  <si>
    <t>007-0011-R095362</t>
  </si>
  <si>
    <t>007-0011-800284</t>
  </si>
  <si>
    <t>007-0011-814146</t>
  </si>
  <si>
    <t>007-0011-815253</t>
  </si>
  <si>
    <t>007-0011-828328</t>
  </si>
  <si>
    <t>007-0011-817696</t>
  </si>
  <si>
    <t>007-0011-R096643</t>
  </si>
  <si>
    <t>007-0012-830973</t>
  </si>
  <si>
    <t>007-0010-775078</t>
  </si>
  <si>
    <t>007-0010-775140</t>
  </si>
  <si>
    <t>007-0010-780464</t>
  </si>
  <si>
    <t>007-0010-7804444</t>
  </si>
  <si>
    <t>007-0010-R091491</t>
  </si>
  <si>
    <t>007-0010-771644</t>
  </si>
  <si>
    <t>007-0010-772315</t>
  </si>
  <si>
    <t>007-0010-771720</t>
  </si>
  <si>
    <t>012-0011-511162</t>
  </si>
  <si>
    <t>004-0011-797342</t>
  </si>
  <si>
    <t>007-0011-791600</t>
  </si>
  <si>
    <t>004-0010-782316</t>
  </si>
  <si>
    <t>007-0011-794738</t>
  </si>
  <si>
    <t>004-0010-782366</t>
  </si>
  <si>
    <t>004-0010-782405</t>
  </si>
  <si>
    <t>007-0010-777291</t>
  </si>
  <si>
    <t>007-0010-743580</t>
  </si>
  <si>
    <t>007-0010-741973</t>
  </si>
  <si>
    <t>007-0010-744860</t>
  </si>
  <si>
    <t>007-0010-745163</t>
  </si>
  <si>
    <t>007-0010-746691</t>
  </si>
  <si>
    <t>007-0010-753511</t>
  </si>
  <si>
    <t>007-0010-755139</t>
  </si>
  <si>
    <t>007-0010-758444</t>
  </si>
  <si>
    <t>007-0010-755136</t>
  </si>
  <si>
    <t>007-0010-744990</t>
  </si>
  <si>
    <t>004-0010-745011</t>
  </si>
  <si>
    <t>007-0010-759750</t>
  </si>
  <si>
    <t>007-0010-760405</t>
  </si>
  <si>
    <t>004-0011-R208449</t>
  </si>
  <si>
    <t>007-0011-791571</t>
  </si>
  <si>
    <t>004-0011-807102</t>
  </si>
  <si>
    <t>007-0011-799819</t>
  </si>
  <si>
    <t>007-0010-766706</t>
  </si>
  <si>
    <t>007-0010-767090</t>
  </si>
  <si>
    <t>007-0010-767150</t>
  </si>
  <si>
    <t>007-0010-R090849</t>
  </si>
  <si>
    <t>007-0010-761698</t>
  </si>
  <si>
    <t>007-0010-763804</t>
  </si>
  <si>
    <t>007-0010-765449</t>
  </si>
  <si>
    <t>007-0010-765275</t>
  </si>
  <si>
    <t>007-0011-789801</t>
  </si>
  <si>
    <t>007-0010-785343</t>
  </si>
  <si>
    <t>007-0010-R092685</t>
  </si>
  <si>
    <t>007-0010-785291</t>
  </si>
  <si>
    <t>007-0011-R093077</t>
  </si>
  <si>
    <t>007-0011-789268</t>
  </si>
  <si>
    <t>007-0011-789282</t>
  </si>
  <si>
    <t>007-0010-765300</t>
  </si>
  <si>
    <t>007-0011-808103</t>
  </si>
  <si>
    <t>1/350/44/389957</t>
  </si>
  <si>
    <t>1/350/21/210038</t>
  </si>
  <si>
    <t>1/354/2/21460</t>
  </si>
  <si>
    <t>0/350/43/412472</t>
  </si>
  <si>
    <t>1/354/42/24344</t>
  </si>
  <si>
    <t>1/350/43/432551</t>
  </si>
  <si>
    <t>1/350/43/415812</t>
  </si>
  <si>
    <t>1/350/11/362938</t>
  </si>
  <si>
    <t>045-0011-443027</t>
  </si>
  <si>
    <t>045-0010-438436</t>
  </si>
  <si>
    <t>050-0010-969107</t>
  </si>
  <si>
    <t>045-0010-438906</t>
  </si>
  <si>
    <t>045-0011-445198</t>
  </si>
  <si>
    <t>050-0011-991646</t>
  </si>
  <si>
    <t>050-0011-991656</t>
  </si>
  <si>
    <t>2404056</t>
  </si>
  <si>
    <t>B80471576</t>
  </si>
  <si>
    <t>A ANDRES CLEMENTE</t>
  </si>
  <si>
    <t>14724-C</t>
  </si>
  <si>
    <t>ROD &amp; PLUS SYSTEM</t>
  </si>
  <si>
    <t>A24004589</t>
  </si>
  <si>
    <t>B42971721</t>
  </si>
  <si>
    <t>HIERROS Y ACEROS DUARTE</t>
  </si>
  <si>
    <t>G 40307</t>
  </si>
  <si>
    <t>08104008533</t>
  </si>
  <si>
    <t xml:space="preserve">EL CORTE INGLES </t>
  </si>
  <si>
    <t>1/354/2/21534</t>
  </si>
  <si>
    <t>1413125206</t>
  </si>
  <si>
    <t>A/13437</t>
  </si>
  <si>
    <t>1/354/2/21533</t>
  </si>
  <si>
    <t>1463125640</t>
  </si>
  <si>
    <t>G 44239</t>
  </si>
  <si>
    <t>13810C</t>
  </si>
  <si>
    <t>G 43672</t>
  </si>
  <si>
    <t>045-0010-436249</t>
  </si>
  <si>
    <t>13281-C</t>
  </si>
  <si>
    <t>13283-C</t>
  </si>
  <si>
    <t>02619</t>
  </si>
  <si>
    <t>SILVIU MATERIALES DE CONTRUCCION</t>
  </si>
  <si>
    <t>243072006830</t>
  </si>
  <si>
    <t>E874452011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</si>
</sst>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70" formatCode="#,##0.00\ &quot;€&quot;"/>
  </numFmts>
  <fonts count="15" x14ac:knownFonts="1">
    <font>
      <sz val="11"/>
      <color theme="1"/>
      <name val="Calibri"/>
      <family val="2"/>
      <scheme val="minor"/>
    </font>
    <font>
      <b/>
      <sz val="10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2" fillId="0" borderId="0" xfId="0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4" fontId="0" fillId="0" borderId="0" xfId="0" applyNumberFormat="1"/>
    <xf numFmtId="2" fontId="0" fillId="0" borderId="0" xfId="0" applyNumberFormat="1"/>
    <xf numFmtId="0" fontId="13" fillId="2" borderId="1" xfId="0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 wrapText="1"/>
    </xf>
    <xf numFmtId="2" fontId="11" fillId="2" borderId="0" xfId="0" applyNumberFormat="1" applyFont="1" applyFill="1"/>
    <xf numFmtId="2" fontId="13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 applyFill="1"/>
    <xf numFmtId="0" fontId="0" fillId="2" borderId="0" xfId="0" applyFill="1"/>
    <xf numFmtId="2" fontId="0" fillId="0" borderId="0" xfId="0" applyNumberFormat="1" applyFont="1" applyFill="1"/>
    <xf numFmtId="14" fontId="0" fillId="0" borderId="0" xfId="0" applyNumberFormat="1" applyFont="1"/>
    <xf numFmtId="14" fontId="0" fillId="0" borderId="0" xfId="0" applyNumberFormat="1" applyAlignment="1">
      <alignment horizontal="center" vertical="center"/>
    </xf>
    <xf numFmtId="14" fontId="14" fillId="0" borderId="0" xfId="0" applyNumberFormat="1" applyFont="1" applyBorder="1" applyAlignment="1">
      <alignment horizontal="center"/>
    </xf>
    <xf numFmtId="170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9" fontId="14" fillId="0" borderId="0" xfId="0" applyNumberFormat="1" applyFont="1"/>
    <xf numFmtId="14" fontId="14" fillId="0" borderId="0" xfId="0" applyNumberFormat="1" applyFont="1" applyFill="1" applyBorder="1" applyAlignment="1">
      <alignment horizontal="center"/>
    </xf>
    <xf numFmtId="49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49" fontId="0" fillId="0" borderId="0" xfId="0" applyNumberFormat="1" applyFill="1" applyAlignment="1">
      <alignment horizontal="center"/>
    </xf>
    <xf numFmtId="14" fontId="0" fillId="0" borderId="0" xfId="0" applyNumberFormat="1" applyFill="1"/>
    <xf numFmtId="0" fontId="1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'COMPRAS (2)'!$A$1:$A$74</c:f>
              <c:strCache>
                <c:ptCount val="74"/>
                <c:pt idx="0">
                  <c:v>FECHA</c:v>
                </c:pt>
                <c:pt idx="1">
                  <c:v>04/04/2024</c:v>
                </c:pt>
                <c:pt idx="2">
                  <c:v>01/04/2024</c:v>
                </c:pt>
                <c:pt idx="3">
                  <c:v>02/04/2024</c:v>
                </c:pt>
                <c:pt idx="4">
                  <c:v>02/04/2024</c:v>
                </c:pt>
                <c:pt idx="5">
                  <c:v>02/04/2024</c:v>
                </c:pt>
                <c:pt idx="6">
                  <c:v>03/04/2024</c:v>
                </c:pt>
                <c:pt idx="7">
                  <c:v>04/05/2023</c:v>
                </c:pt>
                <c:pt idx="8">
                  <c:v>01/04/2024</c:v>
                </c:pt>
                <c:pt idx="9">
                  <c:v>01/04/2024</c:v>
                </c:pt>
                <c:pt idx="10">
                  <c:v>04/04/2024</c:v>
                </c:pt>
                <c:pt idx="11">
                  <c:v>01/04/2024</c:v>
                </c:pt>
                <c:pt idx="12">
                  <c:v>02/04/2024</c:v>
                </c:pt>
                <c:pt idx="13">
                  <c:v>03/04/2024</c:v>
                </c:pt>
                <c:pt idx="14">
                  <c:v>02/04/2024</c:v>
                </c:pt>
                <c:pt idx="15">
                  <c:v>05/04/2024</c:v>
                </c:pt>
                <c:pt idx="16">
                  <c:v>07/04/2024</c:v>
                </c:pt>
                <c:pt idx="17">
                  <c:v>07/04/2024</c:v>
                </c:pt>
                <c:pt idx="18">
                  <c:v>04/04/2024</c:v>
                </c:pt>
                <c:pt idx="19">
                  <c:v>08/04/2024</c:v>
                </c:pt>
                <c:pt idx="20">
                  <c:v>08/04/2024</c:v>
                </c:pt>
                <c:pt idx="21">
                  <c:v>01/04/2024</c:v>
                </c:pt>
                <c:pt idx="22">
                  <c:v>01/04/2024</c:v>
                </c:pt>
                <c:pt idx="23">
                  <c:v>02/04/2024</c:v>
                </c:pt>
                <c:pt idx="24">
                  <c:v>01/04/2024</c:v>
                </c:pt>
                <c:pt idx="25">
                  <c:v>02/04/2024</c:v>
                </c:pt>
                <c:pt idx="26">
                  <c:v>10/04/2024</c:v>
                </c:pt>
                <c:pt idx="27">
                  <c:v>09/04/2024</c:v>
                </c:pt>
                <c:pt idx="28">
                  <c:v>10/04/2024</c:v>
                </c:pt>
                <c:pt idx="29">
                  <c:v>10/04/2024</c:v>
                </c:pt>
                <c:pt idx="30">
                  <c:v>01/04/2024</c:v>
                </c:pt>
                <c:pt idx="31">
                  <c:v>01/04/2024</c:v>
                </c:pt>
                <c:pt idx="32">
                  <c:v>01/04/2024</c:v>
                </c:pt>
                <c:pt idx="33">
                  <c:v>01/04/2024</c:v>
                </c:pt>
                <c:pt idx="34">
                  <c:v>01/04/2024</c:v>
                </c:pt>
                <c:pt idx="35">
                  <c:v>12/04/2024</c:v>
                </c:pt>
                <c:pt idx="36">
                  <c:v>13/04/2024</c:v>
                </c:pt>
                <c:pt idx="37">
                  <c:v>14/04/2024</c:v>
                </c:pt>
                <c:pt idx="38">
                  <c:v>14/04/2024</c:v>
                </c:pt>
                <c:pt idx="39">
                  <c:v>14/04/2024</c:v>
                </c:pt>
                <c:pt idx="40">
                  <c:v>07/04/2024</c:v>
                </c:pt>
                <c:pt idx="41">
                  <c:v>13/04/2024</c:v>
                </c:pt>
                <c:pt idx="42">
                  <c:v>13/04/2024</c:v>
                </c:pt>
                <c:pt idx="43">
                  <c:v>12/04/2024</c:v>
                </c:pt>
                <c:pt idx="44">
                  <c:v>02/04/2024</c:v>
                </c:pt>
                <c:pt idx="45">
                  <c:v>10/04/2024</c:v>
                </c:pt>
                <c:pt idx="46">
                  <c:v>10/04/2024</c:v>
                </c:pt>
                <c:pt idx="47">
                  <c:v>15/04/2024</c:v>
                </c:pt>
                <c:pt idx="48">
                  <c:v>15/04/2024</c:v>
                </c:pt>
                <c:pt idx="49">
                  <c:v>15/04/2024</c:v>
                </c:pt>
                <c:pt idx="50">
                  <c:v>15/04/2024</c:v>
                </c:pt>
                <c:pt idx="51">
                  <c:v>15/04/2024</c:v>
                </c:pt>
                <c:pt idx="52">
                  <c:v>16/04/2024</c:v>
                </c:pt>
                <c:pt idx="53">
                  <c:v>16/04/2024</c:v>
                </c:pt>
                <c:pt idx="54">
                  <c:v>15/04/2024</c:v>
                </c:pt>
                <c:pt idx="55">
                  <c:v>16/04/2024</c:v>
                </c:pt>
                <c:pt idx="56">
                  <c:v>15/04/2024</c:v>
                </c:pt>
                <c:pt idx="57">
                  <c:v>15/04/2024</c:v>
                </c:pt>
                <c:pt idx="58">
                  <c:v>11/04/2024</c:v>
                </c:pt>
                <c:pt idx="59">
                  <c:v>11/04/2024</c:v>
                </c:pt>
                <c:pt idx="60">
                  <c:v>10/04/2024</c:v>
                </c:pt>
                <c:pt idx="61">
                  <c:v>10/04/2024</c:v>
                </c:pt>
                <c:pt idx="62">
                  <c:v>10/04/2024</c:v>
                </c:pt>
                <c:pt idx="63">
                  <c:v>09/04/2024</c:v>
                </c:pt>
                <c:pt idx="64">
                  <c:v>09/04/2024</c:v>
                </c:pt>
                <c:pt idx="65">
                  <c:v>04/04/2024</c:v>
                </c:pt>
                <c:pt idx="66">
                  <c:v>09/04/2024</c:v>
                </c:pt>
                <c:pt idx="67">
                  <c:v>15/04/2024</c:v>
                </c:pt>
                <c:pt idx="68">
                  <c:v>29/01/2024</c:v>
                </c:pt>
                <c:pt idx="69">
                  <c:v>12/02/2024</c:v>
                </c:pt>
                <c:pt idx="70">
                  <c:v>18/04/2024</c:v>
                </c:pt>
                <c:pt idx="71">
                  <c:v>18/04/2024</c:v>
                </c:pt>
                <c:pt idx="72">
                  <c:v>18/04/2024</c:v>
                </c:pt>
                <c:pt idx="73">
                  <c:v>18/04/2024</c:v>
                </c:pt>
              </c:strCache>
            </c:strRef>
          </c:tx>
          <c:invertIfNegative val="0"/>
          <c:val>
            <c:numRef>
              <c:f>'COMPRAS (2)'!$A$75:$A$260</c:f>
              <c:numCache>
                <c:formatCode>m/d/yyyy</c:formatCode>
                <c:ptCount val="186"/>
                <c:pt idx="0">
                  <c:v>45401</c:v>
                </c:pt>
                <c:pt idx="1">
                  <c:v>45402</c:v>
                </c:pt>
                <c:pt idx="2">
                  <c:v>45402</c:v>
                </c:pt>
                <c:pt idx="3">
                  <c:v>45402</c:v>
                </c:pt>
                <c:pt idx="4">
                  <c:v>45404</c:v>
                </c:pt>
                <c:pt idx="5">
                  <c:v>45404</c:v>
                </c:pt>
                <c:pt idx="6">
                  <c:v>45404</c:v>
                </c:pt>
                <c:pt idx="7">
                  <c:v>45407</c:v>
                </c:pt>
                <c:pt idx="8">
                  <c:v>45401</c:v>
                </c:pt>
                <c:pt idx="9">
                  <c:v>45405</c:v>
                </c:pt>
                <c:pt idx="10">
                  <c:v>45408</c:v>
                </c:pt>
                <c:pt idx="11">
                  <c:v>45407</c:v>
                </c:pt>
                <c:pt idx="12">
                  <c:v>45407</c:v>
                </c:pt>
                <c:pt idx="13">
                  <c:v>45409</c:v>
                </c:pt>
                <c:pt idx="14">
                  <c:v>45409</c:v>
                </c:pt>
                <c:pt idx="15">
                  <c:v>45398</c:v>
                </c:pt>
                <c:pt idx="16">
                  <c:v>45412</c:v>
                </c:pt>
                <c:pt idx="17">
                  <c:v>45412</c:v>
                </c:pt>
                <c:pt idx="18">
                  <c:v>45412</c:v>
                </c:pt>
                <c:pt idx="19">
                  <c:v>45412</c:v>
                </c:pt>
                <c:pt idx="20">
                  <c:v>45412</c:v>
                </c:pt>
                <c:pt idx="21">
                  <c:v>45416</c:v>
                </c:pt>
                <c:pt idx="22">
                  <c:v>45416</c:v>
                </c:pt>
                <c:pt idx="23">
                  <c:v>45418</c:v>
                </c:pt>
                <c:pt idx="24">
                  <c:v>45412</c:v>
                </c:pt>
                <c:pt idx="25">
                  <c:v>45412</c:v>
                </c:pt>
                <c:pt idx="26">
                  <c:v>45412</c:v>
                </c:pt>
                <c:pt idx="27">
                  <c:v>45412</c:v>
                </c:pt>
                <c:pt idx="28">
                  <c:v>45411</c:v>
                </c:pt>
                <c:pt idx="29">
                  <c:v>45408</c:v>
                </c:pt>
                <c:pt idx="30">
                  <c:v>45408</c:v>
                </c:pt>
                <c:pt idx="31">
                  <c:v>45405</c:v>
                </c:pt>
                <c:pt idx="32">
                  <c:v>45404</c:v>
                </c:pt>
                <c:pt idx="33">
                  <c:v>45404</c:v>
                </c:pt>
                <c:pt idx="34">
                  <c:v>45404</c:v>
                </c:pt>
                <c:pt idx="35">
                  <c:v>45401</c:v>
                </c:pt>
                <c:pt idx="36">
                  <c:v>45401</c:v>
                </c:pt>
                <c:pt idx="37">
                  <c:v>45400</c:v>
                </c:pt>
                <c:pt idx="38">
                  <c:v>45399</c:v>
                </c:pt>
                <c:pt idx="39">
                  <c:v>45399</c:v>
                </c:pt>
                <c:pt idx="40">
                  <c:v>45399</c:v>
                </c:pt>
                <c:pt idx="41">
                  <c:v>45402</c:v>
                </c:pt>
                <c:pt idx="42">
                  <c:v>45405</c:v>
                </c:pt>
                <c:pt idx="43">
                  <c:v>45405</c:v>
                </c:pt>
                <c:pt idx="44">
                  <c:v>45412</c:v>
                </c:pt>
                <c:pt idx="45">
                  <c:v>45412</c:v>
                </c:pt>
                <c:pt idx="46">
                  <c:v>45390</c:v>
                </c:pt>
                <c:pt idx="47">
                  <c:v>45412</c:v>
                </c:pt>
                <c:pt idx="48">
                  <c:v>45412</c:v>
                </c:pt>
                <c:pt idx="49">
                  <c:v>45412</c:v>
                </c:pt>
                <c:pt idx="50">
                  <c:v>45412</c:v>
                </c:pt>
                <c:pt idx="51">
                  <c:v>45408</c:v>
                </c:pt>
                <c:pt idx="52">
                  <c:v>45394</c:v>
                </c:pt>
                <c:pt idx="53">
                  <c:v>45406</c:v>
                </c:pt>
                <c:pt idx="54">
                  <c:v>45409</c:v>
                </c:pt>
                <c:pt idx="55">
                  <c:v>45402</c:v>
                </c:pt>
                <c:pt idx="56">
                  <c:v>45396</c:v>
                </c:pt>
                <c:pt idx="57">
                  <c:v>45401</c:v>
                </c:pt>
                <c:pt idx="58">
                  <c:v>45390</c:v>
                </c:pt>
                <c:pt idx="59">
                  <c:v>45387</c:v>
                </c:pt>
                <c:pt idx="60">
                  <c:v>45393</c:v>
                </c:pt>
                <c:pt idx="61">
                  <c:v>45406</c:v>
                </c:pt>
                <c:pt idx="62">
                  <c:v>45384</c:v>
                </c:pt>
                <c:pt idx="63">
                  <c:v>45390</c:v>
                </c:pt>
                <c:pt idx="64">
                  <c:v>45408</c:v>
                </c:pt>
                <c:pt idx="65">
                  <c:v>45391</c:v>
                </c:pt>
                <c:pt idx="66">
                  <c:v>45393</c:v>
                </c:pt>
                <c:pt idx="67">
                  <c:v>45408</c:v>
                </c:pt>
                <c:pt idx="68">
                  <c:v>45404</c:v>
                </c:pt>
                <c:pt idx="69">
                  <c:v>45404</c:v>
                </c:pt>
                <c:pt idx="70">
                  <c:v>45401</c:v>
                </c:pt>
                <c:pt idx="71">
                  <c:v>45407</c:v>
                </c:pt>
                <c:pt idx="72">
                  <c:v>45404</c:v>
                </c:pt>
                <c:pt idx="73">
                  <c:v>45411</c:v>
                </c:pt>
                <c:pt idx="74">
                  <c:v>45396</c:v>
                </c:pt>
                <c:pt idx="75">
                  <c:v>45401</c:v>
                </c:pt>
                <c:pt idx="76">
                  <c:v>45401</c:v>
                </c:pt>
                <c:pt idx="77">
                  <c:v>45388</c:v>
                </c:pt>
                <c:pt idx="78">
                  <c:v>45374</c:v>
                </c:pt>
                <c:pt idx="79">
                  <c:v>45399</c:v>
                </c:pt>
                <c:pt idx="80">
                  <c:v>45399</c:v>
                </c:pt>
                <c:pt idx="81">
                  <c:v>45388</c:v>
                </c:pt>
                <c:pt idx="82">
                  <c:v>45386</c:v>
                </c:pt>
                <c:pt idx="83">
                  <c:v>45373</c:v>
                </c:pt>
                <c:pt idx="84">
                  <c:v>45382</c:v>
                </c:pt>
                <c:pt idx="85">
                  <c:v>45392</c:v>
                </c:pt>
                <c:pt idx="86">
                  <c:v>45397</c:v>
                </c:pt>
                <c:pt idx="87">
                  <c:v>45390</c:v>
                </c:pt>
                <c:pt idx="88">
                  <c:v>45402</c:v>
                </c:pt>
                <c:pt idx="89">
                  <c:v>45402</c:v>
                </c:pt>
                <c:pt idx="90">
                  <c:v>45409</c:v>
                </c:pt>
                <c:pt idx="91">
                  <c:v>45396</c:v>
                </c:pt>
                <c:pt idx="92">
                  <c:v>45402</c:v>
                </c:pt>
                <c:pt idx="93">
                  <c:v>45399</c:v>
                </c:pt>
                <c:pt idx="94">
                  <c:v>45408</c:v>
                </c:pt>
                <c:pt idx="95">
                  <c:v>45405</c:v>
                </c:pt>
                <c:pt idx="96">
                  <c:v>45405</c:v>
                </c:pt>
                <c:pt idx="97">
                  <c:v>45405</c:v>
                </c:pt>
                <c:pt idx="98">
                  <c:v>45405</c:v>
                </c:pt>
                <c:pt idx="99">
                  <c:v>45408</c:v>
                </c:pt>
                <c:pt idx="100">
                  <c:v>45407</c:v>
                </c:pt>
                <c:pt idx="101">
                  <c:v>45406</c:v>
                </c:pt>
                <c:pt idx="102">
                  <c:v>45406</c:v>
                </c:pt>
                <c:pt idx="103">
                  <c:v>45406</c:v>
                </c:pt>
                <c:pt idx="104">
                  <c:v>45401</c:v>
                </c:pt>
                <c:pt idx="105">
                  <c:v>45406</c:v>
                </c:pt>
                <c:pt idx="106">
                  <c:v>45407</c:v>
                </c:pt>
                <c:pt idx="107">
                  <c:v>45412</c:v>
                </c:pt>
                <c:pt idx="108">
                  <c:v>45411</c:v>
                </c:pt>
                <c:pt idx="109">
                  <c:v>45407</c:v>
                </c:pt>
                <c:pt idx="110">
                  <c:v>45411</c:v>
                </c:pt>
                <c:pt idx="111">
                  <c:v>45411</c:v>
                </c:pt>
                <c:pt idx="112">
                  <c:v>45415</c:v>
                </c:pt>
                <c:pt idx="113">
                  <c:v>45414</c:v>
                </c:pt>
                <c:pt idx="114">
                  <c:v>45418</c:v>
                </c:pt>
                <c:pt idx="115">
                  <c:v>45415</c:v>
                </c:pt>
                <c:pt idx="116">
                  <c:v>45418</c:v>
                </c:pt>
                <c:pt idx="117">
                  <c:v>45421</c:v>
                </c:pt>
                <c:pt idx="118">
                  <c:v>45441</c:v>
                </c:pt>
                <c:pt idx="119">
                  <c:v>45413</c:v>
                </c:pt>
                <c:pt idx="120">
                  <c:v>45390</c:v>
                </c:pt>
                <c:pt idx="121">
                  <c:v>45412</c:v>
                </c:pt>
                <c:pt idx="122">
                  <c:v>45407</c:v>
                </c:pt>
                <c:pt idx="123">
                  <c:v>45402</c:v>
                </c:pt>
                <c:pt idx="124">
                  <c:v>45400</c:v>
                </c:pt>
                <c:pt idx="125">
                  <c:v>45390</c:v>
                </c:pt>
                <c:pt idx="126">
                  <c:v>45399</c:v>
                </c:pt>
                <c:pt idx="127">
                  <c:v>45404</c:v>
                </c:pt>
                <c:pt idx="128">
                  <c:v>45386</c:v>
                </c:pt>
                <c:pt idx="129">
                  <c:v>45393</c:v>
                </c:pt>
                <c:pt idx="130">
                  <c:v>45404</c:v>
                </c:pt>
                <c:pt idx="131">
                  <c:v>45355</c:v>
                </c:pt>
                <c:pt idx="132">
                  <c:v>45393</c:v>
                </c:pt>
                <c:pt idx="133">
                  <c:v>45386</c:v>
                </c:pt>
                <c:pt idx="134">
                  <c:v>45383</c:v>
                </c:pt>
                <c:pt idx="135">
                  <c:v>45392</c:v>
                </c:pt>
                <c:pt idx="136">
                  <c:v>45400</c:v>
                </c:pt>
                <c:pt idx="137">
                  <c:v>45379</c:v>
                </c:pt>
                <c:pt idx="138">
                  <c:v>45387</c:v>
                </c:pt>
                <c:pt idx="139">
                  <c:v>45397</c:v>
                </c:pt>
                <c:pt idx="140">
                  <c:v>45391</c:v>
                </c:pt>
                <c:pt idx="141">
                  <c:v>45391</c:v>
                </c:pt>
                <c:pt idx="142">
                  <c:v>45383</c:v>
                </c:pt>
                <c:pt idx="143">
                  <c:v>45376</c:v>
                </c:pt>
                <c:pt idx="144">
                  <c:v>45399</c:v>
                </c:pt>
                <c:pt idx="145">
                  <c:v>45424</c:v>
                </c:pt>
                <c:pt idx="146">
                  <c:v>45422</c:v>
                </c:pt>
                <c:pt idx="147">
                  <c:v>45412</c:v>
                </c:pt>
                <c:pt idx="148">
                  <c:v>45425</c:v>
                </c:pt>
                <c:pt idx="149">
                  <c:v>45406</c:v>
                </c:pt>
                <c:pt idx="150">
                  <c:v>45413</c:v>
                </c:pt>
                <c:pt idx="151">
                  <c:v>45413</c:v>
                </c:pt>
                <c:pt idx="152">
                  <c:v>0</c:v>
                </c:pt>
                <c:pt idx="153">
                  <c:v>45413</c:v>
                </c:pt>
                <c:pt idx="154">
                  <c:v>45413</c:v>
                </c:pt>
                <c:pt idx="155">
                  <c:v>45422</c:v>
                </c:pt>
                <c:pt idx="156">
                  <c:v>45424</c:v>
                </c:pt>
                <c:pt idx="157">
                  <c:v>45390</c:v>
                </c:pt>
                <c:pt idx="158">
                  <c:v>45387</c:v>
                </c:pt>
                <c:pt idx="159">
                  <c:v>45430</c:v>
                </c:pt>
                <c:pt idx="160">
                  <c:v>45430</c:v>
                </c:pt>
                <c:pt idx="161">
                  <c:v>45427</c:v>
                </c:pt>
                <c:pt idx="162">
                  <c:v>45427</c:v>
                </c:pt>
                <c:pt idx="163">
                  <c:v>45427</c:v>
                </c:pt>
                <c:pt idx="164">
                  <c:v>45427</c:v>
                </c:pt>
                <c:pt idx="165">
                  <c:v>45427</c:v>
                </c:pt>
                <c:pt idx="166">
                  <c:v>45427</c:v>
                </c:pt>
                <c:pt idx="167">
                  <c:v>45412</c:v>
                </c:pt>
                <c:pt idx="168">
                  <c:v>45429</c:v>
                </c:pt>
                <c:pt idx="169">
                  <c:v>45432</c:v>
                </c:pt>
                <c:pt idx="170">
                  <c:v>45420</c:v>
                </c:pt>
                <c:pt idx="171">
                  <c:v>45433</c:v>
                </c:pt>
                <c:pt idx="172">
                  <c:v>45383</c:v>
                </c:pt>
                <c:pt idx="173">
                  <c:v>45383</c:v>
                </c:pt>
                <c:pt idx="174">
                  <c:v>45413</c:v>
                </c:pt>
                <c:pt idx="175">
                  <c:v>45413</c:v>
                </c:pt>
                <c:pt idx="176">
                  <c:v>45444</c:v>
                </c:pt>
                <c:pt idx="177">
                  <c:v>45444</c:v>
                </c:pt>
                <c:pt idx="178">
                  <c:v>45428</c:v>
                </c:pt>
                <c:pt idx="179">
                  <c:v>45379</c:v>
                </c:pt>
                <c:pt idx="180">
                  <c:v>45409</c:v>
                </c:pt>
                <c:pt idx="181">
                  <c:v>45400</c:v>
                </c:pt>
                <c:pt idx="182">
                  <c:v>45412</c:v>
                </c:pt>
                <c:pt idx="183">
                  <c:v>45386</c:v>
                </c:pt>
                <c:pt idx="184">
                  <c:v>45394</c:v>
                </c:pt>
                <c:pt idx="185">
                  <c:v>45397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9-40E1-9F18-54FD69976231}"/>
            </c:ext>
          </c:extLst>
        </c:ser>
        <c:ser>
          <c:idx val="1"/>
          <c:order val="1"/>
          <c:tx>
            <c:strRef>
              <c:f>'COMPRAS (2)'!$B$1:$B$74</c:f>
              <c:strCache>
                <c:ptCount val="74"/>
                <c:pt idx="0">
                  <c:v>Nº DOCUMENTO</c:v>
                </c:pt>
                <c:pt idx="1">
                  <c:v>014/24</c:v>
                </c:pt>
                <c:pt idx="2">
                  <c:v>000428</c:v>
                </c:pt>
                <c:pt idx="3">
                  <c:v>024-0004-018363</c:v>
                </c:pt>
                <c:pt idx="4">
                  <c:v>LGFON241241100434</c:v>
                </c:pt>
                <c:pt idx="5">
                  <c:v>1414105717</c:v>
                </c:pt>
                <c:pt idx="6">
                  <c:v>012-0004-821822</c:v>
                </c:pt>
                <c:pt idx="7">
                  <c:v>R01 37</c:v>
                </c:pt>
                <c:pt idx="8">
                  <c:v>012-0004-813734</c:v>
                </c:pt>
                <c:pt idx="9">
                  <c:v>012-0004-813781</c:v>
                </c:pt>
                <c:pt idx="10">
                  <c:v>312/5155/2017</c:v>
                </c:pt>
                <c:pt idx="11">
                  <c:v>E12002024000000145</c:v>
                </c:pt>
                <c:pt idx="12">
                  <c:v>E12007224TS000FE000344</c:v>
                </c:pt>
                <c:pt idx="13">
                  <c:v>096622/A/24/001188</c:v>
                </c:pt>
                <c:pt idx="14">
                  <c:v>0000100138</c:v>
                </c:pt>
                <c:pt idx="15">
                  <c:v>08</c:v>
                </c:pt>
                <c:pt idx="16">
                  <c:v>108976</c:v>
                </c:pt>
                <c:pt idx="17">
                  <c:v>108975</c:v>
                </c:pt>
                <c:pt idx="18">
                  <c:v>002</c:v>
                </c:pt>
                <c:pt idx="19">
                  <c:v>04</c:v>
                </c:pt>
                <c:pt idx="20">
                  <c:v>24/041</c:v>
                </c:pt>
                <c:pt idx="21">
                  <c:v>007-0004-482255</c:v>
                </c:pt>
                <c:pt idx="22">
                  <c:v>012-0004-815225</c:v>
                </c:pt>
                <c:pt idx="23">
                  <c:v>007-0004-484276</c:v>
                </c:pt>
                <c:pt idx="24">
                  <c:v>A/4308</c:v>
                </c:pt>
                <c:pt idx="25">
                  <c:v>A/4376</c:v>
                </c:pt>
                <c:pt idx="26">
                  <c:v>VEN/20243273</c:v>
                </c:pt>
                <c:pt idx="27">
                  <c:v>2024/23</c:v>
                </c:pt>
                <c:pt idx="28">
                  <c:v>2024/24</c:v>
                </c:pt>
                <c:pt idx="29">
                  <c:v>2024004</c:v>
                </c:pt>
                <c:pt idx="30">
                  <c:v>TA78Z0172580</c:v>
                </c:pt>
                <c:pt idx="31">
                  <c:v>TA78Z0172579</c:v>
                </c:pt>
                <c:pt idx="32">
                  <c:v>TA78Z0172578</c:v>
                </c:pt>
                <c:pt idx="33">
                  <c:v>TA78Z0172581</c:v>
                </c:pt>
                <c:pt idx="34">
                  <c:v>28-D4U1-015852</c:v>
                </c:pt>
                <c:pt idx="35">
                  <c:v>QE 4637</c:v>
                </c:pt>
                <c:pt idx="36">
                  <c:v>2124044</c:v>
                </c:pt>
                <c:pt idx="37">
                  <c:v>116305</c:v>
                </c:pt>
                <c:pt idx="38">
                  <c:v>116306</c:v>
                </c:pt>
                <c:pt idx="39">
                  <c:v>116304</c:v>
                </c:pt>
                <c:pt idx="40">
                  <c:v>GINTAV0012742</c:v>
                </c:pt>
                <c:pt idx="44">
                  <c:v>001D2400008120</c:v>
                </c:pt>
                <c:pt idx="45">
                  <c:v>240317</c:v>
                </c:pt>
                <c:pt idx="46">
                  <c:v>240318</c:v>
                </c:pt>
                <c:pt idx="47">
                  <c:v>24105669</c:v>
                </c:pt>
                <c:pt idx="48">
                  <c:v>24105670</c:v>
                </c:pt>
                <c:pt idx="49">
                  <c:v>24105671</c:v>
                </c:pt>
                <c:pt idx="50">
                  <c:v>0121872</c:v>
                </c:pt>
                <c:pt idx="51">
                  <c:v>406400485</c:v>
                </c:pt>
                <c:pt idx="52">
                  <c:v>A/5152</c:v>
                </c:pt>
                <c:pt idx="53">
                  <c:v>105 000009780</c:v>
                </c:pt>
                <c:pt idx="54">
                  <c:v>00002-2024/A0101/00002996</c:v>
                </c:pt>
                <c:pt idx="55">
                  <c:v>86</c:v>
                </c:pt>
                <c:pt idx="56">
                  <c:v>00002-2024/A0103/00007428</c:v>
                </c:pt>
                <c:pt idx="57">
                  <c:v>0002-2024/A0101/00002979</c:v>
                </c:pt>
                <c:pt idx="58">
                  <c:v>OV-2249</c:v>
                </c:pt>
                <c:pt idx="59">
                  <c:v>012-0004-849188</c:v>
                </c:pt>
                <c:pt idx="60">
                  <c:v>A/4781</c:v>
                </c:pt>
                <c:pt idx="61">
                  <c:v>00002-2024/A0103/00007158</c:v>
                </c:pt>
                <c:pt idx="62">
                  <c:v>FACG 2731</c:v>
                </c:pt>
                <c:pt idx="63">
                  <c:v>012-0004-841744</c:v>
                </c:pt>
                <c:pt idx="64">
                  <c:v>012-0004-840439</c:v>
                </c:pt>
                <c:pt idx="65">
                  <c:v>00002-2024/A0103/00006775</c:v>
                </c:pt>
                <c:pt idx="66">
                  <c:v>E12002024000000305</c:v>
                </c:pt>
                <c:pt idx="67">
                  <c:v>E12002024000000422</c:v>
                </c:pt>
                <c:pt idx="68">
                  <c:v>003720024/00000264</c:v>
                </c:pt>
                <c:pt idx="69">
                  <c:v>018-0002-204158</c:v>
                </c:pt>
                <c:pt idx="70">
                  <c:v>432703232</c:v>
                </c:pt>
                <c:pt idx="71">
                  <c:v>00002-2024/A0101/00003142</c:v>
                </c:pt>
                <c:pt idx="72">
                  <c:v>03824FE000002520</c:v>
                </c:pt>
                <c:pt idx="73">
                  <c:v>2024-0093</c:v>
                </c:pt>
              </c:strCache>
            </c:strRef>
          </c:tx>
          <c:invertIfNegative val="0"/>
          <c:val>
            <c:numRef>
              <c:f>'COMPRAS (2)'!$B$75:$B$260</c:f>
              <c:numCache>
                <c:formatCode>@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9-40E1-9F18-54FD69976231}"/>
            </c:ext>
          </c:extLst>
        </c:ser>
        <c:ser>
          <c:idx val="2"/>
          <c:order val="2"/>
          <c:tx>
            <c:strRef>
              <c:f>'COMPRAS (2)'!$C$1:$C$74</c:f>
              <c:strCache>
                <c:ptCount val="74"/>
                <c:pt idx="0">
                  <c:v>CUENTA</c:v>
                </c:pt>
              </c:strCache>
            </c:strRef>
          </c:tx>
          <c:invertIfNegative val="0"/>
          <c:val>
            <c:numRef>
              <c:f>'COMPRAS (2)'!$C$75:$C$260</c:f>
              <c:numCache>
                <c:formatCode>@</c:formatCode>
                <c:ptCount val="186"/>
              </c:numCache>
            </c:numRef>
          </c:val>
          <c:extLst>
            <c:ext xmlns:c16="http://schemas.microsoft.com/office/drawing/2014/chart" uri="{C3380CC4-5D6E-409C-BE32-E72D297353CC}">
              <c16:uniqueId val="{00000002-8619-40E1-9F18-54FD69976231}"/>
            </c:ext>
          </c:extLst>
        </c:ser>
        <c:ser>
          <c:idx val="3"/>
          <c:order val="3"/>
          <c:tx>
            <c:strRef>
              <c:f>'COMPRAS (2)'!$D$1:$D$74</c:f>
              <c:strCache>
                <c:ptCount val="74"/>
                <c:pt idx="0">
                  <c:v>NIF</c:v>
                </c:pt>
                <c:pt idx="1">
                  <c:v>512104958E</c:v>
                </c:pt>
                <c:pt idx="2">
                  <c:v>51678288W</c:v>
                </c:pt>
                <c:pt idx="3">
                  <c:v>B84406289</c:v>
                </c:pt>
                <c:pt idx="4">
                  <c:v>A78674983</c:v>
                </c:pt>
                <c:pt idx="5">
                  <c:v>A78674983</c:v>
                </c:pt>
                <c:pt idx="6">
                  <c:v>B84406289</c:v>
                </c:pt>
                <c:pt idx="7">
                  <c:v>B57991887</c:v>
                </c:pt>
                <c:pt idx="8">
                  <c:v>B84406289</c:v>
                </c:pt>
                <c:pt idx="9">
                  <c:v>B84406289</c:v>
                </c:pt>
                <c:pt idx="10">
                  <c:v>DE261253179</c:v>
                </c:pt>
                <c:pt idx="11">
                  <c:v>A28559573</c:v>
                </c:pt>
                <c:pt idx="12">
                  <c:v>A28559573</c:v>
                </c:pt>
                <c:pt idx="13">
                  <c:v>A80298839</c:v>
                </c:pt>
                <c:pt idx="14">
                  <c:v>A803938112</c:v>
                </c:pt>
                <c:pt idx="15">
                  <c:v>X6478196Q</c:v>
                </c:pt>
                <c:pt idx="16">
                  <c:v>A82825456</c:v>
                </c:pt>
                <c:pt idx="17">
                  <c:v>A82825456</c:v>
                </c:pt>
                <c:pt idx="18">
                  <c:v>47552745</c:v>
                </c:pt>
                <c:pt idx="19">
                  <c:v>X6931118E</c:v>
                </c:pt>
                <c:pt idx="20">
                  <c:v>B85242121</c:v>
                </c:pt>
                <c:pt idx="21">
                  <c:v>B84406289</c:v>
                </c:pt>
                <c:pt idx="22">
                  <c:v>B84406289</c:v>
                </c:pt>
                <c:pt idx="23">
                  <c:v>B84406289</c:v>
                </c:pt>
                <c:pt idx="24">
                  <c:v>B86722295</c:v>
                </c:pt>
                <c:pt idx="25">
                  <c:v>B86722295</c:v>
                </c:pt>
                <c:pt idx="26">
                  <c:v>B88430459</c:v>
                </c:pt>
                <c:pt idx="27">
                  <c:v>55299561V</c:v>
                </c:pt>
                <c:pt idx="28">
                  <c:v>55299561V</c:v>
                </c:pt>
                <c:pt idx="29">
                  <c:v>X7745102J</c:v>
                </c:pt>
                <c:pt idx="30">
                  <c:v>A82018474</c:v>
                </c:pt>
                <c:pt idx="31">
                  <c:v>A82018474</c:v>
                </c:pt>
                <c:pt idx="32">
                  <c:v>A82018474</c:v>
                </c:pt>
                <c:pt idx="33">
                  <c:v>A82018474</c:v>
                </c:pt>
                <c:pt idx="34">
                  <c:v>A82018474</c:v>
                </c:pt>
                <c:pt idx="35">
                  <c:v>RO43082071</c:v>
                </c:pt>
                <c:pt idx="36">
                  <c:v>B72736473</c:v>
                </c:pt>
                <c:pt idx="37">
                  <c:v>A82825456</c:v>
                </c:pt>
                <c:pt idx="38">
                  <c:v>A82825456</c:v>
                </c:pt>
                <c:pt idx="39">
                  <c:v>A82825456</c:v>
                </c:pt>
                <c:pt idx="40">
                  <c:v>A28308484</c:v>
                </c:pt>
                <c:pt idx="41">
                  <c:v>74635008P</c:v>
                </c:pt>
                <c:pt idx="42">
                  <c:v>B18546663</c:v>
                </c:pt>
                <c:pt idx="43">
                  <c:v>B18546663</c:v>
                </c:pt>
                <c:pt idx="44">
                  <c:v>B93275394</c:v>
                </c:pt>
                <c:pt idx="45">
                  <c:v>B45004827</c:v>
                </c:pt>
                <c:pt idx="46">
                  <c:v>B45004827</c:v>
                </c:pt>
                <c:pt idx="47">
                  <c:v>B05348610</c:v>
                </c:pt>
                <c:pt idx="48">
                  <c:v>B05348610</c:v>
                </c:pt>
                <c:pt idx="49">
                  <c:v>B05348610</c:v>
                </c:pt>
                <c:pt idx="50">
                  <c:v>B72736473</c:v>
                </c:pt>
                <c:pt idx="51">
                  <c:v>B83351767</c:v>
                </c:pt>
                <c:pt idx="52">
                  <c:v>B86722295</c:v>
                </c:pt>
                <c:pt idx="53">
                  <c:v>B79608345</c:v>
                </c:pt>
                <c:pt idx="54">
                  <c:v>B88430459</c:v>
                </c:pt>
                <c:pt idx="55">
                  <c:v>52107388Z</c:v>
                </c:pt>
                <c:pt idx="56">
                  <c:v>B88430459</c:v>
                </c:pt>
                <c:pt idx="57">
                  <c:v>B88430459</c:v>
                </c:pt>
                <c:pt idx="58">
                  <c:v>B80203078</c:v>
                </c:pt>
                <c:pt idx="59">
                  <c:v>B84406289</c:v>
                </c:pt>
                <c:pt idx="60">
                  <c:v>B86722295</c:v>
                </c:pt>
                <c:pt idx="61">
                  <c:v>B88430459</c:v>
                </c:pt>
                <c:pt idx="62">
                  <c:v>B13364112</c:v>
                </c:pt>
                <c:pt idx="63">
                  <c:v>B84406289</c:v>
                </c:pt>
                <c:pt idx="64">
                  <c:v>B84406289</c:v>
                </c:pt>
                <c:pt idx="65">
                  <c:v>B84406289</c:v>
                </c:pt>
                <c:pt idx="66">
                  <c:v>A28559573</c:v>
                </c:pt>
                <c:pt idx="67">
                  <c:v>A28559573</c:v>
                </c:pt>
                <c:pt idx="68">
                  <c:v>A28354520</c:v>
                </c:pt>
                <c:pt idx="69">
                  <c:v>B84406289</c:v>
                </c:pt>
                <c:pt idx="70">
                  <c:v>B86636024</c:v>
                </c:pt>
                <c:pt idx="71">
                  <c:v>B88430459</c:v>
                </c:pt>
                <c:pt idx="72">
                  <c:v>A79209854</c:v>
                </c:pt>
                <c:pt idx="73">
                  <c:v>B88223466</c:v>
                </c:pt>
              </c:strCache>
            </c:strRef>
          </c:tx>
          <c:invertIfNegative val="0"/>
          <c:val>
            <c:numRef>
              <c:f>'COMPRAS (2)'!$D$75:$D$260</c:f>
              <c:numCache>
                <c:formatCode>@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19-40E1-9F18-54FD69976231}"/>
            </c:ext>
          </c:extLst>
        </c:ser>
        <c:ser>
          <c:idx val="4"/>
          <c:order val="4"/>
          <c:tx>
            <c:strRef>
              <c:f>'COMPRAS (2)'!$E$1:$E$74</c:f>
              <c:strCache>
                <c:ptCount val="74"/>
                <c:pt idx="0">
                  <c:v>NOMBRE</c:v>
                </c:pt>
                <c:pt idx="1">
                  <c:v>LUIS VALVERDE MORENO</c:v>
                </c:pt>
                <c:pt idx="2">
                  <c:v>BICIBOOM</c:v>
                </c:pt>
                <c:pt idx="3">
                  <c:v>BRICOLAJE BRICOMAN SLU</c:v>
                </c:pt>
                <c:pt idx="4">
                  <c:v>EUGENIO PEREDA</c:v>
                </c:pt>
                <c:pt idx="5">
                  <c:v>EUGENIO PEREDA</c:v>
                </c:pt>
                <c:pt idx="6">
                  <c:v>BRICOLAJE BRICOMAN SLU</c:v>
                </c:pt>
                <c:pt idx="7">
                  <c:v>BM MOBILIARIO HOTEL SL</c:v>
                </c:pt>
                <c:pt idx="8">
                  <c:v>BRICOLAJE BRICOMAN SLU</c:v>
                </c:pt>
                <c:pt idx="9">
                  <c:v>BRICOLAJE BRICOMAN SLU</c:v>
                </c:pt>
                <c:pt idx="10">
                  <c:v>KSW AUTOMOBILE K. WEIBLE</c:v>
                </c:pt>
                <c:pt idx="11">
                  <c:v>GALP</c:v>
                </c:pt>
                <c:pt idx="12">
                  <c:v>GALP</c:v>
                </c:pt>
                <c:pt idx="13">
                  <c:v>REPSOL</c:v>
                </c:pt>
                <c:pt idx="14">
                  <c:v>DISA</c:v>
                </c:pt>
                <c:pt idx="15">
                  <c:v>DAVID MARGIN</c:v>
                </c:pt>
                <c:pt idx="16">
                  <c:v>SALTOKI</c:v>
                </c:pt>
                <c:pt idx="17">
                  <c:v>SALTOKI</c:v>
                </c:pt>
                <c:pt idx="18">
                  <c:v>SADOVSKI IGOR</c:v>
                </c:pt>
                <c:pt idx="19">
                  <c:v>ADRIAN CODITA</c:v>
                </c:pt>
                <c:pt idx="20">
                  <c:v>AIRCLIMA 2000 SL</c:v>
                </c:pt>
                <c:pt idx="21">
                  <c:v>BRICOLAJE BRICOMAN SLU</c:v>
                </c:pt>
                <c:pt idx="22">
                  <c:v>BRICOLAJE BRICOMAN SLU</c:v>
                </c:pt>
                <c:pt idx="23">
                  <c:v>BRICOLAJE BRICOMAN SLU</c:v>
                </c:pt>
                <c:pt idx="24">
                  <c:v>AZULEJOS ROSA</c:v>
                </c:pt>
                <c:pt idx="25">
                  <c:v>AZULEJOS ROSA</c:v>
                </c:pt>
                <c:pt idx="26">
                  <c:v>BIGMAT</c:v>
                </c:pt>
                <c:pt idx="27">
                  <c:v>VENTALUX ROXANA ADRIANA MARINA MARINA</c:v>
                </c:pt>
                <c:pt idx="28">
                  <c:v>VENTALUX ROXANA ADRIANA MARINA MARINA</c:v>
                </c:pt>
                <c:pt idx="29">
                  <c:v>MARIUS MIHAI CIOCAN</c:v>
                </c:pt>
                <c:pt idx="30">
                  <c:v>TELEFONICA</c:v>
                </c:pt>
                <c:pt idx="31">
                  <c:v>TELEFONICA</c:v>
                </c:pt>
                <c:pt idx="32">
                  <c:v>TELEFONICA</c:v>
                </c:pt>
                <c:pt idx="33">
                  <c:v>TELEFONICA</c:v>
                </c:pt>
                <c:pt idx="34">
                  <c:v>TELEFONICA</c:v>
                </c:pt>
                <c:pt idx="35">
                  <c:v>QUICK EXPEDITII SRL</c:v>
                </c:pt>
                <c:pt idx="36">
                  <c:v>ICAR DISTRIBUCIONES FERRETERIAS SL I.D.F.</c:v>
                </c:pt>
                <c:pt idx="37">
                  <c:v>SALTOKI</c:v>
                </c:pt>
                <c:pt idx="38">
                  <c:v>SALTOKI</c:v>
                </c:pt>
                <c:pt idx="39">
                  <c:v>SALTOKI</c:v>
                </c:pt>
                <c:pt idx="40">
                  <c:v>GINOS</c:v>
                </c:pt>
                <c:pt idx="41">
                  <c:v>EL MIRADOR</c:v>
                </c:pt>
                <c:pt idx="42">
                  <c:v>RESTAURANTE ARRAYANES GRANADA SL</c:v>
                </c:pt>
                <c:pt idx="43">
                  <c:v>RESTAURANTE ARRAYANES GRANADA SL</c:v>
                </c:pt>
                <c:pt idx="44">
                  <c:v>PLENOIL</c:v>
                </c:pt>
                <c:pt idx="45">
                  <c:v>BEDYFA SL</c:v>
                </c:pt>
                <c:pt idx="46">
                  <c:v>BEDYFA SL</c:v>
                </c:pt>
                <c:pt idx="47">
                  <c:v>DISCESUR</c:v>
                </c:pt>
                <c:pt idx="48">
                  <c:v>DISCESUR</c:v>
                </c:pt>
                <c:pt idx="49">
                  <c:v>DISCESUR</c:v>
                </c:pt>
                <c:pt idx="50">
                  <c:v>ICAR DISTRIBUCIONES FERRETERIAS SL I.D.F.</c:v>
                </c:pt>
                <c:pt idx="51">
                  <c:v>SUMINISTROS ELECTRICOS BPV VALDEMORO SL</c:v>
                </c:pt>
                <c:pt idx="52">
                  <c:v>AZULEJOS ROSA</c:v>
                </c:pt>
                <c:pt idx="53">
                  <c:v>TREK BICYCLE SL</c:v>
                </c:pt>
                <c:pt idx="54">
                  <c:v>BIGMAT</c:v>
                </c:pt>
                <c:pt idx="55">
                  <c:v>SILVIA SILVA BLAS</c:v>
                </c:pt>
                <c:pt idx="56">
                  <c:v>BIGMAT</c:v>
                </c:pt>
                <c:pt idx="57">
                  <c:v>BIGMAT</c:v>
                </c:pt>
                <c:pt idx="58">
                  <c:v>LAFUENTE SEGOVIA SL</c:v>
                </c:pt>
                <c:pt idx="59">
                  <c:v>BRICOLAJE BRICOMAN SLU</c:v>
                </c:pt>
                <c:pt idx="60">
                  <c:v>AZULEJOS ROSA</c:v>
                </c:pt>
                <c:pt idx="61">
                  <c:v>BIGMAT</c:v>
                </c:pt>
                <c:pt idx="62">
                  <c:v>ESCAYOLAS EUROPA</c:v>
                </c:pt>
                <c:pt idx="63">
                  <c:v>BRICOLAJE BRICOMAN SLU</c:v>
                </c:pt>
                <c:pt idx="64">
                  <c:v>BRICOLAJE BRICOMAN SLU</c:v>
                </c:pt>
                <c:pt idx="65">
                  <c:v>BIGMAT</c:v>
                </c:pt>
                <c:pt idx="66">
                  <c:v>GALP</c:v>
                </c:pt>
                <c:pt idx="67">
                  <c:v>GALP</c:v>
                </c:pt>
                <c:pt idx="68">
                  <c:v>CIA ESPAÑOLA DIST PETROLEOS</c:v>
                </c:pt>
                <c:pt idx="69">
                  <c:v>BRICOLAJE BRICOMAN SLU</c:v>
                </c:pt>
                <c:pt idx="70">
                  <c:v>SUMINISTROS ELECTRICOS GUARDEÑO</c:v>
                </c:pt>
                <c:pt idx="71">
                  <c:v>BIGMAT</c:v>
                </c:pt>
                <c:pt idx="72">
                  <c:v>MARKOIL S.A.U.</c:v>
                </c:pt>
                <c:pt idx="73">
                  <c:v>PIKYOE AUTOMOCION SL</c:v>
                </c:pt>
              </c:strCache>
            </c:strRef>
          </c:tx>
          <c:invertIfNegative val="0"/>
          <c:val>
            <c:numRef>
              <c:f>'COMPRAS (2)'!$E$75:$E$260</c:f>
              <c:numCache>
                <c:formatCode>@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19-40E1-9F18-54FD69976231}"/>
            </c:ext>
          </c:extLst>
        </c:ser>
        <c:ser>
          <c:idx val="5"/>
          <c:order val="5"/>
          <c:tx>
            <c:strRef>
              <c:f>'COMPRAS (2)'!$F$1:$F$74</c:f>
              <c:strCache>
                <c:ptCount val="74"/>
                <c:pt idx="0">
                  <c:v>DESCRIPCIÓN</c:v>
                </c:pt>
                <c:pt idx="1">
                  <c:v>S/F 014/24 LUIS VALVERDE MORENO</c:v>
                </c:pt>
                <c:pt idx="2">
                  <c:v>S/F 000428 BICIBOOM</c:v>
                </c:pt>
                <c:pt idx="3">
                  <c:v>S/F 024-0004-018363 BRICOLAJE BRICOMAN SLU</c:v>
                </c:pt>
                <c:pt idx="4">
                  <c:v>S/F LGFON241241100434 EUGENIO PEREDA</c:v>
                </c:pt>
                <c:pt idx="5">
                  <c:v>S/F 1414105717 EUGENIO PEREDA</c:v>
                </c:pt>
                <c:pt idx="6">
                  <c:v>S/F 012-0004-821822 BRICOLAJE BRICOMAN SLU</c:v>
                </c:pt>
                <c:pt idx="7">
                  <c:v>S/F R01 37 BM MOBILIARIO HOTEL SL</c:v>
                </c:pt>
                <c:pt idx="8">
                  <c:v>S/F 012-0004-813734 BRICOLAJE BRICOMAN SLU</c:v>
                </c:pt>
                <c:pt idx="9">
                  <c:v>S/F 012-0004-813781 BRICOLAJE BRICOMAN SLU</c:v>
                </c:pt>
                <c:pt idx="10">
                  <c:v>S/F 312/5155/2017 KSW AUTOMOBILE K. WEIBLE</c:v>
                </c:pt>
                <c:pt idx="11">
                  <c:v>S/F E12002024000000145 GALP</c:v>
                </c:pt>
                <c:pt idx="12">
                  <c:v>S/F E12007224TS000FE000344 GALP</c:v>
                </c:pt>
                <c:pt idx="13">
                  <c:v>S/F 096622/A/24/001188 REPSOL</c:v>
                </c:pt>
                <c:pt idx="14">
                  <c:v>S/F 0000100138 DISA</c:v>
                </c:pt>
                <c:pt idx="15">
                  <c:v>S/F 08 DAVID MARGIN</c:v>
                </c:pt>
                <c:pt idx="16">
                  <c:v>S/F 108976 SALTOKI</c:v>
                </c:pt>
                <c:pt idx="17">
                  <c:v>S/F 108975 SALTOKI</c:v>
                </c:pt>
                <c:pt idx="18">
                  <c:v>S/F 002 SADOVSKI IGOR</c:v>
                </c:pt>
                <c:pt idx="19">
                  <c:v>S/F 04 ADRIAN CODITA</c:v>
                </c:pt>
                <c:pt idx="20">
                  <c:v>S/F 24/041 AIRCLIMA 2000 SL</c:v>
                </c:pt>
                <c:pt idx="21">
                  <c:v>S/F 007-0004-482255 BRICOLAJE BRICOMAN SLU</c:v>
                </c:pt>
                <c:pt idx="22">
                  <c:v>S/F 012-0004-815225 BRICOLAJE BRICOMAN SLU</c:v>
                </c:pt>
                <c:pt idx="23">
                  <c:v>S/F 007-0004-484276 BRICOLAJE BRICOMAN SLU</c:v>
                </c:pt>
                <c:pt idx="24">
                  <c:v>S/F A/4308 AZULEJOS ROSA</c:v>
                </c:pt>
                <c:pt idx="25">
                  <c:v>S/F A/4376 AZULEJOS ROSA</c:v>
                </c:pt>
                <c:pt idx="26">
                  <c:v>S/F VEN/20243273 BIGMAT</c:v>
                </c:pt>
                <c:pt idx="27">
                  <c:v>S/F 2024/23 VENTALUX ROXANA ADRIANA MARINA MARINA</c:v>
                </c:pt>
                <c:pt idx="28">
                  <c:v>S/F 2024/24 VENTALUX ROXANA ADRIANA MARINA MARINA</c:v>
                </c:pt>
                <c:pt idx="29">
                  <c:v>S/F 2024004 MARIUS MIHAI CIOCAN</c:v>
                </c:pt>
                <c:pt idx="30">
                  <c:v>S/F TA78Z0172580 TELEFONICA</c:v>
                </c:pt>
                <c:pt idx="31">
                  <c:v>S/F TA78Z0172579 TELEFONICA</c:v>
                </c:pt>
                <c:pt idx="32">
                  <c:v>S/F TA78Z0172578 TELEFONICA</c:v>
                </c:pt>
                <c:pt idx="33">
                  <c:v>S/F TA78Z0172581 TELEFONICA</c:v>
                </c:pt>
                <c:pt idx="34">
                  <c:v>S/F 28-D4U1-015852 TELEFONICA</c:v>
                </c:pt>
                <c:pt idx="35">
                  <c:v>S/F QE 4637 QUICK EXPEDITII SRL</c:v>
                </c:pt>
                <c:pt idx="36">
                  <c:v>S/F 2124044 ICAR DISTRIBUCIONES FERRETERIAS SL I.D.F.</c:v>
                </c:pt>
                <c:pt idx="37">
                  <c:v>S/F 116305 SALTOKI</c:v>
                </c:pt>
                <c:pt idx="38">
                  <c:v>S/F 116306 SALTOKI</c:v>
                </c:pt>
                <c:pt idx="39">
                  <c:v>S/F 116304 SALTOKI</c:v>
                </c:pt>
                <c:pt idx="40">
                  <c:v>S/F GINTAV0012742 GINOS</c:v>
                </c:pt>
                <c:pt idx="41">
                  <c:v>S/F  EL MIRADOR</c:v>
                </c:pt>
                <c:pt idx="42">
                  <c:v>S/F  RESTAURANTE ARRAYANES GRANADA SL</c:v>
                </c:pt>
                <c:pt idx="43">
                  <c:v>S/F  RESTAURANTE ARRAYANES GRANADA SL</c:v>
                </c:pt>
                <c:pt idx="44">
                  <c:v>S/F 001D2400008120 PLENOIL</c:v>
                </c:pt>
                <c:pt idx="45">
                  <c:v>S/F 240317 BEDYFA SL</c:v>
                </c:pt>
                <c:pt idx="46">
                  <c:v>S/F 240318 BEDYFA SL</c:v>
                </c:pt>
                <c:pt idx="47">
                  <c:v>S/F 24105669 DISCESUR</c:v>
                </c:pt>
                <c:pt idx="48">
                  <c:v>S/F 24105670 DISCESUR</c:v>
                </c:pt>
                <c:pt idx="49">
                  <c:v>S/F 24105671 DISCESUR</c:v>
                </c:pt>
                <c:pt idx="50">
                  <c:v>S/F 0121872 ICAR DISTRIBUCIONES FERRETERIAS SL I.D.F.</c:v>
                </c:pt>
                <c:pt idx="51">
                  <c:v>S/F 406400485 SUMINISTROS ELECTRICOS BPV VALDEMORO SL</c:v>
                </c:pt>
                <c:pt idx="52">
                  <c:v>S/F A/5152 AZULEJOS ROSA</c:v>
                </c:pt>
                <c:pt idx="53">
                  <c:v>S/F 105 000009780 TREK BICYCLE SL</c:v>
                </c:pt>
                <c:pt idx="54">
                  <c:v>S/F 00002-2024/A0101/00002996 BIGMAT</c:v>
                </c:pt>
                <c:pt idx="55">
                  <c:v>S/F 86 SILVIA SILVA BLAS</c:v>
                </c:pt>
                <c:pt idx="56">
                  <c:v>S/F 00002-2024/A0103/00007428 BIGMAT</c:v>
                </c:pt>
                <c:pt idx="57">
                  <c:v>S/F 0002-2024/A0101/00002979 BIGMAT</c:v>
                </c:pt>
                <c:pt idx="58">
                  <c:v>S/F OV-2249 LAFUENTE SEGOVIA SL</c:v>
                </c:pt>
                <c:pt idx="59">
                  <c:v>S/F 012-0004-849188 BRICOLAJE BRICOMAN SLU</c:v>
                </c:pt>
                <c:pt idx="60">
                  <c:v>S/F A/4781 AZULEJOS ROSA</c:v>
                </c:pt>
                <c:pt idx="61">
                  <c:v>S/F 00002-2024/A0103/00007158 BIGMAT</c:v>
                </c:pt>
                <c:pt idx="62">
                  <c:v>S/F FACG 2731 ESCAYOLAS EUROPA</c:v>
                </c:pt>
                <c:pt idx="63">
                  <c:v>S/F 012-0004-841744 BRICOLAJE BRICOMAN SLU</c:v>
                </c:pt>
                <c:pt idx="64">
                  <c:v>S/F 012-0004-840439 BRICOLAJE BRICOMAN SLU</c:v>
                </c:pt>
                <c:pt idx="65">
                  <c:v>S/F 00002-2024/A0103/00006775 BIGMAT</c:v>
                </c:pt>
                <c:pt idx="66">
                  <c:v>S/F E12002024000000305 GALP</c:v>
                </c:pt>
                <c:pt idx="67">
                  <c:v>S/F E12002024000000422 GALP</c:v>
                </c:pt>
                <c:pt idx="68">
                  <c:v>S/F 003720024/00000264 CIA ESPAÑOLA DIST PETROLEOS</c:v>
                </c:pt>
                <c:pt idx="69">
                  <c:v>S/F 018-0002-204158 BRICOLAJE BRICOMAN SLU</c:v>
                </c:pt>
                <c:pt idx="70">
                  <c:v>S/F 432703232 SUMINISTROS ELECTRICOS GUARDEÑO</c:v>
                </c:pt>
                <c:pt idx="71">
                  <c:v>S/F 00002-2024/A0101/00003142 BIGMAT</c:v>
                </c:pt>
                <c:pt idx="72">
                  <c:v>S/F 03824FE000002520 MARKOIL S.A.U.</c:v>
                </c:pt>
                <c:pt idx="73">
                  <c:v>S/F 2024-0093 PIKYOE AUTOMOCION SL</c:v>
                </c:pt>
              </c:strCache>
            </c:strRef>
          </c:tx>
          <c:invertIfNegative val="0"/>
          <c:val>
            <c:numRef>
              <c:f>'COMPRAS (2)'!$F$75:$F$260</c:f>
              <c:numCache>
                <c:formatCode>0.00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19-40E1-9F18-54FD69976231}"/>
            </c:ext>
          </c:extLst>
        </c:ser>
        <c:ser>
          <c:idx val="6"/>
          <c:order val="6"/>
          <c:tx>
            <c:strRef>
              <c:f>'COMPRAS (2)'!$G$1:$G$74</c:f>
              <c:strCache>
                <c:ptCount val="74"/>
                <c:pt idx="0">
                  <c:v>BASE</c:v>
                </c:pt>
                <c:pt idx="1">
                  <c:v>1022,00</c:v>
                </c:pt>
                <c:pt idx="2">
                  <c:v>142,15</c:v>
                </c:pt>
                <c:pt idx="3">
                  <c:v>653,37</c:v>
                </c:pt>
                <c:pt idx="4">
                  <c:v>69,12</c:v>
                </c:pt>
                <c:pt idx="5">
                  <c:v>361,08</c:v>
                </c:pt>
                <c:pt idx="6">
                  <c:v>102,04</c:v>
                </c:pt>
                <c:pt idx="7">
                  <c:v>-8379,90</c:v>
                </c:pt>
                <c:pt idx="8">
                  <c:v>385,12</c:v>
                </c:pt>
                <c:pt idx="9">
                  <c:v>3,22</c:v>
                </c:pt>
                <c:pt idx="10">
                  <c:v>9200,00</c:v>
                </c:pt>
                <c:pt idx="11">
                  <c:v>57,85</c:v>
                </c:pt>
                <c:pt idx="12">
                  <c:v>49,59</c:v>
                </c:pt>
                <c:pt idx="13">
                  <c:v>29,07</c:v>
                </c:pt>
                <c:pt idx="14">
                  <c:v>41,33</c:v>
                </c:pt>
                <c:pt idx="15">
                  <c:v>6000,00</c:v>
                </c:pt>
                <c:pt idx="16">
                  <c:v>1322,85</c:v>
                </c:pt>
                <c:pt idx="17">
                  <c:v>-224,79</c:v>
                </c:pt>
                <c:pt idx="18">
                  <c:v>400,00</c:v>
                </c:pt>
                <c:pt idx="19">
                  <c:v>330,58</c:v>
                </c:pt>
                <c:pt idx="20">
                  <c:v>3865,00</c:v>
                </c:pt>
                <c:pt idx="21">
                  <c:v>469,13</c:v>
                </c:pt>
                <c:pt idx="22">
                  <c:v>30,74</c:v>
                </c:pt>
                <c:pt idx="23">
                  <c:v>101,65</c:v>
                </c:pt>
                <c:pt idx="24">
                  <c:v>143,90</c:v>
                </c:pt>
                <c:pt idx="25">
                  <c:v>195,00</c:v>
                </c:pt>
                <c:pt idx="26">
                  <c:v>1304,13</c:v>
                </c:pt>
                <c:pt idx="27">
                  <c:v>1506,20</c:v>
                </c:pt>
                <c:pt idx="28">
                  <c:v>5365,00</c:v>
                </c:pt>
                <c:pt idx="29">
                  <c:v>1000,00</c:v>
                </c:pt>
                <c:pt idx="30">
                  <c:v>130,89</c:v>
                </c:pt>
                <c:pt idx="31">
                  <c:v>75,24</c:v>
                </c:pt>
                <c:pt idx="32">
                  <c:v>75,24</c:v>
                </c:pt>
                <c:pt idx="33">
                  <c:v>75,24</c:v>
                </c:pt>
                <c:pt idx="34">
                  <c:v>118,69</c:v>
                </c:pt>
                <c:pt idx="35">
                  <c:v>900,00</c:v>
                </c:pt>
                <c:pt idx="36">
                  <c:v>11,56</c:v>
                </c:pt>
                <c:pt idx="37">
                  <c:v>276,92</c:v>
                </c:pt>
                <c:pt idx="38">
                  <c:v>606,48</c:v>
                </c:pt>
                <c:pt idx="39">
                  <c:v>-67,39</c:v>
                </c:pt>
                <c:pt idx="40">
                  <c:v>63,27</c:v>
                </c:pt>
                <c:pt idx="41">
                  <c:v>147,64</c:v>
                </c:pt>
                <c:pt idx="42">
                  <c:v>231,00</c:v>
                </c:pt>
                <c:pt idx="43">
                  <c:v>52,27</c:v>
                </c:pt>
                <c:pt idx="44">
                  <c:v>41,32</c:v>
                </c:pt>
                <c:pt idx="45">
                  <c:v>404,00</c:v>
                </c:pt>
                <c:pt idx="46">
                  <c:v>782,70</c:v>
                </c:pt>
                <c:pt idx="47">
                  <c:v>170,82</c:v>
                </c:pt>
                <c:pt idx="48">
                  <c:v>1414,50</c:v>
                </c:pt>
                <c:pt idx="49">
                  <c:v>70,50</c:v>
                </c:pt>
                <c:pt idx="50">
                  <c:v>8,52</c:v>
                </c:pt>
                <c:pt idx="51">
                  <c:v>883,72</c:v>
                </c:pt>
                <c:pt idx="52">
                  <c:v>162,00</c:v>
                </c:pt>
                <c:pt idx="53">
                  <c:v>160,31</c:v>
                </c:pt>
                <c:pt idx="54">
                  <c:v>9,90</c:v>
                </c:pt>
                <c:pt idx="55">
                  <c:v>35,71</c:v>
                </c:pt>
                <c:pt idx="56">
                  <c:v>459,76</c:v>
                </c:pt>
                <c:pt idx="57">
                  <c:v>18,75</c:v>
                </c:pt>
                <c:pt idx="58">
                  <c:v>3,10</c:v>
                </c:pt>
                <c:pt idx="59">
                  <c:v>133,22</c:v>
                </c:pt>
                <c:pt idx="60">
                  <c:v>256,00</c:v>
                </c:pt>
                <c:pt idx="61">
                  <c:v>11,48</c:v>
                </c:pt>
                <c:pt idx="62">
                  <c:v>39,96</c:v>
                </c:pt>
                <c:pt idx="63">
                  <c:v>26,36</c:v>
                </c:pt>
                <c:pt idx="64">
                  <c:v>167,78</c:v>
                </c:pt>
                <c:pt idx="65">
                  <c:v>51,10</c:v>
                </c:pt>
                <c:pt idx="66">
                  <c:v>49,59</c:v>
                </c:pt>
                <c:pt idx="67">
                  <c:v>41,32</c:v>
                </c:pt>
                <c:pt idx="68">
                  <c:v>41,32</c:v>
                </c:pt>
                <c:pt idx="69">
                  <c:v>7,19</c:v>
                </c:pt>
                <c:pt idx="70">
                  <c:v>72,00</c:v>
                </c:pt>
                <c:pt idx="71">
                  <c:v>10,95</c:v>
                </c:pt>
                <c:pt idx="72">
                  <c:v>13,10</c:v>
                </c:pt>
                <c:pt idx="73">
                  <c:v>440,96</c:v>
                </c:pt>
              </c:strCache>
            </c:strRef>
          </c:tx>
          <c:invertIfNegative val="0"/>
          <c:val>
            <c:numRef>
              <c:f>'COMPRAS (2)'!$G$75:$G$260</c:f>
              <c:numCache>
                <c:formatCode>0.00</c:formatCode>
                <c:ptCount val="186"/>
                <c:pt idx="0">
                  <c:v>2479.3388429752067</c:v>
                </c:pt>
                <c:pt idx="1">
                  <c:v>530.23966942148763</c:v>
                </c:pt>
                <c:pt idx="2">
                  <c:v>109.20661157024793</c:v>
                </c:pt>
                <c:pt idx="3">
                  <c:v>695.77685950413229</c:v>
                </c:pt>
                <c:pt idx="4">
                  <c:v>31.404958677685951</c:v>
                </c:pt>
                <c:pt idx="5">
                  <c:v>45.446280991735541</c:v>
                </c:pt>
                <c:pt idx="6">
                  <c:v>800</c:v>
                </c:pt>
                <c:pt idx="7">
                  <c:v>28.000000000000004</c:v>
                </c:pt>
                <c:pt idx="8">
                  <c:v>60.801652892561982</c:v>
                </c:pt>
                <c:pt idx="9">
                  <c:v>311.09090909090912</c:v>
                </c:pt>
                <c:pt idx="10">
                  <c:v>2479.3388429752067</c:v>
                </c:pt>
                <c:pt idx="11">
                  <c:v>3847.9752066115707</c:v>
                </c:pt>
                <c:pt idx="12">
                  <c:v>463.6694214876033</c:v>
                </c:pt>
                <c:pt idx="13">
                  <c:v>623.52066115702485</c:v>
                </c:pt>
                <c:pt idx="14">
                  <c:v>841.17355371900828</c:v>
                </c:pt>
                <c:pt idx="15">
                  <c:v>3290.5785123966944</c:v>
                </c:pt>
                <c:pt idx="16">
                  <c:v>141.81818181818181</c:v>
                </c:pt>
                <c:pt idx="17">
                  <c:v>810</c:v>
                </c:pt>
                <c:pt idx="18">
                  <c:v>1511.3471074380166</c:v>
                </c:pt>
                <c:pt idx="19">
                  <c:v>559.14876033057863</c:v>
                </c:pt>
                <c:pt idx="20">
                  <c:v>103.46280991735537</c:v>
                </c:pt>
                <c:pt idx="21">
                  <c:v>-115.74380165289257</c:v>
                </c:pt>
                <c:pt idx="22">
                  <c:v>-225.12396694214874</c:v>
                </c:pt>
                <c:pt idx="23">
                  <c:v>27.23140495867769</c:v>
                </c:pt>
                <c:pt idx="24">
                  <c:v>4833.9917355371899</c:v>
                </c:pt>
                <c:pt idx="25">
                  <c:v>976.52892561983469</c:v>
                </c:pt>
                <c:pt idx="26">
                  <c:v>39.826446280991732</c:v>
                </c:pt>
                <c:pt idx="27">
                  <c:v>117.80165289256198</c:v>
                </c:pt>
                <c:pt idx="28">
                  <c:v>18.570247933884296</c:v>
                </c:pt>
                <c:pt idx="29">
                  <c:v>9.8512396694214885</c:v>
                </c:pt>
                <c:pt idx="30">
                  <c:v>13.057851239669423</c:v>
                </c:pt>
                <c:pt idx="31">
                  <c:v>54.801652892561989</c:v>
                </c:pt>
                <c:pt idx="32">
                  <c:v>9.0247933884297531</c:v>
                </c:pt>
                <c:pt idx="33">
                  <c:v>59.173553719008261</c:v>
                </c:pt>
                <c:pt idx="34">
                  <c:v>61.446280991735534</c:v>
                </c:pt>
                <c:pt idx="35">
                  <c:v>83.652892561983478</c:v>
                </c:pt>
                <c:pt idx="36">
                  <c:v>47.231404958677686</c:v>
                </c:pt>
                <c:pt idx="37">
                  <c:v>79.198347107438011</c:v>
                </c:pt>
                <c:pt idx="38">
                  <c:v>27.826446280991739</c:v>
                </c:pt>
                <c:pt idx="39">
                  <c:v>196.10743801652893</c:v>
                </c:pt>
                <c:pt idx="40">
                  <c:v>10.049586776859504</c:v>
                </c:pt>
                <c:pt idx="41">
                  <c:v>60.950413223140501</c:v>
                </c:pt>
                <c:pt idx="42">
                  <c:v>66.11570247933885</c:v>
                </c:pt>
                <c:pt idx="43">
                  <c:v>12.290909090909089</c:v>
                </c:pt>
                <c:pt idx="44">
                  <c:v>179.55371900826447</c:v>
                </c:pt>
                <c:pt idx="45">
                  <c:v>25</c:v>
                </c:pt>
                <c:pt idx="46">
                  <c:v>17400</c:v>
                </c:pt>
                <c:pt idx="47">
                  <c:v>18.049586776859506</c:v>
                </c:pt>
                <c:pt idx="48">
                  <c:v>-13.818181818181818</c:v>
                </c:pt>
                <c:pt idx="49">
                  <c:v>163.71074380165291</c:v>
                </c:pt>
                <c:pt idx="50">
                  <c:v>32.504132231404959</c:v>
                </c:pt>
                <c:pt idx="51">
                  <c:v>58.669421487603302</c:v>
                </c:pt>
                <c:pt idx="52">
                  <c:v>6.6033057851239674</c:v>
                </c:pt>
                <c:pt idx="53">
                  <c:v>11.570247933884298</c:v>
                </c:pt>
                <c:pt idx="54">
                  <c:v>15.793388429752065</c:v>
                </c:pt>
                <c:pt idx="55">
                  <c:v>41.32231404958678</c:v>
                </c:pt>
                <c:pt idx="56">
                  <c:v>49.586776859504134</c:v>
                </c:pt>
                <c:pt idx="57">
                  <c:v>41.32231404958678</c:v>
                </c:pt>
                <c:pt idx="58">
                  <c:v>41.32231404958678</c:v>
                </c:pt>
                <c:pt idx="59">
                  <c:v>13.793388429752067</c:v>
                </c:pt>
                <c:pt idx="60">
                  <c:v>14.553719008264462</c:v>
                </c:pt>
                <c:pt idx="61">
                  <c:v>41.32231404958678</c:v>
                </c:pt>
                <c:pt idx="62">
                  <c:v>41.32231404958678</c:v>
                </c:pt>
                <c:pt idx="63">
                  <c:v>17.619834710743802</c:v>
                </c:pt>
                <c:pt idx="64">
                  <c:v>8</c:v>
                </c:pt>
                <c:pt idx="65">
                  <c:v>12.154545454545453</c:v>
                </c:pt>
                <c:pt idx="66">
                  <c:v>21</c:v>
                </c:pt>
                <c:pt idx="67">
                  <c:v>74.380165289256198</c:v>
                </c:pt>
                <c:pt idx="68">
                  <c:v>82.644628099173559</c:v>
                </c:pt>
                <c:pt idx="69">
                  <c:v>29.239669421487605</c:v>
                </c:pt>
                <c:pt idx="70">
                  <c:v>29.239669421487605</c:v>
                </c:pt>
                <c:pt idx="71">
                  <c:v>24.702479338842977</c:v>
                </c:pt>
                <c:pt idx="72">
                  <c:v>42</c:v>
                </c:pt>
                <c:pt idx="73">
                  <c:v>8.1570247933884286</c:v>
                </c:pt>
                <c:pt idx="74">
                  <c:v>33.057851239669425</c:v>
                </c:pt>
                <c:pt idx="75">
                  <c:v>41.63636363636364</c:v>
                </c:pt>
                <c:pt idx="76">
                  <c:v>23.719008264462811</c:v>
                </c:pt>
                <c:pt idx="77">
                  <c:v>89.95</c:v>
                </c:pt>
                <c:pt idx="78">
                  <c:v>164.52892561983472</c:v>
                </c:pt>
                <c:pt idx="79">
                  <c:v>1402.4793388429753</c:v>
                </c:pt>
                <c:pt idx="80">
                  <c:v>1652.8925619834711</c:v>
                </c:pt>
                <c:pt idx="81">
                  <c:v>41.32231404958678</c:v>
                </c:pt>
                <c:pt idx="82">
                  <c:v>41.32231404958678</c:v>
                </c:pt>
                <c:pt idx="83">
                  <c:v>41.32231404958678</c:v>
                </c:pt>
                <c:pt idx="84">
                  <c:v>41.32231404958678</c:v>
                </c:pt>
                <c:pt idx="85">
                  <c:v>41.32231404958678</c:v>
                </c:pt>
                <c:pt idx="86">
                  <c:v>41.32231404958678</c:v>
                </c:pt>
                <c:pt idx="87">
                  <c:v>35.52066115702479</c:v>
                </c:pt>
                <c:pt idx="88">
                  <c:v>41.809917355371908</c:v>
                </c:pt>
                <c:pt idx="89">
                  <c:v>33.396694214876028</c:v>
                </c:pt>
                <c:pt idx="90">
                  <c:v>48.84297520661157</c:v>
                </c:pt>
                <c:pt idx="91">
                  <c:v>983.19999999999993</c:v>
                </c:pt>
                <c:pt idx="92">
                  <c:v>96.07</c:v>
                </c:pt>
                <c:pt idx="93">
                  <c:v>240</c:v>
                </c:pt>
                <c:pt idx="94">
                  <c:v>75.165289256198349</c:v>
                </c:pt>
                <c:pt idx="95">
                  <c:v>276.71074380165288</c:v>
                </c:pt>
                <c:pt idx="96">
                  <c:v>171</c:v>
                </c:pt>
                <c:pt idx="97">
                  <c:v>115.79338842975208</c:v>
                </c:pt>
                <c:pt idx="98">
                  <c:v>199.06611570247935</c:v>
                </c:pt>
                <c:pt idx="99">
                  <c:v>45.206611570247937</c:v>
                </c:pt>
                <c:pt idx="100">
                  <c:v>50.63636363636364</c:v>
                </c:pt>
                <c:pt idx="101">
                  <c:v>35.396694214876035</c:v>
                </c:pt>
                <c:pt idx="102">
                  <c:v>9.7933884297520652</c:v>
                </c:pt>
                <c:pt idx="103">
                  <c:v>45.173553719008261</c:v>
                </c:pt>
                <c:pt idx="104">
                  <c:v>49.586776859504134</c:v>
                </c:pt>
                <c:pt idx="105">
                  <c:v>41.32231404958678</c:v>
                </c:pt>
                <c:pt idx="106">
                  <c:v>202.12396694214877</c:v>
                </c:pt>
                <c:pt idx="107">
                  <c:v>49.049586776859506</c:v>
                </c:pt>
                <c:pt idx="108">
                  <c:v>61.752066115702483</c:v>
                </c:pt>
                <c:pt idx="109">
                  <c:v>402.44628099173553</c:v>
                </c:pt>
                <c:pt idx="110">
                  <c:v>-402.44628099173553</c:v>
                </c:pt>
                <c:pt idx="111">
                  <c:v>131.6694214876033</c:v>
                </c:pt>
                <c:pt idx="112">
                  <c:v>26.636363636363633</c:v>
                </c:pt>
                <c:pt idx="113">
                  <c:v>7.0247933884297522</c:v>
                </c:pt>
                <c:pt idx="114">
                  <c:v>232.31404958677689</c:v>
                </c:pt>
                <c:pt idx="115">
                  <c:v>77.933884297520663</c:v>
                </c:pt>
                <c:pt idx="116">
                  <c:v>38.429752066115704</c:v>
                </c:pt>
                <c:pt idx="117">
                  <c:v>90.000000000000014</c:v>
                </c:pt>
                <c:pt idx="118">
                  <c:v>65.702479338842977</c:v>
                </c:pt>
                <c:pt idx="119">
                  <c:v>19.198347107438018</c:v>
                </c:pt>
                <c:pt idx="120">
                  <c:v>49.578512396694215</c:v>
                </c:pt>
                <c:pt idx="121">
                  <c:v>57.033057851239676</c:v>
                </c:pt>
                <c:pt idx="122">
                  <c:v>66.826446280991732</c:v>
                </c:pt>
                <c:pt idx="123">
                  <c:v>18.917355371900829</c:v>
                </c:pt>
                <c:pt idx="124">
                  <c:v>57.851239669421489</c:v>
                </c:pt>
                <c:pt idx="125">
                  <c:v>57.851239669421489</c:v>
                </c:pt>
                <c:pt idx="126">
                  <c:v>16.528925619834713</c:v>
                </c:pt>
                <c:pt idx="127">
                  <c:v>96.520661157024804</c:v>
                </c:pt>
                <c:pt idx="128">
                  <c:v>83.859504132231407</c:v>
                </c:pt>
                <c:pt idx="129">
                  <c:v>41.314049586776861</c:v>
                </c:pt>
                <c:pt idx="130">
                  <c:v>40.793388429752063</c:v>
                </c:pt>
                <c:pt idx="131">
                  <c:v>37.851239669421489</c:v>
                </c:pt>
                <c:pt idx="132">
                  <c:v>52.33884297520661</c:v>
                </c:pt>
                <c:pt idx="133">
                  <c:v>70.148760330578511</c:v>
                </c:pt>
                <c:pt idx="134">
                  <c:v>66.314049586776861</c:v>
                </c:pt>
                <c:pt idx="135">
                  <c:v>67.91735537190084</c:v>
                </c:pt>
                <c:pt idx="136">
                  <c:v>46.429752066115704</c:v>
                </c:pt>
                <c:pt idx="137">
                  <c:v>104.13223140495867</c:v>
                </c:pt>
                <c:pt idx="138">
                  <c:v>154.51239669421489</c:v>
                </c:pt>
                <c:pt idx="139">
                  <c:v>94.264462809917362</c:v>
                </c:pt>
                <c:pt idx="140">
                  <c:v>136.36363636363635</c:v>
                </c:pt>
                <c:pt idx="141">
                  <c:v>136.36363636363635</c:v>
                </c:pt>
                <c:pt idx="142">
                  <c:v>358.18181818181813</c:v>
                </c:pt>
                <c:pt idx="143">
                  <c:v>36.36363636363636</c:v>
                </c:pt>
                <c:pt idx="144">
                  <c:v>207.27272727272725</c:v>
                </c:pt>
                <c:pt idx="145">
                  <c:v>3705.0000000000005</c:v>
                </c:pt>
                <c:pt idx="146">
                  <c:v>1166.6115702479337</c:v>
                </c:pt>
                <c:pt idx="147">
                  <c:v>158</c:v>
                </c:pt>
                <c:pt idx="148">
                  <c:v>674.94214876033061</c:v>
                </c:pt>
                <c:pt idx="149">
                  <c:v>202.45454545454547</c:v>
                </c:pt>
                <c:pt idx="150">
                  <c:v>135.70247933884298</c:v>
                </c:pt>
                <c:pt idx="151">
                  <c:v>75.239669421487605</c:v>
                </c:pt>
                <c:pt idx="152">
                  <c:v>75.239669421487605</c:v>
                </c:pt>
                <c:pt idx="153">
                  <c:v>75.239669421487605</c:v>
                </c:pt>
                <c:pt idx="154">
                  <c:v>18.396694214876035</c:v>
                </c:pt>
                <c:pt idx="155">
                  <c:v>1652.8925619834711</c:v>
                </c:pt>
                <c:pt idx="156">
                  <c:v>181.90909090909093</c:v>
                </c:pt>
                <c:pt idx="157">
                  <c:v>12380</c:v>
                </c:pt>
                <c:pt idx="158">
                  <c:v>123.96694214876034</c:v>
                </c:pt>
                <c:pt idx="159">
                  <c:v>1010.3388429752066</c:v>
                </c:pt>
                <c:pt idx="160">
                  <c:v>-73.900826446281002</c:v>
                </c:pt>
                <c:pt idx="161">
                  <c:v>16.107438016528924</c:v>
                </c:pt>
                <c:pt idx="162">
                  <c:v>269.29752066115708</c:v>
                </c:pt>
                <c:pt idx="163">
                  <c:v>82.669421487603316</c:v>
                </c:pt>
                <c:pt idx="164">
                  <c:v>765</c:v>
                </c:pt>
                <c:pt idx="165">
                  <c:v>35.247933884297524</c:v>
                </c:pt>
                <c:pt idx="166">
                  <c:v>117.80165289256198</c:v>
                </c:pt>
                <c:pt idx="167">
                  <c:v>842.97520661157023</c:v>
                </c:pt>
                <c:pt idx="168">
                  <c:v>103.26</c:v>
                </c:pt>
                <c:pt idx="169">
                  <c:v>648.61983471074382</c:v>
                </c:pt>
                <c:pt idx="170">
                  <c:v>8264.4628099173551</c:v>
                </c:pt>
                <c:pt idx="171">
                  <c:v>4558.2727272727279</c:v>
                </c:pt>
                <c:pt idx="172">
                  <c:v>200</c:v>
                </c:pt>
                <c:pt idx="173">
                  <c:v>200</c:v>
                </c:pt>
                <c:pt idx="174">
                  <c:v>200</c:v>
                </c:pt>
                <c:pt idx="175">
                  <c:v>200</c:v>
                </c:pt>
                <c:pt idx="176">
                  <c:v>200</c:v>
                </c:pt>
                <c:pt idx="177">
                  <c:v>200</c:v>
                </c:pt>
                <c:pt idx="178">
                  <c:v>660</c:v>
                </c:pt>
                <c:pt idx="179">
                  <c:v>91.107438016528917</c:v>
                </c:pt>
                <c:pt idx="180">
                  <c:v>44.471074380165291</c:v>
                </c:pt>
                <c:pt idx="181">
                  <c:v>107.60330578512396</c:v>
                </c:pt>
                <c:pt idx="182">
                  <c:v>35.81818181818182</c:v>
                </c:pt>
                <c:pt idx="183">
                  <c:v>15</c:v>
                </c:pt>
                <c:pt idx="184">
                  <c:v>177.099173553719</c:v>
                </c:pt>
                <c:pt idx="185">
                  <c:v>106.25619834710743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19-40E1-9F18-54FD69976231}"/>
            </c:ext>
          </c:extLst>
        </c:ser>
        <c:ser>
          <c:idx val="7"/>
          <c:order val="7"/>
          <c:tx>
            <c:strRef>
              <c:f>'COMPRAS (2)'!$H$1:$H$74</c:f>
              <c:strCache>
                <c:ptCount val="74"/>
                <c:pt idx="0">
                  <c:v>%IVA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0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0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0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</c:strCache>
            </c:strRef>
          </c:tx>
          <c:invertIfNegative val="0"/>
          <c:val>
            <c:numRef>
              <c:f>'COMPRAS (2)'!$H$75:$H$260</c:f>
              <c:numCache>
                <c:formatCode>General</c:formatCode>
                <c:ptCount val="186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10</c:v>
                </c:pt>
                <c:pt idx="44">
                  <c:v>21</c:v>
                </c:pt>
                <c:pt idx="45">
                  <c:v>21</c:v>
                </c:pt>
                <c:pt idx="46">
                  <c:v>0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21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21</c:v>
                </c:pt>
                <c:pt idx="74">
                  <c:v>21</c:v>
                </c:pt>
                <c:pt idx="75">
                  <c:v>21</c:v>
                </c:pt>
                <c:pt idx="76">
                  <c:v>21</c:v>
                </c:pt>
                <c:pt idx="77">
                  <c:v>10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10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21</c:v>
                </c:pt>
                <c:pt idx="96">
                  <c:v>21</c:v>
                </c:pt>
                <c:pt idx="97">
                  <c:v>21</c:v>
                </c:pt>
                <c:pt idx="98">
                  <c:v>21</c:v>
                </c:pt>
                <c:pt idx="99">
                  <c:v>21</c:v>
                </c:pt>
                <c:pt idx="100">
                  <c:v>21</c:v>
                </c:pt>
                <c:pt idx="101">
                  <c:v>21</c:v>
                </c:pt>
                <c:pt idx="102">
                  <c:v>21</c:v>
                </c:pt>
                <c:pt idx="103">
                  <c:v>21</c:v>
                </c:pt>
                <c:pt idx="104">
                  <c:v>21</c:v>
                </c:pt>
                <c:pt idx="105">
                  <c:v>21</c:v>
                </c:pt>
                <c:pt idx="106">
                  <c:v>21</c:v>
                </c:pt>
                <c:pt idx="107">
                  <c:v>21</c:v>
                </c:pt>
                <c:pt idx="108">
                  <c:v>21</c:v>
                </c:pt>
                <c:pt idx="109">
                  <c:v>21</c:v>
                </c:pt>
                <c:pt idx="110">
                  <c:v>21</c:v>
                </c:pt>
                <c:pt idx="111">
                  <c:v>21</c:v>
                </c:pt>
                <c:pt idx="112">
                  <c:v>21</c:v>
                </c:pt>
                <c:pt idx="113">
                  <c:v>21</c:v>
                </c:pt>
                <c:pt idx="114">
                  <c:v>21</c:v>
                </c:pt>
                <c:pt idx="115">
                  <c:v>21</c:v>
                </c:pt>
                <c:pt idx="116">
                  <c:v>21</c:v>
                </c:pt>
                <c:pt idx="117">
                  <c:v>21</c:v>
                </c:pt>
                <c:pt idx="118">
                  <c:v>21</c:v>
                </c:pt>
                <c:pt idx="119">
                  <c:v>21</c:v>
                </c:pt>
                <c:pt idx="120">
                  <c:v>21</c:v>
                </c:pt>
                <c:pt idx="121">
                  <c:v>21</c:v>
                </c:pt>
                <c:pt idx="122">
                  <c:v>21</c:v>
                </c:pt>
                <c:pt idx="123">
                  <c:v>21</c:v>
                </c:pt>
                <c:pt idx="124">
                  <c:v>21</c:v>
                </c:pt>
                <c:pt idx="125">
                  <c:v>21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21</c:v>
                </c:pt>
                <c:pt idx="131">
                  <c:v>21</c:v>
                </c:pt>
                <c:pt idx="132">
                  <c:v>21</c:v>
                </c:pt>
                <c:pt idx="133">
                  <c:v>21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21</c:v>
                </c:pt>
                <c:pt idx="138">
                  <c:v>21</c:v>
                </c:pt>
                <c:pt idx="139">
                  <c:v>21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21</c:v>
                </c:pt>
                <c:pt idx="146">
                  <c:v>21</c:v>
                </c:pt>
                <c:pt idx="147">
                  <c:v>10</c:v>
                </c:pt>
                <c:pt idx="148">
                  <c:v>21</c:v>
                </c:pt>
                <c:pt idx="149">
                  <c:v>21</c:v>
                </c:pt>
                <c:pt idx="150">
                  <c:v>21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21</c:v>
                </c:pt>
                <c:pt idx="157">
                  <c:v>21</c:v>
                </c:pt>
                <c:pt idx="158">
                  <c:v>21</c:v>
                </c:pt>
                <c:pt idx="159">
                  <c:v>21</c:v>
                </c:pt>
                <c:pt idx="160">
                  <c:v>21</c:v>
                </c:pt>
                <c:pt idx="161">
                  <c:v>21</c:v>
                </c:pt>
                <c:pt idx="162">
                  <c:v>21</c:v>
                </c:pt>
                <c:pt idx="163">
                  <c:v>21</c:v>
                </c:pt>
                <c:pt idx="164">
                  <c:v>21</c:v>
                </c:pt>
                <c:pt idx="165">
                  <c:v>21</c:v>
                </c:pt>
                <c:pt idx="166">
                  <c:v>21</c:v>
                </c:pt>
                <c:pt idx="167">
                  <c:v>21</c:v>
                </c:pt>
                <c:pt idx="168">
                  <c:v>0</c:v>
                </c:pt>
                <c:pt idx="169">
                  <c:v>21</c:v>
                </c:pt>
                <c:pt idx="170">
                  <c:v>21</c:v>
                </c:pt>
                <c:pt idx="171">
                  <c:v>21</c:v>
                </c:pt>
                <c:pt idx="172">
                  <c:v>21</c:v>
                </c:pt>
                <c:pt idx="173">
                  <c:v>21</c:v>
                </c:pt>
                <c:pt idx="174">
                  <c:v>21</c:v>
                </c:pt>
                <c:pt idx="175">
                  <c:v>21</c:v>
                </c:pt>
                <c:pt idx="176">
                  <c:v>21</c:v>
                </c:pt>
                <c:pt idx="177">
                  <c:v>21</c:v>
                </c:pt>
                <c:pt idx="178">
                  <c:v>0</c:v>
                </c:pt>
                <c:pt idx="179">
                  <c:v>21</c:v>
                </c:pt>
                <c:pt idx="180">
                  <c:v>21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19-40E1-9F18-54FD69976231}"/>
            </c:ext>
          </c:extLst>
        </c:ser>
        <c:ser>
          <c:idx val="8"/>
          <c:order val="8"/>
          <c:tx>
            <c:strRef>
              <c:f>'COMPRAS (2)'!$I$1:$I$74</c:f>
              <c:strCache>
                <c:ptCount val="74"/>
                <c:pt idx="0">
                  <c:v>IMPORTE IVA</c:v>
                </c:pt>
                <c:pt idx="1">
                  <c:v>214,62</c:v>
                </c:pt>
                <c:pt idx="2">
                  <c:v>29,85</c:v>
                </c:pt>
                <c:pt idx="3">
                  <c:v>137,21</c:v>
                </c:pt>
                <c:pt idx="4">
                  <c:v>14,51</c:v>
                </c:pt>
                <c:pt idx="5">
                  <c:v>75,83</c:v>
                </c:pt>
                <c:pt idx="6">
                  <c:v>21,43</c:v>
                </c:pt>
                <c:pt idx="7">
                  <c:v>-1759,78</c:v>
                </c:pt>
                <c:pt idx="8">
                  <c:v>80,87</c:v>
                </c:pt>
                <c:pt idx="9">
                  <c:v>0,68</c:v>
                </c:pt>
                <c:pt idx="10">
                  <c:v>0,00</c:v>
                </c:pt>
                <c:pt idx="11">
                  <c:v>12,15</c:v>
                </c:pt>
                <c:pt idx="12">
                  <c:v>10,41</c:v>
                </c:pt>
                <c:pt idx="13">
                  <c:v>6,11</c:v>
                </c:pt>
                <c:pt idx="14">
                  <c:v>8,68</c:v>
                </c:pt>
                <c:pt idx="15">
                  <c:v>1260,00</c:v>
                </c:pt>
                <c:pt idx="16">
                  <c:v>277,80</c:v>
                </c:pt>
                <c:pt idx="17">
                  <c:v>-47,21</c:v>
                </c:pt>
                <c:pt idx="18">
                  <c:v>0,00</c:v>
                </c:pt>
                <c:pt idx="19">
                  <c:v>69,42</c:v>
                </c:pt>
                <c:pt idx="20">
                  <c:v>811,65</c:v>
                </c:pt>
                <c:pt idx="21">
                  <c:v>98,52</c:v>
                </c:pt>
                <c:pt idx="22">
                  <c:v>6,46</c:v>
                </c:pt>
                <c:pt idx="23">
                  <c:v>21,35</c:v>
                </c:pt>
                <c:pt idx="24">
                  <c:v>30,22</c:v>
                </c:pt>
                <c:pt idx="25">
                  <c:v>40,95</c:v>
                </c:pt>
                <c:pt idx="26">
                  <c:v>273,87</c:v>
                </c:pt>
                <c:pt idx="27">
                  <c:v>316,30</c:v>
                </c:pt>
                <c:pt idx="28">
                  <c:v>1126,65</c:v>
                </c:pt>
                <c:pt idx="29">
                  <c:v>210,00</c:v>
                </c:pt>
                <c:pt idx="30">
                  <c:v>27,49</c:v>
                </c:pt>
                <c:pt idx="31">
                  <c:v>15,80</c:v>
                </c:pt>
                <c:pt idx="32">
                  <c:v>15,80</c:v>
                </c:pt>
                <c:pt idx="33">
                  <c:v>15,80</c:v>
                </c:pt>
                <c:pt idx="34">
                  <c:v>24,93</c:v>
                </c:pt>
                <c:pt idx="35">
                  <c:v>0,00</c:v>
                </c:pt>
                <c:pt idx="36">
                  <c:v>2,43</c:v>
                </c:pt>
                <c:pt idx="37">
                  <c:v>58,15</c:v>
                </c:pt>
                <c:pt idx="38">
                  <c:v>127,36</c:v>
                </c:pt>
                <c:pt idx="39">
                  <c:v>-14,15</c:v>
                </c:pt>
                <c:pt idx="40">
                  <c:v>6,33</c:v>
                </c:pt>
                <c:pt idx="41">
                  <c:v>14,76</c:v>
                </c:pt>
                <c:pt idx="42">
                  <c:v>23,10</c:v>
                </c:pt>
                <c:pt idx="43">
                  <c:v>5,23</c:v>
                </c:pt>
                <c:pt idx="44">
                  <c:v>8,68</c:v>
                </c:pt>
                <c:pt idx="45">
                  <c:v>84,84</c:v>
                </c:pt>
                <c:pt idx="46">
                  <c:v>164,37</c:v>
                </c:pt>
                <c:pt idx="47">
                  <c:v>35,87</c:v>
                </c:pt>
                <c:pt idx="48">
                  <c:v>297,05</c:v>
                </c:pt>
                <c:pt idx="49">
                  <c:v>14,81</c:v>
                </c:pt>
                <c:pt idx="50">
                  <c:v>1,79</c:v>
                </c:pt>
                <c:pt idx="51">
                  <c:v>185,58</c:v>
                </c:pt>
                <c:pt idx="52">
                  <c:v>34,02</c:v>
                </c:pt>
                <c:pt idx="53">
                  <c:v>33,67</c:v>
                </c:pt>
                <c:pt idx="54">
                  <c:v>2,08</c:v>
                </c:pt>
                <c:pt idx="55">
                  <c:v>7,50</c:v>
                </c:pt>
                <c:pt idx="56">
                  <c:v>96,55</c:v>
                </c:pt>
                <c:pt idx="57">
                  <c:v>3,94</c:v>
                </c:pt>
                <c:pt idx="58">
                  <c:v>0,65</c:v>
                </c:pt>
                <c:pt idx="59">
                  <c:v>27,98</c:v>
                </c:pt>
                <c:pt idx="60">
                  <c:v>53,76</c:v>
                </c:pt>
                <c:pt idx="61">
                  <c:v>2,41</c:v>
                </c:pt>
                <c:pt idx="62">
                  <c:v>8,39</c:v>
                </c:pt>
                <c:pt idx="63">
                  <c:v>5,54</c:v>
                </c:pt>
                <c:pt idx="64">
                  <c:v>35,23</c:v>
                </c:pt>
                <c:pt idx="65">
                  <c:v>10,73</c:v>
                </c:pt>
                <c:pt idx="66">
                  <c:v>10,41</c:v>
                </c:pt>
                <c:pt idx="67">
                  <c:v>8,68</c:v>
                </c:pt>
                <c:pt idx="68">
                  <c:v>8,68</c:v>
                </c:pt>
                <c:pt idx="69">
                  <c:v>1,51</c:v>
                </c:pt>
                <c:pt idx="70">
                  <c:v>15,12</c:v>
                </c:pt>
                <c:pt idx="71">
                  <c:v>2,30</c:v>
                </c:pt>
                <c:pt idx="72">
                  <c:v>2,75</c:v>
                </c:pt>
                <c:pt idx="73">
                  <c:v>92,60</c:v>
                </c:pt>
              </c:strCache>
            </c:strRef>
          </c:tx>
          <c:invertIfNegative val="0"/>
          <c:val>
            <c:numRef>
              <c:f>'COMPRAS (2)'!$I$75:$I$260</c:f>
              <c:numCache>
                <c:formatCode>0.00</c:formatCode>
                <c:ptCount val="186"/>
                <c:pt idx="0">
                  <c:v>520.6611570247934</c:v>
                </c:pt>
                <c:pt idx="1">
                  <c:v>111.3503305785124</c:v>
                </c:pt>
                <c:pt idx="2">
                  <c:v>22.933388429752068</c:v>
                </c:pt>
                <c:pt idx="3">
                  <c:v>146.11314049586778</c:v>
                </c:pt>
                <c:pt idx="4">
                  <c:v>6.5950413223140494</c:v>
                </c:pt>
                <c:pt idx="5">
                  <c:v>9.5437190082644641</c:v>
                </c:pt>
                <c:pt idx="6">
                  <c:v>168</c:v>
                </c:pt>
                <c:pt idx="7">
                  <c:v>5.8800000000000008</c:v>
                </c:pt>
                <c:pt idx="8">
                  <c:v>12.768347107438016</c:v>
                </c:pt>
                <c:pt idx="9">
                  <c:v>65.329090909090922</c:v>
                </c:pt>
                <c:pt idx="10">
                  <c:v>520.6611570247934</c:v>
                </c:pt>
                <c:pt idx="11">
                  <c:v>808.07479338842984</c:v>
                </c:pt>
                <c:pt idx="12">
                  <c:v>97.37057851239669</c:v>
                </c:pt>
                <c:pt idx="13">
                  <c:v>130.93933884297522</c:v>
                </c:pt>
                <c:pt idx="14">
                  <c:v>176.64644628099174</c:v>
                </c:pt>
                <c:pt idx="15">
                  <c:v>691.0214876033059</c:v>
                </c:pt>
                <c:pt idx="16">
                  <c:v>29.781818181818181</c:v>
                </c:pt>
                <c:pt idx="17">
                  <c:v>170.1</c:v>
                </c:pt>
                <c:pt idx="18">
                  <c:v>317.38289256198345</c:v>
                </c:pt>
                <c:pt idx="19">
                  <c:v>117.42123966942152</c:v>
                </c:pt>
                <c:pt idx="20">
                  <c:v>21.727190082644629</c:v>
                </c:pt>
                <c:pt idx="21">
                  <c:v>-24.30619834710744</c:v>
                </c:pt>
                <c:pt idx="22">
                  <c:v>-47.276033057851237</c:v>
                </c:pt>
                <c:pt idx="23">
                  <c:v>5.7185950413223141</c:v>
                </c:pt>
                <c:pt idx="24">
                  <c:v>1015.1382644628098</c:v>
                </c:pt>
                <c:pt idx="25">
                  <c:v>205.0710743801653</c:v>
                </c:pt>
                <c:pt idx="26">
                  <c:v>8.3635537190082641</c:v>
                </c:pt>
                <c:pt idx="27">
                  <c:v>24.738347107438017</c:v>
                </c:pt>
                <c:pt idx="28">
                  <c:v>3.8997520661157021</c:v>
                </c:pt>
                <c:pt idx="29">
                  <c:v>2.0687603305785127</c:v>
                </c:pt>
                <c:pt idx="30">
                  <c:v>2.7421487603305787</c:v>
                </c:pt>
                <c:pt idx="31">
                  <c:v>11.508347107438016</c:v>
                </c:pt>
                <c:pt idx="32">
                  <c:v>1.8952066115702482</c:v>
                </c:pt>
                <c:pt idx="33">
                  <c:v>12.426446280991735</c:v>
                </c:pt>
                <c:pt idx="34">
                  <c:v>12.903719008264462</c:v>
                </c:pt>
                <c:pt idx="35">
                  <c:v>17.567107438016532</c:v>
                </c:pt>
                <c:pt idx="36">
                  <c:v>9.9185950413223143</c:v>
                </c:pt>
                <c:pt idx="37">
                  <c:v>16.631652892561984</c:v>
                </c:pt>
                <c:pt idx="38">
                  <c:v>5.8435537190082654</c:v>
                </c:pt>
                <c:pt idx="39">
                  <c:v>41.182561983471075</c:v>
                </c:pt>
                <c:pt idx="40">
                  <c:v>2.1104132231404957</c:v>
                </c:pt>
                <c:pt idx="41">
                  <c:v>12.799586776859506</c:v>
                </c:pt>
                <c:pt idx="42">
                  <c:v>13.884297520661159</c:v>
                </c:pt>
                <c:pt idx="43">
                  <c:v>1.229090909090909</c:v>
                </c:pt>
                <c:pt idx="44">
                  <c:v>37.706280991735539</c:v>
                </c:pt>
                <c:pt idx="45">
                  <c:v>5.25</c:v>
                </c:pt>
                <c:pt idx="46">
                  <c:v>0</c:v>
                </c:pt>
                <c:pt idx="47">
                  <c:v>3.7904132231404963</c:v>
                </c:pt>
                <c:pt idx="48">
                  <c:v>-2.9018181818181819</c:v>
                </c:pt>
                <c:pt idx="49">
                  <c:v>34.379256198347115</c:v>
                </c:pt>
                <c:pt idx="50">
                  <c:v>6.8258677685950424</c:v>
                </c:pt>
                <c:pt idx="51">
                  <c:v>12.320578512396693</c:v>
                </c:pt>
                <c:pt idx="52">
                  <c:v>1.3866942148760331</c:v>
                </c:pt>
                <c:pt idx="53">
                  <c:v>2.4297520661157024</c:v>
                </c:pt>
                <c:pt idx="54">
                  <c:v>3.3166115702479342</c:v>
                </c:pt>
                <c:pt idx="55">
                  <c:v>8.677685950413224</c:v>
                </c:pt>
                <c:pt idx="56">
                  <c:v>10.413223140495868</c:v>
                </c:pt>
                <c:pt idx="57">
                  <c:v>8.677685950413224</c:v>
                </c:pt>
                <c:pt idx="58">
                  <c:v>8.677685950413224</c:v>
                </c:pt>
                <c:pt idx="59">
                  <c:v>2.8966115702479338</c:v>
                </c:pt>
                <c:pt idx="60">
                  <c:v>3.0562809917355374</c:v>
                </c:pt>
                <c:pt idx="61">
                  <c:v>8.677685950413224</c:v>
                </c:pt>
                <c:pt idx="62">
                  <c:v>8.677685950413224</c:v>
                </c:pt>
                <c:pt idx="63">
                  <c:v>3.7001652892561987</c:v>
                </c:pt>
                <c:pt idx="64">
                  <c:v>0.8</c:v>
                </c:pt>
                <c:pt idx="65">
                  <c:v>1.2154545454545453</c:v>
                </c:pt>
                <c:pt idx="66">
                  <c:v>2.1</c:v>
                </c:pt>
                <c:pt idx="67">
                  <c:v>15.619834710743801</c:v>
                </c:pt>
                <c:pt idx="68">
                  <c:v>17.355371900826448</c:v>
                </c:pt>
                <c:pt idx="69">
                  <c:v>6.1403305785123976</c:v>
                </c:pt>
                <c:pt idx="70">
                  <c:v>6.1403305785123976</c:v>
                </c:pt>
                <c:pt idx="71">
                  <c:v>5.1875206611570253</c:v>
                </c:pt>
                <c:pt idx="72">
                  <c:v>8.82</c:v>
                </c:pt>
                <c:pt idx="73">
                  <c:v>1.71297520661157</c:v>
                </c:pt>
                <c:pt idx="74">
                  <c:v>6.9421487603305794</c:v>
                </c:pt>
                <c:pt idx="75">
                  <c:v>8.7436363636363641</c:v>
                </c:pt>
                <c:pt idx="76">
                  <c:v>4.9809917355371907</c:v>
                </c:pt>
                <c:pt idx="77">
                  <c:v>8.9949999999999992</c:v>
                </c:pt>
                <c:pt idx="78">
                  <c:v>34.551074380165289</c:v>
                </c:pt>
                <c:pt idx="79">
                  <c:v>294.52066115702479</c:v>
                </c:pt>
                <c:pt idx="80">
                  <c:v>347.10743801652893</c:v>
                </c:pt>
                <c:pt idx="81">
                  <c:v>8.677685950413224</c:v>
                </c:pt>
                <c:pt idx="82">
                  <c:v>8.677685950413224</c:v>
                </c:pt>
                <c:pt idx="83">
                  <c:v>8.677685950413224</c:v>
                </c:pt>
                <c:pt idx="84">
                  <c:v>8.677685950413224</c:v>
                </c:pt>
                <c:pt idx="85">
                  <c:v>8.677685950413224</c:v>
                </c:pt>
                <c:pt idx="86">
                  <c:v>8.677685950413224</c:v>
                </c:pt>
                <c:pt idx="87">
                  <c:v>7.459338842975205</c:v>
                </c:pt>
                <c:pt idx="88">
                  <c:v>8.7800826446281004</c:v>
                </c:pt>
                <c:pt idx="89">
                  <c:v>7.0133057851239666</c:v>
                </c:pt>
                <c:pt idx="90">
                  <c:v>10.25702479338843</c:v>
                </c:pt>
                <c:pt idx="91">
                  <c:v>98.32</c:v>
                </c:pt>
                <c:pt idx="92">
                  <c:v>20.174699999999998</c:v>
                </c:pt>
                <c:pt idx="93">
                  <c:v>50.4</c:v>
                </c:pt>
                <c:pt idx="94">
                  <c:v>15.784710743801654</c:v>
                </c:pt>
                <c:pt idx="95">
                  <c:v>58.109256198347104</c:v>
                </c:pt>
                <c:pt idx="96">
                  <c:v>35.909999999999997</c:v>
                </c:pt>
                <c:pt idx="97">
                  <c:v>24.316611570247936</c:v>
                </c:pt>
                <c:pt idx="98">
                  <c:v>41.803884297520661</c:v>
                </c:pt>
                <c:pt idx="99">
                  <c:v>9.4933884297520663</c:v>
                </c:pt>
                <c:pt idx="100">
                  <c:v>10.633636363636365</c:v>
                </c:pt>
                <c:pt idx="101">
                  <c:v>7.4333057851239674</c:v>
                </c:pt>
                <c:pt idx="102">
                  <c:v>2.0566115702479335</c:v>
                </c:pt>
                <c:pt idx="103">
                  <c:v>9.4864462809917356</c:v>
                </c:pt>
                <c:pt idx="104">
                  <c:v>10.413223140495868</c:v>
                </c:pt>
                <c:pt idx="105">
                  <c:v>8.677685950413224</c:v>
                </c:pt>
                <c:pt idx="106">
                  <c:v>42.446033057851245</c:v>
                </c:pt>
                <c:pt idx="107">
                  <c:v>10.300413223140497</c:v>
                </c:pt>
                <c:pt idx="108">
                  <c:v>12.967933884297523</c:v>
                </c:pt>
                <c:pt idx="109">
                  <c:v>84.513719008264474</c:v>
                </c:pt>
                <c:pt idx="110">
                  <c:v>-84.513719008264474</c:v>
                </c:pt>
                <c:pt idx="111">
                  <c:v>27.650578512396692</c:v>
                </c:pt>
                <c:pt idx="112">
                  <c:v>5.5936363636363629</c:v>
                </c:pt>
                <c:pt idx="113">
                  <c:v>1.4752066115702478</c:v>
                </c:pt>
                <c:pt idx="114">
                  <c:v>48.785950413223148</c:v>
                </c:pt>
                <c:pt idx="115">
                  <c:v>16.366115702479341</c:v>
                </c:pt>
                <c:pt idx="116">
                  <c:v>8.0702479338842981</c:v>
                </c:pt>
                <c:pt idx="117">
                  <c:v>18.900000000000002</c:v>
                </c:pt>
                <c:pt idx="118">
                  <c:v>13.797520661157025</c:v>
                </c:pt>
                <c:pt idx="119">
                  <c:v>4.0316528925619837</c:v>
                </c:pt>
                <c:pt idx="120">
                  <c:v>10.411487603305787</c:v>
                </c:pt>
                <c:pt idx="121">
                  <c:v>11.976942148760331</c:v>
                </c:pt>
                <c:pt idx="122">
                  <c:v>14.033553719008264</c:v>
                </c:pt>
                <c:pt idx="123">
                  <c:v>3.9726446280991738</c:v>
                </c:pt>
                <c:pt idx="124">
                  <c:v>12.148760330578511</c:v>
                </c:pt>
                <c:pt idx="125">
                  <c:v>12.148760330578511</c:v>
                </c:pt>
                <c:pt idx="126">
                  <c:v>3.4710743801652897</c:v>
                </c:pt>
                <c:pt idx="127">
                  <c:v>20.269338842975209</c:v>
                </c:pt>
                <c:pt idx="128">
                  <c:v>17.610495867768595</c:v>
                </c:pt>
                <c:pt idx="129">
                  <c:v>8.6759504132231413</c:v>
                </c:pt>
                <c:pt idx="130">
                  <c:v>8.5666115702479324</c:v>
                </c:pt>
                <c:pt idx="131">
                  <c:v>7.9487603305785122</c:v>
                </c:pt>
                <c:pt idx="132">
                  <c:v>10.991157024793388</c:v>
                </c:pt>
                <c:pt idx="133">
                  <c:v>14.731239669421489</c:v>
                </c:pt>
                <c:pt idx="134">
                  <c:v>13.925950413223141</c:v>
                </c:pt>
                <c:pt idx="135">
                  <c:v>14.262644628099176</c:v>
                </c:pt>
                <c:pt idx="136">
                  <c:v>9.7502479338842978</c:v>
                </c:pt>
                <c:pt idx="137">
                  <c:v>21.867768595041319</c:v>
                </c:pt>
                <c:pt idx="138">
                  <c:v>32.447603305785123</c:v>
                </c:pt>
                <c:pt idx="139">
                  <c:v>19.795537190082644</c:v>
                </c:pt>
                <c:pt idx="140">
                  <c:v>13.636363636363635</c:v>
                </c:pt>
                <c:pt idx="141">
                  <c:v>13.636363636363635</c:v>
                </c:pt>
                <c:pt idx="142">
                  <c:v>35.818181818181813</c:v>
                </c:pt>
                <c:pt idx="143">
                  <c:v>3.6363636363636362</c:v>
                </c:pt>
                <c:pt idx="144">
                  <c:v>20.727272727272727</c:v>
                </c:pt>
                <c:pt idx="145">
                  <c:v>778.05000000000018</c:v>
                </c:pt>
                <c:pt idx="146">
                  <c:v>244.98842975206608</c:v>
                </c:pt>
                <c:pt idx="147">
                  <c:v>15.8</c:v>
                </c:pt>
                <c:pt idx="148">
                  <c:v>141.73785123966942</c:v>
                </c:pt>
                <c:pt idx="149">
                  <c:v>42.515454545454553</c:v>
                </c:pt>
                <c:pt idx="150">
                  <c:v>28.497520661157022</c:v>
                </c:pt>
                <c:pt idx="151">
                  <c:v>15.800330578512396</c:v>
                </c:pt>
                <c:pt idx="152">
                  <c:v>15.800330578512396</c:v>
                </c:pt>
                <c:pt idx="153">
                  <c:v>15.800330578512396</c:v>
                </c:pt>
                <c:pt idx="154">
                  <c:v>3.8633057851239676</c:v>
                </c:pt>
                <c:pt idx="155">
                  <c:v>347.10743801652893</c:v>
                </c:pt>
                <c:pt idx="156">
                  <c:v>38.200909090909093</c:v>
                </c:pt>
                <c:pt idx="157">
                  <c:v>2599.8000000000002</c:v>
                </c:pt>
                <c:pt idx="158">
                  <c:v>26.033057851239672</c:v>
                </c:pt>
                <c:pt idx="159">
                  <c:v>212.17115702479339</c:v>
                </c:pt>
                <c:pt idx="160">
                  <c:v>-15.519173553719011</c:v>
                </c:pt>
                <c:pt idx="161">
                  <c:v>3.3825619834710738</c:v>
                </c:pt>
                <c:pt idx="162">
                  <c:v>56.552479338842986</c:v>
                </c:pt>
                <c:pt idx="163">
                  <c:v>17.360578512396696</c:v>
                </c:pt>
                <c:pt idx="164">
                  <c:v>160.65</c:v>
                </c:pt>
                <c:pt idx="165">
                  <c:v>7.4020661157024801</c:v>
                </c:pt>
                <c:pt idx="166">
                  <c:v>24.738347107438017</c:v>
                </c:pt>
                <c:pt idx="167">
                  <c:v>177.02479338842974</c:v>
                </c:pt>
                <c:pt idx="168">
                  <c:v>0</c:v>
                </c:pt>
                <c:pt idx="169">
                  <c:v>136.2101652892562</c:v>
                </c:pt>
                <c:pt idx="170">
                  <c:v>1735.5371900826444</c:v>
                </c:pt>
                <c:pt idx="171">
                  <c:v>957.23727272727297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42</c:v>
                </c:pt>
                <c:pt idx="177">
                  <c:v>42</c:v>
                </c:pt>
                <c:pt idx="178">
                  <c:v>0</c:v>
                </c:pt>
                <c:pt idx="179">
                  <c:v>19.132561983471074</c:v>
                </c:pt>
                <c:pt idx="180">
                  <c:v>9.3389256198347113</c:v>
                </c:pt>
                <c:pt idx="181">
                  <c:v>22.596694214876035</c:v>
                </c:pt>
                <c:pt idx="182">
                  <c:v>7.5218181818181824</c:v>
                </c:pt>
                <c:pt idx="183">
                  <c:v>3.15</c:v>
                </c:pt>
                <c:pt idx="184">
                  <c:v>37.190826446280987</c:v>
                </c:pt>
                <c:pt idx="185">
                  <c:v>22.313801652892561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19-40E1-9F18-54FD69976231}"/>
            </c:ext>
          </c:extLst>
        </c:ser>
        <c:ser>
          <c:idx val="9"/>
          <c:order val="9"/>
          <c:tx>
            <c:strRef>
              <c:f>'COMPRAS (2)'!$J$1:$J$74</c:f>
              <c:strCache>
                <c:ptCount val="74"/>
                <c:pt idx="0">
                  <c:v>BASE RETENCION</c:v>
                </c:pt>
                <c:pt idx="1">
                  <c:v>1022,00</c:v>
                </c:pt>
                <c:pt idx="2">
                  <c:v>142,15</c:v>
                </c:pt>
                <c:pt idx="3">
                  <c:v>653,37</c:v>
                </c:pt>
                <c:pt idx="4">
                  <c:v>69,12</c:v>
                </c:pt>
                <c:pt idx="5">
                  <c:v>361,08</c:v>
                </c:pt>
                <c:pt idx="6">
                  <c:v>102,04</c:v>
                </c:pt>
                <c:pt idx="7">
                  <c:v>-8379,90</c:v>
                </c:pt>
                <c:pt idx="8">
                  <c:v>385,12</c:v>
                </c:pt>
                <c:pt idx="9">
                  <c:v>3,22</c:v>
                </c:pt>
                <c:pt idx="10">
                  <c:v>9200,00</c:v>
                </c:pt>
                <c:pt idx="11">
                  <c:v>57,85</c:v>
                </c:pt>
                <c:pt idx="12">
                  <c:v>49,59</c:v>
                </c:pt>
                <c:pt idx="13">
                  <c:v>29,07</c:v>
                </c:pt>
                <c:pt idx="14">
                  <c:v>41,33</c:v>
                </c:pt>
                <c:pt idx="15">
                  <c:v>6000,00</c:v>
                </c:pt>
                <c:pt idx="16">
                  <c:v>1322,85</c:v>
                </c:pt>
                <c:pt idx="17">
                  <c:v>-224,79</c:v>
                </c:pt>
                <c:pt idx="18">
                  <c:v>400,00</c:v>
                </c:pt>
                <c:pt idx="19">
                  <c:v>330,58</c:v>
                </c:pt>
                <c:pt idx="20">
                  <c:v>3865,00</c:v>
                </c:pt>
                <c:pt idx="21">
                  <c:v>469,13</c:v>
                </c:pt>
                <c:pt idx="22">
                  <c:v>30,74</c:v>
                </c:pt>
                <c:pt idx="23">
                  <c:v>101,65</c:v>
                </c:pt>
                <c:pt idx="24">
                  <c:v>143,90</c:v>
                </c:pt>
                <c:pt idx="25">
                  <c:v>195,00</c:v>
                </c:pt>
                <c:pt idx="26">
                  <c:v>1304,13</c:v>
                </c:pt>
                <c:pt idx="27">
                  <c:v>1506,20</c:v>
                </c:pt>
                <c:pt idx="28">
                  <c:v>5365,00</c:v>
                </c:pt>
                <c:pt idx="29">
                  <c:v>1000,00</c:v>
                </c:pt>
                <c:pt idx="30">
                  <c:v>130,89</c:v>
                </c:pt>
                <c:pt idx="31">
                  <c:v>75,24</c:v>
                </c:pt>
                <c:pt idx="32">
                  <c:v>75,24</c:v>
                </c:pt>
                <c:pt idx="33">
                  <c:v>75,24</c:v>
                </c:pt>
                <c:pt idx="34">
                  <c:v>118,69</c:v>
                </c:pt>
                <c:pt idx="35">
                  <c:v>900,00</c:v>
                </c:pt>
                <c:pt idx="36">
                  <c:v>11,56</c:v>
                </c:pt>
                <c:pt idx="37">
                  <c:v>276,92</c:v>
                </c:pt>
                <c:pt idx="38">
                  <c:v>606,48</c:v>
                </c:pt>
                <c:pt idx="39">
                  <c:v>-67,39</c:v>
                </c:pt>
                <c:pt idx="40">
                  <c:v>63,27</c:v>
                </c:pt>
                <c:pt idx="41">
                  <c:v>147,64</c:v>
                </c:pt>
                <c:pt idx="42">
                  <c:v>231,00</c:v>
                </c:pt>
                <c:pt idx="43">
                  <c:v>52,27</c:v>
                </c:pt>
                <c:pt idx="44">
                  <c:v>41,32</c:v>
                </c:pt>
                <c:pt idx="45">
                  <c:v>404,00</c:v>
                </c:pt>
                <c:pt idx="46">
                  <c:v>782,70</c:v>
                </c:pt>
                <c:pt idx="47">
                  <c:v>170,82</c:v>
                </c:pt>
                <c:pt idx="48">
                  <c:v>1414,50</c:v>
                </c:pt>
                <c:pt idx="49">
                  <c:v>70,50</c:v>
                </c:pt>
                <c:pt idx="50">
                  <c:v>8,52</c:v>
                </c:pt>
                <c:pt idx="51">
                  <c:v>883,72</c:v>
                </c:pt>
                <c:pt idx="52">
                  <c:v>162,00</c:v>
                </c:pt>
                <c:pt idx="53">
                  <c:v>160,31</c:v>
                </c:pt>
                <c:pt idx="54">
                  <c:v>9,90</c:v>
                </c:pt>
                <c:pt idx="55">
                  <c:v>35,71</c:v>
                </c:pt>
                <c:pt idx="56">
                  <c:v>459,76</c:v>
                </c:pt>
                <c:pt idx="57">
                  <c:v>18,75</c:v>
                </c:pt>
                <c:pt idx="58">
                  <c:v>3,10</c:v>
                </c:pt>
                <c:pt idx="59">
                  <c:v>133,22</c:v>
                </c:pt>
                <c:pt idx="60">
                  <c:v>256,00</c:v>
                </c:pt>
                <c:pt idx="61">
                  <c:v>11,48</c:v>
                </c:pt>
                <c:pt idx="62">
                  <c:v>39,96</c:v>
                </c:pt>
                <c:pt idx="63">
                  <c:v>26,36</c:v>
                </c:pt>
                <c:pt idx="64">
                  <c:v>167,78</c:v>
                </c:pt>
                <c:pt idx="65">
                  <c:v>51,10</c:v>
                </c:pt>
                <c:pt idx="66">
                  <c:v>49,59</c:v>
                </c:pt>
                <c:pt idx="67">
                  <c:v>41,32</c:v>
                </c:pt>
                <c:pt idx="68">
                  <c:v>41,32</c:v>
                </c:pt>
                <c:pt idx="69">
                  <c:v>7,19</c:v>
                </c:pt>
                <c:pt idx="70">
                  <c:v>72,00</c:v>
                </c:pt>
                <c:pt idx="71">
                  <c:v>10,95</c:v>
                </c:pt>
                <c:pt idx="72">
                  <c:v>13,10</c:v>
                </c:pt>
                <c:pt idx="73">
                  <c:v>440,96</c:v>
                </c:pt>
              </c:strCache>
            </c:strRef>
          </c:tx>
          <c:invertIfNegative val="0"/>
          <c:val>
            <c:numRef>
              <c:f>'COMPRAS (2)'!$J$75:$J$260</c:f>
              <c:numCache>
                <c:formatCode>0.00</c:formatCode>
                <c:ptCount val="186"/>
                <c:pt idx="0">
                  <c:v>2479.3388429752067</c:v>
                </c:pt>
                <c:pt idx="1">
                  <c:v>530.23966942148763</c:v>
                </c:pt>
                <c:pt idx="2">
                  <c:v>109.20661157024793</c:v>
                </c:pt>
                <c:pt idx="3">
                  <c:v>695.77685950413229</c:v>
                </c:pt>
                <c:pt idx="4">
                  <c:v>31.404958677685951</c:v>
                </c:pt>
                <c:pt idx="5">
                  <c:v>45.446280991735541</c:v>
                </c:pt>
                <c:pt idx="6">
                  <c:v>800</c:v>
                </c:pt>
                <c:pt idx="7">
                  <c:v>28.000000000000004</c:v>
                </c:pt>
                <c:pt idx="8">
                  <c:v>60.801652892561982</c:v>
                </c:pt>
                <c:pt idx="9">
                  <c:v>311.09090909090912</c:v>
                </c:pt>
                <c:pt idx="10">
                  <c:v>2479.3388429752067</c:v>
                </c:pt>
                <c:pt idx="11">
                  <c:v>3847.9752066115707</c:v>
                </c:pt>
                <c:pt idx="12">
                  <c:v>463.6694214876033</c:v>
                </c:pt>
                <c:pt idx="13">
                  <c:v>623.52066115702485</c:v>
                </c:pt>
                <c:pt idx="14">
                  <c:v>841.17355371900828</c:v>
                </c:pt>
                <c:pt idx="15">
                  <c:v>3290.5785123966944</c:v>
                </c:pt>
                <c:pt idx="16">
                  <c:v>141.81818181818181</c:v>
                </c:pt>
                <c:pt idx="17">
                  <c:v>810</c:v>
                </c:pt>
                <c:pt idx="18">
                  <c:v>1511.3471074380166</c:v>
                </c:pt>
                <c:pt idx="19">
                  <c:v>559.14876033057863</c:v>
                </c:pt>
                <c:pt idx="20">
                  <c:v>103.46280991735537</c:v>
                </c:pt>
                <c:pt idx="21">
                  <c:v>-115.74380165289257</c:v>
                </c:pt>
                <c:pt idx="22">
                  <c:v>-225.12396694214874</c:v>
                </c:pt>
                <c:pt idx="23">
                  <c:v>27.23140495867769</c:v>
                </c:pt>
                <c:pt idx="24">
                  <c:v>4833.9917355371899</c:v>
                </c:pt>
                <c:pt idx="25">
                  <c:v>976.52892561983469</c:v>
                </c:pt>
                <c:pt idx="26">
                  <c:v>39.826446280991732</c:v>
                </c:pt>
                <c:pt idx="27">
                  <c:v>117.80165289256198</c:v>
                </c:pt>
                <c:pt idx="28">
                  <c:v>18.570247933884296</c:v>
                </c:pt>
                <c:pt idx="29">
                  <c:v>9.8512396694214885</c:v>
                </c:pt>
                <c:pt idx="30">
                  <c:v>13.057851239669423</c:v>
                </c:pt>
                <c:pt idx="31">
                  <c:v>54.801652892561989</c:v>
                </c:pt>
                <c:pt idx="32">
                  <c:v>9.0247933884297531</c:v>
                </c:pt>
                <c:pt idx="33">
                  <c:v>59.173553719008261</c:v>
                </c:pt>
                <c:pt idx="34">
                  <c:v>61.446280991735534</c:v>
                </c:pt>
                <c:pt idx="35">
                  <c:v>83.652892561983478</c:v>
                </c:pt>
                <c:pt idx="36">
                  <c:v>47.231404958677686</c:v>
                </c:pt>
                <c:pt idx="37">
                  <c:v>79.198347107438011</c:v>
                </c:pt>
                <c:pt idx="38">
                  <c:v>27.826446280991739</c:v>
                </c:pt>
                <c:pt idx="39">
                  <c:v>196.10743801652893</c:v>
                </c:pt>
                <c:pt idx="40">
                  <c:v>10.049586776859504</c:v>
                </c:pt>
                <c:pt idx="41">
                  <c:v>60.950413223140501</c:v>
                </c:pt>
                <c:pt idx="42">
                  <c:v>66.11570247933885</c:v>
                </c:pt>
                <c:pt idx="43">
                  <c:v>12.290909090909089</c:v>
                </c:pt>
                <c:pt idx="44">
                  <c:v>179.55371900826447</c:v>
                </c:pt>
                <c:pt idx="45">
                  <c:v>25</c:v>
                </c:pt>
                <c:pt idx="46">
                  <c:v>17400</c:v>
                </c:pt>
                <c:pt idx="47">
                  <c:v>18.049586776859506</c:v>
                </c:pt>
                <c:pt idx="48">
                  <c:v>-13.818181818181818</c:v>
                </c:pt>
                <c:pt idx="49">
                  <c:v>163.71074380165291</c:v>
                </c:pt>
                <c:pt idx="50">
                  <c:v>32.504132231404959</c:v>
                </c:pt>
                <c:pt idx="51">
                  <c:v>58.669421487603302</c:v>
                </c:pt>
                <c:pt idx="52">
                  <c:v>6.6033057851239674</c:v>
                </c:pt>
                <c:pt idx="53">
                  <c:v>11.570247933884298</c:v>
                </c:pt>
                <c:pt idx="54">
                  <c:v>15.793388429752065</c:v>
                </c:pt>
                <c:pt idx="55">
                  <c:v>41.32231404958678</c:v>
                </c:pt>
                <c:pt idx="56">
                  <c:v>49.586776859504134</c:v>
                </c:pt>
                <c:pt idx="57">
                  <c:v>41.32231404958678</c:v>
                </c:pt>
                <c:pt idx="58">
                  <c:v>41.32231404958678</c:v>
                </c:pt>
                <c:pt idx="59">
                  <c:v>13.793388429752067</c:v>
                </c:pt>
                <c:pt idx="60">
                  <c:v>14.553719008264462</c:v>
                </c:pt>
                <c:pt idx="61">
                  <c:v>41.32231404958678</c:v>
                </c:pt>
                <c:pt idx="62">
                  <c:v>41.32231404958678</c:v>
                </c:pt>
                <c:pt idx="63">
                  <c:v>17.619834710743802</c:v>
                </c:pt>
                <c:pt idx="64">
                  <c:v>8</c:v>
                </c:pt>
                <c:pt idx="65">
                  <c:v>12.154545454545453</c:v>
                </c:pt>
                <c:pt idx="66">
                  <c:v>21</c:v>
                </c:pt>
                <c:pt idx="67">
                  <c:v>74.380165289256198</c:v>
                </c:pt>
                <c:pt idx="68">
                  <c:v>82.644628099173559</c:v>
                </c:pt>
                <c:pt idx="69">
                  <c:v>29.239669421487605</c:v>
                </c:pt>
                <c:pt idx="70">
                  <c:v>29.239669421487605</c:v>
                </c:pt>
                <c:pt idx="71">
                  <c:v>24.702479338842977</c:v>
                </c:pt>
                <c:pt idx="72">
                  <c:v>42</c:v>
                </c:pt>
                <c:pt idx="73">
                  <c:v>8.1570247933884286</c:v>
                </c:pt>
                <c:pt idx="74">
                  <c:v>33.057851239669425</c:v>
                </c:pt>
                <c:pt idx="75">
                  <c:v>41.63636363636364</c:v>
                </c:pt>
                <c:pt idx="76">
                  <c:v>23.719008264462811</c:v>
                </c:pt>
                <c:pt idx="77">
                  <c:v>8.36</c:v>
                </c:pt>
                <c:pt idx="78">
                  <c:v>164.52892561983472</c:v>
                </c:pt>
                <c:pt idx="79">
                  <c:v>1402.4793388429753</c:v>
                </c:pt>
                <c:pt idx="80">
                  <c:v>1652.8925619834711</c:v>
                </c:pt>
                <c:pt idx="81">
                  <c:v>41.32231404958678</c:v>
                </c:pt>
                <c:pt idx="82">
                  <c:v>41.32231404958678</c:v>
                </c:pt>
                <c:pt idx="83">
                  <c:v>41.32231404958678</c:v>
                </c:pt>
                <c:pt idx="84">
                  <c:v>41.32231404958678</c:v>
                </c:pt>
                <c:pt idx="85">
                  <c:v>41.32231404958678</c:v>
                </c:pt>
                <c:pt idx="86">
                  <c:v>41.32231404958678</c:v>
                </c:pt>
                <c:pt idx="87">
                  <c:v>35.52066115702479</c:v>
                </c:pt>
                <c:pt idx="88">
                  <c:v>41.809917355371908</c:v>
                </c:pt>
                <c:pt idx="89">
                  <c:v>33.396694214876028</c:v>
                </c:pt>
                <c:pt idx="90">
                  <c:v>48.84297520661157</c:v>
                </c:pt>
                <c:pt idx="91">
                  <c:v>983.19999999999993</c:v>
                </c:pt>
                <c:pt idx="92">
                  <c:v>96.07</c:v>
                </c:pt>
                <c:pt idx="93">
                  <c:v>240</c:v>
                </c:pt>
                <c:pt idx="94">
                  <c:v>0.95</c:v>
                </c:pt>
                <c:pt idx="95">
                  <c:v>276.71074380165288</c:v>
                </c:pt>
                <c:pt idx="96">
                  <c:v>171</c:v>
                </c:pt>
                <c:pt idx="97">
                  <c:v>115.79338842975208</c:v>
                </c:pt>
                <c:pt idx="98">
                  <c:v>199.06611570247935</c:v>
                </c:pt>
                <c:pt idx="99">
                  <c:v>45.206611570247937</c:v>
                </c:pt>
                <c:pt idx="100">
                  <c:v>50.63636363636364</c:v>
                </c:pt>
                <c:pt idx="101">
                  <c:v>35.396694214876035</c:v>
                </c:pt>
                <c:pt idx="102">
                  <c:v>9.7933884297520652</c:v>
                </c:pt>
                <c:pt idx="103">
                  <c:v>45.173553719008261</c:v>
                </c:pt>
                <c:pt idx="104">
                  <c:v>49.586776859504134</c:v>
                </c:pt>
                <c:pt idx="105">
                  <c:v>41.32231404958678</c:v>
                </c:pt>
                <c:pt idx="106">
                  <c:v>202.12396694214877</c:v>
                </c:pt>
                <c:pt idx="107">
                  <c:v>49.049586776859506</c:v>
                </c:pt>
                <c:pt idx="108">
                  <c:v>61.752066115702483</c:v>
                </c:pt>
                <c:pt idx="109">
                  <c:v>402.44628099173553</c:v>
                </c:pt>
                <c:pt idx="110">
                  <c:v>-402.44628099173553</c:v>
                </c:pt>
                <c:pt idx="111">
                  <c:v>131.6694214876033</c:v>
                </c:pt>
                <c:pt idx="112">
                  <c:v>26.636363636363633</c:v>
                </c:pt>
                <c:pt idx="113">
                  <c:v>7.0247933884297522</c:v>
                </c:pt>
                <c:pt idx="114">
                  <c:v>232.31404958677689</c:v>
                </c:pt>
                <c:pt idx="115">
                  <c:v>77.933884297520663</c:v>
                </c:pt>
                <c:pt idx="116">
                  <c:v>38.429752066115704</c:v>
                </c:pt>
                <c:pt idx="117">
                  <c:v>90.000000000000014</c:v>
                </c:pt>
                <c:pt idx="118">
                  <c:v>65.702479338842977</c:v>
                </c:pt>
                <c:pt idx="119">
                  <c:v>19.198347107438018</c:v>
                </c:pt>
                <c:pt idx="120">
                  <c:v>49.578512396694215</c:v>
                </c:pt>
                <c:pt idx="121">
                  <c:v>57.033057851239676</c:v>
                </c:pt>
                <c:pt idx="122">
                  <c:v>66.826446280991732</c:v>
                </c:pt>
                <c:pt idx="123">
                  <c:v>18.917355371900829</c:v>
                </c:pt>
                <c:pt idx="124">
                  <c:v>57.851239669421489</c:v>
                </c:pt>
                <c:pt idx="125">
                  <c:v>57.851239669421489</c:v>
                </c:pt>
                <c:pt idx="126">
                  <c:v>16.528925619834713</c:v>
                </c:pt>
                <c:pt idx="127">
                  <c:v>96.520661157024804</c:v>
                </c:pt>
                <c:pt idx="128">
                  <c:v>83.859504132231407</c:v>
                </c:pt>
                <c:pt idx="129">
                  <c:v>41.314049586776861</c:v>
                </c:pt>
                <c:pt idx="130">
                  <c:v>40.793388429752063</c:v>
                </c:pt>
                <c:pt idx="131">
                  <c:v>37.851239669421489</c:v>
                </c:pt>
                <c:pt idx="132">
                  <c:v>52.33884297520661</c:v>
                </c:pt>
                <c:pt idx="133">
                  <c:v>70.148760330578511</c:v>
                </c:pt>
                <c:pt idx="134">
                  <c:v>66.314049586776861</c:v>
                </c:pt>
                <c:pt idx="135">
                  <c:v>67.91735537190084</c:v>
                </c:pt>
                <c:pt idx="136">
                  <c:v>46.429752066115704</c:v>
                </c:pt>
                <c:pt idx="137">
                  <c:v>104.13223140495867</c:v>
                </c:pt>
                <c:pt idx="138">
                  <c:v>154.51239669421489</c:v>
                </c:pt>
                <c:pt idx="139">
                  <c:v>94.264462809917362</c:v>
                </c:pt>
                <c:pt idx="140">
                  <c:v>136.36363636363635</c:v>
                </c:pt>
                <c:pt idx="141">
                  <c:v>136.36363636363635</c:v>
                </c:pt>
                <c:pt idx="142">
                  <c:v>358.18181818181813</c:v>
                </c:pt>
                <c:pt idx="143">
                  <c:v>36.36363636363636</c:v>
                </c:pt>
                <c:pt idx="144">
                  <c:v>207.27272727272725</c:v>
                </c:pt>
                <c:pt idx="145">
                  <c:v>3705.0000000000005</c:v>
                </c:pt>
                <c:pt idx="146">
                  <c:v>1166.6115702479337</c:v>
                </c:pt>
                <c:pt idx="147">
                  <c:v>158</c:v>
                </c:pt>
                <c:pt idx="148">
                  <c:v>674.94214876033061</c:v>
                </c:pt>
                <c:pt idx="149">
                  <c:v>202.45454545454547</c:v>
                </c:pt>
                <c:pt idx="150">
                  <c:v>135.70247933884298</c:v>
                </c:pt>
                <c:pt idx="151">
                  <c:v>75.239669421487605</c:v>
                </c:pt>
                <c:pt idx="152">
                  <c:v>75.239669421487605</c:v>
                </c:pt>
                <c:pt idx="153">
                  <c:v>75.239669421487605</c:v>
                </c:pt>
                <c:pt idx="154">
                  <c:v>18.396694214876035</c:v>
                </c:pt>
                <c:pt idx="155">
                  <c:v>1652.8925619834711</c:v>
                </c:pt>
                <c:pt idx="156">
                  <c:v>181.90909090909093</c:v>
                </c:pt>
                <c:pt idx="157">
                  <c:v>12380</c:v>
                </c:pt>
                <c:pt idx="158">
                  <c:v>123.96694214876034</c:v>
                </c:pt>
                <c:pt idx="159">
                  <c:v>1010.3388429752066</c:v>
                </c:pt>
                <c:pt idx="160">
                  <c:v>-73.900826446281002</c:v>
                </c:pt>
                <c:pt idx="161">
                  <c:v>16.107438016528924</c:v>
                </c:pt>
                <c:pt idx="162">
                  <c:v>269.29752066115708</c:v>
                </c:pt>
                <c:pt idx="163">
                  <c:v>82.669421487603316</c:v>
                </c:pt>
                <c:pt idx="164">
                  <c:v>765</c:v>
                </c:pt>
                <c:pt idx="165">
                  <c:v>35.247933884297524</c:v>
                </c:pt>
                <c:pt idx="166">
                  <c:v>117.80165289256198</c:v>
                </c:pt>
                <c:pt idx="167">
                  <c:v>842.97520661157023</c:v>
                </c:pt>
                <c:pt idx="168">
                  <c:v>103.26</c:v>
                </c:pt>
                <c:pt idx="169">
                  <c:v>648.61983471074382</c:v>
                </c:pt>
                <c:pt idx="170">
                  <c:v>8264.4628099173551</c:v>
                </c:pt>
                <c:pt idx="171">
                  <c:v>4558.2727272727279</c:v>
                </c:pt>
                <c:pt idx="172">
                  <c:v>200</c:v>
                </c:pt>
                <c:pt idx="173">
                  <c:v>200</c:v>
                </c:pt>
                <c:pt idx="174">
                  <c:v>200</c:v>
                </c:pt>
                <c:pt idx="175">
                  <c:v>200</c:v>
                </c:pt>
                <c:pt idx="176">
                  <c:v>200</c:v>
                </c:pt>
                <c:pt idx="177">
                  <c:v>200</c:v>
                </c:pt>
                <c:pt idx="178">
                  <c:v>660</c:v>
                </c:pt>
                <c:pt idx="179">
                  <c:v>91.107438016528917</c:v>
                </c:pt>
                <c:pt idx="180">
                  <c:v>44.471074380165291</c:v>
                </c:pt>
                <c:pt idx="181">
                  <c:v>107.60330578512396</c:v>
                </c:pt>
                <c:pt idx="182">
                  <c:v>35.81818181818182</c:v>
                </c:pt>
                <c:pt idx="183">
                  <c:v>15</c:v>
                </c:pt>
                <c:pt idx="184">
                  <c:v>177.099173553719</c:v>
                </c:pt>
                <c:pt idx="185">
                  <c:v>106.25619834710743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19-40E1-9F18-54FD69976231}"/>
            </c:ext>
          </c:extLst>
        </c:ser>
        <c:ser>
          <c:idx val="10"/>
          <c:order val="10"/>
          <c:tx>
            <c:strRef>
              <c:f>'COMPRAS (2)'!$K$1:$K$74</c:f>
              <c:strCache>
                <c:ptCount val="74"/>
                <c:pt idx="0">
                  <c:v>%IRPF</c:v>
                </c:pt>
              </c:strCache>
            </c:strRef>
          </c:tx>
          <c:invertIfNegative val="0"/>
          <c:val>
            <c:numRef>
              <c:f>'COMPRAS (2)'!$K$75:$K$260</c:f>
              <c:numCache>
                <c:formatCode>General</c:formatCode>
                <c:ptCount val="186"/>
                <c:pt idx="77" formatCode="0.00">
                  <c:v>21</c:v>
                </c:pt>
                <c:pt idx="172">
                  <c:v>19</c:v>
                </c:pt>
                <c:pt idx="173">
                  <c:v>19</c:v>
                </c:pt>
                <c:pt idx="174">
                  <c:v>19</c:v>
                </c:pt>
                <c:pt idx="175">
                  <c:v>19</c:v>
                </c:pt>
                <c:pt idx="176">
                  <c:v>19</c:v>
                </c:pt>
                <c:pt idx="17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19-40E1-9F18-54FD69976231}"/>
            </c:ext>
          </c:extLst>
        </c:ser>
        <c:ser>
          <c:idx val="11"/>
          <c:order val="11"/>
          <c:tx>
            <c:strRef>
              <c:f>'COMPRAS (2)'!$L$1:$L$74</c:f>
              <c:strCache>
                <c:ptCount val="74"/>
                <c:pt idx="0">
                  <c:v>TOTAL IRPF</c:v>
                </c:pt>
                <c:pt idx="1">
                  <c:v>0,00</c:v>
                </c:pt>
                <c:pt idx="2">
                  <c:v>0,00</c:v>
                </c:pt>
                <c:pt idx="3">
                  <c:v>0,00</c:v>
                </c:pt>
                <c:pt idx="4">
                  <c:v>0,00</c:v>
                </c:pt>
                <c:pt idx="5">
                  <c:v>0,00</c:v>
                </c:pt>
                <c:pt idx="6">
                  <c:v>0,00</c:v>
                </c:pt>
                <c:pt idx="7">
                  <c:v>0,00</c:v>
                </c:pt>
                <c:pt idx="8">
                  <c:v>0,00</c:v>
                </c:pt>
                <c:pt idx="9">
                  <c:v>0,00</c:v>
                </c:pt>
                <c:pt idx="10">
                  <c:v>0,00</c:v>
                </c:pt>
                <c:pt idx="11">
                  <c:v>0,00</c:v>
                </c:pt>
                <c:pt idx="12">
                  <c:v>0,00</c:v>
                </c:pt>
                <c:pt idx="13">
                  <c:v>0,00</c:v>
                </c:pt>
                <c:pt idx="14">
                  <c:v>0,00</c:v>
                </c:pt>
                <c:pt idx="15">
                  <c:v>0,00</c:v>
                </c:pt>
                <c:pt idx="16">
                  <c:v>0,00</c:v>
                </c:pt>
                <c:pt idx="17">
                  <c:v>0,00</c:v>
                </c:pt>
                <c:pt idx="18">
                  <c:v>0,00</c:v>
                </c:pt>
                <c:pt idx="19">
                  <c:v>0,00</c:v>
                </c:pt>
                <c:pt idx="20">
                  <c:v>0,00</c:v>
                </c:pt>
                <c:pt idx="21">
                  <c:v>0,00</c:v>
                </c:pt>
                <c:pt idx="22">
                  <c:v>0,00</c:v>
                </c:pt>
                <c:pt idx="23">
                  <c:v>0,00</c:v>
                </c:pt>
                <c:pt idx="24">
                  <c:v>0,00</c:v>
                </c:pt>
                <c:pt idx="25">
                  <c:v>0,00</c:v>
                </c:pt>
                <c:pt idx="26">
                  <c:v>0,00</c:v>
                </c:pt>
                <c:pt idx="27">
                  <c:v>0,00</c:v>
                </c:pt>
                <c:pt idx="28">
                  <c:v>0,00</c:v>
                </c:pt>
                <c:pt idx="29">
                  <c:v>0,00</c:v>
                </c:pt>
                <c:pt idx="30">
                  <c:v>0,00</c:v>
                </c:pt>
                <c:pt idx="31">
                  <c:v>0,00</c:v>
                </c:pt>
                <c:pt idx="32">
                  <c:v>0,00</c:v>
                </c:pt>
                <c:pt idx="33">
                  <c:v>0,00</c:v>
                </c:pt>
                <c:pt idx="34">
                  <c:v>0,00</c:v>
                </c:pt>
                <c:pt idx="35">
                  <c:v>0,00</c:v>
                </c:pt>
                <c:pt idx="36">
                  <c:v>0,00</c:v>
                </c:pt>
                <c:pt idx="37">
                  <c:v>0,00</c:v>
                </c:pt>
                <c:pt idx="38">
                  <c:v>0,00</c:v>
                </c:pt>
                <c:pt idx="39">
                  <c:v>0,00</c:v>
                </c:pt>
                <c:pt idx="40">
                  <c:v>0,00</c:v>
                </c:pt>
                <c:pt idx="41">
                  <c:v>0,00</c:v>
                </c:pt>
                <c:pt idx="42">
                  <c:v>0,00</c:v>
                </c:pt>
                <c:pt idx="43">
                  <c:v>0,00</c:v>
                </c:pt>
                <c:pt idx="44">
                  <c:v>0,00</c:v>
                </c:pt>
                <c:pt idx="45">
                  <c:v>0,00</c:v>
                </c:pt>
                <c:pt idx="46">
                  <c:v>0,00</c:v>
                </c:pt>
                <c:pt idx="47">
                  <c:v>0,00</c:v>
                </c:pt>
                <c:pt idx="48">
                  <c:v>0,00</c:v>
                </c:pt>
                <c:pt idx="49">
                  <c:v>0,00</c:v>
                </c:pt>
                <c:pt idx="50">
                  <c:v>0,00</c:v>
                </c:pt>
                <c:pt idx="51">
                  <c:v>0,00</c:v>
                </c:pt>
                <c:pt idx="52">
                  <c:v>0,00</c:v>
                </c:pt>
                <c:pt idx="53">
                  <c:v>0,00</c:v>
                </c:pt>
                <c:pt idx="54">
                  <c:v>0,00</c:v>
                </c:pt>
                <c:pt idx="55">
                  <c:v>0,00</c:v>
                </c:pt>
                <c:pt idx="56">
                  <c:v>0,00</c:v>
                </c:pt>
                <c:pt idx="57">
                  <c:v>0,00</c:v>
                </c:pt>
                <c:pt idx="58">
                  <c:v>0,00</c:v>
                </c:pt>
                <c:pt idx="59">
                  <c:v>0,00</c:v>
                </c:pt>
                <c:pt idx="60">
                  <c:v>0,00</c:v>
                </c:pt>
                <c:pt idx="61">
                  <c:v>0,00</c:v>
                </c:pt>
                <c:pt idx="62">
                  <c:v>0,00</c:v>
                </c:pt>
                <c:pt idx="63">
                  <c:v>0,00</c:v>
                </c:pt>
                <c:pt idx="64">
                  <c:v>0,00</c:v>
                </c:pt>
                <c:pt idx="65">
                  <c:v>0,00</c:v>
                </c:pt>
                <c:pt idx="66">
                  <c:v>0,00</c:v>
                </c:pt>
                <c:pt idx="67">
                  <c:v>0,00</c:v>
                </c:pt>
                <c:pt idx="68">
                  <c:v>0,00</c:v>
                </c:pt>
                <c:pt idx="69">
                  <c:v>0,00</c:v>
                </c:pt>
                <c:pt idx="70">
                  <c:v>0,00</c:v>
                </c:pt>
                <c:pt idx="71">
                  <c:v>0,00</c:v>
                </c:pt>
                <c:pt idx="72">
                  <c:v>0,00</c:v>
                </c:pt>
                <c:pt idx="73">
                  <c:v>0,00</c:v>
                </c:pt>
              </c:strCache>
            </c:strRef>
          </c:tx>
          <c:invertIfNegative val="0"/>
          <c:val>
            <c:numRef>
              <c:f>'COMPRAS (2)'!$L$75:$L$260</c:f>
              <c:numCache>
                <c:formatCode>0.00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1.7556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38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619-40E1-9F18-54FD69976231}"/>
            </c:ext>
          </c:extLst>
        </c:ser>
        <c:ser>
          <c:idx val="12"/>
          <c:order val="12"/>
          <c:tx>
            <c:strRef>
              <c:f>'COMPRAS (2)'!$M$1:$M$74</c:f>
              <c:strCache>
                <c:ptCount val="74"/>
                <c:pt idx="0">
                  <c:v>TOTAL</c:v>
                </c:pt>
                <c:pt idx="1">
                  <c:v>1236,62</c:v>
                </c:pt>
                <c:pt idx="2">
                  <c:v>172,00</c:v>
                </c:pt>
                <c:pt idx="3">
                  <c:v>790,58</c:v>
                </c:pt>
                <c:pt idx="4">
                  <c:v>83,63</c:v>
                </c:pt>
                <c:pt idx="5">
                  <c:v>436,91</c:v>
                </c:pt>
                <c:pt idx="6">
                  <c:v>123,47</c:v>
                </c:pt>
                <c:pt idx="7">
                  <c:v>-10139,68</c:v>
                </c:pt>
                <c:pt idx="8">
                  <c:v>465,99</c:v>
                </c:pt>
                <c:pt idx="9">
                  <c:v>3,90</c:v>
                </c:pt>
                <c:pt idx="10">
                  <c:v>9200,00</c:v>
                </c:pt>
                <c:pt idx="11">
                  <c:v>70,00</c:v>
                </c:pt>
                <c:pt idx="12">
                  <c:v>60,00</c:v>
                </c:pt>
                <c:pt idx="13">
                  <c:v>35,18</c:v>
                </c:pt>
                <c:pt idx="14">
                  <c:v>50,01</c:v>
                </c:pt>
                <c:pt idx="15">
                  <c:v>7260,00</c:v>
                </c:pt>
                <c:pt idx="16">
                  <c:v>1600,65</c:v>
                </c:pt>
                <c:pt idx="17">
                  <c:v>-272,00</c:v>
                </c:pt>
                <c:pt idx="18">
                  <c:v>400,00</c:v>
                </c:pt>
                <c:pt idx="19">
                  <c:v>400,00</c:v>
                </c:pt>
                <c:pt idx="20">
                  <c:v>4676,65</c:v>
                </c:pt>
                <c:pt idx="21">
                  <c:v>567,65</c:v>
                </c:pt>
                <c:pt idx="22">
                  <c:v>37,20</c:v>
                </c:pt>
                <c:pt idx="23">
                  <c:v>123,00</c:v>
                </c:pt>
                <c:pt idx="24">
                  <c:v>174,12</c:v>
                </c:pt>
                <c:pt idx="25">
                  <c:v>235,95</c:v>
                </c:pt>
                <c:pt idx="26">
                  <c:v>1578,00</c:v>
                </c:pt>
                <c:pt idx="27">
                  <c:v>1822,50</c:v>
                </c:pt>
                <c:pt idx="28">
                  <c:v>6491,65</c:v>
                </c:pt>
                <c:pt idx="29">
                  <c:v>1210,00</c:v>
                </c:pt>
                <c:pt idx="30">
                  <c:v>158,38</c:v>
                </c:pt>
                <c:pt idx="31">
                  <c:v>91,04</c:v>
                </c:pt>
                <c:pt idx="32">
                  <c:v>91,04</c:v>
                </c:pt>
                <c:pt idx="33">
                  <c:v>91,04</c:v>
                </c:pt>
                <c:pt idx="34">
                  <c:v>143,62</c:v>
                </c:pt>
                <c:pt idx="35">
                  <c:v>900,00</c:v>
                </c:pt>
                <c:pt idx="36">
                  <c:v>13,99</c:v>
                </c:pt>
                <c:pt idx="37">
                  <c:v>335,07</c:v>
                </c:pt>
                <c:pt idx="38">
                  <c:v>733,84</c:v>
                </c:pt>
                <c:pt idx="39">
                  <c:v>-81,54</c:v>
                </c:pt>
                <c:pt idx="40">
                  <c:v>69,60</c:v>
                </c:pt>
                <c:pt idx="41">
                  <c:v>162,40</c:v>
                </c:pt>
                <c:pt idx="42">
                  <c:v>254,10</c:v>
                </c:pt>
                <c:pt idx="43">
                  <c:v>57,50</c:v>
                </c:pt>
                <c:pt idx="44">
                  <c:v>50,00</c:v>
                </c:pt>
                <c:pt idx="45">
                  <c:v>488,84</c:v>
                </c:pt>
                <c:pt idx="46">
                  <c:v>947,07</c:v>
                </c:pt>
                <c:pt idx="47">
                  <c:v>206,69</c:v>
                </c:pt>
                <c:pt idx="48">
                  <c:v>1711,55</c:v>
                </c:pt>
                <c:pt idx="49">
                  <c:v>85,31</c:v>
                </c:pt>
                <c:pt idx="50">
                  <c:v>10,31</c:v>
                </c:pt>
                <c:pt idx="51">
                  <c:v>1069,30</c:v>
                </c:pt>
                <c:pt idx="52">
                  <c:v>196,02</c:v>
                </c:pt>
                <c:pt idx="53">
                  <c:v>193,98</c:v>
                </c:pt>
                <c:pt idx="54">
                  <c:v>11,98</c:v>
                </c:pt>
                <c:pt idx="55">
                  <c:v>43,21</c:v>
                </c:pt>
                <c:pt idx="56">
                  <c:v>556,31</c:v>
                </c:pt>
                <c:pt idx="57">
                  <c:v>22,69</c:v>
                </c:pt>
                <c:pt idx="58">
                  <c:v>3,75</c:v>
                </c:pt>
                <c:pt idx="59">
                  <c:v>161,20</c:v>
                </c:pt>
                <c:pt idx="60">
                  <c:v>309,76</c:v>
                </c:pt>
                <c:pt idx="61">
                  <c:v>13,89</c:v>
                </c:pt>
                <c:pt idx="62">
                  <c:v>48,35</c:v>
                </c:pt>
                <c:pt idx="63">
                  <c:v>31,90</c:v>
                </c:pt>
                <c:pt idx="64">
                  <c:v>203,01</c:v>
                </c:pt>
                <c:pt idx="65">
                  <c:v>61,83</c:v>
                </c:pt>
                <c:pt idx="66">
                  <c:v>60,00</c:v>
                </c:pt>
                <c:pt idx="67">
                  <c:v>50,00</c:v>
                </c:pt>
                <c:pt idx="68">
                  <c:v>50,00</c:v>
                </c:pt>
                <c:pt idx="69">
                  <c:v>8,70</c:v>
                </c:pt>
                <c:pt idx="70">
                  <c:v>87,12</c:v>
                </c:pt>
                <c:pt idx="71">
                  <c:v>13,25</c:v>
                </c:pt>
                <c:pt idx="72">
                  <c:v>15,85</c:v>
                </c:pt>
                <c:pt idx="73">
                  <c:v>533,56</c:v>
                </c:pt>
              </c:strCache>
            </c:strRef>
          </c:tx>
          <c:invertIfNegative val="0"/>
          <c:val>
            <c:numRef>
              <c:f>'COMPRAS (2)'!$M$75:$M$260</c:f>
              <c:numCache>
                <c:formatCode>0.00</c:formatCode>
                <c:ptCount val="186"/>
                <c:pt idx="0">
                  <c:v>3000</c:v>
                </c:pt>
                <c:pt idx="1">
                  <c:v>641.59</c:v>
                </c:pt>
                <c:pt idx="2">
                  <c:v>132.13999999999999</c:v>
                </c:pt>
                <c:pt idx="3">
                  <c:v>841.89</c:v>
                </c:pt>
                <c:pt idx="4">
                  <c:v>38</c:v>
                </c:pt>
                <c:pt idx="5">
                  <c:v>54.99</c:v>
                </c:pt>
                <c:pt idx="6">
                  <c:v>968</c:v>
                </c:pt>
                <c:pt idx="7">
                  <c:v>33.880000000000003</c:v>
                </c:pt>
                <c:pt idx="8">
                  <c:v>73.569999999999993</c:v>
                </c:pt>
                <c:pt idx="9">
                  <c:v>376.42</c:v>
                </c:pt>
                <c:pt idx="10">
                  <c:v>3000</c:v>
                </c:pt>
                <c:pt idx="11">
                  <c:v>4656.05</c:v>
                </c:pt>
                <c:pt idx="12">
                  <c:v>561.04</c:v>
                </c:pt>
                <c:pt idx="13">
                  <c:v>754.46</c:v>
                </c:pt>
                <c:pt idx="14">
                  <c:v>1017.82</c:v>
                </c:pt>
                <c:pt idx="15">
                  <c:v>3981.6</c:v>
                </c:pt>
                <c:pt idx="16">
                  <c:v>171.6</c:v>
                </c:pt>
                <c:pt idx="17">
                  <c:v>980.1</c:v>
                </c:pt>
                <c:pt idx="18">
                  <c:v>1828.73</c:v>
                </c:pt>
                <c:pt idx="19">
                  <c:v>676.57</c:v>
                </c:pt>
                <c:pt idx="20">
                  <c:v>125.19</c:v>
                </c:pt>
                <c:pt idx="21">
                  <c:v>-140.05000000000001</c:v>
                </c:pt>
                <c:pt idx="22">
                  <c:v>-272.39999999999998</c:v>
                </c:pt>
                <c:pt idx="23">
                  <c:v>32.950000000000003</c:v>
                </c:pt>
                <c:pt idx="24">
                  <c:v>5849.13</c:v>
                </c:pt>
                <c:pt idx="25">
                  <c:v>1181.5999999999999</c:v>
                </c:pt>
                <c:pt idx="26">
                  <c:v>48.19</c:v>
                </c:pt>
                <c:pt idx="27">
                  <c:v>142.54</c:v>
                </c:pt>
                <c:pt idx="28">
                  <c:v>22.47</c:v>
                </c:pt>
                <c:pt idx="29">
                  <c:v>11.92</c:v>
                </c:pt>
                <c:pt idx="30">
                  <c:v>15.8</c:v>
                </c:pt>
                <c:pt idx="31">
                  <c:v>66.31</c:v>
                </c:pt>
                <c:pt idx="32">
                  <c:v>10.92</c:v>
                </c:pt>
                <c:pt idx="33">
                  <c:v>71.599999999999994</c:v>
                </c:pt>
                <c:pt idx="34">
                  <c:v>74.349999999999994</c:v>
                </c:pt>
                <c:pt idx="35">
                  <c:v>101.22</c:v>
                </c:pt>
                <c:pt idx="36">
                  <c:v>57.15</c:v>
                </c:pt>
                <c:pt idx="37">
                  <c:v>95.83</c:v>
                </c:pt>
                <c:pt idx="38">
                  <c:v>33.67</c:v>
                </c:pt>
                <c:pt idx="39">
                  <c:v>237.29</c:v>
                </c:pt>
                <c:pt idx="40">
                  <c:v>12.16</c:v>
                </c:pt>
                <c:pt idx="41">
                  <c:v>73.75</c:v>
                </c:pt>
                <c:pt idx="42">
                  <c:v>80</c:v>
                </c:pt>
                <c:pt idx="43">
                  <c:v>13.52</c:v>
                </c:pt>
                <c:pt idx="44">
                  <c:v>217.26</c:v>
                </c:pt>
                <c:pt idx="45">
                  <c:v>30.25</c:v>
                </c:pt>
                <c:pt idx="46">
                  <c:v>17400</c:v>
                </c:pt>
                <c:pt idx="47">
                  <c:v>21.84</c:v>
                </c:pt>
                <c:pt idx="48">
                  <c:v>-16.72</c:v>
                </c:pt>
                <c:pt idx="49">
                  <c:v>198.09</c:v>
                </c:pt>
                <c:pt idx="50">
                  <c:v>39.33</c:v>
                </c:pt>
                <c:pt idx="51">
                  <c:v>70.989999999999995</c:v>
                </c:pt>
                <c:pt idx="52">
                  <c:v>7.99</c:v>
                </c:pt>
                <c:pt idx="53">
                  <c:v>14</c:v>
                </c:pt>
                <c:pt idx="54">
                  <c:v>19.11</c:v>
                </c:pt>
                <c:pt idx="55">
                  <c:v>50</c:v>
                </c:pt>
                <c:pt idx="56">
                  <c:v>60</c:v>
                </c:pt>
                <c:pt idx="57">
                  <c:v>50</c:v>
                </c:pt>
                <c:pt idx="58">
                  <c:v>50</c:v>
                </c:pt>
                <c:pt idx="59">
                  <c:v>16.690000000000001</c:v>
                </c:pt>
                <c:pt idx="60">
                  <c:v>17.61</c:v>
                </c:pt>
                <c:pt idx="61">
                  <c:v>50</c:v>
                </c:pt>
                <c:pt idx="62">
                  <c:v>50</c:v>
                </c:pt>
                <c:pt idx="63">
                  <c:v>21.32</c:v>
                </c:pt>
                <c:pt idx="64">
                  <c:v>8.8000000000000007</c:v>
                </c:pt>
                <c:pt idx="65">
                  <c:v>13.37</c:v>
                </c:pt>
                <c:pt idx="66">
                  <c:v>23.1</c:v>
                </c:pt>
                <c:pt idx="67">
                  <c:v>90</c:v>
                </c:pt>
                <c:pt idx="68">
                  <c:v>100</c:v>
                </c:pt>
                <c:pt idx="69">
                  <c:v>35.380000000000003</c:v>
                </c:pt>
                <c:pt idx="70">
                  <c:v>35.380000000000003</c:v>
                </c:pt>
                <c:pt idx="71">
                  <c:v>29.89</c:v>
                </c:pt>
                <c:pt idx="72">
                  <c:v>50.82</c:v>
                </c:pt>
                <c:pt idx="73">
                  <c:v>9.8699999999999992</c:v>
                </c:pt>
                <c:pt idx="74">
                  <c:v>40</c:v>
                </c:pt>
                <c:pt idx="75">
                  <c:v>50.38</c:v>
                </c:pt>
                <c:pt idx="76">
                  <c:v>28.7</c:v>
                </c:pt>
                <c:pt idx="77">
                  <c:v>109.06</c:v>
                </c:pt>
                <c:pt idx="78">
                  <c:v>199.08</c:v>
                </c:pt>
                <c:pt idx="79">
                  <c:v>1697</c:v>
                </c:pt>
                <c:pt idx="80">
                  <c:v>2000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42.98</c:v>
                </c:pt>
                <c:pt idx="88">
                  <c:v>50.59</c:v>
                </c:pt>
                <c:pt idx="89">
                  <c:v>40.409999999999997</c:v>
                </c:pt>
                <c:pt idx="90">
                  <c:v>59.1</c:v>
                </c:pt>
                <c:pt idx="91">
                  <c:v>1081.52</c:v>
                </c:pt>
                <c:pt idx="92">
                  <c:v>117.28</c:v>
                </c:pt>
                <c:pt idx="93">
                  <c:v>290.39999999999998</c:v>
                </c:pt>
                <c:pt idx="94">
                  <c:v>90.95</c:v>
                </c:pt>
                <c:pt idx="95">
                  <c:v>334.82</c:v>
                </c:pt>
                <c:pt idx="96">
                  <c:v>206.91</c:v>
                </c:pt>
                <c:pt idx="97">
                  <c:v>140.11000000000001</c:v>
                </c:pt>
                <c:pt idx="98">
                  <c:v>240.87</c:v>
                </c:pt>
                <c:pt idx="99">
                  <c:v>54.7</c:v>
                </c:pt>
                <c:pt idx="100">
                  <c:v>61.27</c:v>
                </c:pt>
                <c:pt idx="101">
                  <c:v>42.83</c:v>
                </c:pt>
                <c:pt idx="102">
                  <c:v>11.85</c:v>
                </c:pt>
                <c:pt idx="103">
                  <c:v>54.66</c:v>
                </c:pt>
                <c:pt idx="104">
                  <c:v>60</c:v>
                </c:pt>
                <c:pt idx="105">
                  <c:v>50</c:v>
                </c:pt>
                <c:pt idx="106">
                  <c:v>244.57</c:v>
                </c:pt>
                <c:pt idx="107">
                  <c:v>59.35</c:v>
                </c:pt>
                <c:pt idx="108">
                  <c:v>74.72</c:v>
                </c:pt>
                <c:pt idx="109">
                  <c:v>486.96</c:v>
                </c:pt>
                <c:pt idx="110">
                  <c:v>-486.96</c:v>
                </c:pt>
                <c:pt idx="111">
                  <c:v>159.32</c:v>
                </c:pt>
                <c:pt idx="112">
                  <c:v>32.229999999999997</c:v>
                </c:pt>
                <c:pt idx="113">
                  <c:v>8.5</c:v>
                </c:pt>
                <c:pt idx="114">
                  <c:v>281.10000000000002</c:v>
                </c:pt>
                <c:pt idx="115">
                  <c:v>94.3</c:v>
                </c:pt>
                <c:pt idx="116">
                  <c:v>46.5</c:v>
                </c:pt>
                <c:pt idx="117">
                  <c:v>108.9</c:v>
                </c:pt>
                <c:pt idx="118">
                  <c:v>79.5</c:v>
                </c:pt>
                <c:pt idx="119">
                  <c:v>23.23</c:v>
                </c:pt>
                <c:pt idx="120">
                  <c:v>59.99</c:v>
                </c:pt>
                <c:pt idx="121">
                  <c:v>69.010000000000005</c:v>
                </c:pt>
                <c:pt idx="122">
                  <c:v>80.86</c:v>
                </c:pt>
                <c:pt idx="123">
                  <c:v>22.89</c:v>
                </c:pt>
                <c:pt idx="124">
                  <c:v>70</c:v>
                </c:pt>
                <c:pt idx="125">
                  <c:v>70</c:v>
                </c:pt>
                <c:pt idx="126">
                  <c:v>20</c:v>
                </c:pt>
                <c:pt idx="127">
                  <c:v>116.79</c:v>
                </c:pt>
                <c:pt idx="128">
                  <c:v>101.47</c:v>
                </c:pt>
                <c:pt idx="129">
                  <c:v>49.99</c:v>
                </c:pt>
                <c:pt idx="130">
                  <c:v>49.36</c:v>
                </c:pt>
                <c:pt idx="131">
                  <c:v>45.8</c:v>
                </c:pt>
                <c:pt idx="132">
                  <c:v>63.33</c:v>
                </c:pt>
                <c:pt idx="133">
                  <c:v>84.88</c:v>
                </c:pt>
                <c:pt idx="134">
                  <c:v>80.239999999999995</c:v>
                </c:pt>
                <c:pt idx="135">
                  <c:v>82.18</c:v>
                </c:pt>
                <c:pt idx="136">
                  <c:v>56.18</c:v>
                </c:pt>
                <c:pt idx="137">
                  <c:v>126</c:v>
                </c:pt>
                <c:pt idx="138">
                  <c:v>186.96</c:v>
                </c:pt>
                <c:pt idx="139">
                  <c:v>114.06</c:v>
                </c:pt>
                <c:pt idx="140">
                  <c:v>150</c:v>
                </c:pt>
                <c:pt idx="141">
                  <c:v>150</c:v>
                </c:pt>
                <c:pt idx="142">
                  <c:v>394</c:v>
                </c:pt>
                <c:pt idx="143">
                  <c:v>40</c:v>
                </c:pt>
                <c:pt idx="144">
                  <c:v>228</c:v>
                </c:pt>
                <c:pt idx="145">
                  <c:v>4483.05</c:v>
                </c:pt>
                <c:pt idx="146">
                  <c:v>1411.6</c:v>
                </c:pt>
                <c:pt idx="147">
                  <c:v>173.8</c:v>
                </c:pt>
                <c:pt idx="148">
                  <c:v>816.68</c:v>
                </c:pt>
                <c:pt idx="149">
                  <c:v>244.97</c:v>
                </c:pt>
                <c:pt idx="150">
                  <c:v>164.2</c:v>
                </c:pt>
                <c:pt idx="151">
                  <c:v>91.04</c:v>
                </c:pt>
                <c:pt idx="152">
                  <c:v>91.04</c:v>
                </c:pt>
                <c:pt idx="153">
                  <c:v>91.04</c:v>
                </c:pt>
                <c:pt idx="154">
                  <c:v>22.26</c:v>
                </c:pt>
                <c:pt idx="155">
                  <c:v>2000</c:v>
                </c:pt>
                <c:pt idx="156">
                  <c:v>220.11</c:v>
                </c:pt>
                <c:pt idx="157">
                  <c:v>14979.8</c:v>
                </c:pt>
                <c:pt idx="158">
                  <c:v>150</c:v>
                </c:pt>
                <c:pt idx="159">
                  <c:v>1222.51</c:v>
                </c:pt>
                <c:pt idx="160">
                  <c:v>-89.42</c:v>
                </c:pt>
                <c:pt idx="161">
                  <c:v>19.489999999999998</c:v>
                </c:pt>
                <c:pt idx="162">
                  <c:v>325.85000000000002</c:v>
                </c:pt>
                <c:pt idx="163">
                  <c:v>100.03</c:v>
                </c:pt>
                <c:pt idx="164">
                  <c:v>925.65</c:v>
                </c:pt>
                <c:pt idx="165">
                  <c:v>42.65</c:v>
                </c:pt>
                <c:pt idx="166">
                  <c:v>142.54</c:v>
                </c:pt>
                <c:pt idx="167">
                  <c:v>1020</c:v>
                </c:pt>
                <c:pt idx="168">
                  <c:v>103.26</c:v>
                </c:pt>
                <c:pt idx="169">
                  <c:v>784.83</c:v>
                </c:pt>
                <c:pt idx="170">
                  <c:v>10000</c:v>
                </c:pt>
                <c:pt idx="171">
                  <c:v>5515.51</c:v>
                </c:pt>
                <c:pt idx="172">
                  <c:v>204</c:v>
                </c:pt>
                <c:pt idx="173">
                  <c:v>204</c:v>
                </c:pt>
                <c:pt idx="174">
                  <c:v>204</c:v>
                </c:pt>
                <c:pt idx="175">
                  <c:v>204</c:v>
                </c:pt>
                <c:pt idx="176">
                  <c:v>204</c:v>
                </c:pt>
                <c:pt idx="177">
                  <c:v>204</c:v>
                </c:pt>
                <c:pt idx="178">
                  <c:v>660</c:v>
                </c:pt>
                <c:pt idx="179">
                  <c:v>110.24</c:v>
                </c:pt>
                <c:pt idx="180">
                  <c:v>53.81</c:v>
                </c:pt>
                <c:pt idx="181">
                  <c:v>130.19999999999999</c:v>
                </c:pt>
                <c:pt idx="182">
                  <c:v>43.34</c:v>
                </c:pt>
                <c:pt idx="183">
                  <c:v>18.149999999999999</c:v>
                </c:pt>
                <c:pt idx="184">
                  <c:v>214.29</c:v>
                </c:pt>
                <c:pt idx="185">
                  <c:v>128.57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619-40E1-9F18-54FD69976231}"/>
            </c:ext>
          </c:extLst>
        </c:ser>
        <c:ser>
          <c:idx val="13"/>
          <c:order val="13"/>
          <c:tx>
            <c:strRef>
              <c:f>'COMPRAS (2)'!$N$1:$N$74</c:f>
              <c:strCache>
                <c:ptCount val="74"/>
                <c:pt idx="0">
                  <c:v>CONTRAPARTIDA</c:v>
                </c:pt>
                <c:pt idx="1">
                  <c:v>OBRA</c:v>
                </c:pt>
                <c:pt idx="2">
                  <c:v>MATERIAL</c:v>
                </c:pt>
                <c:pt idx="3">
                  <c:v>MATERIAL</c:v>
                </c:pt>
                <c:pt idx="4">
                  <c:v>MATERIAL</c:v>
                </c:pt>
                <c:pt idx="5">
                  <c:v>MATERIAL</c:v>
                </c:pt>
                <c:pt idx="6">
                  <c:v>MATERIAL</c:v>
                </c:pt>
                <c:pt idx="7">
                  <c:v>OBRA</c:v>
                </c:pt>
                <c:pt idx="8">
                  <c:v>MATERIAL</c:v>
                </c:pt>
                <c:pt idx="9">
                  <c:v>MATERIAL</c:v>
                </c:pt>
                <c:pt idx="10">
                  <c:v>COCHE</c:v>
                </c:pt>
                <c:pt idx="11">
                  <c:v>GASOIL</c:v>
                </c:pt>
                <c:pt idx="12">
                  <c:v>GASOIL</c:v>
                </c:pt>
                <c:pt idx="13">
                  <c:v>GASOIL</c:v>
                </c:pt>
                <c:pt idx="14">
                  <c:v>GASOIL</c:v>
                </c:pt>
                <c:pt idx="15">
                  <c:v>OBRA</c:v>
                </c:pt>
                <c:pt idx="16">
                  <c:v>MATERIAL</c:v>
                </c:pt>
                <c:pt idx="17">
                  <c:v>MATERIAL</c:v>
                </c:pt>
                <c:pt idx="18">
                  <c:v>SERVICIOS</c:v>
                </c:pt>
                <c:pt idx="19">
                  <c:v>OBRA</c:v>
                </c:pt>
                <c:pt idx="20">
                  <c:v>OBRA</c:v>
                </c:pt>
                <c:pt idx="21">
                  <c:v>MATERIAL</c:v>
                </c:pt>
                <c:pt idx="22">
                  <c:v>MATERIAL</c:v>
                </c:pt>
                <c:pt idx="23">
                  <c:v>MATERIAL</c:v>
                </c:pt>
                <c:pt idx="24">
                  <c:v>MATERIAL</c:v>
                </c:pt>
                <c:pt idx="25">
                  <c:v>MATERIAL</c:v>
                </c:pt>
                <c:pt idx="26">
                  <c:v>MATERIAL</c:v>
                </c:pt>
                <c:pt idx="27">
                  <c:v>OBRA</c:v>
                </c:pt>
                <c:pt idx="28">
                  <c:v>OBRA</c:v>
                </c:pt>
                <c:pt idx="29">
                  <c:v>OBRA</c:v>
                </c:pt>
                <c:pt idx="30">
                  <c:v>TELEFONO</c:v>
                </c:pt>
                <c:pt idx="31">
                  <c:v>TELEFONO</c:v>
                </c:pt>
                <c:pt idx="32">
                  <c:v>TELEFONO</c:v>
                </c:pt>
                <c:pt idx="33">
                  <c:v>TELEFONO</c:v>
                </c:pt>
                <c:pt idx="34">
                  <c:v>TELEFONO</c:v>
                </c:pt>
                <c:pt idx="35">
                  <c:v>TRANSPORTE</c:v>
                </c:pt>
                <c:pt idx="36">
                  <c:v>MATERIAL</c:v>
                </c:pt>
                <c:pt idx="37">
                  <c:v>MATERIAL</c:v>
                </c:pt>
                <c:pt idx="38">
                  <c:v>MATERIAL</c:v>
                </c:pt>
                <c:pt idx="39">
                  <c:v>MATERIAL</c:v>
                </c:pt>
                <c:pt idx="40">
                  <c:v>RESTAURANTE</c:v>
                </c:pt>
                <c:pt idx="41">
                  <c:v>RESTAURANTE</c:v>
                </c:pt>
                <c:pt idx="42">
                  <c:v>RESTAURANTE</c:v>
                </c:pt>
                <c:pt idx="43">
                  <c:v>RESTAURANTE</c:v>
                </c:pt>
                <c:pt idx="44">
                  <c:v>GASOIL</c:v>
                </c:pt>
                <c:pt idx="45">
                  <c:v>MATERIAL</c:v>
                </c:pt>
                <c:pt idx="46">
                  <c:v>MATERIAL</c:v>
                </c:pt>
                <c:pt idx="47">
                  <c:v>MATERIAL</c:v>
                </c:pt>
                <c:pt idx="48">
                  <c:v>MATERIAL</c:v>
                </c:pt>
                <c:pt idx="49">
                  <c:v>MATERIAL</c:v>
                </c:pt>
                <c:pt idx="50">
                  <c:v>MATERIAL</c:v>
                </c:pt>
                <c:pt idx="51">
                  <c:v>MATERIAL</c:v>
                </c:pt>
                <c:pt idx="52">
                  <c:v>MATERIAL</c:v>
                </c:pt>
                <c:pt idx="53">
                  <c:v>MATERIAL</c:v>
                </c:pt>
                <c:pt idx="54">
                  <c:v>MATERIAL</c:v>
                </c:pt>
                <c:pt idx="55">
                  <c:v>MATERIAL</c:v>
                </c:pt>
                <c:pt idx="56">
                  <c:v>MATERIAL</c:v>
                </c:pt>
                <c:pt idx="57">
                  <c:v>MATERIAL</c:v>
                </c:pt>
                <c:pt idx="58">
                  <c:v>MATERIAL</c:v>
                </c:pt>
                <c:pt idx="59">
                  <c:v>MATERIAL</c:v>
                </c:pt>
                <c:pt idx="60">
                  <c:v>MATERIAL</c:v>
                </c:pt>
                <c:pt idx="61">
                  <c:v>MATERIAL</c:v>
                </c:pt>
                <c:pt idx="62">
                  <c:v>MATERIAL</c:v>
                </c:pt>
                <c:pt idx="63">
                  <c:v>MATERIAL</c:v>
                </c:pt>
                <c:pt idx="64">
                  <c:v>MATERIAL</c:v>
                </c:pt>
                <c:pt idx="65">
                  <c:v>MATERIAL</c:v>
                </c:pt>
                <c:pt idx="66">
                  <c:v>GASOIL</c:v>
                </c:pt>
                <c:pt idx="67">
                  <c:v>GASOIL</c:v>
                </c:pt>
                <c:pt idx="68">
                  <c:v>GASOIL</c:v>
                </c:pt>
                <c:pt idx="69">
                  <c:v>MATERIAL</c:v>
                </c:pt>
                <c:pt idx="70">
                  <c:v>MATERIAL</c:v>
                </c:pt>
                <c:pt idx="71">
                  <c:v>MATERIAL</c:v>
                </c:pt>
                <c:pt idx="72">
                  <c:v>GASOIL</c:v>
                </c:pt>
                <c:pt idx="73">
                  <c:v>ARREGLO COCHE</c:v>
                </c:pt>
              </c:strCache>
            </c:strRef>
          </c:tx>
          <c:invertIfNegative val="0"/>
          <c:val>
            <c:numRef>
              <c:f>'COMPRAS (2)'!$N$75:$N$260</c:f>
              <c:numCache>
                <c:formatCode>@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619-40E1-9F18-54FD69976231}"/>
            </c:ext>
          </c:extLst>
        </c:ser>
        <c:ser>
          <c:idx val="14"/>
          <c:order val="14"/>
          <c:tx>
            <c:strRef>
              <c:f>'COMPRAS (2)'!$O$1:$O$74</c:f>
              <c:strCache>
                <c:ptCount val="74"/>
                <c:pt idx="0">
                  <c:v>PROVINCIA</c:v>
                </c:pt>
                <c:pt idx="1">
                  <c:v>TRANSFERENCIA</c:v>
                </c:pt>
                <c:pt idx="2">
                  <c:v>TARJETA</c:v>
                </c:pt>
                <c:pt idx="3">
                  <c:v>TARJETA</c:v>
                </c:pt>
                <c:pt idx="4">
                  <c:v>TARJETA</c:v>
                </c:pt>
                <c:pt idx="5">
                  <c:v>TARJETA</c:v>
                </c:pt>
                <c:pt idx="6">
                  <c:v>TARJETA</c:v>
                </c:pt>
                <c:pt idx="7">
                  <c:v>TRANSFERENCIA</c:v>
                </c:pt>
                <c:pt idx="8">
                  <c:v>TARJETA</c:v>
                </c:pt>
                <c:pt idx="9">
                  <c:v>TARJETA</c:v>
                </c:pt>
                <c:pt idx="10">
                  <c:v>TRANSFERENCIA</c:v>
                </c:pt>
                <c:pt idx="11">
                  <c:v>TARJETA</c:v>
                </c:pt>
                <c:pt idx="12">
                  <c:v>TARJETA</c:v>
                </c:pt>
                <c:pt idx="13">
                  <c:v>TARJETA</c:v>
                </c:pt>
                <c:pt idx="14">
                  <c:v>TARJETA</c:v>
                </c:pt>
                <c:pt idx="15">
                  <c:v>TRANSFERENCIA</c:v>
                </c:pt>
                <c:pt idx="16">
                  <c:v>GIRO</c:v>
                </c:pt>
                <c:pt idx="17">
                  <c:v>GIRO</c:v>
                </c:pt>
                <c:pt idx="18">
                  <c:v>TRANSFERENCIA</c:v>
                </c:pt>
                <c:pt idx="19">
                  <c:v>TRANSFERENCIA</c:v>
                </c:pt>
                <c:pt idx="20">
                  <c:v>TRANSFERENCIA</c:v>
                </c:pt>
                <c:pt idx="21">
                  <c:v>METALICO</c:v>
                </c:pt>
                <c:pt idx="22">
                  <c:v>METALICO</c:v>
                </c:pt>
                <c:pt idx="23">
                  <c:v>METALICO</c:v>
                </c:pt>
                <c:pt idx="24">
                  <c:v>METALICO</c:v>
                </c:pt>
                <c:pt idx="25">
                  <c:v>METALICO</c:v>
                </c:pt>
                <c:pt idx="26">
                  <c:v>GIRO</c:v>
                </c:pt>
                <c:pt idx="27">
                  <c:v>TRANSFERENCIA</c:v>
                </c:pt>
                <c:pt idx="28">
                  <c:v>TRANSFERENCIA</c:v>
                </c:pt>
                <c:pt idx="29">
                  <c:v>TRANSFERENCIA</c:v>
                </c:pt>
                <c:pt idx="30">
                  <c:v>GIRO</c:v>
                </c:pt>
                <c:pt idx="31">
                  <c:v>GIRO</c:v>
                </c:pt>
                <c:pt idx="32">
                  <c:v>GIRO</c:v>
                </c:pt>
                <c:pt idx="33">
                  <c:v>GIRO</c:v>
                </c:pt>
                <c:pt idx="34">
                  <c:v>GIRO</c:v>
                </c:pt>
                <c:pt idx="35">
                  <c:v>TRANSFERENCIA</c:v>
                </c:pt>
                <c:pt idx="36">
                  <c:v>METALICO</c:v>
                </c:pt>
                <c:pt idx="37">
                  <c:v>GIRO</c:v>
                </c:pt>
                <c:pt idx="38">
                  <c:v>GIRO</c:v>
                </c:pt>
                <c:pt idx="39">
                  <c:v>GIRO</c:v>
                </c:pt>
                <c:pt idx="40">
                  <c:v>TARJETA</c:v>
                </c:pt>
                <c:pt idx="41">
                  <c:v>TARJETA</c:v>
                </c:pt>
                <c:pt idx="42">
                  <c:v>TARJETA</c:v>
                </c:pt>
                <c:pt idx="43">
                  <c:v>TARJETA</c:v>
                </c:pt>
                <c:pt idx="44">
                  <c:v>METALICO</c:v>
                </c:pt>
                <c:pt idx="45">
                  <c:v>TARJETA</c:v>
                </c:pt>
                <c:pt idx="46">
                  <c:v>TARJETA</c:v>
                </c:pt>
                <c:pt idx="47">
                  <c:v>GIRO</c:v>
                </c:pt>
                <c:pt idx="48">
                  <c:v>GIRO</c:v>
                </c:pt>
                <c:pt idx="49">
                  <c:v>GIRO</c:v>
                </c:pt>
                <c:pt idx="51">
                  <c:v>GIRO</c:v>
                </c:pt>
                <c:pt idx="52">
                  <c:v>TARJETA</c:v>
                </c:pt>
                <c:pt idx="53">
                  <c:v>TARJETA</c:v>
                </c:pt>
                <c:pt idx="54">
                  <c:v>TARJETA</c:v>
                </c:pt>
                <c:pt idx="55">
                  <c:v>TARJETA</c:v>
                </c:pt>
                <c:pt idx="56">
                  <c:v>TARJETA</c:v>
                </c:pt>
                <c:pt idx="57">
                  <c:v>TARJETA</c:v>
                </c:pt>
                <c:pt idx="58">
                  <c:v>METALICO</c:v>
                </c:pt>
                <c:pt idx="59">
                  <c:v>TARJETA</c:v>
                </c:pt>
                <c:pt idx="60">
                  <c:v>TARJETA</c:v>
                </c:pt>
                <c:pt idx="61">
                  <c:v>TARJETA</c:v>
                </c:pt>
                <c:pt idx="62">
                  <c:v>TARJETA</c:v>
                </c:pt>
                <c:pt idx="63">
                  <c:v>TARJETA</c:v>
                </c:pt>
                <c:pt idx="64">
                  <c:v>TARJETA</c:v>
                </c:pt>
                <c:pt idx="65">
                  <c:v>TARJETA</c:v>
                </c:pt>
                <c:pt idx="66">
                  <c:v>TARJETA</c:v>
                </c:pt>
                <c:pt idx="67">
                  <c:v>TARJETA</c:v>
                </c:pt>
                <c:pt idx="68">
                  <c:v>TARJETA</c:v>
                </c:pt>
                <c:pt idx="69">
                  <c:v>TARJETA</c:v>
                </c:pt>
                <c:pt idx="70">
                  <c:v>TARJETA</c:v>
                </c:pt>
                <c:pt idx="71">
                  <c:v>TARJETA</c:v>
                </c:pt>
                <c:pt idx="72">
                  <c:v>TARJETA</c:v>
                </c:pt>
                <c:pt idx="73">
                  <c:v>TRANSFERENCIA</c:v>
                </c:pt>
              </c:strCache>
            </c:strRef>
          </c:tx>
          <c:invertIfNegative val="0"/>
          <c:val>
            <c:numRef>
              <c:f>'COMPRAS (2)'!$O$75:$O$260</c:f>
              <c:numCache>
                <c:formatCode>@</c:formatCode>
                <c:ptCount val="1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619-40E1-9F18-54FD69976231}"/>
            </c:ext>
          </c:extLst>
        </c:ser>
        <c:ser>
          <c:idx val="15"/>
          <c:order val="15"/>
          <c:tx>
            <c:strRef>
              <c:f>'COMPRAS (2)'!$P$1:$P$74</c:f>
              <c:strCache>
                <c:ptCount val="74"/>
                <c:pt idx="0">
                  <c:v>PAIS</c:v>
                </c:pt>
                <c:pt idx="46">
                  <c:v>TRANSFERENCIA</c:v>
                </c:pt>
              </c:strCache>
            </c:strRef>
          </c:tx>
          <c:invertIfNegative val="0"/>
          <c:val>
            <c:numRef>
              <c:f>'COMPRAS (2)'!$P$75:$P$260</c:f>
              <c:numCache>
                <c:formatCode>@</c:formatCode>
                <c:ptCount val="186"/>
              </c:numCache>
            </c:numRef>
          </c:val>
          <c:extLst>
            <c:ext xmlns:c16="http://schemas.microsoft.com/office/drawing/2014/chart" uri="{C3380CC4-5D6E-409C-BE32-E72D297353CC}">
              <c16:uniqueId val="{0000000F-8619-40E1-9F18-54FD69976231}"/>
            </c:ext>
          </c:extLst>
        </c:ser>
        <c:ser>
          <c:idx val="16"/>
          <c:order val="16"/>
          <c:tx>
            <c:strRef>
              <c:f>'COMPRAS (2)'!$Q$1:$Q$74</c:f>
              <c:strCache>
                <c:ptCount val="74"/>
                <c:pt idx="0">
                  <c:v>PAGO AUTOMATICO</c:v>
                </c:pt>
              </c:strCache>
            </c:strRef>
          </c:tx>
          <c:invertIfNegative val="0"/>
          <c:val>
            <c:numRef>
              <c:f>'COMPRAS (2)'!$Q$75:$Q$260</c:f>
              <c:numCache>
                <c:formatCode>General</c:formatCode>
                <c:ptCount val="186"/>
              </c:numCache>
            </c:numRef>
          </c:val>
          <c:extLst>
            <c:ext xmlns:c16="http://schemas.microsoft.com/office/drawing/2014/chart" uri="{C3380CC4-5D6E-409C-BE32-E72D297353CC}">
              <c16:uniqueId val="{00000010-8619-40E1-9F18-54FD69976231}"/>
            </c:ext>
          </c:extLst>
        </c:ser>
        <c:ser>
          <c:idx val="17"/>
          <c:order val="17"/>
          <c:tx>
            <c:strRef>
              <c:f>'COMPRAS (2)'!$R$1:$R$74</c:f>
              <c:strCache>
                <c:ptCount val="74"/>
                <c:pt idx="0">
                  <c:v>OPERACION ARRENDAMIENTO</c:v>
                </c:pt>
              </c:strCache>
            </c:strRef>
          </c:tx>
          <c:invertIfNegative val="0"/>
          <c:val>
            <c:numRef>
              <c:f>'COMPRAS (2)'!$R$75:$R$260</c:f>
              <c:numCache>
                <c:formatCode>General</c:formatCode>
                <c:ptCount val="186"/>
              </c:numCache>
            </c:numRef>
          </c:val>
          <c:extLst>
            <c:ext xmlns:c16="http://schemas.microsoft.com/office/drawing/2014/chart" uri="{C3380CC4-5D6E-409C-BE32-E72D297353CC}">
              <c16:uniqueId val="{00000011-8619-40E1-9F18-54FD69976231}"/>
            </c:ext>
          </c:extLst>
        </c:ser>
        <c:ser>
          <c:idx val="18"/>
          <c:order val="18"/>
          <c:tx>
            <c:strRef>
              <c:f>'COMPRAS (2)'!$S$1:$S$74</c:f>
              <c:strCache>
                <c:ptCount val="74"/>
                <c:pt idx="0">
                  <c:v>OPERACION ARRENDAMIENTO</c:v>
                </c:pt>
                <c:pt idx="1">
                  <c:v>S/F </c:v>
                </c:pt>
                <c:pt idx="2">
                  <c:v>S/F </c:v>
                </c:pt>
                <c:pt idx="3">
                  <c:v>S/F </c:v>
                </c:pt>
                <c:pt idx="4">
                  <c:v>S/F </c:v>
                </c:pt>
                <c:pt idx="5">
                  <c:v>S/F </c:v>
                </c:pt>
                <c:pt idx="6">
                  <c:v>S/F </c:v>
                </c:pt>
                <c:pt idx="7">
                  <c:v>S/F </c:v>
                </c:pt>
                <c:pt idx="8">
                  <c:v>S/F </c:v>
                </c:pt>
                <c:pt idx="9">
                  <c:v>S/F </c:v>
                </c:pt>
                <c:pt idx="10">
                  <c:v>S/F </c:v>
                </c:pt>
                <c:pt idx="11">
                  <c:v>S/F </c:v>
                </c:pt>
                <c:pt idx="12">
                  <c:v>S/F </c:v>
                </c:pt>
                <c:pt idx="13">
                  <c:v>S/F </c:v>
                </c:pt>
                <c:pt idx="14">
                  <c:v>S/F </c:v>
                </c:pt>
                <c:pt idx="15">
                  <c:v>S/F </c:v>
                </c:pt>
                <c:pt idx="16">
                  <c:v>S/F </c:v>
                </c:pt>
                <c:pt idx="17">
                  <c:v>S/F </c:v>
                </c:pt>
                <c:pt idx="18">
                  <c:v>S/F </c:v>
                </c:pt>
                <c:pt idx="19">
                  <c:v>S/F </c:v>
                </c:pt>
                <c:pt idx="20">
                  <c:v>S/F </c:v>
                </c:pt>
                <c:pt idx="21">
                  <c:v>S/F </c:v>
                </c:pt>
                <c:pt idx="22">
                  <c:v>S/F </c:v>
                </c:pt>
                <c:pt idx="23">
                  <c:v>S/F </c:v>
                </c:pt>
                <c:pt idx="24">
                  <c:v>S/F </c:v>
                </c:pt>
                <c:pt idx="25">
                  <c:v>S/F </c:v>
                </c:pt>
                <c:pt idx="26">
                  <c:v>S/F </c:v>
                </c:pt>
                <c:pt idx="27">
                  <c:v>S/F </c:v>
                </c:pt>
                <c:pt idx="28">
                  <c:v>S/F </c:v>
                </c:pt>
                <c:pt idx="29">
                  <c:v>S/F </c:v>
                </c:pt>
                <c:pt idx="30">
                  <c:v>S/F </c:v>
                </c:pt>
                <c:pt idx="31">
                  <c:v>S/F </c:v>
                </c:pt>
                <c:pt idx="32">
                  <c:v>S/F </c:v>
                </c:pt>
                <c:pt idx="33">
                  <c:v>S/F </c:v>
                </c:pt>
                <c:pt idx="34">
                  <c:v>S/F </c:v>
                </c:pt>
                <c:pt idx="35">
                  <c:v>S/F </c:v>
                </c:pt>
                <c:pt idx="36">
                  <c:v>S/F </c:v>
                </c:pt>
                <c:pt idx="37">
                  <c:v>S/F </c:v>
                </c:pt>
                <c:pt idx="38">
                  <c:v>S/F </c:v>
                </c:pt>
                <c:pt idx="39">
                  <c:v>S/F </c:v>
                </c:pt>
                <c:pt idx="40">
                  <c:v>S/F </c:v>
                </c:pt>
                <c:pt idx="41">
                  <c:v>S/F </c:v>
                </c:pt>
                <c:pt idx="42">
                  <c:v>S/F </c:v>
                </c:pt>
                <c:pt idx="43">
                  <c:v>S/F </c:v>
                </c:pt>
                <c:pt idx="44">
                  <c:v>S/F </c:v>
                </c:pt>
                <c:pt idx="45">
                  <c:v>S/F </c:v>
                </c:pt>
                <c:pt idx="46">
                  <c:v>S/F </c:v>
                </c:pt>
                <c:pt idx="47">
                  <c:v>S/F </c:v>
                </c:pt>
                <c:pt idx="48">
                  <c:v>S/F </c:v>
                </c:pt>
                <c:pt idx="49">
                  <c:v>S/F </c:v>
                </c:pt>
                <c:pt idx="50">
                  <c:v>S/F </c:v>
                </c:pt>
                <c:pt idx="51">
                  <c:v>S/F </c:v>
                </c:pt>
                <c:pt idx="52">
                  <c:v>S/F </c:v>
                </c:pt>
                <c:pt idx="53">
                  <c:v>S/F </c:v>
                </c:pt>
                <c:pt idx="54">
                  <c:v>S/F </c:v>
                </c:pt>
                <c:pt idx="55">
                  <c:v>S/F </c:v>
                </c:pt>
                <c:pt idx="56">
                  <c:v>S/F </c:v>
                </c:pt>
                <c:pt idx="57">
                  <c:v>S/F </c:v>
                </c:pt>
                <c:pt idx="58">
                  <c:v>S/F </c:v>
                </c:pt>
                <c:pt idx="59">
                  <c:v>S/F </c:v>
                </c:pt>
                <c:pt idx="60">
                  <c:v>S/F </c:v>
                </c:pt>
                <c:pt idx="61">
                  <c:v>S/F </c:v>
                </c:pt>
                <c:pt idx="62">
                  <c:v>S/F </c:v>
                </c:pt>
                <c:pt idx="63">
                  <c:v>S/F </c:v>
                </c:pt>
                <c:pt idx="64">
                  <c:v>S/F </c:v>
                </c:pt>
                <c:pt idx="65">
                  <c:v>S/F </c:v>
                </c:pt>
                <c:pt idx="66">
                  <c:v>S/F </c:v>
                </c:pt>
                <c:pt idx="67">
                  <c:v>S/F </c:v>
                </c:pt>
                <c:pt idx="68">
                  <c:v>S/F </c:v>
                </c:pt>
                <c:pt idx="69">
                  <c:v>S/F </c:v>
                </c:pt>
                <c:pt idx="70">
                  <c:v>S/F </c:v>
                </c:pt>
                <c:pt idx="71">
                  <c:v>S/F </c:v>
                </c:pt>
                <c:pt idx="72">
                  <c:v>S/F </c:v>
                </c:pt>
                <c:pt idx="73">
                  <c:v>S/F </c:v>
                </c:pt>
              </c:strCache>
            </c:strRef>
          </c:tx>
          <c:invertIfNegative val="0"/>
          <c:val>
            <c:numRef>
              <c:f>'COMPRAS (2)'!$S$75:$S$260</c:f>
              <c:numCache>
                <c:formatCode>General</c:formatCode>
                <c:ptCount val="186"/>
              </c:numCache>
            </c:numRef>
          </c:val>
          <c:extLst>
            <c:ext xmlns:c16="http://schemas.microsoft.com/office/drawing/2014/chart" uri="{C3380CC4-5D6E-409C-BE32-E72D297353CC}">
              <c16:uniqueId val="{00000012-8619-40E1-9F18-54FD69976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507424"/>
        <c:axId val="1"/>
      </c:barChart>
      <c:catAx>
        <c:axId val="138750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m/d/yyyy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8750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378299120234604"/>
          <c:y val="9.6234309623430964E-2"/>
          <c:w val="0.3621700879765396"/>
          <c:h val="0.8043933054393305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C240DB-7A9B-434F-8685-8BF3A9AB6CB5}">
  <sheetPr/>
  <sheetViews>
    <sheetView zoomScale="129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BF0E27-5246-6696-6335-9090D6AD51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8458-8DCA-44BF-BC7A-90F6F6F2E97D}">
  <dimension ref="A1:S693"/>
  <sheetViews>
    <sheetView topLeftCell="A656" zoomScale="90" zoomScaleNormal="90" workbookViewId="0">
      <selection activeCell="E684" sqref="E684"/>
    </sheetView>
  </sheetViews>
  <sheetFormatPr baseColWidth="10" defaultRowHeight="14.5" x14ac:dyDescent="0.35"/>
  <cols>
    <col min="1" max="1" width="11.54296875" bestFit="1" customWidth="1"/>
    <col min="2" max="2" width="37.26953125" style="2" customWidth="1"/>
    <col min="3" max="3" width="10" style="2" bestFit="1" customWidth="1"/>
    <col min="4" max="4" width="14" style="2" customWidth="1"/>
    <col min="5" max="5" width="36" style="2" customWidth="1"/>
    <col min="6" max="6" width="30.1796875" style="5" customWidth="1"/>
    <col min="7" max="7" width="10.54296875" style="10" customWidth="1"/>
    <col min="8" max="8" width="5.7265625" bestFit="1" customWidth="1"/>
    <col min="9" max="9" width="9.7265625" customWidth="1"/>
    <col min="10" max="10" width="11.7265625" customWidth="1"/>
    <col min="11" max="11" width="6.1796875" customWidth="1"/>
    <col min="12" max="12" width="8.54296875" customWidth="1"/>
    <col min="13" max="13" width="10.7265625" style="11" customWidth="1"/>
    <col min="14" max="14" width="20.453125" style="2" customWidth="1"/>
    <col min="15" max="15" width="15.453125" style="3" customWidth="1"/>
    <col min="16" max="16" width="15.26953125" style="3" customWidth="1"/>
    <col min="17" max="17" width="17.81640625" customWidth="1"/>
    <col min="18" max="18" width="14.1796875" customWidth="1"/>
    <col min="19" max="19" width="11.54296875" bestFit="1" customWidth="1"/>
  </cols>
  <sheetData>
    <row r="1" spans="1:19" s="1" customFormat="1" ht="30" customHeight="1" x14ac:dyDescent="0.35">
      <c r="A1" s="6" t="s">
        <v>0</v>
      </c>
      <c r="B1" s="7" t="s">
        <v>18</v>
      </c>
      <c r="C1" s="7" t="s">
        <v>2</v>
      </c>
      <c r="D1" s="7" t="s">
        <v>3</v>
      </c>
      <c r="E1" s="7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15</v>
      </c>
      <c r="P1" s="7" t="s">
        <v>14</v>
      </c>
      <c r="Q1" s="7" t="s">
        <v>16</v>
      </c>
      <c r="R1" s="6" t="s">
        <v>17</v>
      </c>
    </row>
    <row r="2" spans="1:19" x14ac:dyDescent="0.35">
      <c r="A2" s="4">
        <v>45300</v>
      </c>
      <c r="B2" s="2" t="s">
        <v>300</v>
      </c>
      <c r="D2" s="2" t="s">
        <v>27</v>
      </c>
      <c r="E2" s="2" t="s">
        <v>301</v>
      </c>
      <c r="F2" s="5" t="str">
        <f t="shared" ref="F2:F52" si="0">CONCATENATE(S2,B2," ",E2)</f>
        <v xml:space="preserve">S/F 2024/000005 PADRISA </v>
      </c>
      <c r="G2" s="12">
        <f t="shared" ref="G2:G52" si="1">M2/(1-K2/100+H2/100)</f>
        <v>250.33884297520663</v>
      </c>
      <c r="H2">
        <v>21</v>
      </c>
      <c r="I2" s="5">
        <f t="shared" ref="I2:I52" si="2">G2*H2/100</f>
        <v>52.571157024793393</v>
      </c>
      <c r="J2" s="5">
        <f t="shared" ref="J2:J52" si="3">G2</f>
        <v>250.33884297520663</v>
      </c>
      <c r="L2" s="5">
        <f t="shared" ref="L2:L52" si="4">J2*K2/100</f>
        <v>0</v>
      </c>
      <c r="M2" s="8">
        <v>302.91000000000003</v>
      </c>
      <c r="N2" s="2" t="s">
        <v>53</v>
      </c>
      <c r="O2" s="3" t="s">
        <v>68</v>
      </c>
      <c r="S2" t="s">
        <v>19</v>
      </c>
    </row>
    <row r="3" spans="1:19" x14ac:dyDescent="0.35">
      <c r="A3" s="4">
        <v>45294</v>
      </c>
      <c r="B3" s="2" t="s">
        <v>302</v>
      </c>
      <c r="D3" s="2" t="s">
        <v>287</v>
      </c>
      <c r="E3" s="2" t="s">
        <v>139</v>
      </c>
      <c r="F3" s="5" t="str">
        <f t="shared" si="0"/>
        <v>S/F 2024/02/000007 BIGMAT</v>
      </c>
      <c r="G3" s="12">
        <f t="shared" si="1"/>
        <v>523</v>
      </c>
      <c r="H3">
        <v>21</v>
      </c>
      <c r="I3" s="5">
        <f t="shared" si="2"/>
        <v>109.83</v>
      </c>
      <c r="J3" s="5">
        <f t="shared" si="3"/>
        <v>523</v>
      </c>
      <c r="L3" s="5">
        <f t="shared" si="4"/>
        <v>0</v>
      </c>
      <c r="M3" s="8">
        <v>632.83000000000004</v>
      </c>
      <c r="N3" s="2" t="s">
        <v>21</v>
      </c>
      <c r="O3" s="3" t="s">
        <v>68</v>
      </c>
      <c r="S3" t="s">
        <v>19</v>
      </c>
    </row>
    <row r="4" spans="1:19" x14ac:dyDescent="0.35">
      <c r="A4" s="4">
        <v>45300</v>
      </c>
      <c r="B4" s="2" t="s">
        <v>310</v>
      </c>
      <c r="D4" s="2" t="s">
        <v>195</v>
      </c>
      <c r="E4" s="2" t="s">
        <v>196</v>
      </c>
      <c r="F4" s="5" t="str">
        <f t="shared" si="0"/>
        <v>S/F FRO20240086253 CORREOS</v>
      </c>
      <c r="G4" s="12">
        <f t="shared" si="1"/>
        <v>5.2066115702479339</v>
      </c>
      <c r="H4">
        <v>21</v>
      </c>
      <c r="I4" s="5">
        <f t="shared" si="2"/>
        <v>1.0933884297520662</v>
      </c>
      <c r="J4" s="5">
        <f t="shared" si="3"/>
        <v>5.2066115702479339</v>
      </c>
      <c r="L4" s="5">
        <f t="shared" si="4"/>
        <v>0</v>
      </c>
      <c r="M4" s="8">
        <v>6.3</v>
      </c>
      <c r="N4" s="2" t="s">
        <v>113</v>
      </c>
      <c r="O4" s="3" t="s">
        <v>64</v>
      </c>
      <c r="S4" t="s">
        <v>19</v>
      </c>
    </row>
    <row r="5" spans="1:19" x14ac:dyDescent="0.35">
      <c r="A5" s="4">
        <v>45301</v>
      </c>
      <c r="B5" s="2" t="s">
        <v>311</v>
      </c>
      <c r="D5" s="2" t="s">
        <v>103</v>
      </c>
      <c r="E5" s="2" t="s">
        <v>312</v>
      </c>
      <c r="F5" s="5" t="str">
        <f t="shared" si="0"/>
        <v>S/F DS-ASE-INV-ES-2024-3293519 CLEVERSTUFF INTERNATIONAL</v>
      </c>
      <c r="G5" s="12">
        <f t="shared" si="1"/>
        <v>94.206611570247929</v>
      </c>
      <c r="H5">
        <v>21</v>
      </c>
      <c r="I5" s="5">
        <f t="shared" si="2"/>
        <v>19.783388429752065</v>
      </c>
      <c r="J5" s="5">
        <f t="shared" si="3"/>
        <v>94.206611570247929</v>
      </c>
      <c r="L5" s="5">
        <f t="shared" si="4"/>
        <v>0</v>
      </c>
      <c r="M5" s="8">
        <v>113.99</v>
      </c>
      <c r="N5" s="2" t="s">
        <v>21</v>
      </c>
      <c r="O5" s="3" t="s">
        <v>63</v>
      </c>
      <c r="S5" t="s">
        <v>19</v>
      </c>
    </row>
    <row r="6" spans="1:19" x14ac:dyDescent="0.35">
      <c r="A6" s="4">
        <v>45304</v>
      </c>
      <c r="B6" s="2" t="s">
        <v>313</v>
      </c>
      <c r="D6" s="2" t="s">
        <v>92</v>
      </c>
      <c r="E6" s="2" t="s">
        <v>93</v>
      </c>
      <c r="F6" s="5" t="str">
        <f t="shared" si="0"/>
        <v>S/F 1/351/20/238340 BAUHAUS</v>
      </c>
      <c r="G6" s="12">
        <f t="shared" si="1"/>
        <v>120.62809917355374</v>
      </c>
      <c r="H6">
        <v>21</v>
      </c>
      <c r="I6" s="5">
        <f t="shared" si="2"/>
        <v>25.331900826446287</v>
      </c>
      <c r="J6" s="5">
        <f t="shared" si="3"/>
        <v>120.62809917355374</v>
      </c>
      <c r="L6" s="5">
        <f t="shared" si="4"/>
        <v>0</v>
      </c>
      <c r="M6" s="8">
        <v>145.96</v>
      </c>
      <c r="N6" s="2" t="s">
        <v>21</v>
      </c>
      <c r="O6" s="3" t="s">
        <v>63</v>
      </c>
      <c r="S6" t="s">
        <v>19</v>
      </c>
    </row>
    <row r="7" spans="1:19" x14ac:dyDescent="0.35">
      <c r="A7" s="4">
        <v>45299</v>
      </c>
      <c r="B7" s="2" t="s">
        <v>198</v>
      </c>
      <c r="D7" s="2" t="s">
        <v>314</v>
      </c>
      <c r="E7" s="2" t="s">
        <v>315</v>
      </c>
      <c r="F7" s="5" t="str">
        <f t="shared" si="0"/>
        <v>S/F 23 LA NEU DE BENAS SL</v>
      </c>
      <c r="G7" s="12">
        <f t="shared" si="1"/>
        <v>427.27272727272725</v>
      </c>
      <c r="H7">
        <v>10</v>
      </c>
      <c r="I7" s="5">
        <f t="shared" si="2"/>
        <v>42.72727272727272</v>
      </c>
      <c r="J7" s="5">
        <f t="shared" si="3"/>
        <v>427.27272727272725</v>
      </c>
      <c r="L7" s="5">
        <f t="shared" si="4"/>
        <v>0</v>
      </c>
      <c r="M7" s="8">
        <v>470</v>
      </c>
      <c r="N7" s="2" t="s">
        <v>108</v>
      </c>
      <c r="S7" t="s">
        <v>19</v>
      </c>
    </row>
    <row r="8" spans="1:19" x14ac:dyDescent="0.35">
      <c r="A8" s="4">
        <v>45302</v>
      </c>
      <c r="B8" s="2" t="s">
        <v>317</v>
      </c>
      <c r="D8" s="2" t="s">
        <v>27</v>
      </c>
      <c r="E8" s="2" t="s">
        <v>301</v>
      </c>
      <c r="F8" s="5" t="str">
        <f t="shared" si="0"/>
        <v xml:space="preserve">S/F 2024/000012 PADRISA </v>
      </c>
      <c r="G8" s="12">
        <f t="shared" si="1"/>
        <v>801.37190082644622</v>
      </c>
      <c r="H8">
        <v>21</v>
      </c>
      <c r="I8" s="5">
        <f t="shared" si="2"/>
        <v>168.28809917355372</v>
      </c>
      <c r="J8" s="5">
        <f t="shared" si="3"/>
        <v>801.37190082644622</v>
      </c>
      <c r="L8" s="5">
        <f t="shared" si="4"/>
        <v>0</v>
      </c>
      <c r="M8" s="8">
        <v>969.66</v>
      </c>
      <c r="N8" s="2" t="s">
        <v>53</v>
      </c>
      <c r="O8" s="3" t="s">
        <v>68</v>
      </c>
      <c r="S8" t="s">
        <v>19</v>
      </c>
    </row>
    <row r="9" spans="1:19" x14ac:dyDescent="0.35">
      <c r="A9" s="4">
        <v>45295</v>
      </c>
      <c r="B9" s="2" t="s">
        <v>318</v>
      </c>
      <c r="D9" s="2" t="s">
        <v>319</v>
      </c>
      <c r="E9" s="2" t="s">
        <v>320</v>
      </c>
      <c r="F9" s="5" t="str">
        <f t="shared" si="0"/>
        <v>S/F 1 000001 FERRETERIA BOROX MONICA ROJAS MATEO</v>
      </c>
      <c r="G9" s="12">
        <f t="shared" si="1"/>
        <v>15.471074380165289</v>
      </c>
      <c r="H9">
        <v>21</v>
      </c>
      <c r="I9" s="5">
        <f t="shared" si="2"/>
        <v>3.2489256198347105</v>
      </c>
      <c r="J9" s="5">
        <f t="shared" si="3"/>
        <v>15.471074380165289</v>
      </c>
      <c r="L9" s="5">
        <f t="shared" si="4"/>
        <v>0</v>
      </c>
      <c r="M9" s="8">
        <v>18.72</v>
      </c>
      <c r="N9" s="2" t="s">
        <v>21</v>
      </c>
      <c r="O9" s="3" t="s">
        <v>63</v>
      </c>
      <c r="S9" t="s">
        <v>19</v>
      </c>
    </row>
    <row r="10" spans="1:19" x14ac:dyDescent="0.35">
      <c r="A10" s="4">
        <v>45300</v>
      </c>
      <c r="B10" s="2" t="s">
        <v>321</v>
      </c>
      <c r="D10" s="2" t="s">
        <v>322</v>
      </c>
      <c r="E10" s="2" t="s">
        <v>323</v>
      </c>
      <c r="F10" s="5" t="str">
        <f t="shared" si="0"/>
        <v>S/F 24000221 AUTOLYT SL</v>
      </c>
      <c r="G10" s="12">
        <f t="shared" si="1"/>
        <v>59.851239669421489</v>
      </c>
      <c r="H10">
        <v>21</v>
      </c>
      <c r="I10" s="5">
        <f t="shared" si="2"/>
        <v>12.568760330578511</v>
      </c>
      <c r="J10" s="5">
        <f t="shared" si="3"/>
        <v>59.851239669421489</v>
      </c>
      <c r="L10" s="5">
        <f t="shared" si="4"/>
        <v>0</v>
      </c>
      <c r="M10" s="8">
        <v>72.42</v>
      </c>
      <c r="N10" s="2" t="s">
        <v>22</v>
      </c>
      <c r="O10" s="3" t="s">
        <v>64</v>
      </c>
      <c r="S10" t="s">
        <v>19</v>
      </c>
    </row>
    <row r="11" spans="1:19" x14ac:dyDescent="0.35">
      <c r="A11" s="4">
        <v>45293</v>
      </c>
      <c r="B11" s="2" t="s">
        <v>324</v>
      </c>
      <c r="D11" s="2" t="s">
        <v>58</v>
      </c>
      <c r="E11" s="2" t="s">
        <v>325</v>
      </c>
      <c r="F11" s="5" t="str">
        <f t="shared" si="0"/>
        <v>S/F 007-0001-363669 BRICOLAJE BRICOMAN SL</v>
      </c>
      <c r="G11" s="12">
        <f t="shared" si="1"/>
        <v>9.9504132231404956</v>
      </c>
      <c r="H11">
        <v>21</v>
      </c>
      <c r="I11" s="5">
        <f t="shared" si="2"/>
        <v>2.089586776859504</v>
      </c>
      <c r="J11" s="5">
        <f t="shared" si="3"/>
        <v>9.9504132231404956</v>
      </c>
      <c r="L11" s="5">
        <f t="shared" si="4"/>
        <v>0</v>
      </c>
      <c r="M11" s="8">
        <v>12.04</v>
      </c>
      <c r="N11" s="2" t="s">
        <v>21</v>
      </c>
      <c r="O11" s="3" t="s">
        <v>64</v>
      </c>
      <c r="S11" t="s">
        <v>19</v>
      </c>
    </row>
    <row r="12" spans="1:19" x14ac:dyDescent="0.35">
      <c r="A12" s="4">
        <v>45301</v>
      </c>
      <c r="B12" s="2" t="s">
        <v>326</v>
      </c>
      <c r="D12" s="2" t="s">
        <v>94</v>
      </c>
      <c r="E12" s="2" t="s">
        <v>139</v>
      </c>
      <c r="F12" s="5" t="str">
        <f t="shared" si="0"/>
        <v>S/F VEN/20218274 BIGMAT</v>
      </c>
      <c r="G12" s="12">
        <f t="shared" si="1"/>
        <v>1326.9504132231405</v>
      </c>
      <c r="H12">
        <v>21</v>
      </c>
      <c r="I12" s="5">
        <f t="shared" si="2"/>
        <v>278.6595867768595</v>
      </c>
      <c r="J12" s="5">
        <f t="shared" si="3"/>
        <v>1326.9504132231405</v>
      </c>
      <c r="L12" s="5">
        <f t="shared" si="4"/>
        <v>0</v>
      </c>
      <c r="M12" s="8">
        <v>1605.61</v>
      </c>
      <c r="N12" s="2" t="s">
        <v>21</v>
      </c>
      <c r="O12" s="3" t="s">
        <v>65</v>
      </c>
      <c r="S12" t="s">
        <v>19</v>
      </c>
    </row>
    <row r="13" spans="1:19" x14ac:dyDescent="0.35">
      <c r="A13" s="4">
        <v>45300</v>
      </c>
      <c r="B13" s="2" t="s">
        <v>327</v>
      </c>
      <c r="D13" s="2" t="s">
        <v>89</v>
      </c>
      <c r="E13" s="2" t="s">
        <v>90</v>
      </c>
      <c r="F13" s="5" t="str">
        <f t="shared" si="0"/>
        <v>S/F E12002024000000098 GALP</v>
      </c>
      <c r="G13" s="12">
        <f t="shared" si="1"/>
        <v>41.32231404958678</v>
      </c>
      <c r="H13">
        <v>21</v>
      </c>
      <c r="I13" s="5">
        <f t="shared" si="2"/>
        <v>8.677685950413224</v>
      </c>
      <c r="J13" s="5">
        <f t="shared" si="3"/>
        <v>41.32231404958678</v>
      </c>
      <c r="L13" s="5">
        <f t="shared" si="4"/>
        <v>0</v>
      </c>
      <c r="M13" s="8">
        <v>50</v>
      </c>
      <c r="N13" s="2" t="s">
        <v>22</v>
      </c>
      <c r="O13" s="3" t="s">
        <v>63</v>
      </c>
      <c r="S13" t="s">
        <v>19</v>
      </c>
    </row>
    <row r="14" spans="1:19" x14ac:dyDescent="0.35">
      <c r="A14" s="4">
        <v>45292</v>
      </c>
      <c r="B14" s="2" t="s">
        <v>328</v>
      </c>
      <c r="D14" s="2" t="s">
        <v>89</v>
      </c>
      <c r="E14" s="2" t="s">
        <v>438</v>
      </c>
      <c r="F14" s="5" t="str">
        <f t="shared" si="0"/>
        <v xml:space="preserve">S/F E12002024000000042 GALP </v>
      </c>
      <c r="G14" s="12">
        <f t="shared" si="1"/>
        <v>24.793388429752067</v>
      </c>
      <c r="H14">
        <v>21</v>
      </c>
      <c r="I14" s="5">
        <f t="shared" si="2"/>
        <v>5.2066115702479339</v>
      </c>
      <c r="J14" s="5">
        <f t="shared" si="3"/>
        <v>24.793388429752067</v>
      </c>
      <c r="L14" s="5">
        <f t="shared" si="4"/>
        <v>0</v>
      </c>
      <c r="M14" s="8">
        <v>30</v>
      </c>
      <c r="N14" s="2" t="s">
        <v>22</v>
      </c>
      <c r="O14" s="3" t="s">
        <v>64</v>
      </c>
      <c r="S14" t="s">
        <v>19</v>
      </c>
    </row>
    <row r="15" spans="1:19" x14ac:dyDescent="0.35">
      <c r="A15" s="4">
        <v>45293</v>
      </c>
      <c r="B15" s="2" t="s">
        <v>329</v>
      </c>
      <c r="D15" s="2" t="s">
        <v>89</v>
      </c>
      <c r="E15" s="2" t="s">
        <v>90</v>
      </c>
      <c r="F15" s="5" t="str">
        <f t="shared" si="0"/>
        <v>S/F E12002024000000002 GALP</v>
      </c>
      <c r="G15" s="12">
        <f t="shared" si="1"/>
        <v>16.528925619834713</v>
      </c>
      <c r="H15">
        <v>21</v>
      </c>
      <c r="I15" s="5">
        <f t="shared" si="2"/>
        <v>3.4710743801652897</v>
      </c>
      <c r="J15" s="5">
        <f t="shared" si="3"/>
        <v>16.528925619834713</v>
      </c>
      <c r="L15" s="5">
        <f t="shared" si="4"/>
        <v>0</v>
      </c>
      <c r="M15" s="8">
        <v>20</v>
      </c>
      <c r="N15" s="2" t="s">
        <v>22</v>
      </c>
      <c r="O15" s="3" t="s">
        <v>64</v>
      </c>
      <c r="S15" t="s">
        <v>19</v>
      </c>
    </row>
    <row r="16" spans="1:19" x14ac:dyDescent="0.35">
      <c r="A16" s="4">
        <v>45638</v>
      </c>
      <c r="B16" s="2" t="s">
        <v>330</v>
      </c>
      <c r="D16" s="2" t="s">
        <v>99</v>
      </c>
      <c r="E16" s="2" t="s">
        <v>332</v>
      </c>
      <c r="F16" s="5" t="str">
        <f t="shared" si="0"/>
        <v>S/F 0010187508 E.S.RIVAS</v>
      </c>
      <c r="G16" s="12">
        <f t="shared" si="1"/>
        <v>79.727272727272734</v>
      </c>
      <c r="H16">
        <v>21</v>
      </c>
      <c r="I16" s="5">
        <f t="shared" si="2"/>
        <v>16.742727272727276</v>
      </c>
      <c r="J16" s="5">
        <f t="shared" si="3"/>
        <v>79.727272727272734</v>
      </c>
      <c r="L16" s="5">
        <f t="shared" si="4"/>
        <v>0</v>
      </c>
      <c r="M16" s="8">
        <v>96.47</v>
      </c>
      <c r="N16" s="2" t="s">
        <v>22</v>
      </c>
      <c r="O16" s="3" t="s">
        <v>64</v>
      </c>
      <c r="S16" t="s">
        <v>19</v>
      </c>
    </row>
    <row r="17" spans="1:19" x14ac:dyDescent="0.35">
      <c r="A17" s="4">
        <v>45293</v>
      </c>
      <c r="B17" s="2" t="s">
        <v>331</v>
      </c>
      <c r="D17" s="2" t="s">
        <v>99</v>
      </c>
      <c r="E17" s="2" t="s">
        <v>332</v>
      </c>
      <c r="F17" s="5" t="str">
        <f t="shared" si="0"/>
        <v>S/F 0010000733 E.S.RIVAS</v>
      </c>
      <c r="G17" s="12">
        <f t="shared" si="1"/>
        <v>98.173553719008268</v>
      </c>
      <c r="H17">
        <v>21</v>
      </c>
      <c r="I17" s="5">
        <f t="shared" si="2"/>
        <v>20.616446280991735</v>
      </c>
      <c r="J17" s="5">
        <f t="shared" si="3"/>
        <v>98.173553719008268</v>
      </c>
      <c r="L17" s="5">
        <f t="shared" si="4"/>
        <v>0</v>
      </c>
      <c r="M17" s="8">
        <v>118.79</v>
      </c>
      <c r="N17" s="2" t="s">
        <v>22</v>
      </c>
      <c r="O17" s="3" t="s">
        <v>64</v>
      </c>
      <c r="S17" t="s">
        <v>19</v>
      </c>
    </row>
    <row r="18" spans="1:19" x14ac:dyDescent="0.35">
      <c r="A18" s="4">
        <v>45306</v>
      </c>
      <c r="B18" s="2" t="s">
        <v>277</v>
      </c>
      <c r="D18" s="2" t="s">
        <v>278</v>
      </c>
      <c r="E18" s="2" t="s">
        <v>333</v>
      </c>
      <c r="F18" s="5" t="str">
        <f t="shared" si="0"/>
        <v>S/F 171 SALTOKI MURCIA</v>
      </c>
      <c r="G18" s="12">
        <f t="shared" si="1"/>
        <v>162.37190082644628</v>
      </c>
      <c r="H18">
        <v>21</v>
      </c>
      <c r="I18" s="5">
        <f t="shared" si="2"/>
        <v>34.09809917355372</v>
      </c>
      <c r="J18" s="5">
        <f t="shared" si="3"/>
        <v>162.37190082644628</v>
      </c>
      <c r="K18" s="5"/>
      <c r="L18" s="5">
        <f t="shared" si="4"/>
        <v>0</v>
      </c>
      <c r="M18" s="8">
        <v>196.47</v>
      </c>
      <c r="N18" s="2" t="s">
        <v>21</v>
      </c>
      <c r="O18" s="3" t="s">
        <v>65</v>
      </c>
      <c r="S18" t="s">
        <v>19</v>
      </c>
    </row>
    <row r="19" spans="1:19" x14ac:dyDescent="0.35">
      <c r="A19" s="4">
        <v>45306</v>
      </c>
      <c r="B19" s="2" t="s">
        <v>276</v>
      </c>
      <c r="D19" s="2" t="s">
        <v>278</v>
      </c>
      <c r="E19" s="2" t="s">
        <v>333</v>
      </c>
      <c r="F19" s="5" t="str">
        <f t="shared" si="0"/>
        <v>S/F 170 SALTOKI MURCIA</v>
      </c>
      <c r="G19" s="12">
        <f t="shared" si="1"/>
        <v>-175.51239669421489</v>
      </c>
      <c r="H19">
        <v>21</v>
      </c>
      <c r="I19" s="5">
        <f t="shared" si="2"/>
        <v>-36.857603305785126</v>
      </c>
      <c r="J19" s="5">
        <f t="shared" si="3"/>
        <v>-175.51239669421489</v>
      </c>
      <c r="L19" s="5">
        <f t="shared" si="4"/>
        <v>0</v>
      </c>
      <c r="M19" s="8">
        <v>-212.37</v>
      </c>
      <c r="N19" s="2" t="s">
        <v>21</v>
      </c>
      <c r="O19" s="3" t="s">
        <v>65</v>
      </c>
      <c r="S19" t="s">
        <v>19</v>
      </c>
    </row>
    <row r="20" spans="1:19" x14ac:dyDescent="0.35">
      <c r="A20" s="4">
        <v>45306</v>
      </c>
      <c r="B20" s="2" t="s">
        <v>334</v>
      </c>
      <c r="D20" s="2" t="s">
        <v>109</v>
      </c>
      <c r="E20" s="2" t="s">
        <v>42</v>
      </c>
      <c r="F20" s="5" t="str">
        <f t="shared" si="0"/>
        <v>S/F 24100314 DISCESUR</v>
      </c>
      <c r="G20" s="12">
        <f t="shared" si="1"/>
        <v>55.826446280991732</v>
      </c>
      <c r="H20">
        <v>21</v>
      </c>
      <c r="I20" s="5">
        <f t="shared" si="2"/>
        <v>11.723553719008263</v>
      </c>
      <c r="J20" s="5">
        <f t="shared" si="3"/>
        <v>55.826446280991732</v>
      </c>
      <c r="L20" s="5">
        <f t="shared" si="4"/>
        <v>0</v>
      </c>
      <c r="M20" s="8">
        <v>67.55</v>
      </c>
      <c r="N20" s="2" t="s">
        <v>21</v>
      </c>
      <c r="S20" t="s">
        <v>19</v>
      </c>
    </row>
    <row r="21" spans="1:19" x14ac:dyDescent="0.35">
      <c r="A21" s="4">
        <v>45306</v>
      </c>
      <c r="B21" s="2" t="s">
        <v>335</v>
      </c>
      <c r="D21" s="2" t="s">
        <v>109</v>
      </c>
      <c r="E21" s="2" t="s">
        <v>42</v>
      </c>
      <c r="F21" s="5" t="str">
        <f t="shared" si="0"/>
        <v>S/F 2410067 DISCESUR</v>
      </c>
      <c r="G21" s="12">
        <f t="shared" si="1"/>
        <v>-55.826446280991732</v>
      </c>
      <c r="H21">
        <v>21</v>
      </c>
      <c r="I21" s="5">
        <f t="shared" si="2"/>
        <v>-11.723553719008263</v>
      </c>
      <c r="J21" s="5">
        <f t="shared" si="3"/>
        <v>-55.826446280991732</v>
      </c>
      <c r="L21" s="5">
        <f t="shared" si="4"/>
        <v>0</v>
      </c>
      <c r="M21" s="8">
        <v>-67.55</v>
      </c>
      <c r="N21" s="2" t="s">
        <v>21</v>
      </c>
      <c r="S21" t="s">
        <v>19</v>
      </c>
    </row>
    <row r="22" spans="1:19" x14ac:dyDescent="0.35">
      <c r="A22" s="4">
        <v>45306</v>
      </c>
      <c r="B22" s="2" t="s">
        <v>336</v>
      </c>
      <c r="D22" s="2" t="s">
        <v>109</v>
      </c>
      <c r="E22" s="2" t="s">
        <v>42</v>
      </c>
      <c r="F22" s="5" t="str">
        <f t="shared" si="0"/>
        <v>S/F 24100315 DISCESUR</v>
      </c>
      <c r="G22" s="12">
        <f t="shared" si="1"/>
        <v>33.867768595041319</v>
      </c>
      <c r="H22">
        <v>21</v>
      </c>
      <c r="I22" s="5">
        <f t="shared" si="2"/>
        <v>7.1122314049586768</v>
      </c>
      <c r="J22" s="5">
        <f t="shared" si="3"/>
        <v>33.867768595041319</v>
      </c>
      <c r="L22" s="5">
        <f t="shared" si="4"/>
        <v>0</v>
      </c>
      <c r="M22" s="8">
        <v>40.98</v>
      </c>
      <c r="N22" s="2" t="s">
        <v>21</v>
      </c>
      <c r="S22" t="s">
        <v>19</v>
      </c>
    </row>
    <row r="23" spans="1:19" x14ac:dyDescent="0.35">
      <c r="A23" s="4">
        <v>45306</v>
      </c>
      <c r="B23" s="2" t="s">
        <v>337</v>
      </c>
      <c r="D23" s="2" t="s">
        <v>109</v>
      </c>
      <c r="E23" s="2" t="s">
        <v>42</v>
      </c>
      <c r="F23" s="5" t="str">
        <f t="shared" si="0"/>
        <v>S/F 24100316 DISCESUR</v>
      </c>
      <c r="G23" s="12">
        <f t="shared" si="1"/>
        <v>87.983471074380162</v>
      </c>
      <c r="H23">
        <v>21</v>
      </c>
      <c r="I23" s="5">
        <f t="shared" si="2"/>
        <v>18.476528925619835</v>
      </c>
      <c r="J23" s="5">
        <f t="shared" si="3"/>
        <v>87.983471074380162</v>
      </c>
      <c r="L23" s="5">
        <f t="shared" si="4"/>
        <v>0</v>
      </c>
      <c r="M23" s="8">
        <v>106.46</v>
      </c>
      <c r="N23" s="2" t="s">
        <v>21</v>
      </c>
      <c r="O23" s="3" t="s">
        <v>63</v>
      </c>
      <c r="S23" t="s">
        <v>19</v>
      </c>
    </row>
    <row r="24" spans="1:19" x14ac:dyDescent="0.35">
      <c r="A24" s="4">
        <v>45306</v>
      </c>
      <c r="B24" s="2" t="s">
        <v>343</v>
      </c>
      <c r="D24" s="2" t="s">
        <v>200</v>
      </c>
      <c r="E24" s="2" t="s">
        <v>186</v>
      </c>
      <c r="F24" s="5" t="str">
        <f t="shared" si="0"/>
        <v>S/F 0120112 I.D.F. SUMINISTROS INDUSTRIALES</v>
      </c>
      <c r="G24" s="12">
        <f t="shared" si="1"/>
        <v>40.743801652892557</v>
      </c>
      <c r="H24">
        <v>21</v>
      </c>
      <c r="I24" s="5">
        <f t="shared" si="2"/>
        <v>8.5561983471074363</v>
      </c>
      <c r="J24" s="5">
        <f t="shared" si="3"/>
        <v>40.743801652892557</v>
      </c>
      <c r="L24" s="5">
        <f t="shared" si="4"/>
        <v>0</v>
      </c>
      <c r="M24" s="8">
        <v>49.3</v>
      </c>
      <c r="N24" s="2" t="s">
        <v>21</v>
      </c>
      <c r="O24" s="3" t="s">
        <v>65</v>
      </c>
      <c r="S24" t="s">
        <v>19</v>
      </c>
    </row>
    <row r="25" spans="1:19" x14ac:dyDescent="0.35">
      <c r="A25" s="4">
        <v>45308</v>
      </c>
      <c r="B25" s="2" t="s">
        <v>344</v>
      </c>
      <c r="D25" s="2" t="s">
        <v>200</v>
      </c>
      <c r="E25" s="2" t="s">
        <v>186</v>
      </c>
      <c r="F25" s="5" t="str">
        <f t="shared" si="0"/>
        <v>S/F 2120586 I.D.F. SUMINISTROS INDUSTRIALES</v>
      </c>
      <c r="G25" s="12">
        <f t="shared" si="1"/>
        <v>-4.0413223140495864</v>
      </c>
      <c r="H25">
        <v>21</v>
      </c>
      <c r="I25" s="5">
        <f t="shared" si="2"/>
        <v>-0.84867768595041315</v>
      </c>
      <c r="J25" s="5">
        <f t="shared" si="3"/>
        <v>-4.0413223140495864</v>
      </c>
      <c r="L25" s="5">
        <f t="shared" si="4"/>
        <v>0</v>
      </c>
      <c r="M25" s="8">
        <v>-4.8899999999999997</v>
      </c>
      <c r="N25" s="2" t="s">
        <v>21</v>
      </c>
      <c r="O25" s="3" t="s">
        <v>64</v>
      </c>
      <c r="S25" t="s">
        <v>19</v>
      </c>
    </row>
    <row r="26" spans="1:19" x14ac:dyDescent="0.35">
      <c r="A26" s="4">
        <v>45308</v>
      </c>
      <c r="B26" s="2" t="s">
        <v>345</v>
      </c>
      <c r="D26" s="2" t="s">
        <v>346</v>
      </c>
      <c r="E26" s="2" t="s">
        <v>347</v>
      </c>
      <c r="F26" s="5" t="str">
        <f t="shared" si="0"/>
        <v>S/F 000009 ALCARRIA PLUVIALES CANALONES SLU</v>
      </c>
      <c r="G26" s="12">
        <f t="shared" si="1"/>
        <v>1678.3801652892562</v>
      </c>
      <c r="H26">
        <v>21</v>
      </c>
      <c r="I26" s="5">
        <f t="shared" si="2"/>
        <v>352.45983471074379</v>
      </c>
      <c r="J26" s="5">
        <f t="shared" si="3"/>
        <v>1678.3801652892562</v>
      </c>
      <c r="L26" s="5">
        <f t="shared" si="4"/>
        <v>0</v>
      </c>
      <c r="M26" s="8">
        <v>2030.84</v>
      </c>
      <c r="N26" s="2" t="s">
        <v>37</v>
      </c>
      <c r="O26" s="3" t="s">
        <v>68</v>
      </c>
      <c r="S26" t="s">
        <v>19</v>
      </c>
    </row>
    <row r="27" spans="1:19" x14ac:dyDescent="0.35">
      <c r="A27" s="4">
        <v>45303</v>
      </c>
      <c r="B27" s="2" t="s">
        <v>348</v>
      </c>
      <c r="D27" s="2" t="s">
        <v>132</v>
      </c>
      <c r="E27" s="2" t="s">
        <v>147</v>
      </c>
      <c r="F27" s="5" t="str">
        <f t="shared" si="0"/>
        <v>S/F A/470 AZULEJOS ROSA</v>
      </c>
      <c r="G27" s="12">
        <f t="shared" si="1"/>
        <v>569.52066115702485</v>
      </c>
      <c r="H27">
        <v>21</v>
      </c>
      <c r="I27" s="5">
        <f t="shared" si="2"/>
        <v>119.59933884297521</v>
      </c>
      <c r="J27" s="5">
        <f t="shared" si="3"/>
        <v>569.52066115702485</v>
      </c>
      <c r="L27" s="5">
        <f t="shared" si="4"/>
        <v>0</v>
      </c>
      <c r="M27" s="8">
        <v>689.12</v>
      </c>
      <c r="N27" s="2" t="s">
        <v>21</v>
      </c>
      <c r="O27" s="3" t="s">
        <v>68</v>
      </c>
      <c r="S27" t="s">
        <v>19</v>
      </c>
    </row>
    <row r="28" spans="1:19" x14ac:dyDescent="0.35">
      <c r="A28" s="4">
        <v>45303</v>
      </c>
      <c r="B28" s="2" t="s">
        <v>349</v>
      </c>
      <c r="D28" s="2" t="s">
        <v>132</v>
      </c>
      <c r="E28" s="2" t="s">
        <v>147</v>
      </c>
      <c r="F28" s="5" t="str">
        <f t="shared" si="0"/>
        <v>S/F A/487 AZULEJOS ROSA</v>
      </c>
      <c r="G28" s="12">
        <f t="shared" si="1"/>
        <v>569.52066115702485</v>
      </c>
      <c r="H28">
        <v>21</v>
      </c>
      <c r="I28" s="5">
        <f t="shared" si="2"/>
        <v>119.59933884297521</v>
      </c>
      <c r="J28" s="5">
        <f t="shared" si="3"/>
        <v>569.52066115702485</v>
      </c>
      <c r="L28" s="5">
        <f t="shared" si="4"/>
        <v>0</v>
      </c>
      <c r="M28" s="8">
        <v>689.12</v>
      </c>
      <c r="N28" s="2" t="s">
        <v>21</v>
      </c>
      <c r="O28" s="3" t="s">
        <v>68</v>
      </c>
      <c r="S28" t="s">
        <v>19</v>
      </c>
    </row>
    <row r="29" spans="1:19" x14ac:dyDescent="0.35">
      <c r="A29" s="4">
        <v>45309</v>
      </c>
      <c r="B29" s="2" t="s">
        <v>183</v>
      </c>
      <c r="D29" s="2" t="s">
        <v>145</v>
      </c>
      <c r="E29" s="2" t="s">
        <v>146</v>
      </c>
      <c r="F29" s="5" t="str">
        <f t="shared" si="0"/>
        <v>S/F 02 DAVID MARGIN</v>
      </c>
      <c r="G29" s="12">
        <f t="shared" si="1"/>
        <v>400</v>
      </c>
      <c r="H29">
        <v>21</v>
      </c>
      <c r="I29" s="5">
        <f t="shared" si="2"/>
        <v>84</v>
      </c>
      <c r="J29" s="5">
        <f t="shared" si="3"/>
        <v>400</v>
      </c>
      <c r="L29" s="5">
        <f t="shared" si="4"/>
        <v>0</v>
      </c>
      <c r="M29" s="8">
        <v>484</v>
      </c>
      <c r="N29" s="2" t="s">
        <v>37</v>
      </c>
      <c r="O29" s="3" t="s">
        <v>68</v>
      </c>
      <c r="S29" t="s">
        <v>19</v>
      </c>
    </row>
    <row r="30" spans="1:19" x14ac:dyDescent="0.35">
      <c r="A30" s="4">
        <v>45306</v>
      </c>
      <c r="B30" s="2" t="s">
        <v>350</v>
      </c>
      <c r="D30" s="2" t="s">
        <v>254</v>
      </c>
      <c r="E30" s="2" t="s">
        <v>351</v>
      </c>
      <c r="F30" s="5" t="str">
        <f t="shared" si="0"/>
        <v>S/F 406400049 BPV SUMINISTROS ELECTRICOS VALDEMORO</v>
      </c>
      <c r="G30" s="12">
        <f t="shared" si="1"/>
        <v>402.85950413223139</v>
      </c>
      <c r="H30">
        <v>21</v>
      </c>
      <c r="I30" s="5">
        <f t="shared" si="2"/>
        <v>84.600495867768586</v>
      </c>
      <c r="J30" s="5">
        <f t="shared" si="3"/>
        <v>402.85950413223139</v>
      </c>
      <c r="L30" s="5">
        <f t="shared" si="4"/>
        <v>0</v>
      </c>
      <c r="M30" s="8">
        <v>487.46</v>
      </c>
      <c r="N30" s="2" t="s">
        <v>21</v>
      </c>
      <c r="O30" s="3" t="s">
        <v>65</v>
      </c>
      <c r="S30" t="s">
        <v>19</v>
      </c>
    </row>
    <row r="31" spans="1:19" x14ac:dyDescent="0.35">
      <c r="A31" s="4">
        <v>45311</v>
      </c>
      <c r="B31" s="2" t="s">
        <v>354</v>
      </c>
      <c r="D31" s="2" t="s">
        <v>25</v>
      </c>
      <c r="E31" s="2" t="s">
        <v>355</v>
      </c>
      <c r="F31" s="5" t="str">
        <f t="shared" si="0"/>
        <v xml:space="preserve">S/F 14855 SALTOKI   </v>
      </c>
      <c r="G31" s="12">
        <f t="shared" si="1"/>
        <v>292.63636363636363</v>
      </c>
      <c r="H31">
        <v>21</v>
      </c>
      <c r="I31" s="5">
        <f t="shared" si="2"/>
        <v>61.453636363636363</v>
      </c>
      <c r="J31" s="5">
        <f t="shared" si="3"/>
        <v>292.63636363636363</v>
      </c>
      <c r="L31" s="5">
        <f t="shared" si="4"/>
        <v>0</v>
      </c>
      <c r="M31" s="8">
        <v>354.09</v>
      </c>
      <c r="N31" s="2" t="s">
        <v>21</v>
      </c>
      <c r="O31" s="3" t="s">
        <v>65</v>
      </c>
      <c r="S31" t="s">
        <v>19</v>
      </c>
    </row>
    <row r="32" spans="1:19" x14ac:dyDescent="0.35">
      <c r="A32" s="4">
        <v>45311</v>
      </c>
      <c r="B32" s="2" t="s">
        <v>356</v>
      </c>
      <c r="D32" s="2" t="s">
        <v>94</v>
      </c>
      <c r="E32" s="2" t="s">
        <v>139</v>
      </c>
      <c r="F32" s="5" t="str">
        <f t="shared" si="0"/>
        <v>S/F VEN/20220788 BIGMAT</v>
      </c>
      <c r="G32" s="12">
        <f t="shared" si="1"/>
        <v>2510.4380165289258</v>
      </c>
      <c r="H32">
        <v>21</v>
      </c>
      <c r="I32" s="5">
        <f t="shared" si="2"/>
        <v>527.19198347107442</v>
      </c>
      <c r="J32" s="5">
        <f t="shared" si="3"/>
        <v>2510.4380165289258</v>
      </c>
      <c r="L32" s="5">
        <f t="shared" si="4"/>
        <v>0</v>
      </c>
      <c r="M32" s="8">
        <v>3037.63</v>
      </c>
      <c r="N32" s="2" t="s">
        <v>21</v>
      </c>
      <c r="O32" s="3" t="s">
        <v>65</v>
      </c>
      <c r="S32" t="s">
        <v>19</v>
      </c>
    </row>
    <row r="33" spans="1:19" x14ac:dyDescent="0.35">
      <c r="A33" s="4">
        <v>45293</v>
      </c>
      <c r="B33" s="2" t="s">
        <v>357</v>
      </c>
      <c r="D33" s="2" t="s">
        <v>132</v>
      </c>
      <c r="E33" s="2" t="s">
        <v>147</v>
      </c>
      <c r="F33" s="5" t="str">
        <f t="shared" si="0"/>
        <v>S/F A/24 AZULEJOS ROSA</v>
      </c>
      <c r="G33" s="12">
        <f t="shared" si="1"/>
        <v>3053</v>
      </c>
      <c r="H33">
        <v>21</v>
      </c>
      <c r="I33" s="5">
        <f t="shared" si="2"/>
        <v>641.13</v>
      </c>
      <c r="J33" s="5">
        <f t="shared" si="3"/>
        <v>3053</v>
      </c>
      <c r="L33" s="5">
        <f t="shared" si="4"/>
        <v>0</v>
      </c>
      <c r="M33" s="8">
        <v>3694.13</v>
      </c>
      <c r="N33" s="2" t="s">
        <v>21</v>
      </c>
      <c r="O33" s="3" t="s">
        <v>68</v>
      </c>
      <c r="S33" t="s">
        <v>19</v>
      </c>
    </row>
    <row r="34" spans="1:19" x14ac:dyDescent="0.35">
      <c r="A34" s="4">
        <v>45309</v>
      </c>
      <c r="B34" s="2" t="s">
        <v>365</v>
      </c>
      <c r="D34" s="2" t="s">
        <v>170</v>
      </c>
      <c r="E34" s="2" t="s">
        <v>171</v>
      </c>
      <c r="F34" s="5" t="str">
        <f t="shared" si="0"/>
        <v>S/F E19F/3406 MOTOCARD</v>
      </c>
      <c r="G34" s="12">
        <f t="shared" si="1"/>
        <v>105.66115702479338</v>
      </c>
      <c r="H34">
        <v>21</v>
      </c>
      <c r="I34" s="5">
        <f t="shared" si="2"/>
        <v>22.188842975206612</v>
      </c>
      <c r="J34" s="5">
        <f t="shared" si="3"/>
        <v>105.66115702479338</v>
      </c>
      <c r="L34" s="5">
        <f t="shared" si="4"/>
        <v>0</v>
      </c>
      <c r="M34" s="8">
        <v>127.85</v>
      </c>
      <c r="N34" s="2" t="s">
        <v>21</v>
      </c>
      <c r="O34" s="3" t="s">
        <v>63</v>
      </c>
      <c r="S34" t="s">
        <v>19</v>
      </c>
    </row>
    <row r="35" spans="1:19" x14ac:dyDescent="0.35">
      <c r="A35" s="4">
        <v>45316</v>
      </c>
      <c r="B35" s="2" t="s">
        <v>366</v>
      </c>
      <c r="D35" s="2" t="s">
        <v>80</v>
      </c>
      <c r="E35" s="2" t="s">
        <v>367</v>
      </c>
      <c r="F35" s="5" t="str">
        <f t="shared" si="0"/>
        <v xml:space="preserve">S/F FM0043762 GRUPO VERALIA </v>
      </c>
      <c r="G35" s="12">
        <f t="shared" si="1"/>
        <v>26.776859504132229</v>
      </c>
      <c r="H35">
        <v>21</v>
      </c>
      <c r="I35" s="5">
        <f t="shared" si="2"/>
        <v>5.6231404958677684</v>
      </c>
      <c r="J35" s="5">
        <f t="shared" si="3"/>
        <v>26.776859504132229</v>
      </c>
      <c r="L35" s="5">
        <f t="shared" si="4"/>
        <v>0</v>
      </c>
      <c r="M35" s="8">
        <v>32.4</v>
      </c>
      <c r="N35" s="2" t="s">
        <v>21</v>
      </c>
      <c r="O35" s="3" t="s">
        <v>65</v>
      </c>
      <c r="S35" t="s">
        <v>19</v>
      </c>
    </row>
    <row r="36" spans="1:19" x14ac:dyDescent="0.35">
      <c r="A36" s="4">
        <v>45313</v>
      </c>
      <c r="B36" s="2" t="s">
        <v>368</v>
      </c>
      <c r="D36" s="2" t="s">
        <v>112</v>
      </c>
      <c r="E36" s="2" t="s">
        <v>114</v>
      </c>
      <c r="F36" s="5" t="str">
        <f t="shared" si="0"/>
        <v>S/F 2024/16 LIVIU COSMIN JULA ANDREICA</v>
      </c>
      <c r="G36" s="12">
        <f t="shared" si="1"/>
        <v>900</v>
      </c>
      <c r="H36">
        <v>21</v>
      </c>
      <c r="I36" s="5">
        <f t="shared" si="2"/>
        <v>189</v>
      </c>
      <c r="J36" s="5">
        <f t="shared" si="3"/>
        <v>900</v>
      </c>
      <c r="L36" s="5">
        <f t="shared" si="4"/>
        <v>0</v>
      </c>
      <c r="M36" s="8">
        <v>1089</v>
      </c>
      <c r="N36" s="2" t="s">
        <v>56</v>
      </c>
      <c r="O36" s="3" t="s">
        <v>64</v>
      </c>
      <c r="S36" t="s">
        <v>19</v>
      </c>
    </row>
    <row r="37" spans="1:19" x14ac:dyDescent="0.35">
      <c r="A37" s="4">
        <v>45303</v>
      </c>
      <c r="B37" s="2" t="s">
        <v>369</v>
      </c>
      <c r="D37" s="2" t="s">
        <v>51</v>
      </c>
      <c r="E37" s="2" t="s">
        <v>219</v>
      </c>
      <c r="F37" s="5" t="str">
        <f t="shared" si="0"/>
        <v>S/F 4 2002 V.C.F.L CARPINTERIA SLU</v>
      </c>
      <c r="G37" s="12">
        <f t="shared" si="1"/>
        <v>1000</v>
      </c>
      <c r="H37">
        <v>21</v>
      </c>
      <c r="I37" s="5">
        <f t="shared" si="2"/>
        <v>210</v>
      </c>
      <c r="J37" s="5">
        <f t="shared" si="3"/>
        <v>1000</v>
      </c>
      <c r="L37" s="5">
        <f t="shared" si="4"/>
        <v>0</v>
      </c>
      <c r="M37" s="8">
        <v>1210</v>
      </c>
      <c r="N37" s="2" t="s">
        <v>37</v>
      </c>
      <c r="O37" s="3" t="s">
        <v>68</v>
      </c>
      <c r="S37" t="s">
        <v>19</v>
      </c>
    </row>
    <row r="38" spans="1:19" x14ac:dyDescent="0.35">
      <c r="A38" s="4">
        <v>45315</v>
      </c>
      <c r="B38" s="2" t="s">
        <v>370</v>
      </c>
      <c r="D38" s="2" t="s">
        <v>94</v>
      </c>
      <c r="E38" s="2" t="s">
        <v>139</v>
      </c>
      <c r="F38" s="5" t="str">
        <f t="shared" si="0"/>
        <v>S/F 00002-2024/A0103/00001424 BIGMAT</v>
      </c>
      <c r="G38" s="12">
        <f t="shared" si="1"/>
        <v>72.388429752066116</v>
      </c>
      <c r="H38">
        <v>21</v>
      </c>
      <c r="I38" s="5">
        <f t="shared" si="2"/>
        <v>15.201570247933885</v>
      </c>
      <c r="J38" s="5">
        <f t="shared" si="3"/>
        <v>72.388429752066116</v>
      </c>
      <c r="L38" s="5">
        <f t="shared" si="4"/>
        <v>0</v>
      </c>
      <c r="M38" s="8">
        <v>87.59</v>
      </c>
      <c r="N38" s="2" t="s">
        <v>21</v>
      </c>
      <c r="O38" s="3" t="s">
        <v>63</v>
      </c>
      <c r="S38" t="s">
        <v>19</v>
      </c>
    </row>
    <row r="39" spans="1:19" x14ac:dyDescent="0.35">
      <c r="A39" s="4">
        <v>45314</v>
      </c>
      <c r="B39" s="2" t="s">
        <v>371</v>
      </c>
      <c r="D39" s="2" t="s">
        <v>58</v>
      </c>
      <c r="E39" s="2" t="s">
        <v>325</v>
      </c>
      <c r="F39" s="5" t="str">
        <f t="shared" si="0"/>
        <v>S/F 018-0001-168346 BRICOLAJE BRICOMAN SL</v>
      </c>
      <c r="G39" s="12">
        <f t="shared" si="1"/>
        <v>19.297520661157026</v>
      </c>
      <c r="H39">
        <v>21</v>
      </c>
      <c r="I39" s="5">
        <f t="shared" si="2"/>
        <v>4.052479338842975</v>
      </c>
      <c r="J39" s="5">
        <f t="shared" si="3"/>
        <v>19.297520661157026</v>
      </c>
      <c r="L39" s="5">
        <f t="shared" si="4"/>
        <v>0</v>
      </c>
      <c r="M39" s="8">
        <v>23.35</v>
      </c>
      <c r="N39" s="2" t="s">
        <v>21</v>
      </c>
      <c r="O39" s="3" t="s">
        <v>63</v>
      </c>
      <c r="S39" t="s">
        <v>19</v>
      </c>
    </row>
    <row r="40" spans="1:19" x14ac:dyDescent="0.35">
      <c r="A40" s="4">
        <v>45314</v>
      </c>
      <c r="B40" s="2" t="s">
        <v>372</v>
      </c>
      <c r="D40" s="2" t="s">
        <v>58</v>
      </c>
      <c r="E40" s="2" t="s">
        <v>325</v>
      </c>
      <c r="F40" s="5" t="str">
        <f t="shared" si="0"/>
        <v>S/F 018-0001-168330 BRICOLAJE BRICOMAN SL</v>
      </c>
      <c r="G40" s="12">
        <f t="shared" si="1"/>
        <v>46.735537190082646</v>
      </c>
      <c r="H40">
        <v>21</v>
      </c>
      <c r="I40" s="5">
        <f t="shared" si="2"/>
        <v>9.8144628099173552</v>
      </c>
      <c r="J40" s="5">
        <f t="shared" si="3"/>
        <v>46.735537190082646</v>
      </c>
      <c r="L40" s="5">
        <f t="shared" si="4"/>
        <v>0</v>
      </c>
      <c r="M40" s="8">
        <v>56.55</v>
      </c>
      <c r="N40" s="2" t="s">
        <v>21</v>
      </c>
      <c r="O40" s="3" t="s">
        <v>63</v>
      </c>
      <c r="S40" t="s">
        <v>19</v>
      </c>
    </row>
    <row r="41" spans="1:19" x14ac:dyDescent="0.35">
      <c r="A41" s="4">
        <v>45313</v>
      </c>
      <c r="B41" s="2" t="s">
        <v>373</v>
      </c>
      <c r="D41" s="2" t="s">
        <v>58</v>
      </c>
      <c r="E41" s="2" t="s">
        <v>325</v>
      </c>
      <c r="F41" s="5" t="str">
        <f t="shared" si="0"/>
        <v>S/F 012-0001-599998 BRICOLAJE BRICOMAN SL</v>
      </c>
      <c r="G41" s="12">
        <f t="shared" si="1"/>
        <v>145.70247933884298</v>
      </c>
      <c r="H41">
        <v>21</v>
      </c>
      <c r="I41" s="5">
        <f t="shared" si="2"/>
        <v>30.597520661157024</v>
      </c>
      <c r="J41" s="5">
        <f t="shared" si="3"/>
        <v>145.70247933884298</v>
      </c>
      <c r="L41" s="5">
        <f t="shared" si="4"/>
        <v>0</v>
      </c>
      <c r="M41" s="8">
        <v>176.3</v>
      </c>
      <c r="N41" s="2" t="s">
        <v>21</v>
      </c>
      <c r="O41" s="3" t="s">
        <v>63</v>
      </c>
      <c r="S41" t="s">
        <v>19</v>
      </c>
    </row>
    <row r="42" spans="1:19" x14ac:dyDescent="0.35">
      <c r="A42" s="4">
        <v>45304</v>
      </c>
      <c r="B42" s="2" t="s">
        <v>374</v>
      </c>
      <c r="D42" s="2" t="s">
        <v>132</v>
      </c>
      <c r="E42" s="2" t="s">
        <v>147</v>
      </c>
      <c r="F42" s="5" t="str">
        <f t="shared" si="0"/>
        <v>S/F A/525 AZULEJOS ROSA</v>
      </c>
      <c r="G42" s="12">
        <f t="shared" si="1"/>
        <v>202.29752066115702</v>
      </c>
      <c r="H42">
        <v>21</v>
      </c>
      <c r="I42" s="5">
        <f t="shared" si="2"/>
        <v>42.482479338842978</v>
      </c>
      <c r="J42" s="5">
        <f t="shared" si="3"/>
        <v>202.29752066115702</v>
      </c>
      <c r="L42" s="5">
        <f t="shared" si="4"/>
        <v>0</v>
      </c>
      <c r="M42" s="8">
        <v>244.78</v>
      </c>
      <c r="N42" s="2" t="s">
        <v>21</v>
      </c>
      <c r="O42" s="3" t="s">
        <v>63</v>
      </c>
      <c r="S42" t="s">
        <v>19</v>
      </c>
    </row>
    <row r="43" spans="1:19" x14ac:dyDescent="0.35">
      <c r="A43" s="4">
        <v>45301</v>
      </c>
      <c r="B43" s="2" t="s">
        <v>375</v>
      </c>
      <c r="D43" s="2" t="s">
        <v>272</v>
      </c>
      <c r="E43" s="2" t="s">
        <v>376</v>
      </c>
      <c r="F43" s="5" t="str">
        <f t="shared" si="0"/>
        <v>S/F FT124/54 MANGAMAT MATERIALES DE CONSTR.</v>
      </c>
      <c r="G43" s="12">
        <f t="shared" si="1"/>
        <v>15.71900826446281</v>
      </c>
      <c r="H43">
        <v>21</v>
      </c>
      <c r="I43" s="5">
        <f t="shared" si="2"/>
        <v>3.3009917355371901</v>
      </c>
      <c r="J43" s="5">
        <f t="shared" si="3"/>
        <v>15.71900826446281</v>
      </c>
      <c r="L43" s="5">
        <f t="shared" si="4"/>
        <v>0</v>
      </c>
      <c r="M43" s="8">
        <v>19.02</v>
      </c>
      <c r="N43" s="2" t="s">
        <v>21</v>
      </c>
      <c r="S43" t="s">
        <v>19</v>
      </c>
    </row>
    <row r="44" spans="1:19" x14ac:dyDescent="0.35">
      <c r="A44" s="4">
        <v>45300</v>
      </c>
      <c r="B44" s="2" t="s">
        <v>377</v>
      </c>
      <c r="D44" s="2" t="s">
        <v>272</v>
      </c>
      <c r="E44" s="2" t="s">
        <v>376</v>
      </c>
      <c r="F44" s="5" t="str">
        <f t="shared" si="0"/>
        <v>S/F FT124/36 MANGAMAT MATERIALES DE CONSTR.</v>
      </c>
      <c r="G44" s="12">
        <f t="shared" si="1"/>
        <v>11.289256198347108</v>
      </c>
      <c r="H44">
        <v>21</v>
      </c>
      <c r="I44" s="5">
        <f t="shared" si="2"/>
        <v>2.3707438016528926</v>
      </c>
      <c r="J44" s="5">
        <f t="shared" si="3"/>
        <v>11.289256198347108</v>
      </c>
      <c r="L44" s="5">
        <f t="shared" si="4"/>
        <v>0</v>
      </c>
      <c r="M44" s="8">
        <v>13.66</v>
      </c>
      <c r="N44" s="2" t="s">
        <v>21</v>
      </c>
      <c r="S44" t="s">
        <v>19</v>
      </c>
    </row>
    <row r="45" spans="1:19" x14ac:dyDescent="0.35">
      <c r="A45" s="4">
        <v>45302</v>
      </c>
      <c r="B45" s="2" t="s">
        <v>378</v>
      </c>
      <c r="D45" s="2" t="s">
        <v>272</v>
      </c>
      <c r="E45" s="2" t="s">
        <v>376</v>
      </c>
      <c r="F45" s="5" t="str">
        <f t="shared" si="0"/>
        <v>S/F FT124/58 MANGAMAT MATERIALES DE CONSTR.</v>
      </c>
      <c r="G45" s="12">
        <f t="shared" si="1"/>
        <v>2.9669421487603307</v>
      </c>
      <c r="H45">
        <v>21</v>
      </c>
      <c r="I45" s="5">
        <f t="shared" si="2"/>
        <v>0.62305785123966939</v>
      </c>
      <c r="J45" s="5">
        <f t="shared" si="3"/>
        <v>2.9669421487603307</v>
      </c>
      <c r="L45" s="5">
        <f t="shared" si="4"/>
        <v>0</v>
      </c>
      <c r="M45" s="8">
        <v>3.59</v>
      </c>
      <c r="N45" s="2" t="s">
        <v>21</v>
      </c>
      <c r="S45" t="s">
        <v>19</v>
      </c>
    </row>
    <row r="46" spans="1:19" x14ac:dyDescent="0.35">
      <c r="A46" s="4">
        <v>45294</v>
      </c>
      <c r="B46" s="2" t="s">
        <v>379</v>
      </c>
      <c r="D46" s="2" t="s">
        <v>58</v>
      </c>
      <c r="E46" s="2" t="s">
        <v>325</v>
      </c>
      <c r="F46" s="5" t="str">
        <f t="shared" si="0"/>
        <v>S/F 012-0001-550035 BRICOLAJE BRICOMAN SL</v>
      </c>
      <c r="G46" s="12">
        <f t="shared" si="1"/>
        <v>207.67768595041323</v>
      </c>
      <c r="H46">
        <v>21</v>
      </c>
      <c r="I46" s="5">
        <f t="shared" si="2"/>
        <v>43.612314049586779</v>
      </c>
      <c r="J46" s="5">
        <f t="shared" si="3"/>
        <v>207.67768595041323</v>
      </c>
      <c r="L46" s="5">
        <f t="shared" si="4"/>
        <v>0</v>
      </c>
      <c r="M46" s="8">
        <v>251.29</v>
      </c>
      <c r="N46" s="2" t="s">
        <v>21</v>
      </c>
      <c r="O46" s="3" t="s">
        <v>63</v>
      </c>
      <c r="S46" t="s">
        <v>19</v>
      </c>
    </row>
    <row r="47" spans="1:19" x14ac:dyDescent="0.35">
      <c r="A47" s="4">
        <v>45294</v>
      </c>
      <c r="B47" s="2" t="s">
        <v>204</v>
      </c>
      <c r="D47" s="2" t="s">
        <v>240</v>
      </c>
      <c r="E47" s="2" t="s">
        <v>380</v>
      </c>
      <c r="F47" s="5" t="str">
        <f t="shared" si="0"/>
        <v>S/F 24 ESCAYOLAS Y AISLAMIENTOS VILLAVERDE</v>
      </c>
      <c r="G47" s="12">
        <f t="shared" si="1"/>
        <v>38.190082644628099</v>
      </c>
      <c r="H47">
        <v>21</v>
      </c>
      <c r="I47" s="5">
        <f t="shared" si="2"/>
        <v>8.0199173553719003</v>
      </c>
      <c r="J47" s="5">
        <f t="shared" si="3"/>
        <v>38.190082644628099</v>
      </c>
      <c r="K47" s="5"/>
      <c r="L47" s="5">
        <f t="shared" si="4"/>
        <v>0</v>
      </c>
      <c r="M47" s="8">
        <v>46.21</v>
      </c>
      <c r="N47" s="2" t="s">
        <v>21</v>
      </c>
      <c r="O47" s="3" t="s">
        <v>63</v>
      </c>
      <c r="S47" t="s">
        <v>19</v>
      </c>
    </row>
    <row r="48" spans="1:19" x14ac:dyDescent="0.35">
      <c r="A48" s="4">
        <v>45293</v>
      </c>
      <c r="B48" s="2" t="s">
        <v>381</v>
      </c>
      <c r="D48" s="2" t="s">
        <v>94</v>
      </c>
      <c r="E48" s="2" t="s">
        <v>139</v>
      </c>
      <c r="F48" s="5" t="str">
        <f t="shared" si="0"/>
        <v>S/F 00002-2024/A0103/00000054 BIGMAT</v>
      </c>
      <c r="G48" s="12">
        <f t="shared" si="1"/>
        <v>139</v>
      </c>
      <c r="H48">
        <v>21</v>
      </c>
      <c r="I48" s="5">
        <f t="shared" si="2"/>
        <v>29.19</v>
      </c>
      <c r="J48" s="5">
        <f t="shared" si="3"/>
        <v>139</v>
      </c>
      <c r="L48" s="5">
        <f t="shared" si="4"/>
        <v>0</v>
      </c>
      <c r="M48" s="8">
        <v>168.19</v>
      </c>
      <c r="N48" s="2" t="s">
        <v>21</v>
      </c>
      <c r="O48" s="3" t="s">
        <v>63</v>
      </c>
      <c r="S48" t="s">
        <v>19</v>
      </c>
    </row>
    <row r="49" spans="1:19" x14ac:dyDescent="0.35">
      <c r="A49" s="4">
        <v>45316</v>
      </c>
      <c r="B49" s="2" t="s">
        <v>382</v>
      </c>
      <c r="D49" s="2" t="s">
        <v>105</v>
      </c>
      <c r="E49" s="2" t="s">
        <v>194</v>
      </c>
      <c r="F49" s="5" t="str">
        <f t="shared" si="0"/>
        <v>S/F 43000226 GASOLEOS GETAFE SL</v>
      </c>
      <c r="G49" s="12">
        <f t="shared" si="1"/>
        <v>884.29752066115702</v>
      </c>
      <c r="H49">
        <v>21</v>
      </c>
      <c r="I49" s="5">
        <f t="shared" si="2"/>
        <v>185.70247933884298</v>
      </c>
      <c r="J49" s="5">
        <f t="shared" si="3"/>
        <v>884.29752066115702</v>
      </c>
      <c r="L49" s="5">
        <f t="shared" si="4"/>
        <v>0</v>
      </c>
      <c r="M49" s="8">
        <v>1070</v>
      </c>
      <c r="N49" s="2" t="s">
        <v>22</v>
      </c>
      <c r="O49" s="3" t="s">
        <v>63</v>
      </c>
      <c r="S49" t="s">
        <v>19</v>
      </c>
    </row>
    <row r="50" spans="1:19" x14ac:dyDescent="0.35">
      <c r="A50" s="4">
        <v>45304</v>
      </c>
      <c r="B50" s="2" t="s">
        <v>383</v>
      </c>
      <c r="D50" s="2" t="s">
        <v>89</v>
      </c>
      <c r="E50" s="2" t="s">
        <v>90</v>
      </c>
      <c r="F50" s="5" t="str">
        <f t="shared" si="0"/>
        <v>S/F E120071246LJ2WFE000027 GALP</v>
      </c>
      <c r="G50" s="12">
        <f t="shared" si="1"/>
        <v>79.099173553719012</v>
      </c>
      <c r="H50">
        <v>21</v>
      </c>
      <c r="I50" s="5">
        <f t="shared" si="2"/>
        <v>16.610826446280992</v>
      </c>
      <c r="J50" s="5">
        <f t="shared" si="3"/>
        <v>79.099173553719012</v>
      </c>
      <c r="L50" s="5">
        <f t="shared" si="4"/>
        <v>0</v>
      </c>
      <c r="M50" s="8">
        <v>95.71</v>
      </c>
      <c r="N50" s="2" t="s">
        <v>22</v>
      </c>
      <c r="O50" s="3" t="s">
        <v>63</v>
      </c>
      <c r="S50" t="s">
        <v>19</v>
      </c>
    </row>
    <row r="51" spans="1:19" x14ac:dyDescent="0.35">
      <c r="A51" s="4">
        <v>45293</v>
      </c>
      <c r="B51" s="2" t="s">
        <v>384</v>
      </c>
      <c r="D51" s="2" t="s">
        <v>89</v>
      </c>
      <c r="E51" s="2" t="s">
        <v>90</v>
      </c>
      <c r="F51" s="5" t="str">
        <f t="shared" si="0"/>
        <v>S/F E12002024000000004 GALP</v>
      </c>
      <c r="G51" s="12">
        <f t="shared" si="1"/>
        <v>41.32231404958678</v>
      </c>
      <c r="H51">
        <v>21</v>
      </c>
      <c r="I51" s="5">
        <f t="shared" si="2"/>
        <v>8.677685950413224</v>
      </c>
      <c r="J51" s="5">
        <f t="shared" si="3"/>
        <v>41.32231404958678</v>
      </c>
      <c r="L51" s="5">
        <f t="shared" si="4"/>
        <v>0</v>
      </c>
      <c r="M51" s="8">
        <v>50</v>
      </c>
      <c r="N51" s="2" t="s">
        <v>22</v>
      </c>
      <c r="O51" s="3" t="s">
        <v>63</v>
      </c>
      <c r="S51" t="s">
        <v>19</v>
      </c>
    </row>
    <row r="52" spans="1:19" x14ac:dyDescent="0.35">
      <c r="A52" s="4">
        <v>45313</v>
      </c>
      <c r="B52" s="2" t="s">
        <v>385</v>
      </c>
      <c r="D52" s="2" t="s">
        <v>89</v>
      </c>
      <c r="E52" s="2" t="s">
        <v>90</v>
      </c>
      <c r="F52" s="5" t="str">
        <f t="shared" si="0"/>
        <v>S/F E12007524CA61SFE000019 GALP</v>
      </c>
      <c r="G52" s="12">
        <f t="shared" si="1"/>
        <v>41.32231404958678</v>
      </c>
      <c r="H52">
        <v>21</v>
      </c>
      <c r="I52" s="5">
        <f t="shared" si="2"/>
        <v>8.677685950413224</v>
      </c>
      <c r="J52" s="5">
        <f t="shared" si="3"/>
        <v>41.32231404958678</v>
      </c>
      <c r="L52" s="5">
        <f t="shared" si="4"/>
        <v>0</v>
      </c>
      <c r="M52" s="8">
        <v>50</v>
      </c>
      <c r="N52" s="2" t="s">
        <v>22</v>
      </c>
      <c r="O52" s="3" t="s">
        <v>63</v>
      </c>
      <c r="S52" t="s">
        <v>19</v>
      </c>
    </row>
    <row r="53" spans="1:19" x14ac:dyDescent="0.35">
      <c r="A53" s="4">
        <v>45316</v>
      </c>
      <c r="B53" s="2" t="s">
        <v>386</v>
      </c>
      <c r="D53" s="2" t="s">
        <v>134</v>
      </c>
      <c r="E53" s="2" t="s">
        <v>143</v>
      </c>
      <c r="F53" s="5" t="str">
        <f t="shared" ref="F53:F289" si="5">CONCATENATE(S53,B53," ",E53)</f>
        <v>S/F 43 IOAN NICULAI</v>
      </c>
      <c r="G53" s="12">
        <f t="shared" ref="G53:G105" si="6">M53/(1-K53/100+H53/100)</f>
        <v>8264.4628099173551</v>
      </c>
      <c r="H53">
        <v>21</v>
      </c>
      <c r="I53" s="5">
        <f t="shared" ref="I53:I106" si="7">G53*H53/100</f>
        <v>1735.5371900826444</v>
      </c>
      <c r="J53" s="5">
        <f t="shared" ref="J53:J106" si="8">G53</f>
        <v>8264.4628099173551</v>
      </c>
      <c r="L53" s="5">
        <f t="shared" ref="L53:L106" si="9">J53*K53/100</f>
        <v>0</v>
      </c>
      <c r="M53" s="8">
        <v>10000</v>
      </c>
      <c r="N53" s="2" t="s">
        <v>37</v>
      </c>
      <c r="O53" s="3" t="s">
        <v>68</v>
      </c>
      <c r="S53" t="s">
        <v>19</v>
      </c>
    </row>
    <row r="54" spans="1:19" x14ac:dyDescent="0.35">
      <c r="A54" s="4">
        <v>45313</v>
      </c>
      <c r="B54" s="2" t="s">
        <v>387</v>
      </c>
      <c r="D54" s="2" t="s">
        <v>388</v>
      </c>
      <c r="E54" s="2" t="s">
        <v>307</v>
      </c>
      <c r="F54" s="5" t="str">
        <f t="shared" si="5"/>
        <v>S/F 2024/4 10</v>
      </c>
      <c r="G54" s="12">
        <f t="shared" si="6"/>
        <v>5621.7603305785124</v>
      </c>
      <c r="H54">
        <v>21</v>
      </c>
      <c r="I54" s="5">
        <f t="shared" si="7"/>
        <v>1180.5696694214876</v>
      </c>
      <c r="J54" s="5">
        <f t="shared" si="8"/>
        <v>5621.7603305785124</v>
      </c>
      <c r="L54" s="5">
        <f t="shared" si="9"/>
        <v>0</v>
      </c>
      <c r="M54" s="8">
        <v>6802.33</v>
      </c>
      <c r="N54" s="2" t="s">
        <v>21</v>
      </c>
      <c r="O54" s="3" t="s">
        <v>68</v>
      </c>
      <c r="S54" t="s">
        <v>19</v>
      </c>
    </row>
    <row r="55" spans="1:19" x14ac:dyDescent="0.35">
      <c r="A55" s="4">
        <v>45315</v>
      </c>
      <c r="B55" s="2" t="s">
        <v>389</v>
      </c>
      <c r="D55" s="2" t="s">
        <v>107</v>
      </c>
      <c r="E55" s="2" t="s">
        <v>390</v>
      </c>
      <c r="F55" s="5" t="str">
        <f t="shared" si="5"/>
        <v>S/F 24/008 AIRCLIMA200 SL</v>
      </c>
      <c r="G55" s="12">
        <f t="shared" si="6"/>
        <v>1060</v>
      </c>
      <c r="H55">
        <v>21</v>
      </c>
      <c r="I55" s="5">
        <f t="shared" si="7"/>
        <v>222.6</v>
      </c>
      <c r="J55" s="5">
        <f t="shared" si="8"/>
        <v>1060</v>
      </c>
      <c r="L55" s="5">
        <f t="shared" si="9"/>
        <v>0</v>
      </c>
      <c r="M55" s="8">
        <v>1282.5999999999999</v>
      </c>
      <c r="N55" s="2" t="s">
        <v>37</v>
      </c>
      <c r="O55" s="3" t="s">
        <v>68</v>
      </c>
      <c r="S55" t="s">
        <v>19</v>
      </c>
    </row>
    <row r="56" spans="1:19" x14ac:dyDescent="0.35">
      <c r="A56" s="4">
        <v>45316</v>
      </c>
      <c r="B56" s="2" t="s">
        <v>391</v>
      </c>
      <c r="D56" s="2" t="s">
        <v>72</v>
      </c>
      <c r="E56" s="2" t="s">
        <v>73</v>
      </c>
      <c r="F56" s="5" t="str">
        <f t="shared" si="5"/>
        <v>S/F 05/2024 COSTEL DINCU</v>
      </c>
      <c r="G56" s="12">
        <f t="shared" si="6"/>
        <v>2000</v>
      </c>
      <c r="H56">
        <v>21</v>
      </c>
      <c r="I56" s="5">
        <f t="shared" si="7"/>
        <v>420</v>
      </c>
      <c r="J56" s="5">
        <f t="shared" si="8"/>
        <v>2000</v>
      </c>
      <c r="L56" s="5">
        <f t="shared" si="9"/>
        <v>0</v>
      </c>
      <c r="M56" s="8">
        <v>2420</v>
      </c>
      <c r="N56" s="2" t="s">
        <v>37</v>
      </c>
      <c r="O56" s="3" t="s">
        <v>68</v>
      </c>
      <c r="S56" t="s">
        <v>19</v>
      </c>
    </row>
    <row r="57" spans="1:19" x14ac:dyDescent="0.35">
      <c r="A57" s="4">
        <v>45316</v>
      </c>
      <c r="B57" s="2" t="s">
        <v>392</v>
      </c>
      <c r="D57" s="2" t="s">
        <v>393</v>
      </c>
      <c r="E57" s="2" t="s">
        <v>394</v>
      </c>
      <c r="F57" s="5" t="str">
        <f t="shared" si="5"/>
        <v>S/F 24001 ROELSAN CONSTRUCCIONES</v>
      </c>
      <c r="G57" s="12">
        <f t="shared" si="6"/>
        <v>5370</v>
      </c>
      <c r="H57">
        <v>21</v>
      </c>
      <c r="I57" s="5">
        <f t="shared" si="7"/>
        <v>1127.7</v>
      </c>
      <c r="J57" s="5">
        <f t="shared" si="8"/>
        <v>5370</v>
      </c>
      <c r="L57" s="5">
        <f t="shared" si="9"/>
        <v>0</v>
      </c>
      <c r="M57" s="8">
        <v>6497.7</v>
      </c>
      <c r="N57" s="2" t="s">
        <v>37</v>
      </c>
      <c r="O57" s="3" t="s">
        <v>68</v>
      </c>
      <c r="S57" t="s">
        <v>19</v>
      </c>
    </row>
    <row r="58" spans="1:19" x14ac:dyDescent="0.35">
      <c r="A58" s="4">
        <v>45317</v>
      </c>
      <c r="B58" s="2" t="s">
        <v>395</v>
      </c>
      <c r="D58" s="2" t="s">
        <v>23</v>
      </c>
      <c r="E58" s="2" t="s">
        <v>122</v>
      </c>
      <c r="F58" s="5" t="str">
        <f t="shared" si="5"/>
        <v>S/F 00010701 PINTOCOLORS</v>
      </c>
      <c r="G58" s="12">
        <f t="shared" si="6"/>
        <v>595.08264462809916</v>
      </c>
      <c r="H58">
        <v>21</v>
      </c>
      <c r="I58" s="5">
        <f t="shared" si="7"/>
        <v>124.96735537190084</v>
      </c>
      <c r="J58" s="5">
        <f t="shared" si="8"/>
        <v>595.08264462809916</v>
      </c>
      <c r="L58" s="5">
        <f t="shared" si="9"/>
        <v>0</v>
      </c>
      <c r="M58" s="8">
        <v>720.05</v>
      </c>
      <c r="N58" s="2" t="s">
        <v>21</v>
      </c>
      <c r="O58" s="3" t="s">
        <v>68</v>
      </c>
      <c r="S58" t="s">
        <v>19</v>
      </c>
    </row>
    <row r="59" spans="1:19" x14ac:dyDescent="0.35">
      <c r="A59" s="4">
        <v>45317</v>
      </c>
      <c r="B59" s="2" t="s">
        <v>396</v>
      </c>
      <c r="D59" s="2" t="s">
        <v>23</v>
      </c>
      <c r="E59" s="2" t="s">
        <v>122</v>
      </c>
      <c r="F59" s="5" t="str">
        <f t="shared" si="5"/>
        <v>S/F 00010702 PINTOCOLORS</v>
      </c>
      <c r="G59" s="12">
        <f t="shared" si="6"/>
        <v>251.96694214876032</v>
      </c>
      <c r="H59">
        <v>21</v>
      </c>
      <c r="I59" s="5">
        <f t="shared" si="7"/>
        <v>52.913057851239664</v>
      </c>
      <c r="J59" s="5">
        <f t="shared" si="8"/>
        <v>251.96694214876032</v>
      </c>
      <c r="L59" s="5">
        <f t="shared" si="9"/>
        <v>0</v>
      </c>
      <c r="M59" s="8">
        <v>304.88</v>
      </c>
      <c r="N59" s="2" t="s">
        <v>21</v>
      </c>
      <c r="O59" s="3" t="s">
        <v>64</v>
      </c>
      <c r="S59" t="s">
        <v>19</v>
      </c>
    </row>
    <row r="60" spans="1:19" x14ac:dyDescent="0.35">
      <c r="A60" s="4">
        <v>45301</v>
      </c>
      <c r="B60" s="2" t="s">
        <v>397</v>
      </c>
      <c r="D60" s="2" t="s">
        <v>95</v>
      </c>
      <c r="E60" s="2" t="s">
        <v>96</v>
      </c>
      <c r="F60" s="5" t="str">
        <f t="shared" si="5"/>
        <v>S/F 01/24 MARCEL DUMITER BEGOFF</v>
      </c>
      <c r="G60" s="12">
        <f t="shared" si="6"/>
        <v>800</v>
      </c>
      <c r="H60">
        <v>21</v>
      </c>
      <c r="I60" s="5">
        <f t="shared" si="7"/>
        <v>168</v>
      </c>
      <c r="J60" s="5">
        <f t="shared" si="8"/>
        <v>800</v>
      </c>
      <c r="L60" s="5">
        <f t="shared" si="9"/>
        <v>0</v>
      </c>
      <c r="M60" s="8">
        <v>968</v>
      </c>
      <c r="N60" s="2" t="s">
        <v>37</v>
      </c>
      <c r="O60" s="3" t="s">
        <v>68</v>
      </c>
      <c r="S60" t="s">
        <v>19</v>
      </c>
    </row>
    <row r="61" spans="1:19" x14ac:dyDescent="0.35">
      <c r="A61" s="4">
        <v>45318</v>
      </c>
      <c r="B61" s="2" t="s">
        <v>398</v>
      </c>
      <c r="D61" s="2" t="s">
        <v>25</v>
      </c>
      <c r="E61" s="2" t="s">
        <v>26</v>
      </c>
      <c r="F61" s="5" t="str">
        <f t="shared" si="5"/>
        <v>S/F 22057 SALTOKI</v>
      </c>
      <c r="G61" s="12">
        <f t="shared" si="6"/>
        <v>274.74380165289256</v>
      </c>
      <c r="H61">
        <v>21</v>
      </c>
      <c r="I61" s="5">
        <f t="shared" si="7"/>
        <v>57.69619834710744</v>
      </c>
      <c r="J61" s="5">
        <f t="shared" si="8"/>
        <v>274.74380165289256</v>
      </c>
      <c r="L61" s="5">
        <f t="shared" si="9"/>
        <v>0</v>
      </c>
      <c r="M61" s="8">
        <v>332.44</v>
      </c>
      <c r="N61" s="2" t="s">
        <v>21</v>
      </c>
      <c r="O61" s="3" t="s">
        <v>65</v>
      </c>
      <c r="S61" t="s">
        <v>19</v>
      </c>
    </row>
    <row r="62" spans="1:19" x14ac:dyDescent="0.35">
      <c r="A62" s="4">
        <v>45322</v>
      </c>
      <c r="B62" s="2" t="s">
        <v>408</v>
      </c>
      <c r="D62" s="2" t="s">
        <v>94</v>
      </c>
      <c r="E62" s="2" t="s">
        <v>139</v>
      </c>
      <c r="F62" s="5" t="str">
        <f t="shared" si="5"/>
        <v>S/F VEN/20223695 BIGMAT</v>
      </c>
      <c r="G62" s="12">
        <f t="shared" si="6"/>
        <v>1872.1487603305786</v>
      </c>
      <c r="H62">
        <v>21</v>
      </c>
      <c r="I62" s="5">
        <f t="shared" si="7"/>
        <v>393.1512396694215</v>
      </c>
      <c r="J62" s="5">
        <f t="shared" si="8"/>
        <v>1872.1487603305786</v>
      </c>
      <c r="L62" s="5">
        <f t="shared" si="9"/>
        <v>0</v>
      </c>
      <c r="M62" s="8">
        <v>2265.3000000000002</v>
      </c>
      <c r="N62" s="2" t="s">
        <v>37</v>
      </c>
      <c r="O62" s="3" t="s">
        <v>65</v>
      </c>
      <c r="S62" t="s">
        <v>19</v>
      </c>
    </row>
    <row r="63" spans="1:19" x14ac:dyDescent="0.35">
      <c r="A63" s="4">
        <v>45322</v>
      </c>
      <c r="B63" s="2" t="s">
        <v>409</v>
      </c>
      <c r="D63" s="2" t="s">
        <v>51</v>
      </c>
      <c r="E63" s="2" t="s">
        <v>219</v>
      </c>
      <c r="F63" s="5" t="str">
        <f t="shared" si="5"/>
        <v>S/F 8 2002 V.C.F.L CARPINTERIA SLU</v>
      </c>
      <c r="G63" s="12">
        <f t="shared" si="6"/>
        <v>760</v>
      </c>
      <c r="H63">
        <v>21</v>
      </c>
      <c r="I63" s="5">
        <f t="shared" si="7"/>
        <v>159.6</v>
      </c>
      <c r="J63" s="5">
        <f t="shared" si="8"/>
        <v>760</v>
      </c>
      <c r="L63" s="5">
        <f t="shared" si="9"/>
        <v>0</v>
      </c>
      <c r="M63" s="8">
        <v>919.6</v>
      </c>
      <c r="N63" s="2" t="s">
        <v>37</v>
      </c>
      <c r="O63" s="3" t="s">
        <v>68</v>
      </c>
      <c r="S63" t="s">
        <v>19</v>
      </c>
    </row>
    <row r="64" spans="1:19" x14ac:dyDescent="0.35">
      <c r="A64" s="4">
        <v>45317</v>
      </c>
      <c r="B64" s="2" t="s">
        <v>410</v>
      </c>
      <c r="D64" s="2" t="s">
        <v>85</v>
      </c>
      <c r="E64" s="2" t="s">
        <v>32</v>
      </c>
      <c r="F64" s="5" t="str">
        <f t="shared" si="5"/>
        <v>S/F 20240015 XVENT</v>
      </c>
      <c r="G64" s="12">
        <f t="shared" si="6"/>
        <v>2906.322314049587</v>
      </c>
      <c r="H64">
        <v>21</v>
      </c>
      <c r="I64" s="5">
        <f t="shared" si="7"/>
        <v>610.3276859504133</v>
      </c>
      <c r="J64" s="5">
        <f t="shared" si="8"/>
        <v>2906.322314049587</v>
      </c>
      <c r="L64" s="5">
        <f t="shared" si="9"/>
        <v>0</v>
      </c>
      <c r="M64" s="8">
        <v>3516.65</v>
      </c>
      <c r="N64" s="2" t="s">
        <v>37</v>
      </c>
      <c r="O64" s="3" t="s">
        <v>68</v>
      </c>
      <c r="S64" t="s">
        <v>19</v>
      </c>
    </row>
    <row r="65" spans="1:19" x14ac:dyDescent="0.35">
      <c r="A65" s="4">
        <v>45318</v>
      </c>
      <c r="B65" s="2" t="s">
        <v>411</v>
      </c>
      <c r="D65" s="2" t="s">
        <v>85</v>
      </c>
      <c r="E65" s="2" t="s">
        <v>32</v>
      </c>
      <c r="F65" s="5" t="str">
        <f t="shared" si="5"/>
        <v>S/F 20240016 XVENT</v>
      </c>
      <c r="G65" s="12">
        <f t="shared" si="6"/>
        <v>2333.6033057851241</v>
      </c>
      <c r="H65">
        <v>21</v>
      </c>
      <c r="I65" s="5">
        <f t="shared" si="7"/>
        <v>490.05669421487602</v>
      </c>
      <c r="J65" s="5">
        <f t="shared" si="8"/>
        <v>2333.6033057851241</v>
      </c>
      <c r="L65" s="5">
        <f t="shared" si="9"/>
        <v>0</v>
      </c>
      <c r="M65" s="8">
        <v>2823.66</v>
      </c>
      <c r="N65" s="2" t="s">
        <v>37</v>
      </c>
      <c r="O65" s="3" t="s">
        <v>68</v>
      </c>
      <c r="S65" t="s">
        <v>19</v>
      </c>
    </row>
    <row r="66" spans="1:19" x14ac:dyDescent="0.35">
      <c r="A66" s="4">
        <v>45318</v>
      </c>
      <c r="B66" s="2" t="s">
        <v>412</v>
      </c>
      <c r="D66" s="2" t="s">
        <v>85</v>
      </c>
      <c r="E66" s="2" t="s">
        <v>32</v>
      </c>
      <c r="F66" s="5" t="str">
        <f t="shared" si="5"/>
        <v>S/F 20240017 XVENT</v>
      </c>
      <c r="G66" s="12">
        <f t="shared" si="6"/>
        <v>1902.2561983471076</v>
      </c>
      <c r="H66">
        <v>21</v>
      </c>
      <c r="I66" s="5">
        <f t="shared" si="7"/>
        <v>399.47380165289258</v>
      </c>
      <c r="J66" s="5">
        <f t="shared" si="8"/>
        <v>1902.2561983471076</v>
      </c>
      <c r="L66" s="5">
        <f t="shared" si="9"/>
        <v>0</v>
      </c>
      <c r="M66" s="8">
        <v>2301.73</v>
      </c>
      <c r="N66" s="2" t="s">
        <v>37</v>
      </c>
      <c r="O66" s="3" t="s">
        <v>68</v>
      </c>
      <c r="S66" t="s">
        <v>19</v>
      </c>
    </row>
    <row r="67" spans="1:19" x14ac:dyDescent="0.35">
      <c r="A67" s="4">
        <v>45323</v>
      </c>
      <c r="B67" s="2" t="s">
        <v>413</v>
      </c>
      <c r="D67" s="2" t="s">
        <v>247</v>
      </c>
      <c r="E67" s="2" t="s">
        <v>414</v>
      </c>
      <c r="F67" s="5" t="str">
        <f t="shared" si="5"/>
        <v>S/F 24/030 AN GAS SL</v>
      </c>
      <c r="G67" s="12">
        <f t="shared" si="6"/>
        <v>285</v>
      </c>
      <c r="H67">
        <v>21</v>
      </c>
      <c r="I67" s="5">
        <f t="shared" si="7"/>
        <v>59.85</v>
      </c>
      <c r="J67" s="5">
        <f t="shared" si="8"/>
        <v>285</v>
      </c>
      <c r="L67" s="5">
        <f t="shared" si="9"/>
        <v>0</v>
      </c>
      <c r="M67" s="8">
        <v>344.85</v>
      </c>
      <c r="N67" s="2" t="s">
        <v>37</v>
      </c>
      <c r="O67" s="3" t="s">
        <v>68</v>
      </c>
      <c r="S67" t="s">
        <v>19</v>
      </c>
    </row>
    <row r="68" spans="1:19" x14ac:dyDescent="0.35">
      <c r="A68" s="4">
        <v>45323</v>
      </c>
      <c r="B68" s="2" t="s">
        <v>415</v>
      </c>
      <c r="D68" s="2" t="s">
        <v>416</v>
      </c>
      <c r="E68" s="2" t="s">
        <v>417</v>
      </c>
      <c r="F68" s="5" t="str">
        <f t="shared" si="5"/>
        <v>S/F 202409 ZENOVIU MARIUS GORGAN</v>
      </c>
      <c r="G68" s="12">
        <f t="shared" si="6"/>
        <v>2400</v>
      </c>
      <c r="H68">
        <v>21</v>
      </c>
      <c r="I68" s="5">
        <f t="shared" si="7"/>
        <v>504</v>
      </c>
      <c r="J68" s="5">
        <f t="shared" si="8"/>
        <v>2400</v>
      </c>
      <c r="L68" s="5">
        <f t="shared" si="9"/>
        <v>0</v>
      </c>
      <c r="M68" s="8">
        <v>2904</v>
      </c>
      <c r="N68" s="2" t="s">
        <v>37</v>
      </c>
      <c r="O68" s="3" t="s">
        <v>68</v>
      </c>
      <c r="S68" t="s">
        <v>19</v>
      </c>
    </row>
    <row r="69" spans="1:19" x14ac:dyDescent="0.35">
      <c r="A69" s="4">
        <v>45324</v>
      </c>
      <c r="B69" s="2" t="s">
        <v>419</v>
      </c>
      <c r="D69" s="2" t="s">
        <v>200</v>
      </c>
      <c r="E69" s="2" t="s">
        <v>186</v>
      </c>
      <c r="F69" s="5" t="str">
        <f t="shared" si="5"/>
        <v>S/F 2121242 I.D.F. SUMINISTROS INDUSTRIALES</v>
      </c>
      <c r="G69" s="12">
        <f t="shared" si="6"/>
        <v>22.181818181818183</v>
      </c>
      <c r="H69">
        <v>21</v>
      </c>
      <c r="I69" s="5">
        <f t="shared" si="7"/>
        <v>4.6581818181818191</v>
      </c>
      <c r="J69" s="5">
        <f t="shared" si="8"/>
        <v>22.181818181818183</v>
      </c>
      <c r="L69" s="5">
        <f t="shared" si="9"/>
        <v>0</v>
      </c>
      <c r="M69" s="8">
        <v>26.84</v>
      </c>
      <c r="N69" s="2" t="s">
        <v>21</v>
      </c>
      <c r="O69" s="3" t="s">
        <v>63</v>
      </c>
      <c r="S69" t="s">
        <v>19</v>
      </c>
    </row>
    <row r="70" spans="1:19" x14ac:dyDescent="0.35">
      <c r="A70" s="4">
        <v>45324</v>
      </c>
      <c r="B70" s="2" t="s">
        <v>420</v>
      </c>
      <c r="D70" s="2" t="s">
        <v>107</v>
      </c>
      <c r="E70" s="2" t="s">
        <v>390</v>
      </c>
      <c r="F70" s="5" t="str">
        <f t="shared" si="5"/>
        <v>S/F 24/016 AIRCLIMA200 SL</v>
      </c>
      <c r="G70" s="12">
        <f t="shared" si="6"/>
        <v>5130</v>
      </c>
      <c r="H70">
        <v>21</v>
      </c>
      <c r="I70" s="5">
        <f t="shared" si="7"/>
        <v>1077.3</v>
      </c>
      <c r="J70" s="5">
        <f t="shared" si="8"/>
        <v>5130</v>
      </c>
      <c r="L70" s="5">
        <f t="shared" si="9"/>
        <v>0</v>
      </c>
      <c r="M70" s="8">
        <v>6207.3</v>
      </c>
      <c r="N70" s="2" t="s">
        <v>37</v>
      </c>
      <c r="O70" s="3" t="s">
        <v>68</v>
      </c>
      <c r="S70" t="s">
        <v>19</v>
      </c>
    </row>
    <row r="71" spans="1:19" x14ac:dyDescent="0.35">
      <c r="A71" s="4">
        <v>45322</v>
      </c>
      <c r="B71" s="2" t="s">
        <v>421</v>
      </c>
      <c r="D71" s="2" t="s">
        <v>200</v>
      </c>
      <c r="E71" s="2" t="s">
        <v>186</v>
      </c>
      <c r="F71" s="5" t="str">
        <f t="shared" si="5"/>
        <v>S/F 0120315 I.D.F. SUMINISTROS INDUSTRIALES</v>
      </c>
      <c r="G71" s="12">
        <f t="shared" si="6"/>
        <v>971.14876033057851</v>
      </c>
      <c r="H71">
        <v>21</v>
      </c>
      <c r="I71" s="5">
        <f t="shared" si="7"/>
        <v>203.94123966942149</v>
      </c>
      <c r="J71" s="5">
        <f t="shared" si="8"/>
        <v>971.14876033057851</v>
      </c>
      <c r="L71" s="5">
        <f t="shared" si="9"/>
        <v>0</v>
      </c>
      <c r="M71" s="8">
        <v>1175.0899999999999</v>
      </c>
      <c r="N71" s="2" t="s">
        <v>21</v>
      </c>
      <c r="O71" s="3" t="s">
        <v>65</v>
      </c>
      <c r="S71" t="s">
        <v>19</v>
      </c>
    </row>
    <row r="72" spans="1:19" x14ac:dyDescent="0.35">
      <c r="A72" s="4">
        <v>45322</v>
      </c>
      <c r="B72" s="2" t="s">
        <v>422</v>
      </c>
      <c r="D72" s="2" t="s">
        <v>34</v>
      </c>
      <c r="E72" s="2" t="s">
        <v>423</v>
      </c>
      <c r="F72" s="5" t="str">
        <f t="shared" si="5"/>
        <v>S/F F240191 CONTAMAR ASESORES</v>
      </c>
      <c r="G72" s="12">
        <f t="shared" si="6"/>
        <v>179.55371900826447</v>
      </c>
      <c r="H72">
        <v>21</v>
      </c>
      <c r="I72" s="5">
        <f t="shared" si="7"/>
        <v>37.706280991735539</v>
      </c>
      <c r="J72" s="5">
        <f t="shared" si="8"/>
        <v>179.55371900826447</v>
      </c>
      <c r="L72" s="5">
        <f t="shared" si="9"/>
        <v>0</v>
      </c>
      <c r="M72" s="8">
        <v>217.26</v>
      </c>
      <c r="N72" s="2" t="s">
        <v>55</v>
      </c>
      <c r="O72" s="3" t="s">
        <v>65</v>
      </c>
      <c r="S72" t="s">
        <v>19</v>
      </c>
    </row>
    <row r="73" spans="1:19" x14ac:dyDescent="0.35">
      <c r="A73" s="4">
        <v>45324</v>
      </c>
      <c r="B73" s="2" t="s">
        <v>424</v>
      </c>
      <c r="D73" s="2" t="s">
        <v>101</v>
      </c>
      <c r="E73" s="2" t="s">
        <v>425</v>
      </c>
      <c r="F73" s="5" t="str">
        <f t="shared" si="5"/>
        <v>S/F FACG 833 ESCAYOLAS EUROPA SL</v>
      </c>
      <c r="G73" s="12">
        <f t="shared" si="6"/>
        <v>534.0578512396695</v>
      </c>
      <c r="H73">
        <v>21</v>
      </c>
      <c r="I73" s="5">
        <f t="shared" si="7"/>
        <v>112.1521487603306</v>
      </c>
      <c r="J73" s="5">
        <f t="shared" si="8"/>
        <v>534.0578512396695</v>
      </c>
      <c r="L73" s="5">
        <f t="shared" si="9"/>
        <v>0</v>
      </c>
      <c r="M73" s="8">
        <v>646.21</v>
      </c>
      <c r="N73" s="2" t="s">
        <v>21</v>
      </c>
      <c r="O73" s="3" t="s">
        <v>63</v>
      </c>
      <c r="S73" t="s">
        <v>19</v>
      </c>
    </row>
    <row r="74" spans="1:19" x14ac:dyDescent="0.35">
      <c r="A74" s="4">
        <v>45323</v>
      </c>
      <c r="B74" s="2" t="s">
        <v>426</v>
      </c>
      <c r="D74" s="2" t="s">
        <v>101</v>
      </c>
      <c r="E74" s="2" t="s">
        <v>425</v>
      </c>
      <c r="F74" s="5" t="str">
        <f t="shared" si="5"/>
        <v>S/F FACG 825 ESCAYOLAS EUROPA SL</v>
      </c>
      <c r="G74" s="12">
        <f t="shared" si="6"/>
        <v>369.23966942148758</v>
      </c>
      <c r="H74">
        <v>21</v>
      </c>
      <c r="I74" s="5">
        <f t="shared" si="7"/>
        <v>77.540330578512396</v>
      </c>
      <c r="J74" s="5">
        <f t="shared" si="8"/>
        <v>369.23966942148758</v>
      </c>
      <c r="L74" s="5">
        <f t="shared" si="9"/>
        <v>0</v>
      </c>
      <c r="M74" s="8">
        <v>446.78</v>
      </c>
      <c r="N74" s="2" t="s">
        <v>21</v>
      </c>
      <c r="O74" s="3" t="s">
        <v>63</v>
      </c>
      <c r="S74" t="s">
        <v>19</v>
      </c>
    </row>
    <row r="75" spans="1:19" x14ac:dyDescent="0.35">
      <c r="A75" s="4">
        <v>45323</v>
      </c>
      <c r="B75" s="2" t="s">
        <v>427</v>
      </c>
      <c r="D75" s="2" t="s">
        <v>94</v>
      </c>
      <c r="E75" s="2" t="s">
        <v>139</v>
      </c>
      <c r="F75" s="5" t="str">
        <f t="shared" si="5"/>
        <v>S/F 00002-2024/A0103/00001972 BIGMAT</v>
      </c>
      <c r="G75" s="12">
        <f t="shared" si="6"/>
        <v>9.0082644628099171</v>
      </c>
      <c r="H75">
        <v>21</v>
      </c>
      <c r="I75" s="5">
        <f t="shared" si="7"/>
        <v>1.8917355371900826</v>
      </c>
      <c r="J75" s="5">
        <f t="shared" si="8"/>
        <v>9.0082644628099171</v>
      </c>
      <c r="L75" s="5">
        <f t="shared" si="9"/>
        <v>0</v>
      </c>
      <c r="M75" s="8">
        <v>10.9</v>
      </c>
      <c r="N75" s="2" t="s">
        <v>21</v>
      </c>
      <c r="O75" s="3" t="s">
        <v>63</v>
      </c>
      <c r="S75" t="s">
        <v>19</v>
      </c>
    </row>
    <row r="76" spans="1:19" x14ac:dyDescent="0.35">
      <c r="A76" s="4">
        <v>45323</v>
      </c>
      <c r="B76" s="2" t="s">
        <v>428</v>
      </c>
      <c r="D76" s="2" t="s">
        <v>58</v>
      </c>
      <c r="E76" s="2" t="s">
        <v>325</v>
      </c>
      <c r="F76" s="5" t="str">
        <f t="shared" si="5"/>
        <v>S/F 012-0002-632493 BRICOLAJE BRICOMAN SL</v>
      </c>
      <c r="G76" s="12">
        <f t="shared" si="6"/>
        <v>14.280991735537192</v>
      </c>
      <c r="H76">
        <v>21</v>
      </c>
      <c r="I76" s="5">
        <f t="shared" si="7"/>
        <v>2.9990082644628102</v>
      </c>
      <c r="J76" s="5">
        <f t="shared" si="8"/>
        <v>14.280991735537192</v>
      </c>
      <c r="L76" s="5">
        <f t="shared" si="9"/>
        <v>0</v>
      </c>
      <c r="M76" s="8">
        <v>17.28</v>
      </c>
      <c r="N76" s="2" t="s">
        <v>21</v>
      </c>
      <c r="O76" s="3" t="s">
        <v>63</v>
      </c>
      <c r="S76" t="s">
        <v>19</v>
      </c>
    </row>
    <row r="77" spans="1:19" x14ac:dyDescent="0.35">
      <c r="A77" s="4">
        <v>45322</v>
      </c>
      <c r="B77" s="2" t="s">
        <v>429</v>
      </c>
      <c r="D77" s="2" t="s">
        <v>58</v>
      </c>
      <c r="E77" s="2" t="s">
        <v>325</v>
      </c>
      <c r="F77" s="5" t="str">
        <f t="shared" si="5"/>
        <v>S/F 012-0001-628081 BRICOLAJE BRICOMAN SL</v>
      </c>
      <c r="G77" s="12">
        <f t="shared" si="6"/>
        <v>28.636363636363637</v>
      </c>
      <c r="H77">
        <v>21</v>
      </c>
      <c r="I77" s="5">
        <f t="shared" si="7"/>
        <v>6.0136363636363637</v>
      </c>
      <c r="J77" s="5">
        <f t="shared" si="8"/>
        <v>28.636363636363637</v>
      </c>
      <c r="L77" s="5">
        <f t="shared" si="9"/>
        <v>0</v>
      </c>
      <c r="M77" s="8">
        <v>34.65</v>
      </c>
      <c r="N77" s="2" t="s">
        <v>21</v>
      </c>
      <c r="O77" s="3" t="s">
        <v>63</v>
      </c>
      <c r="S77" t="s">
        <v>19</v>
      </c>
    </row>
    <row r="78" spans="1:19" x14ac:dyDescent="0.35">
      <c r="A78" s="4">
        <v>45321</v>
      </c>
      <c r="B78" s="2" t="s">
        <v>430</v>
      </c>
      <c r="D78" s="2" t="s">
        <v>58</v>
      </c>
      <c r="E78" s="2" t="s">
        <v>325</v>
      </c>
      <c r="F78" s="5" t="str">
        <f t="shared" si="5"/>
        <v>S/F 012-0001-626231 BRICOLAJE BRICOMAN SL</v>
      </c>
      <c r="G78" s="12">
        <f t="shared" si="6"/>
        <v>253.11570247933884</v>
      </c>
      <c r="H78">
        <v>21</v>
      </c>
      <c r="I78" s="5">
        <f t="shared" si="7"/>
        <v>53.15429752066116</v>
      </c>
      <c r="J78" s="5">
        <f t="shared" si="8"/>
        <v>253.11570247933884</v>
      </c>
      <c r="L78" s="5">
        <f t="shared" si="9"/>
        <v>0</v>
      </c>
      <c r="M78" s="8">
        <v>306.27</v>
      </c>
      <c r="N78" s="2" t="s">
        <v>21</v>
      </c>
      <c r="O78" s="3" t="s">
        <v>63</v>
      </c>
      <c r="S78" t="s">
        <v>19</v>
      </c>
    </row>
    <row r="79" spans="1:19" x14ac:dyDescent="0.35">
      <c r="A79" s="4">
        <v>45320</v>
      </c>
      <c r="B79" s="2" t="s">
        <v>431</v>
      </c>
      <c r="D79" s="2" t="s">
        <v>58</v>
      </c>
      <c r="E79" s="2" t="s">
        <v>325</v>
      </c>
      <c r="F79" s="5" t="str">
        <f t="shared" si="5"/>
        <v>S/F 012-0001-622523 BRICOLAJE BRICOMAN SL</v>
      </c>
      <c r="G79" s="12">
        <f t="shared" si="6"/>
        <v>153.80991735537191</v>
      </c>
      <c r="H79">
        <v>21</v>
      </c>
      <c r="I79" s="5">
        <f t="shared" si="7"/>
        <v>32.300082644628098</v>
      </c>
      <c r="J79" s="5">
        <f t="shared" si="8"/>
        <v>153.80991735537191</v>
      </c>
      <c r="L79" s="5">
        <f t="shared" si="9"/>
        <v>0</v>
      </c>
      <c r="M79" s="8">
        <v>186.11</v>
      </c>
      <c r="N79" s="2" t="s">
        <v>21</v>
      </c>
      <c r="O79" s="3" t="s">
        <v>63</v>
      </c>
      <c r="S79" t="s">
        <v>19</v>
      </c>
    </row>
    <row r="80" spans="1:19" x14ac:dyDescent="0.35">
      <c r="A80" s="4">
        <v>45317</v>
      </c>
      <c r="B80" s="2" t="s">
        <v>432</v>
      </c>
      <c r="D80" s="2" t="s">
        <v>94</v>
      </c>
      <c r="E80" s="2" t="s">
        <v>139</v>
      </c>
      <c r="F80" s="5" t="str">
        <f t="shared" si="5"/>
        <v>S/F 00002-2024/A0103/00001606 BIGMAT</v>
      </c>
      <c r="G80" s="12">
        <f t="shared" si="6"/>
        <v>103.43801652892562</v>
      </c>
      <c r="H80">
        <v>21</v>
      </c>
      <c r="I80" s="5">
        <f t="shared" si="7"/>
        <v>21.721983471074378</v>
      </c>
      <c r="J80" s="5">
        <f t="shared" si="8"/>
        <v>103.43801652892562</v>
      </c>
      <c r="L80" s="5">
        <f t="shared" si="9"/>
        <v>0</v>
      </c>
      <c r="M80" s="8">
        <v>125.16</v>
      </c>
      <c r="N80" s="2" t="s">
        <v>21</v>
      </c>
      <c r="O80" s="3" t="s">
        <v>63</v>
      </c>
      <c r="S80" t="s">
        <v>19</v>
      </c>
    </row>
    <row r="81" spans="1:19" x14ac:dyDescent="0.35">
      <c r="A81" s="4">
        <v>45317</v>
      </c>
      <c r="B81" s="2" t="s">
        <v>433</v>
      </c>
      <c r="D81" s="2" t="s">
        <v>136</v>
      </c>
      <c r="E81" s="2" t="s">
        <v>434</v>
      </c>
      <c r="F81" s="5" t="str">
        <f t="shared" si="5"/>
        <v>1067-C ROD &amp; PLUS SYSTEM SL</v>
      </c>
      <c r="G81" s="12">
        <f t="shared" si="6"/>
        <v>111.77685950413223</v>
      </c>
      <c r="H81">
        <v>21</v>
      </c>
      <c r="I81" s="5">
        <f t="shared" si="7"/>
        <v>23.473140495867771</v>
      </c>
      <c r="J81" s="5">
        <f t="shared" si="8"/>
        <v>111.77685950413223</v>
      </c>
      <c r="L81" s="5">
        <f t="shared" si="9"/>
        <v>0</v>
      </c>
      <c r="M81" s="8">
        <v>135.25</v>
      </c>
      <c r="N81" s="2" t="s">
        <v>21</v>
      </c>
      <c r="O81" s="3" t="s">
        <v>63</v>
      </c>
    </row>
    <row r="82" spans="1:19" x14ac:dyDescent="0.35">
      <c r="A82" s="4">
        <v>45273</v>
      </c>
      <c r="B82" s="2" t="s">
        <v>285</v>
      </c>
      <c r="D82" s="2" t="s">
        <v>200</v>
      </c>
      <c r="E82" s="2" t="s">
        <v>186</v>
      </c>
      <c r="F82" s="5" t="str">
        <f t="shared" si="5"/>
        <v>2111256 I.D.F. SUMINISTROS INDUSTRIALES</v>
      </c>
      <c r="G82" s="12">
        <f t="shared" si="6"/>
        <v>5.5702479338842981</v>
      </c>
      <c r="H82">
        <v>21</v>
      </c>
      <c r="I82" s="5">
        <f t="shared" si="7"/>
        <v>1.1697520661157026</v>
      </c>
      <c r="J82" s="5">
        <f t="shared" si="8"/>
        <v>5.5702479338842981</v>
      </c>
      <c r="L82" s="5">
        <f t="shared" si="9"/>
        <v>0</v>
      </c>
      <c r="M82" s="8">
        <v>6.74</v>
      </c>
      <c r="N82" s="2" t="s">
        <v>21</v>
      </c>
      <c r="O82" s="3" t="s">
        <v>63</v>
      </c>
    </row>
    <row r="83" spans="1:19" x14ac:dyDescent="0.35">
      <c r="A83" s="4">
        <v>45322</v>
      </c>
      <c r="B83" s="2" t="s">
        <v>435</v>
      </c>
      <c r="D83" s="2" t="s">
        <v>60</v>
      </c>
      <c r="E83" s="2" t="s">
        <v>24</v>
      </c>
      <c r="F83" s="5" t="str">
        <f t="shared" ref="F83:F112" si="10">CONCATENATE(S83,B83," ",E83)</f>
        <v>097087/24/000721 REPSOL</v>
      </c>
      <c r="G83" s="12">
        <f t="shared" si="6"/>
        <v>41.32231404958678</v>
      </c>
      <c r="H83">
        <v>21</v>
      </c>
      <c r="I83" s="5">
        <f t="shared" si="7"/>
        <v>8.677685950413224</v>
      </c>
      <c r="J83" s="5">
        <f t="shared" si="8"/>
        <v>41.32231404958678</v>
      </c>
      <c r="L83" s="5">
        <f t="shared" si="9"/>
        <v>0</v>
      </c>
      <c r="M83" s="8">
        <v>50</v>
      </c>
      <c r="N83" s="2" t="s">
        <v>22</v>
      </c>
      <c r="O83" s="3" t="s">
        <v>63</v>
      </c>
      <c r="S83" s="4"/>
    </row>
    <row r="84" spans="1:19" x14ac:dyDescent="0.35">
      <c r="A84" s="4">
        <v>45318</v>
      </c>
      <c r="B84" s="2" t="s">
        <v>436</v>
      </c>
      <c r="D84" s="2" t="s">
        <v>77</v>
      </c>
      <c r="E84" s="2" t="s">
        <v>151</v>
      </c>
      <c r="F84" s="5" t="str">
        <f t="shared" si="10"/>
        <v>24FAS000346 E.S. SESEÑA</v>
      </c>
      <c r="G84" s="12">
        <f t="shared" si="6"/>
        <v>59.925619834710751</v>
      </c>
      <c r="H84">
        <v>21</v>
      </c>
      <c r="I84" s="5">
        <f t="shared" si="7"/>
        <v>12.584380165289257</v>
      </c>
      <c r="J84" s="5">
        <f t="shared" si="8"/>
        <v>59.925619834710751</v>
      </c>
      <c r="L84" s="5">
        <f t="shared" si="9"/>
        <v>0</v>
      </c>
      <c r="M84" s="8">
        <v>72.510000000000005</v>
      </c>
      <c r="N84" s="2" t="s">
        <v>22</v>
      </c>
      <c r="O84" s="3" t="s">
        <v>63</v>
      </c>
    </row>
    <row r="85" spans="1:19" x14ac:dyDescent="0.35">
      <c r="A85" s="4">
        <v>45327</v>
      </c>
      <c r="B85" s="2" t="s">
        <v>439</v>
      </c>
      <c r="D85" s="2" t="s">
        <v>440</v>
      </c>
      <c r="E85" s="2" t="s">
        <v>441</v>
      </c>
      <c r="F85" s="5" t="str">
        <f t="shared" si="10"/>
        <v>2023f00000058 NEUMATICOS BEETLECAT SC</v>
      </c>
      <c r="G85" s="12">
        <f t="shared" si="6"/>
        <v>72</v>
      </c>
      <c r="H85">
        <v>21</v>
      </c>
      <c r="I85" s="5">
        <f t="shared" si="7"/>
        <v>15.12</v>
      </c>
      <c r="J85" s="5">
        <f t="shared" si="8"/>
        <v>72</v>
      </c>
      <c r="L85" s="5">
        <f t="shared" si="9"/>
        <v>0</v>
      </c>
      <c r="M85" s="8">
        <v>87.12</v>
      </c>
      <c r="N85" s="2" t="s">
        <v>21</v>
      </c>
    </row>
    <row r="86" spans="1:19" x14ac:dyDescent="0.35">
      <c r="A86" s="4">
        <v>45292</v>
      </c>
      <c r="B86" s="2" t="s">
        <v>442</v>
      </c>
      <c r="D86" s="2" t="s">
        <v>238</v>
      </c>
      <c r="E86" s="2" t="s">
        <v>220</v>
      </c>
      <c r="F86" s="5" t="str">
        <f t="shared" si="10"/>
        <v>TA78W0174473 TELEFONICA</v>
      </c>
      <c r="G86" s="12">
        <f t="shared" si="6"/>
        <v>130.801652892562</v>
      </c>
      <c r="H86">
        <v>21</v>
      </c>
      <c r="I86" s="5">
        <f t="shared" si="7"/>
        <v>27.468347107438021</v>
      </c>
      <c r="J86" s="5">
        <f t="shared" si="8"/>
        <v>130.801652892562</v>
      </c>
      <c r="L86" s="5">
        <f t="shared" si="9"/>
        <v>0</v>
      </c>
      <c r="M86" s="8">
        <v>158.27000000000001</v>
      </c>
      <c r="N86" s="2" t="s">
        <v>39</v>
      </c>
      <c r="O86" s="3" t="s">
        <v>65</v>
      </c>
    </row>
    <row r="87" spans="1:19" x14ac:dyDescent="0.35">
      <c r="A87" s="4">
        <v>45292</v>
      </c>
      <c r="B87" s="2" t="s">
        <v>443</v>
      </c>
      <c r="D87" s="2" t="s">
        <v>238</v>
      </c>
      <c r="E87" s="2" t="s">
        <v>220</v>
      </c>
      <c r="F87" s="5" t="str">
        <f t="shared" si="10"/>
        <v>TA78W0174472 TELEFONICA</v>
      </c>
      <c r="G87" s="12">
        <f t="shared" si="6"/>
        <v>70.338842975206617</v>
      </c>
      <c r="H87">
        <v>21</v>
      </c>
      <c r="I87" s="5">
        <f t="shared" si="7"/>
        <v>14.771157024793389</v>
      </c>
      <c r="J87" s="5">
        <f t="shared" si="8"/>
        <v>70.338842975206617</v>
      </c>
      <c r="L87" s="5">
        <f t="shared" si="9"/>
        <v>0</v>
      </c>
      <c r="M87" s="8">
        <v>85.11</v>
      </c>
      <c r="N87" s="2" t="s">
        <v>39</v>
      </c>
      <c r="O87" s="3" t="s">
        <v>65</v>
      </c>
    </row>
    <row r="88" spans="1:19" x14ac:dyDescent="0.35">
      <c r="A88" s="4">
        <v>45292</v>
      </c>
      <c r="B88" s="2" t="s">
        <v>444</v>
      </c>
      <c r="D88" s="2" t="s">
        <v>238</v>
      </c>
      <c r="E88" s="2" t="s">
        <v>220</v>
      </c>
      <c r="F88" s="5" t="str">
        <f t="shared" si="10"/>
        <v>TA78W0174471 TELEFONICA</v>
      </c>
      <c r="G88" s="12">
        <f t="shared" si="6"/>
        <v>70.338842975206617</v>
      </c>
      <c r="H88">
        <v>21</v>
      </c>
      <c r="I88" s="5">
        <f t="shared" si="7"/>
        <v>14.771157024793389</v>
      </c>
      <c r="J88" s="5">
        <f t="shared" si="8"/>
        <v>70.338842975206617</v>
      </c>
      <c r="L88" s="5">
        <f t="shared" si="9"/>
        <v>0</v>
      </c>
      <c r="M88" s="8">
        <v>85.11</v>
      </c>
      <c r="N88" s="2" t="s">
        <v>39</v>
      </c>
      <c r="O88" s="3" t="s">
        <v>65</v>
      </c>
    </row>
    <row r="89" spans="1:19" x14ac:dyDescent="0.35">
      <c r="A89" s="4">
        <v>45292</v>
      </c>
      <c r="B89" s="2" t="s">
        <v>445</v>
      </c>
      <c r="D89" s="2" t="s">
        <v>238</v>
      </c>
      <c r="E89" s="2" t="s">
        <v>220</v>
      </c>
      <c r="F89" s="5" t="str">
        <f t="shared" si="10"/>
        <v>TA78W0174474 TELEFONICA</v>
      </c>
      <c r="G89" s="12">
        <f t="shared" si="6"/>
        <v>70.338842975206617</v>
      </c>
      <c r="H89">
        <v>21</v>
      </c>
      <c r="I89" s="5">
        <f t="shared" si="7"/>
        <v>14.771157024793389</v>
      </c>
      <c r="J89" s="5">
        <f t="shared" si="8"/>
        <v>70.338842975206617</v>
      </c>
      <c r="L89" s="5">
        <f t="shared" si="9"/>
        <v>0</v>
      </c>
      <c r="M89" s="8">
        <v>85.11</v>
      </c>
      <c r="N89" s="2" t="s">
        <v>39</v>
      </c>
      <c r="O89" s="3" t="s">
        <v>65</v>
      </c>
    </row>
    <row r="90" spans="1:19" x14ac:dyDescent="0.35">
      <c r="A90" s="4">
        <v>45292</v>
      </c>
      <c r="B90" s="2" t="s">
        <v>446</v>
      </c>
      <c r="D90" s="2" t="s">
        <v>238</v>
      </c>
      <c r="E90" s="2" t="s">
        <v>220</v>
      </c>
      <c r="F90" s="5" t="str">
        <f t="shared" si="10"/>
        <v>28-A4U1-062049 TELEFONICA</v>
      </c>
      <c r="G90" s="12">
        <v>9.94</v>
      </c>
      <c r="H90">
        <v>21</v>
      </c>
      <c r="I90" s="5">
        <f t="shared" si="7"/>
        <v>2.0873999999999997</v>
      </c>
      <c r="J90" s="5">
        <f t="shared" si="8"/>
        <v>9.94</v>
      </c>
      <c r="L90" s="5">
        <f t="shared" si="9"/>
        <v>0</v>
      </c>
      <c r="M90" s="8">
        <v>-143.80000000000001</v>
      </c>
      <c r="N90" s="2" t="s">
        <v>39</v>
      </c>
      <c r="O90" s="3" t="s">
        <v>65</v>
      </c>
    </row>
    <row r="91" spans="1:19" x14ac:dyDescent="0.35">
      <c r="A91" s="4">
        <v>45323</v>
      </c>
      <c r="B91" s="2" t="s">
        <v>447</v>
      </c>
      <c r="D91" s="2" t="s">
        <v>238</v>
      </c>
      <c r="E91" s="2" t="s">
        <v>220</v>
      </c>
      <c r="F91" s="5" t="str">
        <f t="shared" si="10"/>
        <v>TA78X0172474 TELEFONICA</v>
      </c>
      <c r="G91" s="12">
        <f t="shared" si="6"/>
        <v>140.60330578512398</v>
      </c>
      <c r="H91">
        <v>21</v>
      </c>
      <c r="I91" s="5">
        <f t="shared" si="7"/>
        <v>29.526694214876034</v>
      </c>
      <c r="J91" s="5">
        <f t="shared" si="8"/>
        <v>140.60330578512398</v>
      </c>
      <c r="L91" s="5">
        <f t="shared" si="9"/>
        <v>0</v>
      </c>
      <c r="M91" s="8">
        <v>170.13</v>
      </c>
      <c r="N91" s="2" t="s">
        <v>39</v>
      </c>
      <c r="O91" s="3" t="s">
        <v>65</v>
      </c>
    </row>
    <row r="92" spans="1:19" x14ac:dyDescent="0.35">
      <c r="A92" s="4">
        <v>45323</v>
      </c>
      <c r="B92" s="2" t="s">
        <v>448</v>
      </c>
      <c r="D92" s="2" t="s">
        <v>238</v>
      </c>
      <c r="E92" s="2" t="s">
        <v>220</v>
      </c>
      <c r="F92" s="5" t="str">
        <f t="shared" si="10"/>
        <v>TA78X0172473 TELEFONICA</v>
      </c>
      <c r="G92" s="12">
        <f t="shared" si="6"/>
        <v>80.140495867768593</v>
      </c>
      <c r="H92">
        <v>21</v>
      </c>
      <c r="I92" s="5">
        <f t="shared" si="7"/>
        <v>16.829504132231406</v>
      </c>
      <c r="J92" s="5">
        <f t="shared" si="8"/>
        <v>80.140495867768593</v>
      </c>
      <c r="L92" s="5">
        <f t="shared" si="9"/>
        <v>0</v>
      </c>
      <c r="M92" s="8">
        <v>96.97</v>
      </c>
      <c r="N92" s="2" t="s">
        <v>39</v>
      </c>
      <c r="O92" s="3" t="s">
        <v>65</v>
      </c>
    </row>
    <row r="93" spans="1:19" x14ac:dyDescent="0.35">
      <c r="A93" s="4">
        <v>45323</v>
      </c>
      <c r="B93" s="2" t="s">
        <v>449</v>
      </c>
      <c r="D93" s="2" t="s">
        <v>238</v>
      </c>
      <c r="E93" s="2" t="s">
        <v>220</v>
      </c>
      <c r="F93" s="5" t="str">
        <f t="shared" si="10"/>
        <v>TA78X0172472 TELEFONICA</v>
      </c>
      <c r="G93" s="12">
        <f t="shared" si="6"/>
        <v>80.140495867768593</v>
      </c>
      <c r="H93">
        <v>21</v>
      </c>
      <c r="I93" s="5">
        <f t="shared" si="7"/>
        <v>16.829504132231406</v>
      </c>
      <c r="J93" s="5">
        <f t="shared" si="8"/>
        <v>80.140495867768593</v>
      </c>
      <c r="L93" s="5">
        <f t="shared" si="9"/>
        <v>0</v>
      </c>
      <c r="M93" s="8">
        <v>96.97</v>
      </c>
      <c r="N93" s="2" t="s">
        <v>39</v>
      </c>
      <c r="O93" s="3" t="s">
        <v>65</v>
      </c>
    </row>
    <row r="94" spans="1:19" x14ac:dyDescent="0.35">
      <c r="A94" s="4">
        <v>45323</v>
      </c>
      <c r="B94" s="2" t="s">
        <v>450</v>
      </c>
      <c r="D94" s="2" t="s">
        <v>238</v>
      </c>
      <c r="E94" s="2" t="s">
        <v>220</v>
      </c>
      <c r="F94" s="5" t="str">
        <f t="shared" si="10"/>
        <v>28-B4I1-020407 TELEFONICA</v>
      </c>
      <c r="G94" s="12">
        <v>78.92</v>
      </c>
      <c r="H94">
        <v>21</v>
      </c>
      <c r="I94" s="5">
        <f t="shared" si="7"/>
        <v>16.5732</v>
      </c>
      <c r="J94" s="5">
        <f t="shared" si="8"/>
        <v>78.92</v>
      </c>
      <c r="L94" s="5">
        <f t="shared" si="9"/>
        <v>0</v>
      </c>
      <c r="M94" s="8">
        <v>-60.33</v>
      </c>
      <c r="N94" s="2" t="s">
        <v>39</v>
      </c>
      <c r="O94" s="3" t="s">
        <v>65</v>
      </c>
    </row>
    <row r="95" spans="1:19" x14ac:dyDescent="0.35">
      <c r="A95" s="4">
        <v>45323</v>
      </c>
      <c r="B95" s="2" t="s">
        <v>451</v>
      </c>
      <c r="D95" s="2" t="s">
        <v>238</v>
      </c>
      <c r="E95" s="2" t="s">
        <v>220</v>
      </c>
      <c r="F95" s="5" t="str">
        <f t="shared" si="10"/>
        <v>TA78X0172475 TELEFONICA</v>
      </c>
      <c r="G95" s="12">
        <f t="shared" si="6"/>
        <v>80.140495867768593</v>
      </c>
      <c r="H95">
        <v>21</v>
      </c>
      <c r="I95" s="5">
        <f t="shared" si="7"/>
        <v>16.829504132231406</v>
      </c>
      <c r="J95" s="5">
        <f t="shared" si="8"/>
        <v>80.140495867768593</v>
      </c>
      <c r="L95" s="5">
        <f t="shared" si="9"/>
        <v>0</v>
      </c>
      <c r="M95" s="8">
        <v>96.97</v>
      </c>
      <c r="N95" s="2" t="s">
        <v>39</v>
      </c>
      <c r="O95" s="3" t="s">
        <v>65</v>
      </c>
    </row>
    <row r="96" spans="1:19" x14ac:dyDescent="0.35">
      <c r="A96" s="4">
        <v>45322</v>
      </c>
      <c r="B96" s="2" t="s">
        <v>452</v>
      </c>
      <c r="D96" s="2" t="s">
        <v>254</v>
      </c>
      <c r="E96" s="2" t="s">
        <v>351</v>
      </c>
      <c r="F96" s="5" t="str">
        <f t="shared" si="10"/>
        <v>406400132 BPV SUMINISTROS ELECTRICOS VALDEMORO</v>
      </c>
      <c r="G96" s="12">
        <f t="shared" si="6"/>
        <v>394.76033057851242</v>
      </c>
      <c r="H96">
        <v>21</v>
      </c>
      <c r="I96" s="5">
        <f t="shared" si="7"/>
        <v>82.899669421487616</v>
      </c>
      <c r="J96" s="5">
        <f t="shared" si="8"/>
        <v>394.76033057851242</v>
      </c>
      <c r="L96" s="5">
        <f t="shared" si="9"/>
        <v>0</v>
      </c>
      <c r="M96" s="8">
        <v>477.66</v>
      </c>
      <c r="N96" s="2" t="s">
        <v>21</v>
      </c>
      <c r="O96" s="3" t="s">
        <v>63</v>
      </c>
    </row>
    <row r="97" spans="1:15" x14ac:dyDescent="0.35">
      <c r="A97" s="4">
        <v>45329</v>
      </c>
      <c r="B97" s="2" t="s">
        <v>455</v>
      </c>
      <c r="D97" s="2" t="s">
        <v>27</v>
      </c>
      <c r="E97" s="2" t="s">
        <v>301</v>
      </c>
      <c r="F97" s="5" t="str">
        <f t="shared" si="10"/>
        <v xml:space="preserve">2024/000061 PADRISA </v>
      </c>
      <c r="G97" s="12">
        <f t="shared" si="6"/>
        <v>143.19834710743802</v>
      </c>
      <c r="H97">
        <v>21</v>
      </c>
      <c r="I97" s="5">
        <f t="shared" si="7"/>
        <v>30.071652892561982</v>
      </c>
      <c r="J97" s="5">
        <f t="shared" si="8"/>
        <v>143.19834710743802</v>
      </c>
      <c r="L97" s="5">
        <f t="shared" si="9"/>
        <v>0</v>
      </c>
      <c r="M97" s="8">
        <v>173.27</v>
      </c>
      <c r="N97" s="2" t="s">
        <v>53</v>
      </c>
      <c r="O97" s="3" t="s">
        <v>68</v>
      </c>
    </row>
    <row r="98" spans="1:15" x14ac:dyDescent="0.35">
      <c r="A98" s="4">
        <v>45322</v>
      </c>
      <c r="B98" s="2" t="s">
        <v>456</v>
      </c>
      <c r="D98" s="2" t="s">
        <v>40</v>
      </c>
      <c r="E98" s="2" t="s">
        <v>41</v>
      </c>
      <c r="F98" s="5" t="str">
        <f t="shared" si="10"/>
        <v>160/24 CONTENEDORES OSCONSUR</v>
      </c>
      <c r="G98" s="12">
        <f t="shared" si="6"/>
        <v>1502</v>
      </c>
      <c r="H98">
        <v>10</v>
      </c>
      <c r="I98" s="5">
        <f t="shared" si="7"/>
        <v>150.19999999999999</v>
      </c>
      <c r="J98" s="5">
        <f t="shared" si="8"/>
        <v>1502</v>
      </c>
      <c r="L98" s="5">
        <f t="shared" si="9"/>
        <v>0</v>
      </c>
      <c r="M98" s="8">
        <v>1652.2</v>
      </c>
      <c r="N98" s="2" t="s">
        <v>33</v>
      </c>
      <c r="O98" s="3" t="s">
        <v>65</v>
      </c>
    </row>
    <row r="99" spans="1:15" x14ac:dyDescent="0.35">
      <c r="A99" s="4">
        <v>45324</v>
      </c>
      <c r="B99" s="2" t="s">
        <v>458</v>
      </c>
      <c r="D99" s="2" t="s">
        <v>58</v>
      </c>
      <c r="E99" s="2" t="s">
        <v>325</v>
      </c>
      <c r="F99" s="5" t="str">
        <f t="shared" si="10"/>
        <v>007-0002-403074 BRICOLAJE BRICOMAN SL</v>
      </c>
      <c r="G99" s="12">
        <f t="shared" si="6"/>
        <v>46.280991735537192</v>
      </c>
      <c r="H99">
        <v>21</v>
      </c>
      <c r="I99" s="5">
        <f t="shared" si="7"/>
        <v>9.7190082644628095</v>
      </c>
      <c r="J99" s="5">
        <f t="shared" si="8"/>
        <v>46.280991735537192</v>
      </c>
      <c r="L99" s="5">
        <f t="shared" si="9"/>
        <v>0</v>
      </c>
      <c r="M99" s="8">
        <v>56</v>
      </c>
      <c r="N99" s="2" t="s">
        <v>21</v>
      </c>
      <c r="O99" s="3" t="s">
        <v>64</v>
      </c>
    </row>
    <row r="100" spans="1:15" x14ac:dyDescent="0.35">
      <c r="A100" s="4">
        <v>45324</v>
      </c>
      <c r="B100" s="2" t="s">
        <v>459</v>
      </c>
      <c r="D100" s="2" t="s">
        <v>58</v>
      </c>
      <c r="E100" s="2" t="s">
        <v>325</v>
      </c>
      <c r="F100" s="5" t="str">
        <f t="shared" si="10"/>
        <v>007-0002-403068 BRICOLAJE BRICOMAN SL</v>
      </c>
      <c r="G100" s="12">
        <f t="shared" si="6"/>
        <v>177.02479338842974</v>
      </c>
      <c r="H100">
        <v>21</v>
      </c>
      <c r="I100" s="5">
        <f t="shared" si="7"/>
        <v>37.175206611570246</v>
      </c>
      <c r="J100" s="5">
        <f t="shared" si="8"/>
        <v>177.02479338842974</v>
      </c>
      <c r="L100" s="5">
        <f t="shared" si="9"/>
        <v>0</v>
      </c>
      <c r="M100" s="8">
        <v>214.2</v>
      </c>
      <c r="N100" s="2" t="s">
        <v>21</v>
      </c>
      <c r="O100" s="3" t="s">
        <v>64</v>
      </c>
    </row>
    <row r="101" spans="1:15" x14ac:dyDescent="0.35">
      <c r="A101" s="4">
        <v>45321</v>
      </c>
      <c r="B101" s="2" t="s">
        <v>460</v>
      </c>
      <c r="D101" s="2" t="s">
        <v>59</v>
      </c>
      <c r="E101" s="2" t="s">
        <v>43</v>
      </c>
      <c r="F101" s="5" t="str">
        <f t="shared" si="10"/>
        <v>241242101204 EUGENIO PEREDA</v>
      </c>
      <c r="G101" s="12">
        <f t="shared" si="6"/>
        <v>433.1239669421488</v>
      </c>
      <c r="H101">
        <v>21</v>
      </c>
      <c r="I101" s="5">
        <f t="shared" si="7"/>
        <v>90.956033057851258</v>
      </c>
      <c r="J101" s="5">
        <f t="shared" si="8"/>
        <v>433.1239669421488</v>
      </c>
      <c r="L101" s="5">
        <f t="shared" si="9"/>
        <v>0</v>
      </c>
      <c r="M101" s="8">
        <v>524.08000000000004</v>
      </c>
      <c r="N101" s="2" t="s">
        <v>21</v>
      </c>
      <c r="O101" s="3" t="s">
        <v>64</v>
      </c>
    </row>
    <row r="102" spans="1:15" x14ac:dyDescent="0.35">
      <c r="A102" s="4" t="s">
        <v>461</v>
      </c>
      <c r="B102" s="2" t="s">
        <v>462</v>
      </c>
      <c r="D102" s="2" t="s">
        <v>58</v>
      </c>
      <c r="E102" s="2" t="s">
        <v>325</v>
      </c>
      <c r="F102" s="5" t="str">
        <f t="shared" si="10"/>
        <v>007-0012-352703 BRICOLAJE BRICOMAN SL</v>
      </c>
      <c r="G102" s="12">
        <f t="shared" si="6"/>
        <v>7.0247933884297522</v>
      </c>
      <c r="H102">
        <v>21</v>
      </c>
      <c r="I102" s="5">
        <f t="shared" si="7"/>
        <v>1.4752066115702478</v>
      </c>
      <c r="J102" s="5">
        <f t="shared" si="8"/>
        <v>7.0247933884297522</v>
      </c>
      <c r="L102" s="5">
        <f t="shared" si="9"/>
        <v>0</v>
      </c>
      <c r="M102" s="8">
        <v>8.5</v>
      </c>
      <c r="N102" s="2" t="s">
        <v>21</v>
      </c>
      <c r="O102" s="3" t="s">
        <v>64</v>
      </c>
    </row>
    <row r="103" spans="1:15" x14ac:dyDescent="0.35">
      <c r="A103" s="4">
        <v>45203</v>
      </c>
      <c r="B103" s="2" t="s">
        <v>463</v>
      </c>
      <c r="D103" s="2" t="s">
        <v>58</v>
      </c>
      <c r="E103" s="2" t="s">
        <v>325</v>
      </c>
      <c r="F103" s="5" t="str">
        <f t="shared" si="10"/>
        <v>007-0010-248786 BRICOLAJE BRICOMAN SL</v>
      </c>
      <c r="G103" s="12">
        <f t="shared" si="6"/>
        <v>23.966942148760332</v>
      </c>
      <c r="H103">
        <v>21</v>
      </c>
      <c r="I103" s="5">
        <f t="shared" si="7"/>
        <v>5.0330578512396702</v>
      </c>
      <c r="J103" s="5">
        <f t="shared" si="8"/>
        <v>23.966942148760332</v>
      </c>
      <c r="L103" s="5">
        <f t="shared" si="9"/>
        <v>0</v>
      </c>
      <c r="M103" s="8">
        <v>29</v>
      </c>
      <c r="N103" s="2" t="s">
        <v>21</v>
      </c>
      <c r="O103" s="3" t="s">
        <v>64</v>
      </c>
    </row>
    <row r="104" spans="1:15" x14ac:dyDescent="0.35">
      <c r="A104" s="4">
        <v>45215</v>
      </c>
      <c r="B104" s="2" t="s">
        <v>464</v>
      </c>
      <c r="D104" s="2" t="s">
        <v>258</v>
      </c>
      <c r="E104" s="2" t="s">
        <v>465</v>
      </c>
      <c r="F104" s="5" t="str">
        <f t="shared" si="10"/>
        <v>230209406 UNI-HER SL</v>
      </c>
      <c r="G104" s="12">
        <f t="shared" si="6"/>
        <v>31.611570247933884</v>
      </c>
      <c r="H104">
        <v>21</v>
      </c>
      <c r="I104" s="5">
        <f t="shared" si="7"/>
        <v>6.6384297520661155</v>
      </c>
      <c r="J104" s="5">
        <f t="shared" si="8"/>
        <v>31.611570247933884</v>
      </c>
      <c r="L104" s="5">
        <f t="shared" si="9"/>
        <v>0</v>
      </c>
      <c r="M104" s="8">
        <v>38.25</v>
      </c>
      <c r="N104" s="2" t="s">
        <v>21</v>
      </c>
      <c r="O104" s="3" t="s">
        <v>64</v>
      </c>
    </row>
    <row r="105" spans="1:15" x14ac:dyDescent="0.35">
      <c r="A105" s="4">
        <v>45321</v>
      </c>
      <c r="B105" s="2" t="s">
        <v>466</v>
      </c>
      <c r="D105" s="2" t="s">
        <v>58</v>
      </c>
      <c r="E105" s="2" t="s">
        <v>325</v>
      </c>
      <c r="F105" s="5" t="str">
        <f t="shared" si="10"/>
        <v>024-0001-874343 BRICOLAJE BRICOMAN SL</v>
      </c>
      <c r="G105" s="12">
        <f t="shared" si="6"/>
        <v>8.5950413223140494</v>
      </c>
      <c r="H105">
        <v>21</v>
      </c>
      <c r="I105" s="5">
        <f t="shared" si="7"/>
        <v>1.8049586776859505</v>
      </c>
      <c r="J105" s="5">
        <f t="shared" si="8"/>
        <v>8.5950413223140494</v>
      </c>
      <c r="L105" s="5">
        <f t="shared" si="9"/>
        <v>0</v>
      </c>
      <c r="M105" s="8">
        <v>10.4</v>
      </c>
      <c r="N105" s="2" t="s">
        <v>21</v>
      </c>
      <c r="O105" s="3" t="s">
        <v>64</v>
      </c>
    </row>
    <row r="106" spans="1:15" x14ac:dyDescent="0.35">
      <c r="A106" s="4">
        <v>45281</v>
      </c>
      <c r="B106" s="2" t="s">
        <v>467</v>
      </c>
      <c r="D106" s="2" t="s">
        <v>87</v>
      </c>
      <c r="E106" s="2" t="s">
        <v>88</v>
      </c>
      <c r="F106" s="5" t="str">
        <f t="shared" si="10"/>
        <v>P23CON031588029 ENDESA</v>
      </c>
      <c r="G106" s="12">
        <v>168.1</v>
      </c>
      <c r="H106">
        <v>5</v>
      </c>
      <c r="I106" s="5">
        <f t="shared" si="7"/>
        <v>8.4049999999999994</v>
      </c>
      <c r="J106" s="5">
        <f t="shared" si="8"/>
        <v>168.1</v>
      </c>
      <c r="L106" s="5">
        <f t="shared" si="9"/>
        <v>0</v>
      </c>
      <c r="M106" s="8">
        <v>176.51</v>
      </c>
      <c r="N106" s="2" t="s">
        <v>38</v>
      </c>
      <c r="O106" s="3" t="s">
        <v>65</v>
      </c>
    </row>
    <row r="107" spans="1:15" x14ac:dyDescent="0.35">
      <c r="A107" s="4">
        <v>45315</v>
      </c>
      <c r="B107" s="2" t="s">
        <v>468</v>
      </c>
      <c r="D107" s="2" t="s">
        <v>35</v>
      </c>
      <c r="E107" s="2" t="s">
        <v>167</v>
      </c>
      <c r="F107" s="5" t="str">
        <f t="shared" si="10"/>
        <v>0240001224 PINTODIS SL</v>
      </c>
      <c r="G107" s="12">
        <f t="shared" ref="G107:G162" si="11">M107/(1-K107/100+H107/100)</f>
        <v>16.528925619834713</v>
      </c>
      <c r="H107">
        <v>21</v>
      </c>
      <c r="I107" s="5">
        <f>G107*H107/100</f>
        <v>3.4710743801652897</v>
      </c>
      <c r="J107" s="5">
        <f t="shared" ref="J107:J163" si="12">G107</f>
        <v>16.528925619834713</v>
      </c>
      <c r="L107" s="5">
        <f t="shared" ref="L107:L163" si="13">J107*K107/100</f>
        <v>0</v>
      </c>
      <c r="M107" s="8">
        <v>20</v>
      </c>
      <c r="N107" s="2" t="s">
        <v>22</v>
      </c>
      <c r="O107" s="3" t="s">
        <v>64</v>
      </c>
    </row>
    <row r="108" spans="1:15" x14ac:dyDescent="0.35">
      <c r="A108" s="4">
        <v>45308</v>
      </c>
      <c r="B108" s="2" t="s">
        <v>469</v>
      </c>
      <c r="D108" s="2" t="s">
        <v>470</v>
      </c>
      <c r="E108" s="2" t="s">
        <v>471</v>
      </c>
      <c r="F108" s="5" t="str">
        <f t="shared" si="10"/>
        <v>602030513 MEGINO SL</v>
      </c>
      <c r="G108" s="12">
        <f t="shared" si="11"/>
        <v>63.033057851239668</v>
      </c>
      <c r="H108">
        <v>21</v>
      </c>
      <c r="I108" s="5">
        <f>G108*H108/100</f>
        <v>13.236942148760331</v>
      </c>
      <c r="J108" s="5">
        <f t="shared" si="12"/>
        <v>63.033057851239668</v>
      </c>
      <c r="L108" s="5">
        <f t="shared" si="13"/>
        <v>0</v>
      </c>
      <c r="M108" s="8">
        <v>76.27</v>
      </c>
      <c r="N108" s="2" t="s">
        <v>22</v>
      </c>
      <c r="O108" s="3" t="s">
        <v>64</v>
      </c>
    </row>
    <row r="109" spans="1:15" x14ac:dyDescent="0.35">
      <c r="A109" s="4">
        <v>45308</v>
      </c>
      <c r="B109" s="2" t="s">
        <v>472</v>
      </c>
      <c r="D109" s="2" t="s">
        <v>59</v>
      </c>
      <c r="E109" s="2" t="s">
        <v>43</v>
      </c>
      <c r="F109" s="5" t="str">
        <f t="shared" si="10"/>
        <v>141500448 EUGENIO PEREDA</v>
      </c>
      <c r="G109" s="12">
        <f t="shared" si="11"/>
        <v>533.61983471074382</v>
      </c>
      <c r="H109">
        <v>21</v>
      </c>
      <c r="I109" s="5">
        <f>G109*H109/100</f>
        <v>112.0601652892562</v>
      </c>
      <c r="J109" s="5">
        <f t="shared" si="12"/>
        <v>533.61983471074382</v>
      </c>
      <c r="L109" s="5">
        <f t="shared" si="13"/>
        <v>0</v>
      </c>
      <c r="M109" s="8">
        <v>645.67999999999995</v>
      </c>
      <c r="N109" s="2" t="s">
        <v>21</v>
      </c>
      <c r="O109" s="3" t="s">
        <v>64</v>
      </c>
    </row>
    <row r="110" spans="1:15" x14ac:dyDescent="0.35">
      <c r="A110" s="4">
        <v>45320</v>
      </c>
      <c r="B110" s="2" t="s">
        <v>474</v>
      </c>
      <c r="D110" s="2" t="s">
        <v>89</v>
      </c>
      <c r="E110" s="2" t="s">
        <v>90</v>
      </c>
      <c r="F110" s="5" t="str">
        <f t="shared" si="10"/>
        <v>E12007224TS000FE000084 GALP</v>
      </c>
      <c r="G110" s="12">
        <f t="shared" si="11"/>
        <v>41.32231404958678</v>
      </c>
      <c r="H110">
        <v>21</v>
      </c>
      <c r="I110" s="5">
        <f t="shared" ref="I110:I168" si="14">G110*H110/100</f>
        <v>8.677685950413224</v>
      </c>
      <c r="J110" s="5">
        <f t="shared" si="12"/>
        <v>41.32231404958678</v>
      </c>
      <c r="L110" s="5">
        <f t="shared" si="13"/>
        <v>0</v>
      </c>
      <c r="M110" s="8">
        <v>50</v>
      </c>
      <c r="N110" s="2" t="s">
        <v>22</v>
      </c>
      <c r="O110" s="3" t="s">
        <v>63</v>
      </c>
    </row>
    <row r="111" spans="1:15" x14ac:dyDescent="0.35">
      <c r="A111" s="4">
        <v>45276</v>
      </c>
      <c r="B111" s="2" t="s">
        <v>475</v>
      </c>
      <c r="D111" s="2" t="s">
        <v>243</v>
      </c>
      <c r="E111" s="2" t="s">
        <v>476</v>
      </c>
      <c r="F111" s="5" t="str">
        <f t="shared" si="10"/>
        <v>23T50549 GANESHA COMBUSTIBLE SL</v>
      </c>
      <c r="G111" s="12">
        <f t="shared" si="11"/>
        <v>57.851239669421489</v>
      </c>
      <c r="H111">
        <v>21</v>
      </c>
      <c r="I111" s="5">
        <f t="shared" si="14"/>
        <v>12.148760330578511</v>
      </c>
      <c r="J111" s="5">
        <f t="shared" si="12"/>
        <v>57.851239669421489</v>
      </c>
      <c r="L111" s="5">
        <f t="shared" si="13"/>
        <v>0</v>
      </c>
      <c r="M111" s="8">
        <v>70</v>
      </c>
      <c r="N111" s="2" t="s">
        <v>22</v>
      </c>
      <c r="O111" s="3" t="s">
        <v>64</v>
      </c>
    </row>
    <row r="112" spans="1:15" x14ac:dyDescent="0.35">
      <c r="A112" s="4">
        <v>45283</v>
      </c>
      <c r="B112" s="2" t="s">
        <v>477</v>
      </c>
      <c r="D112" s="2" t="s">
        <v>243</v>
      </c>
      <c r="E112" s="2" t="s">
        <v>476</v>
      </c>
      <c r="F112" s="5" t="str">
        <f t="shared" si="10"/>
        <v>23T51807 GANESHA COMBUSTIBLE SL</v>
      </c>
      <c r="G112" s="12">
        <f t="shared" si="11"/>
        <v>45.454545454545453</v>
      </c>
      <c r="H112">
        <v>21</v>
      </c>
      <c r="I112" s="5">
        <f t="shared" si="14"/>
        <v>9.545454545454545</v>
      </c>
      <c r="J112" s="5">
        <f t="shared" si="12"/>
        <v>45.454545454545453</v>
      </c>
      <c r="L112" s="5">
        <f t="shared" si="13"/>
        <v>0</v>
      </c>
      <c r="M112" s="8">
        <v>55</v>
      </c>
      <c r="N112" s="2" t="s">
        <v>22</v>
      </c>
      <c r="O112" s="3" t="s">
        <v>64</v>
      </c>
    </row>
    <row r="113" spans="1:15" x14ac:dyDescent="0.35">
      <c r="A113" s="4">
        <v>45317</v>
      </c>
      <c r="B113" s="2" t="s">
        <v>478</v>
      </c>
      <c r="D113" s="2" t="s">
        <v>29</v>
      </c>
      <c r="E113" s="2" t="s">
        <v>76</v>
      </c>
      <c r="F113" s="5" t="str">
        <f t="shared" si="5"/>
        <v>5477-2024-00512544 COSTCO</v>
      </c>
      <c r="G113" s="12">
        <f t="shared" si="11"/>
        <v>51.18181818181818</v>
      </c>
      <c r="H113">
        <v>21</v>
      </c>
      <c r="I113" s="5">
        <f t="shared" si="14"/>
        <v>10.748181818181818</v>
      </c>
      <c r="J113" s="5">
        <f t="shared" si="12"/>
        <v>51.18181818181818</v>
      </c>
      <c r="L113" s="5">
        <f t="shared" si="13"/>
        <v>0</v>
      </c>
      <c r="M113" s="8">
        <v>61.93</v>
      </c>
      <c r="N113" s="2" t="s">
        <v>22</v>
      </c>
      <c r="O113" s="3" t="s">
        <v>64</v>
      </c>
    </row>
    <row r="114" spans="1:15" x14ac:dyDescent="0.35">
      <c r="A114" s="4">
        <v>45211</v>
      </c>
      <c r="B114" s="2" t="s">
        <v>479</v>
      </c>
      <c r="D114" s="2" t="s">
        <v>111</v>
      </c>
      <c r="E114" s="2" t="s">
        <v>237</v>
      </c>
      <c r="F114" s="5" t="str">
        <f t="shared" si="5"/>
        <v>001D2300027748 PLENOIL</v>
      </c>
      <c r="G114" s="12">
        <f t="shared" si="11"/>
        <v>41.32231404958678</v>
      </c>
      <c r="H114">
        <v>21</v>
      </c>
      <c r="I114" s="5">
        <f t="shared" si="14"/>
        <v>8.677685950413224</v>
      </c>
      <c r="J114" s="5">
        <f t="shared" si="12"/>
        <v>41.32231404958678</v>
      </c>
      <c r="L114" s="5">
        <f t="shared" si="13"/>
        <v>0</v>
      </c>
      <c r="M114" s="8">
        <v>50</v>
      </c>
      <c r="N114" s="2" t="s">
        <v>22</v>
      </c>
      <c r="O114" s="3" t="s">
        <v>64</v>
      </c>
    </row>
    <row r="115" spans="1:15" x14ac:dyDescent="0.35">
      <c r="A115" s="4">
        <v>45293</v>
      </c>
      <c r="B115" s="2" t="s">
        <v>480</v>
      </c>
      <c r="D115" s="2" t="s">
        <v>111</v>
      </c>
      <c r="E115" s="2" t="s">
        <v>237</v>
      </c>
      <c r="F115" s="5" t="str">
        <f t="shared" si="5"/>
        <v>001D2400000113 PLENOIL</v>
      </c>
      <c r="G115" s="12">
        <f t="shared" si="11"/>
        <v>16.528925619834713</v>
      </c>
      <c r="H115">
        <v>21</v>
      </c>
      <c r="I115" s="5">
        <f t="shared" si="14"/>
        <v>3.4710743801652897</v>
      </c>
      <c r="J115" s="5">
        <f t="shared" si="12"/>
        <v>16.528925619834713</v>
      </c>
      <c r="L115" s="5">
        <f t="shared" si="13"/>
        <v>0</v>
      </c>
      <c r="M115" s="8">
        <v>20</v>
      </c>
      <c r="N115" s="2" t="s">
        <v>22</v>
      </c>
      <c r="O115" s="3" t="s">
        <v>64</v>
      </c>
    </row>
    <row r="116" spans="1:15" x14ac:dyDescent="0.35">
      <c r="A116" s="4">
        <v>45296</v>
      </c>
      <c r="B116" s="2" t="s">
        <v>481</v>
      </c>
      <c r="D116" s="2" t="s">
        <v>111</v>
      </c>
      <c r="E116" s="2" t="s">
        <v>237</v>
      </c>
      <c r="F116" s="5" t="str">
        <f t="shared" si="5"/>
        <v>001D2400000355 PLENOIL</v>
      </c>
      <c r="G116" s="12">
        <f t="shared" si="11"/>
        <v>16.528925619834713</v>
      </c>
      <c r="H116">
        <v>21</v>
      </c>
      <c r="I116" s="5">
        <f t="shared" si="14"/>
        <v>3.4710743801652897</v>
      </c>
      <c r="J116" s="5">
        <f t="shared" si="12"/>
        <v>16.528925619834713</v>
      </c>
      <c r="L116" s="5">
        <f t="shared" si="13"/>
        <v>0</v>
      </c>
      <c r="M116" s="8">
        <v>20</v>
      </c>
      <c r="N116" s="2" t="s">
        <v>22</v>
      </c>
      <c r="O116" s="3" t="s">
        <v>64</v>
      </c>
    </row>
    <row r="117" spans="1:15" x14ac:dyDescent="0.35">
      <c r="A117" s="4">
        <v>45301</v>
      </c>
      <c r="B117" s="2" t="s">
        <v>311</v>
      </c>
      <c r="D117" s="2" t="s">
        <v>103</v>
      </c>
      <c r="E117" s="2" t="s">
        <v>482</v>
      </c>
      <c r="F117" s="5" t="str">
        <f t="shared" si="5"/>
        <v>DS-ASE-INV-ES-2024-3293519 CLEVESTUFF INTERNATIONAL LIMITED</v>
      </c>
      <c r="G117" s="12">
        <f t="shared" si="11"/>
        <v>94.206611570247929</v>
      </c>
      <c r="H117">
        <v>21</v>
      </c>
      <c r="I117" s="5">
        <f t="shared" si="14"/>
        <v>19.783388429752065</v>
      </c>
      <c r="J117" s="5">
        <f t="shared" si="12"/>
        <v>94.206611570247929</v>
      </c>
      <c r="L117" s="5">
        <f t="shared" si="13"/>
        <v>0</v>
      </c>
      <c r="M117" s="8">
        <v>113.99</v>
      </c>
      <c r="N117" s="2" t="s">
        <v>61</v>
      </c>
      <c r="O117" s="3" t="s">
        <v>63</v>
      </c>
    </row>
    <row r="118" spans="1:15" x14ac:dyDescent="0.35">
      <c r="A118" s="4">
        <v>45301</v>
      </c>
      <c r="B118" s="2" t="s">
        <v>483</v>
      </c>
      <c r="D118" s="2" t="s">
        <v>484</v>
      </c>
      <c r="E118" s="2" t="s">
        <v>485</v>
      </c>
      <c r="F118" s="5" t="str">
        <f t="shared" si="5"/>
        <v>ES429L5QAEUS AMAZON</v>
      </c>
      <c r="G118" s="12">
        <f t="shared" si="11"/>
        <v>16.520661157024794</v>
      </c>
      <c r="H118">
        <v>21</v>
      </c>
      <c r="I118" s="5">
        <f t="shared" si="14"/>
        <v>3.4693388429752066</v>
      </c>
      <c r="J118" s="5">
        <f t="shared" si="12"/>
        <v>16.520661157024794</v>
      </c>
      <c r="L118" s="5">
        <f t="shared" si="13"/>
        <v>0</v>
      </c>
      <c r="M118" s="8">
        <v>19.989999999999998</v>
      </c>
      <c r="N118" s="2" t="s">
        <v>61</v>
      </c>
      <c r="O118" s="3" t="s">
        <v>63</v>
      </c>
    </row>
    <row r="119" spans="1:15" x14ac:dyDescent="0.35">
      <c r="A119" s="4">
        <v>45303</v>
      </c>
      <c r="B119" s="2" t="s">
        <v>486</v>
      </c>
      <c r="D119" s="2" t="s">
        <v>484</v>
      </c>
      <c r="E119" s="2" t="s">
        <v>485</v>
      </c>
      <c r="F119" s="5" t="str">
        <f t="shared" si="5"/>
        <v>ES42K3BCAEUS AMAZON</v>
      </c>
      <c r="G119" s="12">
        <f t="shared" si="11"/>
        <v>55.173553719008268</v>
      </c>
      <c r="H119">
        <v>21</v>
      </c>
      <c r="I119" s="5">
        <f t="shared" si="14"/>
        <v>11.586446280991735</v>
      </c>
      <c r="J119" s="5">
        <f t="shared" si="12"/>
        <v>55.173553719008268</v>
      </c>
      <c r="L119" s="5">
        <f t="shared" si="13"/>
        <v>0</v>
      </c>
      <c r="M119" s="8">
        <v>66.760000000000005</v>
      </c>
      <c r="N119" s="2" t="s">
        <v>61</v>
      </c>
      <c r="O119" s="3" t="s">
        <v>63</v>
      </c>
    </row>
    <row r="120" spans="1:15" x14ac:dyDescent="0.35">
      <c r="A120" s="4">
        <v>45322</v>
      </c>
      <c r="B120" s="2" t="s">
        <v>487</v>
      </c>
      <c r="D120" s="2" t="s">
        <v>103</v>
      </c>
      <c r="E120" s="2" t="s">
        <v>488</v>
      </c>
      <c r="F120" s="5" t="str">
        <f t="shared" si="5"/>
        <v>DS-ASE-INV-ES-2024-9539840 SHENZHEN</v>
      </c>
      <c r="G120" s="12">
        <f t="shared" si="11"/>
        <v>12.471074380165289</v>
      </c>
      <c r="H120">
        <v>21</v>
      </c>
      <c r="I120" s="5">
        <f t="shared" si="14"/>
        <v>2.6189256198347106</v>
      </c>
      <c r="J120" s="5">
        <f t="shared" si="12"/>
        <v>12.471074380165289</v>
      </c>
      <c r="L120" s="5">
        <f t="shared" si="13"/>
        <v>0</v>
      </c>
      <c r="M120" s="8">
        <v>15.09</v>
      </c>
      <c r="N120" s="2" t="s">
        <v>61</v>
      </c>
      <c r="O120" s="3" t="s">
        <v>63</v>
      </c>
    </row>
    <row r="121" spans="1:15" x14ac:dyDescent="0.35">
      <c r="A121" s="4">
        <v>45332</v>
      </c>
      <c r="B121" s="2" t="s">
        <v>489</v>
      </c>
      <c r="D121" s="2" t="s">
        <v>25</v>
      </c>
      <c r="E121" s="2" t="s">
        <v>26</v>
      </c>
      <c r="F121" s="5" t="str">
        <f t="shared" si="5"/>
        <v>42156 SALTOKI</v>
      </c>
      <c r="G121" s="12">
        <f t="shared" si="11"/>
        <v>70.801652892561989</v>
      </c>
      <c r="H121">
        <v>21</v>
      </c>
      <c r="I121" s="5">
        <f t="shared" si="14"/>
        <v>14.868347107438018</v>
      </c>
      <c r="J121" s="5">
        <f t="shared" si="12"/>
        <v>70.801652892561989</v>
      </c>
      <c r="L121" s="5">
        <f t="shared" si="13"/>
        <v>0</v>
      </c>
      <c r="M121" s="8">
        <v>85.67</v>
      </c>
      <c r="N121" s="2" t="s">
        <v>21</v>
      </c>
      <c r="O121" s="3" t="s">
        <v>65</v>
      </c>
    </row>
    <row r="122" spans="1:15" x14ac:dyDescent="0.35">
      <c r="A122" s="4">
        <v>45332</v>
      </c>
      <c r="B122" s="2" t="s">
        <v>490</v>
      </c>
      <c r="D122" s="2" t="s">
        <v>201</v>
      </c>
      <c r="E122" s="2" t="s">
        <v>202</v>
      </c>
      <c r="F122" s="5" t="str">
        <f t="shared" si="5"/>
        <v>1026544479 RYANAIR DAC</v>
      </c>
      <c r="G122" s="12">
        <f t="shared" si="11"/>
        <v>43.187440532825882</v>
      </c>
      <c r="H122">
        <v>5.0999999999999996</v>
      </c>
      <c r="I122" s="5">
        <f t="shared" si="14"/>
        <v>2.2025594671741198</v>
      </c>
      <c r="J122" s="5">
        <f t="shared" si="12"/>
        <v>43.187440532825882</v>
      </c>
      <c r="L122" s="5">
        <f t="shared" si="13"/>
        <v>0</v>
      </c>
      <c r="M122" s="8">
        <v>45.39</v>
      </c>
      <c r="N122" s="2" t="s">
        <v>203</v>
      </c>
      <c r="O122" s="3" t="s">
        <v>63</v>
      </c>
    </row>
    <row r="123" spans="1:15" x14ac:dyDescent="0.35">
      <c r="A123" s="4">
        <v>45314</v>
      </c>
      <c r="B123" s="2" t="s">
        <v>491</v>
      </c>
      <c r="D123" s="2" t="s">
        <v>492</v>
      </c>
      <c r="E123" s="2" t="s">
        <v>493</v>
      </c>
      <c r="F123" s="5" t="str">
        <f t="shared" si="5"/>
        <v>F2400154 JV CENTRO JARDIN SLU CARDENAL HOTEL</v>
      </c>
      <c r="G123" s="12">
        <f t="shared" si="11"/>
        <v>199.99999999999997</v>
      </c>
      <c r="H123">
        <v>10</v>
      </c>
      <c r="I123" s="5">
        <f t="shared" si="14"/>
        <v>19.999999999999996</v>
      </c>
      <c r="J123" s="5">
        <f t="shared" si="12"/>
        <v>199.99999999999997</v>
      </c>
      <c r="L123" s="5">
        <f t="shared" si="13"/>
        <v>0</v>
      </c>
      <c r="M123" s="8">
        <v>220</v>
      </c>
      <c r="N123" s="2" t="s">
        <v>108</v>
      </c>
      <c r="O123" s="3" t="s">
        <v>64</v>
      </c>
    </row>
    <row r="124" spans="1:15" x14ac:dyDescent="0.35">
      <c r="A124" s="4">
        <v>45295</v>
      </c>
      <c r="B124" s="2" t="s">
        <v>494</v>
      </c>
      <c r="D124" s="2" t="s">
        <v>495</v>
      </c>
      <c r="E124" s="2" t="s">
        <v>496</v>
      </c>
      <c r="F124" s="5" t="str">
        <f t="shared" si="5"/>
        <v>191811784 TURIASOL SL</v>
      </c>
      <c r="G124" s="12">
        <f t="shared" si="11"/>
        <v>71.909090909090921</v>
      </c>
      <c r="H124">
        <v>21</v>
      </c>
      <c r="I124" s="5">
        <f t="shared" si="14"/>
        <v>15.100909090909092</v>
      </c>
      <c r="J124" s="5">
        <f t="shared" si="12"/>
        <v>71.909090909090921</v>
      </c>
      <c r="L124" s="5">
        <f t="shared" si="13"/>
        <v>0</v>
      </c>
      <c r="M124" s="8">
        <v>87.01</v>
      </c>
      <c r="N124" s="2" t="s">
        <v>22</v>
      </c>
      <c r="O124" s="3" t="s">
        <v>63</v>
      </c>
    </row>
    <row r="125" spans="1:15" x14ac:dyDescent="0.35">
      <c r="A125" s="4">
        <v>45321</v>
      </c>
      <c r="B125" s="2" t="s">
        <v>497</v>
      </c>
      <c r="D125" s="2" t="s">
        <v>75</v>
      </c>
      <c r="E125" s="2" t="s">
        <v>97</v>
      </c>
      <c r="F125" s="5" t="str">
        <f t="shared" si="5"/>
        <v>ORD_498_2024/0003208 IKEA</v>
      </c>
      <c r="G125" s="12">
        <f t="shared" si="11"/>
        <v>56.966942148760339</v>
      </c>
      <c r="H125">
        <v>21</v>
      </c>
      <c r="I125" s="5">
        <f t="shared" si="14"/>
        <v>11.963057851239672</v>
      </c>
      <c r="J125" s="5">
        <f t="shared" si="12"/>
        <v>56.966942148760339</v>
      </c>
      <c r="L125" s="5">
        <f t="shared" si="13"/>
        <v>0</v>
      </c>
      <c r="M125" s="8">
        <v>68.930000000000007</v>
      </c>
      <c r="N125" s="2" t="s">
        <v>21</v>
      </c>
      <c r="O125" s="3" t="s">
        <v>63</v>
      </c>
    </row>
    <row r="126" spans="1:15" x14ac:dyDescent="0.35">
      <c r="A126" s="4">
        <v>45309</v>
      </c>
      <c r="B126" s="2" t="s">
        <v>498</v>
      </c>
      <c r="D126" s="2" t="s">
        <v>29</v>
      </c>
      <c r="E126" s="2" t="s">
        <v>76</v>
      </c>
      <c r="F126" s="5" t="str">
        <f t="shared" si="5"/>
        <v>5477-2023-00693253 COSTCO</v>
      </c>
      <c r="G126" s="12">
        <f t="shared" si="11"/>
        <v>63.000000000000007</v>
      </c>
      <c r="H126">
        <v>21</v>
      </c>
      <c r="I126" s="5">
        <f t="shared" si="14"/>
        <v>13.230000000000002</v>
      </c>
      <c r="J126" s="5">
        <f t="shared" si="12"/>
        <v>63.000000000000007</v>
      </c>
      <c r="L126" s="5">
        <f t="shared" si="13"/>
        <v>0</v>
      </c>
      <c r="M126" s="8">
        <v>76.23</v>
      </c>
      <c r="N126" s="2" t="s">
        <v>22</v>
      </c>
      <c r="O126" s="3" t="s">
        <v>63</v>
      </c>
    </row>
    <row r="127" spans="1:15" x14ac:dyDescent="0.35">
      <c r="A127" s="4">
        <v>45312</v>
      </c>
      <c r="B127" s="2" t="s">
        <v>499</v>
      </c>
      <c r="D127" s="2" t="s">
        <v>29</v>
      </c>
      <c r="E127" s="2" t="s">
        <v>76</v>
      </c>
      <c r="F127" s="5" t="str">
        <f t="shared" si="5"/>
        <v>5477-2024-00511672 COSTCO</v>
      </c>
      <c r="G127" s="12">
        <f t="shared" si="11"/>
        <v>59.438016528925623</v>
      </c>
      <c r="H127">
        <v>21</v>
      </c>
      <c r="I127" s="5">
        <f t="shared" si="14"/>
        <v>12.481983471074381</v>
      </c>
      <c r="J127" s="5">
        <f t="shared" si="12"/>
        <v>59.438016528925623</v>
      </c>
      <c r="L127" s="5">
        <f t="shared" si="13"/>
        <v>0</v>
      </c>
      <c r="M127" s="8">
        <v>71.92</v>
      </c>
      <c r="N127" s="2" t="s">
        <v>22</v>
      </c>
      <c r="O127" s="3" t="s">
        <v>64</v>
      </c>
    </row>
    <row r="128" spans="1:15" x14ac:dyDescent="0.35">
      <c r="A128" s="4">
        <v>45328</v>
      </c>
      <c r="B128" s="2" t="s">
        <v>500</v>
      </c>
      <c r="D128" s="2" t="s">
        <v>29</v>
      </c>
      <c r="E128" s="2" t="s">
        <v>76</v>
      </c>
      <c r="F128" s="5" t="str">
        <f t="shared" si="5"/>
        <v>5477-2024-00697464 COSTCO</v>
      </c>
      <c r="G128" s="12">
        <f t="shared" si="11"/>
        <v>59.528925619834716</v>
      </c>
      <c r="H128">
        <v>21</v>
      </c>
      <c r="I128" s="5">
        <f t="shared" si="14"/>
        <v>12.501074380165289</v>
      </c>
      <c r="J128" s="5">
        <f t="shared" si="12"/>
        <v>59.528925619834716</v>
      </c>
      <c r="L128" s="5">
        <f t="shared" si="13"/>
        <v>0</v>
      </c>
      <c r="M128" s="8">
        <v>72.03</v>
      </c>
      <c r="N128" s="2" t="s">
        <v>22</v>
      </c>
      <c r="O128" s="3" t="s">
        <v>63</v>
      </c>
    </row>
    <row r="129" spans="1:15" x14ac:dyDescent="0.35">
      <c r="A129" s="4">
        <v>45299</v>
      </c>
      <c r="B129" s="2" t="s">
        <v>501</v>
      </c>
      <c r="D129" s="2" t="s">
        <v>502</v>
      </c>
      <c r="E129" s="2" t="s">
        <v>503</v>
      </c>
      <c r="F129" s="5" t="str">
        <f t="shared" si="5"/>
        <v>007/24 BY  CONCEPT</v>
      </c>
      <c r="G129" s="12">
        <f t="shared" si="11"/>
        <v>29000</v>
      </c>
      <c r="H129">
        <v>0</v>
      </c>
      <c r="I129" s="5">
        <f t="shared" si="14"/>
        <v>0</v>
      </c>
      <c r="J129" s="5">
        <f t="shared" si="12"/>
        <v>29000</v>
      </c>
      <c r="L129" s="5">
        <f t="shared" si="13"/>
        <v>0</v>
      </c>
      <c r="M129" s="8">
        <v>29000</v>
      </c>
      <c r="N129" s="2" t="s">
        <v>50</v>
      </c>
      <c r="O129" s="3" t="s">
        <v>68</v>
      </c>
    </row>
    <row r="130" spans="1:15" x14ac:dyDescent="0.35">
      <c r="A130" s="4">
        <v>45311</v>
      </c>
      <c r="B130" s="2" t="s">
        <v>78</v>
      </c>
      <c r="D130" s="2" t="s">
        <v>145</v>
      </c>
      <c r="E130" s="2" t="s">
        <v>146</v>
      </c>
      <c r="F130" s="5" t="str">
        <f t="shared" si="5"/>
        <v>03 DAVID MARGIN</v>
      </c>
      <c r="G130" s="12">
        <f t="shared" si="11"/>
        <v>1200</v>
      </c>
      <c r="H130">
        <v>21</v>
      </c>
      <c r="I130" s="5">
        <f t="shared" si="14"/>
        <v>252</v>
      </c>
      <c r="J130" s="5">
        <f t="shared" si="12"/>
        <v>1200</v>
      </c>
      <c r="L130" s="5">
        <f t="shared" si="13"/>
        <v>0</v>
      </c>
      <c r="M130" s="8">
        <v>1452</v>
      </c>
      <c r="N130" s="2" t="s">
        <v>37</v>
      </c>
      <c r="O130" s="3" t="s">
        <v>68</v>
      </c>
    </row>
    <row r="131" spans="1:15" x14ac:dyDescent="0.35">
      <c r="A131" s="4">
        <v>45334</v>
      </c>
      <c r="B131" s="2" t="s">
        <v>504</v>
      </c>
      <c r="D131" s="2" t="s">
        <v>27</v>
      </c>
      <c r="E131" s="2" t="s">
        <v>301</v>
      </c>
      <c r="F131" s="5" t="str">
        <f t="shared" si="5"/>
        <v xml:space="preserve">2024/000065 PADRISA </v>
      </c>
      <c r="G131" s="12">
        <f t="shared" si="11"/>
        <v>237.6694214876033</v>
      </c>
      <c r="H131">
        <v>21</v>
      </c>
      <c r="I131" s="5">
        <f t="shared" si="14"/>
        <v>49.910578512396697</v>
      </c>
      <c r="J131" s="5">
        <f t="shared" si="12"/>
        <v>237.6694214876033</v>
      </c>
      <c r="L131" s="5">
        <f t="shared" si="13"/>
        <v>0</v>
      </c>
      <c r="M131" s="8">
        <v>287.58</v>
      </c>
      <c r="N131" s="2" t="s">
        <v>53</v>
      </c>
      <c r="O131" s="3" t="s">
        <v>68</v>
      </c>
    </row>
    <row r="132" spans="1:15" x14ac:dyDescent="0.35">
      <c r="A132" s="4">
        <v>45334</v>
      </c>
      <c r="B132" s="2" t="s">
        <v>505</v>
      </c>
      <c r="D132" s="2" t="s">
        <v>506</v>
      </c>
      <c r="E132" s="2" t="s">
        <v>507</v>
      </c>
      <c r="F132" s="5" t="str">
        <f t="shared" si="5"/>
        <v>240754 CAVINSA</v>
      </c>
      <c r="G132" s="12">
        <f t="shared" si="11"/>
        <v>175.81818181818184</v>
      </c>
      <c r="H132">
        <v>21</v>
      </c>
      <c r="I132" s="5">
        <f t="shared" si="14"/>
        <v>36.921818181818182</v>
      </c>
      <c r="J132" s="5">
        <f t="shared" si="12"/>
        <v>175.81818181818184</v>
      </c>
      <c r="L132" s="5">
        <f t="shared" si="13"/>
        <v>0</v>
      </c>
      <c r="M132" s="8">
        <v>212.74</v>
      </c>
      <c r="N132" s="2" t="s">
        <v>21</v>
      </c>
    </row>
    <row r="133" spans="1:15" x14ac:dyDescent="0.35">
      <c r="A133" s="4">
        <v>45315</v>
      </c>
      <c r="B133" s="2" t="s">
        <v>508</v>
      </c>
      <c r="D133" s="2" t="s">
        <v>58</v>
      </c>
      <c r="E133" s="2" t="s">
        <v>325</v>
      </c>
      <c r="F133" s="5" t="str">
        <f t="shared" si="5"/>
        <v>024-0001-859244 BRICOLAJE BRICOMAN SL</v>
      </c>
      <c r="G133" s="12">
        <f t="shared" si="11"/>
        <v>19.173553719008265</v>
      </c>
      <c r="H133">
        <v>21</v>
      </c>
      <c r="I133" s="5">
        <f t="shared" si="14"/>
        <v>4.0264462809917356</v>
      </c>
      <c r="J133" s="5">
        <f t="shared" si="12"/>
        <v>19.173553719008265</v>
      </c>
      <c r="L133" s="5">
        <f t="shared" si="13"/>
        <v>0</v>
      </c>
      <c r="M133" s="8">
        <v>23.2</v>
      </c>
      <c r="N133" s="2" t="s">
        <v>21</v>
      </c>
      <c r="O133" s="3" t="s">
        <v>64</v>
      </c>
    </row>
    <row r="134" spans="1:15" x14ac:dyDescent="0.35">
      <c r="A134" s="4">
        <v>45330</v>
      </c>
      <c r="B134" s="2" t="s">
        <v>509</v>
      </c>
      <c r="D134" s="2" t="s">
        <v>57</v>
      </c>
      <c r="E134" s="2" t="s">
        <v>44</v>
      </c>
      <c r="F134" s="5" t="str">
        <f t="shared" si="5"/>
        <v>004-0002-033170 LEROY MERLIN</v>
      </c>
      <c r="G134" s="12">
        <f t="shared" si="11"/>
        <v>13.330578512396693</v>
      </c>
      <c r="H134">
        <v>21</v>
      </c>
      <c r="I134" s="5">
        <f t="shared" si="14"/>
        <v>2.7994214876033054</v>
      </c>
      <c r="J134" s="5">
        <f t="shared" si="12"/>
        <v>13.330578512396693</v>
      </c>
      <c r="L134" s="5">
        <f t="shared" si="13"/>
        <v>0</v>
      </c>
      <c r="M134" s="8">
        <v>16.13</v>
      </c>
      <c r="N134" s="2" t="s">
        <v>21</v>
      </c>
      <c r="O134" s="3" t="s">
        <v>64</v>
      </c>
    </row>
    <row r="135" spans="1:15" x14ac:dyDescent="0.35">
      <c r="A135" s="4">
        <v>45330</v>
      </c>
      <c r="B135" s="2" t="s">
        <v>418</v>
      </c>
      <c r="D135" s="2" t="s">
        <v>145</v>
      </c>
      <c r="E135" s="2" t="s">
        <v>146</v>
      </c>
      <c r="F135" s="5" t="str">
        <f t="shared" si="5"/>
        <v>04 DAVID MARGIN</v>
      </c>
      <c r="G135" s="12">
        <f t="shared" si="11"/>
        <v>3919</v>
      </c>
      <c r="H135">
        <v>21</v>
      </c>
      <c r="I135" s="5">
        <f t="shared" si="14"/>
        <v>822.99</v>
      </c>
      <c r="J135" s="5">
        <f t="shared" si="12"/>
        <v>3919</v>
      </c>
      <c r="L135" s="5">
        <f t="shared" si="13"/>
        <v>0</v>
      </c>
      <c r="M135" s="8">
        <v>4741.99</v>
      </c>
      <c r="N135" s="2" t="s">
        <v>37</v>
      </c>
      <c r="O135" s="3" t="s">
        <v>68</v>
      </c>
    </row>
    <row r="136" spans="1:15" x14ac:dyDescent="0.35">
      <c r="A136" s="4">
        <v>45314</v>
      </c>
      <c r="B136" s="2" t="s">
        <v>515</v>
      </c>
      <c r="D136" s="2" t="s">
        <v>60</v>
      </c>
      <c r="E136" s="2" t="s">
        <v>24</v>
      </c>
      <c r="F136" s="5" t="str">
        <f t="shared" si="5"/>
        <v>033077/A/24/000093 REPSOL</v>
      </c>
      <c r="G136" s="12">
        <f t="shared" si="11"/>
        <v>72.735537190082653</v>
      </c>
      <c r="H136">
        <v>21</v>
      </c>
      <c r="I136" s="5">
        <f t="shared" si="14"/>
        <v>15.274462809917356</v>
      </c>
      <c r="J136" s="5">
        <f t="shared" si="12"/>
        <v>72.735537190082653</v>
      </c>
      <c r="L136" s="5">
        <f t="shared" si="13"/>
        <v>0</v>
      </c>
      <c r="M136" s="8">
        <v>88.01</v>
      </c>
      <c r="N136" s="2" t="s">
        <v>22</v>
      </c>
      <c r="O136" s="3" t="s">
        <v>64</v>
      </c>
    </row>
    <row r="137" spans="1:15" x14ac:dyDescent="0.35">
      <c r="A137" s="4">
        <v>45328</v>
      </c>
      <c r="B137" s="2" t="s">
        <v>516</v>
      </c>
      <c r="D137" s="2" t="s">
        <v>29</v>
      </c>
      <c r="E137" s="2" t="s">
        <v>76</v>
      </c>
      <c r="F137" s="5" t="str">
        <f t="shared" si="5"/>
        <v>5477-2024-00515010 COSTCO</v>
      </c>
      <c r="G137" s="12">
        <f t="shared" si="11"/>
        <v>82.644628099173559</v>
      </c>
      <c r="H137">
        <v>21</v>
      </c>
      <c r="I137" s="5">
        <f t="shared" si="14"/>
        <v>17.355371900826448</v>
      </c>
      <c r="J137" s="5">
        <f t="shared" si="12"/>
        <v>82.644628099173559</v>
      </c>
      <c r="L137" s="5">
        <f t="shared" si="13"/>
        <v>0</v>
      </c>
      <c r="M137" s="8">
        <v>100</v>
      </c>
      <c r="N137" s="2" t="s">
        <v>22</v>
      </c>
      <c r="O137" s="3" t="s">
        <v>64</v>
      </c>
    </row>
    <row r="138" spans="1:15" x14ac:dyDescent="0.35">
      <c r="A138" s="4">
        <v>45324</v>
      </c>
      <c r="B138" s="2" t="s">
        <v>517</v>
      </c>
      <c r="D138" s="2" t="s">
        <v>29</v>
      </c>
      <c r="E138" s="2" t="s">
        <v>76</v>
      </c>
      <c r="F138" s="5" t="str">
        <f t="shared" si="5"/>
        <v>5477-2024-00360983 COSTCO</v>
      </c>
      <c r="G138" s="12">
        <f t="shared" si="11"/>
        <v>45.826446280991739</v>
      </c>
      <c r="H138">
        <v>21</v>
      </c>
      <c r="I138" s="5">
        <f t="shared" si="14"/>
        <v>9.6235537190082656</v>
      </c>
      <c r="J138" s="5">
        <f t="shared" si="12"/>
        <v>45.826446280991739</v>
      </c>
      <c r="L138" s="5">
        <f t="shared" si="13"/>
        <v>0</v>
      </c>
      <c r="M138" s="8">
        <v>55.45</v>
      </c>
      <c r="N138" s="2" t="s">
        <v>22</v>
      </c>
      <c r="O138" s="3" t="s">
        <v>64</v>
      </c>
    </row>
    <row r="139" spans="1:15" x14ac:dyDescent="0.35">
      <c r="A139" s="4">
        <v>45335</v>
      </c>
      <c r="B139" s="2" t="s">
        <v>518</v>
      </c>
      <c r="D139" s="2" t="s">
        <v>175</v>
      </c>
      <c r="E139" s="2" t="s">
        <v>519</v>
      </c>
      <c r="F139" s="5" t="str">
        <f t="shared" si="5"/>
        <v>165883 HIPER CASA SL</v>
      </c>
      <c r="G139" s="12">
        <f t="shared" si="11"/>
        <v>12.12396694214876</v>
      </c>
      <c r="H139">
        <v>21</v>
      </c>
      <c r="I139" s="5">
        <f t="shared" si="14"/>
        <v>2.5460330578512393</v>
      </c>
      <c r="J139" s="5">
        <f t="shared" si="12"/>
        <v>12.12396694214876</v>
      </c>
      <c r="L139" s="5">
        <f t="shared" si="13"/>
        <v>0</v>
      </c>
      <c r="M139" s="8">
        <v>14.67</v>
      </c>
      <c r="N139" s="2" t="s">
        <v>21</v>
      </c>
      <c r="O139" s="3" t="s">
        <v>64</v>
      </c>
    </row>
    <row r="140" spans="1:15" x14ac:dyDescent="0.35">
      <c r="A140" s="4">
        <v>45335</v>
      </c>
      <c r="B140" s="2" t="s">
        <v>520</v>
      </c>
      <c r="D140" s="2" t="s">
        <v>30</v>
      </c>
      <c r="E140" s="2" t="s">
        <v>152</v>
      </c>
      <c r="F140" s="5" t="str">
        <f t="shared" si="5"/>
        <v>24FT000162 E.S. OLIVAR ALTO</v>
      </c>
      <c r="G140" s="12">
        <f t="shared" si="11"/>
        <v>65.91735537190084</v>
      </c>
      <c r="H140">
        <v>21</v>
      </c>
      <c r="I140" s="5">
        <f t="shared" si="14"/>
        <v>13.842644628099176</v>
      </c>
      <c r="J140" s="5">
        <f t="shared" si="12"/>
        <v>65.91735537190084</v>
      </c>
      <c r="L140" s="5">
        <f t="shared" si="13"/>
        <v>0</v>
      </c>
      <c r="M140" s="8">
        <v>79.760000000000005</v>
      </c>
      <c r="N140" s="2" t="s">
        <v>22</v>
      </c>
      <c r="O140" s="3" t="s">
        <v>64</v>
      </c>
    </row>
    <row r="141" spans="1:15" x14ac:dyDescent="0.35">
      <c r="A141" s="4">
        <v>45324</v>
      </c>
      <c r="B141" s="2" t="s">
        <v>397</v>
      </c>
      <c r="D141" s="2" t="s">
        <v>180</v>
      </c>
      <c r="E141" s="2" t="s">
        <v>181</v>
      </c>
      <c r="F141" s="5" t="str">
        <f t="shared" si="5"/>
        <v>01/24 FILIP ADISOR BALEA</v>
      </c>
      <c r="G141" s="12">
        <f t="shared" si="11"/>
        <v>495.86776859504135</v>
      </c>
      <c r="H141">
        <v>21</v>
      </c>
      <c r="I141" s="5">
        <f t="shared" si="14"/>
        <v>104.13223140495869</v>
      </c>
      <c r="J141" s="5">
        <f t="shared" si="12"/>
        <v>495.86776859504135</v>
      </c>
      <c r="L141" s="5">
        <f t="shared" si="13"/>
        <v>0</v>
      </c>
      <c r="M141" s="8">
        <v>600</v>
      </c>
      <c r="N141" s="2" t="s">
        <v>37</v>
      </c>
      <c r="O141" s="3" t="s">
        <v>68</v>
      </c>
    </row>
    <row r="142" spans="1:15" x14ac:dyDescent="0.35">
      <c r="A142" s="4">
        <v>45324</v>
      </c>
      <c r="B142" s="2" t="s">
        <v>524</v>
      </c>
      <c r="D142" s="2" t="s">
        <v>256</v>
      </c>
      <c r="E142" s="2" t="s">
        <v>257</v>
      </c>
      <c r="F142" s="5" t="str">
        <f t="shared" si="5"/>
        <v>010/24 ATTILA ANDREAS ZURBO</v>
      </c>
      <c r="G142" s="12">
        <f t="shared" si="11"/>
        <v>908.91735537190084</v>
      </c>
      <c r="H142">
        <v>21</v>
      </c>
      <c r="I142" s="5">
        <f t="shared" si="14"/>
        <v>190.87264462809918</v>
      </c>
      <c r="J142" s="5">
        <f t="shared" si="12"/>
        <v>908.91735537190084</v>
      </c>
      <c r="L142" s="5">
        <f t="shared" si="13"/>
        <v>0</v>
      </c>
      <c r="M142" s="8">
        <v>1099.79</v>
      </c>
      <c r="N142" s="2" t="s">
        <v>37</v>
      </c>
      <c r="O142" s="3" t="s">
        <v>68</v>
      </c>
    </row>
    <row r="143" spans="1:15" x14ac:dyDescent="0.35">
      <c r="A143" s="4">
        <v>45336</v>
      </c>
      <c r="B143" s="2" t="s">
        <v>525</v>
      </c>
      <c r="D143" s="2" t="s">
        <v>137</v>
      </c>
      <c r="E143" s="2" t="s">
        <v>526</v>
      </c>
      <c r="F143" s="5" t="str">
        <f t="shared" si="5"/>
        <v>2024-0045 PUERTAS AUTOMATICAS OSVAN OSCAR GARCIA ALVAREZ</v>
      </c>
      <c r="G143" s="12">
        <f t="shared" si="11"/>
        <v>262</v>
      </c>
      <c r="H143">
        <v>21</v>
      </c>
      <c r="I143" s="5">
        <f t="shared" si="14"/>
        <v>55.02</v>
      </c>
      <c r="J143" s="5">
        <f t="shared" si="12"/>
        <v>262</v>
      </c>
      <c r="L143" s="5">
        <f t="shared" si="13"/>
        <v>0</v>
      </c>
      <c r="M143" s="8">
        <v>317.02</v>
      </c>
      <c r="N143" s="2" t="s">
        <v>21</v>
      </c>
      <c r="O143" s="3" t="s">
        <v>68</v>
      </c>
    </row>
    <row r="144" spans="1:15" x14ac:dyDescent="0.35">
      <c r="A144" s="4">
        <v>45337</v>
      </c>
      <c r="B144" s="2" t="s">
        <v>527</v>
      </c>
      <c r="D144" s="2" t="s">
        <v>109</v>
      </c>
      <c r="E144" s="2" t="s">
        <v>42</v>
      </c>
      <c r="F144" s="5" t="str">
        <f t="shared" si="5"/>
        <v>24102032 DISCESUR</v>
      </c>
      <c r="G144" s="12">
        <f t="shared" si="11"/>
        <v>7501.4462809917359</v>
      </c>
      <c r="H144">
        <v>21</v>
      </c>
      <c r="I144" s="5">
        <f t="shared" si="14"/>
        <v>1575.3037190082646</v>
      </c>
      <c r="J144" s="5">
        <f t="shared" si="12"/>
        <v>7501.4462809917359</v>
      </c>
      <c r="L144" s="5">
        <f t="shared" si="13"/>
        <v>0</v>
      </c>
      <c r="M144" s="8">
        <v>9076.75</v>
      </c>
      <c r="N144" s="2" t="s">
        <v>21</v>
      </c>
      <c r="O144" s="3" t="s">
        <v>68</v>
      </c>
    </row>
    <row r="145" spans="1:15" x14ac:dyDescent="0.35">
      <c r="A145" s="4">
        <v>45337</v>
      </c>
      <c r="B145" s="2" t="s">
        <v>528</v>
      </c>
      <c r="D145" s="2" t="s">
        <v>109</v>
      </c>
      <c r="E145" s="2" t="s">
        <v>42</v>
      </c>
      <c r="F145" s="5" t="str">
        <f t="shared" si="5"/>
        <v>24102033 DISCESUR</v>
      </c>
      <c r="G145" s="12">
        <f t="shared" si="11"/>
        <v>2663.6776859504134</v>
      </c>
      <c r="H145">
        <v>21</v>
      </c>
      <c r="I145" s="5">
        <f t="shared" si="14"/>
        <v>559.37231404958686</v>
      </c>
      <c r="J145" s="5">
        <f t="shared" si="12"/>
        <v>2663.6776859504134</v>
      </c>
      <c r="L145" s="5">
        <f t="shared" si="13"/>
        <v>0</v>
      </c>
      <c r="M145" s="8">
        <v>3223.05</v>
      </c>
      <c r="N145" s="2" t="s">
        <v>21</v>
      </c>
      <c r="O145" s="3" t="s">
        <v>68</v>
      </c>
    </row>
    <row r="146" spans="1:15" x14ac:dyDescent="0.35">
      <c r="A146" s="4">
        <v>45337</v>
      </c>
      <c r="B146" s="2" t="s">
        <v>529</v>
      </c>
      <c r="D146" s="2" t="s">
        <v>200</v>
      </c>
      <c r="E146" s="2" t="s">
        <v>186</v>
      </c>
      <c r="F146" s="5" t="str">
        <f t="shared" si="5"/>
        <v>0120685 I.D.F. SUMINISTROS INDUSTRIALES</v>
      </c>
      <c r="G146" s="12">
        <f t="shared" si="11"/>
        <v>170.42148760330579</v>
      </c>
      <c r="H146">
        <v>21</v>
      </c>
      <c r="I146" s="5">
        <f t="shared" si="14"/>
        <v>35.788512396694216</v>
      </c>
      <c r="J146" s="5">
        <f t="shared" si="12"/>
        <v>170.42148760330579</v>
      </c>
      <c r="L146" s="5">
        <f t="shared" si="13"/>
        <v>0</v>
      </c>
      <c r="M146" s="8">
        <v>206.21</v>
      </c>
      <c r="N146" s="2" t="s">
        <v>21</v>
      </c>
      <c r="O146" s="3" t="s">
        <v>65</v>
      </c>
    </row>
    <row r="147" spans="1:15" x14ac:dyDescent="0.35">
      <c r="A147" s="4">
        <v>45337</v>
      </c>
      <c r="B147" s="2" t="s">
        <v>530</v>
      </c>
      <c r="D147" s="2" t="s">
        <v>199</v>
      </c>
      <c r="E147" s="2" t="s">
        <v>531</v>
      </c>
      <c r="F147" s="5" t="str">
        <f t="shared" si="5"/>
        <v xml:space="preserve">245001559 CEMEVISA </v>
      </c>
      <c r="G147" s="12">
        <f t="shared" si="11"/>
        <v>988.33884297520672</v>
      </c>
      <c r="H147">
        <v>21</v>
      </c>
      <c r="I147" s="5">
        <f t="shared" si="14"/>
        <v>207.55115702479344</v>
      </c>
      <c r="J147" s="5">
        <f t="shared" si="12"/>
        <v>988.33884297520672</v>
      </c>
      <c r="L147" s="5">
        <f t="shared" si="13"/>
        <v>0</v>
      </c>
      <c r="M147" s="8">
        <v>1195.8900000000001</v>
      </c>
      <c r="N147" s="2" t="s">
        <v>21</v>
      </c>
      <c r="O147" s="3" t="s">
        <v>65</v>
      </c>
    </row>
    <row r="148" spans="1:15" x14ac:dyDescent="0.35">
      <c r="A148" s="4">
        <v>45306</v>
      </c>
      <c r="B148" s="2" t="s">
        <v>532</v>
      </c>
      <c r="D148" s="2" t="s">
        <v>58</v>
      </c>
      <c r="E148" s="2" t="s">
        <v>325</v>
      </c>
      <c r="F148" s="5" t="str">
        <f t="shared" si="5"/>
        <v>026-0001-775971 BRICOLAJE BRICOMAN SL</v>
      </c>
      <c r="G148" s="12">
        <f t="shared" si="11"/>
        <v>37.97520661157025</v>
      </c>
      <c r="H148">
        <v>21</v>
      </c>
      <c r="I148" s="5">
        <f t="shared" si="14"/>
        <v>7.9747933884297524</v>
      </c>
      <c r="J148" s="5">
        <f t="shared" si="12"/>
        <v>37.97520661157025</v>
      </c>
      <c r="L148" s="5">
        <f t="shared" si="13"/>
        <v>0</v>
      </c>
      <c r="M148" s="8">
        <v>45.95</v>
      </c>
      <c r="N148" s="2" t="s">
        <v>21</v>
      </c>
      <c r="O148" s="3" t="s">
        <v>63</v>
      </c>
    </row>
    <row r="149" spans="1:15" x14ac:dyDescent="0.35">
      <c r="A149" s="4">
        <v>45309</v>
      </c>
      <c r="B149" s="2" t="s">
        <v>533</v>
      </c>
      <c r="D149" s="2" t="s">
        <v>101</v>
      </c>
      <c r="E149" s="2" t="s">
        <v>425</v>
      </c>
      <c r="F149" s="5" t="str">
        <f t="shared" si="5"/>
        <v>FACG 411 ESCAYOLAS EUROPA SL</v>
      </c>
      <c r="G149" s="12">
        <f t="shared" si="11"/>
        <v>25.876033057851238</v>
      </c>
      <c r="H149">
        <v>21</v>
      </c>
      <c r="I149" s="5">
        <f t="shared" si="14"/>
        <v>5.4339669421487597</v>
      </c>
      <c r="J149" s="5">
        <f t="shared" si="12"/>
        <v>25.876033057851238</v>
      </c>
      <c r="L149" s="5">
        <f t="shared" si="13"/>
        <v>0</v>
      </c>
      <c r="M149" s="8">
        <v>31.31</v>
      </c>
      <c r="N149" s="2" t="s">
        <v>21</v>
      </c>
      <c r="O149" s="3" t="s">
        <v>63</v>
      </c>
    </row>
    <row r="150" spans="1:15" x14ac:dyDescent="0.35">
      <c r="A150" s="4">
        <v>45310</v>
      </c>
      <c r="B150" s="2" t="s">
        <v>534</v>
      </c>
      <c r="D150" s="2" t="s">
        <v>57</v>
      </c>
      <c r="E150" s="2" t="s">
        <v>44</v>
      </c>
      <c r="F150" s="5" t="str">
        <f t="shared" si="5"/>
        <v>046-0001-922016 LEROY MERLIN</v>
      </c>
      <c r="G150" s="12">
        <f t="shared" si="11"/>
        <v>6.2561983471074383</v>
      </c>
      <c r="H150">
        <v>21</v>
      </c>
      <c r="I150" s="5">
        <f t="shared" si="14"/>
        <v>1.313801652892562</v>
      </c>
      <c r="J150" s="5">
        <f t="shared" si="12"/>
        <v>6.2561983471074383</v>
      </c>
      <c r="L150" s="5">
        <f t="shared" si="13"/>
        <v>0</v>
      </c>
      <c r="M150" s="8">
        <v>7.57</v>
      </c>
      <c r="N150" s="2" t="s">
        <v>21</v>
      </c>
      <c r="O150" s="3" t="s">
        <v>63</v>
      </c>
    </row>
    <row r="151" spans="1:15" x14ac:dyDescent="0.35">
      <c r="A151" s="4">
        <v>45311</v>
      </c>
      <c r="B151" s="2" t="s">
        <v>535</v>
      </c>
      <c r="D151" s="2" t="s">
        <v>94</v>
      </c>
      <c r="E151" s="2" t="s">
        <v>139</v>
      </c>
      <c r="F151" s="5" t="str">
        <f t="shared" si="5"/>
        <v>00002-2024/A0103/00001210 BIGMAT</v>
      </c>
      <c r="G151" s="12">
        <f t="shared" si="11"/>
        <v>24.768595041322314</v>
      </c>
      <c r="H151">
        <v>21</v>
      </c>
      <c r="I151" s="5">
        <f t="shared" si="14"/>
        <v>5.2014049586776858</v>
      </c>
      <c r="J151" s="5">
        <f t="shared" si="12"/>
        <v>24.768595041322314</v>
      </c>
      <c r="L151" s="5">
        <f t="shared" si="13"/>
        <v>0</v>
      </c>
      <c r="M151" s="8">
        <v>29.97</v>
      </c>
      <c r="N151" s="2" t="s">
        <v>21</v>
      </c>
      <c r="O151" s="3" t="s">
        <v>63</v>
      </c>
    </row>
    <row r="152" spans="1:15" x14ac:dyDescent="0.35">
      <c r="A152" s="4">
        <v>45321</v>
      </c>
      <c r="B152" s="2" t="s">
        <v>536</v>
      </c>
      <c r="D152" s="2" t="s">
        <v>58</v>
      </c>
      <c r="E152" s="2" t="s">
        <v>325</v>
      </c>
      <c r="F152" s="5" t="str">
        <f t="shared" si="5"/>
        <v>012-0001-597442 BRICOLAJE BRICOMAN SL</v>
      </c>
      <c r="G152" s="12">
        <f t="shared" si="11"/>
        <v>66.11570247933885</v>
      </c>
      <c r="H152">
        <v>21</v>
      </c>
      <c r="I152" s="5">
        <f t="shared" si="14"/>
        <v>13.884297520661159</v>
      </c>
      <c r="J152" s="5">
        <f t="shared" si="12"/>
        <v>66.11570247933885</v>
      </c>
      <c r="L152" s="5">
        <f t="shared" si="13"/>
        <v>0</v>
      </c>
      <c r="M152" s="8">
        <v>80</v>
      </c>
      <c r="N152" s="2" t="s">
        <v>21</v>
      </c>
      <c r="O152" s="3" t="s">
        <v>63</v>
      </c>
    </row>
    <row r="153" spans="1:15" x14ac:dyDescent="0.35">
      <c r="A153" s="4">
        <v>45318</v>
      </c>
      <c r="B153" s="2" t="s">
        <v>537</v>
      </c>
      <c r="D153" s="2" t="s">
        <v>58</v>
      </c>
      <c r="E153" s="2" t="s">
        <v>325</v>
      </c>
      <c r="F153" s="5" t="str">
        <f t="shared" si="5"/>
        <v>026-0001-785483 BRICOLAJE BRICOMAN SL</v>
      </c>
      <c r="G153" s="12">
        <f t="shared" si="11"/>
        <v>66.36363636363636</v>
      </c>
      <c r="H153">
        <v>21</v>
      </c>
      <c r="I153" s="5">
        <f t="shared" si="14"/>
        <v>13.936363636363636</v>
      </c>
      <c r="J153" s="5">
        <f t="shared" si="12"/>
        <v>66.36363636363636</v>
      </c>
      <c r="L153" s="5">
        <f t="shared" si="13"/>
        <v>0</v>
      </c>
      <c r="M153" s="8">
        <v>80.3</v>
      </c>
      <c r="N153" s="2" t="s">
        <v>21</v>
      </c>
      <c r="O153" s="3" t="s">
        <v>63</v>
      </c>
    </row>
    <row r="154" spans="1:15" x14ac:dyDescent="0.35">
      <c r="A154" s="4">
        <v>45336</v>
      </c>
      <c r="B154" s="2" t="s">
        <v>538</v>
      </c>
      <c r="D154" s="2" t="s">
        <v>132</v>
      </c>
      <c r="E154" s="2" t="s">
        <v>147</v>
      </c>
      <c r="F154" s="5" t="str">
        <f t="shared" si="5"/>
        <v>A/2107 AZULEJOS ROSA</v>
      </c>
      <c r="G154" s="12">
        <f t="shared" si="11"/>
        <v>909.09090909090912</v>
      </c>
      <c r="H154">
        <v>21</v>
      </c>
      <c r="I154" s="5">
        <f t="shared" si="14"/>
        <v>190.90909090909091</v>
      </c>
      <c r="J154" s="5">
        <f t="shared" si="12"/>
        <v>909.09090909090912</v>
      </c>
      <c r="L154" s="5">
        <f t="shared" si="13"/>
        <v>0</v>
      </c>
      <c r="M154" s="8">
        <v>1100</v>
      </c>
      <c r="N154" s="2" t="s">
        <v>21</v>
      </c>
      <c r="O154" s="3" t="s">
        <v>68</v>
      </c>
    </row>
    <row r="155" spans="1:15" x14ac:dyDescent="0.35">
      <c r="A155" s="4">
        <v>45325</v>
      </c>
      <c r="B155" s="2" t="s">
        <v>539</v>
      </c>
      <c r="D155" s="2" t="s">
        <v>94</v>
      </c>
      <c r="E155" s="2" t="s">
        <v>139</v>
      </c>
      <c r="F155" s="5" t="str">
        <f t="shared" si="5"/>
        <v>00002-2024/A0103/00002114 BIGMAT</v>
      </c>
      <c r="G155" s="12">
        <f t="shared" si="11"/>
        <v>82.107438016528917</v>
      </c>
      <c r="H155">
        <v>21</v>
      </c>
      <c r="I155" s="5">
        <f t="shared" si="14"/>
        <v>17.242561983471074</v>
      </c>
      <c r="J155" s="5">
        <f t="shared" si="12"/>
        <v>82.107438016528917</v>
      </c>
      <c r="L155" s="5">
        <f t="shared" si="13"/>
        <v>0</v>
      </c>
      <c r="M155" s="8">
        <v>99.35</v>
      </c>
      <c r="N155" s="2" t="s">
        <v>21</v>
      </c>
      <c r="O155" s="3" t="s">
        <v>63</v>
      </c>
    </row>
    <row r="156" spans="1:15" x14ac:dyDescent="0.35">
      <c r="A156" s="4">
        <v>45327</v>
      </c>
      <c r="B156" s="2" t="s">
        <v>540</v>
      </c>
      <c r="D156" s="2" t="s">
        <v>58</v>
      </c>
      <c r="E156" s="2" t="s">
        <v>325</v>
      </c>
      <c r="F156" s="5" t="str">
        <f t="shared" si="5"/>
        <v>012-0002-642536 BRICOLAJE BRICOMAN SL</v>
      </c>
      <c r="G156" s="12">
        <f t="shared" si="11"/>
        <v>29.181818181818183</v>
      </c>
      <c r="H156">
        <v>21</v>
      </c>
      <c r="I156" s="5">
        <f t="shared" si="14"/>
        <v>6.1281818181818188</v>
      </c>
      <c r="J156" s="5">
        <f t="shared" si="12"/>
        <v>29.181818181818183</v>
      </c>
      <c r="L156" s="5">
        <f t="shared" si="13"/>
        <v>0</v>
      </c>
      <c r="M156" s="8">
        <v>35.31</v>
      </c>
      <c r="N156" s="2" t="s">
        <v>21</v>
      </c>
      <c r="O156" s="3" t="s">
        <v>63</v>
      </c>
    </row>
    <row r="157" spans="1:15" x14ac:dyDescent="0.35">
      <c r="A157" s="4">
        <v>45327</v>
      </c>
      <c r="B157" s="2" t="s">
        <v>541</v>
      </c>
      <c r="D157" s="2" t="s">
        <v>58</v>
      </c>
      <c r="E157" s="2" t="s">
        <v>325</v>
      </c>
      <c r="F157" s="5" t="str">
        <f t="shared" si="5"/>
        <v>012-0002-642651 BRICOLAJE BRICOMAN SL</v>
      </c>
      <c r="G157" s="12">
        <f t="shared" si="11"/>
        <v>66.454545454545453</v>
      </c>
      <c r="H157">
        <v>21</v>
      </c>
      <c r="I157" s="5">
        <f t="shared" si="14"/>
        <v>13.955454545454545</v>
      </c>
      <c r="J157" s="5">
        <f t="shared" si="12"/>
        <v>66.454545454545453</v>
      </c>
      <c r="L157" s="5">
        <f t="shared" si="13"/>
        <v>0</v>
      </c>
      <c r="M157" s="8">
        <v>80.41</v>
      </c>
      <c r="N157" s="2" t="s">
        <v>21</v>
      </c>
      <c r="O157" s="3" t="s">
        <v>63</v>
      </c>
    </row>
    <row r="158" spans="1:15" x14ac:dyDescent="0.35">
      <c r="A158" s="4">
        <v>45328</v>
      </c>
      <c r="B158" s="2" t="s">
        <v>542</v>
      </c>
      <c r="D158" s="2" t="s">
        <v>58</v>
      </c>
      <c r="E158" s="2" t="s">
        <v>325</v>
      </c>
      <c r="F158" s="5" t="str">
        <f t="shared" si="5"/>
        <v>012-0002-646184 BRICOLAJE BRICOMAN SL</v>
      </c>
      <c r="G158" s="12">
        <f t="shared" si="11"/>
        <v>6.9421487603305794</v>
      </c>
      <c r="H158">
        <v>21</v>
      </c>
      <c r="I158" s="5">
        <f t="shared" si="14"/>
        <v>1.4578512396694217</v>
      </c>
      <c r="J158" s="5">
        <f t="shared" si="12"/>
        <v>6.9421487603305794</v>
      </c>
      <c r="L158" s="5">
        <f t="shared" si="13"/>
        <v>0</v>
      </c>
      <c r="M158" s="8">
        <v>8.4</v>
      </c>
      <c r="N158" s="2" t="s">
        <v>21</v>
      </c>
      <c r="O158" s="3" t="s">
        <v>63</v>
      </c>
    </row>
    <row r="159" spans="1:15" x14ac:dyDescent="0.35">
      <c r="A159" s="4">
        <v>45329</v>
      </c>
      <c r="B159" s="2" t="s">
        <v>543</v>
      </c>
      <c r="D159" s="2" t="s">
        <v>94</v>
      </c>
      <c r="E159" s="2" t="s">
        <v>139</v>
      </c>
      <c r="F159" s="5" t="str">
        <f t="shared" si="5"/>
        <v>00002-2024/A0121/00000296 BIGMAT</v>
      </c>
      <c r="G159" s="12">
        <f t="shared" si="11"/>
        <v>40.743801652892557</v>
      </c>
      <c r="H159">
        <v>21</v>
      </c>
      <c r="I159" s="5">
        <f t="shared" si="14"/>
        <v>8.5561983471074363</v>
      </c>
      <c r="J159" s="5">
        <f t="shared" si="12"/>
        <v>40.743801652892557</v>
      </c>
      <c r="L159" s="5">
        <f t="shared" si="13"/>
        <v>0</v>
      </c>
      <c r="M159" s="8">
        <v>49.3</v>
      </c>
      <c r="N159" s="2" t="s">
        <v>21</v>
      </c>
      <c r="O159" s="3" t="s">
        <v>63</v>
      </c>
    </row>
    <row r="160" spans="1:15" x14ac:dyDescent="0.35">
      <c r="A160" s="4">
        <v>45330</v>
      </c>
      <c r="B160" s="2" t="s">
        <v>544</v>
      </c>
      <c r="D160" s="2" t="s">
        <v>101</v>
      </c>
      <c r="E160" s="2" t="s">
        <v>425</v>
      </c>
      <c r="F160" s="5" t="str">
        <f t="shared" si="5"/>
        <v>FACG 991 ESCAYOLAS EUROPA SL</v>
      </c>
      <c r="G160" s="12">
        <f t="shared" si="11"/>
        <v>590.61157024793386</v>
      </c>
      <c r="H160">
        <v>21</v>
      </c>
      <c r="I160" s="5">
        <f t="shared" si="14"/>
        <v>124.02842975206612</v>
      </c>
      <c r="J160" s="5">
        <f t="shared" si="12"/>
        <v>590.61157024793386</v>
      </c>
      <c r="L160" s="5">
        <f t="shared" si="13"/>
        <v>0</v>
      </c>
      <c r="M160" s="8">
        <v>714.64</v>
      </c>
      <c r="N160" s="2" t="s">
        <v>21</v>
      </c>
      <c r="O160" s="3" t="s">
        <v>63</v>
      </c>
    </row>
    <row r="161" spans="1:15" x14ac:dyDescent="0.35">
      <c r="A161" s="4">
        <v>45331</v>
      </c>
      <c r="B161" s="2" t="s">
        <v>545</v>
      </c>
      <c r="D161" s="2" t="s">
        <v>101</v>
      </c>
      <c r="E161" s="2" t="s">
        <v>425</v>
      </c>
      <c r="F161" s="5" t="str">
        <f t="shared" si="5"/>
        <v>FACG 1035 ESCAYOLAS EUROPA SL</v>
      </c>
      <c r="G161" s="12">
        <f t="shared" si="11"/>
        <v>259.198347107438</v>
      </c>
      <c r="H161">
        <v>21</v>
      </c>
      <c r="I161" s="5">
        <f t="shared" si="14"/>
        <v>54.431652892561978</v>
      </c>
      <c r="J161" s="5">
        <f t="shared" si="12"/>
        <v>259.198347107438</v>
      </c>
      <c r="L161" s="5">
        <f t="shared" si="13"/>
        <v>0</v>
      </c>
      <c r="M161" s="8">
        <v>313.63</v>
      </c>
      <c r="N161" s="2" t="s">
        <v>21</v>
      </c>
      <c r="O161" s="3" t="s">
        <v>63</v>
      </c>
    </row>
    <row r="162" spans="1:15" x14ac:dyDescent="0.35">
      <c r="A162" s="4">
        <v>45331</v>
      </c>
      <c r="B162" s="2" t="s">
        <v>546</v>
      </c>
      <c r="D162" s="2" t="s">
        <v>58</v>
      </c>
      <c r="E162" s="2" t="s">
        <v>325</v>
      </c>
      <c r="F162" s="5" t="str">
        <f t="shared" si="5"/>
        <v>012-0002-657839 BRICOLAJE BRICOMAN SL</v>
      </c>
      <c r="G162" s="12">
        <f t="shared" si="11"/>
        <v>92.32231404958678</v>
      </c>
      <c r="H162">
        <v>21</v>
      </c>
      <c r="I162" s="5">
        <f t="shared" si="14"/>
        <v>19.387685950413225</v>
      </c>
      <c r="J162" s="5">
        <f t="shared" si="12"/>
        <v>92.32231404958678</v>
      </c>
      <c r="L162" s="5">
        <f t="shared" si="13"/>
        <v>0</v>
      </c>
      <c r="M162" s="8">
        <v>111.71</v>
      </c>
      <c r="N162" s="2" t="s">
        <v>21</v>
      </c>
      <c r="O162" s="3" t="s">
        <v>63</v>
      </c>
    </row>
    <row r="163" spans="1:15" x14ac:dyDescent="0.35">
      <c r="A163" s="4">
        <v>45334</v>
      </c>
      <c r="B163" s="2" t="s">
        <v>547</v>
      </c>
      <c r="D163" s="2" t="s">
        <v>58</v>
      </c>
      <c r="E163" s="2" t="s">
        <v>325</v>
      </c>
      <c r="F163" s="5" t="str">
        <f t="shared" si="5"/>
        <v>012-0002-663877 BRICOLAJE BRICOMAN SL</v>
      </c>
      <c r="G163" s="12">
        <f t="shared" ref="G163:G222" si="15">M163/(1-K163/100+H163/100)</f>
        <v>14.710743801652894</v>
      </c>
      <c r="H163">
        <v>21</v>
      </c>
      <c r="I163" s="5">
        <f t="shared" si="14"/>
        <v>3.0892561983471079</v>
      </c>
      <c r="J163" s="5">
        <f t="shared" si="12"/>
        <v>14.710743801652894</v>
      </c>
      <c r="L163" s="5">
        <f t="shared" si="13"/>
        <v>0</v>
      </c>
      <c r="M163" s="8">
        <v>17.8</v>
      </c>
      <c r="N163" s="2" t="s">
        <v>21</v>
      </c>
      <c r="O163" s="3" t="s">
        <v>63</v>
      </c>
    </row>
    <row r="164" spans="1:15" x14ac:dyDescent="0.35">
      <c r="A164" s="4">
        <v>45334</v>
      </c>
      <c r="B164" s="2" t="s">
        <v>548</v>
      </c>
      <c r="D164" s="2" t="s">
        <v>58</v>
      </c>
      <c r="E164" s="2" t="s">
        <v>325</v>
      </c>
      <c r="F164" s="5" t="str">
        <f t="shared" si="5"/>
        <v>012-0002-663905 BRICOLAJE BRICOMAN SL</v>
      </c>
      <c r="G164" s="12">
        <f t="shared" si="15"/>
        <v>7.3140495867768598</v>
      </c>
      <c r="H164">
        <v>21</v>
      </c>
      <c r="I164" s="5">
        <f t="shared" si="14"/>
        <v>1.5359504132231405</v>
      </c>
      <c r="J164" s="5">
        <f t="shared" ref="J164:J223" si="16">G164</f>
        <v>7.3140495867768598</v>
      </c>
      <c r="L164" s="5">
        <f t="shared" ref="L164:L223" si="17">J164*K164/100</f>
        <v>0</v>
      </c>
      <c r="M164" s="8">
        <v>8.85</v>
      </c>
      <c r="N164" s="2" t="s">
        <v>21</v>
      </c>
      <c r="O164" s="3" t="s">
        <v>63</v>
      </c>
    </row>
    <row r="165" spans="1:15" x14ac:dyDescent="0.35">
      <c r="A165" s="4">
        <v>45335</v>
      </c>
      <c r="B165" s="2" t="s">
        <v>549</v>
      </c>
      <c r="D165" s="2" t="s">
        <v>58</v>
      </c>
      <c r="E165" s="2" t="s">
        <v>325</v>
      </c>
      <c r="F165" s="5" t="str">
        <f t="shared" si="5"/>
        <v>012-0002-667598 BRICOLAJE BRICOMAN SL</v>
      </c>
      <c r="G165" s="12">
        <f t="shared" si="15"/>
        <v>14.752066115702481</v>
      </c>
      <c r="H165">
        <v>21</v>
      </c>
      <c r="I165" s="5">
        <f t="shared" si="14"/>
        <v>3.0979338842975208</v>
      </c>
      <c r="J165" s="5">
        <f t="shared" si="16"/>
        <v>14.752066115702481</v>
      </c>
      <c r="L165" s="5">
        <f t="shared" si="17"/>
        <v>0</v>
      </c>
      <c r="M165" s="8">
        <v>17.850000000000001</v>
      </c>
      <c r="N165" s="2" t="s">
        <v>21</v>
      </c>
      <c r="O165" s="3" t="s">
        <v>63</v>
      </c>
    </row>
    <row r="166" spans="1:15" x14ac:dyDescent="0.35">
      <c r="A166" s="4">
        <v>45335</v>
      </c>
      <c r="B166" s="2" t="s">
        <v>550</v>
      </c>
      <c r="D166" s="2" t="s">
        <v>58</v>
      </c>
      <c r="E166" s="2" t="s">
        <v>325</v>
      </c>
      <c r="F166" s="5" t="str">
        <f t="shared" si="5"/>
        <v>012-0002-667325 BRICOLAJE BRICOMAN SL</v>
      </c>
      <c r="G166" s="12">
        <f t="shared" si="15"/>
        <v>28.925619834710744</v>
      </c>
      <c r="H166">
        <v>21</v>
      </c>
      <c r="I166" s="5">
        <f t="shared" si="14"/>
        <v>6.0743801652892557</v>
      </c>
      <c r="J166" s="5">
        <f t="shared" si="16"/>
        <v>28.925619834710744</v>
      </c>
      <c r="L166" s="5">
        <f t="shared" si="17"/>
        <v>0</v>
      </c>
      <c r="M166" s="8">
        <v>35</v>
      </c>
      <c r="N166" s="2" t="s">
        <v>21</v>
      </c>
      <c r="O166" s="3" t="s">
        <v>63</v>
      </c>
    </row>
    <row r="167" spans="1:15" x14ac:dyDescent="0.35">
      <c r="A167" s="4">
        <v>45335</v>
      </c>
      <c r="B167" s="2" t="s">
        <v>551</v>
      </c>
      <c r="D167" s="2" t="s">
        <v>58</v>
      </c>
      <c r="E167" s="2" t="s">
        <v>325</v>
      </c>
      <c r="F167" s="5" t="str">
        <f t="shared" si="5"/>
        <v>012-0002-668362 BRICOLAJE BRICOMAN SL</v>
      </c>
      <c r="G167" s="12">
        <f t="shared" si="15"/>
        <v>147.43801652892563</v>
      </c>
      <c r="H167">
        <v>21</v>
      </c>
      <c r="I167" s="5">
        <f t="shared" si="14"/>
        <v>30.961983471074383</v>
      </c>
      <c r="J167" s="5">
        <f t="shared" si="16"/>
        <v>147.43801652892563</v>
      </c>
      <c r="L167" s="5">
        <f t="shared" si="17"/>
        <v>0</v>
      </c>
      <c r="M167" s="8">
        <v>178.4</v>
      </c>
      <c r="N167" s="2" t="s">
        <v>21</v>
      </c>
      <c r="O167" s="3" t="s">
        <v>63</v>
      </c>
    </row>
    <row r="168" spans="1:15" x14ac:dyDescent="0.35">
      <c r="A168" s="4">
        <v>45336</v>
      </c>
      <c r="B168" s="2" t="s">
        <v>552</v>
      </c>
      <c r="D168" s="2" t="s">
        <v>58</v>
      </c>
      <c r="E168" s="2" t="s">
        <v>325</v>
      </c>
      <c r="F168" s="5" t="str">
        <f t="shared" si="5"/>
        <v>012-0002-672168 BRICOLAJE BRICOMAN SL</v>
      </c>
      <c r="G168" s="12">
        <f t="shared" si="15"/>
        <v>66.11570247933885</v>
      </c>
      <c r="H168">
        <v>21</v>
      </c>
      <c r="I168" s="5">
        <f t="shared" si="14"/>
        <v>13.884297520661159</v>
      </c>
      <c r="J168" s="5">
        <f t="shared" si="16"/>
        <v>66.11570247933885</v>
      </c>
      <c r="L168" s="5">
        <f t="shared" si="17"/>
        <v>0</v>
      </c>
      <c r="M168" s="8">
        <v>80</v>
      </c>
      <c r="N168" s="2" t="s">
        <v>21</v>
      </c>
      <c r="O168" s="3" t="s">
        <v>63</v>
      </c>
    </row>
    <row r="169" spans="1:15" x14ac:dyDescent="0.35">
      <c r="A169" s="4">
        <v>45337</v>
      </c>
      <c r="B169" s="2" t="s">
        <v>553</v>
      </c>
      <c r="D169" s="2" t="s">
        <v>101</v>
      </c>
      <c r="E169" s="2" t="s">
        <v>425</v>
      </c>
      <c r="F169" s="5" t="str">
        <f t="shared" si="5"/>
        <v>FACG 1175 ESCAYOLAS EUROPA SL</v>
      </c>
      <c r="G169" s="12">
        <f t="shared" si="15"/>
        <v>58.107438016528931</v>
      </c>
      <c r="H169">
        <v>21</v>
      </c>
      <c r="I169" s="5">
        <f t="shared" ref="I169:I226" si="18">G169*H169/100</f>
        <v>12.202561983471076</v>
      </c>
      <c r="J169" s="5">
        <f t="shared" si="16"/>
        <v>58.107438016528931</v>
      </c>
      <c r="L169" s="5">
        <f t="shared" si="17"/>
        <v>0</v>
      </c>
      <c r="M169" s="8">
        <v>70.31</v>
      </c>
      <c r="N169" s="2" t="s">
        <v>21</v>
      </c>
      <c r="O169" s="3" t="s">
        <v>63</v>
      </c>
    </row>
    <row r="170" spans="1:15" x14ac:dyDescent="0.35">
      <c r="A170" s="4">
        <v>45311</v>
      </c>
      <c r="B170" s="2" t="s">
        <v>554</v>
      </c>
      <c r="D170" s="2" t="s">
        <v>140</v>
      </c>
      <c r="E170" s="2" t="s">
        <v>141</v>
      </c>
      <c r="F170" s="5" t="str">
        <f t="shared" si="5"/>
        <v>375 ED OIL</v>
      </c>
      <c r="G170" s="12">
        <f t="shared" si="15"/>
        <v>14.429752066115704</v>
      </c>
      <c r="H170">
        <v>21</v>
      </c>
      <c r="I170" s="5">
        <f t="shared" si="18"/>
        <v>3.0302479338842976</v>
      </c>
      <c r="J170" s="5">
        <f t="shared" si="16"/>
        <v>14.429752066115704</v>
      </c>
      <c r="L170" s="5">
        <f t="shared" si="17"/>
        <v>0</v>
      </c>
      <c r="M170" s="8">
        <v>17.46</v>
      </c>
      <c r="N170" s="2" t="s">
        <v>22</v>
      </c>
      <c r="O170" s="3" t="s">
        <v>63</v>
      </c>
    </row>
    <row r="171" spans="1:15" x14ac:dyDescent="0.35">
      <c r="A171" s="4">
        <v>45315</v>
      </c>
      <c r="B171" s="2" t="s">
        <v>555</v>
      </c>
      <c r="D171" s="2" t="s">
        <v>60</v>
      </c>
      <c r="E171" s="2" t="s">
        <v>24</v>
      </c>
      <c r="F171" s="5" t="str">
        <f t="shared" si="5"/>
        <v>096622/A/24/000267 REPSOL</v>
      </c>
      <c r="G171" s="12">
        <f t="shared" si="15"/>
        <v>11.504132231404959</v>
      </c>
      <c r="H171">
        <v>21</v>
      </c>
      <c r="I171" s="5">
        <f t="shared" si="18"/>
        <v>2.4158677685950414</v>
      </c>
      <c r="J171" s="5">
        <f t="shared" si="16"/>
        <v>11.504132231404959</v>
      </c>
      <c r="L171" s="5">
        <f t="shared" si="17"/>
        <v>0</v>
      </c>
      <c r="M171" s="8">
        <v>13.92</v>
      </c>
      <c r="N171" s="2" t="s">
        <v>22</v>
      </c>
      <c r="O171" s="3" t="s">
        <v>63</v>
      </c>
    </row>
    <row r="172" spans="1:15" x14ac:dyDescent="0.35">
      <c r="A172" s="4">
        <v>45314</v>
      </c>
      <c r="B172" s="2" t="s">
        <v>556</v>
      </c>
      <c r="D172" s="2" t="s">
        <v>231</v>
      </c>
      <c r="E172" s="2" t="s">
        <v>557</v>
      </c>
      <c r="F172" s="5" t="str">
        <f t="shared" si="5"/>
        <v>1-2145 CARLA`S JR</v>
      </c>
      <c r="G172" s="12">
        <f t="shared" si="15"/>
        <v>12.68181818181818</v>
      </c>
      <c r="H172">
        <v>10</v>
      </c>
      <c r="I172" s="5">
        <f t="shared" si="18"/>
        <v>1.2681818181818181</v>
      </c>
      <c r="J172" s="5">
        <f t="shared" si="16"/>
        <v>12.68181818181818</v>
      </c>
      <c r="L172" s="5">
        <f t="shared" si="17"/>
        <v>0</v>
      </c>
      <c r="M172" s="8">
        <v>13.95</v>
      </c>
      <c r="N172" s="2" t="s">
        <v>28</v>
      </c>
      <c r="O172" s="3" t="s">
        <v>63</v>
      </c>
    </row>
    <row r="173" spans="1:15" x14ac:dyDescent="0.35">
      <c r="A173" s="4">
        <v>45308</v>
      </c>
      <c r="B173" s="2" t="s">
        <v>558</v>
      </c>
      <c r="D173" s="2" t="s">
        <v>77</v>
      </c>
      <c r="E173" s="2" t="s">
        <v>559</v>
      </c>
      <c r="F173" s="5" t="str">
        <f t="shared" si="5"/>
        <v>24FAS000205 E.S. SESEÑA NOVARANDIS</v>
      </c>
      <c r="G173" s="12">
        <f t="shared" si="15"/>
        <v>41.32231404958678</v>
      </c>
      <c r="H173">
        <v>21</v>
      </c>
      <c r="I173" s="5">
        <f t="shared" si="18"/>
        <v>8.677685950413224</v>
      </c>
      <c r="J173" s="5">
        <f t="shared" si="16"/>
        <v>41.32231404958678</v>
      </c>
      <c r="L173" s="5">
        <f t="shared" si="17"/>
        <v>0</v>
      </c>
      <c r="M173" s="8">
        <v>50</v>
      </c>
      <c r="N173" s="2" t="s">
        <v>22</v>
      </c>
      <c r="O173" s="3" t="s">
        <v>63</v>
      </c>
    </row>
    <row r="174" spans="1:15" x14ac:dyDescent="0.35">
      <c r="A174" s="4">
        <v>45319</v>
      </c>
      <c r="B174" s="2" t="s">
        <v>221</v>
      </c>
      <c r="D174" s="2" t="s">
        <v>274</v>
      </c>
      <c r="E174" s="2" t="s">
        <v>560</v>
      </c>
      <c r="F174" s="5" t="str">
        <f t="shared" si="5"/>
        <v>57 RESTAURANTE EL RANCHO</v>
      </c>
      <c r="G174" s="12">
        <f t="shared" si="15"/>
        <v>57.636363636363633</v>
      </c>
      <c r="H174">
        <v>10</v>
      </c>
      <c r="I174" s="5">
        <f t="shared" si="18"/>
        <v>5.7636363636363637</v>
      </c>
      <c r="J174" s="5">
        <f t="shared" si="16"/>
        <v>57.636363636363633</v>
      </c>
      <c r="L174" s="5">
        <f t="shared" si="17"/>
        <v>0</v>
      </c>
      <c r="M174" s="8">
        <v>63.4</v>
      </c>
      <c r="N174" s="2" t="s">
        <v>28</v>
      </c>
      <c r="O174" s="3" t="s">
        <v>63</v>
      </c>
    </row>
    <row r="175" spans="1:15" x14ac:dyDescent="0.35">
      <c r="A175" s="4">
        <v>45319</v>
      </c>
      <c r="B175" s="2" t="s">
        <v>198</v>
      </c>
      <c r="D175" s="2" t="s">
        <v>274</v>
      </c>
      <c r="E175" s="2" t="s">
        <v>275</v>
      </c>
      <c r="F175" s="5" t="str">
        <f t="shared" si="5"/>
        <v>23 FANATICO ICE &amp; COFFEE</v>
      </c>
      <c r="G175" s="12">
        <f t="shared" si="15"/>
        <v>11.545454545454543</v>
      </c>
      <c r="H175">
        <v>10</v>
      </c>
      <c r="I175" s="5">
        <f t="shared" si="18"/>
        <v>1.1545454545454543</v>
      </c>
      <c r="J175" s="5">
        <f t="shared" si="16"/>
        <v>11.545454545454543</v>
      </c>
      <c r="L175" s="5">
        <f t="shared" si="17"/>
        <v>0</v>
      </c>
      <c r="M175" s="8">
        <v>12.7</v>
      </c>
      <c r="N175" s="2" t="s">
        <v>28</v>
      </c>
      <c r="O175" s="3" t="s">
        <v>63</v>
      </c>
    </row>
    <row r="176" spans="1:15" x14ac:dyDescent="0.35">
      <c r="A176" s="4">
        <v>45306</v>
      </c>
      <c r="B176" s="2" t="s">
        <v>561</v>
      </c>
      <c r="D176" s="2" t="s">
        <v>49</v>
      </c>
      <c r="E176" s="2" t="s">
        <v>124</v>
      </c>
      <c r="F176" s="5" t="str">
        <f t="shared" si="5"/>
        <v>003720024/00000130 CIA ESPAÑOLA DIST PETROLEOS</v>
      </c>
      <c r="G176" s="12">
        <f t="shared" si="15"/>
        <v>37.900826446280995</v>
      </c>
      <c r="H176">
        <v>21</v>
      </c>
      <c r="I176" s="5">
        <f t="shared" si="18"/>
        <v>7.9591735537190083</v>
      </c>
      <c r="J176" s="5">
        <f t="shared" si="16"/>
        <v>37.900826446280995</v>
      </c>
      <c r="L176" s="5">
        <f t="shared" si="17"/>
        <v>0</v>
      </c>
      <c r="M176" s="8">
        <v>45.86</v>
      </c>
      <c r="N176" s="2" t="s">
        <v>22</v>
      </c>
      <c r="O176" s="3" t="s">
        <v>63</v>
      </c>
    </row>
    <row r="177" spans="1:15" x14ac:dyDescent="0.35">
      <c r="A177" s="4">
        <v>45306</v>
      </c>
      <c r="B177" s="2" t="s">
        <v>562</v>
      </c>
      <c r="D177" s="2" t="s">
        <v>77</v>
      </c>
      <c r="E177" s="2" t="s">
        <v>559</v>
      </c>
      <c r="F177" s="5" t="str">
        <f t="shared" si="5"/>
        <v>24FAS000169 E.S. SESEÑA NOVARANDIS</v>
      </c>
      <c r="G177" s="12">
        <f t="shared" si="15"/>
        <v>51.429752066115704</v>
      </c>
      <c r="H177">
        <v>21</v>
      </c>
      <c r="I177" s="5">
        <f t="shared" si="18"/>
        <v>10.800247933884298</v>
      </c>
      <c r="J177" s="5">
        <f t="shared" si="16"/>
        <v>51.429752066115704</v>
      </c>
      <c r="L177" s="5">
        <f t="shared" si="17"/>
        <v>0</v>
      </c>
      <c r="M177" s="8">
        <v>62.23</v>
      </c>
      <c r="N177" s="2" t="s">
        <v>22</v>
      </c>
      <c r="O177" s="3" t="s">
        <v>63</v>
      </c>
    </row>
    <row r="178" spans="1:15" x14ac:dyDescent="0.35">
      <c r="A178" s="4">
        <v>45302</v>
      </c>
      <c r="B178" s="2" t="s">
        <v>563</v>
      </c>
      <c r="D178" s="2" t="s">
        <v>564</v>
      </c>
      <c r="E178" s="2" t="s">
        <v>565</v>
      </c>
      <c r="F178" s="5" t="str">
        <f t="shared" si="5"/>
        <v xml:space="preserve">T101_1/23828 WAIKIKI </v>
      </c>
      <c r="G178" s="12">
        <f t="shared" si="15"/>
        <v>10.636363636363635</v>
      </c>
      <c r="H178">
        <v>10</v>
      </c>
      <c r="I178" s="5">
        <f t="shared" si="18"/>
        <v>1.0636363636363635</v>
      </c>
      <c r="J178" s="5">
        <f t="shared" si="16"/>
        <v>10.636363636363635</v>
      </c>
      <c r="L178" s="5">
        <f t="shared" si="17"/>
        <v>0</v>
      </c>
      <c r="M178" s="8">
        <v>11.7</v>
      </c>
      <c r="N178" s="2" t="s">
        <v>28</v>
      </c>
      <c r="O178" s="3" t="s">
        <v>63</v>
      </c>
    </row>
    <row r="179" spans="1:15" x14ac:dyDescent="0.35">
      <c r="A179" s="4">
        <v>45300</v>
      </c>
      <c r="B179" s="2" t="s">
        <v>566</v>
      </c>
      <c r="D179" s="2" t="s">
        <v>567</v>
      </c>
      <c r="E179" s="2" t="s">
        <v>568</v>
      </c>
      <c r="F179" s="5" t="str">
        <f t="shared" si="5"/>
        <v>T-262072 LAS MEZQUITAS</v>
      </c>
      <c r="G179" s="12">
        <f t="shared" si="15"/>
        <v>9.545454545454545</v>
      </c>
      <c r="H179">
        <v>10</v>
      </c>
      <c r="I179" s="5">
        <f t="shared" si="18"/>
        <v>0.95454545454545459</v>
      </c>
      <c r="J179" s="5">
        <f t="shared" si="16"/>
        <v>9.545454545454545</v>
      </c>
      <c r="L179" s="5">
        <f t="shared" si="17"/>
        <v>0</v>
      </c>
      <c r="M179" s="8">
        <v>10.5</v>
      </c>
      <c r="N179" s="2" t="s">
        <v>28</v>
      </c>
      <c r="O179" s="3" t="s">
        <v>63</v>
      </c>
    </row>
    <row r="180" spans="1:15" x14ac:dyDescent="0.35">
      <c r="A180" s="4">
        <v>45300</v>
      </c>
      <c r="B180" s="2" t="s">
        <v>569</v>
      </c>
      <c r="D180" s="2" t="s">
        <v>564</v>
      </c>
      <c r="E180" s="2" t="s">
        <v>565</v>
      </c>
      <c r="F180" s="5" t="str">
        <f t="shared" si="5"/>
        <v xml:space="preserve">T101_1/23577 WAIKIKI </v>
      </c>
      <c r="G180" s="12">
        <f t="shared" si="15"/>
        <v>5.2727272727272725</v>
      </c>
      <c r="H180">
        <v>10</v>
      </c>
      <c r="I180" s="5">
        <f t="shared" si="18"/>
        <v>0.52727272727272723</v>
      </c>
      <c r="J180" s="5">
        <f t="shared" si="16"/>
        <v>5.2727272727272725</v>
      </c>
      <c r="L180" s="5">
        <f t="shared" si="17"/>
        <v>0</v>
      </c>
      <c r="M180" s="8">
        <v>5.8</v>
      </c>
      <c r="N180" s="2" t="s">
        <v>28</v>
      </c>
      <c r="O180" s="3" t="s">
        <v>63</v>
      </c>
    </row>
    <row r="181" spans="1:15" x14ac:dyDescent="0.35">
      <c r="A181" s="4">
        <v>45298</v>
      </c>
      <c r="B181" s="2" t="s">
        <v>570</v>
      </c>
      <c r="D181" s="2" t="s">
        <v>60</v>
      </c>
      <c r="E181" s="2" t="s">
        <v>24</v>
      </c>
      <c r="F181" s="5" t="str">
        <f t="shared" si="5"/>
        <v>033939/A/24/000015 REPSOL</v>
      </c>
      <c r="G181" s="12">
        <f t="shared" si="15"/>
        <v>9.471074380165291</v>
      </c>
      <c r="H181">
        <v>21</v>
      </c>
      <c r="I181" s="5">
        <f t="shared" si="18"/>
        <v>1.9889256198347112</v>
      </c>
      <c r="J181" s="5">
        <f t="shared" si="16"/>
        <v>9.471074380165291</v>
      </c>
      <c r="L181" s="5">
        <f t="shared" si="17"/>
        <v>0</v>
      </c>
      <c r="M181" s="8">
        <v>11.46</v>
      </c>
      <c r="N181" s="2" t="s">
        <v>22</v>
      </c>
      <c r="O181" s="3" t="s">
        <v>63</v>
      </c>
    </row>
    <row r="182" spans="1:15" x14ac:dyDescent="0.35">
      <c r="A182" s="4">
        <v>45298</v>
      </c>
      <c r="B182" s="2" t="s">
        <v>571</v>
      </c>
      <c r="D182" s="2" t="s">
        <v>49</v>
      </c>
      <c r="E182" s="2" t="s">
        <v>24</v>
      </c>
      <c r="F182" s="5" t="str">
        <f t="shared" si="5"/>
        <v>003720024/00000049 REPSOL</v>
      </c>
      <c r="G182" s="12">
        <f t="shared" si="15"/>
        <v>24.793388429752067</v>
      </c>
      <c r="H182">
        <v>21</v>
      </c>
      <c r="I182" s="5">
        <f t="shared" si="18"/>
        <v>5.2066115702479339</v>
      </c>
      <c r="J182" s="5">
        <f t="shared" si="16"/>
        <v>24.793388429752067</v>
      </c>
      <c r="L182" s="5">
        <f t="shared" si="17"/>
        <v>0</v>
      </c>
      <c r="M182" s="8">
        <v>30</v>
      </c>
      <c r="N182" s="2" t="s">
        <v>22</v>
      </c>
      <c r="O182" s="3" t="s">
        <v>63</v>
      </c>
    </row>
    <row r="183" spans="1:15" x14ac:dyDescent="0.35">
      <c r="A183" s="4">
        <v>45298</v>
      </c>
      <c r="B183" s="2" t="s">
        <v>572</v>
      </c>
      <c r="D183" s="2" t="s">
        <v>290</v>
      </c>
      <c r="E183" s="2" t="s">
        <v>573</v>
      </c>
      <c r="F183" s="5" t="str">
        <f t="shared" si="5"/>
        <v>53830 RESTAURANTE EL MOLINO</v>
      </c>
      <c r="G183" s="12">
        <f t="shared" si="15"/>
        <v>10.18181818181818</v>
      </c>
      <c r="H183">
        <v>10</v>
      </c>
      <c r="I183" s="5">
        <f t="shared" si="18"/>
        <v>1.0181818181818181</v>
      </c>
      <c r="J183" s="5">
        <f t="shared" si="16"/>
        <v>10.18181818181818</v>
      </c>
      <c r="L183" s="5">
        <f t="shared" si="17"/>
        <v>0</v>
      </c>
      <c r="M183" s="8">
        <v>11.2</v>
      </c>
      <c r="N183" s="2" t="s">
        <v>28</v>
      </c>
      <c r="O183" s="3" t="s">
        <v>63</v>
      </c>
    </row>
    <row r="184" spans="1:15" x14ac:dyDescent="0.35">
      <c r="A184" s="4">
        <v>45300</v>
      </c>
      <c r="B184" s="2" t="s">
        <v>574</v>
      </c>
      <c r="D184" s="2" t="s">
        <v>89</v>
      </c>
      <c r="E184" s="2" t="s">
        <v>90</v>
      </c>
      <c r="F184" s="5" t="str">
        <f t="shared" si="5"/>
        <v>E1200202400000090 GALP</v>
      </c>
      <c r="G184" s="12">
        <f t="shared" si="15"/>
        <v>41.32231404958678</v>
      </c>
      <c r="H184">
        <v>21</v>
      </c>
      <c r="I184" s="5">
        <f t="shared" si="18"/>
        <v>8.677685950413224</v>
      </c>
      <c r="J184" s="5">
        <f t="shared" si="16"/>
        <v>41.32231404958678</v>
      </c>
      <c r="L184" s="5">
        <f t="shared" si="17"/>
        <v>0</v>
      </c>
      <c r="M184" s="8">
        <v>50</v>
      </c>
      <c r="N184" s="2" t="s">
        <v>22</v>
      </c>
      <c r="O184" s="3" t="s">
        <v>63</v>
      </c>
    </row>
    <row r="185" spans="1:15" x14ac:dyDescent="0.35">
      <c r="A185" s="4">
        <v>45296</v>
      </c>
      <c r="B185" s="2" t="s">
        <v>575</v>
      </c>
      <c r="D185" s="2" t="s">
        <v>60</v>
      </c>
      <c r="E185" s="2" t="s">
        <v>24</v>
      </c>
      <c r="F185" s="5" t="str">
        <f t="shared" si="5"/>
        <v>033939/A/24/000013 REPSOL</v>
      </c>
      <c r="G185" s="12">
        <f t="shared" si="15"/>
        <v>14.826446280991737</v>
      </c>
      <c r="H185">
        <v>21</v>
      </c>
      <c r="I185" s="5">
        <f t="shared" si="18"/>
        <v>3.1135537190082645</v>
      </c>
      <c r="J185" s="5">
        <f t="shared" si="16"/>
        <v>14.826446280991737</v>
      </c>
      <c r="L185" s="5">
        <f t="shared" si="17"/>
        <v>0</v>
      </c>
      <c r="M185" s="8">
        <v>17.940000000000001</v>
      </c>
      <c r="N185" s="2" t="s">
        <v>22</v>
      </c>
      <c r="O185" s="3" t="s">
        <v>63</v>
      </c>
    </row>
    <row r="186" spans="1:15" x14ac:dyDescent="0.35">
      <c r="A186" s="4">
        <v>45304</v>
      </c>
      <c r="B186" s="2" t="s">
        <v>576</v>
      </c>
      <c r="D186" s="2" t="s">
        <v>577</v>
      </c>
      <c r="E186" s="2" t="s">
        <v>578</v>
      </c>
      <c r="F186" s="5" t="str">
        <f t="shared" si="5"/>
        <v>00001TM150162 ASADOR SESEÑA</v>
      </c>
      <c r="G186" s="12">
        <f t="shared" si="15"/>
        <v>68.545454545454547</v>
      </c>
      <c r="H186">
        <v>10</v>
      </c>
      <c r="I186" s="5">
        <f t="shared" si="18"/>
        <v>6.8545454545454554</v>
      </c>
      <c r="J186" s="5">
        <f t="shared" si="16"/>
        <v>68.545454545454547</v>
      </c>
      <c r="L186" s="5">
        <f t="shared" si="17"/>
        <v>0</v>
      </c>
      <c r="M186" s="8">
        <v>75.400000000000006</v>
      </c>
      <c r="N186" s="2" t="s">
        <v>28</v>
      </c>
      <c r="O186" s="3" t="s">
        <v>64</v>
      </c>
    </row>
    <row r="187" spans="1:15" x14ac:dyDescent="0.35">
      <c r="A187" s="4">
        <v>45315</v>
      </c>
      <c r="B187" s="2" t="s">
        <v>579</v>
      </c>
      <c r="D187" s="2" t="s">
        <v>140</v>
      </c>
      <c r="E187" s="2" t="s">
        <v>141</v>
      </c>
      <c r="F187" s="5" t="str">
        <f t="shared" si="5"/>
        <v>481 ED OIL</v>
      </c>
      <c r="G187" s="12">
        <f t="shared" si="15"/>
        <v>10.446280991735538</v>
      </c>
      <c r="H187">
        <v>21</v>
      </c>
      <c r="I187" s="5">
        <f t="shared" si="18"/>
        <v>2.1937190082644631</v>
      </c>
      <c r="J187" s="5">
        <f t="shared" si="16"/>
        <v>10.446280991735538</v>
      </c>
      <c r="L187" s="5">
        <f t="shared" si="17"/>
        <v>0</v>
      </c>
      <c r="M187" s="8">
        <v>12.64</v>
      </c>
      <c r="N187" s="2" t="s">
        <v>22</v>
      </c>
      <c r="O187" s="3" t="s">
        <v>63</v>
      </c>
    </row>
    <row r="188" spans="1:15" x14ac:dyDescent="0.35">
      <c r="A188" s="4">
        <v>45331</v>
      </c>
      <c r="B188" s="2" t="s">
        <v>580</v>
      </c>
      <c r="D188" s="2" t="s">
        <v>77</v>
      </c>
      <c r="E188" s="2" t="s">
        <v>559</v>
      </c>
      <c r="F188" s="5" t="str">
        <f t="shared" si="5"/>
        <v>24FAS000523 E.S. SESEÑA NOVARANDIS</v>
      </c>
      <c r="G188" s="12">
        <f t="shared" si="15"/>
        <v>66.11570247933885</v>
      </c>
      <c r="H188">
        <v>21</v>
      </c>
      <c r="I188" s="5">
        <f t="shared" si="18"/>
        <v>13.884297520661159</v>
      </c>
      <c r="J188" s="5">
        <f t="shared" si="16"/>
        <v>66.11570247933885</v>
      </c>
      <c r="L188" s="5">
        <f t="shared" si="17"/>
        <v>0</v>
      </c>
      <c r="M188" s="8">
        <v>80</v>
      </c>
      <c r="N188" s="2" t="s">
        <v>22</v>
      </c>
      <c r="O188" s="3" t="s">
        <v>63</v>
      </c>
    </row>
    <row r="189" spans="1:15" x14ac:dyDescent="0.35">
      <c r="A189" s="4">
        <v>45326</v>
      </c>
      <c r="B189" s="2" t="s">
        <v>581</v>
      </c>
      <c r="D189" s="2" t="s">
        <v>89</v>
      </c>
      <c r="E189" s="2" t="s">
        <v>90</v>
      </c>
      <c r="F189" s="5" t="str">
        <f t="shared" si="5"/>
        <v>E30452024000000589 GALP</v>
      </c>
      <c r="G189" s="12">
        <f t="shared" si="15"/>
        <v>13.545454545454547</v>
      </c>
      <c r="H189">
        <v>21</v>
      </c>
      <c r="I189" s="5">
        <f t="shared" si="18"/>
        <v>2.8445454545454552</v>
      </c>
      <c r="J189" s="5">
        <f t="shared" si="16"/>
        <v>13.545454545454547</v>
      </c>
      <c r="L189" s="5">
        <f t="shared" si="17"/>
        <v>0</v>
      </c>
      <c r="M189" s="8">
        <v>16.39</v>
      </c>
      <c r="N189" s="2" t="s">
        <v>22</v>
      </c>
      <c r="O189" s="3" t="s">
        <v>63</v>
      </c>
    </row>
    <row r="190" spans="1:15" x14ac:dyDescent="0.35">
      <c r="A190" s="4">
        <v>45328</v>
      </c>
      <c r="B190" s="2" t="s">
        <v>582</v>
      </c>
      <c r="D190" s="2" t="s">
        <v>99</v>
      </c>
      <c r="E190" s="2" t="s">
        <v>166</v>
      </c>
      <c r="F190" s="5" t="str">
        <f t="shared" si="5"/>
        <v>0000044624 SHELL</v>
      </c>
      <c r="G190" s="12">
        <f t="shared" si="15"/>
        <v>55.495867768595048</v>
      </c>
      <c r="H190">
        <v>21</v>
      </c>
      <c r="I190" s="5">
        <f t="shared" si="18"/>
        <v>11.65413223140496</v>
      </c>
      <c r="J190" s="5">
        <f t="shared" si="16"/>
        <v>55.495867768595048</v>
      </c>
      <c r="L190" s="5">
        <f t="shared" si="17"/>
        <v>0</v>
      </c>
      <c r="M190" s="8">
        <v>67.150000000000006</v>
      </c>
      <c r="N190" s="2" t="s">
        <v>22</v>
      </c>
      <c r="O190" s="3" t="s">
        <v>63</v>
      </c>
    </row>
    <row r="191" spans="1:15" x14ac:dyDescent="0.35">
      <c r="A191" s="4">
        <v>45332</v>
      </c>
      <c r="B191" s="2" t="s">
        <v>583</v>
      </c>
      <c r="D191" s="2" t="s">
        <v>584</v>
      </c>
      <c r="E191" s="2" t="s">
        <v>242</v>
      </c>
      <c r="F191" s="5" t="str">
        <f t="shared" si="5"/>
        <v>T-5698 RESTAURANTE LA SALA</v>
      </c>
      <c r="G191" s="12">
        <f t="shared" si="15"/>
        <v>5.3636363636363633</v>
      </c>
      <c r="H191">
        <v>10</v>
      </c>
      <c r="I191" s="5">
        <f t="shared" si="18"/>
        <v>0.53636363636363638</v>
      </c>
      <c r="J191" s="5">
        <f t="shared" si="16"/>
        <v>5.3636363636363633</v>
      </c>
      <c r="L191" s="5">
        <f t="shared" si="17"/>
        <v>0</v>
      </c>
      <c r="M191" s="8">
        <v>5.9</v>
      </c>
      <c r="N191" s="2" t="s">
        <v>28</v>
      </c>
      <c r="O191" s="3" t="s">
        <v>63</v>
      </c>
    </row>
    <row r="192" spans="1:15" x14ac:dyDescent="0.35">
      <c r="A192" s="4">
        <v>45334</v>
      </c>
      <c r="B192" s="2" t="s">
        <v>585</v>
      </c>
      <c r="D192" s="2" t="s">
        <v>174</v>
      </c>
      <c r="E192" s="2" t="s">
        <v>557</v>
      </c>
      <c r="F192" s="5" t="str">
        <f t="shared" si="5"/>
        <v>1-3512 CARLA`S JR</v>
      </c>
      <c r="G192" s="12">
        <f t="shared" si="15"/>
        <v>12.227272727272725</v>
      </c>
      <c r="H192">
        <v>10</v>
      </c>
      <c r="I192" s="5">
        <f t="shared" si="18"/>
        <v>1.2227272727272724</v>
      </c>
      <c r="J192" s="5">
        <f t="shared" si="16"/>
        <v>12.227272727272725</v>
      </c>
      <c r="L192" s="5">
        <f t="shared" si="17"/>
        <v>0</v>
      </c>
      <c r="M192" s="8">
        <v>13.45</v>
      </c>
      <c r="N192" s="2" t="s">
        <v>28</v>
      </c>
      <c r="O192" s="3" t="s">
        <v>63</v>
      </c>
    </row>
    <row r="193" spans="1:16" x14ac:dyDescent="0.35">
      <c r="A193" s="4">
        <v>45332</v>
      </c>
      <c r="B193" s="2" t="s">
        <v>586</v>
      </c>
      <c r="D193" s="2" t="s">
        <v>273</v>
      </c>
      <c r="E193" s="2" t="s">
        <v>587</v>
      </c>
      <c r="F193" s="5" t="str">
        <f t="shared" si="5"/>
        <v>0008860024/00000866 CEPSA COMERCIAL PETROLEO</v>
      </c>
      <c r="G193" s="12">
        <f t="shared" si="15"/>
        <v>16.107438016528924</v>
      </c>
      <c r="H193">
        <v>21</v>
      </c>
      <c r="I193" s="5">
        <f t="shared" si="18"/>
        <v>3.3825619834710738</v>
      </c>
      <c r="J193" s="5">
        <f t="shared" si="16"/>
        <v>16.107438016528924</v>
      </c>
      <c r="L193" s="5">
        <f t="shared" si="17"/>
        <v>0</v>
      </c>
      <c r="M193" s="8">
        <v>19.489999999999998</v>
      </c>
      <c r="N193" s="2" t="s">
        <v>22</v>
      </c>
      <c r="O193" s="3" t="s">
        <v>63</v>
      </c>
    </row>
    <row r="194" spans="1:16" x14ac:dyDescent="0.35">
      <c r="A194" s="4">
        <v>45327</v>
      </c>
      <c r="B194" s="2" t="s">
        <v>588</v>
      </c>
      <c r="D194" s="2" t="s">
        <v>77</v>
      </c>
      <c r="E194" s="2" t="s">
        <v>559</v>
      </c>
      <c r="F194" s="5" t="str">
        <f t="shared" si="5"/>
        <v>24FAS000473 E.S. SESEÑA NOVARANDIS</v>
      </c>
      <c r="G194" s="12">
        <f t="shared" si="15"/>
        <v>49.586776859504134</v>
      </c>
      <c r="H194">
        <v>21</v>
      </c>
      <c r="I194" s="5">
        <f t="shared" si="18"/>
        <v>10.413223140495868</v>
      </c>
      <c r="J194" s="5">
        <f t="shared" si="16"/>
        <v>49.586776859504134</v>
      </c>
      <c r="L194" s="5">
        <f t="shared" si="17"/>
        <v>0</v>
      </c>
      <c r="M194" s="8">
        <v>60</v>
      </c>
      <c r="N194" s="2" t="s">
        <v>22</v>
      </c>
      <c r="O194" s="3" t="s">
        <v>63</v>
      </c>
    </row>
    <row r="195" spans="1:16" x14ac:dyDescent="0.35">
      <c r="A195" s="4">
        <v>45336</v>
      </c>
      <c r="B195" s="2" t="s">
        <v>589</v>
      </c>
      <c r="D195" s="2" t="s">
        <v>590</v>
      </c>
      <c r="E195" s="2" t="s">
        <v>591</v>
      </c>
      <c r="F195" s="5" t="str">
        <f t="shared" si="5"/>
        <v>T-30066 TABERNA LOS MADRILES</v>
      </c>
      <c r="G195" s="12">
        <f t="shared" si="15"/>
        <v>12.272727272727272</v>
      </c>
      <c r="H195">
        <v>10</v>
      </c>
      <c r="I195" s="5">
        <f t="shared" si="18"/>
        <v>1.2272727272727273</v>
      </c>
      <c r="J195" s="5">
        <f t="shared" si="16"/>
        <v>12.272727272727272</v>
      </c>
      <c r="L195" s="5">
        <f t="shared" si="17"/>
        <v>0</v>
      </c>
      <c r="M195" s="8">
        <v>13.5</v>
      </c>
      <c r="N195" s="2" t="s">
        <v>28</v>
      </c>
      <c r="O195" s="3" t="s">
        <v>63</v>
      </c>
    </row>
    <row r="196" spans="1:16" x14ac:dyDescent="0.35">
      <c r="A196" s="4">
        <v>45324</v>
      </c>
      <c r="B196" s="2" t="s">
        <v>592</v>
      </c>
      <c r="D196" s="2" t="s">
        <v>593</v>
      </c>
      <c r="E196" s="2" t="s">
        <v>594</v>
      </c>
      <c r="F196" s="5" t="str">
        <f t="shared" si="5"/>
        <v>00210020202402000040 MC DONALD`S</v>
      </c>
      <c r="G196" s="12">
        <f t="shared" si="15"/>
        <v>6.2</v>
      </c>
      <c r="H196">
        <v>10</v>
      </c>
      <c r="I196" s="5">
        <f t="shared" si="18"/>
        <v>0.62</v>
      </c>
      <c r="J196" s="5">
        <f t="shared" si="16"/>
        <v>6.2</v>
      </c>
      <c r="L196" s="5">
        <f t="shared" si="17"/>
        <v>0</v>
      </c>
      <c r="M196" s="8">
        <v>6.82</v>
      </c>
      <c r="N196" s="2" t="s">
        <v>28</v>
      </c>
      <c r="O196" s="3" t="s">
        <v>63</v>
      </c>
    </row>
    <row r="197" spans="1:16" x14ac:dyDescent="0.35">
      <c r="A197" s="4">
        <v>45341</v>
      </c>
      <c r="B197" s="2" t="s">
        <v>595</v>
      </c>
      <c r="D197" s="2" t="s">
        <v>596</v>
      </c>
      <c r="E197" s="2" t="s">
        <v>597</v>
      </c>
      <c r="F197" s="5" t="str">
        <f t="shared" si="5"/>
        <v>8880023010 EUROLINEAS MARITIMAS SA</v>
      </c>
      <c r="G197" s="12">
        <v>70.89</v>
      </c>
      <c r="H197">
        <v>10</v>
      </c>
      <c r="I197" s="5">
        <f t="shared" si="18"/>
        <v>7.0889999999999995</v>
      </c>
      <c r="J197" s="5">
        <f t="shared" si="16"/>
        <v>70.89</v>
      </c>
      <c r="L197" s="5">
        <f t="shared" si="17"/>
        <v>0</v>
      </c>
      <c r="M197" s="8">
        <v>219.02</v>
      </c>
      <c r="N197" s="2" t="s">
        <v>56</v>
      </c>
    </row>
    <row r="198" spans="1:16" x14ac:dyDescent="0.35">
      <c r="A198" s="4">
        <v>45342</v>
      </c>
      <c r="B198" s="2" t="s">
        <v>599</v>
      </c>
      <c r="D198" s="2" t="s">
        <v>600</v>
      </c>
      <c r="E198" s="2" t="s">
        <v>601</v>
      </c>
      <c r="F198" s="5" t="str">
        <f t="shared" si="5"/>
        <v>2024/1074 CLEVER SPAIN SL</v>
      </c>
      <c r="G198" s="12">
        <f t="shared" si="15"/>
        <v>274.3305785123967</v>
      </c>
      <c r="H198">
        <v>21</v>
      </c>
      <c r="I198" s="5">
        <f t="shared" si="18"/>
        <v>57.609421487603306</v>
      </c>
      <c r="J198" s="5">
        <f t="shared" si="16"/>
        <v>274.3305785123967</v>
      </c>
      <c r="L198" s="5">
        <f t="shared" si="17"/>
        <v>0</v>
      </c>
      <c r="M198" s="8">
        <v>331.94</v>
      </c>
      <c r="N198" s="2" t="s">
        <v>21</v>
      </c>
      <c r="O198" s="3" t="s">
        <v>68</v>
      </c>
    </row>
    <row r="199" spans="1:16" x14ac:dyDescent="0.35">
      <c r="A199" s="4">
        <v>45322</v>
      </c>
      <c r="B199" s="2" t="s">
        <v>602</v>
      </c>
      <c r="D199" s="2" t="s">
        <v>271</v>
      </c>
      <c r="E199" s="2" t="s">
        <v>603</v>
      </c>
      <c r="F199" s="5" t="str">
        <f t="shared" si="5"/>
        <v>47 CONTENEDORES ZORRO</v>
      </c>
      <c r="G199" s="12">
        <f t="shared" si="15"/>
        <v>219.99999999999997</v>
      </c>
      <c r="H199">
        <v>10</v>
      </c>
      <c r="I199" s="5">
        <f t="shared" si="18"/>
        <v>21.999999999999996</v>
      </c>
      <c r="J199" s="5">
        <f t="shared" si="16"/>
        <v>219.99999999999997</v>
      </c>
      <c r="L199" s="5">
        <f t="shared" si="17"/>
        <v>0</v>
      </c>
      <c r="M199" s="8">
        <v>242</v>
      </c>
      <c r="N199" s="2" t="s">
        <v>33</v>
      </c>
      <c r="O199" s="3" t="s">
        <v>68</v>
      </c>
      <c r="P199" s="3" t="s">
        <v>64</v>
      </c>
    </row>
    <row r="200" spans="1:16" x14ac:dyDescent="0.35">
      <c r="A200" s="4">
        <v>45344</v>
      </c>
      <c r="B200" s="2" t="s">
        <v>501</v>
      </c>
      <c r="D200" s="2" t="s">
        <v>248</v>
      </c>
      <c r="E200" s="2" t="s">
        <v>249</v>
      </c>
      <c r="F200" s="5" t="str">
        <f t="shared" si="5"/>
        <v>007/24 LUIS VALVERDE MORENO</v>
      </c>
      <c r="G200" s="12">
        <f t="shared" si="15"/>
        <v>260</v>
      </c>
      <c r="H200">
        <v>21</v>
      </c>
      <c r="I200" s="5">
        <f t="shared" si="18"/>
        <v>54.6</v>
      </c>
      <c r="J200" s="5">
        <f t="shared" si="16"/>
        <v>260</v>
      </c>
      <c r="L200" s="5">
        <f t="shared" si="17"/>
        <v>0</v>
      </c>
      <c r="M200" s="8">
        <v>314.60000000000002</v>
      </c>
      <c r="N200" s="2" t="s">
        <v>21</v>
      </c>
      <c r="O200" s="3" t="s">
        <v>68</v>
      </c>
    </row>
    <row r="201" spans="1:16" x14ac:dyDescent="0.35">
      <c r="A201" s="4">
        <v>45332</v>
      </c>
      <c r="B201" s="2" t="s">
        <v>604</v>
      </c>
      <c r="D201" s="2" t="s">
        <v>94</v>
      </c>
      <c r="E201" s="2" t="s">
        <v>139</v>
      </c>
      <c r="F201" s="5" t="str">
        <f t="shared" si="5"/>
        <v>VEN/20225969 BIGMAT</v>
      </c>
      <c r="G201" s="12">
        <f t="shared" si="15"/>
        <v>2844.6776859504134</v>
      </c>
      <c r="H201">
        <v>21</v>
      </c>
      <c r="I201" s="5">
        <f t="shared" si="18"/>
        <v>597.38231404958685</v>
      </c>
      <c r="J201" s="5">
        <f t="shared" si="16"/>
        <v>2844.6776859504134</v>
      </c>
      <c r="L201" s="5">
        <f t="shared" si="17"/>
        <v>0</v>
      </c>
      <c r="M201" s="8">
        <v>3442.06</v>
      </c>
      <c r="N201" s="2" t="s">
        <v>21</v>
      </c>
      <c r="O201" s="3" t="s">
        <v>65</v>
      </c>
    </row>
    <row r="202" spans="1:16" x14ac:dyDescent="0.35">
      <c r="A202" s="4">
        <v>45340</v>
      </c>
      <c r="B202" s="2" t="s">
        <v>605</v>
      </c>
      <c r="D202" s="2" t="s">
        <v>94</v>
      </c>
      <c r="E202" s="2" t="s">
        <v>139</v>
      </c>
      <c r="F202" s="5" t="str">
        <f t="shared" si="5"/>
        <v>VEN/20228854 BIGMAT</v>
      </c>
      <c r="G202" s="12">
        <f t="shared" si="15"/>
        <v>1498.6280991735537</v>
      </c>
      <c r="H202">
        <v>21</v>
      </c>
      <c r="I202" s="5">
        <f t="shared" si="18"/>
        <v>314.71190082644625</v>
      </c>
      <c r="J202" s="5">
        <f t="shared" si="16"/>
        <v>1498.6280991735537</v>
      </c>
      <c r="K202" s="5"/>
      <c r="L202" s="5">
        <f t="shared" si="17"/>
        <v>0</v>
      </c>
      <c r="M202" s="8">
        <v>1813.34</v>
      </c>
      <c r="N202" s="2" t="s">
        <v>21</v>
      </c>
      <c r="O202" s="3" t="s">
        <v>65</v>
      </c>
    </row>
    <row r="203" spans="1:16" x14ac:dyDescent="0.35">
      <c r="A203" s="4">
        <v>45342</v>
      </c>
      <c r="B203" s="2" t="s">
        <v>606</v>
      </c>
      <c r="D203" s="2" t="s">
        <v>94</v>
      </c>
      <c r="E203" s="2" t="s">
        <v>139</v>
      </c>
      <c r="F203" s="5" t="str">
        <f t="shared" si="5"/>
        <v>VEN/20230403 BIGMAT</v>
      </c>
      <c r="G203" s="12">
        <f t="shared" si="15"/>
        <v>556.68595041322317</v>
      </c>
      <c r="H203">
        <v>21</v>
      </c>
      <c r="I203" s="5">
        <f t="shared" si="18"/>
        <v>116.90404958677688</v>
      </c>
      <c r="J203" s="5">
        <f t="shared" si="16"/>
        <v>556.68595041322317</v>
      </c>
      <c r="L203" s="5">
        <f t="shared" si="17"/>
        <v>0</v>
      </c>
      <c r="M203" s="8">
        <v>673.59</v>
      </c>
      <c r="N203" s="2" t="s">
        <v>21</v>
      </c>
      <c r="O203" s="3" t="s">
        <v>65</v>
      </c>
    </row>
    <row r="204" spans="1:16" x14ac:dyDescent="0.35">
      <c r="A204" s="4">
        <v>45315</v>
      </c>
      <c r="B204" s="2" t="s">
        <v>191</v>
      </c>
      <c r="D204" s="2" t="s">
        <v>126</v>
      </c>
      <c r="E204" s="2" t="s">
        <v>127</v>
      </c>
      <c r="F204" s="5" t="str">
        <f t="shared" si="5"/>
        <v>20 MAZARRACIN POVEDA JESUS</v>
      </c>
      <c r="G204" s="12">
        <v>35.24</v>
      </c>
      <c r="H204">
        <v>21</v>
      </c>
      <c r="I204" s="5">
        <f t="shared" si="18"/>
        <v>7.4004000000000012</v>
      </c>
      <c r="J204" s="5">
        <f t="shared" si="16"/>
        <v>35.24</v>
      </c>
      <c r="L204" s="5">
        <f t="shared" si="17"/>
        <v>0</v>
      </c>
      <c r="M204" s="8">
        <v>106.21</v>
      </c>
      <c r="N204" s="2" t="s">
        <v>55</v>
      </c>
      <c r="O204" s="3" t="s">
        <v>68</v>
      </c>
    </row>
    <row r="205" spans="1:16" x14ac:dyDescent="0.35">
      <c r="A205" s="4">
        <v>45315</v>
      </c>
      <c r="B205" s="2" t="s">
        <v>402</v>
      </c>
      <c r="D205" s="2" t="s">
        <v>126</v>
      </c>
      <c r="E205" s="2" t="s">
        <v>127</v>
      </c>
      <c r="F205" s="5" t="str">
        <f t="shared" si="5"/>
        <v>21 MAZARRACIN POVEDA JESUS</v>
      </c>
      <c r="G205" s="12">
        <v>35.24</v>
      </c>
      <c r="H205">
        <v>21</v>
      </c>
      <c r="I205" s="5">
        <f t="shared" si="18"/>
        <v>7.4004000000000012</v>
      </c>
      <c r="J205" s="5">
        <f t="shared" si="16"/>
        <v>35.24</v>
      </c>
      <c r="L205" s="5">
        <f t="shared" si="17"/>
        <v>0</v>
      </c>
      <c r="M205" s="8">
        <v>141.21</v>
      </c>
      <c r="N205" s="2" t="s">
        <v>55</v>
      </c>
      <c r="O205" s="3" t="s">
        <v>68</v>
      </c>
    </row>
    <row r="206" spans="1:16" x14ac:dyDescent="0.35">
      <c r="A206" s="4">
        <v>45341</v>
      </c>
      <c r="B206" s="2" t="s">
        <v>130</v>
      </c>
      <c r="D206" s="2" t="s">
        <v>126</v>
      </c>
      <c r="E206" s="2" t="s">
        <v>127</v>
      </c>
      <c r="F206" s="5" t="str">
        <f t="shared" si="5"/>
        <v>53 MAZARRACIN POVEDA JESUS</v>
      </c>
      <c r="G206" s="12">
        <v>35.24</v>
      </c>
      <c r="H206">
        <v>21</v>
      </c>
      <c r="I206" s="5">
        <f t="shared" si="18"/>
        <v>7.4004000000000012</v>
      </c>
      <c r="J206" s="5">
        <f t="shared" si="16"/>
        <v>35.24</v>
      </c>
      <c r="L206" s="5">
        <f t="shared" si="17"/>
        <v>0</v>
      </c>
      <c r="M206" s="8">
        <v>106.21</v>
      </c>
      <c r="N206" s="2" t="s">
        <v>55</v>
      </c>
      <c r="O206" s="3" t="s">
        <v>68</v>
      </c>
    </row>
    <row r="207" spans="1:16" x14ac:dyDescent="0.35">
      <c r="A207" s="4">
        <v>45345</v>
      </c>
      <c r="B207" s="2" t="s">
        <v>607</v>
      </c>
      <c r="D207" s="2" t="s">
        <v>200</v>
      </c>
      <c r="E207" s="2" t="s">
        <v>186</v>
      </c>
      <c r="F207" s="5" t="str">
        <f t="shared" si="5"/>
        <v>2122071 I.D.F. SUMINISTROS INDUSTRIALES</v>
      </c>
      <c r="G207" s="12">
        <f t="shared" si="15"/>
        <v>20.702479338842977</v>
      </c>
      <c r="H207">
        <v>21</v>
      </c>
      <c r="I207" s="5">
        <f t="shared" si="18"/>
        <v>4.3475206611570254</v>
      </c>
      <c r="J207" s="5">
        <f t="shared" si="16"/>
        <v>20.702479338842977</v>
      </c>
      <c r="L207" s="5">
        <f t="shared" si="17"/>
        <v>0</v>
      </c>
      <c r="M207" s="8">
        <v>25.05</v>
      </c>
      <c r="N207" s="2" t="s">
        <v>21</v>
      </c>
      <c r="O207" s="3" t="s">
        <v>63</v>
      </c>
    </row>
    <row r="208" spans="1:16" x14ac:dyDescent="0.35">
      <c r="A208" s="4">
        <v>45345</v>
      </c>
      <c r="B208" s="2" t="s">
        <v>608</v>
      </c>
      <c r="D208" s="2" t="s">
        <v>60</v>
      </c>
      <c r="E208" s="2" t="s">
        <v>24</v>
      </c>
      <c r="F208" s="5" t="str">
        <f t="shared" si="5"/>
        <v>097029/A/24/000320 REPSOL</v>
      </c>
      <c r="G208" s="12">
        <f t="shared" si="15"/>
        <v>64.190082644628106</v>
      </c>
      <c r="H208">
        <v>21</v>
      </c>
      <c r="I208" s="5">
        <f t="shared" si="18"/>
        <v>13.479917355371901</v>
      </c>
      <c r="J208" s="5">
        <f t="shared" si="16"/>
        <v>64.190082644628106</v>
      </c>
      <c r="L208" s="5">
        <f t="shared" si="17"/>
        <v>0</v>
      </c>
      <c r="M208" s="8">
        <v>77.67</v>
      </c>
      <c r="N208" s="2" t="s">
        <v>22</v>
      </c>
      <c r="O208" s="3" t="s">
        <v>63</v>
      </c>
    </row>
    <row r="209" spans="1:16" x14ac:dyDescent="0.35">
      <c r="A209" s="4">
        <v>45345</v>
      </c>
      <c r="B209" s="2" t="s">
        <v>609</v>
      </c>
      <c r="D209" s="2" t="s">
        <v>200</v>
      </c>
      <c r="E209" s="2" t="s">
        <v>186</v>
      </c>
      <c r="F209" s="5" t="str">
        <f t="shared" si="5"/>
        <v>2122076 I.D.F. SUMINISTROS INDUSTRIALES</v>
      </c>
      <c r="G209" s="12">
        <f t="shared" si="15"/>
        <v>6</v>
      </c>
      <c r="H209">
        <v>21</v>
      </c>
      <c r="I209" s="5">
        <f t="shared" si="18"/>
        <v>1.26</v>
      </c>
      <c r="J209" s="5">
        <f t="shared" si="16"/>
        <v>6</v>
      </c>
      <c r="L209" s="5">
        <f t="shared" si="17"/>
        <v>0</v>
      </c>
      <c r="M209" s="8">
        <v>7.26</v>
      </c>
      <c r="N209" s="2" t="s">
        <v>21</v>
      </c>
      <c r="O209" s="3" t="s">
        <v>63</v>
      </c>
    </row>
    <row r="210" spans="1:16" x14ac:dyDescent="0.35">
      <c r="A210" s="4">
        <v>45351</v>
      </c>
      <c r="B210" s="2" t="s">
        <v>610</v>
      </c>
      <c r="D210" s="2" t="s">
        <v>34</v>
      </c>
      <c r="E210" s="2" t="s">
        <v>423</v>
      </c>
      <c r="F210" s="5" t="str">
        <f t="shared" si="5"/>
        <v>F240583 CONTAMAR ASESORES</v>
      </c>
      <c r="G210" s="12">
        <v>279.55</v>
      </c>
      <c r="H210">
        <v>21</v>
      </c>
      <c r="I210" s="5">
        <f t="shared" si="18"/>
        <v>58.705500000000001</v>
      </c>
      <c r="J210" s="5">
        <f t="shared" si="16"/>
        <v>279.55</v>
      </c>
      <c r="L210" s="5">
        <f t="shared" si="17"/>
        <v>0</v>
      </c>
      <c r="M210" s="8">
        <v>367.3</v>
      </c>
      <c r="N210" s="2" t="s">
        <v>55</v>
      </c>
      <c r="O210" s="3" t="s">
        <v>65</v>
      </c>
    </row>
    <row r="211" spans="1:16" x14ac:dyDescent="0.35">
      <c r="A211" s="4">
        <v>45257</v>
      </c>
      <c r="B211" s="2" t="s">
        <v>611</v>
      </c>
      <c r="D211" s="2" t="s">
        <v>288</v>
      </c>
      <c r="E211" s="2" t="s">
        <v>289</v>
      </c>
      <c r="F211" s="5" t="str">
        <f t="shared" si="5"/>
        <v>TF00392 TOL MOTO SL</v>
      </c>
      <c r="G211" s="12">
        <f t="shared" si="15"/>
        <v>715.70247933884298</v>
      </c>
      <c r="H211">
        <v>21</v>
      </c>
      <c r="I211" s="5">
        <f t="shared" si="18"/>
        <v>150.29752066115702</v>
      </c>
      <c r="J211" s="5">
        <f t="shared" si="16"/>
        <v>715.70247933884298</v>
      </c>
      <c r="L211" s="5">
        <f t="shared" si="17"/>
        <v>0</v>
      </c>
      <c r="M211" s="8">
        <v>866</v>
      </c>
      <c r="N211" s="2" t="s">
        <v>21</v>
      </c>
      <c r="O211" s="3" t="s">
        <v>63</v>
      </c>
    </row>
    <row r="212" spans="1:16" x14ac:dyDescent="0.35">
      <c r="A212" s="4">
        <v>45337</v>
      </c>
      <c r="B212" s="2" t="s">
        <v>613</v>
      </c>
      <c r="D212" s="2" t="s">
        <v>288</v>
      </c>
      <c r="E212" s="2" t="s">
        <v>289</v>
      </c>
      <c r="F212" s="5" t="str">
        <f t="shared" si="5"/>
        <v>FT00032 TOL MOTO SL</v>
      </c>
      <c r="G212" s="12">
        <f t="shared" si="15"/>
        <v>107.81818181818183</v>
      </c>
      <c r="H212">
        <v>21</v>
      </c>
      <c r="I212" s="5">
        <f t="shared" si="18"/>
        <v>22.641818181818184</v>
      </c>
      <c r="J212" s="5">
        <f t="shared" si="16"/>
        <v>107.81818181818183</v>
      </c>
      <c r="L212" s="5">
        <f t="shared" si="17"/>
        <v>0</v>
      </c>
      <c r="M212" s="8">
        <v>130.46</v>
      </c>
      <c r="N212" s="2" t="s">
        <v>21</v>
      </c>
      <c r="O212" s="3" t="s">
        <v>63</v>
      </c>
    </row>
    <row r="213" spans="1:16" x14ac:dyDescent="0.35">
      <c r="A213" s="4">
        <v>45308</v>
      </c>
      <c r="B213" s="2" t="s">
        <v>614</v>
      </c>
      <c r="D213" s="2" t="s">
        <v>132</v>
      </c>
      <c r="E213" s="2" t="s">
        <v>147</v>
      </c>
      <c r="F213" s="5" t="str">
        <f t="shared" si="5"/>
        <v>A/696 AZULEJOS ROSA</v>
      </c>
      <c r="G213" s="12">
        <f t="shared" si="15"/>
        <v>569.52066115702485</v>
      </c>
      <c r="H213">
        <v>21</v>
      </c>
      <c r="I213" s="5">
        <f t="shared" si="18"/>
        <v>119.59933884297521</v>
      </c>
      <c r="J213" s="5">
        <f t="shared" si="16"/>
        <v>569.52066115702485</v>
      </c>
      <c r="L213" s="5">
        <f t="shared" si="17"/>
        <v>0</v>
      </c>
      <c r="M213" s="8">
        <v>689.12</v>
      </c>
      <c r="N213" s="2" t="s">
        <v>21</v>
      </c>
      <c r="O213" s="3" t="s">
        <v>68</v>
      </c>
      <c r="P213" s="3" t="s">
        <v>616</v>
      </c>
    </row>
    <row r="214" spans="1:16" x14ac:dyDescent="0.35">
      <c r="A214" s="4">
        <v>45342</v>
      </c>
      <c r="B214" s="2" t="s">
        <v>615</v>
      </c>
      <c r="D214" s="2" t="s">
        <v>132</v>
      </c>
      <c r="E214" s="2" t="s">
        <v>147</v>
      </c>
      <c r="F214" s="5" t="str">
        <f t="shared" si="5"/>
        <v>A/2351 AZULEJOS ROSA</v>
      </c>
      <c r="G214" s="12">
        <f t="shared" si="15"/>
        <v>1139.0413223140497</v>
      </c>
      <c r="H214">
        <v>21</v>
      </c>
      <c r="I214" s="5">
        <f t="shared" si="18"/>
        <v>239.19867768595043</v>
      </c>
      <c r="J214" s="5">
        <f t="shared" si="16"/>
        <v>1139.0413223140497</v>
      </c>
      <c r="L214" s="5">
        <f t="shared" si="17"/>
        <v>0</v>
      </c>
      <c r="M214" s="8">
        <v>1378.24</v>
      </c>
      <c r="N214" s="2" t="s">
        <v>21</v>
      </c>
      <c r="O214" s="3" t="s">
        <v>68</v>
      </c>
      <c r="P214" s="3" t="s">
        <v>616</v>
      </c>
    </row>
    <row r="215" spans="1:16" x14ac:dyDescent="0.35">
      <c r="A215" s="4">
        <v>45340</v>
      </c>
      <c r="B215" s="2" t="s">
        <v>622</v>
      </c>
      <c r="D215" s="2" t="s">
        <v>416</v>
      </c>
      <c r="E215" s="2" t="s">
        <v>417</v>
      </c>
      <c r="F215" s="5" t="str">
        <f t="shared" si="5"/>
        <v>202413 ZENOVIU MARIUS GORGAN</v>
      </c>
      <c r="G215" s="12">
        <f t="shared" si="15"/>
        <v>2800</v>
      </c>
      <c r="H215">
        <v>21</v>
      </c>
      <c r="I215" s="5">
        <f t="shared" si="18"/>
        <v>588</v>
      </c>
      <c r="J215" s="5">
        <f t="shared" si="16"/>
        <v>2800</v>
      </c>
      <c r="L215" s="5">
        <f t="shared" si="17"/>
        <v>0</v>
      </c>
      <c r="M215" s="8">
        <v>3388</v>
      </c>
      <c r="N215" s="2" t="s">
        <v>37</v>
      </c>
      <c r="O215" s="3" t="s">
        <v>68</v>
      </c>
    </row>
    <row r="216" spans="1:16" x14ac:dyDescent="0.35">
      <c r="A216" s="4">
        <v>45350</v>
      </c>
      <c r="B216" s="2" t="s">
        <v>623</v>
      </c>
      <c r="D216" s="2" t="s">
        <v>234</v>
      </c>
      <c r="E216" s="2" t="s">
        <v>235</v>
      </c>
      <c r="F216" s="5" t="str">
        <f t="shared" si="5"/>
        <v>02/24 VIOREL ROBCIUC</v>
      </c>
      <c r="G216" s="12">
        <f t="shared" si="15"/>
        <v>413.22314049586777</v>
      </c>
      <c r="H216">
        <v>21</v>
      </c>
      <c r="I216" s="5">
        <f t="shared" si="18"/>
        <v>86.776859504132233</v>
      </c>
      <c r="J216" s="5">
        <f t="shared" si="16"/>
        <v>413.22314049586777</v>
      </c>
      <c r="L216" s="5">
        <f t="shared" si="17"/>
        <v>0</v>
      </c>
      <c r="M216" s="8">
        <v>500</v>
      </c>
      <c r="N216" s="2" t="s">
        <v>37</v>
      </c>
      <c r="O216" s="3" t="s">
        <v>68</v>
      </c>
    </row>
    <row r="217" spans="1:16" x14ac:dyDescent="0.35">
      <c r="A217" s="4">
        <v>45350</v>
      </c>
      <c r="B217" s="2" t="s">
        <v>624</v>
      </c>
      <c r="D217" s="2" t="s">
        <v>625</v>
      </c>
      <c r="E217" s="2" t="s">
        <v>626</v>
      </c>
      <c r="F217" s="5" t="str">
        <f t="shared" si="5"/>
        <v>069/02 M. DEL MONTE SL CANALONES</v>
      </c>
      <c r="G217" s="12">
        <f t="shared" si="15"/>
        <v>3185</v>
      </c>
      <c r="H217">
        <v>21</v>
      </c>
      <c r="I217" s="5">
        <f t="shared" si="18"/>
        <v>668.85</v>
      </c>
      <c r="J217" s="5">
        <f t="shared" si="16"/>
        <v>3185</v>
      </c>
      <c r="L217" s="5">
        <f t="shared" si="17"/>
        <v>0</v>
      </c>
      <c r="M217" s="8">
        <v>3853.85</v>
      </c>
      <c r="N217" s="2" t="s">
        <v>37</v>
      </c>
      <c r="O217" s="3" t="s">
        <v>68</v>
      </c>
    </row>
    <row r="218" spans="1:16" x14ac:dyDescent="0.35">
      <c r="A218" s="4">
        <v>45351</v>
      </c>
      <c r="B218" s="2" t="s">
        <v>627</v>
      </c>
      <c r="D218" s="2" t="s">
        <v>628</v>
      </c>
      <c r="E218" s="2" t="s">
        <v>629</v>
      </c>
      <c r="F218" s="5" t="str">
        <f t="shared" si="5"/>
        <v>1 ADRIAN CODITA</v>
      </c>
      <c r="G218" s="12">
        <f t="shared" si="15"/>
        <v>826.44628099173553</v>
      </c>
      <c r="H218">
        <v>21</v>
      </c>
      <c r="I218" s="5">
        <f t="shared" si="18"/>
        <v>173.55371900826447</v>
      </c>
      <c r="J218" s="5">
        <f t="shared" si="16"/>
        <v>826.44628099173553</v>
      </c>
      <c r="L218" s="5">
        <f t="shared" si="17"/>
        <v>0</v>
      </c>
      <c r="M218" s="8">
        <v>1000</v>
      </c>
      <c r="N218" s="2" t="s">
        <v>37</v>
      </c>
      <c r="O218" s="3" t="s">
        <v>68</v>
      </c>
    </row>
    <row r="219" spans="1:16" x14ac:dyDescent="0.35">
      <c r="A219" s="4">
        <v>45351</v>
      </c>
      <c r="B219" s="2" t="s">
        <v>630</v>
      </c>
      <c r="D219" s="2" t="s">
        <v>94</v>
      </c>
      <c r="E219" s="2" t="s">
        <v>139</v>
      </c>
      <c r="F219" s="5" t="str">
        <f t="shared" si="5"/>
        <v>VEN/20232732 BIGMAT</v>
      </c>
      <c r="G219" s="12">
        <f t="shared" si="15"/>
        <v>1692.1074380165289</v>
      </c>
      <c r="H219">
        <v>21</v>
      </c>
      <c r="I219" s="5">
        <f t="shared" si="18"/>
        <v>355.34256198347111</v>
      </c>
      <c r="J219" s="5">
        <f t="shared" si="16"/>
        <v>1692.1074380165289</v>
      </c>
      <c r="L219" s="5">
        <f t="shared" si="17"/>
        <v>0</v>
      </c>
      <c r="M219" s="8">
        <v>2047.45</v>
      </c>
      <c r="N219" s="2" t="s">
        <v>21</v>
      </c>
      <c r="O219" s="3" t="s">
        <v>65</v>
      </c>
    </row>
    <row r="220" spans="1:16" x14ac:dyDescent="0.35">
      <c r="A220" s="4">
        <v>45350</v>
      </c>
      <c r="B220" s="2" t="s">
        <v>631</v>
      </c>
      <c r="D220" s="2" t="s">
        <v>632</v>
      </c>
      <c r="E220" s="2" t="s">
        <v>96</v>
      </c>
      <c r="F220" s="5" t="str">
        <f t="shared" si="5"/>
        <v>04/24 MARCEL DUMITER BEGOFF</v>
      </c>
      <c r="G220" s="12">
        <f t="shared" si="15"/>
        <v>413.22314049586777</v>
      </c>
      <c r="H220">
        <v>21</v>
      </c>
      <c r="I220" s="5">
        <f t="shared" si="18"/>
        <v>86.776859504132233</v>
      </c>
      <c r="J220" s="5">
        <f t="shared" si="16"/>
        <v>413.22314049586777</v>
      </c>
      <c r="L220" s="5">
        <f t="shared" si="17"/>
        <v>0</v>
      </c>
      <c r="M220" s="8">
        <v>500</v>
      </c>
      <c r="N220" s="2" t="s">
        <v>37</v>
      </c>
      <c r="O220" s="3" t="s">
        <v>68</v>
      </c>
    </row>
    <row r="221" spans="1:16" x14ac:dyDescent="0.35">
      <c r="A221" s="4">
        <v>45351</v>
      </c>
      <c r="B221" s="2" t="s">
        <v>633</v>
      </c>
      <c r="D221" s="2" t="s">
        <v>25</v>
      </c>
      <c r="E221" s="2" t="s">
        <v>26</v>
      </c>
      <c r="F221" s="5" t="str">
        <f t="shared" si="5"/>
        <v>65678 SALTOKI</v>
      </c>
      <c r="G221" s="12">
        <f t="shared" si="15"/>
        <v>62.95867768595042</v>
      </c>
      <c r="H221">
        <v>21</v>
      </c>
      <c r="I221" s="5">
        <f t="shared" si="18"/>
        <v>13.221322314049589</v>
      </c>
      <c r="J221" s="5">
        <f t="shared" si="16"/>
        <v>62.95867768595042</v>
      </c>
      <c r="L221" s="5">
        <f t="shared" si="17"/>
        <v>0</v>
      </c>
      <c r="M221" s="8">
        <v>76.180000000000007</v>
      </c>
      <c r="N221" s="2" t="s">
        <v>21</v>
      </c>
      <c r="O221" s="3" t="s">
        <v>65</v>
      </c>
    </row>
    <row r="222" spans="1:16" x14ac:dyDescent="0.35">
      <c r="A222" s="4">
        <v>45296</v>
      </c>
      <c r="B222" s="2" t="s">
        <v>397</v>
      </c>
      <c r="D222" s="2" t="s">
        <v>71</v>
      </c>
      <c r="E222" s="2" t="s">
        <v>69</v>
      </c>
      <c r="F222" s="5" t="str">
        <f t="shared" si="5"/>
        <v>01/24 OLARIU ADRIAN RAZVAN</v>
      </c>
      <c r="G222" s="12">
        <f t="shared" si="15"/>
        <v>413.22314049586777</v>
      </c>
      <c r="H222">
        <v>21</v>
      </c>
      <c r="I222" s="5">
        <f t="shared" si="18"/>
        <v>86.776859504132233</v>
      </c>
      <c r="J222" s="5">
        <f t="shared" si="16"/>
        <v>413.22314049586777</v>
      </c>
      <c r="L222" s="5">
        <f t="shared" si="17"/>
        <v>0</v>
      </c>
      <c r="M222" s="8">
        <v>500</v>
      </c>
      <c r="N222" s="2" t="s">
        <v>56</v>
      </c>
      <c r="O222" s="3" t="s">
        <v>68</v>
      </c>
    </row>
    <row r="223" spans="1:16" x14ac:dyDescent="0.35">
      <c r="A223" s="4">
        <v>45351</v>
      </c>
      <c r="B223" s="2" t="s">
        <v>647</v>
      </c>
      <c r="D223" s="2" t="s">
        <v>200</v>
      </c>
      <c r="E223" s="2" t="s">
        <v>186</v>
      </c>
      <c r="F223" s="5" t="str">
        <f t="shared" si="5"/>
        <v>0120880 I.D.F. SUMINISTROS INDUSTRIALES</v>
      </c>
      <c r="G223" s="12">
        <f t="shared" ref="G223:G283" si="19">M223/(1-K223/100+H223/100)</f>
        <v>122.89256198347107</v>
      </c>
      <c r="H223">
        <v>21</v>
      </c>
      <c r="I223" s="5">
        <f t="shared" si="18"/>
        <v>25.807438016528923</v>
      </c>
      <c r="J223" s="5">
        <f t="shared" si="16"/>
        <v>122.89256198347107</v>
      </c>
      <c r="L223" s="5">
        <f t="shared" si="17"/>
        <v>0</v>
      </c>
      <c r="M223" s="8">
        <v>148.69999999999999</v>
      </c>
      <c r="N223" s="2" t="s">
        <v>21</v>
      </c>
      <c r="O223" s="3" t="s">
        <v>65</v>
      </c>
    </row>
    <row r="224" spans="1:16" x14ac:dyDescent="0.35">
      <c r="A224" s="4">
        <v>45351</v>
      </c>
      <c r="B224" s="2" t="s">
        <v>648</v>
      </c>
      <c r="D224" s="2" t="s">
        <v>200</v>
      </c>
      <c r="E224" s="2" t="s">
        <v>186</v>
      </c>
      <c r="F224" s="5" t="str">
        <f t="shared" si="5"/>
        <v>0120881 I.D.F. SUMINISTROS INDUSTRIALES</v>
      </c>
      <c r="G224" s="12">
        <f t="shared" si="19"/>
        <v>27.198347107438014</v>
      </c>
      <c r="H224">
        <v>21</v>
      </c>
      <c r="I224" s="5">
        <f t="shared" si="18"/>
        <v>5.7116528925619834</v>
      </c>
      <c r="J224" s="5">
        <f t="shared" ref="J224:J284" si="20">G224</f>
        <v>27.198347107438014</v>
      </c>
      <c r="L224" s="5">
        <f t="shared" ref="L224:L284" si="21">J224*K224/100</f>
        <v>0</v>
      </c>
      <c r="M224" s="8">
        <v>32.909999999999997</v>
      </c>
      <c r="N224" s="2" t="s">
        <v>21</v>
      </c>
      <c r="O224" s="3" t="s">
        <v>65</v>
      </c>
    </row>
    <row r="225" spans="1:15" x14ac:dyDescent="0.35">
      <c r="A225" s="4">
        <v>45322</v>
      </c>
      <c r="B225" s="2" t="s">
        <v>649</v>
      </c>
      <c r="D225" s="2" t="s">
        <v>650</v>
      </c>
      <c r="E225" s="2" t="s">
        <v>644</v>
      </c>
      <c r="F225" s="5" t="str">
        <f t="shared" si="5"/>
        <v>3/2024 DECOR EXCEL</v>
      </c>
      <c r="G225" s="12">
        <f t="shared" si="19"/>
        <v>1200</v>
      </c>
      <c r="H225">
        <v>21</v>
      </c>
      <c r="I225" s="5">
        <f t="shared" si="18"/>
        <v>252</v>
      </c>
      <c r="J225" s="5">
        <f t="shared" si="20"/>
        <v>1200</v>
      </c>
      <c r="L225" s="5">
        <f t="shared" si="21"/>
        <v>0</v>
      </c>
      <c r="M225" s="8">
        <v>1452</v>
      </c>
      <c r="N225" s="2" t="s">
        <v>21</v>
      </c>
      <c r="O225" s="3" t="s">
        <v>68</v>
      </c>
    </row>
    <row r="226" spans="1:15" x14ac:dyDescent="0.35">
      <c r="A226" s="4">
        <v>45351</v>
      </c>
      <c r="B226" s="2" t="s">
        <v>651</v>
      </c>
      <c r="D226" s="2" t="s">
        <v>652</v>
      </c>
      <c r="E226" s="2" t="s">
        <v>212</v>
      </c>
      <c r="F226" s="5" t="str">
        <f t="shared" si="5"/>
        <v>FVM2404870 WALLAPOP</v>
      </c>
      <c r="G226" s="12">
        <f t="shared" si="19"/>
        <v>90.991735537190081</v>
      </c>
      <c r="H226">
        <v>21</v>
      </c>
      <c r="I226" s="5">
        <f t="shared" si="18"/>
        <v>19.108264462809917</v>
      </c>
      <c r="J226" s="5">
        <f t="shared" si="20"/>
        <v>90.991735537190081</v>
      </c>
      <c r="L226" s="5">
        <f t="shared" si="21"/>
        <v>0</v>
      </c>
      <c r="M226" s="8">
        <v>110.1</v>
      </c>
      <c r="N226" s="2" t="s">
        <v>218</v>
      </c>
      <c r="O226" s="3" t="s">
        <v>65</v>
      </c>
    </row>
    <row r="227" spans="1:15" x14ac:dyDescent="0.35">
      <c r="A227" s="4">
        <v>45352</v>
      </c>
      <c r="B227" s="2" t="s">
        <v>653</v>
      </c>
      <c r="D227" s="2" t="s">
        <v>238</v>
      </c>
      <c r="E227" s="2" t="s">
        <v>220</v>
      </c>
      <c r="F227" s="5" t="str">
        <f t="shared" si="5"/>
        <v>TA78Y0172325 TELEFONICA</v>
      </c>
      <c r="G227" s="12">
        <f t="shared" si="19"/>
        <v>135.70247933884298</v>
      </c>
      <c r="H227">
        <v>21</v>
      </c>
      <c r="I227" s="5">
        <f t="shared" ref="I227:I286" si="22">G227*H227/100</f>
        <v>28.497520661157022</v>
      </c>
      <c r="J227" s="5">
        <f t="shared" si="20"/>
        <v>135.70247933884298</v>
      </c>
      <c r="L227" s="5">
        <f t="shared" si="21"/>
        <v>0</v>
      </c>
      <c r="M227" s="8">
        <v>164.2</v>
      </c>
      <c r="N227" s="2" t="s">
        <v>39</v>
      </c>
      <c r="O227" s="3" t="s">
        <v>65</v>
      </c>
    </row>
    <row r="228" spans="1:15" x14ac:dyDescent="0.35">
      <c r="A228" s="4">
        <v>45352</v>
      </c>
      <c r="B228" s="2" t="s">
        <v>654</v>
      </c>
      <c r="D228" s="2" t="s">
        <v>238</v>
      </c>
      <c r="E228" s="2" t="s">
        <v>220</v>
      </c>
      <c r="F228" s="5" t="str">
        <f t="shared" si="5"/>
        <v>TA78Y0172323 TELEFONICA</v>
      </c>
      <c r="G228" s="12">
        <f t="shared" si="19"/>
        <v>75.239669421487605</v>
      </c>
      <c r="H228">
        <v>21</v>
      </c>
      <c r="I228" s="5">
        <f t="shared" si="22"/>
        <v>15.800330578512396</v>
      </c>
      <c r="J228" s="5">
        <f t="shared" si="20"/>
        <v>75.239669421487605</v>
      </c>
      <c r="L228" s="5">
        <f t="shared" si="21"/>
        <v>0</v>
      </c>
      <c r="M228" s="8">
        <v>91.04</v>
      </c>
      <c r="N228" s="2" t="s">
        <v>39</v>
      </c>
      <c r="O228" s="3" t="s">
        <v>65</v>
      </c>
    </row>
    <row r="229" spans="1:15" x14ac:dyDescent="0.35">
      <c r="A229" s="4">
        <v>45352</v>
      </c>
      <c r="B229" s="2" t="s">
        <v>655</v>
      </c>
      <c r="D229" s="2" t="s">
        <v>238</v>
      </c>
      <c r="E229" s="2" t="s">
        <v>220</v>
      </c>
      <c r="F229" s="5" t="str">
        <f t="shared" si="5"/>
        <v>TA78Y0172324 TELEFONICA</v>
      </c>
      <c r="G229" s="12">
        <f t="shared" si="19"/>
        <v>75.239669421487605</v>
      </c>
      <c r="H229">
        <v>21</v>
      </c>
      <c r="I229" s="5">
        <f t="shared" si="22"/>
        <v>15.800330578512396</v>
      </c>
      <c r="J229" s="5">
        <f t="shared" si="20"/>
        <v>75.239669421487605</v>
      </c>
      <c r="L229" s="5">
        <f t="shared" si="21"/>
        <v>0</v>
      </c>
      <c r="M229" s="8">
        <v>91.04</v>
      </c>
      <c r="N229" s="2" t="s">
        <v>39</v>
      </c>
      <c r="O229" s="3" t="s">
        <v>65</v>
      </c>
    </row>
    <row r="230" spans="1:15" x14ac:dyDescent="0.35">
      <c r="A230" s="4">
        <v>45352</v>
      </c>
      <c r="B230" s="2" t="s">
        <v>656</v>
      </c>
      <c r="D230" s="2" t="s">
        <v>238</v>
      </c>
      <c r="E230" s="2" t="s">
        <v>220</v>
      </c>
      <c r="F230" s="5" t="str">
        <f t="shared" si="5"/>
        <v>TA78Y0172326 TELEFONICA</v>
      </c>
      <c r="G230" s="12">
        <f t="shared" si="19"/>
        <v>75.239669421487605</v>
      </c>
      <c r="H230">
        <v>21</v>
      </c>
      <c r="I230" s="5">
        <f t="shared" si="22"/>
        <v>15.800330578512396</v>
      </c>
      <c r="J230" s="5">
        <f t="shared" si="20"/>
        <v>75.239669421487605</v>
      </c>
      <c r="L230" s="5">
        <f t="shared" si="21"/>
        <v>0</v>
      </c>
      <c r="M230" s="8">
        <v>91.04</v>
      </c>
      <c r="N230" s="2" t="s">
        <v>39</v>
      </c>
      <c r="O230" s="3" t="s">
        <v>65</v>
      </c>
    </row>
    <row r="231" spans="1:15" x14ac:dyDescent="0.35">
      <c r="A231" s="4">
        <v>45352</v>
      </c>
      <c r="B231" s="2" t="s">
        <v>657</v>
      </c>
      <c r="D231" s="2" t="s">
        <v>238</v>
      </c>
      <c r="E231" s="2" t="s">
        <v>220</v>
      </c>
      <c r="F231" s="5" t="str">
        <f t="shared" si="5"/>
        <v>28-C4U1-048659 TELEFONICA</v>
      </c>
      <c r="G231" s="12">
        <v>18.32</v>
      </c>
      <c r="H231">
        <v>21</v>
      </c>
      <c r="I231" s="5">
        <f t="shared" si="22"/>
        <v>3.8472000000000004</v>
      </c>
      <c r="J231" s="5">
        <f t="shared" si="20"/>
        <v>18.32</v>
      </c>
      <c r="L231" s="5">
        <f t="shared" si="21"/>
        <v>0</v>
      </c>
      <c r="M231" s="8">
        <v>-133.65</v>
      </c>
      <c r="N231" s="2" t="s">
        <v>39</v>
      </c>
      <c r="O231" s="3" t="s">
        <v>65</v>
      </c>
    </row>
    <row r="232" spans="1:15" x14ac:dyDescent="0.35">
      <c r="A232" s="4">
        <v>45316</v>
      </c>
      <c r="B232" s="2" t="s">
        <v>617</v>
      </c>
      <c r="D232" s="2" t="s">
        <v>134</v>
      </c>
      <c r="E232" s="2" t="s">
        <v>143</v>
      </c>
      <c r="F232" s="5" t="str">
        <f t="shared" si="5"/>
        <v>44 IOAN NICULAI</v>
      </c>
      <c r="G232" s="12">
        <f t="shared" si="19"/>
        <v>330</v>
      </c>
      <c r="H232">
        <v>21</v>
      </c>
      <c r="I232" s="5">
        <f t="shared" si="22"/>
        <v>69.3</v>
      </c>
      <c r="J232" s="5">
        <f t="shared" si="20"/>
        <v>330</v>
      </c>
      <c r="L232" s="5">
        <f t="shared" si="21"/>
        <v>0</v>
      </c>
      <c r="M232" s="8">
        <v>399.3</v>
      </c>
      <c r="N232" s="2" t="s">
        <v>37</v>
      </c>
      <c r="O232" s="3" t="s">
        <v>68</v>
      </c>
    </row>
    <row r="233" spans="1:15" x14ac:dyDescent="0.35">
      <c r="A233" s="4">
        <v>45351</v>
      </c>
      <c r="B233" s="2" t="s">
        <v>620</v>
      </c>
      <c r="D233" s="2" t="s">
        <v>134</v>
      </c>
      <c r="E233" s="2" t="s">
        <v>143</v>
      </c>
      <c r="F233" s="5" t="str">
        <f t="shared" si="5"/>
        <v>45 IOAN NICULAI</v>
      </c>
      <c r="G233" s="12">
        <f t="shared" si="19"/>
        <v>4000</v>
      </c>
      <c r="H233">
        <v>21</v>
      </c>
      <c r="I233" s="5">
        <f t="shared" si="22"/>
        <v>840</v>
      </c>
      <c r="J233" s="5">
        <f t="shared" si="20"/>
        <v>4000</v>
      </c>
      <c r="L233" s="5">
        <f t="shared" si="21"/>
        <v>0</v>
      </c>
      <c r="M233" s="8">
        <v>4840</v>
      </c>
      <c r="N233" s="2" t="s">
        <v>37</v>
      </c>
      <c r="O233" s="3" t="s">
        <v>68</v>
      </c>
    </row>
    <row r="234" spans="1:15" x14ac:dyDescent="0.35">
      <c r="A234" s="4">
        <v>45356</v>
      </c>
      <c r="B234" s="2" t="s">
        <v>621</v>
      </c>
      <c r="D234" s="2" t="s">
        <v>134</v>
      </c>
      <c r="E234" s="2" t="s">
        <v>143</v>
      </c>
      <c r="F234" s="5" t="str">
        <f t="shared" si="5"/>
        <v>46 IOAN NICULAI</v>
      </c>
      <c r="G234" s="12">
        <f t="shared" si="19"/>
        <v>1390.0000000000002</v>
      </c>
      <c r="H234">
        <v>21</v>
      </c>
      <c r="I234" s="5">
        <f t="shared" si="22"/>
        <v>291.90000000000003</v>
      </c>
      <c r="J234" s="5">
        <f t="shared" si="20"/>
        <v>1390.0000000000002</v>
      </c>
      <c r="L234" s="5">
        <f t="shared" si="21"/>
        <v>0</v>
      </c>
      <c r="M234" s="8">
        <v>1681.9</v>
      </c>
      <c r="N234" s="2" t="s">
        <v>37</v>
      </c>
      <c r="O234" s="3" t="s">
        <v>68</v>
      </c>
    </row>
    <row r="235" spans="1:15" x14ac:dyDescent="0.35">
      <c r="A235" s="4">
        <v>45351</v>
      </c>
      <c r="B235" s="2" t="s">
        <v>658</v>
      </c>
      <c r="D235" s="2" t="s">
        <v>628</v>
      </c>
      <c r="E235" s="2" t="s">
        <v>629</v>
      </c>
      <c r="F235" s="5" t="str">
        <f t="shared" si="5"/>
        <v>2 ADRIAN CODITA</v>
      </c>
      <c r="G235" s="12">
        <f t="shared" si="19"/>
        <v>1021.5537190082645</v>
      </c>
      <c r="H235">
        <v>21</v>
      </c>
      <c r="I235" s="5">
        <f t="shared" si="22"/>
        <v>214.52628099173555</v>
      </c>
      <c r="J235" s="5">
        <f t="shared" si="20"/>
        <v>1021.5537190082645</v>
      </c>
      <c r="L235" s="5">
        <f t="shared" si="21"/>
        <v>0</v>
      </c>
      <c r="M235" s="8">
        <v>1236.08</v>
      </c>
      <c r="N235" s="2" t="s">
        <v>37</v>
      </c>
      <c r="O235" s="3" t="s">
        <v>68</v>
      </c>
    </row>
    <row r="236" spans="1:15" x14ac:dyDescent="0.35">
      <c r="A236" s="4">
        <v>45358</v>
      </c>
      <c r="B236" s="2" t="s">
        <v>659</v>
      </c>
      <c r="D236" s="2" t="s">
        <v>200</v>
      </c>
      <c r="E236" s="2" t="s">
        <v>186</v>
      </c>
      <c r="F236" s="5" t="str">
        <f t="shared" si="5"/>
        <v>2122631 I.D.F. SUMINISTROS INDUSTRIALES</v>
      </c>
      <c r="G236" s="12">
        <f t="shared" si="19"/>
        <v>88.15702479338843</v>
      </c>
      <c r="H236">
        <v>21</v>
      </c>
      <c r="I236" s="5">
        <f t="shared" si="22"/>
        <v>18.512975206611571</v>
      </c>
      <c r="J236" s="5">
        <f t="shared" si="20"/>
        <v>88.15702479338843</v>
      </c>
      <c r="L236" s="5">
        <f t="shared" si="21"/>
        <v>0</v>
      </c>
      <c r="M236" s="8">
        <v>106.67</v>
      </c>
      <c r="N236" s="2" t="s">
        <v>21</v>
      </c>
      <c r="O236" s="3" t="s">
        <v>63</v>
      </c>
    </row>
    <row r="237" spans="1:15" x14ac:dyDescent="0.35">
      <c r="A237" s="4">
        <v>45350</v>
      </c>
      <c r="B237" s="2" t="s">
        <v>660</v>
      </c>
      <c r="D237" s="2" t="s">
        <v>75</v>
      </c>
      <c r="E237" s="2" t="s">
        <v>97</v>
      </c>
      <c r="F237" s="5" t="str">
        <f t="shared" si="5"/>
        <v>ORD_498_2024/0006666 IKEA</v>
      </c>
      <c r="G237" s="12">
        <f t="shared" si="19"/>
        <v>41.305785123966942</v>
      </c>
      <c r="H237">
        <v>21</v>
      </c>
      <c r="I237" s="5">
        <f t="shared" si="22"/>
        <v>8.6742148760330569</v>
      </c>
      <c r="J237" s="5">
        <f t="shared" si="20"/>
        <v>41.305785123966942</v>
      </c>
      <c r="L237" s="5">
        <f t="shared" si="21"/>
        <v>0</v>
      </c>
      <c r="M237" s="8">
        <v>49.98</v>
      </c>
      <c r="N237" s="2" t="s">
        <v>21</v>
      </c>
      <c r="O237" s="3" t="s">
        <v>63</v>
      </c>
    </row>
    <row r="238" spans="1:15" x14ac:dyDescent="0.35">
      <c r="A238" s="4">
        <v>45348</v>
      </c>
      <c r="B238" s="2" t="s">
        <v>409</v>
      </c>
      <c r="D238" s="2" t="s">
        <v>661</v>
      </c>
      <c r="E238" s="2" t="s">
        <v>662</v>
      </c>
      <c r="F238" s="5" t="str">
        <f t="shared" si="5"/>
        <v>8 BAMBOO ASIA</v>
      </c>
      <c r="G238" s="12">
        <f t="shared" si="19"/>
        <v>37.86363636363636</v>
      </c>
      <c r="H238">
        <v>10</v>
      </c>
      <c r="I238" s="5">
        <f t="shared" si="22"/>
        <v>3.7863636363636362</v>
      </c>
      <c r="J238" s="5">
        <f t="shared" si="20"/>
        <v>37.86363636363636</v>
      </c>
      <c r="L238" s="5">
        <f t="shared" si="21"/>
        <v>0</v>
      </c>
      <c r="M238" s="8">
        <v>41.65</v>
      </c>
      <c r="N238" s="2" t="s">
        <v>28</v>
      </c>
      <c r="O238" s="3" t="s">
        <v>63</v>
      </c>
    </row>
    <row r="239" spans="1:15" x14ac:dyDescent="0.35">
      <c r="A239" s="4">
        <v>45338</v>
      </c>
      <c r="B239" s="2" t="s">
        <v>663</v>
      </c>
      <c r="D239" s="2" t="s">
        <v>664</v>
      </c>
      <c r="E239" s="2" t="s">
        <v>665</v>
      </c>
      <c r="F239" s="5" t="str">
        <f t="shared" si="5"/>
        <v>24TK004991 MESON DE EROSA</v>
      </c>
      <c r="G239" s="12">
        <f t="shared" si="19"/>
        <v>31.818181818181817</v>
      </c>
      <c r="H239">
        <v>10</v>
      </c>
      <c r="I239" s="5">
        <f t="shared" si="22"/>
        <v>3.1818181818181817</v>
      </c>
      <c r="J239" s="5">
        <f t="shared" si="20"/>
        <v>31.818181818181817</v>
      </c>
      <c r="L239" s="5">
        <f t="shared" si="21"/>
        <v>0</v>
      </c>
      <c r="M239" s="8">
        <v>35</v>
      </c>
      <c r="N239" s="2" t="s">
        <v>28</v>
      </c>
      <c r="O239" s="3" t="s">
        <v>63</v>
      </c>
    </row>
    <row r="240" spans="1:15" x14ac:dyDescent="0.35">
      <c r="A240" s="4">
        <v>45340</v>
      </c>
      <c r="B240" s="2" t="s">
        <v>666</v>
      </c>
      <c r="D240" s="2" t="s">
        <v>121</v>
      </c>
      <c r="E240" s="2" t="s">
        <v>667</v>
      </c>
      <c r="F240" s="5" t="str">
        <f t="shared" si="5"/>
        <v>1653291 VEC RIOS SL</v>
      </c>
      <c r="G240" s="12">
        <f t="shared" si="19"/>
        <v>2.2314049586776861</v>
      </c>
      <c r="H240">
        <v>21</v>
      </c>
      <c r="I240" s="5">
        <f t="shared" si="22"/>
        <v>0.46859504132231405</v>
      </c>
      <c r="J240" s="5">
        <f t="shared" si="20"/>
        <v>2.2314049586776861</v>
      </c>
      <c r="L240" s="5">
        <f t="shared" si="21"/>
        <v>0</v>
      </c>
      <c r="M240" s="8">
        <v>2.7</v>
      </c>
      <c r="N240" s="2" t="s">
        <v>28</v>
      </c>
      <c r="O240" s="3" t="s">
        <v>63</v>
      </c>
    </row>
    <row r="241" spans="1:15" x14ac:dyDescent="0.35">
      <c r="A241" s="4">
        <v>45361</v>
      </c>
      <c r="B241" s="2" t="s">
        <v>672</v>
      </c>
      <c r="D241" s="2" t="s">
        <v>94</v>
      </c>
      <c r="E241" s="2" t="s">
        <v>139</v>
      </c>
      <c r="F241" s="5" t="str">
        <f t="shared" si="5"/>
        <v>VEN/20235285 BIGMAT</v>
      </c>
      <c r="G241" s="12">
        <f t="shared" si="19"/>
        <v>1043.5289256198348</v>
      </c>
      <c r="H241">
        <v>21</v>
      </c>
      <c r="I241" s="5">
        <f t="shared" si="22"/>
        <v>219.14107438016529</v>
      </c>
      <c r="J241" s="5">
        <f t="shared" si="20"/>
        <v>1043.5289256198348</v>
      </c>
      <c r="L241" s="5">
        <f t="shared" si="21"/>
        <v>0</v>
      </c>
      <c r="M241" s="8">
        <v>1262.67</v>
      </c>
      <c r="N241" s="2" t="s">
        <v>21</v>
      </c>
      <c r="O241" s="3" t="s">
        <v>65</v>
      </c>
    </row>
    <row r="242" spans="1:15" x14ac:dyDescent="0.35">
      <c r="A242" s="4">
        <v>45360</v>
      </c>
      <c r="B242" s="2" t="s">
        <v>673</v>
      </c>
      <c r="D242" s="2" t="s">
        <v>25</v>
      </c>
      <c r="E242" s="2" t="s">
        <v>26</v>
      </c>
      <c r="F242" s="5" t="str">
        <f t="shared" si="5"/>
        <v>76128 SALTOKI</v>
      </c>
      <c r="G242" s="12">
        <f t="shared" si="19"/>
        <v>-58.793388429752071</v>
      </c>
      <c r="H242">
        <v>21</v>
      </c>
      <c r="I242" s="5">
        <f t="shared" si="22"/>
        <v>-12.346611570247935</v>
      </c>
      <c r="J242" s="5">
        <f t="shared" si="20"/>
        <v>-58.793388429752071</v>
      </c>
      <c r="L242" s="5">
        <f t="shared" si="21"/>
        <v>0</v>
      </c>
      <c r="M242" s="8">
        <v>-71.14</v>
      </c>
      <c r="N242" s="2" t="s">
        <v>21</v>
      </c>
      <c r="O242" s="3" t="s">
        <v>64</v>
      </c>
    </row>
    <row r="243" spans="1:15" x14ac:dyDescent="0.35">
      <c r="A243" s="4">
        <v>45351</v>
      </c>
      <c r="B243" s="2" t="s">
        <v>674</v>
      </c>
      <c r="D243" s="2" t="s">
        <v>40</v>
      </c>
      <c r="E243" s="2" t="s">
        <v>41</v>
      </c>
      <c r="F243" s="5" t="str">
        <f t="shared" si="5"/>
        <v>423/24 CONTENEDORES OSCONSUR</v>
      </c>
      <c r="G243" s="12">
        <f t="shared" si="19"/>
        <v>1304</v>
      </c>
      <c r="H243">
        <v>10</v>
      </c>
      <c r="I243" s="5">
        <f t="shared" si="22"/>
        <v>130.4</v>
      </c>
      <c r="J243" s="5">
        <f t="shared" si="20"/>
        <v>1304</v>
      </c>
      <c r="L243" s="5">
        <f t="shared" si="21"/>
        <v>0</v>
      </c>
      <c r="M243" s="8">
        <v>1434.4</v>
      </c>
      <c r="N243" s="2" t="s">
        <v>33</v>
      </c>
      <c r="O243" s="3" t="s">
        <v>65</v>
      </c>
    </row>
    <row r="244" spans="1:15" x14ac:dyDescent="0.35">
      <c r="A244" s="4">
        <v>45357</v>
      </c>
      <c r="B244" s="2" t="s">
        <v>675</v>
      </c>
      <c r="D244" s="2" t="s">
        <v>94</v>
      </c>
      <c r="E244" s="2" t="s">
        <v>139</v>
      </c>
      <c r="F244" s="5" t="str">
        <f t="shared" si="5"/>
        <v>VAL/20066009 BIGMAT</v>
      </c>
      <c r="G244" s="12">
        <f t="shared" si="19"/>
        <v>-24.793388429752067</v>
      </c>
      <c r="H244">
        <v>21</v>
      </c>
      <c r="I244" s="5">
        <f t="shared" si="22"/>
        <v>-5.2066115702479339</v>
      </c>
      <c r="J244" s="5">
        <f t="shared" si="20"/>
        <v>-24.793388429752067</v>
      </c>
      <c r="L244" s="5">
        <f t="shared" si="21"/>
        <v>0</v>
      </c>
      <c r="M244" s="8">
        <v>-30</v>
      </c>
      <c r="N244" s="2" t="s">
        <v>21</v>
      </c>
      <c r="O244" s="3" t="s">
        <v>63</v>
      </c>
    </row>
    <row r="245" spans="1:15" x14ac:dyDescent="0.35">
      <c r="A245" s="4">
        <v>45361</v>
      </c>
      <c r="B245" s="2" t="s">
        <v>676</v>
      </c>
      <c r="D245" s="2" t="s">
        <v>72</v>
      </c>
      <c r="E245" s="2" t="s">
        <v>73</v>
      </c>
      <c r="F245" s="5" t="str">
        <f t="shared" si="5"/>
        <v>12/2024 COSTEL DINCU</v>
      </c>
      <c r="G245" s="12">
        <f t="shared" si="19"/>
        <v>5851</v>
      </c>
      <c r="H245">
        <v>21</v>
      </c>
      <c r="I245" s="5">
        <f t="shared" si="22"/>
        <v>1228.71</v>
      </c>
      <c r="J245" s="5">
        <f t="shared" si="20"/>
        <v>5851</v>
      </c>
      <c r="L245" s="5">
        <f t="shared" si="21"/>
        <v>0</v>
      </c>
      <c r="M245" s="8">
        <v>7079.71</v>
      </c>
      <c r="N245" s="2" t="s">
        <v>37</v>
      </c>
      <c r="O245" s="3" t="s">
        <v>68</v>
      </c>
    </row>
    <row r="246" spans="1:15" x14ac:dyDescent="0.35">
      <c r="A246" s="4">
        <v>45292</v>
      </c>
      <c r="B246" s="2" t="s">
        <v>397</v>
      </c>
      <c r="D246" s="2" t="s">
        <v>45</v>
      </c>
      <c r="E246" s="2" t="s">
        <v>677</v>
      </c>
      <c r="F246" s="5" t="str">
        <f t="shared" si="5"/>
        <v>01/24 EMANUEL  CODITA Y OLARIUA SILVANA</v>
      </c>
      <c r="G246" s="12">
        <f t="shared" si="19"/>
        <v>400</v>
      </c>
      <c r="H246">
        <v>21</v>
      </c>
      <c r="I246" s="5">
        <f t="shared" si="22"/>
        <v>84</v>
      </c>
      <c r="J246" s="5">
        <f t="shared" si="20"/>
        <v>400</v>
      </c>
      <c r="K246">
        <v>19</v>
      </c>
      <c r="L246" s="5">
        <f t="shared" si="21"/>
        <v>76</v>
      </c>
      <c r="M246" s="8">
        <v>408</v>
      </c>
      <c r="N246" s="2" t="s">
        <v>46</v>
      </c>
      <c r="O246" s="3" t="s">
        <v>68</v>
      </c>
    </row>
    <row r="247" spans="1:15" x14ac:dyDescent="0.35">
      <c r="A247" s="4">
        <v>45323</v>
      </c>
      <c r="B247" s="2" t="s">
        <v>623</v>
      </c>
      <c r="D247" s="2" t="s">
        <v>45</v>
      </c>
      <c r="E247" s="2" t="s">
        <v>677</v>
      </c>
      <c r="F247" s="5" t="str">
        <f t="shared" si="5"/>
        <v>02/24 EMANUEL  CODITA Y OLARIUA SILVANA</v>
      </c>
      <c r="G247" s="12">
        <f t="shared" si="19"/>
        <v>400</v>
      </c>
      <c r="H247">
        <v>21</v>
      </c>
      <c r="I247" s="5">
        <f t="shared" si="22"/>
        <v>84</v>
      </c>
      <c r="J247" s="5">
        <f t="shared" si="20"/>
        <v>400</v>
      </c>
      <c r="K247">
        <v>19</v>
      </c>
      <c r="L247" s="5">
        <f t="shared" si="21"/>
        <v>76</v>
      </c>
      <c r="M247" s="8">
        <v>408</v>
      </c>
      <c r="N247" s="2" t="s">
        <v>46</v>
      </c>
      <c r="O247" s="3" t="s">
        <v>68</v>
      </c>
    </row>
    <row r="248" spans="1:15" x14ac:dyDescent="0.35">
      <c r="A248" s="4">
        <v>45352</v>
      </c>
      <c r="B248" s="2" t="s">
        <v>678</v>
      </c>
      <c r="D248" s="2" t="s">
        <v>45</v>
      </c>
      <c r="E248" s="2" t="s">
        <v>677</v>
      </c>
      <c r="F248" s="5" t="str">
        <f t="shared" si="5"/>
        <v>03/24 EMANUEL  CODITA Y OLARIUA SILVANA</v>
      </c>
      <c r="G248" s="12">
        <f t="shared" si="19"/>
        <v>400</v>
      </c>
      <c r="H248">
        <v>21</v>
      </c>
      <c r="I248" s="5">
        <f t="shared" si="22"/>
        <v>84</v>
      </c>
      <c r="J248" s="5">
        <f t="shared" si="20"/>
        <v>400</v>
      </c>
      <c r="K248">
        <v>19</v>
      </c>
      <c r="L248" s="5">
        <f t="shared" si="21"/>
        <v>76</v>
      </c>
      <c r="M248" s="8">
        <v>408</v>
      </c>
      <c r="N248" s="2" t="s">
        <v>46</v>
      </c>
      <c r="O248" s="3" t="s">
        <v>68</v>
      </c>
    </row>
    <row r="249" spans="1:15" x14ac:dyDescent="0.35">
      <c r="A249" s="4">
        <v>45351</v>
      </c>
      <c r="B249" s="2" t="s">
        <v>679</v>
      </c>
      <c r="D249" s="2" t="s">
        <v>272</v>
      </c>
      <c r="E249" s="2" t="s">
        <v>376</v>
      </c>
      <c r="F249" s="5" t="str">
        <f t="shared" si="5"/>
        <v>FT124/625 MANGAMAT MATERIALES DE CONSTR.</v>
      </c>
      <c r="G249" s="12">
        <f t="shared" si="19"/>
        <v>17</v>
      </c>
      <c r="H249">
        <v>21</v>
      </c>
      <c r="I249" s="5">
        <f t="shared" si="22"/>
        <v>3.57</v>
      </c>
      <c r="J249" s="5">
        <f t="shared" si="20"/>
        <v>17</v>
      </c>
      <c r="L249" s="5">
        <f t="shared" si="21"/>
        <v>0</v>
      </c>
      <c r="M249" s="8">
        <v>20.57</v>
      </c>
      <c r="N249" s="2" t="s">
        <v>21</v>
      </c>
      <c r="O249" s="3" t="s">
        <v>63</v>
      </c>
    </row>
    <row r="250" spans="1:15" x14ac:dyDescent="0.35">
      <c r="A250" s="4">
        <v>45341</v>
      </c>
      <c r="B250" s="2" t="s">
        <v>680</v>
      </c>
      <c r="D250" s="2" t="s">
        <v>58</v>
      </c>
      <c r="E250" s="2" t="s">
        <v>325</v>
      </c>
      <c r="F250" s="5" t="str">
        <f t="shared" si="5"/>
        <v>012-0002-686497 BRICOLAJE BRICOMAN SL</v>
      </c>
      <c r="G250" s="12">
        <f t="shared" si="19"/>
        <v>118.27272727272728</v>
      </c>
      <c r="H250">
        <v>21</v>
      </c>
      <c r="I250" s="5">
        <f t="shared" si="22"/>
        <v>24.83727272727273</v>
      </c>
      <c r="J250" s="5">
        <f t="shared" si="20"/>
        <v>118.27272727272728</v>
      </c>
      <c r="L250" s="5">
        <f t="shared" si="21"/>
        <v>0</v>
      </c>
      <c r="M250" s="8">
        <v>143.11000000000001</v>
      </c>
      <c r="N250" s="2" t="s">
        <v>21</v>
      </c>
      <c r="O250" s="3" t="s">
        <v>63</v>
      </c>
    </row>
    <row r="251" spans="1:15" x14ac:dyDescent="0.35">
      <c r="A251" s="4">
        <v>45343</v>
      </c>
      <c r="B251" s="2" t="s">
        <v>681</v>
      </c>
      <c r="D251" s="2" t="s">
        <v>94</v>
      </c>
      <c r="E251" s="2" t="s">
        <v>139</v>
      </c>
      <c r="F251" s="5" t="str">
        <f t="shared" si="5"/>
        <v>00002-2024/A0101/00001546 BIGMAT</v>
      </c>
      <c r="G251" s="12">
        <f t="shared" si="19"/>
        <v>160.50413223140498</v>
      </c>
      <c r="H251">
        <v>21</v>
      </c>
      <c r="I251" s="5">
        <f t="shared" si="22"/>
        <v>33.705867768595041</v>
      </c>
      <c r="J251" s="5">
        <f t="shared" si="20"/>
        <v>160.50413223140498</v>
      </c>
      <c r="L251" s="5">
        <f t="shared" si="21"/>
        <v>0</v>
      </c>
      <c r="M251" s="8">
        <v>194.21</v>
      </c>
      <c r="N251" s="2" t="s">
        <v>21</v>
      </c>
      <c r="O251" s="3" t="s">
        <v>63</v>
      </c>
    </row>
    <row r="252" spans="1:15" x14ac:dyDescent="0.35">
      <c r="A252" s="4">
        <v>45341</v>
      </c>
      <c r="B252" s="2" t="s">
        <v>682</v>
      </c>
      <c r="D252" s="2" t="s">
        <v>94</v>
      </c>
      <c r="E252" s="2" t="s">
        <v>139</v>
      </c>
      <c r="F252" s="5" t="str">
        <f t="shared" si="5"/>
        <v>00002-2024/A0103/00003201 BIGMAT</v>
      </c>
      <c r="G252" s="12">
        <f t="shared" si="19"/>
        <v>17.84297520661157</v>
      </c>
      <c r="H252">
        <v>21</v>
      </c>
      <c r="I252" s="5">
        <f t="shared" si="22"/>
        <v>3.7470247933884298</v>
      </c>
      <c r="J252" s="5">
        <f t="shared" si="20"/>
        <v>17.84297520661157</v>
      </c>
      <c r="L252" s="5">
        <f t="shared" si="21"/>
        <v>0</v>
      </c>
      <c r="M252" s="8">
        <v>21.59</v>
      </c>
      <c r="N252" s="2" t="s">
        <v>21</v>
      </c>
      <c r="O252" s="3" t="s">
        <v>63</v>
      </c>
    </row>
    <row r="253" spans="1:15" x14ac:dyDescent="0.35">
      <c r="A253" s="4">
        <v>45342</v>
      </c>
      <c r="B253" s="2" t="s">
        <v>683</v>
      </c>
      <c r="D253" s="2" t="s">
        <v>58</v>
      </c>
      <c r="E253" s="2" t="s">
        <v>325</v>
      </c>
      <c r="F253" s="5" t="str">
        <f t="shared" si="5"/>
        <v>012-0002-690255 BRICOLAJE BRICOMAN SL</v>
      </c>
      <c r="G253" s="12">
        <f t="shared" si="19"/>
        <v>192.14876033057851</v>
      </c>
      <c r="H253">
        <v>21</v>
      </c>
      <c r="I253" s="5">
        <f t="shared" si="22"/>
        <v>40.351239669421489</v>
      </c>
      <c r="J253" s="5">
        <f t="shared" si="20"/>
        <v>192.14876033057851</v>
      </c>
      <c r="L253" s="5">
        <f t="shared" si="21"/>
        <v>0</v>
      </c>
      <c r="M253" s="8">
        <v>232.5</v>
      </c>
      <c r="N253" s="2" t="s">
        <v>21</v>
      </c>
      <c r="O253" s="3" t="s">
        <v>63</v>
      </c>
    </row>
    <row r="254" spans="1:15" x14ac:dyDescent="0.35">
      <c r="A254" s="4">
        <v>45342</v>
      </c>
      <c r="B254" s="2" t="s">
        <v>684</v>
      </c>
      <c r="D254" s="2" t="s">
        <v>58</v>
      </c>
      <c r="E254" s="2" t="s">
        <v>325</v>
      </c>
      <c r="F254" s="5" t="str">
        <f t="shared" si="5"/>
        <v>012-0002-690404 BRICOLAJE BRICOMAN SL</v>
      </c>
      <c r="G254" s="12">
        <f t="shared" si="19"/>
        <v>43.553719008264466</v>
      </c>
      <c r="H254">
        <v>21</v>
      </c>
      <c r="I254" s="5">
        <f t="shared" si="22"/>
        <v>9.1462809917355372</v>
      </c>
      <c r="J254" s="5">
        <f t="shared" si="20"/>
        <v>43.553719008264466</v>
      </c>
      <c r="L254" s="5">
        <f t="shared" si="21"/>
        <v>0</v>
      </c>
      <c r="M254" s="8">
        <v>52.7</v>
      </c>
      <c r="N254" s="2" t="s">
        <v>21</v>
      </c>
      <c r="O254" s="3" t="s">
        <v>63</v>
      </c>
    </row>
    <row r="255" spans="1:15" x14ac:dyDescent="0.35">
      <c r="A255" s="4">
        <v>45343</v>
      </c>
      <c r="B255" s="2" t="s">
        <v>685</v>
      </c>
      <c r="D255" s="2" t="s">
        <v>74</v>
      </c>
      <c r="E255" s="2" t="s">
        <v>259</v>
      </c>
      <c r="F255" s="5" t="str">
        <f t="shared" si="5"/>
        <v>24/00031 CRISTALERIA ESCOBAR</v>
      </c>
      <c r="G255" s="12">
        <f t="shared" si="19"/>
        <v>82.867768595041326</v>
      </c>
      <c r="H255">
        <v>21</v>
      </c>
      <c r="I255" s="5">
        <f t="shared" si="22"/>
        <v>17.40223140495868</v>
      </c>
      <c r="J255" s="5">
        <f t="shared" si="20"/>
        <v>82.867768595041326</v>
      </c>
      <c r="L255" s="5">
        <f t="shared" si="21"/>
        <v>0</v>
      </c>
      <c r="M255" s="8">
        <v>100.27</v>
      </c>
      <c r="N255" s="2" t="s">
        <v>21</v>
      </c>
      <c r="O255" s="3" t="s">
        <v>63</v>
      </c>
    </row>
    <row r="256" spans="1:15" x14ac:dyDescent="0.35">
      <c r="A256" s="4">
        <v>45343</v>
      </c>
      <c r="B256" s="2" t="s">
        <v>686</v>
      </c>
      <c r="D256" s="2" t="s">
        <v>687</v>
      </c>
      <c r="E256" s="2" t="s">
        <v>688</v>
      </c>
      <c r="F256" s="5" t="str">
        <f t="shared" si="5"/>
        <v>2024000145 LADUNI GLOBAL</v>
      </c>
      <c r="G256" s="12">
        <f t="shared" si="19"/>
        <v>9.9504132231404956</v>
      </c>
      <c r="H256">
        <v>21</v>
      </c>
      <c r="I256" s="5">
        <f t="shared" si="22"/>
        <v>2.089586776859504</v>
      </c>
      <c r="J256" s="5">
        <f t="shared" si="20"/>
        <v>9.9504132231404956</v>
      </c>
      <c r="L256" s="5">
        <f t="shared" si="21"/>
        <v>0</v>
      </c>
      <c r="M256" s="8">
        <v>12.04</v>
      </c>
      <c r="N256" s="2" t="s">
        <v>21</v>
      </c>
      <c r="O256" s="3" t="s">
        <v>63</v>
      </c>
    </row>
    <row r="257" spans="1:15" x14ac:dyDescent="0.35">
      <c r="A257" s="4">
        <v>45343</v>
      </c>
      <c r="B257" s="2" t="s">
        <v>689</v>
      </c>
      <c r="D257" s="2" t="s">
        <v>690</v>
      </c>
      <c r="E257" s="2" t="s">
        <v>691</v>
      </c>
      <c r="F257" s="5" t="str">
        <f t="shared" si="5"/>
        <v>027612 TRANSMAVE SL</v>
      </c>
      <c r="G257" s="12">
        <f t="shared" si="19"/>
        <v>86.702479338842977</v>
      </c>
      <c r="H257">
        <v>21</v>
      </c>
      <c r="I257" s="5">
        <f t="shared" si="22"/>
        <v>18.207520661157027</v>
      </c>
      <c r="J257" s="5">
        <f t="shared" si="20"/>
        <v>86.702479338842977</v>
      </c>
      <c r="L257" s="5">
        <f t="shared" si="21"/>
        <v>0</v>
      </c>
      <c r="M257" s="8">
        <v>104.91</v>
      </c>
      <c r="N257" s="2" t="s">
        <v>21</v>
      </c>
      <c r="O257" s="3" t="s">
        <v>63</v>
      </c>
    </row>
    <row r="258" spans="1:15" x14ac:dyDescent="0.35">
      <c r="A258" s="4">
        <v>45344</v>
      </c>
      <c r="B258" s="2" t="s">
        <v>692</v>
      </c>
      <c r="D258" s="2" t="s">
        <v>58</v>
      </c>
      <c r="E258" s="2" t="s">
        <v>325</v>
      </c>
      <c r="F258" s="5" t="str">
        <f t="shared" si="5"/>
        <v>012-0002-698802 BRICOLAJE BRICOMAN SL</v>
      </c>
      <c r="G258" s="12">
        <f t="shared" si="19"/>
        <v>28.520661157024794</v>
      </c>
      <c r="H258">
        <v>21</v>
      </c>
      <c r="I258" s="5">
        <f t="shared" si="22"/>
        <v>5.9893388429752061</v>
      </c>
      <c r="J258" s="5">
        <f t="shared" si="20"/>
        <v>28.520661157024794</v>
      </c>
      <c r="L258" s="5">
        <f t="shared" si="21"/>
        <v>0</v>
      </c>
      <c r="M258" s="8">
        <v>34.51</v>
      </c>
      <c r="N258" s="2" t="s">
        <v>21</v>
      </c>
      <c r="O258" s="3" t="s">
        <v>63</v>
      </c>
    </row>
    <row r="259" spans="1:15" x14ac:dyDescent="0.35">
      <c r="A259" s="4">
        <v>45344</v>
      </c>
      <c r="B259" s="2" t="s">
        <v>693</v>
      </c>
      <c r="D259" s="2" t="s">
        <v>58</v>
      </c>
      <c r="E259" s="2" t="s">
        <v>325</v>
      </c>
      <c r="F259" s="5" t="str">
        <f t="shared" si="5"/>
        <v>012-0002-698692 BRICOLAJE BRICOMAN SL</v>
      </c>
      <c r="G259" s="12">
        <f t="shared" si="19"/>
        <v>23.801652892561986</v>
      </c>
      <c r="H259">
        <v>21</v>
      </c>
      <c r="I259" s="5">
        <f t="shared" si="22"/>
        <v>4.9983471074380166</v>
      </c>
      <c r="J259" s="5">
        <f t="shared" si="20"/>
        <v>23.801652892561986</v>
      </c>
      <c r="L259" s="5">
        <f t="shared" si="21"/>
        <v>0</v>
      </c>
      <c r="M259" s="8">
        <v>28.8</v>
      </c>
      <c r="N259" s="2" t="s">
        <v>21</v>
      </c>
      <c r="O259" s="3" t="s">
        <v>63</v>
      </c>
    </row>
    <row r="260" spans="1:15" x14ac:dyDescent="0.35">
      <c r="A260" s="4">
        <v>45348</v>
      </c>
      <c r="B260" s="2" t="s">
        <v>694</v>
      </c>
      <c r="D260" s="2" t="s">
        <v>58</v>
      </c>
      <c r="E260" s="2" t="s">
        <v>325</v>
      </c>
      <c r="F260" s="5" t="str">
        <f t="shared" si="5"/>
        <v>012-0002-707529 BRICOLAJE BRICOMAN SL</v>
      </c>
      <c r="G260" s="12">
        <f t="shared" si="19"/>
        <v>29.181818181818183</v>
      </c>
      <c r="H260">
        <v>21</v>
      </c>
      <c r="I260" s="5">
        <f t="shared" si="22"/>
        <v>6.1281818181818188</v>
      </c>
      <c r="J260" s="5">
        <f t="shared" si="20"/>
        <v>29.181818181818183</v>
      </c>
      <c r="L260" s="5">
        <f t="shared" si="21"/>
        <v>0</v>
      </c>
      <c r="M260" s="8">
        <v>35.31</v>
      </c>
      <c r="N260" s="2" t="s">
        <v>21</v>
      </c>
      <c r="O260" s="3" t="s">
        <v>63</v>
      </c>
    </row>
    <row r="261" spans="1:15" x14ac:dyDescent="0.35">
      <c r="A261" s="4">
        <v>45348</v>
      </c>
      <c r="B261" s="2" t="s">
        <v>695</v>
      </c>
      <c r="D261" s="2" t="s">
        <v>101</v>
      </c>
      <c r="E261" s="2" t="s">
        <v>425</v>
      </c>
      <c r="F261" s="5" t="str">
        <f t="shared" si="5"/>
        <v>FSCG 1409 ESCAYOLAS EUROPA SL</v>
      </c>
      <c r="G261" s="12">
        <f t="shared" si="19"/>
        <v>285.28099173553721</v>
      </c>
      <c r="H261">
        <v>21</v>
      </c>
      <c r="I261" s="5">
        <f t="shared" si="22"/>
        <v>59.90900826446282</v>
      </c>
      <c r="J261" s="5">
        <f t="shared" si="20"/>
        <v>285.28099173553721</v>
      </c>
      <c r="L261" s="5">
        <f t="shared" si="21"/>
        <v>0</v>
      </c>
      <c r="M261" s="8">
        <v>345.19</v>
      </c>
      <c r="N261" s="2" t="s">
        <v>21</v>
      </c>
      <c r="O261" s="3" t="s">
        <v>63</v>
      </c>
    </row>
    <row r="262" spans="1:15" x14ac:dyDescent="0.35">
      <c r="A262" s="4">
        <v>45348</v>
      </c>
      <c r="B262" s="2" t="s">
        <v>696</v>
      </c>
      <c r="D262" s="2" t="s">
        <v>58</v>
      </c>
      <c r="E262" s="2" t="s">
        <v>325</v>
      </c>
      <c r="F262" s="5" t="str">
        <f t="shared" si="5"/>
        <v>012-0002-709265 BRICOLAJE BRICOMAN SL</v>
      </c>
      <c r="G262" s="12">
        <f t="shared" si="19"/>
        <v>93.057851239669418</v>
      </c>
      <c r="H262">
        <v>21</v>
      </c>
      <c r="I262" s="5">
        <f t="shared" si="22"/>
        <v>19.54214876033058</v>
      </c>
      <c r="J262" s="5">
        <f t="shared" si="20"/>
        <v>93.057851239669418</v>
      </c>
      <c r="L262" s="5">
        <f t="shared" si="21"/>
        <v>0</v>
      </c>
      <c r="M262" s="8">
        <v>112.6</v>
      </c>
      <c r="N262" s="2" t="s">
        <v>21</v>
      </c>
      <c r="O262" s="3" t="s">
        <v>63</v>
      </c>
    </row>
    <row r="263" spans="1:15" x14ac:dyDescent="0.35">
      <c r="A263" s="4">
        <v>45349</v>
      </c>
      <c r="B263" s="2" t="s">
        <v>697</v>
      </c>
      <c r="D263" s="2" t="s">
        <v>58</v>
      </c>
      <c r="E263" s="2" t="s">
        <v>325</v>
      </c>
      <c r="F263" s="5" t="str">
        <f t="shared" si="5"/>
        <v>012-0002-711914 BRICOLAJE BRICOMAN SL</v>
      </c>
      <c r="G263" s="12">
        <f t="shared" si="19"/>
        <v>97.776859504132233</v>
      </c>
      <c r="H263">
        <v>21</v>
      </c>
      <c r="I263" s="5">
        <f t="shared" si="22"/>
        <v>20.533140495867769</v>
      </c>
      <c r="J263" s="5">
        <f t="shared" si="20"/>
        <v>97.776859504132233</v>
      </c>
      <c r="L263" s="5">
        <f t="shared" si="21"/>
        <v>0</v>
      </c>
      <c r="M263" s="8">
        <v>118.31</v>
      </c>
      <c r="N263" s="2" t="s">
        <v>21</v>
      </c>
      <c r="O263" s="3" t="s">
        <v>63</v>
      </c>
    </row>
    <row r="264" spans="1:15" x14ac:dyDescent="0.35">
      <c r="A264" s="4">
        <v>45350</v>
      </c>
      <c r="B264" s="2" t="s">
        <v>698</v>
      </c>
      <c r="D264" s="2" t="s">
        <v>94</v>
      </c>
      <c r="E264" s="2" t="s">
        <v>139</v>
      </c>
      <c r="F264" s="5" t="str">
        <f t="shared" si="5"/>
        <v>00002-2024/A0103/000004002 BIGMAT</v>
      </c>
      <c r="G264" s="12">
        <f t="shared" si="19"/>
        <v>35.148760330578511</v>
      </c>
      <c r="H264">
        <v>21</v>
      </c>
      <c r="I264" s="5">
        <f t="shared" si="22"/>
        <v>7.381239669421487</v>
      </c>
      <c r="J264" s="5">
        <f t="shared" si="20"/>
        <v>35.148760330578511</v>
      </c>
      <c r="L264" s="5">
        <f t="shared" si="21"/>
        <v>0</v>
      </c>
      <c r="M264" s="8">
        <v>42.53</v>
      </c>
      <c r="N264" s="2" t="s">
        <v>21</v>
      </c>
      <c r="O264" s="3" t="s">
        <v>63</v>
      </c>
    </row>
    <row r="265" spans="1:15" x14ac:dyDescent="0.35">
      <c r="A265" s="4">
        <v>45342</v>
      </c>
      <c r="B265" s="2" t="s">
        <v>699</v>
      </c>
      <c r="D265" s="2" t="s">
        <v>140</v>
      </c>
      <c r="E265" s="2" t="s">
        <v>141</v>
      </c>
      <c r="F265" s="5" t="str">
        <f t="shared" si="5"/>
        <v>1084 ED OIL</v>
      </c>
      <c r="G265" s="12">
        <f t="shared" si="19"/>
        <v>15.404958677685951</v>
      </c>
      <c r="H265">
        <v>21</v>
      </c>
      <c r="I265" s="5">
        <f t="shared" si="22"/>
        <v>3.2350413223140499</v>
      </c>
      <c r="J265" s="5">
        <f t="shared" si="20"/>
        <v>15.404958677685951</v>
      </c>
      <c r="L265" s="5">
        <f t="shared" si="21"/>
        <v>0</v>
      </c>
      <c r="M265" s="8">
        <v>18.64</v>
      </c>
      <c r="N265" s="2" t="s">
        <v>22</v>
      </c>
      <c r="O265" s="3" t="s">
        <v>63</v>
      </c>
    </row>
    <row r="266" spans="1:15" x14ac:dyDescent="0.35">
      <c r="A266" s="4">
        <v>45342</v>
      </c>
      <c r="B266" s="2" t="s">
        <v>700</v>
      </c>
      <c r="D266" s="2" t="s">
        <v>77</v>
      </c>
      <c r="E266" s="2" t="s">
        <v>151</v>
      </c>
      <c r="F266" s="5" t="str">
        <f t="shared" si="5"/>
        <v>24FAS000686 E.S. SESEÑA</v>
      </c>
      <c r="G266" s="12">
        <f t="shared" si="19"/>
        <v>49.586776859504134</v>
      </c>
      <c r="H266">
        <v>21</v>
      </c>
      <c r="I266" s="5">
        <f t="shared" si="22"/>
        <v>10.413223140495868</v>
      </c>
      <c r="J266" s="5">
        <f t="shared" si="20"/>
        <v>49.586776859504134</v>
      </c>
      <c r="L266" s="5">
        <f t="shared" si="21"/>
        <v>0</v>
      </c>
      <c r="M266" s="8">
        <v>60</v>
      </c>
      <c r="N266" s="2" t="s">
        <v>22</v>
      </c>
      <c r="O266" s="3" t="s">
        <v>63</v>
      </c>
    </row>
    <row r="267" spans="1:15" x14ac:dyDescent="0.35">
      <c r="A267" s="4">
        <v>45341</v>
      </c>
      <c r="B267" s="2" t="s">
        <v>701</v>
      </c>
      <c r="D267" s="2" t="s">
        <v>702</v>
      </c>
      <c r="E267" s="2" t="s">
        <v>703</v>
      </c>
      <c r="F267" s="5" t="str">
        <f t="shared" si="5"/>
        <v>T011012098 MANOLO BAKES</v>
      </c>
      <c r="G267" s="12">
        <f t="shared" si="19"/>
        <v>8.3636363636363615</v>
      </c>
      <c r="H267">
        <v>10</v>
      </c>
      <c r="I267" s="5">
        <f t="shared" si="22"/>
        <v>0.83636363636363609</v>
      </c>
      <c r="J267" s="5">
        <f t="shared" si="20"/>
        <v>8.3636363636363615</v>
      </c>
      <c r="L267" s="5">
        <f t="shared" si="21"/>
        <v>0</v>
      </c>
      <c r="M267" s="8">
        <v>9.1999999999999993</v>
      </c>
      <c r="N267" s="2" t="s">
        <v>28</v>
      </c>
      <c r="O267" s="3" t="s">
        <v>63</v>
      </c>
    </row>
    <row r="268" spans="1:15" x14ac:dyDescent="0.35">
      <c r="A268" s="4">
        <v>45296</v>
      </c>
      <c r="B268" s="2" t="s">
        <v>704</v>
      </c>
      <c r="D268" s="2" t="s">
        <v>89</v>
      </c>
      <c r="E268" s="2" t="s">
        <v>90</v>
      </c>
      <c r="F268" s="5" t="str">
        <f t="shared" si="5"/>
        <v>E12002024000000051 GALP</v>
      </c>
      <c r="G268" s="12">
        <f t="shared" si="19"/>
        <v>144.14049586776861</v>
      </c>
      <c r="H268">
        <v>21</v>
      </c>
      <c r="I268" s="5">
        <f t="shared" si="22"/>
        <v>30.269504132231408</v>
      </c>
      <c r="J268" s="5">
        <f t="shared" si="20"/>
        <v>144.14049586776861</v>
      </c>
      <c r="L268" s="5">
        <f t="shared" si="21"/>
        <v>0</v>
      </c>
      <c r="M268" s="8">
        <v>174.41</v>
      </c>
      <c r="N268" s="2" t="s">
        <v>22</v>
      </c>
      <c r="O268" s="3" t="s">
        <v>63</v>
      </c>
    </row>
    <row r="269" spans="1:15" x14ac:dyDescent="0.35">
      <c r="A269" s="4">
        <v>45295</v>
      </c>
      <c r="B269" s="2" t="s">
        <v>705</v>
      </c>
      <c r="D269" s="2" t="s">
        <v>174</v>
      </c>
      <c r="E269" s="2" t="s">
        <v>557</v>
      </c>
      <c r="F269" s="5" t="str">
        <f t="shared" si="5"/>
        <v>1-278 CARLA`S JR</v>
      </c>
      <c r="G269" s="12">
        <f t="shared" si="19"/>
        <v>28.018181818181816</v>
      </c>
      <c r="H269">
        <v>10</v>
      </c>
      <c r="I269" s="5">
        <f t="shared" si="22"/>
        <v>2.8018181818181813</v>
      </c>
      <c r="J269" s="5">
        <f t="shared" si="20"/>
        <v>28.018181818181816</v>
      </c>
      <c r="L269" s="5">
        <f t="shared" si="21"/>
        <v>0</v>
      </c>
      <c r="M269" s="8">
        <v>30.82</v>
      </c>
      <c r="N269" s="2" t="s">
        <v>28</v>
      </c>
      <c r="O269" s="3" t="s">
        <v>63</v>
      </c>
    </row>
    <row r="270" spans="1:15" x14ac:dyDescent="0.35">
      <c r="A270" s="4">
        <v>45348</v>
      </c>
      <c r="B270" s="2" t="s">
        <v>706</v>
      </c>
      <c r="D270" s="2" t="s">
        <v>89</v>
      </c>
      <c r="E270" s="2" t="s">
        <v>90</v>
      </c>
      <c r="F270" s="5" t="str">
        <f t="shared" si="5"/>
        <v>E12002024000000761 GALP</v>
      </c>
      <c r="G270" s="12">
        <f t="shared" si="19"/>
        <v>41.32231404958678</v>
      </c>
      <c r="H270">
        <v>21</v>
      </c>
      <c r="I270" s="5">
        <f t="shared" si="22"/>
        <v>8.677685950413224</v>
      </c>
      <c r="J270" s="5">
        <f t="shared" si="20"/>
        <v>41.32231404958678</v>
      </c>
      <c r="L270" s="5">
        <f t="shared" si="21"/>
        <v>0</v>
      </c>
      <c r="M270" s="8">
        <v>50</v>
      </c>
      <c r="N270" s="2" t="s">
        <v>22</v>
      </c>
      <c r="O270" s="3" t="s">
        <v>63</v>
      </c>
    </row>
    <row r="271" spans="1:15" x14ac:dyDescent="0.35">
      <c r="A271" s="4">
        <v>45350</v>
      </c>
      <c r="B271" s="2" t="s">
        <v>707</v>
      </c>
      <c r="D271" s="2" t="s">
        <v>77</v>
      </c>
      <c r="E271" s="2" t="s">
        <v>151</v>
      </c>
      <c r="F271" s="5" t="str">
        <f t="shared" si="5"/>
        <v>24FAS000803 E.S. SESEÑA</v>
      </c>
      <c r="G271" s="12">
        <f t="shared" si="19"/>
        <v>74.033057851239676</v>
      </c>
      <c r="H271">
        <v>21</v>
      </c>
      <c r="I271" s="5">
        <f t="shared" si="22"/>
        <v>15.546942148760332</v>
      </c>
      <c r="J271" s="5">
        <f t="shared" si="20"/>
        <v>74.033057851239676</v>
      </c>
      <c r="L271" s="5">
        <f t="shared" si="21"/>
        <v>0</v>
      </c>
      <c r="M271" s="8">
        <v>89.58</v>
      </c>
      <c r="N271" s="2" t="s">
        <v>22</v>
      </c>
      <c r="O271" s="3" t="s">
        <v>63</v>
      </c>
    </row>
    <row r="272" spans="1:15" x14ac:dyDescent="0.35">
      <c r="A272" s="4">
        <v>45351</v>
      </c>
      <c r="B272" s="2" t="s">
        <v>708</v>
      </c>
      <c r="D272" s="2" t="s">
        <v>709</v>
      </c>
      <c r="E272" s="2" t="s">
        <v>710</v>
      </c>
      <c r="F272" s="5" t="str">
        <f t="shared" si="5"/>
        <v>505 AREA SUNSET</v>
      </c>
      <c r="G272" s="12">
        <f t="shared" si="19"/>
        <v>6.1090909090909085</v>
      </c>
      <c r="H272">
        <v>10</v>
      </c>
      <c r="I272" s="5">
        <f t="shared" si="22"/>
        <v>0.61090909090909085</v>
      </c>
      <c r="J272" s="5">
        <f t="shared" si="20"/>
        <v>6.1090909090909085</v>
      </c>
      <c r="L272" s="5">
        <f t="shared" si="21"/>
        <v>0</v>
      </c>
      <c r="M272" s="8">
        <v>6.72</v>
      </c>
      <c r="N272" s="2" t="s">
        <v>28</v>
      </c>
      <c r="O272" s="3" t="s">
        <v>63</v>
      </c>
    </row>
    <row r="273" spans="1:15" x14ac:dyDescent="0.35">
      <c r="A273" s="4">
        <v>45351</v>
      </c>
      <c r="B273" s="2" t="s">
        <v>711</v>
      </c>
      <c r="D273" s="2" t="s">
        <v>274</v>
      </c>
      <c r="E273" s="2" t="s">
        <v>275</v>
      </c>
      <c r="F273" s="5" t="str">
        <f t="shared" si="5"/>
        <v>1/23395 FANATICO ICE &amp; COFFEE</v>
      </c>
      <c r="G273" s="12">
        <f t="shared" si="19"/>
        <v>12.09090909090909</v>
      </c>
      <c r="H273">
        <v>10</v>
      </c>
      <c r="I273" s="5">
        <f t="shared" si="22"/>
        <v>1.209090909090909</v>
      </c>
      <c r="J273" s="5">
        <f t="shared" si="20"/>
        <v>12.09090909090909</v>
      </c>
      <c r="L273" s="5">
        <f t="shared" si="21"/>
        <v>0</v>
      </c>
      <c r="M273" s="8">
        <v>13.3</v>
      </c>
      <c r="N273" s="2" t="s">
        <v>28</v>
      </c>
      <c r="O273" s="3" t="s">
        <v>63</v>
      </c>
    </row>
    <row r="274" spans="1:15" x14ac:dyDescent="0.35">
      <c r="A274" s="4">
        <v>45347</v>
      </c>
      <c r="B274" s="2" t="s">
        <v>712</v>
      </c>
      <c r="D274" s="2" t="s">
        <v>60</v>
      </c>
      <c r="E274" s="2" t="s">
        <v>24</v>
      </c>
      <c r="F274" s="5" t="str">
        <f t="shared" si="5"/>
        <v>096378/A/24/000393 REPSOL</v>
      </c>
      <c r="G274" s="12">
        <f t="shared" si="19"/>
        <v>76.793388429752071</v>
      </c>
      <c r="H274">
        <v>21</v>
      </c>
      <c r="I274" s="5">
        <f t="shared" si="22"/>
        <v>16.126611570247935</v>
      </c>
      <c r="J274" s="5">
        <f t="shared" si="20"/>
        <v>76.793388429752071</v>
      </c>
      <c r="L274" s="5">
        <f t="shared" si="21"/>
        <v>0</v>
      </c>
      <c r="M274" s="8">
        <v>92.92</v>
      </c>
      <c r="N274" s="2" t="s">
        <v>22</v>
      </c>
      <c r="O274" s="3" t="s">
        <v>63</v>
      </c>
    </row>
    <row r="275" spans="1:15" x14ac:dyDescent="0.35">
      <c r="A275" s="4">
        <v>45350</v>
      </c>
      <c r="B275" s="2" t="s">
        <v>713</v>
      </c>
      <c r="D275" s="2" t="s">
        <v>60</v>
      </c>
      <c r="E275" s="2" t="s">
        <v>24</v>
      </c>
      <c r="F275" s="5" t="str">
        <f t="shared" si="5"/>
        <v>034377/A/24/001096 REPSOL</v>
      </c>
      <c r="G275" s="12">
        <f t="shared" si="19"/>
        <v>15.834710743801654</v>
      </c>
      <c r="H275">
        <v>21</v>
      </c>
      <c r="I275" s="5">
        <f t="shared" si="22"/>
        <v>3.3252892561983476</v>
      </c>
      <c r="J275" s="5">
        <f t="shared" si="20"/>
        <v>15.834710743801654</v>
      </c>
      <c r="L275" s="5">
        <f t="shared" si="21"/>
        <v>0</v>
      </c>
      <c r="M275" s="8">
        <v>19.16</v>
      </c>
      <c r="N275" s="2" t="s">
        <v>22</v>
      </c>
      <c r="O275" s="3" t="s">
        <v>63</v>
      </c>
    </row>
    <row r="276" spans="1:15" x14ac:dyDescent="0.35">
      <c r="A276" s="4">
        <v>45343</v>
      </c>
      <c r="B276" s="2" t="s">
        <v>714</v>
      </c>
      <c r="D276" s="2" t="s">
        <v>91</v>
      </c>
      <c r="E276" s="2" t="s">
        <v>115</v>
      </c>
      <c r="F276" s="5" t="str">
        <f t="shared" si="5"/>
        <v>227 GINOS</v>
      </c>
      <c r="G276" s="12">
        <f t="shared" si="19"/>
        <v>18.5</v>
      </c>
      <c r="H276">
        <v>10</v>
      </c>
      <c r="I276" s="5">
        <f t="shared" si="22"/>
        <v>1.85</v>
      </c>
      <c r="J276" s="5">
        <f t="shared" si="20"/>
        <v>18.5</v>
      </c>
      <c r="L276" s="5">
        <f t="shared" si="21"/>
        <v>0</v>
      </c>
      <c r="M276" s="8">
        <v>20.350000000000001</v>
      </c>
      <c r="N276" s="2" t="s">
        <v>28</v>
      </c>
      <c r="O276" s="3" t="s">
        <v>63</v>
      </c>
    </row>
    <row r="277" spans="1:15" x14ac:dyDescent="0.35">
      <c r="A277" s="4">
        <v>45351</v>
      </c>
      <c r="B277" s="2" t="s">
        <v>715</v>
      </c>
      <c r="D277" s="2" t="s">
        <v>281</v>
      </c>
      <c r="E277" s="2" t="s">
        <v>716</v>
      </c>
      <c r="F277" s="5" t="str">
        <f t="shared" si="5"/>
        <v>27893 BONAJA 2 SL</v>
      </c>
      <c r="G277" s="12">
        <f t="shared" si="19"/>
        <v>44.54545454545454</v>
      </c>
      <c r="H277">
        <v>10</v>
      </c>
      <c r="I277" s="5">
        <f t="shared" si="22"/>
        <v>4.4545454545454541</v>
      </c>
      <c r="J277" s="5">
        <f t="shared" si="20"/>
        <v>44.54545454545454</v>
      </c>
      <c r="L277" s="5">
        <f t="shared" si="21"/>
        <v>0</v>
      </c>
      <c r="M277" s="8">
        <v>49</v>
      </c>
      <c r="N277" s="2" t="s">
        <v>28</v>
      </c>
      <c r="O277" s="3" t="s">
        <v>63</v>
      </c>
    </row>
    <row r="278" spans="1:15" x14ac:dyDescent="0.35">
      <c r="A278" s="4">
        <v>45346</v>
      </c>
      <c r="B278" s="2" t="s">
        <v>717</v>
      </c>
      <c r="D278" s="2" t="s">
        <v>718</v>
      </c>
      <c r="E278" s="2" t="s">
        <v>293</v>
      </c>
      <c r="F278" s="5" t="str">
        <f t="shared" si="5"/>
        <v>S1202401001-000766 TELEPIZZA</v>
      </c>
      <c r="G278" s="12">
        <f t="shared" si="19"/>
        <v>19.045454545454543</v>
      </c>
      <c r="H278">
        <v>10</v>
      </c>
      <c r="I278" s="5">
        <f t="shared" si="22"/>
        <v>1.9045454545454543</v>
      </c>
      <c r="J278" s="5">
        <f t="shared" si="20"/>
        <v>19.045454545454543</v>
      </c>
      <c r="L278" s="5">
        <f t="shared" si="21"/>
        <v>0</v>
      </c>
      <c r="M278" s="8">
        <v>20.95</v>
      </c>
      <c r="N278" s="2" t="s">
        <v>28</v>
      </c>
      <c r="O278" s="3" t="s">
        <v>63</v>
      </c>
    </row>
    <row r="279" spans="1:15" x14ac:dyDescent="0.35">
      <c r="A279" s="4">
        <v>45344</v>
      </c>
      <c r="B279" s="2" t="s">
        <v>719</v>
      </c>
      <c r="D279" s="2" t="s">
        <v>584</v>
      </c>
      <c r="E279" s="2" t="s">
        <v>242</v>
      </c>
      <c r="F279" s="5" t="str">
        <f t="shared" si="5"/>
        <v>T-6292 RESTAURANTE LA SALA</v>
      </c>
      <c r="G279" s="12">
        <f t="shared" si="19"/>
        <v>5.9090909090909083</v>
      </c>
      <c r="H279">
        <v>10</v>
      </c>
      <c r="I279" s="5">
        <f t="shared" si="22"/>
        <v>0.59090909090909083</v>
      </c>
      <c r="J279" s="5">
        <f t="shared" si="20"/>
        <v>5.9090909090909083</v>
      </c>
      <c r="L279" s="5">
        <f t="shared" si="21"/>
        <v>0</v>
      </c>
      <c r="M279" s="8">
        <v>6.5</v>
      </c>
      <c r="N279" s="2" t="s">
        <v>28</v>
      </c>
      <c r="O279" s="3" t="s">
        <v>63</v>
      </c>
    </row>
    <row r="280" spans="1:15" x14ac:dyDescent="0.35">
      <c r="A280" s="4">
        <v>45342</v>
      </c>
      <c r="B280" s="2" t="s">
        <v>720</v>
      </c>
      <c r="D280" s="2" t="s">
        <v>721</v>
      </c>
      <c r="E280" s="2" t="s">
        <v>722</v>
      </c>
      <c r="F280" s="5" t="str">
        <f t="shared" si="5"/>
        <v>TB046401 WELAT</v>
      </c>
      <c r="G280" s="12">
        <f t="shared" si="19"/>
        <v>9.7272727272727266</v>
      </c>
      <c r="H280">
        <v>10</v>
      </c>
      <c r="I280" s="5">
        <f t="shared" si="22"/>
        <v>0.97272727272727266</v>
      </c>
      <c r="J280" s="5">
        <f t="shared" si="20"/>
        <v>9.7272727272727266</v>
      </c>
      <c r="L280" s="5">
        <f t="shared" si="21"/>
        <v>0</v>
      </c>
      <c r="M280" s="8">
        <v>10.7</v>
      </c>
      <c r="N280" s="2" t="s">
        <v>28</v>
      </c>
      <c r="O280" s="3" t="s">
        <v>63</v>
      </c>
    </row>
    <row r="281" spans="1:15" x14ac:dyDescent="0.35">
      <c r="A281" s="4">
        <v>45348</v>
      </c>
      <c r="B281" s="2" t="s">
        <v>723</v>
      </c>
      <c r="D281" s="2" t="s">
        <v>724</v>
      </c>
      <c r="E281" s="2" t="s">
        <v>594</v>
      </c>
      <c r="F281" s="5" t="str">
        <f t="shared" si="5"/>
        <v>00730023202402000349 MC DONALD`S</v>
      </c>
      <c r="G281" s="12">
        <f t="shared" si="19"/>
        <v>23.399999999999995</v>
      </c>
      <c r="H281">
        <v>10</v>
      </c>
      <c r="I281" s="5">
        <f t="shared" si="22"/>
        <v>2.3399999999999994</v>
      </c>
      <c r="J281" s="5">
        <f t="shared" si="20"/>
        <v>23.399999999999995</v>
      </c>
      <c r="L281" s="5">
        <f t="shared" si="21"/>
        <v>0</v>
      </c>
      <c r="M281" s="8">
        <v>25.74</v>
      </c>
      <c r="N281" s="2" t="s">
        <v>28</v>
      </c>
      <c r="O281" s="3" t="s">
        <v>63</v>
      </c>
    </row>
    <row r="282" spans="1:15" x14ac:dyDescent="0.35">
      <c r="A282" s="4">
        <v>45349</v>
      </c>
      <c r="B282" s="2" t="s">
        <v>725</v>
      </c>
      <c r="D282" s="2" t="s">
        <v>270</v>
      </c>
      <c r="E282" s="2" t="s">
        <v>125</v>
      </c>
      <c r="F282" s="5" t="str">
        <f t="shared" si="5"/>
        <v>MM0000295040 LA TAGLIATELLA</v>
      </c>
      <c r="G282" s="12">
        <f t="shared" si="19"/>
        <v>29.36363636363636</v>
      </c>
      <c r="H282">
        <v>10</v>
      </c>
      <c r="I282" s="5">
        <f t="shared" si="22"/>
        <v>2.9363636363636361</v>
      </c>
      <c r="J282" s="5">
        <f t="shared" si="20"/>
        <v>29.36363636363636</v>
      </c>
      <c r="L282" s="5">
        <f t="shared" si="21"/>
        <v>0</v>
      </c>
      <c r="M282" s="8">
        <v>32.299999999999997</v>
      </c>
      <c r="N282" s="2" t="s">
        <v>28</v>
      </c>
      <c r="O282" s="3" t="s">
        <v>63</v>
      </c>
    </row>
    <row r="283" spans="1:15" x14ac:dyDescent="0.35">
      <c r="A283" s="4">
        <v>45355</v>
      </c>
      <c r="B283" s="2" t="s">
        <v>726</v>
      </c>
      <c r="D283" s="2" t="s">
        <v>94</v>
      </c>
      <c r="E283" s="2" t="s">
        <v>139</v>
      </c>
      <c r="F283" s="5" t="str">
        <f t="shared" si="5"/>
        <v>00002-2024/a0101/00001894 BIGMAT</v>
      </c>
      <c r="G283" s="12">
        <f t="shared" si="19"/>
        <v>25</v>
      </c>
      <c r="H283">
        <v>21</v>
      </c>
      <c r="I283" s="5">
        <f t="shared" si="22"/>
        <v>5.25</v>
      </c>
      <c r="J283" s="5">
        <f t="shared" si="20"/>
        <v>25</v>
      </c>
      <c r="L283" s="5">
        <f t="shared" si="21"/>
        <v>0</v>
      </c>
      <c r="M283" s="8">
        <v>30.25</v>
      </c>
      <c r="N283" s="2" t="s">
        <v>21</v>
      </c>
      <c r="O283" s="3" t="s">
        <v>63</v>
      </c>
    </row>
    <row r="284" spans="1:15" x14ac:dyDescent="0.35">
      <c r="A284" s="4">
        <v>45355</v>
      </c>
      <c r="B284" s="2" t="s">
        <v>727</v>
      </c>
      <c r="D284" s="2" t="s">
        <v>101</v>
      </c>
      <c r="E284" s="2" t="s">
        <v>425</v>
      </c>
      <c r="F284" s="5" t="str">
        <f t="shared" si="5"/>
        <v>FACG 1696 ESCAYOLAS EUROPA SL</v>
      </c>
      <c r="G284" s="12">
        <f t="shared" ref="G284:G342" si="23">M284/(1-K284/100+H284/100)</f>
        <v>125.39669421487604</v>
      </c>
      <c r="H284">
        <v>21</v>
      </c>
      <c r="I284" s="5">
        <f t="shared" si="22"/>
        <v>26.333305785123965</v>
      </c>
      <c r="J284" s="5">
        <f t="shared" si="20"/>
        <v>125.39669421487604</v>
      </c>
      <c r="L284" s="5">
        <f t="shared" si="21"/>
        <v>0</v>
      </c>
      <c r="M284" s="8">
        <v>151.72999999999999</v>
      </c>
      <c r="N284" s="2" t="s">
        <v>21</v>
      </c>
      <c r="O284" s="3" t="s">
        <v>63</v>
      </c>
    </row>
    <row r="285" spans="1:15" x14ac:dyDescent="0.35">
      <c r="A285" s="4">
        <v>45357</v>
      </c>
      <c r="B285" s="2" t="s">
        <v>728</v>
      </c>
      <c r="D285" s="2" t="s">
        <v>94</v>
      </c>
      <c r="E285" s="2" t="s">
        <v>139</v>
      </c>
      <c r="F285" s="5" t="str">
        <f t="shared" si="5"/>
        <v>00002-2024/A0102/00001158 BIGMAT</v>
      </c>
      <c r="G285" s="12">
        <f t="shared" si="23"/>
        <v>21.958677685950413</v>
      </c>
      <c r="H285">
        <v>21</v>
      </c>
      <c r="I285" s="5">
        <f t="shared" si="22"/>
        <v>4.6113223140495867</v>
      </c>
      <c r="J285" s="5">
        <f t="shared" ref="J285:J343" si="24">G285</f>
        <v>21.958677685950413</v>
      </c>
      <c r="L285" s="5">
        <f t="shared" ref="L285:L343" si="25">J285*K285/100</f>
        <v>0</v>
      </c>
      <c r="M285" s="8">
        <v>26.57</v>
      </c>
      <c r="N285" s="2" t="s">
        <v>21</v>
      </c>
      <c r="O285" s="3" t="s">
        <v>63</v>
      </c>
    </row>
    <row r="286" spans="1:15" x14ac:dyDescent="0.35">
      <c r="A286" s="4">
        <v>45357</v>
      </c>
      <c r="B286" s="2" t="s">
        <v>729</v>
      </c>
      <c r="D286" s="2" t="s">
        <v>58</v>
      </c>
      <c r="E286" s="2" t="s">
        <v>139</v>
      </c>
      <c r="F286" s="5" t="str">
        <f t="shared" si="5"/>
        <v>012-0003-737322 BIGMAT</v>
      </c>
      <c r="G286" s="12">
        <f t="shared" si="23"/>
        <v>4.0909090909090908</v>
      </c>
      <c r="H286">
        <v>21</v>
      </c>
      <c r="I286" s="5">
        <f t="shared" si="22"/>
        <v>0.85909090909090902</v>
      </c>
      <c r="J286" s="5">
        <f t="shared" si="24"/>
        <v>4.0909090909090908</v>
      </c>
      <c r="L286" s="5">
        <f t="shared" si="25"/>
        <v>0</v>
      </c>
      <c r="M286" s="8">
        <v>4.95</v>
      </c>
      <c r="N286" s="2" t="s">
        <v>21</v>
      </c>
      <c r="O286" s="3" t="s">
        <v>63</v>
      </c>
    </row>
    <row r="287" spans="1:15" x14ac:dyDescent="0.35">
      <c r="A287" s="4">
        <v>45357</v>
      </c>
      <c r="B287" s="2" t="s">
        <v>730</v>
      </c>
      <c r="D287" s="2" t="s">
        <v>94</v>
      </c>
      <c r="E287" s="2" t="s">
        <v>139</v>
      </c>
      <c r="F287" s="5" t="str">
        <f t="shared" si="5"/>
        <v>00002-2024/A0104/00002636 BIGMAT</v>
      </c>
      <c r="G287" s="12">
        <f t="shared" si="23"/>
        <v>851.74380165289256</v>
      </c>
      <c r="H287">
        <v>21</v>
      </c>
      <c r="I287" s="5">
        <f>G287*H287/100</f>
        <v>178.86619834710743</v>
      </c>
      <c r="J287" s="5">
        <f t="shared" si="24"/>
        <v>851.74380165289256</v>
      </c>
      <c r="L287" s="5">
        <f t="shared" si="25"/>
        <v>0</v>
      </c>
      <c r="M287" s="8">
        <v>1030.6099999999999</v>
      </c>
      <c r="N287" s="2" t="s">
        <v>21</v>
      </c>
      <c r="O287" s="3" t="s">
        <v>63</v>
      </c>
    </row>
    <row r="288" spans="1:15" x14ac:dyDescent="0.35">
      <c r="A288" s="4">
        <v>45357</v>
      </c>
      <c r="B288" s="2" t="s">
        <v>731</v>
      </c>
      <c r="D288" s="2" t="s">
        <v>94</v>
      </c>
      <c r="E288" s="2" t="s">
        <v>139</v>
      </c>
      <c r="F288" s="5" t="str">
        <f t="shared" si="5"/>
        <v>00002-2024/A0121/00000523 BIGMAT</v>
      </c>
      <c r="G288" s="12">
        <f t="shared" si="23"/>
        <v>47.561983471074377</v>
      </c>
      <c r="H288">
        <v>21</v>
      </c>
      <c r="I288" s="5">
        <f>G288*H288/100</f>
        <v>9.9880165289256198</v>
      </c>
      <c r="J288" s="5">
        <f t="shared" si="24"/>
        <v>47.561983471074377</v>
      </c>
      <c r="L288" s="5">
        <f t="shared" si="25"/>
        <v>0</v>
      </c>
      <c r="M288" s="8">
        <v>57.55</v>
      </c>
      <c r="N288" s="2" t="s">
        <v>21</v>
      </c>
      <c r="O288" s="3" t="s">
        <v>63</v>
      </c>
    </row>
    <row r="289" spans="1:15" x14ac:dyDescent="0.35">
      <c r="A289" s="4">
        <v>45358</v>
      </c>
      <c r="B289" s="2" t="s">
        <v>732</v>
      </c>
      <c r="D289" s="2" t="s">
        <v>58</v>
      </c>
      <c r="E289" s="2" t="s">
        <v>325</v>
      </c>
      <c r="F289" s="5" t="str">
        <f t="shared" si="5"/>
        <v>024-0003-961312 BRICOLAJE BRICOMAN SL</v>
      </c>
      <c r="G289" s="12">
        <f t="shared" si="23"/>
        <v>74.809917355371894</v>
      </c>
      <c r="H289">
        <v>21</v>
      </c>
      <c r="I289" s="5">
        <f t="shared" ref="I289:I349" si="26">G289*H289/100</f>
        <v>15.710082644628098</v>
      </c>
      <c r="J289" s="5">
        <f t="shared" si="24"/>
        <v>74.809917355371894</v>
      </c>
      <c r="L289" s="5">
        <f t="shared" si="25"/>
        <v>0</v>
      </c>
      <c r="M289" s="8">
        <v>90.52</v>
      </c>
      <c r="N289" s="2" t="s">
        <v>21</v>
      </c>
      <c r="O289" s="3" t="s">
        <v>63</v>
      </c>
    </row>
    <row r="290" spans="1:15" x14ac:dyDescent="0.35">
      <c r="A290" s="4">
        <v>45358</v>
      </c>
      <c r="B290" s="2" t="s">
        <v>733</v>
      </c>
      <c r="D290" s="2" t="s">
        <v>58</v>
      </c>
      <c r="E290" s="2" t="s">
        <v>325</v>
      </c>
      <c r="F290" s="5" t="str">
        <f t="shared" ref="F290:F390" si="27">CONCATENATE(S290,B290," ",E290)</f>
        <v>024-0003-961431 BRICOLAJE BRICOMAN SL</v>
      </c>
      <c r="G290" s="12">
        <f t="shared" si="23"/>
        <v>33.016528925619838</v>
      </c>
      <c r="H290">
        <v>21</v>
      </c>
      <c r="I290" s="5">
        <f t="shared" si="26"/>
        <v>6.933471074380166</v>
      </c>
      <c r="J290" s="5">
        <f t="shared" si="24"/>
        <v>33.016528925619838</v>
      </c>
      <c r="L290" s="5">
        <f t="shared" si="25"/>
        <v>0</v>
      </c>
      <c r="M290" s="8">
        <v>39.950000000000003</v>
      </c>
      <c r="N290" s="2" t="s">
        <v>21</v>
      </c>
      <c r="O290" s="3" t="s">
        <v>63</v>
      </c>
    </row>
    <row r="291" spans="1:15" x14ac:dyDescent="0.35">
      <c r="A291" s="4">
        <v>45359</v>
      </c>
      <c r="B291" s="2" t="s">
        <v>734</v>
      </c>
      <c r="D291" s="2" t="s">
        <v>58</v>
      </c>
      <c r="E291" s="2" t="s">
        <v>325</v>
      </c>
      <c r="F291" s="5" t="str">
        <f t="shared" si="27"/>
        <v>012-0003-745526 BRICOLAJE BRICOMAN SL</v>
      </c>
      <c r="G291" s="12">
        <f t="shared" si="23"/>
        <v>29.462809917355372</v>
      </c>
      <c r="H291">
        <v>21</v>
      </c>
      <c r="I291" s="5">
        <f t="shared" si="26"/>
        <v>6.1871900826446282</v>
      </c>
      <c r="J291" s="5">
        <f t="shared" si="24"/>
        <v>29.462809917355372</v>
      </c>
      <c r="L291" s="5">
        <f t="shared" si="25"/>
        <v>0</v>
      </c>
      <c r="M291" s="8">
        <v>35.65</v>
      </c>
      <c r="N291" s="2" t="s">
        <v>21</v>
      </c>
      <c r="O291" s="3" t="s">
        <v>63</v>
      </c>
    </row>
    <row r="292" spans="1:15" x14ac:dyDescent="0.35">
      <c r="A292" s="4">
        <v>45359</v>
      </c>
      <c r="B292" s="2" t="s">
        <v>735</v>
      </c>
      <c r="D292" s="2" t="s">
        <v>101</v>
      </c>
      <c r="E292" s="2" t="s">
        <v>425</v>
      </c>
      <c r="F292" s="5" t="str">
        <f t="shared" si="27"/>
        <v>FACG 1837 ESCAYOLAS EUROPA SL</v>
      </c>
      <c r="G292" s="12">
        <f t="shared" si="23"/>
        <v>352.47933884297521</v>
      </c>
      <c r="H292">
        <v>21</v>
      </c>
      <c r="I292" s="5">
        <f t="shared" si="26"/>
        <v>74.02066115702479</v>
      </c>
      <c r="J292" s="5">
        <f t="shared" si="24"/>
        <v>352.47933884297521</v>
      </c>
      <c r="L292" s="5">
        <f t="shared" si="25"/>
        <v>0</v>
      </c>
      <c r="M292" s="8">
        <v>426.5</v>
      </c>
      <c r="N292" s="2" t="s">
        <v>21</v>
      </c>
      <c r="O292" s="3" t="s">
        <v>63</v>
      </c>
    </row>
    <row r="293" spans="1:15" x14ac:dyDescent="0.35">
      <c r="A293" s="4">
        <v>45359</v>
      </c>
      <c r="B293" s="2" t="s">
        <v>736</v>
      </c>
      <c r="D293" s="2" t="s">
        <v>101</v>
      </c>
      <c r="E293" s="2" t="s">
        <v>425</v>
      </c>
      <c r="F293" s="5" t="str">
        <f t="shared" si="27"/>
        <v>FACG 1850 ESCAYOLAS EUROPA SL</v>
      </c>
      <c r="G293" s="12">
        <f t="shared" si="23"/>
        <v>166.47933884297521</v>
      </c>
      <c r="H293">
        <v>21</v>
      </c>
      <c r="I293" s="5">
        <f t="shared" si="26"/>
        <v>34.960661157024795</v>
      </c>
      <c r="J293" s="5">
        <f t="shared" si="24"/>
        <v>166.47933884297521</v>
      </c>
      <c r="L293" s="5">
        <f t="shared" si="25"/>
        <v>0</v>
      </c>
      <c r="M293" s="8">
        <v>201.44</v>
      </c>
      <c r="N293" s="2" t="s">
        <v>21</v>
      </c>
      <c r="O293" s="3" t="s">
        <v>63</v>
      </c>
    </row>
    <row r="294" spans="1:15" x14ac:dyDescent="0.35">
      <c r="A294" s="4">
        <v>45360</v>
      </c>
      <c r="B294" s="2" t="s">
        <v>737</v>
      </c>
      <c r="D294" s="2" t="s">
        <v>738</v>
      </c>
      <c r="E294" s="2" t="s">
        <v>739</v>
      </c>
      <c r="F294" s="5" t="str">
        <f t="shared" si="27"/>
        <v>1 24 0005 0001025861 DECATHLON</v>
      </c>
      <c r="G294" s="12">
        <v>41.31</v>
      </c>
      <c r="H294">
        <v>21</v>
      </c>
      <c r="I294" s="5">
        <f t="shared" si="26"/>
        <v>8.6751000000000005</v>
      </c>
      <c r="J294" s="5">
        <v>11.79</v>
      </c>
      <c r="K294" s="5">
        <v>10</v>
      </c>
      <c r="L294" s="5">
        <f t="shared" si="25"/>
        <v>1.1789999999999998</v>
      </c>
      <c r="M294" s="8">
        <v>62.95</v>
      </c>
      <c r="N294" s="2" t="s">
        <v>21</v>
      </c>
      <c r="O294" s="3" t="s">
        <v>63</v>
      </c>
    </row>
    <row r="295" spans="1:15" x14ac:dyDescent="0.35">
      <c r="A295" s="4">
        <v>45359</v>
      </c>
      <c r="B295" s="2" t="s">
        <v>740</v>
      </c>
      <c r="D295" s="2" t="s">
        <v>94</v>
      </c>
      <c r="E295" s="2" t="s">
        <v>139</v>
      </c>
      <c r="F295" s="5" t="str">
        <f t="shared" si="27"/>
        <v>00002-2024/A0103/00004850 BIGMAT</v>
      </c>
      <c r="G295" s="12">
        <f t="shared" si="23"/>
        <v>39.049586776859506</v>
      </c>
      <c r="H295">
        <v>21</v>
      </c>
      <c r="I295" s="5">
        <f t="shared" si="26"/>
        <v>8.2004132231404956</v>
      </c>
      <c r="J295" s="5">
        <f t="shared" si="24"/>
        <v>39.049586776859506</v>
      </c>
      <c r="L295" s="5">
        <f t="shared" si="25"/>
        <v>0</v>
      </c>
      <c r="M295" s="8">
        <v>47.25</v>
      </c>
      <c r="N295" s="2" t="s">
        <v>21</v>
      </c>
      <c r="O295" s="3" t="s">
        <v>63</v>
      </c>
    </row>
    <row r="296" spans="1:15" x14ac:dyDescent="0.35">
      <c r="A296" s="4">
        <v>45362</v>
      </c>
      <c r="B296" s="2" t="s">
        <v>741</v>
      </c>
      <c r="D296" s="2" t="s">
        <v>101</v>
      </c>
      <c r="E296" s="2" t="s">
        <v>425</v>
      </c>
      <c r="F296" s="5" t="str">
        <f t="shared" si="27"/>
        <v>FACG 1881 ESCAYOLAS EUROPA SL</v>
      </c>
      <c r="G296" s="12">
        <f t="shared" si="23"/>
        <v>292.4628099173554</v>
      </c>
      <c r="H296">
        <v>21</v>
      </c>
      <c r="I296" s="5">
        <f t="shared" si="26"/>
        <v>61.417190082644638</v>
      </c>
      <c r="J296" s="5">
        <f t="shared" si="24"/>
        <v>292.4628099173554</v>
      </c>
      <c r="L296" s="5">
        <f t="shared" si="25"/>
        <v>0</v>
      </c>
      <c r="M296" s="8">
        <v>353.88</v>
      </c>
      <c r="N296" s="2" t="s">
        <v>21</v>
      </c>
      <c r="O296" s="3" t="s">
        <v>63</v>
      </c>
    </row>
    <row r="297" spans="1:15" x14ac:dyDescent="0.35">
      <c r="A297" s="4">
        <v>45362</v>
      </c>
      <c r="B297" s="2" t="s">
        <v>742</v>
      </c>
      <c r="D297" s="2" t="s">
        <v>94</v>
      </c>
      <c r="E297" s="2" t="s">
        <v>139</v>
      </c>
      <c r="F297" s="5" t="str">
        <f t="shared" si="27"/>
        <v>00002-2024/A0103/00004958 BIGMAT</v>
      </c>
      <c r="G297" s="12">
        <f t="shared" si="23"/>
        <v>5.6859504132231402</v>
      </c>
      <c r="H297">
        <v>21</v>
      </c>
      <c r="I297" s="5">
        <f t="shared" si="26"/>
        <v>1.1940495867768595</v>
      </c>
      <c r="J297" s="5">
        <f t="shared" si="24"/>
        <v>5.6859504132231402</v>
      </c>
      <c r="L297" s="5">
        <f t="shared" si="25"/>
        <v>0</v>
      </c>
      <c r="M297" s="8">
        <v>6.88</v>
      </c>
      <c r="N297" s="2" t="s">
        <v>21</v>
      </c>
      <c r="O297" s="3" t="s">
        <v>63</v>
      </c>
    </row>
    <row r="298" spans="1:15" x14ac:dyDescent="0.35">
      <c r="A298" s="4">
        <v>45363</v>
      </c>
      <c r="B298" s="2" t="s">
        <v>743</v>
      </c>
      <c r="D298" s="2" t="s">
        <v>440</v>
      </c>
      <c r="E298" s="2" t="s">
        <v>744</v>
      </c>
      <c r="F298" s="5" t="str">
        <f t="shared" si="27"/>
        <v>FC2024-00000018 NEUMATICOS BEETLECAR SC</v>
      </c>
      <c r="G298" s="12">
        <f t="shared" si="23"/>
        <v>514.52066115702485</v>
      </c>
      <c r="H298">
        <v>21</v>
      </c>
      <c r="I298" s="5">
        <f t="shared" si="26"/>
        <v>108.04933884297522</v>
      </c>
      <c r="J298" s="5">
        <f t="shared" si="24"/>
        <v>514.52066115702485</v>
      </c>
      <c r="L298" s="5">
        <f t="shared" si="25"/>
        <v>0</v>
      </c>
      <c r="M298" s="8">
        <v>622.57000000000005</v>
      </c>
      <c r="N298" s="2" t="s">
        <v>21</v>
      </c>
      <c r="O298" s="3" t="s">
        <v>63</v>
      </c>
    </row>
    <row r="299" spans="1:15" x14ac:dyDescent="0.35">
      <c r="A299" s="4">
        <v>45359</v>
      </c>
      <c r="B299" s="2" t="s">
        <v>745</v>
      </c>
      <c r="D299" s="2" t="s">
        <v>82</v>
      </c>
      <c r="E299" s="2" t="s">
        <v>138</v>
      </c>
      <c r="F299" s="5" t="str">
        <f t="shared" si="27"/>
        <v>CO F24 0100000623 FILTROS ANCORA</v>
      </c>
      <c r="G299" s="12">
        <f t="shared" si="23"/>
        <v>7.0000000000000009</v>
      </c>
      <c r="H299">
        <v>21</v>
      </c>
      <c r="I299" s="5">
        <f t="shared" si="26"/>
        <v>1.4700000000000002</v>
      </c>
      <c r="J299" s="5">
        <f t="shared" si="24"/>
        <v>7.0000000000000009</v>
      </c>
      <c r="L299" s="5">
        <f t="shared" si="25"/>
        <v>0</v>
      </c>
      <c r="M299" s="8">
        <v>8.4700000000000006</v>
      </c>
      <c r="N299" s="2" t="s">
        <v>21</v>
      </c>
      <c r="O299" s="3" t="s">
        <v>63</v>
      </c>
    </row>
    <row r="300" spans="1:15" x14ac:dyDescent="0.35">
      <c r="A300" s="4">
        <v>45363</v>
      </c>
      <c r="B300" s="2" t="s">
        <v>746</v>
      </c>
      <c r="D300" s="2" t="s">
        <v>85</v>
      </c>
      <c r="E300" s="2" t="s">
        <v>32</v>
      </c>
      <c r="F300" s="5" t="str">
        <f t="shared" si="27"/>
        <v>20240030 XVENT</v>
      </c>
      <c r="G300" s="12">
        <f t="shared" si="23"/>
        <v>4558.2727272727279</v>
      </c>
      <c r="H300">
        <v>21</v>
      </c>
      <c r="I300" s="5">
        <f t="shared" si="26"/>
        <v>957.23727272727297</v>
      </c>
      <c r="J300" s="5">
        <f t="shared" si="24"/>
        <v>4558.2727272727279</v>
      </c>
      <c r="L300" s="5">
        <f t="shared" si="25"/>
        <v>0</v>
      </c>
      <c r="M300" s="8">
        <v>5515.51</v>
      </c>
      <c r="N300" s="2" t="s">
        <v>37</v>
      </c>
      <c r="O300" s="3" t="s">
        <v>68</v>
      </c>
    </row>
    <row r="301" spans="1:15" x14ac:dyDescent="0.35">
      <c r="A301" s="4">
        <v>45363</v>
      </c>
      <c r="B301" s="2" t="s">
        <v>747</v>
      </c>
      <c r="D301" s="2" t="s">
        <v>85</v>
      </c>
      <c r="E301" s="2" t="s">
        <v>32</v>
      </c>
      <c r="F301" s="5" t="str">
        <f t="shared" si="27"/>
        <v>20240031 XVENT</v>
      </c>
      <c r="G301" s="12">
        <f t="shared" si="23"/>
        <v>1762.7851239669421</v>
      </c>
      <c r="H301">
        <v>21</v>
      </c>
      <c r="I301" s="5">
        <f t="shared" si="26"/>
        <v>370.18487603305789</v>
      </c>
      <c r="J301" s="5">
        <f t="shared" si="24"/>
        <v>1762.7851239669421</v>
      </c>
      <c r="L301" s="5">
        <f t="shared" si="25"/>
        <v>0</v>
      </c>
      <c r="M301" s="8">
        <v>2132.9699999999998</v>
      </c>
      <c r="N301" s="2" t="s">
        <v>37</v>
      </c>
      <c r="O301" s="3" t="s">
        <v>68</v>
      </c>
    </row>
    <row r="302" spans="1:15" x14ac:dyDescent="0.35">
      <c r="A302" s="4">
        <v>45363</v>
      </c>
      <c r="B302" s="2" t="s">
        <v>748</v>
      </c>
      <c r="D302" s="2" t="s">
        <v>85</v>
      </c>
      <c r="E302" s="2" t="s">
        <v>32</v>
      </c>
      <c r="F302" s="5" t="str">
        <f t="shared" si="27"/>
        <v>20240032 XVENT</v>
      </c>
      <c r="G302" s="12">
        <f t="shared" si="23"/>
        <v>2261.0330578512398</v>
      </c>
      <c r="H302">
        <v>21</v>
      </c>
      <c r="I302" s="5">
        <f t="shared" si="26"/>
        <v>474.81694214876035</v>
      </c>
      <c r="J302" s="5">
        <f t="shared" si="24"/>
        <v>2261.0330578512398</v>
      </c>
      <c r="L302" s="5">
        <f t="shared" si="25"/>
        <v>0</v>
      </c>
      <c r="M302" s="8">
        <v>2735.85</v>
      </c>
      <c r="N302" s="2" t="s">
        <v>37</v>
      </c>
      <c r="O302" s="3" t="s">
        <v>68</v>
      </c>
    </row>
    <row r="303" spans="1:15" x14ac:dyDescent="0.35">
      <c r="A303" s="4">
        <v>45363</v>
      </c>
      <c r="B303" s="2" t="s">
        <v>749</v>
      </c>
      <c r="D303" s="2" t="s">
        <v>85</v>
      </c>
      <c r="E303" s="2" t="s">
        <v>32</v>
      </c>
      <c r="F303" s="5" t="str">
        <f t="shared" si="27"/>
        <v>20240033 XVENT</v>
      </c>
      <c r="G303" s="12">
        <f t="shared" si="23"/>
        <v>2333.6033057851241</v>
      </c>
      <c r="H303">
        <v>21</v>
      </c>
      <c r="I303" s="5">
        <f t="shared" si="26"/>
        <v>490.05669421487602</v>
      </c>
      <c r="J303" s="5">
        <f t="shared" si="24"/>
        <v>2333.6033057851241</v>
      </c>
      <c r="L303" s="5">
        <f t="shared" si="25"/>
        <v>0</v>
      </c>
      <c r="M303" s="8">
        <v>2823.66</v>
      </c>
      <c r="N303" s="2" t="s">
        <v>37</v>
      </c>
      <c r="O303" s="3" t="s">
        <v>68</v>
      </c>
    </row>
    <row r="304" spans="1:15" x14ac:dyDescent="0.35">
      <c r="A304" s="4">
        <v>45339</v>
      </c>
      <c r="B304" s="2" t="s">
        <v>751</v>
      </c>
      <c r="D304" s="2" t="s">
        <v>57</v>
      </c>
      <c r="E304" s="2" t="s">
        <v>44</v>
      </c>
      <c r="F304" s="5" t="str">
        <f t="shared" si="27"/>
        <v>097-0002-124946 LEROY MERLIN</v>
      </c>
      <c r="G304" s="12">
        <f t="shared" si="23"/>
        <v>25.504132231404959</v>
      </c>
      <c r="H304">
        <v>21</v>
      </c>
      <c r="I304" s="5">
        <f t="shared" si="26"/>
        <v>5.3558677685950418</v>
      </c>
      <c r="J304" s="5">
        <f t="shared" si="24"/>
        <v>25.504132231404959</v>
      </c>
      <c r="L304" s="5">
        <f t="shared" si="25"/>
        <v>0</v>
      </c>
      <c r="M304" s="8">
        <v>30.86</v>
      </c>
      <c r="N304" s="2" t="s">
        <v>21</v>
      </c>
      <c r="O304" s="3" t="s">
        <v>63</v>
      </c>
    </row>
    <row r="305" spans="1:15" x14ac:dyDescent="0.35">
      <c r="A305" s="4">
        <v>45339</v>
      </c>
      <c r="B305" s="2" t="s">
        <v>752</v>
      </c>
      <c r="D305" s="2" t="s">
        <v>57</v>
      </c>
      <c r="E305" s="2" t="s">
        <v>44</v>
      </c>
      <c r="F305" s="5" t="str">
        <f t="shared" si="27"/>
        <v>097-0002-124947 LEROY MERLIN</v>
      </c>
      <c r="G305" s="12">
        <f t="shared" si="23"/>
        <v>131.25619834710744</v>
      </c>
      <c r="H305">
        <v>21</v>
      </c>
      <c r="I305" s="5">
        <f t="shared" si="26"/>
        <v>27.563801652892561</v>
      </c>
      <c r="J305" s="5">
        <f t="shared" si="24"/>
        <v>131.25619834710744</v>
      </c>
      <c r="L305" s="5">
        <f t="shared" si="25"/>
        <v>0</v>
      </c>
      <c r="M305" s="8">
        <v>158.82</v>
      </c>
      <c r="N305" s="2" t="s">
        <v>21</v>
      </c>
      <c r="O305" s="3" t="s">
        <v>63</v>
      </c>
    </row>
    <row r="306" spans="1:15" x14ac:dyDescent="0.35">
      <c r="A306" s="4">
        <v>45339</v>
      </c>
      <c r="B306" s="2" t="s">
        <v>753</v>
      </c>
      <c r="D306" s="2" t="s">
        <v>754</v>
      </c>
      <c r="E306" s="2" t="s">
        <v>755</v>
      </c>
      <c r="F306" s="5" t="str">
        <f t="shared" si="27"/>
        <v>1.381.103 RECAMBIOS ROBERTO SL</v>
      </c>
      <c r="G306" s="12">
        <f t="shared" si="23"/>
        <v>61.983471074380169</v>
      </c>
      <c r="H306">
        <v>21</v>
      </c>
      <c r="I306" s="5">
        <f t="shared" si="26"/>
        <v>13.016528925619836</v>
      </c>
      <c r="J306" s="5">
        <f t="shared" si="24"/>
        <v>61.983471074380169</v>
      </c>
      <c r="L306" s="5">
        <f t="shared" si="25"/>
        <v>0</v>
      </c>
      <c r="M306" s="8">
        <v>75</v>
      </c>
      <c r="N306" s="2" t="s">
        <v>21</v>
      </c>
      <c r="O306" s="3" t="s">
        <v>63</v>
      </c>
    </row>
    <row r="307" spans="1:15" x14ac:dyDescent="0.35">
      <c r="A307" s="4">
        <v>45344</v>
      </c>
      <c r="B307" s="2" t="s">
        <v>756</v>
      </c>
      <c r="D307" s="2" t="s">
        <v>58</v>
      </c>
      <c r="E307" s="2" t="s">
        <v>325</v>
      </c>
      <c r="F307" s="5" t="str">
        <f t="shared" si="27"/>
        <v>024-0002-929697 BRICOLAJE BRICOMAN SL</v>
      </c>
      <c r="G307" s="12">
        <f t="shared" si="23"/>
        <v>13.595041322314049</v>
      </c>
      <c r="H307">
        <v>21</v>
      </c>
      <c r="I307" s="5">
        <f t="shared" si="26"/>
        <v>2.8549586776859504</v>
      </c>
      <c r="J307" s="5">
        <f t="shared" si="24"/>
        <v>13.595041322314049</v>
      </c>
      <c r="L307" s="5">
        <f t="shared" si="25"/>
        <v>0</v>
      </c>
      <c r="M307" s="8">
        <v>16.45</v>
      </c>
      <c r="N307" s="2" t="s">
        <v>21</v>
      </c>
      <c r="O307" s="3" t="s">
        <v>64</v>
      </c>
    </row>
    <row r="308" spans="1:15" x14ac:dyDescent="0.35">
      <c r="A308" s="4">
        <v>45341</v>
      </c>
      <c r="B308" s="2" t="s">
        <v>757</v>
      </c>
      <c r="D308" s="2" t="s">
        <v>35</v>
      </c>
      <c r="E308" s="2" t="s">
        <v>36</v>
      </c>
      <c r="F308" s="5" t="str">
        <f t="shared" si="27"/>
        <v>0240002680 E. LECLERC</v>
      </c>
      <c r="G308" s="12">
        <f t="shared" si="23"/>
        <v>105.55371900826447</v>
      </c>
      <c r="H308">
        <v>21</v>
      </c>
      <c r="I308" s="5">
        <f t="shared" si="26"/>
        <v>22.16628099173554</v>
      </c>
      <c r="J308" s="5">
        <f t="shared" si="24"/>
        <v>105.55371900826447</v>
      </c>
      <c r="L308" s="5">
        <f t="shared" si="25"/>
        <v>0</v>
      </c>
      <c r="M308" s="8">
        <v>127.72</v>
      </c>
      <c r="N308" s="2" t="s">
        <v>22</v>
      </c>
      <c r="O308" s="3" t="s">
        <v>64</v>
      </c>
    </row>
    <row r="309" spans="1:15" x14ac:dyDescent="0.35">
      <c r="A309" s="4">
        <v>45336</v>
      </c>
      <c r="B309" s="2" t="s">
        <v>758</v>
      </c>
      <c r="D309" s="2" t="s">
        <v>35</v>
      </c>
      <c r="E309" s="2" t="s">
        <v>36</v>
      </c>
      <c r="F309" s="5" t="str">
        <f t="shared" si="27"/>
        <v>0240002336 E. LECLERC</v>
      </c>
      <c r="G309" s="12">
        <f t="shared" si="23"/>
        <v>41.32231404958678</v>
      </c>
      <c r="H309">
        <v>21</v>
      </c>
      <c r="I309" s="5">
        <f t="shared" si="26"/>
        <v>8.677685950413224</v>
      </c>
      <c r="J309" s="5">
        <f t="shared" si="24"/>
        <v>41.32231404958678</v>
      </c>
      <c r="L309" s="5">
        <f t="shared" si="25"/>
        <v>0</v>
      </c>
      <c r="M309" s="8">
        <v>50</v>
      </c>
      <c r="N309" s="2" t="s">
        <v>22</v>
      </c>
      <c r="O309" s="3" t="s">
        <v>64</v>
      </c>
    </row>
    <row r="310" spans="1:15" x14ac:dyDescent="0.35">
      <c r="A310" s="4">
        <v>45344</v>
      </c>
      <c r="B310" s="2" t="s">
        <v>759</v>
      </c>
      <c r="D310" s="2" t="s">
        <v>57</v>
      </c>
      <c r="E310" s="2" t="s">
        <v>44</v>
      </c>
      <c r="F310" s="5" t="str">
        <f t="shared" si="27"/>
        <v>046-0002-930089 LEROY MERLIN</v>
      </c>
      <c r="G310" s="12">
        <f t="shared" si="23"/>
        <v>109.00826446280992</v>
      </c>
      <c r="H310">
        <v>21</v>
      </c>
      <c r="I310" s="5">
        <f t="shared" si="26"/>
        <v>22.891735537190083</v>
      </c>
      <c r="J310" s="5">
        <f t="shared" si="24"/>
        <v>109.00826446280992</v>
      </c>
      <c r="L310" s="5">
        <f t="shared" si="25"/>
        <v>0</v>
      </c>
      <c r="M310" s="8">
        <v>131.9</v>
      </c>
      <c r="N310" s="2" t="s">
        <v>21</v>
      </c>
      <c r="O310" s="3" t="s">
        <v>64</v>
      </c>
    </row>
    <row r="311" spans="1:15" x14ac:dyDescent="0.35">
      <c r="A311" s="4">
        <v>45340</v>
      </c>
      <c r="B311" s="2" t="s">
        <v>760</v>
      </c>
      <c r="D311" s="2" t="s">
        <v>291</v>
      </c>
      <c r="E311" s="2" t="s">
        <v>292</v>
      </c>
      <c r="F311" s="5" t="str">
        <f t="shared" si="27"/>
        <v>101137315 WAY ATALAYA SL</v>
      </c>
      <c r="G311" s="12">
        <f t="shared" si="23"/>
        <v>41.520661157024797</v>
      </c>
      <c r="H311">
        <v>21</v>
      </c>
      <c r="I311" s="5">
        <f t="shared" si="26"/>
        <v>8.7193388429752083</v>
      </c>
      <c r="J311" s="5">
        <f t="shared" si="24"/>
        <v>41.520661157024797</v>
      </c>
      <c r="L311" s="5">
        <f t="shared" si="25"/>
        <v>0</v>
      </c>
      <c r="M311" s="8">
        <v>50.24</v>
      </c>
      <c r="N311" s="2" t="s">
        <v>22</v>
      </c>
      <c r="O311" s="3" t="s">
        <v>64</v>
      </c>
    </row>
    <row r="312" spans="1:15" x14ac:dyDescent="0.35">
      <c r="A312" s="4">
        <v>45304</v>
      </c>
      <c r="B312" s="2" t="s">
        <v>761</v>
      </c>
      <c r="D312" s="2" t="s">
        <v>762</v>
      </c>
      <c r="E312" s="2" t="s">
        <v>763</v>
      </c>
      <c r="F312" s="5" t="str">
        <f t="shared" si="27"/>
        <v>5020049210 DORINT</v>
      </c>
      <c r="G312" s="12">
        <v>81.040000000000006</v>
      </c>
      <c r="H312">
        <v>7</v>
      </c>
      <c r="I312" s="5">
        <f t="shared" si="26"/>
        <v>5.6728000000000005</v>
      </c>
      <c r="J312" s="5">
        <v>1.18</v>
      </c>
      <c r="K312" s="5">
        <v>19</v>
      </c>
      <c r="L312" s="5">
        <f t="shared" si="25"/>
        <v>0.22419999999999998</v>
      </c>
      <c r="M312" s="8">
        <v>86.71</v>
      </c>
      <c r="N312" s="2" t="s">
        <v>21</v>
      </c>
      <c r="O312" s="3" t="s">
        <v>63</v>
      </c>
    </row>
    <row r="313" spans="1:15" x14ac:dyDescent="0.35">
      <c r="A313" s="4">
        <v>45359</v>
      </c>
      <c r="B313" s="2" t="s">
        <v>764</v>
      </c>
      <c r="D313" s="2" t="s">
        <v>59</v>
      </c>
      <c r="E313" s="2" t="s">
        <v>43</v>
      </c>
      <c r="F313" s="5" t="str">
        <f t="shared" si="27"/>
        <v>1413105355 EUGENIO PEREDA</v>
      </c>
      <c r="G313" s="12">
        <v>350.04</v>
      </c>
      <c r="H313">
        <v>21</v>
      </c>
      <c r="I313" s="5">
        <f t="shared" si="26"/>
        <v>73.508399999999995</v>
      </c>
      <c r="J313" s="5">
        <f t="shared" si="24"/>
        <v>350.04</v>
      </c>
      <c r="L313" s="5">
        <f t="shared" si="25"/>
        <v>0</v>
      </c>
      <c r="M313" s="8">
        <v>423.55</v>
      </c>
      <c r="N313" s="2" t="s">
        <v>21</v>
      </c>
      <c r="O313" s="3" t="s">
        <v>63</v>
      </c>
    </row>
    <row r="314" spans="1:15" x14ac:dyDescent="0.35">
      <c r="A314" s="4">
        <v>45320</v>
      </c>
      <c r="B314" s="2" t="s">
        <v>765</v>
      </c>
      <c r="D314" s="2" t="s">
        <v>35</v>
      </c>
      <c r="E314" s="2" t="s">
        <v>167</v>
      </c>
      <c r="F314" s="5" t="str">
        <f t="shared" si="27"/>
        <v>0240001471 PINTODIS SL</v>
      </c>
      <c r="G314" s="12">
        <f t="shared" si="23"/>
        <v>41.32231404958678</v>
      </c>
      <c r="H314">
        <v>21</v>
      </c>
      <c r="I314" s="5">
        <f t="shared" si="26"/>
        <v>8.677685950413224</v>
      </c>
      <c r="J314" s="5">
        <f t="shared" si="24"/>
        <v>41.32231404958678</v>
      </c>
      <c r="L314" s="5">
        <f t="shared" si="25"/>
        <v>0</v>
      </c>
      <c r="M314" s="8">
        <v>50</v>
      </c>
      <c r="N314" s="2" t="s">
        <v>22</v>
      </c>
      <c r="O314" s="3" t="s">
        <v>64</v>
      </c>
    </row>
    <row r="315" spans="1:15" x14ac:dyDescent="0.35">
      <c r="A315" s="4">
        <v>45315</v>
      </c>
      <c r="B315" s="2" t="s">
        <v>766</v>
      </c>
      <c r="D315" s="2" t="s">
        <v>255</v>
      </c>
      <c r="E315" s="2" t="s">
        <v>767</v>
      </c>
      <c r="F315" s="5" t="str">
        <f t="shared" si="27"/>
        <v>ES0022S2402128 GROUPE SEB IBERICA SA</v>
      </c>
      <c r="G315" s="12">
        <f t="shared" si="23"/>
        <v>119.17355371900825</v>
      </c>
      <c r="H315">
        <v>21</v>
      </c>
      <c r="I315" s="5">
        <f t="shared" si="26"/>
        <v>25.026446280991731</v>
      </c>
      <c r="J315" s="5">
        <f t="shared" si="24"/>
        <v>119.17355371900825</v>
      </c>
      <c r="L315" s="5">
        <f t="shared" si="25"/>
        <v>0</v>
      </c>
      <c r="M315" s="8">
        <v>144.19999999999999</v>
      </c>
      <c r="N315" s="2" t="s">
        <v>21</v>
      </c>
      <c r="O315" s="3" t="s">
        <v>63</v>
      </c>
    </row>
    <row r="316" spans="1:15" x14ac:dyDescent="0.35">
      <c r="A316" s="4">
        <v>45342</v>
      </c>
      <c r="B316" s="2" t="s">
        <v>768</v>
      </c>
      <c r="D316" s="2" t="s">
        <v>59</v>
      </c>
      <c r="E316" s="2" t="s">
        <v>43</v>
      </c>
      <c r="F316" s="5" t="str">
        <f t="shared" si="27"/>
        <v>1416101495 EUGENIO PEREDA</v>
      </c>
      <c r="G316" s="12">
        <f t="shared" si="23"/>
        <v>509.65289256198344</v>
      </c>
      <c r="H316">
        <v>21</v>
      </c>
      <c r="I316" s="5">
        <f t="shared" si="26"/>
        <v>107.02710743801651</v>
      </c>
      <c r="J316" s="5">
        <f t="shared" si="24"/>
        <v>509.65289256198344</v>
      </c>
      <c r="L316" s="5">
        <f t="shared" si="25"/>
        <v>0</v>
      </c>
      <c r="M316" s="8">
        <v>616.67999999999995</v>
      </c>
      <c r="N316" s="2" t="s">
        <v>21</v>
      </c>
      <c r="O316" s="3" t="s">
        <v>64</v>
      </c>
    </row>
    <row r="317" spans="1:15" x14ac:dyDescent="0.35">
      <c r="A317" s="4">
        <v>45056</v>
      </c>
      <c r="B317" s="2" t="s">
        <v>769</v>
      </c>
      <c r="D317" s="2" t="s">
        <v>75</v>
      </c>
      <c r="E317" s="2" t="s">
        <v>97</v>
      </c>
      <c r="F317" s="5" t="str">
        <f t="shared" si="27"/>
        <v>ORD_031_2023/0019985 IKEA</v>
      </c>
      <c r="G317" s="12">
        <f t="shared" si="23"/>
        <v>162.28099173553721</v>
      </c>
      <c r="H317">
        <v>21</v>
      </c>
      <c r="I317" s="5">
        <f t="shared" si="26"/>
        <v>34.079008264462814</v>
      </c>
      <c r="J317" s="5">
        <f t="shared" si="24"/>
        <v>162.28099173553721</v>
      </c>
      <c r="L317" s="5">
        <f t="shared" si="25"/>
        <v>0</v>
      </c>
      <c r="M317" s="8">
        <v>196.36</v>
      </c>
      <c r="N317" s="2" t="s">
        <v>21</v>
      </c>
      <c r="O317" s="3" t="s">
        <v>63</v>
      </c>
    </row>
    <row r="318" spans="1:15" x14ac:dyDescent="0.35">
      <c r="A318" s="4">
        <v>45340</v>
      </c>
      <c r="B318" s="2" t="s">
        <v>770</v>
      </c>
      <c r="D318" s="2" t="s">
        <v>60</v>
      </c>
      <c r="E318" s="2" t="s">
        <v>24</v>
      </c>
      <c r="F318" s="5" t="str">
        <f t="shared" si="27"/>
        <v>096670/A/24/001351 REPSOL</v>
      </c>
      <c r="G318" s="12">
        <f t="shared" si="23"/>
        <v>41.32231404958678</v>
      </c>
      <c r="H318">
        <v>21</v>
      </c>
      <c r="I318" s="5">
        <f t="shared" si="26"/>
        <v>8.677685950413224</v>
      </c>
      <c r="J318" s="5">
        <f t="shared" si="24"/>
        <v>41.32231404958678</v>
      </c>
      <c r="L318" s="5">
        <f t="shared" si="25"/>
        <v>0</v>
      </c>
      <c r="M318" s="8">
        <v>50</v>
      </c>
      <c r="N318" s="2" t="s">
        <v>22</v>
      </c>
      <c r="O318" s="3" t="s">
        <v>64</v>
      </c>
    </row>
    <row r="319" spans="1:15" x14ac:dyDescent="0.35">
      <c r="A319" s="4">
        <v>45351</v>
      </c>
      <c r="B319" s="2" t="s">
        <v>771</v>
      </c>
      <c r="D319" s="2" t="s">
        <v>60</v>
      </c>
      <c r="E319" s="2" t="s">
        <v>24</v>
      </c>
      <c r="F319" s="5" t="str">
        <f t="shared" si="27"/>
        <v>096671/A/24/001414 REPSOL</v>
      </c>
      <c r="G319" s="12">
        <f t="shared" si="23"/>
        <v>62.421487603305785</v>
      </c>
      <c r="H319">
        <v>21</v>
      </c>
      <c r="I319" s="5">
        <f t="shared" si="26"/>
        <v>13.108512396694215</v>
      </c>
      <c r="J319" s="5">
        <f t="shared" si="24"/>
        <v>62.421487603305785</v>
      </c>
      <c r="L319" s="5">
        <f t="shared" si="25"/>
        <v>0</v>
      </c>
      <c r="M319" s="8">
        <v>75.53</v>
      </c>
      <c r="N319" s="2" t="s">
        <v>22</v>
      </c>
      <c r="O319" s="3" t="s">
        <v>64</v>
      </c>
    </row>
    <row r="320" spans="1:15" x14ac:dyDescent="0.35">
      <c r="A320" s="4">
        <v>45349</v>
      </c>
      <c r="B320" s="2" t="s">
        <v>772</v>
      </c>
      <c r="D320" s="2" t="s">
        <v>773</v>
      </c>
      <c r="E320" s="2" t="s">
        <v>774</v>
      </c>
      <c r="F320" s="5" t="str">
        <f t="shared" si="27"/>
        <v>249000280617 PETROPRIX</v>
      </c>
      <c r="G320" s="12">
        <f t="shared" si="23"/>
        <v>33.057851239669425</v>
      </c>
      <c r="H320">
        <v>21</v>
      </c>
      <c r="I320" s="5">
        <f t="shared" si="26"/>
        <v>6.9421487603305794</v>
      </c>
      <c r="J320" s="5">
        <f t="shared" si="24"/>
        <v>33.057851239669425</v>
      </c>
      <c r="L320" s="5">
        <f t="shared" si="25"/>
        <v>0</v>
      </c>
      <c r="M320" s="8">
        <v>40</v>
      </c>
      <c r="N320" s="2" t="s">
        <v>22</v>
      </c>
      <c r="O320" s="3" t="s">
        <v>64</v>
      </c>
    </row>
    <row r="321" spans="1:15" x14ac:dyDescent="0.35">
      <c r="A321" s="4">
        <v>45325</v>
      </c>
      <c r="B321" s="2" t="s">
        <v>775</v>
      </c>
      <c r="D321" s="2" t="s">
        <v>168</v>
      </c>
      <c r="E321" s="2" t="s">
        <v>169</v>
      </c>
      <c r="F321" s="5" t="str">
        <f t="shared" si="27"/>
        <v>24236200886 BALLENOIL</v>
      </c>
      <c r="G321" s="12">
        <f t="shared" si="23"/>
        <v>24.793388429752067</v>
      </c>
      <c r="H321">
        <v>21</v>
      </c>
      <c r="I321" s="5">
        <f t="shared" si="26"/>
        <v>5.2066115702479339</v>
      </c>
      <c r="J321" s="5">
        <f t="shared" si="24"/>
        <v>24.793388429752067</v>
      </c>
      <c r="L321" s="5">
        <f t="shared" si="25"/>
        <v>0</v>
      </c>
      <c r="M321" s="8">
        <v>30</v>
      </c>
      <c r="N321" s="2" t="s">
        <v>22</v>
      </c>
      <c r="O321" s="3" t="s">
        <v>64</v>
      </c>
    </row>
    <row r="322" spans="1:15" x14ac:dyDescent="0.35">
      <c r="A322" s="4">
        <v>45363</v>
      </c>
      <c r="B322" s="2" t="s">
        <v>776</v>
      </c>
      <c r="D322" s="2" t="s">
        <v>27</v>
      </c>
      <c r="E322" s="2" t="s">
        <v>301</v>
      </c>
      <c r="F322" s="5" t="str">
        <f t="shared" si="27"/>
        <v xml:space="preserve">2024/000118 PADRISA </v>
      </c>
      <c r="G322" s="12">
        <f t="shared" si="23"/>
        <v>652.18181818181824</v>
      </c>
      <c r="H322">
        <v>21</v>
      </c>
      <c r="I322" s="5">
        <f t="shared" si="26"/>
        <v>136.95818181818183</v>
      </c>
      <c r="J322" s="5">
        <f t="shared" si="24"/>
        <v>652.18181818181824</v>
      </c>
      <c r="L322" s="5">
        <f t="shared" si="25"/>
        <v>0</v>
      </c>
      <c r="M322" s="8">
        <v>789.14</v>
      </c>
      <c r="N322" s="2" t="s">
        <v>53</v>
      </c>
      <c r="O322" s="3" t="s">
        <v>68</v>
      </c>
    </row>
    <row r="323" spans="1:15" x14ac:dyDescent="0.35">
      <c r="A323" s="4">
        <v>45317</v>
      </c>
      <c r="B323" s="2" t="s">
        <v>778</v>
      </c>
      <c r="D323" s="2" t="s">
        <v>29</v>
      </c>
      <c r="E323" s="2" t="s">
        <v>76</v>
      </c>
      <c r="F323" s="5" t="str">
        <f t="shared" si="27"/>
        <v>5477202400004157 COSTCO</v>
      </c>
      <c r="G323" s="12">
        <f t="shared" si="23"/>
        <v>70.231404958677686</v>
      </c>
      <c r="H323">
        <v>21</v>
      </c>
      <c r="I323" s="5">
        <f t="shared" si="26"/>
        <v>14.748595041322314</v>
      </c>
      <c r="J323" s="5">
        <f t="shared" si="24"/>
        <v>70.231404958677686</v>
      </c>
      <c r="L323" s="5">
        <f t="shared" si="25"/>
        <v>0</v>
      </c>
      <c r="M323" s="8">
        <v>84.98</v>
      </c>
      <c r="N323" s="2" t="s">
        <v>22</v>
      </c>
      <c r="O323" s="3" t="s">
        <v>63</v>
      </c>
    </row>
    <row r="324" spans="1:15" x14ac:dyDescent="0.35">
      <c r="A324" s="4">
        <v>45328</v>
      </c>
      <c r="B324" s="2" t="s">
        <v>779</v>
      </c>
      <c r="D324" s="2" t="s">
        <v>29</v>
      </c>
      <c r="E324" s="2" t="s">
        <v>76</v>
      </c>
      <c r="F324" s="5" t="str">
        <f t="shared" si="27"/>
        <v>5477202400007436 COSTCO</v>
      </c>
      <c r="G324" s="12">
        <f t="shared" si="23"/>
        <v>45.446280991735541</v>
      </c>
      <c r="H324">
        <v>21</v>
      </c>
      <c r="I324" s="5">
        <f t="shared" si="26"/>
        <v>9.5437190082644641</v>
      </c>
      <c r="J324" s="5">
        <f t="shared" si="24"/>
        <v>45.446280991735541</v>
      </c>
      <c r="L324" s="5">
        <f t="shared" si="25"/>
        <v>0</v>
      </c>
      <c r="M324" s="8">
        <v>54.99</v>
      </c>
      <c r="N324" s="2" t="s">
        <v>22</v>
      </c>
      <c r="O324" s="3" t="s">
        <v>63</v>
      </c>
    </row>
    <row r="325" spans="1:15" x14ac:dyDescent="0.35">
      <c r="A325" s="4">
        <v>45335</v>
      </c>
      <c r="B325" s="2" t="s">
        <v>780</v>
      </c>
      <c r="D325" s="2" t="s">
        <v>29</v>
      </c>
      <c r="E325" s="2" t="s">
        <v>76</v>
      </c>
      <c r="F325" s="5" t="str">
        <f t="shared" si="27"/>
        <v>5477202400698243 COSTCO</v>
      </c>
      <c r="G325" s="12">
        <f t="shared" si="23"/>
        <v>82.644628099173559</v>
      </c>
      <c r="H325">
        <v>21</v>
      </c>
      <c r="I325" s="5">
        <f t="shared" si="26"/>
        <v>17.355371900826448</v>
      </c>
      <c r="J325" s="5">
        <f t="shared" si="24"/>
        <v>82.644628099173559</v>
      </c>
      <c r="L325" s="5">
        <f t="shared" si="25"/>
        <v>0</v>
      </c>
      <c r="M325" s="8">
        <v>100</v>
      </c>
      <c r="N325" s="2" t="s">
        <v>22</v>
      </c>
      <c r="O325" s="3" t="s">
        <v>63</v>
      </c>
    </row>
    <row r="326" spans="1:15" x14ac:dyDescent="0.35">
      <c r="A326" s="4">
        <v>45348</v>
      </c>
      <c r="B326" s="2" t="s">
        <v>781</v>
      </c>
      <c r="D326" s="2" t="s">
        <v>29</v>
      </c>
      <c r="E326" s="2" t="s">
        <v>76</v>
      </c>
      <c r="F326" s="5" t="str">
        <f t="shared" si="27"/>
        <v>5477202400366543 COSTCO</v>
      </c>
      <c r="G326" s="12">
        <f t="shared" si="23"/>
        <v>62.983471074380162</v>
      </c>
      <c r="H326">
        <v>21</v>
      </c>
      <c r="I326" s="5">
        <f t="shared" si="26"/>
        <v>13.226528925619835</v>
      </c>
      <c r="J326" s="5">
        <f t="shared" si="24"/>
        <v>62.983471074380162</v>
      </c>
      <c r="L326" s="5">
        <f t="shared" si="25"/>
        <v>0</v>
      </c>
      <c r="M326" s="8">
        <v>76.209999999999994</v>
      </c>
      <c r="N326" s="2" t="s">
        <v>22</v>
      </c>
      <c r="O326" s="3" t="s">
        <v>63</v>
      </c>
    </row>
    <row r="327" spans="1:15" x14ac:dyDescent="0.35">
      <c r="A327" s="4">
        <v>45349</v>
      </c>
      <c r="B327" s="2" t="s">
        <v>782</v>
      </c>
      <c r="D327" s="2" t="s">
        <v>29</v>
      </c>
      <c r="E327" s="2" t="s">
        <v>76</v>
      </c>
      <c r="F327" s="5" t="str">
        <f t="shared" si="27"/>
        <v>5477-2024-00367104 COSTCO</v>
      </c>
      <c r="G327" s="12">
        <f t="shared" si="23"/>
        <v>69.504132231404952</v>
      </c>
      <c r="H327">
        <v>21</v>
      </c>
      <c r="I327" s="5">
        <f t="shared" si="26"/>
        <v>14.59586776859504</v>
      </c>
      <c r="J327" s="5">
        <f t="shared" si="24"/>
        <v>69.504132231404952</v>
      </c>
      <c r="L327" s="5">
        <f t="shared" si="25"/>
        <v>0</v>
      </c>
      <c r="M327" s="8">
        <v>84.1</v>
      </c>
      <c r="N327" s="2" t="s">
        <v>22</v>
      </c>
      <c r="O327" s="3" t="s">
        <v>63</v>
      </c>
    </row>
    <row r="328" spans="1:15" x14ac:dyDescent="0.35">
      <c r="A328" s="4">
        <v>45329</v>
      </c>
      <c r="B328" s="2" t="s">
        <v>783</v>
      </c>
      <c r="D328" s="2" t="s">
        <v>238</v>
      </c>
      <c r="E328" s="2" t="s">
        <v>220</v>
      </c>
      <c r="F328" s="5" t="str">
        <f t="shared" si="27"/>
        <v>60BDFE00213 TELEFONICA</v>
      </c>
      <c r="G328" s="12">
        <f t="shared" si="23"/>
        <v>1736</v>
      </c>
      <c r="H328">
        <v>21</v>
      </c>
      <c r="I328" s="5">
        <f t="shared" si="26"/>
        <v>364.56</v>
      </c>
      <c r="J328" s="5">
        <f t="shared" si="24"/>
        <v>1736</v>
      </c>
      <c r="L328" s="5">
        <f t="shared" si="25"/>
        <v>0</v>
      </c>
      <c r="M328" s="8">
        <v>2100.56</v>
      </c>
      <c r="N328" s="2" t="s">
        <v>786</v>
      </c>
      <c r="O328" s="3" t="s">
        <v>65</v>
      </c>
    </row>
    <row r="329" spans="1:15" x14ac:dyDescent="0.35">
      <c r="A329" s="4">
        <v>45366</v>
      </c>
      <c r="B329" s="2" t="s">
        <v>787</v>
      </c>
      <c r="D329" s="2" t="s">
        <v>109</v>
      </c>
      <c r="E329" s="2" t="s">
        <v>42</v>
      </c>
      <c r="F329" s="5" t="str">
        <f t="shared" si="27"/>
        <v>24103507 DISCESUR</v>
      </c>
      <c r="G329" s="12">
        <f t="shared" si="23"/>
        <v>7070.181818181818</v>
      </c>
      <c r="H329">
        <v>21</v>
      </c>
      <c r="I329" s="5">
        <f t="shared" si="26"/>
        <v>1484.7381818181818</v>
      </c>
      <c r="J329" s="5">
        <f t="shared" si="24"/>
        <v>7070.181818181818</v>
      </c>
      <c r="L329" s="5">
        <f t="shared" si="25"/>
        <v>0</v>
      </c>
      <c r="M329" s="8">
        <v>8554.92</v>
      </c>
      <c r="N329" s="2" t="s">
        <v>21</v>
      </c>
      <c r="O329" s="3" t="s">
        <v>68</v>
      </c>
    </row>
    <row r="330" spans="1:15" x14ac:dyDescent="0.35">
      <c r="A330" s="4">
        <v>45356</v>
      </c>
      <c r="B330" s="2" t="s">
        <v>789</v>
      </c>
      <c r="D330" s="2" t="s">
        <v>89</v>
      </c>
      <c r="E330" s="2" t="s">
        <v>90</v>
      </c>
      <c r="F330" s="5" t="str">
        <f t="shared" si="27"/>
        <v>E12002024000000899 GALP</v>
      </c>
      <c r="G330" s="12">
        <f t="shared" si="23"/>
        <v>41.32231404958678</v>
      </c>
      <c r="H330">
        <v>21</v>
      </c>
      <c r="I330" s="5">
        <f t="shared" si="26"/>
        <v>8.677685950413224</v>
      </c>
      <c r="J330" s="5">
        <f t="shared" si="24"/>
        <v>41.32231404958678</v>
      </c>
      <c r="L330" s="5">
        <f t="shared" si="25"/>
        <v>0</v>
      </c>
      <c r="M330" s="8">
        <v>50</v>
      </c>
      <c r="N330" s="2" t="s">
        <v>22</v>
      </c>
      <c r="O330" s="3" t="s">
        <v>63</v>
      </c>
    </row>
    <row r="331" spans="1:15" x14ac:dyDescent="0.35">
      <c r="A331" s="4">
        <v>45355</v>
      </c>
      <c r="B331" s="2" t="s">
        <v>790</v>
      </c>
      <c r="D331" s="2" t="s">
        <v>89</v>
      </c>
      <c r="E331" s="2" t="s">
        <v>90</v>
      </c>
      <c r="F331" s="5" t="str">
        <f t="shared" si="27"/>
        <v>E12002024000000855 GALP</v>
      </c>
      <c r="G331" s="12">
        <f t="shared" si="23"/>
        <v>41.32231404958678</v>
      </c>
      <c r="H331">
        <v>21</v>
      </c>
      <c r="I331" s="5">
        <f t="shared" si="26"/>
        <v>8.677685950413224</v>
      </c>
      <c r="J331" s="5">
        <f t="shared" si="24"/>
        <v>41.32231404958678</v>
      </c>
      <c r="L331" s="5">
        <f t="shared" si="25"/>
        <v>0</v>
      </c>
      <c r="M331" s="8">
        <v>50</v>
      </c>
      <c r="N331" s="2" t="s">
        <v>22</v>
      </c>
      <c r="O331" s="3" t="s">
        <v>63</v>
      </c>
    </row>
    <row r="332" spans="1:15" x14ac:dyDescent="0.35">
      <c r="A332" s="4">
        <v>45354</v>
      </c>
      <c r="B332" s="2" t="s">
        <v>791</v>
      </c>
      <c r="D332" s="2" t="s">
        <v>49</v>
      </c>
      <c r="E332" s="2" t="s">
        <v>124</v>
      </c>
      <c r="F332" s="5" t="str">
        <f t="shared" si="27"/>
        <v>003720024/00000632 CIA ESPAÑOLA DIST PETROLEOS</v>
      </c>
      <c r="G332" s="12">
        <f t="shared" si="23"/>
        <v>71.652892561983478</v>
      </c>
      <c r="H332">
        <v>21</v>
      </c>
      <c r="I332" s="5">
        <f t="shared" si="26"/>
        <v>15.04710743801653</v>
      </c>
      <c r="J332" s="5">
        <f t="shared" si="24"/>
        <v>71.652892561983478</v>
      </c>
      <c r="L332" s="5">
        <f t="shared" si="25"/>
        <v>0</v>
      </c>
      <c r="M332" s="8">
        <v>86.7</v>
      </c>
      <c r="N332" s="2" t="s">
        <v>22</v>
      </c>
      <c r="O332" s="3" t="s">
        <v>63</v>
      </c>
    </row>
    <row r="333" spans="1:15" x14ac:dyDescent="0.35">
      <c r="A333" s="4">
        <v>45357</v>
      </c>
      <c r="B333" s="2" t="s">
        <v>792</v>
      </c>
      <c r="D333" s="2" t="s">
        <v>60</v>
      </c>
      <c r="E333" s="2" t="s">
        <v>24</v>
      </c>
      <c r="F333" s="5" t="str">
        <f t="shared" si="27"/>
        <v>096622/A/24/000849 REPSOL</v>
      </c>
      <c r="G333" s="12">
        <f t="shared" si="23"/>
        <v>8.5702479338842963</v>
      </c>
      <c r="H333">
        <v>21</v>
      </c>
      <c r="I333" s="5">
        <f t="shared" si="26"/>
        <v>1.7997520661157023</v>
      </c>
      <c r="J333" s="5">
        <f t="shared" si="24"/>
        <v>8.5702479338842963</v>
      </c>
      <c r="L333" s="5">
        <f t="shared" si="25"/>
        <v>0</v>
      </c>
      <c r="M333" s="8">
        <v>10.37</v>
      </c>
      <c r="N333" s="2" t="s">
        <v>22</v>
      </c>
      <c r="O333" s="3" t="s">
        <v>63</v>
      </c>
    </row>
    <row r="334" spans="1:15" x14ac:dyDescent="0.35">
      <c r="A334" s="4">
        <v>45362</v>
      </c>
      <c r="B334" s="2" t="s">
        <v>793</v>
      </c>
      <c r="D334" s="2" t="s">
        <v>49</v>
      </c>
      <c r="E334" s="2" t="s">
        <v>124</v>
      </c>
      <c r="F334" s="5" t="str">
        <f t="shared" si="27"/>
        <v>043813024/00002785 CIA ESPAÑOLA DIST PETROLEOS</v>
      </c>
      <c r="G334" s="12">
        <f t="shared" si="23"/>
        <v>41.32231404958678</v>
      </c>
      <c r="H334">
        <v>21</v>
      </c>
      <c r="I334" s="5">
        <f t="shared" si="26"/>
        <v>8.677685950413224</v>
      </c>
      <c r="J334" s="5">
        <f t="shared" si="24"/>
        <v>41.32231404958678</v>
      </c>
      <c r="L334" s="5">
        <f t="shared" si="25"/>
        <v>0</v>
      </c>
      <c r="M334" s="8">
        <v>50</v>
      </c>
      <c r="N334" s="2" t="s">
        <v>22</v>
      </c>
      <c r="O334" s="3" t="s">
        <v>63</v>
      </c>
    </row>
    <row r="335" spans="1:15" x14ac:dyDescent="0.35">
      <c r="A335" s="4">
        <v>45356</v>
      </c>
      <c r="B335" s="2" t="s">
        <v>794</v>
      </c>
      <c r="D335" s="2" t="s">
        <v>174</v>
      </c>
      <c r="E335" s="2" t="s">
        <v>557</v>
      </c>
      <c r="F335" s="5" t="str">
        <f t="shared" si="27"/>
        <v>1-5302 CARLA`S JR</v>
      </c>
      <c r="G335" s="12">
        <f t="shared" si="23"/>
        <v>14.963636363636363</v>
      </c>
      <c r="H335">
        <v>10</v>
      </c>
      <c r="I335" s="5">
        <f t="shared" si="26"/>
        <v>1.4963636363636363</v>
      </c>
      <c r="J335" s="5">
        <f t="shared" si="24"/>
        <v>14.963636363636363</v>
      </c>
      <c r="L335" s="5">
        <f t="shared" si="25"/>
        <v>0</v>
      </c>
      <c r="M335" s="8">
        <v>16.46</v>
      </c>
      <c r="N335" s="2" t="s">
        <v>28</v>
      </c>
      <c r="O335" s="3" t="s">
        <v>63</v>
      </c>
    </row>
    <row r="336" spans="1:15" x14ac:dyDescent="0.35">
      <c r="A336" s="4">
        <v>45359</v>
      </c>
      <c r="B336" s="2" t="s">
        <v>795</v>
      </c>
      <c r="D336" s="2" t="s">
        <v>66</v>
      </c>
      <c r="E336" s="2" t="s">
        <v>193</v>
      </c>
      <c r="F336" s="5" t="str">
        <f t="shared" si="27"/>
        <v>05424FE000002781 MARKOIL</v>
      </c>
      <c r="G336" s="12">
        <f t="shared" si="23"/>
        <v>71.289256198347118</v>
      </c>
      <c r="H336">
        <v>21</v>
      </c>
      <c r="I336" s="5">
        <f t="shared" si="26"/>
        <v>14.970743801652896</v>
      </c>
      <c r="J336" s="5">
        <f t="shared" si="24"/>
        <v>71.289256198347118</v>
      </c>
      <c r="L336" s="5">
        <f t="shared" si="25"/>
        <v>0</v>
      </c>
      <c r="M336" s="8">
        <v>86.26</v>
      </c>
      <c r="N336" s="2" t="s">
        <v>22</v>
      </c>
    </row>
    <row r="337" spans="1:15" x14ac:dyDescent="0.35">
      <c r="A337" s="4">
        <v>45353</v>
      </c>
      <c r="B337" s="2" t="s">
        <v>796</v>
      </c>
      <c r="D337" s="2" t="s">
        <v>274</v>
      </c>
      <c r="E337" s="2" t="s">
        <v>275</v>
      </c>
      <c r="F337" s="5" t="str">
        <f t="shared" si="27"/>
        <v>1/23548 FANATICO ICE &amp; COFFEE</v>
      </c>
      <c r="G337" s="12">
        <f t="shared" si="23"/>
        <v>7.2727272727272725</v>
      </c>
      <c r="H337">
        <v>10</v>
      </c>
      <c r="I337" s="5">
        <f t="shared" si="26"/>
        <v>0.72727272727272718</v>
      </c>
      <c r="J337" s="5">
        <f t="shared" si="24"/>
        <v>7.2727272727272725</v>
      </c>
      <c r="L337" s="5">
        <f t="shared" si="25"/>
        <v>0</v>
      </c>
      <c r="M337" s="8">
        <v>8</v>
      </c>
      <c r="N337" s="2" t="s">
        <v>28</v>
      </c>
      <c r="O337" s="3" t="s">
        <v>63</v>
      </c>
    </row>
    <row r="338" spans="1:15" x14ac:dyDescent="0.35">
      <c r="A338" s="4">
        <v>45352</v>
      </c>
      <c r="B338" s="2" t="s">
        <v>797</v>
      </c>
      <c r="D338" s="2" t="s">
        <v>798</v>
      </c>
      <c r="E338" s="2" t="s">
        <v>799</v>
      </c>
      <c r="F338" s="5" t="str">
        <f t="shared" si="27"/>
        <v>62271 BAR RL PUERTO LA MANGA</v>
      </c>
      <c r="G338" s="12">
        <f t="shared" si="23"/>
        <v>14.454545454545453</v>
      </c>
      <c r="H338">
        <v>10</v>
      </c>
      <c r="I338" s="5">
        <f t="shared" si="26"/>
        <v>1.4454545454545453</v>
      </c>
      <c r="J338" s="5">
        <f t="shared" si="24"/>
        <v>14.454545454545453</v>
      </c>
      <c r="L338" s="5">
        <f t="shared" si="25"/>
        <v>0</v>
      </c>
      <c r="M338" s="8">
        <v>15.9</v>
      </c>
      <c r="N338" s="2" t="s">
        <v>28</v>
      </c>
      <c r="O338" s="3" t="s">
        <v>63</v>
      </c>
    </row>
    <row r="339" spans="1:15" x14ac:dyDescent="0.35">
      <c r="A339" s="4">
        <v>45357</v>
      </c>
      <c r="B339" s="2" t="s">
        <v>800</v>
      </c>
      <c r="D339" s="2" t="s">
        <v>801</v>
      </c>
      <c r="E339" s="2" t="s">
        <v>568</v>
      </c>
      <c r="F339" s="5" t="str">
        <f t="shared" si="27"/>
        <v>T-270527 LAS MEZQUITAS</v>
      </c>
      <c r="G339" s="12">
        <f t="shared" si="23"/>
        <v>9.545454545454545</v>
      </c>
      <c r="H339">
        <v>10</v>
      </c>
      <c r="I339" s="5">
        <f t="shared" si="26"/>
        <v>0.95454545454545459</v>
      </c>
      <c r="J339" s="5">
        <f t="shared" si="24"/>
        <v>9.545454545454545</v>
      </c>
      <c r="L339" s="5">
        <f t="shared" si="25"/>
        <v>0</v>
      </c>
      <c r="M339" s="8">
        <v>10.5</v>
      </c>
      <c r="N339" s="2" t="s">
        <v>28</v>
      </c>
      <c r="O339" s="3" t="s">
        <v>63</v>
      </c>
    </row>
    <row r="340" spans="1:15" x14ac:dyDescent="0.35">
      <c r="A340" s="4">
        <v>45355</v>
      </c>
      <c r="B340" s="2" t="s">
        <v>802</v>
      </c>
      <c r="D340" s="2" t="s">
        <v>803</v>
      </c>
      <c r="E340" s="2" t="s">
        <v>804</v>
      </c>
      <c r="F340" s="5" t="str">
        <f t="shared" si="27"/>
        <v>00000055 ALMEIDA HOSTELERIA SL</v>
      </c>
      <c r="G340" s="12">
        <f t="shared" si="23"/>
        <v>7.4545454545454533</v>
      </c>
      <c r="H340">
        <v>10</v>
      </c>
      <c r="I340" s="5">
        <f t="shared" si="26"/>
        <v>0.74545454545454537</v>
      </c>
      <c r="J340" s="5">
        <f t="shared" si="24"/>
        <v>7.4545454545454533</v>
      </c>
      <c r="L340" s="5">
        <f t="shared" si="25"/>
        <v>0</v>
      </c>
      <c r="M340" s="8">
        <v>8.1999999999999993</v>
      </c>
      <c r="N340" s="2" t="s">
        <v>28</v>
      </c>
      <c r="O340" s="3" t="s">
        <v>63</v>
      </c>
    </row>
    <row r="341" spans="1:15" x14ac:dyDescent="0.35">
      <c r="A341" s="4">
        <v>45359</v>
      </c>
      <c r="B341" s="2" t="s">
        <v>805</v>
      </c>
      <c r="D341" s="2" t="s">
        <v>806</v>
      </c>
      <c r="E341" s="2" t="s">
        <v>807</v>
      </c>
      <c r="F341" s="5" t="str">
        <f t="shared" si="27"/>
        <v>1/1884 MESON TOLEDANO</v>
      </c>
      <c r="G341" s="12">
        <f t="shared" si="23"/>
        <v>117.18181818181817</v>
      </c>
      <c r="H341">
        <v>10</v>
      </c>
      <c r="I341" s="5">
        <f t="shared" si="26"/>
        <v>11.718181818181817</v>
      </c>
      <c r="J341" s="5">
        <f t="shared" si="24"/>
        <v>117.18181818181817</v>
      </c>
      <c r="L341" s="5">
        <f t="shared" si="25"/>
        <v>0</v>
      </c>
      <c r="M341" s="8">
        <v>128.9</v>
      </c>
      <c r="N341" s="2" t="s">
        <v>28</v>
      </c>
    </row>
    <row r="342" spans="1:15" x14ac:dyDescent="0.35">
      <c r="A342" s="4">
        <v>45366</v>
      </c>
      <c r="B342" s="2" t="s">
        <v>808</v>
      </c>
      <c r="D342" s="2" t="s">
        <v>109</v>
      </c>
      <c r="E342" s="2" t="s">
        <v>42</v>
      </c>
      <c r="F342" s="5" t="str">
        <f t="shared" si="27"/>
        <v>24103810 DISCESUR</v>
      </c>
      <c r="G342" s="12">
        <f t="shared" si="23"/>
        <v>1044.5702479338843</v>
      </c>
      <c r="H342">
        <v>21</v>
      </c>
      <c r="I342" s="5">
        <f t="shared" si="26"/>
        <v>219.35975206611568</v>
      </c>
      <c r="J342" s="5">
        <f t="shared" si="24"/>
        <v>1044.5702479338843</v>
      </c>
      <c r="L342" s="5">
        <f t="shared" si="25"/>
        <v>0</v>
      </c>
      <c r="M342" s="8">
        <v>1263.93</v>
      </c>
      <c r="N342" s="2" t="s">
        <v>21</v>
      </c>
      <c r="O342" s="3" t="s">
        <v>65</v>
      </c>
    </row>
    <row r="343" spans="1:15" x14ac:dyDescent="0.35">
      <c r="A343" s="4">
        <v>45307</v>
      </c>
      <c r="B343" s="2" t="s">
        <v>809</v>
      </c>
      <c r="D343" s="2" t="s">
        <v>132</v>
      </c>
      <c r="E343" s="2" t="s">
        <v>147</v>
      </c>
      <c r="F343" s="5" t="str">
        <f t="shared" si="27"/>
        <v>A/669 AZULEJOS ROSA</v>
      </c>
      <c r="G343" s="12">
        <f t="shared" ref="G343:G406" si="28">M343/(1-K343/100+H343/100)</f>
        <v>148.50413223140495</v>
      </c>
      <c r="H343">
        <v>21</v>
      </c>
      <c r="I343" s="5">
        <f t="shared" si="26"/>
        <v>31.185867768595038</v>
      </c>
      <c r="J343" s="5">
        <f t="shared" si="24"/>
        <v>148.50413223140495</v>
      </c>
      <c r="L343" s="5">
        <f t="shared" si="25"/>
        <v>0</v>
      </c>
      <c r="M343" s="8">
        <v>179.69</v>
      </c>
      <c r="N343" s="2" t="s">
        <v>21</v>
      </c>
      <c r="O343" s="3" t="s">
        <v>64</v>
      </c>
    </row>
    <row r="344" spans="1:15" x14ac:dyDescent="0.35">
      <c r="A344" s="4">
        <v>45356</v>
      </c>
      <c r="B344" s="2" t="s">
        <v>810</v>
      </c>
      <c r="D344" s="2" t="s">
        <v>57</v>
      </c>
      <c r="E344" s="2" t="s">
        <v>44</v>
      </c>
      <c r="F344" s="5" t="str">
        <f t="shared" si="27"/>
        <v>045-0003-36410 LEROY MERLIN</v>
      </c>
      <c r="G344" s="12">
        <f t="shared" si="28"/>
        <v>34.702479338842977</v>
      </c>
      <c r="H344">
        <v>21</v>
      </c>
      <c r="I344" s="5">
        <f t="shared" si="26"/>
        <v>7.2875206611570249</v>
      </c>
      <c r="J344" s="5">
        <f>G344</f>
        <v>34.702479338842977</v>
      </c>
      <c r="L344" s="5">
        <f>J344*K344/100</f>
        <v>0</v>
      </c>
      <c r="M344" s="8">
        <v>41.99</v>
      </c>
      <c r="N344" s="2" t="s">
        <v>21</v>
      </c>
      <c r="O344" s="3" t="s">
        <v>64</v>
      </c>
    </row>
    <row r="345" spans="1:15" x14ac:dyDescent="0.35">
      <c r="A345" s="4">
        <v>45355</v>
      </c>
      <c r="B345" s="2" t="s">
        <v>811</v>
      </c>
      <c r="D345" s="2" t="s">
        <v>812</v>
      </c>
      <c r="E345" s="2" t="s">
        <v>813</v>
      </c>
      <c r="F345" s="5" t="str">
        <f t="shared" si="27"/>
        <v>25/2024 MARMOLES ARGANDA SL</v>
      </c>
      <c r="G345" s="12">
        <f t="shared" si="28"/>
        <v>510.00000000000006</v>
      </c>
      <c r="H345">
        <v>21</v>
      </c>
      <c r="I345" s="5">
        <f t="shared" si="26"/>
        <v>107.10000000000002</v>
      </c>
      <c r="J345" s="5">
        <f>G345</f>
        <v>510.00000000000006</v>
      </c>
      <c r="L345" s="5">
        <f>J345*K345/100</f>
        <v>0</v>
      </c>
      <c r="M345" s="8">
        <v>617.1</v>
      </c>
      <c r="N345" s="2" t="s">
        <v>21</v>
      </c>
      <c r="O345" s="3" t="s">
        <v>64</v>
      </c>
    </row>
    <row r="346" spans="1:15" x14ac:dyDescent="0.35">
      <c r="A346" s="4">
        <v>45364</v>
      </c>
      <c r="B346" s="2" t="s">
        <v>814</v>
      </c>
      <c r="D346" s="2" t="s">
        <v>59</v>
      </c>
      <c r="E346" s="2" t="s">
        <v>43</v>
      </c>
      <c r="F346" s="5" t="str">
        <f t="shared" si="27"/>
        <v>1418109324 EUGENIO PEREDA</v>
      </c>
      <c r="G346" s="12">
        <f t="shared" si="28"/>
        <v>739.34710743801656</v>
      </c>
      <c r="H346">
        <v>21</v>
      </c>
      <c r="I346" s="5">
        <f t="shared" si="26"/>
        <v>155.26289256198348</v>
      </c>
      <c r="J346" s="5">
        <f>G346</f>
        <v>739.34710743801656</v>
      </c>
      <c r="L346" s="5">
        <f>J346*K346/100</f>
        <v>0</v>
      </c>
      <c r="M346" s="8">
        <v>894.61</v>
      </c>
      <c r="N346" s="2" t="s">
        <v>21</v>
      </c>
      <c r="O346" s="3" t="s">
        <v>64</v>
      </c>
    </row>
    <row r="347" spans="1:15" x14ac:dyDescent="0.35">
      <c r="A347" s="4">
        <v>45308</v>
      </c>
      <c r="B347" s="2" t="s">
        <v>815</v>
      </c>
      <c r="D347" s="2" t="s">
        <v>132</v>
      </c>
      <c r="E347" s="2" t="s">
        <v>147</v>
      </c>
      <c r="F347" s="5" t="str">
        <f t="shared" si="27"/>
        <v>A/698 AZULEJOS ROSA</v>
      </c>
      <c r="G347" s="12">
        <f t="shared" si="28"/>
        <v>225.39669421487605</v>
      </c>
      <c r="H347">
        <v>21</v>
      </c>
      <c r="I347" s="5">
        <f t="shared" si="26"/>
        <v>47.333305785123969</v>
      </c>
      <c r="J347" s="5">
        <f>G347</f>
        <v>225.39669421487605</v>
      </c>
      <c r="L347" s="5">
        <f>J347*K347/100</f>
        <v>0</v>
      </c>
      <c r="M347" s="8">
        <v>272.73</v>
      </c>
      <c r="N347" s="2" t="s">
        <v>21</v>
      </c>
      <c r="O347" s="3" t="s">
        <v>64</v>
      </c>
    </row>
    <row r="348" spans="1:15" x14ac:dyDescent="0.35">
      <c r="A348" s="4">
        <v>45302</v>
      </c>
      <c r="B348" s="2" t="s">
        <v>816</v>
      </c>
      <c r="D348" s="2" t="s">
        <v>132</v>
      </c>
      <c r="E348" s="2" t="s">
        <v>147</v>
      </c>
      <c r="F348" s="5" t="str">
        <f t="shared" si="27"/>
        <v>A/699 AZULEJOS ROSA</v>
      </c>
      <c r="G348" s="12">
        <f t="shared" si="28"/>
        <v>3.3305785123966944</v>
      </c>
      <c r="H348">
        <v>21</v>
      </c>
      <c r="I348" s="5">
        <f t="shared" si="26"/>
        <v>0.6994214876033058</v>
      </c>
      <c r="J348" s="5">
        <f>G348</f>
        <v>3.3305785123966944</v>
      </c>
      <c r="L348" s="5">
        <f>J348*K348/100</f>
        <v>0</v>
      </c>
      <c r="M348" s="8">
        <v>4.03</v>
      </c>
      <c r="N348" s="2" t="s">
        <v>21</v>
      </c>
      <c r="O348" s="3" t="s">
        <v>64</v>
      </c>
    </row>
    <row r="349" spans="1:15" x14ac:dyDescent="0.35">
      <c r="A349" s="4">
        <v>45303</v>
      </c>
      <c r="B349" s="2" t="s">
        <v>817</v>
      </c>
      <c r="D349" s="2" t="s">
        <v>132</v>
      </c>
      <c r="E349" s="2" t="s">
        <v>147</v>
      </c>
      <c r="F349" s="5" t="str">
        <f t="shared" si="27"/>
        <v>A/472 AZULEJOS ROSA</v>
      </c>
      <c r="G349" s="12">
        <f t="shared" si="28"/>
        <v>-9.0991735537190088</v>
      </c>
      <c r="H349">
        <v>21</v>
      </c>
      <c r="I349" s="5">
        <f t="shared" si="26"/>
        <v>-1.9108264462809919</v>
      </c>
      <c r="J349" s="5">
        <f t="shared" ref="J349:J412" si="29">G349</f>
        <v>-9.0991735537190088</v>
      </c>
      <c r="L349" s="5">
        <f t="shared" ref="L349:L412" si="30">J349*K349/100</f>
        <v>0</v>
      </c>
      <c r="M349" s="8">
        <v>-11.01</v>
      </c>
      <c r="N349" s="2" t="s">
        <v>21</v>
      </c>
      <c r="O349" s="3" t="s">
        <v>64</v>
      </c>
    </row>
    <row r="350" spans="1:15" x14ac:dyDescent="0.35">
      <c r="A350" s="4">
        <v>45317</v>
      </c>
      <c r="B350" s="2" t="s">
        <v>818</v>
      </c>
      <c r="D350" s="2" t="s">
        <v>136</v>
      </c>
      <c r="E350" s="2" t="s">
        <v>434</v>
      </c>
      <c r="F350" s="5" t="str">
        <f t="shared" si="27"/>
        <v>1053-C ROD &amp; PLUS SYSTEM SL</v>
      </c>
      <c r="G350" s="12">
        <f t="shared" si="28"/>
        <v>52.429752066115704</v>
      </c>
      <c r="H350">
        <v>21</v>
      </c>
      <c r="I350" s="5">
        <f t="shared" ref="I350:I413" si="31">G350*H350/100</f>
        <v>11.010247933884298</v>
      </c>
      <c r="J350" s="5">
        <f t="shared" si="29"/>
        <v>52.429752066115704</v>
      </c>
      <c r="L350" s="5">
        <f t="shared" si="30"/>
        <v>0</v>
      </c>
      <c r="M350" s="8">
        <v>63.44</v>
      </c>
      <c r="N350" s="2" t="s">
        <v>21</v>
      </c>
      <c r="O350" s="3" t="s">
        <v>64</v>
      </c>
    </row>
    <row r="351" spans="1:15" x14ac:dyDescent="0.35">
      <c r="A351" s="4">
        <v>45315</v>
      </c>
      <c r="B351" s="2" t="s">
        <v>819</v>
      </c>
      <c r="D351" s="2" t="s">
        <v>132</v>
      </c>
      <c r="E351" s="2" t="s">
        <v>147</v>
      </c>
      <c r="F351" s="5" t="str">
        <f t="shared" si="27"/>
        <v>A/1056 AZULEJOS ROSA</v>
      </c>
      <c r="G351" s="12">
        <f t="shared" si="28"/>
        <v>262</v>
      </c>
      <c r="H351">
        <v>21</v>
      </c>
      <c r="I351" s="5">
        <f t="shared" si="31"/>
        <v>55.02</v>
      </c>
      <c r="J351" s="5">
        <f t="shared" si="29"/>
        <v>262</v>
      </c>
      <c r="L351" s="5">
        <f t="shared" si="30"/>
        <v>0</v>
      </c>
      <c r="M351" s="8">
        <v>317.02</v>
      </c>
      <c r="N351" s="2" t="s">
        <v>21</v>
      </c>
      <c r="O351" s="3" t="s">
        <v>64</v>
      </c>
    </row>
    <row r="352" spans="1:15" x14ac:dyDescent="0.35">
      <c r="A352" s="4">
        <v>45324</v>
      </c>
      <c r="B352" s="2" t="s">
        <v>820</v>
      </c>
      <c r="D352" s="2" t="s">
        <v>132</v>
      </c>
      <c r="E352" s="2" t="s">
        <v>147</v>
      </c>
      <c r="F352" s="5" t="str">
        <f t="shared" si="27"/>
        <v>A/1528 AZULEJOS ROSA</v>
      </c>
      <c r="G352" s="12">
        <f t="shared" si="28"/>
        <v>692.71074380165282</v>
      </c>
      <c r="H352">
        <v>21</v>
      </c>
      <c r="I352" s="5">
        <f t="shared" si="31"/>
        <v>145.4692561983471</v>
      </c>
      <c r="J352" s="5">
        <f t="shared" si="29"/>
        <v>692.71074380165282</v>
      </c>
      <c r="L352" s="5">
        <f t="shared" si="30"/>
        <v>0</v>
      </c>
      <c r="M352" s="8">
        <v>838.18</v>
      </c>
      <c r="N352" s="2" t="s">
        <v>21</v>
      </c>
      <c r="O352" s="3" t="s">
        <v>64</v>
      </c>
    </row>
    <row r="353" spans="1:15" x14ac:dyDescent="0.35">
      <c r="A353" s="4">
        <v>45349</v>
      </c>
      <c r="B353" s="2" t="s">
        <v>821</v>
      </c>
      <c r="D353" s="2" t="s">
        <v>132</v>
      </c>
      <c r="E353" s="2" t="s">
        <v>147</v>
      </c>
      <c r="F353" s="5" t="str">
        <f t="shared" si="27"/>
        <v>A/2701 AZULEJOS ROSA</v>
      </c>
      <c r="G353" s="12">
        <f t="shared" si="28"/>
        <v>184.7685950413223</v>
      </c>
      <c r="H353">
        <v>21</v>
      </c>
      <c r="I353" s="5">
        <f t="shared" si="31"/>
        <v>38.801404958677679</v>
      </c>
      <c r="J353" s="5">
        <f t="shared" si="29"/>
        <v>184.7685950413223</v>
      </c>
      <c r="L353" s="5">
        <f t="shared" si="30"/>
        <v>0</v>
      </c>
      <c r="M353" s="8">
        <v>223.57</v>
      </c>
      <c r="N353" s="2" t="s">
        <v>21</v>
      </c>
      <c r="O353" s="3" t="s">
        <v>64</v>
      </c>
    </row>
    <row r="354" spans="1:15" x14ac:dyDescent="0.35">
      <c r="A354" s="4">
        <v>45571</v>
      </c>
      <c r="B354" s="2" t="s">
        <v>822</v>
      </c>
      <c r="D354" s="2" t="s">
        <v>132</v>
      </c>
      <c r="E354" s="2" t="s">
        <v>147</v>
      </c>
      <c r="F354" s="5" t="str">
        <f t="shared" si="27"/>
        <v>A/13776 AZULEJOS ROSA</v>
      </c>
      <c r="G354" s="12">
        <f t="shared" si="28"/>
        <v>558.85123966942149</v>
      </c>
      <c r="H354">
        <v>21</v>
      </c>
      <c r="I354" s="5">
        <f t="shared" si="31"/>
        <v>117.35876033057852</v>
      </c>
      <c r="J354" s="5">
        <f t="shared" si="29"/>
        <v>558.85123966942149</v>
      </c>
      <c r="L354" s="5">
        <f t="shared" si="30"/>
        <v>0</v>
      </c>
      <c r="M354" s="8">
        <v>676.21</v>
      </c>
      <c r="N354" s="2" t="s">
        <v>21</v>
      </c>
      <c r="O354" s="3" t="s">
        <v>64</v>
      </c>
    </row>
    <row r="355" spans="1:15" x14ac:dyDescent="0.35">
      <c r="A355" s="4">
        <v>45335</v>
      </c>
      <c r="B355" s="2" t="s">
        <v>823</v>
      </c>
      <c r="D355" s="2" t="s">
        <v>132</v>
      </c>
      <c r="E355" s="2" t="s">
        <v>147</v>
      </c>
      <c r="F355" s="5" t="str">
        <f t="shared" si="27"/>
        <v>A/2023 AZULEJOS ROSA</v>
      </c>
      <c r="G355" s="12">
        <f t="shared" si="28"/>
        <v>210.00826446280993</v>
      </c>
      <c r="H355">
        <v>21</v>
      </c>
      <c r="I355" s="5">
        <f t="shared" si="31"/>
        <v>44.101735537190088</v>
      </c>
      <c r="J355" s="5">
        <f t="shared" si="29"/>
        <v>210.00826446280993</v>
      </c>
      <c r="L355" s="5">
        <f t="shared" si="30"/>
        <v>0</v>
      </c>
      <c r="M355" s="8">
        <v>254.11</v>
      </c>
      <c r="N355" s="2" t="s">
        <v>21</v>
      </c>
      <c r="O355" s="3" t="s">
        <v>64</v>
      </c>
    </row>
    <row r="356" spans="1:15" x14ac:dyDescent="0.35">
      <c r="A356" s="4">
        <v>45329</v>
      </c>
      <c r="B356" s="2" t="s">
        <v>824</v>
      </c>
      <c r="D356" s="2" t="s">
        <v>132</v>
      </c>
      <c r="E356" s="2" t="s">
        <v>147</v>
      </c>
      <c r="F356" s="5" t="str">
        <f t="shared" si="27"/>
        <v>A1747 AZULEJOS ROSA</v>
      </c>
      <c r="G356" s="12">
        <f t="shared" si="28"/>
        <v>792.75206611570252</v>
      </c>
      <c r="H356">
        <v>21</v>
      </c>
      <c r="I356" s="5">
        <f t="shared" si="31"/>
        <v>166.47793388429753</v>
      </c>
      <c r="J356" s="5">
        <f t="shared" si="29"/>
        <v>792.75206611570252</v>
      </c>
      <c r="L356" s="5">
        <f t="shared" si="30"/>
        <v>0</v>
      </c>
      <c r="M356" s="8">
        <v>959.23</v>
      </c>
      <c r="N356" s="2" t="s">
        <v>21</v>
      </c>
      <c r="O356" s="3" t="s">
        <v>64</v>
      </c>
    </row>
    <row r="357" spans="1:15" x14ac:dyDescent="0.35">
      <c r="A357" s="4">
        <v>45330</v>
      </c>
      <c r="B357" s="2" t="s">
        <v>825</v>
      </c>
      <c r="D357" s="2" t="s">
        <v>132</v>
      </c>
      <c r="E357" s="2" t="s">
        <v>147</v>
      </c>
      <c r="F357" s="5" t="str">
        <f t="shared" si="27"/>
        <v>A/1808 AZULEJOS ROSA</v>
      </c>
      <c r="G357" s="12">
        <f t="shared" si="28"/>
        <v>31.801652892561982</v>
      </c>
      <c r="H357">
        <v>21</v>
      </c>
      <c r="I357" s="5">
        <f t="shared" si="31"/>
        <v>6.6783471074380172</v>
      </c>
      <c r="J357" s="5">
        <f t="shared" si="29"/>
        <v>31.801652892561982</v>
      </c>
      <c r="L357" s="5">
        <f t="shared" si="30"/>
        <v>0</v>
      </c>
      <c r="M357" s="8">
        <v>38.479999999999997</v>
      </c>
      <c r="N357" s="2" t="s">
        <v>21</v>
      </c>
      <c r="O357" s="3" t="s">
        <v>64</v>
      </c>
    </row>
    <row r="358" spans="1:15" x14ac:dyDescent="0.35">
      <c r="A358" s="4">
        <v>45330</v>
      </c>
      <c r="B358" s="2" t="s">
        <v>826</v>
      </c>
      <c r="D358" s="2" t="s">
        <v>132</v>
      </c>
      <c r="E358" s="2" t="s">
        <v>147</v>
      </c>
      <c r="F358" s="5" t="str">
        <f t="shared" si="27"/>
        <v>A/1801 AZULEJOS ROSA</v>
      </c>
      <c r="G358" s="12">
        <f t="shared" si="28"/>
        <v>102.80165289256199</v>
      </c>
      <c r="H358">
        <v>21</v>
      </c>
      <c r="I358" s="5">
        <f t="shared" si="31"/>
        <v>21.588347107438018</v>
      </c>
      <c r="J358" s="5">
        <f t="shared" si="29"/>
        <v>102.80165289256199</v>
      </c>
      <c r="L358" s="5">
        <f t="shared" si="30"/>
        <v>0</v>
      </c>
      <c r="M358" s="8">
        <v>124.39</v>
      </c>
      <c r="N358" s="2" t="s">
        <v>21</v>
      </c>
      <c r="O358" s="3" t="s">
        <v>64</v>
      </c>
    </row>
    <row r="359" spans="1:15" x14ac:dyDescent="0.35">
      <c r="A359" s="4">
        <v>45355</v>
      </c>
      <c r="B359" s="2" t="s">
        <v>827</v>
      </c>
      <c r="D359" s="2" t="s">
        <v>132</v>
      </c>
      <c r="E359" s="2" t="s">
        <v>147</v>
      </c>
      <c r="F359" s="5" t="str">
        <f t="shared" si="27"/>
        <v>A/2959 AZULEJOS ROSA</v>
      </c>
      <c r="G359" s="12">
        <f t="shared" si="28"/>
        <v>493.44628099173559</v>
      </c>
      <c r="H359">
        <v>21</v>
      </c>
      <c r="I359" s="5">
        <f t="shared" si="31"/>
        <v>103.62371900826447</v>
      </c>
      <c r="J359" s="5">
        <f t="shared" si="29"/>
        <v>493.44628099173559</v>
      </c>
      <c r="L359" s="5">
        <f t="shared" si="30"/>
        <v>0</v>
      </c>
      <c r="M359" s="8">
        <v>597.07000000000005</v>
      </c>
      <c r="N359" s="2" t="s">
        <v>21</v>
      </c>
      <c r="O359" s="3" t="s">
        <v>64</v>
      </c>
    </row>
    <row r="360" spans="1:15" x14ac:dyDescent="0.35">
      <c r="A360" s="4">
        <v>45355</v>
      </c>
      <c r="B360" s="2" t="s">
        <v>828</v>
      </c>
      <c r="D360" s="2" t="s">
        <v>132</v>
      </c>
      <c r="E360" s="2" t="s">
        <v>147</v>
      </c>
      <c r="F360" s="5" t="str">
        <f t="shared" si="27"/>
        <v>A/2964 AZULEJOS ROSA</v>
      </c>
      <c r="G360" s="12">
        <f t="shared" si="28"/>
        <v>85.099173553719012</v>
      </c>
      <c r="H360">
        <v>21</v>
      </c>
      <c r="I360" s="5">
        <f t="shared" si="31"/>
        <v>17.87082644628099</v>
      </c>
      <c r="J360" s="5">
        <f t="shared" si="29"/>
        <v>85.099173553719012</v>
      </c>
      <c r="L360" s="5">
        <f t="shared" si="30"/>
        <v>0</v>
      </c>
      <c r="M360" s="8">
        <v>102.97</v>
      </c>
      <c r="N360" s="2" t="s">
        <v>21</v>
      </c>
      <c r="O360" s="3" t="s">
        <v>64</v>
      </c>
    </row>
    <row r="361" spans="1:15" x14ac:dyDescent="0.35">
      <c r="A361" s="4">
        <v>45355</v>
      </c>
      <c r="B361" s="2" t="s">
        <v>829</v>
      </c>
      <c r="D361" s="2" t="s">
        <v>132</v>
      </c>
      <c r="E361" s="2" t="s">
        <v>147</v>
      </c>
      <c r="F361" s="5" t="str">
        <f t="shared" si="27"/>
        <v>A82977 AZULEJOS ROSA</v>
      </c>
      <c r="G361" s="12">
        <f t="shared" si="28"/>
        <v>171.29752066115705</v>
      </c>
      <c r="H361">
        <v>21</v>
      </c>
      <c r="I361" s="5">
        <f t="shared" si="31"/>
        <v>35.97247933884298</v>
      </c>
      <c r="J361" s="5">
        <f t="shared" si="29"/>
        <v>171.29752066115705</v>
      </c>
      <c r="L361" s="5">
        <f t="shared" si="30"/>
        <v>0</v>
      </c>
      <c r="M361" s="8">
        <v>207.27</v>
      </c>
      <c r="N361" s="2" t="s">
        <v>21</v>
      </c>
      <c r="O361" s="3" t="s">
        <v>64</v>
      </c>
    </row>
    <row r="362" spans="1:15" x14ac:dyDescent="0.35">
      <c r="A362" s="4">
        <v>45342</v>
      </c>
      <c r="B362" s="2" t="s">
        <v>830</v>
      </c>
      <c r="D362" s="2" t="s">
        <v>132</v>
      </c>
      <c r="E362" s="2" t="s">
        <v>147</v>
      </c>
      <c r="F362" s="5" t="str">
        <f t="shared" si="27"/>
        <v>A/2349 AZULEJOS ROSA</v>
      </c>
      <c r="G362" s="12">
        <f t="shared" si="28"/>
        <v>299.09917355371903</v>
      </c>
      <c r="H362">
        <v>21</v>
      </c>
      <c r="I362" s="5">
        <f t="shared" si="31"/>
        <v>62.810826446280998</v>
      </c>
      <c r="J362" s="5">
        <f t="shared" si="29"/>
        <v>299.09917355371903</v>
      </c>
      <c r="L362" s="5">
        <f t="shared" si="30"/>
        <v>0</v>
      </c>
      <c r="M362" s="8">
        <v>361.91</v>
      </c>
      <c r="N362" s="2" t="s">
        <v>21</v>
      </c>
      <c r="O362" s="3" t="s">
        <v>64</v>
      </c>
    </row>
    <row r="363" spans="1:15" x14ac:dyDescent="0.35">
      <c r="A363" s="4">
        <v>45341</v>
      </c>
      <c r="B363" s="2" t="s">
        <v>831</v>
      </c>
      <c r="D363" s="2" t="s">
        <v>132</v>
      </c>
      <c r="E363" s="2" t="s">
        <v>147</v>
      </c>
      <c r="F363" s="5" t="str">
        <f t="shared" si="27"/>
        <v>A/2262 AZULEJOS ROSA</v>
      </c>
      <c r="G363" s="12">
        <f t="shared" si="28"/>
        <v>208.34710743801654</v>
      </c>
      <c r="H363">
        <v>21</v>
      </c>
      <c r="I363" s="5">
        <f t="shared" si="31"/>
        <v>43.752892561983472</v>
      </c>
      <c r="J363" s="5">
        <f t="shared" si="29"/>
        <v>208.34710743801654</v>
      </c>
      <c r="L363" s="5">
        <f t="shared" si="30"/>
        <v>0</v>
      </c>
      <c r="M363" s="8">
        <v>252.1</v>
      </c>
      <c r="N363" s="2" t="s">
        <v>21</v>
      </c>
      <c r="O363" s="3" t="s">
        <v>64</v>
      </c>
    </row>
    <row r="364" spans="1:15" x14ac:dyDescent="0.35">
      <c r="A364" s="4">
        <v>45344</v>
      </c>
      <c r="B364" s="2" t="s">
        <v>832</v>
      </c>
      <c r="D364" s="2" t="s">
        <v>132</v>
      </c>
      <c r="E364" s="2" t="s">
        <v>147</v>
      </c>
      <c r="F364" s="5" t="str">
        <f t="shared" si="27"/>
        <v>A/2475 AZULEJOS ROSA</v>
      </c>
      <c r="G364" s="12">
        <f t="shared" si="28"/>
        <v>346.6611570247934</v>
      </c>
      <c r="H364">
        <v>21</v>
      </c>
      <c r="I364" s="5">
        <f t="shared" si="31"/>
        <v>72.798842975206611</v>
      </c>
      <c r="J364" s="5">
        <f t="shared" si="29"/>
        <v>346.6611570247934</v>
      </c>
      <c r="L364" s="5">
        <f t="shared" si="30"/>
        <v>0</v>
      </c>
      <c r="M364" s="8">
        <v>419.46</v>
      </c>
      <c r="N364" s="2" t="s">
        <v>21</v>
      </c>
      <c r="O364" s="3" t="s">
        <v>64</v>
      </c>
    </row>
    <row r="365" spans="1:15" x14ac:dyDescent="0.35">
      <c r="A365" s="4">
        <v>45344</v>
      </c>
      <c r="B365" s="2" t="s">
        <v>833</v>
      </c>
      <c r="D365" s="2" t="s">
        <v>132</v>
      </c>
      <c r="E365" s="2" t="s">
        <v>147</v>
      </c>
      <c r="F365" s="5" t="str">
        <f t="shared" si="27"/>
        <v>A/2489 AZULEJOS ROSA</v>
      </c>
      <c r="G365" s="12">
        <f t="shared" si="28"/>
        <v>529.87603305785126</v>
      </c>
      <c r="H365">
        <v>21</v>
      </c>
      <c r="I365" s="5">
        <f t="shared" si="31"/>
        <v>111.27396694214876</v>
      </c>
      <c r="J365" s="5">
        <f t="shared" si="29"/>
        <v>529.87603305785126</v>
      </c>
      <c r="L365" s="5">
        <f t="shared" si="30"/>
        <v>0</v>
      </c>
      <c r="M365" s="8">
        <v>641.15</v>
      </c>
      <c r="N365" s="2" t="s">
        <v>21</v>
      </c>
      <c r="O365" s="3" t="s">
        <v>64</v>
      </c>
    </row>
    <row r="366" spans="1:15" x14ac:dyDescent="0.35">
      <c r="A366" s="4">
        <v>45348</v>
      </c>
      <c r="B366" s="2" t="s">
        <v>834</v>
      </c>
      <c r="D366" s="2" t="s">
        <v>132</v>
      </c>
      <c r="E366" s="2" t="s">
        <v>147</v>
      </c>
      <c r="F366" s="5" t="str">
        <f t="shared" si="27"/>
        <v>A/2621 AZULEJOS ROSA</v>
      </c>
      <c r="G366" s="12">
        <f t="shared" si="28"/>
        <v>813.52066115702485</v>
      </c>
      <c r="H366">
        <v>21</v>
      </c>
      <c r="I366" s="5">
        <f t="shared" si="31"/>
        <v>170.83933884297522</v>
      </c>
      <c r="J366" s="5">
        <f t="shared" si="29"/>
        <v>813.52066115702485</v>
      </c>
      <c r="L366" s="5">
        <f t="shared" si="30"/>
        <v>0</v>
      </c>
      <c r="M366" s="8">
        <v>984.36</v>
      </c>
      <c r="N366" s="2" t="s">
        <v>21</v>
      </c>
      <c r="O366" s="3" t="s">
        <v>64</v>
      </c>
    </row>
    <row r="367" spans="1:15" x14ac:dyDescent="0.35">
      <c r="A367" s="4">
        <v>45348</v>
      </c>
      <c r="B367" s="2" t="s">
        <v>835</v>
      </c>
      <c r="D367" s="2" t="s">
        <v>132</v>
      </c>
      <c r="E367" s="2" t="s">
        <v>147</v>
      </c>
      <c r="F367" s="5" t="str">
        <f t="shared" si="27"/>
        <v>A/2615 AZULEJOS ROSA</v>
      </c>
      <c r="G367" s="12">
        <f t="shared" si="28"/>
        <v>318.24793388429754</v>
      </c>
      <c r="H367">
        <v>21</v>
      </c>
      <c r="I367" s="5">
        <f t="shared" si="31"/>
        <v>66.832066115702489</v>
      </c>
      <c r="J367" s="5">
        <f t="shared" si="29"/>
        <v>318.24793388429754</v>
      </c>
      <c r="L367" s="5">
        <f t="shared" si="30"/>
        <v>0</v>
      </c>
      <c r="M367" s="8">
        <v>385.08</v>
      </c>
      <c r="N367" s="2" t="s">
        <v>21</v>
      </c>
      <c r="O367" s="3" t="s">
        <v>64</v>
      </c>
    </row>
    <row r="368" spans="1:15" x14ac:dyDescent="0.35">
      <c r="A368" s="4">
        <v>45337</v>
      </c>
      <c r="B368" s="2" t="s">
        <v>836</v>
      </c>
      <c r="D368" s="2" t="s">
        <v>132</v>
      </c>
      <c r="E368" s="2" t="s">
        <v>147</v>
      </c>
      <c r="F368" s="5" t="str">
        <f t="shared" si="27"/>
        <v>A/2140 AZULEJOS ROSA</v>
      </c>
      <c r="G368" s="12">
        <f t="shared" si="28"/>
        <v>726.00826446280996</v>
      </c>
      <c r="H368">
        <v>21</v>
      </c>
      <c r="I368" s="5">
        <f t="shared" si="31"/>
        <v>152.46173553719009</v>
      </c>
      <c r="J368" s="5">
        <f t="shared" si="29"/>
        <v>726.00826446280996</v>
      </c>
      <c r="L368" s="5">
        <f t="shared" si="30"/>
        <v>0</v>
      </c>
      <c r="M368" s="8">
        <v>878.47</v>
      </c>
      <c r="N368" s="2" t="s">
        <v>21</v>
      </c>
      <c r="O368" s="3" t="s">
        <v>64</v>
      </c>
    </row>
    <row r="369" spans="1:15" x14ac:dyDescent="0.35">
      <c r="A369" s="4">
        <v>45322</v>
      </c>
      <c r="B369" s="2" t="s">
        <v>837</v>
      </c>
      <c r="D369" s="2" t="s">
        <v>58</v>
      </c>
      <c r="E369" s="2" t="s">
        <v>325</v>
      </c>
      <c r="F369" s="5" t="str">
        <f t="shared" si="27"/>
        <v>012-0001-630603 BRICOLAJE BRICOMAN SL</v>
      </c>
      <c r="G369" s="12">
        <f t="shared" si="28"/>
        <v>42.314049586776861</v>
      </c>
      <c r="H369">
        <v>21</v>
      </c>
      <c r="I369" s="5">
        <f t="shared" si="31"/>
        <v>8.8859504132231404</v>
      </c>
      <c r="J369" s="5">
        <f t="shared" si="29"/>
        <v>42.314049586776861</v>
      </c>
      <c r="L369" s="5">
        <f t="shared" si="30"/>
        <v>0</v>
      </c>
      <c r="M369" s="8">
        <v>51.2</v>
      </c>
      <c r="N369" s="2" t="s">
        <v>21</v>
      </c>
      <c r="O369" s="3" t="s">
        <v>64</v>
      </c>
    </row>
    <row r="370" spans="1:15" x14ac:dyDescent="0.35">
      <c r="A370" s="4">
        <v>45323</v>
      </c>
      <c r="B370" s="2" t="s">
        <v>838</v>
      </c>
      <c r="D370" s="2" t="s">
        <v>58</v>
      </c>
      <c r="E370" s="2" t="s">
        <v>325</v>
      </c>
      <c r="F370" s="5" t="str">
        <f t="shared" si="27"/>
        <v>007-0002-401301 BRICOLAJE BRICOMAN SL</v>
      </c>
      <c r="G370" s="12">
        <v>75.7</v>
      </c>
      <c r="H370">
        <v>21</v>
      </c>
      <c r="I370" s="5">
        <f t="shared" si="31"/>
        <v>15.897</v>
      </c>
      <c r="J370" s="5">
        <v>5.71</v>
      </c>
      <c r="K370" s="5">
        <v>4</v>
      </c>
      <c r="L370" s="5">
        <f t="shared" si="30"/>
        <v>0.22839999999999999</v>
      </c>
      <c r="M370" s="8">
        <v>97.54</v>
      </c>
      <c r="N370" s="2" t="s">
        <v>21</v>
      </c>
      <c r="O370" s="3" t="s">
        <v>64</v>
      </c>
    </row>
    <row r="371" spans="1:15" x14ac:dyDescent="0.35">
      <c r="A371" s="4">
        <v>45317</v>
      </c>
      <c r="B371" s="2" t="s">
        <v>839</v>
      </c>
      <c r="D371" s="2" t="s">
        <v>58</v>
      </c>
      <c r="E371" s="2" t="s">
        <v>325</v>
      </c>
      <c r="F371" s="5" t="str">
        <f t="shared" si="27"/>
        <v>012-0001-615067 BRICOLAJE BRICOMAN SL</v>
      </c>
      <c r="G371" s="12">
        <f t="shared" si="28"/>
        <v>191.55371900826447</v>
      </c>
      <c r="H371">
        <v>21</v>
      </c>
      <c r="I371" s="5">
        <f t="shared" si="31"/>
        <v>40.226280991735536</v>
      </c>
      <c r="J371" s="5">
        <f t="shared" si="29"/>
        <v>191.55371900826447</v>
      </c>
      <c r="L371" s="5">
        <f t="shared" si="30"/>
        <v>0</v>
      </c>
      <c r="M371" s="8">
        <v>231.78</v>
      </c>
      <c r="N371" s="2" t="s">
        <v>21</v>
      </c>
      <c r="O371" s="3" t="s">
        <v>64</v>
      </c>
    </row>
    <row r="372" spans="1:15" x14ac:dyDescent="0.35">
      <c r="A372" s="4">
        <v>45315</v>
      </c>
      <c r="B372" s="2" t="s">
        <v>840</v>
      </c>
      <c r="D372" s="2" t="s">
        <v>58</v>
      </c>
      <c r="E372" s="2" t="s">
        <v>325</v>
      </c>
      <c r="F372" s="5" t="str">
        <f t="shared" si="27"/>
        <v>007-0001-389919 BRICOLAJE BRICOMAN SL</v>
      </c>
      <c r="G372" s="12">
        <f t="shared" si="28"/>
        <v>167.4297520661157</v>
      </c>
      <c r="H372">
        <v>21</v>
      </c>
      <c r="I372" s="5">
        <f t="shared" si="31"/>
        <v>35.1602479338843</v>
      </c>
      <c r="J372" s="5">
        <f t="shared" si="29"/>
        <v>167.4297520661157</v>
      </c>
      <c r="L372" s="5">
        <f t="shared" si="30"/>
        <v>0</v>
      </c>
      <c r="M372" s="8">
        <v>202.59</v>
      </c>
      <c r="N372" s="2" t="s">
        <v>21</v>
      </c>
      <c r="O372" s="3" t="s">
        <v>64</v>
      </c>
    </row>
    <row r="373" spans="1:15" x14ac:dyDescent="0.35">
      <c r="A373" s="4">
        <v>45311</v>
      </c>
      <c r="B373" s="2" t="s">
        <v>841</v>
      </c>
      <c r="D373" s="2" t="s">
        <v>58</v>
      </c>
      <c r="E373" s="2" t="s">
        <v>325</v>
      </c>
      <c r="F373" s="5" t="str">
        <f t="shared" si="27"/>
        <v>012-0001-597035 BRICOLAJE BRICOMAN SL</v>
      </c>
      <c r="G373" s="12">
        <f t="shared" si="28"/>
        <v>820.62809917355378</v>
      </c>
      <c r="H373">
        <v>21</v>
      </c>
      <c r="I373" s="5">
        <f t="shared" si="31"/>
        <v>172.33190082644629</v>
      </c>
      <c r="J373" s="5">
        <f t="shared" si="29"/>
        <v>820.62809917355378</v>
      </c>
      <c r="L373" s="5">
        <f t="shared" si="30"/>
        <v>0</v>
      </c>
      <c r="M373" s="8">
        <v>992.96</v>
      </c>
      <c r="N373" s="2" t="s">
        <v>21</v>
      </c>
      <c r="O373" s="3" t="s">
        <v>64</v>
      </c>
    </row>
    <row r="374" spans="1:15" x14ac:dyDescent="0.35">
      <c r="A374" s="4">
        <v>45304</v>
      </c>
      <c r="B374" s="2" t="s">
        <v>842</v>
      </c>
      <c r="D374" s="2" t="s">
        <v>58</v>
      </c>
      <c r="E374" s="2" t="s">
        <v>325</v>
      </c>
      <c r="F374" s="5" t="str">
        <f t="shared" si="27"/>
        <v>012-0001-576721 BRICOLAJE BRICOMAN SL</v>
      </c>
      <c r="G374" s="12">
        <f t="shared" si="28"/>
        <v>258.11570247933884</v>
      </c>
      <c r="H374">
        <v>21</v>
      </c>
      <c r="I374" s="5">
        <f t="shared" si="31"/>
        <v>54.204297520661157</v>
      </c>
      <c r="J374" s="5">
        <f t="shared" si="29"/>
        <v>258.11570247933884</v>
      </c>
      <c r="L374" s="5">
        <f t="shared" si="30"/>
        <v>0</v>
      </c>
      <c r="M374" s="8">
        <v>312.32</v>
      </c>
      <c r="N374" s="2" t="s">
        <v>21</v>
      </c>
      <c r="O374" s="3" t="s">
        <v>64</v>
      </c>
    </row>
    <row r="375" spans="1:15" x14ac:dyDescent="0.35">
      <c r="A375" s="4">
        <v>45304</v>
      </c>
      <c r="B375" s="2" t="s">
        <v>843</v>
      </c>
      <c r="D375" s="2" t="s">
        <v>58</v>
      </c>
      <c r="E375" s="2" t="s">
        <v>325</v>
      </c>
      <c r="F375" s="5" t="str">
        <f t="shared" si="27"/>
        <v>012-0001-576835 BRICOLAJE BRICOMAN SL</v>
      </c>
      <c r="G375" s="12">
        <f t="shared" si="28"/>
        <v>200.6611570247934</v>
      </c>
      <c r="H375">
        <v>21</v>
      </c>
      <c r="I375" s="5">
        <f t="shared" si="31"/>
        <v>42.138842975206614</v>
      </c>
      <c r="J375" s="5">
        <f t="shared" si="29"/>
        <v>200.6611570247934</v>
      </c>
      <c r="L375" s="5">
        <f t="shared" si="30"/>
        <v>0</v>
      </c>
      <c r="M375" s="8">
        <v>242.8</v>
      </c>
      <c r="N375" s="2" t="s">
        <v>21</v>
      </c>
      <c r="O375" s="3" t="s">
        <v>64</v>
      </c>
    </row>
    <row r="376" spans="1:15" x14ac:dyDescent="0.35">
      <c r="A376" s="4">
        <v>45322</v>
      </c>
      <c r="B376" s="2" t="s">
        <v>844</v>
      </c>
      <c r="D376" s="2" t="s">
        <v>58</v>
      </c>
      <c r="E376" s="2" t="s">
        <v>325</v>
      </c>
      <c r="F376" s="5" t="str">
        <f t="shared" si="27"/>
        <v>007-0001-399410 BRICOLAJE BRICOMAN SL</v>
      </c>
      <c r="G376" s="12">
        <f t="shared" si="28"/>
        <v>9.0743801652892575</v>
      </c>
      <c r="H376">
        <v>21</v>
      </c>
      <c r="I376" s="5">
        <f t="shared" si="31"/>
        <v>1.905619834710744</v>
      </c>
      <c r="J376" s="5">
        <f t="shared" si="29"/>
        <v>9.0743801652892575</v>
      </c>
      <c r="L376" s="5">
        <f t="shared" si="30"/>
        <v>0</v>
      </c>
      <c r="M376" s="8">
        <v>10.98</v>
      </c>
      <c r="N376" s="2" t="s">
        <v>21</v>
      </c>
      <c r="O376" s="3" t="s">
        <v>64</v>
      </c>
    </row>
    <row r="377" spans="1:15" x14ac:dyDescent="0.35">
      <c r="A377" s="4">
        <v>45321</v>
      </c>
      <c r="B377" s="2" t="s">
        <v>845</v>
      </c>
      <c r="D377" s="2" t="s">
        <v>58</v>
      </c>
      <c r="E377" s="2" t="s">
        <v>325</v>
      </c>
      <c r="F377" s="5" t="str">
        <f t="shared" si="27"/>
        <v>007-0001-398271 BRICOLAJE BRICOMAN SL</v>
      </c>
      <c r="G377" s="12">
        <f t="shared" si="28"/>
        <v>17.190082644628099</v>
      </c>
      <c r="H377">
        <v>21</v>
      </c>
      <c r="I377" s="5">
        <f t="shared" si="31"/>
        <v>3.6099173553719011</v>
      </c>
      <c r="J377" s="5">
        <f t="shared" si="29"/>
        <v>17.190082644628099</v>
      </c>
      <c r="L377" s="5">
        <f t="shared" si="30"/>
        <v>0</v>
      </c>
      <c r="M377" s="8">
        <v>20.8</v>
      </c>
      <c r="N377" s="2" t="s">
        <v>21</v>
      </c>
      <c r="O377" s="3" t="s">
        <v>64</v>
      </c>
    </row>
    <row r="378" spans="1:15" x14ac:dyDescent="0.35">
      <c r="A378" s="4">
        <v>45321</v>
      </c>
      <c r="B378" s="2" t="s">
        <v>846</v>
      </c>
      <c r="D378" s="2" t="s">
        <v>58</v>
      </c>
      <c r="E378" s="2" t="s">
        <v>325</v>
      </c>
      <c r="F378" s="5" t="str">
        <f t="shared" si="27"/>
        <v>012-0001-624539 BRICOLAJE BRICOMAN SL</v>
      </c>
      <c r="G378" s="12">
        <f t="shared" si="28"/>
        <v>142.14049586776861</v>
      </c>
      <c r="H378">
        <v>21</v>
      </c>
      <c r="I378" s="5">
        <f t="shared" si="31"/>
        <v>29.849504132231409</v>
      </c>
      <c r="J378" s="5">
        <f t="shared" si="29"/>
        <v>142.14049586776861</v>
      </c>
      <c r="L378" s="5">
        <f t="shared" si="30"/>
        <v>0</v>
      </c>
      <c r="M378" s="8">
        <v>171.99</v>
      </c>
      <c r="N378" s="2" t="s">
        <v>21</v>
      </c>
      <c r="O378" s="3" t="s">
        <v>64</v>
      </c>
    </row>
    <row r="379" spans="1:15" x14ac:dyDescent="0.35">
      <c r="A379" s="4">
        <v>45321</v>
      </c>
      <c r="B379" s="2" t="s">
        <v>847</v>
      </c>
      <c r="D379" s="2" t="s">
        <v>58</v>
      </c>
      <c r="E379" s="2" t="s">
        <v>325</v>
      </c>
      <c r="F379" s="5" t="str">
        <f t="shared" si="27"/>
        <v>004-0001-252326 BRICOLAJE BRICOMAN SL</v>
      </c>
      <c r="G379" s="12">
        <f t="shared" si="28"/>
        <v>41.611570247933884</v>
      </c>
      <c r="H379">
        <v>21</v>
      </c>
      <c r="I379" s="5">
        <f t="shared" si="31"/>
        <v>8.7384297520661161</v>
      </c>
      <c r="J379" s="5">
        <f t="shared" si="29"/>
        <v>41.611570247933884</v>
      </c>
      <c r="L379" s="5">
        <f t="shared" si="30"/>
        <v>0</v>
      </c>
      <c r="M379" s="8">
        <v>50.35</v>
      </c>
      <c r="N379" s="2" t="s">
        <v>21</v>
      </c>
      <c r="O379" s="3" t="s">
        <v>64</v>
      </c>
    </row>
    <row r="380" spans="1:15" x14ac:dyDescent="0.35">
      <c r="A380" s="4">
        <v>45321</v>
      </c>
      <c r="B380" s="2" t="s">
        <v>848</v>
      </c>
      <c r="D380" s="2" t="s">
        <v>58</v>
      </c>
      <c r="E380" s="2" t="s">
        <v>325</v>
      </c>
      <c r="F380" s="5" t="str">
        <f t="shared" si="27"/>
        <v>004-0001-252388 BRICOLAJE BRICOMAN SL</v>
      </c>
      <c r="G380" s="12">
        <f t="shared" si="28"/>
        <v>6.3140495867768598</v>
      </c>
      <c r="H380">
        <v>21</v>
      </c>
      <c r="I380" s="5">
        <f t="shared" si="31"/>
        <v>1.3259504132231406</v>
      </c>
      <c r="J380" s="5">
        <f t="shared" si="29"/>
        <v>6.3140495867768598</v>
      </c>
      <c r="L380" s="5">
        <f t="shared" si="30"/>
        <v>0</v>
      </c>
      <c r="M380" s="8">
        <v>7.64</v>
      </c>
      <c r="N380" s="2" t="s">
        <v>21</v>
      </c>
      <c r="O380" s="3" t="s">
        <v>64</v>
      </c>
    </row>
    <row r="381" spans="1:15" x14ac:dyDescent="0.35">
      <c r="A381" s="4">
        <v>45321</v>
      </c>
      <c r="B381" s="2" t="s">
        <v>849</v>
      </c>
      <c r="D381" s="2" t="s">
        <v>58</v>
      </c>
      <c r="E381" s="2" t="s">
        <v>325</v>
      </c>
      <c r="F381" s="5" t="str">
        <f t="shared" si="27"/>
        <v>004-0001-252264 BRICOLAJE BRICOMAN SL</v>
      </c>
      <c r="G381" s="12">
        <f t="shared" si="28"/>
        <v>55.305785123966942</v>
      </c>
      <c r="H381">
        <v>21</v>
      </c>
      <c r="I381" s="5">
        <f t="shared" si="31"/>
        <v>11.614214876033058</v>
      </c>
      <c r="J381" s="5">
        <f t="shared" si="29"/>
        <v>55.305785123966942</v>
      </c>
      <c r="L381" s="5">
        <f t="shared" si="30"/>
        <v>0</v>
      </c>
      <c r="M381" s="8">
        <v>66.92</v>
      </c>
      <c r="N381" s="2" t="s">
        <v>21</v>
      </c>
      <c r="O381" s="3" t="s">
        <v>64</v>
      </c>
    </row>
    <row r="382" spans="1:15" x14ac:dyDescent="0.35">
      <c r="A382" s="4">
        <v>45314</v>
      </c>
      <c r="B382" s="2" t="s">
        <v>850</v>
      </c>
      <c r="D382" s="2" t="s">
        <v>58</v>
      </c>
      <c r="E382" s="2" t="s">
        <v>325</v>
      </c>
      <c r="F382" s="5" t="str">
        <f t="shared" si="27"/>
        <v>007-0001-387964 BRICOLAJE BRICOMAN SL</v>
      </c>
      <c r="G382" s="12">
        <f t="shared" si="28"/>
        <v>63.768595041322314</v>
      </c>
      <c r="H382">
        <v>21</v>
      </c>
      <c r="I382" s="5">
        <f t="shared" si="31"/>
        <v>13.391404958677686</v>
      </c>
      <c r="J382" s="5">
        <f t="shared" si="29"/>
        <v>63.768595041322314</v>
      </c>
      <c r="L382" s="5">
        <f t="shared" si="30"/>
        <v>0</v>
      </c>
      <c r="M382" s="8">
        <v>77.16</v>
      </c>
      <c r="N382" s="2" t="s">
        <v>21</v>
      </c>
      <c r="O382" s="3" t="s">
        <v>64</v>
      </c>
    </row>
    <row r="383" spans="1:15" x14ac:dyDescent="0.35">
      <c r="A383" s="4">
        <v>45314</v>
      </c>
      <c r="B383" s="2" t="s">
        <v>851</v>
      </c>
      <c r="D383" s="2" t="s">
        <v>58</v>
      </c>
      <c r="E383" s="2" t="s">
        <v>325</v>
      </c>
      <c r="F383" s="5" t="str">
        <f t="shared" si="27"/>
        <v>007-0001-387901 BRICOLAJE BRICOMAN SL</v>
      </c>
      <c r="G383" s="12">
        <f t="shared" si="28"/>
        <v>53.297520661157023</v>
      </c>
      <c r="H383">
        <v>21</v>
      </c>
      <c r="I383" s="5">
        <f t="shared" si="31"/>
        <v>11.192479338842976</v>
      </c>
      <c r="J383" s="5">
        <f t="shared" si="29"/>
        <v>53.297520661157023</v>
      </c>
      <c r="L383" s="5">
        <f t="shared" si="30"/>
        <v>0</v>
      </c>
      <c r="M383" s="8">
        <v>64.489999999999995</v>
      </c>
      <c r="N383" s="2" t="s">
        <v>21</v>
      </c>
      <c r="O383" s="3" t="s">
        <v>64</v>
      </c>
    </row>
    <row r="384" spans="1:15" x14ac:dyDescent="0.35">
      <c r="A384" s="4">
        <v>45314</v>
      </c>
      <c r="B384" s="2" t="s">
        <v>852</v>
      </c>
      <c r="D384" s="2" t="s">
        <v>58</v>
      </c>
      <c r="E384" s="2" t="s">
        <v>325</v>
      </c>
      <c r="F384" s="5" t="str">
        <f t="shared" si="27"/>
        <v>012-0001-604415 BRICOLAJE BRICOMAN SL</v>
      </c>
      <c r="G384" s="12">
        <f t="shared" si="28"/>
        <v>8.9256198347107443</v>
      </c>
      <c r="H384">
        <v>21</v>
      </c>
      <c r="I384" s="5">
        <f t="shared" si="31"/>
        <v>1.8743801652892562</v>
      </c>
      <c r="J384" s="5">
        <f t="shared" si="29"/>
        <v>8.9256198347107443</v>
      </c>
      <c r="L384" s="5">
        <f t="shared" si="30"/>
        <v>0</v>
      </c>
      <c r="M384" s="8">
        <v>10.8</v>
      </c>
      <c r="N384" s="2" t="s">
        <v>21</v>
      </c>
      <c r="O384" s="3" t="s">
        <v>64</v>
      </c>
    </row>
    <row r="385" spans="1:15" x14ac:dyDescent="0.35">
      <c r="A385" s="4">
        <v>45314</v>
      </c>
      <c r="B385" s="2" t="s">
        <v>853</v>
      </c>
      <c r="D385" s="2" t="s">
        <v>58</v>
      </c>
      <c r="E385" s="2" t="s">
        <v>325</v>
      </c>
      <c r="F385" s="5" t="str">
        <f t="shared" si="27"/>
        <v>007-0001-388864 BRICOLAJE BRICOMAN SL</v>
      </c>
      <c r="G385" s="12">
        <f t="shared" si="28"/>
        <v>489.02479338842977</v>
      </c>
      <c r="H385">
        <v>21</v>
      </c>
      <c r="I385" s="5">
        <f t="shared" si="31"/>
        <v>102.69520661157024</v>
      </c>
      <c r="J385" s="5">
        <f t="shared" si="29"/>
        <v>489.02479338842977</v>
      </c>
      <c r="L385" s="5">
        <f t="shared" si="30"/>
        <v>0</v>
      </c>
      <c r="M385" s="8">
        <v>591.72</v>
      </c>
      <c r="N385" s="2" t="s">
        <v>21</v>
      </c>
      <c r="O385" s="3" t="s">
        <v>64</v>
      </c>
    </row>
    <row r="386" spans="1:15" x14ac:dyDescent="0.35">
      <c r="A386" s="4">
        <v>45315</v>
      </c>
      <c r="B386" s="2" t="s">
        <v>854</v>
      </c>
      <c r="D386" s="2" t="s">
        <v>58</v>
      </c>
      <c r="E386" s="2" t="s">
        <v>325</v>
      </c>
      <c r="F386" s="5" t="str">
        <f t="shared" si="27"/>
        <v>007-0001-390133 BRICOLAJE BRICOMAN SL</v>
      </c>
      <c r="G386" s="12">
        <f t="shared" si="28"/>
        <v>106.11570247933885</v>
      </c>
      <c r="H386">
        <v>21</v>
      </c>
      <c r="I386" s="5">
        <f t="shared" si="31"/>
        <v>22.284297520661156</v>
      </c>
      <c r="J386" s="5">
        <f t="shared" si="29"/>
        <v>106.11570247933885</v>
      </c>
      <c r="L386" s="5">
        <f t="shared" si="30"/>
        <v>0</v>
      </c>
      <c r="M386" s="8">
        <v>128.4</v>
      </c>
      <c r="N386" s="2" t="s">
        <v>21</v>
      </c>
      <c r="O386" s="3" t="s">
        <v>64</v>
      </c>
    </row>
    <row r="387" spans="1:15" x14ac:dyDescent="0.35">
      <c r="A387" s="4">
        <v>45315</v>
      </c>
      <c r="B387" s="2" t="s">
        <v>855</v>
      </c>
      <c r="D387" s="2" t="s">
        <v>58</v>
      </c>
      <c r="E387" s="2" t="s">
        <v>325</v>
      </c>
      <c r="F387" s="5" t="str">
        <f t="shared" si="27"/>
        <v>007-0001-390271 BRICOLAJE BRICOMAN SL</v>
      </c>
      <c r="G387" s="12">
        <f t="shared" si="28"/>
        <v>13.305785123966944</v>
      </c>
      <c r="H387">
        <v>21</v>
      </c>
      <c r="I387" s="5">
        <f t="shared" si="31"/>
        <v>2.7942148760330583</v>
      </c>
      <c r="J387" s="5">
        <f t="shared" si="29"/>
        <v>13.305785123966944</v>
      </c>
      <c r="L387" s="5">
        <f t="shared" si="30"/>
        <v>0</v>
      </c>
      <c r="M387" s="8">
        <v>16.100000000000001</v>
      </c>
      <c r="N387" s="2" t="s">
        <v>21</v>
      </c>
      <c r="O387" s="3" t="s">
        <v>64</v>
      </c>
    </row>
    <row r="388" spans="1:15" x14ac:dyDescent="0.35">
      <c r="A388" s="4">
        <v>45315</v>
      </c>
      <c r="B388" s="2" t="s">
        <v>856</v>
      </c>
      <c r="D388" s="2" t="s">
        <v>58</v>
      </c>
      <c r="E388" s="2" t="s">
        <v>325</v>
      </c>
      <c r="F388" s="5" t="str">
        <f t="shared" si="27"/>
        <v>007-0001-390262 BRICOLAJE BRICOMAN SL</v>
      </c>
      <c r="G388" s="12">
        <f t="shared" si="28"/>
        <v>53.18181818181818</v>
      </c>
      <c r="H388">
        <v>21</v>
      </c>
      <c r="I388" s="5">
        <f t="shared" si="31"/>
        <v>11.168181818181818</v>
      </c>
      <c r="J388" s="5">
        <f t="shared" si="29"/>
        <v>53.18181818181818</v>
      </c>
      <c r="L388" s="5">
        <f t="shared" si="30"/>
        <v>0</v>
      </c>
      <c r="M388" s="8">
        <v>64.349999999999994</v>
      </c>
      <c r="N388" s="2" t="s">
        <v>21</v>
      </c>
      <c r="O388" s="3" t="s">
        <v>64</v>
      </c>
    </row>
    <row r="389" spans="1:15" x14ac:dyDescent="0.35">
      <c r="A389" s="4">
        <v>45314</v>
      </c>
      <c r="B389" s="2" t="s">
        <v>857</v>
      </c>
      <c r="D389" s="2" t="s">
        <v>58</v>
      </c>
      <c r="E389" s="2" t="s">
        <v>325</v>
      </c>
      <c r="F389" s="5" t="str">
        <f t="shared" si="27"/>
        <v>012-0001-604379 BRICOLAJE BRICOMAN SL</v>
      </c>
      <c r="G389" s="12">
        <f t="shared" si="28"/>
        <v>76.644628099173545</v>
      </c>
      <c r="H389">
        <v>21</v>
      </c>
      <c r="I389" s="5">
        <f t="shared" si="31"/>
        <v>16.095371900826443</v>
      </c>
      <c r="J389" s="5">
        <f t="shared" si="29"/>
        <v>76.644628099173545</v>
      </c>
      <c r="L389" s="5">
        <f t="shared" si="30"/>
        <v>0</v>
      </c>
      <c r="M389" s="8">
        <v>92.74</v>
      </c>
      <c r="N389" s="2" t="s">
        <v>21</v>
      </c>
      <c r="O389" s="3" t="s">
        <v>64</v>
      </c>
    </row>
    <row r="390" spans="1:15" x14ac:dyDescent="0.35">
      <c r="A390" s="4">
        <v>45317</v>
      </c>
      <c r="B390" s="2" t="s">
        <v>858</v>
      </c>
      <c r="D390" s="2" t="s">
        <v>58</v>
      </c>
      <c r="E390" s="2" t="s">
        <v>325</v>
      </c>
      <c r="F390" s="5" t="str">
        <f t="shared" si="27"/>
        <v>007-0001-392778 BRICOLAJE BRICOMAN SL</v>
      </c>
      <c r="G390" s="12">
        <f t="shared" si="28"/>
        <v>65.570247933884303</v>
      </c>
      <c r="H390">
        <v>21</v>
      </c>
      <c r="I390" s="5">
        <f t="shared" si="31"/>
        <v>13.769752066115705</v>
      </c>
      <c r="J390" s="5">
        <f t="shared" si="29"/>
        <v>65.570247933884303</v>
      </c>
      <c r="L390" s="5">
        <f t="shared" si="30"/>
        <v>0</v>
      </c>
      <c r="M390" s="8">
        <v>79.34</v>
      </c>
      <c r="N390" s="2" t="s">
        <v>21</v>
      </c>
      <c r="O390" s="3" t="s">
        <v>64</v>
      </c>
    </row>
    <row r="391" spans="1:15" x14ac:dyDescent="0.35">
      <c r="A391" s="4">
        <v>45316</v>
      </c>
      <c r="B391" s="2" t="s">
        <v>859</v>
      </c>
      <c r="D391" s="2" t="s">
        <v>58</v>
      </c>
      <c r="E391" s="2" t="s">
        <v>325</v>
      </c>
      <c r="F391" s="5" t="str">
        <f t="shared" ref="F391:F456" si="32">CONCATENATE(S391,B391," ",E391)</f>
        <v>007-0001-391762 BRICOLAJE BRICOMAN SL</v>
      </c>
      <c r="G391" s="12">
        <f t="shared" si="28"/>
        <v>14.347107438016529</v>
      </c>
      <c r="H391">
        <v>21</v>
      </c>
      <c r="I391" s="5">
        <f t="shared" si="31"/>
        <v>3.0128925619834712</v>
      </c>
      <c r="J391" s="5">
        <f t="shared" si="29"/>
        <v>14.347107438016529</v>
      </c>
      <c r="L391" s="5">
        <f t="shared" si="30"/>
        <v>0</v>
      </c>
      <c r="M391" s="8">
        <v>17.36</v>
      </c>
      <c r="N391" s="2" t="s">
        <v>21</v>
      </c>
      <c r="O391" s="3" t="s">
        <v>64</v>
      </c>
    </row>
    <row r="392" spans="1:15" x14ac:dyDescent="0.35">
      <c r="A392" s="4">
        <v>45316</v>
      </c>
      <c r="B392" s="2" t="s">
        <v>860</v>
      </c>
      <c r="D392" s="2" t="s">
        <v>58</v>
      </c>
      <c r="E392" s="2" t="s">
        <v>325</v>
      </c>
      <c r="F392" s="5" t="str">
        <f t="shared" si="32"/>
        <v>007-0001-391797 BRICOLAJE BRICOMAN SL</v>
      </c>
      <c r="G392" s="12">
        <f t="shared" si="28"/>
        <v>51.81818181818182</v>
      </c>
      <c r="H392">
        <v>21</v>
      </c>
      <c r="I392" s="5">
        <f t="shared" si="31"/>
        <v>10.881818181818183</v>
      </c>
      <c r="J392" s="5">
        <f t="shared" si="29"/>
        <v>51.81818181818182</v>
      </c>
      <c r="L392" s="5">
        <f t="shared" si="30"/>
        <v>0</v>
      </c>
      <c r="M392" s="8">
        <v>62.7</v>
      </c>
      <c r="N392" s="2" t="s">
        <v>21</v>
      </c>
      <c r="O392" s="3" t="s">
        <v>64</v>
      </c>
    </row>
    <row r="393" spans="1:15" x14ac:dyDescent="0.35">
      <c r="A393" s="4">
        <v>45316</v>
      </c>
      <c r="B393" s="2" t="s">
        <v>861</v>
      </c>
      <c r="D393" s="2" t="s">
        <v>58</v>
      </c>
      <c r="E393" s="2" t="s">
        <v>325</v>
      </c>
      <c r="F393" s="5" t="str">
        <f t="shared" si="32"/>
        <v>007-0001-391782 BRICOLAJE BRICOMAN SL</v>
      </c>
      <c r="G393" s="12">
        <f t="shared" si="28"/>
        <v>7.884297520661157</v>
      </c>
      <c r="H393">
        <v>21</v>
      </c>
      <c r="I393" s="5">
        <f t="shared" si="31"/>
        <v>1.6557024793388431</v>
      </c>
      <c r="J393" s="5">
        <f t="shared" si="29"/>
        <v>7.884297520661157</v>
      </c>
      <c r="L393" s="5">
        <f t="shared" si="30"/>
        <v>0</v>
      </c>
      <c r="M393" s="8">
        <v>9.5399999999999991</v>
      </c>
      <c r="N393" s="2" t="s">
        <v>21</v>
      </c>
      <c r="O393" s="3" t="s">
        <v>64</v>
      </c>
    </row>
    <row r="394" spans="1:15" x14ac:dyDescent="0.35">
      <c r="A394" s="4">
        <v>45316</v>
      </c>
      <c r="B394" s="2" t="s">
        <v>862</v>
      </c>
      <c r="D394" s="2" t="s">
        <v>58</v>
      </c>
      <c r="E394" s="2" t="s">
        <v>325</v>
      </c>
      <c r="F394" s="5" t="str">
        <f t="shared" si="32"/>
        <v>007-0001-391776 BRICOLAJE BRICOMAN SL</v>
      </c>
      <c r="G394" s="12">
        <f t="shared" si="28"/>
        <v>270.45454545454544</v>
      </c>
      <c r="H394">
        <v>21</v>
      </c>
      <c r="I394" s="5">
        <f t="shared" si="31"/>
        <v>56.79545454545454</v>
      </c>
      <c r="J394" s="5">
        <f t="shared" si="29"/>
        <v>270.45454545454544</v>
      </c>
      <c r="L394" s="5">
        <f t="shared" si="30"/>
        <v>0</v>
      </c>
      <c r="M394" s="8">
        <v>327.25</v>
      </c>
      <c r="N394" s="2" t="s">
        <v>21</v>
      </c>
      <c r="O394" s="3" t="s">
        <v>64</v>
      </c>
    </row>
    <row r="395" spans="1:15" x14ac:dyDescent="0.35">
      <c r="A395" s="4">
        <v>45317</v>
      </c>
      <c r="B395" s="2" t="s">
        <v>863</v>
      </c>
      <c r="D395" s="2" t="s">
        <v>58</v>
      </c>
      <c r="E395" s="2" t="s">
        <v>325</v>
      </c>
      <c r="F395" s="5" t="str">
        <f t="shared" si="32"/>
        <v>004-0001-245785 BRICOLAJE BRICOMAN SL</v>
      </c>
      <c r="G395" s="12">
        <f t="shared" si="28"/>
        <v>22.685950413223139</v>
      </c>
      <c r="H395">
        <v>21</v>
      </c>
      <c r="I395" s="5">
        <f t="shared" si="31"/>
        <v>4.76404958677686</v>
      </c>
      <c r="J395" s="5">
        <f t="shared" si="29"/>
        <v>22.685950413223139</v>
      </c>
      <c r="L395" s="5">
        <f t="shared" si="30"/>
        <v>0</v>
      </c>
      <c r="M395" s="8">
        <v>27.45</v>
      </c>
      <c r="N395" s="2" t="s">
        <v>21</v>
      </c>
      <c r="O395" s="3" t="s">
        <v>64</v>
      </c>
    </row>
    <row r="396" spans="1:15" x14ac:dyDescent="0.35">
      <c r="A396" s="4">
        <v>45318</v>
      </c>
      <c r="B396" s="2" t="s">
        <v>864</v>
      </c>
      <c r="D396" s="2" t="s">
        <v>58</v>
      </c>
      <c r="E396" s="2" t="s">
        <v>325</v>
      </c>
      <c r="F396" s="5" t="str">
        <f t="shared" si="32"/>
        <v>012-0001-618173 BRICOLAJE BRICOMAN SL</v>
      </c>
      <c r="G396" s="12">
        <f t="shared" si="28"/>
        <v>109.20661157024793</v>
      </c>
      <c r="H396">
        <v>21</v>
      </c>
      <c r="I396" s="5">
        <f t="shared" si="31"/>
        <v>22.933388429752068</v>
      </c>
      <c r="J396" s="5">
        <f t="shared" si="29"/>
        <v>109.20661157024793</v>
      </c>
      <c r="L396" s="5">
        <f t="shared" si="30"/>
        <v>0</v>
      </c>
      <c r="M396" s="8">
        <v>132.13999999999999</v>
      </c>
      <c r="N396" s="2" t="s">
        <v>21</v>
      </c>
      <c r="O396" s="3" t="s">
        <v>64</v>
      </c>
    </row>
    <row r="397" spans="1:15" x14ac:dyDescent="0.35">
      <c r="A397" s="4">
        <v>45318</v>
      </c>
      <c r="B397" s="2" t="s">
        <v>865</v>
      </c>
      <c r="D397" s="2" t="s">
        <v>58</v>
      </c>
      <c r="E397" s="2" t="s">
        <v>325</v>
      </c>
      <c r="F397" s="5" t="str">
        <f t="shared" si="32"/>
        <v>012-0001-617610 BRICOLAJE BRICOMAN SL</v>
      </c>
      <c r="G397" s="12">
        <f t="shared" si="28"/>
        <v>60.123966942148762</v>
      </c>
      <c r="H397">
        <v>21</v>
      </c>
      <c r="I397" s="5">
        <f t="shared" si="31"/>
        <v>12.626033057851238</v>
      </c>
      <c r="J397" s="5">
        <f t="shared" si="29"/>
        <v>60.123966942148762</v>
      </c>
      <c r="L397" s="5">
        <f t="shared" si="30"/>
        <v>0</v>
      </c>
      <c r="M397" s="8">
        <v>72.75</v>
      </c>
      <c r="N397" s="2" t="s">
        <v>21</v>
      </c>
      <c r="O397" s="3" t="s">
        <v>64</v>
      </c>
    </row>
    <row r="398" spans="1:15" x14ac:dyDescent="0.35">
      <c r="A398" s="4">
        <v>45318</v>
      </c>
      <c r="B398" s="2" t="s">
        <v>866</v>
      </c>
      <c r="D398" s="2" t="s">
        <v>58</v>
      </c>
      <c r="E398" s="2" t="s">
        <v>325</v>
      </c>
      <c r="F398" s="5" t="str">
        <f t="shared" si="32"/>
        <v>012-0001-618131 BRICOLAJE BRICOMAN SL</v>
      </c>
      <c r="G398" s="12">
        <f t="shared" si="28"/>
        <v>106.11570247933885</v>
      </c>
      <c r="H398">
        <v>21</v>
      </c>
      <c r="I398" s="5">
        <f t="shared" si="31"/>
        <v>22.284297520661156</v>
      </c>
      <c r="J398" s="5">
        <f t="shared" si="29"/>
        <v>106.11570247933885</v>
      </c>
      <c r="L398" s="5">
        <f t="shared" si="30"/>
        <v>0</v>
      </c>
      <c r="M398" s="8">
        <v>128.4</v>
      </c>
      <c r="N398" s="2" t="s">
        <v>21</v>
      </c>
      <c r="O398" s="3" t="s">
        <v>64</v>
      </c>
    </row>
    <row r="399" spans="1:15" x14ac:dyDescent="0.35">
      <c r="A399" s="4">
        <v>45318</v>
      </c>
      <c r="B399" s="2" t="s">
        <v>867</v>
      </c>
      <c r="D399" s="2" t="s">
        <v>58</v>
      </c>
      <c r="E399" s="2" t="s">
        <v>325</v>
      </c>
      <c r="F399" s="5" t="str">
        <f t="shared" si="32"/>
        <v>007-0001-393860 BRICOLAJE BRICOMAN SL</v>
      </c>
      <c r="G399" s="12">
        <v>157.66999999999999</v>
      </c>
      <c r="H399">
        <v>21</v>
      </c>
      <c r="I399" s="5">
        <f t="shared" si="31"/>
        <v>33.110699999999994</v>
      </c>
      <c r="J399" s="5">
        <v>94.55</v>
      </c>
      <c r="K399" s="5">
        <v>10</v>
      </c>
      <c r="L399" s="5">
        <f t="shared" si="30"/>
        <v>9.4550000000000001</v>
      </c>
      <c r="M399" s="8">
        <v>294.77999999999997</v>
      </c>
      <c r="N399" s="2" t="s">
        <v>21</v>
      </c>
      <c r="O399" s="3" t="s">
        <v>64</v>
      </c>
    </row>
    <row r="400" spans="1:15" x14ac:dyDescent="0.35">
      <c r="A400" s="4">
        <v>45318</v>
      </c>
      <c r="B400" s="2" t="s">
        <v>868</v>
      </c>
      <c r="D400" s="2" t="s">
        <v>58</v>
      </c>
      <c r="E400" s="2" t="s">
        <v>325</v>
      </c>
      <c r="F400" s="5" t="str">
        <f t="shared" si="32"/>
        <v>007-0001-393818 BRICOLAJE BRICOMAN SL</v>
      </c>
      <c r="G400" s="12">
        <f t="shared" si="28"/>
        <v>212.2314049586777</v>
      </c>
      <c r="H400">
        <v>21</v>
      </c>
      <c r="I400" s="5">
        <f t="shared" si="31"/>
        <v>44.568595041322311</v>
      </c>
      <c r="J400" s="5">
        <f t="shared" si="29"/>
        <v>212.2314049586777</v>
      </c>
      <c r="L400" s="5">
        <f t="shared" si="30"/>
        <v>0</v>
      </c>
      <c r="M400" s="8">
        <v>256.8</v>
      </c>
      <c r="N400" s="2" t="s">
        <v>21</v>
      </c>
      <c r="O400" s="3" t="s">
        <v>64</v>
      </c>
    </row>
    <row r="401" spans="1:15" x14ac:dyDescent="0.35">
      <c r="A401" s="4">
        <v>45300</v>
      </c>
      <c r="B401" s="2" t="s">
        <v>869</v>
      </c>
      <c r="D401" s="2" t="s">
        <v>58</v>
      </c>
      <c r="E401" s="2" t="s">
        <v>325</v>
      </c>
      <c r="F401" s="5" t="str">
        <f t="shared" si="32"/>
        <v>004-0001-214925 BRICOLAJE BRICOMAN SL</v>
      </c>
      <c r="G401" s="12">
        <f t="shared" si="28"/>
        <v>155.52892561983472</v>
      </c>
      <c r="H401">
        <v>21</v>
      </c>
      <c r="I401" s="5">
        <f t="shared" si="31"/>
        <v>32.661074380165289</v>
      </c>
      <c r="J401" s="5">
        <f t="shared" si="29"/>
        <v>155.52892561983472</v>
      </c>
      <c r="L401" s="5">
        <f t="shared" si="30"/>
        <v>0</v>
      </c>
      <c r="M401" s="8">
        <v>188.19</v>
      </c>
      <c r="N401" s="2" t="s">
        <v>21</v>
      </c>
      <c r="O401" s="3" t="s">
        <v>64</v>
      </c>
    </row>
    <row r="402" spans="1:15" x14ac:dyDescent="0.35">
      <c r="A402" s="4">
        <v>45300</v>
      </c>
      <c r="B402" s="2" t="s">
        <v>870</v>
      </c>
      <c r="D402" s="2" t="s">
        <v>58</v>
      </c>
      <c r="E402" s="2" t="s">
        <v>325</v>
      </c>
      <c r="F402" s="5" t="str">
        <f t="shared" si="32"/>
        <v>007-0001-370923 BRICOLAJE BRICOMAN SL</v>
      </c>
      <c r="G402" s="12">
        <f t="shared" si="28"/>
        <v>293.48760330578511</v>
      </c>
      <c r="H402">
        <v>21</v>
      </c>
      <c r="I402" s="5">
        <f t="shared" si="31"/>
        <v>61.632396694214876</v>
      </c>
      <c r="J402" s="5">
        <f t="shared" si="29"/>
        <v>293.48760330578511</v>
      </c>
      <c r="L402" s="5">
        <f t="shared" si="30"/>
        <v>0</v>
      </c>
      <c r="M402" s="8">
        <v>355.12</v>
      </c>
      <c r="N402" s="2" t="s">
        <v>21</v>
      </c>
      <c r="O402" s="3" t="s">
        <v>64</v>
      </c>
    </row>
    <row r="403" spans="1:15" x14ac:dyDescent="0.35">
      <c r="A403" s="4">
        <v>45303</v>
      </c>
      <c r="B403" s="2" t="s">
        <v>871</v>
      </c>
      <c r="D403" s="2" t="s">
        <v>58</v>
      </c>
      <c r="E403" s="2" t="s">
        <v>325</v>
      </c>
      <c r="F403" s="5" t="str">
        <f t="shared" si="32"/>
        <v>007-0001-374275 BRICOLAJE BRICOMAN SL</v>
      </c>
      <c r="G403" s="12">
        <f t="shared" si="28"/>
        <v>56.528925619834716</v>
      </c>
      <c r="H403">
        <v>21</v>
      </c>
      <c r="I403" s="5">
        <f t="shared" si="31"/>
        <v>11.87107438016529</v>
      </c>
      <c r="J403" s="5">
        <f t="shared" si="29"/>
        <v>56.528925619834716</v>
      </c>
      <c r="L403" s="5">
        <f t="shared" si="30"/>
        <v>0</v>
      </c>
      <c r="M403" s="8">
        <v>68.400000000000006</v>
      </c>
      <c r="N403" s="2" t="s">
        <v>21</v>
      </c>
      <c r="O403" s="3" t="s">
        <v>64</v>
      </c>
    </row>
    <row r="404" spans="1:15" x14ac:dyDescent="0.35">
      <c r="A404" s="4">
        <v>45303</v>
      </c>
      <c r="B404" s="2" t="s">
        <v>872</v>
      </c>
      <c r="D404" s="2" t="s">
        <v>58</v>
      </c>
      <c r="E404" s="2" t="s">
        <v>325</v>
      </c>
      <c r="F404" s="5" t="str">
        <f t="shared" si="32"/>
        <v>012-0001-575012 BRICOLAJE BRICOMAN SL</v>
      </c>
      <c r="G404" s="12">
        <f t="shared" si="28"/>
        <v>11.03305785123967</v>
      </c>
      <c r="H404">
        <v>21</v>
      </c>
      <c r="I404" s="5">
        <f t="shared" si="31"/>
        <v>2.3169421487603308</v>
      </c>
      <c r="J404" s="5">
        <f t="shared" si="29"/>
        <v>11.03305785123967</v>
      </c>
      <c r="L404" s="5">
        <f t="shared" si="30"/>
        <v>0</v>
      </c>
      <c r="M404" s="8">
        <v>13.35</v>
      </c>
      <c r="N404" s="2" t="s">
        <v>21</v>
      </c>
      <c r="O404" s="3" t="s">
        <v>64</v>
      </c>
    </row>
    <row r="405" spans="1:15" x14ac:dyDescent="0.35">
      <c r="A405" s="4">
        <v>45307</v>
      </c>
      <c r="B405" s="2" t="s">
        <v>873</v>
      </c>
      <c r="D405" s="2" t="s">
        <v>58</v>
      </c>
      <c r="E405" s="2" t="s">
        <v>325</v>
      </c>
      <c r="F405" s="5" t="str">
        <f t="shared" si="32"/>
        <v>007-0001-379597 BRICOLAJE BRICOMAN SL</v>
      </c>
      <c r="G405" s="12">
        <f t="shared" si="28"/>
        <v>47.033057851239668</v>
      </c>
      <c r="H405">
        <v>21</v>
      </c>
      <c r="I405" s="5">
        <f t="shared" si="31"/>
        <v>9.8769421487603299</v>
      </c>
      <c r="J405" s="5">
        <f t="shared" si="29"/>
        <v>47.033057851239668</v>
      </c>
      <c r="L405" s="5">
        <f t="shared" si="30"/>
        <v>0</v>
      </c>
      <c r="M405" s="8">
        <v>56.91</v>
      </c>
      <c r="N405" s="2" t="s">
        <v>21</v>
      </c>
      <c r="O405" s="3" t="s">
        <v>64</v>
      </c>
    </row>
    <row r="406" spans="1:15" x14ac:dyDescent="0.35">
      <c r="A406" s="4">
        <v>45310</v>
      </c>
      <c r="B406" s="2" t="s">
        <v>874</v>
      </c>
      <c r="D406" s="2" t="s">
        <v>58</v>
      </c>
      <c r="E406" s="2" t="s">
        <v>325</v>
      </c>
      <c r="F406" s="5" t="str">
        <f t="shared" si="32"/>
        <v>007-0001-383899 BRICOLAJE BRICOMAN SL</v>
      </c>
      <c r="G406" s="12">
        <f t="shared" si="28"/>
        <v>53.710743801652889</v>
      </c>
      <c r="H406">
        <v>21</v>
      </c>
      <c r="I406" s="5">
        <f t="shared" si="31"/>
        <v>11.279256198347106</v>
      </c>
      <c r="J406" s="5">
        <f t="shared" si="29"/>
        <v>53.710743801652889</v>
      </c>
      <c r="L406" s="5">
        <f t="shared" si="30"/>
        <v>0</v>
      </c>
      <c r="M406" s="8">
        <v>64.989999999999995</v>
      </c>
      <c r="N406" s="2" t="s">
        <v>21</v>
      </c>
      <c r="O406" s="3" t="s">
        <v>64</v>
      </c>
    </row>
    <row r="407" spans="1:15" x14ac:dyDescent="0.35">
      <c r="A407" s="4">
        <v>45308</v>
      </c>
      <c r="B407" s="2" t="s">
        <v>875</v>
      </c>
      <c r="D407" s="2" t="s">
        <v>58</v>
      </c>
      <c r="E407" s="2" t="s">
        <v>325</v>
      </c>
      <c r="F407" s="5" t="str">
        <f t="shared" si="32"/>
        <v>007-0001-381710 BRICOLAJE BRICOMAN SL</v>
      </c>
      <c r="G407" s="12">
        <f t="shared" ref="G407:G470" si="33">M407/(1-K407/100+H407/100)</f>
        <v>83.710743801652896</v>
      </c>
      <c r="H407">
        <v>21</v>
      </c>
      <c r="I407" s="5">
        <f t="shared" si="31"/>
        <v>17.57925619834711</v>
      </c>
      <c r="J407" s="5">
        <f t="shared" si="29"/>
        <v>83.710743801652896</v>
      </c>
      <c r="L407" s="5">
        <f t="shared" si="30"/>
        <v>0</v>
      </c>
      <c r="M407" s="8">
        <v>101.29</v>
      </c>
      <c r="N407" s="2" t="s">
        <v>21</v>
      </c>
      <c r="O407" s="3" t="s">
        <v>64</v>
      </c>
    </row>
    <row r="408" spans="1:15" x14ac:dyDescent="0.35">
      <c r="A408" s="4">
        <v>45321</v>
      </c>
      <c r="B408" s="2" t="s">
        <v>876</v>
      </c>
      <c r="D408" s="2" t="s">
        <v>58</v>
      </c>
      <c r="E408" s="2" t="s">
        <v>325</v>
      </c>
      <c r="F408" s="5" t="str">
        <f t="shared" si="32"/>
        <v>007-0001-397145 BRICOLAJE BRICOMAN SL</v>
      </c>
      <c r="G408" s="12">
        <f t="shared" si="33"/>
        <v>499.27272727272731</v>
      </c>
      <c r="H408">
        <v>21</v>
      </c>
      <c r="I408" s="5">
        <f t="shared" si="31"/>
        <v>104.84727272727274</v>
      </c>
      <c r="J408" s="5">
        <f t="shared" si="29"/>
        <v>499.27272727272731</v>
      </c>
      <c r="L408" s="5">
        <f t="shared" si="30"/>
        <v>0</v>
      </c>
      <c r="M408" s="8">
        <v>604.12</v>
      </c>
      <c r="N408" s="2" t="s">
        <v>21</v>
      </c>
      <c r="O408" s="3" t="s">
        <v>64</v>
      </c>
    </row>
    <row r="409" spans="1:15" x14ac:dyDescent="0.35">
      <c r="A409" s="4">
        <v>45321</v>
      </c>
      <c r="B409" s="2" t="s">
        <v>877</v>
      </c>
      <c r="D409" s="2" t="s">
        <v>58</v>
      </c>
      <c r="E409" s="2" t="s">
        <v>325</v>
      </c>
      <c r="F409" s="5" t="str">
        <f t="shared" si="32"/>
        <v>007-0001-R057586 BRICOLAJE BRICOMAN SL</v>
      </c>
      <c r="G409" s="12">
        <f t="shared" si="33"/>
        <v>-34.561983471074385</v>
      </c>
      <c r="H409">
        <v>21</v>
      </c>
      <c r="I409" s="5">
        <f t="shared" si="31"/>
        <v>-7.2580165289256202</v>
      </c>
      <c r="J409" s="5">
        <f t="shared" si="29"/>
        <v>-34.561983471074385</v>
      </c>
      <c r="L409" s="5">
        <f t="shared" si="30"/>
        <v>0</v>
      </c>
      <c r="M409" s="8">
        <v>-41.82</v>
      </c>
      <c r="N409" s="2" t="s">
        <v>21</v>
      </c>
      <c r="O409" s="3" t="s">
        <v>64</v>
      </c>
    </row>
    <row r="410" spans="1:15" x14ac:dyDescent="0.35">
      <c r="A410" s="4">
        <v>45317</v>
      </c>
      <c r="B410" s="2" t="s">
        <v>878</v>
      </c>
      <c r="D410" s="2" t="s">
        <v>58</v>
      </c>
      <c r="E410" s="2" t="s">
        <v>325</v>
      </c>
      <c r="F410" s="5" t="str">
        <f t="shared" si="32"/>
        <v>004-0001-245790 BRICOLAJE BRICOMAN SL</v>
      </c>
      <c r="G410" s="12">
        <f t="shared" si="33"/>
        <v>158.5619834710744</v>
      </c>
      <c r="H410">
        <v>21</v>
      </c>
      <c r="I410" s="5">
        <f t="shared" si="31"/>
        <v>33.298016528925622</v>
      </c>
      <c r="J410" s="5">
        <f t="shared" si="29"/>
        <v>158.5619834710744</v>
      </c>
      <c r="L410" s="5">
        <f t="shared" si="30"/>
        <v>0</v>
      </c>
      <c r="M410" s="8">
        <v>191.86</v>
      </c>
      <c r="N410" s="2" t="s">
        <v>21</v>
      </c>
      <c r="O410" s="3" t="s">
        <v>64</v>
      </c>
    </row>
    <row r="411" spans="1:15" x14ac:dyDescent="0.35">
      <c r="A411" s="4">
        <v>45299</v>
      </c>
      <c r="B411" s="2" t="s">
        <v>879</v>
      </c>
      <c r="D411" s="2" t="s">
        <v>58</v>
      </c>
      <c r="E411" s="2" t="s">
        <v>325</v>
      </c>
      <c r="F411" s="5" t="str">
        <f t="shared" si="32"/>
        <v>007-0001-368719 BRICOLAJE BRICOMAN SL</v>
      </c>
      <c r="G411" s="12">
        <f t="shared" si="33"/>
        <v>152.01652892561984</v>
      </c>
      <c r="H411">
        <v>21</v>
      </c>
      <c r="I411" s="5">
        <f t="shared" si="31"/>
        <v>31.923471074380167</v>
      </c>
      <c r="J411" s="5">
        <f t="shared" si="29"/>
        <v>152.01652892561984</v>
      </c>
      <c r="L411" s="5">
        <f t="shared" si="30"/>
        <v>0</v>
      </c>
      <c r="M411" s="8">
        <v>183.94</v>
      </c>
      <c r="N411" s="2" t="s">
        <v>21</v>
      </c>
      <c r="O411" s="3" t="s">
        <v>64</v>
      </c>
    </row>
    <row r="412" spans="1:15" x14ac:dyDescent="0.35">
      <c r="A412" s="4">
        <v>45299</v>
      </c>
      <c r="B412" s="2" t="s">
        <v>880</v>
      </c>
      <c r="D412" s="2" t="s">
        <v>58</v>
      </c>
      <c r="E412" s="2" t="s">
        <v>325</v>
      </c>
      <c r="F412" s="5" t="str">
        <f t="shared" si="32"/>
        <v>012-0001-561015 BRICOLAJE BRICOMAN SL</v>
      </c>
      <c r="G412" s="12">
        <f t="shared" si="33"/>
        <v>136.84297520661158</v>
      </c>
      <c r="H412">
        <v>21</v>
      </c>
      <c r="I412" s="5">
        <f t="shared" si="31"/>
        <v>28.737024793388432</v>
      </c>
      <c r="J412" s="5">
        <f t="shared" si="29"/>
        <v>136.84297520661158</v>
      </c>
      <c r="L412" s="5">
        <f t="shared" si="30"/>
        <v>0</v>
      </c>
      <c r="M412" s="8">
        <v>165.58</v>
      </c>
      <c r="N412" s="2" t="s">
        <v>21</v>
      </c>
      <c r="O412" s="3" t="s">
        <v>64</v>
      </c>
    </row>
    <row r="413" spans="1:15" x14ac:dyDescent="0.35">
      <c r="A413" s="4">
        <v>45299</v>
      </c>
      <c r="B413" s="2" t="s">
        <v>881</v>
      </c>
      <c r="D413" s="2" t="s">
        <v>58</v>
      </c>
      <c r="E413" s="2" t="s">
        <v>325</v>
      </c>
      <c r="F413" s="5" t="str">
        <f t="shared" si="32"/>
        <v>012-0001-560895 BRICOLAJE BRICOMAN SL</v>
      </c>
      <c r="G413" s="12">
        <f t="shared" si="33"/>
        <v>594.42975206611573</v>
      </c>
      <c r="H413">
        <v>21</v>
      </c>
      <c r="I413" s="5">
        <f t="shared" si="31"/>
        <v>124.83024793388431</v>
      </c>
      <c r="J413" s="5">
        <f>G413</f>
        <v>594.42975206611573</v>
      </c>
      <c r="L413" s="5">
        <f>J413*K413/100</f>
        <v>0</v>
      </c>
      <c r="M413" s="8">
        <v>719.26</v>
      </c>
      <c r="N413" s="2" t="s">
        <v>21</v>
      </c>
      <c r="O413" s="3" t="s">
        <v>64</v>
      </c>
    </row>
    <row r="414" spans="1:15" x14ac:dyDescent="0.35">
      <c r="A414" s="4">
        <v>45331</v>
      </c>
      <c r="B414" s="2" t="s">
        <v>882</v>
      </c>
      <c r="D414" s="2" t="s">
        <v>58</v>
      </c>
      <c r="E414" s="2" t="s">
        <v>325</v>
      </c>
      <c r="F414" s="5" t="str">
        <f t="shared" si="32"/>
        <v>007-0002-412347 BRICOLAJE BRICOMAN SL</v>
      </c>
      <c r="G414" s="12">
        <f t="shared" si="33"/>
        <v>20.917355371900825</v>
      </c>
      <c r="H414">
        <v>21</v>
      </c>
      <c r="I414" s="5">
        <f>G414*H414/100</f>
        <v>4.3926446280991733</v>
      </c>
      <c r="J414" s="5">
        <f>G414</f>
        <v>20.917355371900825</v>
      </c>
      <c r="L414" s="5">
        <f>J414*K414/100</f>
        <v>0</v>
      </c>
      <c r="M414" s="8">
        <v>25.31</v>
      </c>
      <c r="N414" s="2" t="s">
        <v>21</v>
      </c>
      <c r="O414" s="3" t="s">
        <v>64</v>
      </c>
    </row>
    <row r="415" spans="1:15" x14ac:dyDescent="0.35">
      <c r="A415" s="4">
        <v>45331</v>
      </c>
      <c r="B415" s="2" t="s">
        <v>883</v>
      </c>
      <c r="D415" s="2" t="s">
        <v>58</v>
      </c>
      <c r="E415" s="2" t="s">
        <v>325</v>
      </c>
      <c r="F415" s="5" t="str">
        <f t="shared" si="32"/>
        <v>007-0002-412312 BRICOLAJE BRICOMAN SL</v>
      </c>
      <c r="G415" s="12">
        <f t="shared" si="33"/>
        <v>18.570247933884296</v>
      </c>
      <c r="H415">
        <v>21</v>
      </c>
      <c r="I415" s="5">
        <f>G415*H415/100</f>
        <v>3.8997520661157021</v>
      </c>
      <c r="J415" s="5">
        <f>G415</f>
        <v>18.570247933884296</v>
      </c>
      <c r="L415" s="5">
        <f>J415*K415/100</f>
        <v>0</v>
      </c>
      <c r="M415" s="8">
        <v>22.47</v>
      </c>
      <c r="N415" s="2" t="s">
        <v>21</v>
      </c>
      <c r="O415" s="3" t="s">
        <v>64</v>
      </c>
    </row>
    <row r="416" spans="1:15" x14ac:dyDescent="0.35">
      <c r="A416" s="4">
        <v>45330</v>
      </c>
      <c r="B416" s="2" t="s">
        <v>884</v>
      </c>
      <c r="D416" s="2" t="s">
        <v>58</v>
      </c>
      <c r="E416" s="2" t="s">
        <v>325</v>
      </c>
      <c r="F416" s="5" t="str">
        <f t="shared" si="32"/>
        <v>007-0002-411372 BRICOLAJE BRICOMAN SL</v>
      </c>
      <c r="G416" s="12">
        <f t="shared" si="33"/>
        <v>111.56198347107438</v>
      </c>
      <c r="H416">
        <v>21</v>
      </c>
      <c r="I416" s="5">
        <f>G416*H416/100</f>
        <v>23.428016528925625</v>
      </c>
      <c r="J416" s="5">
        <f>G416</f>
        <v>111.56198347107438</v>
      </c>
      <c r="L416" s="5">
        <f>J416*K416/100</f>
        <v>0</v>
      </c>
      <c r="M416" s="8">
        <v>134.99</v>
      </c>
      <c r="N416" s="2" t="s">
        <v>21</v>
      </c>
      <c r="O416" s="3" t="s">
        <v>64</v>
      </c>
    </row>
    <row r="417" spans="1:15" x14ac:dyDescent="0.35">
      <c r="A417" s="4">
        <v>45329</v>
      </c>
      <c r="B417" s="2" t="s">
        <v>885</v>
      </c>
      <c r="D417" s="2" t="s">
        <v>58</v>
      </c>
      <c r="E417" s="2" t="s">
        <v>325</v>
      </c>
      <c r="F417" s="5" t="str">
        <f t="shared" si="32"/>
        <v>007-0002-409871 BRICOLAJE BRICOMAN SL</v>
      </c>
      <c r="G417" s="12">
        <f t="shared" si="33"/>
        <v>8.776859504132231</v>
      </c>
      <c r="H417">
        <v>21</v>
      </c>
      <c r="I417" s="5">
        <f t="shared" ref="I417:I480" si="34">G417*H417/100</f>
        <v>1.8431404958677686</v>
      </c>
      <c r="J417" s="5">
        <f t="shared" ref="J417:J480" si="35">G417</f>
        <v>8.776859504132231</v>
      </c>
      <c r="L417" s="5">
        <f t="shared" ref="L417:L480" si="36">J417*K417/100</f>
        <v>0</v>
      </c>
      <c r="M417" s="8">
        <v>10.62</v>
      </c>
      <c r="N417" s="2" t="s">
        <v>21</v>
      </c>
      <c r="O417" s="3" t="s">
        <v>64</v>
      </c>
    </row>
    <row r="418" spans="1:15" x14ac:dyDescent="0.35">
      <c r="A418" s="4">
        <v>45329</v>
      </c>
      <c r="B418" s="2" t="s">
        <v>886</v>
      </c>
      <c r="D418" s="2" t="s">
        <v>58</v>
      </c>
      <c r="E418" s="2" t="s">
        <v>325</v>
      </c>
      <c r="F418" s="5" t="str">
        <f t="shared" si="32"/>
        <v>007-0002-408797 BRICOLAJE BRICOMAN SL</v>
      </c>
      <c r="G418" s="12">
        <f t="shared" si="33"/>
        <v>37.380165289256198</v>
      </c>
      <c r="H418">
        <v>21</v>
      </c>
      <c r="I418" s="5">
        <f t="shared" si="34"/>
        <v>7.849834710743802</v>
      </c>
      <c r="J418" s="5">
        <f t="shared" si="35"/>
        <v>37.380165289256198</v>
      </c>
      <c r="L418" s="5">
        <f t="shared" si="36"/>
        <v>0</v>
      </c>
      <c r="M418" s="8">
        <v>45.23</v>
      </c>
      <c r="N418" s="2" t="s">
        <v>21</v>
      </c>
      <c r="O418" s="3" t="s">
        <v>64</v>
      </c>
    </row>
    <row r="419" spans="1:15" x14ac:dyDescent="0.35">
      <c r="A419" s="4">
        <v>45327</v>
      </c>
      <c r="B419" s="2" t="s">
        <v>887</v>
      </c>
      <c r="D419" s="2" t="s">
        <v>58</v>
      </c>
      <c r="E419" s="2" t="s">
        <v>325</v>
      </c>
      <c r="F419" s="5" t="str">
        <f t="shared" si="32"/>
        <v>007-0002-405984 BRICOLAJE BRICOMAN SL</v>
      </c>
      <c r="G419" s="12">
        <f t="shared" si="33"/>
        <v>116.7190082644628</v>
      </c>
      <c r="H419">
        <v>21</v>
      </c>
      <c r="I419" s="5">
        <f t="shared" si="34"/>
        <v>24.510991735537186</v>
      </c>
      <c r="J419" s="5">
        <f t="shared" si="35"/>
        <v>116.7190082644628</v>
      </c>
      <c r="L419" s="5">
        <f t="shared" si="36"/>
        <v>0</v>
      </c>
      <c r="M419" s="8">
        <v>141.22999999999999</v>
      </c>
      <c r="N419" s="2" t="s">
        <v>21</v>
      </c>
      <c r="O419" s="3" t="s">
        <v>64</v>
      </c>
    </row>
    <row r="420" spans="1:15" x14ac:dyDescent="0.35">
      <c r="A420" s="4">
        <v>45328</v>
      </c>
      <c r="B420" s="2" t="s">
        <v>888</v>
      </c>
      <c r="D420" s="2" t="s">
        <v>58</v>
      </c>
      <c r="E420" s="2" t="s">
        <v>325</v>
      </c>
      <c r="F420" s="5" t="str">
        <f t="shared" si="32"/>
        <v>007-0002-407366 BRICOLAJE BRICOMAN SL</v>
      </c>
      <c r="G420" s="12">
        <f t="shared" si="33"/>
        <v>115.76859504132233</v>
      </c>
      <c r="H420">
        <v>21</v>
      </c>
      <c r="I420" s="5">
        <f t="shared" si="34"/>
        <v>24.311404958677691</v>
      </c>
      <c r="J420" s="5">
        <f t="shared" si="35"/>
        <v>115.76859504132233</v>
      </c>
      <c r="L420" s="5">
        <f t="shared" si="36"/>
        <v>0</v>
      </c>
      <c r="M420" s="8">
        <v>140.08000000000001</v>
      </c>
      <c r="N420" s="2" t="s">
        <v>21</v>
      </c>
      <c r="O420" s="3" t="s">
        <v>64</v>
      </c>
    </row>
    <row r="421" spans="1:15" x14ac:dyDescent="0.35">
      <c r="A421" s="4">
        <v>45331</v>
      </c>
      <c r="B421" s="2" t="s">
        <v>889</v>
      </c>
      <c r="D421" s="2" t="s">
        <v>58</v>
      </c>
      <c r="E421" s="2" t="s">
        <v>325</v>
      </c>
      <c r="F421" s="5" t="str">
        <f t="shared" si="32"/>
        <v>007-0002-412612 BRICOLAJE BRICOMAN SL</v>
      </c>
      <c r="G421" s="12">
        <f t="shared" si="33"/>
        <v>48.347107438016529</v>
      </c>
      <c r="H421">
        <v>21</v>
      </c>
      <c r="I421" s="5">
        <f t="shared" si="34"/>
        <v>10.152892561983471</v>
      </c>
      <c r="J421" s="5">
        <f t="shared" si="35"/>
        <v>48.347107438016529</v>
      </c>
      <c r="L421" s="5">
        <f t="shared" si="36"/>
        <v>0</v>
      </c>
      <c r="M421" s="8">
        <v>58.5</v>
      </c>
      <c r="N421" s="2" t="s">
        <v>21</v>
      </c>
      <c r="O421" s="3" t="s">
        <v>64</v>
      </c>
    </row>
    <row r="422" spans="1:15" x14ac:dyDescent="0.35">
      <c r="A422" s="4">
        <v>45334</v>
      </c>
      <c r="B422" s="2" t="s">
        <v>890</v>
      </c>
      <c r="D422" s="2" t="s">
        <v>58</v>
      </c>
      <c r="E422" s="2" t="s">
        <v>325</v>
      </c>
      <c r="F422" s="5" t="str">
        <f t="shared" si="32"/>
        <v>007-0002-415405 BRICOLAJE BRICOMAN SL</v>
      </c>
      <c r="G422" s="12">
        <f t="shared" si="33"/>
        <v>44.396694214876035</v>
      </c>
      <c r="H422">
        <v>21</v>
      </c>
      <c r="I422" s="5">
        <f t="shared" si="34"/>
        <v>9.3233057851239671</v>
      </c>
      <c r="J422" s="5">
        <f t="shared" si="35"/>
        <v>44.396694214876035</v>
      </c>
      <c r="L422" s="5">
        <f t="shared" si="36"/>
        <v>0</v>
      </c>
      <c r="M422" s="8">
        <v>53.72</v>
      </c>
      <c r="N422" s="2" t="s">
        <v>21</v>
      </c>
      <c r="O422" s="3" t="s">
        <v>64</v>
      </c>
    </row>
    <row r="423" spans="1:15" x14ac:dyDescent="0.35">
      <c r="A423" s="4">
        <v>45334</v>
      </c>
      <c r="B423" s="2" t="s">
        <v>891</v>
      </c>
      <c r="D423" s="2" t="s">
        <v>58</v>
      </c>
      <c r="E423" s="2" t="s">
        <v>325</v>
      </c>
      <c r="F423" s="5" t="str">
        <f t="shared" si="32"/>
        <v>011-0002-734046 BRICOLAJE BRICOMAN SL</v>
      </c>
      <c r="G423" s="12">
        <f t="shared" si="33"/>
        <v>38.933884297520663</v>
      </c>
      <c r="H423">
        <v>21</v>
      </c>
      <c r="I423" s="5">
        <f t="shared" si="34"/>
        <v>8.1761157024793398</v>
      </c>
      <c r="J423" s="5">
        <f t="shared" si="35"/>
        <v>38.933884297520663</v>
      </c>
      <c r="L423" s="5">
        <f t="shared" si="36"/>
        <v>0</v>
      </c>
      <c r="M423" s="8">
        <v>47.11</v>
      </c>
      <c r="N423" s="2" t="s">
        <v>21</v>
      </c>
      <c r="O423" s="3" t="s">
        <v>64</v>
      </c>
    </row>
    <row r="424" spans="1:15" x14ac:dyDescent="0.35">
      <c r="A424" s="4">
        <v>45334</v>
      </c>
      <c r="B424" s="2" t="s">
        <v>892</v>
      </c>
      <c r="D424" s="2" t="s">
        <v>58</v>
      </c>
      <c r="E424" s="2" t="s">
        <v>325</v>
      </c>
      <c r="F424" s="5" t="str">
        <f t="shared" si="32"/>
        <v>007-0002-415460 BRICOLAJE BRICOMAN SL</v>
      </c>
      <c r="G424" s="12">
        <f t="shared" si="33"/>
        <v>48.396694214876035</v>
      </c>
      <c r="H424">
        <v>21</v>
      </c>
      <c r="I424" s="5">
        <f t="shared" si="34"/>
        <v>10.163305785123967</v>
      </c>
      <c r="J424" s="5">
        <f t="shared" si="35"/>
        <v>48.396694214876035</v>
      </c>
      <c r="L424" s="5">
        <f t="shared" si="36"/>
        <v>0</v>
      </c>
      <c r="M424" s="8">
        <v>58.56</v>
      </c>
      <c r="N424" s="2" t="s">
        <v>21</v>
      </c>
      <c r="O424" s="3" t="s">
        <v>64</v>
      </c>
    </row>
    <row r="425" spans="1:15" x14ac:dyDescent="0.35">
      <c r="A425" s="4">
        <v>45335</v>
      </c>
      <c r="B425" s="2" t="s">
        <v>893</v>
      </c>
      <c r="D425" s="2" t="s">
        <v>58</v>
      </c>
      <c r="E425" s="2" t="s">
        <v>325</v>
      </c>
      <c r="F425" s="5" t="str">
        <f t="shared" si="32"/>
        <v>007-0002-416819 BRICOLAJE BRICOMAN SL</v>
      </c>
      <c r="G425" s="12">
        <f t="shared" si="33"/>
        <v>267.67768595041321</v>
      </c>
      <c r="H425">
        <v>21</v>
      </c>
      <c r="I425" s="5">
        <f t="shared" si="34"/>
        <v>56.212314049586773</v>
      </c>
      <c r="J425" s="5">
        <f t="shared" si="35"/>
        <v>267.67768595041321</v>
      </c>
      <c r="L425" s="5">
        <f t="shared" si="36"/>
        <v>0</v>
      </c>
      <c r="M425" s="8">
        <v>323.89</v>
      </c>
      <c r="N425" s="2" t="s">
        <v>21</v>
      </c>
      <c r="O425" s="3" t="s">
        <v>64</v>
      </c>
    </row>
    <row r="426" spans="1:15" x14ac:dyDescent="0.35">
      <c r="A426" s="4">
        <v>45335</v>
      </c>
      <c r="B426" s="2" t="s">
        <v>894</v>
      </c>
      <c r="D426" s="2" t="s">
        <v>58</v>
      </c>
      <c r="E426" s="2" t="s">
        <v>325</v>
      </c>
      <c r="F426" s="5" t="str">
        <f t="shared" si="32"/>
        <v>007-0002-416862 BRICOLAJE BRICOMAN SL</v>
      </c>
      <c r="G426" s="12">
        <f t="shared" si="33"/>
        <v>108.55371900826447</v>
      </c>
      <c r="H426">
        <v>21</v>
      </c>
      <c r="I426" s="5">
        <f t="shared" si="34"/>
        <v>22.796280991735539</v>
      </c>
      <c r="J426" s="5">
        <f t="shared" si="35"/>
        <v>108.55371900826447</v>
      </c>
      <c r="L426" s="5">
        <f t="shared" si="36"/>
        <v>0</v>
      </c>
      <c r="M426" s="8">
        <v>131.35</v>
      </c>
      <c r="N426" s="2" t="s">
        <v>21</v>
      </c>
      <c r="O426" s="3" t="s">
        <v>64</v>
      </c>
    </row>
    <row r="427" spans="1:15" x14ac:dyDescent="0.35">
      <c r="A427" s="4">
        <v>45335</v>
      </c>
      <c r="B427" s="2" t="s">
        <v>895</v>
      </c>
      <c r="D427" s="2" t="s">
        <v>58</v>
      </c>
      <c r="E427" s="2" t="s">
        <v>325</v>
      </c>
      <c r="F427" s="5" t="str">
        <f t="shared" si="32"/>
        <v>007-0002-R059311 BRICOLAJE BRICOMAN SL</v>
      </c>
      <c r="G427" s="12">
        <f t="shared" si="33"/>
        <v>-85.421487603305792</v>
      </c>
      <c r="H427">
        <v>21</v>
      </c>
      <c r="I427" s="5">
        <f t="shared" si="34"/>
        <v>-17.938512396694215</v>
      </c>
      <c r="J427" s="5">
        <f t="shared" si="35"/>
        <v>-85.421487603305792</v>
      </c>
      <c r="L427" s="5">
        <f t="shared" si="36"/>
        <v>0</v>
      </c>
      <c r="M427" s="8">
        <v>-103.36</v>
      </c>
      <c r="N427" s="2" t="s">
        <v>21</v>
      </c>
      <c r="O427" s="3" t="s">
        <v>64</v>
      </c>
    </row>
    <row r="428" spans="1:15" x14ac:dyDescent="0.35">
      <c r="A428" s="4">
        <v>45335</v>
      </c>
      <c r="B428" s="2" t="s">
        <v>896</v>
      </c>
      <c r="D428" s="2" t="s">
        <v>58</v>
      </c>
      <c r="E428" s="2" t="s">
        <v>325</v>
      </c>
      <c r="F428" s="5" t="str">
        <f t="shared" si="32"/>
        <v>007-0002-417076 BRICOLAJE BRICOMAN SL</v>
      </c>
      <c r="G428" s="12">
        <f t="shared" si="33"/>
        <v>41.834710743801651</v>
      </c>
      <c r="H428">
        <v>21</v>
      </c>
      <c r="I428" s="5">
        <f t="shared" si="34"/>
        <v>8.7852892561983467</v>
      </c>
      <c r="J428" s="5">
        <f t="shared" si="35"/>
        <v>41.834710743801651</v>
      </c>
      <c r="L428" s="5">
        <f t="shared" si="36"/>
        <v>0</v>
      </c>
      <c r="M428" s="8">
        <v>50.62</v>
      </c>
      <c r="N428" s="2" t="s">
        <v>21</v>
      </c>
      <c r="O428" s="3" t="s">
        <v>64</v>
      </c>
    </row>
    <row r="429" spans="1:15" x14ac:dyDescent="0.35">
      <c r="A429" s="4">
        <v>45352</v>
      </c>
      <c r="B429" s="2" t="s">
        <v>897</v>
      </c>
      <c r="D429" s="2" t="s">
        <v>58</v>
      </c>
      <c r="E429" s="2" t="s">
        <v>325</v>
      </c>
      <c r="F429" s="5" t="str">
        <f t="shared" si="32"/>
        <v>007-0003-442094 BRICOLAJE BRICOMAN SL</v>
      </c>
      <c r="G429" s="12">
        <f t="shared" si="33"/>
        <v>40.247933884297524</v>
      </c>
      <c r="H429">
        <v>21</v>
      </c>
      <c r="I429" s="5">
        <f t="shared" si="34"/>
        <v>8.4520661157024808</v>
      </c>
      <c r="J429" s="5">
        <f t="shared" si="35"/>
        <v>40.247933884297524</v>
      </c>
      <c r="L429" s="5">
        <f t="shared" si="36"/>
        <v>0</v>
      </c>
      <c r="M429" s="8">
        <v>48.7</v>
      </c>
      <c r="N429" s="2" t="s">
        <v>21</v>
      </c>
      <c r="O429" s="3" t="s">
        <v>64</v>
      </c>
    </row>
    <row r="430" spans="1:15" x14ac:dyDescent="0.35">
      <c r="A430" s="4">
        <v>45352</v>
      </c>
      <c r="B430" s="2" t="s">
        <v>898</v>
      </c>
      <c r="D430" s="2" t="s">
        <v>58</v>
      </c>
      <c r="E430" s="2" t="s">
        <v>325</v>
      </c>
      <c r="F430" s="5" t="str">
        <f t="shared" si="32"/>
        <v>007-0003-441772 BRICOLAJE BRICOMAN SL</v>
      </c>
      <c r="G430" s="12">
        <f t="shared" si="33"/>
        <v>36.280991735537192</v>
      </c>
      <c r="H430">
        <v>21</v>
      </c>
      <c r="I430" s="5">
        <f t="shared" si="34"/>
        <v>7.6190082644628099</v>
      </c>
      <c r="J430" s="5">
        <f t="shared" si="35"/>
        <v>36.280991735537192</v>
      </c>
      <c r="L430" s="5">
        <f t="shared" si="36"/>
        <v>0</v>
      </c>
      <c r="M430" s="8">
        <v>43.9</v>
      </c>
      <c r="N430" s="2" t="s">
        <v>21</v>
      </c>
      <c r="O430" s="3" t="s">
        <v>64</v>
      </c>
    </row>
    <row r="431" spans="1:15" x14ac:dyDescent="0.35">
      <c r="A431" s="4">
        <v>45352</v>
      </c>
      <c r="B431" s="2" t="s">
        <v>899</v>
      </c>
      <c r="D431" s="2" t="s">
        <v>58</v>
      </c>
      <c r="E431" s="2" t="s">
        <v>325</v>
      </c>
      <c r="F431" s="5" t="str">
        <f t="shared" si="32"/>
        <v>007-0003-441734 BRICOLAJE BRICOMAN SL</v>
      </c>
      <c r="G431" s="12">
        <f t="shared" si="33"/>
        <v>72.743801652892557</v>
      </c>
      <c r="H431">
        <v>21</v>
      </c>
      <c r="I431" s="5">
        <f t="shared" si="34"/>
        <v>15.276198347107439</v>
      </c>
      <c r="J431" s="5">
        <f t="shared" si="35"/>
        <v>72.743801652892557</v>
      </c>
      <c r="L431" s="5">
        <f t="shared" si="36"/>
        <v>0</v>
      </c>
      <c r="M431" s="8">
        <v>88.02</v>
      </c>
      <c r="N431" s="2" t="s">
        <v>21</v>
      </c>
      <c r="O431" s="3" t="s">
        <v>64</v>
      </c>
    </row>
    <row r="432" spans="1:15" x14ac:dyDescent="0.35">
      <c r="A432" s="4">
        <v>45352</v>
      </c>
      <c r="B432" s="2" t="s">
        <v>900</v>
      </c>
      <c r="D432" s="2" t="s">
        <v>58</v>
      </c>
      <c r="E432" s="2" t="s">
        <v>325</v>
      </c>
      <c r="F432" s="5" t="str">
        <f t="shared" si="32"/>
        <v>007-0003-441424 BRICOLAJE BRICOMAN SL</v>
      </c>
      <c r="G432" s="12">
        <f t="shared" si="33"/>
        <v>126.69421487603307</v>
      </c>
      <c r="H432">
        <v>21</v>
      </c>
      <c r="I432" s="5">
        <f t="shared" si="34"/>
        <v>26.605785123966943</v>
      </c>
      <c r="J432" s="5">
        <f t="shared" si="35"/>
        <v>126.69421487603307</v>
      </c>
      <c r="L432" s="5">
        <f t="shared" si="36"/>
        <v>0</v>
      </c>
      <c r="M432" s="8">
        <v>153.30000000000001</v>
      </c>
      <c r="N432" s="2" t="s">
        <v>21</v>
      </c>
      <c r="O432" s="3" t="s">
        <v>64</v>
      </c>
    </row>
    <row r="433" spans="1:15" x14ac:dyDescent="0.35">
      <c r="A433" s="4">
        <v>45352</v>
      </c>
      <c r="B433" s="2" t="s">
        <v>901</v>
      </c>
      <c r="D433" s="2" t="s">
        <v>58</v>
      </c>
      <c r="E433" s="2" t="s">
        <v>325</v>
      </c>
      <c r="F433" s="5" t="str">
        <f t="shared" si="32"/>
        <v>007-0003-441382 BRICOLAJE BRICOMAN SL</v>
      </c>
      <c r="G433" s="12">
        <f t="shared" si="33"/>
        <v>204.19008264462809</v>
      </c>
      <c r="H433">
        <v>21</v>
      </c>
      <c r="I433" s="5">
        <f t="shared" si="34"/>
        <v>42.879917355371902</v>
      </c>
      <c r="J433" s="5">
        <f t="shared" si="35"/>
        <v>204.19008264462809</v>
      </c>
      <c r="L433" s="5">
        <f t="shared" si="36"/>
        <v>0</v>
      </c>
      <c r="M433" s="8">
        <v>247.07</v>
      </c>
      <c r="N433" s="2" t="s">
        <v>21</v>
      </c>
      <c r="O433" s="3" t="s">
        <v>64</v>
      </c>
    </row>
    <row r="434" spans="1:15" x14ac:dyDescent="0.35">
      <c r="A434" s="4" t="s">
        <v>902</v>
      </c>
      <c r="B434" s="2" t="s">
        <v>903</v>
      </c>
      <c r="D434" s="2" t="s">
        <v>58</v>
      </c>
      <c r="E434" s="2" t="s">
        <v>325</v>
      </c>
      <c r="F434" s="5" t="str">
        <f t="shared" si="32"/>
        <v>007-0002-439966 BRICOLAJE BRICOMAN SL</v>
      </c>
      <c r="G434" s="12">
        <f t="shared" si="33"/>
        <v>61.909090909090907</v>
      </c>
      <c r="H434">
        <v>21</v>
      </c>
      <c r="I434" s="5">
        <f t="shared" si="34"/>
        <v>13.00090909090909</v>
      </c>
      <c r="J434" s="5">
        <f t="shared" si="35"/>
        <v>61.909090909090907</v>
      </c>
      <c r="L434" s="5">
        <f t="shared" si="36"/>
        <v>0</v>
      </c>
      <c r="M434" s="8">
        <v>74.91</v>
      </c>
      <c r="N434" s="2" t="s">
        <v>21</v>
      </c>
      <c r="O434" s="3" t="s">
        <v>64</v>
      </c>
    </row>
    <row r="435" spans="1:15" x14ac:dyDescent="0.35">
      <c r="A435" s="4">
        <v>45355</v>
      </c>
      <c r="B435" s="2" t="s">
        <v>904</v>
      </c>
      <c r="D435" s="2" t="s">
        <v>58</v>
      </c>
      <c r="E435" s="2" t="s">
        <v>325</v>
      </c>
      <c r="F435" s="5" t="str">
        <f t="shared" si="32"/>
        <v>007-0003-444711 BRICOLAJE BRICOMAN SL</v>
      </c>
      <c r="G435" s="12">
        <f t="shared" si="33"/>
        <v>176.84297520661156</v>
      </c>
      <c r="H435">
        <v>21</v>
      </c>
      <c r="I435" s="5">
        <f t="shared" si="34"/>
        <v>37.137024793388427</v>
      </c>
      <c r="J435" s="5">
        <f t="shared" si="35"/>
        <v>176.84297520661156</v>
      </c>
      <c r="L435" s="5">
        <f t="shared" si="36"/>
        <v>0</v>
      </c>
      <c r="M435" s="8">
        <v>213.98</v>
      </c>
      <c r="N435" s="2" t="s">
        <v>21</v>
      </c>
      <c r="O435" s="3" t="s">
        <v>64</v>
      </c>
    </row>
    <row r="436" spans="1:15" x14ac:dyDescent="0.35">
      <c r="A436" s="4">
        <v>45355</v>
      </c>
      <c r="B436" s="2" t="s">
        <v>905</v>
      </c>
      <c r="D436" s="2" t="s">
        <v>58</v>
      </c>
      <c r="E436" s="2" t="s">
        <v>325</v>
      </c>
      <c r="F436" s="5" t="str">
        <f t="shared" si="32"/>
        <v>012-0003-731015 BRICOLAJE BRICOMAN SL</v>
      </c>
      <c r="G436" s="12">
        <f t="shared" si="33"/>
        <v>31.801652892561982</v>
      </c>
      <c r="H436">
        <v>21</v>
      </c>
      <c r="I436" s="5">
        <f t="shared" si="34"/>
        <v>6.6783471074380172</v>
      </c>
      <c r="J436" s="5">
        <f t="shared" si="35"/>
        <v>31.801652892561982</v>
      </c>
      <c r="L436" s="5">
        <f t="shared" si="36"/>
        <v>0</v>
      </c>
      <c r="M436" s="8">
        <v>38.479999999999997</v>
      </c>
      <c r="N436" s="2" t="s">
        <v>21</v>
      </c>
      <c r="O436" s="3" t="s">
        <v>64</v>
      </c>
    </row>
    <row r="437" spans="1:15" x14ac:dyDescent="0.35">
      <c r="A437" s="4">
        <v>45355</v>
      </c>
      <c r="B437" s="2" t="s">
        <v>906</v>
      </c>
      <c r="D437" s="2" t="s">
        <v>58</v>
      </c>
      <c r="E437" s="2" t="s">
        <v>325</v>
      </c>
      <c r="F437" s="5" t="str">
        <f t="shared" si="32"/>
        <v>012-0003-730970 BRICOLAJE BRICOMAN SL</v>
      </c>
      <c r="G437" s="12">
        <f t="shared" si="33"/>
        <v>69.421487603305792</v>
      </c>
      <c r="H437">
        <v>21</v>
      </c>
      <c r="I437" s="5">
        <f t="shared" si="34"/>
        <v>14.578512396694215</v>
      </c>
      <c r="J437" s="5">
        <f t="shared" si="35"/>
        <v>69.421487603305792</v>
      </c>
      <c r="L437" s="5">
        <f t="shared" si="36"/>
        <v>0</v>
      </c>
      <c r="M437" s="8">
        <v>84</v>
      </c>
      <c r="N437" s="2" t="s">
        <v>21</v>
      </c>
      <c r="O437" s="3" t="s">
        <v>64</v>
      </c>
    </row>
    <row r="438" spans="1:15" x14ac:dyDescent="0.35">
      <c r="A438" s="4">
        <v>45355</v>
      </c>
      <c r="B438" s="2" t="s">
        <v>907</v>
      </c>
      <c r="D438" s="2" t="s">
        <v>58</v>
      </c>
      <c r="E438" s="2" t="s">
        <v>325</v>
      </c>
      <c r="F438" s="5" t="str">
        <f t="shared" si="32"/>
        <v>007-0003-445392 BRICOLAJE BRICOMAN SL</v>
      </c>
      <c r="G438" s="12">
        <f t="shared" si="33"/>
        <v>464.03305785123968</v>
      </c>
      <c r="H438">
        <v>21</v>
      </c>
      <c r="I438" s="5">
        <f t="shared" si="34"/>
        <v>97.446942148760343</v>
      </c>
      <c r="J438" s="5">
        <f t="shared" si="35"/>
        <v>464.03305785123968</v>
      </c>
      <c r="L438" s="5">
        <f t="shared" si="36"/>
        <v>0</v>
      </c>
      <c r="M438" s="8">
        <v>561.48</v>
      </c>
      <c r="N438" s="2" t="s">
        <v>21</v>
      </c>
      <c r="O438" s="3" t="s">
        <v>64</v>
      </c>
    </row>
    <row r="439" spans="1:15" x14ac:dyDescent="0.35">
      <c r="A439" s="4">
        <v>45342</v>
      </c>
      <c r="B439" s="2" t="s">
        <v>908</v>
      </c>
      <c r="D439" s="2" t="s">
        <v>58</v>
      </c>
      <c r="E439" s="2" t="s">
        <v>325</v>
      </c>
      <c r="F439" s="5" t="str">
        <f t="shared" si="32"/>
        <v>007-0002-427542 BRICOLAJE BRICOMAN SL</v>
      </c>
      <c r="G439" s="12">
        <f t="shared" si="33"/>
        <v>50.041322314049587</v>
      </c>
      <c r="H439">
        <v>21</v>
      </c>
      <c r="I439" s="5">
        <f t="shared" si="34"/>
        <v>10.508677685950413</v>
      </c>
      <c r="J439" s="5">
        <f t="shared" si="35"/>
        <v>50.041322314049587</v>
      </c>
      <c r="L439" s="5">
        <f t="shared" si="36"/>
        <v>0</v>
      </c>
      <c r="M439" s="8">
        <v>60.55</v>
      </c>
      <c r="N439" s="2" t="s">
        <v>21</v>
      </c>
      <c r="O439" s="3" t="s">
        <v>64</v>
      </c>
    </row>
    <row r="440" spans="1:15" x14ac:dyDescent="0.35">
      <c r="A440" s="4">
        <v>45342</v>
      </c>
      <c r="B440" s="2" t="s">
        <v>909</v>
      </c>
      <c r="D440" s="2" t="s">
        <v>58</v>
      </c>
      <c r="E440" s="2" t="s">
        <v>325</v>
      </c>
      <c r="F440" s="5" t="str">
        <f t="shared" si="32"/>
        <v>007-0002-427449 BRICOLAJE BRICOMAN SL</v>
      </c>
      <c r="G440" s="12">
        <f t="shared" si="33"/>
        <v>136.35537190082647</v>
      </c>
      <c r="H440">
        <v>21</v>
      </c>
      <c r="I440" s="5">
        <f t="shared" si="34"/>
        <v>28.634628099173561</v>
      </c>
      <c r="J440" s="5">
        <f t="shared" si="35"/>
        <v>136.35537190082647</v>
      </c>
      <c r="L440" s="5">
        <f t="shared" si="36"/>
        <v>0</v>
      </c>
      <c r="M440" s="8">
        <v>164.99</v>
      </c>
      <c r="N440" s="2" t="s">
        <v>21</v>
      </c>
      <c r="O440" s="3" t="s">
        <v>64</v>
      </c>
    </row>
    <row r="441" spans="1:15" x14ac:dyDescent="0.35">
      <c r="A441" s="4">
        <v>45342</v>
      </c>
      <c r="B441" s="2" t="s">
        <v>910</v>
      </c>
      <c r="D441" s="2" t="s">
        <v>58</v>
      </c>
      <c r="E441" s="2" t="s">
        <v>325</v>
      </c>
      <c r="F441" s="5" t="str">
        <f t="shared" si="32"/>
        <v>007-0002-426713 BRICOLAJE BRICOMAN SL</v>
      </c>
      <c r="G441" s="12">
        <f t="shared" si="33"/>
        <v>103.63636363636364</v>
      </c>
      <c r="H441">
        <v>21</v>
      </c>
      <c r="I441" s="5">
        <f t="shared" si="34"/>
        <v>21.763636363636365</v>
      </c>
      <c r="J441" s="5">
        <f t="shared" si="35"/>
        <v>103.63636363636364</v>
      </c>
      <c r="L441" s="5">
        <f t="shared" si="36"/>
        <v>0</v>
      </c>
      <c r="M441" s="8">
        <v>125.4</v>
      </c>
      <c r="N441" s="2" t="s">
        <v>21</v>
      </c>
      <c r="O441" s="3" t="s">
        <v>64</v>
      </c>
    </row>
    <row r="442" spans="1:15" x14ac:dyDescent="0.35">
      <c r="A442" s="4">
        <v>45342</v>
      </c>
      <c r="B442" s="2" t="s">
        <v>911</v>
      </c>
      <c r="D442" s="2" t="s">
        <v>58</v>
      </c>
      <c r="E442" s="2" t="s">
        <v>325</v>
      </c>
      <c r="F442" s="5" t="str">
        <f t="shared" si="32"/>
        <v>007-0002-426697 BRICOLAJE BRICOMAN SL</v>
      </c>
      <c r="G442" s="12">
        <f t="shared" si="33"/>
        <v>28.925619834710744</v>
      </c>
      <c r="H442">
        <v>21</v>
      </c>
      <c r="I442" s="5">
        <f t="shared" si="34"/>
        <v>6.0743801652892557</v>
      </c>
      <c r="J442" s="5">
        <f t="shared" si="35"/>
        <v>28.925619834710744</v>
      </c>
      <c r="L442" s="5">
        <f t="shared" si="36"/>
        <v>0</v>
      </c>
      <c r="M442" s="8">
        <v>35</v>
      </c>
      <c r="N442" s="2" t="s">
        <v>21</v>
      </c>
      <c r="O442" s="3" t="s">
        <v>64</v>
      </c>
    </row>
    <row r="443" spans="1:15" x14ac:dyDescent="0.35">
      <c r="A443" s="4">
        <v>45341</v>
      </c>
      <c r="B443" s="2" t="s">
        <v>912</v>
      </c>
      <c r="D443" s="2" t="s">
        <v>58</v>
      </c>
      <c r="E443" s="2" t="s">
        <v>325</v>
      </c>
      <c r="F443" s="5" t="str">
        <f t="shared" si="32"/>
        <v>007-0002-425652 BRICOLAJE BRICOMAN SL</v>
      </c>
      <c r="G443" s="12">
        <f t="shared" si="33"/>
        <v>730.1322314049587</v>
      </c>
      <c r="H443">
        <v>21</v>
      </c>
      <c r="I443" s="5">
        <f t="shared" si="34"/>
        <v>153.32776859504133</v>
      </c>
      <c r="J443" s="5">
        <f t="shared" si="35"/>
        <v>730.1322314049587</v>
      </c>
      <c r="L443" s="5">
        <f t="shared" si="36"/>
        <v>0</v>
      </c>
      <c r="M443" s="8">
        <v>883.46</v>
      </c>
      <c r="N443" s="2" t="s">
        <v>21</v>
      </c>
      <c r="O443" s="3" t="s">
        <v>64</v>
      </c>
    </row>
    <row r="444" spans="1:15" x14ac:dyDescent="0.35">
      <c r="A444" s="4">
        <v>45341</v>
      </c>
      <c r="B444" s="2" t="s">
        <v>913</v>
      </c>
      <c r="D444" s="2" t="s">
        <v>58</v>
      </c>
      <c r="E444" s="2" t="s">
        <v>325</v>
      </c>
      <c r="F444" s="5" t="str">
        <f t="shared" si="32"/>
        <v>007-0002-425607 BRICOLAJE BRICOMAN SL</v>
      </c>
      <c r="G444" s="12">
        <f t="shared" si="33"/>
        <v>7.6859504132231411</v>
      </c>
      <c r="H444">
        <v>21</v>
      </c>
      <c r="I444" s="5">
        <f t="shared" si="34"/>
        <v>1.6140495867768596</v>
      </c>
      <c r="J444" s="5">
        <f t="shared" si="35"/>
        <v>7.6859504132231411</v>
      </c>
      <c r="L444" s="5">
        <f t="shared" si="36"/>
        <v>0</v>
      </c>
      <c r="M444" s="8">
        <v>9.3000000000000007</v>
      </c>
      <c r="N444" s="2" t="s">
        <v>21</v>
      </c>
      <c r="O444" s="3" t="s">
        <v>64</v>
      </c>
    </row>
    <row r="445" spans="1:15" x14ac:dyDescent="0.35">
      <c r="A445" s="4">
        <v>45341</v>
      </c>
      <c r="B445" s="2" t="s">
        <v>914</v>
      </c>
      <c r="D445" s="2" t="s">
        <v>58</v>
      </c>
      <c r="E445" s="2" t="s">
        <v>325</v>
      </c>
      <c r="F445" s="5" t="str">
        <f t="shared" si="32"/>
        <v>007-0002-425605 BRICOLAJE BRICOMAN SL</v>
      </c>
      <c r="G445" s="12">
        <f t="shared" si="33"/>
        <v>54.570247933884303</v>
      </c>
      <c r="H445">
        <v>21</v>
      </c>
      <c r="I445" s="5">
        <f t="shared" si="34"/>
        <v>11.459752066115705</v>
      </c>
      <c r="J445" s="5">
        <f t="shared" si="35"/>
        <v>54.570247933884303</v>
      </c>
      <c r="L445" s="5">
        <f t="shared" si="36"/>
        <v>0</v>
      </c>
      <c r="M445" s="8">
        <v>66.03</v>
      </c>
      <c r="N445" s="2" t="s">
        <v>21</v>
      </c>
      <c r="O445" s="3" t="s">
        <v>64</v>
      </c>
    </row>
    <row r="446" spans="1:15" x14ac:dyDescent="0.35">
      <c r="A446" s="4">
        <v>45339</v>
      </c>
      <c r="B446" s="2" t="s">
        <v>915</v>
      </c>
      <c r="D446" s="2" t="s">
        <v>58</v>
      </c>
      <c r="E446" s="2" t="s">
        <v>325</v>
      </c>
      <c r="F446" s="5" t="str">
        <f t="shared" si="32"/>
        <v>007-0002-422868 BRICOLAJE BRICOMAN SL</v>
      </c>
      <c r="G446" s="12">
        <f t="shared" si="33"/>
        <v>96.256198347107443</v>
      </c>
      <c r="H446">
        <v>21</v>
      </c>
      <c r="I446" s="5">
        <f t="shared" si="34"/>
        <v>20.213801652892563</v>
      </c>
      <c r="J446" s="5">
        <f t="shared" si="35"/>
        <v>96.256198347107443</v>
      </c>
      <c r="L446" s="5">
        <f t="shared" si="36"/>
        <v>0</v>
      </c>
      <c r="M446" s="8">
        <v>116.47</v>
      </c>
      <c r="N446" s="2" t="s">
        <v>21</v>
      </c>
      <c r="O446" s="3" t="s">
        <v>64</v>
      </c>
    </row>
    <row r="447" spans="1:15" x14ac:dyDescent="0.35">
      <c r="A447" s="4">
        <v>45338</v>
      </c>
      <c r="B447" s="2" t="s">
        <v>916</v>
      </c>
      <c r="D447" s="2" t="s">
        <v>58</v>
      </c>
      <c r="E447" s="2" t="s">
        <v>325</v>
      </c>
      <c r="F447" s="5" t="str">
        <f t="shared" si="32"/>
        <v>007-0002-421983 BRICOLAJE BRICOMAN SL</v>
      </c>
      <c r="G447" s="12">
        <f t="shared" si="33"/>
        <v>235.98347107438019</v>
      </c>
      <c r="H447">
        <v>21</v>
      </c>
      <c r="I447" s="5">
        <f t="shared" si="34"/>
        <v>49.556528925619844</v>
      </c>
      <c r="J447" s="5">
        <f t="shared" si="35"/>
        <v>235.98347107438019</v>
      </c>
      <c r="L447" s="5">
        <f t="shared" si="36"/>
        <v>0</v>
      </c>
      <c r="M447" s="8">
        <v>285.54000000000002</v>
      </c>
      <c r="N447" s="2" t="s">
        <v>21</v>
      </c>
      <c r="O447" s="3" t="s">
        <v>64</v>
      </c>
    </row>
    <row r="448" spans="1:15" x14ac:dyDescent="0.35">
      <c r="A448" s="4">
        <v>45339</v>
      </c>
      <c r="B448" s="2" t="s">
        <v>917</v>
      </c>
      <c r="D448" s="2" t="s">
        <v>58</v>
      </c>
      <c r="E448" s="2" t="s">
        <v>325</v>
      </c>
      <c r="F448" s="5" t="str">
        <f t="shared" si="32"/>
        <v>007-0002-R059827 BRICOLAJE BRICOMAN SL</v>
      </c>
      <c r="G448" s="12">
        <f t="shared" si="33"/>
        <v>-37.090909090909093</v>
      </c>
      <c r="H448">
        <v>21</v>
      </c>
      <c r="I448" s="5">
        <f t="shared" si="34"/>
        <v>-7.78909090909091</v>
      </c>
      <c r="J448" s="5">
        <f t="shared" si="35"/>
        <v>-37.090909090909093</v>
      </c>
      <c r="L448" s="5">
        <f t="shared" si="36"/>
        <v>0</v>
      </c>
      <c r="M448" s="8">
        <v>-44.88</v>
      </c>
      <c r="N448" s="2" t="s">
        <v>21</v>
      </c>
      <c r="O448" s="3" t="s">
        <v>64</v>
      </c>
    </row>
    <row r="449" spans="1:15" x14ac:dyDescent="0.35">
      <c r="A449" s="4">
        <v>45338</v>
      </c>
      <c r="B449" s="2" t="s">
        <v>919</v>
      </c>
      <c r="D449" s="2" t="s">
        <v>58</v>
      </c>
      <c r="E449" s="2" t="s">
        <v>325</v>
      </c>
      <c r="F449" s="5" t="str">
        <f t="shared" si="32"/>
        <v>007-0002-422023 BRICOLAJE BRICOMAN SL</v>
      </c>
      <c r="G449" s="12">
        <f t="shared" si="33"/>
        <v>145.91735537190084</v>
      </c>
      <c r="H449">
        <v>21</v>
      </c>
      <c r="I449" s="5">
        <f t="shared" si="34"/>
        <v>30.642644628099177</v>
      </c>
      <c r="J449" s="5">
        <f t="shared" si="35"/>
        <v>145.91735537190084</v>
      </c>
      <c r="L449" s="5">
        <f t="shared" si="36"/>
        <v>0</v>
      </c>
      <c r="M449" s="8">
        <v>176.56</v>
      </c>
      <c r="N449" s="2" t="s">
        <v>21</v>
      </c>
      <c r="O449" s="3" t="s">
        <v>64</v>
      </c>
    </row>
    <row r="450" spans="1:15" x14ac:dyDescent="0.35">
      <c r="A450" s="4">
        <v>45338</v>
      </c>
      <c r="B450" s="2" t="s">
        <v>918</v>
      </c>
      <c r="D450" s="2" t="s">
        <v>58</v>
      </c>
      <c r="E450" s="2" t="s">
        <v>325</v>
      </c>
      <c r="F450" s="5" t="str">
        <f t="shared" si="32"/>
        <v>007-0002-422223 BRICOLAJE BRICOMAN SL</v>
      </c>
      <c r="G450" s="12">
        <f t="shared" si="33"/>
        <v>131.32231404958679</v>
      </c>
      <c r="H450">
        <v>21</v>
      </c>
      <c r="I450" s="5">
        <f t="shared" si="34"/>
        <v>27.577685950413226</v>
      </c>
      <c r="J450" s="5">
        <f t="shared" si="35"/>
        <v>131.32231404958679</v>
      </c>
      <c r="L450" s="5">
        <f t="shared" si="36"/>
        <v>0</v>
      </c>
      <c r="M450" s="8">
        <v>158.9</v>
      </c>
      <c r="N450" s="2" t="s">
        <v>21</v>
      </c>
      <c r="O450" s="3" t="s">
        <v>64</v>
      </c>
    </row>
    <row r="451" spans="1:15" x14ac:dyDescent="0.35">
      <c r="A451" s="4">
        <v>45338</v>
      </c>
      <c r="B451" s="2" t="s">
        <v>920</v>
      </c>
      <c r="D451" s="2" t="s">
        <v>58</v>
      </c>
      <c r="E451" s="2" t="s">
        <v>325</v>
      </c>
      <c r="F451" s="5" t="str">
        <f t="shared" si="32"/>
        <v>007-0002-422258 BRICOLAJE BRICOMAN SL</v>
      </c>
      <c r="G451" s="12">
        <f t="shared" si="33"/>
        <v>374</v>
      </c>
      <c r="H451">
        <v>21</v>
      </c>
      <c r="I451" s="5">
        <f t="shared" si="34"/>
        <v>78.540000000000006</v>
      </c>
      <c r="J451" s="5">
        <f t="shared" si="35"/>
        <v>374</v>
      </c>
      <c r="L451" s="5">
        <f t="shared" si="36"/>
        <v>0</v>
      </c>
      <c r="M451" s="8">
        <v>452.54</v>
      </c>
      <c r="N451" s="2" t="s">
        <v>21</v>
      </c>
      <c r="O451" s="3" t="s">
        <v>64</v>
      </c>
    </row>
    <row r="452" spans="1:15" x14ac:dyDescent="0.35">
      <c r="A452" s="4">
        <v>45337</v>
      </c>
      <c r="B452" s="2" t="s">
        <v>921</v>
      </c>
      <c r="D452" s="2" t="s">
        <v>58</v>
      </c>
      <c r="E452" s="2" t="s">
        <v>325</v>
      </c>
      <c r="F452" s="5" t="str">
        <f t="shared" si="32"/>
        <v>011-0002-740008 BRICOLAJE BRICOMAN SL</v>
      </c>
      <c r="G452" s="12">
        <f t="shared" si="33"/>
        <v>649.14049586776866</v>
      </c>
      <c r="H452">
        <v>21</v>
      </c>
      <c r="I452" s="5">
        <f t="shared" si="34"/>
        <v>136.3195041322314</v>
      </c>
      <c r="J452" s="5">
        <f t="shared" si="35"/>
        <v>649.14049586776866</v>
      </c>
      <c r="L452" s="5">
        <f t="shared" si="36"/>
        <v>0</v>
      </c>
      <c r="M452" s="8">
        <v>785.46</v>
      </c>
      <c r="N452" s="2" t="s">
        <v>21</v>
      </c>
      <c r="O452" s="3" t="s">
        <v>64</v>
      </c>
    </row>
    <row r="453" spans="1:15" x14ac:dyDescent="0.35">
      <c r="A453" s="4">
        <v>45338</v>
      </c>
      <c r="B453" s="2" t="s">
        <v>922</v>
      </c>
      <c r="D453" s="2" t="s">
        <v>58</v>
      </c>
      <c r="E453" s="2" t="s">
        <v>325</v>
      </c>
      <c r="F453" s="5" t="str">
        <f t="shared" si="32"/>
        <v>007-0002-422393 BRICOLAJE BRICOMAN SL</v>
      </c>
      <c r="G453" s="12">
        <f t="shared" si="33"/>
        <v>103.63636363636364</v>
      </c>
      <c r="H453">
        <v>21</v>
      </c>
      <c r="I453" s="5">
        <f t="shared" si="34"/>
        <v>21.763636363636365</v>
      </c>
      <c r="J453" s="5">
        <f t="shared" si="35"/>
        <v>103.63636363636364</v>
      </c>
      <c r="L453" s="5">
        <f t="shared" si="36"/>
        <v>0</v>
      </c>
      <c r="M453" s="8">
        <v>125.4</v>
      </c>
      <c r="N453" s="2" t="s">
        <v>21</v>
      </c>
      <c r="O453" s="3" t="s">
        <v>64</v>
      </c>
    </row>
    <row r="454" spans="1:15" x14ac:dyDescent="0.35">
      <c r="A454" s="4">
        <v>45336</v>
      </c>
      <c r="B454" s="2" t="s">
        <v>923</v>
      </c>
      <c r="D454" s="2" t="s">
        <v>58</v>
      </c>
      <c r="E454" s="2" t="s">
        <v>325</v>
      </c>
      <c r="F454" s="5" t="str">
        <f t="shared" si="32"/>
        <v>007-0002-418580 BRICOLAJE BRICOMAN SL</v>
      </c>
      <c r="G454" s="12">
        <f t="shared" si="33"/>
        <v>144.52892561983472</v>
      </c>
      <c r="H454">
        <v>21</v>
      </c>
      <c r="I454" s="5">
        <f t="shared" si="34"/>
        <v>30.35107438016529</v>
      </c>
      <c r="J454" s="5">
        <f t="shared" si="35"/>
        <v>144.52892561983472</v>
      </c>
      <c r="L454" s="5">
        <f t="shared" si="36"/>
        <v>0</v>
      </c>
      <c r="M454" s="8">
        <v>174.88</v>
      </c>
      <c r="N454" s="2" t="s">
        <v>21</v>
      </c>
      <c r="O454" s="3" t="s">
        <v>64</v>
      </c>
    </row>
    <row r="455" spans="1:15" x14ac:dyDescent="0.35">
      <c r="A455" s="4">
        <v>45336</v>
      </c>
      <c r="B455" s="2" t="s">
        <v>924</v>
      </c>
      <c r="D455" s="2" t="s">
        <v>58</v>
      </c>
      <c r="E455" s="2" t="s">
        <v>325</v>
      </c>
      <c r="F455" s="5" t="str">
        <f t="shared" si="32"/>
        <v>007-0002-418538 BRICOLAJE BRICOMAN SL</v>
      </c>
      <c r="G455" s="12">
        <f t="shared" si="33"/>
        <v>159.41322314049586</v>
      </c>
      <c r="H455">
        <v>21</v>
      </c>
      <c r="I455" s="5">
        <f t="shared" si="34"/>
        <v>33.476776859504128</v>
      </c>
      <c r="J455" s="5">
        <f t="shared" si="35"/>
        <v>159.41322314049586</v>
      </c>
      <c r="L455" s="5">
        <f t="shared" si="36"/>
        <v>0</v>
      </c>
      <c r="M455" s="8">
        <v>192.89</v>
      </c>
      <c r="N455" s="2" t="s">
        <v>21</v>
      </c>
      <c r="O455" s="3" t="s">
        <v>64</v>
      </c>
    </row>
    <row r="456" spans="1:15" x14ac:dyDescent="0.35">
      <c r="A456" s="4">
        <v>45336</v>
      </c>
      <c r="B456" s="2" t="s">
        <v>925</v>
      </c>
      <c r="D456" s="2" t="s">
        <v>58</v>
      </c>
      <c r="E456" s="2" t="s">
        <v>325</v>
      </c>
      <c r="F456" s="5" t="str">
        <f t="shared" si="32"/>
        <v>011-0002-R992352 BRICOLAJE BRICOMAN SL</v>
      </c>
      <c r="G456" s="12">
        <f t="shared" si="33"/>
        <v>-37.090909090909093</v>
      </c>
      <c r="H456">
        <v>21</v>
      </c>
      <c r="I456" s="5">
        <f t="shared" si="34"/>
        <v>-7.78909090909091</v>
      </c>
      <c r="J456" s="5">
        <f t="shared" si="35"/>
        <v>-37.090909090909093</v>
      </c>
      <c r="L456" s="5">
        <f t="shared" si="36"/>
        <v>0</v>
      </c>
      <c r="M456" s="8">
        <v>-44.88</v>
      </c>
      <c r="N456" s="2" t="s">
        <v>21</v>
      </c>
      <c r="O456" s="3" t="s">
        <v>64</v>
      </c>
    </row>
    <row r="457" spans="1:15" x14ac:dyDescent="0.35">
      <c r="A457" s="4">
        <v>45336</v>
      </c>
      <c r="B457" s="2" t="s">
        <v>926</v>
      </c>
      <c r="D457" s="2" t="s">
        <v>58</v>
      </c>
      <c r="E457" s="2" t="s">
        <v>325</v>
      </c>
      <c r="F457" s="5" t="str">
        <f t="shared" ref="F457:F606" si="37">CONCATENATE(S457,B457," ",E457)</f>
        <v>011-0002-738046 BRICOLAJE BRICOMAN SL</v>
      </c>
      <c r="G457" s="12">
        <f t="shared" si="33"/>
        <v>121.32231404958679</v>
      </c>
      <c r="H457">
        <v>21</v>
      </c>
      <c r="I457" s="5">
        <f t="shared" si="34"/>
        <v>25.477685950413225</v>
      </c>
      <c r="J457" s="5">
        <f t="shared" si="35"/>
        <v>121.32231404958679</v>
      </c>
      <c r="L457" s="5">
        <f t="shared" si="36"/>
        <v>0</v>
      </c>
      <c r="M457" s="8">
        <v>146.80000000000001</v>
      </c>
      <c r="N457" s="2" t="s">
        <v>21</v>
      </c>
      <c r="O457" s="3" t="s">
        <v>64</v>
      </c>
    </row>
    <row r="458" spans="1:15" x14ac:dyDescent="0.35">
      <c r="A458" s="4">
        <v>45337</v>
      </c>
      <c r="B458" s="2" t="s">
        <v>927</v>
      </c>
      <c r="D458" s="2" t="s">
        <v>58</v>
      </c>
      <c r="E458" s="2" t="s">
        <v>325</v>
      </c>
      <c r="F458" s="5" t="str">
        <f t="shared" si="37"/>
        <v>011-0002-739756 BRICOLAJE BRICOMAN SL</v>
      </c>
      <c r="G458" s="12">
        <f t="shared" si="33"/>
        <v>59.487603305785129</v>
      </c>
      <c r="H458">
        <v>21</v>
      </c>
      <c r="I458" s="5">
        <f t="shared" si="34"/>
        <v>12.492396694214877</v>
      </c>
      <c r="J458" s="5">
        <f t="shared" si="35"/>
        <v>59.487603305785129</v>
      </c>
      <c r="L458" s="5">
        <f t="shared" si="36"/>
        <v>0</v>
      </c>
      <c r="M458" s="8">
        <v>71.98</v>
      </c>
      <c r="N458" s="2" t="s">
        <v>21</v>
      </c>
      <c r="O458" s="3" t="s">
        <v>64</v>
      </c>
    </row>
    <row r="459" spans="1:15" x14ac:dyDescent="0.35">
      <c r="A459" s="4">
        <v>45337</v>
      </c>
      <c r="B459" s="2" t="s">
        <v>928</v>
      </c>
      <c r="D459" s="2" t="s">
        <v>58</v>
      </c>
      <c r="E459" s="2" t="s">
        <v>325</v>
      </c>
      <c r="F459" s="5" t="str">
        <f t="shared" si="37"/>
        <v>011-0002-739780 BRICOLAJE BRICOMAN SL</v>
      </c>
      <c r="G459" s="12">
        <f t="shared" si="33"/>
        <v>19.768595041322317</v>
      </c>
      <c r="H459">
        <v>21</v>
      </c>
      <c r="I459" s="5">
        <f t="shared" si="34"/>
        <v>4.1514049586776869</v>
      </c>
      <c r="J459" s="5">
        <f t="shared" si="35"/>
        <v>19.768595041322317</v>
      </c>
      <c r="L459" s="5">
        <f t="shared" si="36"/>
        <v>0</v>
      </c>
      <c r="M459" s="8">
        <v>23.92</v>
      </c>
      <c r="N459" s="2" t="s">
        <v>21</v>
      </c>
      <c r="O459" s="3" t="s">
        <v>64</v>
      </c>
    </row>
    <row r="460" spans="1:15" x14ac:dyDescent="0.35">
      <c r="A460" s="4">
        <v>45337</v>
      </c>
      <c r="B460" s="2" t="s">
        <v>929</v>
      </c>
      <c r="D460" s="2" t="s">
        <v>58</v>
      </c>
      <c r="E460" s="2" t="s">
        <v>325</v>
      </c>
      <c r="F460" s="5" t="str">
        <f t="shared" si="37"/>
        <v>011-0002-740040 BRICOLAJE BRICOMAN SL</v>
      </c>
      <c r="G460" s="12">
        <f t="shared" si="33"/>
        <v>3.8016528925619832</v>
      </c>
      <c r="H460">
        <v>21</v>
      </c>
      <c r="I460" s="5">
        <f t="shared" si="34"/>
        <v>0.79834710743801651</v>
      </c>
      <c r="J460" s="5">
        <f t="shared" si="35"/>
        <v>3.8016528925619832</v>
      </c>
      <c r="L460" s="5">
        <f t="shared" si="36"/>
        <v>0</v>
      </c>
      <c r="M460" s="8">
        <v>4.5999999999999996</v>
      </c>
      <c r="N460" s="2" t="s">
        <v>21</v>
      </c>
      <c r="O460" s="3" t="s">
        <v>64</v>
      </c>
    </row>
    <row r="461" spans="1:15" x14ac:dyDescent="0.35">
      <c r="A461" s="4">
        <v>45343</v>
      </c>
      <c r="B461" s="2" t="s">
        <v>930</v>
      </c>
      <c r="D461" s="2" t="s">
        <v>58</v>
      </c>
      <c r="E461" s="2" t="s">
        <v>325</v>
      </c>
      <c r="F461" s="5" t="str">
        <f t="shared" si="37"/>
        <v>007-0002-428485 BRICOLAJE BRICOMAN SL</v>
      </c>
      <c r="G461" s="12">
        <f t="shared" si="33"/>
        <v>74.041322314049594</v>
      </c>
      <c r="H461">
        <v>21</v>
      </c>
      <c r="I461" s="5">
        <f t="shared" si="34"/>
        <v>15.548677685950416</v>
      </c>
      <c r="J461" s="5">
        <f t="shared" si="35"/>
        <v>74.041322314049594</v>
      </c>
      <c r="L461" s="5">
        <f t="shared" si="36"/>
        <v>0</v>
      </c>
      <c r="M461" s="8">
        <v>89.59</v>
      </c>
      <c r="N461" s="2" t="s">
        <v>21</v>
      </c>
      <c r="O461" s="3" t="s">
        <v>64</v>
      </c>
    </row>
    <row r="462" spans="1:15" x14ac:dyDescent="0.35">
      <c r="A462" s="4">
        <v>45343</v>
      </c>
      <c r="B462" s="2" t="s">
        <v>931</v>
      </c>
      <c r="D462" s="2" t="s">
        <v>58</v>
      </c>
      <c r="E462" s="2" t="s">
        <v>325</v>
      </c>
      <c r="F462" s="5" t="str">
        <f t="shared" si="37"/>
        <v>007-0002-429007 BRICOLAJE BRICOMAN SL</v>
      </c>
      <c r="G462" s="12">
        <f t="shared" si="33"/>
        <v>42.173553719008268</v>
      </c>
      <c r="H462">
        <v>21</v>
      </c>
      <c r="I462" s="5">
        <f t="shared" si="34"/>
        <v>8.8564462809917366</v>
      </c>
      <c r="J462" s="5">
        <f t="shared" si="35"/>
        <v>42.173553719008268</v>
      </c>
      <c r="L462" s="5">
        <f t="shared" si="36"/>
        <v>0</v>
      </c>
      <c r="M462" s="8">
        <v>51.03</v>
      </c>
      <c r="N462" s="2" t="s">
        <v>21</v>
      </c>
      <c r="O462" s="3" t="s">
        <v>64</v>
      </c>
    </row>
    <row r="463" spans="1:15" x14ac:dyDescent="0.35">
      <c r="A463" s="4">
        <v>45350</v>
      </c>
      <c r="B463" s="2" t="s">
        <v>932</v>
      </c>
      <c r="D463" s="2" t="s">
        <v>58</v>
      </c>
      <c r="E463" s="2" t="s">
        <v>325</v>
      </c>
      <c r="F463" s="5" t="str">
        <f t="shared" si="37"/>
        <v>007-0002-438781 BRICOLAJE BRICOMAN SL</v>
      </c>
      <c r="G463" s="12">
        <f t="shared" si="33"/>
        <v>26.97520661157025</v>
      </c>
      <c r="H463">
        <v>21</v>
      </c>
      <c r="I463" s="5">
        <f t="shared" si="34"/>
        <v>5.6647933884297528</v>
      </c>
      <c r="J463" s="5">
        <f t="shared" si="35"/>
        <v>26.97520661157025</v>
      </c>
      <c r="L463" s="5">
        <f t="shared" si="36"/>
        <v>0</v>
      </c>
      <c r="M463" s="8">
        <v>32.64</v>
      </c>
      <c r="N463" s="2" t="s">
        <v>21</v>
      </c>
      <c r="O463" s="3" t="s">
        <v>64</v>
      </c>
    </row>
    <row r="464" spans="1:15" x14ac:dyDescent="0.35">
      <c r="A464" s="4">
        <v>45350</v>
      </c>
      <c r="B464" s="2" t="s">
        <v>933</v>
      </c>
      <c r="D464" s="2" t="s">
        <v>58</v>
      </c>
      <c r="E464" s="2" t="s">
        <v>325</v>
      </c>
      <c r="F464" s="5" t="str">
        <f t="shared" si="37"/>
        <v>007-0002-438286 BRICOLAJE BRICOMAN SL</v>
      </c>
      <c r="G464" s="12">
        <f t="shared" si="33"/>
        <v>77.685950413223139</v>
      </c>
      <c r="H464">
        <v>21</v>
      </c>
      <c r="I464" s="5">
        <f t="shared" si="34"/>
        <v>16.314049586776861</v>
      </c>
      <c r="J464" s="5">
        <f t="shared" si="35"/>
        <v>77.685950413223139</v>
      </c>
      <c r="L464" s="5">
        <f t="shared" si="36"/>
        <v>0</v>
      </c>
      <c r="M464" s="8">
        <v>94</v>
      </c>
      <c r="N464" s="2" t="s">
        <v>21</v>
      </c>
      <c r="O464" s="3" t="s">
        <v>64</v>
      </c>
    </row>
    <row r="465" spans="1:15" x14ac:dyDescent="0.35">
      <c r="A465" s="4">
        <v>45350</v>
      </c>
      <c r="B465" s="2" t="s">
        <v>934</v>
      </c>
      <c r="D465" s="2" t="s">
        <v>58</v>
      </c>
      <c r="E465" s="2" t="s">
        <v>325</v>
      </c>
      <c r="F465" s="5" t="str">
        <f t="shared" si="37"/>
        <v>007-0002-438254 BRICOLAJE BRICOMAN SL</v>
      </c>
      <c r="G465" s="12">
        <f t="shared" si="33"/>
        <v>49.008264462809919</v>
      </c>
      <c r="H465">
        <v>21</v>
      </c>
      <c r="I465" s="5">
        <f t="shared" si="34"/>
        <v>10.291735537190084</v>
      </c>
      <c r="J465" s="5">
        <f t="shared" si="35"/>
        <v>49.008264462809919</v>
      </c>
      <c r="L465" s="5">
        <f t="shared" si="36"/>
        <v>0</v>
      </c>
      <c r="M465" s="8">
        <v>59.3</v>
      </c>
      <c r="N465" s="2" t="s">
        <v>21</v>
      </c>
      <c r="O465" s="3" t="s">
        <v>64</v>
      </c>
    </row>
    <row r="466" spans="1:15" x14ac:dyDescent="0.35">
      <c r="A466" s="4">
        <v>45343</v>
      </c>
      <c r="B466" s="2" t="s">
        <v>935</v>
      </c>
      <c r="D466" s="2" t="s">
        <v>58</v>
      </c>
      <c r="E466" s="2" t="s">
        <v>325</v>
      </c>
      <c r="F466" s="5" t="str">
        <f t="shared" si="37"/>
        <v>007-0002-428499 BRICOLAJE BRICOMAN SL</v>
      </c>
      <c r="G466" s="12">
        <f t="shared" si="33"/>
        <v>68.107438016528931</v>
      </c>
      <c r="H466">
        <v>21</v>
      </c>
      <c r="I466" s="5">
        <f t="shared" si="34"/>
        <v>14.302561983471076</v>
      </c>
      <c r="J466" s="5">
        <f t="shared" si="35"/>
        <v>68.107438016528931</v>
      </c>
      <c r="L466" s="5">
        <f t="shared" si="36"/>
        <v>0</v>
      </c>
      <c r="M466" s="8">
        <v>82.41</v>
      </c>
      <c r="N466" s="2" t="s">
        <v>21</v>
      </c>
      <c r="O466" s="3" t="s">
        <v>64</v>
      </c>
    </row>
    <row r="467" spans="1:15" x14ac:dyDescent="0.35">
      <c r="A467" s="4">
        <v>45344</v>
      </c>
      <c r="B467" s="2" t="s">
        <v>936</v>
      </c>
      <c r="D467" s="2" t="s">
        <v>58</v>
      </c>
      <c r="E467" s="2" t="s">
        <v>325</v>
      </c>
      <c r="F467" s="5" t="str">
        <f t="shared" si="37"/>
        <v>007-0002-430015 BRICOLAJE BRICOMAN SL</v>
      </c>
      <c r="G467" s="12">
        <f t="shared" si="33"/>
        <v>103.63636363636364</v>
      </c>
      <c r="H467">
        <v>21</v>
      </c>
      <c r="I467" s="5">
        <f t="shared" si="34"/>
        <v>21.763636363636365</v>
      </c>
      <c r="J467" s="5">
        <f t="shared" si="35"/>
        <v>103.63636363636364</v>
      </c>
      <c r="L467" s="5">
        <f t="shared" si="36"/>
        <v>0</v>
      </c>
      <c r="M467" s="8">
        <v>125.4</v>
      </c>
      <c r="N467" s="2" t="s">
        <v>21</v>
      </c>
      <c r="O467" s="3" t="s">
        <v>64</v>
      </c>
    </row>
    <row r="468" spans="1:15" x14ac:dyDescent="0.35">
      <c r="A468" s="4">
        <v>45344</v>
      </c>
      <c r="B468" s="2" t="s">
        <v>937</v>
      </c>
      <c r="D468" s="2" t="s">
        <v>58</v>
      </c>
      <c r="E468" s="2" t="s">
        <v>325</v>
      </c>
      <c r="F468" s="5" t="str">
        <f t="shared" si="37"/>
        <v>007-0002-430894 BRICOLAJE BRICOMAN SL</v>
      </c>
      <c r="G468" s="12">
        <f t="shared" si="33"/>
        <v>19.330578512396695</v>
      </c>
      <c r="H468">
        <v>21</v>
      </c>
      <c r="I468" s="5">
        <f t="shared" si="34"/>
        <v>4.0594214876033057</v>
      </c>
      <c r="J468" s="5">
        <f t="shared" si="35"/>
        <v>19.330578512396695</v>
      </c>
      <c r="L468" s="5">
        <f t="shared" si="36"/>
        <v>0</v>
      </c>
      <c r="M468" s="8">
        <v>23.39</v>
      </c>
      <c r="N468" s="2" t="s">
        <v>21</v>
      </c>
      <c r="O468" s="3" t="s">
        <v>64</v>
      </c>
    </row>
    <row r="469" spans="1:15" x14ac:dyDescent="0.35">
      <c r="A469" s="4">
        <v>45349</v>
      </c>
      <c r="B469" s="2" t="s">
        <v>938</v>
      </c>
      <c r="D469" s="2" t="s">
        <v>58</v>
      </c>
      <c r="E469" s="2" t="s">
        <v>325</v>
      </c>
      <c r="F469" s="5" t="str">
        <f t="shared" si="37"/>
        <v>007-0002-436676 BRICOLAJE BRICOMAN SL</v>
      </c>
      <c r="G469" s="12">
        <f t="shared" si="33"/>
        <v>119.88429752066116</v>
      </c>
      <c r="H469">
        <v>21</v>
      </c>
      <c r="I469" s="5">
        <f t="shared" si="34"/>
        <v>25.175702479338842</v>
      </c>
      <c r="J469" s="5">
        <f t="shared" si="35"/>
        <v>119.88429752066116</v>
      </c>
      <c r="L469" s="5">
        <f t="shared" si="36"/>
        <v>0</v>
      </c>
      <c r="M469" s="8">
        <v>145.06</v>
      </c>
      <c r="N469" s="2" t="s">
        <v>21</v>
      </c>
      <c r="O469" s="3" t="s">
        <v>64</v>
      </c>
    </row>
    <row r="470" spans="1:15" x14ac:dyDescent="0.35">
      <c r="A470" s="4">
        <v>45351</v>
      </c>
      <c r="B470" s="2" t="s">
        <v>939</v>
      </c>
      <c r="D470" s="2" t="s">
        <v>58</v>
      </c>
      <c r="E470" s="2" t="s">
        <v>325</v>
      </c>
      <c r="F470" s="5" t="str">
        <f>CONCATENATE(S470,B470," ",E470)</f>
        <v>007-0002-R061331 BRICOLAJE BRICOMAN SL</v>
      </c>
      <c r="G470" s="12">
        <f t="shared" si="33"/>
        <v>-257.28099173553721</v>
      </c>
      <c r="H470">
        <v>21</v>
      </c>
      <c r="I470" s="5">
        <f t="shared" si="34"/>
        <v>-54.029008264462817</v>
      </c>
      <c r="J470" s="5">
        <f t="shared" si="35"/>
        <v>-257.28099173553721</v>
      </c>
      <c r="L470" s="5">
        <f t="shared" si="36"/>
        <v>0</v>
      </c>
      <c r="M470" s="8">
        <v>-311.31</v>
      </c>
      <c r="N470" s="2" t="s">
        <v>21</v>
      </c>
      <c r="O470" s="3" t="s">
        <v>64</v>
      </c>
    </row>
    <row r="471" spans="1:15" x14ac:dyDescent="0.35">
      <c r="A471" s="4">
        <v>45362</v>
      </c>
      <c r="B471" s="2" t="s">
        <v>940</v>
      </c>
      <c r="D471" s="2" t="s">
        <v>58</v>
      </c>
      <c r="E471" s="2" t="s">
        <v>325</v>
      </c>
      <c r="F471" s="5" t="str">
        <f t="shared" si="37"/>
        <v>011-0003-778436 BRICOLAJE BRICOMAN SL</v>
      </c>
      <c r="G471" s="12">
        <f>M471/(1-K471/100+H471/100)</f>
        <v>369.76859504132233</v>
      </c>
      <c r="H471">
        <v>21</v>
      </c>
      <c r="I471" s="5">
        <f t="shared" si="34"/>
        <v>77.651404958677688</v>
      </c>
      <c r="J471" s="5">
        <f t="shared" si="35"/>
        <v>369.76859504132233</v>
      </c>
      <c r="L471" s="5">
        <f t="shared" si="36"/>
        <v>0</v>
      </c>
      <c r="M471" s="8">
        <v>447.42</v>
      </c>
      <c r="N471" s="2" t="s">
        <v>21</v>
      </c>
      <c r="O471" s="3" t="s">
        <v>64</v>
      </c>
    </row>
    <row r="472" spans="1:15" x14ac:dyDescent="0.35">
      <c r="A472" s="4">
        <v>45362</v>
      </c>
      <c r="B472" s="2" t="s">
        <v>941</v>
      </c>
      <c r="D472" s="2" t="s">
        <v>58</v>
      </c>
      <c r="E472" s="2" t="s">
        <v>325</v>
      </c>
      <c r="F472" s="5" t="str">
        <f t="shared" si="37"/>
        <v>007-0003-454448 BRICOLAJE BRICOMAN SL</v>
      </c>
      <c r="G472" s="12">
        <f>M472/(1-K472/100+H472/100)</f>
        <v>319.83471074380168</v>
      </c>
      <c r="H472">
        <v>21</v>
      </c>
      <c r="I472" s="5">
        <f t="shared" si="34"/>
        <v>67.165289256198363</v>
      </c>
      <c r="J472" s="5">
        <f t="shared" si="35"/>
        <v>319.83471074380168</v>
      </c>
      <c r="L472" s="5">
        <f t="shared" si="36"/>
        <v>0</v>
      </c>
      <c r="M472" s="8">
        <v>387</v>
      </c>
      <c r="N472" s="2" t="s">
        <v>21</v>
      </c>
      <c r="O472" s="3" t="s">
        <v>64</v>
      </c>
    </row>
    <row r="473" spans="1:15" x14ac:dyDescent="0.35">
      <c r="A473" s="4">
        <v>45359</v>
      </c>
      <c r="B473" s="2" t="s">
        <v>942</v>
      </c>
      <c r="D473" s="2" t="s">
        <v>58</v>
      </c>
      <c r="E473" s="2" t="s">
        <v>325</v>
      </c>
      <c r="F473" s="5" t="str">
        <f t="shared" si="37"/>
        <v>012-0003-745534 BRICOLAJE BRICOMAN SL</v>
      </c>
      <c r="G473" s="12">
        <f>M473/(1-K473/100+H473/100)</f>
        <v>59.504132231404959</v>
      </c>
      <c r="H473">
        <v>21</v>
      </c>
      <c r="I473" s="5">
        <f t="shared" si="34"/>
        <v>12.495867768595042</v>
      </c>
      <c r="J473" s="5">
        <f t="shared" si="35"/>
        <v>59.504132231404959</v>
      </c>
      <c r="L473" s="5">
        <f t="shared" si="36"/>
        <v>0</v>
      </c>
      <c r="M473" s="8">
        <v>72</v>
      </c>
      <c r="N473" s="2" t="s">
        <v>21</v>
      </c>
      <c r="O473" s="3" t="s">
        <v>64</v>
      </c>
    </row>
    <row r="474" spans="1:15" x14ac:dyDescent="0.35">
      <c r="A474" s="4">
        <v>45359</v>
      </c>
      <c r="B474" s="2" t="s">
        <v>943</v>
      </c>
      <c r="D474" s="2" t="s">
        <v>58</v>
      </c>
      <c r="E474" s="2" t="s">
        <v>325</v>
      </c>
      <c r="F474" s="5" t="str">
        <f t="shared" si="37"/>
        <v>007-0003-451295 BRICOLAJE BRICOMAN SL</v>
      </c>
      <c r="G474" s="12">
        <f t="shared" ref="G474:G537" si="38">M474/(1-K474/100+H474/100)</f>
        <v>20.628099173553721</v>
      </c>
      <c r="H474">
        <v>21</v>
      </c>
      <c r="I474" s="5">
        <f t="shared" si="34"/>
        <v>4.3319008264462813</v>
      </c>
      <c r="J474" s="5">
        <f t="shared" si="35"/>
        <v>20.628099173553721</v>
      </c>
      <c r="L474" s="5">
        <f t="shared" si="36"/>
        <v>0</v>
      </c>
      <c r="M474" s="8">
        <v>24.96</v>
      </c>
      <c r="N474" s="2" t="s">
        <v>21</v>
      </c>
      <c r="O474" s="3" t="s">
        <v>64</v>
      </c>
    </row>
    <row r="475" spans="1:15" x14ac:dyDescent="0.35">
      <c r="A475" s="4">
        <v>45363</v>
      </c>
      <c r="B475" s="2" t="s">
        <v>944</v>
      </c>
      <c r="D475" s="2" t="s">
        <v>58</v>
      </c>
      <c r="E475" s="2" t="s">
        <v>325</v>
      </c>
      <c r="F475" s="5" t="str">
        <f t="shared" si="37"/>
        <v>007-0003-456337 BRICOLAJE BRICOMAN SL</v>
      </c>
      <c r="G475" s="12">
        <f t="shared" si="38"/>
        <v>138.3388429752066</v>
      </c>
      <c r="H475">
        <v>21</v>
      </c>
      <c r="I475" s="5">
        <f t="shared" si="34"/>
        <v>29.051157024793387</v>
      </c>
      <c r="J475" s="5">
        <f t="shared" si="35"/>
        <v>138.3388429752066</v>
      </c>
      <c r="L475" s="5">
        <f t="shared" si="36"/>
        <v>0</v>
      </c>
      <c r="M475" s="8">
        <v>167.39</v>
      </c>
      <c r="N475" s="2" t="s">
        <v>21</v>
      </c>
      <c r="O475" s="3" t="s">
        <v>64</v>
      </c>
    </row>
    <row r="476" spans="1:15" x14ac:dyDescent="0.35">
      <c r="A476" s="4">
        <v>45362</v>
      </c>
      <c r="B476" s="2" t="s">
        <v>945</v>
      </c>
      <c r="D476" s="2" t="s">
        <v>58</v>
      </c>
      <c r="E476" s="2" t="s">
        <v>325</v>
      </c>
      <c r="F476" s="5" t="str">
        <f t="shared" si="37"/>
        <v>007-0003-454925 BRICOLAJE BRICOMAN SL</v>
      </c>
      <c r="G476" s="12">
        <f t="shared" si="38"/>
        <v>32.462809917355372</v>
      </c>
      <c r="H476">
        <v>21</v>
      </c>
      <c r="I476" s="5">
        <f t="shared" si="34"/>
        <v>6.8171900826446281</v>
      </c>
      <c r="J476" s="5">
        <f t="shared" si="35"/>
        <v>32.462809917355372</v>
      </c>
      <c r="L476" s="5">
        <f t="shared" si="36"/>
        <v>0</v>
      </c>
      <c r="M476" s="8">
        <v>39.28</v>
      </c>
      <c r="N476" s="2" t="s">
        <v>21</v>
      </c>
      <c r="O476" s="3" t="s">
        <v>64</v>
      </c>
    </row>
    <row r="477" spans="1:15" x14ac:dyDescent="0.35">
      <c r="A477" s="4">
        <v>45334</v>
      </c>
      <c r="B477" s="2" t="s">
        <v>946</v>
      </c>
      <c r="D477" s="2" t="s">
        <v>58</v>
      </c>
      <c r="E477" s="2" t="s">
        <v>325</v>
      </c>
      <c r="F477" s="5" t="str">
        <f t="shared" si="37"/>
        <v>007-0003-456287 BRICOLAJE BRICOMAN SL</v>
      </c>
      <c r="G477" s="12">
        <f t="shared" si="38"/>
        <v>131.76859504132233</v>
      </c>
      <c r="H477">
        <v>21</v>
      </c>
      <c r="I477" s="5">
        <f t="shared" si="34"/>
        <v>27.671404958677691</v>
      </c>
      <c r="J477" s="5">
        <f t="shared" si="35"/>
        <v>131.76859504132233</v>
      </c>
      <c r="L477" s="5">
        <f t="shared" si="36"/>
        <v>0</v>
      </c>
      <c r="M477" s="8">
        <v>159.44</v>
      </c>
      <c r="N477" s="2" t="s">
        <v>21</v>
      </c>
      <c r="O477" s="3" t="s">
        <v>64</v>
      </c>
    </row>
    <row r="478" spans="1:15" x14ac:dyDescent="0.35">
      <c r="A478" s="4">
        <v>45356</v>
      </c>
      <c r="B478" s="2" t="s">
        <v>947</v>
      </c>
      <c r="D478" s="2" t="s">
        <v>58</v>
      </c>
      <c r="E478" s="2" t="s">
        <v>325</v>
      </c>
      <c r="F478" s="5" t="str">
        <f t="shared" si="37"/>
        <v>007-0003-446521 BRICOLAJE BRICOMAN SL</v>
      </c>
      <c r="G478" s="12">
        <f t="shared" si="38"/>
        <v>146.49586776859505</v>
      </c>
      <c r="H478">
        <v>21</v>
      </c>
      <c r="I478" s="5">
        <f t="shared" si="34"/>
        <v>30.764132231404961</v>
      </c>
      <c r="J478" s="5">
        <f t="shared" si="35"/>
        <v>146.49586776859505</v>
      </c>
      <c r="L478" s="5">
        <f t="shared" si="36"/>
        <v>0</v>
      </c>
      <c r="M478" s="8">
        <v>177.26</v>
      </c>
      <c r="N478" s="2" t="s">
        <v>21</v>
      </c>
      <c r="O478" s="3" t="s">
        <v>64</v>
      </c>
    </row>
    <row r="479" spans="1:15" x14ac:dyDescent="0.35">
      <c r="A479" s="4">
        <v>45359</v>
      </c>
      <c r="B479" s="2" t="s">
        <v>948</v>
      </c>
      <c r="D479" s="2" t="s">
        <v>58</v>
      </c>
      <c r="E479" s="2" t="s">
        <v>325</v>
      </c>
      <c r="F479" s="5" t="str">
        <f t="shared" si="37"/>
        <v>007-0003-451240 BRICOLAJE BRICOMAN SL</v>
      </c>
      <c r="G479" s="12">
        <f t="shared" si="38"/>
        <v>166.50413223140495</v>
      </c>
      <c r="H479">
        <v>21</v>
      </c>
      <c r="I479" s="5">
        <f t="shared" si="34"/>
        <v>34.965867768595039</v>
      </c>
      <c r="J479" s="5">
        <f t="shared" si="35"/>
        <v>166.50413223140495</v>
      </c>
      <c r="L479" s="5">
        <f t="shared" si="36"/>
        <v>0</v>
      </c>
      <c r="M479" s="8">
        <v>201.47</v>
      </c>
      <c r="N479" s="2" t="s">
        <v>21</v>
      </c>
      <c r="O479" s="3" t="s">
        <v>64</v>
      </c>
    </row>
    <row r="480" spans="1:15" x14ac:dyDescent="0.35">
      <c r="A480" s="4">
        <v>45510</v>
      </c>
      <c r="B480" s="2" t="s">
        <v>949</v>
      </c>
      <c r="D480" s="2" t="s">
        <v>58</v>
      </c>
      <c r="E480" s="2" t="s">
        <v>325</v>
      </c>
      <c r="F480" s="5" t="str">
        <f t="shared" si="37"/>
        <v>007-0003-448120 BRICOLAJE BRICOMAN SL</v>
      </c>
      <c r="G480" s="12">
        <f t="shared" si="38"/>
        <v>45.471074380165291</v>
      </c>
      <c r="H480">
        <v>21</v>
      </c>
      <c r="I480" s="5">
        <f t="shared" si="34"/>
        <v>9.5489256198347103</v>
      </c>
      <c r="J480" s="5">
        <f t="shared" si="35"/>
        <v>45.471074380165291</v>
      </c>
      <c r="L480" s="5">
        <f t="shared" si="36"/>
        <v>0</v>
      </c>
      <c r="M480" s="8">
        <v>55.02</v>
      </c>
      <c r="N480" s="2" t="s">
        <v>21</v>
      </c>
      <c r="O480" s="3" t="s">
        <v>64</v>
      </c>
    </row>
    <row r="481" spans="1:15" x14ac:dyDescent="0.35">
      <c r="A481" s="4">
        <v>45316</v>
      </c>
      <c r="B481" s="2" t="s">
        <v>950</v>
      </c>
      <c r="D481" s="2" t="s">
        <v>951</v>
      </c>
      <c r="E481" s="2" t="s">
        <v>139</v>
      </c>
      <c r="F481" s="5" t="str">
        <f t="shared" si="37"/>
        <v>02214 BIGMAT</v>
      </c>
      <c r="G481" s="12">
        <f t="shared" si="38"/>
        <v>147.13223140495867</v>
      </c>
      <c r="H481">
        <v>21</v>
      </c>
      <c r="I481" s="5">
        <f t="shared" ref="I481:I546" si="39">G481*H481/100</f>
        <v>30.89776859504132</v>
      </c>
      <c r="J481" s="5">
        <f t="shared" ref="J481:J544" si="40">G481</f>
        <v>147.13223140495867</v>
      </c>
      <c r="L481" s="5">
        <f t="shared" ref="L481:L544" si="41">J481*K481/100</f>
        <v>0</v>
      </c>
      <c r="M481" s="8">
        <v>178.03</v>
      </c>
      <c r="N481" s="2" t="s">
        <v>21</v>
      </c>
      <c r="O481" s="3" t="s">
        <v>64</v>
      </c>
    </row>
    <row r="482" spans="1:15" x14ac:dyDescent="0.35">
      <c r="A482" s="4">
        <v>45356</v>
      </c>
      <c r="B482" s="2" t="s">
        <v>952</v>
      </c>
      <c r="D482" s="2" t="s">
        <v>111</v>
      </c>
      <c r="E482" s="2" t="s">
        <v>237</v>
      </c>
      <c r="F482" s="5" t="str">
        <f t="shared" si="37"/>
        <v>001D2400005706 PLENOIL</v>
      </c>
      <c r="G482" s="12">
        <f t="shared" si="38"/>
        <v>41.32231404958678</v>
      </c>
      <c r="H482">
        <v>21</v>
      </c>
      <c r="I482" s="5">
        <f t="shared" si="39"/>
        <v>8.677685950413224</v>
      </c>
      <c r="J482" s="5">
        <f t="shared" si="40"/>
        <v>41.32231404958678</v>
      </c>
      <c r="L482" s="5">
        <f t="shared" si="41"/>
        <v>0</v>
      </c>
      <c r="M482" s="8">
        <v>50</v>
      </c>
      <c r="N482" s="2" t="s">
        <v>22</v>
      </c>
      <c r="O482" s="3" t="s">
        <v>64</v>
      </c>
    </row>
    <row r="483" spans="1:15" x14ac:dyDescent="0.35">
      <c r="A483" s="4">
        <v>45360</v>
      </c>
      <c r="B483" s="2" t="s">
        <v>953</v>
      </c>
      <c r="D483" s="2" t="s">
        <v>111</v>
      </c>
      <c r="E483" s="2" t="s">
        <v>237</v>
      </c>
      <c r="F483" s="5" t="str">
        <f t="shared" si="37"/>
        <v>001D2400006073 PLENOIL</v>
      </c>
      <c r="G483" s="12">
        <f t="shared" si="38"/>
        <v>41.32231404958678</v>
      </c>
      <c r="H483">
        <v>21</v>
      </c>
      <c r="I483" s="5">
        <f t="shared" si="39"/>
        <v>8.677685950413224</v>
      </c>
      <c r="J483" s="5">
        <f t="shared" si="40"/>
        <v>41.32231404958678</v>
      </c>
      <c r="L483" s="5">
        <f t="shared" si="41"/>
        <v>0</v>
      </c>
      <c r="M483" s="8">
        <v>50</v>
      </c>
      <c r="N483" s="2" t="s">
        <v>22</v>
      </c>
      <c r="O483" s="3" t="s">
        <v>64</v>
      </c>
    </row>
    <row r="484" spans="1:15" x14ac:dyDescent="0.35">
      <c r="A484" s="4">
        <v>45342</v>
      </c>
      <c r="B484" s="2" t="s">
        <v>954</v>
      </c>
      <c r="D484" s="2" t="s">
        <v>955</v>
      </c>
      <c r="E484" s="2" t="s">
        <v>956</v>
      </c>
      <c r="F484" s="5" t="str">
        <f t="shared" si="37"/>
        <v>950/5002940 LA ESPECIALISTA</v>
      </c>
      <c r="G484" s="12">
        <f t="shared" si="38"/>
        <v>549.12396694214885</v>
      </c>
      <c r="H484">
        <v>21</v>
      </c>
      <c r="I484" s="5">
        <f t="shared" si="39"/>
        <v>115.31603305785126</v>
      </c>
      <c r="J484" s="5">
        <f t="shared" si="40"/>
        <v>549.12396694214885</v>
      </c>
      <c r="L484" s="5">
        <f t="shared" si="41"/>
        <v>0</v>
      </c>
      <c r="M484" s="8">
        <v>664.44</v>
      </c>
      <c r="N484" s="2" t="s">
        <v>21</v>
      </c>
      <c r="O484" s="3" t="s">
        <v>64</v>
      </c>
    </row>
    <row r="485" spans="1:15" x14ac:dyDescent="0.35">
      <c r="A485" s="4">
        <v>45364</v>
      </c>
      <c r="B485" s="2" t="s">
        <v>957</v>
      </c>
      <c r="D485" s="2" t="s">
        <v>35</v>
      </c>
      <c r="E485" s="2" t="s">
        <v>167</v>
      </c>
      <c r="F485" s="5" t="str">
        <f t="shared" si="37"/>
        <v>0240003986 PINTODIS SL</v>
      </c>
      <c r="G485" s="12">
        <f t="shared" si="38"/>
        <v>77.950413223140487</v>
      </c>
      <c r="H485">
        <v>21</v>
      </c>
      <c r="I485" s="5">
        <f t="shared" si="39"/>
        <v>16.369586776859503</v>
      </c>
      <c r="J485" s="5">
        <f t="shared" si="40"/>
        <v>77.950413223140487</v>
      </c>
      <c r="L485" s="5">
        <f t="shared" si="41"/>
        <v>0</v>
      </c>
      <c r="M485" s="8">
        <v>94.32</v>
      </c>
      <c r="N485" s="2" t="s">
        <v>22</v>
      </c>
      <c r="O485" s="3" t="s">
        <v>63</v>
      </c>
    </row>
    <row r="486" spans="1:15" x14ac:dyDescent="0.35">
      <c r="A486" s="4">
        <v>45308</v>
      </c>
      <c r="B486" s="2" t="s">
        <v>958</v>
      </c>
      <c r="D486" s="2" t="s">
        <v>94</v>
      </c>
      <c r="E486" s="2" t="s">
        <v>139</v>
      </c>
      <c r="F486" s="5" t="str">
        <f t="shared" si="37"/>
        <v xml:space="preserve"> 00002-2024/A1001/00000442 BIGMAT</v>
      </c>
      <c r="G486" s="12">
        <f t="shared" si="38"/>
        <v>1146.8016528925621</v>
      </c>
      <c r="H486">
        <v>21</v>
      </c>
      <c r="I486" s="5">
        <f t="shared" si="39"/>
        <v>240.82834710743802</v>
      </c>
      <c r="J486" s="5">
        <f t="shared" si="40"/>
        <v>1146.8016528925621</v>
      </c>
      <c r="L486" s="5">
        <f t="shared" si="41"/>
        <v>0</v>
      </c>
      <c r="M486" s="8">
        <v>1387.63</v>
      </c>
      <c r="N486" s="2" t="s">
        <v>21</v>
      </c>
      <c r="O486" s="3" t="s">
        <v>64</v>
      </c>
    </row>
    <row r="487" spans="1:15" x14ac:dyDescent="0.35">
      <c r="A487" s="4">
        <v>45346</v>
      </c>
      <c r="B487" s="2" t="s">
        <v>959</v>
      </c>
      <c r="D487" s="2" t="s">
        <v>58</v>
      </c>
      <c r="E487" s="2" t="s">
        <v>325</v>
      </c>
      <c r="F487" s="5" t="str">
        <f t="shared" si="37"/>
        <v>024-0002-933202 BRICOLAJE BRICOMAN SL</v>
      </c>
      <c r="G487" s="12">
        <f t="shared" si="38"/>
        <v>134.55371900826447</v>
      </c>
      <c r="H487">
        <v>21</v>
      </c>
      <c r="I487" s="5">
        <f t="shared" si="39"/>
        <v>28.25628099173554</v>
      </c>
      <c r="J487" s="5">
        <f t="shared" si="40"/>
        <v>134.55371900826447</v>
      </c>
      <c r="L487" s="5">
        <f t="shared" si="41"/>
        <v>0</v>
      </c>
      <c r="M487" s="8">
        <v>162.81</v>
      </c>
      <c r="N487" s="2" t="s">
        <v>21</v>
      </c>
      <c r="O487" s="3" t="s">
        <v>63</v>
      </c>
    </row>
    <row r="488" spans="1:15" x14ac:dyDescent="0.35">
      <c r="A488" s="4">
        <v>45346</v>
      </c>
      <c r="B488" s="2" t="s">
        <v>960</v>
      </c>
      <c r="D488" s="2" t="s">
        <v>35</v>
      </c>
      <c r="E488" s="2" t="s">
        <v>167</v>
      </c>
      <c r="F488" s="5" t="str">
        <f t="shared" si="37"/>
        <v>0240002949 PINTODIS SL</v>
      </c>
      <c r="G488" s="12">
        <f t="shared" si="38"/>
        <v>80.793388429752071</v>
      </c>
      <c r="H488">
        <v>21</v>
      </c>
      <c r="I488" s="5">
        <f t="shared" si="39"/>
        <v>16.966611570247935</v>
      </c>
      <c r="J488" s="5">
        <f t="shared" si="40"/>
        <v>80.793388429752071</v>
      </c>
      <c r="L488" s="5">
        <f t="shared" si="41"/>
        <v>0</v>
      </c>
      <c r="M488" s="8">
        <v>97.76</v>
      </c>
      <c r="N488" s="2" t="s">
        <v>22</v>
      </c>
      <c r="O488" s="3" t="s">
        <v>63</v>
      </c>
    </row>
    <row r="489" spans="1:15" x14ac:dyDescent="0.35">
      <c r="A489" s="4">
        <v>45352</v>
      </c>
      <c r="B489" s="2" t="s">
        <v>961</v>
      </c>
      <c r="D489" s="2" t="s">
        <v>962</v>
      </c>
      <c r="E489" s="2" t="s">
        <v>963</v>
      </c>
      <c r="F489" s="5" t="str">
        <f t="shared" si="37"/>
        <v>240000249 MC BRICOESCORIAL SL</v>
      </c>
      <c r="G489" s="12">
        <f t="shared" si="38"/>
        <v>3.8016528925619832</v>
      </c>
      <c r="H489">
        <v>21</v>
      </c>
      <c r="I489" s="5">
        <f t="shared" si="39"/>
        <v>0.79834710743801651</v>
      </c>
      <c r="J489" s="5">
        <f t="shared" si="40"/>
        <v>3.8016528925619832</v>
      </c>
      <c r="L489" s="5">
        <f t="shared" si="41"/>
        <v>0</v>
      </c>
      <c r="M489" s="8">
        <v>4.5999999999999996</v>
      </c>
      <c r="N489" s="2" t="s">
        <v>21</v>
      </c>
      <c r="O489" s="3" t="s">
        <v>63</v>
      </c>
    </row>
    <row r="490" spans="1:15" x14ac:dyDescent="0.35">
      <c r="A490" s="4">
        <v>45365</v>
      </c>
      <c r="B490" s="2" t="s">
        <v>964</v>
      </c>
      <c r="D490" s="2" t="s">
        <v>59</v>
      </c>
      <c r="E490" s="2" t="s">
        <v>43</v>
      </c>
      <c r="F490" s="5" t="str">
        <f t="shared" si="37"/>
        <v>1417105940 EUGENIO PEREDA</v>
      </c>
      <c r="G490" s="12">
        <f t="shared" si="38"/>
        <v>26.462809917355376</v>
      </c>
      <c r="H490">
        <v>21</v>
      </c>
      <c r="I490" s="5">
        <f t="shared" si="39"/>
        <v>5.5571900826446292</v>
      </c>
      <c r="J490" s="5">
        <f t="shared" si="40"/>
        <v>26.462809917355376</v>
      </c>
      <c r="L490" s="5">
        <f t="shared" si="41"/>
        <v>0</v>
      </c>
      <c r="M490" s="8">
        <v>32.020000000000003</v>
      </c>
      <c r="N490" s="2" t="s">
        <v>21</v>
      </c>
      <c r="O490" s="3" t="s">
        <v>64</v>
      </c>
    </row>
    <row r="491" spans="1:15" x14ac:dyDescent="0.35">
      <c r="A491" s="4">
        <v>45313</v>
      </c>
      <c r="B491" s="2" t="s">
        <v>965</v>
      </c>
      <c r="D491" s="2" t="s">
        <v>59</v>
      </c>
      <c r="E491" s="2" t="s">
        <v>43</v>
      </c>
      <c r="F491" s="5" t="str">
        <f t="shared" si="37"/>
        <v>1417101657 EUGENIO PEREDA</v>
      </c>
      <c r="G491" s="12">
        <f t="shared" si="38"/>
        <v>18.900826446280995</v>
      </c>
      <c r="H491">
        <v>21</v>
      </c>
      <c r="I491" s="5">
        <f t="shared" si="39"/>
        <v>3.9691735537190089</v>
      </c>
      <c r="J491" s="5">
        <f t="shared" si="40"/>
        <v>18.900826446280995</v>
      </c>
      <c r="L491" s="5">
        <f t="shared" si="41"/>
        <v>0</v>
      </c>
      <c r="M491" s="8">
        <v>22.87</v>
      </c>
      <c r="N491" s="2" t="s">
        <v>21</v>
      </c>
      <c r="O491" s="3" t="s">
        <v>64</v>
      </c>
    </row>
    <row r="492" spans="1:15" x14ac:dyDescent="0.35">
      <c r="A492" s="4">
        <v>45313</v>
      </c>
      <c r="B492" s="2" t="s">
        <v>966</v>
      </c>
      <c r="D492" s="2" t="s">
        <v>59</v>
      </c>
      <c r="E492" s="2" t="s">
        <v>43</v>
      </c>
      <c r="F492" s="5" t="str">
        <f t="shared" si="37"/>
        <v>1433100046 EUGENIO PEREDA</v>
      </c>
      <c r="G492" s="12">
        <f t="shared" si="38"/>
        <v>552.67768595041321</v>
      </c>
      <c r="H492">
        <v>21</v>
      </c>
      <c r="I492" s="5">
        <f t="shared" si="39"/>
        <v>116.06231404958676</v>
      </c>
      <c r="J492" s="5">
        <f t="shared" si="40"/>
        <v>552.67768595041321</v>
      </c>
      <c r="L492" s="5">
        <f t="shared" si="41"/>
        <v>0</v>
      </c>
      <c r="M492" s="8">
        <v>668.74</v>
      </c>
      <c r="N492" s="2" t="s">
        <v>21</v>
      </c>
      <c r="O492" s="3" t="s">
        <v>63</v>
      </c>
    </row>
    <row r="493" spans="1:15" x14ac:dyDescent="0.35">
      <c r="A493" s="4">
        <v>45302</v>
      </c>
      <c r="B493" s="2" t="s">
        <v>967</v>
      </c>
      <c r="D493" s="2" t="s">
        <v>58</v>
      </c>
      <c r="E493" s="2" t="s">
        <v>325</v>
      </c>
      <c r="F493" s="5" t="str">
        <f t="shared" si="37"/>
        <v>012-0001-570547 BRICOLAJE BRICOMAN SL</v>
      </c>
      <c r="G493" s="12">
        <f t="shared" si="38"/>
        <v>59.132231404958674</v>
      </c>
      <c r="H493">
        <v>21</v>
      </c>
      <c r="I493" s="5">
        <f t="shared" si="39"/>
        <v>12.41776859504132</v>
      </c>
      <c r="J493" s="5">
        <f t="shared" si="40"/>
        <v>59.132231404958674</v>
      </c>
      <c r="L493" s="5">
        <f t="shared" si="41"/>
        <v>0</v>
      </c>
      <c r="M493" s="8">
        <v>71.55</v>
      </c>
      <c r="N493" s="2" t="s">
        <v>21</v>
      </c>
      <c r="O493" s="3" t="s">
        <v>63</v>
      </c>
    </row>
    <row r="494" spans="1:15" x14ac:dyDescent="0.35">
      <c r="A494" s="4">
        <v>45353</v>
      </c>
      <c r="B494" s="2" t="s">
        <v>968</v>
      </c>
      <c r="D494" s="2" t="s">
        <v>962</v>
      </c>
      <c r="E494" s="2" t="s">
        <v>963</v>
      </c>
      <c r="F494" s="5" t="str">
        <f t="shared" si="37"/>
        <v>240000252 MC BRICOESCORIAL SL</v>
      </c>
      <c r="G494" s="12">
        <f t="shared" si="38"/>
        <v>4.4628099173553721</v>
      </c>
      <c r="H494">
        <v>21</v>
      </c>
      <c r="I494" s="5">
        <f t="shared" si="39"/>
        <v>0.93719008264462811</v>
      </c>
      <c r="J494" s="5">
        <f t="shared" si="40"/>
        <v>4.4628099173553721</v>
      </c>
      <c r="L494" s="5">
        <f t="shared" si="41"/>
        <v>0</v>
      </c>
      <c r="M494" s="8">
        <v>5.4</v>
      </c>
      <c r="N494" s="2" t="s">
        <v>21</v>
      </c>
      <c r="O494" s="3" t="s">
        <v>63</v>
      </c>
    </row>
    <row r="495" spans="1:15" x14ac:dyDescent="0.35">
      <c r="A495" s="4">
        <v>45350</v>
      </c>
      <c r="B495" s="2" t="s">
        <v>969</v>
      </c>
      <c r="D495" s="2" t="s">
        <v>240</v>
      </c>
      <c r="E495" s="2" t="s">
        <v>380</v>
      </c>
      <c r="F495" s="5" t="str">
        <f t="shared" si="37"/>
        <v>1132 ESCAYOLAS Y AISLAMIENTOS VILLAVERDE</v>
      </c>
      <c r="G495" s="12">
        <f t="shared" si="38"/>
        <v>69.123966942148769</v>
      </c>
      <c r="H495">
        <v>21</v>
      </c>
      <c r="I495" s="5">
        <f t="shared" si="39"/>
        <v>14.51603305785124</v>
      </c>
      <c r="J495" s="5">
        <f t="shared" si="40"/>
        <v>69.123966942148769</v>
      </c>
      <c r="L495" s="5">
        <f t="shared" si="41"/>
        <v>0</v>
      </c>
      <c r="M495" s="8">
        <v>83.64</v>
      </c>
      <c r="N495" s="2" t="s">
        <v>21</v>
      </c>
      <c r="O495" s="3" t="s">
        <v>63</v>
      </c>
    </row>
    <row r="496" spans="1:15" x14ac:dyDescent="0.35">
      <c r="A496" s="4">
        <v>45348</v>
      </c>
      <c r="B496" s="2" t="s">
        <v>970</v>
      </c>
      <c r="D496" s="2" t="s">
        <v>962</v>
      </c>
      <c r="E496" s="2" t="s">
        <v>963</v>
      </c>
      <c r="F496" s="5" t="str">
        <f t="shared" si="37"/>
        <v>240000220 MC BRICOESCORIAL SL</v>
      </c>
      <c r="G496" s="12">
        <f t="shared" si="38"/>
        <v>9.8347107438016543</v>
      </c>
      <c r="H496">
        <v>21</v>
      </c>
      <c r="I496" s="5">
        <f t="shared" si="39"/>
        <v>2.0652892561983474</v>
      </c>
      <c r="J496" s="5">
        <f t="shared" si="40"/>
        <v>9.8347107438016543</v>
      </c>
      <c r="L496" s="5">
        <f t="shared" si="41"/>
        <v>0</v>
      </c>
      <c r="M496" s="8">
        <v>11.9</v>
      </c>
      <c r="N496" s="2" t="s">
        <v>21</v>
      </c>
      <c r="O496" s="3" t="s">
        <v>63</v>
      </c>
    </row>
    <row r="497" spans="1:15" x14ac:dyDescent="0.35">
      <c r="A497" s="4">
        <v>45309</v>
      </c>
      <c r="B497" s="2" t="s">
        <v>971</v>
      </c>
      <c r="D497" s="2" t="s">
        <v>962</v>
      </c>
      <c r="E497" s="2" t="s">
        <v>963</v>
      </c>
      <c r="F497" s="5" t="str">
        <f t="shared" si="37"/>
        <v>240000067 MC BRICOESCORIAL SL</v>
      </c>
      <c r="G497" s="12">
        <f t="shared" si="38"/>
        <v>20.66115702479339</v>
      </c>
      <c r="H497">
        <v>21</v>
      </c>
      <c r="I497" s="5">
        <f t="shared" si="39"/>
        <v>4.338842975206612</v>
      </c>
      <c r="J497" s="5">
        <f t="shared" si="40"/>
        <v>20.66115702479339</v>
      </c>
      <c r="L497" s="5">
        <f t="shared" si="41"/>
        <v>0</v>
      </c>
      <c r="M497" s="8">
        <v>25</v>
      </c>
      <c r="N497" s="2" t="s">
        <v>21</v>
      </c>
      <c r="O497" s="3" t="s">
        <v>64</v>
      </c>
    </row>
    <row r="498" spans="1:15" x14ac:dyDescent="0.35">
      <c r="A498" s="4">
        <v>45309</v>
      </c>
      <c r="B498" s="2" t="s">
        <v>972</v>
      </c>
      <c r="D498" s="2" t="s">
        <v>60</v>
      </c>
      <c r="E498" s="2" t="s">
        <v>24</v>
      </c>
      <c r="F498" s="5" t="str">
        <f t="shared" si="37"/>
        <v>096622/A/24/000199 REPSOL</v>
      </c>
      <c r="G498" s="12">
        <f t="shared" si="38"/>
        <v>14.752066115702481</v>
      </c>
      <c r="H498">
        <v>21</v>
      </c>
      <c r="I498" s="5">
        <f t="shared" si="39"/>
        <v>3.0979338842975208</v>
      </c>
      <c r="J498" s="5">
        <f t="shared" si="40"/>
        <v>14.752066115702481</v>
      </c>
      <c r="L498" s="5">
        <f t="shared" si="41"/>
        <v>0</v>
      </c>
      <c r="M498" s="8">
        <v>17.850000000000001</v>
      </c>
      <c r="N498" s="2" t="s">
        <v>22</v>
      </c>
      <c r="O498" s="3" t="s">
        <v>64</v>
      </c>
    </row>
    <row r="499" spans="1:15" x14ac:dyDescent="0.35">
      <c r="A499" s="4">
        <v>45308</v>
      </c>
      <c r="B499" s="2" t="s">
        <v>973</v>
      </c>
      <c r="D499" s="2" t="s">
        <v>99</v>
      </c>
      <c r="E499" s="2" t="s">
        <v>262</v>
      </c>
      <c r="F499" s="5" t="str">
        <f t="shared" si="37"/>
        <v>0000098745 DISA</v>
      </c>
      <c r="G499" s="12">
        <f t="shared" si="38"/>
        <v>16.528925619834713</v>
      </c>
      <c r="H499">
        <v>21</v>
      </c>
      <c r="I499" s="5">
        <f t="shared" si="39"/>
        <v>3.4710743801652897</v>
      </c>
      <c r="J499" s="5">
        <f t="shared" si="40"/>
        <v>16.528925619834713</v>
      </c>
      <c r="L499" s="5">
        <f t="shared" si="41"/>
        <v>0</v>
      </c>
      <c r="M499" s="8">
        <v>20</v>
      </c>
      <c r="N499" s="2" t="s">
        <v>22</v>
      </c>
      <c r="O499" s="3" t="s">
        <v>64</v>
      </c>
    </row>
    <row r="500" spans="1:15" x14ac:dyDescent="0.35">
      <c r="A500" s="4">
        <v>45308</v>
      </c>
      <c r="B500" s="2" t="s">
        <v>974</v>
      </c>
      <c r="D500" s="2" t="s">
        <v>89</v>
      </c>
      <c r="E500" s="2" t="s">
        <v>90</v>
      </c>
      <c r="F500" s="5" t="str">
        <f t="shared" si="37"/>
        <v>E12007224TS000FE000041 GALP</v>
      </c>
      <c r="G500" s="12">
        <f t="shared" si="38"/>
        <v>41.32231404958678</v>
      </c>
      <c r="H500">
        <v>21</v>
      </c>
      <c r="I500" s="5">
        <f t="shared" si="39"/>
        <v>8.677685950413224</v>
      </c>
      <c r="J500" s="5">
        <f t="shared" si="40"/>
        <v>41.32231404958678</v>
      </c>
      <c r="L500" s="5">
        <f t="shared" si="41"/>
        <v>0</v>
      </c>
      <c r="M500" s="8">
        <v>50</v>
      </c>
      <c r="N500" s="2" t="s">
        <v>22</v>
      </c>
      <c r="O500" s="3" t="s">
        <v>63</v>
      </c>
    </row>
    <row r="501" spans="1:15" x14ac:dyDescent="0.35">
      <c r="A501" s="4">
        <v>45356</v>
      </c>
      <c r="B501" s="2" t="s">
        <v>975</v>
      </c>
      <c r="D501" s="2" t="s">
        <v>60</v>
      </c>
      <c r="E501" s="2" t="s">
        <v>24</v>
      </c>
      <c r="F501" s="5" t="str">
        <f t="shared" si="37"/>
        <v>096268/A/24/000387 REPSOL</v>
      </c>
      <c r="G501" s="12">
        <f t="shared" si="38"/>
        <v>27.917355371900829</v>
      </c>
      <c r="H501">
        <v>21</v>
      </c>
      <c r="I501" s="5">
        <f t="shared" si="39"/>
        <v>5.862644628099174</v>
      </c>
      <c r="J501" s="5">
        <f t="shared" si="40"/>
        <v>27.917355371900829</v>
      </c>
      <c r="L501" s="5">
        <f t="shared" si="41"/>
        <v>0</v>
      </c>
      <c r="M501" s="8">
        <v>33.78</v>
      </c>
      <c r="N501" s="2" t="s">
        <v>22</v>
      </c>
      <c r="O501" s="3" t="s">
        <v>63</v>
      </c>
    </row>
    <row r="502" spans="1:15" x14ac:dyDescent="0.35">
      <c r="A502" s="4">
        <v>45351</v>
      </c>
      <c r="B502" s="2" t="s">
        <v>976</v>
      </c>
      <c r="D502" s="2" t="s">
        <v>60</v>
      </c>
      <c r="E502" s="2" t="s">
        <v>24</v>
      </c>
      <c r="F502" s="5" t="str">
        <f t="shared" si="37"/>
        <v>096268/A/24/000349 REPSOL</v>
      </c>
      <c r="G502" s="12">
        <f t="shared" si="38"/>
        <v>27.75206611570248</v>
      </c>
      <c r="H502">
        <v>21</v>
      </c>
      <c r="I502" s="5">
        <f t="shared" si="39"/>
        <v>5.8279338842975212</v>
      </c>
      <c r="J502" s="5">
        <f t="shared" si="40"/>
        <v>27.75206611570248</v>
      </c>
      <c r="L502" s="5">
        <f t="shared" si="41"/>
        <v>0</v>
      </c>
      <c r="M502" s="8">
        <v>33.58</v>
      </c>
      <c r="N502" s="2" t="s">
        <v>22</v>
      </c>
      <c r="O502" s="3" t="s">
        <v>63</v>
      </c>
    </row>
    <row r="503" spans="1:15" x14ac:dyDescent="0.35">
      <c r="A503" s="4">
        <v>45370</v>
      </c>
      <c r="B503" s="2" t="s">
        <v>977</v>
      </c>
      <c r="D503" s="2" t="s">
        <v>23</v>
      </c>
      <c r="E503" s="2" t="s">
        <v>122</v>
      </c>
      <c r="F503" s="5" t="str">
        <f t="shared" si="37"/>
        <v>0010905 PINTOCOLORS</v>
      </c>
      <c r="G503" s="12">
        <f t="shared" si="38"/>
        <v>645.7190082644629</v>
      </c>
      <c r="H503">
        <v>21</v>
      </c>
      <c r="I503" s="5">
        <f t="shared" si="39"/>
        <v>135.60099173553721</v>
      </c>
      <c r="J503" s="5">
        <f t="shared" si="40"/>
        <v>645.7190082644629</v>
      </c>
      <c r="L503" s="5">
        <f t="shared" si="41"/>
        <v>0</v>
      </c>
      <c r="M503" s="8">
        <v>781.32</v>
      </c>
      <c r="N503" s="2" t="s">
        <v>21</v>
      </c>
      <c r="O503" s="3" t="s">
        <v>68</v>
      </c>
    </row>
    <row r="504" spans="1:15" x14ac:dyDescent="0.35">
      <c r="A504" s="4">
        <v>45310</v>
      </c>
      <c r="B504" s="2" t="s">
        <v>980</v>
      </c>
      <c r="D504" s="2" t="s">
        <v>59</v>
      </c>
      <c r="E504" s="2" t="s">
        <v>43</v>
      </c>
      <c r="F504" s="5" t="str">
        <f t="shared" si="37"/>
        <v>AT2241242100345 EUGENIO PEREDA</v>
      </c>
      <c r="G504" s="12">
        <f t="shared" si="38"/>
        <v>289.25619834710744</v>
      </c>
      <c r="H504">
        <v>21</v>
      </c>
      <c r="I504" s="5">
        <f t="shared" si="39"/>
        <v>60.743801652892564</v>
      </c>
      <c r="J504" s="5">
        <f t="shared" si="40"/>
        <v>289.25619834710744</v>
      </c>
      <c r="L504" s="5">
        <f t="shared" si="41"/>
        <v>0</v>
      </c>
      <c r="M504" s="8">
        <v>350</v>
      </c>
      <c r="N504" s="2" t="s">
        <v>21</v>
      </c>
      <c r="O504" s="3" t="s">
        <v>64</v>
      </c>
    </row>
    <row r="505" spans="1:15" x14ac:dyDescent="0.35">
      <c r="A505" s="4">
        <v>45310</v>
      </c>
      <c r="B505" s="2" t="s">
        <v>981</v>
      </c>
      <c r="D505" s="2" t="s">
        <v>59</v>
      </c>
      <c r="E505" s="2" t="s">
        <v>43</v>
      </c>
      <c r="F505" s="5" t="str">
        <f t="shared" si="37"/>
        <v>AT2241242100344 EUGENIO PEREDA</v>
      </c>
      <c r="G505" s="12">
        <f t="shared" si="38"/>
        <v>1197.702479338843</v>
      </c>
      <c r="H505">
        <v>21</v>
      </c>
      <c r="I505" s="5">
        <f t="shared" si="39"/>
        <v>251.51752066115702</v>
      </c>
      <c r="J505" s="5">
        <f t="shared" si="40"/>
        <v>1197.702479338843</v>
      </c>
      <c r="L505" s="5">
        <f t="shared" si="41"/>
        <v>0</v>
      </c>
      <c r="M505" s="8">
        <v>1449.22</v>
      </c>
      <c r="N505" s="2" t="s">
        <v>21</v>
      </c>
      <c r="O505" s="3" t="s">
        <v>64</v>
      </c>
    </row>
    <row r="506" spans="1:15" x14ac:dyDescent="0.35">
      <c r="A506" s="4">
        <v>45335</v>
      </c>
      <c r="B506" s="2" t="s">
        <v>982</v>
      </c>
      <c r="D506" s="2" t="s">
        <v>59</v>
      </c>
      <c r="E506" s="2" t="s">
        <v>43</v>
      </c>
      <c r="F506" s="5" t="str">
        <f t="shared" si="37"/>
        <v>AT2241242100986 EUGENIO PEREDA</v>
      </c>
      <c r="G506" s="12">
        <f t="shared" si="38"/>
        <v>991.73553719008271</v>
      </c>
      <c r="H506">
        <v>21</v>
      </c>
      <c r="I506" s="5">
        <f t="shared" si="39"/>
        <v>208.26446280991738</v>
      </c>
      <c r="J506" s="5">
        <f t="shared" si="40"/>
        <v>991.73553719008271</v>
      </c>
      <c r="L506" s="5">
        <f t="shared" si="41"/>
        <v>0</v>
      </c>
      <c r="M506" s="8">
        <v>1200</v>
      </c>
      <c r="N506" s="2" t="s">
        <v>21</v>
      </c>
      <c r="O506" s="3" t="s">
        <v>64</v>
      </c>
    </row>
    <row r="507" spans="1:15" x14ac:dyDescent="0.35">
      <c r="A507" s="4">
        <v>45365</v>
      </c>
      <c r="B507" s="2" t="s">
        <v>983</v>
      </c>
      <c r="D507" s="2" t="s">
        <v>59</v>
      </c>
      <c r="E507" s="2" t="s">
        <v>43</v>
      </c>
      <c r="F507" s="5" t="str">
        <f t="shared" si="37"/>
        <v>AT1241241101536 EUGENIO PEREDA</v>
      </c>
      <c r="G507" s="12">
        <f t="shared" si="38"/>
        <v>82.644628099173559</v>
      </c>
      <c r="H507">
        <v>21</v>
      </c>
      <c r="I507" s="5">
        <f t="shared" si="39"/>
        <v>17.355371900826448</v>
      </c>
      <c r="J507" s="5">
        <f t="shared" si="40"/>
        <v>82.644628099173559</v>
      </c>
      <c r="L507" s="5">
        <f t="shared" si="41"/>
        <v>0</v>
      </c>
      <c r="M507" s="8">
        <v>100</v>
      </c>
      <c r="N507" s="2" t="s">
        <v>21</v>
      </c>
      <c r="O507" s="3" t="s">
        <v>64</v>
      </c>
    </row>
    <row r="508" spans="1:15" x14ac:dyDescent="0.35">
      <c r="A508" s="4">
        <v>45343</v>
      </c>
      <c r="B508" s="2" t="s">
        <v>984</v>
      </c>
      <c r="D508" s="2" t="s">
        <v>60</v>
      </c>
      <c r="E508" s="2" t="s">
        <v>24</v>
      </c>
      <c r="F508" s="5" t="str">
        <f t="shared" si="37"/>
        <v>096268/A/24/000289 REPSOL</v>
      </c>
      <c r="G508" s="12">
        <f t="shared" si="38"/>
        <v>13.87603305785124</v>
      </c>
      <c r="H508">
        <v>21</v>
      </c>
      <c r="I508" s="5">
        <f t="shared" si="39"/>
        <v>2.9139669421487606</v>
      </c>
      <c r="J508" s="5">
        <f t="shared" si="40"/>
        <v>13.87603305785124</v>
      </c>
      <c r="L508" s="5">
        <f t="shared" si="41"/>
        <v>0</v>
      </c>
      <c r="M508" s="8">
        <v>16.79</v>
      </c>
      <c r="N508" s="2" t="s">
        <v>22</v>
      </c>
      <c r="O508" s="3" t="s">
        <v>63</v>
      </c>
    </row>
    <row r="509" spans="1:15" x14ac:dyDescent="0.35">
      <c r="A509" s="4">
        <v>45331</v>
      </c>
      <c r="B509" s="2" t="s">
        <v>985</v>
      </c>
      <c r="D509" s="2" t="s">
        <v>60</v>
      </c>
      <c r="E509" s="2" t="s">
        <v>24</v>
      </c>
      <c r="F509" s="5" t="str">
        <f t="shared" si="37"/>
        <v>033007/A/24/000369 REPSOL</v>
      </c>
      <c r="G509" s="12">
        <f t="shared" si="38"/>
        <v>13.545454545454547</v>
      </c>
      <c r="H509">
        <v>21</v>
      </c>
      <c r="I509" s="5">
        <f t="shared" si="39"/>
        <v>2.8445454545454552</v>
      </c>
      <c r="J509" s="5">
        <f t="shared" si="40"/>
        <v>13.545454545454547</v>
      </c>
      <c r="L509" s="5">
        <f t="shared" si="41"/>
        <v>0</v>
      </c>
      <c r="M509" s="8">
        <v>16.39</v>
      </c>
      <c r="N509" s="2" t="s">
        <v>22</v>
      </c>
      <c r="O509" s="3" t="s">
        <v>64</v>
      </c>
    </row>
    <row r="510" spans="1:15" x14ac:dyDescent="0.35">
      <c r="A510" s="4">
        <v>45327</v>
      </c>
      <c r="B510" s="2" t="s">
        <v>986</v>
      </c>
      <c r="D510" s="2" t="s">
        <v>60</v>
      </c>
      <c r="E510" s="2" t="s">
        <v>24</v>
      </c>
      <c r="F510" s="5" t="str">
        <f t="shared" si="37"/>
        <v>096268/A/24/000198 REPSOL</v>
      </c>
      <c r="G510" s="12">
        <f t="shared" si="38"/>
        <v>13.462809917355372</v>
      </c>
      <c r="H510">
        <v>21</v>
      </c>
      <c r="I510" s="5">
        <f t="shared" si="39"/>
        <v>2.8271900826446279</v>
      </c>
      <c r="J510" s="5">
        <f t="shared" si="40"/>
        <v>13.462809917355372</v>
      </c>
      <c r="L510" s="5">
        <f t="shared" si="41"/>
        <v>0</v>
      </c>
      <c r="M510" s="8">
        <v>16.29</v>
      </c>
      <c r="N510" s="2" t="s">
        <v>22</v>
      </c>
      <c r="O510" s="3" t="s">
        <v>64</v>
      </c>
    </row>
    <row r="511" spans="1:15" x14ac:dyDescent="0.35">
      <c r="A511" s="4">
        <v>45323</v>
      </c>
      <c r="B511" s="2" t="s">
        <v>987</v>
      </c>
      <c r="D511" s="2" t="s">
        <v>60</v>
      </c>
      <c r="E511" s="2" t="s">
        <v>24</v>
      </c>
      <c r="F511" s="5" t="str">
        <f t="shared" si="37"/>
        <v>096268/A/24/000173 REPSOL</v>
      </c>
      <c r="G511" s="12">
        <f t="shared" si="38"/>
        <v>26.925619834710744</v>
      </c>
      <c r="H511">
        <v>21</v>
      </c>
      <c r="I511" s="5">
        <f t="shared" si="39"/>
        <v>5.6543801652892558</v>
      </c>
      <c r="J511" s="5">
        <f t="shared" si="40"/>
        <v>26.925619834710744</v>
      </c>
      <c r="L511" s="5">
        <f t="shared" si="41"/>
        <v>0</v>
      </c>
      <c r="M511" s="8">
        <v>32.58</v>
      </c>
      <c r="N511" s="2" t="s">
        <v>22</v>
      </c>
      <c r="O511" s="3" t="s">
        <v>64</v>
      </c>
    </row>
    <row r="512" spans="1:15" x14ac:dyDescent="0.35">
      <c r="A512" s="4">
        <v>45317</v>
      </c>
      <c r="B512" s="2" t="s">
        <v>988</v>
      </c>
      <c r="D512" s="2" t="s">
        <v>60</v>
      </c>
      <c r="E512" s="2" t="s">
        <v>24</v>
      </c>
      <c r="F512" s="5" t="str">
        <f t="shared" si="37"/>
        <v>096268/A/24/000135 REPSOL</v>
      </c>
      <c r="G512" s="12">
        <f t="shared" si="38"/>
        <v>26.595041322314049</v>
      </c>
      <c r="H512">
        <v>21</v>
      </c>
      <c r="I512" s="5">
        <f t="shared" si="39"/>
        <v>5.5849586776859503</v>
      </c>
      <c r="J512" s="5">
        <f t="shared" si="40"/>
        <v>26.595041322314049</v>
      </c>
      <c r="L512" s="5">
        <f t="shared" si="41"/>
        <v>0</v>
      </c>
      <c r="M512" s="8">
        <v>32.18</v>
      </c>
      <c r="N512" s="2" t="s">
        <v>22</v>
      </c>
      <c r="O512" s="3" t="s">
        <v>64</v>
      </c>
    </row>
    <row r="513" spans="1:15" x14ac:dyDescent="0.35">
      <c r="A513" s="4">
        <v>45316</v>
      </c>
      <c r="B513" s="2" t="s">
        <v>989</v>
      </c>
      <c r="D513" s="2" t="s">
        <v>60</v>
      </c>
      <c r="E513" s="2" t="s">
        <v>24</v>
      </c>
      <c r="F513" s="5" t="str">
        <f t="shared" si="37"/>
        <v>033007/A/24/000199 REPSOL</v>
      </c>
      <c r="G513" s="12">
        <f t="shared" si="38"/>
        <v>13.297520661157025</v>
      </c>
      <c r="H513">
        <v>21</v>
      </c>
      <c r="I513" s="5">
        <f t="shared" si="39"/>
        <v>2.7924793388429752</v>
      </c>
      <c r="J513" s="5">
        <f t="shared" si="40"/>
        <v>13.297520661157025</v>
      </c>
      <c r="L513" s="5">
        <f t="shared" si="41"/>
        <v>0</v>
      </c>
      <c r="M513" s="8">
        <v>16.09</v>
      </c>
      <c r="N513" s="2" t="s">
        <v>22</v>
      </c>
      <c r="O513" s="3" t="s">
        <v>64</v>
      </c>
    </row>
    <row r="514" spans="1:15" x14ac:dyDescent="0.35">
      <c r="A514" s="4">
        <v>45338</v>
      </c>
      <c r="B514" s="2" t="s">
        <v>990</v>
      </c>
      <c r="D514" s="2" t="s">
        <v>60</v>
      </c>
      <c r="E514" s="2" t="s">
        <v>24</v>
      </c>
      <c r="F514" s="5" t="str">
        <f t="shared" si="37"/>
        <v>096792/A/24/000151 REPSOL</v>
      </c>
      <c r="G514" s="12">
        <f t="shared" si="38"/>
        <v>151.900826446281</v>
      </c>
      <c r="H514">
        <v>21</v>
      </c>
      <c r="I514" s="5">
        <f t="shared" si="39"/>
        <v>31.89917355371901</v>
      </c>
      <c r="J514" s="5">
        <f t="shared" si="40"/>
        <v>151.900826446281</v>
      </c>
      <c r="L514" s="5">
        <f t="shared" si="41"/>
        <v>0</v>
      </c>
      <c r="M514" s="8">
        <v>183.8</v>
      </c>
      <c r="N514" s="2" t="s">
        <v>22</v>
      </c>
      <c r="O514" s="3" t="s">
        <v>63</v>
      </c>
    </row>
    <row r="515" spans="1:15" x14ac:dyDescent="0.35">
      <c r="A515" s="4">
        <v>45345</v>
      </c>
      <c r="B515" s="2" t="s">
        <v>991</v>
      </c>
      <c r="D515" s="2" t="s">
        <v>89</v>
      </c>
      <c r="E515" s="2" t="s">
        <v>90</v>
      </c>
      <c r="F515" s="5" t="str">
        <f t="shared" si="37"/>
        <v>E120071246LJ2WFE000125 GALP</v>
      </c>
      <c r="G515" s="12">
        <f t="shared" si="38"/>
        <v>11.570247933884298</v>
      </c>
      <c r="H515">
        <v>21</v>
      </c>
      <c r="I515" s="5">
        <f t="shared" si="39"/>
        <v>2.4297520661157024</v>
      </c>
      <c r="J515" s="5">
        <f t="shared" si="40"/>
        <v>11.570247933884298</v>
      </c>
      <c r="L515" s="5">
        <f t="shared" si="41"/>
        <v>0</v>
      </c>
      <c r="M515" s="8">
        <v>14</v>
      </c>
      <c r="N515" s="2" t="s">
        <v>22</v>
      </c>
      <c r="O515" s="3" t="s">
        <v>63</v>
      </c>
    </row>
    <row r="516" spans="1:15" x14ac:dyDescent="0.35">
      <c r="A516" s="4">
        <v>45343</v>
      </c>
      <c r="B516" s="2" t="s">
        <v>992</v>
      </c>
      <c r="D516" s="2" t="s">
        <v>89</v>
      </c>
      <c r="E516" s="2" t="s">
        <v>90</v>
      </c>
      <c r="F516" s="5" t="str">
        <f t="shared" si="37"/>
        <v>E12007224TS000FE000172 GALP</v>
      </c>
      <c r="G516" s="12">
        <f t="shared" si="38"/>
        <v>24.793388429752067</v>
      </c>
      <c r="H516">
        <v>21</v>
      </c>
      <c r="I516" s="5">
        <f t="shared" si="39"/>
        <v>5.2066115702479339</v>
      </c>
      <c r="J516" s="5">
        <f t="shared" si="40"/>
        <v>24.793388429752067</v>
      </c>
      <c r="L516" s="5">
        <f t="shared" si="41"/>
        <v>0</v>
      </c>
      <c r="M516" s="8">
        <v>30</v>
      </c>
      <c r="N516" s="2" t="s">
        <v>22</v>
      </c>
      <c r="O516" s="3" t="s">
        <v>63</v>
      </c>
    </row>
    <row r="517" spans="1:15" x14ac:dyDescent="0.35">
      <c r="A517" s="4">
        <v>45364</v>
      </c>
      <c r="B517" s="2" t="s">
        <v>993</v>
      </c>
      <c r="D517" s="2" t="s">
        <v>75</v>
      </c>
      <c r="E517" s="2" t="s">
        <v>90</v>
      </c>
      <c r="F517" s="5" t="str">
        <f t="shared" si="37"/>
        <v>E12007224TS000FE000268 GALP</v>
      </c>
      <c r="G517" s="12">
        <f t="shared" si="38"/>
        <v>57.851239669421489</v>
      </c>
      <c r="H517">
        <v>21</v>
      </c>
      <c r="I517" s="5">
        <f t="shared" si="39"/>
        <v>12.148760330578511</v>
      </c>
      <c r="J517" s="5">
        <f t="shared" si="40"/>
        <v>57.851239669421489</v>
      </c>
      <c r="L517" s="5">
        <f t="shared" si="41"/>
        <v>0</v>
      </c>
      <c r="M517" s="8">
        <v>70</v>
      </c>
      <c r="N517" s="2" t="s">
        <v>22</v>
      </c>
      <c r="O517" s="3" t="s">
        <v>63</v>
      </c>
    </row>
    <row r="518" spans="1:15" x14ac:dyDescent="0.35">
      <c r="A518" s="4">
        <v>45352</v>
      </c>
      <c r="B518" s="2" t="s">
        <v>994</v>
      </c>
      <c r="D518" s="2" t="s">
        <v>29</v>
      </c>
      <c r="E518" s="2" t="s">
        <v>76</v>
      </c>
      <c r="F518" s="5" t="str">
        <f t="shared" si="37"/>
        <v>5478-2024-00674855 COSTCO</v>
      </c>
      <c r="G518" s="12">
        <f t="shared" si="38"/>
        <v>75.942148760330582</v>
      </c>
      <c r="H518">
        <v>21</v>
      </c>
      <c r="I518" s="5">
        <f t="shared" si="39"/>
        <v>15.947851239669422</v>
      </c>
      <c r="J518" s="5">
        <f t="shared" si="40"/>
        <v>75.942148760330582</v>
      </c>
      <c r="L518" s="5">
        <f t="shared" si="41"/>
        <v>0</v>
      </c>
      <c r="M518" s="8">
        <v>91.89</v>
      </c>
      <c r="N518" s="2" t="s">
        <v>22</v>
      </c>
      <c r="O518" s="3" t="s">
        <v>63</v>
      </c>
    </row>
    <row r="519" spans="1:15" x14ac:dyDescent="0.35">
      <c r="A519" s="4">
        <v>45366</v>
      </c>
      <c r="B519" s="2" t="s">
        <v>995</v>
      </c>
      <c r="D519" s="2" t="s">
        <v>89</v>
      </c>
      <c r="E519" s="2" t="s">
        <v>90</v>
      </c>
      <c r="F519" s="5" t="str">
        <f t="shared" si="37"/>
        <v>E120071246LJ2WFE000183 GALP</v>
      </c>
      <c r="G519" s="12">
        <f t="shared" si="38"/>
        <v>57.371900826446286</v>
      </c>
      <c r="H519">
        <v>21</v>
      </c>
      <c r="I519" s="5">
        <f t="shared" si="39"/>
        <v>12.04809917355372</v>
      </c>
      <c r="J519" s="5">
        <f t="shared" si="40"/>
        <v>57.371900826446286</v>
      </c>
      <c r="L519" s="5">
        <f t="shared" si="41"/>
        <v>0</v>
      </c>
      <c r="M519" s="8">
        <v>69.42</v>
      </c>
      <c r="N519" s="2" t="s">
        <v>22</v>
      </c>
      <c r="O519" s="3" t="s">
        <v>63</v>
      </c>
    </row>
    <row r="520" spans="1:15" x14ac:dyDescent="0.35">
      <c r="A520" s="4">
        <v>45371</v>
      </c>
      <c r="B520" s="2" t="s">
        <v>999</v>
      </c>
      <c r="D520" s="2" t="s">
        <v>1000</v>
      </c>
      <c r="E520" s="2" t="s">
        <v>1001</v>
      </c>
      <c r="F520" s="5" t="str">
        <f t="shared" si="37"/>
        <v>B-4210 IPE MADERAS 1991 SLU</v>
      </c>
      <c r="G520" s="12">
        <f t="shared" si="38"/>
        <v>2574</v>
      </c>
      <c r="H520">
        <v>21</v>
      </c>
      <c r="I520" s="5">
        <f t="shared" si="39"/>
        <v>540.54</v>
      </c>
      <c r="J520" s="5">
        <f t="shared" si="40"/>
        <v>2574</v>
      </c>
      <c r="L520" s="5">
        <f t="shared" si="41"/>
        <v>0</v>
      </c>
      <c r="M520" s="8">
        <v>3114.54</v>
      </c>
      <c r="N520" s="2" t="s">
        <v>21</v>
      </c>
      <c r="O520" s="3" t="s">
        <v>68</v>
      </c>
    </row>
    <row r="521" spans="1:15" x14ac:dyDescent="0.35">
      <c r="A521" s="4">
        <v>45366</v>
      </c>
      <c r="B521" s="2" t="s">
        <v>1002</v>
      </c>
      <c r="D521" s="2" t="s">
        <v>1003</v>
      </c>
      <c r="E521" s="2" t="s">
        <v>1004</v>
      </c>
      <c r="F521" s="5" t="str">
        <f t="shared" si="37"/>
        <v>5 ALEXANDRO MIHAILA</v>
      </c>
      <c r="G521" s="12">
        <f t="shared" si="38"/>
        <v>1145</v>
      </c>
      <c r="H521">
        <v>21</v>
      </c>
      <c r="I521" s="5">
        <f t="shared" si="39"/>
        <v>240.45</v>
      </c>
      <c r="J521" s="5">
        <f t="shared" si="40"/>
        <v>1145</v>
      </c>
      <c r="L521" s="5">
        <f t="shared" si="41"/>
        <v>0</v>
      </c>
      <c r="M521" s="8">
        <v>1385.45</v>
      </c>
      <c r="N521" s="2" t="s">
        <v>37</v>
      </c>
      <c r="O521" s="3" t="s">
        <v>68</v>
      </c>
    </row>
    <row r="522" spans="1:15" x14ac:dyDescent="0.35">
      <c r="A522" s="4">
        <v>45369</v>
      </c>
      <c r="B522" s="2" t="s">
        <v>1005</v>
      </c>
      <c r="D522" s="2" t="s">
        <v>1006</v>
      </c>
      <c r="E522" s="2" t="s">
        <v>1041</v>
      </c>
      <c r="F522" s="5" t="str">
        <f t="shared" si="37"/>
        <v>0254 ADVENTURE PARTS SRL</v>
      </c>
      <c r="G522" s="12">
        <f t="shared" si="38"/>
        <v>294</v>
      </c>
      <c r="H522">
        <v>0</v>
      </c>
      <c r="I522" s="5">
        <f t="shared" si="39"/>
        <v>0</v>
      </c>
      <c r="J522" s="5">
        <f t="shared" si="40"/>
        <v>294</v>
      </c>
      <c r="L522" s="5">
        <f t="shared" si="41"/>
        <v>0</v>
      </c>
      <c r="M522" s="8">
        <v>294</v>
      </c>
      <c r="N522" s="2" t="s">
        <v>21</v>
      </c>
      <c r="O522" s="3" t="s">
        <v>68</v>
      </c>
    </row>
    <row r="523" spans="1:15" x14ac:dyDescent="0.35">
      <c r="A523" s="4">
        <v>45401</v>
      </c>
      <c r="B523" s="2" t="s">
        <v>1007</v>
      </c>
      <c r="D523" s="2" t="s">
        <v>1008</v>
      </c>
      <c r="E523" s="2" t="s">
        <v>1009</v>
      </c>
      <c r="F523" s="5" t="str">
        <f t="shared" si="37"/>
        <v>2024/826 FRANCISCO RODRIGUEZ MACIAS</v>
      </c>
      <c r="G523" s="12">
        <f t="shared" si="38"/>
        <v>989.82644628099183</v>
      </c>
      <c r="H523">
        <v>21</v>
      </c>
      <c r="I523" s="5">
        <f t="shared" si="39"/>
        <v>207.86355371900828</v>
      </c>
      <c r="J523" s="5">
        <f t="shared" si="40"/>
        <v>989.82644628099183</v>
      </c>
      <c r="L523" s="5">
        <f t="shared" si="41"/>
        <v>0</v>
      </c>
      <c r="M523" s="8">
        <v>1197.69</v>
      </c>
      <c r="N523" s="2" t="s">
        <v>37</v>
      </c>
      <c r="O523" s="3" t="s">
        <v>68</v>
      </c>
    </row>
    <row r="524" spans="1:15" x14ac:dyDescent="0.35">
      <c r="A524" s="4">
        <v>45370</v>
      </c>
      <c r="B524" s="2" t="s">
        <v>1010</v>
      </c>
      <c r="D524" s="2" t="s">
        <v>625</v>
      </c>
      <c r="E524" s="2" t="s">
        <v>1011</v>
      </c>
      <c r="F524" s="5" t="str">
        <f t="shared" si="37"/>
        <v>094/03 M.DEL MONTE S.L. CANALONES</v>
      </c>
      <c r="G524" s="12">
        <f t="shared" si="38"/>
        <v>285</v>
      </c>
      <c r="H524">
        <v>21</v>
      </c>
      <c r="I524" s="5">
        <f t="shared" si="39"/>
        <v>59.85</v>
      </c>
      <c r="J524" s="5">
        <f t="shared" si="40"/>
        <v>285</v>
      </c>
      <c r="L524" s="5">
        <f t="shared" si="41"/>
        <v>0</v>
      </c>
      <c r="M524" s="8">
        <v>344.85</v>
      </c>
      <c r="N524" s="2" t="s">
        <v>37</v>
      </c>
      <c r="O524" s="3" t="s">
        <v>68</v>
      </c>
    </row>
    <row r="525" spans="1:15" x14ac:dyDescent="0.35">
      <c r="A525" s="4">
        <v>45366</v>
      </c>
      <c r="B525" s="2" t="s">
        <v>1012</v>
      </c>
      <c r="D525" s="2" t="s">
        <v>200</v>
      </c>
      <c r="E525" s="2" t="s">
        <v>186</v>
      </c>
      <c r="F525" s="5" t="str">
        <f t="shared" si="37"/>
        <v>1212333 I.D.F. SUMINISTROS INDUSTRIALES</v>
      </c>
      <c r="G525" s="12">
        <f t="shared" si="38"/>
        <v>331.01652892561981</v>
      </c>
      <c r="H525">
        <v>21</v>
      </c>
      <c r="I525" s="5">
        <f t="shared" si="39"/>
        <v>69.513471074380163</v>
      </c>
      <c r="J525" s="5">
        <f t="shared" si="40"/>
        <v>331.01652892561981</v>
      </c>
      <c r="L525" s="5">
        <f t="shared" si="41"/>
        <v>0</v>
      </c>
      <c r="M525" s="8">
        <v>400.53</v>
      </c>
      <c r="N525" s="2" t="s">
        <v>21</v>
      </c>
      <c r="O525" s="3" t="s">
        <v>65</v>
      </c>
    </row>
    <row r="526" spans="1:15" x14ac:dyDescent="0.35">
      <c r="A526" s="4">
        <v>45363</v>
      </c>
      <c r="B526" s="2" t="s">
        <v>267</v>
      </c>
      <c r="D526" s="2" t="s">
        <v>1013</v>
      </c>
      <c r="E526" s="2" t="s">
        <v>1014</v>
      </c>
      <c r="F526" s="5" t="str">
        <f t="shared" si="37"/>
        <v>143 JONATHAN MAYOL DOMINGUEZ</v>
      </c>
      <c r="G526" s="12">
        <f t="shared" si="38"/>
        <v>200</v>
      </c>
      <c r="H526">
        <v>21</v>
      </c>
      <c r="I526" s="5">
        <f t="shared" si="39"/>
        <v>42</v>
      </c>
      <c r="J526" s="5">
        <f t="shared" si="40"/>
        <v>200</v>
      </c>
      <c r="L526" s="5">
        <f t="shared" si="41"/>
        <v>0</v>
      </c>
      <c r="M526" s="8">
        <v>242</v>
      </c>
      <c r="N526" s="2" t="s">
        <v>37</v>
      </c>
      <c r="O526" s="3" t="s">
        <v>68</v>
      </c>
    </row>
    <row r="527" spans="1:15" x14ac:dyDescent="0.35">
      <c r="A527" s="4">
        <v>45371</v>
      </c>
      <c r="B527" s="2" t="s">
        <v>1015</v>
      </c>
      <c r="D527" s="2" t="s">
        <v>94</v>
      </c>
      <c r="E527" s="2" t="s">
        <v>139</v>
      </c>
      <c r="F527" s="5" t="str">
        <f t="shared" si="37"/>
        <v>VEN/20238132 BIGMAT</v>
      </c>
      <c r="G527" s="12">
        <f t="shared" si="38"/>
        <v>789.33057851239676</v>
      </c>
      <c r="H527">
        <v>21</v>
      </c>
      <c r="I527" s="5">
        <f t="shared" si="39"/>
        <v>165.75942148760333</v>
      </c>
      <c r="J527" s="5">
        <f t="shared" si="40"/>
        <v>789.33057851239676</v>
      </c>
      <c r="L527" s="5">
        <f t="shared" si="41"/>
        <v>0</v>
      </c>
      <c r="M527" s="8">
        <v>955.09</v>
      </c>
      <c r="N527" s="2" t="s">
        <v>21</v>
      </c>
      <c r="O527" s="3" t="s">
        <v>65</v>
      </c>
    </row>
    <row r="528" spans="1:15" x14ac:dyDescent="0.35">
      <c r="A528" s="4">
        <v>45370</v>
      </c>
      <c r="B528" s="2" t="s">
        <v>1016</v>
      </c>
      <c r="D528" s="2" t="s">
        <v>1017</v>
      </c>
      <c r="E528" s="2" t="s">
        <v>1018</v>
      </c>
      <c r="F528" s="5" t="str">
        <f t="shared" si="37"/>
        <v>2024/18 TRANSPORTES SIMARRO</v>
      </c>
      <c r="G528" s="12">
        <f t="shared" si="38"/>
        <v>1600</v>
      </c>
      <c r="H528">
        <v>21</v>
      </c>
      <c r="I528" s="5">
        <f t="shared" si="39"/>
        <v>336</v>
      </c>
      <c r="J528" s="5">
        <f t="shared" si="40"/>
        <v>1600</v>
      </c>
      <c r="K528">
        <v>1</v>
      </c>
      <c r="L528" s="5">
        <f t="shared" si="41"/>
        <v>16</v>
      </c>
      <c r="M528" s="8">
        <v>1920</v>
      </c>
      <c r="N528" s="2" t="s">
        <v>56</v>
      </c>
    </row>
    <row r="529" spans="1:15" x14ac:dyDescent="0.35">
      <c r="A529" s="4">
        <v>45372</v>
      </c>
      <c r="B529" s="2" t="s">
        <v>184</v>
      </c>
      <c r="D529" s="2" t="s">
        <v>145</v>
      </c>
      <c r="E529" s="2" t="s">
        <v>146</v>
      </c>
      <c r="F529" s="5" t="str">
        <f t="shared" si="37"/>
        <v>06 DAVID MARGIN</v>
      </c>
      <c r="G529" s="12">
        <f t="shared" si="38"/>
        <v>16528.92561983471</v>
      </c>
      <c r="H529">
        <v>21</v>
      </c>
      <c r="I529" s="5">
        <f t="shared" si="39"/>
        <v>3471.0743801652889</v>
      </c>
      <c r="J529" s="5">
        <f t="shared" si="40"/>
        <v>16528.92561983471</v>
      </c>
      <c r="L529" s="5">
        <f t="shared" si="41"/>
        <v>0</v>
      </c>
      <c r="M529" s="8">
        <v>20000</v>
      </c>
      <c r="N529" s="2" t="s">
        <v>37</v>
      </c>
      <c r="O529" s="3" t="s">
        <v>68</v>
      </c>
    </row>
    <row r="530" spans="1:15" x14ac:dyDescent="0.35">
      <c r="A530" s="4">
        <v>45371</v>
      </c>
      <c r="B530" s="2" t="s">
        <v>1019</v>
      </c>
      <c r="D530" s="2" t="s">
        <v>153</v>
      </c>
      <c r="E530" s="2" t="s">
        <v>176</v>
      </c>
      <c r="F530" s="5" t="str">
        <f t="shared" si="37"/>
        <v>00004 CALBAR BENIAMIN</v>
      </c>
      <c r="G530" s="12">
        <f t="shared" si="38"/>
        <v>570</v>
      </c>
      <c r="H530">
        <v>21</v>
      </c>
      <c r="I530" s="5">
        <f t="shared" si="39"/>
        <v>119.7</v>
      </c>
      <c r="J530" s="5">
        <f t="shared" si="40"/>
        <v>570</v>
      </c>
      <c r="L530" s="5">
        <f t="shared" si="41"/>
        <v>0</v>
      </c>
      <c r="M530" s="8">
        <v>689.7</v>
      </c>
      <c r="N530" s="2" t="s">
        <v>37</v>
      </c>
      <c r="O530" s="3" t="s">
        <v>68</v>
      </c>
    </row>
    <row r="531" spans="1:15" x14ac:dyDescent="0.35">
      <c r="A531" s="4">
        <v>45373</v>
      </c>
      <c r="B531" s="2" t="s">
        <v>1020</v>
      </c>
      <c r="D531" s="2" t="s">
        <v>200</v>
      </c>
      <c r="E531" s="2" t="s">
        <v>186</v>
      </c>
      <c r="F531" s="5" t="str">
        <f t="shared" si="37"/>
        <v>2123223 I.D.F. SUMINISTROS INDUSTRIALES</v>
      </c>
      <c r="G531" s="12">
        <f t="shared" si="38"/>
        <v>5.9338842975206614</v>
      </c>
      <c r="H531">
        <v>21</v>
      </c>
      <c r="I531" s="5">
        <f t="shared" si="39"/>
        <v>1.2461157024793388</v>
      </c>
      <c r="J531" s="5">
        <f t="shared" si="40"/>
        <v>5.9338842975206614</v>
      </c>
      <c r="L531" s="5">
        <f t="shared" si="41"/>
        <v>0</v>
      </c>
      <c r="M531" s="8">
        <v>7.18</v>
      </c>
      <c r="N531" s="2" t="s">
        <v>21</v>
      </c>
      <c r="O531" s="3" t="s">
        <v>63</v>
      </c>
    </row>
    <row r="532" spans="1:15" x14ac:dyDescent="0.35">
      <c r="A532" s="4">
        <v>45378</v>
      </c>
      <c r="B532" s="2" t="s">
        <v>1021</v>
      </c>
      <c r="D532" s="2" t="s">
        <v>34</v>
      </c>
      <c r="E532" s="2" t="s">
        <v>423</v>
      </c>
      <c r="F532" s="5" t="str">
        <f t="shared" si="37"/>
        <v>f241004 CONTAMAR ASESORES</v>
      </c>
      <c r="G532" s="12">
        <v>239.24</v>
      </c>
      <c r="H532">
        <v>21</v>
      </c>
      <c r="I532" s="5">
        <f t="shared" si="39"/>
        <v>50.240400000000001</v>
      </c>
      <c r="J532" s="5">
        <f t="shared" si="40"/>
        <v>239.24</v>
      </c>
      <c r="L532" s="5">
        <f t="shared" si="41"/>
        <v>0</v>
      </c>
      <c r="M532" s="8">
        <v>326.75</v>
      </c>
      <c r="N532" s="2" t="s">
        <v>55</v>
      </c>
      <c r="O532" s="3" t="s">
        <v>65</v>
      </c>
    </row>
    <row r="533" spans="1:15" x14ac:dyDescent="0.35">
      <c r="A533" s="4">
        <v>45320</v>
      </c>
      <c r="B533" s="2" t="s">
        <v>1023</v>
      </c>
      <c r="D533" s="2" t="s">
        <v>1024</v>
      </c>
      <c r="E533" s="2" t="s">
        <v>119</v>
      </c>
      <c r="F533" s="5" t="str">
        <f t="shared" si="37"/>
        <v>E226-60527852 MEDIA MARKT</v>
      </c>
      <c r="G533" s="12">
        <v>385.94</v>
      </c>
      <c r="H533">
        <v>21</v>
      </c>
      <c r="I533" s="5">
        <f t="shared" si="39"/>
        <v>81.047399999999996</v>
      </c>
      <c r="J533" s="5">
        <f t="shared" si="40"/>
        <v>385.94</v>
      </c>
      <c r="L533" s="5">
        <f t="shared" si="41"/>
        <v>0</v>
      </c>
      <c r="M533" s="8">
        <v>528.98</v>
      </c>
      <c r="N533" s="2" t="s">
        <v>61</v>
      </c>
      <c r="O533" s="3" t="s">
        <v>63</v>
      </c>
    </row>
    <row r="534" spans="1:15" x14ac:dyDescent="0.35">
      <c r="A534" s="4">
        <v>45374</v>
      </c>
      <c r="B534" s="2" t="s">
        <v>1025</v>
      </c>
      <c r="D534" s="2" t="s">
        <v>25</v>
      </c>
      <c r="E534" s="2" t="s">
        <v>26</v>
      </c>
      <c r="F534" s="5" t="str">
        <f t="shared" si="37"/>
        <v>92436 SALTOKI</v>
      </c>
      <c r="G534" s="12">
        <f t="shared" si="38"/>
        <v>746.81818181818187</v>
      </c>
      <c r="H534">
        <v>21</v>
      </c>
      <c r="I534" s="5">
        <f t="shared" si="39"/>
        <v>156.83181818181819</v>
      </c>
      <c r="J534" s="5">
        <f t="shared" si="40"/>
        <v>746.81818181818187</v>
      </c>
      <c r="L534" s="5">
        <f t="shared" si="41"/>
        <v>0</v>
      </c>
      <c r="M534" s="8">
        <v>903.65</v>
      </c>
      <c r="N534" s="2" t="s">
        <v>21</v>
      </c>
      <c r="O534" s="3" t="s">
        <v>65</v>
      </c>
    </row>
    <row r="535" spans="1:15" x14ac:dyDescent="0.35">
      <c r="A535" s="4">
        <v>45327</v>
      </c>
      <c r="B535" s="2" t="s">
        <v>1026</v>
      </c>
      <c r="D535" s="2" t="s">
        <v>71</v>
      </c>
      <c r="E535" s="2" t="s">
        <v>69</v>
      </c>
      <c r="F535" s="5" t="str">
        <f t="shared" si="37"/>
        <v>09/24 OLARIU ADRIAN RAZVAN</v>
      </c>
      <c r="G535" s="12">
        <f t="shared" si="38"/>
        <v>2500</v>
      </c>
      <c r="H535">
        <v>21</v>
      </c>
      <c r="I535" s="5">
        <f t="shared" si="39"/>
        <v>525</v>
      </c>
      <c r="J535" s="5">
        <f t="shared" si="40"/>
        <v>2500</v>
      </c>
      <c r="L535" s="5">
        <f t="shared" si="41"/>
        <v>0</v>
      </c>
      <c r="M535" s="8">
        <v>3025</v>
      </c>
      <c r="N535" s="2" t="s">
        <v>56</v>
      </c>
      <c r="O535" s="3" t="s">
        <v>68</v>
      </c>
    </row>
    <row r="536" spans="1:15" x14ac:dyDescent="0.35">
      <c r="A536" s="4">
        <v>45361</v>
      </c>
      <c r="B536" s="2" t="s">
        <v>1027</v>
      </c>
      <c r="D536" s="2" t="s">
        <v>71</v>
      </c>
      <c r="E536" s="2" t="s">
        <v>69</v>
      </c>
      <c r="F536" s="5" t="str">
        <f t="shared" si="37"/>
        <v>19/24 OLARIU ADRIAN RAZVAN</v>
      </c>
      <c r="G536" s="12">
        <f t="shared" si="38"/>
        <v>2350</v>
      </c>
      <c r="H536">
        <v>21</v>
      </c>
      <c r="I536" s="5">
        <f t="shared" si="39"/>
        <v>493.5</v>
      </c>
      <c r="J536" s="5">
        <f t="shared" si="40"/>
        <v>2350</v>
      </c>
      <c r="L536" s="5">
        <f t="shared" si="41"/>
        <v>0</v>
      </c>
      <c r="M536" s="8">
        <v>2843.5</v>
      </c>
      <c r="N536" s="2" t="s">
        <v>56</v>
      </c>
      <c r="O536" s="3" t="s">
        <v>68</v>
      </c>
    </row>
    <row r="537" spans="1:15" x14ac:dyDescent="0.35">
      <c r="A537" s="4">
        <v>45342</v>
      </c>
      <c r="B537" s="2" t="s">
        <v>1028</v>
      </c>
      <c r="D537" s="2" t="s">
        <v>295</v>
      </c>
      <c r="E537" s="2" t="s">
        <v>296</v>
      </c>
      <c r="F537" s="5" t="str">
        <f t="shared" si="37"/>
        <v>9124003622 PORCELANOSA</v>
      </c>
      <c r="G537" s="12">
        <f t="shared" si="38"/>
        <v>62.561983471074385</v>
      </c>
      <c r="H537">
        <v>21</v>
      </c>
      <c r="I537" s="5">
        <f t="shared" si="39"/>
        <v>13.13801652892562</v>
      </c>
      <c r="J537" s="5">
        <f t="shared" si="40"/>
        <v>62.561983471074385</v>
      </c>
      <c r="L537" s="5">
        <f t="shared" si="41"/>
        <v>0</v>
      </c>
      <c r="M537" s="8">
        <v>75.7</v>
      </c>
      <c r="N537" s="2" t="s">
        <v>21</v>
      </c>
      <c r="O537" s="3" t="s">
        <v>68</v>
      </c>
    </row>
    <row r="538" spans="1:15" x14ac:dyDescent="0.35">
      <c r="A538" s="4">
        <v>45376</v>
      </c>
      <c r="B538" s="2" t="s">
        <v>1029</v>
      </c>
      <c r="D538" s="2" t="s">
        <v>1030</v>
      </c>
      <c r="E538" s="2" t="s">
        <v>1031</v>
      </c>
      <c r="F538" s="5" t="str">
        <f t="shared" si="37"/>
        <v>1 000352 STEINBOX SL</v>
      </c>
      <c r="G538" s="12">
        <f t="shared" ref="G538:G601" si="42">M538/(1-K538/100+H538/100)</f>
        <v>150</v>
      </c>
      <c r="H538">
        <v>21</v>
      </c>
      <c r="I538" s="5">
        <f t="shared" si="39"/>
        <v>31.5</v>
      </c>
      <c r="J538" s="5">
        <f t="shared" si="40"/>
        <v>150</v>
      </c>
      <c r="L538" s="5">
        <f t="shared" si="41"/>
        <v>0</v>
      </c>
      <c r="M538" s="8">
        <v>181.5</v>
      </c>
      <c r="N538" s="2" t="s">
        <v>21</v>
      </c>
      <c r="O538" s="3" t="s">
        <v>68</v>
      </c>
    </row>
    <row r="539" spans="1:15" x14ac:dyDescent="0.35">
      <c r="A539" s="4">
        <v>45376</v>
      </c>
      <c r="B539" s="2" t="s">
        <v>303</v>
      </c>
      <c r="D539" s="2" t="s">
        <v>145</v>
      </c>
      <c r="E539" s="2" t="s">
        <v>146</v>
      </c>
      <c r="F539" s="5" t="str">
        <f t="shared" si="37"/>
        <v>07 DAVID MARGIN</v>
      </c>
      <c r="G539" s="12">
        <f t="shared" si="42"/>
        <v>5000</v>
      </c>
      <c r="H539">
        <v>21</v>
      </c>
      <c r="I539" s="5">
        <f t="shared" si="39"/>
        <v>1050</v>
      </c>
      <c r="J539" s="5">
        <f t="shared" si="40"/>
        <v>5000</v>
      </c>
      <c r="L539" s="5">
        <f t="shared" si="41"/>
        <v>0</v>
      </c>
      <c r="M539" s="8">
        <v>6050</v>
      </c>
      <c r="N539" s="2" t="s">
        <v>37</v>
      </c>
      <c r="O539" s="3" t="s">
        <v>68</v>
      </c>
    </row>
    <row r="540" spans="1:15" x14ac:dyDescent="0.35">
      <c r="A540" s="4">
        <v>45377</v>
      </c>
      <c r="B540" s="2" t="s">
        <v>165</v>
      </c>
      <c r="D540" s="2" t="s">
        <v>628</v>
      </c>
      <c r="E540" s="2" t="s">
        <v>629</v>
      </c>
      <c r="F540" s="5" t="str">
        <f t="shared" si="37"/>
        <v>3 ADRIAN CODITA</v>
      </c>
      <c r="G540" s="12">
        <f t="shared" si="42"/>
        <v>826.44628099173553</v>
      </c>
      <c r="H540">
        <v>21</v>
      </c>
      <c r="I540" s="5">
        <f t="shared" si="39"/>
        <v>173.55371900826447</v>
      </c>
      <c r="J540" s="5">
        <f t="shared" si="40"/>
        <v>826.44628099173553</v>
      </c>
      <c r="L540" s="5">
        <f t="shared" si="41"/>
        <v>0</v>
      </c>
      <c r="M540" s="8">
        <v>1000</v>
      </c>
      <c r="N540" s="2" t="s">
        <v>37</v>
      </c>
      <c r="O540" s="3" t="s">
        <v>68</v>
      </c>
    </row>
    <row r="541" spans="1:15" x14ac:dyDescent="0.35">
      <c r="A541" s="4">
        <v>45382</v>
      </c>
      <c r="B541" s="2" t="s">
        <v>1036</v>
      </c>
      <c r="D541" s="2" t="s">
        <v>109</v>
      </c>
      <c r="E541" s="2" t="s">
        <v>42</v>
      </c>
      <c r="F541" s="5" t="str">
        <f t="shared" si="37"/>
        <v>24104759 DISCESUR</v>
      </c>
      <c r="G541" s="12">
        <f t="shared" si="42"/>
        <v>39.826446280991732</v>
      </c>
      <c r="H541">
        <v>21</v>
      </c>
      <c r="I541" s="5">
        <f t="shared" si="39"/>
        <v>8.3635537190082641</v>
      </c>
      <c r="J541" s="5">
        <f t="shared" si="40"/>
        <v>39.826446280991732</v>
      </c>
      <c r="L541" s="5">
        <f t="shared" si="41"/>
        <v>0</v>
      </c>
      <c r="M541" s="8">
        <v>48.19</v>
      </c>
      <c r="N541" s="2" t="s">
        <v>21</v>
      </c>
      <c r="O541" s="3" t="s">
        <v>65</v>
      </c>
    </row>
    <row r="542" spans="1:15" x14ac:dyDescent="0.35">
      <c r="A542" s="4">
        <v>45381</v>
      </c>
      <c r="B542" s="2" t="s">
        <v>1037</v>
      </c>
      <c r="D542" s="2" t="s">
        <v>25</v>
      </c>
      <c r="E542" s="2" t="s">
        <v>26</v>
      </c>
      <c r="F542" s="5" t="str">
        <f t="shared" si="37"/>
        <v>99931 SALTOKI</v>
      </c>
      <c r="G542" s="12">
        <f t="shared" si="42"/>
        <v>169.71074380165288</v>
      </c>
      <c r="H542">
        <v>21</v>
      </c>
      <c r="I542" s="5">
        <f t="shared" si="39"/>
        <v>35.639256198347105</v>
      </c>
      <c r="J542" s="5">
        <f t="shared" si="40"/>
        <v>169.71074380165288</v>
      </c>
      <c r="L542" s="5">
        <f t="shared" si="41"/>
        <v>0</v>
      </c>
      <c r="M542" s="8">
        <v>205.35</v>
      </c>
      <c r="N542" s="2" t="s">
        <v>21</v>
      </c>
      <c r="O542" s="3" t="s">
        <v>65</v>
      </c>
    </row>
    <row r="543" spans="1:15" x14ac:dyDescent="0.35">
      <c r="A543" s="4">
        <v>45382</v>
      </c>
      <c r="B543" s="2" t="s">
        <v>1038</v>
      </c>
      <c r="D543" s="2" t="s">
        <v>94</v>
      </c>
      <c r="E543" s="2" t="s">
        <v>139</v>
      </c>
      <c r="F543" s="5" t="str">
        <f t="shared" si="37"/>
        <v>VEN/20240606 BIGMAT</v>
      </c>
      <c r="G543" s="12">
        <f t="shared" si="42"/>
        <v>739.63636363636374</v>
      </c>
      <c r="H543">
        <v>21</v>
      </c>
      <c r="I543" s="5">
        <f t="shared" si="39"/>
        <v>155.32363636363638</v>
      </c>
      <c r="J543" s="5">
        <f t="shared" si="40"/>
        <v>739.63636363636374</v>
      </c>
      <c r="L543" s="5">
        <f t="shared" si="41"/>
        <v>0</v>
      </c>
      <c r="M543" s="8">
        <v>894.96</v>
      </c>
      <c r="N543" s="2" t="s">
        <v>21</v>
      </c>
      <c r="O543" s="3" t="s">
        <v>65</v>
      </c>
    </row>
    <row r="544" spans="1:15" x14ac:dyDescent="0.35">
      <c r="A544" s="4">
        <v>45382</v>
      </c>
      <c r="B544" s="2" t="s">
        <v>83</v>
      </c>
      <c r="D544" s="2" t="s">
        <v>134</v>
      </c>
      <c r="E544" s="2" t="s">
        <v>143</v>
      </c>
      <c r="F544" s="5" t="str">
        <f t="shared" si="37"/>
        <v>48 IOAN NICULAI</v>
      </c>
      <c r="G544" s="12">
        <f t="shared" si="42"/>
        <v>6000</v>
      </c>
      <c r="H544">
        <v>21</v>
      </c>
      <c r="I544" s="5">
        <f t="shared" si="39"/>
        <v>1260</v>
      </c>
      <c r="J544" s="5">
        <f t="shared" si="40"/>
        <v>6000</v>
      </c>
      <c r="L544" s="5">
        <f t="shared" si="41"/>
        <v>0</v>
      </c>
      <c r="M544" s="8">
        <v>7260</v>
      </c>
      <c r="N544" s="2" t="s">
        <v>37</v>
      </c>
      <c r="O544" s="3" t="s">
        <v>68</v>
      </c>
    </row>
    <row r="545" spans="1:15" x14ac:dyDescent="0.35">
      <c r="A545" s="4">
        <v>45382</v>
      </c>
      <c r="B545" s="2" t="s">
        <v>1039</v>
      </c>
      <c r="D545" s="2" t="s">
        <v>200</v>
      </c>
      <c r="E545" s="2" t="s">
        <v>186</v>
      </c>
      <c r="F545" s="5" t="str">
        <f t="shared" si="37"/>
        <v>0121524 I.D.F. SUMINISTROS INDUSTRIALES</v>
      </c>
      <c r="G545" s="12">
        <f t="shared" si="42"/>
        <v>39.966942148760332</v>
      </c>
      <c r="H545">
        <v>21</v>
      </c>
      <c r="I545" s="5">
        <f t="shared" si="39"/>
        <v>8.3930578512396696</v>
      </c>
      <c r="J545" s="5">
        <f>G545</f>
        <v>39.966942148760332</v>
      </c>
      <c r="L545" s="5">
        <f>J545*K545/100</f>
        <v>0</v>
      </c>
      <c r="M545" s="8">
        <v>48.36</v>
      </c>
      <c r="N545" s="2" t="s">
        <v>21</v>
      </c>
      <c r="O545" s="3" t="s">
        <v>65</v>
      </c>
    </row>
    <row r="546" spans="1:15" x14ac:dyDescent="0.35">
      <c r="A546" s="4">
        <v>45372</v>
      </c>
      <c r="B546" s="2" t="s">
        <v>1042</v>
      </c>
      <c r="D546" s="2" t="s">
        <v>94</v>
      </c>
      <c r="E546" s="2" t="s">
        <v>139</v>
      </c>
      <c r="F546" s="5" t="str">
        <f t="shared" si="37"/>
        <v>00002-2024/A0602/0003147 BIGMAT</v>
      </c>
      <c r="G546" s="12">
        <f t="shared" si="42"/>
        <v>87.297520661157023</v>
      </c>
      <c r="H546">
        <v>21</v>
      </c>
      <c r="I546" s="5">
        <f t="shared" si="39"/>
        <v>18.332479338842976</v>
      </c>
      <c r="J546" s="5">
        <f t="shared" ref="J546:J609" si="43">G546</f>
        <v>87.297520661157023</v>
      </c>
      <c r="L546" s="5">
        <f t="shared" ref="L546:L609" si="44">J546*K546/100</f>
        <v>0</v>
      </c>
      <c r="M546" s="8">
        <v>105.63</v>
      </c>
      <c r="N546" s="2" t="s">
        <v>21</v>
      </c>
      <c r="O546" s="3" t="s">
        <v>63</v>
      </c>
    </row>
    <row r="547" spans="1:15" x14ac:dyDescent="0.35">
      <c r="A547" s="4">
        <v>45372</v>
      </c>
      <c r="B547" s="2" t="s">
        <v>1043</v>
      </c>
      <c r="D547" s="2" t="s">
        <v>58</v>
      </c>
      <c r="E547" s="2" t="s">
        <v>325</v>
      </c>
      <c r="F547" s="5" t="str">
        <f t="shared" si="37"/>
        <v>012-0003-785867 BRICOLAJE BRICOMAN SL</v>
      </c>
      <c r="G547" s="12">
        <f t="shared" si="42"/>
        <v>32</v>
      </c>
      <c r="H547">
        <v>21</v>
      </c>
      <c r="I547" s="5">
        <f t="shared" ref="I547:I610" si="45">G547*H547/100</f>
        <v>6.72</v>
      </c>
      <c r="J547" s="5">
        <f t="shared" si="43"/>
        <v>32</v>
      </c>
      <c r="L547" s="5">
        <f t="shared" si="44"/>
        <v>0</v>
      </c>
      <c r="M547" s="8">
        <v>38.72</v>
      </c>
      <c r="N547" s="2" t="s">
        <v>21</v>
      </c>
      <c r="O547" s="3" t="s">
        <v>63</v>
      </c>
    </row>
    <row r="548" spans="1:15" x14ac:dyDescent="0.35">
      <c r="A548" s="4">
        <v>45372</v>
      </c>
      <c r="B548" s="2" t="s">
        <v>1044</v>
      </c>
      <c r="D548" s="2" t="s">
        <v>58</v>
      </c>
      <c r="E548" s="2" t="s">
        <v>325</v>
      </c>
      <c r="F548" s="5" t="str">
        <f t="shared" si="37"/>
        <v>012-0003-785841 BRICOLAJE BRICOMAN SL</v>
      </c>
      <c r="G548" s="12">
        <f t="shared" si="42"/>
        <v>46.710743801652896</v>
      </c>
      <c r="H548">
        <v>21</v>
      </c>
      <c r="I548" s="5">
        <f t="shared" si="45"/>
        <v>9.8092561983471072</v>
      </c>
      <c r="J548" s="5">
        <f t="shared" si="43"/>
        <v>46.710743801652896</v>
      </c>
      <c r="L548" s="5">
        <f t="shared" si="44"/>
        <v>0</v>
      </c>
      <c r="M548" s="8">
        <v>56.52</v>
      </c>
      <c r="N548" s="2" t="s">
        <v>21</v>
      </c>
      <c r="O548" s="3" t="s">
        <v>63</v>
      </c>
    </row>
    <row r="549" spans="1:15" x14ac:dyDescent="0.35">
      <c r="A549" s="4">
        <v>45371</v>
      </c>
      <c r="B549" s="2" t="s">
        <v>1045</v>
      </c>
      <c r="D549" s="2" t="s">
        <v>94</v>
      </c>
      <c r="E549" s="2" t="s">
        <v>139</v>
      </c>
      <c r="F549" s="5" t="str">
        <f t="shared" si="37"/>
        <v>00002-2024/A0101/00002260 BIGMAT</v>
      </c>
      <c r="G549" s="12">
        <f t="shared" si="42"/>
        <v>8.3884297520661164</v>
      </c>
      <c r="H549">
        <v>21</v>
      </c>
      <c r="I549" s="5">
        <f t="shared" si="45"/>
        <v>1.7615702479338844</v>
      </c>
      <c r="J549" s="5">
        <f t="shared" si="43"/>
        <v>8.3884297520661164</v>
      </c>
      <c r="L549" s="5">
        <f t="shared" si="44"/>
        <v>0</v>
      </c>
      <c r="M549" s="8">
        <v>10.15</v>
      </c>
      <c r="N549" s="2" t="s">
        <v>21</v>
      </c>
      <c r="O549" s="3" t="s">
        <v>63</v>
      </c>
    </row>
    <row r="550" spans="1:15" x14ac:dyDescent="0.35">
      <c r="A550" s="4">
        <v>45371</v>
      </c>
      <c r="B550" s="2" t="s">
        <v>1046</v>
      </c>
      <c r="D550" s="2" t="s">
        <v>94</v>
      </c>
      <c r="E550" s="2" t="s">
        <v>139</v>
      </c>
      <c r="F550" s="5" t="str">
        <f t="shared" si="37"/>
        <v>00002-2024/A0103/00005906 BIGMAT</v>
      </c>
      <c r="G550" s="12">
        <f t="shared" si="42"/>
        <v>25.760330578512399</v>
      </c>
      <c r="H550">
        <v>21</v>
      </c>
      <c r="I550" s="5">
        <f t="shared" si="45"/>
        <v>5.409669421487604</v>
      </c>
      <c r="J550" s="5">
        <f t="shared" si="43"/>
        <v>25.760330578512399</v>
      </c>
      <c r="L550" s="5">
        <f t="shared" si="44"/>
        <v>0</v>
      </c>
      <c r="M550" s="8">
        <v>31.17</v>
      </c>
      <c r="N550" s="2" t="s">
        <v>21</v>
      </c>
      <c r="O550" s="3" t="s">
        <v>63</v>
      </c>
    </row>
    <row r="551" spans="1:15" x14ac:dyDescent="0.35">
      <c r="A551" s="4">
        <v>45370</v>
      </c>
      <c r="B551" s="2" t="s">
        <v>1047</v>
      </c>
      <c r="D551" s="2" t="s">
        <v>1048</v>
      </c>
      <c r="E551" s="2" t="s">
        <v>1049</v>
      </c>
      <c r="F551" s="5" t="str">
        <f t="shared" si="37"/>
        <v>RO-1026 LA FUENTE SEGOVIANA</v>
      </c>
      <c r="G551" s="12">
        <f t="shared" si="42"/>
        <v>10.421487603305785</v>
      </c>
      <c r="H551">
        <v>21</v>
      </c>
      <c r="I551" s="5">
        <f t="shared" si="45"/>
        <v>2.188512396694215</v>
      </c>
      <c r="J551" s="5">
        <f t="shared" si="43"/>
        <v>10.421487603305785</v>
      </c>
      <c r="L551" s="5">
        <f t="shared" si="44"/>
        <v>0</v>
      </c>
      <c r="M551" s="8">
        <v>12.61</v>
      </c>
      <c r="N551" s="2" t="s">
        <v>21</v>
      </c>
      <c r="O551" s="3" t="s">
        <v>63</v>
      </c>
    </row>
    <row r="552" spans="1:15" x14ac:dyDescent="0.35">
      <c r="A552" s="4">
        <v>45370</v>
      </c>
      <c r="B552" s="2" t="s">
        <v>1050</v>
      </c>
      <c r="D552" s="2" t="s">
        <v>58</v>
      </c>
      <c r="E552" s="2" t="s">
        <v>325</v>
      </c>
      <c r="F552" s="5" t="str">
        <f t="shared" si="37"/>
        <v>012-0003-779586 BRICOLAJE BRICOMAN SL</v>
      </c>
      <c r="G552" s="12">
        <f t="shared" si="42"/>
        <v>119.58677685950413</v>
      </c>
      <c r="H552">
        <v>21</v>
      </c>
      <c r="I552" s="5">
        <f t="shared" si="45"/>
        <v>25.113223140495865</v>
      </c>
      <c r="J552" s="5">
        <f t="shared" si="43"/>
        <v>119.58677685950413</v>
      </c>
      <c r="L552" s="5">
        <f t="shared" si="44"/>
        <v>0</v>
      </c>
      <c r="M552" s="8">
        <v>144.69999999999999</v>
      </c>
      <c r="N552" s="2" t="s">
        <v>21</v>
      </c>
      <c r="O552" s="3" t="s">
        <v>63</v>
      </c>
    </row>
    <row r="553" spans="1:15" x14ac:dyDescent="0.35">
      <c r="A553" s="4">
        <v>45370</v>
      </c>
      <c r="B553" s="2" t="s">
        <v>1051</v>
      </c>
      <c r="D553" s="2" t="s">
        <v>58</v>
      </c>
      <c r="E553" s="2" t="s">
        <v>325</v>
      </c>
      <c r="F553" s="5" t="str">
        <f t="shared" si="37"/>
        <v>012-0003-779529 BRICOLAJE BRICOMAN SL</v>
      </c>
      <c r="G553" s="12">
        <f t="shared" si="42"/>
        <v>158.28925619834712</v>
      </c>
      <c r="H553">
        <v>21</v>
      </c>
      <c r="I553" s="5">
        <f t="shared" si="45"/>
        <v>33.24074380165289</v>
      </c>
      <c r="J553" s="5">
        <f t="shared" si="43"/>
        <v>158.28925619834712</v>
      </c>
      <c r="L553" s="5">
        <f t="shared" si="44"/>
        <v>0</v>
      </c>
      <c r="M553" s="8">
        <v>191.53</v>
      </c>
      <c r="N553" s="2" t="s">
        <v>21</v>
      </c>
      <c r="O553" s="3" t="s">
        <v>63</v>
      </c>
    </row>
    <row r="554" spans="1:15" x14ac:dyDescent="0.35">
      <c r="A554" s="4">
        <v>45370</v>
      </c>
      <c r="B554" s="2" t="s">
        <v>1052</v>
      </c>
      <c r="D554" s="2" t="s">
        <v>1053</v>
      </c>
      <c r="E554" s="2" t="s">
        <v>1054</v>
      </c>
      <c r="F554" s="5" t="str">
        <f t="shared" si="37"/>
        <v>V24-2421 HERREROCONS MATERIALES SL</v>
      </c>
      <c r="G554" s="12">
        <f t="shared" si="42"/>
        <v>618.10743801652893</v>
      </c>
      <c r="H554">
        <v>21</v>
      </c>
      <c r="I554" s="5">
        <f t="shared" si="45"/>
        <v>129.80256198347107</v>
      </c>
      <c r="J554" s="5">
        <f t="shared" si="43"/>
        <v>618.10743801652893</v>
      </c>
      <c r="L554" s="5">
        <f t="shared" si="44"/>
        <v>0</v>
      </c>
      <c r="M554" s="8">
        <v>747.91</v>
      </c>
      <c r="N554" s="2" t="s">
        <v>21</v>
      </c>
      <c r="O554" s="3" t="s">
        <v>63</v>
      </c>
    </row>
    <row r="555" spans="1:15" x14ac:dyDescent="0.35">
      <c r="A555" s="4">
        <v>45369</v>
      </c>
      <c r="B555" s="2" t="s">
        <v>1055</v>
      </c>
      <c r="D555" s="2" t="s">
        <v>58</v>
      </c>
      <c r="E555" s="2" t="s">
        <v>325</v>
      </c>
      <c r="F555" s="5" t="str">
        <f t="shared" si="37"/>
        <v>012-0003-775643 BRICOLAJE BRICOMAN SL</v>
      </c>
      <c r="G555" s="12">
        <f t="shared" si="42"/>
        <v>135.39669421487605</v>
      </c>
      <c r="H555">
        <v>21</v>
      </c>
      <c r="I555" s="5">
        <f t="shared" si="45"/>
        <v>28.43330578512397</v>
      </c>
      <c r="J555" s="5">
        <f t="shared" si="43"/>
        <v>135.39669421487605</v>
      </c>
      <c r="L555" s="5">
        <f t="shared" si="44"/>
        <v>0</v>
      </c>
      <c r="M555" s="8">
        <v>163.83000000000001</v>
      </c>
      <c r="N555" s="2" t="s">
        <v>21</v>
      </c>
      <c r="O555" s="3" t="s">
        <v>63</v>
      </c>
    </row>
    <row r="556" spans="1:15" x14ac:dyDescent="0.35">
      <c r="A556" s="4">
        <v>45370</v>
      </c>
      <c r="B556" s="2" t="s">
        <v>1056</v>
      </c>
      <c r="D556" s="2" t="s">
        <v>94</v>
      </c>
      <c r="E556" s="2" t="s">
        <v>139</v>
      </c>
      <c r="F556" s="5" t="str">
        <f t="shared" si="37"/>
        <v>00002-2024/A0102/00001375 BIGMAT</v>
      </c>
      <c r="G556" s="12">
        <f t="shared" si="42"/>
        <v>118.96694214876032</v>
      </c>
      <c r="H556">
        <v>21</v>
      </c>
      <c r="I556" s="5">
        <f t="shared" si="45"/>
        <v>24.983057851239668</v>
      </c>
      <c r="J556" s="5">
        <f t="shared" si="43"/>
        <v>118.96694214876032</v>
      </c>
      <c r="L556" s="5">
        <f t="shared" si="44"/>
        <v>0</v>
      </c>
      <c r="M556" s="8">
        <v>143.94999999999999</v>
      </c>
      <c r="N556" s="2" t="s">
        <v>21</v>
      </c>
      <c r="O556" s="3" t="s">
        <v>63</v>
      </c>
    </row>
    <row r="557" spans="1:15" x14ac:dyDescent="0.35">
      <c r="A557" s="4">
        <v>45369</v>
      </c>
      <c r="B557" s="2" t="s">
        <v>1057</v>
      </c>
      <c r="D557" s="2" t="s">
        <v>149</v>
      </c>
      <c r="E557" s="2" t="s">
        <v>150</v>
      </c>
      <c r="F557" s="5" t="str">
        <f t="shared" si="37"/>
        <v>A/3316 TUBOS PARIS</v>
      </c>
      <c r="G557" s="12">
        <f t="shared" si="42"/>
        <v>201.9917355371901</v>
      </c>
      <c r="H557">
        <v>21</v>
      </c>
      <c r="I557" s="5">
        <f t="shared" si="45"/>
        <v>42.418264462809923</v>
      </c>
      <c r="J557" s="5">
        <f t="shared" si="43"/>
        <v>201.9917355371901</v>
      </c>
      <c r="L557" s="5">
        <f t="shared" si="44"/>
        <v>0</v>
      </c>
      <c r="M557" s="8">
        <v>244.41</v>
      </c>
      <c r="N557" s="2" t="s">
        <v>21</v>
      </c>
      <c r="O557" s="3" t="s">
        <v>63</v>
      </c>
    </row>
    <row r="558" spans="1:15" x14ac:dyDescent="0.35">
      <c r="A558" s="4">
        <v>45358</v>
      </c>
      <c r="B558" s="2" t="s">
        <v>1058</v>
      </c>
      <c r="D558" s="2" t="s">
        <v>35</v>
      </c>
      <c r="E558" s="2" t="s">
        <v>167</v>
      </c>
      <c r="F558" s="5" t="str">
        <f t="shared" si="37"/>
        <v>0240003675 PINTODIS SL</v>
      </c>
      <c r="G558" s="12">
        <f t="shared" si="42"/>
        <v>41.32231404958678</v>
      </c>
      <c r="H558">
        <v>21</v>
      </c>
      <c r="I558" s="5">
        <f t="shared" si="45"/>
        <v>8.677685950413224</v>
      </c>
      <c r="J558" s="5">
        <f t="shared" si="43"/>
        <v>41.32231404958678</v>
      </c>
      <c r="L558" s="5">
        <f t="shared" si="44"/>
        <v>0</v>
      </c>
      <c r="M558" s="8">
        <v>50</v>
      </c>
      <c r="N558" s="2" t="s">
        <v>22</v>
      </c>
      <c r="O558" s="3" t="s">
        <v>64</v>
      </c>
    </row>
    <row r="559" spans="1:15" x14ac:dyDescent="0.35">
      <c r="A559" s="4">
        <v>45365</v>
      </c>
      <c r="B559" s="2" t="s">
        <v>1059</v>
      </c>
      <c r="D559" s="2" t="s">
        <v>58</v>
      </c>
      <c r="E559" s="2" t="s">
        <v>325</v>
      </c>
      <c r="F559" s="5" t="str">
        <f t="shared" si="37"/>
        <v>012-0003-763495 BRICOLAJE BRICOMAN SL</v>
      </c>
      <c r="G559" s="12">
        <f t="shared" si="42"/>
        <v>8.0826446280991728</v>
      </c>
      <c r="H559">
        <v>21</v>
      </c>
      <c r="I559" s="5">
        <f t="shared" si="45"/>
        <v>1.6973553719008263</v>
      </c>
      <c r="J559" s="5">
        <f t="shared" si="43"/>
        <v>8.0826446280991728</v>
      </c>
      <c r="L559" s="5">
        <f t="shared" si="44"/>
        <v>0</v>
      </c>
      <c r="M559" s="8">
        <v>9.7799999999999994</v>
      </c>
      <c r="N559" s="2" t="s">
        <v>21</v>
      </c>
      <c r="O559" s="3" t="s">
        <v>63</v>
      </c>
    </row>
    <row r="560" spans="1:15" x14ac:dyDescent="0.35">
      <c r="A560" s="4">
        <v>45365</v>
      </c>
      <c r="B560" s="2" t="s">
        <v>1060</v>
      </c>
      <c r="D560" s="2" t="s">
        <v>58</v>
      </c>
      <c r="E560" s="2" t="s">
        <v>325</v>
      </c>
      <c r="F560" s="5" t="str">
        <f t="shared" si="37"/>
        <v>012-0003-763282 BRICOLAJE BRICOMAN SL</v>
      </c>
      <c r="G560" s="12">
        <f t="shared" si="42"/>
        <v>33.694214876033058</v>
      </c>
      <c r="H560">
        <v>21</v>
      </c>
      <c r="I560" s="5">
        <f t="shared" si="45"/>
        <v>7.0757851239669423</v>
      </c>
      <c r="J560" s="5">
        <f t="shared" si="43"/>
        <v>33.694214876033058</v>
      </c>
      <c r="L560" s="5">
        <f t="shared" si="44"/>
        <v>0</v>
      </c>
      <c r="M560" s="8">
        <v>40.770000000000003</v>
      </c>
      <c r="N560" s="2" t="s">
        <v>21</v>
      </c>
      <c r="O560" s="3" t="s">
        <v>63</v>
      </c>
    </row>
    <row r="561" spans="1:15" x14ac:dyDescent="0.35">
      <c r="A561" s="4">
        <v>45365</v>
      </c>
      <c r="B561" s="2" t="s">
        <v>1061</v>
      </c>
      <c r="D561" s="2" t="s">
        <v>58</v>
      </c>
      <c r="E561" s="2" t="s">
        <v>325</v>
      </c>
      <c r="F561" s="5" t="str">
        <f t="shared" si="37"/>
        <v>012-0003-763447 BRICOLAJE BRICOMAN SL</v>
      </c>
      <c r="G561" s="12">
        <f t="shared" si="42"/>
        <v>2.3966942148760331</v>
      </c>
      <c r="H561">
        <v>21</v>
      </c>
      <c r="I561" s="5">
        <f t="shared" si="45"/>
        <v>0.50330578512396695</v>
      </c>
      <c r="J561" s="5">
        <f t="shared" si="43"/>
        <v>2.3966942148760331</v>
      </c>
      <c r="L561" s="5">
        <f t="shared" si="44"/>
        <v>0</v>
      </c>
      <c r="M561" s="8">
        <v>2.9</v>
      </c>
      <c r="N561" s="2" t="s">
        <v>21</v>
      </c>
      <c r="O561" s="3" t="s">
        <v>63</v>
      </c>
    </row>
    <row r="562" spans="1:15" x14ac:dyDescent="0.35">
      <c r="A562" s="4">
        <v>45365</v>
      </c>
      <c r="B562" s="2" t="s">
        <v>1062</v>
      </c>
      <c r="D562" s="2" t="s">
        <v>58</v>
      </c>
      <c r="E562" s="2" t="s">
        <v>325</v>
      </c>
      <c r="F562" s="5" t="str">
        <f t="shared" si="37"/>
        <v>012-0003-763038 BRICOLAJE BRICOMAN SL</v>
      </c>
      <c r="G562" s="12">
        <f t="shared" si="42"/>
        <v>101.49586776859505</v>
      </c>
      <c r="H562">
        <v>21</v>
      </c>
      <c r="I562" s="5">
        <f t="shared" si="45"/>
        <v>21.314132231404962</v>
      </c>
      <c r="J562" s="5">
        <f t="shared" si="43"/>
        <v>101.49586776859505</v>
      </c>
      <c r="L562" s="5">
        <f t="shared" si="44"/>
        <v>0</v>
      </c>
      <c r="M562" s="8">
        <v>122.81</v>
      </c>
      <c r="N562" s="2" t="s">
        <v>21</v>
      </c>
      <c r="O562" s="3" t="s">
        <v>63</v>
      </c>
    </row>
    <row r="563" spans="1:15" x14ac:dyDescent="0.35">
      <c r="A563" s="4">
        <v>45364</v>
      </c>
      <c r="B563" s="2" t="s">
        <v>1063</v>
      </c>
      <c r="D563" s="2" t="s">
        <v>58</v>
      </c>
      <c r="E563" s="2" t="s">
        <v>325</v>
      </c>
      <c r="F563" s="5" t="str">
        <f t="shared" si="37"/>
        <v>012-0003-760797 BRICOLAJE BRICOMAN SL</v>
      </c>
      <c r="G563" s="12">
        <f t="shared" si="42"/>
        <v>48.198347107438018</v>
      </c>
      <c r="H563">
        <v>21</v>
      </c>
      <c r="I563" s="5">
        <f t="shared" si="45"/>
        <v>10.121652892561983</v>
      </c>
      <c r="J563" s="5">
        <f t="shared" si="43"/>
        <v>48.198347107438018</v>
      </c>
      <c r="L563" s="5">
        <f t="shared" si="44"/>
        <v>0</v>
      </c>
      <c r="M563" s="8">
        <v>58.32</v>
      </c>
      <c r="N563" s="2" t="s">
        <v>21</v>
      </c>
      <c r="O563" s="3" t="s">
        <v>63</v>
      </c>
    </row>
    <row r="564" spans="1:15" x14ac:dyDescent="0.35">
      <c r="A564" s="4">
        <v>45372</v>
      </c>
      <c r="B564" s="2" t="s">
        <v>1064</v>
      </c>
      <c r="D564" s="2" t="s">
        <v>140</v>
      </c>
      <c r="E564" s="2" t="s">
        <v>141</v>
      </c>
      <c r="F564" s="5" t="str">
        <f t="shared" si="37"/>
        <v>1794 ED OIL</v>
      </c>
      <c r="G564" s="12">
        <f t="shared" si="42"/>
        <v>49.586776859504134</v>
      </c>
      <c r="H564">
        <v>21</v>
      </c>
      <c r="I564" s="5">
        <f t="shared" si="45"/>
        <v>10.413223140495868</v>
      </c>
      <c r="J564" s="5">
        <f t="shared" si="43"/>
        <v>49.586776859504134</v>
      </c>
      <c r="L564" s="5">
        <f t="shared" si="44"/>
        <v>0</v>
      </c>
      <c r="M564" s="8">
        <v>60</v>
      </c>
      <c r="N564" s="2" t="s">
        <v>22</v>
      </c>
      <c r="O564" s="3" t="s">
        <v>63</v>
      </c>
    </row>
    <row r="565" spans="1:15" x14ac:dyDescent="0.35">
      <c r="A565" s="4">
        <v>45364</v>
      </c>
      <c r="B565" s="2" t="s">
        <v>1065</v>
      </c>
      <c r="D565" s="2" t="s">
        <v>60</v>
      </c>
      <c r="E565" s="2" t="s">
        <v>24</v>
      </c>
      <c r="F565" s="5" t="str">
        <f t="shared" si="37"/>
        <v>096622/A/24/000931 REPSOL</v>
      </c>
      <c r="G565" s="12">
        <f t="shared" si="42"/>
        <v>41.32231404958678</v>
      </c>
      <c r="H565">
        <v>21</v>
      </c>
      <c r="I565" s="5">
        <f t="shared" si="45"/>
        <v>8.677685950413224</v>
      </c>
      <c r="J565" s="5">
        <f t="shared" si="43"/>
        <v>41.32231404958678</v>
      </c>
      <c r="L565" s="5">
        <f t="shared" si="44"/>
        <v>0</v>
      </c>
      <c r="M565" s="8">
        <v>50</v>
      </c>
      <c r="N565" s="2" t="s">
        <v>22</v>
      </c>
      <c r="O565" s="3" t="s">
        <v>63</v>
      </c>
    </row>
    <row r="566" spans="1:15" x14ac:dyDescent="0.35">
      <c r="A566" s="4">
        <v>45381</v>
      </c>
      <c r="B566" s="2" t="s">
        <v>1066</v>
      </c>
      <c r="D566" s="2" t="s">
        <v>60</v>
      </c>
      <c r="E566" s="2" t="s">
        <v>24</v>
      </c>
      <c r="F566" s="5" t="str">
        <f t="shared" si="37"/>
        <v>034377/A/24/001703 REPSOL</v>
      </c>
      <c r="G566" s="12">
        <f t="shared" si="42"/>
        <v>16.528925619834713</v>
      </c>
      <c r="H566">
        <v>21</v>
      </c>
      <c r="I566" s="5">
        <f t="shared" si="45"/>
        <v>3.4710743801652897</v>
      </c>
      <c r="J566" s="5">
        <f t="shared" si="43"/>
        <v>16.528925619834713</v>
      </c>
      <c r="L566" s="5">
        <f t="shared" si="44"/>
        <v>0</v>
      </c>
      <c r="M566" s="8">
        <v>20</v>
      </c>
      <c r="N566" s="2" t="s">
        <v>22</v>
      </c>
    </row>
    <row r="567" spans="1:15" x14ac:dyDescent="0.35">
      <c r="A567" s="4">
        <v>45376</v>
      </c>
      <c r="B567" s="2" t="s">
        <v>1067</v>
      </c>
      <c r="D567" s="2" t="s">
        <v>60</v>
      </c>
      <c r="E567" s="2" t="s">
        <v>24</v>
      </c>
      <c r="F567" s="5" t="str">
        <f t="shared" si="37"/>
        <v>096622/A/24/001088 REPSOL</v>
      </c>
      <c r="G567" s="12">
        <f t="shared" si="42"/>
        <v>41.32231404958678</v>
      </c>
      <c r="H567">
        <v>21</v>
      </c>
      <c r="I567" s="5">
        <f t="shared" si="45"/>
        <v>8.677685950413224</v>
      </c>
      <c r="J567" s="5">
        <f t="shared" si="43"/>
        <v>41.32231404958678</v>
      </c>
      <c r="L567" s="5">
        <f t="shared" si="44"/>
        <v>0</v>
      </c>
      <c r="M567" s="8">
        <v>50</v>
      </c>
      <c r="N567" s="2" t="s">
        <v>22</v>
      </c>
      <c r="O567" s="3" t="s">
        <v>63</v>
      </c>
    </row>
    <row r="568" spans="1:15" x14ac:dyDescent="0.35">
      <c r="A568" s="4">
        <v>45381</v>
      </c>
      <c r="B568" s="2" t="s">
        <v>1068</v>
      </c>
      <c r="D568" s="2" t="s">
        <v>100</v>
      </c>
      <c r="E568" s="2" t="s">
        <v>241</v>
      </c>
      <c r="F568" s="5" t="str">
        <f t="shared" si="37"/>
        <v>10110323 E.S. RACHELO</v>
      </c>
      <c r="G568" s="12">
        <f t="shared" si="42"/>
        <v>14.884297520661159</v>
      </c>
      <c r="H568">
        <v>21</v>
      </c>
      <c r="I568" s="5">
        <f t="shared" si="45"/>
        <v>3.1257024793388433</v>
      </c>
      <c r="J568" s="5">
        <f t="shared" si="43"/>
        <v>14.884297520661159</v>
      </c>
      <c r="L568" s="5">
        <f t="shared" si="44"/>
        <v>0</v>
      </c>
      <c r="M568" s="8">
        <v>18.010000000000002</v>
      </c>
      <c r="N568" s="2" t="s">
        <v>22</v>
      </c>
    </row>
    <row r="569" spans="1:15" x14ac:dyDescent="0.35">
      <c r="A569" s="4">
        <v>45360</v>
      </c>
      <c r="B569" s="2" t="s">
        <v>1069</v>
      </c>
      <c r="D569" s="2" t="s">
        <v>593</v>
      </c>
      <c r="E569" s="2" t="s">
        <v>594</v>
      </c>
      <c r="F569" s="5" t="str">
        <f t="shared" si="37"/>
        <v>00210021202403000273 MC DONALD`S</v>
      </c>
      <c r="G569" s="12">
        <f t="shared" si="42"/>
        <v>17.563636363636363</v>
      </c>
      <c r="H569">
        <v>10</v>
      </c>
      <c r="I569" s="5">
        <f t="shared" si="45"/>
        <v>1.7563636363636363</v>
      </c>
      <c r="J569" s="5">
        <f t="shared" si="43"/>
        <v>17.563636363636363</v>
      </c>
      <c r="L569" s="5">
        <f t="shared" si="44"/>
        <v>0</v>
      </c>
      <c r="M569" s="8">
        <v>19.32</v>
      </c>
      <c r="N569" s="2" t="s">
        <v>28</v>
      </c>
      <c r="O569" s="3" t="s">
        <v>63</v>
      </c>
    </row>
    <row r="570" spans="1:15" x14ac:dyDescent="0.35">
      <c r="A570" s="4">
        <v>45360</v>
      </c>
      <c r="B570" s="2" t="s">
        <v>1070</v>
      </c>
      <c r="D570" s="2" t="s">
        <v>593</v>
      </c>
      <c r="E570" s="2" t="s">
        <v>594</v>
      </c>
      <c r="F570" s="5" t="str">
        <f t="shared" si="37"/>
        <v>00210022202403000367 MC DONALD`S</v>
      </c>
      <c r="G570" s="12">
        <f t="shared" si="42"/>
        <v>11.018181818181816</v>
      </c>
      <c r="H570">
        <v>10</v>
      </c>
      <c r="I570" s="5">
        <f t="shared" si="45"/>
        <v>1.1018181818181816</v>
      </c>
      <c r="J570" s="5">
        <f t="shared" si="43"/>
        <v>11.018181818181816</v>
      </c>
      <c r="L570" s="5">
        <f t="shared" si="44"/>
        <v>0</v>
      </c>
      <c r="M570" s="8">
        <v>12.12</v>
      </c>
      <c r="N570" s="2" t="s">
        <v>28</v>
      </c>
      <c r="O570" s="3" t="s">
        <v>63</v>
      </c>
    </row>
    <row r="571" spans="1:15" x14ac:dyDescent="0.35">
      <c r="A571" s="4">
        <v>45368</v>
      </c>
      <c r="B571" s="2" t="s">
        <v>1071</v>
      </c>
      <c r="D571" s="2" t="s">
        <v>49</v>
      </c>
      <c r="E571" s="2" t="s">
        <v>124</v>
      </c>
      <c r="F571" s="5" t="str">
        <f t="shared" si="37"/>
        <v>003720024/00000790 CIA ESPAÑOLA DIST PETROLEOS</v>
      </c>
      <c r="G571" s="12">
        <f t="shared" si="42"/>
        <v>46.735537190082646</v>
      </c>
      <c r="H571">
        <v>21</v>
      </c>
      <c r="I571" s="5">
        <f t="shared" si="45"/>
        <v>9.8144628099173552</v>
      </c>
      <c r="J571" s="5">
        <f t="shared" si="43"/>
        <v>46.735537190082646</v>
      </c>
      <c r="L571" s="5">
        <f t="shared" si="44"/>
        <v>0</v>
      </c>
      <c r="M571" s="8">
        <v>56.55</v>
      </c>
      <c r="N571" s="2" t="s">
        <v>22</v>
      </c>
      <c r="O571" s="3" t="s">
        <v>63</v>
      </c>
    </row>
    <row r="572" spans="1:15" x14ac:dyDescent="0.35">
      <c r="A572" s="4">
        <v>45366</v>
      </c>
      <c r="B572" s="2" t="s">
        <v>1072</v>
      </c>
      <c r="D572" s="2" t="s">
        <v>77</v>
      </c>
      <c r="E572" s="2" t="s">
        <v>151</v>
      </c>
      <c r="F572" s="5" t="str">
        <f t="shared" si="37"/>
        <v>24FAS001048 E.S. SESEÑA</v>
      </c>
      <c r="G572" s="12">
        <f t="shared" si="42"/>
        <v>68.619834710743802</v>
      </c>
      <c r="H572">
        <v>21</v>
      </c>
      <c r="I572" s="5">
        <f t="shared" si="45"/>
        <v>14.410165289256199</v>
      </c>
      <c r="J572" s="5">
        <f t="shared" si="43"/>
        <v>68.619834710743802</v>
      </c>
      <c r="L572" s="5">
        <f t="shared" si="44"/>
        <v>0</v>
      </c>
      <c r="M572" s="8">
        <v>83.03</v>
      </c>
      <c r="N572" s="2" t="s">
        <v>22</v>
      </c>
      <c r="O572" s="3" t="s">
        <v>63</v>
      </c>
    </row>
    <row r="573" spans="1:15" x14ac:dyDescent="0.35">
      <c r="A573" s="4">
        <v>45379</v>
      </c>
      <c r="B573" s="2" t="s">
        <v>1073</v>
      </c>
      <c r="D573" s="2" t="s">
        <v>100</v>
      </c>
      <c r="E573" s="2" t="s">
        <v>241</v>
      </c>
      <c r="F573" s="5" t="str">
        <f t="shared" si="37"/>
        <v>10110316 E.S. RACHELO</v>
      </c>
      <c r="G573" s="12">
        <f t="shared" si="42"/>
        <v>16.528925619834713</v>
      </c>
      <c r="H573">
        <v>21</v>
      </c>
      <c r="I573" s="5">
        <f t="shared" si="45"/>
        <v>3.4710743801652897</v>
      </c>
      <c r="J573" s="5">
        <f t="shared" si="43"/>
        <v>16.528925619834713</v>
      </c>
      <c r="L573" s="5">
        <f t="shared" si="44"/>
        <v>0</v>
      </c>
      <c r="M573" s="8">
        <v>20</v>
      </c>
      <c r="N573" s="2" t="s">
        <v>22</v>
      </c>
      <c r="O573" s="3" t="s">
        <v>63</v>
      </c>
    </row>
    <row r="574" spans="1:15" x14ac:dyDescent="0.35">
      <c r="A574" s="4">
        <v>45359</v>
      </c>
      <c r="B574" s="2" t="s">
        <v>1074</v>
      </c>
      <c r="D574" s="2" t="s">
        <v>66</v>
      </c>
      <c r="E574" s="2" t="s">
        <v>193</v>
      </c>
      <c r="F574" s="5" t="str">
        <f t="shared" si="37"/>
        <v>22724FE000003877 MARKOIL</v>
      </c>
      <c r="G574" s="12">
        <f t="shared" si="42"/>
        <v>11.677685950413224</v>
      </c>
      <c r="H574">
        <v>21</v>
      </c>
      <c r="I574" s="5">
        <f t="shared" si="45"/>
        <v>2.4523140495867768</v>
      </c>
      <c r="J574" s="5">
        <f t="shared" si="43"/>
        <v>11.677685950413224</v>
      </c>
      <c r="L574" s="5">
        <f t="shared" si="44"/>
        <v>0</v>
      </c>
      <c r="M574" s="8">
        <v>14.13</v>
      </c>
      <c r="N574" s="2" t="s">
        <v>22</v>
      </c>
      <c r="O574" s="3" t="s">
        <v>63</v>
      </c>
    </row>
    <row r="575" spans="1:15" x14ac:dyDescent="0.35">
      <c r="A575" s="4">
        <v>45369</v>
      </c>
      <c r="B575" s="2" t="s">
        <v>1075</v>
      </c>
      <c r="D575" s="2" t="s">
        <v>593</v>
      </c>
      <c r="E575" s="2" t="s">
        <v>594</v>
      </c>
      <c r="F575" s="5" t="str">
        <f t="shared" si="37"/>
        <v>00210023202403000376 MC DONALD`S</v>
      </c>
      <c r="G575" s="12">
        <f t="shared" si="42"/>
        <v>25.490909090909089</v>
      </c>
      <c r="H575">
        <v>10</v>
      </c>
      <c r="I575" s="5">
        <f t="shared" si="45"/>
        <v>2.5490909090909089</v>
      </c>
      <c r="J575" s="5">
        <f t="shared" si="43"/>
        <v>25.490909090909089</v>
      </c>
      <c r="L575" s="5">
        <f t="shared" si="44"/>
        <v>0</v>
      </c>
      <c r="M575" s="8">
        <v>28.04</v>
      </c>
      <c r="N575" s="2" t="s">
        <v>28</v>
      </c>
      <c r="O575" s="3" t="s">
        <v>63</v>
      </c>
    </row>
    <row r="576" spans="1:15" x14ac:dyDescent="0.35">
      <c r="A576" s="4">
        <v>45370</v>
      </c>
      <c r="B576" s="2" t="s">
        <v>1076</v>
      </c>
      <c r="D576" s="2" t="s">
        <v>174</v>
      </c>
      <c r="E576" s="2" t="s">
        <v>557</v>
      </c>
      <c r="F576" s="5" t="str">
        <f t="shared" si="37"/>
        <v>1-6391 CARLA`S JR</v>
      </c>
      <c r="G576" s="12">
        <f t="shared" si="42"/>
        <v>13.136363636363635</v>
      </c>
      <c r="H576">
        <v>10</v>
      </c>
      <c r="I576" s="5">
        <f t="shared" si="45"/>
        <v>1.3136363636363635</v>
      </c>
      <c r="J576" s="5">
        <f t="shared" si="43"/>
        <v>13.136363636363635</v>
      </c>
      <c r="L576" s="5">
        <f t="shared" si="44"/>
        <v>0</v>
      </c>
      <c r="M576" s="8">
        <v>14.45</v>
      </c>
      <c r="N576" s="2" t="s">
        <v>28</v>
      </c>
      <c r="O576" s="3" t="s">
        <v>63</v>
      </c>
    </row>
    <row r="577" spans="1:15" x14ac:dyDescent="0.35">
      <c r="A577" s="4">
        <v>45378</v>
      </c>
      <c r="B577" s="2" t="s">
        <v>1077</v>
      </c>
      <c r="D577" s="2" t="s">
        <v>1078</v>
      </c>
      <c r="E577" s="2" t="s">
        <v>594</v>
      </c>
      <c r="F577" s="5" t="str">
        <f t="shared" si="37"/>
        <v>00336023202403001402 MC DONALD`S</v>
      </c>
      <c r="G577" s="12">
        <f t="shared" si="42"/>
        <v>15.572727272727271</v>
      </c>
      <c r="H577">
        <v>10</v>
      </c>
      <c r="I577" s="5">
        <f t="shared" si="45"/>
        <v>1.5572727272727269</v>
      </c>
      <c r="J577" s="5">
        <f t="shared" si="43"/>
        <v>15.572727272727271</v>
      </c>
      <c r="L577" s="5">
        <f t="shared" si="44"/>
        <v>0</v>
      </c>
      <c r="M577" s="8">
        <v>17.13</v>
      </c>
      <c r="N577" s="2" t="s">
        <v>28</v>
      </c>
      <c r="O577" s="3" t="s">
        <v>63</v>
      </c>
    </row>
    <row r="578" spans="1:15" x14ac:dyDescent="0.35">
      <c r="A578" s="4">
        <v>45378</v>
      </c>
      <c r="B578" s="2" t="s">
        <v>1079</v>
      </c>
      <c r="D578" s="2" t="s">
        <v>60</v>
      </c>
      <c r="E578" s="2" t="s">
        <v>24</v>
      </c>
      <c r="F578" s="5" t="str">
        <f t="shared" si="37"/>
        <v>096792/A/24/000325 REPSOL</v>
      </c>
      <c r="G578" s="12">
        <f t="shared" si="42"/>
        <v>73.553719008264466</v>
      </c>
      <c r="H578">
        <v>21</v>
      </c>
      <c r="I578" s="5">
        <f t="shared" si="45"/>
        <v>15.44628099173554</v>
      </c>
      <c r="J578" s="5">
        <f t="shared" si="43"/>
        <v>73.553719008264466</v>
      </c>
      <c r="L578" s="5">
        <f t="shared" si="44"/>
        <v>0</v>
      </c>
      <c r="M578" s="8">
        <v>89</v>
      </c>
      <c r="N578" s="2" t="s">
        <v>22</v>
      </c>
      <c r="O578" s="3" t="s">
        <v>63</v>
      </c>
    </row>
    <row r="579" spans="1:15" x14ac:dyDescent="0.35">
      <c r="A579" s="4">
        <v>45377</v>
      </c>
      <c r="B579" s="2" t="s">
        <v>1080</v>
      </c>
      <c r="D579" s="2" t="s">
        <v>801</v>
      </c>
      <c r="E579" s="2" t="s">
        <v>250</v>
      </c>
      <c r="F579" s="5" t="str">
        <f t="shared" si="37"/>
        <v>T-273502 RESTAURANTE LAS MEZQUITAS</v>
      </c>
      <c r="G579" s="12">
        <f t="shared" si="42"/>
        <v>9.545454545454545</v>
      </c>
      <c r="H579">
        <v>10</v>
      </c>
      <c r="I579" s="5">
        <f t="shared" si="45"/>
        <v>0.95454545454545459</v>
      </c>
      <c r="J579" s="5">
        <f t="shared" si="43"/>
        <v>9.545454545454545</v>
      </c>
      <c r="L579" s="5">
        <f t="shared" si="44"/>
        <v>0</v>
      </c>
      <c r="M579" s="8">
        <v>10.5</v>
      </c>
      <c r="N579" s="2" t="s">
        <v>28</v>
      </c>
      <c r="O579" s="3" t="s">
        <v>63</v>
      </c>
    </row>
    <row r="580" spans="1:15" x14ac:dyDescent="0.35">
      <c r="A580" s="4">
        <v>45362</v>
      </c>
      <c r="B580" s="2" t="s">
        <v>1081</v>
      </c>
      <c r="D580" s="2" t="s">
        <v>1082</v>
      </c>
      <c r="E580" s="2" t="s">
        <v>1083</v>
      </c>
      <c r="F580" s="5" t="str">
        <f t="shared" si="37"/>
        <v>t-3192-1 f2-00005222 GARITO EL GARITO</v>
      </c>
      <c r="G580" s="12">
        <f t="shared" si="42"/>
        <v>8.6363636363636349</v>
      </c>
      <c r="H580">
        <v>10</v>
      </c>
      <c r="I580" s="5">
        <f t="shared" si="45"/>
        <v>0.86363636363636342</v>
      </c>
      <c r="J580" s="5">
        <f t="shared" si="43"/>
        <v>8.6363636363636349</v>
      </c>
      <c r="L580" s="5">
        <f t="shared" si="44"/>
        <v>0</v>
      </c>
      <c r="M580" s="8">
        <v>9.5</v>
      </c>
      <c r="N580" s="2" t="s">
        <v>28</v>
      </c>
      <c r="O580" s="3" t="s">
        <v>63</v>
      </c>
    </row>
    <row r="581" spans="1:15" x14ac:dyDescent="0.35">
      <c r="A581" s="4">
        <v>45363</v>
      </c>
      <c r="B581" s="2" t="s">
        <v>1084</v>
      </c>
      <c r="D581" s="2" t="s">
        <v>30</v>
      </c>
      <c r="E581" s="2" t="s">
        <v>172</v>
      </c>
      <c r="F581" s="5" t="str">
        <f t="shared" si="37"/>
        <v>24ft000274 OLIVAR ALTO</v>
      </c>
      <c r="G581" s="12">
        <f t="shared" si="42"/>
        <v>41.32231404958678</v>
      </c>
      <c r="H581">
        <v>21</v>
      </c>
      <c r="I581" s="5">
        <f t="shared" si="45"/>
        <v>8.677685950413224</v>
      </c>
      <c r="J581" s="5">
        <f t="shared" si="43"/>
        <v>41.32231404958678</v>
      </c>
      <c r="L581" s="5">
        <f t="shared" si="44"/>
        <v>0</v>
      </c>
      <c r="M581" s="8">
        <v>50</v>
      </c>
      <c r="N581" s="2" t="s">
        <v>22</v>
      </c>
      <c r="O581" s="3" t="s">
        <v>63</v>
      </c>
    </row>
    <row r="582" spans="1:15" x14ac:dyDescent="0.35">
      <c r="A582" s="4">
        <v>45373</v>
      </c>
      <c r="B582" s="2" t="s">
        <v>1085</v>
      </c>
      <c r="D582" s="2" t="s">
        <v>584</v>
      </c>
      <c r="E582" s="2" t="s">
        <v>242</v>
      </c>
      <c r="F582" s="5" t="str">
        <f t="shared" si="37"/>
        <v>T-7889 RESTAURANTE LA SALA</v>
      </c>
      <c r="G582" s="12">
        <f t="shared" si="42"/>
        <v>10.272727272727273</v>
      </c>
      <c r="H582">
        <v>10</v>
      </c>
      <c r="I582" s="5">
        <f t="shared" si="45"/>
        <v>1.0272727272727273</v>
      </c>
      <c r="J582" s="5">
        <f t="shared" si="43"/>
        <v>10.272727272727273</v>
      </c>
      <c r="L582" s="5">
        <f t="shared" si="44"/>
        <v>0</v>
      </c>
      <c r="M582" s="8">
        <v>11.3</v>
      </c>
      <c r="N582" s="2" t="s">
        <v>28</v>
      </c>
      <c r="O582" s="3" t="s">
        <v>63</v>
      </c>
    </row>
    <row r="583" spans="1:15" x14ac:dyDescent="0.35">
      <c r="A583" s="4">
        <v>45360</v>
      </c>
      <c r="B583" s="2" t="s">
        <v>1086</v>
      </c>
      <c r="D583" s="2" t="s">
        <v>1087</v>
      </c>
      <c r="E583" s="2" t="s">
        <v>1088</v>
      </c>
      <c r="F583" s="5" t="str">
        <f t="shared" si="37"/>
        <v>320426/T-320051 LA LABRANZA</v>
      </c>
      <c r="G583" s="12">
        <f t="shared" si="42"/>
        <v>22.909090909090907</v>
      </c>
      <c r="H583">
        <v>10</v>
      </c>
      <c r="I583" s="5">
        <f t="shared" si="45"/>
        <v>2.2909090909090906</v>
      </c>
      <c r="J583" s="5">
        <f t="shared" si="43"/>
        <v>22.909090909090907</v>
      </c>
      <c r="L583" s="5">
        <f t="shared" si="44"/>
        <v>0</v>
      </c>
      <c r="M583" s="8">
        <v>25.2</v>
      </c>
      <c r="N583" s="2" t="s">
        <v>28</v>
      </c>
      <c r="O583" s="3" t="s">
        <v>63</v>
      </c>
    </row>
    <row r="584" spans="1:15" x14ac:dyDescent="0.35">
      <c r="A584" s="4">
        <v>45327</v>
      </c>
      <c r="B584" s="2" t="s">
        <v>1089</v>
      </c>
      <c r="D584" s="2" t="s">
        <v>272</v>
      </c>
      <c r="E584" s="2" t="s">
        <v>376</v>
      </c>
      <c r="F584" s="5" t="str">
        <f t="shared" si="37"/>
        <v>FT124/304 MANGAMAT MATERIALES DE CONSTR.</v>
      </c>
      <c r="G584" s="12">
        <f t="shared" si="42"/>
        <v>45.983471074380169</v>
      </c>
      <c r="H584">
        <v>21</v>
      </c>
      <c r="I584" s="5">
        <f t="shared" si="45"/>
        <v>9.6565289256198348</v>
      </c>
      <c r="J584" s="5">
        <f t="shared" si="43"/>
        <v>45.983471074380169</v>
      </c>
      <c r="L584" s="5">
        <f t="shared" si="44"/>
        <v>0</v>
      </c>
      <c r="M584" s="8">
        <v>55.64</v>
      </c>
      <c r="N584" s="2" t="s">
        <v>21</v>
      </c>
      <c r="O584" s="3" t="s">
        <v>64</v>
      </c>
    </row>
    <row r="585" spans="1:15" x14ac:dyDescent="0.35">
      <c r="A585" s="4">
        <v>45337</v>
      </c>
      <c r="B585" s="2" t="s">
        <v>1090</v>
      </c>
      <c r="D585" s="2" t="s">
        <v>962</v>
      </c>
      <c r="E585" s="2" t="s">
        <v>963</v>
      </c>
      <c r="F585" s="5" t="str">
        <f t="shared" si="37"/>
        <v>240000200 MC BRICOESCORIAL SL</v>
      </c>
      <c r="G585" s="12">
        <f t="shared" si="42"/>
        <v>17.396694214876035</v>
      </c>
      <c r="H585">
        <v>21</v>
      </c>
      <c r="I585" s="5">
        <f t="shared" si="45"/>
        <v>3.6533057851239676</v>
      </c>
      <c r="J585" s="5">
        <f t="shared" si="43"/>
        <v>17.396694214876035</v>
      </c>
      <c r="L585" s="5">
        <f t="shared" si="44"/>
        <v>0</v>
      </c>
      <c r="M585" s="8">
        <v>21.05</v>
      </c>
      <c r="N585" s="2" t="s">
        <v>21</v>
      </c>
      <c r="O585" s="3" t="s">
        <v>64</v>
      </c>
    </row>
    <row r="586" spans="1:15" x14ac:dyDescent="0.35">
      <c r="A586" s="4">
        <v>45376</v>
      </c>
      <c r="B586" s="2" t="s">
        <v>1091</v>
      </c>
      <c r="D586" s="2" t="s">
        <v>1092</v>
      </c>
      <c r="E586" s="2" t="s">
        <v>1093</v>
      </c>
      <c r="F586" s="5" t="str">
        <f t="shared" si="37"/>
        <v>402703332 SUMINISTROS ELECTRICOS GUARCONSA</v>
      </c>
      <c r="G586" s="12">
        <f t="shared" si="42"/>
        <v>588.90909090909099</v>
      </c>
      <c r="H586">
        <v>21</v>
      </c>
      <c r="I586" s="5">
        <f t="shared" si="45"/>
        <v>123.67090909090912</v>
      </c>
      <c r="J586" s="5">
        <f t="shared" si="43"/>
        <v>588.90909090909099</v>
      </c>
      <c r="L586" s="5">
        <f t="shared" si="44"/>
        <v>0</v>
      </c>
      <c r="M586" s="8">
        <v>712.58</v>
      </c>
      <c r="N586" s="2" t="s">
        <v>21</v>
      </c>
      <c r="O586" s="3" t="s">
        <v>63</v>
      </c>
    </row>
    <row r="587" spans="1:15" x14ac:dyDescent="0.35">
      <c r="A587" s="4">
        <v>45376</v>
      </c>
      <c r="B587" s="2" t="s">
        <v>1094</v>
      </c>
      <c r="D587" s="2" t="s">
        <v>58</v>
      </c>
      <c r="E587" s="2" t="s">
        <v>325</v>
      </c>
      <c r="F587" s="5" t="str">
        <f t="shared" si="37"/>
        <v>012-0003-796697 BRICOLAJE BRICOMAN SL</v>
      </c>
      <c r="G587" s="12">
        <f t="shared" si="42"/>
        <v>99.132231404958688</v>
      </c>
      <c r="H587">
        <v>21</v>
      </c>
      <c r="I587" s="5">
        <f t="shared" si="45"/>
        <v>20.817768595041326</v>
      </c>
      <c r="J587" s="5">
        <f t="shared" si="43"/>
        <v>99.132231404958688</v>
      </c>
      <c r="L587" s="5">
        <f t="shared" si="44"/>
        <v>0</v>
      </c>
      <c r="M587" s="8">
        <v>119.95</v>
      </c>
      <c r="N587" s="2" t="s">
        <v>21</v>
      </c>
      <c r="O587" s="3" t="s">
        <v>63</v>
      </c>
    </row>
    <row r="588" spans="1:15" x14ac:dyDescent="0.35">
      <c r="A588" s="4">
        <v>45324</v>
      </c>
      <c r="B588" s="2" t="s">
        <v>1095</v>
      </c>
      <c r="D588" s="2" t="s">
        <v>272</v>
      </c>
      <c r="E588" s="2" t="s">
        <v>376</v>
      </c>
      <c r="F588" s="5" t="str">
        <f t="shared" si="37"/>
        <v>FT124/289 MANGAMAT MATERIALES DE CONSTR.</v>
      </c>
      <c r="G588" s="12">
        <f t="shared" si="42"/>
        <v>124.9504132231405</v>
      </c>
      <c r="H588">
        <v>21</v>
      </c>
      <c r="I588" s="5">
        <f t="shared" si="45"/>
        <v>26.239586776859504</v>
      </c>
      <c r="J588" s="5">
        <f t="shared" si="43"/>
        <v>124.9504132231405</v>
      </c>
      <c r="L588" s="5">
        <f t="shared" si="44"/>
        <v>0</v>
      </c>
      <c r="M588" s="8">
        <v>151.19</v>
      </c>
      <c r="N588" s="2" t="s">
        <v>21</v>
      </c>
      <c r="O588" s="3" t="s">
        <v>64</v>
      </c>
    </row>
    <row r="589" spans="1:15" x14ac:dyDescent="0.35">
      <c r="A589" s="4">
        <v>45376</v>
      </c>
      <c r="B589" s="2" t="s">
        <v>1096</v>
      </c>
      <c r="D589" s="2" t="s">
        <v>1024</v>
      </c>
      <c r="E589" s="2" t="s">
        <v>119</v>
      </c>
      <c r="F589" s="5" t="str">
        <f t="shared" si="37"/>
        <v>E226-60529789 MEDIA MARKT</v>
      </c>
      <c r="G589" s="12">
        <f t="shared" si="42"/>
        <v>28.917355371900829</v>
      </c>
      <c r="H589">
        <v>21</v>
      </c>
      <c r="I589" s="5">
        <f t="shared" si="45"/>
        <v>6.0726446280991739</v>
      </c>
      <c r="J589" s="5">
        <f t="shared" si="43"/>
        <v>28.917355371900829</v>
      </c>
      <c r="L589" s="5">
        <f t="shared" si="44"/>
        <v>0</v>
      </c>
      <c r="M589" s="8">
        <v>34.99</v>
      </c>
      <c r="N589" s="2" t="s">
        <v>21</v>
      </c>
      <c r="O589" s="3" t="s">
        <v>63</v>
      </c>
    </row>
    <row r="590" spans="1:15" x14ac:dyDescent="0.35">
      <c r="A590" s="4">
        <v>45377</v>
      </c>
      <c r="B590" s="2" t="s">
        <v>1097</v>
      </c>
      <c r="D590" s="2" t="s">
        <v>58</v>
      </c>
      <c r="E590" s="2" t="s">
        <v>325</v>
      </c>
      <c r="F590" s="5" t="str">
        <f t="shared" si="37"/>
        <v>012-0003-801520 BRICOLAJE BRICOMAN SL</v>
      </c>
      <c r="G590" s="12">
        <f t="shared" si="42"/>
        <v>13.694214876033058</v>
      </c>
      <c r="H590">
        <v>21</v>
      </c>
      <c r="I590" s="5">
        <f t="shared" si="45"/>
        <v>2.8757851239669425</v>
      </c>
      <c r="J590" s="5">
        <f t="shared" si="43"/>
        <v>13.694214876033058</v>
      </c>
      <c r="L590" s="5">
        <f t="shared" si="44"/>
        <v>0</v>
      </c>
      <c r="M590" s="8">
        <v>16.57</v>
      </c>
      <c r="N590" s="2" t="s">
        <v>21</v>
      </c>
      <c r="O590" s="3" t="s">
        <v>63</v>
      </c>
    </row>
    <row r="591" spans="1:15" x14ac:dyDescent="0.35">
      <c r="A591" s="4">
        <v>45377</v>
      </c>
      <c r="B591" s="2" t="s">
        <v>1098</v>
      </c>
      <c r="D591" s="2" t="s">
        <v>1092</v>
      </c>
      <c r="E591" s="2" t="s">
        <v>1093</v>
      </c>
      <c r="F591" s="5" t="str">
        <f t="shared" si="37"/>
        <v>402703372 SUMINISTROS ELECTRICOS GUARCONSA</v>
      </c>
      <c r="G591" s="12">
        <f t="shared" si="42"/>
        <v>79.504132231404967</v>
      </c>
      <c r="H591">
        <v>21</v>
      </c>
      <c r="I591" s="5">
        <f t="shared" si="45"/>
        <v>16.695867768595043</v>
      </c>
      <c r="J591" s="5">
        <f t="shared" si="43"/>
        <v>79.504132231404967</v>
      </c>
      <c r="L591" s="5">
        <f t="shared" si="44"/>
        <v>0</v>
      </c>
      <c r="M591" s="8">
        <v>96.2</v>
      </c>
      <c r="N591" s="2" t="s">
        <v>21</v>
      </c>
      <c r="O591" s="3" t="s">
        <v>63</v>
      </c>
    </row>
    <row r="592" spans="1:15" x14ac:dyDescent="0.35">
      <c r="A592" s="4">
        <v>45377</v>
      </c>
      <c r="B592" s="2" t="s">
        <v>1099</v>
      </c>
      <c r="D592" s="2" t="s">
        <v>94</v>
      </c>
      <c r="E592" s="2" t="s">
        <v>139</v>
      </c>
      <c r="F592" s="5" t="str">
        <f t="shared" si="37"/>
        <v>00002-A0102/00001746 BIGMAT</v>
      </c>
      <c r="G592" s="12">
        <f t="shared" si="42"/>
        <v>30.239669421487609</v>
      </c>
      <c r="H592">
        <v>21</v>
      </c>
      <c r="I592" s="5">
        <f t="shared" si="45"/>
        <v>6.3503305785123976</v>
      </c>
      <c r="J592" s="5">
        <f t="shared" si="43"/>
        <v>30.239669421487609</v>
      </c>
      <c r="L592" s="5">
        <f t="shared" si="44"/>
        <v>0</v>
      </c>
      <c r="M592" s="8">
        <v>36.590000000000003</v>
      </c>
      <c r="N592" s="2" t="s">
        <v>21</v>
      </c>
      <c r="O592" s="3" t="s">
        <v>63</v>
      </c>
    </row>
    <row r="593" spans="1:15" x14ac:dyDescent="0.35">
      <c r="A593" s="4">
        <v>45376</v>
      </c>
      <c r="B593" s="2" t="s">
        <v>1100</v>
      </c>
      <c r="D593" s="2" t="s">
        <v>1024</v>
      </c>
      <c r="E593" s="2" t="s">
        <v>119</v>
      </c>
      <c r="F593" s="5" t="str">
        <f t="shared" si="37"/>
        <v>E226-60529799 MEDIA MARKT</v>
      </c>
      <c r="G593" s="12">
        <f t="shared" si="42"/>
        <v>1350.5619834710744</v>
      </c>
      <c r="H593">
        <v>21</v>
      </c>
      <c r="I593" s="5">
        <f t="shared" si="45"/>
        <v>283.61801652892564</v>
      </c>
      <c r="J593" s="5">
        <f t="shared" si="43"/>
        <v>1350.5619834710744</v>
      </c>
      <c r="L593" s="5">
        <f t="shared" si="44"/>
        <v>0</v>
      </c>
      <c r="M593" s="8">
        <v>1634.18</v>
      </c>
      <c r="N593" s="2" t="s">
        <v>1101</v>
      </c>
      <c r="O593" s="3" t="s">
        <v>63</v>
      </c>
    </row>
    <row r="594" spans="1:15" x14ac:dyDescent="0.35">
      <c r="A594" s="4">
        <v>45376</v>
      </c>
      <c r="B594" s="2" t="s">
        <v>1102</v>
      </c>
      <c r="D594" s="2" t="s">
        <v>57</v>
      </c>
      <c r="E594" s="2" t="s">
        <v>44</v>
      </c>
      <c r="F594" s="5" t="str">
        <f t="shared" si="37"/>
        <v>046-0003-938229 LEROY MERLIN</v>
      </c>
      <c r="G594" s="12">
        <f t="shared" si="42"/>
        <v>57.818181818181813</v>
      </c>
      <c r="H594">
        <v>21</v>
      </c>
      <c r="I594" s="5">
        <f t="shared" si="45"/>
        <v>12.141818181818181</v>
      </c>
      <c r="J594" s="5">
        <f t="shared" si="43"/>
        <v>57.818181818181813</v>
      </c>
      <c r="L594" s="5">
        <f t="shared" si="44"/>
        <v>0</v>
      </c>
      <c r="M594" s="8">
        <v>69.959999999999994</v>
      </c>
      <c r="N594" s="2" t="s">
        <v>21</v>
      </c>
      <c r="O594" s="3" t="s">
        <v>63</v>
      </c>
    </row>
    <row r="595" spans="1:15" x14ac:dyDescent="0.35">
      <c r="A595" s="4">
        <v>45314</v>
      </c>
      <c r="B595" s="2" t="s">
        <v>1103</v>
      </c>
      <c r="D595" s="2" t="s">
        <v>92</v>
      </c>
      <c r="E595" s="2" t="s">
        <v>93</v>
      </c>
      <c r="F595" s="5" t="str">
        <f t="shared" si="37"/>
        <v>1/351/20/239577 BAUHAUS</v>
      </c>
      <c r="G595" s="12">
        <f t="shared" si="42"/>
        <v>-120.62809917355374</v>
      </c>
      <c r="H595">
        <v>21</v>
      </c>
      <c r="I595" s="5">
        <f t="shared" si="45"/>
        <v>-25.331900826446287</v>
      </c>
      <c r="J595" s="5">
        <f t="shared" si="43"/>
        <v>-120.62809917355374</v>
      </c>
      <c r="L595" s="5">
        <f t="shared" si="44"/>
        <v>0</v>
      </c>
      <c r="M595" s="8">
        <v>-145.96</v>
      </c>
      <c r="N595" s="2" t="s">
        <v>21</v>
      </c>
    </row>
    <row r="596" spans="1:15" x14ac:dyDescent="0.35">
      <c r="A596" s="4">
        <v>45373</v>
      </c>
      <c r="B596" s="2" t="s">
        <v>1104</v>
      </c>
      <c r="D596" s="2" t="s">
        <v>1105</v>
      </c>
      <c r="E596" s="2" t="s">
        <v>1106</v>
      </c>
      <c r="F596" s="5" t="str">
        <f t="shared" si="37"/>
        <v xml:space="preserve">A/FA-241057 IPETEL ADQUISICIONES </v>
      </c>
      <c r="G596" s="12">
        <f t="shared" si="42"/>
        <v>314.19834710743805</v>
      </c>
      <c r="H596">
        <v>21</v>
      </c>
      <c r="I596" s="5">
        <f t="shared" si="45"/>
        <v>65.981652892561982</v>
      </c>
      <c r="J596" s="5">
        <f t="shared" si="43"/>
        <v>314.19834710743805</v>
      </c>
      <c r="L596" s="5">
        <f t="shared" si="44"/>
        <v>0</v>
      </c>
      <c r="M596" s="8">
        <v>380.18</v>
      </c>
      <c r="N596" s="2" t="s">
        <v>21</v>
      </c>
      <c r="O596" s="3" t="s">
        <v>68</v>
      </c>
    </row>
    <row r="597" spans="1:15" x14ac:dyDescent="0.35">
      <c r="A597" s="4">
        <v>45370</v>
      </c>
      <c r="B597" s="2" t="s">
        <v>1107</v>
      </c>
      <c r="D597" s="2" t="s">
        <v>1108</v>
      </c>
      <c r="E597" s="2" t="s">
        <v>1109</v>
      </c>
      <c r="F597" s="5" t="str">
        <f t="shared" si="37"/>
        <v>3-002006 FLORAMA ARTE FLORAL</v>
      </c>
      <c r="G597" s="12">
        <f t="shared" si="42"/>
        <v>81.818181818181813</v>
      </c>
      <c r="H597">
        <v>10</v>
      </c>
      <c r="I597" s="5">
        <f t="shared" si="45"/>
        <v>8.1818181818181817</v>
      </c>
      <c r="J597" s="5">
        <f t="shared" si="43"/>
        <v>81.818181818181813</v>
      </c>
      <c r="L597" s="5">
        <f t="shared" si="44"/>
        <v>0</v>
      </c>
      <c r="M597" s="8">
        <v>90</v>
      </c>
      <c r="N597" s="2" t="s">
        <v>21</v>
      </c>
      <c r="O597" s="3" t="s">
        <v>63</v>
      </c>
    </row>
    <row r="598" spans="1:15" x14ac:dyDescent="0.35">
      <c r="A598" s="4">
        <v>45377</v>
      </c>
      <c r="B598" s="2" t="s">
        <v>1110</v>
      </c>
      <c r="D598" s="2" t="s">
        <v>962</v>
      </c>
      <c r="E598" s="2" t="s">
        <v>1111</v>
      </c>
      <c r="F598" s="5" t="str">
        <f t="shared" si="37"/>
        <v>240000333 BC BRICO ESCORIAL</v>
      </c>
      <c r="G598" s="12">
        <f t="shared" si="42"/>
        <v>16.487603305785125</v>
      </c>
      <c r="H598">
        <v>21</v>
      </c>
      <c r="I598" s="5">
        <f t="shared" si="45"/>
        <v>3.4623966942148763</v>
      </c>
      <c r="J598" s="5">
        <f t="shared" si="43"/>
        <v>16.487603305785125</v>
      </c>
      <c r="L598" s="5">
        <f t="shared" si="44"/>
        <v>0</v>
      </c>
      <c r="M598" s="8">
        <v>19.95</v>
      </c>
      <c r="N598" s="2" t="s">
        <v>21</v>
      </c>
      <c r="O598" s="3" t="s">
        <v>63</v>
      </c>
    </row>
    <row r="599" spans="1:15" x14ac:dyDescent="0.35">
      <c r="A599" s="4">
        <v>45306</v>
      </c>
      <c r="B599" s="2" t="s">
        <v>1112</v>
      </c>
      <c r="D599" s="2" t="s">
        <v>58</v>
      </c>
      <c r="E599" s="2" t="s">
        <v>325</v>
      </c>
      <c r="F599" s="5" t="str">
        <f t="shared" si="37"/>
        <v>024-0001-839758 BRICOLAJE BRICOMAN SL</v>
      </c>
      <c r="G599" s="12">
        <f t="shared" si="42"/>
        <v>193.92561983471074</v>
      </c>
      <c r="H599">
        <v>21</v>
      </c>
      <c r="I599" s="5">
        <f t="shared" si="45"/>
        <v>40.724380165289261</v>
      </c>
      <c r="J599" s="5">
        <f t="shared" si="43"/>
        <v>193.92561983471074</v>
      </c>
      <c r="L599" s="5">
        <f t="shared" si="44"/>
        <v>0</v>
      </c>
      <c r="M599" s="8">
        <v>234.65</v>
      </c>
      <c r="N599" s="2" t="s">
        <v>21</v>
      </c>
      <c r="O599" s="3" t="s">
        <v>63</v>
      </c>
    </row>
    <row r="600" spans="1:15" x14ac:dyDescent="0.35">
      <c r="A600" s="4">
        <v>45329</v>
      </c>
      <c r="B600" s="2" t="s">
        <v>1113</v>
      </c>
      <c r="D600" s="2" t="s">
        <v>58</v>
      </c>
      <c r="E600" s="2" t="s">
        <v>325</v>
      </c>
      <c r="F600" s="5" t="str">
        <f t="shared" si="37"/>
        <v>024-0002-891861 BRICOLAJE BRICOMAN SL</v>
      </c>
      <c r="G600" s="12">
        <f t="shared" si="42"/>
        <v>56.11570247933885</v>
      </c>
      <c r="H600">
        <v>21</v>
      </c>
      <c r="I600" s="5">
        <f t="shared" si="45"/>
        <v>11.784297520661159</v>
      </c>
      <c r="J600" s="5">
        <f t="shared" si="43"/>
        <v>56.11570247933885</v>
      </c>
      <c r="L600" s="5">
        <f t="shared" si="44"/>
        <v>0</v>
      </c>
      <c r="M600" s="8">
        <v>67.900000000000006</v>
      </c>
      <c r="N600" s="2" t="s">
        <v>21</v>
      </c>
      <c r="O600" s="3" t="s">
        <v>63</v>
      </c>
    </row>
    <row r="601" spans="1:15" x14ac:dyDescent="0.35">
      <c r="A601" s="4">
        <v>45337</v>
      </c>
      <c r="B601" s="2" t="s">
        <v>1114</v>
      </c>
      <c r="D601" s="2" t="s">
        <v>58</v>
      </c>
      <c r="E601" s="2" t="s">
        <v>325</v>
      </c>
      <c r="F601" s="5" t="str">
        <f t="shared" si="37"/>
        <v>018-0002-210716 BRICOLAJE BRICOMAN SL</v>
      </c>
      <c r="G601" s="12">
        <f t="shared" si="42"/>
        <v>73.371900826446279</v>
      </c>
      <c r="H601">
        <v>21</v>
      </c>
      <c r="I601" s="5">
        <f t="shared" si="45"/>
        <v>15.408099173553719</v>
      </c>
      <c r="J601" s="5">
        <f t="shared" si="43"/>
        <v>73.371900826446279</v>
      </c>
      <c r="L601" s="5">
        <f t="shared" si="44"/>
        <v>0</v>
      </c>
      <c r="M601" s="8">
        <v>88.78</v>
      </c>
      <c r="N601" s="2" t="s">
        <v>21</v>
      </c>
      <c r="O601" s="3" t="s">
        <v>63</v>
      </c>
    </row>
    <row r="602" spans="1:15" x14ac:dyDescent="0.35">
      <c r="A602" s="4">
        <v>45345</v>
      </c>
      <c r="B602" s="2" t="s">
        <v>1115</v>
      </c>
      <c r="D602" s="2" t="s">
        <v>252</v>
      </c>
      <c r="E602" s="2" t="s">
        <v>253</v>
      </c>
      <c r="F602" s="5" t="str">
        <f t="shared" si="37"/>
        <v>I102124AA077954 ATENOIL</v>
      </c>
      <c r="G602" s="12">
        <f t="shared" ref="G602:G665" si="46">M602/(1-K602/100+H602/100)</f>
        <v>98.280991735537199</v>
      </c>
      <c r="H602">
        <v>21</v>
      </c>
      <c r="I602" s="5">
        <f t="shared" si="45"/>
        <v>20.639008264462813</v>
      </c>
      <c r="J602" s="5">
        <f t="shared" si="43"/>
        <v>98.280991735537199</v>
      </c>
      <c r="L602" s="5">
        <f t="shared" si="44"/>
        <v>0</v>
      </c>
      <c r="M602" s="8">
        <v>118.92</v>
      </c>
      <c r="N602" s="2" t="s">
        <v>22</v>
      </c>
      <c r="O602" s="3" t="s">
        <v>63</v>
      </c>
    </row>
    <row r="603" spans="1:15" x14ac:dyDescent="0.35">
      <c r="A603" s="4">
        <v>45359</v>
      </c>
      <c r="B603" s="2" t="s">
        <v>1116</v>
      </c>
      <c r="D603" s="2" t="s">
        <v>59</v>
      </c>
      <c r="E603" s="2" t="s">
        <v>43</v>
      </c>
      <c r="F603" s="5" t="str">
        <f t="shared" si="37"/>
        <v>1415103499 EUGENIO PEREDA</v>
      </c>
      <c r="G603" s="12">
        <f t="shared" si="46"/>
        <v>27.52066115702479</v>
      </c>
      <c r="H603">
        <v>21</v>
      </c>
      <c r="I603" s="5">
        <f t="shared" si="45"/>
        <v>5.7793388429752053</v>
      </c>
      <c r="J603" s="5">
        <f t="shared" si="43"/>
        <v>27.52066115702479</v>
      </c>
      <c r="L603" s="5">
        <f t="shared" si="44"/>
        <v>0</v>
      </c>
      <c r="M603" s="8">
        <v>33.299999999999997</v>
      </c>
      <c r="N603" s="2" t="s">
        <v>21</v>
      </c>
      <c r="O603" s="3" t="s">
        <v>63</v>
      </c>
    </row>
    <row r="604" spans="1:15" x14ac:dyDescent="0.35">
      <c r="A604" s="4">
        <v>45359</v>
      </c>
      <c r="B604" s="2" t="s">
        <v>1117</v>
      </c>
      <c r="D604" s="2" t="s">
        <v>58</v>
      </c>
      <c r="E604" s="2" t="s">
        <v>325</v>
      </c>
      <c r="F604" s="5" t="str">
        <f t="shared" si="37"/>
        <v>007-0003-451662 BRICOLAJE BRICOMAN SL</v>
      </c>
      <c r="G604" s="12">
        <f t="shared" si="46"/>
        <v>120.78512396694215</v>
      </c>
      <c r="H604">
        <v>21</v>
      </c>
      <c r="I604" s="5">
        <f t="shared" si="45"/>
        <v>25.364876033057854</v>
      </c>
      <c r="J604" s="5">
        <f t="shared" si="43"/>
        <v>120.78512396694215</v>
      </c>
      <c r="L604" s="5">
        <f t="shared" si="44"/>
        <v>0</v>
      </c>
      <c r="M604" s="8">
        <v>146.15</v>
      </c>
      <c r="N604" s="2" t="s">
        <v>21</v>
      </c>
      <c r="O604" s="3" t="s">
        <v>63</v>
      </c>
    </row>
    <row r="605" spans="1:15" x14ac:dyDescent="0.35">
      <c r="A605" s="4">
        <v>45364</v>
      </c>
      <c r="B605" s="2" t="s">
        <v>1118</v>
      </c>
      <c r="D605" s="2" t="s">
        <v>1119</v>
      </c>
      <c r="E605" s="2" t="s">
        <v>1093</v>
      </c>
      <c r="F605" s="5" t="str">
        <f t="shared" si="37"/>
        <v>452701278 SUMINISTROS ELECTRICOS GUARCONSA</v>
      </c>
      <c r="G605" s="12">
        <f t="shared" si="46"/>
        <v>347.42148760330576</v>
      </c>
      <c r="H605">
        <v>21</v>
      </c>
      <c r="I605" s="5">
        <f t="shared" si="45"/>
        <v>72.958512396694218</v>
      </c>
      <c r="J605" s="5">
        <f t="shared" si="43"/>
        <v>347.42148760330576</v>
      </c>
      <c r="L605" s="5">
        <f t="shared" si="44"/>
        <v>0</v>
      </c>
      <c r="M605" s="8">
        <v>420.38</v>
      </c>
      <c r="N605" s="2" t="s">
        <v>21</v>
      </c>
      <c r="O605" s="3" t="s">
        <v>68</v>
      </c>
    </row>
    <row r="606" spans="1:15" x14ac:dyDescent="0.35">
      <c r="A606" s="4">
        <v>45362</v>
      </c>
      <c r="B606" s="2" t="s">
        <v>1120</v>
      </c>
      <c r="D606" s="2" t="s">
        <v>1119</v>
      </c>
      <c r="E606" s="2" t="s">
        <v>1093</v>
      </c>
      <c r="F606" s="5" t="str">
        <f t="shared" si="37"/>
        <v>452701203 SUMINISTROS ELECTRICOS GUARCONSA</v>
      </c>
      <c r="G606" s="12">
        <f t="shared" si="46"/>
        <v>860.32231404958679</v>
      </c>
      <c r="H606">
        <v>21</v>
      </c>
      <c r="I606" s="5">
        <f t="shared" si="45"/>
        <v>180.66768595041322</v>
      </c>
      <c r="J606" s="5">
        <f t="shared" si="43"/>
        <v>860.32231404958679</v>
      </c>
      <c r="L606" s="5">
        <f t="shared" si="44"/>
        <v>0</v>
      </c>
      <c r="M606" s="8">
        <v>1040.99</v>
      </c>
      <c r="N606" s="2" t="s">
        <v>21</v>
      </c>
      <c r="O606" s="3" t="s">
        <v>63</v>
      </c>
    </row>
    <row r="607" spans="1:15" x14ac:dyDescent="0.35">
      <c r="A607" s="4">
        <v>45365</v>
      </c>
      <c r="B607" s="2" t="s">
        <v>1121</v>
      </c>
      <c r="D607" s="2" t="s">
        <v>1119</v>
      </c>
      <c r="E607" s="2" t="s">
        <v>1093</v>
      </c>
      <c r="F607" s="5" t="str">
        <f t="shared" ref="F607:F684" si="47">CONCATENATE(S607,B607," ",E607)</f>
        <v>452701305 SUMINISTROS ELECTRICOS GUARCONSA</v>
      </c>
      <c r="G607" s="12">
        <f t="shared" si="46"/>
        <v>16.41322314049587</v>
      </c>
      <c r="H607">
        <v>21</v>
      </c>
      <c r="I607" s="5">
        <f t="shared" si="45"/>
        <v>3.4467768595041326</v>
      </c>
      <c r="J607" s="5">
        <f t="shared" si="43"/>
        <v>16.41322314049587</v>
      </c>
      <c r="L607" s="5">
        <f t="shared" si="44"/>
        <v>0</v>
      </c>
      <c r="M607" s="8">
        <v>19.86</v>
      </c>
      <c r="N607" s="2" t="s">
        <v>21</v>
      </c>
      <c r="O607" s="3" t="s">
        <v>63</v>
      </c>
    </row>
    <row r="608" spans="1:15" x14ac:dyDescent="0.35">
      <c r="A608" s="4">
        <v>45365</v>
      </c>
      <c r="B608" s="2" t="s">
        <v>1122</v>
      </c>
      <c r="D608" s="2" t="s">
        <v>1119</v>
      </c>
      <c r="E608" s="2" t="s">
        <v>1093</v>
      </c>
      <c r="F608" s="5" t="str">
        <f t="shared" si="47"/>
        <v>451700132 SUMINISTROS ELECTRICOS GUARCONSA</v>
      </c>
      <c r="G608" s="12">
        <f t="shared" si="46"/>
        <v>-82.033057851239676</v>
      </c>
      <c r="H608">
        <v>21</v>
      </c>
      <c r="I608" s="5">
        <f t="shared" si="45"/>
        <v>-17.22694214876033</v>
      </c>
      <c r="J608" s="5">
        <f t="shared" si="43"/>
        <v>-82.033057851239676</v>
      </c>
      <c r="L608" s="5">
        <f t="shared" si="44"/>
        <v>0</v>
      </c>
      <c r="M608" s="8">
        <v>-99.26</v>
      </c>
      <c r="N608" s="2" t="s">
        <v>21</v>
      </c>
      <c r="O608" s="3" t="s">
        <v>63</v>
      </c>
    </row>
    <row r="609" spans="1:15" x14ac:dyDescent="0.35">
      <c r="A609" s="4">
        <v>45365</v>
      </c>
      <c r="B609" s="2" t="s">
        <v>1123</v>
      </c>
      <c r="D609" s="2" t="s">
        <v>1119</v>
      </c>
      <c r="E609" s="2" t="s">
        <v>1093</v>
      </c>
      <c r="F609" s="5" t="str">
        <f t="shared" si="47"/>
        <v>452701317 SUMINISTROS ELECTRICOS GUARCONSA</v>
      </c>
      <c r="G609" s="12">
        <f t="shared" si="46"/>
        <v>15.429752066115704</v>
      </c>
      <c r="H609">
        <v>21</v>
      </c>
      <c r="I609" s="5">
        <f t="shared" si="45"/>
        <v>3.2402479338842975</v>
      </c>
      <c r="J609" s="5">
        <f t="shared" si="43"/>
        <v>15.429752066115704</v>
      </c>
      <c r="L609" s="5">
        <f t="shared" si="44"/>
        <v>0</v>
      </c>
      <c r="M609" s="8">
        <v>18.670000000000002</v>
      </c>
      <c r="N609" s="2" t="s">
        <v>21</v>
      </c>
      <c r="O609" s="3" t="s">
        <v>63</v>
      </c>
    </row>
    <row r="610" spans="1:15" x14ac:dyDescent="0.35">
      <c r="A610" s="4">
        <v>45365</v>
      </c>
      <c r="B610" s="2" t="s">
        <v>1124</v>
      </c>
      <c r="D610" s="2" t="s">
        <v>58</v>
      </c>
      <c r="E610" s="2" t="s">
        <v>325</v>
      </c>
      <c r="F610" s="5" t="str">
        <f t="shared" si="47"/>
        <v>024-0003-978184 BRICOLAJE BRICOMAN SL</v>
      </c>
      <c r="G610" s="12">
        <f t="shared" si="46"/>
        <v>41.793388429752071</v>
      </c>
      <c r="H610">
        <v>21</v>
      </c>
      <c r="I610" s="5">
        <f t="shared" si="45"/>
        <v>8.776611570247935</v>
      </c>
      <c r="J610" s="5">
        <f t="shared" ref="J610:J673" si="48">G610</f>
        <v>41.793388429752071</v>
      </c>
      <c r="L610" s="5">
        <f t="shared" ref="L610:L673" si="49">J610*K610/100</f>
        <v>0</v>
      </c>
      <c r="M610" s="8">
        <v>50.57</v>
      </c>
      <c r="N610" s="2" t="s">
        <v>21</v>
      </c>
      <c r="O610" s="3" t="s">
        <v>64</v>
      </c>
    </row>
    <row r="611" spans="1:15" x14ac:dyDescent="0.35">
      <c r="A611" s="4">
        <v>45359</v>
      </c>
      <c r="B611" s="2" t="s">
        <v>1125</v>
      </c>
      <c r="D611" s="2" t="s">
        <v>252</v>
      </c>
      <c r="E611" s="2" t="s">
        <v>253</v>
      </c>
      <c r="F611" s="5" t="str">
        <f t="shared" si="47"/>
        <v>I106124AB016713 ATENOIL</v>
      </c>
      <c r="G611" s="12">
        <f t="shared" si="46"/>
        <v>24.793388429752067</v>
      </c>
      <c r="H611">
        <v>21</v>
      </c>
      <c r="I611" s="5">
        <f t="shared" ref="I611:I674" si="50">G611*H611/100</f>
        <v>5.2066115702479339</v>
      </c>
      <c r="J611" s="5">
        <f t="shared" si="48"/>
        <v>24.793388429752067</v>
      </c>
      <c r="L611" s="5">
        <f t="shared" si="49"/>
        <v>0</v>
      </c>
      <c r="M611" s="8">
        <v>30</v>
      </c>
      <c r="N611" s="2" t="s">
        <v>22</v>
      </c>
      <c r="O611" s="3" t="s">
        <v>64</v>
      </c>
    </row>
    <row r="612" spans="1:15" x14ac:dyDescent="0.35">
      <c r="A612" s="4">
        <v>45371</v>
      </c>
      <c r="B612" s="2" t="s">
        <v>1126</v>
      </c>
      <c r="D612" s="2" t="s">
        <v>89</v>
      </c>
      <c r="E612" s="2" t="s">
        <v>90</v>
      </c>
      <c r="F612" s="5" t="str">
        <f t="shared" si="47"/>
        <v>E12007224TS000FE000294 GALP</v>
      </c>
      <c r="G612" s="12">
        <f t="shared" si="46"/>
        <v>49.586776859504134</v>
      </c>
      <c r="H612">
        <v>21</v>
      </c>
      <c r="I612" s="5">
        <f t="shared" si="50"/>
        <v>10.413223140495868</v>
      </c>
      <c r="J612" s="5">
        <f t="shared" si="48"/>
        <v>49.586776859504134</v>
      </c>
      <c r="L612" s="5">
        <f t="shared" si="49"/>
        <v>0</v>
      </c>
      <c r="M612" s="8">
        <v>60</v>
      </c>
      <c r="N612" s="2" t="s">
        <v>22</v>
      </c>
      <c r="O612" s="3" t="s">
        <v>63</v>
      </c>
    </row>
    <row r="613" spans="1:15" x14ac:dyDescent="0.35">
      <c r="A613" s="4">
        <v>45377</v>
      </c>
      <c r="B613" s="2" t="s">
        <v>1127</v>
      </c>
      <c r="D613" s="2" t="s">
        <v>89</v>
      </c>
      <c r="E613" s="2" t="s">
        <v>90</v>
      </c>
      <c r="F613" s="5" t="str">
        <f t="shared" si="47"/>
        <v>E12002024000000109 GALP</v>
      </c>
      <c r="G613" s="12">
        <f t="shared" si="46"/>
        <v>73.471074380165291</v>
      </c>
      <c r="H613">
        <v>21</v>
      </c>
      <c r="I613" s="5">
        <f t="shared" si="50"/>
        <v>15.428925619834711</v>
      </c>
      <c r="J613" s="5">
        <f t="shared" si="48"/>
        <v>73.471074380165291</v>
      </c>
      <c r="L613" s="5">
        <f t="shared" si="49"/>
        <v>0</v>
      </c>
      <c r="M613" s="8">
        <v>88.9</v>
      </c>
      <c r="N613" s="2" t="s">
        <v>22</v>
      </c>
      <c r="O613" s="3" t="s">
        <v>63</v>
      </c>
    </row>
    <row r="614" spans="1:15" x14ac:dyDescent="0.35">
      <c r="A614" s="4">
        <v>45378</v>
      </c>
      <c r="B614" s="2" t="s">
        <v>1128</v>
      </c>
      <c r="D614" s="2" t="s">
        <v>89</v>
      </c>
      <c r="E614" s="2" t="s">
        <v>90</v>
      </c>
      <c r="F614" s="5" t="str">
        <f t="shared" si="47"/>
        <v>E12007224TS000FE000325 GALP</v>
      </c>
      <c r="G614" s="12">
        <f t="shared" si="46"/>
        <v>33.057851239669425</v>
      </c>
      <c r="H614">
        <v>21</v>
      </c>
      <c r="I614" s="5">
        <f t="shared" si="50"/>
        <v>6.9421487603305794</v>
      </c>
      <c r="J614" s="5">
        <f t="shared" si="48"/>
        <v>33.057851239669425</v>
      </c>
      <c r="L614" s="5">
        <f t="shared" si="49"/>
        <v>0</v>
      </c>
      <c r="M614" s="8">
        <v>40</v>
      </c>
      <c r="N614" s="2" t="s">
        <v>22</v>
      </c>
      <c r="O614" s="3" t="s">
        <v>63</v>
      </c>
    </row>
    <row r="615" spans="1:15" x14ac:dyDescent="0.35">
      <c r="A615" s="4">
        <v>45337</v>
      </c>
      <c r="B615" s="2" t="s">
        <v>1129</v>
      </c>
      <c r="D615" s="2" t="s">
        <v>89</v>
      </c>
      <c r="E615" s="2" t="s">
        <v>90</v>
      </c>
      <c r="F615" s="5" t="str">
        <f t="shared" si="47"/>
        <v>E12007224TS000FE000149 GALP</v>
      </c>
      <c r="G615" s="12">
        <f t="shared" si="46"/>
        <v>33.057851239669425</v>
      </c>
      <c r="H615">
        <v>21</v>
      </c>
      <c r="I615" s="5">
        <f t="shared" si="50"/>
        <v>6.9421487603305794</v>
      </c>
      <c r="J615" s="5">
        <f t="shared" si="48"/>
        <v>33.057851239669425</v>
      </c>
      <c r="L615" s="5">
        <f t="shared" si="49"/>
        <v>0</v>
      </c>
      <c r="M615" s="8">
        <v>40</v>
      </c>
      <c r="N615" s="2" t="s">
        <v>22</v>
      </c>
      <c r="O615" s="3" t="s">
        <v>64</v>
      </c>
    </row>
    <row r="616" spans="1:15" x14ac:dyDescent="0.35">
      <c r="A616" s="4">
        <v>45311</v>
      </c>
      <c r="B616" s="2" t="s">
        <v>1130</v>
      </c>
      <c r="D616" s="2" t="s">
        <v>89</v>
      </c>
      <c r="E616" s="2" t="s">
        <v>90</v>
      </c>
      <c r="F616" s="5" t="str">
        <f t="shared" si="47"/>
        <v>E12007224TS000FE000046 GALP</v>
      </c>
      <c r="G616" s="12">
        <f t="shared" si="46"/>
        <v>35.884297520661157</v>
      </c>
      <c r="H616">
        <v>21</v>
      </c>
      <c r="I616" s="5">
        <f t="shared" si="50"/>
        <v>7.535702479338843</v>
      </c>
      <c r="J616" s="5">
        <f t="shared" si="48"/>
        <v>35.884297520661157</v>
      </c>
      <c r="L616" s="5">
        <f t="shared" si="49"/>
        <v>0</v>
      </c>
      <c r="M616" s="8">
        <v>43.42</v>
      </c>
      <c r="N616" s="2" t="s">
        <v>22</v>
      </c>
      <c r="O616" s="3" t="s">
        <v>63</v>
      </c>
    </row>
    <row r="617" spans="1:15" x14ac:dyDescent="0.35">
      <c r="A617" s="4">
        <v>45374</v>
      </c>
      <c r="B617" s="2" t="s">
        <v>1131</v>
      </c>
      <c r="D617" s="2" t="s">
        <v>99</v>
      </c>
      <c r="E617" s="2" t="s">
        <v>262</v>
      </c>
      <c r="F617" s="5" t="str">
        <f t="shared" si="47"/>
        <v>0000045004 DISA</v>
      </c>
      <c r="G617" s="12">
        <f t="shared" si="46"/>
        <v>9.4049586776859506</v>
      </c>
      <c r="H617">
        <v>21</v>
      </c>
      <c r="I617" s="5">
        <f t="shared" si="50"/>
        <v>1.9750413223140495</v>
      </c>
      <c r="J617" s="5">
        <f t="shared" si="48"/>
        <v>9.4049586776859506</v>
      </c>
      <c r="L617" s="5">
        <f t="shared" si="49"/>
        <v>0</v>
      </c>
      <c r="M617" s="8">
        <v>11.38</v>
      </c>
      <c r="N617" s="2" t="s">
        <v>22</v>
      </c>
      <c r="O617" s="3" t="s">
        <v>63</v>
      </c>
    </row>
    <row r="618" spans="1:15" x14ac:dyDescent="0.35">
      <c r="A618" s="4">
        <v>45381</v>
      </c>
      <c r="B618" s="2" t="s">
        <v>1132</v>
      </c>
      <c r="D618" s="2" t="s">
        <v>99</v>
      </c>
      <c r="E618" s="2" t="s">
        <v>262</v>
      </c>
      <c r="F618" s="5" t="str">
        <f t="shared" si="47"/>
        <v>0000100096 DISA</v>
      </c>
      <c r="G618" s="12">
        <f t="shared" si="46"/>
        <v>24.991735537190081</v>
      </c>
      <c r="H618">
        <v>21</v>
      </c>
      <c r="I618" s="5">
        <f t="shared" si="50"/>
        <v>5.2482644628099173</v>
      </c>
      <c r="J618" s="5">
        <f t="shared" si="48"/>
        <v>24.991735537190081</v>
      </c>
      <c r="L618" s="5">
        <f t="shared" si="49"/>
        <v>0</v>
      </c>
      <c r="M618" s="8">
        <v>30.24</v>
      </c>
      <c r="N618" s="2" t="s">
        <v>22</v>
      </c>
      <c r="O618" s="3" t="s">
        <v>63</v>
      </c>
    </row>
    <row r="619" spans="1:15" x14ac:dyDescent="0.35">
      <c r="A619" s="4">
        <v>45337</v>
      </c>
      <c r="B619" s="2" t="s">
        <v>1133</v>
      </c>
      <c r="D619" s="2" t="s">
        <v>60</v>
      </c>
      <c r="E619" s="2" t="s">
        <v>24</v>
      </c>
      <c r="F619" s="5" t="str">
        <f t="shared" si="47"/>
        <v>096268/A/24/000252 REPSOL</v>
      </c>
      <c r="G619" s="12">
        <f t="shared" si="46"/>
        <v>27.603305785123968</v>
      </c>
      <c r="H619">
        <v>21</v>
      </c>
      <c r="I619" s="5">
        <f t="shared" si="50"/>
        <v>5.7966942148760339</v>
      </c>
      <c r="J619" s="5">
        <f t="shared" si="48"/>
        <v>27.603305785123968</v>
      </c>
      <c r="L619" s="5">
        <f t="shared" si="49"/>
        <v>0</v>
      </c>
      <c r="M619" s="8">
        <v>33.4</v>
      </c>
      <c r="N619" s="2" t="s">
        <v>22</v>
      </c>
      <c r="O619" s="3" t="s">
        <v>64</v>
      </c>
    </row>
    <row r="620" spans="1:15" x14ac:dyDescent="0.35">
      <c r="A620" s="4">
        <v>45377</v>
      </c>
      <c r="B620" s="2" t="s">
        <v>1134</v>
      </c>
      <c r="D620" s="2" t="s">
        <v>60</v>
      </c>
      <c r="E620" s="2" t="s">
        <v>24</v>
      </c>
      <c r="F620" s="5" t="str">
        <f t="shared" si="47"/>
        <v>033007/A/24/000784 REPSOL</v>
      </c>
      <c r="G620" s="12">
        <f t="shared" si="46"/>
        <v>26.446280991735538</v>
      </c>
      <c r="H620">
        <v>21</v>
      </c>
      <c r="I620" s="5">
        <f t="shared" si="50"/>
        <v>5.553719008264463</v>
      </c>
      <c r="J620" s="5">
        <f t="shared" si="48"/>
        <v>26.446280991735538</v>
      </c>
      <c r="L620" s="5">
        <f t="shared" si="49"/>
        <v>0</v>
      </c>
      <c r="M620" s="8">
        <v>32</v>
      </c>
      <c r="N620" s="2" t="s">
        <v>22</v>
      </c>
      <c r="O620" s="3" t="s">
        <v>63</v>
      </c>
    </row>
    <row r="621" spans="1:15" x14ac:dyDescent="0.35">
      <c r="A621" s="4">
        <v>45379</v>
      </c>
      <c r="B621" s="2" t="s">
        <v>1135</v>
      </c>
      <c r="D621" s="2" t="s">
        <v>60</v>
      </c>
      <c r="E621" s="2" t="s">
        <v>24</v>
      </c>
      <c r="F621" s="5" t="str">
        <f t="shared" si="47"/>
        <v>096671/A/24/002099 REPSOL</v>
      </c>
      <c r="G621" s="12">
        <f t="shared" si="46"/>
        <v>29.074380165289256</v>
      </c>
      <c r="H621">
        <v>21</v>
      </c>
      <c r="I621" s="5">
        <f t="shared" si="50"/>
        <v>6.105619834710744</v>
      </c>
      <c r="J621" s="5">
        <f t="shared" si="48"/>
        <v>29.074380165289256</v>
      </c>
      <c r="L621" s="5">
        <f t="shared" si="49"/>
        <v>0</v>
      </c>
      <c r="M621" s="8">
        <v>35.18</v>
      </c>
      <c r="N621" s="2" t="s">
        <v>22</v>
      </c>
      <c r="O621" s="3" t="s">
        <v>63</v>
      </c>
    </row>
    <row r="622" spans="1:15" x14ac:dyDescent="0.35">
      <c r="A622" s="4">
        <v>45317</v>
      </c>
      <c r="B622" s="2" t="s">
        <v>1136</v>
      </c>
      <c r="D622" s="2" t="s">
        <v>60</v>
      </c>
      <c r="E622" s="2" t="s">
        <v>24</v>
      </c>
      <c r="F622" s="5" t="str">
        <f t="shared" si="47"/>
        <v>033939/A/24/000072 REPSOL</v>
      </c>
      <c r="G622" s="12">
        <f t="shared" si="46"/>
        <v>16.528925619834713</v>
      </c>
      <c r="H622">
        <v>21</v>
      </c>
      <c r="I622" s="5">
        <f t="shared" si="50"/>
        <v>3.4710743801652897</v>
      </c>
      <c r="J622" s="5">
        <f t="shared" si="48"/>
        <v>16.528925619834713</v>
      </c>
      <c r="L622" s="5">
        <f t="shared" si="49"/>
        <v>0</v>
      </c>
      <c r="M622" s="8">
        <v>20</v>
      </c>
      <c r="N622" s="2" t="s">
        <v>22</v>
      </c>
      <c r="O622" s="3" t="s">
        <v>64</v>
      </c>
    </row>
    <row r="623" spans="1:15" x14ac:dyDescent="0.35">
      <c r="A623" s="4">
        <v>45315</v>
      </c>
      <c r="B623" s="2" t="s">
        <v>1137</v>
      </c>
      <c r="D623" s="2" t="s">
        <v>89</v>
      </c>
      <c r="E623" s="2" t="s">
        <v>90</v>
      </c>
      <c r="F623" s="5" t="str">
        <f t="shared" si="47"/>
        <v>012010015806AA0E05042024000000323 GALP</v>
      </c>
      <c r="G623" s="12">
        <f t="shared" si="46"/>
        <v>93.27272727272728</v>
      </c>
      <c r="H623">
        <v>21</v>
      </c>
      <c r="I623" s="5">
        <f t="shared" si="50"/>
        <v>19.58727272727273</v>
      </c>
      <c r="J623" s="5">
        <f t="shared" si="48"/>
        <v>93.27272727272728</v>
      </c>
      <c r="L623" s="5">
        <f t="shared" si="49"/>
        <v>0</v>
      </c>
      <c r="M623" s="8">
        <v>112.86</v>
      </c>
      <c r="N623" s="2" t="s">
        <v>22</v>
      </c>
      <c r="O623" s="3" t="s">
        <v>63</v>
      </c>
    </row>
    <row r="624" spans="1:15" x14ac:dyDescent="0.35">
      <c r="A624" s="4">
        <v>45335</v>
      </c>
      <c r="B624" s="2" t="s">
        <v>1138</v>
      </c>
      <c r="D624" s="2" t="s">
        <v>99</v>
      </c>
      <c r="E624" s="2" t="s">
        <v>262</v>
      </c>
      <c r="F624" s="5" t="str">
        <f t="shared" si="47"/>
        <v>0010025397 DISA</v>
      </c>
      <c r="G624" s="12">
        <f t="shared" si="46"/>
        <v>92.140495867768593</v>
      </c>
      <c r="H624">
        <v>21</v>
      </c>
      <c r="I624" s="5">
        <f t="shared" si="50"/>
        <v>19.349504132231406</v>
      </c>
      <c r="J624" s="5">
        <f t="shared" si="48"/>
        <v>92.140495867768593</v>
      </c>
      <c r="L624" s="5">
        <f t="shared" si="49"/>
        <v>0</v>
      </c>
      <c r="M624" s="8">
        <v>111.49</v>
      </c>
      <c r="N624" s="2" t="s">
        <v>22</v>
      </c>
      <c r="O624" s="3" t="s">
        <v>63</v>
      </c>
    </row>
    <row r="625" spans="1:16" x14ac:dyDescent="0.35">
      <c r="A625" s="4">
        <v>45371</v>
      </c>
      <c r="B625" s="2" t="s">
        <v>1139</v>
      </c>
      <c r="D625" s="2" t="s">
        <v>60</v>
      </c>
      <c r="E625" s="2" t="s">
        <v>24</v>
      </c>
      <c r="F625" s="5" t="str">
        <f t="shared" si="47"/>
        <v>097029/A/24/000481 REPSOL</v>
      </c>
      <c r="G625" s="12">
        <f t="shared" si="46"/>
        <v>99.198347107438025</v>
      </c>
      <c r="H625">
        <v>21</v>
      </c>
      <c r="I625" s="5">
        <f t="shared" si="50"/>
        <v>20.831652892561983</v>
      </c>
      <c r="J625" s="5">
        <f t="shared" si="48"/>
        <v>99.198347107438025</v>
      </c>
      <c r="L625" s="5">
        <f t="shared" si="49"/>
        <v>0</v>
      </c>
      <c r="M625" s="8">
        <v>120.03</v>
      </c>
      <c r="N625" s="2" t="s">
        <v>22</v>
      </c>
      <c r="O625" s="3" t="s">
        <v>64</v>
      </c>
    </row>
    <row r="626" spans="1:16" x14ac:dyDescent="0.35">
      <c r="A626" s="4">
        <v>45323</v>
      </c>
      <c r="B626" s="2" t="s">
        <v>1140</v>
      </c>
      <c r="D626" s="2" t="s">
        <v>99</v>
      </c>
      <c r="E626" s="2" t="s">
        <v>262</v>
      </c>
      <c r="F626" s="5" t="str">
        <f t="shared" si="47"/>
        <v>0010018179 DISA</v>
      </c>
      <c r="G626" s="12">
        <f t="shared" si="46"/>
        <v>89.694214876033058</v>
      </c>
      <c r="H626">
        <v>21</v>
      </c>
      <c r="I626" s="5">
        <f t="shared" si="50"/>
        <v>18.835785123966943</v>
      </c>
      <c r="J626" s="5">
        <f t="shared" si="48"/>
        <v>89.694214876033058</v>
      </c>
      <c r="L626" s="5">
        <f t="shared" si="49"/>
        <v>0</v>
      </c>
      <c r="M626" s="8">
        <v>108.53</v>
      </c>
      <c r="N626" s="2" t="s">
        <v>22</v>
      </c>
      <c r="O626" s="3" t="s">
        <v>63</v>
      </c>
    </row>
    <row r="627" spans="1:16" x14ac:dyDescent="0.35">
      <c r="A627" s="4">
        <v>45369</v>
      </c>
      <c r="B627" s="2" t="s">
        <v>1141</v>
      </c>
      <c r="D627" s="2" t="s">
        <v>35</v>
      </c>
      <c r="E627" s="2" t="s">
        <v>167</v>
      </c>
      <c r="F627" s="5" t="str">
        <f t="shared" si="47"/>
        <v>0240004258 PINTODIS SL</v>
      </c>
      <c r="G627" s="12">
        <f t="shared" si="46"/>
        <v>41.32231404958678</v>
      </c>
      <c r="H627">
        <v>21</v>
      </c>
      <c r="I627" s="5">
        <f t="shared" si="50"/>
        <v>8.677685950413224</v>
      </c>
      <c r="J627" s="5">
        <f t="shared" si="48"/>
        <v>41.32231404958678</v>
      </c>
      <c r="L627" s="5">
        <f t="shared" si="49"/>
        <v>0</v>
      </c>
      <c r="M627" s="8">
        <v>50</v>
      </c>
      <c r="N627" s="2" t="s">
        <v>22</v>
      </c>
      <c r="O627" s="3" t="s">
        <v>64</v>
      </c>
    </row>
    <row r="628" spans="1:16" x14ac:dyDescent="0.35">
      <c r="A628" s="4">
        <v>45355</v>
      </c>
      <c r="B628" s="2" t="s">
        <v>1142</v>
      </c>
      <c r="D628" s="2" t="s">
        <v>35</v>
      </c>
      <c r="E628" s="2" t="s">
        <v>167</v>
      </c>
      <c r="F628" s="5" t="str">
        <f t="shared" si="47"/>
        <v>0240003478 PINTODIS SL</v>
      </c>
      <c r="G628" s="12">
        <f t="shared" si="46"/>
        <v>41.32231404958678</v>
      </c>
      <c r="H628">
        <v>21</v>
      </c>
      <c r="I628" s="5">
        <f t="shared" si="50"/>
        <v>8.677685950413224</v>
      </c>
      <c r="J628" s="5">
        <f t="shared" si="48"/>
        <v>41.32231404958678</v>
      </c>
      <c r="L628" s="5">
        <f t="shared" si="49"/>
        <v>0</v>
      </c>
      <c r="M628" s="8">
        <v>50</v>
      </c>
      <c r="N628" s="2" t="s">
        <v>22</v>
      </c>
      <c r="O628" s="3" t="s">
        <v>64</v>
      </c>
    </row>
    <row r="629" spans="1:16" x14ac:dyDescent="0.35">
      <c r="A629" s="4">
        <v>45342</v>
      </c>
      <c r="B629" s="2" t="s">
        <v>1143</v>
      </c>
      <c r="D629" s="2" t="s">
        <v>87</v>
      </c>
      <c r="E629" s="2" t="s">
        <v>88</v>
      </c>
      <c r="F629" s="5" t="str">
        <f t="shared" si="47"/>
        <v>P24CON006864634 ENDESA</v>
      </c>
      <c r="G629" s="12">
        <v>176.7</v>
      </c>
      <c r="H629">
        <v>10</v>
      </c>
      <c r="I629" s="5">
        <f t="shared" si="50"/>
        <v>17.670000000000002</v>
      </c>
      <c r="J629" s="5">
        <f t="shared" si="48"/>
        <v>176.7</v>
      </c>
      <c r="L629" s="5">
        <f t="shared" si="49"/>
        <v>0</v>
      </c>
      <c r="M629" s="8">
        <v>194.37</v>
      </c>
      <c r="N629" s="2" t="s">
        <v>38</v>
      </c>
      <c r="O629" s="3" t="s">
        <v>65</v>
      </c>
    </row>
    <row r="630" spans="1:16" x14ac:dyDescent="0.35">
      <c r="A630" s="4">
        <v>45359</v>
      </c>
      <c r="B630" s="2" t="s">
        <v>1144</v>
      </c>
      <c r="D630" s="2" t="s">
        <v>58</v>
      </c>
      <c r="E630" s="2" t="s">
        <v>325</v>
      </c>
      <c r="F630" s="5" t="str">
        <f t="shared" si="47"/>
        <v>007-0003-452094 BRICOLAJE BRICOMAN SL</v>
      </c>
      <c r="G630" s="12">
        <f t="shared" si="46"/>
        <v>442.64462809917359</v>
      </c>
      <c r="H630">
        <v>21</v>
      </c>
      <c r="I630" s="5">
        <f t="shared" si="50"/>
        <v>92.955371900826449</v>
      </c>
      <c r="J630" s="5">
        <f t="shared" si="48"/>
        <v>442.64462809917359</v>
      </c>
      <c r="L630" s="5">
        <f t="shared" si="49"/>
        <v>0</v>
      </c>
      <c r="M630" s="8">
        <v>535.6</v>
      </c>
      <c r="N630" s="2" t="s">
        <v>21</v>
      </c>
      <c r="O630" s="3" t="s">
        <v>64</v>
      </c>
    </row>
    <row r="631" spans="1:16" x14ac:dyDescent="0.35">
      <c r="A631" s="4">
        <v>45373</v>
      </c>
      <c r="B631" s="2" t="s">
        <v>1145</v>
      </c>
      <c r="D631" s="2" t="s">
        <v>132</v>
      </c>
      <c r="E631" s="2" t="s">
        <v>147</v>
      </c>
      <c r="F631" s="5" t="str">
        <f t="shared" si="47"/>
        <v>A/3999 AZULEJOS ROSA</v>
      </c>
      <c r="G631" s="12">
        <f t="shared" si="46"/>
        <v>2916</v>
      </c>
      <c r="H631">
        <v>21</v>
      </c>
      <c r="I631" s="5">
        <f t="shared" si="50"/>
        <v>612.36</v>
      </c>
      <c r="J631" s="5">
        <f t="shared" si="48"/>
        <v>2916</v>
      </c>
      <c r="L631" s="5">
        <f t="shared" si="49"/>
        <v>0</v>
      </c>
      <c r="M631" s="8">
        <v>3528.36</v>
      </c>
      <c r="N631" s="2" t="s">
        <v>21</v>
      </c>
      <c r="O631" s="3" t="s">
        <v>68</v>
      </c>
    </row>
    <row r="632" spans="1:16" x14ac:dyDescent="0.35">
      <c r="A632" s="4">
        <v>45373</v>
      </c>
      <c r="B632" s="2" t="s">
        <v>1146</v>
      </c>
      <c r="D632" s="2" t="s">
        <v>1147</v>
      </c>
      <c r="E632" s="2" t="s">
        <v>1148</v>
      </c>
      <c r="F632" s="5" t="str">
        <f t="shared" si="47"/>
        <v>2024FBFN00649594 CARREFOUR</v>
      </c>
      <c r="G632" s="12">
        <f t="shared" si="46"/>
        <v>68.206611570247944</v>
      </c>
      <c r="H632">
        <v>21</v>
      </c>
      <c r="I632" s="5">
        <f t="shared" si="50"/>
        <v>14.323388429752066</v>
      </c>
      <c r="J632" s="5">
        <f t="shared" si="48"/>
        <v>68.206611570247944</v>
      </c>
      <c r="L632" s="5">
        <f t="shared" si="49"/>
        <v>0</v>
      </c>
      <c r="M632" s="8">
        <v>82.53</v>
      </c>
      <c r="N632" s="2" t="s">
        <v>22</v>
      </c>
      <c r="O632" s="3" t="s">
        <v>64</v>
      </c>
    </row>
    <row r="633" spans="1:16" x14ac:dyDescent="0.35">
      <c r="A633" s="4">
        <v>45373</v>
      </c>
      <c r="B633" s="2" t="s">
        <v>1149</v>
      </c>
      <c r="D633" s="2" t="s">
        <v>58</v>
      </c>
      <c r="E633" s="2" t="s">
        <v>325</v>
      </c>
      <c r="F633" s="5" t="str">
        <f t="shared" si="47"/>
        <v>007-0003-472371 BRICOLAJE BRICOMAN SL</v>
      </c>
      <c r="G633" s="12">
        <f t="shared" si="46"/>
        <v>67.768595041322314</v>
      </c>
      <c r="H633">
        <v>21</v>
      </c>
      <c r="I633" s="5">
        <f t="shared" si="50"/>
        <v>14.231404958677686</v>
      </c>
      <c r="J633" s="5">
        <f t="shared" si="48"/>
        <v>67.768595041322314</v>
      </c>
      <c r="L633" s="5">
        <f t="shared" si="49"/>
        <v>0</v>
      </c>
      <c r="M633" s="8">
        <v>82</v>
      </c>
      <c r="N633" s="2" t="s">
        <v>21</v>
      </c>
      <c r="O633" s="3" t="s">
        <v>64</v>
      </c>
    </row>
    <row r="634" spans="1:16" x14ac:dyDescent="0.35">
      <c r="A634" s="4">
        <v>45374</v>
      </c>
      <c r="B634" s="2" t="s">
        <v>1150</v>
      </c>
      <c r="D634" s="2" t="s">
        <v>58</v>
      </c>
      <c r="E634" s="2" t="s">
        <v>325</v>
      </c>
      <c r="F634" s="5" t="str">
        <f t="shared" si="47"/>
        <v>011-0003-799814 BRICOLAJE BRICOMAN SL</v>
      </c>
      <c r="G634" s="12">
        <f t="shared" si="46"/>
        <v>5.7024793388429753</v>
      </c>
      <c r="H634">
        <v>21</v>
      </c>
      <c r="I634" s="5">
        <f t="shared" si="50"/>
        <v>1.1975206611570248</v>
      </c>
      <c r="J634" s="5">
        <f t="shared" si="48"/>
        <v>5.7024793388429753</v>
      </c>
      <c r="L634" s="5">
        <f t="shared" si="49"/>
        <v>0</v>
      </c>
      <c r="M634" s="8">
        <v>6.9</v>
      </c>
      <c r="N634" s="2" t="s">
        <v>21</v>
      </c>
      <c r="O634" s="3" t="s">
        <v>63</v>
      </c>
    </row>
    <row r="635" spans="1:16" x14ac:dyDescent="0.35">
      <c r="A635" s="4">
        <v>45377</v>
      </c>
      <c r="B635" s="2" t="s">
        <v>1151</v>
      </c>
      <c r="D635" s="2" t="s">
        <v>58</v>
      </c>
      <c r="E635" s="2" t="s">
        <v>325</v>
      </c>
      <c r="F635" s="5" t="str">
        <f t="shared" si="47"/>
        <v>007-0003-477062 BRICOLAJE BRICOMAN SL</v>
      </c>
      <c r="G635" s="12">
        <f t="shared" si="46"/>
        <v>189.87603305785126</v>
      </c>
      <c r="H635">
        <v>21</v>
      </c>
      <c r="I635" s="5">
        <f t="shared" si="50"/>
        <v>39.873966942148762</v>
      </c>
      <c r="J635" s="5">
        <f t="shared" si="48"/>
        <v>189.87603305785126</v>
      </c>
      <c r="L635" s="5">
        <f t="shared" si="49"/>
        <v>0</v>
      </c>
      <c r="M635" s="8">
        <v>229.75</v>
      </c>
      <c r="N635" s="2" t="s">
        <v>21</v>
      </c>
      <c r="O635" s="3" t="s">
        <v>64</v>
      </c>
    </row>
    <row r="636" spans="1:16" x14ac:dyDescent="0.35">
      <c r="A636" s="4">
        <v>45056</v>
      </c>
      <c r="B636" s="2" t="s">
        <v>1152</v>
      </c>
      <c r="D636" s="2" t="s">
        <v>1153</v>
      </c>
      <c r="E636" s="2" t="s">
        <v>1154</v>
      </c>
      <c r="F636" s="5" t="str">
        <f t="shared" si="47"/>
        <v>209 AURA MITOSERIU</v>
      </c>
      <c r="G636" s="12">
        <f t="shared" si="46"/>
        <v>2358</v>
      </c>
      <c r="H636">
        <v>21</v>
      </c>
      <c r="I636" s="5">
        <f t="shared" si="50"/>
        <v>495.18</v>
      </c>
      <c r="J636" s="5">
        <f t="shared" si="48"/>
        <v>2358</v>
      </c>
      <c r="L636" s="5">
        <f t="shared" si="49"/>
        <v>0</v>
      </c>
      <c r="M636" s="8">
        <v>2853.18</v>
      </c>
      <c r="N636" s="2" t="s">
        <v>37</v>
      </c>
      <c r="O636" s="3" t="s">
        <v>68</v>
      </c>
      <c r="P636" s="3" t="s">
        <v>1155</v>
      </c>
    </row>
    <row r="637" spans="1:16" x14ac:dyDescent="0.35">
      <c r="A637" s="4">
        <v>45370</v>
      </c>
      <c r="B637" s="2" t="s">
        <v>1156</v>
      </c>
      <c r="D637" s="2" t="s">
        <v>773</v>
      </c>
      <c r="E637" s="2" t="s">
        <v>774</v>
      </c>
      <c r="F637" s="5" t="str">
        <f t="shared" si="47"/>
        <v>249000385482 PETROPRIX</v>
      </c>
      <c r="G637" s="12">
        <f t="shared" si="46"/>
        <v>33.057851239669425</v>
      </c>
      <c r="H637">
        <v>21</v>
      </c>
      <c r="I637" s="5">
        <f t="shared" si="50"/>
        <v>6.9421487603305794</v>
      </c>
      <c r="J637" s="5">
        <f t="shared" si="48"/>
        <v>33.057851239669425</v>
      </c>
      <c r="L637" s="5">
        <f t="shared" si="49"/>
        <v>0</v>
      </c>
      <c r="M637" s="8">
        <v>40</v>
      </c>
      <c r="N637" s="2" t="s">
        <v>22</v>
      </c>
      <c r="O637" s="3" t="s">
        <v>63</v>
      </c>
    </row>
    <row r="638" spans="1:16" x14ac:dyDescent="0.35">
      <c r="A638" s="4">
        <v>45377</v>
      </c>
      <c r="B638" s="2" t="s">
        <v>1157</v>
      </c>
      <c r="D638" s="2" t="s">
        <v>29</v>
      </c>
      <c r="E638" s="2" t="s">
        <v>76</v>
      </c>
      <c r="F638" s="5" t="str">
        <f t="shared" si="47"/>
        <v>5477-2024-00376390 COSTCO</v>
      </c>
      <c r="G638" s="12">
        <f t="shared" si="46"/>
        <v>82.644628099173559</v>
      </c>
      <c r="H638">
        <v>21</v>
      </c>
      <c r="I638" s="5">
        <f t="shared" si="50"/>
        <v>17.355371900826448</v>
      </c>
      <c r="J638" s="5">
        <f t="shared" si="48"/>
        <v>82.644628099173559</v>
      </c>
      <c r="L638" s="5">
        <f t="shared" si="49"/>
        <v>0</v>
      </c>
      <c r="M638" s="8">
        <v>100</v>
      </c>
      <c r="N638" s="2" t="s">
        <v>22</v>
      </c>
      <c r="O638" s="3" t="s">
        <v>64</v>
      </c>
    </row>
    <row r="639" spans="1:16" x14ac:dyDescent="0.35">
      <c r="A639" s="4">
        <v>45369</v>
      </c>
      <c r="B639" s="2" t="s">
        <v>1158</v>
      </c>
      <c r="D639" s="2" t="s">
        <v>29</v>
      </c>
      <c r="E639" s="2" t="s">
        <v>76</v>
      </c>
      <c r="F639" s="5" t="str">
        <f t="shared" si="47"/>
        <v>5477-2024-00373702 COSTCO</v>
      </c>
      <c r="G639" s="12">
        <f t="shared" si="46"/>
        <v>65.132231404958688</v>
      </c>
      <c r="H639">
        <v>21</v>
      </c>
      <c r="I639" s="5">
        <f t="shared" si="50"/>
        <v>13.677768595041325</v>
      </c>
      <c r="J639" s="5">
        <f t="shared" si="48"/>
        <v>65.132231404958688</v>
      </c>
      <c r="L639" s="5">
        <f t="shared" si="49"/>
        <v>0</v>
      </c>
      <c r="M639" s="8">
        <v>78.81</v>
      </c>
      <c r="N639" s="2" t="s">
        <v>22</v>
      </c>
      <c r="O639" s="3" t="s">
        <v>63</v>
      </c>
    </row>
    <row r="640" spans="1:16" x14ac:dyDescent="0.35">
      <c r="A640" s="4">
        <v>45371</v>
      </c>
      <c r="B640" s="2" t="s">
        <v>631</v>
      </c>
      <c r="D640" s="2" t="s">
        <v>234</v>
      </c>
      <c r="E640" s="2" t="s">
        <v>235</v>
      </c>
      <c r="F640" s="5" t="str">
        <f t="shared" si="47"/>
        <v>04/24 VIOREL ROBCIUC</v>
      </c>
      <c r="G640" s="12">
        <f t="shared" si="46"/>
        <v>991.73553719008271</v>
      </c>
      <c r="H640">
        <v>21</v>
      </c>
      <c r="I640" s="5">
        <f t="shared" si="50"/>
        <v>208.26446280991738</v>
      </c>
      <c r="J640" s="5">
        <f t="shared" si="48"/>
        <v>991.73553719008271</v>
      </c>
      <c r="L640" s="5">
        <f t="shared" si="49"/>
        <v>0</v>
      </c>
      <c r="M640" s="8">
        <v>1200</v>
      </c>
      <c r="N640" s="2" t="s">
        <v>37</v>
      </c>
      <c r="O640" s="3" t="s">
        <v>68</v>
      </c>
    </row>
    <row r="641" spans="1:15" x14ac:dyDescent="0.35">
      <c r="A641" s="4">
        <v>45361</v>
      </c>
      <c r="B641" s="2" t="s">
        <v>1159</v>
      </c>
      <c r="D641" s="2" t="s">
        <v>95</v>
      </c>
      <c r="E641" s="2" t="s">
        <v>96</v>
      </c>
      <c r="F641" s="5" t="str">
        <f t="shared" si="47"/>
        <v>05/24 MARCEL DUMITER BEGOFF</v>
      </c>
      <c r="G641" s="12">
        <f t="shared" si="46"/>
        <v>700</v>
      </c>
      <c r="H641">
        <v>21</v>
      </c>
      <c r="I641" s="5">
        <f t="shared" si="50"/>
        <v>147</v>
      </c>
      <c r="J641" s="5">
        <f t="shared" si="48"/>
        <v>700</v>
      </c>
      <c r="L641" s="5">
        <f t="shared" si="49"/>
        <v>0</v>
      </c>
      <c r="M641" s="8">
        <v>847</v>
      </c>
      <c r="N641" s="2" t="s">
        <v>37</v>
      </c>
      <c r="O641" s="3" t="s">
        <v>64</v>
      </c>
    </row>
    <row r="642" spans="1:15" x14ac:dyDescent="0.35">
      <c r="A642" s="4">
        <v>45358</v>
      </c>
      <c r="B642" s="2" t="s">
        <v>1160</v>
      </c>
      <c r="D642" s="2" t="s">
        <v>1161</v>
      </c>
      <c r="E642" s="2" t="s">
        <v>1162</v>
      </c>
      <c r="F642" s="5" t="str">
        <f t="shared" si="47"/>
        <v>006844 BICIBOOM</v>
      </c>
      <c r="G642" s="12">
        <f t="shared" si="46"/>
        <v>37.190082644628099</v>
      </c>
      <c r="H642">
        <v>21</v>
      </c>
      <c r="I642" s="5">
        <f t="shared" si="50"/>
        <v>7.8099173553719003</v>
      </c>
      <c r="J642" s="5">
        <f t="shared" si="48"/>
        <v>37.190082644628099</v>
      </c>
      <c r="L642" s="5">
        <f t="shared" si="49"/>
        <v>0</v>
      </c>
      <c r="M642" s="8">
        <v>45</v>
      </c>
      <c r="N642" s="2" t="s">
        <v>21</v>
      </c>
      <c r="O642" s="3" t="s">
        <v>63</v>
      </c>
    </row>
    <row r="643" spans="1:15" x14ac:dyDescent="0.35">
      <c r="A643" s="4">
        <v>45377</v>
      </c>
      <c r="B643" s="2" t="s">
        <v>1163</v>
      </c>
      <c r="D643" s="2" t="s">
        <v>1164</v>
      </c>
      <c r="E643" s="2" t="s">
        <v>1165</v>
      </c>
      <c r="F643" s="5" t="str">
        <f t="shared" si="47"/>
        <v>00519 ESTUDIO DE COCINA COCISUR</v>
      </c>
      <c r="G643" s="12">
        <f t="shared" si="46"/>
        <v>3469.4132231404956</v>
      </c>
      <c r="H643">
        <v>21</v>
      </c>
      <c r="I643" s="5">
        <f t="shared" si="50"/>
        <v>728.57677685950398</v>
      </c>
      <c r="J643" s="5">
        <f t="shared" si="48"/>
        <v>3469.4132231404956</v>
      </c>
      <c r="L643" s="5">
        <f t="shared" si="49"/>
        <v>0</v>
      </c>
      <c r="M643" s="8">
        <v>4197.99</v>
      </c>
      <c r="N643" s="2" t="s">
        <v>37</v>
      </c>
      <c r="O643" s="3" t="s">
        <v>68</v>
      </c>
    </row>
    <row r="644" spans="1:15" x14ac:dyDescent="0.35">
      <c r="A644" s="4">
        <v>45320</v>
      </c>
      <c r="B644" s="2" t="s">
        <v>1166</v>
      </c>
      <c r="D644" s="2" t="s">
        <v>59</v>
      </c>
      <c r="E644" s="2" t="s">
        <v>43</v>
      </c>
      <c r="F644" s="5" t="str">
        <f t="shared" si="47"/>
        <v>1433100075 EUGENIO PEREDA</v>
      </c>
      <c r="G644" s="12">
        <f t="shared" si="46"/>
        <v>219.84297520661156</v>
      </c>
      <c r="H644">
        <v>21</v>
      </c>
      <c r="I644" s="5">
        <f t="shared" si="50"/>
        <v>46.167024793388428</v>
      </c>
      <c r="J644" s="5">
        <f t="shared" si="48"/>
        <v>219.84297520661156</v>
      </c>
      <c r="L644" s="5">
        <f t="shared" si="49"/>
        <v>0</v>
      </c>
      <c r="M644" s="8">
        <v>266.01</v>
      </c>
      <c r="N644" s="2" t="s">
        <v>21</v>
      </c>
      <c r="O644" s="3" t="s">
        <v>63</v>
      </c>
    </row>
    <row r="645" spans="1:15" x14ac:dyDescent="0.35">
      <c r="A645" s="4">
        <v>45382</v>
      </c>
      <c r="B645" s="2" t="s">
        <v>1197</v>
      </c>
      <c r="D645" s="2" t="s">
        <v>40</v>
      </c>
      <c r="E645" s="2" t="s">
        <v>41</v>
      </c>
      <c r="F645" s="5" t="str">
        <f t="shared" si="47"/>
        <v>495/24 CONTENEDORES OSCONSUR</v>
      </c>
      <c r="G645" s="12">
        <f t="shared" si="46"/>
        <v>2685.9999999999995</v>
      </c>
      <c r="H645">
        <v>10</v>
      </c>
      <c r="I645" s="5">
        <f t="shared" si="50"/>
        <v>268.59999999999997</v>
      </c>
      <c r="J645" s="5">
        <f t="shared" si="48"/>
        <v>2685.9999999999995</v>
      </c>
      <c r="L645" s="5">
        <f t="shared" si="49"/>
        <v>0</v>
      </c>
      <c r="M645" s="8">
        <v>2954.6</v>
      </c>
      <c r="N645" s="2" t="s">
        <v>33</v>
      </c>
      <c r="O645" s="3" t="s">
        <v>65</v>
      </c>
    </row>
    <row r="646" spans="1:15" x14ac:dyDescent="0.35">
      <c r="A646" s="4">
        <v>45372</v>
      </c>
      <c r="B646" s="2" t="s">
        <v>353</v>
      </c>
      <c r="D646" s="2" t="s">
        <v>1198</v>
      </c>
      <c r="E646" s="2" t="s">
        <v>1199</v>
      </c>
      <c r="F646" s="5" t="str">
        <f t="shared" si="47"/>
        <v>16 INSTALATE CALIN HORATOI IELCEAN</v>
      </c>
      <c r="G646" s="12">
        <f t="shared" si="46"/>
        <v>1300.3966942148761</v>
      </c>
      <c r="H646">
        <v>21</v>
      </c>
      <c r="I646" s="5">
        <f t="shared" si="50"/>
        <v>273.08330578512397</v>
      </c>
      <c r="J646" s="5">
        <f t="shared" si="48"/>
        <v>1300.3966942148761</v>
      </c>
      <c r="L646" s="5">
        <f t="shared" si="49"/>
        <v>0</v>
      </c>
      <c r="M646" s="8">
        <v>1573.48</v>
      </c>
      <c r="N646" s="2" t="s">
        <v>21</v>
      </c>
      <c r="O646" s="3" t="s">
        <v>68</v>
      </c>
    </row>
    <row r="647" spans="1:15" x14ac:dyDescent="0.35">
      <c r="A647" s="4">
        <v>45364</v>
      </c>
      <c r="B647" s="2" t="s">
        <v>1202</v>
      </c>
      <c r="D647" s="2" t="s">
        <v>1203</v>
      </c>
      <c r="E647" s="2" t="s">
        <v>1204</v>
      </c>
      <c r="F647" s="5" t="str">
        <f t="shared" si="47"/>
        <v>G 9251 AZULEJOS PEÑA</v>
      </c>
      <c r="G647" s="12">
        <f t="shared" si="46"/>
        <v>592.19008264462809</v>
      </c>
      <c r="H647">
        <v>21</v>
      </c>
      <c r="I647" s="5">
        <f t="shared" si="50"/>
        <v>124.35991735537191</v>
      </c>
      <c r="J647" s="5">
        <f t="shared" si="48"/>
        <v>592.19008264462809</v>
      </c>
      <c r="L647" s="5">
        <f t="shared" si="49"/>
        <v>0</v>
      </c>
      <c r="M647" s="8">
        <v>716.55</v>
      </c>
      <c r="N647" s="2" t="s">
        <v>21</v>
      </c>
      <c r="O647" s="3" t="s">
        <v>64</v>
      </c>
    </row>
    <row r="648" spans="1:15" x14ac:dyDescent="0.35">
      <c r="A648" s="4">
        <v>45366</v>
      </c>
      <c r="B648" s="2" t="s">
        <v>1205</v>
      </c>
      <c r="D648" s="2" t="s">
        <v>132</v>
      </c>
      <c r="E648" s="2" t="s">
        <v>147</v>
      </c>
      <c r="F648" s="5" t="str">
        <f t="shared" si="47"/>
        <v>A/3573 AZULEJOS ROSA</v>
      </c>
      <c r="G648" s="12">
        <f t="shared" si="46"/>
        <v>748.68595041322317</v>
      </c>
      <c r="H648">
        <v>21</v>
      </c>
      <c r="I648" s="5">
        <f t="shared" si="50"/>
        <v>157.22404958677689</v>
      </c>
      <c r="J648" s="5">
        <f t="shared" si="48"/>
        <v>748.68595041322317</v>
      </c>
      <c r="L648" s="5">
        <f t="shared" si="49"/>
        <v>0</v>
      </c>
      <c r="M648" s="8">
        <v>905.91</v>
      </c>
      <c r="N648" s="2" t="s">
        <v>21</v>
      </c>
      <c r="O648" s="3" t="s">
        <v>68</v>
      </c>
    </row>
    <row r="649" spans="1:15" x14ac:dyDescent="0.35">
      <c r="A649" s="4">
        <v>45372</v>
      </c>
      <c r="B649" s="2" t="s">
        <v>1206</v>
      </c>
      <c r="D649" s="2" t="s">
        <v>132</v>
      </c>
      <c r="E649" s="2" t="s">
        <v>147</v>
      </c>
      <c r="F649" s="5" t="str">
        <f t="shared" si="47"/>
        <v>A/3927 AZULEJOS ROSA</v>
      </c>
      <c r="G649" s="12">
        <f t="shared" si="46"/>
        <v>95.900826446281002</v>
      </c>
      <c r="H649">
        <v>21</v>
      </c>
      <c r="I649" s="5">
        <f t="shared" si="50"/>
        <v>20.139173553719012</v>
      </c>
      <c r="J649" s="5">
        <f t="shared" si="48"/>
        <v>95.900826446281002</v>
      </c>
      <c r="L649" s="5">
        <f t="shared" si="49"/>
        <v>0</v>
      </c>
      <c r="M649" s="8">
        <v>116.04</v>
      </c>
      <c r="N649" s="2" t="s">
        <v>21</v>
      </c>
      <c r="O649" s="3" t="s">
        <v>64</v>
      </c>
    </row>
    <row r="650" spans="1:15" x14ac:dyDescent="0.35">
      <c r="A650" s="4">
        <v>45363</v>
      </c>
      <c r="B650" s="2" t="s">
        <v>1207</v>
      </c>
      <c r="D650" s="2" t="s">
        <v>1203</v>
      </c>
      <c r="E650" s="2" t="s">
        <v>1204</v>
      </c>
      <c r="F650" s="5" t="str">
        <f t="shared" si="47"/>
        <v>EC 614 AZULEJOS PEÑA</v>
      </c>
      <c r="G650" s="12">
        <f t="shared" si="46"/>
        <v>206.61157024793388</v>
      </c>
      <c r="H650">
        <v>21</v>
      </c>
      <c r="I650" s="5">
        <f t="shared" si="50"/>
        <v>43.388429752066116</v>
      </c>
      <c r="J650" s="5">
        <f t="shared" si="48"/>
        <v>206.61157024793388</v>
      </c>
      <c r="L650" s="5">
        <f t="shared" si="49"/>
        <v>0</v>
      </c>
      <c r="M650" s="8">
        <v>250</v>
      </c>
      <c r="N650" s="2" t="s">
        <v>21</v>
      </c>
      <c r="O650" s="3" t="s">
        <v>64</v>
      </c>
    </row>
    <row r="651" spans="1:15" x14ac:dyDescent="0.35">
      <c r="A651" s="4">
        <v>45370</v>
      </c>
      <c r="B651" s="2" t="s">
        <v>1208</v>
      </c>
      <c r="D651" s="2" t="s">
        <v>132</v>
      </c>
      <c r="E651" s="2" t="s">
        <v>147</v>
      </c>
      <c r="F651" s="5" t="str">
        <f t="shared" si="47"/>
        <v>A/3749 AZULEJOS ROSA</v>
      </c>
      <c r="G651" s="12">
        <f t="shared" si="46"/>
        <v>742.46280991735534</v>
      </c>
      <c r="H651">
        <v>21</v>
      </c>
      <c r="I651" s="5">
        <f t="shared" si="50"/>
        <v>155.91719008264462</v>
      </c>
      <c r="J651" s="5">
        <f t="shared" si="48"/>
        <v>742.46280991735534</v>
      </c>
      <c r="L651" s="5">
        <f t="shared" si="49"/>
        <v>0</v>
      </c>
      <c r="M651" s="8">
        <v>898.38</v>
      </c>
      <c r="N651" s="2" t="s">
        <v>21</v>
      </c>
      <c r="O651" s="3" t="s">
        <v>64</v>
      </c>
    </row>
    <row r="652" spans="1:15" x14ac:dyDescent="0.35">
      <c r="A652" s="4">
        <v>45372</v>
      </c>
      <c r="B652" s="2" t="s">
        <v>1209</v>
      </c>
      <c r="D652" s="2" t="s">
        <v>132</v>
      </c>
      <c r="E652" s="2" t="s">
        <v>147</v>
      </c>
      <c r="F652" s="5" t="str">
        <f t="shared" si="47"/>
        <v>A/3893 AZULEJOS ROSA</v>
      </c>
      <c r="G652" s="12">
        <f t="shared" si="46"/>
        <v>95.776859504132233</v>
      </c>
      <c r="H652">
        <v>21</v>
      </c>
      <c r="I652" s="5">
        <f t="shared" si="50"/>
        <v>20.113140495867768</v>
      </c>
      <c r="J652" s="5">
        <f t="shared" si="48"/>
        <v>95.776859504132233</v>
      </c>
      <c r="L652" s="5">
        <f t="shared" si="49"/>
        <v>0</v>
      </c>
      <c r="M652" s="8">
        <v>115.89</v>
      </c>
      <c r="N652" s="2" t="s">
        <v>21</v>
      </c>
      <c r="O652" s="3" t="s">
        <v>64</v>
      </c>
    </row>
    <row r="653" spans="1:15" x14ac:dyDescent="0.35">
      <c r="A653" s="4">
        <v>45376</v>
      </c>
      <c r="B653" s="2" t="s">
        <v>1210</v>
      </c>
      <c r="D653" s="2" t="s">
        <v>132</v>
      </c>
      <c r="E653" s="2" t="s">
        <v>147</v>
      </c>
      <c r="F653" s="5" t="str">
        <f t="shared" si="47"/>
        <v>A/4090 AZULEJOS ROSA</v>
      </c>
      <c r="G653" s="12">
        <f t="shared" si="46"/>
        <v>405.36363636363637</v>
      </c>
      <c r="H653">
        <v>21</v>
      </c>
      <c r="I653" s="5">
        <f t="shared" si="50"/>
        <v>85.126363636363635</v>
      </c>
      <c r="J653" s="5">
        <f t="shared" si="48"/>
        <v>405.36363636363637</v>
      </c>
      <c r="L653" s="5">
        <f t="shared" si="49"/>
        <v>0</v>
      </c>
      <c r="M653" s="8">
        <v>490.49</v>
      </c>
      <c r="N653" s="2" t="s">
        <v>21</v>
      </c>
      <c r="O653" s="3" t="s">
        <v>64</v>
      </c>
    </row>
    <row r="654" spans="1:15" x14ac:dyDescent="0.35">
      <c r="A654" s="4">
        <v>45366</v>
      </c>
      <c r="B654" s="2" t="s">
        <v>1211</v>
      </c>
      <c r="D654" s="2" t="s">
        <v>58</v>
      </c>
      <c r="E654" s="2" t="s">
        <v>325</v>
      </c>
      <c r="F654" s="5" t="str">
        <f t="shared" si="47"/>
        <v>007-0003-461182 BRICOLAJE BRICOMAN SL</v>
      </c>
      <c r="G654" s="12">
        <f t="shared" si="46"/>
        <v>63.719008264462808</v>
      </c>
      <c r="H654">
        <v>21</v>
      </c>
      <c r="I654" s="5">
        <f t="shared" si="50"/>
        <v>13.380991735537188</v>
      </c>
      <c r="J654" s="5">
        <f t="shared" si="48"/>
        <v>63.719008264462808</v>
      </c>
      <c r="L654" s="5">
        <f t="shared" si="49"/>
        <v>0</v>
      </c>
      <c r="M654" s="8">
        <v>77.099999999999994</v>
      </c>
      <c r="N654" s="2" t="s">
        <v>21</v>
      </c>
      <c r="O654" s="3" t="s">
        <v>64</v>
      </c>
    </row>
    <row r="655" spans="1:15" x14ac:dyDescent="0.35">
      <c r="A655" s="4">
        <v>45365</v>
      </c>
      <c r="B655" s="2" t="s">
        <v>1212</v>
      </c>
      <c r="D655" s="2" t="s">
        <v>58</v>
      </c>
      <c r="E655" s="2" t="s">
        <v>325</v>
      </c>
      <c r="F655" s="5" t="str">
        <f t="shared" si="47"/>
        <v>024-0003-978079 BRICOLAJE BRICOMAN SL</v>
      </c>
      <c r="G655" s="12">
        <f t="shared" si="46"/>
        <v>75.570247933884303</v>
      </c>
      <c r="H655">
        <v>21</v>
      </c>
      <c r="I655" s="5">
        <f t="shared" si="50"/>
        <v>15.869752066115705</v>
      </c>
      <c r="J655" s="5">
        <f t="shared" si="48"/>
        <v>75.570247933884303</v>
      </c>
      <c r="L655" s="5">
        <f t="shared" si="49"/>
        <v>0</v>
      </c>
      <c r="M655" s="8">
        <v>91.44</v>
      </c>
      <c r="N655" s="2" t="s">
        <v>21</v>
      </c>
      <c r="O655" s="3" t="s">
        <v>64</v>
      </c>
    </row>
    <row r="656" spans="1:15" x14ac:dyDescent="0.35">
      <c r="A656" s="4">
        <v>45364</v>
      </c>
      <c r="B656" s="2" t="s">
        <v>1214</v>
      </c>
      <c r="D656" s="2" t="s">
        <v>58</v>
      </c>
      <c r="E656" s="2" t="s">
        <v>325</v>
      </c>
      <c r="F656" s="5" t="str">
        <f t="shared" si="47"/>
        <v>007-0003-458108 BRICOLAJE BRICOMAN SL</v>
      </c>
      <c r="G656" s="12">
        <f t="shared" si="46"/>
        <v>74.545454545454547</v>
      </c>
      <c r="H656">
        <v>21</v>
      </c>
      <c r="I656" s="5">
        <f t="shared" si="50"/>
        <v>15.654545454545454</v>
      </c>
      <c r="J656" s="5">
        <f t="shared" si="48"/>
        <v>74.545454545454547</v>
      </c>
      <c r="L656" s="5">
        <f t="shared" si="49"/>
        <v>0</v>
      </c>
      <c r="M656" s="8">
        <v>90.2</v>
      </c>
      <c r="N656" s="2" t="s">
        <v>21</v>
      </c>
      <c r="O656" s="3" t="s">
        <v>64</v>
      </c>
    </row>
    <row r="657" spans="1:15" x14ac:dyDescent="0.35">
      <c r="A657" s="4">
        <v>45366</v>
      </c>
      <c r="B657" s="2" t="s">
        <v>1215</v>
      </c>
      <c r="D657" s="2" t="s">
        <v>58</v>
      </c>
      <c r="E657" s="2" t="s">
        <v>325</v>
      </c>
      <c r="F657" s="5" t="str">
        <f t="shared" si="47"/>
        <v>007-0003-461231 BRICOLAJE BRICOMAN SL</v>
      </c>
      <c r="G657" s="12">
        <f t="shared" si="46"/>
        <v>61.148760330578511</v>
      </c>
      <c r="H657">
        <v>21</v>
      </c>
      <c r="I657" s="5">
        <f t="shared" si="50"/>
        <v>12.841239669421489</v>
      </c>
      <c r="J657" s="5">
        <f t="shared" si="48"/>
        <v>61.148760330578511</v>
      </c>
      <c r="L657" s="5">
        <f t="shared" si="49"/>
        <v>0</v>
      </c>
      <c r="M657" s="8">
        <v>73.989999999999995</v>
      </c>
      <c r="N657" s="2" t="s">
        <v>21</v>
      </c>
      <c r="O657" s="3" t="s">
        <v>64</v>
      </c>
    </row>
    <row r="658" spans="1:15" x14ac:dyDescent="0.35">
      <c r="A658" s="4">
        <v>45366</v>
      </c>
      <c r="B658" s="2" t="s">
        <v>1216</v>
      </c>
      <c r="D658" s="2" t="s">
        <v>58</v>
      </c>
      <c r="E658" s="2" t="s">
        <v>325</v>
      </c>
      <c r="F658" s="5" t="str">
        <f t="shared" si="47"/>
        <v>007-0003-461110 BRICOLAJE BRICOMAN SL</v>
      </c>
      <c r="G658" s="12">
        <f t="shared" si="46"/>
        <v>23.719008264462811</v>
      </c>
      <c r="H658">
        <v>21</v>
      </c>
      <c r="I658" s="5">
        <f t="shared" si="50"/>
        <v>4.9809917355371907</v>
      </c>
      <c r="J658" s="5">
        <f t="shared" si="48"/>
        <v>23.719008264462811</v>
      </c>
      <c r="L658" s="5">
        <f t="shared" si="49"/>
        <v>0</v>
      </c>
      <c r="M658" s="8">
        <v>28.7</v>
      </c>
      <c r="N658" s="2" t="s">
        <v>21</v>
      </c>
      <c r="O658" s="3" t="s">
        <v>64</v>
      </c>
    </row>
    <row r="659" spans="1:15" x14ac:dyDescent="0.35">
      <c r="A659" s="4">
        <v>45369</v>
      </c>
      <c r="B659" s="2" t="s">
        <v>1217</v>
      </c>
      <c r="D659" s="2" t="s">
        <v>58</v>
      </c>
      <c r="E659" s="2" t="s">
        <v>325</v>
      </c>
      <c r="F659" s="5" t="str">
        <f t="shared" si="47"/>
        <v>007-0003-464433 BRICOLAJE BRICOMAN SL</v>
      </c>
      <c r="G659" s="12">
        <f t="shared" si="46"/>
        <v>51.900826446280988</v>
      </c>
      <c r="H659">
        <v>21</v>
      </c>
      <c r="I659" s="5">
        <f t="shared" si="50"/>
        <v>10.899173553719008</v>
      </c>
      <c r="J659" s="5">
        <f t="shared" si="48"/>
        <v>51.900826446280988</v>
      </c>
      <c r="L659" s="5">
        <f t="shared" si="49"/>
        <v>0</v>
      </c>
      <c r="M659" s="8">
        <v>62.8</v>
      </c>
      <c r="N659" s="2" t="s">
        <v>21</v>
      </c>
      <c r="O659" s="3" t="s">
        <v>64</v>
      </c>
    </row>
    <row r="660" spans="1:15" x14ac:dyDescent="0.35">
      <c r="A660" s="4">
        <v>45369</v>
      </c>
      <c r="B660" s="2" t="s">
        <v>1218</v>
      </c>
      <c r="D660" s="2" t="s">
        <v>58</v>
      </c>
      <c r="E660" s="2" t="s">
        <v>325</v>
      </c>
      <c r="F660" s="5" t="str">
        <f t="shared" si="47"/>
        <v>007-0003-464472 BRICOLAJE BRICOMAN SL</v>
      </c>
      <c r="G660" s="12">
        <f t="shared" si="46"/>
        <v>74.776859504132233</v>
      </c>
      <c r="H660">
        <v>21</v>
      </c>
      <c r="I660" s="5">
        <f t="shared" si="50"/>
        <v>15.703140495867769</v>
      </c>
      <c r="J660" s="5">
        <f t="shared" si="48"/>
        <v>74.776859504132233</v>
      </c>
      <c r="L660" s="5">
        <f t="shared" si="49"/>
        <v>0</v>
      </c>
      <c r="M660" s="8">
        <v>90.48</v>
      </c>
      <c r="N660" s="2" t="s">
        <v>21</v>
      </c>
      <c r="O660" s="3" t="s">
        <v>64</v>
      </c>
    </row>
    <row r="661" spans="1:15" x14ac:dyDescent="0.35">
      <c r="A661" s="4">
        <v>45369</v>
      </c>
      <c r="B661" s="2" t="s">
        <v>1219</v>
      </c>
      <c r="D661" s="2" t="s">
        <v>58</v>
      </c>
      <c r="E661" s="2" t="s">
        <v>325</v>
      </c>
      <c r="F661" s="5" t="str">
        <f t="shared" si="47"/>
        <v>007-0003-464913 BRICOLAJE BRICOMAN SL</v>
      </c>
      <c r="G661" s="12">
        <f t="shared" si="46"/>
        <v>137.85123966942149</v>
      </c>
      <c r="H661">
        <v>21</v>
      </c>
      <c r="I661" s="5">
        <f t="shared" si="50"/>
        <v>28.948760330578512</v>
      </c>
      <c r="J661" s="5">
        <f t="shared" si="48"/>
        <v>137.85123966942149</v>
      </c>
      <c r="L661" s="5">
        <f t="shared" si="49"/>
        <v>0</v>
      </c>
      <c r="M661" s="8">
        <v>166.8</v>
      </c>
      <c r="N661" s="2" t="s">
        <v>21</v>
      </c>
      <c r="O661" s="3" t="s">
        <v>64</v>
      </c>
    </row>
    <row r="662" spans="1:15" x14ac:dyDescent="0.35">
      <c r="A662" s="4">
        <v>45370</v>
      </c>
      <c r="B662" s="2" t="s">
        <v>1220</v>
      </c>
      <c r="D662" s="2" t="s">
        <v>58</v>
      </c>
      <c r="E662" s="2" t="s">
        <v>325</v>
      </c>
      <c r="F662" s="5" t="str">
        <f t="shared" si="47"/>
        <v>007-0003-466399 BRICOLAJE BRICOMAN SL</v>
      </c>
      <c r="G662" s="12">
        <f t="shared" si="46"/>
        <v>24.834710743801654</v>
      </c>
      <c r="H662">
        <v>21</v>
      </c>
      <c r="I662" s="5">
        <f t="shared" si="50"/>
        <v>5.2152892561983473</v>
      </c>
      <c r="J662" s="5">
        <f t="shared" si="48"/>
        <v>24.834710743801654</v>
      </c>
      <c r="L662" s="5">
        <f t="shared" si="49"/>
        <v>0</v>
      </c>
      <c r="M662" s="8">
        <v>30.05</v>
      </c>
      <c r="N662" s="2" t="s">
        <v>21</v>
      </c>
      <c r="O662" s="3" t="s">
        <v>64</v>
      </c>
    </row>
    <row r="663" spans="1:15" x14ac:dyDescent="0.35">
      <c r="A663" s="4">
        <v>45370</v>
      </c>
      <c r="B663" s="2" t="s">
        <v>1221</v>
      </c>
      <c r="D663" s="2" t="s">
        <v>58</v>
      </c>
      <c r="E663" s="2" t="s">
        <v>325</v>
      </c>
      <c r="F663" s="5" t="str">
        <f t="shared" si="47"/>
        <v>007-0003-466457 BRICOLAJE BRICOMAN SL</v>
      </c>
      <c r="G663" s="12">
        <f t="shared" si="46"/>
        <v>119.90909090909092</v>
      </c>
      <c r="H663">
        <v>21</v>
      </c>
      <c r="I663" s="5">
        <f t="shared" si="50"/>
        <v>25.180909090909093</v>
      </c>
      <c r="J663" s="5">
        <f t="shared" si="48"/>
        <v>119.90909090909092</v>
      </c>
      <c r="L663" s="5">
        <f t="shared" si="49"/>
        <v>0</v>
      </c>
      <c r="M663" s="8">
        <v>145.09</v>
      </c>
      <c r="N663" s="2" t="s">
        <v>21</v>
      </c>
      <c r="O663" s="3" t="s">
        <v>64</v>
      </c>
    </row>
    <row r="664" spans="1:15" x14ac:dyDescent="0.35">
      <c r="A664" s="4">
        <v>45371</v>
      </c>
      <c r="B664" s="2" t="s">
        <v>1222</v>
      </c>
      <c r="D664" s="2" t="s">
        <v>58</v>
      </c>
      <c r="E664" s="2" t="s">
        <v>325</v>
      </c>
      <c r="F664" s="5" t="str">
        <f t="shared" si="47"/>
        <v>007-0003-468107 BRICOLAJE BRICOMAN SL</v>
      </c>
      <c r="G664" s="12">
        <f t="shared" si="46"/>
        <v>121.34710743801654</v>
      </c>
      <c r="H664">
        <v>21</v>
      </c>
      <c r="I664" s="5">
        <f t="shared" si="50"/>
        <v>25.482892561983473</v>
      </c>
      <c r="J664" s="5">
        <f t="shared" si="48"/>
        <v>121.34710743801654</v>
      </c>
      <c r="L664" s="5">
        <f t="shared" si="49"/>
        <v>0</v>
      </c>
      <c r="M664" s="8">
        <v>146.83000000000001</v>
      </c>
      <c r="N664" s="2" t="s">
        <v>21</v>
      </c>
      <c r="O664" s="3" t="s">
        <v>64</v>
      </c>
    </row>
    <row r="665" spans="1:15" x14ac:dyDescent="0.35">
      <c r="A665" s="4">
        <v>45371</v>
      </c>
      <c r="B665" s="2" t="s">
        <v>1223</v>
      </c>
      <c r="D665" s="2" t="s">
        <v>58</v>
      </c>
      <c r="E665" s="2" t="s">
        <v>325</v>
      </c>
      <c r="F665" s="5" t="str">
        <f t="shared" si="47"/>
        <v>007-0003-468133 BRICOLAJE BRICOMAN SL</v>
      </c>
      <c r="G665" s="12">
        <f t="shared" si="46"/>
        <v>15.669421487603307</v>
      </c>
      <c r="H665">
        <v>21</v>
      </c>
      <c r="I665" s="5">
        <f t="shared" si="50"/>
        <v>3.2905785123966944</v>
      </c>
      <c r="J665" s="5">
        <f t="shared" si="48"/>
        <v>15.669421487603307</v>
      </c>
      <c r="L665" s="5">
        <f t="shared" si="49"/>
        <v>0</v>
      </c>
      <c r="M665" s="8">
        <v>18.96</v>
      </c>
      <c r="N665" s="2" t="s">
        <v>21</v>
      </c>
      <c r="O665" s="3" t="s">
        <v>64</v>
      </c>
    </row>
    <row r="666" spans="1:15" x14ac:dyDescent="0.35">
      <c r="A666" s="4">
        <v>45371</v>
      </c>
      <c r="B666" s="2" t="s">
        <v>1224</v>
      </c>
      <c r="D666" s="2" t="s">
        <v>58</v>
      </c>
      <c r="E666" s="2" t="s">
        <v>325</v>
      </c>
      <c r="F666" s="5" t="str">
        <f t="shared" si="47"/>
        <v>007-0003-468749 BRICOLAJE BRICOMAN SL</v>
      </c>
      <c r="G666" s="12">
        <f t="shared" ref="G666:G693" si="51">M666/(1-K666/100+H666/100)</f>
        <v>27.314049586776857</v>
      </c>
      <c r="H666">
        <v>21</v>
      </c>
      <c r="I666" s="5">
        <f t="shared" si="50"/>
        <v>5.73595041322314</v>
      </c>
      <c r="J666" s="5">
        <f t="shared" si="48"/>
        <v>27.314049586776857</v>
      </c>
      <c r="L666" s="5">
        <f t="shared" si="49"/>
        <v>0</v>
      </c>
      <c r="M666" s="8">
        <v>33.049999999999997</v>
      </c>
      <c r="N666" s="2" t="s">
        <v>21</v>
      </c>
      <c r="O666" s="3" t="s">
        <v>64</v>
      </c>
    </row>
    <row r="667" spans="1:15" x14ac:dyDescent="0.35">
      <c r="A667" s="4">
        <v>45372</v>
      </c>
      <c r="B667" s="2" t="s">
        <v>1225</v>
      </c>
      <c r="D667" s="2" t="s">
        <v>58</v>
      </c>
      <c r="E667" s="2" t="s">
        <v>325</v>
      </c>
      <c r="F667" s="5" t="str">
        <f t="shared" si="47"/>
        <v>007-0003-469890 BRICOLAJE BRICOMAN SL</v>
      </c>
      <c r="G667" s="12">
        <f t="shared" si="51"/>
        <v>16.595041322314049</v>
      </c>
      <c r="H667">
        <v>21</v>
      </c>
      <c r="I667" s="5">
        <f t="shared" si="50"/>
        <v>3.4849586776859502</v>
      </c>
      <c r="J667" s="5">
        <f t="shared" si="48"/>
        <v>16.595041322314049</v>
      </c>
      <c r="L667" s="5">
        <f t="shared" si="49"/>
        <v>0</v>
      </c>
      <c r="M667" s="8">
        <v>20.079999999999998</v>
      </c>
      <c r="N667" s="2" t="s">
        <v>21</v>
      </c>
      <c r="O667" s="3" t="s">
        <v>64</v>
      </c>
    </row>
    <row r="668" spans="1:15" x14ac:dyDescent="0.35">
      <c r="A668" s="4">
        <v>45372</v>
      </c>
      <c r="B668" s="2" t="s">
        <v>1226</v>
      </c>
      <c r="D668" s="2" t="s">
        <v>58</v>
      </c>
      <c r="E668" s="2" t="s">
        <v>325</v>
      </c>
      <c r="F668" s="5" t="str">
        <f t="shared" si="47"/>
        <v>011-0003-797159 BRICOLAJE BRICOMAN SL</v>
      </c>
      <c r="G668" s="12">
        <f t="shared" si="51"/>
        <v>21.107438016528924</v>
      </c>
      <c r="H668">
        <v>21</v>
      </c>
      <c r="I668" s="5">
        <f t="shared" si="50"/>
        <v>4.4325619834710741</v>
      </c>
      <c r="J668" s="5">
        <f t="shared" si="48"/>
        <v>21.107438016528924</v>
      </c>
      <c r="L668" s="5">
        <f t="shared" si="49"/>
        <v>0</v>
      </c>
      <c r="M668" s="8">
        <v>25.54</v>
      </c>
      <c r="N668" s="2" t="s">
        <v>21</v>
      </c>
      <c r="O668" s="3" t="s">
        <v>64</v>
      </c>
    </row>
    <row r="669" spans="1:15" x14ac:dyDescent="0.35">
      <c r="A669" s="4">
        <v>45372</v>
      </c>
      <c r="B669" s="2" t="s">
        <v>1227</v>
      </c>
      <c r="D669" s="2" t="s">
        <v>58</v>
      </c>
      <c r="E669" s="2" t="s">
        <v>325</v>
      </c>
      <c r="F669" s="5" t="str">
        <f t="shared" si="47"/>
        <v>004-0003-351729 BRICOLAJE BRICOMAN SL</v>
      </c>
      <c r="G669" s="12">
        <f t="shared" si="51"/>
        <v>562.43801652892557</v>
      </c>
      <c r="H669">
        <v>21</v>
      </c>
      <c r="I669" s="5">
        <f t="shared" si="50"/>
        <v>118.11198347107437</v>
      </c>
      <c r="J669" s="5">
        <f t="shared" si="48"/>
        <v>562.43801652892557</v>
      </c>
      <c r="L669" s="5">
        <f t="shared" si="49"/>
        <v>0</v>
      </c>
      <c r="M669" s="8">
        <v>680.55</v>
      </c>
      <c r="N669" s="2" t="s">
        <v>21</v>
      </c>
      <c r="O669" s="3" t="s">
        <v>64</v>
      </c>
    </row>
    <row r="670" spans="1:15" x14ac:dyDescent="0.35">
      <c r="A670" s="4">
        <v>45373</v>
      </c>
      <c r="B670" s="2" t="s">
        <v>1228</v>
      </c>
      <c r="D670" s="2" t="s">
        <v>58</v>
      </c>
      <c r="E670" s="2" t="s">
        <v>325</v>
      </c>
      <c r="F670" s="5" t="str">
        <f t="shared" si="47"/>
        <v>007-0003-471185 BRICOLAJE BRICOMAN SL</v>
      </c>
      <c r="G670" s="12">
        <f t="shared" si="51"/>
        <v>40.033057851239668</v>
      </c>
      <c r="H670">
        <v>21</v>
      </c>
      <c r="I670" s="5">
        <f t="shared" si="50"/>
        <v>8.4069421487603293</v>
      </c>
      <c r="J670" s="5">
        <f t="shared" si="48"/>
        <v>40.033057851239668</v>
      </c>
      <c r="L670" s="5">
        <f t="shared" si="49"/>
        <v>0</v>
      </c>
      <c r="M670" s="8">
        <v>48.44</v>
      </c>
      <c r="N670" s="2" t="s">
        <v>21</v>
      </c>
      <c r="O670" s="3" t="s">
        <v>64</v>
      </c>
    </row>
    <row r="671" spans="1:15" x14ac:dyDescent="0.35">
      <c r="A671" s="4">
        <v>45373</v>
      </c>
      <c r="B671" s="2" t="s">
        <v>1229</v>
      </c>
      <c r="D671" s="2" t="s">
        <v>58</v>
      </c>
      <c r="E671" s="2" t="s">
        <v>325</v>
      </c>
      <c r="F671" s="5" t="str">
        <f t="shared" si="47"/>
        <v>007-0003-471265 BRICOLAJE BRICOMAN SL</v>
      </c>
      <c r="G671" s="12">
        <f t="shared" si="51"/>
        <v>35.289256198347111</v>
      </c>
      <c r="H671">
        <v>21</v>
      </c>
      <c r="I671" s="5">
        <f t="shared" si="50"/>
        <v>7.4107438016528935</v>
      </c>
      <c r="J671" s="5">
        <f t="shared" si="48"/>
        <v>35.289256198347111</v>
      </c>
      <c r="L671" s="5">
        <f t="shared" si="49"/>
        <v>0</v>
      </c>
      <c r="M671" s="8">
        <v>42.7</v>
      </c>
      <c r="N671" s="2" t="s">
        <v>21</v>
      </c>
      <c r="O671" s="3" t="s">
        <v>64</v>
      </c>
    </row>
    <row r="672" spans="1:15" x14ac:dyDescent="0.35">
      <c r="A672" s="4">
        <v>45374</v>
      </c>
      <c r="B672" s="2" t="s">
        <v>1230</v>
      </c>
      <c r="D672" s="2" t="s">
        <v>58</v>
      </c>
      <c r="E672" s="2" t="s">
        <v>325</v>
      </c>
      <c r="F672" s="5" t="str">
        <f t="shared" si="47"/>
        <v>007-0003-472439 BRICOLAJE BRICOMAN SL</v>
      </c>
      <c r="G672" s="12">
        <f t="shared" si="51"/>
        <v>180.38016528925618</v>
      </c>
      <c r="H672">
        <v>21</v>
      </c>
      <c r="I672" s="5">
        <f t="shared" si="50"/>
        <v>37.8798347107438</v>
      </c>
      <c r="J672" s="5">
        <f t="shared" si="48"/>
        <v>180.38016528925618</v>
      </c>
      <c r="L672" s="5">
        <f t="shared" si="49"/>
        <v>0</v>
      </c>
      <c r="M672" s="8">
        <v>218.26</v>
      </c>
      <c r="N672" s="2" t="s">
        <v>21</v>
      </c>
      <c r="O672" s="3" t="s">
        <v>64</v>
      </c>
    </row>
    <row r="673" spans="1:15" x14ac:dyDescent="0.35">
      <c r="A673" s="4">
        <v>45374</v>
      </c>
      <c r="B673" s="2" t="s">
        <v>1231</v>
      </c>
      <c r="D673" s="2" t="s">
        <v>58</v>
      </c>
      <c r="E673" s="2" t="s">
        <v>325</v>
      </c>
      <c r="F673" s="5" t="str">
        <f t="shared" si="47"/>
        <v>007-0003-472454 BRICOLAJE BRICOMAN SL</v>
      </c>
      <c r="G673" s="12">
        <f t="shared" si="51"/>
        <v>25.991735537190081</v>
      </c>
      <c r="H673">
        <v>21</v>
      </c>
      <c r="I673" s="5">
        <f t="shared" si="50"/>
        <v>5.4582644628099173</v>
      </c>
      <c r="J673" s="5">
        <f t="shared" si="48"/>
        <v>25.991735537190081</v>
      </c>
      <c r="L673" s="5">
        <f t="shared" si="49"/>
        <v>0</v>
      </c>
      <c r="M673" s="8">
        <v>31.45</v>
      </c>
      <c r="N673" s="2" t="s">
        <v>21</v>
      </c>
      <c r="O673" s="3" t="s">
        <v>64</v>
      </c>
    </row>
    <row r="674" spans="1:15" x14ac:dyDescent="0.35">
      <c r="A674" s="4">
        <v>45376</v>
      </c>
      <c r="B674" s="2" t="s">
        <v>1232</v>
      </c>
      <c r="D674" s="2" t="s">
        <v>58</v>
      </c>
      <c r="E674" s="2" t="s">
        <v>325</v>
      </c>
      <c r="F674" s="5" t="str">
        <f t="shared" si="47"/>
        <v>007-0003-474794 BRICOLAJE BRICOMAN SL</v>
      </c>
      <c r="G674" s="12">
        <f t="shared" si="51"/>
        <v>388.94214876033061</v>
      </c>
      <c r="H674">
        <v>21</v>
      </c>
      <c r="I674" s="5">
        <f t="shared" si="50"/>
        <v>81.677851239669423</v>
      </c>
      <c r="J674" s="5">
        <f t="shared" ref="J674:J693" si="52">G674</f>
        <v>388.94214876033061</v>
      </c>
      <c r="L674" s="5">
        <f t="shared" ref="L674:L693" si="53">J674*K674/100</f>
        <v>0</v>
      </c>
      <c r="M674" s="8">
        <v>470.62</v>
      </c>
      <c r="N674" s="2" t="s">
        <v>21</v>
      </c>
      <c r="O674" s="3" t="s">
        <v>64</v>
      </c>
    </row>
    <row r="675" spans="1:15" x14ac:dyDescent="0.35">
      <c r="A675" s="4">
        <v>45381</v>
      </c>
      <c r="B675" s="2" t="s">
        <v>1233</v>
      </c>
      <c r="D675" s="2" t="s">
        <v>58</v>
      </c>
      <c r="E675" s="2" t="s">
        <v>325</v>
      </c>
      <c r="F675" s="5" t="str">
        <f t="shared" si="47"/>
        <v>007-0003-480491 BRICOLAJE BRICOMAN SL</v>
      </c>
      <c r="G675" s="12">
        <f t="shared" si="51"/>
        <v>118.75206611570248</v>
      </c>
      <c r="H675">
        <v>21</v>
      </c>
      <c r="I675" s="5">
        <f t="shared" ref="I675:I692" si="54">G675*H675/100</f>
        <v>24.937933884297522</v>
      </c>
      <c r="J675" s="5">
        <f t="shared" si="52"/>
        <v>118.75206611570248</v>
      </c>
      <c r="L675" s="5">
        <f t="shared" si="53"/>
        <v>0</v>
      </c>
      <c r="M675" s="8">
        <v>143.69</v>
      </c>
      <c r="N675" s="2" t="s">
        <v>21</v>
      </c>
      <c r="O675" s="3" t="s">
        <v>64</v>
      </c>
    </row>
    <row r="676" spans="1:15" x14ac:dyDescent="0.35">
      <c r="A676" s="4">
        <v>45372</v>
      </c>
      <c r="B676" s="2" t="s">
        <v>1234</v>
      </c>
      <c r="D676" s="2" t="s">
        <v>773</v>
      </c>
      <c r="E676" s="2" t="s">
        <v>774</v>
      </c>
      <c r="F676" s="5" t="str">
        <f t="shared" si="47"/>
        <v>249000398685 PETROPRIX</v>
      </c>
      <c r="G676" s="12">
        <f t="shared" si="51"/>
        <v>16.528925619834713</v>
      </c>
      <c r="H676">
        <v>21</v>
      </c>
      <c r="I676" s="5">
        <f t="shared" si="54"/>
        <v>3.4710743801652897</v>
      </c>
      <c r="J676" s="5">
        <f t="shared" si="52"/>
        <v>16.528925619834713</v>
      </c>
      <c r="L676" s="5">
        <f t="shared" si="53"/>
        <v>0</v>
      </c>
      <c r="M676" s="8">
        <v>20</v>
      </c>
      <c r="N676" s="2" t="s">
        <v>22</v>
      </c>
      <c r="O676" s="3" t="s">
        <v>64</v>
      </c>
    </row>
    <row r="677" spans="1:15" x14ac:dyDescent="0.35">
      <c r="A677" s="4">
        <v>45372</v>
      </c>
      <c r="B677" s="2" t="s">
        <v>1235</v>
      </c>
      <c r="D677" s="2" t="s">
        <v>773</v>
      </c>
      <c r="E677" s="2" t="s">
        <v>774</v>
      </c>
      <c r="F677" s="5" t="str">
        <f t="shared" si="47"/>
        <v>249000398664 PETROPRIX</v>
      </c>
      <c r="G677" s="12">
        <f t="shared" si="51"/>
        <v>24.793388429752067</v>
      </c>
      <c r="H677">
        <v>21</v>
      </c>
      <c r="I677" s="5">
        <f t="shared" si="54"/>
        <v>5.2066115702479339</v>
      </c>
      <c r="J677" s="5">
        <f t="shared" si="52"/>
        <v>24.793388429752067</v>
      </c>
      <c r="L677" s="5">
        <f t="shared" si="53"/>
        <v>0</v>
      </c>
      <c r="M677" s="8">
        <v>30</v>
      </c>
      <c r="N677" s="2" t="s">
        <v>22</v>
      </c>
      <c r="O677" s="3" t="s">
        <v>64</v>
      </c>
    </row>
    <row r="678" spans="1:15" x14ac:dyDescent="0.35">
      <c r="A678" s="4">
        <v>45366</v>
      </c>
      <c r="B678" s="2" t="s">
        <v>1238</v>
      </c>
      <c r="D678" s="2" t="s">
        <v>111</v>
      </c>
      <c r="E678" s="2" t="s">
        <v>237</v>
      </c>
      <c r="F678" s="5" t="str">
        <f t="shared" si="47"/>
        <v>001D2400006604 PLENOIL</v>
      </c>
      <c r="G678" s="12">
        <f t="shared" si="51"/>
        <v>41.32231404958678</v>
      </c>
      <c r="H678">
        <v>21</v>
      </c>
      <c r="I678" s="5">
        <f t="shared" si="54"/>
        <v>8.677685950413224</v>
      </c>
      <c r="J678" s="5">
        <f t="shared" si="52"/>
        <v>41.32231404958678</v>
      </c>
      <c r="L678" s="5">
        <f t="shared" si="53"/>
        <v>0</v>
      </c>
      <c r="M678" s="8">
        <v>50</v>
      </c>
      <c r="N678" s="2" t="s">
        <v>22</v>
      </c>
      <c r="O678" s="3" t="s">
        <v>64</v>
      </c>
    </row>
    <row r="679" spans="1:15" x14ac:dyDescent="0.35">
      <c r="A679" s="4">
        <v>45370</v>
      </c>
      <c r="B679" s="2" t="s">
        <v>1237</v>
      </c>
      <c r="D679" s="2" t="s">
        <v>111</v>
      </c>
      <c r="E679" s="2" t="s">
        <v>237</v>
      </c>
      <c r="F679" s="5" t="str">
        <f t="shared" si="47"/>
        <v>001D2400006975 PLENOIL</v>
      </c>
      <c r="G679" s="12">
        <f t="shared" si="51"/>
        <v>41.32231404958678</v>
      </c>
      <c r="H679">
        <v>21</v>
      </c>
      <c r="I679" s="5">
        <f t="shared" si="54"/>
        <v>8.677685950413224</v>
      </c>
      <c r="J679" s="5">
        <f t="shared" si="52"/>
        <v>41.32231404958678</v>
      </c>
      <c r="L679" s="5">
        <f t="shared" si="53"/>
        <v>0</v>
      </c>
      <c r="M679" s="8">
        <v>50</v>
      </c>
      <c r="N679" s="2" t="s">
        <v>22</v>
      </c>
      <c r="O679" s="3" t="s">
        <v>64</v>
      </c>
    </row>
    <row r="680" spans="1:15" x14ac:dyDescent="0.35">
      <c r="A680" s="4">
        <v>45371</v>
      </c>
      <c r="B680" s="2" t="s">
        <v>1236</v>
      </c>
      <c r="D680" s="2" t="s">
        <v>111</v>
      </c>
      <c r="E680" s="2" t="s">
        <v>237</v>
      </c>
      <c r="F680" s="5" t="str">
        <f t="shared" si="47"/>
        <v>001D2400007141 PLENOIL</v>
      </c>
      <c r="G680" s="12">
        <f t="shared" si="51"/>
        <v>33.057851239669425</v>
      </c>
      <c r="H680">
        <v>21</v>
      </c>
      <c r="I680" s="5">
        <f t="shared" si="54"/>
        <v>6.9421487603305794</v>
      </c>
      <c r="J680" s="5">
        <f t="shared" si="52"/>
        <v>33.057851239669425</v>
      </c>
      <c r="L680" s="5">
        <f t="shared" si="53"/>
        <v>0</v>
      </c>
      <c r="M680" s="8">
        <v>40</v>
      </c>
      <c r="N680" s="2" t="s">
        <v>22</v>
      </c>
      <c r="O680" s="3" t="s">
        <v>64</v>
      </c>
    </row>
    <row r="681" spans="1:15" x14ac:dyDescent="0.35">
      <c r="A681" s="4">
        <v>45370</v>
      </c>
      <c r="B681" s="2" t="s">
        <v>1258</v>
      </c>
      <c r="D681" s="2" t="s">
        <v>95</v>
      </c>
      <c r="E681" s="2" t="s">
        <v>96</v>
      </c>
      <c r="F681" s="5" t="str">
        <f t="shared" si="47"/>
        <v>06/24 MARCEL DUMITER BEGOFF</v>
      </c>
      <c r="G681" s="12">
        <f t="shared" si="51"/>
        <v>740</v>
      </c>
      <c r="H681">
        <v>21</v>
      </c>
      <c r="I681" s="5">
        <f t="shared" si="54"/>
        <v>155.4</v>
      </c>
      <c r="J681" s="5">
        <f t="shared" si="52"/>
        <v>740</v>
      </c>
      <c r="L681" s="5">
        <f t="shared" si="53"/>
        <v>0</v>
      </c>
      <c r="M681" s="8">
        <v>895.4</v>
      </c>
      <c r="N681" s="2" t="s">
        <v>37</v>
      </c>
      <c r="O681" s="3" t="s">
        <v>64</v>
      </c>
    </row>
    <row r="682" spans="1:15" x14ac:dyDescent="0.35">
      <c r="A682" s="4">
        <v>45382</v>
      </c>
      <c r="B682" s="2" t="s">
        <v>1259</v>
      </c>
      <c r="D682" s="2" t="s">
        <v>34</v>
      </c>
      <c r="E682" s="2" t="s">
        <v>423</v>
      </c>
      <c r="F682" s="5" t="str">
        <f t="shared" si="47"/>
        <v>F241176 CONTAMAR ASESORES</v>
      </c>
      <c r="G682" s="12">
        <f t="shared" si="51"/>
        <v>125</v>
      </c>
      <c r="H682">
        <v>21</v>
      </c>
      <c r="I682" s="5">
        <f t="shared" si="54"/>
        <v>26.25</v>
      </c>
      <c r="J682" s="5">
        <f t="shared" si="52"/>
        <v>125</v>
      </c>
      <c r="L682" s="5">
        <f t="shared" si="53"/>
        <v>0</v>
      </c>
      <c r="M682" s="8">
        <v>151.25</v>
      </c>
      <c r="N682" s="2" t="s">
        <v>55</v>
      </c>
      <c r="O682" s="3" t="s">
        <v>65</v>
      </c>
    </row>
    <row r="683" spans="1:15" x14ac:dyDescent="0.35">
      <c r="A683" s="4">
        <v>45310</v>
      </c>
      <c r="B683" s="2" t="s">
        <v>397</v>
      </c>
      <c r="D683" s="2" t="s">
        <v>45</v>
      </c>
      <c r="E683" s="2" t="s">
        <v>163</v>
      </c>
      <c r="F683" s="5" t="str">
        <f t="shared" si="47"/>
        <v>01/24 EMANUEL CODITA</v>
      </c>
      <c r="G683" s="12">
        <f t="shared" si="51"/>
        <v>4958.6776859504134</v>
      </c>
      <c r="H683">
        <v>21</v>
      </c>
      <c r="I683" s="5">
        <f t="shared" si="54"/>
        <v>1041.3223140495868</v>
      </c>
      <c r="J683" s="5">
        <f t="shared" si="52"/>
        <v>4958.6776859504134</v>
      </c>
      <c r="L683" s="5">
        <f t="shared" si="53"/>
        <v>0</v>
      </c>
      <c r="M683" s="8">
        <v>6000</v>
      </c>
      <c r="N683" s="2" t="s">
        <v>37</v>
      </c>
      <c r="O683" s="3" t="s">
        <v>68</v>
      </c>
    </row>
    <row r="684" spans="1:15" x14ac:dyDescent="0.35">
      <c r="A684" s="4">
        <v>45361</v>
      </c>
      <c r="B684" s="2" t="s">
        <v>678</v>
      </c>
      <c r="D684" s="2" t="s">
        <v>45</v>
      </c>
      <c r="E684" s="2" t="s">
        <v>163</v>
      </c>
      <c r="F684" s="5" t="str">
        <f t="shared" si="47"/>
        <v>03/24 EMANUEL CODITA</v>
      </c>
      <c r="G684" s="12">
        <f t="shared" si="51"/>
        <v>6735.5371900826449</v>
      </c>
      <c r="H684">
        <v>21</v>
      </c>
      <c r="I684" s="5">
        <f t="shared" si="54"/>
        <v>1414.4628099173556</v>
      </c>
      <c r="J684" s="5">
        <f t="shared" si="52"/>
        <v>6735.5371900826449</v>
      </c>
      <c r="L684" s="5">
        <f t="shared" si="53"/>
        <v>0</v>
      </c>
      <c r="M684" s="8">
        <v>8150</v>
      </c>
      <c r="N684" s="2" t="s">
        <v>37</v>
      </c>
      <c r="O684" s="3" t="s">
        <v>68</v>
      </c>
    </row>
    <row r="685" spans="1:15" x14ac:dyDescent="0.35">
      <c r="G685" s="12">
        <f t="shared" si="51"/>
        <v>0</v>
      </c>
      <c r="H685">
        <v>21</v>
      </c>
      <c r="I685" s="5">
        <f t="shared" si="54"/>
        <v>0</v>
      </c>
      <c r="J685" s="5">
        <f t="shared" si="52"/>
        <v>0</v>
      </c>
      <c r="L685" s="5">
        <f t="shared" si="53"/>
        <v>0</v>
      </c>
      <c r="M685" s="8">
        <v>0</v>
      </c>
    </row>
    <row r="686" spans="1:15" x14ac:dyDescent="0.35">
      <c r="G686" s="12">
        <f t="shared" si="51"/>
        <v>0</v>
      </c>
      <c r="H686">
        <v>21</v>
      </c>
      <c r="I686" s="5">
        <f t="shared" si="54"/>
        <v>0</v>
      </c>
      <c r="J686" s="5">
        <f t="shared" si="52"/>
        <v>0</v>
      </c>
      <c r="L686" s="5">
        <f t="shared" si="53"/>
        <v>0</v>
      </c>
      <c r="M686" s="8">
        <v>0</v>
      </c>
    </row>
    <row r="687" spans="1:15" x14ac:dyDescent="0.35">
      <c r="G687" s="12">
        <f t="shared" si="51"/>
        <v>0</v>
      </c>
      <c r="H687">
        <v>21</v>
      </c>
      <c r="I687" s="5">
        <f t="shared" si="54"/>
        <v>0</v>
      </c>
      <c r="J687" s="5">
        <f t="shared" si="52"/>
        <v>0</v>
      </c>
      <c r="L687" s="5">
        <f t="shared" si="53"/>
        <v>0</v>
      </c>
      <c r="M687" s="8">
        <v>0</v>
      </c>
    </row>
    <row r="688" spans="1:15" x14ac:dyDescent="0.35">
      <c r="G688" s="12">
        <f t="shared" si="51"/>
        <v>0</v>
      </c>
      <c r="H688">
        <v>21</v>
      </c>
      <c r="I688" s="5">
        <f t="shared" si="54"/>
        <v>0</v>
      </c>
      <c r="J688" s="5">
        <f t="shared" si="52"/>
        <v>0</v>
      </c>
      <c r="L688" s="5">
        <f t="shared" si="53"/>
        <v>0</v>
      </c>
      <c r="M688" s="8">
        <v>0</v>
      </c>
    </row>
    <row r="689" spans="7:13" x14ac:dyDescent="0.35">
      <c r="G689" s="12">
        <f t="shared" si="51"/>
        <v>0</v>
      </c>
      <c r="H689">
        <v>21</v>
      </c>
      <c r="I689" s="5">
        <f t="shared" si="54"/>
        <v>0</v>
      </c>
      <c r="J689" s="5">
        <f t="shared" si="52"/>
        <v>0</v>
      </c>
      <c r="L689" s="5">
        <f t="shared" si="53"/>
        <v>0</v>
      </c>
      <c r="M689" s="8">
        <v>0</v>
      </c>
    </row>
    <row r="690" spans="7:13" x14ac:dyDescent="0.35">
      <c r="G690" s="12">
        <f t="shared" si="51"/>
        <v>0</v>
      </c>
      <c r="H690">
        <v>21</v>
      </c>
      <c r="I690" s="5">
        <f t="shared" si="54"/>
        <v>0</v>
      </c>
      <c r="J690" s="5">
        <f t="shared" si="52"/>
        <v>0</v>
      </c>
      <c r="L690" s="5">
        <f t="shared" si="53"/>
        <v>0</v>
      </c>
      <c r="M690" s="8">
        <v>0</v>
      </c>
    </row>
    <row r="691" spans="7:13" x14ac:dyDescent="0.35">
      <c r="G691" s="12">
        <f t="shared" si="51"/>
        <v>0</v>
      </c>
      <c r="H691">
        <v>21</v>
      </c>
      <c r="I691" s="5">
        <f t="shared" si="54"/>
        <v>0</v>
      </c>
      <c r="J691" s="5">
        <f t="shared" si="52"/>
        <v>0</v>
      </c>
      <c r="L691" s="5">
        <f t="shared" si="53"/>
        <v>0</v>
      </c>
      <c r="M691" s="8">
        <v>0</v>
      </c>
    </row>
    <row r="692" spans="7:13" x14ac:dyDescent="0.35">
      <c r="G692" s="12">
        <f t="shared" si="51"/>
        <v>0</v>
      </c>
      <c r="H692">
        <v>21</v>
      </c>
      <c r="I692" s="5">
        <f t="shared" si="54"/>
        <v>0</v>
      </c>
      <c r="J692" s="5">
        <f t="shared" si="52"/>
        <v>0</v>
      </c>
      <c r="L692" s="5">
        <f t="shared" si="53"/>
        <v>0</v>
      </c>
      <c r="M692" s="8">
        <v>0</v>
      </c>
    </row>
    <row r="693" spans="7:13" x14ac:dyDescent="0.35">
      <c r="G693" s="12">
        <f t="shared" si="51"/>
        <v>0</v>
      </c>
      <c r="H693">
        <v>21</v>
      </c>
      <c r="I693" s="5">
        <f>SUM(I2:I692)</f>
        <v>55750.252694177871</v>
      </c>
      <c r="J693" s="5">
        <f t="shared" si="52"/>
        <v>0</v>
      </c>
      <c r="L693" s="5">
        <f t="shared" si="53"/>
        <v>0</v>
      </c>
      <c r="M693" s="8">
        <v>0</v>
      </c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BC0D-DEA8-4B0D-9B35-7B5A9F486E91}">
  <dimension ref="A1:S548"/>
  <sheetViews>
    <sheetView topLeftCell="A371" zoomScaleNormal="100" workbookViewId="0">
      <selection activeCell="M391" sqref="M391"/>
    </sheetView>
  </sheetViews>
  <sheetFormatPr baseColWidth="10" defaultRowHeight="14.5" x14ac:dyDescent="0.35"/>
  <cols>
    <col min="1" max="1" width="11.54296875" bestFit="1" customWidth="1"/>
    <col min="2" max="2" width="36.54296875" style="2" customWidth="1"/>
    <col min="3" max="3" width="7.1796875" style="2" customWidth="1"/>
    <col min="4" max="4" width="12.81640625" style="2" customWidth="1"/>
    <col min="5" max="5" width="42.81640625" style="2" customWidth="1"/>
    <col min="6" max="6" width="30.1796875" style="5" customWidth="1"/>
    <col min="7" max="7" width="10.54296875" style="10" customWidth="1"/>
    <col min="8" max="8" width="5.7265625" bestFit="1" customWidth="1"/>
    <col min="9" max="9" width="9.7265625" customWidth="1"/>
    <col min="10" max="10" width="11.7265625" customWidth="1"/>
    <col min="11" max="11" width="6.1796875" customWidth="1"/>
    <col min="12" max="12" width="8.54296875" customWidth="1"/>
    <col min="13" max="13" width="10.7265625" style="11" customWidth="1"/>
    <col min="14" max="14" width="23.1796875" style="2" customWidth="1"/>
    <col min="15" max="15" width="17.453125" style="3" customWidth="1"/>
    <col min="16" max="16" width="25.453125" style="3" customWidth="1"/>
    <col min="17" max="17" width="18.453125" customWidth="1"/>
    <col min="18" max="18" width="14.1796875" customWidth="1"/>
  </cols>
  <sheetData>
    <row r="1" spans="1:19" s="1" customFormat="1" ht="30" customHeight="1" x14ac:dyDescent="0.35">
      <c r="A1" s="6" t="s">
        <v>0</v>
      </c>
      <c r="B1" s="7" t="s">
        <v>18</v>
      </c>
      <c r="C1" s="7" t="s">
        <v>2</v>
      </c>
      <c r="D1" s="7" t="s">
        <v>3</v>
      </c>
      <c r="E1" s="7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15</v>
      </c>
      <c r="P1" s="7" t="s">
        <v>14</v>
      </c>
      <c r="Q1" s="7" t="s">
        <v>16</v>
      </c>
      <c r="R1" s="6" t="s">
        <v>17</v>
      </c>
    </row>
    <row r="2" spans="1:19" x14ac:dyDescent="0.35">
      <c r="A2" s="2" t="s">
        <v>1167</v>
      </c>
      <c r="B2" s="2" t="s">
        <v>1168</v>
      </c>
      <c r="D2" s="2" t="s">
        <v>1169</v>
      </c>
      <c r="E2" s="2" t="s">
        <v>249</v>
      </c>
      <c r="F2" s="5" t="str">
        <f t="shared" ref="F2:F45" si="0">CONCATENATE(S2,B2," ",E2)</f>
        <v>S/F 014/24 LUIS VALVERDE MORENO</v>
      </c>
      <c r="G2" s="12">
        <f t="shared" ref="G2:G46" si="1">M2/(1-K2/100+H2/100)</f>
        <v>1021.9999999999999</v>
      </c>
      <c r="H2">
        <v>21</v>
      </c>
      <c r="I2" s="5">
        <f t="shared" ref="I2:I46" si="2">G2*H2/100</f>
        <v>214.61999999999998</v>
      </c>
      <c r="J2" s="5">
        <f t="shared" ref="J2:J46" si="3">G2</f>
        <v>1021.9999999999999</v>
      </c>
      <c r="L2" s="5">
        <f t="shared" ref="L2:L46" si="4">J2*K2/100</f>
        <v>0</v>
      </c>
      <c r="M2" s="8">
        <v>1236.6199999999999</v>
      </c>
      <c r="N2" s="2" t="s">
        <v>37</v>
      </c>
      <c r="O2" s="3" t="s">
        <v>68</v>
      </c>
      <c r="S2" t="s">
        <v>19</v>
      </c>
    </row>
    <row r="3" spans="1:19" x14ac:dyDescent="0.35">
      <c r="A3" s="13">
        <v>45383</v>
      </c>
      <c r="B3" s="2" t="s">
        <v>1170</v>
      </c>
      <c r="D3" s="2" t="s">
        <v>1161</v>
      </c>
      <c r="E3" s="2" t="s">
        <v>1162</v>
      </c>
      <c r="F3" s="5" t="str">
        <f t="shared" si="0"/>
        <v>S/F 000428 BICIBOOM</v>
      </c>
      <c r="G3" s="12">
        <v>142.15</v>
      </c>
      <c r="H3">
        <v>21</v>
      </c>
      <c r="I3" s="5">
        <f t="shared" si="2"/>
        <v>29.851500000000001</v>
      </c>
      <c r="J3" s="5">
        <f t="shared" si="3"/>
        <v>142.15</v>
      </c>
      <c r="L3" s="5">
        <f t="shared" si="4"/>
        <v>0</v>
      </c>
      <c r="M3" s="8">
        <v>172</v>
      </c>
      <c r="N3" s="2" t="s">
        <v>21</v>
      </c>
      <c r="O3" s="3" t="s">
        <v>63</v>
      </c>
      <c r="S3" t="s">
        <v>19</v>
      </c>
    </row>
    <row r="4" spans="1:19" x14ac:dyDescent="0.35">
      <c r="A4" s="13">
        <v>45384</v>
      </c>
      <c r="B4" s="2" t="s">
        <v>1171</v>
      </c>
      <c r="D4" s="2" t="s">
        <v>58</v>
      </c>
      <c r="E4" s="2" t="s">
        <v>1172</v>
      </c>
      <c r="F4" s="5" t="str">
        <f t="shared" si="0"/>
        <v>S/F 024-0004-018363 BRICOLAJE BRICOMAN SLU</v>
      </c>
      <c r="G4" s="12">
        <f t="shared" si="1"/>
        <v>653.37190082644634</v>
      </c>
      <c r="H4">
        <v>21</v>
      </c>
      <c r="I4" s="5">
        <f t="shared" si="2"/>
        <v>137.20809917355373</v>
      </c>
      <c r="J4" s="5">
        <f t="shared" si="3"/>
        <v>653.37190082644634</v>
      </c>
      <c r="L4" s="5">
        <f t="shared" si="4"/>
        <v>0</v>
      </c>
      <c r="M4" s="8">
        <v>790.58</v>
      </c>
      <c r="N4" s="2" t="s">
        <v>21</v>
      </c>
      <c r="O4" s="3" t="s">
        <v>63</v>
      </c>
      <c r="S4" t="s">
        <v>19</v>
      </c>
    </row>
    <row r="5" spans="1:19" x14ac:dyDescent="0.35">
      <c r="A5" s="13">
        <v>45384</v>
      </c>
      <c r="B5" s="2" t="s">
        <v>1173</v>
      </c>
      <c r="D5" s="2" t="s">
        <v>59</v>
      </c>
      <c r="E5" s="2" t="s">
        <v>43</v>
      </c>
      <c r="F5" s="5" t="str">
        <f t="shared" si="0"/>
        <v>S/F LGFON241241100434 EUGENIO PEREDA</v>
      </c>
      <c r="G5" s="12">
        <f t="shared" si="1"/>
        <v>69.115702479338836</v>
      </c>
      <c r="H5">
        <v>21</v>
      </c>
      <c r="I5" s="5">
        <f t="shared" si="2"/>
        <v>14.514297520661154</v>
      </c>
      <c r="J5" s="5">
        <f t="shared" si="3"/>
        <v>69.115702479338836</v>
      </c>
      <c r="L5" s="5">
        <f t="shared" si="4"/>
        <v>0</v>
      </c>
      <c r="M5" s="8">
        <v>83.63</v>
      </c>
      <c r="N5" s="2" t="s">
        <v>21</v>
      </c>
      <c r="O5" s="3" t="s">
        <v>63</v>
      </c>
      <c r="S5" t="s">
        <v>19</v>
      </c>
    </row>
    <row r="6" spans="1:19" x14ac:dyDescent="0.35">
      <c r="A6" s="13">
        <v>45384</v>
      </c>
      <c r="B6" s="2" t="s">
        <v>1174</v>
      </c>
      <c r="D6" s="2" t="s">
        <v>59</v>
      </c>
      <c r="E6" s="2" t="s">
        <v>43</v>
      </c>
      <c r="F6" s="5" t="str">
        <f t="shared" si="0"/>
        <v>S/F 1414105717 EUGENIO PEREDA</v>
      </c>
      <c r="G6" s="12">
        <f t="shared" si="1"/>
        <v>361.08264462809922</v>
      </c>
      <c r="H6">
        <v>21</v>
      </c>
      <c r="I6" s="5">
        <f t="shared" si="2"/>
        <v>75.827355371900836</v>
      </c>
      <c r="J6" s="5">
        <f t="shared" si="3"/>
        <v>361.08264462809922</v>
      </c>
      <c r="L6" s="5">
        <f t="shared" si="4"/>
        <v>0</v>
      </c>
      <c r="M6" s="8">
        <v>436.91</v>
      </c>
      <c r="N6" s="2" t="s">
        <v>21</v>
      </c>
      <c r="O6" s="3" t="s">
        <v>63</v>
      </c>
      <c r="S6" t="s">
        <v>19</v>
      </c>
    </row>
    <row r="7" spans="1:19" x14ac:dyDescent="0.35">
      <c r="A7" s="13">
        <v>45385</v>
      </c>
      <c r="B7" s="2" t="s">
        <v>1175</v>
      </c>
      <c r="D7" s="2" t="s">
        <v>58</v>
      </c>
      <c r="E7" s="2" t="s">
        <v>1172</v>
      </c>
      <c r="F7" s="5" t="str">
        <f t="shared" si="0"/>
        <v>S/F 012-0004-821822 BRICOLAJE BRICOMAN SLU</v>
      </c>
      <c r="G7" s="12">
        <f t="shared" si="1"/>
        <v>102.04132231404959</v>
      </c>
      <c r="H7">
        <v>21</v>
      </c>
      <c r="I7" s="5">
        <f t="shared" si="2"/>
        <v>21.428677685950415</v>
      </c>
      <c r="J7" s="5">
        <f t="shared" si="3"/>
        <v>102.04132231404959</v>
      </c>
      <c r="L7" s="5">
        <f t="shared" si="4"/>
        <v>0</v>
      </c>
      <c r="M7" s="8">
        <v>123.47</v>
      </c>
      <c r="N7" s="2" t="s">
        <v>21</v>
      </c>
      <c r="O7" s="3" t="s">
        <v>63</v>
      </c>
      <c r="S7" t="s">
        <v>19</v>
      </c>
    </row>
    <row r="8" spans="1:19" x14ac:dyDescent="0.35">
      <c r="A8" s="13">
        <v>45050</v>
      </c>
      <c r="B8" s="2" t="s">
        <v>1176</v>
      </c>
      <c r="D8" s="2" t="s">
        <v>1177</v>
      </c>
      <c r="E8" s="2" t="s">
        <v>1178</v>
      </c>
      <c r="F8" s="5" t="str">
        <f t="shared" si="0"/>
        <v>S/F R01 37 BM MOBILIARIO HOTEL SL</v>
      </c>
      <c r="G8" s="12">
        <f t="shared" si="1"/>
        <v>-8379.9008264462809</v>
      </c>
      <c r="H8">
        <v>21</v>
      </c>
      <c r="I8" s="5">
        <f t="shared" si="2"/>
        <v>-1759.7791735537189</v>
      </c>
      <c r="J8" s="5">
        <f t="shared" si="3"/>
        <v>-8379.9008264462809</v>
      </c>
      <c r="L8" s="5">
        <f t="shared" si="4"/>
        <v>0</v>
      </c>
      <c r="M8" s="8">
        <v>-10139.68</v>
      </c>
      <c r="N8" s="2" t="s">
        <v>37</v>
      </c>
      <c r="O8" s="3" t="s">
        <v>68</v>
      </c>
      <c r="S8" t="s">
        <v>19</v>
      </c>
    </row>
    <row r="9" spans="1:19" x14ac:dyDescent="0.35">
      <c r="A9" s="13">
        <v>45383</v>
      </c>
      <c r="B9" s="2" t="s">
        <v>1179</v>
      </c>
      <c r="D9" s="2" t="s">
        <v>58</v>
      </c>
      <c r="E9" s="2" t="s">
        <v>1172</v>
      </c>
      <c r="F9" s="5" t="str">
        <f t="shared" si="0"/>
        <v>S/F 012-0004-813734 BRICOLAJE BRICOMAN SLU</v>
      </c>
      <c r="G9" s="12">
        <f t="shared" si="1"/>
        <v>385.11570247933884</v>
      </c>
      <c r="H9">
        <v>21</v>
      </c>
      <c r="I9" s="5">
        <f t="shared" si="2"/>
        <v>80.874297520661159</v>
      </c>
      <c r="J9" s="5">
        <f t="shared" si="3"/>
        <v>385.11570247933884</v>
      </c>
      <c r="L9" s="5">
        <f t="shared" si="4"/>
        <v>0</v>
      </c>
      <c r="M9" s="8">
        <v>465.99</v>
      </c>
      <c r="N9" s="2" t="s">
        <v>21</v>
      </c>
      <c r="O9" s="3" t="s">
        <v>63</v>
      </c>
      <c r="S9" t="s">
        <v>19</v>
      </c>
    </row>
    <row r="10" spans="1:19" x14ac:dyDescent="0.35">
      <c r="A10" s="13">
        <v>45383</v>
      </c>
      <c r="B10" s="2" t="s">
        <v>1180</v>
      </c>
      <c r="D10" s="2" t="s">
        <v>58</v>
      </c>
      <c r="E10" s="2" t="s">
        <v>1172</v>
      </c>
      <c r="F10" s="5" t="str">
        <f t="shared" si="0"/>
        <v>S/F 012-0004-813781 BRICOLAJE BRICOMAN SLU</v>
      </c>
      <c r="G10" s="12">
        <f t="shared" si="1"/>
        <v>3.2231404958677685</v>
      </c>
      <c r="H10">
        <v>21</v>
      </c>
      <c r="I10" s="5">
        <f t="shared" si="2"/>
        <v>0.67685950413223139</v>
      </c>
      <c r="J10" s="5">
        <f t="shared" si="3"/>
        <v>3.2231404958677685</v>
      </c>
      <c r="L10" s="5">
        <f t="shared" si="4"/>
        <v>0</v>
      </c>
      <c r="M10" s="8">
        <v>3.9</v>
      </c>
      <c r="N10" s="2" t="s">
        <v>21</v>
      </c>
      <c r="O10" s="3" t="s">
        <v>63</v>
      </c>
      <c r="S10" t="s">
        <v>19</v>
      </c>
    </row>
    <row r="11" spans="1:19" x14ac:dyDescent="0.35">
      <c r="A11" s="13">
        <v>45386</v>
      </c>
      <c r="B11" s="2" t="s">
        <v>1181</v>
      </c>
      <c r="D11" s="2" t="s">
        <v>1182</v>
      </c>
      <c r="E11" s="2" t="s">
        <v>1183</v>
      </c>
      <c r="F11" s="5" t="str">
        <f t="shared" si="0"/>
        <v>S/F 312/5155/2017 KSW AUTOMOBILE K. WEIBLE</v>
      </c>
      <c r="G11" s="12">
        <f t="shared" si="1"/>
        <v>9200</v>
      </c>
      <c r="H11">
        <v>0</v>
      </c>
      <c r="I11" s="5">
        <f t="shared" si="2"/>
        <v>0</v>
      </c>
      <c r="J11" s="5">
        <f t="shared" si="3"/>
        <v>9200</v>
      </c>
      <c r="L11" s="5">
        <f t="shared" si="4"/>
        <v>0</v>
      </c>
      <c r="M11" s="8">
        <v>9200</v>
      </c>
      <c r="N11" s="2" t="s">
        <v>50</v>
      </c>
      <c r="O11" s="3" t="s">
        <v>68</v>
      </c>
      <c r="S11" t="s">
        <v>19</v>
      </c>
    </row>
    <row r="12" spans="1:19" x14ac:dyDescent="0.35">
      <c r="A12" s="13">
        <v>45383</v>
      </c>
      <c r="B12" s="2" t="s">
        <v>1184</v>
      </c>
      <c r="D12" s="2" t="s">
        <v>89</v>
      </c>
      <c r="E12" s="2" t="s">
        <v>90</v>
      </c>
      <c r="F12" s="5" t="str">
        <f t="shared" si="0"/>
        <v>S/F E12002024000000145 GALP</v>
      </c>
      <c r="G12" s="12">
        <f t="shared" si="1"/>
        <v>57.851239669421489</v>
      </c>
      <c r="H12">
        <v>21</v>
      </c>
      <c r="I12" s="5">
        <f t="shared" si="2"/>
        <v>12.148760330578511</v>
      </c>
      <c r="J12" s="5">
        <f t="shared" si="3"/>
        <v>57.851239669421489</v>
      </c>
      <c r="L12" s="5">
        <f t="shared" si="4"/>
        <v>0</v>
      </c>
      <c r="M12" s="8">
        <v>70</v>
      </c>
      <c r="N12" s="2" t="s">
        <v>22</v>
      </c>
      <c r="O12" s="3" t="s">
        <v>63</v>
      </c>
      <c r="S12" t="s">
        <v>19</v>
      </c>
    </row>
    <row r="13" spans="1:19" x14ac:dyDescent="0.35">
      <c r="A13" s="13">
        <v>45384</v>
      </c>
      <c r="B13" s="2" t="s">
        <v>1185</v>
      </c>
      <c r="D13" s="2" t="s">
        <v>89</v>
      </c>
      <c r="E13" s="2" t="s">
        <v>90</v>
      </c>
      <c r="F13" s="5" t="str">
        <f t="shared" si="0"/>
        <v>S/F E12007224TS000FE000344 GALP</v>
      </c>
      <c r="G13" s="12">
        <f t="shared" si="1"/>
        <v>49.586776859504134</v>
      </c>
      <c r="H13">
        <v>21</v>
      </c>
      <c r="I13" s="5">
        <f t="shared" si="2"/>
        <v>10.413223140495868</v>
      </c>
      <c r="J13" s="5">
        <f t="shared" si="3"/>
        <v>49.586776859504134</v>
      </c>
      <c r="L13" s="5">
        <f t="shared" si="4"/>
        <v>0</v>
      </c>
      <c r="M13" s="8">
        <v>60</v>
      </c>
      <c r="N13" s="2" t="s">
        <v>22</v>
      </c>
      <c r="O13" s="3" t="s">
        <v>63</v>
      </c>
      <c r="S13" t="s">
        <v>19</v>
      </c>
    </row>
    <row r="14" spans="1:19" x14ac:dyDescent="0.35">
      <c r="A14" s="13">
        <v>45385</v>
      </c>
      <c r="B14" s="2" t="s">
        <v>1186</v>
      </c>
      <c r="D14" s="2" t="s">
        <v>60</v>
      </c>
      <c r="E14" s="2" t="s">
        <v>24</v>
      </c>
      <c r="F14" s="5" t="str">
        <f t="shared" si="0"/>
        <v>S/F 096622/A/24/001188 REPSOL</v>
      </c>
      <c r="G14" s="12">
        <f t="shared" si="1"/>
        <v>29.074380165289256</v>
      </c>
      <c r="H14">
        <v>21</v>
      </c>
      <c r="I14" s="5">
        <f t="shared" si="2"/>
        <v>6.105619834710744</v>
      </c>
      <c r="J14" s="5">
        <f t="shared" si="3"/>
        <v>29.074380165289256</v>
      </c>
      <c r="L14" s="5">
        <f t="shared" si="4"/>
        <v>0</v>
      </c>
      <c r="M14" s="8">
        <v>35.18</v>
      </c>
      <c r="N14" s="2" t="s">
        <v>22</v>
      </c>
      <c r="O14" s="3" t="s">
        <v>63</v>
      </c>
      <c r="S14" t="s">
        <v>19</v>
      </c>
    </row>
    <row r="15" spans="1:19" x14ac:dyDescent="0.35">
      <c r="A15" s="13">
        <v>45384</v>
      </c>
      <c r="B15" s="2" t="s">
        <v>1187</v>
      </c>
      <c r="D15" s="2" t="s">
        <v>1188</v>
      </c>
      <c r="E15" s="2" t="s">
        <v>262</v>
      </c>
      <c r="F15" s="5" t="str">
        <f t="shared" si="0"/>
        <v>S/F 0000100138 DISA</v>
      </c>
      <c r="G15" s="12">
        <f t="shared" si="1"/>
        <v>41.330578512396691</v>
      </c>
      <c r="H15">
        <v>21</v>
      </c>
      <c r="I15" s="5">
        <f t="shared" si="2"/>
        <v>8.6794214876033049</v>
      </c>
      <c r="J15" s="5">
        <f t="shared" si="3"/>
        <v>41.330578512396691</v>
      </c>
      <c r="L15" s="5">
        <f t="shared" si="4"/>
        <v>0</v>
      </c>
      <c r="M15" s="8">
        <v>50.01</v>
      </c>
      <c r="N15" s="2" t="s">
        <v>22</v>
      </c>
      <c r="O15" s="3" t="s">
        <v>63</v>
      </c>
      <c r="S15" t="s">
        <v>19</v>
      </c>
    </row>
    <row r="16" spans="1:19" x14ac:dyDescent="0.35">
      <c r="A16" s="13">
        <v>45387</v>
      </c>
      <c r="B16" s="2" t="s">
        <v>305</v>
      </c>
      <c r="D16" s="2" t="s">
        <v>145</v>
      </c>
      <c r="E16" s="2" t="s">
        <v>146</v>
      </c>
      <c r="F16" s="5" t="str">
        <f t="shared" si="0"/>
        <v>S/F 08 DAVID MARGIN</v>
      </c>
      <c r="G16" s="12">
        <f t="shared" si="1"/>
        <v>6000</v>
      </c>
      <c r="H16">
        <v>21</v>
      </c>
      <c r="I16" s="5">
        <f t="shared" si="2"/>
        <v>1260</v>
      </c>
      <c r="J16" s="5">
        <f t="shared" si="3"/>
        <v>6000</v>
      </c>
      <c r="L16" s="5">
        <f t="shared" si="4"/>
        <v>0</v>
      </c>
      <c r="M16" s="8">
        <v>7260</v>
      </c>
      <c r="N16" s="2" t="s">
        <v>37</v>
      </c>
      <c r="O16" s="3" t="s">
        <v>68</v>
      </c>
      <c r="S16" t="s">
        <v>19</v>
      </c>
    </row>
    <row r="17" spans="1:19" x14ac:dyDescent="0.35">
      <c r="A17" s="13">
        <v>45389</v>
      </c>
      <c r="B17" s="2" t="s">
        <v>1200</v>
      </c>
      <c r="D17" s="2" t="s">
        <v>25</v>
      </c>
      <c r="E17" s="2" t="s">
        <v>26</v>
      </c>
      <c r="F17" s="5" t="str">
        <f t="shared" si="0"/>
        <v>S/F 108976 SALTOKI</v>
      </c>
      <c r="G17" s="12">
        <f t="shared" si="1"/>
        <v>1322.8512396694216</v>
      </c>
      <c r="H17">
        <v>21</v>
      </c>
      <c r="I17" s="5">
        <f t="shared" si="2"/>
        <v>277.79876033057855</v>
      </c>
      <c r="J17" s="5">
        <f t="shared" si="3"/>
        <v>1322.8512396694216</v>
      </c>
      <c r="L17" s="5">
        <f t="shared" si="4"/>
        <v>0</v>
      </c>
      <c r="M17" s="8">
        <v>1600.65</v>
      </c>
      <c r="N17" s="2" t="s">
        <v>21</v>
      </c>
      <c r="O17" s="3" t="s">
        <v>67</v>
      </c>
      <c r="S17" t="s">
        <v>19</v>
      </c>
    </row>
    <row r="18" spans="1:19" x14ac:dyDescent="0.35">
      <c r="A18" s="13">
        <v>45389</v>
      </c>
      <c r="B18" s="2" t="s">
        <v>1201</v>
      </c>
      <c r="D18" s="2" t="s">
        <v>25</v>
      </c>
      <c r="E18" s="2" t="s">
        <v>26</v>
      </c>
      <c r="F18" s="5" t="str">
        <f t="shared" si="0"/>
        <v>S/F 108975 SALTOKI</v>
      </c>
      <c r="G18" s="12">
        <f t="shared" si="1"/>
        <v>-224.79338842975207</v>
      </c>
      <c r="H18">
        <v>21</v>
      </c>
      <c r="I18" s="5">
        <f t="shared" si="2"/>
        <v>-47.206611570247929</v>
      </c>
      <c r="J18" s="5">
        <f t="shared" si="3"/>
        <v>-224.79338842975207</v>
      </c>
      <c r="L18" s="5">
        <f t="shared" si="4"/>
        <v>0</v>
      </c>
      <c r="M18" s="8">
        <v>-272</v>
      </c>
      <c r="N18" s="2" t="s">
        <v>21</v>
      </c>
      <c r="O18" s="3" t="s">
        <v>67</v>
      </c>
      <c r="S18" t="s">
        <v>19</v>
      </c>
    </row>
    <row r="19" spans="1:19" x14ac:dyDescent="0.35">
      <c r="A19" s="13">
        <v>45386</v>
      </c>
      <c r="B19" s="2" t="s">
        <v>1247</v>
      </c>
      <c r="D19" s="2" t="s">
        <v>1248</v>
      </c>
      <c r="E19" s="2" t="s">
        <v>1249</v>
      </c>
      <c r="F19" s="5" t="str">
        <f t="shared" si="0"/>
        <v>S/F 002 SADOVSKI IGOR</v>
      </c>
      <c r="G19" s="12">
        <f t="shared" si="1"/>
        <v>400</v>
      </c>
      <c r="H19">
        <v>0</v>
      </c>
      <c r="I19" s="5">
        <f t="shared" si="2"/>
        <v>0</v>
      </c>
      <c r="J19" s="5">
        <f t="shared" si="3"/>
        <v>400</v>
      </c>
      <c r="L19" s="5">
        <f t="shared" si="4"/>
        <v>0</v>
      </c>
      <c r="M19" s="8">
        <v>400</v>
      </c>
      <c r="N19" s="2" t="s">
        <v>1250</v>
      </c>
      <c r="O19" s="3" t="s">
        <v>68</v>
      </c>
      <c r="S19" t="s">
        <v>19</v>
      </c>
    </row>
    <row r="20" spans="1:19" x14ac:dyDescent="0.35">
      <c r="A20" s="13">
        <v>45390</v>
      </c>
      <c r="B20" s="2" t="s">
        <v>418</v>
      </c>
      <c r="D20" s="2" t="s">
        <v>628</v>
      </c>
      <c r="E20" s="2" t="s">
        <v>629</v>
      </c>
      <c r="F20" s="5" t="str">
        <f t="shared" si="0"/>
        <v>S/F 04 ADRIAN CODITA</v>
      </c>
      <c r="G20" s="12">
        <f t="shared" si="1"/>
        <v>330.57851239669424</v>
      </c>
      <c r="H20">
        <v>21</v>
      </c>
      <c r="I20" s="5">
        <f t="shared" si="2"/>
        <v>69.421487603305792</v>
      </c>
      <c r="J20" s="5">
        <f t="shared" si="3"/>
        <v>330.57851239669424</v>
      </c>
      <c r="L20" s="5">
        <f t="shared" si="4"/>
        <v>0</v>
      </c>
      <c r="M20" s="8">
        <v>400</v>
      </c>
      <c r="N20" s="2" t="s">
        <v>37</v>
      </c>
      <c r="O20" s="3" t="s">
        <v>68</v>
      </c>
      <c r="S20" t="s">
        <v>19</v>
      </c>
    </row>
    <row r="21" spans="1:19" x14ac:dyDescent="0.35">
      <c r="A21" s="13">
        <v>45390</v>
      </c>
      <c r="B21" s="2" t="s">
        <v>1251</v>
      </c>
      <c r="D21" s="2" t="s">
        <v>107</v>
      </c>
      <c r="E21" s="2" t="s">
        <v>1252</v>
      </c>
      <c r="F21" s="5" t="str">
        <f t="shared" si="0"/>
        <v>S/F 24/041 AIRCLIMA 2000 SL</v>
      </c>
      <c r="G21" s="12">
        <f t="shared" si="1"/>
        <v>3865</v>
      </c>
      <c r="H21">
        <v>21</v>
      </c>
      <c r="I21" s="5">
        <f t="shared" si="2"/>
        <v>811.65</v>
      </c>
      <c r="J21" s="5">
        <f t="shared" si="3"/>
        <v>3865</v>
      </c>
      <c r="L21" s="5">
        <f t="shared" si="4"/>
        <v>0</v>
      </c>
      <c r="M21" s="8">
        <v>4676.6499999999996</v>
      </c>
      <c r="N21" s="2" t="s">
        <v>37</v>
      </c>
      <c r="O21" s="3" t="s">
        <v>68</v>
      </c>
      <c r="S21" t="s">
        <v>19</v>
      </c>
    </row>
    <row r="22" spans="1:19" x14ac:dyDescent="0.35">
      <c r="A22" s="13">
        <v>45383</v>
      </c>
      <c r="B22" s="2" t="s">
        <v>1253</v>
      </c>
      <c r="D22" s="2" t="s">
        <v>58</v>
      </c>
      <c r="E22" s="2" t="s">
        <v>1172</v>
      </c>
      <c r="F22" s="5" t="str">
        <f t="shared" si="0"/>
        <v>S/F 007-0004-482255 BRICOLAJE BRICOMAN SLU</v>
      </c>
      <c r="G22" s="12">
        <f t="shared" si="1"/>
        <v>469.13223140495865</v>
      </c>
      <c r="H22">
        <v>21</v>
      </c>
      <c r="I22" s="5">
        <f t="shared" si="2"/>
        <v>98.517768595041304</v>
      </c>
      <c r="J22" s="5">
        <f t="shared" si="3"/>
        <v>469.13223140495865</v>
      </c>
      <c r="L22" s="5">
        <f t="shared" si="4"/>
        <v>0</v>
      </c>
      <c r="M22" s="8">
        <v>567.65</v>
      </c>
      <c r="N22" s="2" t="s">
        <v>21</v>
      </c>
      <c r="O22" s="3" t="s">
        <v>64</v>
      </c>
      <c r="S22" t="s">
        <v>19</v>
      </c>
    </row>
    <row r="23" spans="1:19" x14ac:dyDescent="0.35">
      <c r="A23" s="13">
        <v>45383</v>
      </c>
      <c r="B23" s="2" t="s">
        <v>1254</v>
      </c>
      <c r="D23" s="2" t="s">
        <v>58</v>
      </c>
      <c r="E23" s="2" t="s">
        <v>1172</v>
      </c>
      <c r="F23" s="5" t="str">
        <f t="shared" si="0"/>
        <v>S/F 012-0004-815225 BRICOLAJE BRICOMAN SLU</v>
      </c>
      <c r="G23" s="12">
        <f t="shared" si="1"/>
        <v>30.743801652892564</v>
      </c>
      <c r="H23">
        <v>21</v>
      </c>
      <c r="I23" s="5">
        <f>G23*21/100</f>
        <v>6.4561983471074385</v>
      </c>
      <c r="J23" s="5">
        <f t="shared" si="3"/>
        <v>30.743801652892564</v>
      </c>
      <c r="L23" s="5">
        <f t="shared" si="4"/>
        <v>0</v>
      </c>
      <c r="M23" s="8">
        <v>37.200000000000003</v>
      </c>
      <c r="N23" s="2" t="s">
        <v>21</v>
      </c>
      <c r="O23" s="3" t="s">
        <v>64</v>
      </c>
      <c r="S23" t="s">
        <v>19</v>
      </c>
    </row>
    <row r="24" spans="1:19" x14ac:dyDescent="0.35">
      <c r="A24" s="13">
        <v>45384</v>
      </c>
      <c r="B24" s="2" t="s">
        <v>1255</v>
      </c>
      <c r="D24" s="2" t="s">
        <v>58</v>
      </c>
      <c r="E24" s="2" t="s">
        <v>1172</v>
      </c>
      <c r="F24" s="5" t="str">
        <f t="shared" si="0"/>
        <v>S/F 007-0004-484276 BRICOLAJE BRICOMAN SLU</v>
      </c>
      <c r="G24" s="12">
        <f t="shared" si="1"/>
        <v>101.65289256198348</v>
      </c>
      <c r="H24">
        <v>21</v>
      </c>
      <c r="I24" s="5">
        <f t="shared" si="2"/>
        <v>21.347107438016529</v>
      </c>
      <c r="J24" s="5">
        <f t="shared" si="3"/>
        <v>101.65289256198348</v>
      </c>
      <c r="L24" s="5">
        <f t="shared" si="4"/>
        <v>0</v>
      </c>
      <c r="M24" s="8">
        <v>123</v>
      </c>
      <c r="N24" s="2" t="s">
        <v>21</v>
      </c>
      <c r="O24" s="3" t="s">
        <v>64</v>
      </c>
      <c r="S24" t="s">
        <v>19</v>
      </c>
    </row>
    <row r="25" spans="1:19" x14ac:dyDescent="0.35">
      <c r="A25" s="13">
        <v>45383</v>
      </c>
      <c r="B25" s="2" t="s">
        <v>1256</v>
      </c>
      <c r="D25" s="2" t="s">
        <v>132</v>
      </c>
      <c r="E25" s="2" t="s">
        <v>147</v>
      </c>
      <c r="F25" s="5" t="str">
        <f t="shared" si="0"/>
        <v>S/F A/4308 AZULEJOS ROSA</v>
      </c>
      <c r="G25" s="12">
        <f t="shared" si="1"/>
        <v>143.900826446281</v>
      </c>
      <c r="H25">
        <v>21</v>
      </c>
      <c r="I25" s="5">
        <f t="shared" si="2"/>
        <v>30.21917355371901</v>
      </c>
      <c r="J25" s="5">
        <f t="shared" si="3"/>
        <v>143.900826446281</v>
      </c>
      <c r="L25" s="5">
        <f t="shared" si="4"/>
        <v>0</v>
      </c>
      <c r="M25" s="8">
        <v>174.12</v>
      </c>
      <c r="N25" s="2" t="s">
        <v>21</v>
      </c>
      <c r="O25" s="3" t="s">
        <v>64</v>
      </c>
      <c r="S25" t="s">
        <v>19</v>
      </c>
    </row>
    <row r="26" spans="1:19" x14ac:dyDescent="0.35">
      <c r="A26" s="13">
        <v>45384</v>
      </c>
      <c r="B26" s="2" t="s">
        <v>1257</v>
      </c>
      <c r="D26" s="2" t="s">
        <v>132</v>
      </c>
      <c r="E26" s="2" t="s">
        <v>147</v>
      </c>
      <c r="F26" s="5" t="str">
        <f t="shared" si="0"/>
        <v>S/F A/4376 AZULEJOS ROSA</v>
      </c>
      <c r="G26" s="12">
        <f t="shared" si="1"/>
        <v>195</v>
      </c>
      <c r="H26">
        <v>21</v>
      </c>
      <c r="I26" s="5">
        <f t="shared" si="2"/>
        <v>40.950000000000003</v>
      </c>
      <c r="J26" s="5">
        <f t="shared" si="3"/>
        <v>195</v>
      </c>
      <c r="L26" s="5">
        <f t="shared" si="4"/>
        <v>0</v>
      </c>
      <c r="M26" s="8">
        <v>235.95</v>
      </c>
      <c r="N26" s="2" t="s">
        <v>21</v>
      </c>
      <c r="O26" s="3" t="s">
        <v>64</v>
      </c>
      <c r="S26" t="s">
        <v>19</v>
      </c>
    </row>
    <row r="27" spans="1:19" x14ac:dyDescent="0.35">
      <c r="A27" s="13">
        <v>45392</v>
      </c>
      <c r="B27" s="2" t="s">
        <v>1269</v>
      </c>
      <c r="D27" s="2" t="s">
        <v>94</v>
      </c>
      <c r="E27" s="2" t="s">
        <v>139</v>
      </c>
      <c r="F27" s="5" t="str">
        <f t="shared" si="0"/>
        <v>S/F VEN/20243273 BIGMAT</v>
      </c>
      <c r="G27" s="12">
        <f t="shared" si="1"/>
        <v>1304.1322314049587</v>
      </c>
      <c r="H27">
        <v>21</v>
      </c>
      <c r="I27" s="5">
        <f t="shared" si="2"/>
        <v>273.86776859504135</v>
      </c>
      <c r="J27" s="5">
        <f t="shared" si="3"/>
        <v>1304.1322314049587</v>
      </c>
      <c r="L27" s="5">
        <f t="shared" si="4"/>
        <v>0</v>
      </c>
      <c r="M27" s="8">
        <v>1578</v>
      </c>
      <c r="N27" s="2" t="s">
        <v>21</v>
      </c>
      <c r="O27" s="3" t="s">
        <v>67</v>
      </c>
      <c r="S27" t="s">
        <v>19</v>
      </c>
    </row>
    <row r="28" spans="1:19" x14ac:dyDescent="0.35">
      <c r="A28" s="13">
        <v>45391</v>
      </c>
      <c r="B28" s="2" t="s">
        <v>1268</v>
      </c>
      <c r="D28" s="2" t="s">
        <v>388</v>
      </c>
      <c r="E28" s="2" t="s">
        <v>1270</v>
      </c>
      <c r="F28" s="5" t="str">
        <f t="shared" si="0"/>
        <v>S/F 2024/23 VENTALUX ROXANA ADRIANA MARINA MARINA</v>
      </c>
      <c r="G28" s="12">
        <f t="shared" si="1"/>
        <v>1506.1983471074382</v>
      </c>
      <c r="H28">
        <v>21</v>
      </c>
      <c r="I28" s="5">
        <f t="shared" si="2"/>
        <v>316.301652892562</v>
      </c>
      <c r="J28" s="5">
        <f t="shared" si="3"/>
        <v>1506.1983471074382</v>
      </c>
      <c r="L28" s="5">
        <f t="shared" si="4"/>
        <v>0</v>
      </c>
      <c r="M28" s="8">
        <v>1822.5</v>
      </c>
      <c r="N28" s="2" t="s">
        <v>37</v>
      </c>
      <c r="O28" s="3" t="s">
        <v>68</v>
      </c>
      <c r="S28" t="s">
        <v>19</v>
      </c>
    </row>
    <row r="29" spans="1:19" x14ac:dyDescent="0.35">
      <c r="A29" s="4">
        <v>45392</v>
      </c>
      <c r="B29" s="2" t="s">
        <v>1271</v>
      </c>
      <c r="D29" s="2" t="s">
        <v>388</v>
      </c>
      <c r="E29" s="2" t="s">
        <v>1270</v>
      </c>
      <c r="F29" s="5" t="str">
        <f t="shared" si="0"/>
        <v>S/F 2024/24 VENTALUX ROXANA ADRIANA MARINA MARINA</v>
      </c>
      <c r="G29" s="12">
        <f t="shared" si="1"/>
        <v>5365</v>
      </c>
      <c r="H29">
        <v>21</v>
      </c>
      <c r="I29" s="5">
        <f t="shared" si="2"/>
        <v>1126.6500000000001</v>
      </c>
      <c r="J29" s="5">
        <f t="shared" si="3"/>
        <v>5365</v>
      </c>
      <c r="L29" s="5">
        <f t="shared" si="4"/>
        <v>0</v>
      </c>
      <c r="M29" s="8">
        <v>6491.65</v>
      </c>
      <c r="N29" s="2" t="s">
        <v>37</v>
      </c>
      <c r="O29" s="3" t="s">
        <v>68</v>
      </c>
      <c r="S29" t="s">
        <v>19</v>
      </c>
    </row>
    <row r="30" spans="1:19" x14ac:dyDescent="0.35">
      <c r="A30" s="13">
        <v>45392</v>
      </c>
      <c r="B30" s="2" t="s">
        <v>1272</v>
      </c>
      <c r="D30" s="2" t="s">
        <v>1273</v>
      </c>
      <c r="E30" s="2" t="s">
        <v>1274</v>
      </c>
      <c r="F30" s="5" t="str">
        <f t="shared" si="0"/>
        <v>S/F 2024004 MARIUS MIHAI CIOCAN</v>
      </c>
      <c r="G30" s="12">
        <f t="shared" si="1"/>
        <v>1000</v>
      </c>
      <c r="H30">
        <v>21</v>
      </c>
      <c r="I30" s="5">
        <f t="shared" si="2"/>
        <v>210</v>
      </c>
      <c r="J30" s="5">
        <f t="shared" si="3"/>
        <v>1000</v>
      </c>
      <c r="L30" s="5">
        <f t="shared" si="4"/>
        <v>0</v>
      </c>
      <c r="M30" s="8">
        <v>1210</v>
      </c>
      <c r="N30" s="2" t="s">
        <v>37</v>
      </c>
      <c r="O30" s="3" t="s">
        <v>68</v>
      </c>
      <c r="S30" t="s">
        <v>19</v>
      </c>
    </row>
    <row r="31" spans="1:19" x14ac:dyDescent="0.35">
      <c r="A31" s="13">
        <v>45383</v>
      </c>
      <c r="B31" s="2" t="s">
        <v>1275</v>
      </c>
      <c r="D31" s="2" t="s">
        <v>238</v>
      </c>
      <c r="E31" s="2" t="s">
        <v>220</v>
      </c>
      <c r="F31" s="5" t="str">
        <f t="shared" si="0"/>
        <v>S/F TA78Z0172580 TELEFONICA</v>
      </c>
      <c r="G31" s="12">
        <f t="shared" si="1"/>
        <v>130.89256198347107</v>
      </c>
      <c r="H31">
        <v>21</v>
      </c>
      <c r="I31" s="5">
        <f t="shared" si="2"/>
        <v>27.487438016528923</v>
      </c>
      <c r="J31" s="5">
        <f t="shared" si="3"/>
        <v>130.89256198347107</v>
      </c>
      <c r="L31" s="5">
        <f t="shared" si="4"/>
        <v>0</v>
      </c>
      <c r="M31" s="8">
        <v>158.38</v>
      </c>
      <c r="N31" s="2" t="s">
        <v>39</v>
      </c>
      <c r="O31" s="3" t="s">
        <v>67</v>
      </c>
      <c r="S31" t="s">
        <v>19</v>
      </c>
    </row>
    <row r="32" spans="1:19" x14ac:dyDescent="0.35">
      <c r="A32" s="13">
        <v>45383</v>
      </c>
      <c r="B32" s="2" t="s">
        <v>1276</v>
      </c>
      <c r="D32" s="2" t="s">
        <v>238</v>
      </c>
      <c r="E32" s="2" t="s">
        <v>220</v>
      </c>
      <c r="F32" s="5" t="str">
        <f t="shared" si="0"/>
        <v>S/F TA78Z0172579 TELEFONICA</v>
      </c>
      <c r="G32" s="12">
        <f t="shared" si="1"/>
        <v>75.239669421487605</v>
      </c>
      <c r="H32">
        <v>21</v>
      </c>
      <c r="I32" s="5">
        <f t="shared" si="2"/>
        <v>15.800330578512396</v>
      </c>
      <c r="J32" s="5">
        <f t="shared" si="3"/>
        <v>75.239669421487605</v>
      </c>
      <c r="L32" s="5">
        <f t="shared" si="4"/>
        <v>0</v>
      </c>
      <c r="M32" s="8">
        <v>91.04</v>
      </c>
      <c r="N32" s="2" t="s">
        <v>39</v>
      </c>
      <c r="O32" s="3" t="s">
        <v>67</v>
      </c>
      <c r="S32" t="s">
        <v>19</v>
      </c>
    </row>
    <row r="33" spans="1:19" x14ac:dyDescent="0.35">
      <c r="A33" s="13">
        <v>45383</v>
      </c>
      <c r="B33" s="2" t="s">
        <v>1277</v>
      </c>
      <c r="D33" s="2" t="s">
        <v>238</v>
      </c>
      <c r="E33" s="2" t="s">
        <v>220</v>
      </c>
      <c r="F33" s="5" t="str">
        <f t="shared" si="0"/>
        <v>S/F TA78Z0172578 TELEFONICA</v>
      </c>
      <c r="G33" s="12">
        <f t="shared" si="1"/>
        <v>75.239669421487605</v>
      </c>
      <c r="H33">
        <v>21</v>
      </c>
      <c r="I33" s="5">
        <f t="shared" si="2"/>
        <v>15.800330578512396</v>
      </c>
      <c r="J33" s="5">
        <f t="shared" si="3"/>
        <v>75.239669421487605</v>
      </c>
      <c r="L33" s="5">
        <f t="shared" si="4"/>
        <v>0</v>
      </c>
      <c r="M33" s="8">
        <v>91.04</v>
      </c>
      <c r="N33" s="2" t="s">
        <v>39</v>
      </c>
      <c r="O33" s="3" t="s">
        <v>67</v>
      </c>
      <c r="S33" t="s">
        <v>19</v>
      </c>
    </row>
    <row r="34" spans="1:19" x14ac:dyDescent="0.35">
      <c r="A34" s="13">
        <v>45383</v>
      </c>
      <c r="B34" s="2" t="s">
        <v>1278</v>
      </c>
      <c r="D34" s="2" t="s">
        <v>238</v>
      </c>
      <c r="E34" s="2" t="s">
        <v>220</v>
      </c>
      <c r="F34" s="5" t="str">
        <f t="shared" si="0"/>
        <v>S/F TA78Z0172581 TELEFONICA</v>
      </c>
      <c r="G34" s="12">
        <f t="shared" si="1"/>
        <v>75.239669421487605</v>
      </c>
      <c r="H34">
        <v>21</v>
      </c>
      <c r="I34" s="5">
        <f t="shared" si="2"/>
        <v>15.800330578512396</v>
      </c>
      <c r="J34" s="5">
        <f t="shared" si="3"/>
        <v>75.239669421487605</v>
      </c>
      <c r="L34" s="5">
        <f t="shared" si="4"/>
        <v>0</v>
      </c>
      <c r="M34" s="8">
        <v>91.04</v>
      </c>
      <c r="N34" s="2" t="s">
        <v>39</v>
      </c>
      <c r="O34" s="3" t="s">
        <v>67</v>
      </c>
      <c r="S34" t="s">
        <v>19</v>
      </c>
    </row>
    <row r="35" spans="1:19" x14ac:dyDescent="0.35">
      <c r="A35" s="4">
        <v>45383</v>
      </c>
      <c r="B35" s="2" t="s">
        <v>1279</v>
      </c>
      <c r="D35" s="2" t="s">
        <v>238</v>
      </c>
      <c r="E35" s="2" t="s">
        <v>220</v>
      </c>
      <c r="F35" s="5" t="str">
        <f t="shared" si="0"/>
        <v>S/F 28-D4U1-015852 TELEFONICA</v>
      </c>
      <c r="G35" s="12">
        <f t="shared" si="1"/>
        <v>118.69421487603306</v>
      </c>
      <c r="H35">
        <v>21</v>
      </c>
      <c r="I35" s="5">
        <f t="shared" si="2"/>
        <v>24.925785123966943</v>
      </c>
      <c r="J35" s="5">
        <f t="shared" si="3"/>
        <v>118.69421487603306</v>
      </c>
      <c r="L35" s="5">
        <f t="shared" si="4"/>
        <v>0</v>
      </c>
      <c r="M35" s="8">
        <v>143.62</v>
      </c>
      <c r="N35" s="2" t="s">
        <v>39</v>
      </c>
      <c r="O35" s="3" t="s">
        <v>67</v>
      </c>
      <c r="S35" t="s">
        <v>19</v>
      </c>
    </row>
    <row r="36" spans="1:19" x14ac:dyDescent="0.35">
      <c r="A36" s="13">
        <v>45394</v>
      </c>
      <c r="B36" s="2" t="s">
        <v>1280</v>
      </c>
      <c r="D36" s="2" t="s">
        <v>1281</v>
      </c>
      <c r="E36" s="2" t="s">
        <v>1282</v>
      </c>
      <c r="F36" s="5" t="str">
        <f t="shared" si="0"/>
        <v>S/F QE 4637 QUICK EXPEDITII SRL</v>
      </c>
      <c r="G36" s="12">
        <f t="shared" si="1"/>
        <v>900</v>
      </c>
      <c r="H36">
        <v>0</v>
      </c>
      <c r="I36" s="5">
        <f t="shared" si="2"/>
        <v>0</v>
      </c>
      <c r="J36" s="5">
        <f t="shared" si="3"/>
        <v>900</v>
      </c>
      <c r="L36" s="5">
        <f t="shared" si="4"/>
        <v>0</v>
      </c>
      <c r="M36" s="8">
        <v>900</v>
      </c>
      <c r="N36" s="2" t="s">
        <v>56</v>
      </c>
      <c r="O36" s="3" t="s">
        <v>68</v>
      </c>
      <c r="S36" t="s">
        <v>19</v>
      </c>
    </row>
    <row r="37" spans="1:19" x14ac:dyDescent="0.35">
      <c r="A37" s="13">
        <v>45395</v>
      </c>
      <c r="B37" s="2" t="s">
        <v>1283</v>
      </c>
      <c r="D37" s="2" t="s">
        <v>200</v>
      </c>
      <c r="E37" s="2" t="s">
        <v>1284</v>
      </c>
      <c r="F37" s="5" t="str">
        <f t="shared" si="0"/>
        <v>S/F 2124044 ICAR DISTRIBUCIONES FERRETERIAS SL I.D.F.</v>
      </c>
      <c r="G37" s="12">
        <f t="shared" si="1"/>
        <v>11.561983471074381</v>
      </c>
      <c r="H37">
        <v>21</v>
      </c>
      <c r="I37" s="5">
        <f t="shared" si="2"/>
        <v>2.4280165289256201</v>
      </c>
      <c r="J37" s="5">
        <f t="shared" si="3"/>
        <v>11.561983471074381</v>
      </c>
      <c r="L37" s="5">
        <f t="shared" si="4"/>
        <v>0</v>
      </c>
      <c r="M37" s="8">
        <v>13.99</v>
      </c>
      <c r="N37" s="2" t="s">
        <v>21</v>
      </c>
      <c r="O37" s="3" t="s">
        <v>64</v>
      </c>
      <c r="S37" t="s">
        <v>19</v>
      </c>
    </row>
    <row r="38" spans="1:19" x14ac:dyDescent="0.35">
      <c r="A38" s="13">
        <v>45396</v>
      </c>
      <c r="B38" s="2" t="s">
        <v>1285</v>
      </c>
      <c r="D38" s="2" t="s">
        <v>25</v>
      </c>
      <c r="E38" s="2" t="s">
        <v>26</v>
      </c>
      <c r="F38" s="5" t="str">
        <f t="shared" si="0"/>
        <v>S/F 116305 SALTOKI</v>
      </c>
      <c r="G38" s="12">
        <f t="shared" si="1"/>
        <v>276.91735537190084</v>
      </c>
      <c r="H38">
        <v>21</v>
      </c>
      <c r="I38" s="5">
        <f t="shared" si="2"/>
        <v>58.152644628099182</v>
      </c>
      <c r="J38" s="5">
        <f t="shared" si="3"/>
        <v>276.91735537190084</v>
      </c>
      <c r="L38" s="5">
        <f t="shared" si="4"/>
        <v>0</v>
      </c>
      <c r="M38" s="8">
        <v>335.07</v>
      </c>
      <c r="N38" s="2" t="s">
        <v>21</v>
      </c>
      <c r="O38" s="3" t="s">
        <v>67</v>
      </c>
      <c r="S38" t="s">
        <v>19</v>
      </c>
    </row>
    <row r="39" spans="1:19" x14ac:dyDescent="0.35">
      <c r="A39" s="13">
        <v>45396</v>
      </c>
      <c r="B39" s="2" t="s">
        <v>1286</v>
      </c>
      <c r="D39" s="2" t="s">
        <v>25</v>
      </c>
      <c r="E39" s="2" t="s">
        <v>26</v>
      </c>
      <c r="F39" s="5" t="str">
        <f t="shared" si="0"/>
        <v>S/F 116306 SALTOKI</v>
      </c>
      <c r="G39" s="12">
        <f t="shared" si="1"/>
        <v>606.47933884297527</v>
      </c>
      <c r="H39">
        <v>21</v>
      </c>
      <c r="I39" s="5">
        <f t="shared" si="2"/>
        <v>127.36066115702481</v>
      </c>
      <c r="J39" s="5">
        <f t="shared" si="3"/>
        <v>606.47933884297527</v>
      </c>
      <c r="L39" s="5">
        <f t="shared" si="4"/>
        <v>0</v>
      </c>
      <c r="M39" s="8">
        <v>733.84</v>
      </c>
      <c r="N39" s="2" t="s">
        <v>21</v>
      </c>
      <c r="O39" s="3" t="s">
        <v>67</v>
      </c>
      <c r="S39" t="s">
        <v>19</v>
      </c>
    </row>
    <row r="40" spans="1:19" x14ac:dyDescent="0.35">
      <c r="A40" s="13">
        <v>45396</v>
      </c>
      <c r="B40" s="2" t="s">
        <v>1287</v>
      </c>
      <c r="D40" s="2" t="s">
        <v>25</v>
      </c>
      <c r="E40" s="2" t="s">
        <v>26</v>
      </c>
      <c r="F40" s="5" t="str">
        <f t="shared" si="0"/>
        <v>S/F 116304 SALTOKI</v>
      </c>
      <c r="G40" s="12">
        <f t="shared" si="1"/>
        <v>-67.388429752066116</v>
      </c>
      <c r="H40">
        <v>21</v>
      </c>
      <c r="I40" s="5">
        <f t="shared" si="2"/>
        <v>-14.151570247933885</v>
      </c>
      <c r="J40" s="5">
        <f t="shared" si="3"/>
        <v>-67.388429752066116</v>
      </c>
      <c r="L40" s="5">
        <f t="shared" si="4"/>
        <v>0</v>
      </c>
      <c r="M40" s="8">
        <v>-81.540000000000006</v>
      </c>
      <c r="N40" s="2" t="s">
        <v>21</v>
      </c>
      <c r="O40" s="3" t="s">
        <v>67</v>
      </c>
      <c r="S40" t="s">
        <v>19</v>
      </c>
    </row>
    <row r="41" spans="1:19" x14ac:dyDescent="0.35">
      <c r="A41" s="13">
        <v>45389</v>
      </c>
      <c r="B41" s="2" t="s">
        <v>1288</v>
      </c>
      <c r="D41" s="2" t="s">
        <v>91</v>
      </c>
      <c r="E41" s="2" t="s">
        <v>115</v>
      </c>
      <c r="F41" s="5" t="str">
        <f t="shared" si="0"/>
        <v>S/F GINTAV0012742 GINOS</v>
      </c>
      <c r="G41" s="12">
        <f t="shared" si="1"/>
        <v>63.272727272727259</v>
      </c>
      <c r="H41">
        <v>10</v>
      </c>
      <c r="I41" s="5">
        <f t="shared" si="2"/>
        <v>6.3272727272727263</v>
      </c>
      <c r="J41" s="5">
        <f t="shared" si="3"/>
        <v>63.272727272727259</v>
      </c>
      <c r="L41" s="5">
        <f t="shared" si="4"/>
        <v>0</v>
      </c>
      <c r="M41" s="8">
        <v>69.599999999999994</v>
      </c>
      <c r="N41" s="2" t="s">
        <v>28</v>
      </c>
      <c r="O41" s="3" t="s">
        <v>63</v>
      </c>
      <c r="S41" t="s">
        <v>19</v>
      </c>
    </row>
    <row r="42" spans="1:19" x14ac:dyDescent="0.35">
      <c r="A42" s="13">
        <v>45395</v>
      </c>
      <c r="D42" s="2" t="s">
        <v>1289</v>
      </c>
      <c r="E42" s="2" t="s">
        <v>1290</v>
      </c>
      <c r="F42" s="5" t="str">
        <f t="shared" si="0"/>
        <v>S/F  EL MIRADOR</v>
      </c>
      <c r="G42" s="12">
        <f t="shared" si="1"/>
        <v>147.63636363636363</v>
      </c>
      <c r="H42">
        <v>10</v>
      </c>
      <c r="I42" s="5">
        <f t="shared" si="2"/>
        <v>14.763636363636362</v>
      </c>
      <c r="J42" s="5">
        <f t="shared" si="3"/>
        <v>147.63636363636363</v>
      </c>
      <c r="L42" s="5">
        <f t="shared" si="4"/>
        <v>0</v>
      </c>
      <c r="M42" s="8">
        <v>162.4</v>
      </c>
      <c r="N42" s="2" t="s">
        <v>28</v>
      </c>
      <c r="O42" s="3" t="s">
        <v>63</v>
      </c>
      <c r="S42" t="s">
        <v>19</v>
      </c>
    </row>
    <row r="43" spans="1:19" x14ac:dyDescent="0.35">
      <c r="A43" s="13">
        <v>45395</v>
      </c>
      <c r="D43" s="2" t="s">
        <v>1291</v>
      </c>
      <c r="E43" s="2" t="s">
        <v>1292</v>
      </c>
      <c r="F43" s="5" t="str">
        <f t="shared" si="0"/>
        <v>S/F  RESTAURANTE ARRAYANES GRANADA SL</v>
      </c>
      <c r="G43" s="12">
        <f t="shared" si="1"/>
        <v>230.99999999999997</v>
      </c>
      <c r="H43">
        <v>10</v>
      </c>
      <c r="I43" s="5">
        <f t="shared" si="2"/>
        <v>23.099999999999994</v>
      </c>
      <c r="J43" s="5">
        <f t="shared" si="3"/>
        <v>230.99999999999997</v>
      </c>
      <c r="L43" s="5">
        <f t="shared" si="4"/>
        <v>0</v>
      </c>
      <c r="M43" s="8">
        <v>254.1</v>
      </c>
      <c r="N43" s="2" t="s">
        <v>28</v>
      </c>
      <c r="O43" s="3" t="s">
        <v>63</v>
      </c>
      <c r="S43" t="s">
        <v>19</v>
      </c>
    </row>
    <row r="44" spans="1:19" x14ac:dyDescent="0.35">
      <c r="A44" s="13">
        <v>45394</v>
      </c>
      <c r="D44" s="2" t="s">
        <v>1291</v>
      </c>
      <c r="E44" s="2" t="s">
        <v>1292</v>
      </c>
      <c r="F44" s="5" t="str">
        <f t="shared" si="0"/>
        <v>S/F  RESTAURANTE ARRAYANES GRANADA SL</v>
      </c>
      <c r="G44" s="12">
        <f t="shared" si="1"/>
        <v>52.272727272727266</v>
      </c>
      <c r="H44">
        <v>10</v>
      </c>
      <c r="I44" s="5">
        <f t="shared" si="2"/>
        <v>5.2272727272727266</v>
      </c>
      <c r="J44" s="5">
        <f t="shared" si="3"/>
        <v>52.272727272727266</v>
      </c>
      <c r="L44" s="5">
        <f t="shared" si="4"/>
        <v>0</v>
      </c>
      <c r="M44" s="8">
        <v>57.5</v>
      </c>
      <c r="N44" s="2" t="s">
        <v>28</v>
      </c>
      <c r="O44" s="3" t="s">
        <v>63</v>
      </c>
      <c r="S44" t="s">
        <v>19</v>
      </c>
    </row>
    <row r="45" spans="1:19" x14ac:dyDescent="0.35">
      <c r="A45" s="13">
        <v>45384</v>
      </c>
      <c r="B45" s="2" t="s">
        <v>1293</v>
      </c>
      <c r="D45" s="2" t="s">
        <v>111</v>
      </c>
      <c r="E45" s="2" t="s">
        <v>237</v>
      </c>
      <c r="F45" s="5" t="str">
        <f t="shared" si="0"/>
        <v>S/F 001D2400008120 PLENOIL</v>
      </c>
      <c r="G45" s="12">
        <f t="shared" si="1"/>
        <v>41.32231404958678</v>
      </c>
      <c r="H45">
        <v>21</v>
      </c>
      <c r="I45" s="5">
        <f t="shared" si="2"/>
        <v>8.677685950413224</v>
      </c>
      <c r="J45" s="5">
        <f t="shared" si="3"/>
        <v>41.32231404958678</v>
      </c>
      <c r="L45" s="5">
        <f t="shared" si="4"/>
        <v>0</v>
      </c>
      <c r="M45" s="8">
        <v>50</v>
      </c>
      <c r="N45" s="2" t="s">
        <v>22</v>
      </c>
      <c r="O45" s="3" t="s">
        <v>64</v>
      </c>
      <c r="S45" t="s">
        <v>19</v>
      </c>
    </row>
    <row r="46" spans="1:19" x14ac:dyDescent="0.35">
      <c r="A46" s="13">
        <v>45392</v>
      </c>
      <c r="B46" s="2" t="s">
        <v>1294</v>
      </c>
      <c r="D46" s="2" t="s">
        <v>1295</v>
      </c>
      <c r="E46" s="2" t="s">
        <v>1296</v>
      </c>
      <c r="F46" s="5" t="str">
        <f t="shared" ref="F46:F172" si="5">CONCATENATE(S46,B46," ",E46)</f>
        <v>S/F 240317 BEDYFA SL</v>
      </c>
      <c r="G46" s="12">
        <f t="shared" si="1"/>
        <v>404</v>
      </c>
      <c r="H46">
        <v>21</v>
      </c>
      <c r="I46" s="5">
        <f t="shared" si="2"/>
        <v>84.84</v>
      </c>
      <c r="J46" s="5">
        <f t="shared" si="3"/>
        <v>404</v>
      </c>
      <c r="L46" s="5">
        <f t="shared" si="4"/>
        <v>0</v>
      </c>
      <c r="M46" s="8">
        <v>488.84</v>
      </c>
      <c r="N46" s="2" t="s">
        <v>21</v>
      </c>
      <c r="O46" s="3" t="s">
        <v>63</v>
      </c>
      <c r="S46" t="s">
        <v>19</v>
      </c>
    </row>
    <row r="47" spans="1:19" x14ac:dyDescent="0.35">
      <c r="A47" s="13">
        <v>45392</v>
      </c>
      <c r="B47" s="2" t="s">
        <v>1297</v>
      </c>
      <c r="D47" s="2" t="s">
        <v>1295</v>
      </c>
      <c r="E47" s="2" t="s">
        <v>1296</v>
      </c>
      <c r="F47" s="5" t="str">
        <f t="shared" si="5"/>
        <v>S/F 240318 BEDYFA SL</v>
      </c>
      <c r="G47" s="12">
        <f t="shared" ref="G47:G96" si="6">M47/(1-K47/100+H47/100)</f>
        <v>782.70247933884309</v>
      </c>
      <c r="H47">
        <v>21</v>
      </c>
      <c r="I47" s="5">
        <f t="shared" ref="I47:I96" si="7">G47*H47/100</f>
        <v>164.36752066115704</v>
      </c>
      <c r="J47" s="5">
        <f t="shared" ref="J47:J96" si="8">G47</f>
        <v>782.70247933884309</v>
      </c>
      <c r="L47" s="5">
        <f t="shared" ref="L47:L96" si="9">J47*K47/100</f>
        <v>0</v>
      </c>
      <c r="M47" s="8">
        <v>947.07</v>
      </c>
      <c r="N47" s="2" t="s">
        <v>21</v>
      </c>
      <c r="O47" s="3" t="s">
        <v>63</v>
      </c>
      <c r="P47" s="3" t="s">
        <v>68</v>
      </c>
      <c r="S47" t="s">
        <v>19</v>
      </c>
    </row>
    <row r="48" spans="1:19" x14ac:dyDescent="0.35">
      <c r="A48" s="13">
        <v>45397</v>
      </c>
      <c r="B48" s="2" t="s">
        <v>1302</v>
      </c>
      <c r="D48" s="2" t="s">
        <v>109</v>
      </c>
      <c r="E48" s="2" t="s">
        <v>42</v>
      </c>
      <c r="F48" s="5" t="str">
        <f t="shared" si="5"/>
        <v>S/F 24105669 DISCESUR</v>
      </c>
      <c r="G48" s="12">
        <f t="shared" si="6"/>
        <v>170.81818181818181</v>
      </c>
      <c r="H48">
        <v>21</v>
      </c>
      <c r="I48" s="5">
        <f t="shared" si="7"/>
        <v>35.871818181818178</v>
      </c>
      <c r="J48" s="5">
        <f t="shared" si="8"/>
        <v>170.81818181818181</v>
      </c>
      <c r="L48" s="5">
        <f t="shared" si="9"/>
        <v>0</v>
      </c>
      <c r="M48" s="8">
        <v>206.69</v>
      </c>
      <c r="N48" s="2" t="s">
        <v>21</v>
      </c>
      <c r="O48" s="3" t="s">
        <v>67</v>
      </c>
      <c r="S48" t="s">
        <v>19</v>
      </c>
    </row>
    <row r="49" spans="1:19" x14ac:dyDescent="0.35">
      <c r="A49" s="13">
        <v>45397</v>
      </c>
      <c r="B49" s="2" t="s">
        <v>1303</v>
      </c>
      <c r="D49" s="2" t="s">
        <v>109</v>
      </c>
      <c r="E49" s="2" t="s">
        <v>42</v>
      </c>
      <c r="F49" s="5" t="str">
        <f t="shared" si="5"/>
        <v>S/F 24105670 DISCESUR</v>
      </c>
      <c r="G49" s="12">
        <f t="shared" si="6"/>
        <v>1414.504132231405</v>
      </c>
      <c r="H49">
        <v>21</v>
      </c>
      <c r="I49" s="5">
        <f t="shared" si="7"/>
        <v>297.04586776859503</v>
      </c>
      <c r="J49" s="5">
        <f t="shared" si="8"/>
        <v>1414.504132231405</v>
      </c>
      <c r="L49" s="5">
        <f t="shared" si="9"/>
        <v>0</v>
      </c>
      <c r="M49" s="8">
        <v>1711.55</v>
      </c>
      <c r="N49" s="2" t="s">
        <v>21</v>
      </c>
      <c r="O49" s="3" t="s">
        <v>67</v>
      </c>
      <c r="S49" t="s">
        <v>19</v>
      </c>
    </row>
    <row r="50" spans="1:19" x14ac:dyDescent="0.35">
      <c r="A50" s="13">
        <v>45397</v>
      </c>
      <c r="B50" s="2" t="s">
        <v>1304</v>
      </c>
      <c r="D50" s="2" t="s">
        <v>109</v>
      </c>
      <c r="E50" s="2" t="s">
        <v>42</v>
      </c>
      <c r="F50" s="5" t="str">
        <f t="shared" si="5"/>
        <v>S/F 24105671 DISCESUR</v>
      </c>
      <c r="G50" s="12">
        <f t="shared" si="6"/>
        <v>70.504132231404967</v>
      </c>
      <c r="H50">
        <v>21</v>
      </c>
      <c r="I50" s="5">
        <f t="shared" si="7"/>
        <v>14.805867768595043</v>
      </c>
      <c r="J50" s="5">
        <f t="shared" si="8"/>
        <v>70.504132231404967</v>
      </c>
      <c r="L50" s="5">
        <f t="shared" si="9"/>
        <v>0</v>
      </c>
      <c r="M50" s="8">
        <v>85.31</v>
      </c>
      <c r="N50" s="2" t="s">
        <v>21</v>
      </c>
      <c r="O50" s="3" t="s">
        <v>67</v>
      </c>
      <c r="S50" t="s">
        <v>19</v>
      </c>
    </row>
    <row r="51" spans="1:19" x14ac:dyDescent="0.35">
      <c r="A51" s="13">
        <v>45397</v>
      </c>
      <c r="B51" s="2" t="s">
        <v>1305</v>
      </c>
      <c r="D51" s="2" t="s">
        <v>200</v>
      </c>
      <c r="E51" s="2" t="s">
        <v>1284</v>
      </c>
      <c r="F51" s="5" t="str">
        <f t="shared" si="5"/>
        <v>S/F 0121872 ICAR DISTRIBUCIONES FERRETERIAS SL I.D.F.</v>
      </c>
      <c r="G51" s="12">
        <f t="shared" si="6"/>
        <v>8.5206611570247937</v>
      </c>
      <c r="H51">
        <v>21</v>
      </c>
      <c r="I51" s="5">
        <f t="shared" si="7"/>
        <v>1.7893388429752068</v>
      </c>
      <c r="J51" s="5">
        <f t="shared" si="8"/>
        <v>8.5206611570247937</v>
      </c>
      <c r="L51" s="5">
        <f t="shared" si="9"/>
        <v>0</v>
      </c>
      <c r="M51" s="8">
        <v>10.31</v>
      </c>
      <c r="N51" s="2" t="s">
        <v>21</v>
      </c>
      <c r="S51" t="s">
        <v>19</v>
      </c>
    </row>
    <row r="52" spans="1:19" x14ac:dyDescent="0.35">
      <c r="A52" s="13">
        <v>45397</v>
      </c>
      <c r="B52" s="2" t="s">
        <v>1306</v>
      </c>
      <c r="D52" s="2" t="s">
        <v>254</v>
      </c>
      <c r="E52" s="2" t="s">
        <v>1307</v>
      </c>
      <c r="F52" s="5" t="str">
        <f t="shared" si="5"/>
        <v>S/F 406400485 SUMINISTROS ELECTRICOS BPV VALDEMORO SL</v>
      </c>
      <c r="G52" s="12">
        <f t="shared" si="6"/>
        <v>883.71900826446279</v>
      </c>
      <c r="H52">
        <v>21</v>
      </c>
      <c r="I52" s="5">
        <f t="shared" si="7"/>
        <v>185.58099173553717</v>
      </c>
      <c r="J52" s="5">
        <f t="shared" si="8"/>
        <v>883.71900826446279</v>
      </c>
      <c r="L52" s="5">
        <f t="shared" si="9"/>
        <v>0</v>
      </c>
      <c r="M52" s="8">
        <v>1069.3</v>
      </c>
      <c r="N52" s="2" t="s">
        <v>21</v>
      </c>
      <c r="O52" s="3" t="s">
        <v>67</v>
      </c>
      <c r="S52" t="s">
        <v>19</v>
      </c>
    </row>
    <row r="53" spans="1:19" x14ac:dyDescent="0.35">
      <c r="A53" s="4">
        <v>45398</v>
      </c>
      <c r="B53" s="2" t="s">
        <v>1308</v>
      </c>
      <c r="D53" s="2" t="s">
        <v>132</v>
      </c>
      <c r="E53" s="2" t="s">
        <v>147</v>
      </c>
      <c r="F53" s="5" t="str">
        <f t="shared" si="5"/>
        <v>S/F A/5152 AZULEJOS ROSA</v>
      </c>
      <c r="G53" s="12">
        <f t="shared" si="6"/>
        <v>162</v>
      </c>
      <c r="H53">
        <v>21</v>
      </c>
      <c r="I53" s="5">
        <f t="shared" si="7"/>
        <v>34.020000000000003</v>
      </c>
      <c r="J53" s="5">
        <f t="shared" si="8"/>
        <v>162</v>
      </c>
      <c r="L53" s="5">
        <f t="shared" si="9"/>
        <v>0</v>
      </c>
      <c r="M53" s="8">
        <v>196.02</v>
      </c>
      <c r="N53" s="2" t="s">
        <v>21</v>
      </c>
      <c r="O53" s="3" t="s">
        <v>63</v>
      </c>
      <c r="S53" t="s">
        <v>19</v>
      </c>
    </row>
    <row r="54" spans="1:19" x14ac:dyDescent="0.35">
      <c r="A54" s="13">
        <v>45398</v>
      </c>
      <c r="B54" s="2" t="s">
        <v>1309</v>
      </c>
      <c r="D54" s="2" t="s">
        <v>1310</v>
      </c>
      <c r="E54" s="2" t="s">
        <v>1311</v>
      </c>
      <c r="F54" s="5" t="str">
        <f t="shared" si="5"/>
        <v>S/F 105 000009780 TREK BICYCLE SL</v>
      </c>
      <c r="G54" s="12">
        <f t="shared" si="6"/>
        <v>160.31404958677686</v>
      </c>
      <c r="H54">
        <v>21</v>
      </c>
      <c r="I54" s="5">
        <f t="shared" si="7"/>
        <v>33.665950413223143</v>
      </c>
      <c r="J54" s="5">
        <f t="shared" si="8"/>
        <v>160.31404958677686</v>
      </c>
      <c r="L54" s="5">
        <f t="shared" si="9"/>
        <v>0</v>
      </c>
      <c r="M54" s="8">
        <v>193.98</v>
      </c>
      <c r="N54" s="2" t="s">
        <v>21</v>
      </c>
      <c r="O54" s="3" t="s">
        <v>63</v>
      </c>
      <c r="S54" t="s">
        <v>19</v>
      </c>
    </row>
    <row r="55" spans="1:19" x14ac:dyDescent="0.35">
      <c r="A55" s="13">
        <v>45397</v>
      </c>
      <c r="B55" s="2" t="s">
        <v>1312</v>
      </c>
      <c r="D55" s="2" t="s">
        <v>94</v>
      </c>
      <c r="E55" s="2" t="s">
        <v>139</v>
      </c>
      <c r="F55" s="5" t="str">
        <f t="shared" si="5"/>
        <v>S/F 00002-2024/A0101/00002996 BIGMAT</v>
      </c>
      <c r="G55" s="12">
        <f t="shared" si="6"/>
        <v>9.900826446280993</v>
      </c>
      <c r="H55">
        <v>21</v>
      </c>
      <c r="I55" s="5">
        <f t="shared" si="7"/>
        <v>2.0791735537190084</v>
      </c>
      <c r="J55" s="5">
        <f t="shared" si="8"/>
        <v>9.900826446280993</v>
      </c>
      <c r="L55" s="5">
        <f t="shared" si="9"/>
        <v>0</v>
      </c>
      <c r="M55" s="8">
        <v>11.98</v>
      </c>
      <c r="N55" s="2" t="s">
        <v>21</v>
      </c>
      <c r="O55" s="3" t="s">
        <v>63</v>
      </c>
      <c r="S55" t="s">
        <v>19</v>
      </c>
    </row>
    <row r="56" spans="1:19" x14ac:dyDescent="0.35">
      <c r="A56" s="13">
        <v>45398</v>
      </c>
      <c r="B56" s="2" t="s">
        <v>1313</v>
      </c>
      <c r="D56" s="2" t="s">
        <v>1314</v>
      </c>
      <c r="E56" s="2" t="s">
        <v>1315</v>
      </c>
      <c r="F56" s="5" t="str">
        <f t="shared" si="5"/>
        <v>S/F 86 SILVIA SILVA BLAS</v>
      </c>
      <c r="G56" s="12">
        <f t="shared" si="6"/>
        <v>35.710743801652896</v>
      </c>
      <c r="H56">
        <v>21</v>
      </c>
      <c r="I56" s="5">
        <f t="shared" si="7"/>
        <v>7.4992561983471084</v>
      </c>
      <c r="J56" s="5">
        <f t="shared" si="8"/>
        <v>35.710743801652896</v>
      </c>
      <c r="L56" s="5">
        <f t="shared" si="9"/>
        <v>0</v>
      </c>
      <c r="M56" s="8">
        <v>43.21</v>
      </c>
      <c r="N56" s="2" t="s">
        <v>21</v>
      </c>
      <c r="O56" s="3" t="s">
        <v>63</v>
      </c>
      <c r="S56" t="s">
        <v>19</v>
      </c>
    </row>
    <row r="57" spans="1:19" x14ac:dyDescent="0.35">
      <c r="A57" s="13">
        <v>45397</v>
      </c>
      <c r="B57" s="2" t="s">
        <v>1316</v>
      </c>
      <c r="D57" s="2" t="s">
        <v>94</v>
      </c>
      <c r="E57" s="2" t="s">
        <v>139</v>
      </c>
      <c r="F57" s="5" t="str">
        <f t="shared" si="5"/>
        <v>S/F 00002-2024/A0103/00007428 BIGMAT</v>
      </c>
      <c r="G57" s="12">
        <f t="shared" si="6"/>
        <v>459.76033057851237</v>
      </c>
      <c r="H57">
        <v>21</v>
      </c>
      <c r="I57" s="5">
        <f t="shared" si="7"/>
        <v>96.549669421487593</v>
      </c>
      <c r="J57" s="5">
        <f t="shared" si="8"/>
        <v>459.76033057851237</v>
      </c>
      <c r="L57" s="5">
        <f t="shared" si="9"/>
        <v>0</v>
      </c>
      <c r="M57" s="8">
        <v>556.30999999999995</v>
      </c>
      <c r="N57" s="2" t="s">
        <v>21</v>
      </c>
      <c r="O57" s="3" t="s">
        <v>63</v>
      </c>
      <c r="S57" t="s">
        <v>19</v>
      </c>
    </row>
    <row r="58" spans="1:19" x14ac:dyDescent="0.35">
      <c r="A58" s="13">
        <v>45397</v>
      </c>
      <c r="B58" s="2" t="s">
        <v>1317</v>
      </c>
      <c r="D58" s="2" t="s">
        <v>94</v>
      </c>
      <c r="E58" s="2" t="s">
        <v>139</v>
      </c>
      <c r="F58" s="5" t="str">
        <f t="shared" si="5"/>
        <v>S/F 0002-2024/A0101/00002979 BIGMAT</v>
      </c>
      <c r="G58" s="12">
        <f t="shared" si="6"/>
        <v>18.75206611570248</v>
      </c>
      <c r="H58">
        <v>21</v>
      </c>
      <c r="I58" s="5">
        <f t="shared" si="7"/>
        <v>3.9379338842975211</v>
      </c>
      <c r="J58" s="5">
        <f t="shared" si="8"/>
        <v>18.75206611570248</v>
      </c>
      <c r="L58" s="5">
        <f t="shared" si="9"/>
        <v>0</v>
      </c>
      <c r="M58" s="8">
        <v>22.69</v>
      </c>
      <c r="N58" s="2" t="s">
        <v>21</v>
      </c>
      <c r="O58" s="3" t="s">
        <v>63</v>
      </c>
      <c r="S58" t="s">
        <v>19</v>
      </c>
    </row>
    <row r="59" spans="1:19" x14ac:dyDescent="0.35">
      <c r="A59" s="4">
        <v>45393</v>
      </c>
      <c r="B59" s="2" t="s">
        <v>1318</v>
      </c>
      <c r="D59" s="2" t="s">
        <v>1048</v>
      </c>
      <c r="E59" s="2" t="s">
        <v>1319</v>
      </c>
      <c r="F59" s="5" t="str">
        <f t="shared" si="5"/>
        <v>S/F OV-2249 LAFUENTE SEGOVIA SL</v>
      </c>
      <c r="G59" s="12">
        <f t="shared" si="6"/>
        <v>3.0991735537190084</v>
      </c>
      <c r="H59">
        <v>21</v>
      </c>
      <c r="I59" s="5">
        <f t="shared" si="7"/>
        <v>0.65082644628099173</v>
      </c>
      <c r="J59" s="5">
        <f t="shared" si="8"/>
        <v>3.0991735537190084</v>
      </c>
      <c r="L59" s="5">
        <f t="shared" si="9"/>
        <v>0</v>
      </c>
      <c r="M59" s="8">
        <v>3.75</v>
      </c>
      <c r="N59" s="2" t="s">
        <v>21</v>
      </c>
      <c r="O59" s="3" t="s">
        <v>64</v>
      </c>
      <c r="S59" t="s">
        <v>19</v>
      </c>
    </row>
    <row r="60" spans="1:19" x14ac:dyDescent="0.35">
      <c r="A60" s="13">
        <v>45393</v>
      </c>
      <c r="B60" s="2" t="s">
        <v>1320</v>
      </c>
      <c r="D60" s="2" t="s">
        <v>58</v>
      </c>
      <c r="E60" s="2" t="s">
        <v>1172</v>
      </c>
      <c r="F60" s="5" t="str">
        <f t="shared" si="5"/>
        <v>S/F 012-0004-849188 BRICOLAJE BRICOMAN SLU</v>
      </c>
      <c r="G60" s="12">
        <f t="shared" si="6"/>
        <v>133.22314049586777</v>
      </c>
      <c r="H60">
        <v>21</v>
      </c>
      <c r="I60" s="5">
        <f t="shared" si="7"/>
        <v>27.976859504132232</v>
      </c>
      <c r="J60" s="5">
        <f t="shared" si="8"/>
        <v>133.22314049586777</v>
      </c>
      <c r="L60" s="5">
        <f t="shared" si="9"/>
        <v>0</v>
      </c>
      <c r="M60" s="8">
        <v>161.19999999999999</v>
      </c>
      <c r="N60" s="2" t="s">
        <v>21</v>
      </c>
      <c r="O60" s="3" t="s">
        <v>63</v>
      </c>
      <c r="S60" t="s">
        <v>19</v>
      </c>
    </row>
    <row r="61" spans="1:19" x14ac:dyDescent="0.35">
      <c r="A61" s="13">
        <v>45392</v>
      </c>
      <c r="B61" s="2" t="s">
        <v>1321</v>
      </c>
      <c r="D61" s="2" t="s">
        <v>132</v>
      </c>
      <c r="E61" s="2" t="s">
        <v>147</v>
      </c>
      <c r="F61" s="5" t="str">
        <f t="shared" si="5"/>
        <v>S/F A/4781 AZULEJOS ROSA</v>
      </c>
      <c r="G61" s="12">
        <f t="shared" si="6"/>
        <v>256</v>
      </c>
      <c r="H61">
        <v>21</v>
      </c>
      <c r="I61" s="5">
        <f t="shared" si="7"/>
        <v>53.76</v>
      </c>
      <c r="J61" s="5">
        <f t="shared" si="8"/>
        <v>256</v>
      </c>
      <c r="L61" s="5">
        <f t="shared" si="9"/>
        <v>0</v>
      </c>
      <c r="M61" s="8">
        <v>309.76</v>
      </c>
      <c r="N61" s="2" t="s">
        <v>21</v>
      </c>
      <c r="O61" s="3" t="s">
        <v>63</v>
      </c>
      <c r="S61" t="s">
        <v>19</v>
      </c>
    </row>
    <row r="62" spans="1:19" x14ac:dyDescent="0.35">
      <c r="A62" s="13">
        <v>45392</v>
      </c>
      <c r="B62" s="2" t="s">
        <v>1322</v>
      </c>
      <c r="D62" s="2" t="s">
        <v>94</v>
      </c>
      <c r="E62" s="2" t="s">
        <v>139</v>
      </c>
      <c r="F62" s="5" t="str">
        <f t="shared" si="5"/>
        <v>S/F 00002-2024/A0103/00007158 BIGMAT</v>
      </c>
      <c r="G62" s="12">
        <f t="shared" si="6"/>
        <v>11.479338842975208</v>
      </c>
      <c r="H62">
        <v>21</v>
      </c>
      <c r="I62" s="5">
        <f t="shared" si="7"/>
        <v>2.4106611570247938</v>
      </c>
      <c r="J62" s="5">
        <f t="shared" si="8"/>
        <v>11.479338842975208</v>
      </c>
      <c r="L62" s="5">
        <f t="shared" si="9"/>
        <v>0</v>
      </c>
      <c r="M62" s="8">
        <v>13.89</v>
      </c>
      <c r="N62" s="2" t="s">
        <v>21</v>
      </c>
      <c r="O62" s="3" t="s">
        <v>63</v>
      </c>
      <c r="S62" t="s">
        <v>19</v>
      </c>
    </row>
    <row r="63" spans="1:19" x14ac:dyDescent="0.35">
      <c r="A63" s="13">
        <v>45392</v>
      </c>
      <c r="B63" s="2" t="s">
        <v>1323</v>
      </c>
      <c r="D63" s="2" t="s">
        <v>101</v>
      </c>
      <c r="E63" s="2" t="s">
        <v>1324</v>
      </c>
      <c r="F63" s="5" t="str">
        <f t="shared" si="5"/>
        <v>S/F FACG 2731 ESCAYOLAS EUROPA</v>
      </c>
      <c r="G63" s="12">
        <f t="shared" si="6"/>
        <v>39.958677685950413</v>
      </c>
      <c r="H63">
        <v>21</v>
      </c>
      <c r="I63" s="5">
        <f t="shared" si="7"/>
        <v>8.391322314049587</v>
      </c>
      <c r="J63" s="5">
        <f t="shared" si="8"/>
        <v>39.958677685950413</v>
      </c>
      <c r="L63" s="5">
        <f t="shared" si="9"/>
        <v>0</v>
      </c>
      <c r="M63" s="8">
        <v>48.35</v>
      </c>
      <c r="N63" s="2" t="s">
        <v>21</v>
      </c>
      <c r="O63" s="3" t="s">
        <v>63</v>
      </c>
      <c r="S63" t="s">
        <v>19</v>
      </c>
    </row>
    <row r="64" spans="1:19" x14ac:dyDescent="0.35">
      <c r="A64" s="13">
        <v>45391</v>
      </c>
      <c r="B64" s="2" t="s">
        <v>1325</v>
      </c>
      <c r="D64" s="2" t="s">
        <v>58</v>
      </c>
      <c r="E64" s="2" t="s">
        <v>1172</v>
      </c>
      <c r="F64" s="5" t="str">
        <f t="shared" si="5"/>
        <v>S/F 012-0004-841744 BRICOLAJE BRICOMAN SLU</v>
      </c>
      <c r="G64" s="12">
        <f t="shared" si="6"/>
        <v>26.363636363636363</v>
      </c>
      <c r="H64">
        <v>21</v>
      </c>
      <c r="I64" s="5">
        <f t="shared" si="7"/>
        <v>5.5363636363636362</v>
      </c>
      <c r="J64" s="5">
        <f t="shared" si="8"/>
        <v>26.363636363636363</v>
      </c>
      <c r="L64" s="5">
        <f t="shared" si="9"/>
        <v>0</v>
      </c>
      <c r="M64" s="8">
        <v>31.9</v>
      </c>
      <c r="N64" s="2" t="s">
        <v>21</v>
      </c>
      <c r="O64" s="3" t="s">
        <v>63</v>
      </c>
      <c r="S64" t="s">
        <v>19</v>
      </c>
    </row>
    <row r="65" spans="1:19" x14ac:dyDescent="0.35">
      <c r="A65" s="13">
        <v>45391</v>
      </c>
      <c r="B65" s="2" t="s">
        <v>1326</v>
      </c>
      <c r="D65" s="2" t="s">
        <v>58</v>
      </c>
      <c r="E65" s="2" t="s">
        <v>1172</v>
      </c>
      <c r="F65" s="5" t="str">
        <f t="shared" si="5"/>
        <v>S/F 012-0004-840439 BRICOLAJE BRICOMAN SLU</v>
      </c>
      <c r="G65" s="12">
        <f t="shared" si="6"/>
        <v>167.77685950413223</v>
      </c>
      <c r="H65">
        <v>21</v>
      </c>
      <c r="I65" s="5">
        <f t="shared" si="7"/>
        <v>35.233140495867772</v>
      </c>
      <c r="J65" s="5">
        <f t="shared" si="8"/>
        <v>167.77685950413223</v>
      </c>
      <c r="L65" s="5">
        <f t="shared" si="9"/>
        <v>0</v>
      </c>
      <c r="M65" s="8">
        <v>203.01</v>
      </c>
      <c r="N65" s="2" t="s">
        <v>21</v>
      </c>
      <c r="O65" s="3" t="s">
        <v>63</v>
      </c>
      <c r="S65" t="s">
        <v>19</v>
      </c>
    </row>
    <row r="66" spans="1:19" x14ac:dyDescent="0.35">
      <c r="A66" s="13">
        <v>45386</v>
      </c>
      <c r="B66" s="2" t="s">
        <v>1327</v>
      </c>
      <c r="D66" s="2" t="s">
        <v>58</v>
      </c>
      <c r="E66" s="2" t="s">
        <v>139</v>
      </c>
      <c r="F66" s="5" t="str">
        <f t="shared" si="5"/>
        <v>S/F 00002-2024/A0103/00006775 BIGMAT</v>
      </c>
      <c r="G66" s="12">
        <f t="shared" si="6"/>
        <v>51.099173553719005</v>
      </c>
      <c r="H66">
        <v>21</v>
      </c>
      <c r="I66" s="5">
        <f t="shared" si="7"/>
        <v>10.730826446280991</v>
      </c>
      <c r="J66" s="5">
        <f t="shared" si="8"/>
        <v>51.099173553719005</v>
      </c>
      <c r="L66" s="5">
        <f t="shared" si="9"/>
        <v>0</v>
      </c>
      <c r="M66" s="8">
        <v>61.83</v>
      </c>
      <c r="N66" s="2" t="s">
        <v>21</v>
      </c>
      <c r="O66" s="3" t="s">
        <v>63</v>
      </c>
      <c r="S66" t="s">
        <v>19</v>
      </c>
    </row>
    <row r="67" spans="1:19" x14ac:dyDescent="0.35">
      <c r="A67" s="13">
        <v>45391</v>
      </c>
      <c r="B67" s="2" t="s">
        <v>1328</v>
      </c>
      <c r="D67" s="2" t="s">
        <v>89</v>
      </c>
      <c r="E67" s="2" t="s">
        <v>90</v>
      </c>
      <c r="F67" s="5" t="str">
        <f t="shared" si="5"/>
        <v>S/F E12002024000000305 GALP</v>
      </c>
      <c r="G67" s="12">
        <f t="shared" si="6"/>
        <v>49.586776859504134</v>
      </c>
      <c r="H67">
        <v>21</v>
      </c>
      <c r="I67" s="5">
        <f t="shared" si="7"/>
        <v>10.413223140495868</v>
      </c>
      <c r="J67" s="5">
        <f t="shared" si="8"/>
        <v>49.586776859504134</v>
      </c>
      <c r="L67" s="5">
        <f t="shared" si="9"/>
        <v>0</v>
      </c>
      <c r="M67" s="8">
        <v>60</v>
      </c>
      <c r="N67" s="2" t="s">
        <v>22</v>
      </c>
      <c r="O67" s="3" t="s">
        <v>63</v>
      </c>
      <c r="S67" t="s">
        <v>19</v>
      </c>
    </row>
    <row r="68" spans="1:19" x14ac:dyDescent="0.35">
      <c r="A68" s="13">
        <v>45397</v>
      </c>
      <c r="B68" s="2" t="s">
        <v>1329</v>
      </c>
      <c r="D68" s="2" t="s">
        <v>89</v>
      </c>
      <c r="E68" s="2" t="s">
        <v>90</v>
      </c>
      <c r="F68" s="5" t="str">
        <f t="shared" si="5"/>
        <v>S/F E12002024000000422 GALP</v>
      </c>
      <c r="G68" s="12">
        <f t="shared" si="6"/>
        <v>41.32231404958678</v>
      </c>
      <c r="H68">
        <v>21</v>
      </c>
      <c r="I68" s="5">
        <f t="shared" si="7"/>
        <v>8.677685950413224</v>
      </c>
      <c r="J68" s="5">
        <f t="shared" si="8"/>
        <v>41.32231404958678</v>
      </c>
      <c r="L68" s="5">
        <f t="shared" si="9"/>
        <v>0</v>
      </c>
      <c r="M68" s="8">
        <v>50</v>
      </c>
      <c r="N68" s="2" t="s">
        <v>22</v>
      </c>
      <c r="O68" s="3" t="s">
        <v>63</v>
      </c>
      <c r="S68" t="s">
        <v>19</v>
      </c>
    </row>
    <row r="69" spans="1:19" x14ac:dyDescent="0.35">
      <c r="A69" s="13">
        <v>45320</v>
      </c>
      <c r="B69" s="2" t="s">
        <v>1331</v>
      </c>
      <c r="D69" s="2" t="s">
        <v>49</v>
      </c>
      <c r="E69" s="2" t="s">
        <v>124</v>
      </c>
      <c r="F69" s="5" t="str">
        <f t="shared" si="5"/>
        <v>S/F 003720024/00000264 CIA ESPAÑOLA DIST PETROLEOS</v>
      </c>
      <c r="G69" s="12">
        <f t="shared" si="6"/>
        <v>41.32231404958678</v>
      </c>
      <c r="H69">
        <v>21</v>
      </c>
      <c r="I69" s="5">
        <f t="shared" si="7"/>
        <v>8.677685950413224</v>
      </c>
      <c r="J69" s="5">
        <f t="shared" si="8"/>
        <v>41.32231404958678</v>
      </c>
      <c r="L69" s="5">
        <f t="shared" si="9"/>
        <v>0</v>
      </c>
      <c r="M69" s="8">
        <v>50</v>
      </c>
      <c r="N69" s="2" t="s">
        <v>22</v>
      </c>
      <c r="O69" s="3" t="s">
        <v>63</v>
      </c>
      <c r="S69" t="s">
        <v>19</v>
      </c>
    </row>
    <row r="70" spans="1:19" x14ac:dyDescent="0.35">
      <c r="A70" s="4">
        <v>45334</v>
      </c>
      <c r="B70" s="2" t="s">
        <v>1332</v>
      </c>
      <c r="D70" s="2" t="s">
        <v>58</v>
      </c>
      <c r="E70" s="2" t="s">
        <v>1172</v>
      </c>
      <c r="F70" s="5" t="str">
        <f t="shared" si="5"/>
        <v>S/F 018-0002-204158 BRICOLAJE BRICOMAN SLU</v>
      </c>
      <c r="G70" s="12">
        <f t="shared" si="6"/>
        <v>7.1900826446280988</v>
      </c>
      <c r="H70">
        <v>21</v>
      </c>
      <c r="I70" s="5">
        <f t="shared" si="7"/>
        <v>1.5099173553719007</v>
      </c>
      <c r="J70" s="5">
        <f t="shared" si="8"/>
        <v>7.1900826446280988</v>
      </c>
      <c r="L70" s="5">
        <f t="shared" si="9"/>
        <v>0</v>
      </c>
      <c r="M70" s="8">
        <v>8.6999999999999993</v>
      </c>
      <c r="N70" s="2" t="s">
        <v>21</v>
      </c>
      <c r="O70" s="3" t="s">
        <v>63</v>
      </c>
      <c r="S70" t="s">
        <v>19</v>
      </c>
    </row>
    <row r="71" spans="1:19" x14ac:dyDescent="0.35">
      <c r="A71" s="13">
        <v>45400</v>
      </c>
      <c r="B71" s="2" t="s">
        <v>1333</v>
      </c>
      <c r="D71" s="2" t="s">
        <v>1334</v>
      </c>
      <c r="E71" s="2" t="s">
        <v>1335</v>
      </c>
      <c r="F71" s="5" t="str">
        <f t="shared" si="5"/>
        <v>S/F 432703232 SUMINISTROS ELECTRICOS GUARDEÑO</v>
      </c>
      <c r="G71" s="12">
        <f t="shared" si="6"/>
        <v>72</v>
      </c>
      <c r="H71">
        <v>21</v>
      </c>
      <c r="I71" s="5">
        <f t="shared" si="7"/>
        <v>15.12</v>
      </c>
      <c r="J71" s="5">
        <f t="shared" si="8"/>
        <v>72</v>
      </c>
      <c r="L71" s="5">
        <f t="shared" si="9"/>
        <v>0</v>
      </c>
      <c r="M71" s="8">
        <v>87.12</v>
      </c>
      <c r="N71" s="2" t="s">
        <v>21</v>
      </c>
      <c r="O71" s="3" t="s">
        <v>63</v>
      </c>
      <c r="S71" t="s">
        <v>19</v>
      </c>
    </row>
    <row r="72" spans="1:19" x14ac:dyDescent="0.35">
      <c r="A72" s="13">
        <v>45400</v>
      </c>
      <c r="B72" s="2" t="s">
        <v>1336</v>
      </c>
      <c r="D72" s="2" t="s">
        <v>94</v>
      </c>
      <c r="E72" s="2" t="s">
        <v>139</v>
      </c>
      <c r="F72" s="5" t="str">
        <f t="shared" si="5"/>
        <v>S/F 00002-2024/A0101/00003142 BIGMAT</v>
      </c>
      <c r="G72" s="12">
        <f t="shared" si="6"/>
        <v>10.950413223140496</v>
      </c>
      <c r="H72">
        <v>21</v>
      </c>
      <c r="I72" s="5">
        <f t="shared" si="7"/>
        <v>2.2995867768595044</v>
      </c>
      <c r="J72" s="5">
        <f t="shared" si="8"/>
        <v>10.950413223140496</v>
      </c>
      <c r="L72" s="5">
        <f t="shared" si="9"/>
        <v>0</v>
      </c>
      <c r="M72" s="8">
        <v>13.25</v>
      </c>
      <c r="N72" s="2" t="s">
        <v>21</v>
      </c>
      <c r="O72" s="3" t="s">
        <v>63</v>
      </c>
      <c r="S72" t="s">
        <v>19</v>
      </c>
    </row>
    <row r="73" spans="1:19" x14ac:dyDescent="0.35">
      <c r="A73" s="13">
        <v>45400</v>
      </c>
      <c r="B73" s="2" t="s">
        <v>1337</v>
      </c>
      <c r="D73" s="2" t="s">
        <v>66</v>
      </c>
      <c r="E73" s="2" t="s">
        <v>1338</v>
      </c>
      <c r="F73" s="5" t="str">
        <f t="shared" si="5"/>
        <v>S/F 03824FE000002520 MARKOIL S.A.U.</v>
      </c>
      <c r="G73" s="12">
        <f t="shared" si="6"/>
        <v>13.099173553719009</v>
      </c>
      <c r="H73">
        <v>21</v>
      </c>
      <c r="I73" s="5">
        <f t="shared" si="7"/>
        <v>2.7508264462809917</v>
      </c>
      <c r="J73" s="5">
        <f t="shared" si="8"/>
        <v>13.099173553719009</v>
      </c>
      <c r="L73" s="5">
        <f t="shared" si="9"/>
        <v>0</v>
      </c>
      <c r="M73" s="8">
        <v>15.85</v>
      </c>
      <c r="N73" s="2" t="s">
        <v>22</v>
      </c>
      <c r="O73" s="3" t="s">
        <v>63</v>
      </c>
      <c r="S73" t="s">
        <v>19</v>
      </c>
    </row>
    <row r="74" spans="1:19" x14ac:dyDescent="0.35">
      <c r="A74" s="4">
        <v>45400</v>
      </c>
      <c r="B74" s="2" t="s">
        <v>1339</v>
      </c>
      <c r="D74" s="2" t="s">
        <v>1340</v>
      </c>
      <c r="E74" s="2" t="s">
        <v>1341</v>
      </c>
      <c r="F74" s="5" t="str">
        <f t="shared" si="5"/>
        <v>S/F 2024-0093 PIKYOE AUTOMOCION SL</v>
      </c>
      <c r="G74" s="12">
        <f t="shared" si="6"/>
        <v>440.95867768595036</v>
      </c>
      <c r="H74">
        <v>21</v>
      </c>
      <c r="I74" s="5">
        <f t="shared" si="7"/>
        <v>92.601322314049582</v>
      </c>
      <c r="J74" s="5">
        <f t="shared" si="8"/>
        <v>440.95867768595036</v>
      </c>
      <c r="L74" s="5">
        <f t="shared" si="9"/>
        <v>0</v>
      </c>
      <c r="M74" s="8">
        <v>533.55999999999995</v>
      </c>
      <c r="N74" s="2" t="s">
        <v>53</v>
      </c>
      <c r="O74" s="3" t="s">
        <v>68</v>
      </c>
      <c r="S74" t="s">
        <v>19</v>
      </c>
    </row>
    <row r="75" spans="1:19" x14ac:dyDescent="0.35">
      <c r="A75" s="4">
        <v>45401</v>
      </c>
      <c r="B75" s="2" t="s">
        <v>1342</v>
      </c>
      <c r="D75" s="2" t="s">
        <v>1343</v>
      </c>
      <c r="E75" s="2" t="s">
        <v>1344</v>
      </c>
      <c r="F75" s="5" t="str">
        <f t="shared" si="5"/>
        <v>FAC 2024000169 AUTOS GAITAN SERVICE SLU</v>
      </c>
      <c r="G75" s="12">
        <f t="shared" si="6"/>
        <v>2479.3388429752067</v>
      </c>
      <c r="H75">
        <v>21</v>
      </c>
      <c r="I75" s="5">
        <f t="shared" si="7"/>
        <v>520.6611570247934</v>
      </c>
      <c r="J75" s="5">
        <f t="shared" si="8"/>
        <v>2479.3388429752067</v>
      </c>
      <c r="L75" s="5">
        <f t="shared" si="9"/>
        <v>0</v>
      </c>
      <c r="M75" s="8">
        <v>3000</v>
      </c>
      <c r="N75" s="2" t="s">
        <v>53</v>
      </c>
      <c r="O75" s="3" t="s">
        <v>68</v>
      </c>
    </row>
    <row r="76" spans="1:19" x14ac:dyDescent="0.35">
      <c r="A76" s="4">
        <v>45402</v>
      </c>
      <c r="B76" s="2" t="s">
        <v>1345</v>
      </c>
      <c r="D76" s="2" t="s">
        <v>94</v>
      </c>
      <c r="E76" s="2" t="s">
        <v>139</v>
      </c>
      <c r="F76" s="5" t="str">
        <f t="shared" si="5"/>
        <v>VEN/20246140 BIGMAT</v>
      </c>
      <c r="G76" s="12">
        <f t="shared" si="6"/>
        <v>530.23966942148763</v>
      </c>
      <c r="H76">
        <v>21</v>
      </c>
      <c r="I76" s="5">
        <f t="shared" si="7"/>
        <v>111.3503305785124</v>
      </c>
      <c r="J76" s="5">
        <f t="shared" si="8"/>
        <v>530.23966942148763</v>
      </c>
      <c r="L76" s="5">
        <f t="shared" si="9"/>
        <v>0</v>
      </c>
      <c r="M76" s="8">
        <v>641.59</v>
      </c>
      <c r="N76" s="2" t="s">
        <v>21</v>
      </c>
      <c r="O76" s="3" t="s">
        <v>67</v>
      </c>
    </row>
    <row r="77" spans="1:19" x14ac:dyDescent="0.35">
      <c r="A77" s="4">
        <v>45402</v>
      </c>
      <c r="B77" s="2" t="s">
        <v>1346</v>
      </c>
      <c r="D77" s="2" t="s">
        <v>25</v>
      </c>
      <c r="E77" s="2" t="s">
        <v>26</v>
      </c>
      <c r="F77" s="5" t="str">
        <f t="shared" si="5"/>
        <v>124282 SALTOKI</v>
      </c>
      <c r="G77" s="12">
        <f t="shared" si="6"/>
        <v>109.20661157024793</v>
      </c>
      <c r="H77">
        <v>21</v>
      </c>
      <c r="I77" s="5">
        <f t="shared" si="7"/>
        <v>22.933388429752068</v>
      </c>
      <c r="J77" s="5">
        <f t="shared" si="8"/>
        <v>109.20661157024793</v>
      </c>
      <c r="L77" s="5">
        <f t="shared" si="9"/>
        <v>0</v>
      </c>
      <c r="M77" s="8">
        <v>132.13999999999999</v>
      </c>
      <c r="N77" s="2" t="s">
        <v>21</v>
      </c>
      <c r="O77" s="3" t="s">
        <v>67</v>
      </c>
    </row>
    <row r="78" spans="1:19" x14ac:dyDescent="0.35">
      <c r="A78" s="4">
        <v>45402</v>
      </c>
      <c r="B78" s="2" t="s">
        <v>1347</v>
      </c>
      <c r="D78" s="2" t="s">
        <v>25</v>
      </c>
      <c r="E78" s="2" t="s">
        <v>26</v>
      </c>
      <c r="F78" s="5" t="str">
        <f t="shared" si="5"/>
        <v>124283 SALTOKI</v>
      </c>
      <c r="G78" s="12">
        <f t="shared" si="6"/>
        <v>695.77685950413229</v>
      </c>
      <c r="H78">
        <v>21</v>
      </c>
      <c r="I78" s="5">
        <f t="shared" si="7"/>
        <v>146.11314049586778</v>
      </c>
      <c r="J78" s="5">
        <f t="shared" si="8"/>
        <v>695.77685950413229</v>
      </c>
      <c r="L78" s="5">
        <f t="shared" si="9"/>
        <v>0</v>
      </c>
      <c r="M78" s="8">
        <v>841.89</v>
      </c>
      <c r="N78" s="2" t="s">
        <v>21</v>
      </c>
      <c r="O78" s="3" t="s">
        <v>67</v>
      </c>
    </row>
    <row r="79" spans="1:19" x14ac:dyDescent="0.35">
      <c r="A79" s="4">
        <v>45404</v>
      </c>
      <c r="B79" s="2" t="s">
        <v>1348</v>
      </c>
      <c r="D79" s="2" t="s">
        <v>58</v>
      </c>
      <c r="E79" s="2" t="s">
        <v>1172</v>
      </c>
      <c r="F79" s="5" t="str">
        <f t="shared" si="5"/>
        <v>012-0004-883042 BRICOLAJE BRICOMAN SLU</v>
      </c>
      <c r="G79" s="12">
        <f t="shared" si="6"/>
        <v>31.404958677685951</v>
      </c>
      <c r="H79">
        <v>21</v>
      </c>
      <c r="I79" s="5">
        <f t="shared" si="7"/>
        <v>6.5950413223140494</v>
      </c>
      <c r="J79" s="5">
        <f t="shared" si="8"/>
        <v>31.404958677685951</v>
      </c>
      <c r="L79" s="5">
        <f t="shared" si="9"/>
        <v>0</v>
      </c>
      <c r="M79" s="8">
        <v>38</v>
      </c>
      <c r="N79" s="2" t="s">
        <v>21</v>
      </c>
      <c r="O79" s="3" t="s">
        <v>63</v>
      </c>
    </row>
    <row r="80" spans="1:19" x14ac:dyDescent="0.35">
      <c r="A80" s="4">
        <v>45404</v>
      </c>
      <c r="B80" s="2" t="s">
        <v>1349</v>
      </c>
      <c r="D80" s="2" t="s">
        <v>1048</v>
      </c>
      <c r="E80" s="2" t="s">
        <v>1319</v>
      </c>
      <c r="F80" s="5" t="str">
        <f t="shared" si="5"/>
        <v>RO-1424 LAFUENTE SEGOVIA SL</v>
      </c>
      <c r="G80" s="12">
        <f t="shared" si="6"/>
        <v>45.446280991735541</v>
      </c>
      <c r="H80">
        <v>21</v>
      </c>
      <c r="I80" s="5">
        <f t="shared" si="7"/>
        <v>9.5437190082644641</v>
      </c>
      <c r="J80" s="5">
        <f t="shared" si="8"/>
        <v>45.446280991735541</v>
      </c>
      <c r="L80" s="5">
        <f t="shared" si="9"/>
        <v>0</v>
      </c>
      <c r="M80" s="8">
        <v>54.99</v>
      </c>
      <c r="N80" s="2" t="s">
        <v>21</v>
      </c>
      <c r="O80" s="3" t="s">
        <v>63</v>
      </c>
    </row>
    <row r="81" spans="1:15" x14ac:dyDescent="0.35">
      <c r="A81" s="4">
        <v>45404</v>
      </c>
      <c r="B81" s="2" t="s">
        <v>1350</v>
      </c>
      <c r="D81" s="2" t="s">
        <v>112</v>
      </c>
      <c r="E81" s="2" t="s">
        <v>114</v>
      </c>
      <c r="F81" s="5" t="str">
        <f t="shared" si="5"/>
        <v>2024/102 LIVIU COSMIN JULA ANDREICA</v>
      </c>
      <c r="G81" s="12">
        <f t="shared" si="6"/>
        <v>800</v>
      </c>
      <c r="H81">
        <v>21</v>
      </c>
      <c r="I81" s="5">
        <f t="shared" si="7"/>
        <v>168</v>
      </c>
      <c r="J81" s="5">
        <f t="shared" si="8"/>
        <v>800</v>
      </c>
      <c r="L81" s="5">
        <f t="shared" si="9"/>
        <v>0</v>
      </c>
      <c r="M81" s="8">
        <v>968</v>
      </c>
      <c r="N81" s="2" t="s">
        <v>56</v>
      </c>
      <c r="O81" s="3" t="s">
        <v>68</v>
      </c>
    </row>
    <row r="82" spans="1:15" x14ac:dyDescent="0.35">
      <c r="A82" s="4">
        <v>45407</v>
      </c>
      <c r="B82" s="2" t="s">
        <v>1362</v>
      </c>
      <c r="D82" s="2" t="s">
        <v>1340</v>
      </c>
      <c r="E82" s="2" t="s">
        <v>1341</v>
      </c>
      <c r="F82" s="5" t="str">
        <f t="shared" si="5"/>
        <v>2024-0105 PIKYOE AUTOMOCION SL</v>
      </c>
      <c r="G82" s="12">
        <f t="shared" si="6"/>
        <v>28.000000000000004</v>
      </c>
      <c r="H82">
        <v>21</v>
      </c>
      <c r="I82" s="5">
        <f t="shared" si="7"/>
        <v>5.8800000000000008</v>
      </c>
      <c r="J82" s="5">
        <f t="shared" si="8"/>
        <v>28.000000000000004</v>
      </c>
      <c r="L82" s="5">
        <f t="shared" si="9"/>
        <v>0</v>
      </c>
      <c r="M82" s="8">
        <v>33.880000000000003</v>
      </c>
      <c r="N82" s="2" t="s">
        <v>21</v>
      </c>
      <c r="O82" s="3" t="s">
        <v>68</v>
      </c>
    </row>
    <row r="83" spans="1:15" x14ac:dyDescent="0.35">
      <c r="A83" s="4">
        <v>45401</v>
      </c>
      <c r="B83" s="2" t="s">
        <v>1363</v>
      </c>
      <c r="D83" s="2" t="s">
        <v>1295</v>
      </c>
      <c r="E83" s="2" t="s">
        <v>1296</v>
      </c>
      <c r="F83" s="5" t="str">
        <f t="shared" si="5"/>
        <v>240355 BEDYFA SL</v>
      </c>
      <c r="G83" s="12">
        <f t="shared" si="6"/>
        <v>60.801652892561982</v>
      </c>
      <c r="H83">
        <v>21</v>
      </c>
      <c r="I83" s="5">
        <f t="shared" si="7"/>
        <v>12.768347107438016</v>
      </c>
      <c r="J83" s="5">
        <f t="shared" si="8"/>
        <v>60.801652892561982</v>
      </c>
      <c r="L83" s="5">
        <f t="shared" si="9"/>
        <v>0</v>
      </c>
      <c r="M83" s="8">
        <v>73.569999999999993</v>
      </c>
      <c r="N83" s="2" t="s">
        <v>21</v>
      </c>
      <c r="O83" s="3" t="s">
        <v>63</v>
      </c>
    </row>
    <row r="84" spans="1:15" x14ac:dyDescent="0.35">
      <c r="A84" s="4">
        <v>45405</v>
      </c>
      <c r="B84" s="2" t="s">
        <v>1364</v>
      </c>
      <c r="D84" s="2" t="s">
        <v>27</v>
      </c>
      <c r="E84" s="2" t="s">
        <v>1365</v>
      </c>
      <c r="F84" s="5" t="str">
        <f t="shared" si="5"/>
        <v>2024/000178 PADRISA AUTOMOCION SL</v>
      </c>
      <c r="G84" s="12">
        <f t="shared" si="6"/>
        <v>311.09090909090912</v>
      </c>
      <c r="H84">
        <v>21</v>
      </c>
      <c r="I84" s="5">
        <f t="shared" si="7"/>
        <v>65.329090909090922</v>
      </c>
      <c r="J84" s="5">
        <f t="shared" si="8"/>
        <v>311.09090909090912</v>
      </c>
      <c r="L84" s="5">
        <f t="shared" si="9"/>
        <v>0</v>
      </c>
      <c r="M84" s="8">
        <v>376.42</v>
      </c>
      <c r="N84" s="2" t="s">
        <v>53</v>
      </c>
      <c r="O84" s="3" t="s">
        <v>68</v>
      </c>
    </row>
    <row r="85" spans="1:15" x14ac:dyDescent="0.35">
      <c r="A85" s="4">
        <v>45408</v>
      </c>
      <c r="B85" s="2" t="s">
        <v>623</v>
      </c>
      <c r="D85" s="2" t="s">
        <v>180</v>
      </c>
      <c r="E85" s="2" t="s">
        <v>1366</v>
      </c>
      <c r="F85" s="5" t="str">
        <f t="shared" si="5"/>
        <v>02/24 FILIP ADRIAN BALEA</v>
      </c>
      <c r="G85" s="12">
        <f t="shared" si="6"/>
        <v>2479.3388429752067</v>
      </c>
      <c r="H85">
        <v>21</v>
      </c>
      <c r="I85" s="5">
        <f t="shared" si="7"/>
        <v>520.6611570247934</v>
      </c>
      <c r="J85" s="5">
        <f t="shared" si="8"/>
        <v>2479.3388429752067</v>
      </c>
      <c r="L85" s="5">
        <f t="shared" si="9"/>
        <v>0</v>
      </c>
      <c r="M85" s="8">
        <v>3000</v>
      </c>
      <c r="N85" s="2" t="s">
        <v>37</v>
      </c>
      <c r="O85" s="3" t="s">
        <v>68</v>
      </c>
    </row>
    <row r="86" spans="1:15" x14ac:dyDescent="0.35">
      <c r="A86" s="4">
        <v>45407</v>
      </c>
      <c r="B86" s="2" t="s">
        <v>1367</v>
      </c>
      <c r="D86" s="2" t="s">
        <v>85</v>
      </c>
      <c r="E86" s="2" t="s">
        <v>32</v>
      </c>
      <c r="F86" s="5" t="str">
        <f t="shared" si="5"/>
        <v>20240052 XVENT</v>
      </c>
      <c r="G86" s="12">
        <f t="shared" si="6"/>
        <v>3847.9752066115707</v>
      </c>
      <c r="H86">
        <v>21</v>
      </c>
      <c r="I86" s="5">
        <f t="shared" si="7"/>
        <v>808.07479338842984</v>
      </c>
      <c r="J86" s="5">
        <f t="shared" si="8"/>
        <v>3847.9752066115707</v>
      </c>
      <c r="L86" s="5">
        <f t="shared" si="9"/>
        <v>0</v>
      </c>
      <c r="M86" s="8">
        <v>4656.05</v>
      </c>
      <c r="N86" s="2" t="s">
        <v>37</v>
      </c>
      <c r="O86" s="3" t="s">
        <v>68</v>
      </c>
    </row>
    <row r="87" spans="1:15" x14ac:dyDescent="0.35">
      <c r="A87" s="4">
        <v>45407</v>
      </c>
      <c r="B87" s="2" t="s">
        <v>1368</v>
      </c>
      <c r="D87" s="2" t="s">
        <v>74</v>
      </c>
      <c r="E87" s="2" t="s">
        <v>259</v>
      </c>
      <c r="F87" s="5" t="str">
        <f t="shared" si="5"/>
        <v>24/00080 CRISTALERIA ESCOBAR</v>
      </c>
      <c r="G87" s="12">
        <f t="shared" si="6"/>
        <v>463.6694214876033</v>
      </c>
      <c r="H87">
        <v>21</v>
      </c>
      <c r="I87" s="5">
        <f t="shared" si="7"/>
        <v>97.37057851239669</v>
      </c>
      <c r="J87" s="5">
        <f t="shared" si="8"/>
        <v>463.6694214876033</v>
      </c>
      <c r="L87" s="5">
        <f t="shared" si="9"/>
        <v>0</v>
      </c>
      <c r="M87" s="8">
        <v>561.04</v>
      </c>
      <c r="N87" s="2" t="s">
        <v>21</v>
      </c>
      <c r="O87" s="3" t="s">
        <v>68</v>
      </c>
    </row>
    <row r="88" spans="1:15" x14ac:dyDescent="0.35">
      <c r="A88" s="4">
        <v>45409</v>
      </c>
      <c r="B88" s="2" t="s">
        <v>1370</v>
      </c>
      <c r="D88" s="2" t="s">
        <v>25</v>
      </c>
      <c r="E88" s="2" t="s">
        <v>26</v>
      </c>
      <c r="F88" s="5" t="str">
        <f t="shared" si="5"/>
        <v>132568 SALTOKI</v>
      </c>
      <c r="G88" s="12">
        <f t="shared" si="6"/>
        <v>623.52066115702485</v>
      </c>
      <c r="H88">
        <v>21</v>
      </c>
      <c r="I88" s="5">
        <f t="shared" si="7"/>
        <v>130.93933884297522</v>
      </c>
      <c r="J88" s="5">
        <f t="shared" si="8"/>
        <v>623.52066115702485</v>
      </c>
      <c r="L88" s="5">
        <f t="shared" si="9"/>
        <v>0</v>
      </c>
      <c r="M88" s="8">
        <v>754.46</v>
      </c>
      <c r="N88" s="2" t="s">
        <v>21</v>
      </c>
      <c r="O88" s="3" t="s">
        <v>67</v>
      </c>
    </row>
    <row r="89" spans="1:15" x14ac:dyDescent="0.35">
      <c r="A89" s="4">
        <v>45409</v>
      </c>
      <c r="B89" s="2" t="s">
        <v>1371</v>
      </c>
      <c r="D89" s="2" t="s">
        <v>25</v>
      </c>
      <c r="E89" s="2" t="s">
        <v>26</v>
      </c>
      <c r="F89" s="5" t="str">
        <f t="shared" si="5"/>
        <v>132569 SALTOKI</v>
      </c>
      <c r="G89" s="12">
        <f t="shared" si="6"/>
        <v>841.17355371900828</v>
      </c>
      <c r="H89">
        <v>21</v>
      </c>
      <c r="I89" s="5">
        <f t="shared" si="7"/>
        <v>176.64644628099174</v>
      </c>
      <c r="J89" s="5">
        <f t="shared" si="8"/>
        <v>841.17355371900828</v>
      </c>
      <c r="L89" s="5">
        <f t="shared" si="9"/>
        <v>0</v>
      </c>
      <c r="M89" s="8">
        <v>1017.82</v>
      </c>
      <c r="N89" s="2" t="s">
        <v>21</v>
      </c>
      <c r="O89" s="3" t="s">
        <v>67</v>
      </c>
    </row>
    <row r="90" spans="1:15" x14ac:dyDescent="0.35">
      <c r="A90" s="4">
        <v>45398</v>
      </c>
      <c r="B90" s="2" t="s">
        <v>1372</v>
      </c>
      <c r="D90" s="2" t="s">
        <v>1373</v>
      </c>
      <c r="E90" s="2" t="s">
        <v>1374</v>
      </c>
      <c r="F90" s="5" t="str">
        <f t="shared" si="5"/>
        <v>2024002721 NATUZZI IBERICA SA</v>
      </c>
      <c r="G90" s="12">
        <f t="shared" si="6"/>
        <v>3290.5785123966944</v>
      </c>
      <c r="H90">
        <v>21</v>
      </c>
      <c r="I90" s="5">
        <f t="shared" si="7"/>
        <v>691.0214876033059</v>
      </c>
      <c r="J90" s="5">
        <f t="shared" si="8"/>
        <v>3290.5785123966944</v>
      </c>
      <c r="L90" s="5">
        <f t="shared" si="9"/>
        <v>0</v>
      </c>
      <c r="M90" s="8">
        <v>3981.6</v>
      </c>
      <c r="N90" s="2" t="s">
        <v>21</v>
      </c>
      <c r="O90" s="3" t="s">
        <v>68</v>
      </c>
    </row>
    <row r="91" spans="1:15" x14ac:dyDescent="0.35">
      <c r="A91" s="4">
        <v>45412</v>
      </c>
      <c r="B91" s="2" t="s">
        <v>1382</v>
      </c>
      <c r="D91" s="2" t="s">
        <v>200</v>
      </c>
      <c r="E91" s="2" t="s">
        <v>1284</v>
      </c>
      <c r="F91" s="5" t="str">
        <f t="shared" si="5"/>
        <v>0122221 ICAR DISTRIBUCIONES FERRETERIAS SL I.D.F.</v>
      </c>
      <c r="G91" s="12">
        <f t="shared" si="6"/>
        <v>141.81818181818181</v>
      </c>
      <c r="H91">
        <v>21</v>
      </c>
      <c r="I91" s="5">
        <f t="shared" si="7"/>
        <v>29.781818181818181</v>
      </c>
      <c r="J91" s="5">
        <f t="shared" si="8"/>
        <v>141.81818181818181</v>
      </c>
      <c r="L91" s="5">
        <f t="shared" si="9"/>
        <v>0</v>
      </c>
      <c r="M91" s="8">
        <v>171.6</v>
      </c>
      <c r="N91" s="2" t="s">
        <v>21</v>
      </c>
      <c r="O91" s="3" t="s">
        <v>67</v>
      </c>
    </row>
    <row r="92" spans="1:15" x14ac:dyDescent="0.35">
      <c r="A92" s="4">
        <v>45412</v>
      </c>
      <c r="B92" s="2" t="s">
        <v>1383</v>
      </c>
      <c r="D92" s="2" t="s">
        <v>72</v>
      </c>
      <c r="E92" s="2" t="s">
        <v>73</v>
      </c>
      <c r="F92" s="5" t="str">
        <f t="shared" si="5"/>
        <v>19/2024 COSTEL DINCU</v>
      </c>
      <c r="G92" s="12">
        <f t="shared" si="6"/>
        <v>810</v>
      </c>
      <c r="H92">
        <v>21</v>
      </c>
      <c r="I92" s="5">
        <f t="shared" si="7"/>
        <v>170.1</v>
      </c>
      <c r="J92" s="5">
        <f t="shared" si="8"/>
        <v>810</v>
      </c>
      <c r="K92" s="5"/>
      <c r="L92" s="5">
        <f t="shared" si="9"/>
        <v>0</v>
      </c>
      <c r="M92" s="8">
        <v>980.1</v>
      </c>
      <c r="N92" s="2" t="s">
        <v>21</v>
      </c>
      <c r="O92" s="3" t="s">
        <v>68</v>
      </c>
    </row>
    <row r="93" spans="1:15" x14ac:dyDescent="0.35">
      <c r="A93" s="4">
        <v>45412</v>
      </c>
      <c r="B93" s="2" t="s">
        <v>1384</v>
      </c>
      <c r="D93" s="2" t="s">
        <v>1385</v>
      </c>
      <c r="E93" s="2" t="s">
        <v>1386</v>
      </c>
      <c r="F93" s="5" t="str">
        <f t="shared" si="5"/>
        <v>FV02401618 ECOMAMPARA</v>
      </c>
      <c r="G93" s="12">
        <f t="shared" si="6"/>
        <v>1511.3471074380166</v>
      </c>
      <c r="H93">
        <v>21</v>
      </c>
      <c r="I93" s="5">
        <f t="shared" si="7"/>
        <v>317.38289256198345</v>
      </c>
      <c r="J93" s="5">
        <f t="shared" si="8"/>
        <v>1511.3471074380166</v>
      </c>
      <c r="L93" s="5">
        <f t="shared" si="9"/>
        <v>0</v>
      </c>
      <c r="M93" s="8">
        <v>1828.73</v>
      </c>
      <c r="N93" s="2" t="s">
        <v>21</v>
      </c>
      <c r="O93" s="3" t="s">
        <v>67</v>
      </c>
    </row>
    <row r="94" spans="1:15" x14ac:dyDescent="0.35">
      <c r="A94" s="4">
        <v>45412</v>
      </c>
      <c r="B94" s="2" t="s">
        <v>1387</v>
      </c>
      <c r="D94" s="2" t="s">
        <v>94</v>
      </c>
      <c r="E94" s="2" t="s">
        <v>139</v>
      </c>
      <c r="F94" s="5" t="str">
        <f t="shared" si="5"/>
        <v>VEN/20248929 BIGMAT</v>
      </c>
      <c r="G94" s="12">
        <f t="shared" si="6"/>
        <v>559.14876033057863</v>
      </c>
      <c r="H94">
        <v>21</v>
      </c>
      <c r="I94" s="5">
        <f t="shared" si="7"/>
        <v>117.42123966942152</v>
      </c>
      <c r="J94" s="5">
        <f t="shared" si="8"/>
        <v>559.14876033057863</v>
      </c>
      <c r="L94" s="5">
        <f t="shared" si="9"/>
        <v>0</v>
      </c>
      <c r="M94" s="8">
        <v>676.57</v>
      </c>
      <c r="N94" s="2" t="s">
        <v>21</v>
      </c>
      <c r="O94" s="3" t="s">
        <v>67</v>
      </c>
    </row>
    <row r="95" spans="1:15" x14ac:dyDescent="0.35">
      <c r="A95" s="4">
        <v>45412</v>
      </c>
      <c r="B95" s="2" t="s">
        <v>1388</v>
      </c>
      <c r="D95" s="2" t="s">
        <v>25</v>
      </c>
      <c r="E95" s="2" t="s">
        <v>26</v>
      </c>
      <c r="F95" s="5" t="str">
        <f t="shared" si="5"/>
        <v>139782 SALTOKI</v>
      </c>
      <c r="G95" s="12">
        <f t="shared" si="6"/>
        <v>103.46280991735537</v>
      </c>
      <c r="H95">
        <v>21</v>
      </c>
      <c r="I95" s="5">
        <f t="shared" si="7"/>
        <v>21.727190082644629</v>
      </c>
      <c r="J95" s="5">
        <f t="shared" si="8"/>
        <v>103.46280991735537</v>
      </c>
      <c r="L95" s="5">
        <f t="shared" si="9"/>
        <v>0</v>
      </c>
      <c r="M95" s="8">
        <v>125.19</v>
      </c>
      <c r="N95" s="2" t="s">
        <v>21</v>
      </c>
      <c r="O95" s="3" t="s">
        <v>67</v>
      </c>
    </row>
    <row r="96" spans="1:15" x14ac:dyDescent="0.35">
      <c r="A96" s="4">
        <v>45416</v>
      </c>
      <c r="B96" s="2" t="s">
        <v>1389</v>
      </c>
      <c r="D96" s="2" t="s">
        <v>25</v>
      </c>
      <c r="E96" s="2" t="s">
        <v>26</v>
      </c>
      <c r="F96" s="5" t="str">
        <f t="shared" si="5"/>
        <v>145518 SALTOKI</v>
      </c>
      <c r="G96" s="12">
        <f t="shared" si="6"/>
        <v>-115.74380165289257</v>
      </c>
      <c r="H96">
        <v>21</v>
      </c>
      <c r="I96" s="5">
        <f t="shared" si="7"/>
        <v>-24.30619834710744</v>
      </c>
      <c r="J96" s="5">
        <f t="shared" si="8"/>
        <v>-115.74380165289257</v>
      </c>
      <c r="L96" s="5">
        <f t="shared" si="9"/>
        <v>0</v>
      </c>
      <c r="M96" s="8">
        <v>-140.05000000000001</v>
      </c>
      <c r="N96" s="2" t="s">
        <v>21</v>
      </c>
      <c r="O96" s="3" t="s">
        <v>67</v>
      </c>
    </row>
    <row r="97" spans="1:15" x14ac:dyDescent="0.35">
      <c r="A97" s="4">
        <v>45416</v>
      </c>
      <c r="B97" s="2" t="s">
        <v>1390</v>
      </c>
      <c r="D97" s="2" t="s">
        <v>25</v>
      </c>
      <c r="E97" s="2" t="s">
        <v>26</v>
      </c>
      <c r="F97" s="5" t="str">
        <f t="shared" si="5"/>
        <v>145519 SALTOKI</v>
      </c>
      <c r="G97" s="12">
        <f>M97/(1-K97/100+H97/100)</f>
        <v>-225.12396694214874</v>
      </c>
      <c r="H97">
        <v>21</v>
      </c>
      <c r="I97" s="5">
        <f>G97*H97/100</f>
        <v>-47.276033057851237</v>
      </c>
      <c r="J97" s="5">
        <f>G97</f>
        <v>-225.12396694214874</v>
      </c>
      <c r="L97" s="5">
        <f>J97*K97/100</f>
        <v>0</v>
      </c>
      <c r="M97" s="8">
        <v>-272.39999999999998</v>
      </c>
      <c r="N97" s="2" t="s">
        <v>21</v>
      </c>
      <c r="O97" s="3" t="s">
        <v>67</v>
      </c>
    </row>
    <row r="98" spans="1:15" x14ac:dyDescent="0.35">
      <c r="A98" s="4">
        <v>45418</v>
      </c>
      <c r="B98" s="2" t="s">
        <v>1391</v>
      </c>
      <c r="D98" s="2" t="s">
        <v>170</v>
      </c>
      <c r="E98" s="2" t="s">
        <v>171</v>
      </c>
      <c r="F98" s="5" t="str">
        <f t="shared" si="5"/>
        <v>E19F/3541 MOTOCARD</v>
      </c>
      <c r="G98" s="12">
        <f>M98/(1-K98/100+H98/100)</f>
        <v>27.23140495867769</v>
      </c>
      <c r="H98">
        <v>21</v>
      </c>
      <c r="I98" s="5">
        <f t="shared" ref="I98:I152" si="10">G98*H98/100</f>
        <v>5.7185950413223141</v>
      </c>
      <c r="J98" s="5">
        <f t="shared" ref="J98:J151" si="11">G98</f>
        <v>27.23140495867769</v>
      </c>
      <c r="L98" s="5">
        <f t="shared" ref="L98:L152" si="12">J98*K98/100</f>
        <v>0</v>
      </c>
      <c r="M98" s="8">
        <v>32.950000000000003</v>
      </c>
      <c r="N98" s="2" t="s">
        <v>21</v>
      </c>
      <c r="O98" s="3" t="s">
        <v>63</v>
      </c>
    </row>
    <row r="99" spans="1:15" x14ac:dyDescent="0.35">
      <c r="A99" s="4">
        <v>45412</v>
      </c>
      <c r="B99" s="2" t="s">
        <v>1392</v>
      </c>
      <c r="D99" s="2" t="s">
        <v>109</v>
      </c>
      <c r="E99" s="2" t="s">
        <v>42</v>
      </c>
      <c r="F99" s="5" t="str">
        <f t="shared" si="5"/>
        <v>24106736 DISCESUR</v>
      </c>
      <c r="G99" s="12">
        <f t="shared" ref="G99:G151" si="13">M99/(1-K99/100+H99/100)</f>
        <v>4833.9917355371899</v>
      </c>
      <c r="H99">
        <v>21</v>
      </c>
      <c r="I99" s="5">
        <f t="shared" si="10"/>
        <v>1015.1382644628098</v>
      </c>
      <c r="J99" s="5">
        <f t="shared" si="11"/>
        <v>4833.9917355371899</v>
      </c>
      <c r="L99" s="5">
        <f t="shared" si="12"/>
        <v>0</v>
      </c>
      <c r="M99" s="8">
        <v>5849.13</v>
      </c>
      <c r="N99" s="2" t="s">
        <v>21</v>
      </c>
      <c r="O99" s="3" t="s">
        <v>67</v>
      </c>
    </row>
    <row r="100" spans="1:15" x14ac:dyDescent="0.35">
      <c r="A100" s="4">
        <v>45412</v>
      </c>
      <c r="B100" s="2" t="s">
        <v>1393</v>
      </c>
      <c r="D100" s="2" t="s">
        <v>109</v>
      </c>
      <c r="E100" s="2" t="s">
        <v>42</v>
      </c>
      <c r="F100" s="5" t="str">
        <f t="shared" si="5"/>
        <v>24106737 DISCESUR</v>
      </c>
      <c r="G100" s="12">
        <f t="shared" si="13"/>
        <v>976.52892561983469</v>
      </c>
      <c r="H100">
        <v>21</v>
      </c>
      <c r="I100" s="5">
        <f t="shared" si="10"/>
        <v>205.0710743801653</v>
      </c>
      <c r="J100" s="5">
        <f t="shared" si="11"/>
        <v>976.52892561983469</v>
      </c>
      <c r="L100" s="5">
        <f t="shared" si="12"/>
        <v>0</v>
      </c>
      <c r="M100" s="8">
        <v>1181.5999999999999</v>
      </c>
      <c r="N100" s="2" t="s">
        <v>21</v>
      </c>
      <c r="O100" s="3" t="s">
        <v>67</v>
      </c>
    </row>
    <row r="101" spans="1:15" x14ac:dyDescent="0.35">
      <c r="A101" s="4">
        <v>45412</v>
      </c>
      <c r="B101" s="2" t="s">
        <v>1394</v>
      </c>
      <c r="D101" s="2" t="s">
        <v>109</v>
      </c>
      <c r="E101" s="2" t="s">
        <v>42</v>
      </c>
      <c r="F101" s="5" t="str">
        <f t="shared" si="5"/>
        <v>24106738 DISCESUR</v>
      </c>
      <c r="G101" s="12">
        <f t="shared" si="13"/>
        <v>39.826446280991732</v>
      </c>
      <c r="H101">
        <v>21</v>
      </c>
      <c r="I101" s="5">
        <f t="shared" si="10"/>
        <v>8.3635537190082641</v>
      </c>
      <c r="J101" s="5">
        <f t="shared" si="11"/>
        <v>39.826446280991732</v>
      </c>
      <c r="L101" s="5">
        <f t="shared" si="12"/>
        <v>0</v>
      </c>
      <c r="M101" s="8">
        <v>48.19</v>
      </c>
      <c r="N101" s="2" t="s">
        <v>21</v>
      </c>
      <c r="O101" s="3" t="s">
        <v>67</v>
      </c>
    </row>
    <row r="102" spans="1:15" x14ac:dyDescent="0.35">
      <c r="A102" s="4">
        <v>45412</v>
      </c>
      <c r="B102" s="2" t="s">
        <v>1395</v>
      </c>
      <c r="D102" s="2" t="s">
        <v>109</v>
      </c>
      <c r="E102" s="2" t="s">
        <v>42</v>
      </c>
      <c r="F102" s="5" t="str">
        <f t="shared" si="5"/>
        <v>24106739 DISCESUR</v>
      </c>
      <c r="G102" s="12">
        <f t="shared" si="13"/>
        <v>117.80165289256198</v>
      </c>
      <c r="H102">
        <v>21</v>
      </c>
      <c r="I102" s="5">
        <f t="shared" si="10"/>
        <v>24.738347107438017</v>
      </c>
      <c r="J102" s="5">
        <f t="shared" si="11"/>
        <v>117.80165289256198</v>
      </c>
      <c r="L102" s="5">
        <f t="shared" si="12"/>
        <v>0</v>
      </c>
      <c r="M102" s="8">
        <v>142.54</v>
      </c>
      <c r="N102" s="2" t="s">
        <v>21</v>
      </c>
      <c r="O102" s="3" t="s">
        <v>67</v>
      </c>
    </row>
    <row r="103" spans="1:15" x14ac:dyDescent="0.35">
      <c r="A103" s="4">
        <v>45411</v>
      </c>
      <c r="B103" s="2" t="s">
        <v>1399</v>
      </c>
      <c r="D103" s="2" t="s">
        <v>94</v>
      </c>
      <c r="E103" s="2" t="s">
        <v>139</v>
      </c>
      <c r="F103" s="5" t="str">
        <f t="shared" si="5"/>
        <v>00002-2024/A0101/00003492 BIGMAT</v>
      </c>
      <c r="G103" s="12">
        <f t="shared" si="13"/>
        <v>18.570247933884296</v>
      </c>
      <c r="H103">
        <v>21</v>
      </c>
      <c r="I103" s="5">
        <f t="shared" si="10"/>
        <v>3.8997520661157021</v>
      </c>
      <c r="J103" s="5">
        <f t="shared" si="11"/>
        <v>18.570247933884296</v>
      </c>
      <c r="L103" s="5">
        <f t="shared" si="12"/>
        <v>0</v>
      </c>
      <c r="M103" s="8">
        <v>22.47</v>
      </c>
      <c r="N103" s="2" t="s">
        <v>21</v>
      </c>
      <c r="O103" s="3" t="s">
        <v>63</v>
      </c>
    </row>
    <row r="104" spans="1:15" x14ac:dyDescent="0.35">
      <c r="A104" s="4">
        <v>45408</v>
      </c>
      <c r="B104" s="2" t="s">
        <v>1400</v>
      </c>
      <c r="D104" s="2" t="s">
        <v>94</v>
      </c>
      <c r="E104" s="2" t="s">
        <v>139</v>
      </c>
      <c r="F104" s="5" t="str">
        <f t="shared" si="5"/>
        <v>00002-2024/A0103/00008109 BIGMAT</v>
      </c>
      <c r="G104" s="12">
        <f t="shared" si="13"/>
        <v>9.8512396694214885</v>
      </c>
      <c r="H104">
        <v>21</v>
      </c>
      <c r="I104" s="5">
        <f t="shared" si="10"/>
        <v>2.0687603305785127</v>
      </c>
      <c r="J104" s="5">
        <f t="shared" si="11"/>
        <v>9.8512396694214885</v>
      </c>
      <c r="L104" s="5">
        <f t="shared" si="12"/>
        <v>0</v>
      </c>
      <c r="M104" s="8">
        <v>11.92</v>
      </c>
      <c r="N104" s="2" t="s">
        <v>21</v>
      </c>
      <c r="O104" s="3" t="s">
        <v>63</v>
      </c>
    </row>
    <row r="105" spans="1:15" x14ac:dyDescent="0.35">
      <c r="A105" s="4">
        <v>45408</v>
      </c>
      <c r="B105" s="2" t="s">
        <v>1401</v>
      </c>
      <c r="D105" s="2" t="s">
        <v>94</v>
      </c>
      <c r="E105" s="2" t="s">
        <v>139</v>
      </c>
      <c r="F105" s="5" t="str">
        <f t="shared" si="5"/>
        <v>00002-2024/A0103/00008107 BIGMAT</v>
      </c>
      <c r="G105" s="12">
        <f t="shared" si="13"/>
        <v>13.057851239669423</v>
      </c>
      <c r="H105">
        <v>21</v>
      </c>
      <c r="I105" s="5">
        <f t="shared" si="10"/>
        <v>2.7421487603305787</v>
      </c>
      <c r="J105" s="5">
        <f t="shared" si="11"/>
        <v>13.057851239669423</v>
      </c>
      <c r="L105" s="5">
        <f t="shared" si="12"/>
        <v>0</v>
      </c>
      <c r="M105" s="8">
        <v>15.8</v>
      </c>
      <c r="N105" s="2" t="s">
        <v>21</v>
      </c>
      <c r="O105" s="3" t="s">
        <v>63</v>
      </c>
    </row>
    <row r="106" spans="1:15" x14ac:dyDescent="0.35">
      <c r="A106" s="4">
        <v>45405</v>
      </c>
      <c r="B106" s="2" t="s">
        <v>1402</v>
      </c>
      <c r="D106" s="2" t="s">
        <v>94</v>
      </c>
      <c r="E106" s="2" t="s">
        <v>139</v>
      </c>
      <c r="F106" s="5" t="str">
        <f t="shared" si="5"/>
        <v>00002-2024/A0103/00007900 BIGMAT</v>
      </c>
      <c r="G106" s="12">
        <f t="shared" si="13"/>
        <v>54.801652892561989</v>
      </c>
      <c r="H106">
        <v>21</v>
      </c>
      <c r="I106" s="5">
        <f t="shared" si="10"/>
        <v>11.508347107438016</v>
      </c>
      <c r="J106" s="5">
        <f t="shared" si="11"/>
        <v>54.801652892561989</v>
      </c>
      <c r="L106" s="5">
        <f t="shared" si="12"/>
        <v>0</v>
      </c>
      <c r="M106" s="8">
        <v>66.31</v>
      </c>
      <c r="N106" s="2" t="s">
        <v>21</v>
      </c>
      <c r="O106" s="3" t="s">
        <v>63</v>
      </c>
    </row>
    <row r="107" spans="1:15" x14ac:dyDescent="0.35">
      <c r="A107" s="4">
        <v>45404</v>
      </c>
      <c r="B107" s="2" t="s">
        <v>1403</v>
      </c>
      <c r="D107" s="2" t="s">
        <v>58</v>
      </c>
      <c r="E107" s="2" t="s">
        <v>1172</v>
      </c>
      <c r="F107" s="5" t="str">
        <f t="shared" si="5"/>
        <v>012-0004-882073 BRICOLAJE BRICOMAN SLU</v>
      </c>
      <c r="G107" s="12">
        <f t="shared" si="13"/>
        <v>9.0247933884297531</v>
      </c>
      <c r="H107">
        <v>21</v>
      </c>
      <c r="I107" s="5">
        <f t="shared" si="10"/>
        <v>1.8952066115702482</v>
      </c>
      <c r="J107" s="5">
        <f t="shared" si="11"/>
        <v>9.0247933884297531</v>
      </c>
      <c r="L107" s="5">
        <f t="shared" si="12"/>
        <v>0</v>
      </c>
      <c r="M107" s="8">
        <v>10.92</v>
      </c>
      <c r="N107" s="2" t="s">
        <v>21</v>
      </c>
      <c r="O107" s="3" t="s">
        <v>63</v>
      </c>
    </row>
    <row r="108" spans="1:15" x14ac:dyDescent="0.35">
      <c r="A108" s="4">
        <v>45404</v>
      </c>
      <c r="B108" s="2" t="s">
        <v>1404</v>
      </c>
      <c r="D108" s="2" t="s">
        <v>94</v>
      </c>
      <c r="E108" s="2" t="s">
        <v>1172</v>
      </c>
      <c r="F108" s="5" t="str">
        <f t="shared" si="5"/>
        <v>012-0004-881895 BRICOLAJE BRICOMAN SLU</v>
      </c>
      <c r="G108" s="12">
        <f t="shared" si="13"/>
        <v>59.173553719008261</v>
      </c>
      <c r="H108">
        <v>21</v>
      </c>
      <c r="I108" s="5">
        <f t="shared" si="10"/>
        <v>12.426446280991735</v>
      </c>
      <c r="J108" s="5">
        <f t="shared" si="11"/>
        <v>59.173553719008261</v>
      </c>
      <c r="L108" s="5">
        <f t="shared" si="12"/>
        <v>0</v>
      </c>
      <c r="M108" s="8">
        <v>71.599999999999994</v>
      </c>
      <c r="N108" s="2" t="s">
        <v>21</v>
      </c>
      <c r="O108" s="3" t="s">
        <v>63</v>
      </c>
    </row>
    <row r="109" spans="1:15" x14ac:dyDescent="0.35">
      <c r="A109" s="4">
        <v>45404</v>
      </c>
      <c r="B109" s="2" t="s">
        <v>1405</v>
      </c>
      <c r="D109" s="2" t="s">
        <v>94</v>
      </c>
      <c r="E109" s="2" t="s">
        <v>139</v>
      </c>
      <c r="F109" s="5" t="str">
        <f t="shared" si="5"/>
        <v>00002-2024/A0102/00003493 BIGMAT</v>
      </c>
      <c r="G109" s="12">
        <f t="shared" si="13"/>
        <v>61.446280991735534</v>
      </c>
      <c r="H109">
        <v>21</v>
      </c>
      <c r="I109" s="5">
        <f t="shared" si="10"/>
        <v>12.903719008264462</v>
      </c>
      <c r="J109" s="5">
        <f t="shared" si="11"/>
        <v>61.446280991735534</v>
      </c>
      <c r="L109" s="5">
        <f t="shared" si="12"/>
        <v>0</v>
      </c>
      <c r="M109" s="8">
        <v>74.349999999999994</v>
      </c>
      <c r="N109" s="2" t="s">
        <v>21</v>
      </c>
      <c r="O109" s="3" t="s">
        <v>63</v>
      </c>
    </row>
    <row r="110" spans="1:15" x14ac:dyDescent="0.35">
      <c r="A110" s="4">
        <v>45401</v>
      </c>
      <c r="B110" s="2" t="s">
        <v>1406</v>
      </c>
      <c r="D110" s="2" t="s">
        <v>94</v>
      </c>
      <c r="E110" s="2" t="s">
        <v>139</v>
      </c>
      <c r="F110" s="5" t="str">
        <f t="shared" si="5"/>
        <v>00002-2024/A0605/00001733 BIGMAT</v>
      </c>
      <c r="G110" s="12">
        <f t="shared" si="13"/>
        <v>83.652892561983478</v>
      </c>
      <c r="H110">
        <v>21</v>
      </c>
      <c r="I110" s="5">
        <f t="shared" si="10"/>
        <v>17.567107438016532</v>
      </c>
      <c r="J110" s="5">
        <f t="shared" si="11"/>
        <v>83.652892561983478</v>
      </c>
      <c r="L110" s="5">
        <f t="shared" si="12"/>
        <v>0</v>
      </c>
      <c r="M110" s="8">
        <v>101.22</v>
      </c>
      <c r="N110" s="2" t="s">
        <v>21</v>
      </c>
      <c r="O110" s="3" t="s">
        <v>63</v>
      </c>
    </row>
    <row r="111" spans="1:15" x14ac:dyDescent="0.35">
      <c r="A111" s="4">
        <v>45401</v>
      </c>
      <c r="B111" s="2" t="s">
        <v>1407</v>
      </c>
      <c r="D111" s="2" t="s">
        <v>92</v>
      </c>
      <c r="E111" s="2" t="s">
        <v>93</v>
      </c>
      <c r="F111" s="5" t="str">
        <f t="shared" si="5"/>
        <v>1/351/3/242358 BAUHAUS</v>
      </c>
      <c r="G111" s="12">
        <f t="shared" si="13"/>
        <v>47.231404958677686</v>
      </c>
      <c r="H111">
        <v>21</v>
      </c>
      <c r="I111" s="5">
        <f t="shared" si="10"/>
        <v>9.9185950413223143</v>
      </c>
      <c r="J111" s="5">
        <f t="shared" si="11"/>
        <v>47.231404958677686</v>
      </c>
      <c r="L111" s="5">
        <f t="shared" si="12"/>
        <v>0</v>
      </c>
      <c r="M111" s="8">
        <v>57.15</v>
      </c>
      <c r="N111" s="2" t="s">
        <v>21</v>
      </c>
      <c r="O111" s="3" t="s">
        <v>63</v>
      </c>
    </row>
    <row r="112" spans="1:15" x14ac:dyDescent="0.35">
      <c r="A112" s="4">
        <v>45400</v>
      </c>
      <c r="B112" s="2" t="s">
        <v>1408</v>
      </c>
      <c r="D112" s="2" t="s">
        <v>94</v>
      </c>
      <c r="E112" s="2" t="s">
        <v>139</v>
      </c>
      <c r="F112" s="5" t="str">
        <f t="shared" si="5"/>
        <v>00002-2024/A0103/00007608 BIGMAT</v>
      </c>
      <c r="G112" s="12">
        <f t="shared" si="13"/>
        <v>79.198347107438011</v>
      </c>
      <c r="H112">
        <v>21</v>
      </c>
      <c r="I112" s="5">
        <f t="shared" si="10"/>
        <v>16.631652892561984</v>
      </c>
      <c r="J112" s="5">
        <f t="shared" si="11"/>
        <v>79.198347107438011</v>
      </c>
      <c r="L112" s="5">
        <f t="shared" si="12"/>
        <v>0</v>
      </c>
      <c r="M112" s="8">
        <v>95.83</v>
      </c>
      <c r="N112" s="2" t="s">
        <v>21</v>
      </c>
      <c r="O112" s="3" t="s">
        <v>63</v>
      </c>
    </row>
    <row r="113" spans="1:15" x14ac:dyDescent="0.35">
      <c r="A113" s="4">
        <v>45399</v>
      </c>
      <c r="B113" s="2" t="s">
        <v>1409</v>
      </c>
      <c r="D113" s="2" t="s">
        <v>94</v>
      </c>
      <c r="E113" s="2" t="s">
        <v>139</v>
      </c>
      <c r="F113" s="5" t="str">
        <f t="shared" si="5"/>
        <v>00002-2024/A0103/00007577 BIGMAT</v>
      </c>
      <c r="G113" s="12">
        <f t="shared" si="13"/>
        <v>27.826446280991739</v>
      </c>
      <c r="H113">
        <v>21</v>
      </c>
      <c r="I113" s="5">
        <f t="shared" si="10"/>
        <v>5.8435537190082654</v>
      </c>
      <c r="J113" s="5">
        <f t="shared" si="11"/>
        <v>27.826446280991739</v>
      </c>
      <c r="L113" s="5">
        <f t="shared" si="12"/>
        <v>0</v>
      </c>
      <c r="M113" s="8">
        <v>33.67</v>
      </c>
      <c r="N113" s="2" t="s">
        <v>21</v>
      </c>
      <c r="O113" s="3" t="s">
        <v>63</v>
      </c>
    </row>
    <row r="114" spans="1:15" x14ac:dyDescent="0.35">
      <c r="A114" s="4">
        <v>45399</v>
      </c>
      <c r="B114" s="2" t="s">
        <v>1410</v>
      </c>
      <c r="D114" s="2" t="s">
        <v>94</v>
      </c>
      <c r="E114" s="2" t="s">
        <v>139</v>
      </c>
      <c r="F114" s="5" t="str">
        <f t="shared" si="5"/>
        <v>00002-2024/A0103/00007576 BIGMAT</v>
      </c>
      <c r="G114" s="12">
        <f t="shared" si="13"/>
        <v>196.10743801652893</v>
      </c>
      <c r="H114">
        <v>21</v>
      </c>
      <c r="I114" s="5">
        <f t="shared" si="10"/>
        <v>41.182561983471075</v>
      </c>
      <c r="J114" s="5">
        <f t="shared" si="11"/>
        <v>196.10743801652893</v>
      </c>
      <c r="L114" s="5">
        <f t="shared" si="12"/>
        <v>0</v>
      </c>
      <c r="M114" s="8">
        <v>237.29</v>
      </c>
      <c r="N114" s="2" t="s">
        <v>21</v>
      </c>
      <c r="O114" s="3" t="s">
        <v>63</v>
      </c>
    </row>
    <row r="115" spans="1:15" x14ac:dyDescent="0.35">
      <c r="A115" s="4">
        <v>45399</v>
      </c>
      <c r="B115" s="2" t="s">
        <v>1411</v>
      </c>
      <c r="D115" s="2" t="s">
        <v>94</v>
      </c>
      <c r="E115" s="2" t="s">
        <v>139</v>
      </c>
      <c r="F115" s="5" t="str">
        <f t="shared" si="5"/>
        <v>00002-2024/A0101/00003098 BIGMAT</v>
      </c>
      <c r="G115" s="12">
        <f t="shared" si="13"/>
        <v>10.049586776859504</v>
      </c>
      <c r="H115">
        <v>21</v>
      </c>
      <c r="I115" s="5">
        <f t="shared" si="10"/>
        <v>2.1104132231404957</v>
      </c>
      <c r="J115" s="5">
        <f t="shared" si="11"/>
        <v>10.049586776859504</v>
      </c>
      <c r="L115" s="5">
        <f t="shared" si="12"/>
        <v>0</v>
      </c>
      <c r="M115" s="8">
        <v>12.16</v>
      </c>
      <c r="N115" s="2" t="s">
        <v>21</v>
      </c>
      <c r="O115" s="3" t="s">
        <v>63</v>
      </c>
    </row>
    <row r="116" spans="1:15" x14ac:dyDescent="0.35">
      <c r="A116" s="4">
        <v>45402</v>
      </c>
      <c r="B116" s="2" t="s">
        <v>1412</v>
      </c>
      <c r="D116" s="2" t="s">
        <v>77</v>
      </c>
      <c r="E116" s="2" t="s">
        <v>151</v>
      </c>
      <c r="F116" s="5" t="str">
        <f t="shared" si="5"/>
        <v>24FAS001629 E.S. SESEÑA</v>
      </c>
      <c r="G116" s="12">
        <f t="shared" si="13"/>
        <v>60.950413223140501</v>
      </c>
      <c r="H116">
        <v>21</v>
      </c>
      <c r="I116" s="5">
        <f t="shared" si="10"/>
        <v>12.799586776859506</v>
      </c>
      <c r="J116" s="5">
        <f t="shared" si="11"/>
        <v>60.950413223140501</v>
      </c>
      <c r="L116" s="5">
        <f t="shared" si="12"/>
        <v>0</v>
      </c>
      <c r="M116" s="8">
        <v>73.75</v>
      </c>
      <c r="N116" s="2" t="s">
        <v>22</v>
      </c>
      <c r="O116" s="3" t="s">
        <v>63</v>
      </c>
    </row>
    <row r="117" spans="1:15" x14ac:dyDescent="0.35">
      <c r="A117" s="4">
        <v>45405</v>
      </c>
      <c r="B117" s="2" t="s">
        <v>1413</v>
      </c>
      <c r="D117" s="2" t="s">
        <v>89</v>
      </c>
      <c r="E117" s="2" t="s">
        <v>90</v>
      </c>
      <c r="F117" s="5" t="str">
        <f t="shared" si="5"/>
        <v>E12002024000000572 GALP</v>
      </c>
      <c r="G117" s="12">
        <f t="shared" si="13"/>
        <v>66.11570247933885</v>
      </c>
      <c r="H117">
        <v>21</v>
      </c>
      <c r="I117" s="5">
        <f t="shared" si="10"/>
        <v>13.884297520661159</v>
      </c>
      <c r="J117" s="5">
        <f t="shared" si="11"/>
        <v>66.11570247933885</v>
      </c>
      <c r="L117" s="5">
        <f t="shared" si="12"/>
        <v>0</v>
      </c>
      <c r="M117" s="8">
        <v>80</v>
      </c>
      <c r="N117" s="2" t="s">
        <v>22</v>
      </c>
      <c r="O117" s="3" t="s">
        <v>63</v>
      </c>
    </row>
    <row r="118" spans="1:15" x14ac:dyDescent="0.35">
      <c r="A118" s="4">
        <v>45405</v>
      </c>
      <c r="B118" s="2" t="s">
        <v>1414</v>
      </c>
      <c r="D118" s="2" t="s">
        <v>593</v>
      </c>
      <c r="E118" s="2" t="s">
        <v>1415</v>
      </c>
      <c r="F118" s="5" t="str">
        <f t="shared" si="5"/>
        <v>00210022202404001122 Mc DONALD´S</v>
      </c>
      <c r="G118" s="12">
        <f t="shared" si="13"/>
        <v>12.290909090909089</v>
      </c>
      <c r="H118">
        <v>10</v>
      </c>
      <c r="I118" s="5">
        <f t="shared" si="10"/>
        <v>1.229090909090909</v>
      </c>
      <c r="J118" s="5">
        <f t="shared" si="11"/>
        <v>12.290909090909089</v>
      </c>
      <c r="L118" s="5">
        <f t="shared" si="12"/>
        <v>0</v>
      </c>
      <c r="M118" s="8">
        <v>13.52</v>
      </c>
      <c r="N118" s="2" t="s">
        <v>28</v>
      </c>
      <c r="O118" s="3" t="s">
        <v>63</v>
      </c>
    </row>
    <row r="119" spans="1:15" x14ac:dyDescent="0.35">
      <c r="A119" s="4">
        <v>45412</v>
      </c>
      <c r="B119" s="2" t="s">
        <v>1416</v>
      </c>
      <c r="D119" s="2" t="s">
        <v>34</v>
      </c>
      <c r="E119" s="2" t="s">
        <v>1417</v>
      </c>
      <c r="F119" s="5" t="str">
        <f t="shared" si="5"/>
        <v>F241392 CONTAMAR</v>
      </c>
      <c r="G119" s="12">
        <f t="shared" si="13"/>
        <v>179.55371900826447</v>
      </c>
      <c r="H119">
        <v>21</v>
      </c>
      <c r="I119" s="5">
        <f t="shared" si="10"/>
        <v>37.706280991735539</v>
      </c>
      <c r="J119" s="5">
        <f t="shared" si="11"/>
        <v>179.55371900826447</v>
      </c>
      <c r="L119" s="5">
        <f t="shared" si="12"/>
        <v>0</v>
      </c>
      <c r="M119" s="8">
        <v>217.26</v>
      </c>
      <c r="N119" s="2" t="s">
        <v>55</v>
      </c>
      <c r="O119" s="3" t="s">
        <v>67</v>
      </c>
    </row>
    <row r="120" spans="1:15" x14ac:dyDescent="0.35">
      <c r="A120" s="4">
        <v>45412</v>
      </c>
      <c r="B120" s="2" t="s">
        <v>1418</v>
      </c>
      <c r="D120" s="2" t="s">
        <v>34</v>
      </c>
      <c r="E120" s="2" t="s">
        <v>1417</v>
      </c>
      <c r="F120" s="5" t="str">
        <f t="shared" si="5"/>
        <v>F241555 CONTAMAR</v>
      </c>
      <c r="G120" s="12">
        <f t="shared" si="13"/>
        <v>25</v>
      </c>
      <c r="H120">
        <v>21</v>
      </c>
      <c r="I120" s="5">
        <f t="shared" si="10"/>
        <v>5.25</v>
      </c>
      <c r="J120" s="5">
        <f t="shared" si="11"/>
        <v>25</v>
      </c>
      <c r="L120" s="5">
        <f t="shared" si="12"/>
        <v>0</v>
      </c>
      <c r="M120" s="8">
        <v>30.25</v>
      </c>
      <c r="N120" s="2" t="s">
        <v>55</v>
      </c>
      <c r="O120" s="3" t="s">
        <v>67</v>
      </c>
    </row>
    <row r="121" spans="1:15" x14ac:dyDescent="0.35">
      <c r="A121" s="4">
        <v>45390</v>
      </c>
      <c r="B121" s="2" t="s">
        <v>1425</v>
      </c>
      <c r="D121" s="2" t="s">
        <v>1426</v>
      </c>
      <c r="E121" s="2" t="s">
        <v>1427</v>
      </c>
      <c r="F121" s="5" t="str">
        <f t="shared" si="5"/>
        <v>2404-000065 JENDRICH AUTOMOBILE</v>
      </c>
      <c r="G121" s="12">
        <f t="shared" si="13"/>
        <v>17400</v>
      </c>
      <c r="H121">
        <v>0</v>
      </c>
      <c r="I121" s="5">
        <f t="shared" si="10"/>
        <v>0</v>
      </c>
      <c r="J121" s="5">
        <f t="shared" si="11"/>
        <v>17400</v>
      </c>
      <c r="L121" s="5">
        <f t="shared" si="12"/>
        <v>0</v>
      </c>
      <c r="M121" s="8">
        <v>17400</v>
      </c>
      <c r="N121" s="2" t="s">
        <v>50</v>
      </c>
      <c r="O121" s="3" t="s">
        <v>68</v>
      </c>
    </row>
    <row r="122" spans="1:15" x14ac:dyDescent="0.35">
      <c r="A122" s="4">
        <v>45412</v>
      </c>
      <c r="B122" s="2" t="s">
        <v>1430</v>
      </c>
      <c r="D122" s="2" t="s">
        <v>94</v>
      </c>
      <c r="E122" s="2" t="s">
        <v>139</v>
      </c>
      <c r="F122" s="5" t="str">
        <f t="shared" si="5"/>
        <v>00002-2024/A0101/00003553 BIGMAT</v>
      </c>
      <c r="G122" s="12">
        <f t="shared" si="13"/>
        <v>18.049586776859506</v>
      </c>
      <c r="H122">
        <v>21</v>
      </c>
      <c r="I122" s="5">
        <f t="shared" si="10"/>
        <v>3.7904132231404963</v>
      </c>
      <c r="J122" s="5">
        <f t="shared" si="11"/>
        <v>18.049586776859506</v>
      </c>
      <c r="L122" s="5">
        <f t="shared" si="12"/>
        <v>0</v>
      </c>
      <c r="M122" s="8">
        <v>21.84</v>
      </c>
      <c r="N122" s="2" t="s">
        <v>21</v>
      </c>
      <c r="O122" s="3" t="s">
        <v>63</v>
      </c>
    </row>
    <row r="123" spans="1:15" x14ac:dyDescent="0.35">
      <c r="A123" s="4">
        <v>45412</v>
      </c>
      <c r="B123" s="2" t="s">
        <v>1431</v>
      </c>
      <c r="D123" s="2" t="s">
        <v>94</v>
      </c>
      <c r="E123" s="2" t="s">
        <v>139</v>
      </c>
      <c r="F123" s="5" t="str">
        <f t="shared" si="5"/>
        <v>08002-2024/A0101/000000302 BIGMAT</v>
      </c>
      <c r="G123" s="12">
        <f t="shared" si="13"/>
        <v>-13.818181818181818</v>
      </c>
      <c r="H123">
        <v>21</v>
      </c>
      <c r="I123" s="5">
        <f t="shared" si="10"/>
        <v>-2.9018181818181819</v>
      </c>
      <c r="J123" s="5">
        <f t="shared" si="11"/>
        <v>-13.818181818181818</v>
      </c>
      <c r="L123" s="5">
        <f t="shared" si="12"/>
        <v>0</v>
      </c>
      <c r="M123" s="8">
        <v>-16.72</v>
      </c>
      <c r="N123" s="2" t="s">
        <v>21</v>
      </c>
      <c r="O123" s="3" t="s">
        <v>63</v>
      </c>
    </row>
    <row r="124" spans="1:15" x14ac:dyDescent="0.35">
      <c r="A124" s="4">
        <v>45412</v>
      </c>
      <c r="B124" s="2" t="s">
        <v>1432</v>
      </c>
      <c r="D124" s="2" t="s">
        <v>58</v>
      </c>
      <c r="E124" s="2" t="s">
        <v>1172</v>
      </c>
      <c r="F124" s="5" t="str">
        <f t="shared" si="5"/>
        <v>012-0004-908542 BRICOLAJE BRICOMAN SLU</v>
      </c>
      <c r="G124" s="12">
        <f t="shared" si="13"/>
        <v>163.71074380165291</v>
      </c>
      <c r="H124">
        <v>21</v>
      </c>
      <c r="I124" s="5">
        <f t="shared" si="10"/>
        <v>34.379256198347115</v>
      </c>
      <c r="J124" s="5">
        <f t="shared" si="11"/>
        <v>163.71074380165291</v>
      </c>
      <c r="L124" s="5">
        <f t="shared" si="12"/>
        <v>0</v>
      </c>
      <c r="M124" s="8">
        <v>198.09</v>
      </c>
      <c r="N124" s="2" t="s">
        <v>21</v>
      </c>
      <c r="O124" s="3" t="s">
        <v>63</v>
      </c>
    </row>
    <row r="125" spans="1:15" x14ac:dyDescent="0.35">
      <c r="A125" s="4">
        <v>45412</v>
      </c>
      <c r="B125" s="2" t="s">
        <v>1433</v>
      </c>
      <c r="D125" s="2" t="s">
        <v>254</v>
      </c>
      <c r="E125" s="2" t="s">
        <v>1434</v>
      </c>
      <c r="F125" s="5" t="str">
        <f t="shared" si="5"/>
        <v>406400565 SUMINISTROS ELECTRICOS BPV VALDEMORO</v>
      </c>
      <c r="G125" s="12">
        <f t="shared" si="13"/>
        <v>32.504132231404959</v>
      </c>
      <c r="H125">
        <v>21</v>
      </c>
      <c r="I125" s="5">
        <f t="shared" si="10"/>
        <v>6.8258677685950424</v>
      </c>
      <c r="J125" s="5">
        <f t="shared" si="11"/>
        <v>32.504132231404959</v>
      </c>
      <c r="L125" s="5">
        <f t="shared" si="12"/>
        <v>0</v>
      </c>
      <c r="M125" s="8">
        <v>39.33</v>
      </c>
      <c r="N125" s="2" t="s">
        <v>21</v>
      </c>
      <c r="O125" s="3" t="s">
        <v>67</v>
      </c>
    </row>
    <row r="126" spans="1:15" x14ac:dyDescent="0.35">
      <c r="A126" s="4">
        <v>45408</v>
      </c>
      <c r="B126" s="2" t="s">
        <v>1435</v>
      </c>
      <c r="D126" s="2" t="s">
        <v>1436</v>
      </c>
      <c r="E126" s="2" t="s">
        <v>119</v>
      </c>
      <c r="F126" s="5" t="str">
        <f t="shared" si="5"/>
        <v>E226-60530833 MEDIA MARKT</v>
      </c>
      <c r="G126" s="12">
        <f t="shared" si="13"/>
        <v>58.669421487603302</v>
      </c>
      <c r="H126">
        <v>21</v>
      </c>
      <c r="I126" s="5">
        <f t="shared" si="10"/>
        <v>12.320578512396693</v>
      </c>
      <c r="J126" s="5">
        <f t="shared" si="11"/>
        <v>58.669421487603302</v>
      </c>
      <c r="L126" s="5">
        <f t="shared" si="12"/>
        <v>0</v>
      </c>
      <c r="M126" s="8">
        <v>70.989999999999995</v>
      </c>
      <c r="N126" s="2" t="s">
        <v>21</v>
      </c>
      <c r="O126" s="3" t="s">
        <v>63</v>
      </c>
    </row>
    <row r="127" spans="1:15" x14ac:dyDescent="0.35">
      <c r="A127" s="4">
        <v>45394</v>
      </c>
      <c r="B127" s="2" t="s">
        <v>1437</v>
      </c>
      <c r="D127" s="2" t="s">
        <v>94</v>
      </c>
      <c r="E127" s="2" t="s">
        <v>139</v>
      </c>
      <c r="F127" s="5" t="str">
        <f t="shared" si="5"/>
        <v>00002-2024/A0121/00000816 BIGMAT</v>
      </c>
      <c r="G127" s="12">
        <f t="shared" si="13"/>
        <v>6.6033057851239674</v>
      </c>
      <c r="H127">
        <v>21</v>
      </c>
      <c r="I127" s="5">
        <f t="shared" si="10"/>
        <v>1.3866942148760331</v>
      </c>
      <c r="J127" s="5">
        <f t="shared" si="11"/>
        <v>6.6033057851239674</v>
      </c>
      <c r="L127" s="5">
        <f t="shared" si="12"/>
        <v>0</v>
      </c>
      <c r="M127" s="8">
        <v>7.99</v>
      </c>
      <c r="N127" s="2" t="s">
        <v>21</v>
      </c>
      <c r="O127" s="3" t="s">
        <v>63</v>
      </c>
    </row>
    <row r="128" spans="1:15" x14ac:dyDescent="0.35">
      <c r="A128" s="4">
        <v>45406</v>
      </c>
      <c r="B128" s="2" t="s">
        <v>1438</v>
      </c>
      <c r="D128" s="2" t="s">
        <v>1439</v>
      </c>
      <c r="E128" s="2" t="s">
        <v>1440</v>
      </c>
      <c r="F128" s="5" t="str">
        <f t="shared" si="5"/>
        <v>14 40185 REPARACIONES ANTON</v>
      </c>
      <c r="G128" s="12">
        <f t="shared" si="13"/>
        <v>11.570247933884298</v>
      </c>
      <c r="H128">
        <v>21</v>
      </c>
      <c r="I128" s="5">
        <f t="shared" si="10"/>
        <v>2.4297520661157024</v>
      </c>
      <c r="J128" s="5">
        <f t="shared" si="11"/>
        <v>11.570247933884298</v>
      </c>
      <c r="L128" s="5">
        <f t="shared" si="12"/>
        <v>0</v>
      </c>
      <c r="M128" s="8">
        <v>14</v>
      </c>
      <c r="N128" s="2" t="s">
        <v>21</v>
      </c>
      <c r="O128" s="3" t="s">
        <v>63</v>
      </c>
    </row>
    <row r="129" spans="1:15" x14ac:dyDescent="0.35">
      <c r="A129" s="4">
        <v>45409</v>
      </c>
      <c r="B129" s="2" t="s">
        <v>1441</v>
      </c>
      <c r="D129" s="2" t="s">
        <v>140</v>
      </c>
      <c r="E129" s="2" t="s">
        <v>141</v>
      </c>
      <c r="F129" s="5" t="str">
        <f t="shared" si="5"/>
        <v>2633 ED OIL</v>
      </c>
      <c r="G129" s="12">
        <f t="shared" si="13"/>
        <v>15.793388429752065</v>
      </c>
      <c r="H129">
        <v>21</v>
      </c>
      <c r="I129" s="5">
        <f t="shared" si="10"/>
        <v>3.3166115702479342</v>
      </c>
      <c r="J129" s="5">
        <f t="shared" si="11"/>
        <v>15.793388429752065</v>
      </c>
      <c r="L129" s="5">
        <f t="shared" si="12"/>
        <v>0</v>
      </c>
      <c r="M129" s="8">
        <v>19.11</v>
      </c>
      <c r="N129" s="2" t="s">
        <v>22</v>
      </c>
      <c r="O129" s="3" t="s">
        <v>63</v>
      </c>
    </row>
    <row r="130" spans="1:15" x14ac:dyDescent="0.35">
      <c r="A130" s="4">
        <v>45402</v>
      </c>
      <c r="B130" s="2" t="s">
        <v>1442</v>
      </c>
      <c r="D130" s="2" t="s">
        <v>49</v>
      </c>
      <c r="E130" s="2" t="s">
        <v>124</v>
      </c>
      <c r="F130" s="5" t="str">
        <f t="shared" si="5"/>
        <v>003720024/00001293 CIA ESPAÑOLA DIST PETROLEOS</v>
      </c>
      <c r="G130" s="12">
        <f t="shared" si="13"/>
        <v>41.32231404958678</v>
      </c>
      <c r="H130">
        <v>21</v>
      </c>
      <c r="I130" s="5">
        <f t="shared" si="10"/>
        <v>8.677685950413224</v>
      </c>
      <c r="J130" s="5">
        <f t="shared" si="11"/>
        <v>41.32231404958678</v>
      </c>
      <c r="L130" s="5">
        <f t="shared" si="12"/>
        <v>0</v>
      </c>
      <c r="M130" s="8">
        <v>50</v>
      </c>
      <c r="N130" s="2" t="s">
        <v>22</v>
      </c>
      <c r="O130" s="3" t="s">
        <v>63</v>
      </c>
    </row>
    <row r="131" spans="1:15" x14ac:dyDescent="0.35">
      <c r="A131" s="4">
        <v>45396</v>
      </c>
      <c r="B131" s="2" t="s">
        <v>1443</v>
      </c>
      <c r="D131" s="2" t="s">
        <v>273</v>
      </c>
      <c r="E131" s="2" t="s">
        <v>1444</v>
      </c>
      <c r="F131" s="5" t="str">
        <f t="shared" si="5"/>
        <v>028187024/00000834 CEPSA</v>
      </c>
      <c r="G131" s="12">
        <f t="shared" si="13"/>
        <v>49.586776859504134</v>
      </c>
      <c r="H131">
        <v>21</v>
      </c>
      <c r="I131" s="5">
        <f t="shared" si="10"/>
        <v>10.413223140495868</v>
      </c>
      <c r="J131" s="5">
        <f t="shared" si="11"/>
        <v>49.586776859504134</v>
      </c>
      <c r="L131" s="5">
        <f t="shared" si="12"/>
        <v>0</v>
      </c>
      <c r="M131" s="8">
        <v>60</v>
      </c>
      <c r="N131" s="2" t="s">
        <v>22</v>
      </c>
      <c r="O131" s="3" t="s">
        <v>63</v>
      </c>
    </row>
    <row r="132" spans="1:15" x14ac:dyDescent="0.35">
      <c r="A132" s="4">
        <v>45401</v>
      </c>
      <c r="B132" s="2" t="s">
        <v>1445</v>
      </c>
      <c r="D132" s="2" t="s">
        <v>89</v>
      </c>
      <c r="E132" s="2" t="s">
        <v>90</v>
      </c>
      <c r="F132" s="5" t="str">
        <f t="shared" si="5"/>
        <v>E30012024000000881 GALP</v>
      </c>
      <c r="G132" s="12">
        <f t="shared" si="13"/>
        <v>41.32231404958678</v>
      </c>
      <c r="H132">
        <v>21</v>
      </c>
      <c r="I132" s="5">
        <f t="shared" si="10"/>
        <v>8.677685950413224</v>
      </c>
      <c r="J132" s="5">
        <f t="shared" si="11"/>
        <v>41.32231404958678</v>
      </c>
      <c r="L132" s="5">
        <f t="shared" si="12"/>
        <v>0</v>
      </c>
      <c r="M132" s="8">
        <v>50</v>
      </c>
      <c r="N132" s="2" t="s">
        <v>22</v>
      </c>
      <c r="O132" s="3" t="s">
        <v>63</v>
      </c>
    </row>
    <row r="133" spans="1:15" x14ac:dyDescent="0.35">
      <c r="A133" s="4">
        <v>45390</v>
      </c>
      <c r="B133" s="2" t="s">
        <v>1446</v>
      </c>
      <c r="D133" s="2" t="s">
        <v>89</v>
      </c>
      <c r="E133" s="2" t="s">
        <v>90</v>
      </c>
      <c r="F133" s="5" t="str">
        <f t="shared" si="5"/>
        <v>E30012024000000736 GALP</v>
      </c>
      <c r="G133" s="12">
        <f t="shared" si="13"/>
        <v>41.32231404958678</v>
      </c>
      <c r="H133">
        <v>21</v>
      </c>
      <c r="I133" s="5">
        <f t="shared" si="10"/>
        <v>8.677685950413224</v>
      </c>
      <c r="J133" s="5">
        <f t="shared" si="11"/>
        <v>41.32231404958678</v>
      </c>
      <c r="L133" s="5">
        <f t="shared" si="12"/>
        <v>0</v>
      </c>
      <c r="M133" s="8">
        <v>50</v>
      </c>
      <c r="N133" s="2" t="s">
        <v>22</v>
      </c>
      <c r="O133" s="3" t="s">
        <v>63</v>
      </c>
    </row>
    <row r="134" spans="1:15" x14ac:dyDescent="0.35">
      <c r="A134" s="4">
        <v>45387</v>
      </c>
      <c r="B134" s="2" t="s">
        <v>1447</v>
      </c>
      <c r="D134" s="2" t="s">
        <v>60</v>
      </c>
      <c r="E134" s="2" t="s">
        <v>24</v>
      </c>
      <c r="F134" s="5" t="str">
        <f t="shared" si="5"/>
        <v>096622/A/24/001225 REPSOL</v>
      </c>
      <c r="G134" s="12">
        <f t="shared" si="13"/>
        <v>13.793388429752067</v>
      </c>
      <c r="H134">
        <v>21</v>
      </c>
      <c r="I134" s="5">
        <f t="shared" si="10"/>
        <v>2.8966115702479338</v>
      </c>
      <c r="J134" s="5">
        <f t="shared" si="11"/>
        <v>13.793388429752067</v>
      </c>
      <c r="L134" s="5">
        <f t="shared" si="12"/>
        <v>0</v>
      </c>
      <c r="M134" s="8">
        <v>16.690000000000001</v>
      </c>
      <c r="N134" s="2" t="s">
        <v>22</v>
      </c>
      <c r="O134" s="3" t="s">
        <v>63</v>
      </c>
    </row>
    <row r="135" spans="1:15" x14ac:dyDescent="0.35">
      <c r="A135" s="4">
        <v>45393</v>
      </c>
      <c r="B135" s="2" t="s">
        <v>1448</v>
      </c>
      <c r="D135" s="2" t="s">
        <v>89</v>
      </c>
      <c r="E135" s="2" t="s">
        <v>90</v>
      </c>
      <c r="F135" s="5" t="str">
        <f t="shared" si="5"/>
        <v>E12002024000000384 GALP</v>
      </c>
      <c r="G135" s="12">
        <f t="shared" si="13"/>
        <v>14.553719008264462</v>
      </c>
      <c r="H135">
        <v>21</v>
      </c>
      <c r="I135" s="5">
        <f t="shared" si="10"/>
        <v>3.0562809917355374</v>
      </c>
      <c r="J135" s="5">
        <f t="shared" si="11"/>
        <v>14.553719008264462</v>
      </c>
      <c r="L135" s="5">
        <f t="shared" si="12"/>
        <v>0</v>
      </c>
      <c r="M135" s="8">
        <v>17.61</v>
      </c>
      <c r="N135" s="2" t="s">
        <v>22</v>
      </c>
      <c r="O135" s="3" t="s">
        <v>63</v>
      </c>
    </row>
    <row r="136" spans="1:15" x14ac:dyDescent="0.35">
      <c r="A136" s="4">
        <v>45406</v>
      </c>
      <c r="B136" s="2" t="s">
        <v>1449</v>
      </c>
      <c r="D136" s="2" t="s">
        <v>89</v>
      </c>
      <c r="E136" s="2" t="s">
        <v>90</v>
      </c>
      <c r="F136" s="5" t="str">
        <f t="shared" si="5"/>
        <v>E12002024000000590 GALP</v>
      </c>
      <c r="G136" s="12">
        <f t="shared" si="13"/>
        <v>41.32231404958678</v>
      </c>
      <c r="H136">
        <v>21</v>
      </c>
      <c r="I136" s="5">
        <f t="shared" si="10"/>
        <v>8.677685950413224</v>
      </c>
      <c r="J136" s="5">
        <f t="shared" si="11"/>
        <v>41.32231404958678</v>
      </c>
      <c r="L136" s="5">
        <f t="shared" si="12"/>
        <v>0</v>
      </c>
      <c r="M136" s="8">
        <v>50</v>
      </c>
      <c r="N136" s="2" t="s">
        <v>22</v>
      </c>
      <c r="O136" s="3" t="s">
        <v>63</v>
      </c>
    </row>
    <row r="137" spans="1:15" x14ac:dyDescent="0.35">
      <c r="A137" s="4">
        <v>45384</v>
      </c>
      <c r="B137" s="2" t="s">
        <v>1450</v>
      </c>
      <c r="D137" s="2" t="s">
        <v>99</v>
      </c>
      <c r="E137" s="2" t="s">
        <v>262</v>
      </c>
      <c r="F137" s="5" t="str">
        <f t="shared" si="5"/>
        <v>0000045054 DISA</v>
      </c>
      <c r="G137" s="12">
        <f t="shared" si="13"/>
        <v>41.32231404958678</v>
      </c>
      <c r="H137">
        <v>21</v>
      </c>
      <c r="I137" s="5">
        <f t="shared" si="10"/>
        <v>8.677685950413224</v>
      </c>
      <c r="J137" s="5">
        <f t="shared" si="11"/>
        <v>41.32231404958678</v>
      </c>
      <c r="L137" s="5">
        <f t="shared" si="12"/>
        <v>0</v>
      </c>
      <c r="M137" s="8">
        <v>50</v>
      </c>
      <c r="N137" s="2" t="s">
        <v>22</v>
      </c>
      <c r="O137" s="3" t="s">
        <v>63</v>
      </c>
    </row>
    <row r="138" spans="1:15" x14ac:dyDescent="0.35">
      <c r="A138" s="4">
        <v>45390</v>
      </c>
      <c r="B138" s="2" t="s">
        <v>1451</v>
      </c>
      <c r="D138" s="2" t="s">
        <v>99</v>
      </c>
      <c r="E138" s="2" t="s">
        <v>262</v>
      </c>
      <c r="F138" s="5" t="str">
        <f t="shared" si="5"/>
        <v>0000045083 DISA</v>
      </c>
      <c r="G138" s="12">
        <f t="shared" si="13"/>
        <v>17.619834710743802</v>
      </c>
      <c r="H138">
        <v>21</v>
      </c>
      <c r="I138" s="5">
        <f t="shared" si="10"/>
        <v>3.7001652892561987</v>
      </c>
      <c r="J138" s="5">
        <f t="shared" si="11"/>
        <v>17.619834710743802</v>
      </c>
      <c r="L138" s="5">
        <f t="shared" si="12"/>
        <v>0</v>
      </c>
      <c r="M138" s="8">
        <v>21.32</v>
      </c>
      <c r="N138" s="2" t="s">
        <v>22</v>
      </c>
      <c r="O138" s="3" t="s">
        <v>63</v>
      </c>
    </row>
    <row r="139" spans="1:15" x14ac:dyDescent="0.35">
      <c r="A139" s="4">
        <v>45408</v>
      </c>
      <c r="B139" s="2" t="s">
        <v>1452</v>
      </c>
      <c r="D139" s="2" t="s">
        <v>584</v>
      </c>
      <c r="E139" s="2" t="s">
        <v>242</v>
      </c>
      <c r="F139" s="5" t="str">
        <f t="shared" si="5"/>
        <v>T-9608 RESTAURANTE LA SALA</v>
      </c>
      <c r="G139" s="12">
        <f t="shared" si="13"/>
        <v>8</v>
      </c>
      <c r="H139">
        <v>10</v>
      </c>
      <c r="I139" s="5">
        <f t="shared" si="10"/>
        <v>0.8</v>
      </c>
      <c r="J139" s="5">
        <f t="shared" si="11"/>
        <v>8</v>
      </c>
      <c r="L139" s="5">
        <f t="shared" si="12"/>
        <v>0</v>
      </c>
      <c r="M139" s="8">
        <v>8.8000000000000007</v>
      </c>
      <c r="N139" s="2" t="s">
        <v>28</v>
      </c>
      <c r="O139" s="3" t="s">
        <v>63</v>
      </c>
    </row>
    <row r="140" spans="1:15" x14ac:dyDescent="0.35">
      <c r="A140" s="4">
        <v>45391</v>
      </c>
      <c r="B140" s="2" t="s">
        <v>1453</v>
      </c>
      <c r="D140" s="2" t="s">
        <v>724</v>
      </c>
      <c r="E140" s="2" t="s">
        <v>1415</v>
      </c>
      <c r="F140" s="5" t="str">
        <f t="shared" si="5"/>
        <v>00730024202404000119 Mc DONALD´S</v>
      </c>
      <c r="G140" s="12">
        <f t="shared" si="13"/>
        <v>12.154545454545453</v>
      </c>
      <c r="H140">
        <v>10</v>
      </c>
      <c r="I140" s="5">
        <f t="shared" si="10"/>
        <v>1.2154545454545453</v>
      </c>
      <c r="J140" s="5">
        <f t="shared" si="11"/>
        <v>12.154545454545453</v>
      </c>
      <c r="L140" s="5">
        <f t="shared" si="12"/>
        <v>0</v>
      </c>
      <c r="M140" s="8">
        <v>13.37</v>
      </c>
      <c r="N140" s="2" t="s">
        <v>28</v>
      </c>
      <c r="O140" s="3" t="s">
        <v>63</v>
      </c>
    </row>
    <row r="141" spans="1:15" x14ac:dyDescent="0.35">
      <c r="A141" s="4">
        <v>45393</v>
      </c>
      <c r="B141" s="2" t="s">
        <v>1454</v>
      </c>
      <c r="D141" s="2" t="s">
        <v>1455</v>
      </c>
      <c r="E141" s="2" t="s">
        <v>1456</v>
      </c>
      <c r="F141" s="5" t="str">
        <f t="shared" si="5"/>
        <v>143748 PROYECTOS CONSCIENTES SL</v>
      </c>
      <c r="G141" s="12">
        <f t="shared" si="13"/>
        <v>21</v>
      </c>
      <c r="H141">
        <v>10</v>
      </c>
      <c r="I141" s="5">
        <f t="shared" si="10"/>
        <v>2.1</v>
      </c>
      <c r="J141" s="5">
        <f t="shared" si="11"/>
        <v>21</v>
      </c>
      <c r="L141" s="5">
        <f t="shared" si="12"/>
        <v>0</v>
      </c>
      <c r="M141" s="8">
        <v>23.1</v>
      </c>
      <c r="N141" s="2" t="s">
        <v>28</v>
      </c>
      <c r="O141" s="3" t="s">
        <v>63</v>
      </c>
    </row>
    <row r="142" spans="1:15" x14ac:dyDescent="0.35">
      <c r="A142" s="4">
        <v>45408</v>
      </c>
      <c r="B142" s="2" t="s">
        <v>1457</v>
      </c>
      <c r="D142" s="2" t="s">
        <v>89</v>
      </c>
      <c r="E142" s="2" t="s">
        <v>90</v>
      </c>
      <c r="F142" s="5" t="str">
        <f t="shared" si="5"/>
        <v>E12007224TS000FE000460 GALP</v>
      </c>
      <c r="G142" s="12">
        <f t="shared" si="13"/>
        <v>74.380165289256198</v>
      </c>
      <c r="H142">
        <v>21</v>
      </c>
      <c r="I142" s="5">
        <f t="shared" si="10"/>
        <v>15.619834710743801</v>
      </c>
      <c r="J142" s="5">
        <f t="shared" si="11"/>
        <v>74.380165289256198</v>
      </c>
      <c r="L142" s="5">
        <f t="shared" si="12"/>
        <v>0</v>
      </c>
      <c r="M142" s="8">
        <v>90</v>
      </c>
      <c r="N142" s="2" t="s">
        <v>22</v>
      </c>
      <c r="O142" s="3" t="s">
        <v>63</v>
      </c>
    </row>
    <row r="143" spans="1:15" x14ac:dyDescent="0.35">
      <c r="A143" s="4">
        <v>45404</v>
      </c>
      <c r="B143" s="2" t="s">
        <v>1458</v>
      </c>
      <c r="D143" s="2" t="s">
        <v>89</v>
      </c>
      <c r="E143" s="2" t="s">
        <v>90</v>
      </c>
      <c r="F143" s="5" t="str">
        <f t="shared" si="5"/>
        <v>E12007224TS000FE000437 GALP</v>
      </c>
      <c r="G143" s="12">
        <f t="shared" si="13"/>
        <v>82.644628099173559</v>
      </c>
      <c r="H143">
        <v>21</v>
      </c>
      <c r="I143" s="5">
        <f t="shared" si="10"/>
        <v>17.355371900826448</v>
      </c>
      <c r="J143" s="5">
        <f t="shared" si="11"/>
        <v>82.644628099173559</v>
      </c>
      <c r="L143" s="5">
        <f t="shared" si="12"/>
        <v>0</v>
      </c>
      <c r="M143" s="8">
        <v>100</v>
      </c>
      <c r="N143" s="2" t="s">
        <v>22</v>
      </c>
      <c r="O143" s="3" t="s">
        <v>63</v>
      </c>
    </row>
    <row r="144" spans="1:15" x14ac:dyDescent="0.35">
      <c r="A144" s="4">
        <v>45404</v>
      </c>
      <c r="B144" s="2" t="s">
        <v>1459</v>
      </c>
      <c r="D144" s="2" t="s">
        <v>99</v>
      </c>
      <c r="E144" s="2" t="s">
        <v>262</v>
      </c>
      <c r="F144" s="5" t="str">
        <f t="shared" si="5"/>
        <v>0000100592 DISA</v>
      </c>
      <c r="G144" s="12">
        <f t="shared" si="13"/>
        <v>29.239669421487605</v>
      </c>
      <c r="H144">
        <v>21</v>
      </c>
      <c r="I144" s="5">
        <f t="shared" si="10"/>
        <v>6.1403305785123976</v>
      </c>
      <c r="J144" s="5">
        <f t="shared" si="11"/>
        <v>29.239669421487605</v>
      </c>
      <c r="L144" s="5">
        <f t="shared" si="12"/>
        <v>0</v>
      </c>
      <c r="M144" s="8">
        <v>35.380000000000003</v>
      </c>
      <c r="N144" s="2" t="s">
        <v>22</v>
      </c>
      <c r="O144" s="3" t="s">
        <v>63</v>
      </c>
    </row>
    <row r="145" spans="1:15" x14ac:dyDescent="0.35">
      <c r="A145" s="4">
        <v>45401</v>
      </c>
      <c r="B145" s="2" t="s">
        <v>1460</v>
      </c>
      <c r="D145" s="2" t="s">
        <v>99</v>
      </c>
      <c r="E145" s="2" t="s">
        <v>262</v>
      </c>
      <c r="F145" s="5" t="str">
        <f t="shared" si="5"/>
        <v>0000100528 DISA</v>
      </c>
      <c r="G145" s="12">
        <f t="shared" si="13"/>
        <v>29.239669421487605</v>
      </c>
      <c r="H145">
        <v>21</v>
      </c>
      <c r="I145" s="5">
        <f t="shared" si="10"/>
        <v>6.1403305785123976</v>
      </c>
      <c r="J145" s="5">
        <f t="shared" si="11"/>
        <v>29.239669421487605</v>
      </c>
      <c r="L145" s="5">
        <f t="shared" si="12"/>
        <v>0</v>
      </c>
      <c r="M145" s="8">
        <v>35.380000000000003</v>
      </c>
      <c r="N145" s="2" t="s">
        <v>22</v>
      </c>
      <c r="O145" s="3" t="s">
        <v>63</v>
      </c>
    </row>
    <row r="146" spans="1:15" x14ac:dyDescent="0.35">
      <c r="A146" s="4">
        <v>45407</v>
      </c>
      <c r="B146" s="2" t="s">
        <v>1461</v>
      </c>
      <c r="D146" s="2" t="s">
        <v>1462</v>
      </c>
      <c r="E146" s="2" t="s">
        <v>1463</v>
      </c>
      <c r="F146" s="5" t="str">
        <f t="shared" si="5"/>
        <v>241.125 PAVIMENTOS ESCORIAL</v>
      </c>
      <c r="G146" s="12">
        <f t="shared" si="13"/>
        <v>24.702479338842977</v>
      </c>
      <c r="H146">
        <v>21</v>
      </c>
      <c r="I146" s="5">
        <f t="shared" si="10"/>
        <v>5.1875206611570253</v>
      </c>
      <c r="J146" s="5">
        <f t="shared" si="11"/>
        <v>24.702479338842977</v>
      </c>
      <c r="L146" s="5">
        <f t="shared" si="12"/>
        <v>0</v>
      </c>
      <c r="M146" s="8">
        <v>29.89</v>
      </c>
      <c r="N146" s="2" t="s">
        <v>21</v>
      </c>
      <c r="O146" s="3" t="s">
        <v>63</v>
      </c>
    </row>
    <row r="147" spans="1:15" x14ac:dyDescent="0.35">
      <c r="A147" s="4">
        <v>45404</v>
      </c>
      <c r="B147" s="2" t="s">
        <v>1464</v>
      </c>
      <c r="D147" s="2" t="s">
        <v>1462</v>
      </c>
      <c r="E147" s="2" t="s">
        <v>1463</v>
      </c>
      <c r="F147" s="5" t="str">
        <f t="shared" si="5"/>
        <v>241.079 PAVIMENTOS ESCORIAL</v>
      </c>
      <c r="G147" s="12">
        <f t="shared" si="13"/>
        <v>42</v>
      </c>
      <c r="H147">
        <v>21</v>
      </c>
      <c r="I147" s="5">
        <f t="shared" si="10"/>
        <v>8.82</v>
      </c>
      <c r="J147" s="5">
        <f t="shared" si="11"/>
        <v>42</v>
      </c>
      <c r="L147" s="5">
        <f t="shared" si="12"/>
        <v>0</v>
      </c>
      <c r="M147" s="8">
        <v>50.82</v>
      </c>
      <c r="N147" s="2" t="s">
        <v>21</v>
      </c>
      <c r="O147" s="3" t="s">
        <v>63</v>
      </c>
    </row>
    <row r="148" spans="1:15" x14ac:dyDescent="0.35">
      <c r="A148" s="4">
        <v>45411</v>
      </c>
      <c r="B148" s="2" t="s">
        <v>1465</v>
      </c>
      <c r="D148" s="2" t="s">
        <v>175</v>
      </c>
      <c r="E148" s="2" t="s">
        <v>1466</v>
      </c>
      <c r="F148" s="5" t="str">
        <f t="shared" si="5"/>
        <v>179139 HIPER CASA</v>
      </c>
      <c r="G148" s="12">
        <f t="shared" si="13"/>
        <v>8.1570247933884286</v>
      </c>
      <c r="H148">
        <v>21</v>
      </c>
      <c r="I148" s="5">
        <f t="shared" si="10"/>
        <v>1.71297520661157</v>
      </c>
      <c r="J148" s="5">
        <f t="shared" si="11"/>
        <v>8.1570247933884286</v>
      </c>
      <c r="L148" s="5">
        <f t="shared" si="12"/>
        <v>0</v>
      </c>
      <c r="M148" s="8">
        <v>9.8699999999999992</v>
      </c>
      <c r="N148" s="2" t="s">
        <v>21</v>
      </c>
      <c r="O148" s="3" t="s">
        <v>64</v>
      </c>
    </row>
    <row r="149" spans="1:15" x14ac:dyDescent="0.35">
      <c r="A149" s="4">
        <v>45396</v>
      </c>
      <c r="B149" s="2" t="s">
        <v>1467</v>
      </c>
      <c r="D149" s="2" t="s">
        <v>1468</v>
      </c>
      <c r="E149" s="2" t="s">
        <v>1469</v>
      </c>
      <c r="F149" s="5" t="str">
        <f t="shared" si="5"/>
        <v>242001200 E.S. NAZAR DESPEÑAPEROS</v>
      </c>
      <c r="G149" s="12">
        <f t="shared" si="13"/>
        <v>33.057851239669425</v>
      </c>
      <c r="H149">
        <v>21</v>
      </c>
      <c r="I149" s="5">
        <f t="shared" si="10"/>
        <v>6.9421487603305794</v>
      </c>
      <c r="J149" s="5">
        <f t="shared" si="11"/>
        <v>33.057851239669425</v>
      </c>
      <c r="L149" s="5">
        <f t="shared" si="12"/>
        <v>0</v>
      </c>
      <c r="M149" s="8">
        <v>40</v>
      </c>
      <c r="N149" s="2" t="s">
        <v>22</v>
      </c>
      <c r="O149" s="3" t="s">
        <v>63</v>
      </c>
    </row>
    <row r="150" spans="1:15" x14ac:dyDescent="0.35">
      <c r="A150" s="4">
        <v>45401</v>
      </c>
      <c r="B150" s="2" t="s">
        <v>1470</v>
      </c>
      <c r="D150" s="2" t="s">
        <v>35</v>
      </c>
      <c r="E150" s="2" t="s">
        <v>167</v>
      </c>
      <c r="F150" s="5" t="str">
        <f t="shared" si="5"/>
        <v>0240005928 PINTODIS SL</v>
      </c>
      <c r="G150" s="12">
        <f t="shared" si="13"/>
        <v>41.63636363636364</v>
      </c>
      <c r="H150">
        <v>21</v>
      </c>
      <c r="I150" s="5">
        <f t="shared" si="10"/>
        <v>8.7436363636363641</v>
      </c>
      <c r="J150" s="5">
        <f t="shared" si="11"/>
        <v>41.63636363636364</v>
      </c>
      <c r="L150" s="5">
        <f t="shared" si="12"/>
        <v>0</v>
      </c>
      <c r="M150" s="8">
        <v>50.38</v>
      </c>
      <c r="N150" s="2" t="s">
        <v>22</v>
      </c>
      <c r="O150" s="3" t="s">
        <v>63</v>
      </c>
    </row>
    <row r="151" spans="1:15" x14ac:dyDescent="0.35">
      <c r="A151" s="4">
        <v>45401</v>
      </c>
      <c r="B151" s="2" t="s">
        <v>1471</v>
      </c>
      <c r="D151" s="2" t="s">
        <v>57</v>
      </c>
      <c r="E151" s="2" t="s">
        <v>44</v>
      </c>
      <c r="F151" s="5" t="str">
        <f t="shared" si="5"/>
        <v>045-0004-380289 LEROY MERLIN</v>
      </c>
      <c r="G151" s="12">
        <f t="shared" si="13"/>
        <v>23.719008264462811</v>
      </c>
      <c r="H151">
        <v>21</v>
      </c>
      <c r="I151" s="5">
        <f t="shared" si="10"/>
        <v>4.9809917355371907</v>
      </c>
      <c r="J151" s="5">
        <f t="shared" si="11"/>
        <v>23.719008264462811</v>
      </c>
      <c r="L151" s="5">
        <f t="shared" si="12"/>
        <v>0</v>
      </c>
      <c r="M151" s="8">
        <v>28.7</v>
      </c>
      <c r="N151" s="2" t="s">
        <v>21</v>
      </c>
      <c r="O151" s="3" t="s">
        <v>63</v>
      </c>
    </row>
    <row r="152" spans="1:15" x14ac:dyDescent="0.35">
      <c r="A152" s="4">
        <v>45388</v>
      </c>
      <c r="B152" s="2" t="s">
        <v>1472</v>
      </c>
      <c r="D152" s="2" t="s">
        <v>1473</v>
      </c>
      <c r="E152" s="2" t="s">
        <v>1474</v>
      </c>
      <c r="F152" s="5" t="str">
        <f t="shared" si="5"/>
        <v>002422 GARDEN RIVAS</v>
      </c>
      <c r="G152" s="12">
        <v>89.95</v>
      </c>
      <c r="H152">
        <v>10</v>
      </c>
      <c r="I152" s="5">
        <f t="shared" si="10"/>
        <v>8.9949999999999992</v>
      </c>
      <c r="J152" s="5">
        <v>8.36</v>
      </c>
      <c r="K152" s="5">
        <v>21</v>
      </c>
      <c r="L152" s="5">
        <f t="shared" si="12"/>
        <v>1.7556</v>
      </c>
      <c r="M152" s="8">
        <v>109.06</v>
      </c>
      <c r="N152" s="2" t="s">
        <v>21</v>
      </c>
      <c r="O152" s="3" t="s">
        <v>63</v>
      </c>
    </row>
    <row r="153" spans="1:15" x14ac:dyDescent="0.35">
      <c r="A153" s="4">
        <v>45374</v>
      </c>
      <c r="B153" s="2" t="s">
        <v>1475</v>
      </c>
      <c r="D153" s="2" t="s">
        <v>199</v>
      </c>
      <c r="E153" s="2" t="s">
        <v>1476</v>
      </c>
      <c r="F153" s="5" t="str">
        <f t="shared" si="5"/>
        <v>245003217 CEMEVISA</v>
      </c>
      <c r="G153" s="12">
        <f>M153/(1-K153/100+H153/100)</f>
        <v>164.52892561983472</v>
      </c>
      <c r="H153">
        <v>21</v>
      </c>
      <c r="I153" s="5">
        <f>G153*H153/100</f>
        <v>34.551074380165289</v>
      </c>
      <c r="J153" s="5">
        <f>G153</f>
        <v>164.52892561983472</v>
      </c>
      <c r="L153" s="5">
        <f>J153*K153/100</f>
        <v>0</v>
      </c>
      <c r="M153" s="8">
        <v>199.08</v>
      </c>
      <c r="N153" s="2" t="s">
        <v>21</v>
      </c>
      <c r="O153" s="3" t="s">
        <v>67</v>
      </c>
    </row>
    <row r="154" spans="1:15" x14ac:dyDescent="0.35">
      <c r="A154" s="4">
        <v>45399</v>
      </c>
      <c r="B154" s="2" t="s">
        <v>1477</v>
      </c>
      <c r="D154" s="2" t="s">
        <v>1478</v>
      </c>
      <c r="E154" s="2" t="s">
        <v>1479</v>
      </c>
      <c r="F154" s="5" t="str">
        <f t="shared" si="5"/>
        <v>20240060 ELENA LAMBOVA DIMITROVA</v>
      </c>
      <c r="G154" s="12">
        <f>M154/(1-K154/100+H154/100)</f>
        <v>1402.4793388429753</v>
      </c>
      <c r="H154">
        <v>21</v>
      </c>
      <c r="I154" s="5">
        <f t="shared" ref="I154:I211" si="14">G154*H154/100</f>
        <v>294.52066115702479</v>
      </c>
      <c r="J154" s="5">
        <f t="shared" ref="J154:J210" si="15">G154</f>
        <v>1402.4793388429753</v>
      </c>
      <c r="L154" s="5">
        <f t="shared" ref="L154:L210" si="16">J154*K154/100</f>
        <v>0</v>
      </c>
      <c r="M154" s="8">
        <v>1697</v>
      </c>
      <c r="N154" s="2" t="s">
        <v>53</v>
      </c>
      <c r="O154" s="3" t="s">
        <v>68</v>
      </c>
    </row>
    <row r="155" spans="1:15" x14ac:dyDescent="0.35">
      <c r="A155" s="4">
        <v>45399</v>
      </c>
      <c r="B155" s="2" t="s">
        <v>1480</v>
      </c>
      <c r="D155" s="2" t="s">
        <v>1478</v>
      </c>
      <c r="E155" s="2" t="s">
        <v>1479</v>
      </c>
      <c r="F155" s="5" t="str">
        <f t="shared" si="5"/>
        <v>20240061 ELENA LAMBOVA DIMITROVA</v>
      </c>
      <c r="G155" s="12">
        <f t="shared" ref="G155:G210" si="17">M155/(1-K155/100+H155/100)</f>
        <v>1652.8925619834711</v>
      </c>
      <c r="H155">
        <v>21</v>
      </c>
      <c r="I155" s="5">
        <f t="shared" si="14"/>
        <v>347.10743801652893</v>
      </c>
      <c r="J155" s="5">
        <f t="shared" si="15"/>
        <v>1652.8925619834711</v>
      </c>
      <c r="L155" s="5">
        <f t="shared" si="16"/>
        <v>0</v>
      </c>
      <c r="M155" s="8">
        <v>2000</v>
      </c>
      <c r="N155" s="2" t="s">
        <v>53</v>
      </c>
      <c r="O155" s="3" t="s">
        <v>68</v>
      </c>
    </row>
    <row r="156" spans="1:15" x14ac:dyDescent="0.35">
      <c r="A156" s="4">
        <v>45388</v>
      </c>
      <c r="B156" s="2" t="s">
        <v>1481</v>
      </c>
      <c r="D156" s="2" t="s">
        <v>35</v>
      </c>
      <c r="E156" s="2" t="s">
        <v>167</v>
      </c>
      <c r="F156" s="5" t="str">
        <f t="shared" si="5"/>
        <v>0240005212 PINTODIS SL</v>
      </c>
      <c r="G156" s="12">
        <f t="shared" si="17"/>
        <v>41.32231404958678</v>
      </c>
      <c r="H156">
        <v>21</v>
      </c>
      <c r="I156" s="5">
        <f t="shared" si="14"/>
        <v>8.677685950413224</v>
      </c>
      <c r="J156" s="5">
        <f t="shared" si="15"/>
        <v>41.32231404958678</v>
      </c>
      <c r="L156" s="5">
        <f t="shared" si="16"/>
        <v>0</v>
      </c>
      <c r="M156" s="8">
        <v>50</v>
      </c>
      <c r="N156" s="2" t="s">
        <v>22</v>
      </c>
      <c r="O156" s="3" t="s">
        <v>64</v>
      </c>
    </row>
    <row r="157" spans="1:15" x14ac:dyDescent="0.35">
      <c r="A157" s="4">
        <v>45386</v>
      </c>
      <c r="B157" s="2" t="s">
        <v>1482</v>
      </c>
      <c r="D157" s="2" t="s">
        <v>35</v>
      </c>
      <c r="E157" s="2" t="s">
        <v>167</v>
      </c>
      <c r="F157" s="5" t="str">
        <f t="shared" si="5"/>
        <v>0240005106 PINTODIS SL</v>
      </c>
      <c r="G157" s="12">
        <f t="shared" si="17"/>
        <v>41.32231404958678</v>
      </c>
      <c r="H157">
        <v>21</v>
      </c>
      <c r="I157" s="5">
        <f t="shared" si="14"/>
        <v>8.677685950413224</v>
      </c>
      <c r="J157" s="5">
        <f t="shared" si="15"/>
        <v>41.32231404958678</v>
      </c>
      <c r="L157" s="5">
        <f t="shared" si="16"/>
        <v>0</v>
      </c>
      <c r="M157" s="8">
        <v>50</v>
      </c>
      <c r="N157" s="2" t="s">
        <v>22</v>
      </c>
      <c r="O157" s="3" t="s">
        <v>64</v>
      </c>
    </row>
    <row r="158" spans="1:15" x14ac:dyDescent="0.35">
      <c r="A158" s="4">
        <v>45373</v>
      </c>
      <c r="B158" s="2" t="s">
        <v>1483</v>
      </c>
      <c r="D158" s="2" t="s">
        <v>35</v>
      </c>
      <c r="E158" s="2" t="s">
        <v>167</v>
      </c>
      <c r="F158" s="5" t="str">
        <f t="shared" si="5"/>
        <v>0240004466 PINTODIS SL</v>
      </c>
      <c r="G158" s="12">
        <f t="shared" si="17"/>
        <v>41.32231404958678</v>
      </c>
      <c r="H158">
        <v>21</v>
      </c>
      <c r="I158" s="5">
        <f t="shared" si="14"/>
        <v>8.677685950413224</v>
      </c>
      <c r="J158" s="5">
        <f t="shared" si="15"/>
        <v>41.32231404958678</v>
      </c>
      <c r="L158" s="5">
        <f t="shared" si="16"/>
        <v>0</v>
      </c>
      <c r="M158" s="8">
        <v>50</v>
      </c>
      <c r="N158" s="2" t="s">
        <v>22</v>
      </c>
      <c r="O158" s="3" t="s">
        <v>64</v>
      </c>
    </row>
    <row r="159" spans="1:15" x14ac:dyDescent="0.35">
      <c r="A159" s="4">
        <v>45382</v>
      </c>
      <c r="B159" s="2" t="s">
        <v>1484</v>
      </c>
      <c r="D159" s="2" t="s">
        <v>35</v>
      </c>
      <c r="E159" s="2" t="s">
        <v>167</v>
      </c>
      <c r="F159" s="5" t="str">
        <f t="shared" si="5"/>
        <v>0240004866 PINTODIS SL</v>
      </c>
      <c r="G159" s="12">
        <f t="shared" si="17"/>
        <v>41.32231404958678</v>
      </c>
      <c r="H159">
        <v>21</v>
      </c>
      <c r="I159" s="5">
        <f t="shared" si="14"/>
        <v>8.677685950413224</v>
      </c>
      <c r="J159" s="5">
        <f t="shared" si="15"/>
        <v>41.32231404958678</v>
      </c>
      <c r="L159" s="5">
        <f t="shared" si="16"/>
        <v>0</v>
      </c>
      <c r="M159" s="8">
        <v>50</v>
      </c>
      <c r="N159" s="2" t="s">
        <v>22</v>
      </c>
      <c r="O159" s="3" t="s">
        <v>64</v>
      </c>
    </row>
    <row r="160" spans="1:15" x14ac:dyDescent="0.35">
      <c r="A160" s="4">
        <v>45392</v>
      </c>
      <c r="B160" s="2" t="s">
        <v>1485</v>
      </c>
      <c r="D160" s="2" t="s">
        <v>35</v>
      </c>
      <c r="E160" s="2" t="s">
        <v>167</v>
      </c>
      <c r="F160" s="5" t="str">
        <f t="shared" si="5"/>
        <v>0240005415 PINTODIS SL</v>
      </c>
      <c r="G160" s="12">
        <f t="shared" si="17"/>
        <v>41.32231404958678</v>
      </c>
      <c r="H160">
        <v>21</v>
      </c>
      <c r="I160" s="5">
        <f t="shared" si="14"/>
        <v>8.677685950413224</v>
      </c>
      <c r="J160" s="5">
        <f t="shared" si="15"/>
        <v>41.32231404958678</v>
      </c>
      <c r="L160" s="5">
        <f t="shared" si="16"/>
        <v>0</v>
      </c>
      <c r="M160" s="8">
        <v>50</v>
      </c>
      <c r="N160" s="2" t="s">
        <v>22</v>
      </c>
      <c r="O160" s="3" t="s">
        <v>64</v>
      </c>
    </row>
    <row r="161" spans="1:15" x14ac:dyDescent="0.35">
      <c r="A161" s="4">
        <v>45397</v>
      </c>
      <c r="B161" s="2" t="s">
        <v>1486</v>
      </c>
      <c r="D161" s="2" t="s">
        <v>35</v>
      </c>
      <c r="E161" s="2" t="s">
        <v>167</v>
      </c>
      <c r="F161" s="5" t="str">
        <f t="shared" si="5"/>
        <v>0240005660 PINTODIS SL</v>
      </c>
      <c r="G161" s="12">
        <f t="shared" si="17"/>
        <v>41.32231404958678</v>
      </c>
      <c r="H161">
        <v>21</v>
      </c>
      <c r="I161" s="5">
        <f t="shared" si="14"/>
        <v>8.677685950413224</v>
      </c>
      <c r="J161" s="5">
        <f t="shared" si="15"/>
        <v>41.32231404958678</v>
      </c>
      <c r="L161" s="5">
        <f t="shared" si="16"/>
        <v>0</v>
      </c>
      <c r="M161" s="8">
        <v>50</v>
      </c>
      <c r="N161" s="2" t="s">
        <v>22</v>
      </c>
      <c r="O161" s="3" t="s">
        <v>64</v>
      </c>
    </row>
    <row r="162" spans="1:15" x14ac:dyDescent="0.35">
      <c r="A162" s="4">
        <v>45390</v>
      </c>
      <c r="B162" s="2" t="s">
        <v>1487</v>
      </c>
      <c r="D162" s="2" t="s">
        <v>1436</v>
      </c>
      <c r="E162" s="2" t="s">
        <v>119</v>
      </c>
      <c r="F162" s="5" t="str">
        <f t="shared" si="5"/>
        <v>E255-60808132 MEDIA MARKT</v>
      </c>
      <c r="G162" s="12">
        <f t="shared" si="17"/>
        <v>35.52066115702479</v>
      </c>
      <c r="H162">
        <v>21</v>
      </c>
      <c r="I162" s="5">
        <f t="shared" si="14"/>
        <v>7.459338842975205</v>
      </c>
      <c r="J162" s="5">
        <f t="shared" si="15"/>
        <v>35.52066115702479</v>
      </c>
      <c r="L162" s="5">
        <f t="shared" si="16"/>
        <v>0</v>
      </c>
      <c r="M162" s="8">
        <v>42.98</v>
      </c>
      <c r="N162" s="2" t="s">
        <v>21</v>
      </c>
      <c r="O162" s="3" t="s">
        <v>63</v>
      </c>
    </row>
    <row r="163" spans="1:15" x14ac:dyDescent="0.35">
      <c r="A163" s="4">
        <v>45402</v>
      </c>
      <c r="B163" s="2" t="s">
        <v>1488</v>
      </c>
      <c r="D163" s="2" t="s">
        <v>1489</v>
      </c>
      <c r="E163" s="2" t="s">
        <v>1490</v>
      </c>
      <c r="F163" s="5" t="str">
        <f t="shared" si="5"/>
        <v>176359 SERVICIOS DIEZ SL</v>
      </c>
      <c r="G163" s="12">
        <f t="shared" si="17"/>
        <v>41.809917355371908</v>
      </c>
      <c r="H163">
        <v>21</v>
      </c>
      <c r="I163" s="5">
        <f t="shared" si="14"/>
        <v>8.7800826446281004</v>
      </c>
      <c r="J163" s="5">
        <f t="shared" si="15"/>
        <v>41.809917355371908</v>
      </c>
      <c r="L163" s="5">
        <f t="shared" si="16"/>
        <v>0</v>
      </c>
      <c r="M163" s="8">
        <v>50.59</v>
      </c>
      <c r="N163" s="2" t="s">
        <v>22</v>
      </c>
      <c r="O163" s="3" t="s">
        <v>64</v>
      </c>
    </row>
    <row r="164" spans="1:15" x14ac:dyDescent="0.35">
      <c r="A164" s="4">
        <v>45402</v>
      </c>
      <c r="B164" s="2" t="s">
        <v>1491</v>
      </c>
      <c r="D164" s="2" t="s">
        <v>58</v>
      </c>
      <c r="E164" s="2" t="s">
        <v>1172</v>
      </c>
      <c r="F164" s="5" t="str">
        <f t="shared" si="5"/>
        <v>018-0004-329193 BRICOLAJE BRICOMAN SLU</v>
      </c>
      <c r="G164" s="12">
        <f t="shared" si="17"/>
        <v>33.396694214876028</v>
      </c>
      <c r="H164">
        <v>21</v>
      </c>
      <c r="I164" s="5">
        <f t="shared" si="14"/>
        <v>7.0133057851239666</v>
      </c>
      <c r="J164" s="5">
        <f t="shared" si="15"/>
        <v>33.396694214876028</v>
      </c>
      <c r="L164" s="5">
        <f t="shared" si="16"/>
        <v>0</v>
      </c>
      <c r="M164" s="8">
        <v>40.409999999999997</v>
      </c>
      <c r="N164" s="2" t="s">
        <v>21</v>
      </c>
      <c r="O164" s="3" t="s">
        <v>64</v>
      </c>
    </row>
    <row r="165" spans="1:15" x14ac:dyDescent="0.35">
      <c r="A165" s="4">
        <v>45409</v>
      </c>
      <c r="B165" s="2" t="s">
        <v>1492</v>
      </c>
      <c r="D165" s="2" t="s">
        <v>57</v>
      </c>
      <c r="E165" s="2" t="s">
        <v>44</v>
      </c>
      <c r="F165" s="5" t="str">
        <f t="shared" si="5"/>
        <v>097-0003-129338 LEROY MERLIN</v>
      </c>
      <c r="G165" s="12">
        <f t="shared" si="17"/>
        <v>48.84297520661157</v>
      </c>
      <c r="H165">
        <v>21</v>
      </c>
      <c r="I165" s="5">
        <f t="shared" si="14"/>
        <v>10.25702479338843</v>
      </c>
      <c r="J165" s="5">
        <f t="shared" si="15"/>
        <v>48.84297520661157</v>
      </c>
      <c r="L165" s="5">
        <f t="shared" si="16"/>
        <v>0</v>
      </c>
      <c r="M165" s="8">
        <v>59.1</v>
      </c>
      <c r="N165" s="2" t="s">
        <v>21</v>
      </c>
      <c r="O165" s="3" t="s">
        <v>64</v>
      </c>
    </row>
    <row r="166" spans="1:15" x14ac:dyDescent="0.35">
      <c r="A166" s="4">
        <v>45396</v>
      </c>
      <c r="B166" s="2" t="s">
        <v>1493</v>
      </c>
      <c r="D166" s="2" t="s">
        <v>1496</v>
      </c>
      <c r="E166" s="2" t="s">
        <v>1494</v>
      </c>
      <c r="F166" s="5" t="str">
        <f t="shared" si="5"/>
        <v xml:space="preserve">GRX04 12406977 HOTEL SANTOS SARAY </v>
      </c>
      <c r="G166" s="12">
        <f t="shared" si="17"/>
        <v>983.19999999999993</v>
      </c>
      <c r="H166">
        <v>10</v>
      </c>
      <c r="I166" s="5">
        <f t="shared" si="14"/>
        <v>98.32</v>
      </c>
      <c r="J166" s="5">
        <f t="shared" si="15"/>
        <v>983.19999999999993</v>
      </c>
      <c r="L166" s="5">
        <f t="shared" si="16"/>
        <v>0</v>
      </c>
      <c r="M166" s="8">
        <v>1081.52</v>
      </c>
      <c r="N166" s="2" t="s">
        <v>108</v>
      </c>
      <c r="O166" s="3" t="s">
        <v>63</v>
      </c>
    </row>
    <row r="167" spans="1:15" x14ac:dyDescent="0.35">
      <c r="A167" s="4">
        <v>45402</v>
      </c>
      <c r="B167" s="2" t="s">
        <v>1495</v>
      </c>
      <c r="D167" s="2" t="s">
        <v>1497</v>
      </c>
      <c r="E167" s="2" t="s">
        <v>1498</v>
      </c>
      <c r="F167" s="5" t="str">
        <f t="shared" si="5"/>
        <v>12477 ITV SESEÑA SA</v>
      </c>
      <c r="G167" s="12">
        <v>96.07</v>
      </c>
      <c r="H167">
        <v>21</v>
      </c>
      <c r="I167" s="5">
        <f t="shared" si="14"/>
        <v>20.174699999999998</v>
      </c>
      <c r="J167" s="5">
        <f t="shared" si="15"/>
        <v>96.07</v>
      </c>
      <c r="L167" s="5">
        <f t="shared" si="16"/>
        <v>0</v>
      </c>
      <c r="M167" s="8">
        <v>117.28</v>
      </c>
      <c r="N167" s="2" t="s">
        <v>52</v>
      </c>
      <c r="O167" s="3" t="s">
        <v>64</v>
      </c>
    </row>
    <row r="168" spans="1:15" x14ac:dyDescent="0.35">
      <c r="A168" s="4">
        <v>45399</v>
      </c>
      <c r="B168" s="2" t="s">
        <v>1499</v>
      </c>
      <c r="D168" s="2" t="s">
        <v>1500</v>
      </c>
      <c r="E168" s="2" t="s">
        <v>1501</v>
      </c>
      <c r="F168" s="5" t="str">
        <f t="shared" si="5"/>
        <v>240202 AUDAX STONE MADEMOL</v>
      </c>
      <c r="G168" s="12">
        <f t="shared" si="17"/>
        <v>240</v>
      </c>
      <c r="H168">
        <v>21</v>
      </c>
      <c r="I168" s="5">
        <f t="shared" si="14"/>
        <v>50.4</v>
      </c>
      <c r="J168" s="5">
        <f t="shared" si="15"/>
        <v>240</v>
      </c>
      <c r="L168" s="5">
        <f t="shared" si="16"/>
        <v>0</v>
      </c>
      <c r="M168" s="8">
        <v>290.39999999999998</v>
      </c>
      <c r="N168" s="2" t="s">
        <v>21</v>
      </c>
      <c r="O168" s="3" t="s">
        <v>64</v>
      </c>
    </row>
    <row r="169" spans="1:15" x14ac:dyDescent="0.35">
      <c r="A169" s="4">
        <v>45408</v>
      </c>
      <c r="B169" s="2" t="s">
        <v>1502</v>
      </c>
      <c r="D169" s="2" t="s">
        <v>58</v>
      </c>
      <c r="E169" s="2" t="s">
        <v>1172</v>
      </c>
      <c r="F169" s="5" t="str">
        <f t="shared" si="5"/>
        <v>018-0004-342224 BRICOLAJE BRICOMAN SLU</v>
      </c>
      <c r="G169" s="12">
        <f t="shared" si="17"/>
        <v>75.165289256198349</v>
      </c>
      <c r="H169">
        <v>21</v>
      </c>
      <c r="I169" s="5">
        <f t="shared" si="14"/>
        <v>15.784710743801654</v>
      </c>
      <c r="J169" s="5">
        <v>0.95</v>
      </c>
      <c r="K169" s="5"/>
      <c r="L169" s="5">
        <f t="shared" si="16"/>
        <v>0</v>
      </c>
      <c r="M169" s="8">
        <v>90.95</v>
      </c>
      <c r="N169" s="2" t="s">
        <v>21</v>
      </c>
      <c r="O169" s="3" t="s">
        <v>64</v>
      </c>
    </row>
    <row r="170" spans="1:15" x14ac:dyDescent="0.35">
      <c r="A170" s="4">
        <v>45405</v>
      </c>
      <c r="B170" s="2" t="s">
        <v>1503</v>
      </c>
      <c r="D170" s="2" t="s">
        <v>57</v>
      </c>
      <c r="E170" s="2" t="s">
        <v>44</v>
      </c>
      <c r="F170" s="5" t="str">
        <f t="shared" si="5"/>
        <v>272-0004-146216 LEROY MERLIN</v>
      </c>
      <c r="G170" s="12">
        <f t="shared" si="17"/>
        <v>276.71074380165288</v>
      </c>
      <c r="H170">
        <v>21</v>
      </c>
      <c r="I170" s="5">
        <f t="shared" si="14"/>
        <v>58.109256198347104</v>
      </c>
      <c r="J170" s="5">
        <f t="shared" si="15"/>
        <v>276.71074380165288</v>
      </c>
      <c r="L170" s="5">
        <f t="shared" si="16"/>
        <v>0</v>
      </c>
      <c r="M170" s="8">
        <v>334.82</v>
      </c>
      <c r="N170" s="2" t="s">
        <v>21</v>
      </c>
      <c r="O170" s="3" t="s">
        <v>64</v>
      </c>
    </row>
    <row r="171" spans="1:15" x14ac:dyDescent="0.35">
      <c r="A171" s="4">
        <v>45405</v>
      </c>
      <c r="B171" s="2" t="s">
        <v>1504</v>
      </c>
      <c r="D171" s="2" t="s">
        <v>57</v>
      </c>
      <c r="E171" s="2" t="s">
        <v>44</v>
      </c>
      <c r="F171" s="5" t="str">
        <f t="shared" si="5"/>
        <v>272-0004-146202 LEROY MERLIN</v>
      </c>
      <c r="G171" s="12">
        <f t="shared" si="17"/>
        <v>171</v>
      </c>
      <c r="H171">
        <v>21</v>
      </c>
      <c r="I171" s="5">
        <f t="shared" si="14"/>
        <v>35.909999999999997</v>
      </c>
      <c r="J171" s="5">
        <f t="shared" si="15"/>
        <v>171</v>
      </c>
      <c r="L171" s="5">
        <f t="shared" si="16"/>
        <v>0</v>
      </c>
      <c r="M171" s="8">
        <v>206.91</v>
      </c>
      <c r="N171" s="2" t="s">
        <v>21</v>
      </c>
      <c r="O171" s="3" t="s">
        <v>63</v>
      </c>
    </row>
    <row r="172" spans="1:15" x14ac:dyDescent="0.35">
      <c r="A172" s="4">
        <v>45405</v>
      </c>
      <c r="B172" s="2" t="s">
        <v>1505</v>
      </c>
      <c r="D172" s="2" t="s">
        <v>1119</v>
      </c>
      <c r="E172" s="2" t="s">
        <v>1506</v>
      </c>
      <c r="F172" s="5" t="str">
        <f t="shared" si="5"/>
        <v>452702010 GUARCONSA ALCOBENDAS</v>
      </c>
      <c r="G172" s="12">
        <f t="shared" si="17"/>
        <v>115.79338842975208</v>
      </c>
      <c r="H172">
        <v>21</v>
      </c>
      <c r="I172" s="5">
        <f t="shared" si="14"/>
        <v>24.316611570247936</v>
      </c>
      <c r="J172" s="5">
        <f t="shared" si="15"/>
        <v>115.79338842975208</v>
      </c>
      <c r="L172" s="5">
        <f t="shared" si="16"/>
        <v>0</v>
      </c>
      <c r="M172" s="8">
        <v>140.11000000000001</v>
      </c>
      <c r="N172" s="2" t="s">
        <v>21</v>
      </c>
      <c r="O172" s="3" t="s">
        <v>63</v>
      </c>
    </row>
    <row r="173" spans="1:15" x14ac:dyDescent="0.35">
      <c r="A173" s="4">
        <v>45405</v>
      </c>
      <c r="B173" s="2" t="s">
        <v>1507</v>
      </c>
      <c r="D173" s="2" t="s">
        <v>57</v>
      </c>
      <c r="E173" s="2" t="s">
        <v>44</v>
      </c>
      <c r="F173" s="5" t="str">
        <f t="shared" ref="F173:F251" si="18">CONCATENATE(S173,B173," ",E173)</f>
        <v>272-0004-146206 LEROY MERLIN</v>
      </c>
      <c r="G173" s="12">
        <f t="shared" si="17"/>
        <v>199.06611570247935</v>
      </c>
      <c r="H173">
        <v>21</v>
      </c>
      <c r="I173" s="5">
        <f t="shared" si="14"/>
        <v>41.803884297520661</v>
      </c>
      <c r="J173" s="5">
        <f t="shared" si="15"/>
        <v>199.06611570247935</v>
      </c>
      <c r="L173" s="5">
        <f t="shared" si="16"/>
        <v>0</v>
      </c>
      <c r="M173" s="8">
        <v>240.87</v>
      </c>
      <c r="N173" s="2" t="s">
        <v>21</v>
      </c>
      <c r="O173" s="3" t="s">
        <v>63</v>
      </c>
    </row>
    <row r="174" spans="1:15" x14ac:dyDescent="0.35">
      <c r="A174" s="4">
        <v>45408</v>
      </c>
      <c r="B174" s="2" t="s">
        <v>1508</v>
      </c>
      <c r="D174" s="2" t="s">
        <v>58</v>
      </c>
      <c r="E174" s="2" t="s">
        <v>1172</v>
      </c>
      <c r="F174" s="5" t="str">
        <f t="shared" si="18"/>
        <v>018-0004-341002 BRICOLAJE BRICOMAN SLU</v>
      </c>
      <c r="G174" s="12">
        <f t="shared" si="17"/>
        <v>45.206611570247937</v>
      </c>
      <c r="H174">
        <v>21</v>
      </c>
      <c r="I174" s="5">
        <f t="shared" si="14"/>
        <v>9.4933884297520663</v>
      </c>
      <c r="J174" s="5">
        <f t="shared" si="15"/>
        <v>45.206611570247937</v>
      </c>
      <c r="L174" s="5">
        <f t="shared" si="16"/>
        <v>0</v>
      </c>
      <c r="M174" s="8">
        <v>54.7</v>
      </c>
      <c r="N174" s="2" t="s">
        <v>21</v>
      </c>
      <c r="O174" s="3" t="s">
        <v>64</v>
      </c>
    </row>
    <row r="175" spans="1:15" x14ac:dyDescent="0.35">
      <c r="A175" s="4">
        <v>45407</v>
      </c>
      <c r="B175" s="2" t="s">
        <v>1509</v>
      </c>
      <c r="D175" s="2" t="s">
        <v>1510</v>
      </c>
      <c r="E175" s="2" t="s">
        <v>1511</v>
      </c>
      <c r="F175" s="5" t="str">
        <f t="shared" si="18"/>
        <v>18-24-000831 TOOLQUICK ALQUILER SL</v>
      </c>
      <c r="G175" s="12">
        <f t="shared" si="17"/>
        <v>50.63636363636364</v>
      </c>
      <c r="H175">
        <v>21</v>
      </c>
      <c r="I175" s="5">
        <f t="shared" si="14"/>
        <v>10.633636363636365</v>
      </c>
      <c r="J175" s="5">
        <f t="shared" si="15"/>
        <v>50.63636363636364</v>
      </c>
      <c r="L175" s="5">
        <f t="shared" si="16"/>
        <v>0</v>
      </c>
      <c r="M175" s="8">
        <v>61.27</v>
      </c>
      <c r="N175" s="2" t="s">
        <v>118</v>
      </c>
      <c r="O175" s="3" t="s">
        <v>63</v>
      </c>
    </row>
    <row r="176" spans="1:15" x14ac:dyDescent="0.35">
      <c r="A176" s="4">
        <v>45406</v>
      </c>
      <c r="B176" s="2" t="s">
        <v>1512</v>
      </c>
      <c r="D176" s="2" t="s">
        <v>1119</v>
      </c>
      <c r="E176" s="2" t="s">
        <v>1506</v>
      </c>
      <c r="F176" s="5" t="str">
        <f t="shared" si="18"/>
        <v>452702052 GUARCONSA ALCOBENDAS</v>
      </c>
      <c r="G176" s="12">
        <f t="shared" si="17"/>
        <v>35.396694214876035</v>
      </c>
      <c r="H176">
        <v>21</v>
      </c>
      <c r="I176" s="5">
        <f t="shared" si="14"/>
        <v>7.4333057851239674</v>
      </c>
      <c r="J176" s="5">
        <f t="shared" si="15"/>
        <v>35.396694214876035</v>
      </c>
      <c r="L176" s="5">
        <f t="shared" si="16"/>
        <v>0</v>
      </c>
      <c r="M176" s="8">
        <v>42.83</v>
      </c>
      <c r="N176" s="2" t="s">
        <v>21</v>
      </c>
      <c r="O176" s="3" t="s">
        <v>63</v>
      </c>
    </row>
    <row r="177" spans="1:15" x14ac:dyDescent="0.35">
      <c r="A177" s="4">
        <v>45406</v>
      </c>
      <c r="B177" s="2" t="s">
        <v>1513</v>
      </c>
      <c r="D177" s="2" t="s">
        <v>1119</v>
      </c>
      <c r="E177" s="2" t="s">
        <v>1506</v>
      </c>
      <c r="F177" s="5" t="str">
        <f t="shared" si="18"/>
        <v>452702024 GUARCONSA ALCOBENDAS</v>
      </c>
      <c r="G177" s="12">
        <f t="shared" si="17"/>
        <v>9.7933884297520652</v>
      </c>
      <c r="H177">
        <v>21</v>
      </c>
      <c r="I177" s="5">
        <f t="shared" si="14"/>
        <v>2.0566115702479335</v>
      </c>
      <c r="J177" s="5">
        <f t="shared" si="15"/>
        <v>9.7933884297520652</v>
      </c>
      <c r="L177" s="5">
        <f t="shared" si="16"/>
        <v>0</v>
      </c>
      <c r="M177" s="8">
        <v>11.85</v>
      </c>
      <c r="N177" s="2" t="s">
        <v>21</v>
      </c>
      <c r="O177" s="3" t="s">
        <v>63</v>
      </c>
    </row>
    <row r="178" spans="1:15" x14ac:dyDescent="0.35">
      <c r="A178" s="4">
        <v>45406</v>
      </c>
      <c r="B178" s="2" t="s">
        <v>1514</v>
      </c>
      <c r="D178" s="2" t="s">
        <v>1119</v>
      </c>
      <c r="E178" s="2" t="s">
        <v>1506</v>
      </c>
      <c r="F178" s="5" t="str">
        <f t="shared" si="18"/>
        <v>452702023 GUARCONSA ALCOBENDAS</v>
      </c>
      <c r="G178" s="12">
        <f t="shared" si="17"/>
        <v>45.173553719008261</v>
      </c>
      <c r="H178">
        <v>21</v>
      </c>
      <c r="I178" s="5">
        <f t="shared" si="14"/>
        <v>9.4864462809917356</v>
      </c>
      <c r="J178" s="5">
        <f t="shared" si="15"/>
        <v>45.173553719008261</v>
      </c>
      <c r="L178" s="5">
        <f t="shared" si="16"/>
        <v>0</v>
      </c>
      <c r="M178" s="8">
        <v>54.66</v>
      </c>
      <c r="N178" s="2" t="s">
        <v>21</v>
      </c>
      <c r="O178" s="3" t="s">
        <v>63</v>
      </c>
    </row>
    <row r="179" spans="1:15" x14ac:dyDescent="0.35">
      <c r="A179" s="4">
        <v>45401</v>
      </c>
      <c r="B179" s="2" t="s">
        <v>1515</v>
      </c>
      <c r="D179" s="2" t="s">
        <v>35</v>
      </c>
      <c r="E179" s="2" t="s">
        <v>167</v>
      </c>
      <c r="F179" s="5" t="str">
        <f t="shared" si="18"/>
        <v>0240005943 PINTODIS SL</v>
      </c>
      <c r="G179" s="12">
        <f t="shared" si="17"/>
        <v>49.586776859504134</v>
      </c>
      <c r="H179">
        <v>21</v>
      </c>
      <c r="I179" s="5">
        <f t="shared" si="14"/>
        <v>10.413223140495868</v>
      </c>
      <c r="J179" s="5">
        <f t="shared" si="15"/>
        <v>49.586776859504134</v>
      </c>
      <c r="L179" s="5">
        <f t="shared" si="16"/>
        <v>0</v>
      </c>
      <c r="M179" s="8">
        <v>60</v>
      </c>
      <c r="N179" s="2" t="s">
        <v>22</v>
      </c>
      <c r="O179" s="3" t="s">
        <v>64</v>
      </c>
    </row>
    <row r="180" spans="1:15" x14ac:dyDescent="0.35">
      <c r="A180" s="4">
        <v>45406</v>
      </c>
      <c r="B180" s="2" t="s">
        <v>1516</v>
      </c>
      <c r="D180" s="2" t="s">
        <v>35</v>
      </c>
      <c r="E180" s="2" t="s">
        <v>167</v>
      </c>
      <c r="F180" s="5" t="str">
        <f t="shared" si="18"/>
        <v>0240006243 PINTODIS SL</v>
      </c>
      <c r="G180" s="12">
        <f t="shared" si="17"/>
        <v>41.32231404958678</v>
      </c>
      <c r="H180">
        <v>21</v>
      </c>
      <c r="I180" s="5">
        <f t="shared" si="14"/>
        <v>8.677685950413224</v>
      </c>
      <c r="J180" s="5">
        <f t="shared" si="15"/>
        <v>41.32231404958678</v>
      </c>
      <c r="L180" s="5">
        <f t="shared" si="16"/>
        <v>0</v>
      </c>
      <c r="M180" s="8">
        <v>50</v>
      </c>
      <c r="N180" s="2" t="s">
        <v>22</v>
      </c>
      <c r="O180" s="3" t="s">
        <v>64</v>
      </c>
    </row>
    <row r="181" spans="1:15" x14ac:dyDescent="0.35">
      <c r="A181" s="4">
        <v>45407</v>
      </c>
      <c r="B181" s="2" t="s">
        <v>1517</v>
      </c>
      <c r="D181" s="2" t="s">
        <v>59</v>
      </c>
      <c r="E181" s="2" t="s">
        <v>43</v>
      </c>
      <c r="F181" s="5" t="str">
        <f t="shared" si="18"/>
        <v>1418114533 EUGENIO PEREDA</v>
      </c>
      <c r="G181" s="12">
        <f t="shared" si="17"/>
        <v>202.12396694214877</v>
      </c>
      <c r="H181">
        <v>21</v>
      </c>
      <c r="I181" s="5">
        <f t="shared" si="14"/>
        <v>42.446033057851245</v>
      </c>
      <c r="J181" s="5">
        <f t="shared" si="15"/>
        <v>202.12396694214877</v>
      </c>
      <c r="L181" s="5">
        <f t="shared" si="16"/>
        <v>0</v>
      </c>
      <c r="M181" s="8">
        <v>244.57</v>
      </c>
      <c r="N181" s="2" t="s">
        <v>21</v>
      </c>
      <c r="O181" s="3" t="s">
        <v>64</v>
      </c>
    </row>
    <row r="182" spans="1:15" x14ac:dyDescent="0.35">
      <c r="A182" s="4">
        <v>45412</v>
      </c>
      <c r="B182" s="2" t="s">
        <v>1518</v>
      </c>
      <c r="D182" s="2" t="s">
        <v>58</v>
      </c>
      <c r="E182" s="2" t="s">
        <v>1172</v>
      </c>
      <c r="F182" s="5" t="str">
        <f t="shared" si="18"/>
        <v>011-0004-862641 BRICOLAJE BRICOMAN SLU</v>
      </c>
      <c r="G182" s="12">
        <f t="shared" si="17"/>
        <v>49.049586776859506</v>
      </c>
      <c r="H182">
        <v>21</v>
      </c>
      <c r="I182" s="5">
        <f t="shared" si="14"/>
        <v>10.300413223140497</v>
      </c>
      <c r="J182" s="5">
        <f t="shared" si="15"/>
        <v>49.049586776859506</v>
      </c>
      <c r="L182" s="5">
        <f t="shared" si="16"/>
        <v>0</v>
      </c>
      <c r="M182" s="8">
        <v>59.35</v>
      </c>
      <c r="N182" s="2" t="s">
        <v>21</v>
      </c>
      <c r="O182" s="3" t="s">
        <v>64</v>
      </c>
    </row>
    <row r="183" spans="1:15" x14ac:dyDescent="0.35">
      <c r="A183" s="4">
        <v>45411</v>
      </c>
      <c r="B183" s="2" t="s">
        <v>1519</v>
      </c>
      <c r="D183" s="2" t="s">
        <v>35</v>
      </c>
      <c r="E183" s="2" t="s">
        <v>167</v>
      </c>
      <c r="F183" s="5" t="str">
        <f t="shared" si="18"/>
        <v>0240006538 PINTODIS SL</v>
      </c>
      <c r="G183" s="12">
        <f t="shared" si="17"/>
        <v>61.752066115702483</v>
      </c>
      <c r="H183">
        <v>21</v>
      </c>
      <c r="I183" s="5">
        <f t="shared" si="14"/>
        <v>12.967933884297523</v>
      </c>
      <c r="J183" s="5">
        <f t="shared" si="15"/>
        <v>61.752066115702483</v>
      </c>
      <c r="L183" s="5">
        <f t="shared" si="16"/>
        <v>0</v>
      </c>
      <c r="M183" s="8">
        <v>74.72</v>
      </c>
      <c r="N183" s="2" t="s">
        <v>22</v>
      </c>
      <c r="O183" s="3" t="s">
        <v>64</v>
      </c>
    </row>
    <row r="184" spans="1:15" x14ac:dyDescent="0.35">
      <c r="A184" s="4">
        <v>45407</v>
      </c>
      <c r="B184" s="2" t="s">
        <v>1520</v>
      </c>
      <c r="D184" s="2" t="s">
        <v>1334</v>
      </c>
      <c r="E184" s="2" t="s">
        <v>1335</v>
      </c>
      <c r="F184" s="5" t="str">
        <f t="shared" si="18"/>
        <v>432703451 SUMINISTROS ELECTRICOS GUARDEÑO</v>
      </c>
      <c r="G184" s="12">
        <f t="shared" si="17"/>
        <v>402.44628099173553</v>
      </c>
      <c r="H184">
        <v>21</v>
      </c>
      <c r="I184" s="5">
        <f t="shared" si="14"/>
        <v>84.513719008264474</v>
      </c>
      <c r="J184" s="5">
        <f t="shared" si="15"/>
        <v>402.44628099173553</v>
      </c>
      <c r="L184" s="5">
        <f t="shared" si="16"/>
        <v>0</v>
      </c>
      <c r="M184" s="8">
        <v>486.96</v>
      </c>
      <c r="N184" s="2" t="s">
        <v>21</v>
      </c>
      <c r="O184" s="3" t="s">
        <v>64</v>
      </c>
    </row>
    <row r="185" spans="1:15" x14ac:dyDescent="0.35">
      <c r="A185" s="4">
        <v>45411</v>
      </c>
      <c r="B185" s="2" t="s">
        <v>1521</v>
      </c>
      <c r="D185" s="2" t="s">
        <v>1334</v>
      </c>
      <c r="E185" s="2" t="s">
        <v>1335</v>
      </c>
      <c r="F185" s="5" t="str">
        <f t="shared" si="18"/>
        <v>431700362 SUMINISTROS ELECTRICOS GUARDEÑO</v>
      </c>
      <c r="G185" s="12">
        <f t="shared" si="17"/>
        <v>-402.44628099173553</v>
      </c>
      <c r="H185">
        <v>21</v>
      </c>
      <c r="I185" s="5">
        <f t="shared" si="14"/>
        <v>-84.513719008264474</v>
      </c>
      <c r="J185" s="5">
        <f t="shared" si="15"/>
        <v>-402.44628099173553</v>
      </c>
      <c r="L185" s="5">
        <f t="shared" si="16"/>
        <v>0</v>
      </c>
      <c r="M185" s="8">
        <v>-486.96</v>
      </c>
      <c r="N185" s="2" t="s">
        <v>21</v>
      </c>
      <c r="O185" s="3" t="s">
        <v>64</v>
      </c>
    </row>
    <row r="186" spans="1:15" x14ac:dyDescent="0.35">
      <c r="A186" s="4">
        <v>45411</v>
      </c>
      <c r="B186" s="2" t="s">
        <v>1522</v>
      </c>
      <c r="D186" s="2" t="s">
        <v>1334</v>
      </c>
      <c r="E186" s="2" t="s">
        <v>1335</v>
      </c>
      <c r="F186" s="5" t="str">
        <f t="shared" si="18"/>
        <v>432703530 SUMINISTROS ELECTRICOS GUARDEÑO</v>
      </c>
      <c r="G186" s="12">
        <f t="shared" si="17"/>
        <v>131.6694214876033</v>
      </c>
      <c r="H186">
        <v>21</v>
      </c>
      <c r="I186" s="5">
        <f t="shared" si="14"/>
        <v>27.650578512396692</v>
      </c>
      <c r="J186" s="5">
        <f t="shared" si="15"/>
        <v>131.6694214876033</v>
      </c>
      <c r="L186" s="5">
        <f t="shared" si="16"/>
        <v>0</v>
      </c>
      <c r="M186" s="8">
        <v>159.32</v>
      </c>
      <c r="N186" s="2" t="s">
        <v>21</v>
      </c>
      <c r="O186" s="3" t="s">
        <v>64</v>
      </c>
    </row>
    <row r="187" spans="1:15" x14ac:dyDescent="0.35">
      <c r="A187" s="4">
        <v>45415</v>
      </c>
      <c r="B187" s="2" t="s">
        <v>1523</v>
      </c>
      <c r="D187" s="2" t="s">
        <v>80</v>
      </c>
      <c r="E187" s="2" t="s">
        <v>1524</v>
      </c>
      <c r="F187" s="5" t="str">
        <f t="shared" si="18"/>
        <v>BB0213447 GRUPO VERALIA</v>
      </c>
      <c r="G187" s="12">
        <f t="shared" si="17"/>
        <v>26.636363636363633</v>
      </c>
      <c r="H187">
        <v>21</v>
      </c>
      <c r="I187" s="5">
        <f t="shared" si="14"/>
        <v>5.5936363636363629</v>
      </c>
      <c r="J187" s="5">
        <f t="shared" si="15"/>
        <v>26.636363636363633</v>
      </c>
      <c r="L187" s="5">
        <f t="shared" si="16"/>
        <v>0</v>
      </c>
      <c r="M187" s="8">
        <v>32.229999999999997</v>
      </c>
      <c r="N187" s="2" t="s">
        <v>21</v>
      </c>
      <c r="O187" s="3" t="s">
        <v>64</v>
      </c>
    </row>
    <row r="188" spans="1:15" x14ac:dyDescent="0.35">
      <c r="A188" s="4">
        <v>45414</v>
      </c>
      <c r="B188" s="2" t="s">
        <v>1525</v>
      </c>
      <c r="D188" s="2" t="s">
        <v>57</v>
      </c>
      <c r="E188" s="2" t="s">
        <v>44</v>
      </c>
      <c r="F188" s="5" t="str">
        <f t="shared" si="18"/>
        <v>050-0005-893478 LEROY MERLIN</v>
      </c>
      <c r="G188" s="12">
        <f t="shared" si="17"/>
        <v>7.0247933884297522</v>
      </c>
      <c r="H188">
        <v>21</v>
      </c>
      <c r="I188" s="5">
        <f t="shared" si="14"/>
        <v>1.4752066115702478</v>
      </c>
      <c r="J188" s="5">
        <f t="shared" si="15"/>
        <v>7.0247933884297522</v>
      </c>
      <c r="L188" s="5">
        <f t="shared" si="16"/>
        <v>0</v>
      </c>
      <c r="M188" s="8">
        <v>8.5</v>
      </c>
      <c r="N188" s="2" t="s">
        <v>21</v>
      </c>
      <c r="O188" s="3" t="s">
        <v>64</v>
      </c>
    </row>
    <row r="189" spans="1:15" x14ac:dyDescent="0.35">
      <c r="A189" s="4">
        <v>45418</v>
      </c>
      <c r="B189" s="2" t="s">
        <v>1526</v>
      </c>
      <c r="D189" s="2" t="s">
        <v>58</v>
      </c>
      <c r="E189" s="2" t="s">
        <v>1172</v>
      </c>
      <c r="F189" s="5" t="str">
        <f t="shared" si="18"/>
        <v>018-0005-357495 BRICOLAJE BRICOMAN SLU</v>
      </c>
      <c r="G189" s="12">
        <f t="shared" si="17"/>
        <v>232.31404958677689</v>
      </c>
      <c r="H189">
        <v>21</v>
      </c>
      <c r="I189" s="5">
        <f t="shared" si="14"/>
        <v>48.785950413223148</v>
      </c>
      <c r="J189" s="5">
        <f t="shared" si="15"/>
        <v>232.31404958677689</v>
      </c>
      <c r="L189" s="5">
        <f t="shared" si="16"/>
        <v>0</v>
      </c>
      <c r="M189" s="8">
        <v>281.10000000000002</v>
      </c>
      <c r="N189" s="2" t="s">
        <v>21</v>
      </c>
      <c r="O189" s="3" t="s">
        <v>64</v>
      </c>
    </row>
    <row r="190" spans="1:15" x14ac:dyDescent="0.35">
      <c r="A190" s="4">
        <v>45415</v>
      </c>
      <c r="B190" s="2" t="s">
        <v>1527</v>
      </c>
      <c r="D190" s="2" t="s">
        <v>58</v>
      </c>
      <c r="E190" s="2" t="s">
        <v>1172</v>
      </c>
      <c r="F190" s="5" t="str">
        <f t="shared" si="18"/>
        <v>012-0005-917722 BRICOLAJE BRICOMAN SLU</v>
      </c>
      <c r="G190" s="12">
        <f t="shared" si="17"/>
        <v>77.933884297520663</v>
      </c>
      <c r="H190">
        <v>21</v>
      </c>
      <c r="I190" s="5">
        <f t="shared" si="14"/>
        <v>16.366115702479341</v>
      </c>
      <c r="J190" s="5">
        <f t="shared" si="15"/>
        <v>77.933884297520663</v>
      </c>
      <c r="L190" s="5">
        <f t="shared" si="16"/>
        <v>0</v>
      </c>
      <c r="M190" s="8">
        <v>94.3</v>
      </c>
      <c r="N190" s="2" t="s">
        <v>21</v>
      </c>
      <c r="O190" s="3" t="s">
        <v>63</v>
      </c>
    </row>
    <row r="191" spans="1:15" x14ac:dyDescent="0.35">
      <c r="A191" s="4">
        <v>45418</v>
      </c>
      <c r="B191" s="2" t="s">
        <v>1528</v>
      </c>
      <c r="D191" s="2" t="s">
        <v>58</v>
      </c>
      <c r="E191" s="2" t="s">
        <v>1172</v>
      </c>
      <c r="F191" s="5" t="str">
        <f t="shared" si="18"/>
        <v>018-0005-357500 BRICOLAJE BRICOMAN SLU</v>
      </c>
      <c r="G191" s="12">
        <f t="shared" si="17"/>
        <v>38.429752066115704</v>
      </c>
      <c r="H191">
        <v>21</v>
      </c>
      <c r="I191" s="5">
        <f t="shared" si="14"/>
        <v>8.0702479338842981</v>
      </c>
      <c r="J191" s="5">
        <f t="shared" si="15"/>
        <v>38.429752066115704</v>
      </c>
      <c r="L191" s="5">
        <f t="shared" si="16"/>
        <v>0</v>
      </c>
      <c r="M191" s="8">
        <v>46.5</v>
      </c>
      <c r="N191" s="2" t="s">
        <v>21</v>
      </c>
      <c r="O191" s="3" t="s">
        <v>63</v>
      </c>
    </row>
    <row r="192" spans="1:15" x14ac:dyDescent="0.35">
      <c r="A192" s="4">
        <v>45421</v>
      </c>
      <c r="B192" s="2" t="s">
        <v>1529</v>
      </c>
      <c r="D192" s="2" t="s">
        <v>687</v>
      </c>
      <c r="E192" s="2" t="s">
        <v>1530</v>
      </c>
      <c r="F192" s="5" t="str">
        <f t="shared" si="18"/>
        <v>2024000311 GLOBAL LEDUNI SL</v>
      </c>
      <c r="G192" s="12">
        <f t="shared" si="17"/>
        <v>90.000000000000014</v>
      </c>
      <c r="H192">
        <v>21</v>
      </c>
      <c r="I192" s="5">
        <f t="shared" si="14"/>
        <v>18.900000000000002</v>
      </c>
      <c r="J192" s="5">
        <f t="shared" si="15"/>
        <v>90.000000000000014</v>
      </c>
      <c r="L192" s="5">
        <f t="shared" si="16"/>
        <v>0</v>
      </c>
      <c r="M192" s="8">
        <v>108.9</v>
      </c>
      <c r="N192" s="2" t="s">
        <v>21</v>
      </c>
      <c r="O192" s="3" t="s">
        <v>63</v>
      </c>
    </row>
    <row r="193" spans="1:15" x14ac:dyDescent="0.35">
      <c r="A193" s="4">
        <v>45441</v>
      </c>
      <c r="B193" s="2" t="s">
        <v>1531</v>
      </c>
      <c r="D193" s="2" t="s">
        <v>687</v>
      </c>
      <c r="E193" s="2" t="s">
        <v>1530</v>
      </c>
      <c r="F193" s="5" t="str">
        <f t="shared" si="18"/>
        <v>2024000470 GLOBAL LEDUNI SL</v>
      </c>
      <c r="G193" s="12">
        <f t="shared" si="17"/>
        <v>65.702479338842977</v>
      </c>
      <c r="H193">
        <v>21</v>
      </c>
      <c r="I193" s="5">
        <f t="shared" si="14"/>
        <v>13.797520661157025</v>
      </c>
      <c r="J193" s="5">
        <f t="shared" si="15"/>
        <v>65.702479338842977</v>
      </c>
      <c r="L193" s="5">
        <f t="shared" si="16"/>
        <v>0</v>
      </c>
      <c r="M193" s="8">
        <v>79.5</v>
      </c>
      <c r="N193" s="2" t="s">
        <v>21</v>
      </c>
      <c r="O193" s="3" t="s">
        <v>63</v>
      </c>
    </row>
    <row r="194" spans="1:15" x14ac:dyDescent="0.35">
      <c r="A194" s="4">
        <v>45413</v>
      </c>
      <c r="B194" s="2" t="s">
        <v>1532</v>
      </c>
      <c r="D194" s="2" t="s">
        <v>951</v>
      </c>
      <c r="E194" s="2" t="s">
        <v>1533</v>
      </c>
      <c r="F194" s="5" t="str">
        <f t="shared" si="18"/>
        <v>00097 SILVIU MATERIALES DE CONSTRUCCION SL</v>
      </c>
      <c r="G194" s="12">
        <f t="shared" si="17"/>
        <v>19.198347107438018</v>
      </c>
      <c r="H194">
        <v>21</v>
      </c>
      <c r="I194" s="5">
        <f t="shared" si="14"/>
        <v>4.0316528925619837</v>
      </c>
      <c r="J194" s="5">
        <f t="shared" si="15"/>
        <v>19.198347107438018</v>
      </c>
      <c r="L194" s="5">
        <f t="shared" si="16"/>
        <v>0</v>
      </c>
      <c r="M194" s="8">
        <v>23.23</v>
      </c>
      <c r="N194" s="2" t="s">
        <v>21</v>
      </c>
      <c r="O194" s="3" t="s">
        <v>64</v>
      </c>
    </row>
    <row r="195" spans="1:15" x14ac:dyDescent="0.35">
      <c r="A195" s="4">
        <v>45390</v>
      </c>
      <c r="B195" s="2" t="s">
        <v>1534</v>
      </c>
      <c r="D195" s="2" t="s">
        <v>1535</v>
      </c>
      <c r="E195" s="2" t="s">
        <v>1536</v>
      </c>
      <c r="F195" s="5" t="str">
        <f t="shared" si="18"/>
        <v>928 CUBADIS SL</v>
      </c>
      <c r="G195" s="12">
        <f t="shared" si="17"/>
        <v>49.578512396694215</v>
      </c>
      <c r="H195">
        <v>21</v>
      </c>
      <c r="I195" s="5">
        <f t="shared" si="14"/>
        <v>10.411487603305787</v>
      </c>
      <c r="J195" s="5">
        <f t="shared" si="15"/>
        <v>49.578512396694215</v>
      </c>
      <c r="L195" s="5">
        <f t="shared" si="16"/>
        <v>0</v>
      </c>
      <c r="M195" s="8">
        <v>59.99</v>
      </c>
      <c r="N195" s="2" t="s">
        <v>22</v>
      </c>
      <c r="O195" s="3" t="s">
        <v>64</v>
      </c>
    </row>
    <row r="196" spans="1:15" x14ac:dyDescent="0.35">
      <c r="A196" s="4">
        <v>45412</v>
      </c>
      <c r="B196" s="2" t="s">
        <v>1537</v>
      </c>
      <c r="D196" s="2" t="s">
        <v>60</v>
      </c>
      <c r="E196" s="2" t="s">
        <v>24</v>
      </c>
      <c r="F196" s="5" t="str">
        <f t="shared" si="18"/>
        <v>096792/A/24/000466 REPSOL</v>
      </c>
      <c r="G196" s="12">
        <f t="shared" si="17"/>
        <v>57.033057851239676</v>
      </c>
      <c r="H196">
        <v>21</v>
      </c>
      <c r="I196" s="5">
        <f t="shared" si="14"/>
        <v>11.976942148760331</v>
      </c>
      <c r="J196" s="5">
        <f t="shared" si="15"/>
        <v>57.033057851239676</v>
      </c>
      <c r="L196" s="5">
        <f t="shared" si="16"/>
        <v>0</v>
      </c>
      <c r="M196" s="8">
        <v>69.010000000000005</v>
      </c>
      <c r="N196" s="2" t="s">
        <v>22</v>
      </c>
      <c r="O196" s="3" t="s">
        <v>64</v>
      </c>
    </row>
    <row r="197" spans="1:15" x14ac:dyDescent="0.35">
      <c r="A197" s="4">
        <v>45407</v>
      </c>
      <c r="B197" s="2" t="s">
        <v>1538</v>
      </c>
      <c r="D197" s="2" t="s">
        <v>60</v>
      </c>
      <c r="E197" s="2" t="s">
        <v>24</v>
      </c>
      <c r="F197" s="5" t="str">
        <f t="shared" si="18"/>
        <v>096671/A/24/002768 REPSOL</v>
      </c>
      <c r="G197" s="12">
        <f t="shared" si="17"/>
        <v>66.826446280991732</v>
      </c>
      <c r="H197">
        <v>21</v>
      </c>
      <c r="I197" s="5">
        <f t="shared" si="14"/>
        <v>14.033553719008264</v>
      </c>
      <c r="J197" s="5">
        <f t="shared" si="15"/>
        <v>66.826446280991732</v>
      </c>
      <c r="L197" s="5">
        <f t="shared" si="16"/>
        <v>0</v>
      </c>
      <c r="M197" s="8">
        <v>80.86</v>
      </c>
      <c r="N197" s="2" t="s">
        <v>22</v>
      </c>
      <c r="O197" s="3" t="s">
        <v>64</v>
      </c>
    </row>
    <row r="198" spans="1:15" x14ac:dyDescent="0.35">
      <c r="A198" s="4">
        <v>45402</v>
      </c>
      <c r="B198" s="2" t="s">
        <v>1539</v>
      </c>
      <c r="D198" s="2" t="s">
        <v>60</v>
      </c>
      <c r="E198" s="2" t="s">
        <v>24</v>
      </c>
      <c r="F198" s="5" t="str">
        <f t="shared" si="18"/>
        <v>034377/A/24/002102 REPSOL</v>
      </c>
      <c r="G198" s="12">
        <f t="shared" si="17"/>
        <v>18.917355371900829</v>
      </c>
      <c r="H198">
        <v>21</v>
      </c>
      <c r="I198" s="5">
        <f t="shared" si="14"/>
        <v>3.9726446280991738</v>
      </c>
      <c r="J198" s="5">
        <f t="shared" si="15"/>
        <v>18.917355371900829</v>
      </c>
      <c r="L198" s="5">
        <f t="shared" si="16"/>
        <v>0</v>
      </c>
      <c r="M198" s="8">
        <v>22.89</v>
      </c>
      <c r="N198" s="2" t="s">
        <v>22</v>
      </c>
      <c r="O198" s="3" t="s">
        <v>63</v>
      </c>
    </row>
    <row r="199" spans="1:15" x14ac:dyDescent="0.35">
      <c r="A199" s="4">
        <v>45400</v>
      </c>
      <c r="B199" s="2" t="s">
        <v>1540</v>
      </c>
      <c r="D199" s="2" t="s">
        <v>89</v>
      </c>
      <c r="E199" s="2" t="s">
        <v>90</v>
      </c>
      <c r="F199" s="5" t="str">
        <f t="shared" si="18"/>
        <v>E12007224TS000FE000414 GALP</v>
      </c>
      <c r="G199" s="12">
        <f t="shared" si="17"/>
        <v>57.851239669421489</v>
      </c>
      <c r="H199">
        <v>21</v>
      </c>
      <c r="I199" s="5">
        <f t="shared" si="14"/>
        <v>12.148760330578511</v>
      </c>
      <c r="J199" s="5">
        <f t="shared" si="15"/>
        <v>57.851239669421489</v>
      </c>
      <c r="L199" s="5">
        <f t="shared" si="16"/>
        <v>0</v>
      </c>
      <c r="M199" s="8">
        <v>70</v>
      </c>
      <c r="N199" s="2" t="s">
        <v>22</v>
      </c>
      <c r="O199" s="3" t="s">
        <v>63</v>
      </c>
    </row>
    <row r="200" spans="1:15" x14ac:dyDescent="0.35">
      <c r="A200" s="4">
        <v>45390</v>
      </c>
      <c r="B200" s="2" t="s">
        <v>1541</v>
      </c>
      <c r="D200" s="2" t="s">
        <v>89</v>
      </c>
      <c r="E200" s="2" t="s">
        <v>90</v>
      </c>
      <c r="F200" s="5" t="str">
        <f t="shared" si="18"/>
        <v>E120071246LJ2WFE000261 GALP</v>
      </c>
      <c r="G200" s="12">
        <f t="shared" si="17"/>
        <v>57.851239669421489</v>
      </c>
      <c r="H200">
        <v>21</v>
      </c>
      <c r="I200" s="5">
        <f t="shared" si="14"/>
        <v>12.148760330578511</v>
      </c>
      <c r="J200" s="5">
        <f t="shared" si="15"/>
        <v>57.851239669421489</v>
      </c>
      <c r="L200" s="5">
        <f t="shared" si="16"/>
        <v>0</v>
      </c>
      <c r="M200" s="8">
        <v>70</v>
      </c>
      <c r="N200" s="2" t="s">
        <v>22</v>
      </c>
      <c r="O200" s="3" t="s">
        <v>63</v>
      </c>
    </row>
    <row r="201" spans="1:15" x14ac:dyDescent="0.35">
      <c r="A201" s="4">
        <v>45399</v>
      </c>
      <c r="B201" s="2" t="s">
        <v>1542</v>
      </c>
      <c r="D201" s="2" t="s">
        <v>99</v>
      </c>
      <c r="E201" s="2" t="s">
        <v>166</v>
      </c>
      <c r="F201" s="5" t="str">
        <f t="shared" si="18"/>
        <v>0000100492 SHELL</v>
      </c>
      <c r="G201" s="12">
        <f t="shared" si="17"/>
        <v>16.528925619834713</v>
      </c>
      <c r="H201">
        <v>21</v>
      </c>
      <c r="I201" s="5">
        <f t="shared" si="14"/>
        <v>3.4710743801652897</v>
      </c>
      <c r="J201" s="5">
        <f t="shared" si="15"/>
        <v>16.528925619834713</v>
      </c>
      <c r="L201" s="5">
        <f t="shared" si="16"/>
        <v>0</v>
      </c>
      <c r="M201" s="8">
        <v>20</v>
      </c>
      <c r="N201" s="2" t="s">
        <v>22</v>
      </c>
      <c r="O201" s="3" t="s">
        <v>63</v>
      </c>
    </row>
    <row r="202" spans="1:15" x14ac:dyDescent="0.35">
      <c r="A202" s="4">
        <v>45404</v>
      </c>
      <c r="B202" s="2" t="s">
        <v>1543</v>
      </c>
      <c r="D202" s="2" t="s">
        <v>99</v>
      </c>
      <c r="E202" s="2" t="s">
        <v>166</v>
      </c>
      <c r="F202" s="5" t="str">
        <f t="shared" si="18"/>
        <v>0000100589 SHELL</v>
      </c>
      <c r="G202" s="12">
        <f t="shared" si="17"/>
        <v>96.520661157024804</v>
      </c>
      <c r="H202">
        <v>21</v>
      </c>
      <c r="I202" s="5">
        <f t="shared" si="14"/>
        <v>20.269338842975209</v>
      </c>
      <c r="J202" s="5">
        <f t="shared" si="15"/>
        <v>96.520661157024804</v>
      </c>
      <c r="L202" s="5">
        <f t="shared" si="16"/>
        <v>0</v>
      </c>
      <c r="M202" s="8">
        <v>116.79</v>
      </c>
      <c r="N202" s="2" t="s">
        <v>22</v>
      </c>
      <c r="O202" s="3" t="s">
        <v>63</v>
      </c>
    </row>
    <row r="203" spans="1:15" x14ac:dyDescent="0.35">
      <c r="A203" s="4">
        <v>45386</v>
      </c>
      <c r="B203" s="2" t="s">
        <v>1544</v>
      </c>
      <c r="D203" s="2" t="s">
        <v>99</v>
      </c>
      <c r="E203" s="2" t="s">
        <v>262</v>
      </c>
      <c r="F203" s="5" t="str">
        <f t="shared" si="18"/>
        <v>0000100179 DISA</v>
      </c>
      <c r="G203" s="12">
        <f t="shared" si="17"/>
        <v>83.859504132231407</v>
      </c>
      <c r="H203">
        <v>21</v>
      </c>
      <c r="I203" s="5">
        <f t="shared" si="14"/>
        <v>17.610495867768595</v>
      </c>
      <c r="J203" s="5">
        <f t="shared" si="15"/>
        <v>83.859504132231407</v>
      </c>
      <c r="L203" s="5">
        <f t="shared" si="16"/>
        <v>0</v>
      </c>
      <c r="M203" s="8">
        <v>101.47</v>
      </c>
      <c r="N203" s="2" t="s">
        <v>22</v>
      </c>
      <c r="O203" s="3" t="s">
        <v>63</v>
      </c>
    </row>
    <row r="204" spans="1:15" x14ac:dyDescent="0.35">
      <c r="A204" s="4">
        <v>45393</v>
      </c>
      <c r="B204" s="2" t="s">
        <v>1545</v>
      </c>
      <c r="D204" s="2" t="s">
        <v>99</v>
      </c>
      <c r="E204" s="2" t="s">
        <v>262</v>
      </c>
      <c r="F204" s="5" t="str">
        <f t="shared" si="18"/>
        <v>0000100349 DISA</v>
      </c>
      <c r="G204" s="12">
        <f t="shared" si="17"/>
        <v>41.314049586776861</v>
      </c>
      <c r="H204">
        <v>21</v>
      </c>
      <c r="I204" s="5">
        <f t="shared" si="14"/>
        <v>8.6759504132231413</v>
      </c>
      <c r="J204" s="5">
        <f t="shared" si="15"/>
        <v>41.314049586776861</v>
      </c>
      <c r="L204" s="5">
        <f t="shared" si="16"/>
        <v>0</v>
      </c>
      <c r="M204" s="8">
        <v>49.99</v>
      </c>
      <c r="N204" s="2" t="s">
        <v>22</v>
      </c>
      <c r="O204" s="3" t="s">
        <v>63</v>
      </c>
    </row>
    <row r="205" spans="1:15" x14ac:dyDescent="0.35">
      <c r="A205" s="4">
        <v>45404</v>
      </c>
      <c r="B205" s="2" t="s">
        <v>1546</v>
      </c>
      <c r="D205" s="2" t="s">
        <v>29</v>
      </c>
      <c r="E205" s="2" t="s">
        <v>76</v>
      </c>
      <c r="F205" s="5" t="str">
        <f t="shared" si="18"/>
        <v>5477-2024-00384418 COSTCO</v>
      </c>
      <c r="G205" s="12">
        <f t="shared" si="17"/>
        <v>40.793388429752063</v>
      </c>
      <c r="H205">
        <v>21</v>
      </c>
      <c r="I205" s="5">
        <f t="shared" si="14"/>
        <v>8.5666115702479324</v>
      </c>
      <c r="J205" s="5">
        <f t="shared" si="15"/>
        <v>40.793388429752063</v>
      </c>
      <c r="L205" s="5">
        <f t="shared" si="16"/>
        <v>0</v>
      </c>
      <c r="M205" s="8">
        <v>49.36</v>
      </c>
      <c r="N205" s="2" t="s">
        <v>22</v>
      </c>
      <c r="O205" s="3" t="s">
        <v>63</v>
      </c>
    </row>
    <row r="206" spans="1:15" x14ac:dyDescent="0.35">
      <c r="A206" s="4">
        <v>45355</v>
      </c>
      <c r="B206" s="2" t="s">
        <v>1547</v>
      </c>
      <c r="D206" s="2" t="s">
        <v>29</v>
      </c>
      <c r="E206" s="2" t="s">
        <v>76</v>
      </c>
      <c r="F206" s="5" t="str">
        <f t="shared" si="18"/>
        <v>5477-2024-00522558 COSTCO</v>
      </c>
      <c r="G206" s="12">
        <f t="shared" si="17"/>
        <v>37.851239669421489</v>
      </c>
      <c r="H206">
        <v>21</v>
      </c>
      <c r="I206" s="5">
        <f t="shared" si="14"/>
        <v>7.9487603305785122</v>
      </c>
      <c r="J206" s="5">
        <f t="shared" si="15"/>
        <v>37.851239669421489</v>
      </c>
      <c r="K206" s="5"/>
      <c r="L206" s="5">
        <f t="shared" si="16"/>
        <v>0</v>
      </c>
      <c r="M206" s="8">
        <v>45.8</v>
      </c>
      <c r="N206" s="2" t="s">
        <v>22</v>
      </c>
      <c r="O206" s="3" t="s">
        <v>63</v>
      </c>
    </row>
    <row r="207" spans="1:15" x14ac:dyDescent="0.35">
      <c r="A207" s="4">
        <v>45393</v>
      </c>
      <c r="B207" s="2" t="s">
        <v>1548</v>
      </c>
      <c r="D207" s="2" t="s">
        <v>29</v>
      </c>
      <c r="E207" s="2" t="s">
        <v>76</v>
      </c>
      <c r="F207" s="5" t="str">
        <f t="shared" si="18"/>
        <v>5477-2024-00380973 COSTCO</v>
      </c>
      <c r="G207" s="12">
        <f t="shared" si="17"/>
        <v>52.33884297520661</v>
      </c>
      <c r="H207">
        <v>21</v>
      </c>
      <c r="I207" s="5">
        <f t="shared" si="14"/>
        <v>10.991157024793388</v>
      </c>
      <c r="J207" s="5">
        <f t="shared" si="15"/>
        <v>52.33884297520661</v>
      </c>
      <c r="L207" s="5">
        <f t="shared" si="16"/>
        <v>0</v>
      </c>
      <c r="M207" s="8">
        <v>63.33</v>
      </c>
      <c r="N207" s="2" t="s">
        <v>22</v>
      </c>
      <c r="O207" s="3" t="s">
        <v>63</v>
      </c>
    </row>
    <row r="208" spans="1:15" x14ac:dyDescent="0.35">
      <c r="A208" s="4">
        <v>45386</v>
      </c>
      <c r="B208" s="2" t="s">
        <v>1549</v>
      </c>
      <c r="D208" s="2" t="s">
        <v>29</v>
      </c>
      <c r="E208" s="2" t="s">
        <v>76</v>
      </c>
      <c r="F208" s="5" t="str">
        <f t="shared" si="18"/>
        <v>5477-2024-00378733 COSTCO</v>
      </c>
      <c r="G208" s="12">
        <f t="shared" si="17"/>
        <v>70.148760330578511</v>
      </c>
      <c r="H208">
        <v>21</v>
      </c>
      <c r="I208" s="5">
        <f t="shared" si="14"/>
        <v>14.731239669421489</v>
      </c>
      <c r="J208" s="5">
        <f t="shared" si="15"/>
        <v>70.148760330578511</v>
      </c>
      <c r="L208" s="5">
        <f t="shared" si="16"/>
        <v>0</v>
      </c>
      <c r="M208" s="8">
        <v>84.88</v>
      </c>
      <c r="N208" s="2" t="s">
        <v>22</v>
      </c>
      <c r="O208" s="3" t="s">
        <v>63</v>
      </c>
    </row>
    <row r="209" spans="1:15" x14ac:dyDescent="0.35">
      <c r="A209" s="4">
        <v>45383</v>
      </c>
      <c r="B209" s="2" t="s">
        <v>1550</v>
      </c>
      <c r="D209" s="2" t="s">
        <v>1551</v>
      </c>
      <c r="E209" s="2" t="s">
        <v>1552</v>
      </c>
      <c r="F209" s="5" t="str">
        <f t="shared" si="18"/>
        <v>FACTE241005675 EXPLOTACIONES IND POZUELO SL</v>
      </c>
      <c r="G209" s="12">
        <f t="shared" si="17"/>
        <v>66.314049586776861</v>
      </c>
      <c r="H209">
        <v>21</v>
      </c>
      <c r="I209" s="5">
        <f t="shared" si="14"/>
        <v>13.925950413223141</v>
      </c>
      <c r="J209" s="5">
        <f t="shared" si="15"/>
        <v>66.314049586776861</v>
      </c>
      <c r="L209" s="5">
        <f t="shared" si="16"/>
        <v>0</v>
      </c>
      <c r="M209" s="8">
        <v>80.239999999999995</v>
      </c>
      <c r="N209" s="2" t="s">
        <v>22</v>
      </c>
      <c r="O209" s="3" t="s">
        <v>68</v>
      </c>
    </row>
    <row r="210" spans="1:15" x14ac:dyDescent="0.35">
      <c r="A210" s="4">
        <v>45392</v>
      </c>
      <c r="B210" s="2" t="s">
        <v>1553</v>
      </c>
      <c r="D210" s="2" t="s">
        <v>99</v>
      </c>
      <c r="E210" s="2" t="s">
        <v>166</v>
      </c>
      <c r="F210" s="5" t="str">
        <f t="shared" si="18"/>
        <v>0000045129 SHELL</v>
      </c>
      <c r="G210" s="12">
        <f t="shared" si="17"/>
        <v>67.91735537190084</v>
      </c>
      <c r="H210">
        <v>21</v>
      </c>
      <c r="I210" s="5">
        <f t="shared" si="14"/>
        <v>14.262644628099176</v>
      </c>
      <c r="J210" s="5">
        <f t="shared" si="15"/>
        <v>67.91735537190084</v>
      </c>
      <c r="L210" s="5">
        <f t="shared" si="16"/>
        <v>0</v>
      </c>
      <c r="M210" s="8">
        <v>82.18</v>
      </c>
      <c r="N210" s="2" t="s">
        <v>22</v>
      </c>
      <c r="O210" s="3" t="s">
        <v>64</v>
      </c>
    </row>
    <row r="211" spans="1:15" x14ac:dyDescent="0.35">
      <c r="A211" s="4">
        <v>45400</v>
      </c>
      <c r="B211" s="2" t="s">
        <v>1554</v>
      </c>
      <c r="D211" s="2" t="s">
        <v>60</v>
      </c>
      <c r="E211" s="2" t="s">
        <v>24</v>
      </c>
      <c r="F211" s="5" t="str">
        <f t="shared" si="18"/>
        <v>096622/A/24/0014216 REPSOL</v>
      </c>
      <c r="G211" s="12">
        <f t="shared" ref="G211:G270" si="19">M211/(1-K211/100+H211/100)</f>
        <v>46.429752066115704</v>
      </c>
      <c r="H211">
        <v>21</v>
      </c>
      <c r="I211" s="5">
        <f t="shared" si="14"/>
        <v>9.7502479338842978</v>
      </c>
      <c r="J211" s="5">
        <f t="shared" ref="J211:J270" si="20">G211</f>
        <v>46.429752066115704</v>
      </c>
      <c r="L211" s="5">
        <f t="shared" ref="L211:L270" si="21">J211*K211/100</f>
        <v>0</v>
      </c>
      <c r="M211" s="8">
        <v>56.18</v>
      </c>
      <c r="N211" s="2" t="s">
        <v>22</v>
      </c>
      <c r="O211" s="3" t="s">
        <v>64</v>
      </c>
    </row>
    <row r="212" spans="1:15" x14ac:dyDescent="0.35">
      <c r="A212" s="4">
        <v>45379</v>
      </c>
      <c r="B212" s="2" t="s">
        <v>1555</v>
      </c>
      <c r="D212" s="2" t="s">
        <v>100</v>
      </c>
      <c r="E212" s="2" t="s">
        <v>241</v>
      </c>
      <c r="F212" s="5" t="str">
        <f t="shared" si="18"/>
        <v>10110315 E.S. RACHELO</v>
      </c>
      <c r="G212" s="12">
        <f t="shared" si="19"/>
        <v>104.13223140495867</v>
      </c>
      <c r="H212">
        <v>21</v>
      </c>
      <c r="I212" s="5">
        <f t="shared" ref="I212:I271" si="22">G212*H212/100</f>
        <v>21.867768595041319</v>
      </c>
      <c r="J212" s="5">
        <f t="shared" si="20"/>
        <v>104.13223140495867</v>
      </c>
      <c r="L212" s="5">
        <f t="shared" si="21"/>
        <v>0</v>
      </c>
      <c r="M212" s="8">
        <v>126</v>
      </c>
      <c r="N212" s="2" t="s">
        <v>22</v>
      </c>
      <c r="O212" s="3" t="s">
        <v>64</v>
      </c>
    </row>
    <row r="213" spans="1:15" x14ac:dyDescent="0.35">
      <c r="A213" s="4">
        <v>45387</v>
      </c>
      <c r="B213" s="2" t="s">
        <v>1556</v>
      </c>
      <c r="D213" s="2" t="s">
        <v>170</v>
      </c>
      <c r="E213" s="2" t="s">
        <v>171</v>
      </c>
      <c r="F213" s="5" t="str">
        <f t="shared" si="18"/>
        <v>E19T/175568 MOTOCARD</v>
      </c>
      <c r="G213" s="12">
        <f t="shared" si="19"/>
        <v>154.51239669421489</v>
      </c>
      <c r="H213">
        <v>21</v>
      </c>
      <c r="I213" s="5">
        <f t="shared" si="22"/>
        <v>32.447603305785123</v>
      </c>
      <c r="J213" s="5">
        <f t="shared" si="20"/>
        <v>154.51239669421489</v>
      </c>
      <c r="L213" s="5">
        <f t="shared" si="21"/>
        <v>0</v>
      </c>
      <c r="M213" s="8">
        <v>186.96</v>
      </c>
      <c r="N213" s="2" t="s">
        <v>21</v>
      </c>
      <c r="O213" s="3" t="s">
        <v>64</v>
      </c>
    </row>
    <row r="214" spans="1:15" x14ac:dyDescent="0.35">
      <c r="A214" s="4">
        <v>45397</v>
      </c>
      <c r="B214" s="2" t="s">
        <v>1557</v>
      </c>
      <c r="D214" s="2" t="s">
        <v>99</v>
      </c>
      <c r="E214" s="2" t="s">
        <v>262</v>
      </c>
      <c r="F214" s="5" t="str">
        <f t="shared" si="18"/>
        <v>0000100448 DISA</v>
      </c>
      <c r="G214" s="12">
        <f t="shared" si="19"/>
        <v>94.264462809917362</v>
      </c>
      <c r="H214">
        <v>21</v>
      </c>
      <c r="I214" s="5">
        <f t="shared" si="22"/>
        <v>19.795537190082644</v>
      </c>
      <c r="J214" s="5">
        <f t="shared" si="20"/>
        <v>94.264462809917362</v>
      </c>
      <c r="L214" s="5">
        <f t="shared" si="21"/>
        <v>0</v>
      </c>
      <c r="M214" s="8">
        <v>114.06</v>
      </c>
      <c r="N214" s="2" t="s">
        <v>22</v>
      </c>
      <c r="O214" s="3" t="s">
        <v>64</v>
      </c>
    </row>
    <row r="215" spans="1:15" x14ac:dyDescent="0.35">
      <c r="A215" s="4">
        <v>45391</v>
      </c>
      <c r="B215" s="2" t="s">
        <v>1561</v>
      </c>
      <c r="D215" s="2" t="s">
        <v>1562</v>
      </c>
      <c r="E215" s="2" t="s">
        <v>1563</v>
      </c>
      <c r="F215" s="5" t="str">
        <f t="shared" si="18"/>
        <v>HBP2403297 HOTEL BED4U PAMPLONA</v>
      </c>
      <c r="G215" s="12">
        <f t="shared" si="19"/>
        <v>136.36363636363635</v>
      </c>
      <c r="H215">
        <v>10</v>
      </c>
      <c r="I215" s="5">
        <f t="shared" si="22"/>
        <v>13.636363636363635</v>
      </c>
      <c r="J215" s="5">
        <f t="shared" si="20"/>
        <v>136.36363636363635</v>
      </c>
      <c r="K215" s="5"/>
      <c r="L215" s="5">
        <f t="shared" si="21"/>
        <v>0</v>
      </c>
      <c r="M215" s="8">
        <v>150</v>
      </c>
      <c r="N215" s="2" t="s">
        <v>108</v>
      </c>
      <c r="O215" s="3" t="s">
        <v>64</v>
      </c>
    </row>
    <row r="216" spans="1:15" x14ac:dyDescent="0.35">
      <c r="A216" s="4">
        <v>45391</v>
      </c>
      <c r="B216" s="2" t="s">
        <v>1564</v>
      </c>
      <c r="D216" s="2" t="s">
        <v>1562</v>
      </c>
      <c r="E216" s="2" t="s">
        <v>1563</v>
      </c>
      <c r="F216" s="5" t="str">
        <f t="shared" si="18"/>
        <v>HBP2403298 HOTEL BED4U PAMPLONA</v>
      </c>
      <c r="G216" s="12">
        <f t="shared" si="19"/>
        <v>136.36363636363635</v>
      </c>
      <c r="H216">
        <v>10</v>
      </c>
      <c r="I216" s="5">
        <f t="shared" si="22"/>
        <v>13.636363636363635</v>
      </c>
      <c r="J216" s="5">
        <f t="shared" si="20"/>
        <v>136.36363636363635</v>
      </c>
      <c r="L216" s="5">
        <f t="shared" si="21"/>
        <v>0</v>
      </c>
      <c r="M216" s="8">
        <v>150</v>
      </c>
      <c r="N216" s="2" t="s">
        <v>108</v>
      </c>
      <c r="O216" s="3" t="s">
        <v>64</v>
      </c>
    </row>
    <row r="217" spans="1:15" x14ac:dyDescent="0.35">
      <c r="A217" s="4">
        <v>45383</v>
      </c>
      <c r="B217" s="2" t="s">
        <v>1565</v>
      </c>
      <c r="D217" s="2" t="s">
        <v>1562</v>
      </c>
      <c r="E217" s="2" t="s">
        <v>1563</v>
      </c>
      <c r="F217" s="5" t="str">
        <f t="shared" si="18"/>
        <v>HBP2403024 HOTEL BED4U PAMPLONA</v>
      </c>
      <c r="G217" s="12">
        <f t="shared" si="19"/>
        <v>358.18181818181813</v>
      </c>
      <c r="H217">
        <v>10</v>
      </c>
      <c r="I217" s="5">
        <f t="shared" si="22"/>
        <v>35.818181818181813</v>
      </c>
      <c r="J217" s="5">
        <f t="shared" si="20"/>
        <v>358.18181818181813</v>
      </c>
      <c r="L217" s="5">
        <f t="shared" si="21"/>
        <v>0</v>
      </c>
      <c r="M217" s="8">
        <v>394</v>
      </c>
      <c r="N217" s="2" t="s">
        <v>108</v>
      </c>
      <c r="O217" s="3" t="s">
        <v>64</v>
      </c>
    </row>
    <row r="218" spans="1:15" x14ac:dyDescent="0.35">
      <c r="A218" s="4">
        <v>45376</v>
      </c>
      <c r="B218" s="2" t="s">
        <v>1566</v>
      </c>
      <c r="D218" s="2" t="s">
        <v>1567</v>
      </c>
      <c r="E218" s="2" t="s">
        <v>1568</v>
      </c>
      <c r="F218" s="5" t="str">
        <f t="shared" si="18"/>
        <v>A24000290 HOTEL ALHAMA</v>
      </c>
      <c r="G218" s="12">
        <f t="shared" si="19"/>
        <v>36.36363636363636</v>
      </c>
      <c r="H218">
        <v>10</v>
      </c>
      <c r="I218" s="5">
        <f t="shared" si="22"/>
        <v>3.6363636363636362</v>
      </c>
      <c r="J218" s="5">
        <f t="shared" si="20"/>
        <v>36.36363636363636</v>
      </c>
      <c r="L218" s="5">
        <f t="shared" si="21"/>
        <v>0</v>
      </c>
      <c r="M218" s="8">
        <v>40</v>
      </c>
      <c r="N218" s="2" t="s">
        <v>108</v>
      </c>
      <c r="O218" s="3" t="s">
        <v>64</v>
      </c>
    </row>
    <row r="219" spans="1:15" x14ac:dyDescent="0.35">
      <c r="A219" s="4">
        <v>45399</v>
      </c>
      <c r="B219" s="2" t="s">
        <v>1569</v>
      </c>
      <c r="D219" s="2" t="s">
        <v>1570</v>
      </c>
      <c r="E219" s="2" t="s">
        <v>1571</v>
      </c>
      <c r="F219" s="5" t="str">
        <f t="shared" si="18"/>
        <v>FSCT24/00603 HOTEL VIENA</v>
      </c>
      <c r="G219" s="12">
        <f t="shared" si="19"/>
        <v>207.27272727272725</v>
      </c>
      <c r="H219">
        <v>10</v>
      </c>
      <c r="I219" s="5">
        <f t="shared" si="22"/>
        <v>20.727272727272727</v>
      </c>
      <c r="J219" s="5">
        <f t="shared" si="20"/>
        <v>207.27272727272725</v>
      </c>
      <c r="L219" s="5">
        <f t="shared" si="21"/>
        <v>0</v>
      </c>
      <c r="M219" s="8">
        <v>228</v>
      </c>
      <c r="N219" s="2" t="s">
        <v>108</v>
      </c>
      <c r="O219" s="3" t="s">
        <v>64</v>
      </c>
    </row>
    <row r="220" spans="1:15" x14ac:dyDescent="0.35">
      <c r="A220" s="4">
        <v>45424</v>
      </c>
      <c r="B220" s="2" t="s">
        <v>1572</v>
      </c>
      <c r="D220" s="2" t="s">
        <v>107</v>
      </c>
      <c r="E220" s="2" t="s">
        <v>1252</v>
      </c>
      <c r="F220" s="5" t="str">
        <f t="shared" si="18"/>
        <v>24/060 AIRCLIMA 2000 SL</v>
      </c>
      <c r="G220" s="12">
        <f t="shared" si="19"/>
        <v>3705.0000000000005</v>
      </c>
      <c r="H220">
        <v>21</v>
      </c>
      <c r="I220" s="5">
        <f t="shared" si="22"/>
        <v>778.05000000000018</v>
      </c>
      <c r="J220" s="5">
        <f t="shared" si="20"/>
        <v>3705.0000000000005</v>
      </c>
      <c r="L220" s="5">
        <f t="shared" si="21"/>
        <v>0</v>
      </c>
      <c r="M220" s="8">
        <v>4483.05</v>
      </c>
      <c r="N220" s="2" t="s">
        <v>37</v>
      </c>
      <c r="O220" s="3" t="s">
        <v>68</v>
      </c>
    </row>
    <row r="221" spans="1:15" x14ac:dyDescent="0.35">
      <c r="A221" s="4">
        <v>45422</v>
      </c>
      <c r="B221" s="2" t="s">
        <v>1573</v>
      </c>
      <c r="D221" s="2" t="s">
        <v>94</v>
      </c>
      <c r="E221" s="2" t="s">
        <v>139</v>
      </c>
      <c r="F221" s="5" t="str">
        <f t="shared" si="18"/>
        <v>VEN/20251510 BIGMAT</v>
      </c>
      <c r="G221" s="12">
        <f t="shared" si="19"/>
        <v>1166.6115702479337</v>
      </c>
      <c r="H221">
        <v>21</v>
      </c>
      <c r="I221" s="5">
        <f t="shared" si="22"/>
        <v>244.98842975206608</v>
      </c>
      <c r="J221" s="5">
        <f t="shared" si="20"/>
        <v>1166.6115702479337</v>
      </c>
      <c r="L221" s="5">
        <f t="shared" si="21"/>
        <v>0</v>
      </c>
      <c r="M221" s="8">
        <v>1411.6</v>
      </c>
      <c r="N221" s="2" t="s">
        <v>21</v>
      </c>
      <c r="O221" s="3" t="s">
        <v>67</v>
      </c>
    </row>
    <row r="222" spans="1:15" x14ac:dyDescent="0.35">
      <c r="A222" s="4">
        <v>45412</v>
      </c>
      <c r="B222" s="2" t="s">
        <v>1574</v>
      </c>
      <c r="D222" s="2" t="s">
        <v>40</v>
      </c>
      <c r="E222" s="2" t="s">
        <v>41</v>
      </c>
      <c r="F222" s="5" t="str">
        <f t="shared" si="18"/>
        <v>842/24 CONTENEDORES OSCONSUR</v>
      </c>
      <c r="G222" s="12">
        <f t="shared" si="19"/>
        <v>158</v>
      </c>
      <c r="H222">
        <v>10</v>
      </c>
      <c r="I222" s="5">
        <f t="shared" si="22"/>
        <v>15.8</v>
      </c>
      <c r="J222" s="5">
        <f t="shared" si="20"/>
        <v>158</v>
      </c>
      <c r="L222" s="5">
        <f t="shared" si="21"/>
        <v>0</v>
      </c>
      <c r="M222" s="8">
        <v>173.8</v>
      </c>
      <c r="N222" s="2" t="s">
        <v>33</v>
      </c>
      <c r="O222" s="3" t="s">
        <v>67</v>
      </c>
    </row>
    <row r="223" spans="1:15" x14ac:dyDescent="0.35">
      <c r="A223" s="4">
        <v>45425</v>
      </c>
      <c r="B223" s="2" t="s">
        <v>1575</v>
      </c>
      <c r="D223" s="2" t="s">
        <v>132</v>
      </c>
      <c r="E223" s="2" t="s">
        <v>147</v>
      </c>
      <c r="F223" s="5" t="str">
        <f t="shared" si="18"/>
        <v>A/6518 AZULEJOS ROSA</v>
      </c>
      <c r="G223" s="12">
        <f t="shared" si="19"/>
        <v>674.94214876033061</v>
      </c>
      <c r="H223">
        <v>21</v>
      </c>
      <c r="I223" s="5">
        <f t="shared" si="22"/>
        <v>141.73785123966942</v>
      </c>
      <c r="J223" s="5">
        <f t="shared" si="20"/>
        <v>674.94214876033061</v>
      </c>
      <c r="L223" s="5">
        <f t="shared" si="21"/>
        <v>0</v>
      </c>
      <c r="M223" s="8">
        <v>816.68</v>
      </c>
      <c r="N223" s="2" t="s">
        <v>21</v>
      </c>
      <c r="O223" s="3" t="s">
        <v>68</v>
      </c>
    </row>
    <row r="224" spans="1:15" x14ac:dyDescent="0.35">
      <c r="A224" s="4">
        <v>45406</v>
      </c>
      <c r="B224" s="2" t="s">
        <v>1576</v>
      </c>
      <c r="D224" s="2" t="s">
        <v>1340</v>
      </c>
      <c r="E224" s="2" t="s">
        <v>1341</v>
      </c>
      <c r="F224" s="5" t="str">
        <f t="shared" si="18"/>
        <v>2024-0100 PIKYOE AUTOMOCION SL</v>
      </c>
      <c r="G224" s="12">
        <f t="shared" si="19"/>
        <v>202.45454545454547</v>
      </c>
      <c r="H224">
        <v>21</v>
      </c>
      <c r="I224" s="5">
        <f t="shared" si="22"/>
        <v>42.515454545454553</v>
      </c>
      <c r="J224" s="5">
        <f t="shared" si="20"/>
        <v>202.45454545454547</v>
      </c>
      <c r="L224" s="5">
        <f t="shared" si="21"/>
        <v>0</v>
      </c>
      <c r="M224" s="8">
        <v>244.97</v>
      </c>
      <c r="N224" s="2" t="s">
        <v>53</v>
      </c>
      <c r="O224" s="3" t="s">
        <v>68</v>
      </c>
    </row>
    <row r="225" spans="1:15" x14ac:dyDescent="0.35">
      <c r="A225" s="4">
        <v>45413</v>
      </c>
      <c r="B225" s="2" t="s">
        <v>1577</v>
      </c>
      <c r="D225" s="2" t="s">
        <v>238</v>
      </c>
      <c r="E225" s="2" t="s">
        <v>220</v>
      </c>
      <c r="F225" s="5" t="str">
        <f t="shared" si="18"/>
        <v>TA7AP0171888 TELEFONICA</v>
      </c>
      <c r="G225" s="12">
        <f t="shared" si="19"/>
        <v>135.70247933884298</v>
      </c>
      <c r="H225">
        <v>21</v>
      </c>
      <c r="I225" s="5">
        <f t="shared" si="22"/>
        <v>28.497520661157022</v>
      </c>
      <c r="J225" s="5">
        <f t="shared" si="20"/>
        <v>135.70247933884298</v>
      </c>
      <c r="L225" s="5">
        <f t="shared" si="21"/>
        <v>0</v>
      </c>
      <c r="M225" s="8">
        <v>164.2</v>
      </c>
      <c r="N225" s="2" t="s">
        <v>39</v>
      </c>
      <c r="O225" s="3" t="s">
        <v>67</v>
      </c>
    </row>
    <row r="226" spans="1:15" x14ac:dyDescent="0.35">
      <c r="A226" s="4">
        <v>45413</v>
      </c>
      <c r="B226" s="2" t="s">
        <v>1578</v>
      </c>
      <c r="D226" s="2" t="s">
        <v>238</v>
      </c>
      <c r="E226" s="2" t="s">
        <v>220</v>
      </c>
      <c r="F226" s="5" t="str">
        <f t="shared" si="18"/>
        <v>TA7AP0171886 TELEFONICA</v>
      </c>
      <c r="G226" s="12">
        <f t="shared" si="19"/>
        <v>75.239669421487605</v>
      </c>
      <c r="H226">
        <v>21</v>
      </c>
      <c r="I226" s="5">
        <f t="shared" si="22"/>
        <v>15.800330578512396</v>
      </c>
      <c r="J226" s="5">
        <f t="shared" si="20"/>
        <v>75.239669421487605</v>
      </c>
      <c r="L226" s="5">
        <f t="shared" si="21"/>
        <v>0</v>
      </c>
      <c r="M226" s="8">
        <v>91.04</v>
      </c>
      <c r="N226" s="2" t="s">
        <v>39</v>
      </c>
      <c r="O226" s="3" t="s">
        <v>67</v>
      </c>
    </row>
    <row r="227" spans="1:15" x14ac:dyDescent="0.35">
      <c r="A227" s="4" t="s">
        <v>1579</v>
      </c>
      <c r="B227" s="2" t="s">
        <v>1580</v>
      </c>
      <c r="D227" s="2" t="s">
        <v>238</v>
      </c>
      <c r="E227" s="2" t="s">
        <v>220</v>
      </c>
      <c r="F227" s="5" t="str">
        <f t="shared" si="18"/>
        <v>TA7AP0171887 TELEFONICA</v>
      </c>
      <c r="G227" s="12">
        <f t="shared" si="19"/>
        <v>75.239669421487605</v>
      </c>
      <c r="H227">
        <v>21</v>
      </c>
      <c r="I227" s="5">
        <f t="shared" si="22"/>
        <v>15.800330578512396</v>
      </c>
      <c r="J227" s="5">
        <f t="shared" si="20"/>
        <v>75.239669421487605</v>
      </c>
      <c r="L227" s="5">
        <f t="shared" si="21"/>
        <v>0</v>
      </c>
      <c r="M227" s="8">
        <v>91.04</v>
      </c>
      <c r="N227" s="2" t="s">
        <v>39</v>
      </c>
      <c r="O227" s="3" t="s">
        <v>67</v>
      </c>
    </row>
    <row r="228" spans="1:15" x14ac:dyDescent="0.35">
      <c r="A228" s="4">
        <v>45413</v>
      </c>
      <c r="B228" s="2" t="s">
        <v>1581</v>
      </c>
      <c r="D228" s="2" t="s">
        <v>238</v>
      </c>
      <c r="E228" s="2" t="s">
        <v>220</v>
      </c>
      <c r="F228" s="5" t="str">
        <f t="shared" si="18"/>
        <v>TA7AP0171889 TELEFONICA</v>
      </c>
      <c r="G228" s="12">
        <f t="shared" si="19"/>
        <v>75.239669421487605</v>
      </c>
      <c r="H228">
        <v>21</v>
      </c>
      <c r="I228" s="5">
        <f t="shared" si="22"/>
        <v>15.800330578512396</v>
      </c>
      <c r="J228" s="5">
        <f t="shared" si="20"/>
        <v>75.239669421487605</v>
      </c>
      <c r="L228" s="5">
        <f t="shared" si="21"/>
        <v>0</v>
      </c>
      <c r="M228" s="8">
        <v>91.04</v>
      </c>
      <c r="N228" s="2" t="s">
        <v>39</v>
      </c>
      <c r="O228" s="3" t="s">
        <v>67</v>
      </c>
    </row>
    <row r="229" spans="1:15" x14ac:dyDescent="0.35">
      <c r="A229" s="4">
        <v>45413</v>
      </c>
      <c r="B229" s="2" t="s">
        <v>1582</v>
      </c>
      <c r="D229" s="2" t="s">
        <v>238</v>
      </c>
      <c r="E229" s="2" t="s">
        <v>220</v>
      </c>
      <c r="F229" s="5" t="str">
        <f t="shared" si="18"/>
        <v>28-E4U1-047238 TELEFONICA</v>
      </c>
      <c r="G229" s="12">
        <f t="shared" si="19"/>
        <v>18.396694214876035</v>
      </c>
      <c r="H229">
        <v>21</v>
      </c>
      <c r="I229" s="5">
        <f t="shared" si="22"/>
        <v>3.8633057851239676</v>
      </c>
      <c r="J229" s="5">
        <f t="shared" si="20"/>
        <v>18.396694214876035</v>
      </c>
      <c r="L229" s="5">
        <f t="shared" si="21"/>
        <v>0</v>
      </c>
      <c r="M229" s="8">
        <v>22.26</v>
      </c>
      <c r="N229" s="2" t="s">
        <v>39</v>
      </c>
      <c r="O229" s="3" t="s">
        <v>67</v>
      </c>
    </row>
    <row r="230" spans="1:15" x14ac:dyDescent="0.35">
      <c r="A230" s="4">
        <v>45422</v>
      </c>
      <c r="B230" s="2" t="s">
        <v>631</v>
      </c>
      <c r="D230" s="2" t="s">
        <v>45</v>
      </c>
      <c r="E230" s="2" t="s">
        <v>163</v>
      </c>
      <c r="F230" s="5" t="str">
        <f t="shared" si="18"/>
        <v>04/24 EMANUEL CODITA</v>
      </c>
      <c r="G230" s="12">
        <f t="shared" si="19"/>
        <v>1652.8925619834711</v>
      </c>
      <c r="H230">
        <v>21</v>
      </c>
      <c r="I230" s="5">
        <f t="shared" si="22"/>
        <v>347.10743801652893</v>
      </c>
      <c r="J230" s="5">
        <f t="shared" si="20"/>
        <v>1652.8925619834711</v>
      </c>
      <c r="L230" s="5">
        <f t="shared" si="21"/>
        <v>0</v>
      </c>
      <c r="M230" s="8">
        <v>2000</v>
      </c>
      <c r="N230" s="2" t="s">
        <v>37</v>
      </c>
      <c r="O230" s="3" t="s">
        <v>68</v>
      </c>
    </row>
    <row r="231" spans="1:15" x14ac:dyDescent="0.35">
      <c r="A231" s="4">
        <v>45424</v>
      </c>
      <c r="B231" s="2" t="s">
        <v>1583</v>
      </c>
      <c r="D231" s="2" t="s">
        <v>25</v>
      </c>
      <c r="E231" s="2" t="s">
        <v>26</v>
      </c>
      <c r="F231" s="5" t="str">
        <f t="shared" si="18"/>
        <v>149992 SALTOKI</v>
      </c>
      <c r="G231" s="12">
        <f t="shared" si="19"/>
        <v>181.90909090909093</v>
      </c>
      <c r="H231">
        <v>21</v>
      </c>
      <c r="I231" s="5">
        <f t="shared" si="22"/>
        <v>38.200909090909093</v>
      </c>
      <c r="J231" s="5">
        <f t="shared" si="20"/>
        <v>181.90909090909093</v>
      </c>
      <c r="L231" s="5">
        <f t="shared" si="21"/>
        <v>0</v>
      </c>
      <c r="M231" s="8">
        <v>220.11</v>
      </c>
      <c r="N231" s="2" t="s">
        <v>21</v>
      </c>
      <c r="O231" s="3" t="s">
        <v>67</v>
      </c>
    </row>
    <row r="232" spans="1:15" x14ac:dyDescent="0.35">
      <c r="A232" s="4">
        <v>45390</v>
      </c>
      <c r="B232" s="2" t="s">
        <v>639</v>
      </c>
      <c r="D232" s="2" t="s">
        <v>134</v>
      </c>
      <c r="E232" s="2" t="s">
        <v>143</v>
      </c>
      <c r="F232" s="5" t="str">
        <f t="shared" si="18"/>
        <v>49 IOAN NICULAI</v>
      </c>
      <c r="G232" s="12">
        <f t="shared" si="19"/>
        <v>12380</v>
      </c>
      <c r="H232">
        <v>21</v>
      </c>
      <c r="I232" s="5">
        <f t="shared" si="22"/>
        <v>2599.8000000000002</v>
      </c>
      <c r="J232" s="5">
        <f t="shared" si="20"/>
        <v>12380</v>
      </c>
      <c r="L232" s="5">
        <f t="shared" si="21"/>
        <v>0</v>
      </c>
      <c r="M232" s="8">
        <v>14979.8</v>
      </c>
      <c r="N232" s="2" t="s">
        <v>37</v>
      </c>
      <c r="O232" s="3" t="s">
        <v>68</v>
      </c>
    </row>
    <row r="233" spans="1:15" x14ac:dyDescent="0.35">
      <c r="A233" s="4">
        <v>45387</v>
      </c>
      <c r="B233" s="2" t="s">
        <v>1830</v>
      </c>
      <c r="D233" s="2" t="s">
        <v>71</v>
      </c>
      <c r="E233" s="2" t="s">
        <v>69</v>
      </c>
      <c r="F233" s="5" t="str">
        <f t="shared" si="18"/>
        <v>24/24 OLARIU ADRIAN RAZVAN</v>
      </c>
      <c r="G233" s="12">
        <f t="shared" si="19"/>
        <v>123.96694214876034</v>
      </c>
      <c r="H233">
        <v>21</v>
      </c>
      <c r="I233" s="5">
        <f t="shared" si="22"/>
        <v>26.033057851239672</v>
      </c>
      <c r="J233" s="5">
        <f t="shared" si="20"/>
        <v>123.96694214876034</v>
      </c>
      <c r="L233" s="5">
        <f t="shared" si="21"/>
        <v>0</v>
      </c>
      <c r="M233" s="8">
        <v>150</v>
      </c>
      <c r="N233" s="2" t="s">
        <v>56</v>
      </c>
      <c r="O233" s="3" t="s">
        <v>68</v>
      </c>
    </row>
    <row r="234" spans="1:15" x14ac:dyDescent="0.35">
      <c r="A234" s="4">
        <v>45430</v>
      </c>
      <c r="B234" s="2" t="s">
        <v>1585</v>
      </c>
      <c r="D234" s="2" t="s">
        <v>25</v>
      </c>
      <c r="E234" s="2" t="s">
        <v>26</v>
      </c>
      <c r="F234" s="5" t="str">
        <f t="shared" si="18"/>
        <v>157729 SALTOKI</v>
      </c>
      <c r="G234" s="12">
        <f t="shared" si="19"/>
        <v>1010.3388429752066</v>
      </c>
      <c r="H234">
        <v>21</v>
      </c>
      <c r="I234" s="5">
        <f t="shared" si="22"/>
        <v>212.17115702479339</v>
      </c>
      <c r="J234" s="5">
        <f t="shared" si="20"/>
        <v>1010.3388429752066</v>
      </c>
      <c r="L234" s="5">
        <f t="shared" si="21"/>
        <v>0</v>
      </c>
      <c r="M234" s="8">
        <v>1222.51</v>
      </c>
      <c r="N234" s="2" t="s">
        <v>21</v>
      </c>
      <c r="O234" s="3" t="s">
        <v>67</v>
      </c>
    </row>
    <row r="235" spans="1:15" x14ac:dyDescent="0.35">
      <c r="A235" s="4">
        <v>45430</v>
      </c>
      <c r="B235" s="2" t="s">
        <v>1586</v>
      </c>
      <c r="D235" s="2" t="s">
        <v>25</v>
      </c>
      <c r="E235" s="2" t="s">
        <v>26</v>
      </c>
      <c r="F235" s="5" t="str">
        <f t="shared" si="18"/>
        <v>157728 SALTOKI</v>
      </c>
      <c r="G235" s="12">
        <f t="shared" si="19"/>
        <v>-73.900826446281002</v>
      </c>
      <c r="H235">
        <v>21</v>
      </c>
      <c r="I235" s="5">
        <f t="shared" si="22"/>
        <v>-15.519173553719011</v>
      </c>
      <c r="J235" s="5">
        <f t="shared" si="20"/>
        <v>-73.900826446281002</v>
      </c>
      <c r="L235" s="5">
        <f t="shared" si="21"/>
        <v>0</v>
      </c>
      <c r="M235" s="8">
        <v>-89.42</v>
      </c>
      <c r="N235" s="2" t="s">
        <v>21</v>
      </c>
      <c r="O235" s="3" t="s">
        <v>67</v>
      </c>
    </row>
    <row r="236" spans="1:15" x14ac:dyDescent="0.35">
      <c r="A236" s="4">
        <v>45427</v>
      </c>
      <c r="B236" s="2" t="s">
        <v>1590</v>
      </c>
      <c r="D236" s="2" t="s">
        <v>200</v>
      </c>
      <c r="E236" s="2" t="s">
        <v>1284</v>
      </c>
      <c r="F236" s="5" t="str">
        <f t="shared" si="18"/>
        <v>0122474 ICAR DISTRIBUCIONES FERRETERIAS SL I.D.F.</v>
      </c>
      <c r="G236" s="12">
        <f t="shared" si="19"/>
        <v>16.107438016528924</v>
      </c>
      <c r="H236">
        <v>21</v>
      </c>
      <c r="I236" s="5">
        <f t="shared" si="22"/>
        <v>3.3825619834710738</v>
      </c>
      <c r="J236" s="5">
        <f t="shared" si="20"/>
        <v>16.107438016528924</v>
      </c>
      <c r="L236" s="5">
        <f t="shared" si="21"/>
        <v>0</v>
      </c>
      <c r="M236" s="8">
        <v>19.489999999999998</v>
      </c>
      <c r="N236" s="2" t="s">
        <v>21</v>
      </c>
      <c r="O236" s="3" t="s">
        <v>67</v>
      </c>
    </row>
    <row r="237" spans="1:15" x14ac:dyDescent="0.35">
      <c r="A237" s="4">
        <v>45427</v>
      </c>
      <c r="B237" s="2" t="s">
        <v>1591</v>
      </c>
      <c r="D237" s="2" t="s">
        <v>1340</v>
      </c>
      <c r="E237" s="2" t="s">
        <v>1341</v>
      </c>
      <c r="F237" s="5" t="str">
        <f t="shared" si="18"/>
        <v>2024-0117 PIKYOE AUTOMOCION SL</v>
      </c>
      <c r="G237" s="12">
        <f t="shared" si="19"/>
        <v>269.29752066115708</v>
      </c>
      <c r="H237">
        <v>21</v>
      </c>
      <c r="I237" s="5">
        <f t="shared" si="22"/>
        <v>56.552479338842986</v>
      </c>
      <c r="J237" s="5">
        <f t="shared" si="20"/>
        <v>269.29752066115708</v>
      </c>
      <c r="L237" s="5">
        <f t="shared" si="21"/>
        <v>0</v>
      </c>
      <c r="M237" s="8">
        <v>325.85000000000002</v>
      </c>
      <c r="N237" s="2" t="s">
        <v>53</v>
      </c>
      <c r="O237" s="3" t="s">
        <v>68</v>
      </c>
    </row>
    <row r="238" spans="1:15" x14ac:dyDescent="0.35">
      <c r="A238" s="4">
        <v>45427</v>
      </c>
      <c r="B238" s="2" t="s">
        <v>1592</v>
      </c>
      <c r="D238" s="2" t="s">
        <v>109</v>
      </c>
      <c r="E238" s="2" t="s">
        <v>42</v>
      </c>
      <c r="F238" s="5" t="str">
        <f t="shared" si="18"/>
        <v>24107739 DISCESUR</v>
      </c>
      <c r="G238" s="12">
        <f t="shared" si="19"/>
        <v>82.669421487603316</v>
      </c>
      <c r="H238">
        <v>21</v>
      </c>
      <c r="I238" s="5">
        <f t="shared" si="22"/>
        <v>17.360578512396696</v>
      </c>
      <c r="J238" s="5">
        <f t="shared" si="20"/>
        <v>82.669421487603316</v>
      </c>
      <c r="L238" s="5">
        <f t="shared" si="21"/>
        <v>0</v>
      </c>
      <c r="M238" s="8">
        <v>100.03</v>
      </c>
      <c r="N238" s="2" t="s">
        <v>21</v>
      </c>
      <c r="O238" s="3" t="s">
        <v>67</v>
      </c>
    </row>
    <row r="239" spans="1:15" x14ac:dyDescent="0.35">
      <c r="A239" s="4">
        <v>45427</v>
      </c>
      <c r="B239" s="2" t="s">
        <v>1593</v>
      </c>
      <c r="D239" s="2" t="s">
        <v>109</v>
      </c>
      <c r="E239" s="2" t="s">
        <v>42</v>
      </c>
      <c r="F239" s="5" t="str">
        <f t="shared" si="18"/>
        <v>24107740 DISCESUR</v>
      </c>
      <c r="G239" s="12">
        <f t="shared" si="19"/>
        <v>765</v>
      </c>
      <c r="H239">
        <v>21</v>
      </c>
      <c r="I239" s="5">
        <f t="shared" si="22"/>
        <v>160.65</v>
      </c>
      <c r="J239" s="5">
        <f t="shared" si="20"/>
        <v>765</v>
      </c>
      <c r="L239" s="5">
        <f t="shared" si="21"/>
        <v>0</v>
      </c>
      <c r="M239" s="8">
        <v>925.65</v>
      </c>
      <c r="N239" s="2" t="s">
        <v>21</v>
      </c>
      <c r="O239" s="3" t="s">
        <v>67</v>
      </c>
    </row>
    <row r="240" spans="1:15" x14ac:dyDescent="0.35">
      <c r="A240" s="4">
        <v>45427</v>
      </c>
      <c r="B240" s="2" t="s">
        <v>1594</v>
      </c>
      <c r="D240" s="2" t="s">
        <v>109</v>
      </c>
      <c r="E240" s="2" t="s">
        <v>42</v>
      </c>
      <c r="F240" s="5" t="str">
        <f t="shared" si="18"/>
        <v>24107741 DISCESUR</v>
      </c>
      <c r="G240" s="12">
        <f t="shared" si="19"/>
        <v>35.247933884297524</v>
      </c>
      <c r="H240">
        <v>21</v>
      </c>
      <c r="I240" s="5">
        <f t="shared" si="22"/>
        <v>7.4020661157024801</v>
      </c>
      <c r="J240" s="5">
        <f t="shared" si="20"/>
        <v>35.247933884297524</v>
      </c>
      <c r="L240" s="5">
        <f t="shared" si="21"/>
        <v>0</v>
      </c>
      <c r="M240" s="8">
        <v>42.65</v>
      </c>
      <c r="N240" s="2" t="s">
        <v>21</v>
      </c>
      <c r="O240" s="3" t="s">
        <v>67</v>
      </c>
    </row>
    <row r="241" spans="1:15" x14ac:dyDescent="0.35">
      <c r="A241" s="4">
        <v>45427</v>
      </c>
      <c r="B241" s="2" t="s">
        <v>1595</v>
      </c>
      <c r="D241" s="2" t="s">
        <v>109</v>
      </c>
      <c r="E241" s="2" t="s">
        <v>42</v>
      </c>
      <c r="F241" s="5" t="str">
        <f t="shared" si="18"/>
        <v>24107742 DISCESUR</v>
      </c>
      <c r="G241" s="12">
        <f t="shared" si="19"/>
        <v>117.80165289256198</v>
      </c>
      <c r="H241">
        <v>21</v>
      </c>
      <c r="I241" s="5">
        <f t="shared" si="22"/>
        <v>24.738347107438017</v>
      </c>
      <c r="J241" s="5">
        <f t="shared" si="20"/>
        <v>117.80165289256198</v>
      </c>
      <c r="L241" s="5">
        <f t="shared" si="21"/>
        <v>0</v>
      </c>
      <c r="M241" s="8">
        <v>142.54</v>
      </c>
      <c r="N241" s="2" t="s">
        <v>21</v>
      </c>
      <c r="O241" s="3" t="s">
        <v>67</v>
      </c>
    </row>
    <row r="242" spans="1:15" x14ac:dyDescent="0.35">
      <c r="A242" s="4">
        <v>45412</v>
      </c>
      <c r="B242" s="2" t="s">
        <v>1596</v>
      </c>
      <c r="D242" s="2" t="s">
        <v>95</v>
      </c>
      <c r="E242" s="2" t="s">
        <v>96</v>
      </c>
      <c r="F242" s="5" t="str">
        <f t="shared" si="18"/>
        <v>08/24 MARCEL DUMITER BEGOFF</v>
      </c>
      <c r="G242" s="12">
        <f t="shared" si="19"/>
        <v>842.97520661157023</v>
      </c>
      <c r="H242">
        <v>21</v>
      </c>
      <c r="I242" s="5">
        <f t="shared" si="22"/>
        <v>177.02479338842974</v>
      </c>
      <c r="J242" s="5">
        <f t="shared" si="20"/>
        <v>842.97520661157023</v>
      </c>
      <c r="L242" s="5">
        <f t="shared" si="21"/>
        <v>0</v>
      </c>
      <c r="M242" s="8">
        <v>1020</v>
      </c>
      <c r="N242" s="2" t="s">
        <v>37</v>
      </c>
      <c r="O242" s="3" t="s">
        <v>68</v>
      </c>
    </row>
    <row r="243" spans="1:15" x14ac:dyDescent="0.35">
      <c r="A243" s="4">
        <v>45429</v>
      </c>
      <c r="B243" s="2" t="s">
        <v>1597</v>
      </c>
      <c r="D243" s="2" t="s">
        <v>94</v>
      </c>
      <c r="E243" s="2" t="s">
        <v>139</v>
      </c>
      <c r="F243" s="5" t="str">
        <f t="shared" si="18"/>
        <v>VEM/20001073 BIGMAT</v>
      </c>
      <c r="G243" s="12">
        <f t="shared" si="19"/>
        <v>103.26</v>
      </c>
      <c r="H243">
        <v>0</v>
      </c>
      <c r="I243" s="5">
        <f t="shared" si="22"/>
        <v>0</v>
      </c>
      <c r="J243" s="5">
        <f t="shared" si="20"/>
        <v>103.26</v>
      </c>
      <c r="L243" s="5">
        <f t="shared" si="21"/>
        <v>0</v>
      </c>
      <c r="M243" s="8">
        <v>103.26</v>
      </c>
      <c r="N243" s="2" t="s">
        <v>21</v>
      </c>
      <c r="O243" s="3" t="s">
        <v>68</v>
      </c>
    </row>
    <row r="244" spans="1:15" x14ac:dyDescent="0.35">
      <c r="A244" s="4">
        <v>45432</v>
      </c>
      <c r="B244" s="2" t="s">
        <v>1598</v>
      </c>
      <c r="D244" s="2" t="s">
        <v>94</v>
      </c>
      <c r="E244" s="2" t="s">
        <v>139</v>
      </c>
      <c r="F244" s="5" t="str">
        <f t="shared" si="18"/>
        <v>VEN/20253928 BIGMAT</v>
      </c>
      <c r="G244" s="12">
        <f t="shared" si="19"/>
        <v>648.61983471074382</v>
      </c>
      <c r="H244">
        <v>21</v>
      </c>
      <c r="I244" s="5">
        <f t="shared" si="22"/>
        <v>136.2101652892562</v>
      </c>
      <c r="J244" s="5">
        <f t="shared" si="20"/>
        <v>648.61983471074382</v>
      </c>
      <c r="L244" s="5">
        <f t="shared" si="21"/>
        <v>0</v>
      </c>
      <c r="M244" s="8">
        <v>784.83</v>
      </c>
      <c r="N244" s="2" t="s">
        <v>21</v>
      </c>
      <c r="O244" s="3" t="s">
        <v>67</v>
      </c>
    </row>
    <row r="245" spans="1:15" x14ac:dyDescent="0.35">
      <c r="A245" s="4">
        <v>45420</v>
      </c>
      <c r="B245" s="2" t="s">
        <v>123</v>
      </c>
      <c r="D245" s="2" t="s">
        <v>134</v>
      </c>
      <c r="E245" s="2" t="s">
        <v>143</v>
      </c>
      <c r="F245" s="5" t="str">
        <f t="shared" si="18"/>
        <v>50 IOAN NICULAI</v>
      </c>
      <c r="G245" s="12">
        <f t="shared" si="19"/>
        <v>8264.4628099173551</v>
      </c>
      <c r="H245">
        <v>21</v>
      </c>
      <c r="I245" s="5">
        <f t="shared" si="22"/>
        <v>1735.5371900826444</v>
      </c>
      <c r="J245" s="5">
        <f t="shared" si="20"/>
        <v>8264.4628099173551</v>
      </c>
      <c r="L245" s="5">
        <f t="shared" si="21"/>
        <v>0</v>
      </c>
      <c r="M245" s="8">
        <v>10000</v>
      </c>
      <c r="N245" s="2" t="s">
        <v>37</v>
      </c>
      <c r="O245" s="3" t="s">
        <v>68</v>
      </c>
    </row>
    <row r="246" spans="1:15" x14ac:dyDescent="0.35">
      <c r="A246" s="4">
        <v>45433</v>
      </c>
      <c r="B246" s="2" t="s">
        <v>1599</v>
      </c>
      <c r="D246" s="2" t="s">
        <v>85</v>
      </c>
      <c r="E246" s="2" t="s">
        <v>32</v>
      </c>
      <c r="F246" s="5" t="str">
        <f t="shared" si="18"/>
        <v>20240063 XVENT</v>
      </c>
      <c r="G246" s="12">
        <f t="shared" si="19"/>
        <v>4558.2727272727279</v>
      </c>
      <c r="H246">
        <v>21</v>
      </c>
      <c r="I246" s="5">
        <f t="shared" si="22"/>
        <v>957.23727272727297</v>
      </c>
      <c r="J246" s="5">
        <f t="shared" si="20"/>
        <v>4558.2727272727279</v>
      </c>
      <c r="L246" s="5">
        <f t="shared" si="21"/>
        <v>0</v>
      </c>
      <c r="M246" s="8">
        <v>5515.51</v>
      </c>
      <c r="N246" s="2" t="s">
        <v>37</v>
      </c>
      <c r="O246" s="3" t="s">
        <v>68</v>
      </c>
    </row>
    <row r="247" spans="1:15" x14ac:dyDescent="0.35">
      <c r="A247" s="4">
        <v>45383</v>
      </c>
      <c r="B247" s="2" t="s">
        <v>631</v>
      </c>
      <c r="D247" s="2" t="s">
        <v>45</v>
      </c>
      <c r="E247" s="2" t="s">
        <v>163</v>
      </c>
      <c r="F247" s="5" t="str">
        <f t="shared" si="18"/>
        <v>04/24 EMANUEL CODITA</v>
      </c>
      <c r="G247" s="12">
        <f t="shared" si="19"/>
        <v>200</v>
      </c>
      <c r="H247">
        <v>21</v>
      </c>
      <c r="I247" s="5">
        <f t="shared" si="22"/>
        <v>42</v>
      </c>
      <c r="J247" s="5">
        <f t="shared" si="20"/>
        <v>200</v>
      </c>
      <c r="K247">
        <v>19</v>
      </c>
      <c r="L247" s="5">
        <f t="shared" si="21"/>
        <v>38</v>
      </c>
      <c r="M247" s="8">
        <v>204</v>
      </c>
      <c r="N247" s="2" t="s">
        <v>46</v>
      </c>
      <c r="O247" s="3" t="s">
        <v>68</v>
      </c>
    </row>
    <row r="248" spans="1:15" x14ac:dyDescent="0.35">
      <c r="A248" s="4">
        <v>45383</v>
      </c>
      <c r="B248" s="2" t="s">
        <v>631</v>
      </c>
      <c r="D248" s="2" t="s">
        <v>1604</v>
      </c>
      <c r="E248" s="2" t="s">
        <v>1605</v>
      </c>
      <c r="F248" s="5" t="str">
        <f t="shared" si="18"/>
        <v>04/24 OLARIU SILAVA ADRIANA</v>
      </c>
      <c r="G248" s="12">
        <f t="shared" si="19"/>
        <v>200</v>
      </c>
      <c r="H248">
        <v>21</v>
      </c>
      <c r="I248" s="5">
        <f t="shared" si="22"/>
        <v>42</v>
      </c>
      <c r="J248" s="5">
        <f t="shared" si="20"/>
        <v>200</v>
      </c>
      <c r="K248">
        <v>19</v>
      </c>
      <c r="L248" s="5">
        <f t="shared" si="21"/>
        <v>38</v>
      </c>
      <c r="M248" s="8">
        <v>204</v>
      </c>
      <c r="N248" s="2" t="s">
        <v>46</v>
      </c>
      <c r="O248" s="3" t="s">
        <v>68</v>
      </c>
    </row>
    <row r="249" spans="1:15" x14ac:dyDescent="0.35">
      <c r="A249" s="4">
        <v>45413</v>
      </c>
      <c r="B249" s="2" t="s">
        <v>1159</v>
      </c>
      <c r="D249" s="2" t="s">
        <v>45</v>
      </c>
      <c r="E249" s="2" t="s">
        <v>163</v>
      </c>
      <c r="F249" s="5" t="str">
        <f t="shared" si="18"/>
        <v>05/24 EMANUEL CODITA</v>
      </c>
      <c r="G249" s="12">
        <f t="shared" si="19"/>
        <v>200</v>
      </c>
      <c r="H249">
        <v>21</v>
      </c>
      <c r="I249" s="5">
        <f t="shared" si="22"/>
        <v>42</v>
      </c>
      <c r="J249" s="5">
        <f t="shared" si="20"/>
        <v>200</v>
      </c>
      <c r="K249">
        <v>19</v>
      </c>
      <c r="L249" s="5">
        <f t="shared" si="21"/>
        <v>38</v>
      </c>
      <c r="M249" s="8">
        <v>204</v>
      </c>
      <c r="N249" s="2" t="s">
        <v>46</v>
      </c>
      <c r="O249" s="3" t="s">
        <v>68</v>
      </c>
    </row>
    <row r="250" spans="1:15" x14ac:dyDescent="0.35">
      <c r="A250" s="4">
        <v>45413</v>
      </c>
      <c r="B250" s="2" t="s">
        <v>1159</v>
      </c>
      <c r="D250" s="2" t="s">
        <v>1604</v>
      </c>
      <c r="E250" s="2" t="s">
        <v>1605</v>
      </c>
      <c r="F250" s="5" t="str">
        <f t="shared" si="18"/>
        <v>05/24 OLARIU SILAVA ADRIANA</v>
      </c>
      <c r="G250" s="12">
        <f t="shared" si="19"/>
        <v>200</v>
      </c>
      <c r="H250">
        <v>21</v>
      </c>
      <c r="I250" s="5">
        <f t="shared" si="22"/>
        <v>42</v>
      </c>
      <c r="J250" s="5">
        <f t="shared" si="20"/>
        <v>200</v>
      </c>
      <c r="K250">
        <v>19</v>
      </c>
      <c r="L250" s="5">
        <f t="shared" si="21"/>
        <v>38</v>
      </c>
      <c r="M250" s="8">
        <v>204</v>
      </c>
      <c r="N250" s="2" t="s">
        <v>46</v>
      </c>
      <c r="O250" s="3" t="s">
        <v>68</v>
      </c>
    </row>
    <row r="251" spans="1:15" x14ac:dyDescent="0.35">
      <c r="A251" s="4">
        <v>45444</v>
      </c>
      <c r="B251" s="2" t="s">
        <v>1258</v>
      </c>
      <c r="D251" s="2" t="s">
        <v>45</v>
      </c>
      <c r="E251" s="2" t="s">
        <v>163</v>
      </c>
      <c r="F251" s="5" t="str">
        <f t="shared" si="18"/>
        <v>06/24 EMANUEL CODITA</v>
      </c>
      <c r="G251" s="12">
        <f t="shared" si="19"/>
        <v>200</v>
      </c>
      <c r="H251">
        <v>21</v>
      </c>
      <c r="I251" s="5">
        <f t="shared" si="22"/>
        <v>42</v>
      </c>
      <c r="J251" s="5">
        <f t="shared" si="20"/>
        <v>200</v>
      </c>
      <c r="K251">
        <v>19</v>
      </c>
      <c r="L251" s="5">
        <f t="shared" si="21"/>
        <v>38</v>
      </c>
      <c r="M251" s="8">
        <v>204</v>
      </c>
      <c r="N251" s="2" t="s">
        <v>46</v>
      </c>
      <c r="O251" s="3" t="s">
        <v>68</v>
      </c>
    </row>
    <row r="252" spans="1:15" x14ac:dyDescent="0.35">
      <c r="A252" s="4">
        <v>45444</v>
      </c>
      <c r="B252" s="2" t="s">
        <v>1258</v>
      </c>
      <c r="D252" s="2" t="s">
        <v>1604</v>
      </c>
      <c r="E252" s="2" t="s">
        <v>1605</v>
      </c>
      <c r="F252" s="5" t="str">
        <f t="shared" ref="F252:F308" si="23">CONCATENATE(S252,B252," ",E252)</f>
        <v>06/24 OLARIU SILAVA ADRIANA</v>
      </c>
      <c r="G252" s="12">
        <f t="shared" si="19"/>
        <v>200</v>
      </c>
      <c r="H252">
        <v>21</v>
      </c>
      <c r="I252" s="5">
        <f t="shared" si="22"/>
        <v>42</v>
      </c>
      <c r="J252" s="5">
        <f t="shared" si="20"/>
        <v>200</v>
      </c>
      <c r="K252">
        <v>19</v>
      </c>
      <c r="L252" s="5">
        <f t="shared" si="21"/>
        <v>38</v>
      </c>
      <c r="M252" s="8">
        <v>204</v>
      </c>
      <c r="N252" s="2" t="s">
        <v>46</v>
      </c>
      <c r="O252" s="3" t="s">
        <v>68</v>
      </c>
    </row>
    <row r="253" spans="1:15" x14ac:dyDescent="0.35">
      <c r="A253" s="4">
        <v>45428</v>
      </c>
      <c r="B253" s="2" t="s">
        <v>1606</v>
      </c>
      <c r="D253" s="2" t="s">
        <v>1248</v>
      </c>
      <c r="E253" s="2" t="s">
        <v>1249</v>
      </c>
      <c r="F253" s="5" t="str">
        <f t="shared" si="23"/>
        <v>004 SADOVSKI IGOR</v>
      </c>
      <c r="G253" s="12">
        <f t="shared" si="19"/>
        <v>660</v>
      </c>
      <c r="H253">
        <v>0</v>
      </c>
      <c r="I253" s="5">
        <f t="shared" si="22"/>
        <v>0</v>
      </c>
      <c r="J253" s="5">
        <f t="shared" si="20"/>
        <v>660</v>
      </c>
      <c r="L253" s="5">
        <f t="shared" si="21"/>
        <v>0</v>
      </c>
      <c r="M253" s="8">
        <v>660</v>
      </c>
      <c r="N253" s="2" t="s">
        <v>1250</v>
      </c>
      <c r="O253" s="3" t="s">
        <v>68</v>
      </c>
    </row>
    <row r="254" spans="1:15" x14ac:dyDescent="0.35">
      <c r="A254" s="4">
        <v>45379</v>
      </c>
      <c r="B254" s="2" t="s">
        <v>1609</v>
      </c>
      <c r="D254" s="2" t="s">
        <v>58</v>
      </c>
      <c r="E254" s="2" t="s">
        <v>1172</v>
      </c>
      <c r="F254" s="5" t="str">
        <f t="shared" si="23"/>
        <v>007-0003-479630 BRICOLAJE BRICOMAN SLU</v>
      </c>
      <c r="G254" s="12">
        <f t="shared" si="19"/>
        <v>91.107438016528917</v>
      </c>
      <c r="H254">
        <v>21</v>
      </c>
      <c r="I254" s="5">
        <f t="shared" si="22"/>
        <v>19.132561983471074</v>
      </c>
      <c r="J254" s="5">
        <f t="shared" si="20"/>
        <v>91.107438016528917</v>
      </c>
      <c r="L254" s="5">
        <f t="shared" si="21"/>
        <v>0</v>
      </c>
      <c r="M254" s="8">
        <v>110.24</v>
      </c>
      <c r="N254" s="2" t="s">
        <v>21</v>
      </c>
      <c r="O254" s="3" t="s">
        <v>64</v>
      </c>
    </row>
    <row r="255" spans="1:15" x14ac:dyDescent="0.35">
      <c r="A255" s="4">
        <v>45409</v>
      </c>
      <c r="B255" s="2" t="s">
        <v>1610</v>
      </c>
      <c r="D255" s="2" t="s">
        <v>57</v>
      </c>
      <c r="E255" s="2" t="s">
        <v>44</v>
      </c>
      <c r="F255" s="5" t="str">
        <f t="shared" si="23"/>
        <v>046-0004-947036 LEROY MERLIN</v>
      </c>
      <c r="G255" s="12">
        <f t="shared" si="19"/>
        <v>44.471074380165291</v>
      </c>
      <c r="H255">
        <v>21</v>
      </c>
      <c r="I255" s="5">
        <f t="shared" si="22"/>
        <v>9.3389256198347113</v>
      </c>
      <c r="J255" s="5">
        <f t="shared" si="20"/>
        <v>44.471074380165291</v>
      </c>
      <c r="L255" s="5">
        <f t="shared" si="21"/>
        <v>0</v>
      </c>
      <c r="M255" s="8">
        <v>53.81</v>
      </c>
      <c r="N255" s="2" t="s">
        <v>21</v>
      </c>
      <c r="O255" s="3" t="s">
        <v>64</v>
      </c>
    </row>
    <row r="256" spans="1:15" x14ac:dyDescent="0.35">
      <c r="A256" s="4">
        <v>45400</v>
      </c>
      <c r="B256" s="2" t="s">
        <v>1611</v>
      </c>
      <c r="D256" s="2" t="s">
        <v>1612</v>
      </c>
      <c r="E256" s="2" t="s">
        <v>1613</v>
      </c>
      <c r="F256" s="5" t="str">
        <f t="shared" si="23"/>
        <v>240840 MADEMOL NATURAL SL</v>
      </c>
      <c r="G256" s="12">
        <f t="shared" si="19"/>
        <v>107.60330578512396</v>
      </c>
      <c r="H256">
        <v>21</v>
      </c>
      <c r="I256" s="5">
        <f t="shared" si="22"/>
        <v>22.596694214876035</v>
      </c>
      <c r="J256" s="5">
        <f t="shared" si="20"/>
        <v>107.60330578512396</v>
      </c>
      <c r="L256" s="5">
        <f t="shared" si="21"/>
        <v>0</v>
      </c>
      <c r="M256" s="8">
        <v>130.19999999999999</v>
      </c>
      <c r="N256" s="2" t="s">
        <v>21</v>
      </c>
      <c r="O256" s="3" t="s">
        <v>63</v>
      </c>
    </row>
    <row r="257" spans="1:15" x14ac:dyDescent="0.35">
      <c r="A257" s="4">
        <v>45412</v>
      </c>
      <c r="B257" s="2" t="s">
        <v>1614</v>
      </c>
      <c r="D257" s="2" t="s">
        <v>57</v>
      </c>
      <c r="E257" s="2" t="s">
        <v>44</v>
      </c>
      <c r="F257" s="5" t="str">
        <f t="shared" si="23"/>
        <v>016-0004-765767 LEROY MERLIN</v>
      </c>
      <c r="G257" s="12">
        <f t="shared" si="19"/>
        <v>35.81818181818182</v>
      </c>
      <c r="H257">
        <v>21</v>
      </c>
      <c r="I257" s="5">
        <f t="shared" si="22"/>
        <v>7.5218181818181824</v>
      </c>
      <c r="J257" s="5">
        <f t="shared" si="20"/>
        <v>35.81818181818182</v>
      </c>
      <c r="L257" s="5">
        <f t="shared" si="21"/>
        <v>0</v>
      </c>
      <c r="M257" s="8">
        <v>43.34</v>
      </c>
      <c r="N257" s="2" t="s">
        <v>21</v>
      </c>
      <c r="O257" s="3" t="s">
        <v>63</v>
      </c>
    </row>
    <row r="258" spans="1:15" x14ac:dyDescent="0.35">
      <c r="A258" s="4">
        <v>45386</v>
      </c>
      <c r="B258" s="2" t="s">
        <v>1615</v>
      </c>
      <c r="D258" s="2" t="s">
        <v>1616</v>
      </c>
      <c r="E258" s="2" t="s">
        <v>1617</v>
      </c>
      <c r="F258" s="5" t="str">
        <f t="shared" si="23"/>
        <v>A483 MAS COLOR</v>
      </c>
      <c r="G258" s="12">
        <f t="shared" si="19"/>
        <v>15</v>
      </c>
      <c r="H258">
        <v>21</v>
      </c>
      <c r="I258" s="5">
        <f t="shared" si="22"/>
        <v>3.15</v>
      </c>
      <c r="J258" s="5">
        <f t="shared" si="20"/>
        <v>15</v>
      </c>
      <c r="L258" s="5">
        <f t="shared" si="21"/>
        <v>0</v>
      </c>
      <c r="M258" s="8">
        <v>18.149999999999999</v>
      </c>
      <c r="N258" s="2" t="s">
        <v>21</v>
      </c>
      <c r="O258" s="3" t="s">
        <v>63</v>
      </c>
    </row>
    <row r="259" spans="1:15" x14ac:dyDescent="0.35">
      <c r="A259" s="4">
        <v>45394</v>
      </c>
      <c r="B259" s="2" t="s">
        <v>1618</v>
      </c>
      <c r="D259" s="2" t="s">
        <v>1619</v>
      </c>
      <c r="E259" s="2" t="s">
        <v>1620</v>
      </c>
      <c r="F259" s="5" t="str">
        <f t="shared" si="23"/>
        <v>06718/24 SUMINISTROS VILLAVICIOSA S.L.</v>
      </c>
      <c r="G259" s="12">
        <f t="shared" si="19"/>
        <v>177.099173553719</v>
      </c>
      <c r="H259">
        <v>21</v>
      </c>
      <c r="I259" s="5">
        <f t="shared" si="22"/>
        <v>37.190826446280987</v>
      </c>
      <c r="J259" s="5">
        <f t="shared" si="20"/>
        <v>177.099173553719</v>
      </c>
      <c r="L259" s="5">
        <f t="shared" si="21"/>
        <v>0</v>
      </c>
      <c r="M259" s="8">
        <v>214.29</v>
      </c>
      <c r="N259" s="2" t="s">
        <v>21</v>
      </c>
      <c r="O259" s="3" t="s">
        <v>63</v>
      </c>
    </row>
    <row r="260" spans="1:15" x14ac:dyDescent="0.35">
      <c r="A260" s="4">
        <v>45397</v>
      </c>
      <c r="B260" s="2" t="s">
        <v>1621</v>
      </c>
      <c r="D260" s="2" t="s">
        <v>1619</v>
      </c>
      <c r="E260" s="2" t="s">
        <v>1620</v>
      </c>
      <c r="F260" s="5" t="str">
        <f t="shared" si="23"/>
        <v>06866/24 SUMINISTROS VILLAVICIOSA S.L.</v>
      </c>
      <c r="G260" s="12">
        <f t="shared" si="19"/>
        <v>106.25619834710743</v>
      </c>
      <c r="H260">
        <v>21</v>
      </c>
      <c r="I260" s="5">
        <f t="shared" si="22"/>
        <v>22.313801652892561</v>
      </c>
      <c r="J260" s="5">
        <f t="shared" si="20"/>
        <v>106.25619834710743</v>
      </c>
      <c r="L260" s="5">
        <f t="shared" si="21"/>
        <v>0</v>
      </c>
      <c r="M260" s="8">
        <v>128.57</v>
      </c>
      <c r="N260" s="2" t="s">
        <v>21</v>
      </c>
      <c r="O260" s="3" t="s">
        <v>64</v>
      </c>
    </row>
    <row r="261" spans="1:15" x14ac:dyDescent="0.35">
      <c r="A261" s="4">
        <v>45390</v>
      </c>
      <c r="B261" s="2" t="s">
        <v>1622</v>
      </c>
      <c r="D261" s="2" t="s">
        <v>58</v>
      </c>
      <c r="E261" s="2" t="s">
        <v>1172</v>
      </c>
      <c r="F261" s="5" t="str">
        <f t="shared" si="23"/>
        <v>011-0004-821963 BRICOLAJE BRICOMAN SLU</v>
      </c>
      <c r="G261" s="12">
        <f t="shared" si="19"/>
        <v>9.5867768595041323</v>
      </c>
      <c r="H261">
        <v>21</v>
      </c>
      <c r="I261" s="5">
        <f t="shared" si="22"/>
        <v>2.0132231404958678</v>
      </c>
      <c r="J261" s="5">
        <f t="shared" si="20"/>
        <v>9.5867768595041323</v>
      </c>
      <c r="L261" s="5">
        <f t="shared" si="21"/>
        <v>0</v>
      </c>
      <c r="M261" s="8">
        <v>11.6</v>
      </c>
      <c r="N261" s="2" t="s">
        <v>21</v>
      </c>
      <c r="O261" s="3" t="s">
        <v>63</v>
      </c>
    </row>
    <row r="262" spans="1:15" x14ac:dyDescent="0.35">
      <c r="A262" s="4">
        <v>45411</v>
      </c>
      <c r="B262" s="2" t="s">
        <v>1623</v>
      </c>
      <c r="D262" s="2" t="s">
        <v>89</v>
      </c>
      <c r="E262" s="2" t="s">
        <v>90</v>
      </c>
      <c r="F262" s="5" t="str">
        <f t="shared" si="23"/>
        <v>E12007224TS000FE000482 GALP</v>
      </c>
      <c r="G262" s="12">
        <f t="shared" si="19"/>
        <v>57.851239669421489</v>
      </c>
      <c r="H262">
        <v>21</v>
      </c>
      <c r="I262" s="5">
        <f t="shared" si="22"/>
        <v>12.148760330578511</v>
      </c>
      <c r="J262" s="5">
        <f t="shared" si="20"/>
        <v>57.851239669421489</v>
      </c>
      <c r="L262" s="5">
        <f t="shared" si="21"/>
        <v>0</v>
      </c>
      <c r="M262" s="8">
        <v>70</v>
      </c>
      <c r="N262" s="2" t="s">
        <v>22</v>
      </c>
      <c r="O262" s="3" t="s">
        <v>63</v>
      </c>
    </row>
    <row r="263" spans="1:15" x14ac:dyDescent="0.35">
      <c r="A263" s="4">
        <v>45408</v>
      </c>
      <c r="B263" s="2" t="s">
        <v>1624</v>
      </c>
      <c r="D263" s="2" t="s">
        <v>49</v>
      </c>
      <c r="E263" s="2" t="s">
        <v>124</v>
      </c>
      <c r="F263" s="5" t="str">
        <f t="shared" si="23"/>
        <v>011064024/00003915 CIA ESPAÑOLA DIST PETROLEOS</v>
      </c>
      <c r="G263" s="12">
        <f t="shared" si="19"/>
        <v>25.743801652892561</v>
      </c>
      <c r="H263">
        <v>21</v>
      </c>
      <c r="I263" s="5">
        <f t="shared" si="22"/>
        <v>5.4061983471074377</v>
      </c>
      <c r="J263" s="5">
        <f t="shared" si="20"/>
        <v>25.743801652892561</v>
      </c>
      <c r="L263" s="5">
        <f t="shared" si="21"/>
        <v>0</v>
      </c>
      <c r="M263" s="8">
        <v>31.15</v>
      </c>
      <c r="N263" s="2" t="s">
        <v>22</v>
      </c>
      <c r="O263" s="3" t="s">
        <v>64</v>
      </c>
    </row>
    <row r="264" spans="1:15" x14ac:dyDescent="0.35">
      <c r="A264" s="4">
        <v>45434</v>
      </c>
      <c r="B264" s="2" t="s">
        <v>1625</v>
      </c>
      <c r="D264" s="2" t="s">
        <v>1626</v>
      </c>
      <c r="E264" s="2" t="s">
        <v>1627</v>
      </c>
      <c r="F264" s="5" t="str">
        <f t="shared" si="23"/>
        <v>F51-77360 EFECTO LED</v>
      </c>
      <c r="G264" s="12">
        <f t="shared" si="19"/>
        <v>193.32231404958677</v>
      </c>
      <c r="H264">
        <v>21</v>
      </c>
      <c r="I264" s="5">
        <f t="shared" si="22"/>
        <v>40.597685950413222</v>
      </c>
      <c r="J264" s="5">
        <f t="shared" si="20"/>
        <v>193.32231404958677</v>
      </c>
      <c r="L264" s="5">
        <f t="shared" si="21"/>
        <v>0</v>
      </c>
      <c r="M264" s="8">
        <v>233.92</v>
      </c>
      <c r="N264" s="2" t="s">
        <v>21</v>
      </c>
      <c r="O264" s="3" t="s">
        <v>64</v>
      </c>
    </row>
    <row r="265" spans="1:15" x14ac:dyDescent="0.35">
      <c r="A265" s="4">
        <v>45422</v>
      </c>
      <c r="B265" s="2" t="s">
        <v>1628</v>
      </c>
      <c r="D265" s="2" t="s">
        <v>58</v>
      </c>
      <c r="E265" s="2" t="s">
        <v>1172</v>
      </c>
      <c r="F265" s="5" t="str">
        <f t="shared" si="23"/>
        <v>011-0005-878692 BRICOLAJE BRICOMAN SLU</v>
      </c>
      <c r="G265" s="12">
        <f t="shared" si="19"/>
        <v>9.6280991735537196</v>
      </c>
      <c r="H265">
        <v>21</v>
      </c>
      <c r="I265" s="5">
        <f t="shared" si="22"/>
        <v>2.0219008264462812</v>
      </c>
      <c r="J265" s="5">
        <f t="shared" si="20"/>
        <v>9.6280991735537196</v>
      </c>
      <c r="L265" s="5">
        <f t="shared" si="21"/>
        <v>0</v>
      </c>
      <c r="M265" s="8">
        <v>11.65</v>
      </c>
      <c r="N265" s="2" t="s">
        <v>21</v>
      </c>
      <c r="O265" s="3" t="s">
        <v>64</v>
      </c>
    </row>
    <row r="266" spans="1:15" x14ac:dyDescent="0.35">
      <c r="A266" s="4">
        <v>45422</v>
      </c>
      <c r="B266" s="2" t="s">
        <v>1629</v>
      </c>
      <c r="D266" s="2" t="s">
        <v>58</v>
      </c>
      <c r="E266" s="2" t="s">
        <v>1172</v>
      </c>
      <c r="F266" s="5" t="str">
        <f t="shared" si="23"/>
        <v>011-0005-879639 BRICOLAJE BRICOMAN SLU</v>
      </c>
      <c r="G266" s="12">
        <f t="shared" si="19"/>
        <v>33.198347107438018</v>
      </c>
      <c r="H266">
        <v>21</v>
      </c>
      <c r="I266" s="5">
        <f t="shared" si="22"/>
        <v>6.9716528925619832</v>
      </c>
      <c r="J266" s="5">
        <f t="shared" si="20"/>
        <v>33.198347107438018</v>
      </c>
      <c r="L266" s="5">
        <f t="shared" si="21"/>
        <v>0</v>
      </c>
      <c r="M266" s="8">
        <v>40.17</v>
      </c>
      <c r="N266" s="2" t="s">
        <v>21</v>
      </c>
      <c r="O266" s="3" t="s">
        <v>64</v>
      </c>
    </row>
    <row r="267" spans="1:15" x14ac:dyDescent="0.35">
      <c r="A267" s="4">
        <v>45415</v>
      </c>
      <c r="B267" s="2" t="s">
        <v>1630</v>
      </c>
      <c r="D267" s="2" t="s">
        <v>57</v>
      </c>
      <c r="E267" s="2" t="s">
        <v>44</v>
      </c>
      <c r="F267" s="5" t="str">
        <f t="shared" si="23"/>
        <v>272-0005-147518 LEROY MERLIN</v>
      </c>
      <c r="G267" s="12">
        <f t="shared" si="19"/>
        <v>2.4710743801652897</v>
      </c>
      <c r="H267">
        <v>21</v>
      </c>
      <c r="I267" s="5">
        <f t="shared" si="22"/>
        <v>0.51892561983471086</v>
      </c>
      <c r="J267" s="5">
        <f t="shared" si="20"/>
        <v>2.4710743801652897</v>
      </c>
      <c r="L267" s="5">
        <f t="shared" si="21"/>
        <v>0</v>
      </c>
      <c r="M267" s="8">
        <v>2.99</v>
      </c>
      <c r="N267" s="2" t="s">
        <v>21</v>
      </c>
      <c r="O267" s="3" t="s">
        <v>63</v>
      </c>
    </row>
    <row r="268" spans="1:15" x14ac:dyDescent="0.35">
      <c r="A268" s="4">
        <v>45418</v>
      </c>
      <c r="B268" s="2" t="s">
        <v>1631</v>
      </c>
      <c r="D268" s="2" t="s">
        <v>35</v>
      </c>
      <c r="E268" s="2" t="s">
        <v>167</v>
      </c>
      <c r="F268" s="5" t="str">
        <f t="shared" si="23"/>
        <v>0240006826 PINTODIS SL</v>
      </c>
      <c r="G268" s="12">
        <f t="shared" si="19"/>
        <v>33.057851239669425</v>
      </c>
      <c r="H268">
        <v>21</v>
      </c>
      <c r="I268" s="5">
        <f t="shared" si="22"/>
        <v>6.9421487603305794</v>
      </c>
      <c r="J268" s="5">
        <f t="shared" si="20"/>
        <v>33.057851239669425</v>
      </c>
      <c r="L268" s="5">
        <f t="shared" si="21"/>
        <v>0</v>
      </c>
      <c r="M268" s="8">
        <v>40</v>
      </c>
      <c r="N268" s="2" t="s">
        <v>22</v>
      </c>
      <c r="O268" s="3" t="s">
        <v>64</v>
      </c>
    </row>
    <row r="269" spans="1:15" x14ac:dyDescent="0.35">
      <c r="A269" s="4">
        <v>45421</v>
      </c>
      <c r="B269" s="2" t="s">
        <v>1632</v>
      </c>
      <c r="D269" s="2" t="s">
        <v>35</v>
      </c>
      <c r="E269" s="2" t="s">
        <v>167</v>
      </c>
      <c r="F269" s="5" t="str">
        <f t="shared" si="23"/>
        <v>0240007017 PINTODIS SL</v>
      </c>
      <c r="G269" s="12">
        <f t="shared" si="19"/>
        <v>49.586776859504134</v>
      </c>
      <c r="H269">
        <v>21</v>
      </c>
      <c r="I269" s="5">
        <f t="shared" si="22"/>
        <v>10.413223140495868</v>
      </c>
      <c r="J269" s="5">
        <f t="shared" si="20"/>
        <v>49.586776859504134</v>
      </c>
      <c r="L269" s="5">
        <f t="shared" si="21"/>
        <v>0</v>
      </c>
      <c r="M269" s="8">
        <v>60</v>
      </c>
      <c r="N269" s="2" t="s">
        <v>22</v>
      </c>
      <c r="O269" s="3" t="s">
        <v>64</v>
      </c>
    </row>
    <row r="270" spans="1:15" x14ac:dyDescent="0.35">
      <c r="A270" s="4">
        <v>45422</v>
      </c>
      <c r="B270" s="2" t="s">
        <v>1633</v>
      </c>
      <c r="D270" s="2" t="s">
        <v>58</v>
      </c>
      <c r="E270" s="2" t="s">
        <v>1172</v>
      </c>
      <c r="F270" s="5" t="str">
        <f t="shared" si="23"/>
        <v>024-0005-111891 BRICOLAJE BRICOMAN SLU</v>
      </c>
      <c r="G270" s="12">
        <f t="shared" si="19"/>
        <v>153.71900826446281</v>
      </c>
      <c r="H270">
        <v>21</v>
      </c>
      <c r="I270" s="5">
        <f t="shared" si="22"/>
        <v>32.280991735537192</v>
      </c>
      <c r="J270" s="5">
        <f t="shared" si="20"/>
        <v>153.71900826446281</v>
      </c>
      <c r="L270" s="5">
        <f t="shared" si="21"/>
        <v>0</v>
      </c>
      <c r="M270" s="8">
        <v>186</v>
      </c>
      <c r="N270" s="2" t="s">
        <v>21</v>
      </c>
      <c r="O270" s="3" t="s">
        <v>64</v>
      </c>
    </row>
    <row r="271" spans="1:15" x14ac:dyDescent="0.35">
      <c r="A271" s="4">
        <v>45418</v>
      </c>
      <c r="B271" s="2" t="s">
        <v>1634</v>
      </c>
      <c r="D271" s="2" t="s">
        <v>1119</v>
      </c>
      <c r="E271" s="2" t="s">
        <v>1506</v>
      </c>
      <c r="F271" s="5" t="str">
        <f t="shared" si="23"/>
        <v>452702194 GUARCONSA ALCOBENDAS</v>
      </c>
      <c r="G271" s="12">
        <f t="shared" ref="G271:G328" si="24">M271/(1-K271/100+H271/100)</f>
        <v>40.84297520661157</v>
      </c>
      <c r="H271">
        <v>21</v>
      </c>
      <c r="I271" s="5">
        <f t="shared" si="22"/>
        <v>8.5770247933884303</v>
      </c>
      <c r="J271" s="5">
        <f t="shared" ref="J271:J328" si="25">G271</f>
        <v>40.84297520661157</v>
      </c>
      <c r="L271" s="5">
        <f t="shared" ref="L271:L328" si="26">J271*K271/100</f>
        <v>0</v>
      </c>
      <c r="M271" s="8">
        <v>49.42</v>
      </c>
      <c r="N271" s="2" t="s">
        <v>21</v>
      </c>
      <c r="O271" s="3" t="s">
        <v>64</v>
      </c>
    </row>
    <row r="272" spans="1:15" x14ac:dyDescent="0.35">
      <c r="A272" s="4">
        <v>45423</v>
      </c>
      <c r="B272" s="2" t="s">
        <v>1635</v>
      </c>
      <c r="D272" s="2" t="s">
        <v>58</v>
      </c>
      <c r="E272" s="2" t="s">
        <v>1172</v>
      </c>
      <c r="F272" s="5" t="str">
        <f t="shared" si="23"/>
        <v>012-0005-940168 BRICOLAJE BRICOMAN SLU</v>
      </c>
      <c r="G272" s="12">
        <f t="shared" si="24"/>
        <v>12.314049586776861</v>
      </c>
      <c r="H272">
        <v>21</v>
      </c>
      <c r="I272" s="5">
        <f t="shared" ref="I272:I329" si="27">G272*H272/100</f>
        <v>2.5859504132231406</v>
      </c>
      <c r="J272" s="5">
        <f t="shared" si="25"/>
        <v>12.314049586776861</v>
      </c>
      <c r="L272" s="5">
        <f t="shared" si="26"/>
        <v>0</v>
      </c>
      <c r="M272" s="8">
        <v>14.9</v>
      </c>
      <c r="N272" s="2" t="s">
        <v>21</v>
      </c>
      <c r="O272" s="3" t="s">
        <v>63</v>
      </c>
    </row>
    <row r="273" spans="1:15" x14ac:dyDescent="0.35">
      <c r="A273" s="4">
        <v>45425</v>
      </c>
      <c r="B273" s="2" t="s">
        <v>1636</v>
      </c>
      <c r="D273" s="2" t="s">
        <v>57</v>
      </c>
      <c r="E273" s="2" t="s">
        <v>44</v>
      </c>
      <c r="F273" s="5" t="str">
        <f t="shared" si="23"/>
        <v>004-0005-078060 LEROY MERLIN</v>
      </c>
      <c r="G273" s="12">
        <f t="shared" si="24"/>
        <v>12.355371900826446</v>
      </c>
      <c r="H273">
        <v>21</v>
      </c>
      <c r="I273" s="5">
        <f t="shared" si="27"/>
        <v>2.5946280991735535</v>
      </c>
      <c r="J273" s="5">
        <f t="shared" si="25"/>
        <v>12.355371900826446</v>
      </c>
      <c r="L273" s="5">
        <f t="shared" si="26"/>
        <v>0</v>
      </c>
      <c r="M273" s="8">
        <v>14.95</v>
      </c>
      <c r="N273" s="2" t="s">
        <v>21</v>
      </c>
      <c r="O273" s="3" t="s">
        <v>63</v>
      </c>
    </row>
    <row r="274" spans="1:15" x14ac:dyDescent="0.35">
      <c r="A274" s="4">
        <v>45420</v>
      </c>
      <c r="B274" s="2" t="s">
        <v>1637</v>
      </c>
      <c r="D274" s="2" t="s">
        <v>57</v>
      </c>
      <c r="E274" s="2" t="s">
        <v>44</v>
      </c>
      <c r="F274" s="5" t="str">
        <f t="shared" si="23"/>
        <v>046-0005-R437929 LEROY MERLIN</v>
      </c>
      <c r="G274" s="12">
        <f t="shared" si="24"/>
        <v>-24.851239669421489</v>
      </c>
      <c r="H274">
        <v>21</v>
      </c>
      <c r="I274" s="5">
        <f t="shared" si="27"/>
        <v>-5.2187603305785126</v>
      </c>
      <c r="J274" s="5">
        <f t="shared" si="25"/>
        <v>-24.851239669421489</v>
      </c>
      <c r="L274" s="5">
        <f t="shared" si="26"/>
        <v>0</v>
      </c>
      <c r="M274" s="8">
        <v>-30.07</v>
      </c>
      <c r="N274" s="2" t="s">
        <v>21</v>
      </c>
      <c r="O274" s="3" t="s">
        <v>64</v>
      </c>
    </row>
    <row r="275" spans="1:15" x14ac:dyDescent="0.35">
      <c r="A275" s="4">
        <v>45423</v>
      </c>
      <c r="B275" s="2" t="s">
        <v>1638</v>
      </c>
      <c r="D275" s="2" t="s">
        <v>58</v>
      </c>
      <c r="E275" s="2" t="s">
        <v>1172</v>
      </c>
      <c r="F275" s="5" t="str">
        <f t="shared" si="23"/>
        <v>012-0005-940256 BRICOLAJE BRICOMAN SLU</v>
      </c>
      <c r="G275" s="12">
        <f t="shared" si="24"/>
        <v>11.528925619834711</v>
      </c>
      <c r="H275">
        <v>21</v>
      </c>
      <c r="I275" s="5">
        <f t="shared" si="27"/>
        <v>2.4210743801652894</v>
      </c>
      <c r="J275" s="5">
        <f t="shared" si="25"/>
        <v>11.528925619834711</v>
      </c>
      <c r="L275" s="5">
        <f t="shared" si="26"/>
        <v>0</v>
      </c>
      <c r="M275" s="8">
        <v>13.95</v>
      </c>
      <c r="N275" s="2" t="s">
        <v>21</v>
      </c>
      <c r="O275" s="3" t="s">
        <v>63</v>
      </c>
    </row>
    <row r="276" spans="1:15" x14ac:dyDescent="0.35">
      <c r="A276" s="4">
        <v>45422</v>
      </c>
      <c r="B276" s="2" t="s">
        <v>1639</v>
      </c>
      <c r="D276" s="2" t="s">
        <v>94</v>
      </c>
      <c r="E276" s="2" t="s">
        <v>139</v>
      </c>
      <c r="F276" s="5" t="str">
        <f t="shared" si="23"/>
        <v>00002-2024/A0102/00004643 BIGMAT</v>
      </c>
      <c r="G276" s="12">
        <f t="shared" si="24"/>
        <v>7.4297520661157028</v>
      </c>
      <c r="H276">
        <v>21</v>
      </c>
      <c r="I276" s="5">
        <f t="shared" si="27"/>
        <v>1.5602479338842976</v>
      </c>
      <c r="J276" s="5">
        <f t="shared" si="25"/>
        <v>7.4297520661157028</v>
      </c>
      <c r="L276" s="5">
        <f t="shared" si="26"/>
        <v>0</v>
      </c>
      <c r="M276" s="8">
        <v>8.99</v>
      </c>
      <c r="N276" s="2" t="s">
        <v>21</v>
      </c>
      <c r="O276" s="3" t="s">
        <v>63</v>
      </c>
    </row>
    <row r="277" spans="1:15" x14ac:dyDescent="0.35">
      <c r="A277" s="4">
        <v>45422</v>
      </c>
      <c r="B277" s="2" t="s">
        <v>1640</v>
      </c>
      <c r="D277" s="2" t="s">
        <v>94</v>
      </c>
      <c r="E277" s="2" t="s">
        <v>139</v>
      </c>
      <c r="F277" s="5" t="str">
        <f t="shared" si="23"/>
        <v>00002-2024/A0103/00008984 BIGMAT</v>
      </c>
      <c r="G277" s="12">
        <f t="shared" si="24"/>
        <v>15.867768595041323</v>
      </c>
      <c r="H277">
        <v>21</v>
      </c>
      <c r="I277" s="5">
        <f t="shared" si="27"/>
        <v>3.3322314049586779</v>
      </c>
      <c r="J277" s="5">
        <f t="shared" si="25"/>
        <v>15.867768595041323</v>
      </c>
      <c r="L277" s="5">
        <f t="shared" si="26"/>
        <v>0</v>
      </c>
      <c r="M277" s="8">
        <v>19.2</v>
      </c>
      <c r="N277" s="2" t="s">
        <v>21</v>
      </c>
      <c r="O277" s="3" t="s">
        <v>63</v>
      </c>
    </row>
    <row r="278" spans="1:15" x14ac:dyDescent="0.35">
      <c r="A278" s="4">
        <v>45421</v>
      </c>
      <c r="B278" s="2" t="s">
        <v>1641</v>
      </c>
      <c r="D278" s="2" t="s">
        <v>58</v>
      </c>
      <c r="E278" s="2" t="s">
        <v>1172</v>
      </c>
      <c r="F278" s="5" t="str">
        <f t="shared" si="23"/>
        <v>012-00005934486 BRICOLAJE BRICOMAN SLU</v>
      </c>
      <c r="G278" s="12">
        <f t="shared" si="24"/>
        <v>170.37190082644628</v>
      </c>
      <c r="H278">
        <v>21</v>
      </c>
      <c r="I278" s="5">
        <f t="shared" si="27"/>
        <v>35.77809917355372</v>
      </c>
      <c r="J278" s="5">
        <f t="shared" si="25"/>
        <v>170.37190082644628</v>
      </c>
      <c r="L278" s="5">
        <f t="shared" si="26"/>
        <v>0</v>
      </c>
      <c r="M278" s="8">
        <v>206.15</v>
      </c>
      <c r="N278" s="2" t="s">
        <v>21</v>
      </c>
      <c r="O278" s="3" t="s">
        <v>63</v>
      </c>
    </row>
    <row r="279" spans="1:15" x14ac:dyDescent="0.35">
      <c r="A279" s="4">
        <v>45422</v>
      </c>
      <c r="B279" s="2" t="s">
        <v>1642</v>
      </c>
      <c r="D279" s="2" t="s">
        <v>94</v>
      </c>
      <c r="E279" s="2" t="s">
        <v>139</v>
      </c>
      <c r="F279" s="5" t="str">
        <f t="shared" si="23"/>
        <v>00002-2024/A0101/00003767 BIGMAT</v>
      </c>
      <c r="G279" s="12">
        <f t="shared" si="24"/>
        <v>23.719008264462811</v>
      </c>
      <c r="H279">
        <v>21</v>
      </c>
      <c r="I279" s="5">
        <f t="shared" si="27"/>
        <v>4.9809917355371907</v>
      </c>
      <c r="J279" s="5">
        <f t="shared" si="25"/>
        <v>23.719008264462811</v>
      </c>
      <c r="L279" s="5">
        <f t="shared" si="26"/>
        <v>0</v>
      </c>
      <c r="M279" s="8">
        <v>28.7</v>
      </c>
      <c r="N279" s="2" t="s">
        <v>21</v>
      </c>
      <c r="O279" s="3" t="s">
        <v>63</v>
      </c>
    </row>
    <row r="280" spans="1:15" x14ac:dyDescent="0.35">
      <c r="A280" s="4">
        <v>45421</v>
      </c>
      <c r="B280" s="2" t="s">
        <v>1643</v>
      </c>
      <c r="D280" s="2" t="s">
        <v>82</v>
      </c>
      <c r="E280" s="2" t="s">
        <v>138</v>
      </c>
      <c r="F280" s="5" t="str">
        <f t="shared" si="23"/>
        <v>CO F24 0100001090 FILTROS ANCORA</v>
      </c>
      <c r="G280" s="12">
        <f t="shared" si="24"/>
        <v>30</v>
      </c>
      <c r="H280">
        <v>21</v>
      </c>
      <c r="I280" s="5">
        <f t="shared" si="27"/>
        <v>6.3</v>
      </c>
      <c r="J280" s="5">
        <f t="shared" si="25"/>
        <v>30</v>
      </c>
      <c r="L280" s="5">
        <f t="shared" si="26"/>
        <v>0</v>
      </c>
      <c r="M280" s="8">
        <v>36.299999999999997</v>
      </c>
      <c r="N280" s="2" t="s">
        <v>21</v>
      </c>
      <c r="O280" s="3" t="s">
        <v>64</v>
      </c>
    </row>
    <row r="281" spans="1:15" x14ac:dyDescent="0.35">
      <c r="A281" s="4">
        <v>45421</v>
      </c>
      <c r="B281" s="2" t="s">
        <v>1644</v>
      </c>
      <c r="D281" s="2" t="s">
        <v>89</v>
      </c>
      <c r="E281" s="2" t="s">
        <v>90</v>
      </c>
      <c r="F281" s="5" t="str">
        <f t="shared" si="23"/>
        <v>E12007224TS000FE000525 GALP</v>
      </c>
      <c r="G281" s="12">
        <f t="shared" si="24"/>
        <v>82.644628099173559</v>
      </c>
      <c r="H281">
        <v>21</v>
      </c>
      <c r="I281" s="5">
        <f t="shared" si="27"/>
        <v>17.355371900826448</v>
      </c>
      <c r="J281" s="5">
        <f t="shared" si="25"/>
        <v>82.644628099173559</v>
      </c>
      <c r="L281" s="5">
        <f t="shared" si="26"/>
        <v>0</v>
      </c>
      <c r="M281" s="8">
        <v>100</v>
      </c>
      <c r="N281" s="2" t="s">
        <v>22</v>
      </c>
      <c r="O281" s="3" t="s">
        <v>64</v>
      </c>
    </row>
    <row r="282" spans="1:15" x14ac:dyDescent="0.35">
      <c r="A282" s="4">
        <v>45420</v>
      </c>
      <c r="B282" s="2" t="s">
        <v>1645</v>
      </c>
      <c r="D282" s="2" t="s">
        <v>89</v>
      </c>
      <c r="E282" s="2" t="s">
        <v>90</v>
      </c>
      <c r="F282" s="5" t="str">
        <f t="shared" si="23"/>
        <v>E12002024000000750 GALP</v>
      </c>
      <c r="G282" s="12">
        <f t="shared" si="24"/>
        <v>41.32231404958678</v>
      </c>
      <c r="H282">
        <v>21</v>
      </c>
      <c r="I282" s="5">
        <f t="shared" si="27"/>
        <v>8.677685950413224</v>
      </c>
      <c r="J282" s="5">
        <f t="shared" si="25"/>
        <v>41.32231404958678</v>
      </c>
      <c r="L282" s="5">
        <f t="shared" si="26"/>
        <v>0</v>
      </c>
      <c r="M282" s="8">
        <v>50</v>
      </c>
      <c r="N282" s="2" t="s">
        <v>22</v>
      </c>
      <c r="O282" s="3" t="s">
        <v>63</v>
      </c>
    </row>
    <row r="283" spans="1:15" x14ac:dyDescent="0.35">
      <c r="A283" s="4">
        <v>45420</v>
      </c>
      <c r="B283" s="2" t="s">
        <v>1646</v>
      </c>
      <c r="D283" s="2" t="s">
        <v>89</v>
      </c>
      <c r="E283" s="2" t="s">
        <v>90</v>
      </c>
      <c r="F283" s="5" t="str">
        <f t="shared" si="23"/>
        <v>E12002024000000757 GALP</v>
      </c>
      <c r="G283" s="12">
        <f t="shared" si="24"/>
        <v>41.32231404958678</v>
      </c>
      <c r="H283">
        <v>21</v>
      </c>
      <c r="I283" s="5">
        <f t="shared" si="27"/>
        <v>8.677685950413224</v>
      </c>
      <c r="J283" s="5">
        <f t="shared" si="25"/>
        <v>41.32231404958678</v>
      </c>
      <c r="L283" s="5">
        <f t="shared" si="26"/>
        <v>0</v>
      </c>
      <c r="M283" s="8">
        <v>50</v>
      </c>
      <c r="N283" s="2" t="s">
        <v>22</v>
      </c>
      <c r="O283" s="3" t="s">
        <v>63</v>
      </c>
    </row>
    <row r="284" spans="1:15" x14ac:dyDescent="0.35">
      <c r="A284" s="4">
        <v>45425</v>
      </c>
      <c r="B284" s="2" t="s">
        <v>1647</v>
      </c>
      <c r="D284" s="2" t="s">
        <v>99</v>
      </c>
      <c r="E284" s="2" t="s">
        <v>262</v>
      </c>
      <c r="F284" s="5" t="str">
        <f t="shared" si="23"/>
        <v>0000101051 DISA</v>
      </c>
      <c r="G284" s="12">
        <f t="shared" si="24"/>
        <v>14.305785123966942</v>
      </c>
      <c r="H284">
        <v>21</v>
      </c>
      <c r="I284" s="5">
        <f t="shared" si="27"/>
        <v>3.0042148760330578</v>
      </c>
      <c r="J284" s="5">
        <f t="shared" si="25"/>
        <v>14.305785123966942</v>
      </c>
      <c r="K284" s="5"/>
      <c r="L284" s="5">
        <f t="shared" si="26"/>
        <v>0</v>
      </c>
      <c r="M284" s="8">
        <v>17.309999999999999</v>
      </c>
      <c r="N284" s="2" t="s">
        <v>22</v>
      </c>
      <c r="O284" s="3" t="s">
        <v>64</v>
      </c>
    </row>
    <row r="285" spans="1:15" x14ac:dyDescent="0.35">
      <c r="A285" s="4">
        <v>45421</v>
      </c>
      <c r="B285" s="2" t="s">
        <v>1648</v>
      </c>
      <c r="D285" s="2" t="s">
        <v>99</v>
      </c>
      <c r="E285" s="2" t="s">
        <v>166</v>
      </c>
      <c r="F285" s="5" t="str">
        <f t="shared" si="23"/>
        <v>0000100957 SHELL</v>
      </c>
      <c r="G285" s="12">
        <f t="shared" si="24"/>
        <v>28.768595041322317</v>
      </c>
      <c r="H285">
        <v>21</v>
      </c>
      <c r="I285" s="5">
        <f t="shared" si="27"/>
        <v>6.0414049586776866</v>
      </c>
      <c r="J285" s="5">
        <f t="shared" si="25"/>
        <v>28.768595041322317</v>
      </c>
      <c r="L285" s="5">
        <f t="shared" si="26"/>
        <v>0</v>
      </c>
      <c r="M285" s="8">
        <v>34.81</v>
      </c>
      <c r="N285" s="2" t="s">
        <v>22</v>
      </c>
      <c r="O285" s="3" t="s">
        <v>64</v>
      </c>
    </row>
    <row r="286" spans="1:15" x14ac:dyDescent="0.35">
      <c r="A286" s="4">
        <v>45422</v>
      </c>
      <c r="B286" s="2" t="s">
        <v>1649</v>
      </c>
      <c r="D286" s="2" t="s">
        <v>99</v>
      </c>
      <c r="E286" s="2" t="s">
        <v>166</v>
      </c>
      <c r="F286" s="5" t="str">
        <f t="shared" si="23"/>
        <v>0000064614 SHELL</v>
      </c>
      <c r="G286" s="12">
        <f t="shared" si="24"/>
        <v>82.256198347107443</v>
      </c>
      <c r="H286">
        <v>21</v>
      </c>
      <c r="I286" s="5">
        <f t="shared" si="27"/>
        <v>17.273801652892562</v>
      </c>
      <c r="J286" s="5">
        <f t="shared" si="25"/>
        <v>82.256198347107443</v>
      </c>
      <c r="K286" s="5"/>
      <c r="L286" s="5">
        <f t="shared" si="26"/>
        <v>0</v>
      </c>
      <c r="M286" s="8">
        <v>99.53</v>
      </c>
      <c r="N286" s="2" t="s">
        <v>22</v>
      </c>
      <c r="O286" s="3" t="s">
        <v>64</v>
      </c>
    </row>
    <row r="287" spans="1:15" x14ac:dyDescent="0.35">
      <c r="A287" s="4">
        <v>45422</v>
      </c>
      <c r="B287" s="2" t="s">
        <v>1650</v>
      </c>
      <c r="D287" s="2" t="s">
        <v>60</v>
      </c>
      <c r="E287" s="2" t="s">
        <v>24</v>
      </c>
      <c r="F287" s="5" t="str">
        <f t="shared" si="23"/>
        <v>096622/A/24/001725 REPSOL</v>
      </c>
      <c r="G287" s="12">
        <f t="shared" si="24"/>
        <v>11.289256198347108</v>
      </c>
      <c r="H287">
        <v>21</v>
      </c>
      <c r="I287" s="5">
        <f t="shared" si="27"/>
        <v>2.3707438016528926</v>
      </c>
      <c r="J287" s="5">
        <f t="shared" si="25"/>
        <v>11.289256198347108</v>
      </c>
      <c r="L287" s="5">
        <f t="shared" si="26"/>
        <v>0</v>
      </c>
      <c r="M287" s="8">
        <v>13.66</v>
      </c>
      <c r="N287" s="2" t="s">
        <v>22</v>
      </c>
      <c r="O287" s="3" t="s">
        <v>63</v>
      </c>
    </row>
    <row r="288" spans="1:15" x14ac:dyDescent="0.35">
      <c r="A288" s="4">
        <v>45415</v>
      </c>
      <c r="B288" s="2" t="s">
        <v>1651</v>
      </c>
      <c r="D288" s="2" t="s">
        <v>100</v>
      </c>
      <c r="E288" s="2" t="s">
        <v>241</v>
      </c>
      <c r="F288" s="5" t="str">
        <f t="shared" si="23"/>
        <v>10110441 E.S. RACHELO</v>
      </c>
      <c r="G288" s="12">
        <f t="shared" si="24"/>
        <v>11.743801652892563</v>
      </c>
      <c r="H288">
        <v>21</v>
      </c>
      <c r="I288" s="5">
        <f t="shared" si="27"/>
        <v>2.4661983471074382</v>
      </c>
      <c r="J288" s="5">
        <f t="shared" si="25"/>
        <v>11.743801652892563</v>
      </c>
      <c r="L288" s="5">
        <f t="shared" si="26"/>
        <v>0</v>
      </c>
      <c r="M288" s="8">
        <v>14.21</v>
      </c>
      <c r="N288" s="2" t="s">
        <v>22</v>
      </c>
      <c r="O288" s="3" t="s">
        <v>64</v>
      </c>
    </row>
    <row r="289" spans="1:15" x14ac:dyDescent="0.35">
      <c r="A289" s="4">
        <v>45428</v>
      </c>
      <c r="B289" s="2" t="s">
        <v>1652</v>
      </c>
      <c r="D289" s="2" t="s">
        <v>29</v>
      </c>
      <c r="E289" s="2" t="s">
        <v>76</v>
      </c>
      <c r="F289" s="5" t="str">
        <f t="shared" si="23"/>
        <v>5477-2024-00391683 COSTCO</v>
      </c>
      <c r="G289" s="12">
        <f t="shared" si="24"/>
        <v>58.553719008264459</v>
      </c>
      <c r="H289">
        <v>21</v>
      </c>
      <c r="I289" s="5">
        <f t="shared" si="27"/>
        <v>12.296280991735536</v>
      </c>
      <c r="J289" s="5">
        <f t="shared" si="25"/>
        <v>58.553719008264459</v>
      </c>
      <c r="L289" s="5">
        <f t="shared" si="26"/>
        <v>0</v>
      </c>
      <c r="M289" s="8">
        <v>70.849999999999994</v>
      </c>
      <c r="N289" s="2" t="s">
        <v>22</v>
      </c>
      <c r="O289" s="3" t="s">
        <v>64</v>
      </c>
    </row>
    <row r="290" spans="1:15" x14ac:dyDescent="0.35">
      <c r="A290" s="4">
        <v>45412</v>
      </c>
      <c r="B290" s="2" t="s">
        <v>1258</v>
      </c>
      <c r="D290" s="2" t="s">
        <v>234</v>
      </c>
      <c r="E290" s="2" t="s">
        <v>235</v>
      </c>
      <c r="F290" s="5" t="str">
        <f t="shared" si="23"/>
        <v>06/24 VIOREL ROBCIUC</v>
      </c>
      <c r="G290" s="12">
        <f t="shared" si="24"/>
        <v>1652.8925619834711</v>
      </c>
      <c r="H290">
        <v>21</v>
      </c>
      <c r="I290" s="5">
        <f t="shared" si="27"/>
        <v>347.10743801652893</v>
      </c>
      <c r="J290" s="5">
        <f t="shared" si="25"/>
        <v>1652.8925619834711</v>
      </c>
      <c r="L290" s="5">
        <f t="shared" si="26"/>
        <v>0</v>
      </c>
      <c r="M290" s="8">
        <v>2000</v>
      </c>
      <c r="N290" s="2" t="s">
        <v>37</v>
      </c>
      <c r="O290" s="3" t="s">
        <v>68</v>
      </c>
    </row>
    <row r="291" spans="1:15" x14ac:dyDescent="0.35">
      <c r="A291" s="4">
        <v>45418</v>
      </c>
      <c r="B291" s="2" t="s">
        <v>1653</v>
      </c>
      <c r="D291" s="2" t="s">
        <v>1273</v>
      </c>
      <c r="E291" s="2" t="s">
        <v>1274</v>
      </c>
      <c r="F291" s="5" t="str">
        <f t="shared" si="23"/>
        <v>2024006 MARIUS MIHAI CIOCAN</v>
      </c>
      <c r="G291" s="12">
        <f t="shared" si="24"/>
        <v>2356.0000000000005</v>
      </c>
      <c r="H291">
        <v>21</v>
      </c>
      <c r="I291" s="5">
        <f t="shared" si="27"/>
        <v>494.76000000000005</v>
      </c>
      <c r="J291" s="5">
        <f t="shared" si="25"/>
        <v>2356.0000000000005</v>
      </c>
      <c r="L291" s="5">
        <f t="shared" si="26"/>
        <v>0</v>
      </c>
      <c r="M291" s="8">
        <v>2850.76</v>
      </c>
      <c r="N291" s="2" t="s">
        <v>37</v>
      </c>
      <c r="O291" s="3" t="s">
        <v>68</v>
      </c>
    </row>
    <row r="292" spans="1:15" x14ac:dyDescent="0.35">
      <c r="A292" s="4">
        <v>45435</v>
      </c>
      <c r="B292" s="2" t="s">
        <v>1654</v>
      </c>
      <c r="D292" s="2" t="s">
        <v>72</v>
      </c>
      <c r="E292" s="2" t="s">
        <v>73</v>
      </c>
      <c r="F292" s="5" t="str">
        <f t="shared" si="23"/>
        <v>20/2024 COSTEL DINCU</v>
      </c>
      <c r="G292" s="12">
        <f t="shared" si="24"/>
        <v>2435</v>
      </c>
      <c r="H292">
        <v>21</v>
      </c>
      <c r="I292" s="5">
        <f t="shared" si="27"/>
        <v>511.35</v>
      </c>
      <c r="J292" s="5">
        <f t="shared" si="25"/>
        <v>2435</v>
      </c>
      <c r="L292" s="5">
        <f t="shared" si="26"/>
        <v>0</v>
      </c>
      <c r="M292" s="8">
        <v>2946.35</v>
      </c>
      <c r="N292" s="2" t="s">
        <v>37</v>
      </c>
      <c r="O292" s="3" t="s">
        <v>68</v>
      </c>
    </row>
    <row r="293" spans="1:15" x14ac:dyDescent="0.35">
      <c r="A293" s="4">
        <v>45428</v>
      </c>
      <c r="B293" s="2" t="s">
        <v>1655</v>
      </c>
      <c r="D293" s="2" t="s">
        <v>74</v>
      </c>
      <c r="E293" s="2" t="s">
        <v>259</v>
      </c>
      <c r="F293" s="5" t="str">
        <f t="shared" si="23"/>
        <v>24/00092 CRISTALERIA ESCOBAR</v>
      </c>
      <c r="G293" s="12">
        <f t="shared" si="24"/>
        <v>138.55371900826447</v>
      </c>
      <c r="H293">
        <v>21</v>
      </c>
      <c r="I293" s="5">
        <f t="shared" si="27"/>
        <v>29.09628099173554</v>
      </c>
      <c r="J293" s="5">
        <f t="shared" si="25"/>
        <v>138.55371900826447</v>
      </c>
      <c r="L293" s="5">
        <f t="shared" si="26"/>
        <v>0</v>
      </c>
      <c r="M293" s="8">
        <v>167.65</v>
      </c>
      <c r="N293" s="2" t="s">
        <v>21</v>
      </c>
      <c r="O293" s="3" t="s">
        <v>68</v>
      </c>
    </row>
    <row r="294" spans="1:15" x14ac:dyDescent="0.35">
      <c r="A294" s="4">
        <v>45433</v>
      </c>
      <c r="B294" s="2" t="s">
        <v>1656</v>
      </c>
      <c r="D294" s="2" t="s">
        <v>74</v>
      </c>
      <c r="E294" s="2" t="s">
        <v>259</v>
      </c>
      <c r="F294" s="5" t="str">
        <f t="shared" si="23"/>
        <v>24/00094 CRISTALERIA ESCOBAR</v>
      </c>
      <c r="G294" s="12">
        <f t="shared" si="24"/>
        <v>145.14876033057851</v>
      </c>
      <c r="H294">
        <v>21</v>
      </c>
      <c r="I294" s="5">
        <f t="shared" si="27"/>
        <v>30.481239669421488</v>
      </c>
      <c r="J294" s="5">
        <f t="shared" si="25"/>
        <v>145.14876033057851</v>
      </c>
      <c r="L294" s="5">
        <f t="shared" si="26"/>
        <v>0</v>
      </c>
      <c r="M294" s="8">
        <v>175.63</v>
      </c>
      <c r="N294" s="2" t="s">
        <v>21</v>
      </c>
      <c r="O294" s="3" t="s">
        <v>68</v>
      </c>
    </row>
    <row r="295" spans="1:15" x14ac:dyDescent="0.35">
      <c r="A295" s="4">
        <v>45414</v>
      </c>
      <c r="B295" s="2" t="s">
        <v>1657</v>
      </c>
      <c r="D295" s="2" t="s">
        <v>77</v>
      </c>
      <c r="E295" s="2" t="s">
        <v>151</v>
      </c>
      <c r="F295" s="5" t="str">
        <f t="shared" si="23"/>
        <v>24FAS001818 E.S. SESEÑA</v>
      </c>
      <c r="G295" s="12">
        <f t="shared" si="24"/>
        <v>57.851239669421489</v>
      </c>
      <c r="H295">
        <v>21</v>
      </c>
      <c r="I295" s="5">
        <f t="shared" si="27"/>
        <v>12.148760330578511</v>
      </c>
      <c r="J295" s="5">
        <f t="shared" si="25"/>
        <v>57.851239669421489</v>
      </c>
      <c r="L295" s="5">
        <f t="shared" si="26"/>
        <v>0</v>
      </c>
      <c r="M295" s="8">
        <v>70</v>
      </c>
      <c r="N295" s="2" t="s">
        <v>22</v>
      </c>
      <c r="O295" s="3" t="s">
        <v>63</v>
      </c>
    </row>
    <row r="296" spans="1:15" x14ac:dyDescent="0.35">
      <c r="A296" s="4">
        <v>45413</v>
      </c>
      <c r="B296" s="2" t="s">
        <v>1658</v>
      </c>
      <c r="D296" s="2" t="s">
        <v>1659</v>
      </c>
      <c r="E296" s="2" t="s">
        <v>1660</v>
      </c>
      <c r="F296" s="5" t="str">
        <f t="shared" si="23"/>
        <v>000870024/0000094 E.S. EL CRUCE DE CEDILLO</v>
      </c>
      <c r="G296" s="12">
        <f t="shared" si="24"/>
        <v>18.90909090909091</v>
      </c>
      <c r="H296">
        <v>21</v>
      </c>
      <c r="I296" s="5">
        <f t="shared" si="27"/>
        <v>3.9709090909090912</v>
      </c>
      <c r="J296" s="5">
        <f t="shared" si="25"/>
        <v>18.90909090909091</v>
      </c>
      <c r="L296" s="5">
        <f t="shared" si="26"/>
        <v>0</v>
      </c>
      <c r="M296" s="8">
        <v>22.88</v>
      </c>
      <c r="N296" s="2" t="s">
        <v>22</v>
      </c>
      <c r="O296" s="3" t="s">
        <v>63</v>
      </c>
    </row>
    <row r="297" spans="1:15" x14ac:dyDescent="0.35">
      <c r="A297" s="4">
        <v>45413</v>
      </c>
      <c r="B297" s="2" t="s">
        <v>1661</v>
      </c>
      <c r="D297" s="2" t="s">
        <v>1662</v>
      </c>
      <c r="E297" s="2" t="s">
        <v>1663</v>
      </c>
      <c r="F297" s="5" t="str">
        <f t="shared" si="23"/>
        <v>000002TB050433 LAS ESPARTERAS</v>
      </c>
      <c r="G297" s="12">
        <f t="shared" si="24"/>
        <v>21.999999999999996</v>
      </c>
      <c r="H297">
        <v>10</v>
      </c>
      <c r="I297" s="5">
        <f t="shared" si="27"/>
        <v>2.1999999999999997</v>
      </c>
      <c r="J297" s="5">
        <f t="shared" si="25"/>
        <v>21.999999999999996</v>
      </c>
      <c r="L297" s="5">
        <f t="shared" si="26"/>
        <v>0</v>
      </c>
      <c r="M297" s="8">
        <v>24.2</v>
      </c>
      <c r="N297" s="2" t="s">
        <v>28</v>
      </c>
      <c r="O297" s="3" t="s">
        <v>63</v>
      </c>
    </row>
    <row r="298" spans="1:15" x14ac:dyDescent="0.35">
      <c r="A298" s="4">
        <v>45413</v>
      </c>
      <c r="B298" s="2" t="s">
        <v>1664</v>
      </c>
      <c r="D298" s="2" t="s">
        <v>1455</v>
      </c>
      <c r="E298" s="2" t="s">
        <v>1456</v>
      </c>
      <c r="F298" s="5" t="str">
        <f t="shared" si="23"/>
        <v>145875 PROYECTOS CONSCIENTES SL</v>
      </c>
      <c r="G298" s="12">
        <f t="shared" si="24"/>
        <v>52.090909090909086</v>
      </c>
      <c r="H298">
        <v>10</v>
      </c>
      <c r="I298" s="5">
        <f t="shared" si="27"/>
        <v>5.209090909090909</v>
      </c>
      <c r="J298" s="5">
        <f t="shared" si="25"/>
        <v>52.090909090909086</v>
      </c>
      <c r="L298" s="5">
        <f t="shared" si="26"/>
        <v>0</v>
      </c>
      <c r="M298" s="8">
        <v>57.3</v>
      </c>
      <c r="N298" s="2" t="s">
        <v>28</v>
      </c>
      <c r="O298" s="3" t="s">
        <v>63</v>
      </c>
    </row>
    <row r="299" spans="1:15" x14ac:dyDescent="0.35">
      <c r="A299" s="4">
        <v>45418</v>
      </c>
      <c r="B299" s="2" t="s">
        <v>1665</v>
      </c>
      <c r="D299" s="2" t="s">
        <v>168</v>
      </c>
      <c r="E299" s="2" t="s">
        <v>169</v>
      </c>
      <c r="F299" s="5" t="str">
        <f t="shared" si="23"/>
        <v>243622001144 BALLENOIL</v>
      </c>
      <c r="G299" s="12">
        <f t="shared" si="24"/>
        <v>24.793388429752067</v>
      </c>
      <c r="H299">
        <v>21</v>
      </c>
      <c r="I299" s="5">
        <f t="shared" si="27"/>
        <v>5.2066115702479339</v>
      </c>
      <c r="J299" s="5">
        <f t="shared" si="25"/>
        <v>24.793388429752067</v>
      </c>
      <c r="L299" s="5">
        <f t="shared" si="26"/>
        <v>0</v>
      </c>
      <c r="M299" s="8">
        <v>30</v>
      </c>
      <c r="N299" s="2" t="s">
        <v>22</v>
      </c>
      <c r="O299" s="3" t="s">
        <v>64</v>
      </c>
    </row>
    <row r="300" spans="1:15" x14ac:dyDescent="0.35">
      <c r="A300" s="4">
        <v>45437</v>
      </c>
      <c r="B300" s="2" t="s">
        <v>1666</v>
      </c>
      <c r="D300" s="2" t="s">
        <v>25</v>
      </c>
      <c r="E300" s="2" t="s">
        <v>26</v>
      </c>
      <c r="F300" s="5" t="str">
        <f t="shared" si="23"/>
        <v>165696 SALTOKI</v>
      </c>
      <c r="G300" s="12">
        <f t="shared" si="24"/>
        <v>1039.9586776859503</v>
      </c>
      <c r="H300">
        <v>21</v>
      </c>
      <c r="I300" s="5">
        <f t="shared" si="27"/>
        <v>218.39132231404957</v>
      </c>
      <c r="J300" s="5">
        <f t="shared" si="25"/>
        <v>1039.9586776859503</v>
      </c>
      <c r="L300" s="5">
        <f t="shared" si="26"/>
        <v>0</v>
      </c>
      <c r="M300" s="8">
        <v>1258.3499999999999</v>
      </c>
      <c r="N300" s="2" t="s">
        <v>21</v>
      </c>
      <c r="O300" s="3" t="s">
        <v>67</v>
      </c>
    </row>
    <row r="301" spans="1:15" x14ac:dyDescent="0.35">
      <c r="A301" s="4">
        <v>45441</v>
      </c>
      <c r="B301" s="2" t="s">
        <v>1673</v>
      </c>
      <c r="D301" s="2" t="s">
        <v>126</v>
      </c>
      <c r="E301" s="2" t="s">
        <v>127</v>
      </c>
      <c r="F301" s="5" t="str">
        <f t="shared" si="23"/>
        <v>103 MAZARRACIN POVEDA JESUS</v>
      </c>
      <c r="G301" s="12">
        <v>35.24</v>
      </c>
      <c r="H301">
        <v>21</v>
      </c>
      <c r="I301" s="5">
        <f t="shared" si="27"/>
        <v>7.4004000000000012</v>
      </c>
      <c r="J301" s="5">
        <f t="shared" si="25"/>
        <v>35.24</v>
      </c>
      <c r="L301" s="5">
        <f t="shared" si="26"/>
        <v>0</v>
      </c>
      <c r="M301" s="8">
        <v>106.21</v>
      </c>
      <c r="N301" s="2" t="s">
        <v>55</v>
      </c>
      <c r="O301" s="3" t="s">
        <v>68</v>
      </c>
    </row>
    <row r="302" spans="1:15" x14ac:dyDescent="0.35">
      <c r="A302" s="4">
        <v>45441</v>
      </c>
      <c r="B302" s="2" t="s">
        <v>1675</v>
      </c>
      <c r="D302" s="2" t="s">
        <v>126</v>
      </c>
      <c r="E302" s="2" t="s">
        <v>127</v>
      </c>
      <c r="F302" s="5" t="str">
        <f t="shared" si="23"/>
        <v>104 MAZARRACIN POVEDA JESUS</v>
      </c>
      <c r="G302" s="12">
        <v>35.24</v>
      </c>
      <c r="H302">
        <v>21</v>
      </c>
      <c r="I302" s="5">
        <f t="shared" si="27"/>
        <v>7.4004000000000012</v>
      </c>
      <c r="J302" s="5">
        <f t="shared" si="25"/>
        <v>35.24</v>
      </c>
      <c r="L302" s="5">
        <f t="shared" si="26"/>
        <v>0</v>
      </c>
      <c r="M302" s="8">
        <v>106.21</v>
      </c>
      <c r="N302" s="2" t="s">
        <v>55</v>
      </c>
      <c r="O302" s="3" t="s">
        <v>68</v>
      </c>
    </row>
    <row r="303" spans="1:15" x14ac:dyDescent="0.35">
      <c r="A303" s="4">
        <v>45443</v>
      </c>
      <c r="B303" s="2" t="s">
        <v>1676</v>
      </c>
      <c r="D303" s="2" t="s">
        <v>1677</v>
      </c>
      <c r="E303" s="2" t="s">
        <v>1678</v>
      </c>
      <c r="F303" s="5" t="str">
        <f t="shared" si="23"/>
        <v>20909/2024 AQUASALUD AQUA Y VIDA SANA SL</v>
      </c>
      <c r="G303" s="12">
        <f t="shared" si="24"/>
        <v>1314.0495867768595</v>
      </c>
      <c r="H303">
        <v>21</v>
      </c>
      <c r="I303" s="5">
        <f t="shared" si="27"/>
        <v>275.95041322314052</v>
      </c>
      <c r="J303" s="5">
        <f t="shared" si="25"/>
        <v>1314.0495867768595</v>
      </c>
      <c r="L303" s="5">
        <f t="shared" si="26"/>
        <v>0</v>
      </c>
      <c r="M303" s="8">
        <v>1590</v>
      </c>
      <c r="N303" s="2" t="s">
        <v>21</v>
      </c>
      <c r="O303" s="3" t="s">
        <v>68</v>
      </c>
    </row>
    <row r="304" spans="1:15" x14ac:dyDescent="0.35">
      <c r="A304" s="4">
        <v>45445</v>
      </c>
      <c r="B304" s="2" t="s">
        <v>1679</v>
      </c>
      <c r="D304" s="2" t="s">
        <v>107</v>
      </c>
      <c r="E304" s="2" t="s">
        <v>1252</v>
      </c>
      <c r="F304" s="5" t="str">
        <f t="shared" si="23"/>
        <v>24/068 AIRCLIMA 2000 SL</v>
      </c>
      <c r="G304" s="12">
        <f t="shared" si="24"/>
        <v>1740.0000000000002</v>
      </c>
      <c r="H304">
        <v>21</v>
      </c>
      <c r="I304" s="5">
        <f t="shared" si="27"/>
        <v>365.40000000000009</v>
      </c>
      <c r="J304" s="5">
        <f t="shared" si="25"/>
        <v>1740.0000000000002</v>
      </c>
      <c r="L304" s="5">
        <f t="shared" si="26"/>
        <v>0</v>
      </c>
      <c r="M304" s="8">
        <v>2105.4</v>
      </c>
      <c r="N304" s="2" t="s">
        <v>37</v>
      </c>
      <c r="O304" s="3" t="s">
        <v>68</v>
      </c>
    </row>
    <row r="305" spans="1:15" x14ac:dyDescent="0.35">
      <c r="A305" s="4">
        <v>45443</v>
      </c>
      <c r="B305" s="2" t="s">
        <v>1680</v>
      </c>
      <c r="D305" s="2" t="s">
        <v>94</v>
      </c>
      <c r="E305" s="2" t="s">
        <v>139</v>
      </c>
      <c r="F305" s="5" t="str">
        <f t="shared" si="23"/>
        <v>VEN/20257062 BIGMAT</v>
      </c>
      <c r="G305" s="12">
        <f t="shared" si="24"/>
        <v>783.09917355371897</v>
      </c>
      <c r="H305">
        <v>21</v>
      </c>
      <c r="I305" s="5">
        <f t="shared" si="27"/>
        <v>164.45082644628098</v>
      </c>
      <c r="J305" s="5">
        <f t="shared" si="25"/>
        <v>783.09917355371897</v>
      </c>
      <c r="L305" s="5">
        <f t="shared" si="26"/>
        <v>0</v>
      </c>
      <c r="M305" s="8">
        <v>947.55</v>
      </c>
      <c r="N305" s="2" t="s">
        <v>21</v>
      </c>
      <c r="O305" s="3" t="s">
        <v>67</v>
      </c>
    </row>
    <row r="306" spans="1:15" x14ac:dyDescent="0.35">
      <c r="A306" s="4">
        <v>45444</v>
      </c>
      <c r="B306" s="2" t="s">
        <v>1681</v>
      </c>
      <c r="D306" s="2" t="s">
        <v>75</v>
      </c>
      <c r="E306" s="2" t="s">
        <v>97</v>
      </c>
      <c r="F306" s="5" t="str">
        <f t="shared" si="23"/>
        <v>ORD_498_2024/0017295 IKEA</v>
      </c>
      <c r="G306" s="12">
        <v>147.61000000000001</v>
      </c>
      <c r="H306">
        <v>21</v>
      </c>
      <c r="I306" s="5">
        <f t="shared" si="27"/>
        <v>30.998100000000004</v>
      </c>
      <c r="J306" s="5">
        <v>7.25</v>
      </c>
      <c r="K306" s="5">
        <v>10</v>
      </c>
      <c r="L306" s="5">
        <f t="shared" si="26"/>
        <v>0.72499999999999998</v>
      </c>
      <c r="M306" s="8">
        <v>186.59</v>
      </c>
      <c r="N306" s="2" t="s">
        <v>21</v>
      </c>
      <c r="O306" s="3" t="s">
        <v>63</v>
      </c>
    </row>
    <row r="307" spans="1:15" x14ac:dyDescent="0.35">
      <c r="A307" s="4">
        <v>45444</v>
      </c>
      <c r="B307" s="2" t="s">
        <v>1682</v>
      </c>
      <c r="D307" s="2" t="s">
        <v>29</v>
      </c>
      <c r="E307" s="2" t="s">
        <v>76</v>
      </c>
      <c r="F307" s="5" t="str">
        <f t="shared" si="23"/>
        <v>5477-2024-00547411 COSTCO</v>
      </c>
      <c r="G307" s="12">
        <f t="shared" si="24"/>
        <v>65.15702479338843</v>
      </c>
      <c r="H307">
        <v>21</v>
      </c>
      <c r="I307" s="5">
        <f t="shared" si="27"/>
        <v>13.68297520661157</v>
      </c>
      <c r="J307" s="5">
        <f t="shared" si="25"/>
        <v>65.15702479338843</v>
      </c>
      <c r="L307" s="5">
        <f t="shared" si="26"/>
        <v>0</v>
      </c>
      <c r="M307" s="8">
        <v>78.84</v>
      </c>
      <c r="N307" s="2" t="s">
        <v>22</v>
      </c>
      <c r="O307" s="3" t="s">
        <v>63</v>
      </c>
    </row>
    <row r="308" spans="1:15" x14ac:dyDescent="0.35">
      <c r="A308" s="4">
        <v>45421</v>
      </c>
      <c r="B308" s="2" t="s">
        <v>1684</v>
      </c>
      <c r="D308" s="2" t="s">
        <v>1685</v>
      </c>
      <c r="E308" s="2" t="s">
        <v>1686</v>
      </c>
      <c r="F308" s="5" t="str">
        <f t="shared" si="23"/>
        <v>017/24 VASILE STELAIN DETESAN PINTILIE</v>
      </c>
      <c r="G308" s="12">
        <f t="shared" si="24"/>
        <v>970.00000000000011</v>
      </c>
      <c r="H308">
        <v>21</v>
      </c>
      <c r="I308" s="5">
        <f t="shared" si="27"/>
        <v>203.70000000000005</v>
      </c>
      <c r="J308" s="5">
        <f t="shared" si="25"/>
        <v>970.00000000000011</v>
      </c>
      <c r="L308" s="5">
        <f t="shared" si="26"/>
        <v>0</v>
      </c>
      <c r="M308" s="8">
        <v>1173.7</v>
      </c>
      <c r="N308" s="2" t="s">
        <v>37</v>
      </c>
      <c r="O308" s="3" t="s">
        <v>68</v>
      </c>
    </row>
    <row r="309" spans="1:15" x14ac:dyDescent="0.35">
      <c r="A309" s="4">
        <v>45420</v>
      </c>
      <c r="B309" s="2" t="s">
        <v>1688</v>
      </c>
      <c r="D309" s="2" t="s">
        <v>1689</v>
      </c>
      <c r="E309" s="2" t="s">
        <v>1690</v>
      </c>
      <c r="F309" s="5" t="str">
        <f t="shared" ref="F309:F443" si="28">CONCATENATE(S309,B309," ",E309)</f>
        <v>T001/18285 CASA CARMEN</v>
      </c>
      <c r="G309" s="12">
        <f t="shared" si="24"/>
        <v>38.045454545454547</v>
      </c>
      <c r="H309">
        <v>10</v>
      </c>
      <c r="I309" s="5">
        <f t="shared" si="27"/>
        <v>3.8045454545454551</v>
      </c>
      <c r="J309" s="5">
        <f t="shared" si="25"/>
        <v>38.045454545454547</v>
      </c>
      <c r="L309" s="5">
        <f t="shared" si="26"/>
        <v>0</v>
      </c>
      <c r="M309" s="8">
        <v>41.85</v>
      </c>
      <c r="N309" s="2" t="s">
        <v>28</v>
      </c>
      <c r="O309" s="3" t="s">
        <v>63</v>
      </c>
    </row>
    <row r="310" spans="1:15" x14ac:dyDescent="0.35">
      <c r="A310" s="4">
        <v>45421</v>
      </c>
      <c r="B310" s="2" t="s">
        <v>1691</v>
      </c>
      <c r="D310" s="2" t="s">
        <v>1692</v>
      </c>
      <c r="E310" s="2" t="s">
        <v>1693</v>
      </c>
      <c r="F310" s="5" t="str">
        <f t="shared" si="28"/>
        <v>010/01/0165993 TACO BELL</v>
      </c>
      <c r="G310" s="12">
        <f t="shared" si="24"/>
        <v>16.309090909090909</v>
      </c>
      <c r="H310">
        <v>10</v>
      </c>
      <c r="I310" s="5">
        <f t="shared" si="27"/>
        <v>1.6309090909090909</v>
      </c>
      <c r="J310" s="5">
        <f t="shared" si="25"/>
        <v>16.309090909090909</v>
      </c>
      <c r="L310" s="5">
        <f t="shared" si="26"/>
        <v>0</v>
      </c>
      <c r="M310" s="8">
        <v>17.940000000000001</v>
      </c>
      <c r="N310" s="2" t="s">
        <v>28</v>
      </c>
      <c r="O310" s="3" t="s">
        <v>63</v>
      </c>
    </row>
    <row r="311" spans="1:15" x14ac:dyDescent="0.35">
      <c r="A311" s="4">
        <v>45442</v>
      </c>
      <c r="B311" s="2" t="s">
        <v>1694</v>
      </c>
      <c r="D311" s="2" t="s">
        <v>1695</v>
      </c>
      <c r="E311" s="2" t="s">
        <v>1696</v>
      </c>
      <c r="F311" s="5" t="str">
        <f t="shared" si="28"/>
        <v>5926 LINDT</v>
      </c>
      <c r="G311" s="12">
        <f t="shared" si="24"/>
        <v>23</v>
      </c>
      <c r="H311">
        <v>10</v>
      </c>
      <c r="I311" s="5">
        <f t="shared" si="27"/>
        <v>2.2999999999999998</v>
      </c>
      <c r="J311" s="5">
        <f t="shared" si="25"/>
        <v>23</v>
      </c>
      <c r="L311" s="5">
        <f t="shared" si="26"/>
        <v>0</v>
      </c>
      <c r="M311" s="8">
        <v>25.3</v>
      </c>
      <c r="N311" s="2" t="s">
        <v>1697</v>
      </c>
      <c r="O311" s="3" t="s">
        <v>63</v>
      </c>
    </row>
    <row r="312" spans="1:15" x14ac:dyDescent="0.35">
      <c r="A312" s="4">
        <v>45435</v>
      </c>
      <c r="B312" s="2" t="s">
        <v>1698</v>
      </c>
      <c r="D312" s="2" t="s">
        <v>29</v>
      </c>
      <c r="E312" s="2" t="s">
        <v>76</v>
      </c>
      <c r="F312" s="5" t="str">
        <f t="shared" si="28"/>
        <v>5477-2024-00544897 COSTCO</v>
      </c>
      <c r="G312" s="12">
        <f t="shared" si="24"/>
        <v>65.859504132231407</v>
      </c>
      <c r="H312">
        <v>21</v>
      </c>
      <c r="I312" s="5">
        <f t="shared" si="27"/>
        <v>13.830495867768596</v>
      </c>
      <c r="J312" s="5">
        <f t="shared" si="25"/>
        <v>65.859504132231407</v>
      </c>
      <c r="L312" s="5">
        <f t="shared" si="26"/>
        <v>0</v>
      </c>
      <c r="M312" s="8">
        <v>79.69</v>
      </c>
      <c r="N312" s="2" t="s">
        <v>22</v>
      </c>
      <c r="O312" s="3" t="s">
        <v>63</v>
      </c>
    </row>
    <row r="313" spans="1:15" x14ac:dyDescent="0.35">
      <c r="A313" s="4">
        <v>45442</v>
      </c>
      <c r="B313" s="2" t="s">
        <v>1699</v>
      </c>
      <c r="D313" s="2" t="s">
        <v>91</v>
      </c>
      <c r="E313" s="2" t="s">
        <v>1700</v>
      </c>
      <c r="F313" s="5" t="str">
        <f t="shared" si="28"/>
        <v>VIPSTCC0052978 VIPS</v>
      </c>
      <c r="G313" s="12">
        <f t="shared" si="24"/>
        <v>29.909090909090907</v>
      </c>
      <c r="H313">
        <v>10</v>
      </c>
      <c r="I313" s="5">
        <f t="shared" si="27"/>
        <v>2.9909090909090907</v>
      </c>
      <c r="J313" s="5">
        <f t="shared" si="25"/>
        <v>29.909090909090907</v>
      </c>
      <c r="L313" s="5">
        <f t="shared" si="26"/>
        <v>0</v>
      </c>
      <c r="M313" s="8">
        <v>32.9</v>
      </c>
      <c r="N313" s="2" t="s">
        <v>28</v>
      </c>
      <c r="O313" s="3" t="s">
        <v>63</v>
      </c>
    </row>
    <row r="314" spans="1:15" x14ac:dyDescent="0.35">
      <c r="A314" s="4">
        <v>45442</v>
      </c>
      <c r="B314" s="2" t="s">
        <v>1701</v>
      </c>
      <c r="D314" s="2" t="s">
        <v>29</v>
      </c>
      <c r="E314" s="2" t="s">
        <v>76</v>
      </c>
      <c r="F314" s="5" t="str">
        <f t="shared" si="28"/>
        <v>5477-2024-00029071 COSTCO</v>
      </c>
      <c r="G314" s="12">
        <v>38.159999999999997</v>
      </c>
      <c r="H314">
        <v>21</v>
      </c>
      <c r="I314" s="5">
        <f t="shared" si="27"/>
        <v>8.0135999999999985</v>
      </c>
      <c r="J314" s="5">
        <v>38.950000000000003</v>
      </c>
      <c r="K314" s="5">
        <v>10</v>
      </c>
      <c r="L314" s="5">
        <f t="shared" si="26"/>
        <v>3.895</v>
      </c>
      <c r="M314" s="8">
        <v>89.02</v>
      </c>
      <c r="N314" s="2" t="s">
        <v>21</v>
      </c>
      <c r="O314" s="3" t="s">
        <v>63</v>
      </c>
    </row>
    <row r="315" spans="1:15" x14ac:dyDescent="0.35">
      <c r="A315" s="4">
        <v>45355</v>
      </c>
      <c r="B315" s="2" t="s">
        <v>1702</v>
      </c>
      <c r="D315" s="2" t="s">
        <v>29</v>
      </c>
      <c r="E315" s="2" t="s">
        <v>76</v>
      </c>
      <c r="F315" s="5" t="str">
        <f t="shared" si="28"/>
        <v>5477-2024-00011583 COSTCO</v>
      </c>
      <c r="G315" s="12">
        <v>9.08</v>
      </c>
      <c r="H315">
        <v>21</v>
      </c>
      <c r="I315" s="5">
        <f t="shared" si="27"/>
        <v>1.9068000000000001</v>
      </c>
      <c r="J315" s="5">
        <v>37.11</v>
      </c>
      <c r="K315" s="5">
        <v>5</v>
      </c>
      <c r="L315" s="5">
        <f t="shared" si="26"/>
        <v>1.8555000000000001</v>
      </c>
      <c r="M315" s="8">
        <v>56.95</v>
      </c>
      <c r="N315" s="2" t="s">
        <v>21</v>
      </c>
      <c r="O315" s="3" t="s">
        <v>63</v>
      </c>
    </row>
    <row r="316" spans="1:15" x14ac:dyDescent="0.35">
      <c r="A316" s="4">
        <v>45441</v>
      </c>
      <c r="B316" s="2" t="s">
        <v>1703</v>
      </c>
      <c r="D316" s="2" t="s">
        <v>1695</v>
      </c>
      <c r="E316" s="2" t="s">
        <v>1696</v>
      </c>
      <c r="F316" s="5" t="str">
        <f t="shared" si="28"/>
        <v>5766 LINDT</v>
      </c>
      <c r="G316" s="12">
        <f t="shared" si="24"/>
        <v>23.381818181818179</v>
      </c>
      <c r="H316">
        <v>10</v>
      </c>
      <c r="I316" s="5">
        <f t="shared" si="27"/>
        <v>2.3381818181818179</v>
      </c>
      <c r="J316" s="5">
        <f t="shared" si="25"/>
        <v>23.381818181818179</v>
      </c>
      <c r="L316" s="5">
        <f t="shared" si="26"/>
        <v>0</v>
      </c>
      <c r="M316" s="8">
        <v>25.72</v>
      </c>
      <c r="N316" s="2" t="s">
        <v>1697</v>
      </c>
      <c r="O316" s="3" t="s">
        <v>63</v>
      </c>
    </row>
    <row r="317" spans="1:15" x14ac:dyDescent="0.35">
      <c r="A317" s="4">
        <v>45443</v>
      </c>
      <c r="B317" s="2" t="s">
        <v>1704</v>
      </c>
      <c r="D317" s="2" t="s">
        <v>25</v>
      </c>
      <c r="E317" s="2" t="s">
        <v>26</v>
      </c>
      <c r="F317" s="5" t="str">
        <f t="shared" si="28"/>
        <v>175166 SALTOKI</v>
      </c>
      <c r="G317" s="12">
        <f t="shared" si="24"/>
        <v>156.20661157024793</v>
      </c>
      <c r="H317">
        <v>21</v>
      </c>
      <c r="I317" s="5">
        <f t="shared" si="27"/>
        <v>32.803388429752069</v>
      </c>
      <c r="J317" s="5">
        <f t="shared" si="25"/>
        <v>156.20661157024793</v>
      </c>
      <c r="L317" s="5">
        <f t="shared" si="26"/>
        <v>0</v>
      </c>
      <c r="M317" s="8">
        <v>189.01</v>
      </c>
      <c r="N317" s="2" t="s">
        <v>21</v>
      </c>
      <c r="O317" s="3" t="s">
        <v>67</v>
      </c>
    </row>
    <row r="318" spans="1:15" x14ac:dyDescent="0.35">
      <c r="A318" s="4">
        <v>45443</v>
      </c>
      <c r="B318" s="2" t="s">
        <v>1705</v>
      </c>
      <c r="D318" s="2" t="s">
        <v>34</v>
      </c>
      <c r="E318" s="2" t="s">
        <v>1417</v>
      </c>
      <c r="F318" s="5" t="str">
        <f t="shared" si="28"/>
        <v>F241782 CONTAMAR</v>
      </c>
      <c r="G318" s="12">
        <f t="shared" si="24"/>
        <v>179.55371900826447</v>
      </c>
      <c r="H318">
        <v>21</v>
      </c>
      <c r="I318" s="5">
        <f t="shared" si="27"/>
        <v>37.706280991735539</v>
      </c>
      <c r="J318" s="5">
        <f t="shared" si="25"/>
        <v>179.55371900826447</v>
      </c>
      <c r="L318" s="5">
        <f t="shared" si="26"/>
        <v>0</v>
      </c>
      <c r="M318" s="8">
        <v>217.26</v>
      </c>
      <c r="N318" s="2" t="s">
        <v>55</v>
      </c>
      <c r="O318" s="3" t="s">
        <v>67</v>
      </c>
    </row>
    <row r="319" spans="1:15" x14ac:dyDescent="0.35">
      <c r="A319" s="4">
        <v>45443</v>
      </c>
      <c r="B319" s="2" t="s">
        <v>1706</v>
      </c>
      <c r="D319" s="2" t="s">
        <v>109</v>
      </c>
      <c r="E319" s="2" t="s">
        <v>42</v>
      </c>
      <c r="F319" s="5" t="str">
        <f t="shared" si="28"/>
        <v>24108701 DISCESUR</v>
      </c>
      <c r="G319" s="12">
        <f t="shared" si="24"/>
        <v>1207.504132231405</v>
      </c>
      <c r="H319">
        <v>21</v>
      </c>
      <c r="I319" s="5">
        <f t="shared" si="27"/>
        <v>253.57586776859506</v>
      </c>
      <c r="J319" s="5">
        <f t="shared" si="25"/>
        <v>1207.504132231405</v>
      </c>
      <c r="L319" s="5">
        <f t="shared" si="26"/>
        <v>0</v>
      </c>
      <c r="M319" s="8">
        <v>1461.08</v>
      </c>
      <c r="N319" s="2" t="s">
        <v>21</v>
      </c>
      <c r="O319" s="3" t="s">
        <v>67</v>
      </c>
    </row>
    <row r="320" spans="1:15" x14ac:dyDescent="0.35">
      <c r="A320" s="4">
        <v>45443</v>
      </c>
      <c r="B320" s="2" t="s">
        <v>1707</v>
      </c>
      <c r="D320" s="2" t="s">
        <v>109</v>
      </c>
      <c r="E320" s="2" t="s">
        <v>42</v>
      </c>
      <c r="F320" s="5" t="str">
        <f t="shared" si="28"/>
        <v>24108702 DISCESUR</v>
      </c>
      <c r="G320" s="12">
        <f t="shared" si="24"/>
        <v>6215.2479338842977</v>
      </c>
      <c r="H320">
        <v>21</v>
      </c>
      <c r="I320" s="5">
        <f t="shared" si="27"/>
        <v>1305.2020661157026</v>
      </c>
      <c r="J320" s="5">
        <f t="shared" si="25"/>
        <v>6215.2479338842977</v>
      </c>
      <c r="L320" s="5">
        <f t="shared" si="26"/>
        <v>0</v>
      </c>
      <c r="M320" s="8">
        <v>7520.45</v>
      </c>
      <c r="N320" s="2" t="s">
        <v>21</v>
      </c>
      <c r="O320" s="3" t="s">
        <v>67</v>
      </c>
    </row>
    <row r="321" spans="1:15" x14ac:dyDescent="0.35">
      <c r="A321" s="4">
        <v>45443</v>
      </c>
      <c r="B321" s="2" t="s">
        <v>1708</v>
      </c>
      <c r="D321" s="2" t="s">
        <v>109</v>
      </c>
      <c r="E321" s="2" t="s">
        <v>42</v>
      </c>
      <c r="F321" s="5" t="str">
        <f t="shared" si="28"/>
        <v>24108703 DISCESUR</v>
      </c>
      <c r="G321" s="12">
        <f t="shared" si="24"/>
        <v>91</v>
      </c>
      <c r="H321">
        <v>21</v>
      </c>
      <c r="I321" s="5">
        <f t="shared" si="27"/>
        <v>19.11</v>
      </c>
      <c r="J321" s="5">
        <f t="shared" si="25"/>
        <v>91</v>
      </c>
      <c r="L321" s="5">
        <f t="shared" si="26"/>
        <v>0</v>
      </c>
      <c r="M321" s="8">
        <v>110.11</v>
      </c>
      <c r="N321" s="2" t="s">
        <v>21</v>
      </c>
      <c r="O321" s="3" t="s">
        <v>67</v>
      </c>
    </row>
    <row r="322" spans="1:15" x14ac:dyDescent="0.35">
      <c r="A322" s="4">
        <v>45443</v>
      </c>
      <c r="B322" s="2" t="s">
        <v>1709</v>
      </c>
      <c r="D322" s="2" t="s">
        <v>109</v>
      </c>
      <c r="E322" s="2" t="s">
        <v>42</v>
      </c>
      <c r="F322" s="5" t="str">
        <f t="shared" si="28"/>
        <v>24108704 DISCESUR</v>
      </c>
      <c r="G322" s="12">
        <f t="shared" si="24"/>
        <v>91</v>
      </c>
      <c r="H322">
        <v>21</v>
      </c>
      <c r="I322" s="5">
        <f t="shared" si="27"/>
        <v>19.11</v>
      </c>
      <c r="J322" s="5">
        <f t="shared" si="25"/>
        <v>91</v>
      </c>
      <c r="L322" s="5">
        <f t="shared" si="26"/>
        <v>0</v>
      </c>
      <c r="M322" s="8">
        <v>110.11</v>
      </c>
      <c r="N322" s="2" t="s">
        <v>21</v>
      </c>
      <c r="O322" s="3" t="s">
        <v>67</v>
      </c>
    </row>
    <row r="323" spans="1:15" x14ac:dyDescent="0.35">
      <c r="A323" s="4">
        <v>45443</v>
      </c>
      <c r="B323" s="2" t="s">
        <v>1710</v>
      </c>
      <c r="D323" s="2" t="s">
        <v>109</v>
      </c>
      <c r="E323" s="2" t="s">
        <v>42</v>
      </c>
      <c r="F323" s="5" t="str">
        <f t="shared" si="28"/>
        <v>24108705 DISCESUR</v>
      </c>
      <c r="G323" s="12">
        <f t="shared" si="24"/>
        <v>91</v>
      </c>
      <c r="H323">
        <v>21</v>
      </c>
      <c r="I323" s="5">
        <f t="shared" si="27"/>
        <v>19.11</v>
      </c>
      <c r="J323" s="5">
        <f t="shared" si="25"/>
        <v>91</v>
      </c>
      <c r="L323" s="5">
        <f t="shared" si="26"/>
        <v>0</v>
      </c>
      <c r="M323" s="8">
        <v>110.11</v>
      </c>
      <c r="N323" s="2" t="s">
        <v>21</v>
      </c>
      <c r="O323" s="3" t="s">
        <v>67</v>
      </c>
    </row>
    <row r="324" spans="1:15" x14ac:dyDescent="0.35">
      <c r="A324" s="4">
        <v>45441</v>
      </c>
      <c r="B324" s="2" t="s">
        <v>811</v>
      </c>
      <c r="D324" s="2" t="s">
        <v>72</v>
      </c>
      <c r="E324" s="2" t="s">
        <v>73</v>
      </c>
      <c r="F324" s="5" t="str">
        <f t="shared" si="28"/>
        <v>25/2024 COSTEL DINCU</v>
      </c>
      <c r="G324" s="12">
        <f t="shared" si="24"/>
        <v>2055</v>
      </c>
      <c r="H324">
        <v>21</v>
      </c>
      <c r="I324" s="5">
        <f t="shared" si="27"/>
        <v>431.55</v>
      </c>
      <c r="J324" s="5">
        <f t="shared" si="25"/>
        <v>2055</v>
      </c>
      <c r="L324" s="5">
        <f t="shared" si="26"/>
        <v>0</v>
      </c>
      <c r="M324" s="8">
        <v>2486.5500000000002</v>
      </c>
      <c r="N324" s="2" t="s">
        <v>37</v>
      </c>
      <c r="O324" s="3" t="s">
        <v>68</v>
      </c>
    </row>
    <row r="325" spans="1:15" x14ac:dyDescent="0.35">
      <c r="A325" s="4">
        <v>45448</v>
      </c>
      <c r="B325" s="2" t="s">
        <v>1721</v>
      </c>
      <c r="D325" s="2" t="s">
        <v>1612</v>
      </c>
      <c r="E325" s="2" t="s">
        <v>1613</v>
      </c>
      <c r="F325" s="5" t="str">
        <f t="shared" si="28"/>
        <v>241180 MADEMOL NATURAL SL</v>
      </c>
      <c r="G325" s="12">
        <f t="shared" si="24"/>
        <v>503.96694214876032</v>
      </c>
      <c r="H325">
        <v>21</v>
      </c>
      <c r="I325" s="5">
        <f t="shared" si="27"/>
        <v>105.83305785123966</v>
      </c>
      <c r="J325" s="5">
        <f t="shared" si="25"/>
        <v>503.96694214876032</v>
      </c>
      <c r="L325" s="5">
        <f t="shared" si="26"/>
        <v>0</v>
      </c>
      <c r="M325" s="8">
        <v>609.79999999999995</v>
      </c>
      <c r="N325" s="2" t="s">
        <v>21</v>
      </c>
      <c r="O325" s="3" t="s">
        <v>63</v>
      </c>
    </row>
    <row r="326" spans="1:15" x14ac:dyDescent="0.35">
      <c r="A326" s="4">
        <v>45448</v>
      </c>
      <c r="B326" s="2" t="s">
        <v>1722</v>
      </c>
      <c r="D326" s="2" t="s">
        <v>234</v>
      </c>
      <c r="E326" s="2" t="s">
        <v>235</v>
      </c>
      <c r="F326" s="5" t="str">
        <f t="shared" si="28"/>
        <v>07/24 VIOREL ROBCIUC</v>
      </c>
      <c r="G326" s="12">
        <f t="shared" si="24"/>
        <v>1863.6363636363637</v>
      </c>
      <c r="H326">
        <v>21</v>
      </c>
      <c r="I326" s="5">
        <f t="shared" si="27"/>
        <v>391.36363636363637</v>
      </c>
      <c r="J326" s="5">
        <f t="shared" si="25"/>
        <v>1863.6363636363637</v>
      </c>
      <c r="L326" s="5">
        <f t="shared" si="26"/>
        <v>0</v>
      </c>
      <c r="M326" s="8">
        <v>2255</v>
      </c>
      <c r="N326" s="2" t="s">
        <v>37</v>
      </c>
      <c r="O326" s="3" t="s">
        <v>68</v>
      </c>
    </row>
    <row r="327" spans="1:15" x14ac:dyDescent="0.35">
      <c r="A327" s="4">
        <v>45448</v>
      </c>
      <c r="B327" s="2" t="s">
        <v>1026</v>
      </c>
      <c r="D327" s="2" t="s">
        <v>95</v>
      </c>
      <c r="E327" s="2" t="s">
        <v>96</v>
      </c>
      <c r="F327" s="5" t="str">
        <f t="shared" si="28"/>
        <v>09/24 MARCEL DUMITER BEGOFF</v>
      </c>
      <c r="G327" s="12">
        <f t="shared" si="24"/>
        <v>1202.4793388429753</v>
      </c>
      <c r="H327">
        <v>21</v>
      </c>
      <c r="I327" s="5">
        <f t="shared" si="27"/>
        <v>252.52066115702482</v>
      </c>
      <c r="J327" s="5">
        <f t="shared" si="25"/>
        <v>1202.4793388429753</v>
      </c>
      <c r="L327" s="5">
        <f t="shared" si="26"/>
        <v>0</v>
      </c>
      <c r="M327" s="8">
        <v>1455</v>
      </c>
      <c r="N327" s="2" t="s">
        <v>37</v>
      </c>
      <c r="O327" s="3" t="s">
        <v>68</v>
      </c>
    </row>
    <row r="328" spans="1:15" x14ac:dyDescent="0.35">
      <c r="A328" s="4">
        <v>45439</v>
      </c>
      <c r="B328" s="2" t="s">
        <v>1723</v>
      </c>
      <c r="D328" s="2" t="s">
        <v>58</v>
      </c>
      <c r="E328" s="2" t="s">
        <v>1172</v>
      </c>
      <c r="F328" s="5" t="str">
        <f t="shared" si="28"/>
        <v>024-0005-R271926 BRICOLAJE BRICOMAN SLU</v>
      </c>
      <c r="G328" s="12">
        <f t="shared" si="24"/>
        <v>-16.859504132231404</v>
      </c>
      <c r="H328">
        <v>21</v>
      </c>
      <c r="I328" s="5">
        <f t="shared" si="27"/>
        <v>-3.5404958677685947</v>
      </c>
      <c r="J328" s="5">
        <f t="shared" si="25"/>
        <v>-16.859504132231404</v>
      </c>
      <c r="L328" s="5">
        <f t="shared" si="26"/>
        <v>0</v>
      </c>
      <c r="M328" s="8">
        <v>-20.399999999999999</v>
      </c>
      <c r="N328" s="2" t="s">
        <v>21</v>
      </c>
      <c r="O328" s="3" t="s">
        <v>64</v>
      </c>
    </row>
    <row r="329" spans="1:15" x14ac:dyDescent="0.35">
      <c r="A329" s="4">
        <v>45439</v>
      </c>
      <c r="B329" s="2" t="s">
        <v>1724</v>
      </c>
      <c r="D329" s="2" t="s">
        <v>58</v>
      </c>
      <c r="E329" s="2" t="s">
        <v>1172</v>
      </c>
      <c r="F329" s="5" t="str">
        <f t="shared" si="28"/>
        <v>024-0005-151809 BRICOLAJE BRICOMAN SLU</v>
      </c>
      <c r="G329" s="12">
        <f t="shared" ref="G329:G389" si="29">M329/(1-K329/100+H329/100)</f>
        <v>43.512396694214878</v>
      </c>
      <c r="H329">
        <v>21</v>
      </c>
      <c r="I329" s="5">
        <f t="shared" si="27"/>
        <v>9.1376033057851256</v>
      </c>
      <c r="J329" s="5">
        <f t="shared" ref="J329:J389" si="30">G329</f>
        <v>43.512396694214878</v>
      </c>
      <c r="L329" s="5">
        <f t="shared" ref="L329:L389" si="31">J329*K329/100</f>
        <v>0</v>
      </c>
      <c r="M329" s="8">
        <v>52.65</v>
      </c>
      <c r="N329" s="2" t="s">
        <v>21</v>
      </c>
      <c r="O329" s="3" t="s">
        <v>64</v>
      </c>
    </row>
    <row r="330" spans="1:15" x14ac:dyDescent="0.35">
      <c r="A330" s="4">
        <v>45443</v>
      </c>
      <c r="B330" s="2" t="s">
        <v>1725</v>
      </c>
      <c r="D330" s="2" t="s">
        <v>35</v>
      </c>
      <c r="E330" s="2" t="s">
        <v>167</v>
      </c>
      <c r="F330" s="5" t="str">
        <f t="shared" si="28"/>
        <v>0240008173 PINTODIS SL</v>
      </c>
      <c r="G330" s="12">
        <f t="shared" si="29"/>
        <v>37.190082644628099</v>
      </c>
      <c r="H330">
        <v>21</v>
      </c>
      <c r="I330" s="5">
        <f t="shared" ref="I330:I390" si="32">G330*H330/100</f>
        <v>7.8099173553719003</v>
      </c>
      <c r="J330" s="5">
        <f t="shared" si="30"/>
        <v>37.190082644628099</v>
      </c>
      <c r="L330" s="5">
        <f t="shared" si="31"/>
        <v>0</v>
      </c>
      <c r="M330" s="8">
        <v>45</v>
      </c>
      <c r="N330" s="2" t="s">
        <v>22</v>
      </c>
      <c r="O330" s="3" t="s">
        <v>64</v>
      </c>
    </row>
    <row r="331" spans="1:15" x14ac:dyDescent="0.35">
      <c r="A331" s="4">
        <v>45429</v>
      </c>
      <c r="B331" s="2" t="s">
        <v>1726</v>
      </c>
      <c r="D331" s="2" t="s">
        <v>87</v>
      </c>
      <c r="E331" s="2" t="s">
        <v>88</v>
      </c>
      <c r="F331" s="5" t="str">
        <f t="shared" si="28"/>
        <v>P24CON018602114 ENDESA</v>
      </c>
      <c r="G331" s="12">
        <f t="shared" si="29"/>
        <v>151.90909090909091</v>
      </c>
      <c r="H331">
        <v>21</v>
      </c>
      <c r="I331" s="5">
        <f t="shared" si="32"/>
        <v>31.900909090909089</v>
      </c>
      <c r="J331" s="5">
        <f t="shared" si="30"/>
        <v>151.90909090909091</v>
      </c>
      <c r="L331" s="5">
        <f t="shared" si="31"/>
        <v>0</v>
      </c>
      <c r="M331" s="8">
        <v>183.81</v>
      </c>
      <c r="N331" s="2" t="s">
        <v>38</v>
      </c>
      <c r="O331" s="3" t="s">
        <v>67</v>
      </c>
    </row>
    <row r="332" spans="1:15" x14ac:dyDescent="0.35">
      <c r="A332" s="4">
        <v>44853</v>
      </c>
      <c r="B332" s="2" t="s">
        <v>1727</v>
      </c>
      <c r="D332" s="2" t="s">
        <v>1497</v>
      </c>
      <c r="E332" s="2" t="s">
        <v>1498</v>
      </c>
      <c r="F332" s="5" t="str">
        <f t="shared" si="28"/>
        <v>32913 ITV SESEÑA SA</v>
      </c>
      <c r="G332" s="12">
        <v>37.549999999999997</v>
      </c>
      <c r="H332">
        <v>21</v>
      </c>
      <c r="I332" s="5">
        <f t="shared" si="32"/>
        <v>7.8854999999999995</v>
      </c>
      <c r="J332" s="5">
        <f t="shared" si="30"/>
        <v>37.549999999999997</v>
      </c>
      <c r="L332" s="5">
        <f t="shared" si="31"/>
        <v>0</v>
      </c>
      <c r="M332" s="8">
        <v>50.66</v>
      </c>
      <c r="N332" s="2" t="s">
        <v>52</v>
      </c>
      <c r="O332" s="3" t="s">
        <v>63</v>
      </c>
    </row>
    <row r="333" spans="1:15" x14ac:dyDescent="0.35">
      <c r="A333" s="4">
        <v>45429</v>
      </c>
      <c r="B333" s="2" t="s">
        <v>1728</v>
      </c>
      <c r="D333" s="2" t="s">
        <v>94</v>
      </c>
      <c r="E333" s="2" t="s">
        <v>139</v>
      </c>
      <c r="F333" s="5" t="str">
        <f t="shared" si="28"/>
        <v>00002-2024/A0602/00005272 BIGMAT</v>
      </c>
      <c r="G333" s="12">
        <f t="shared" si="29"/>
        <v>95.487603305785129</v>
      </c>
      <c r="H333">
        <v>21</v>
      </c>
      <c r="I333" s="5">
        <f t="shared" si="32"/>
        <v>20.052396694214877</v>
      </c>
      <c r="J333" s="5">
        <f t="shared" si="30"/>
        <v>95.487603305785129</v>
      </c>
      <c r="L333" s="5">
        <f t="shared" si="31"/>
        <v>0</v>
      </c>
      <c r="M333" s="8">
        <v>115.54</v>
      </c>
      <c r="N333" s="2" t="s">
        <v>21</v>
      </c>
      <c r="O333" s="3" t="s">
        <v>63</v>
      </c>
    </row>
    <row r="334" spans="1:15" x14ac:dyDescent="0.35">
      <c r="A334" s="4">
        <v>45430</v>
      </c>
      <c r="B334" s="2" t="s">
        <v>1729</v>
      </c>
      <c r="D334" s="2" t="s">
        <v>1730</v>
      </c>
      <c r="E334" s="2" t="s">
        <v>1731</v>
      </c>
      <c r="F334" s="5" t="str">
        <f t="shared" si="28"/>
        <v>0000152 JG SUMINISTROS</v>
      </c>
      <c r="G334" s="12">
        <f t="shared" si="29"/>
        <v>6.8760330578512399</v>
      </c>
      <c r="H334">
        <v>21</v>
      </c>
      <c r="I334" s="5">
        <f t="shared" si="32"/>
        <v>1.4439669421487604</v>
      </c>
      <c r="J334" s="5">
        <f t="shared" si="30"/>
        <v>6.8760330578512399</v>
      </c>
      <c r="L334" s="5">
        <f t="shared" si="31"/>
        <v>0</v>
      </c>
      <c r="M334" s="8">
        <v>8.32</v>
      </c>
      <c r="N334" s="2" t="s">
        <v>21</v>
      </c>
      <c r="O334" s="3" t="s">
        <v>64</v>
      </c>
    </row>
    <row r="335" spans="1:15" x14ac:dyDescent="0.35">
      <c r="A335" s="4">
        <v>45431</v>
      </c>
      <c r="B335" s="2" t="s">
        <v>1732</v>
      </c>
      <c r="D335" s="2" t="s">
        <v>35</v>
      </c>
      <c r="E335" s="2" t="s">
        <v>167</v>
      </c>
      <c r="F335" s="5" t="str">
        <f t="shared" si="28"/>
        <v>0240007533 PINTODIS SL</v>
      </c>
      <c r="G335" s="12">
        <f t="shared" si="29"/>
        <v>33.057851239669425</v>
      </c>
      <c r="H335">
        <v>21</v>
      </c>
      <c r="I335" s="5">
        <f t="shared" si="32"/>
        <v>6.9421487603305794</v>
      </c>
      <c r="J335" s="5">
        <f t="shared" si="30"/>
        <v>33.057851239669425</v>
      </c>
      <c r="L335" s="5">
        <f t="shared" si="31"/>
        <v>0</v>
      </c>
      <c r="M335" s="8">
        <v>40</v>
      </c>
      <c r="N335" s="2" t="s">
        <v>22</v>
      </c>
      <c r="O335" s="3" t="s">
        <v>64</v>
      </c>
    </row>
    <row r="336" spans="1:15" x14ac:dyDescent="0.35">
      <c r="A336" s="4">
        <v>45429</v>
      </c>
      <c r="B336" s="2" t="s">
        <v>1733</v>
      </c>
      <c r="D336" s="2" t="s">
        <v>94</v>
      </c>
      <c r="E336" s="2" t="s">
        <v>139</v>
      </c>
      <c r="F336" s="5" t="str">
        <f t="shared" si="28"/>
        <v>00002-2024/A1002/00005982 BIGMAT</v>
      </c>
      <c r="G336" s="12">
        <f t="shared" si="29"/>
        <v>61.710743801652896</v>
      </c>
      <c r="H336">
        <v>21</v>
      </c>
      <c r="I336" s="5">
        <f t="shared" si="32"/>
        <v>12.959256198347109</v>
      </c>
      <c r="J336" s="5">
        <f t="shared" si="30"/>
        <v>61.710743801652896</v>
      </c>
      <c r="L336" s="5">
        <f t="shared" si="31"/>
        <v>0</v>
      </c>
      <c r="M336" s="8">
        <v>74.67</v>
      </c>
      <c r="N336" s="2" t="s">
        <v>21</v>
      </c>
      <c r="O336" s="3" t="s">
        <v>64</v>
      </c>
    </row>
    <row r="337" spans="1:15" x14ac:dyDescent="0.35">
      <c r="A337" s="4">
        <v>45435</v>
      </c>
      <c r="B337" s="2" t="s">
        <v>1734</v>
      </c>
      <c r="D337" s="2" t="s">
        <v>35</v>
      </c>
      <c r="E337" s="2" t="s">
        <v>167</v>
      </c>
      <c r="F337" s="5" t="str">
        <f t="shared" si="28"/>
        <v>0240007731 PINTODIS SL</v>
      </c>
      <c r="G337" s="12">
        <f t="shared" si="29"/>
        <v>33.057851239669425</v>
      </c>
      <c r="H337">
        <v>21</v>
      </c>
      <c r="I337" s="5">
        <f t="shared" si="32"/>
        <v>6.9421487603305794</v>
      </c>
      <c r="J337" s="5">
        <f t="shared" si="30"/>
        <v>33.057851239669425</v>
      </c>
      <c r="L337" s="5">
        <f t="shared" si="31"/>
        <v>0</v>
      </c>
      <c r="M337" s="8">
        <v>40</v>
      </c>
      <c r="N337" s="2" t="s">
        <v>22</v>
      </c>
      <c r="O337" s="3" t="s">
        <v>64</v>
      </c>
    </row>
    <row r="338" spans="1:15" x14ac:dyDescent="0.35">
      <c r="A338" s="4">
        <v>45439</v>
      </c>
      <c r="B338" s="2" t="s">
        <v>1735</v>
      </c>
      <c r="D338" s="2" t="s">
        <v>49</v>
      </c>
      <c r="E338" s="2" t="s">
        <v>124</v>
      </c>
      <c r="F338" s="5" t="str">
        <f t="shared" si="28"/>
        <v>002345024/00009258 CIA ESPAÑOLA DIST PETROLEOS</v>
      </c>
      <c r="G338" s="12">
        <f t="shared" si="29"/>
        <v>24.793388429752067</v>
      </c>
      <c r="H338">
        <v>21</v>
      </c>
      <c r="I338" s="5">
        <f t="shared" si="32"/>
        <v>5.2066115702479339</v>
      </c>
      <c r="J338" s="5">
        <f t="shared" si="30"/>
        <v>24.793388429752067</v>
      </c>
      <c r="L338" s="5">
        <f t="shared" si="31"/>
        <v>0</v>
      </c>
      <c r="M338" s="8">
        <v>30</v>
      </c>
      <c r="N338" s="2" t="s">
        <v>22</v>
      </c>
      <c r="O338" s="3" t="s">
        <v>64</v>
      </c>
    </row>
    <row r="339" spans="1:15" x14ac:dyDescent="0.35">
      <c r="A339" s="4">
        <v>45433</v>
      </c>
      <c r="B339" s="2" t="s">
        <v>1736</v>
      </c>
      <c r="D339" s="2" t="s">
        <v>99</v>
      </c>
      <c r="E339" s="2" t="s">
        <v>262</v>
      </c>
      <c r="F339" s="5" t="str">
        <f t="shared" si="28"/>
        <v>0000101216 DISA</v>
      </c>
      <c r="G339" s="12">
        <f t="shared" si="29"/>
        <v>16.578512396694215</v>
      </c>
      <c r="H339">
        <v>21</v>
      </c>
      <c r="I339" s="5">
        <f t="shared" si="32"/>
        <v>3.4814876033057853</v>
      </c>
      <c r="J339" s="5">
        <f t="shared" si="30"/>
        <v>16.578512396694215</v>
      </c>
      <c r="L339" s="5">
        <f t="shared" si="31"/>
        <v>0</v>
      </c>
      <c r="M339" s="8">
        <v>20.059999999999999</v>
      </c>
      <c r="N339" s="2" t="s">
        <v>22</v>
      </c>
      <c r="O339" s="3" t="s">
        <v>64</v>
      </c>
    </row>
    <row r="340" spans="1:15" x14ac:dyDescent="0.35">
      <c r="A340" s="4">
        <v>45430</v>
      </c>
      <c r="B340" s="2" t="s">
        <v>1737</v>
      </c>
      <c r="D340" s="2" t="s">
        <v>99</v>
      </c>
      <c r="E340" s="2" t="s">
        <v>262</v>
      </c>
      <c r="F340" s="5" t="str">
        <f t="shared" si="28"/>
        <v>0000101165 DISA</v>
      </c>
      <c r="G340" s="12">
        <f t="shared" si="29"/>
        <v>28.41322314049587</v>
      </c>
      <c r="H340">
        <v>21</v>
      </c>
      <c r="I340" s="5">
        <f t="shared" si="32"/>
        <v>5.9667768595041322</v>
      </c>
      <c r="J340" s="5">
        <f t="shared" si="30"/>
        <v>28.41322314049587</v>
      </c>
      <c r="L340" s="5">
        <f t="shared" si="31"/>
        <v>0</v>
      </c>
      <c r="M340" s="8">
        <v>34.380000000000003</v>
      </c>
      <c r="N340" s="2" t="s">
        <v>22</v>
      </c>
      <c r="O340" s="3" t="s">
        <v>64</v>
      </c>
    </row>
    <row r="341" spans="1:15" x14ac:dyDescent="0.35">
      <c r="A341" s="4">
        <v>45427</v>
      </c>
      <c r="B341" s="2" t="s">
        <v>1738</v>
      </c>
      <c r="D341" s="2" t="s">
        <v>99</v>
      </c>
      <c r="E341" s="2" t="s">
        <v>262</v>
      </c>
      <c r="F341" s="5" t="str">
        <f t="shared" si="28"/>
        <v>0000101082 DISA</v>
      </c>
      <c r="G341" s="12">
        <f t="shared" si="29"/>
        <v>22.628099173553718</v>
      </c>
      <c r="H341">
        <v>21</v>
      </c>
      <c r="I341" s="5">
        <f t="shared" si="32"/>
        <v>4.7519008264462812</v>
      </c>
      <c r="J341" s="5">
        <f t="shared" si="30"/>
        <v>22.628099173553718</v>
      </c>
      <c r="L341" s="5">
        <f t="shared" si="31"/>
        <v>0</v>
      </c>
      <c r="M341" s="8">
        <v>27.38</v>
      </c>
      <c r="N341" s="2" t="s">
        <v>22</v>
      </c>
      <c r="O341" s="3" t="s">
        <v>64</v>
      </c>
    </row>
    <row r="342" spans="1:15" x14ac:dyDescent="0.35">
      <c r="A342" s="4">
        <v>45429</v>
      </c>
      <c r="B342" s="2" t="s">
        <v>1739</v>
      </c>
      <c r="D342" s="2" t="s">
        <v>99</v>
      </c>
      <c r="E342" s="2" t="s">
        <v>262</v>
      </c>
      <c r="F342" s="5" t="str">
        <f t="shared" si="28"/>
        <v>0000101135 DISA</v>
      </c>
      <c r="G342" s="12">
        <f t="shared" si="29"/>
        <v>28.429752066115704</v>
      </c>
      <c r="H342">
        <v>21</v>
      </c>
      <c r="I342" s="5">
        <f t="shared" si="32"/>
        <v>5.9702479338842975</v>
      </c>
      <c r="J342" s="5">
        <f t="shared" si="30"/>
        <v>28.429752066115704</v>
      </c>
      <c r="L342" s="5">
        <f t="shared" si="31"/>
        <v>0</v>
      </c>
      <c r="M342" s="8">
        <v>34.4</v>
      </c>
      <c r="N342" s="2" t="s">
        <v>22</v>
      </c>
      <c r="O342" s="3" t="s">
        <v>64</v>
      </c>
    </row>
    <row r="343" spans="1:15" x14ac:dyDescent="0.35">
      <c r="A343" s="4">
        <v>45440</v>
      </c>
      <c r="B343" s="2" t="s">
        <v>1740</v>
      </c>
      <c r="D343" s="2" t="s">
        <v>29</v>
      </c>
      <c r="E343" s="2" t="s">
        <v>76</v>
      </c>
      <c r="F343" s="5" t="str">
        <f t="shared" si="28"/>
        <v>5477-2024-00395204 COSTCO</v>
      </c>
      <c r="G343" s="12">
        <f t="shared" si="29"/>
        <v>53.123966942148762</v>
      </c>
      <c r="H343">
        <v>21</v>
      </c>
      <c r="I343" s="5">
        <f t="shared" si="32"/>
        <v>11.156033057851239</v>
      </c>
      <c r="J343" s="5">
        <f t="shared" si="30"/>
        <v>53.123966942148762</v>
      </c>
      <c r="L343" s="5">
        <f t="shared" si="31"/>
        <v>0</v>
      </c>
      <c r="M343" s="8">
        <v>64.28</v>
      </c>
      <c r="N343" s="2" t="s">
        <v>22</v>
      </c>
      <c r="O343" s="3" t="s">
        <v>64</v>
      </c>
    </row>
    <row r="344" spans="1:15" x14ac:dyDescent="0.35">
      <c r="A344" s="4">
        <v>45453</v>
      </c>
      <c r="B344" s="2" t="s">
        <v>1741</v>
      </c>
      <c r="D344" s="2" t="s">
        <v>94</v>
      </c>
      <c r="E344" s="2" t="s">
        <v>139</v>
      </c>
      <c r="F344" s="5" t="str">
        <f t="shared" si="28"/>
        <v>VEN/20259847 BIGMAT</v>
      </c>
      <c r="G344" s="12">
        <f t="shared" si="29"/>
        <v>910.2066115702479</v>
      </c>
      <c r="H344">
        <v>21</v>
      </c>
      <c r="I344" s="5">
        <f t="shared" si="32"/>
        <v>191.14338842975204</v>
      </c>
      <c r="J344" s="5">
        <f t="shared" si="30"/>
        <v>910.2066115702479</v>
      </c>
      <c r="L344" s="5">
        <f t="shared" si="31"/>
        <v>0</v>
      </c>
      <c r="M344" s="8">
        <v>1101.3499999999999</v>
      </c>
      <c r="N344" s="2" t="s">
        <v>21</v>
      </c>
      <c r="O344" s="3" t="s">
        <v>67</v>
      </c>
    </row>
    <row r="345" spans="1:15" x14ac:dyDescent="0.35">
      <c r="A345" s="4">
        <v>45462</v>
      </c>
      <c r="B345" s="2" t="s">
        <v>1992</v>
      </c>
      <c r="D345" s="2" t="s">
        <v>60</v>
      </c>
      <c r="E345" s="2" t="s">
        <v>24</v>
      </c>
      <c r="F345" s="5" t="str">
        <f t="shared" si="28"/>
        <v>097029/A/24/001014 REPSOL</v>
      </c>
      <c r="G345" s="12">
        <f t="shared" si="29"/>
        <v>13.008264462809917</v>
      </c>
      <c r="H345">
        <v>21</v>
      </c>
      <c r="I345" s="5">
        <f t="shared" si="32"/>
        <v>2.7317355371900827</v>
      </c>
      <c r="J345" s="5">
        <f t="shared" si="30"/>
        <v>13.008264462809917</v>
      </c>
      <c r="L345" s="5">
        <f t="shared" si="31"/>
        <v>0</v>
      </c>
      <c r="M345" s="8">
        <v>15.74</v>
      </c>
      <c r="N345" s="2" t="s">
        <v>22</v>
      </c>
      <c r="O345" s="3" t="s">
        <v>64</v>
      </c>
    </row>
    <row r="346" spans="1:15" x14ac:dyDescent="0.35">
      <c r="A346" s="4">
        <v>45301</v>
      </c>
      <c r="B346" s="2" t="s">
        <v>1752</v>
      </c>
      <c r="D346" s="2" t="s">
        <v>107</v>
      </c>
      <c r="E346" s="2" t="s">
        <v>1252</v>
      </c>
      <c r="F346" s="5" t="str">
        <f t="shared" si="28"/>
        <v>24/003 AIRCLIMA 2000 SL</v>
      </c>
      <c r="G346" s="12">
        <f t="shared" si="29"/>
        <v>1090</v>
      </c>
      <c r="H346">
        <v>21</v>
      </c>
      <c r="I346" s="5">
        <f t="shared" si="32"/>
        <v>228.9</v>
      </c>
      <c r="J346" s="5">
        <f t="shared" si="30"/>
        <v>1090</v>
      </c>
      <c r="L346" s="5">
        <f t="shared" si="31"/>
        <v>0</v>
      </c>
      <c r="M346" s="8">
        <v>1318.9</v>
      </c>
      <c r="N346" s="2" t="s">
        <v>37</v>
      </c>
      <c r="O346" s="3" t="s">
        <v>68</v>
      </c>
    </row>
    <row r="347" spans="1:15" x14ac:dyDescent="0.35">
      <c r="A347" s="4">
        <v>45454</v>
      </c>
      <c r="B347" s="2" t="s">
        <v>1753</v>
      </c>
      <c r="D347" s="2" t="s">
        <v>1340</v>
      </c>
      <c r="E347" s="2" t="s">
        <v>1341</v>
      </c>
      <c r="F347" s="5" t="str">
        <f t="shared" si="28"/>
        <v>2024-0142 PIKYOE AUTOMOCION SL</v>
      </c>
      <c r="G347" s="12">
        <f t="shared" si="29"/>
        <v>90.123966942148755</v>
      </c>
      <c r="H347">
        <v>21</v>
      </c>
      <c r="I347" s="5">
        <f t="shared" si="32"/>
        <v>18.926033057851239</v>
      </c>
      <c r="J347" s="5">
        <f t="shared" si="30"/>
        <v>90.123966942148755</v>
      </c>
      <c r="L347" s="5">
        <f t="shared" si="31"/>
        <v>0</v>
      </c>
      <c r="M347" s="8">
        <v>109.05</v>
      </c>
      <c r="N347" s="2" t="s">
        <v>53</v>
      </c>
      <c r="O347" s="3" t="s">
        <v>68</v>
      </c>
    </row>
    <row r="348" spans="1:15" x14ac:dyDescent="0.35">
      <c r="A348" s="4">
        <v>45454</v>
      </c>
      <c r="B348" s="2" t="s">
        <v>1754</v>
      </c>
      <c r="D348" s="2" t="s">
        <v>1340</v>
      </c>
      <c r="E348" s="2" t="s">
        <v>1341</v>
      </c>
      <c r="F348" s="5" t="str">
        <f t="shared" si="28"/>
        <v>2024-0143 PIKYOE AUTOMOCION SL</v>
      </c>
      <c r="G348" s="12">
        <f t="shared" si="29"/>
        <v>80.561983471074385</v>
      </c>
      <c r="H348">
        <v>21</v>
      </c>
      <c r="I348" s="5">
        <f t="shared" si="32"/>
        <v>16.918016528925619</v>
      </c>
      <c r="J348" s="5">
        <f t="shared" si="30"/>
        <v>80.561983471074385</v>
      </c>
      <c r="L348" s="5">
        <f t="shared" si="31"/>
        <v>0</v>
      </c>
      <c r="M348" s="8">
        <v>97.48</v>
      </c>
      <c r="N348" s="2" t="s">
        <v>53</v>
      </c>
      <c r="O348" s="3" t="s">
        <v>68</v>
      </c>
    </row>
    <row r="349" spans="1:15" x14ac:dyDescent="0.35">
      <c r="A349" s="4">
        <v>45458</v>
      </c>
      <c r="B349" s="2" t="s">
        <v>1760</v>
      </c>
      <c r="D349" s="2" t="s">
        <v>109</v>
      </c>
      <c r="E349" s="2" t="s">
        <v>42</v>
      </c>
      <c r="F349" s="5" t="str">
        <f t="shared" si="28"/>
        <v>24109800 DISCESUR</v>
      </c>
      <c r="G349" s="12">
        <f t="shared" si="29"/>
        <v>20.33884297520661</v>
      </c>
      <c r="H349">
        <v>21</v>
      </c>
      <c r="I349" s="5">
        <f t="shared" si="32"/>
        <v>4.2711570247933883</v>
      </c>
      <c r="J349" s="5">
        <f t="shared" si="30"/>
        <v>20.33884297520661</v>
      </c>
      <c r="L349" s="5">
        <f t="shared" si="31"/>
        <v>0</v>
      </c>
      <c r="M349" s="8">
        <v>24.61</v>
      </c>
      <c r="N349" s="2" t="s">
        <v>21</v>
      </c>
      <c r="O349" s="3" t="s">
        <v>67</v>
      </c>
    </row>
    <row r="350" spans="1:15" x14ac:dyDescent="0.35">
      <c r="A350" s="4">
        <v>45457</v>
      </c>
      <c r="B350" s="2" t="s">
        <v>1761</v>
      </c>
      <c r="D350" s="2" t="s">
        <v>23</v>
      </c>
      <c r="E350" s="2" t="s">
        <v>122</v>
      </c>
      <c r="F350" s="5" t="str">
        <f t="shared" si="28"/>
        <v>00011336 PINTOCOLORS</v>
      </c>
      <c r="G350" s="12">
        <f t="shared" si="29"/>
        <v>15.272727272727273</v>
      </c>
      <c r="H350">
        <v>21</v>
      </c>
      <c r="I350" s="5">
        <f t="shared" si="32"/>
        <v>3.2072727272727275</v>
      </c>
      <c r="J350" s="5">
        <f t="shared" si="30"/>
        <v>15.272727272727273</v>
      </c>
      <c r="L350" s="5">
        <f t="shared" si="31"/>
        <v>0</v>
      </c>
      <c r="M350" s="8">
        <v>18.48</v>
      </c>
      <c r="N350" s="2" t="s">
        <v>21</v>
      </c>
      <c r="O350" s="3" t="s">
        <v>64</v>
      </c>
    </row>
    <row r="351" spans="1:15" x14ac:dyDescent="0.35">
      <c r="A351" s="4">
        <v>45443</v>
      </c>
      <c r="B351" s="2" t="s">
        <v>1762</v>
      </c>
      <c r="D351" s="2" t="s">
        <v>40</v>
      </c>
      <c r="E351" s="2" t="s">
        <v>41</v>
      </c>
      <c r="F351" s="5" t="str">
        <f t="shared" si="28"/>
        <v>1068/24 CONTENEDORES OSCONSUR</v>
      </c>
      <c r="G351" s="12">
        <f t="shared" si="29"/>
        <v>513.99999999999989</v>
      </c>
      <c r="H351">
        <v>10</v>
      </c>
      <c r="I351" s="5">
        <f t="shared" si="32"/>
        <v>51.399999999999991</v>
      </c>
      <c r="J351" s="5">
        <f t="shared" si="30"/>
        <v>513.99999999999989</v>
      </c>
      <c r="L351" s="5">
        <f t="shared" si="31"/>
        <v>0</v>
      </c>
      <c r="M351" s="8">
        <v>565.4</v>
      </c>
      <c r="N351" s="2" t="s">
        <v>33</v>
      </c>
      <c r="O351" s="3" t="s">
        <v>67</v>
      </c>
    </row>
    <row r="352" spans="1:15" x14ac:dyDescent="0.35">
      <c r="A352" s="4">
        <v>45441</v>
      </c>
      <c r="B352" s="2" t="s">
        <v>1763</v>
      </c>
      <c r="D352" s="2" t="s">
        <v>94</v>
      </c>
      <c r="E352" s="2" t="s">
        <v>139</v>
      </c>
      <c r="F352" s="5" t="str">
        <f t="shared" si="28"/>
        <v>000022024/A0103/00004467 BIGMAT</v>
      </c>
      <c r="G352" s="12">
        <f t="shared" si="29"/>
        <v>32.84297520661157</v>
      </c>
      <c r="H352">
        <v>21</v>
      </c>
      <c r="I352" s="5">
        <f t="shared" si="32"/>
        <v>6.8970247933884297</v>
      </c>
      <c r="J352" s="5">
        <f t="shared" si="30"/>
        <v>32.84297520661157</v>
      </c>
      <c r="L352" s="5">
        <f t="shared" si="31"/>
        <v>0</v>
      </c>
      <c r="M352" s="8">
        <v>39.74</v>
      </c>
      <c r="N352" s="2" t="s">
        <v>21</v>
      </c>
      <c r="O352" s="3" t="s">
        <v>63</v>
      </c>
    </row>
    <row r="353" spans="1:15" x14ac:dyDescent="0.35">
      <c r="A353" s="4">
        <v>45447</v>
      </c>
      <c r="B353" s="2" t="s">
        <v>1764</v>
      </c>
      <c r="D353" s="2" t="s">
        <v>101</v>
      </c>
      <c r="E353" s="2" t="s">
        <v>1324</v>
      </c>
      <c r="F353" s="5" t="str">
        <f t="shared" si="28"/>
        <v>FACG 4309 ESCAYOLAS EUROPA</v>
      </c>
      <c r="G353" s="12">
        <f t="shared" si="29"/>
        <v>129.85950413223139</v>
      </c>
      <c r="H353">
        <v>21</v>
      </c>
      <c r="I353" s="5">
        <f t="shared" si="32"/>
        <v>27.270495867768592</v>
      </c>
      <c r="J353" s="5">
        <f t="shared" si="30"/>
        <v>129.85950413223139</v>
      </c>
      <c r="L353" s="5">
        <f t="shared" si="31"/>
        <v>0</v>
      </c>
      <c r="M353" s="8">
        <v>157.13</v>
      </c>
      <c r="N353" s="2" t="s">
        <v>21</v>
      </c>
      <c r="O353" s="3" t="s">
        <v>63</v>
      </c>
    </row>
    <row r="354" spans="1:15" x14ac:dyDescent="0.35">
      <c r="A354" s="4">
        <v>45458</v>
      </c>
      <c r="B354" s="2" t="s">
        <v>1766</v>
      </c>
      <c r="D354" s="2" t="s">
        <v>200</v>
      </c>
      <c r="E354" s="2" t="s">
        <v>1284</v>
      </c>
      <c r="F354" s="5" t="str">
        <f t="shared" si="28"/>
        <v>0123101 ICAR DISTRIBUCIONES FERRETERIAS SL I.D.F.</v>
      </c>
      <c r="G354" s="12">
        <f t="shared" si="29"/>
        <v>57.909090909090907</v>
      </c>
      <c r="H354">
        <v>21</v>
      </c>
      <c r="I354" s="5">
        <f t="shared" si="32"/>
        <v>12.16090909090909</v>
      </c>
      <c r="J354" s="5">
        <f t="shared" si="30"/>
        <v>57.909090909090907</v>
      </c>
      <c r="L354" s="5">
        <f t="shared" si="31"/>
        <v>0</v>
      </c>
      <c r="M354" s="8">
        <v>70.069999999999993</v>
      </c>
      <c r="N354" s="2" t="s">
        <v>21</v>
      </c>
      <c r="O354" s="3" t="s">
        <v>67</v>
      </c>
    </row>
    <row r="355" spans="1:15" x14ac:dyDescent="0.35">
      <c r="A355" s="4">
        <v>45460</v>
      </c>
      <c r="B355" s="2" t="s">
        <v>1771</v>
      </c>
      <c r="D355" s="2" t="s">
        <v>1772</v>
      </c>
      <c r="E355" s="2" t="s">
        <v>1773</v>
      </c>
      <c r="F355" s="5" t="str">
        <f t="shared" si="28"/>
        <v>37/2024 ROMEL 24 HANDEL</v>
      </c>
      <c r="G355" s="12">
        <f t="shared" si="29"/>
        <v>21000</v>
      </c>
      <c r="H355">
        <v>0</v>
      </c>
      <c r="I355" s="5">
        <f t="shared" si="32"/>
        <v>0</v>
      </c>
      <c r="J355" s="5">
        <f t="shared" si="30"/>
        <v>21000</v>
      </c>
      <c r="L355" s="5">
        <f t="shared" si="31"/>
        <v>0</v>
      </c>
      <c r="M355" s="8">
        <v>21000</v>
      </c>
      <c r="N355" s="2" t="s">
        <v>50</v>
      </c>
      <c r="O355" s="3" t="s">
        <v>68</v>
      </c>
    </row>
    <row r="356" spans="1:15" x14ac:dyDescent="0.35">
      <c r="A356" s="4">
        <v>45461</v>
      </c>
      <c r="B356" s="2" t="s">
        <v>1774</v>
      </c>
      <c r="D356" s="2" t="s">
        <v>132</v>
      </c>
      <c r="E356" s="2" t="s">
        <v>147</v>
      </c>
      <c r="F356" s="5" t="str">
        <f t="shared" si="28"/>
        <v>A/8656 AZULEJOS ROSA</v>
      </c>
      <c r="G356" s="12">
        <f t="shared" si="29"/>
        <v>855.36363636363637</v>
      </c>
      <c r="H356">
        <v>21</v>
      </c>
      <c r="I356" s="5">
        <f t="shared" si="32"/>
        <v>179.62636363636364</v>
      </c>
      <c r="J356" s="5">
        <f t="shared" si="30"/>
        <v>855.36363636363637</v>
      </c>
      <c r="L356" s="5">
        <f t="shared" si="31"/>
        <v>0</v>
      </c>
      <c r="M356" s="8">
        <v>1034.99</v>
      </c>
      <c r="N356" s="2" t="s">
        <v>21</v>
      </c>
      <c r="O356" s="3" t="s">
        <v>68</v>
      </c>
    </row>
    <row r="357" spans="1:15" x14ac:dyDescent="0.35">
      <c r="A357" s="4">
        <v>45429</v>
      </c>
      <c r="B357" s="2" t="s">
        <v>1775</v>
      </c>
      <c r="D357" s="2" t="s">
        <v>1776</v>
      </c>
      <c r="E357" s="2" t="s">
        <v>1777</v>
      </c>
      <c r="F357" s="5" t="str">
        <f t="shared" si="28"/>
        <v>G240502104257 ALCAMPO</v>
      </c>
      <c r="G357" s="12">
        <f t="shared" si="29"/>
        <v>33.057851239669425</v>
      </c>
      <c r="H357">
        <v>21</v>
      </c>
      <c r="I357" s="5">
        <f t="shared" si="32"/>
        <v>6.9421487603305794</v>
      </c>
      <c r="J357" s="5">
        <f t="shared" si="30"/>
        <v>33.057851239669425</v>
      </c>
      <c r="L357" s="5">
        <f t="shared" si="31"/>
        <v>0</v>
      </c>
      <c r="M357" s="8">
        <v>40</v>
      </c>
      <c r="N357" s="2" t="s">
        <v>22</v>
      </c>
      <c r="O357" s="3" t="s">
        <v>64</v>
      </c>
    </row>
    <row r="358" spans="1:15" x14ac:dyDescent="0.35">
      <c r="A358" s="4">
        <v>45450</v>
      </c>
      <c r="B358" s="2" t="s">
        <v>1778</v>
      </c>
      <c r="D358" s="2" t="s">
        <v>1779</v>
      </c>
      <c r="E358" s="2" t="s">
        <v>1780</v>
      </c>
      <c r="F358" s="5" t="str">
        <f t="shared" si="28"/>
        <v>HT41126 HONDA</v>
      </c>
      <c r="G358" s="12">
        <f t="shared" si="29"/>
        <v>369.19834710743805</v>
      </c>
      <c r="H358">
        <v>21</v>
      </c>
      <c r="I358" s="5">
        <f t="shared" si="32"/>
        <v>77.531652892561993</v>
      </c>
      <c r="J358" s="5">
        <f t="shared" si="30"/>
        <v>369.19834710743805</v>
      </c>
      <c r="L358" s="5">
        <f t="shared" si="31"/>
        <v>0</v>
      </c>
      <c r="M358" s="8">
        <v>446.73</v>
      </c>
      <c r="N358" s="2" t="s">
        <v>21</v>
      </c>
      <c r="O358" s="3" t="s">
        <v>64</v>
      </c>
    </row>
    <row r="359" spans="1:15" x14ac:dyDescent="0.35">
      <c r="A359" s="4">
        <v>45449</v>
      </c>
      <c r="B359" s="2" t="s">
        <v>1781</v>
      </c>
      <c r="D359" s="2" t="s">
        <v>58</v>
      </c>
      <c r="E359" s="2" t="s">
        <v>1172</v>
      </c>
      <c r="F359" s="5" t="str">
        <f t="shared" si="28"/>
        <v>011-0006-928495 BRICOLAJE BRICOMAN SLU</v>
      </c>
      <c r="G359" s="12">
        <f t="shared" si="29"/>
        <v>18.603305785123968</v>
      </c>
      <c r="H359">
        <v>21</v>
      </c>
      <c r="I359" s="5">
        <f t="shared" si="32"/>
        <v>3.9066942148760337</v>
      </c>
      <c r="J359" s="5">
        <f t="shared" si="30"/>
        <v>18.603305785123968</v>
      </c>
      <c r="L359" s="5">
        <f t="shared" si="31"/>
        <v>0</v>
      </c>
      <c r="M359" s="8">
        <v>22.51</v>
      </c>
      <c r="N359" s="2" t="s">
        <v>21</v>
      </c>
      <c r="O359" s="3" t="s">
        <v>64</v>
      </c>
    </row>
    <row r="360" spans="1:15" x14ac:dyDescent="0.35">
      <c r="A360" s="4">
        <v>45449</v>
      </c>
      <c r="B360" s="2" t="s">
        <v>1782</v>
      </c>
      <c r="D360" s="2" t="s">
        <v>58</v>
      </c>
      <c r="E360" s="2" t="s">
        <v>1172</v>
      </c>
      <c r="F360" s="5" t="str">
        <f t="shared" si="28"/>
        <v>011-0006-928542 BRICOLAJE BRICOMAN SLU</v>
      </c>
      <c r="G360" s="12">
        <f t="shared" si="29"/>
        <v>22.760330578512395</v>
      </c>
      <c r="H360">
        <v>21</v>
      </c>
      <c r="I360" s="5">
        <f t="shared" si="32"/>
        <v>4.7796694214876023</v>
      </c>
      <c r="J360" s="5">
        <f t="shared" si="30"/>
        <v>22.760330578512395</v>
      </c>
      <c r="L360" s="5">
        <f t="shared" si="31"/>
        <v>0</v>
      </c>
      <c r="M360" s="8">
        <v>27.54</v>
      </c>
      <c r="N360" s="2" t="s">
        <v>21</v>
      </c>
      <c r="O360" s="3" t="s">
        <v>64</v>
      </c>
    </row>
    <row r="361" spans="1:15" x14ac:dyDescent="0.35">
      <c r="A361" s="4">
        <v>45449</v>
      </c>
      <c r="B361" s="2" t="s">
        <v>1783</v>
      </c>
      <c r="D361" s="2" t="s">
        <v>58</v>
      </c>
      <c r="E361" s="2" t="s">
        <v>1172</v>
      </c>
      <c r="F361" s="5" t="str">
        <f t="shared" si="28"/>
        <v>011-0006-929279 BRICOLAJE BRICOMAN SLU</v>
      </c>
      <c r="G361" s="12">
        <f t="shared" si="29"/>
        <v>92.561983471074385</v>
      </c>
      <c r="H361">
        <v>21</v>
      </c>
      <c r="I361" s="5">
        <f t="shared" si="32"/>
        <v>19.438016528925619</v>
      </c>
      <c r="J361" s="5">
        <f t="shared" si="30"/>
        <v>92.561983471074385</v>
      </c>
      <c r="L361" s="5">
        <f t="shared" si="31"/>
        <v>0</v>
      </c>
      <c r="M361" s="8">
        <v>112</v>
      </c>
      <c r="N361" s="2" t="s">
        <v>21</v>
      </c>
      <c r="O361" s="3" t="s">
        <v>64</v>
      </c>
    </row>
    <row r="362" spans="1:15" x14ac:dyDescent="0.35">
      <c r="A362" s="4">
        <v>45450</v>
      </c>
      <c r="B362" s="2" t="s">
        <v>1784</v>
      </c>
      <c r="D362" s="2" t="s">
        <v>58</v>
      </c>
      <c r="E362" s="2" t="s">
        <v>1172</v>
      </c>
      <c r="F362" s="5" t="str">
        <f t="shared" si="28"/>
        <v>011-0006-931117 BRICOLAJE BRICOMAN SLU</v>
      </c>
      <c r="G362" s="12">
        <f t="shared" si="29"/>
        <v>54.983471074380169</v>
      </c>
      <c r="H362">
        <v>21</v>
      </c>
      <c r="I362" s="5">
        <f t="shared" si="32"/>
        <v>11.546528925619837</v>
      </c>
      <c r="J362" s="5">
        <f t="shared" si="30"/>
        <v>54.983471074380169</v>
      </c>
      <c r="L362" s="5">
        <f t="shared" si="31"/>
        <v>0</v>
      </c>
      <c r="M362" s="8">
        <v>66.53</v>
      </c>
      <c r="N362" s="2" t="s">
        <v>21</v>
      </c>
      <c r="O362" s="3" t="s">
        <v>64</v>
      </c>
    </row>
    <row r="363" spans="1:15" x14ac:dyDescent="0.35">
      <c r="A363" s="4">
        <v>45434</v>
      </c>
      <c r="B363" s="2" t="s">
        <v>1785</v>
      </c>
      <c r="D363" s="2" t="s">
        <v>1119</v>
      </c>
      <c r="E363" s="2" t="s">
        <v>1506</v>
      </c>
      <c r="F363" s="5" t="str">
        <f t="shared" si="28"/>
        <v>452702532 GUARCONSA ALCOBENDAS</v>
      </c>
      <c r="G363" s="12">
        <f t="shared" si="29"/>
        <v>17.702479338842977</v>
      </c>
      <c r="H363">
        <v>21</v>
      </c>
      <c r="I363" s="5">
        <f t="shared" si="32"/>
        <v>3.7175206611570251</v>
      </c>
      <c r="J363" s="5">
        <f t="shared" si="30"/>
        <v>17.702479338842977</v>
      </c>
      <c r="L363" s="5">
        <f t="shared" si="31"/>
        <v>0</v>
      </c>
      <c r="M363" s="8">
        <v>21.42</v>
      </c>
      <c r="N363" s="2" t="s">
        <v>21</v>
      </c>
      <c r="O363" s="3" t="s">
        <v>63</v>
      </c>
    </row>
    <row r="364" spans="1:15" x14ac:dyDescent="0.35">
      <c r="A364" s="4">
        <v>45454</v>
      </c>
      <c r="B364" s="2" t="s">
        <v>1786</v>
      </c>
      <c r="D364" s="2" t="s">
        <v>1497</v>
      </c>
      <c r="E364" s="2" t="s">
        <v>1498</v>
      </c>
      <c r="F364" s="5" t="str">
        <f t="shared" si="28"/>
        <v>18465 ITV SESEÑA SA</v>
      </c>
      <c r="G364" s="12">
        <v>30.95</v>
      </c>
      <c r="H364">
        <v>21</v>
      </c>
      <c r="I364" s="5">
        <f t="shared" si="32"/>
        <v>6.4994999999999994</v>
      </c>
      <c r="J364" s="5">
        <f t="shared" si="30"/>
        <v>30.95</v>
      </c>
      <c r="L364" s="5">
        <f t="shared" si="31"/>
        <v>0</v>
      </c>
      <c r="M364" s="8">
        <v>42.67</v>
      </c>
      <c r="N364" s="2" t="s">
        <v>52</v>
      </c>
      <c r="O364" s="3" t="s">
        <v>64</v>
      </c>
    </row>
    <row r="365" spans="1:15" x14ac:dyDescent="0.35">
      <c r="A365" s="4">
        <v>45448</v>
      </c>
      <c r="B365" s="2" t="s">
        <v>1787</v>
      </c>
      <c r="D365" s="2" t="s">
        <v>58</v>
      </c>
      <c r="E365" s="2" t="s">
        <v>1172</v>
      </c>
      <c r="F365" s="5" t="str">
        <f t="shared" si="28"/>
        <v>007-0006-578761 BRICOLAJE BRICOMAN SLU</v>
      </c>
      <c r="G365" s="12">
        <f t="shared" si="29"/>
        <v>21.074380165289256</v>
      </c>
      <c r="H365">
        <v>21</v>
      </c>
      <c r="I365" s="5">
        <f t="shared" si="32"/>
        <v>4.4256198347107434</v>
      </c>
      <c r="J365" s="5">
        <f t="shared" si="30"/>
        <v>21.074380165289256</v>
      </c>
      <c r="L365" s="5">
        <f t="shared" si="31"/>
        <v>0</v>
      </c>
      <c r="M365" s="8">
        <v>25.5</v>
      </c>
      <c r="N365" s="2" t="s">
        <v>21</v>
      </c>
      <c r="O365" s="3" t="s">
        <v>64</v>
      </c>
    </row>
    <row r="366" spans="1:15" x14ac:dyDescent="0.35">
      <c r="A366" s="4">
        <v>45448</v>
      </c>
      <c r="B366" s="2" t="s">
        <v>1788</v>
      </c>
      <c r="D366" s="2" t="s">
        <v>57</v>
      </c>
      <c r="E366" s="2" t="s">
        <v>44</v>
      </c>
      <c r="F366" s="5" t="str">
        <f t="shared" si="28"/>
        <v>045-0006-395362 LEROY MERLIN</v>
      </c>
      <c r="G366" s="12">
        <f t="shared" si="29"/>
        <v>54.231404958677693</v>
      </c>
      <c r="H366">
        <v>21</v>
      </c>
      <c r="I366" s="5">
        <f t="shared" si="32"/>
        <v>11.388595041322315</v>
      </c>
      <c r="J366" s="5">
        <f t="shared" si="30"/>
        <v>54.231404958677693</v>
      </c>
      <c r="L366" s="5">
        <f t="shared" si="31"/>
        <v>0</v>
      </c>
      <c r="M366" s="8">
        <v>65.62</v>
      </c>
      <c r="N366" s="2" t="s">
        <v>21</v>
      </c>
      <c r="O366" s="3" t="s">
        <v>64</v>
      </c>
    </row>
    <row r="367" spans="1:15" x14ac:dyDescent="0.35">
      <c r="A367" s="4">
        <v>45441</v>
      </c>
      <c r="B367" s="2" t="s">
        <v>1789</v>
      </c>
      <c r="D367" s="2" t="s">
        <v>58</v>
      </c>
      <c r="E367" s="2" t="s">
        <v>1172</v>
      </c>
      <c r="F367" s="5" t="str">
        <f t="shared" si="28"/>
        <v>011-0005-912283 BRICOLAJE BRICOMAN SLU</v>
      </c>
      <c r="G367" s="12">
        <f t="shared" si="29"/>
        <v>2.1900826446280992</v>
      </c>
      <c r="H367">
        <v>21</v>
      </c>
      <c r="I367" s="5">
        <f t="shared" si="32"/>
        <v>0.45991735537190082</v>
      </c>
      <c r="J367" s="5">
        <f t="shared" si="30"/>
        <v>2.1900826446280992</v>
      </c>
      <c r="L367" s="5">
        <f t="shared" si="31"/>
        <v>0</v>
      </c>
      <c r="M367" s="8">
        <v>2.65</v>
      </c>
      <c r="N367" s="2" t="s">
        <v>21</v>
      </c>
      <c r="O367" s="3" t="s">
        <v>64</v>
      </c>
    </row>
    <row r="368" spans="1:15" x14ac:dyDescent="0.35">
      <c r="A368" s="4">
        <v>45454</v>
      </c>
      <c r="B368" s="2" t="s">
        <v>1790</v>
      </c>
      <c r="D368" s="2" t="s">
        <v>140</v>
      </c>
      <c r="E368" s="2" t="s">
        <v>141</v>
      </c>
      <c r="F368" s="5" t="str">
        <f t="shared" si="28"/>
        <v>3693 ED OIL</v>
      </c>
      <c r="G368" s="12">
        <f t="shared" si="29"/>
        <v>59.735537190082646</v>
      </c>
      <c r="H368">
        <v>21</v>
      </c>
      <c r="I368" s="5">
        <f t="shared" si="32"/>
        <v>12.544462809917356</v>
      </c>
      <c r="J368" s="5">
        <f t="shared" si="30"/>
        <v>59.735537190082646</v>
      </c>
      <c r="L368" s="5">
        <f t="shared" si="31"/>
        <v>0</v>
      </c>
      <c r="M368" s="8">
        <v>72.28</v>
      </c>
      <c r="N368" s="2" t="s">
        <v>22</v>
      </c>
      <c r="O368" s="3" t="s">
        <v>64</v>
      </c>
    </row>
    <row r="369" spans="1:15" x14ac:dyDescent="0.35">
      <c r="A369" s="4">
        <v>45457</v>
      </c>
      <c r="B369" s="2" t="s">
        <v>1791</v>
      </c>
      <c r="D369" s="2" t="s">
        <v>170</v>
      </c>
      <c r="E369" s="2" t="s">
        <v>171</v>
      </c>
      <c r="F369" s="5" t="str">
        <f t="shared" si="28"/>
        <v>E19T/182666 MOTOCARD</v>
      </c>
      <c r="G369" s="12">
        <f t="shared" si="29"/>
        <v>508.41322314049586</v>
      </c>
      <c r="H369">
        <v>21</v>
      </c>
      <c r="I369" s="5">
        <f t="shared" si="32"/>
        <v>106.76677685950413</v>
      </c>
      <c r="J369" s="5">
        <f t="shared" si="30"/>
        <v>508.41322314049586</v>
      </c>
      <c r="L369" s="5">
        <f t="shared" si="31"/>
        <v>0</v>
      </c>
      <c r="M369" s="8">
        <v>615.17999999999995</v>
      </c>
      <c r="N369" s="2" t="s">
        <v>21</v>
      </c>
      <c r="O369" s="3" t="s">
        <v>64</v>
      </c>
    </row>
    <row r="370" spans="1:15" x14ac:dyDescent="0.35">
      <c r="A370" s="4">
        <v>45442</v>
      </c>
      <c r="B370" s="2" t="s">
        <v>1792</v>
      </c>
      <c r="D370" s="2" t="s">
        <v>60</v>
      </c>
      <c r="E370" s="2" t="s">
        <v>24</v>
      </c>
      <c r="F370" s="5" t="str">
        <f t="shared" si="28"/>
        <v>096268/A/24/000916 REPSOL</v>
      </c>
      <c r="G370" s="12">
        <f t="shared" si="29"/>
        <v>28.099173553719009</v>
      </c>
      <c r="H370">
        <v>21</v>
      </c>
      <c r="I370" s="5">
        <f t="shared" si="32"/>
        <v>5.9008264462809912</v>
      </c>
      <c r="J370" s="5">
        <f t="shared" si="30"/>
        <v>28.099173553719009</v>
      </c>
      <c r="L370" s="5">
        <f t="shared" si="31"/>
        <v>0</v>
      </c>
      <c r="M370" s="8">
        <v>34</v>
      </c>
      <c r="N370" s="2" t="s">
        <v>22</v>
      </c>
      <c r="O370" s="3" t="s">
        <v>64</v>
      </c>
    </row>
    <row r="371" spans="1:15" x14ac:dyDescent="0.35">
      <c r="A371" s="4">
        <v>45457</v>
      </c>
      <c r="B371" s="2" t="s">
        <v>1793</v>
      </c>
      <c r="D371" s="2" t="s">
        <v>170</v>
      </c>
      <c r="E371" s="2" t="s">
        <v>171</v>
      </c>
      <c r="F371" s="5" t="str">
        <f t="shared" si="28"/>
        <v>E19T/182671 MOTOCARD</v>
      </c>
      <c r="G371" s="12">
        <f t="shared" si="29"/>
        <v>128.01652892561984</v>
      </c>
      <c r="H371">
        <v>21</v>
      </c>
      <c r="I371" s="5">
        <f t="shared" si="32"/>
        <v>26.883471074380168</v>
      </c>
      <c r="J371" s="5">
        <f t="shared" si="30"/>
        <v>128.01652892561984</v>
      </c>
      <c r="L371" s="5">
        <f t="shared" si="31"/>
        <v>0</v>
      </c>
      <c r="M371" s="8">
        <v>154.9</v>
      </c>
      <c r="N371" s="2" t="s">
        <v>21</v>
      </c>
      <c r="O371" s="3" t="s">
        <v>64</v>
      </c>
    </row>
    <row r="372" spans="1:15" x14ac:dyDescent="0.35">
      <c r="A372" s="4">
        <v>45457</v>
      </c>
      <c r="B372" s="2" t="s">
        <v>1794</v>
      </c>
      <c r="D372" s="2" t="s">
        <v>1795</v>
      </c>
      <c r="E372" s="2" t="s">
        <v>1796</v>
      </c>
      <c r="F372" s="5" t="str">
        <f t="shared" si="28"/>
        <v>T001/569270 CRISTINA ORIA</v>
      </c>
      <c r="G372" s="12">
        <f t="shared" si="29"/>
        <v>47.909090909090907</v>
      </c>
      <c r="H372">
        <v>10</v>
      </c>
      <c r="I372" s="5">
        <f t="shared" si="32"/>
        <v>4.790909090909091</v>
      </c>
      <c r="J372" s="5">
        <f t="shared" si="30"/>
        <v>47.909090909090907</v>
      </c>
      <c r="L372" s="5">
        <f t="shared" si="31"/>
        <v>0</v>
      </c>
      <c r="M372" s="8">
        <v>52.7</v>
      </c>
      <c r="N372" s="2" t="s">
        <v>28</v>
      </c>
      <c r="O372" s="3" t="s">
        <v>64</v>
      </c>
    </row>
    <row r="373" spans="1:15" x14ac:dyDescent="0.35">
      <c r="A373" s="4">
        <v>45458</v>
      </c>
      <c r="B373" s="2" t="s">
        <v>1797</v>
      </c>
      <c r="D373" s="2" t="s">
        <v>1798</v>
      </c>
      <c r="E373" s="2" t="s">
        <v>1799</v>
      </c>
      <c r="F373" s="5" t="str">
        <f t="shared" si="28"/>
        <v>00001TM00225439 NON SOLO CAFFE</v>
      </c>
      <c r="G373" s="12">
        <f t="shared" si="29"/>
        <v>41.454545454545453</v>
      </c>
      <c r="H373">
        <v>10</v>
      </c>
      <c r="I373" s="5">
        <f t="shared" si="32"/>
        <v>4.1454545454545446</v>
      </c>
      <c r="J373" s="5">
        <f t="shared" si="30"/>
        <v>41.454545454545453</v>
      </c>
      <c r="L373" s="5">
        <f t="shared" si="31"/>
        <v>0</v>
      </c>
      <c r="M373" s="8">
        <v>45.6</v>
      </c>
      <c r="N373" s="2" t="s">
        <v>28</v>
      </c>
      <c r="O373" s="3" t="s">
        <v>64</v>
      </c>
    </row>
    <row r="374" spans="1:15" x14ac:dyDescent="0.35">
      <c r="A374" s="4">
        <v>45452</v>
      </c>
      <c r="B374" s="2" t="s">
        <v>1800</v>
      </c>
      <c r="D374" s="2" t="s">
        <v>1801</v>
      </c>
      <c r="E374" s="2" t="s">
        <v>1802</v>
      </c>
      <c r="F374" s="5" t="str">
        <f t="shared" si="28"/>
        <v>24FVT001949 A.S. LOS CERRILLOS</v>
      </c>
      <c r="G374" s="12">
        <f t="shared" si="29"/>
        <v>33.512396694214871</v>
      </c>
      <c r="H374">
        <v>21</v>
      </c>
      <c r="I374" s="5">
        <f t="shared" si="32"/>
        <v>7.0376033057851224</v>
      </c>
      <c r="J374" s="5">
        <f t="shared" si="30"/>
        <v>33.512396694214871</v>
      </c>
      <c r="L374" s="5">
        <f t="shared" si="31"/>
        <v>0</v>
      </c>
      <c r="M374" s="8">
        <v>40.549999999999997</v>
      </c>
      <c r="N374" s="2" t="s">
        <v>22</v>
      </c>
      <c r="O374" s="3" t="s">
        <v>64</v>
      </c>
    </row>
    <row r="375" spans="1:15" x14ac:dyDescent="0.35">
      <c r="A375" s="4">
        <v>45437</v>
      </c>
      <c r="B375" s="2" t="s">
        <v>1803</v>
      </c>
      <c r="D375" s="2" t="s">
        <v>99</v>
      </c>
      <c r="E375" s="2" t="s">
        <v>262</v>
      </c>
      <c r="F375" s="5" t="str">
        <f t="shared" si="28"/>
        <v>0000043766 DISA</v>
      </c>
      <c r="G375" s="12">
        <f t="shared" si="29"/>
        <v>16.380165289256198</v>
      </c>
      <c r="H375">
        <v>21</v>
      </c>
      <c r="I375" s="5">
        <f t="shared" si="32"/>
        <v>3.4398347107438014</v>
      </c>
      <c r="J375" s="5">
        <f t="shared" si="30"/>
        <v>16.380165289256198</v>
      </c>
      <c r="L375" s="5">
        <f t="shared" si="31"/>
        <v>0</v>
      </c>
      <c r="M375" s="8">
        <v>19.82</v>
      </c>
      <c r="N375" s="2" t="s">
        <v>22</v>
      </c>
      <c r="O375" s="3" t="s">
        <v>63</v>
      </c>
    </row>
    <row r="376" spans="1:15" x14ac:dyDescent="0.35">
      <c r="A376" s="4">
        <v>45438</v>
      </c>
      <c r="B376" s="2" t="s">
        <v>1804</v>
      </c>
      <c r="D376" s="2" t="s">
        <v>60</v>
      </c>
      <c r="E376" s="2" t="s">
        <v>24</v>
      </c>
      <c r="F376" s="5" t="str">
        <f t="shared" si="28"/>
        <v>096736/A/24/002459 REPSOL</v>
      </c>
      <c r="G376" s="12">
        <f t="shared" si="29"/>
        <v>41.32231404958678</v>
      </c>
      <c r="H376">
        <v>21</v>
      </c>
      <c r="I376" s="5">
        <f t="shared" si="32"/>
        <v>8.677685950413224</v>
      </c>
      <c r="J376" s="5">
        <f t="shared" si="30"/>
        <v>41.32231404958678</v>
      </c>
      <c r="L376" s="5">
        <f t="shared" si="31"/>
        <v>0</v>
      </c>
      <c r="M376" s="8">
        <v>50</v>
      </c>
      <c r="N376" s="2" t="s">
        <v>22</v>
      </c>
      <c r="O376" s="3" t="s">
        <v>63</v>
      </c>
    </row>
    <row r="377" spans="1:15" x14ac:dyDescent="0.35">
      <c r="A377" s="4">
        <v>45440</v>
      </c>
      <c r="B377" s="2" t="s">
        <v>1805</v>
      </c>
      <c r="D377" s="2" t="s">
        <v>593</v>
      </c>
      <c r="E377" s="2" t="s">
        <v>1415</v>
      </c>
      <c r="F377" s="5" t="str">
        <f t="shared" si="28"/>
        <v>00210022202405001462 Mc DONALD´S</v>
      </c>
      <c r="G377" s="12">
        <f t="shared" si="29"/>
        <v>30.963636363636365</v>
      </c>
      <c r="H377">
        <v>10</v>
      </c>
      <c r="I377" s="5">
        <f t="shared" si="32"/>
        <v>3.0963636363636362</v>
      </c>
      <c r="J377" s="5">
        <f t="shared" si="30"/>
        <v>30.963636363636365</v>
      </c>
      <c r="L377" s="5">
        <f t="shared" si="31"/>
        <v>0</v>
      </c>
      <c r="M377" s="8">
        <v>34.06</v>
      </c>
      <c r="N377" s="2" t="s">
        <v>28</v>
      </c>
      <c r="O377" s="3" t="s">
        <v>63</v>
      </c>
    </row>
    <row r="378" spans="1:15" x14ac:dyDescent="0.35">
      <c r="A378" s="4">
        <v>45463</v>
      </c>
      <c r="B378" s="2" t="s">
        <v>1806</v>
      </c>
      <c r="D378" s="2" t="s">
        <v>34</v>
      </c>
      <c r="E378" s="2" t="s">
        <v>1417</v>
      </c>
      <c r="F378" s="5" t="str">
        <f t="shared" si="28"/>
        <v>F242114 CONTAMAR</v>
      </c>
      <c r="G378" s="12">
        <v>126.6</v>
      </c>
      <c r="H378">
        <v>21</v>
      </c>
      <c r="I378" s="5">
        <f t="shared" si="32"/>
        <v>26.585999999999999</v>
      </c>
      <c r="J378" s="5">
        <f t="shared" si="30"/>
        <v>126.6</v>
      </c>
      <c r="L378" s="5">
        <f t="shared" si="31"/>
        <v>0</v>
      </c>
      <c r="M378" s="8">
        <v>222.73</v>
      </c>
      <c r="N378" s="2" t="s">
        <v>55</v>
      </c>
      <c r="O378" s="3" t="s">
        <v>67</v>
      </c>
    </row>
    <row r="379" spans="1:15" x14ac:dyDescent="0.35">
      <c r="A379" s="4">
        <v>45443</v>
      </c>
      <c r="B379" s="2" t="s">
        <v>1807</v>
      </c>
      <c r="D379" s="2" t="s">
        <v>34</v>
      </c>
      <c r="E379" s="2" t="s">
        <v>1417</v>
      </c>
      <c r="F379" s="5" t="str">
        <f t="shared" si="28"/>
        <v>F241951 CONTAMAR</v>
      </c>
      <c r="G379" s="12">
        <f t="shared" si="29"/>
        <v>25</v>
      </c>
      <c r="H379">
        <v>21</v>
      </c>
      <c r="I379" s="5">
        <f t="shared" si="32"/>
        <v>5.25</v>
      </c>
      <c r="J379" s="5">
        <f t="shared" si="30"/>
        <v>25</v>
      </c>
      <c r="L379" s="5">
        <f t="shared" si="31"/>
        <v>0</v>
      </c>
      <c r="M379" s="8">
        <v>30.25</v>
      </c>
      <c r="N379" s="2" t="s">
        <v>55</v>
      </c>
      <c r="O379" s="3" t="s">
        <v>67</v>
      </c>
    </row>
    <row r="380" spans="1:15" x14ac:dyDescent="0.35">
      <c r="A380" s="4">
        <v>45457</v>
      </c>
      <c r="B380" s="2" t="s">
        <v>1808</v>
      </c>
      <c r="D380" s="2" t="s">
        <v>1273</v>
      </c>
      <c r="E380" s="2" t="s">
        <v>1274</v>
      </c>
      <c r="F380" s="5" t="str">
        <f t="shared" si="28"/>
        <v>2024009 MARIUS MIHAI CIOCAN</v>
      </c>
      <c r="G380" s="12">
        <f t="shared" si="29"/>
        <v>832</v>
      </c>
      <c r="H380">
        <v>21</v>
      </c>
      <c r="I380" s="5">
        <f t="shared" si="32"/>
        <v>174.72</v>
      </c>
      <c r="J380" s="5">
        <f t="shared" si="30"/>
        <v>832</v>
      </c>
      <c r="L380" s="5">
        <f t="shared" si="31"/>
        <v>0</v>
      </c>
      <c r="M380" s="8">
        <v>1006.72</v>
      </c>
      <c r="N380" s="2" t="s">
        <v>37</v>
      </c>
      <c r="O380" s="3" t="s">
        <v>68</v>
      </c>
    </row>
    <row r="381" spans="1:15" x14ac:dyDescent="0.35">
      <c r="A381" s="4">
        <v>45458</v>
      </c>
      <c r="B381" s="2" t="s">
        <v>1809</v>
      </c>
      <c r="D381" s="2" t="s">
        <v>254</v>
      </c>
      <c r="E381" s="2" t="s">
        <v>1434</v>
      </c>
      <c r="F381" s="5" t="str">
        <f t="shared" si="28"/>
        <v>406400752 SUMINISTROS ELECTRICOS BPV VALDEMORO</v>
      </c>
      <c r="G381" s="12">
        <f t="shared" si="29"/>
        <v>182.09917355371903</v>
      </c>
      <c r="H381">
        <v>21</v>
      </c>
      <c r="I381" s="5">
        <f t="shared" si="32"/>
        <v>38.240826446280991</v>
      </c>
      <c r="J381" s="5">
        <f t="shared" si="30"/>
        <v>182.09917355371903</v>
      </c>
      <c r="L381" s="5">
        <f t="shared" si="31"/>
        <v>0</v>
      </c>
      <c r="M381" s="8">
        <v>220.34</v>
      </c>
      <c r="N381" s="2" t="s">
        <v>21</v>
      </c>
      <c r="O381" s="3" t="s">
        <v>67</v>
      </c>
    </row>
    <row r="382" spans="1:15" x14ac:dyDescent="0.35">
      <c r="A382" s="4">
        <v>45444</v>
      </c>
      <c r="B382" s="2" t="s">
        <v>1816</v>
      </c>
      <c r="D382" s="2" t="s">
        <v>1817</v>
      </c>
      <c r="E382" s="2" t="s">
        <v>220</v>
      </c>
      <c r="F382" s="5" t="str">
        <f t="shared" si="28"/>
        <v>24-F4U1-034133 TELEFONICA</v>
      </c>
      <c r="G382" s="12">
        <f t="shared" si="29"/>
        <v>32.561983471074377</v>
      </c>
      <c r="H382">
        <v>21</v>
      </c>
      <c r="I382" s="5">
        <f t="shared" si="32"/>
        <v>6.8380165289256194</v>
      </c>
      <c r="J382" s="5">
        <f t="shared" si="30"/>
        <v>32.561983471074377</v>
      </c>
      <c r="L382" s="5">
        <f t="shared" si="31"/>
        <v>0</v>
      </c>
      <c r="M382" s="8">
        <v>39.4</v>
      </c>
      <c r="N382" s="2" t="s">
        <v>39</v>
      </c>
      <c r="O382" s="3" t="s">
        <v>67</v>
      </c>
    </row>
    <row r="383" spans="1:15" x14ac:dyDescent="0.35">
      <c r="A383" s="4">
        <v>45444</v>
      </c>
      <c r="B383" s="2" t="s">
        <v>1818</v>
      </c>
      <c r="D383" s="2" t="s">
        <v>1817</v>
      </c>
      <c r="E383" s="2" t="s">
        <v>220</v>
      </c>
      <c r="F383" s="5" t="str">
        <f t="shared" si="28"/>
        <v>TA7AQ0171477 TELEFONICA</v>
      </c>
      <c r="G383" s="12">
        <f t="shared" si="29"/>
        <v>75.239669421487605</v>
      </c>
      <c r="H383">
        <v>21</v>
      </c>
      <c r="I383" s="5">
        <f t="shared" si="32"/>
        <v>15.800330578512396</v>
      </c>
      <c r="J383" s="5">
        <f t="shared" si="30"/>
        <v>75.239669421487605</v>
      </c>
      <c r="L383" s="5">
        <f t="shared" si="31"/>
        <v>0</v>
      </c>
      <c r="M383" s="8">
        <v>91.04</v>
      </c>
      <c r="N383" s="2" t="s">
        <v>39</v>
      </c>
      <c r="O383" s="3" t="s">
        <v>67</v>
      </c>
    </row>
    <row r="384" spans="1:15" x14ac:dyDescent="0.35">
      <c r="A384" s="4">
        <v>45444</v>
      </c>
      <c r="B384" s="2" t="s">
        <v>1819</v>
      </c>
      <c r="D384" s="2" t="s">
        <v>1817</v>
      </c>
      <c r="E384" s="2" t="s">
        <v>220</v>
      </c>
      <c r="F384" s="5" t="str">
        <f t="shared" si="28"/>
        <v>TA7AQ0171478 TELEFONICA</v>
      </c>
      <c r="G384" s="12">
        <f t="shared" si="29"/>
        <v>75.239669421487605</v>
      </c>
      <c r="H384">
        <v>21</v>
      </c>
      <c r="I384" s="5">
        <f t="shared" si="32"/>
        <v>15.800330578512396</v>
      </c>
      <c r="J384" s="5">
        <f t="shared" si="30"/>
        <v>75.239669421487605</v>
      </c>
      <c r="L384" s="5">
        <f t="shared" si="31"/>
        <v>0</v>
      </c>
      <c r="M384" s="8">
        <v>91.04</v>
      </c>
      <c r="N384" s="2" t="s">
        <v>39</v>
      </c>
      <c r="O384" s="3" t="s">
        <v>67</v>
      </c>
    </row>
    <row r="385" spans="1:15" x14ac:dyDescent="0.35">
      <c r="A385" s="4">
        <v>45444</v>
      </c>
      <c r="B385" s="2" t="s">
        <v>1820</v>
      </c>
      <c r="D385" s="2" t="s">
        <v>1817</v>
      </c>
      <c r="E385" s="2" t="s">
        <v>220</v>
      </c>
      <c r="F385" s="5" t="str">
        <f t="shared" si="28"/>
        <v>TA7AQ0171479 TELEFONICA</v>
      </c>
      <c r="G385" s="12">
        <f t="shared" si="29"/>
        <v>135.70247933884298</v>
      </c>
      <c r="H385">
        <v>21</v>
      </c>
      <c r="I385" s="5">
        <f t="shared" si="32"/>
        <v>28.497520661157022</v>
      </c>
      <c r="J385" s="5">
        <f t="shared" si="30"/>
        <v>135.70247933884298</v>
      </c>
      <c r="L385" s="5">
        <f t="shared" si="31"/>
        <v>0</v>
      </c>
      <c r="M385" s="8">
        <v>164.2</v>
      </c>
      <c r="N385" s="2" t="s">
        <v>39</v>
      </c>
      <c r="O385" s="3" t="s">
        <v>67</v>
      </c>
    </row>
    <row r="386" spans="1:15" x14ac:dyDescent="0.35">
      <c r="A386" s="4">
        <v>45444</v>
      </c>
      <c r="B386" s="2" t="s">
        <v>1821</v>
      </c>
      <c r="D386" s="2" t="s">
        <v>1817</v>
      </c>
      <c r="E386" s="2" t="s">
        <v>220</v>
      </c>
      <c r="F386" s="5" t="str">
        <f t="shared" si="28"/>
        <v>TA7AQ0171480 TELEFONICA</v>
      </c>
      <c r="G386" s="12">
        <f t="shared" si="29"/>
        <v>75.239669421487605</v>
      </c>
      <c r="H386">
        <v>21</v>
      </c>
      <c r="I386" s="5">
        <f t="shared" si="32"/>
        <v>15.800330578512396</v>
      </c>
      <c r="J386" s="5">
        <f t="shared" si="30"/>
        <v>75.239669421487605</v>
      </c>
      <c r="L386" s="5">
        <f t="shared" si="31"/>
        <v>0</v>
      </c>
      <c r="M386" s="8">
        <v>91.04</v>
      </c>
      <c r="N386" s="2" t="s">
        <v>39</v>
      </c>
      <c r="O386" s="3" t="s">
        <v>67</v>
      </c>
    </row>
    <row r="387" spans="1:15" x14ac:dyDescent="0.35">
      <c r="A387" s="4">
        <v>45463</v>
      </c>
      <c r="B387" s="2" t="s">
        <v>1822</v>
      </c>
      <c r="D387" s="2" t="s">
        <v>85</v>
      </c>
      <c r="E387" s="2" t="s">
        <v>32</v>
      </c>
      <c r="F387" s="5" t="str">
        <f t="shared" si="28"/>
        <v>20240081 XVENT</v>
      </c>
      <c r="G387" s="12">
        <f t="shared" si="29"/>
        <v>3847.9752066115707</v>
      </c>
      <c r="H387">
        <v>21</v>
      </c>
      <c r="I387" s="5">
        <f t="shared" si="32"/>
        <v>808.07479338842984</v>
      </c>
      <c r="J387" s="5">
        <f t="shared" si="30"/>
        <v>3847.9752066115707</v>
      </c>
      <c r="L387" s="5">
        <f t="shared" si="31"/>
        <v>0</v>
      </c>
      <c r="M387" s="8">
        <v>4656.05</v>
      </c>
      <c r="N387" s="2" t="s">
        <v>37</v>
      </c>
      <c r="O387" s="3" t="s">
        <v>68</v>
      </c>
    </row>
    <row r="388" spans="1:15" x14ac:dyDescent="0.35">
      <c r="A388" s="4">
        <v>45457</v>
      </c>
      <c r="B388" s="2" t="s">
        <v>1823</v>
      </c>
      <c r="D388" s="2" t="s">
        <v>94</v>
      </c>
      <c r="E388" s="2" t="s">
        <v>139</v>
      </c>
      <c r="F388" s="5" t="str">
        <f t="shared" si="28"/>
        <v>VEM/20001117 BIGMAT</v>
      </c>
      <c r="G388" s="12">
        <f t="shared" si="29"/>
        <v>31.305785123966945</v>
      </c>
      <c r="H388">
        <v>21</v>
      </c>
      <c r="I388" s="5">
        <f t="shared" si="32"/>
        <v>6.574214876033059</v>
      </c>
      <c r="J388" s="5">
        <f t="shared" si="30"/>
        <v>31.305785123966945</v>
      </c>
      <c r="L388" s="5">
        <f t="shared" si="31"/>
        <v>0</v>
      </c>
      <c r="M388" s="8">
        <v>37.880000000000003</v>
      </c>
      <c r="N388" s="2" t="s">
        <v>21</v>
      </c>
      <c r="O388" s="3" t="s">
        <v>63</v>
      </c>
    </row>
    <row r="389" spans="1:15" x14ac:dyDescent="0.35">
      <c r="A389" s="4">
        <v>45463</v>
      </c>
      <c r="B389" s="2" t="s">
        <v>1824</v>
      </c>
      <c r="D389" s="2" t="s">
        <v>94</v>
      </c>
      <c r="E389" s="2" t="s">
        <v>139</v>
      </c>
      <c r="F389" s="5" t="str">
        <f t="shared" si="28"/>
        <v>VEN/20262720 BIGMAT</v>
      </c>
      <c r="G389" s="12">
        <f t="shared" si="29"/>
        <v>1945.2314049586778</v>
      </c>
      <c r="H389">
        <v>21</v>
      </c>
      <c r="I389" s="5">
        <f t="shared" si="32"/>
        <v>408.49859504132235</v>
      </c>
      <c r="J389" s="5">
        <f t="shared" si="30"/>
        <v>1945.2314049586778</v>
      </c>
      <c r="K389" s="5"/>
      <c r="L389" s="5">
        <f t="shared" si="31"/>
        <v>0</v>
      </c>
      <c r="M389" s="8">
        <v>2353.73</v>
      </c>
      <c r="N389" s="2" t="s">
        <v>21</v>
      </c>
      <c r="O389" s="3" t="s">
        <v>67</v>
      </c>
    </row>
    <row r="390" spans="1:15" x14ac:dyDescent="0.35">
      <c r="A390" s="4">
        <v>45402</v>
      </c>
      <c r="B390" s="2" t="s">
        <v>1827</v>
      </c>
      <c r="D390" s="2" t="s">
        <v>71</v>
      </c>
      <c r="E390" s="2" t="s">
        <v>69</v>
      </c>
      <c r="F390" s="5" t="str">
        <f t="shared" si="28"/>
        <v>28/24 OLARIU ADRIAN RAZVAN</v>
      </c>
      <c r="G390" s="12">
        <f>M390/(1-K390/100+H390/100)</f>
        <v>2250</v>
      </c>
      <c r="H390">
        <v>21</v>
      </c>
      <c r="I390" s="5">
        <f t="shared" si="32"/>
        <v>472.5</v>
      </c>
      <c r="J390" s="5">
        <f t="shared" ref="J390:J452" si="33">G390</f>
        <v>2250</v>
      </c>
      <c r="L390" s="5">
        <f t="shared" ref="L390:L452" si="34">J390*K390/100</f>
        <v>0</v>
      </c>
      <c r="M390" s="8">
        <v>2722.5</v>
      </c>
      <c r="N390" s="2" t="s">
        <v>56</v>
      </c>
      <c r="O390" s="3" t="s">
        <v>68</v>
      </c>
    </row>
    <row r="391" spans="1:15" x14ac:dyDescent="0.35">
      <c r="A391" s="4">
        <v>45437</v>
      </c>
      <c r="B391" s="2" t="s">
        <v>1828</v>
      </c>
      <c r="D391" s="2" t="s">
        <v>71</v>
      </c>
      <c r="E391" s="2" t="s">
        <v>69</v>
      </c>
      <c r="F391" s="5" t="str">
        <f t="shared" si="28"/>
        <v>39/24 OLARIU ADRIAN RAZVAN</v>
      </c>
      <c r="G391" s="12">
        <f t="shared" ref="G391:G452" si="35">M391/(1-K391/100+H391/100)</f>
        <v>2000</v>
      </c>
      <c r="H391">
        <v>21</v>
      </c>
      <c r="I391" s="5">
        <f t="shared" ref="I391:I453" si="36">G391*H391/100</f>
        <v>420</v>
      </c>
      <c r="J391" s="5">
        <f t="shared" si="33"/>
        <v>2000</v>
      </c>
      <c r="L391" s="5">
        <f t="shared" si="34"/>
        <v>0</v>
      </c>
      <c r="M391" s="8">
        <v>2420</v>
      </c>
      <c r="N391" s="2" t="s">
        <v>56</v>
      </c>
      <c r="O391" s="3" t="s">
        <v>68</v>
      </c>
    </row>
    <row r="392" spans="1:15" x14ac:dyDescent="0.35">
      <c r="A392" s="4">
        <v>45463</v>
      </c>
      <c r="B392" s="2" t="s">
        <v>1829</v>
      </c>
      <c r="D392" s="2" t="s">
        <v>71</v>
      </c>
      <c r="E392" s="2" t="s">
        <v>69</v>
      </c>
      <c r="F392" s="5" t="str">
        <f t="shared" si="28"/>
        <v>44/24 OLARIU ADRIAN RAZVAN</v>
      </c>
      <c r="G392" s="12">
        <f t="shared" si="35"/>
        <v>2150</v>
      </c>
      <c r="H392">
        <v>21</v>
      </c>
      <c r="I392" s="5">
        <f t="shared" si="36"/>
        <v>451.5</v>
      </c>
      <c r="J392" s="5">
        <f t="shared" si="33"/>
        <v>2150</v>
      </c>
      <c r="L392" s="5">
        <f t="shared" si="34"/>
        <v>0</v>
      </c>
      <c r="M392" s="8">
        <v>2601.5</v>
      </c>
      <c r="N392" s="2" t="s">
        <v>56</v>
      </c>
      <c r="O392" s="3" t="s">
        <v>68</v>
      </c>
    </row>
    <row r="393" spans="1:15" x14ac:dyDescent="0.35">
      <c r="A393" s="4">
        <v>45464</v>
      </c>
      <c r="B393" s="2" t="s">
        <v>1831</v>
      </c>
      <c r="D393" s="2" t="s">
        <v>1832</v>
      </c>
      <c r="E393" s="2" t="s">
        <v>1833</v>
      </c>
      <c r="F393" s="5" t="str">
        <f t="shared" si="28"/>
        <v>1368 PREVINTEGRA</v>
      </c>
      <c r="G393" s="12">
        <f t="shared" si="35"/>
        <v>205</v>
      </c>
      <c r="H393">
        <v>0</v>
      </c>
      <c r="I393" s="5">
        <f t="shared" si="36"/>
        <v>0</v>
      </c>
      <c r="J393" s="5">
        <f t="shared" si="33"/>
        <v>205</v>
      </c>
      <c r="L393" s="5">
        <f t="shared" si="34"/>
        <v>0</v>
      </c>
      <c r="M393" s="8">
        <v>205</v>
      </c>
      <c r="N393" s="2" t="s">
        <v>239</v>
      </c>
      <c r="O393" s="3" t="s">
        <v>67</v>
      </c>
    </row>
    <row r="394" spans="1:15" x14ac:dyDescent="0.35">
      <c r="A394" s="4">
        <v>45466</v>
      </c>
      <c r="B394" s="2" t="s">
        <v>1834</v>
      </c>
      <c r="D394" s="2" t="s">
        <v>72</v>
      </c>
      <c r="E394" s="2" t="s">
        <v>73</v>
      </c>
      <c r="F394" s="5" t="str">
        <f t="shared" si="28"/>
        <v>27/2024 COSTEL DINCU</v>
      </c>
      <c r="G394" s="12">
        <f t="shared" si="35"/>
        <v>1950</v>
      </c>
      <c r="H394">
        <v>21</v>
      </c>
      <c r="I394" s="5">
        <f t="shared" si="36"/>
        <v>409.5</v>
      </c>
      <c r="J394" s="5">
        <f t="shared" si="33"/>
        <v>1950</v>
      </c>
      <c r="L394" s="5">
        <f t="shared" si="34"/>
        <v>0</v>
      </c>
      <c r="M394" s="8">
        <v>2359.5</v>
      </c>
      <c r="N394" s="2" t="s">
        <v>37</v>
      </c>
      <c r="O394" s="3" t="s">
        <v>68</v>
      </c>
    </row>
    <row r="395" spans="1:15" x14ac:dyDescent="0.35">
      <c r="A395" s="4">
        <v>45465</v>
      </c>
      <c r="B395" s="2" t="s">
        <v>1836</v>
      </c>
      <c r="D395" s="2" t="s">
        <v>25</v>
      </c>
      <c r="E395" s="2" t="s">
        <v>26</v>
      </c>
      <c r="F395" s="5" t="str">
        <f t="shared" si="28"/>
        <v>202989 SALTOKI</v>
      </c>
      <c r="G395" s="12">
        <f t="shared" si="35"/>
        <v>253.61157024793388</v>
      </c>
      <c r="H395">
        <v>21</v>
      </c>
      <c r="I395" s="5">
        <f t="shared" si="36"/>
        <v>53.258429752066114</v>
      </c>
      <c r="J395" s="5">
        <f t="shared" si="33"/>
        <v>253.61157024793388</v>
      </c>
      <c r="L395" s="5">
        <f t="shared" si="34"/>
        <v>0</v>
      </c>
      <c r="M395" s="8">
        <v>306.87</v>
      </c>
      <c r="N395" s="2" t="s">
        <v>21</v>
      </c>
      <c r="O395" s="3" t="s">
        <v>67</v>
      </c>
    </row>
    <row r="396" spans="1:15" x14ac:dyDescent="0.35">
      <c r="A396" s="4">
        <v>45465</v>
      </c>
      <c r="B396" s="2" t="s">
        <v>1837</v>
      </c>
      <c r="D396" s="2" t="s">
        <v>25</v>
      </c>
      <c r="E396" s="2" t="s">
        <v>26</v>
      </c>
      <c r="F396" s="5" t="str">
        <f t="shared" si="28"/>
        <v>202990 SALTOKI</v>
      </c>
      <c r="G396" s="12">
        <f t="shared" si="35"/>
        <v>689.1322314049587</v>
      </c>
      <c r="H396">
        <v>21</v>
      </c>
      <c r="I396" s="5">
        <f t="shared" si="36"/>
        <v>144.71776859504132</v>
      </c>
      <c r="J396" s="5">
        <f t="shared" si="33"/>
        <v>689.1322314049587</v>
      </c>
      <c r="L396" s="5">
        <f t="shared" si="34"/>
        <v>0</v>
      </c>
      <c r="M396" s="8">
        <v>833.85</v>
      </c>
      <c r="N396" s="2" t="s">
        <v>21</v>
      </c>
      <c r="O396" s="3" t="s">
        <v>67</v>
      </c>
    </row>
    <row r="397" spans="1:15" x14ac:dyDescent="0.35">
      <c r="A397" s="4">
        <v>45467</v>
      </c>
      <c r="B397" s="2" t="s">
        <v>1839</v>
      </c>
      <c r="D397" s="2" t="s">
        <v>200</v>
      </c>
      <c r="E397" s="2" t="s">
        <v>1284</v>
      </c>
      <c r="F397" s="5" t="str">
        <f t="shared" si="28"/>
        <v>2126795 ICAR DISTRIBUCIONES FERRETERIAS SL I.D.F.</v>
      </c>
      <c r="G397" s="12">
        <f t="shared" si="35"/>
        <v>3.9008264462809916</v>
      </c>
      <c r="H397">
        <v>21</v>
      </c>
      <c r="I397" s="5">
        <f t="shared" si="36"/>
        <v>0.81917355371900824</v>
      </c>
      <c r="J397" s="5">
        <f t="shared" si="33"/>
        <v>3.9008264462809916</v>
      </c>
      <c r="L397" s="5">
        <f t="shared" si="34"/>
        <v>0</v>
      </c>
      <c r="M397" s="8">
        <v>4.72</v>
      </c>
      <c r="N397" s="2" t="s">
        <v>21</v>
      </c>
      <c r="O397" s="3" t="s">
        <v>64</v>
      </c>
    </row>
    <row r="398" spans="1:15" x14ac:dyDescent="0.35">
      <c r="A398" s="4">
        <v>45443</v>
      </c>
      <c r="B398" s="2" t="s">
        <v>1840</v>
      </c>
      <c r="D398" s="2" t="s">
        <v>1841</v>
      </c>
      <c r="E398" s="2" t="s">
        <v>1842</v>
      </c>
      <c r="F398" s="5" t="str">
        <f t="shared" si="28"/>
        <v>291-5 MARIA LUCIA FERNANDEZ PEREZ</v>
      </c>
      <c r="G398" s="12">
        <f t="shared" si="35"/>
        <v>520.04958677685954</v>
      </c>
      <c r="H398">
        <v>21</v>
      </c>
      <c r="I398" s="5">
        <f t="shared" si="36"/>
        <v>109.21041322314049</v>
      </c>
      <c r="J398" s="5">
        <f t="shared" si="33"/>
        <v>520.04958677685954</v>
      </c>
      <c r="L398" s="5">
        <f t="shared" si="34"/>
        <v>0</v>
      </c>
      <c r="M398" s="8">
        <v>629.26</v>
      </c>
      <c r="N398" s="2" t="s">
        <v>21</v>
      </c>
      <c r="O398" s="3" t="s">
        <v>68</v>
      </c>
    </row>
    <row r="399" spans="1:15" x14ac:dyDescent="0.35">
      <c r="A399" s="4">
        <v>45426</v>
      </c>
      <c r="B399" s="2" t="s">
        <v>1843</v>
      </c>
      <c r="D399" s="2" t="s">
        <v>57</v>
      </c>
      <c r="E399" s="2" t="s">
        <v>44</v>
      </c>
      <c r="F399" s="5" t="str">
        <f t="shared" si="28"/>
        <v>045-0005-387628 LEROY MERLIN</v>
      </c>
      <c r="G399" s="12">
        <f t="shared" si="35"/>
        <v>2176.5619834710742</v>
      </c>
      <c r="H399">
        <v>21</v>
      </c>
      <c r="I399" s="5">
        <f t="shared" si="36"/>
        <v>457.07801652892556</v>
      </c>
      <c r="J399" s="5">
        <f t="shared" si="33"/>
        <v>2176.5619834710742</v>
      </c>
      <c r="L399" s="5">
        <f t="shared" si="34"/>
        <v>0</v>
      </c>
      <c r="M399" s="8">
        <v>2633.64</v>
      </c>
      <c r="N399" s="2" t="s">
        <v>21</v>
      </c>
    </row>
    <row r="400" spans="1:15" x14ac:dyDescent="0.35">
      <c r="A400" s="4">
        <v>45469</v>
      </c>
      <c r="B400" s="2" t="s">
        <v>1852</v>
      </c>
      <c r="D400" s="2" t="s">
        <v>95</v>
      </c>
      <c r="E400" s="2" t="s">
        <v>96</v>
      </c>
      <c r="F400" s="5" t="str">
        <f t="shared" si="28"/>
        <v>10/24 MARCEL DUMITER BEGOFF</v>
      </c>
      <c r="G400" s="12">
        <f t="shared" si="35"/>
        <v>1000</v>
      </c>
      <c r="H400">
        <v>21</v>
      </c>
      <c r="I400" s="5">
        <f t="shared" si="36"/>
        <v>210</v>
      </c>
      <c r="J400" s="5">
        <f t="shared" si="33"/>
        <v>1000</v>
      </c>
      <c r="L400" s="5">
        <f t="shared" si="34"/>
        <v>0</v>
      </c>
      <c r="M400" s="8">
        <v>1210</v>
      </c>
      <c r="N400" s="2" t="s">
        <v>37</v>
      </c>
      <c r="O400" s="3" t="s">
        <v>68</v>
      </c>
    </row>
    <row r="401" spans="1:15" x14ac:dyDescent="0.35">
      <c r="A401" s="4">
        <v>45461</v>
      </c>
      <c r="B401" s="2" t="s">
        <v>1853</v>
      </c>
      <c r="D401" s="2" t="s">
        <v>58</v>
      </c>
      <c r="E401" s="2" t="s">
        <v>1172</v>
      </c>
      <c r="F401" s="5" t="str">
        <f t="shared" si="28"/>
        <v>011-0006-950179 BRICOLAJE BRICOMAN SLU</v>
      </c>
      <c r="G401" s="12">
        <f t="shared" si="35"/>
        <v>5.2561983471074383</v>
      </c>
      <c r="H401">
        <v>21</v>
      </c>
      <c r="I401" s="5">
        <f t="shared" si="36"/>
        <v>1.103801652892562</v>
      </c>
      <c r="J401" s="5">
        <f t="shared" si="33"/>
        <v>5.2561983471074383</v>
      </c>
      <c r="L401" s="5">
        <f t="shared" si="34"/>
        <v>0</v>
      </c>
      <c r="M401" s="8">
        <v>6.36</v>
      </c>
      <c r="N401" s="2" t="s">
        <v>21</v>
      </c>
      <c r="O401" s="3" t="s">
        <v>64</v>
      </c>
    </row>
    <row r="402" spans="1:15" x14ac:dyDescent="0.35">
      <c r="A402" s="4">
        <v>45461</v>
      </c>
      <c r="B402" s="2" t="s">
        <v>1854</v>
      </c>
      <c r="D402" s="2" t="s">
        <v>58</v>
      </c>
      <c r="E402" s="2" t="s">
        <v>1172</v>
      </c>
      <c r="F402" s="5" t="str">
        <f t="shared" si="28"/>
        <v>011-0006-950192 BRICOLAJE BRICOMAN SLU</v>
      </c>
      <c r="G402" s="12">
        <f t="shared" si="35"/>
        <v>25.75206611570248</v>
      </c>
      <c r="H402">
        <v>21</v>
      </c>
      <c r="I402" s="5">
        <f t="shared" si="36"/>
        <v>5.4079338842975213</v>
      </c>
      <c r="J402" s="5">
        <f t="shared" si="33"/>
        <v>25.75206611570248</v>
      </c>
      <c r="L402" s="5">
        <f t="shared" si="34"/>
        <v>0</v>
      </c>
      <c r="M402" s="8">
        <v>31.16</v>
      </c>
      <c r="N402" s="2" t="s">
        <v>21</v>
      </c>
      <c r="O402" s="3" t="s">
        <v>64</v>
      </c>
    </row>
    <row r="403" spans="1:15" x14ac:dyDescent="0.35">
      <c r="A403" s="4">
        <v>45463</v>
      </c>
      <c r="B403" s="2" t="s">
        <v>1855</v>
      </c>
      <c r="D403" s="2" t="s">
        <v>35</v>
      </c>
      <c r="E403" s="2" t="s">
        <v>167</v>
      </c>
      <c r="F403" s="5" t="str">
        <f t="shared" si="28"/>
        <v>0240009279 PINTODIS SL</v>
      </c>
      <c r="G403" s="12">
        <f t="shared" si="35"/>
        <v>51.702479338842977</v>
      </c>
      <c r="H403">
        <v>21</v>
      </c>
      <c r="I403" s="5">
        <f t="shared" si="36"/>
        <v>10.857520661157025</v>
      </c>
      <c r="J403" s="5">
        <f t="shared" si="33"/>
        <v>51.702479338842977</v>
      </c>
      <c r="L403" s="5">
        <f t="shared" si="34"/>
        <v>0</v>
      </c>
      <c r="M403" s="8">
        <v>62.56</v>
      </c>
      <c r="N403" s="2" t="s">
        <v>22</v>
      </c>
      <c r="O403" s="3" t="s">
        <v>68</v>
      </c>
    </row>
    <row r="404" spans="1:15" x14ac:dyDescent="0.35">
      <c r="A404" s="4">
        <v>45455</v>
      </c>
      <c r="B404" s="2" t="s">
        <v>1856</v>
      </c>
      <c r="D404" s="2" t="s">
        <v>58</v>
      </c>
      <c r="E404" s="2" t="s">
        <v>1172</v>
      </c>
      <c r="F404" s="5" t="str">
        <f t="shared" si="28"/>
        <v>011-0006-939654 BRICOLAJE BRICOMAN SLU</v>
      </c>
      <c r="G404" s="12">
        <f t="shared" si="35"/>
        <v>4.8099173553719012</v>
      </c>
      <c r="H404">
        <v>21</v>
      </c>
      <c r="I404" s="5">
        <f t="shared" si="36"/>
        <v>1.0100826446280993</v>
      </c>
      <c r="J404" s="5">
        <f t="shared" si="33"/>
        <v>4.8099173553719012</v>
      </c>
      <c r="L404" s="5">
        <f t="shared" si="34"/>
        <v>0</v>
      </c>
      <c r="M404" s="8">
        <v>5.82</v>
      </c>
      <c r="N404" s="2" t="s">
        <v>21</v>
      </c>
      <c r="O404" s="3" t="s">
        <v>63</v>
      </c>
    </row>
    <row r="405" spans="1:15" x14ac:dyDescent="0.35">
      <c r="A405" s="4">
        <v>45457</v>
      </c>
      <c r="B405" s="2" t="s">
        <v>1857</v>
      </c>
      <c r="D405" s="2" t="s">
        <v>58</v>
      </c>
      <c r="E405" s="2" t="s">
        <v>1172</v>
      </c>
      <c r="F405" s="5" t="str">
        <f t="shared" si="28"/>
        <v>011-0006-943883 BRICOLAJE BRICOMAN SLU</v>
      </c>
      <c r="G405" s="12">
        <f t="shared" si="35"/>
        <v>499.58677685950414</v>
      </c>
      <c r="H405">
        <v>21</v>
      </c>
      <c r="I405" s="5">
        <f t="shared" si="36"/>
        <v>104.91322314049586</v>
      </c>
      <c r="J405" s="5">
        <f t="shared" si="33"/>
        <v>499.58677685950414</v>
      </c>
      <c r="L405" s="5">
        <f t="shared" si="34"/>
        <v>0</v>
      </c>
      <c r="M405" s="8">
        <v>604.5</v>
      </c>
      <c r="N405" s="2" t="s">
        <v>21</v>
      </c>
      <c r="O405" s="3" t="s">
        <v>63</v>
      </c>
    </row>
    <row r="406" spans="1:15" x14ac:dyDescent="0.35">
      <c r="A406" s="4">
        <v>45457</v>
      </c>
      <c r="B406" s="2" t="s">
        <v>1858</v>
      </c>
      <c r="D406" s="2" t="s">
        <v>58</v>
      </c>
      <c r="E406" s="2" t="s">
        <v>1172</v>
      </c>
      <c r="F406" s="5" t="str">
        <f t="shared" si="28"/>
        <v>011-0006-943954 BRICOLAJE BRICOMAN SLU</v>
      </c>
      <c r="G406" s="12">
        <f t="shared" si="35"/>
        <v>81.396694214876035</v>
      </c>
      <c r="H406">
        <v>21</v>
      </c>
      <c r="I406" s="5">
        <f t="shared" si="36"/>
        <v>17.093305785123967</v>
      </c>
      <c r="J406" s="5">
        <f t="shared" si="33"/>
        <v>81.396694214876035</v>
      </c>
      <c r="L406" s="5">
        <f t="shared" si="34"/>
        <v>0</v>
      </c>
      <c r="M406" s="8">
        <v>98.49</v>
      </c>
      <c r="N406" s="2" t="s">
        <v>21</v>
      </c>
      <c r="O406" s="3" t="s">
        <v>63</v>
      </c>
    </row>
    <row r="407" spans="1:15" x14ac:dyDescent="0.35">
      <c r="A407" s="4">
        <v>45460</v>
      </c>
      <c r="B407" s="2" t="s">
        <v>1859</v>
      </c>
      <c r="D407" s="2" t="s">
        <v>58</v>
      </c>
      <c r="E407" s="2" t="s">
        <v>1172</v>
      </c>
      <c r="F407" s="5" t="str">
        <f t="shared" si="28"/>
        <v>011-0006-946903 BRICOLAJE BRICOMAN SLU</v>
      </c>
      <c r="G407" s="12">
        <f t="shared" si="35"/>
        <v>52.429752066115704</v>
      </c>
      <c r="H407">
        <v>21</v>
      </c>
      <c r="I407" s="5">
        <f t="shared" si="36"/>
        <v>11.010247933884298</v>
      </c>
      <c r="J407" s="5">
        <f t="shared" si="33"/>
        <v>52.429752066115704</v>
      </c>
      <c r="L407" s="5">
        <f t="shared" si="34"/>
        <v>0</v>
      </c>
      <c r="M407" s="8">
        <v>63.44</v>
      </c>
      <c r="N407" s="2" t="s">
        <v>21</v>
      </c>
      <c r="O407" s="3" t="s">
        <v>63</v>
      </c>
    </row>
    <row r="408" spans="1:15" x14ac:dyDescent="0.35">
      <c r="A408" s="4">
        <v>45460</v>
      </c>
      <c r="B408" s="2" t="s">
        <v>1860</v>
      </c>
      <c r="D408" s="2" t="s">
        <v>58</v>
      </c>
      <c r="E408" s="2" t="s">
        <v>1172</v>
      </c>
      <c r="F408" s="5" t="str">
        <f t="shared" si="28"/>
        <v>011-0006-946793 BRICOLAJE BRICOMAN SLU</v>
      </c>
      <c r="G408" s="12">
        <f t="shared" si="35"/>
        <v>74.75206611570249</v>
      </c>
      <c r="H408">
        <v>21</v>
      </c>
      <c r="I408" s="5">
        <f t="shared" si="36"/>
        <v>15.697933884297521</v>
      </c>
      <c r="J408" s="5">
        <f t="shared" si="33"/>
        <v>74.75206611570249</v>
      </c>
      <c r="L408" s="5">
        <f t="shared" si="34"/>
        <v>0</v>
      </c>
      <c r="M408" s="8">
        <v>90.45</v>
      </c>
      <c r="N408" s="2" t="s">
        <v>21</v>
      </c>
      <c r="O408" s="3" t="s">
        <v>63</v>
      </c>
    </row>
    <row r="409" spans="1:15" x14ac:dyDescent="0.35">
      <c r="A409" s="4">
        <v>45456</v>
      </c>
      <c r="B409" s="2" t="s">
        <v>1861</v>
      </c>
      <c r="D409" s="2" t="s">
        <v>58</v>
      </c>
      <c r="E409" s="2" t="s">
        <v>1172</v>
      </c>
      <c r="F409" s="5" t="str">
        <f t="shared" si="28"/>
        <v>011-0006-941844 BRICOLAJE BRICOMAN SLU</v>
      </c>
      <c r="G409" s="12">
        <f t="shared" si="35"/>
        <v>72.396694214876035</v>
      </c>
      <c r="H409">
        <v>21</v>
      </c>
      <c r="I409" s="5">
        <f t="shared" si="36"/>
        <v>15.203305785123966</v>
      </c>
      <c r="J409" s="5">
        <f t="shared" si="33"/>
        <v>72.396694214876035</v>
      </c>
      <c r="L409" s="5">
        <f t="shared" si="34"/>
        <v>0</v>
      </c>
      <c r="M409" s="8">
        <v>87.6</v>
      </c>
      <c r="N409" s="2" t="s">
        <v>21</v>
      </c>
      <c r="O409" s="3" t="s">
        <v>63</v>
      </c>
    </row>
    <row r="410" spans="1:15" x14ac:dyDescent="0.35">
      <c r="A410" s="4">
        <v>45453</v>
      </c>
      <c r="B410" s="2" t="s">
        <v>1862</v>
      </c>
      <c r="D410" s="2" t="s">
        <v>58</v>
      </c>
      <c r="E410" s="2" t="s">
        <v>1172</v>
      </c>
      <c r="F410" s="5" t="str">
        <f t="shared" si="28"/>
        <v>011-0006-935011 BRICOLAJE BRICOMAN SLU</v>
      </c>
      <c r="G410" s="12">
        <f t="shared" si="35"/>
        <v>6.0991735537190079</v>
      </c>
      <c r="H410">
        <v>21</v>
      </c>
      <c r="I410" s="5">
        <f t="shared" si="36"/>
        <v>1.2808264462809915</v>
      </c>
      <c r="J410" s="5">
        <f t="shared" si="33"/>
        <v>6.0991735537190079</v>
      </c>
      <c r="L410" s="5">
        <f t="shared" si="34"/>
        <v>0</v>
      </c>
      <c r="M410" s="8">
        <v>7.38</v>
      </c>
      <c r="N410" s="2" t="s">
        <v>21</v>
      </c>
      <c r="O410" s="3" t="s">
        <v>63</v>
      </c>
    </row>
    <row r="411" spans="1:15" x14ac:dyDescent="0.35">
      <c r="A411" s="4">
        <v>45453</v>
      </c>
      <c r="B411" s="2" t="s">
        <v>1863</v>
      </c>
      <c r="D411" s="2" t="s">
        <v>58</v>
      </c>
      <c r="E411" s="2" t="s">
        <v>1172</v>
      </c>
      <c r="F411" s="5" t="str">
        <f t="shared" si="28"/>
        <v>011-0006-934961 BRICOLAJE BRICOMAN SLU</v>
      </c>
      <c r="G411" s="12">
        <f t="shared" si="35"/>
        <v>32.760330578512395</v>
      </c>
      <c r="H411">
        <v>21</v>
      </c>
      <c r="I411" s="5">
        <f t="shared" si="36"/>
        <v>6.8796694214876029</v>
      </c>
      <c r="J411" s="5">
        <f t="shared" si="33"/>
        <v>32.760330578512395</v>
      </c>
      <c r="L411" s="5">
        <f t="shared" si="34"/>
        <v>0</v>
      </c>
      <c r="M411" s="8">
        <v>39.64</v>
      </c>
      <c r="N411" s="2" t="s">
        <v>21</v>
      </c>
      <c r="O411" s="3" t="s">
        <v>63</v>
      </c>
    </row>
    <row r="412" spans="1:15" x14ac:dyDescent="0.35">
      <c r="A412" s="4">
        <v>45464</v>
      </c>
      <c r="B412" s="2" t="s">
        <v>1864</v>
      </c>
      <c r="D412" s="2" t="s">
        <v>58</v>
      </c>
      <c r="E412" s="2" t="s">
        <v>1172</v>
      </c>
      <c r="F412" s="5" t="str">
        <f t="shared" si="28"/>
        <v>011-0006-956309 BRICOLAJE BRICOMAN SLU</v>
      </c>
      <c r="G412" s="12">
        <f t="shared" si="35"/>
        <v>51.504132231404959</v>
      </c>
      <c r="H412">
        <v>21</v>
      </c>
      <c r="I412" s="5">
        <f t="shared" si="36"/>
        <v>10.815867768595043</v>
      </c>
      <c r="J412" s="5">
        <f t="shared" si="33"/>
        <v>51.504132231404959</v>
      </c>
      <c r="L412" s="5">
        <f t="shared" si="34"/>
        <v>0</v>
      </c>
      <c r="M412" s="8">
        <v>62.32</v>
      </c>
      <c r="N412" s="2" t="s">
        <v>21</v>
      </c>
      <c r="O412" s="3" t="s">
        <v>63</v>
      </c>
    </row>
    <row r="413" spans="1:15" x14ac:dyDescent="0.35">
      <c r="A413" s="4">
        <v>45464</v>
      </c>
      <c r="B413" s="2" t="s">
        <v>1865</v>
      </c>
      <c r="D413" s="2" t="s">
        <v>58</v>
      </c>
      <c r="E413" s="2" t="s">
        <v>1172</v>
      </c>
      <c r="F413" s="5" t="str">
        <f t="shared" si="28"/>
        <v>011-0006-956286 BRICOLAJE BRICOMAN SLU</v>
      </c>
      <c r="G413" s="12">
        <f t="shared" si="35"/>
        <v>26.859504132231407</v>
      </c>
      <c r="H413">
        <v>21</v>
      </c>
      <c r="I413" s="5">
        <f t="shared" si="36"/>
        <v>5.6404958677685952</v>
      </c>
      <c r="J413" s="5">
        <f t="shared" si="33"/>
        <v>26.859504132231407</v>
      </c>
      <c r="L413" s="5">
        <f t="shared" si="34"/>
        <v>0</v>
      </c>
      <c r="M413" s="8">
        <v>32.5</v>
      </c>
      <c r="N413" s="2" t="s">
        <v>21</v>
      </c>
      <c r="O413" s="3" t="s">
        <v>63</v>
      </c>
    </row>
    <row r="414" spans="1:15" x14ac:dyDescent="0.35">
      <c r="A414" s="4">
        <v>45467</v>
      </c>
      <c r="B414" s="2" t="s">
        <v>1866</v>
      </c>
      <c r="D414" s="2" t="s">
        <v>1867</v>
      </c>
      <c r="E414" s="2" t="s">
        <v>1868</v>
      </c>
      <c r="F414" s="5" t="str">
        <f t="shared" si="28"/>
        <v>I-1516 IBERVILNA</v>
      </c>
      <c r="G414" s="12">
        <f t="shared" si="35"/>
        <v>12.371900826446282</v>
      </c>
      <c r="H414">
        <v>21</v>
      </c>
      <c r="I414" s="5">
        <f t="shared" si="36"/>
        <v>2.5980991735537189</v>
      </c>
      <c r="J414" s="5">
        <f t="shared" si="33"/>
        <v>12.371900826446282</v>
      </c>
      <c r="L414" s="5">
        <f t="shared" si="34"/>
        <v>0</v>
      </c>
      <c r="M414" s="8">
        <v>14.97</v>
      </c>
      <c r="N414" s="2" t="s">
        <v>22</v>
      </c>
      <c r="O414" s="3" t="s">
        <v>63</v>
      </c>
    </row>
    <row r="415" spans="1:15" x14ac:dyDescent="0.35">
      <c r="A415" s="4">
        <v>45420</v>
      </c>
      <c r="B415" s="2" t="s">
        <v>1869</v>
      </c>
      <c r="D415" s="2" t="s">
        <v>1203</v>
      </c>
      <c r="E415" s="2" t="s">
        <v>1204</v>
      </c>
      <c r="F415" s="5" t="str">
        <f t="shared" si="28"/>
        <v>G 16991 AZULEJOS PEÑA</v>
      </c>
      <c r="G415" s="12">
        <f t="shared" si="35"/>
        <v>748.51239669421489</v>
      </c>
      <c r="H415">
        <v>21</v>
      </c>
      <c r="I415" s="5">
        <f t="shared" si="36"/>
        <v>157.18760330578513</v>
      </c>
      <c r="J415" s="5">
        <f t="shared" si="33"/>
        <v>748.51239669421489</v>
      </c>
      <c r="L415" s="5">
        <f t="shared" si="34"/>
        <v>0</v>
      </c>
      <c r="M415" s="8">
        <v>905.7</v>
      </c>
      <c r="N415" s="2" t="s">
        <v>21</v>
      </c>
      <c r="O415" s="3" t="s">
        <v>68</v>
      </c>
    </row>
    <row r="416" spans="1:15" x14ac:dyDescent="0.35">
      <c r="A416" s="4">
        <v>45418</v>
      </c>
      <c r="B416" s="2" t="s">
        <v>1870</v>
      </c>
      <c r="D416" s="2" t="s">
        <v>132</v>
      </c>
      <c r="E416" s="2" t="s">
        <v>147</v>
      </c>
      <c r="F416" s="5" t="str">
        <f t="shared" si="28"/>
        <v>A/6179 AZULEJOS ROSA</v>
      </c>
      <c r="G416" s="12">
        <f t="shared" si="35"/>
        <v>658.24793388429759</v>
      </c>
      <c r="H416">
        <v>21</v>
      </c>
      <c r="I416" s="5">
        <f t="shared" si="36"/>
        <v>138.23206611570248</v>
      </c>
      <c r="J416" s="5">
        <f t="shared" si="33"/>
        <v>658.24793388429759</v>
      </c>
      <c r="L416" s="5">
        <f t="shared" si="34"/>
        <v>0</v>
      </c>
      <c r="M416" s="8">
        <v>796.48</v>
      </c>
      <c r="N416" s="2" t="s">
        <v>21</v>
      </c>
      <c r="O416" s="3" t="s">
        <v>64</v>
      </c>
    </row>
    <row r="417" spans="1:15" x14ac:dyDescent="0.35">
      <c r="A417" s="4">
        <v>45407</v>
      </c>
      <c r="B417" s="2" t="s">
        <v>1871</v>
      </c>
      <c r="D417" s="2" t="s">
        <v>132</v>
      </c>
      <c r="E417" s="2" t="s">
        <v>147</v>
      </c>
      <c r="F417" s="5" t="str">
        <f t="shared" si="28"/>
        <v>A/5706 AZULEJOS ROSA</v>
      </c>
      <c r="G417" s="12">
        <f t="shared" si="35"/>
        <v>208.81818181818181</v>
      </c>
      <c r="H417">
        <v>21</v>
      </c>
      <c r="I417" s="5">
        <f t="shared" si="36"/>
        <v>43.851818181818182</v>
      </c>
      <c r="J417" s="5">
        <f t="shared" si="33"/>
        <v>208.81818181818181</v>
      </c>
      <c r="L417" s="5">
        <f t="shared" si="34"/>
        <v>0</v>
      </c>
      <c r="M417" s="8">
        <v>252.67</v>
      </c>
      <c r="N417" s="2" t="s">
        <v>21</v>
      </c>
      <c r="O417" s="3" t="s">
        <v>68</v>
      </c>
    </row>
    <row r="418" spans="1:15" x14ac:dyDescent="0.35">
      <c r="A418" s="4">
        <v>45421</v>
      </c>
      <c r="B418" s="2" t="s">
        <v>1872</v>
      </c>
      <c r="D418" s="2" t="s">
        <v>58</v>
      </c>
      <c r="E418" s="2" t="s">
        <v>1172</v>
      </c>
      <c r="F418" s="5" t="str">
        <f t="shared" si="28"/>
        <v>007-0005-537662 BRICOLAJE BRICOMAN SLU</v>
      </c>
      <c r="G418" s="12">
        <f t="shared" si="35"/>
        <v>296.28099173553721</v>
      </c>
      <c r="H418">
        <v>21</v>
      </c>
      <c r="I418" s="5">
        <f t="shared" si="36"/>
        <v>62.219008264462815</v>
      </c>
      <c r="J418" s="5">
        <f t="shared" si="33"/>
        <v>296.28099173553721</v>
      </c>
      <c r="L418" s="5">
        <f t="shared" si="34"/>
        <v>0</v>
      </c>
      <c r="M418" s="8">
        <v>358.5</v>
      </c>
      <c r="N418" s="2" t="s">
        <v>21</v>
      </c>
      <c r="O418" s="3" t="s">
        <v>64</v>
      </c>
    </row>
    <row r="419" spans="1:15" x14ac:dyDescent="0.35">
      <c r="A419" s="4">
        <v>45442</v>
      </c>
      <c r="B419" s="2" t="s">
        <v>1873</v>
      </c>
      <c r="D419" s="2" t="s">
        <v>1203</v>
      </c>
      <c r="E419" s="2" t="s">
        <v>1204</v>
      </c>
      <c r="F419" s="5" t="str">
        <f t="shared" si="28"/>
        <v>G 20657 AZULEJOS PEÑA</v>
      </c>
      <c r="G419" s="12">
        <f t="shared" si="35"/>
        <v>348.90909090909093</v>
      </c>
      <c r="H419">
        <v>21</v>
      </c>
      <c r="I419" s="5">
        <f t="shared" si="36"/>
        <v>73.2709090909091</v>
      </c>
      <c r="J419" s="5">
        <f t="shared" si="33"/>
        <v>348.90909090909093</v>
      </c>
      <c r="L419" s="5">
        <f t="shared" si="34"/>
        <v>0</v>
      </c>
      <c r="M419" s="8">
        <v>422.18</v>
      </c>
      <c r="N419" s="2" t="s">
        <v>21</v>
      </c>
      <c r="O419" s="3" t="s">
        <v>64</v>
      </c>
    </row>
    <row r="420" spans="1:15" x14ac:dyDescent="0.35">
      <c r="A420" s="4">
        <v>45419</v>
      </c>
      <c r="B420" s="2" t="s">
        <v>1874</v>
      </c>
      <c r="D420" s="2" t="s">
        <v>58</v>
      </c>
      <c r="E420" s="2" t="s">
        <v>1172</v>
      </c>
      <c r="F420" s="5" t="str">
        <f t="shared" si="28"/>
        <v>007-0005-534302 BRICOLAJE BRICOMAN SLU</v>
      </c>
      <c r="G420" s="12">
        <f t="shared" si="35"/>
        <v>95.495867768595048</v>
      </c>
      <c r="H420">
        <v>21</v>
      </c>
      <c r="I420" s="5">
        <f t="shared" si="36"/>
        <v>20.05413223140496</v>
      </c>
      <c r="J420" s="5">
        <f t="shared" si="33"/>
        <v>95.495867768595048</v>
      </c>
      <c r="L420" s="5">
        <f t="shared" si="34"/>
        <v>0</v>
      </c>
      <c r="M420" s="8">
        <v>115.55</v>
      </c>
      <c r="N420" s="2" t="s">
        <v>21</v>
      </c>
      <c r="O420" s="3" t="s">
        <v>64</v>
      </c>
    </row>
    <row r="421" spans="1:15" x14ac:dyDescent="0.35">
      <c r="A421" s="4">
        <v>45419</v>
      </c>
      <c r="B421" s="2" t="s">
        <v>1875</v>
      </c>
      <c r="D421" s="2" t="s">
        <v>58</v>
      </c>
      <c r="E421" s="2" t="s">
        <v>1172</v>
      </c>
      <c r="F421" s="5" t="str">
        <f t="shared" si="28"/>
        <v>007-0005-534242 BRICOLAJE BRICOMAN SLU</v>
      </c>
      <c r="G421" s="12">
        <f t="shared" si="35"/>
        <v>58.63636363636364</v>
      </c>
      <c r="H421">
        <v>21</v>
      </c>
      <c r="I421" s="5">
        <f t="shared" si="36"/>
        <v>12.313636363636364</v>
      </c>
      <c r="J421" s="5">
        <f t="shared" si="33"/>
        <v>58.63636363636364</v>
      </c>
      <c r="L421" s="5">
        <f t="shared" si="34"/>
        <v>0</v>
      </c>
      <c r="M421" s="8">
        <v>70.95</v>
      </c>
      <c r="N421" s="2" t="s">
        <v>21</v>
      </c>
      <c r="O421" s="3" t="s">
        <v>64</v>
      </c>
    </row>
    <row r="422" spans="1:15" x14ac:dyDescent="0.35">
      <c r="A422" s="4">
        <v>45422</v>
      </c>
      <c r="B422" s="2" t="s">
        <v>1876</v>
      </c>
      <c r="D422" s="2" t="s">
        <v>58</v>
      </c>
      <c r="E422" s="2" t="s">
        <v>1172</v>
      </c>
      <c r="F422" s="5" t="str">
        <f t="shared" si="28"/>
        <v>007-0005-532312 BRICOLAJE BRICOMAN SLU</v>
      </c>
      <c r="G422" s="12">
        <f t="shared" si="35"/>
        <v>12.809917355371901</v>
      </c>
      <c r="H422">
        <v>21</v>
      </c>
      <c r="I422" s="5">
        <f t="shared" si="36"/>
        <v>2.6900826446280992</v>
      </c>
      <c r="J422" s="5">
        <f t="shared" si="33"/>
        <v>12.809917355371901</v>
      </c>
      <c r="L422" s="5">
        <f t="shared" si="34"/>
        <v>0</v>
      </c>
      <c r="M422" s="8">
        <v>15.5</v>
      </c>
      <c r="N422" s="2" t="s">
        <v>21</v>
      </c>
      <c r="O422" s="3" t="s">
        <v>64</v>
      </c>
    </row>
    <row r="423" spans="1:15" x14ac:dyDescent="0.35">
      <c r="A423" s="4">
        <v>45421</v>
      </c>
      <c r="B423" s="2" t="s">
        <v>1877</v>
      </c>
      <c r="D423" s="2" t="s">
        <v>58</v>
      </c>
      <c r="E423" s="2" t="s">
        <v>1172</v>
      </c>
      <c r="F423" s="5" t="str">
        <f t="shared" si="28"/>
        <v>007-0005-537688 BRICOLAJE BRICOMAN SLU</v>
      </c>
      <c r="G423" s="12">
        <f t="shared" si="35"/>
        <v>20.206611570247933</v>
      </c>
      <c r="H423">
        <v>21</v>
      </c>
      <c r="I423" s="5">
        <f t="shared" si="36"/>
        <v>4.2433884297520663</v>
      </c>
      <c r="J423" s="5">
        <f t="shared" si="33"/>
        <v>20.206611570247933</v>
      </c>
      <c r="L423" s="5">
        <f t="shared" si="34"/>
        <v>0</v>
      </c>
      <c r="M423" s="8">
        <v>24.45</v>
      </c>
      <c r="N423" s="2" t="s">
        <v>21</v>
      </c>
      <c r="O423" s="3" t="s">
        <v>64</v>
      </c>
    </row>
    <row r="424" spans="1:15" x14ac:dyDescent="0.35">
      <c r="A424" s="4">
        <v>45422</v>
      </c>
      <c r="B424" s="2" t="s">
        <v>1878</v>
      </c>
      <c r="D424" s="2" t="s">
        <v>58</v>
      </c>
      <c r="E424" s="2" t="s">
        <v>1172</v>
      </c>
      <c r="F424" s="5" t="str">
        <f t="shared" si="28"/>
        <v>007-0005-539686 BRICOLAJE BRICOMAN SLU</v>
      </c>
      <c r="G424" s="12">
        <f t="shared" si="35"/>
        <v>79.570247933884303</v>
      </c>
      <c r="H424">
        <v>21</v>
      </c>
      <c r="I424" s="5">
        <f t="shared" si="36"/>
        <v>16.709752066115705</v>
      </c>
      <c r="J424" s="5">
        <f t="shared" si="33"/>
        <v>79.570247933884303</v>
      </c>
      <c r="L424" s="5">
        <f t="shared" si="34"/>
        <v>0</v>
      </c>
      <c r="M424" s="8">
        <v>96.28</v>
      </c>
      <c r="N424" s="2" t="s">
        <v>21</v>
      </c>
      <c r="O424" s="3" t="s">
        <v>64</v>
      </c>
    </row>
    <row r="425" spans="1:15" x14ac:dyDescent="0.35">
      <c r="A425" s="4">
        <v>45353</v>
      </c>
      <c r="B425" s="2" t="s">
        <v>1879</v>
      </c>
      <c r="D425" s="2" t="s">
        <v>58</v>
      </c>
      <c r="E425" s="2" t="s">
        <v>1172</v>
      </c>
      <c r="F425" s="5" t="str">
        <f t="shared" si="28"/>
        <v>007-0003-442990 BRICOLAJE BRICOMAN SLU</v>
      </c>
      <c r="G425" s="12">
        <f t="shared" si="35"/>
        <v>24.256198347107439</v>
      </c>
      <c r="H425">
        <v>21</v>
      </c>
      <c r="I425" s="5">
        <f t="shared" si="36"/>
        <v>5.0938016528925623</v>
      </c>
      <c r="J425" s="5">
        <f t="shared" si="33"/>
        <v>24.256198347107439</v>
      </c>
      <c r="L425" s="5">
        <f t="shared" si="34"/>
        <v>0</v>
      </c>
      <c r="M425" s="8">
        <v>29.35</v>
      </c>
      <c r="N425" s="2" t="s">
        <v>21</v>
      </c>
      <c r="O425" s="3" t="s">
        <v>64</v>
      </c>
    </row>
    <row r="426" spans="1:15" x14ac:dyDescent="0.35">
      <c r="A426" s="4">
        <v>45353</v>
      </c>
      <c r="B426" s="2" t="s">
        <v>1880</v>
      </c>
      <c r="D426" s="2" t="s">
        <v>58</v>
      </c>
      <c r="E426" s="2" t="s">
        <v>1172</v>
      </c>
      <c r="F426" s="5" t="str">
        <f t="shared" si="28"/>
        <v>007-0003-443014 BRICOLAJE BRICOMAN SLU</v>
      </c>
      <c r="G426" s="12">
        <f t="shared" si="35"/>
        <v>27.950413223140497</v>
      </c>
      <c r="H426">
        <v>21</v>
      </c>
      <c r="I426" s="5">
        <f t="shared" si="36"/>
        <v>5.8695867768595038</v>
      </c>
      <c r="J426" s="5">
        <f t="shared" si="33"/>
        <v>27.950413223140497</v>
      </c>
      <c r="L426" s="5">
        <f t="shared" si="34"/>
        <v>0</v>
      </c>
      <c r="M426" s="8">
        <v>33.82</v>
      </c>
      <c r="N426" s="2" t="s">
        <v>21</v>
      </c>
      <c r="O426" s="3" t="s">
        <v>64</v>
      </c>
    </row>
    <row r="427" spans="1:15" x14ac:dyDescent="0.35">
      <c r="A427" s="4">
        <v>45419</v>
      </c>
      <c r="B427" s="2" t="s">
        <v>1881</v>
      </c>
      <c r="D427" s="2" t="s">
        <v>58</v>
      </c>
      <c r="E427" s="2" t="s">
        <v>1172</v>
      </c>
      <c r="F427" s="5" t="str">
        <f t="shared" si="28"/>
        <v>007-0005-533778 BRICOLAJE BRICOMAN SLU</v>
      </c>
      <c r="G427" s="12">
        <f t="shared" si="35"/>
        <v>126.72727272727273</v>
      </c>
      <c r="H427">
        <v>21</v>
      </c>
      <c r="I427" s="5">
        <f t="shared" si="36"/>
        <v>26.612727272727273</v>
      </c>
      <c r="J427" s="5">
        <f t="shared" si="33"/>
        <v>126.72727272727273</v>
      </c>
      <c r="L427" s="5">
        <f t="shared" si="34"/>
        <v>0</v>
      </c>
      <c r="M427" s="8">
        <v>153.34</v>
      </c>
      <c r="N427" s="2" t="s">
        <v>21</v>
      </c>
      <c r="O427" s="3" t="s">
        <v>64</v>
      </c>
    </row>
    <row r="428" spans="1:15" x14ac:dyDescent="0.35">
      <c r="A428" s="4">
        <v>45414</v>
      </c>
      <c r="B428" s="2" t="s">
        <v>1882</v>
      </c>
      <c r="D428" s="2" t="s">
        <v>58</v>
      </c>
      <c r="E428" s="2" t="s">
        <v>1172</v>
      </c>
      <c r="F428" s="5" t="str">
        <f t="shared" si="28"/>
        <v>007-0005-527442 BRICOLAJE BRICOMAN SLU</v>
      </c>
      <c r="G428" s="12">
        <f t="shared" si="35"/>
        <v>73.32231404958678</v>
      </c>
      <c r="H428">
        <v>21</v>
      </c>
      <c r="I428" s="5">
        <f t="shared" si="36"/>
        <v>15.397685950413225</v>
      </c>
      <c r="J428" s="5">
        <f t="shared" si="33"/>
        <v>73.32231404958678</v>
      </c>
      <c r="L428" s="5">
        <f t="shared" si="34"/>
        <v>0</v>
      </c>
      <c r="M428" s="8">
        <v>88.72</v>
      </c>
      <c r="N428" s="2" t="s">
        <v>21</v>
      </c>
      <c r="O428" s="3" t="s">
        <v>64</v>
      </c>
    </row>
    <row r="429" spans="1:15" x14ac:dyDescent="0.35">
      <c r="A429" s="4">
        <v>45386</v>
      </c>
      <c r="B429" s="2" t="s">
        <v>1883</v>
      </c>
      <c r="D429" s="2" t="s">
        <v>58</v>
      </c>
      <c r="E429" s="2" t="s">
        <v>1172</v>
      </c>
      <c r="F429" s="5" t="str">
        <f t="shared" si="28"/>
        <v>012-0004-826300 BRICOLAJE BRICOMAN SLU</v>
      </c>
      <c r="G429" s="12">
        <f t="shared" si="35"/>
        <v>117.06611570247935</v>
      </c>
      <c r="H429">
        <v>21</v>
      </c>
      <c r="I429" s="5">
        <f t="shared" si="36"/>
        <v>24.583884297520662</v>
      </c>
      <c r="J429" s="5">
        <f t="shared" si="33"/>
        <v>117.06611570247935</v>
      </c>
      <c r="L429" s="5">
        <f t="shared" si="34"/>
        <v>0</v>
      </c>
      <c r="M429" s="8">
        <v>141.65</v>
      </c>
      <c r="N429" s="2" t="s">
        <v>21</v>
      </c>
      <c r="O429" s="3" t="s">
        <v>64</v>
      </c>
    </row>
    <row r="430" spans="1:15" x14ac:dyDescent="0.35">
      <c r="A430" s="4">
        <v>45399</v>
      </c>
      <c r="B430" s="2" t="s">
        <v>1884</v>
      </c>
      <c r="D430" s="2" t="s">
        <v>58</v>
      </c>
      <c r="E430" s="2" t="s">
        <v>1172</v>
      </c>
      <c r="F430" s="5" t="str">
        <f t="shared" si="28"/>
        <v>007-0004-506655 BRICOLAJE BRICOMAN SLU</v>
      </c>
      <c r="G430" s="12">
        <f t="shared" si="35"/>
        <v>83.818181818181827</v>
      </c>
      <c r="H430">
        <v>21</v>
      </c>
      <c r="I430" s="5">
        <f t="shared" si="36"/>
        <v>17.601818181818185</v>
      </c>
      <c r="J430" s="5">
        <f t="shared" si="33"/>
        <v>83.818181818181827</v>
      </c>
      <c r="L430" s="5">
        <f t="shared" si="34"/>
        <v>0</v>
      </c>
      <c r="M430" s="8">
        <v>101.42</v>
      </c>
      <c r="N430" s="2" t="s">
        <v>21</v>
      </c>
      <c r="O430" s="3" t="s">
        <v>64</v>
      </c>
    </row>
    <row r="431" spans="1:15" x14ac:dyDescent="0.35">
      <c r="A431" s="4">
        <v>45398</v>
      </c>
      <c r="B431" s="2" t="s">
        <v>1885</v>
      </c>
      <c r="D431" s="2" t="s">
        <v>58</v>
      </c>
      <c r="E431" s="2" t="s">
        <v>1172</v>
      </c>
      <c r="F431" s="5" t="str">
        <f t="shared" si="28"/>
        <v>007-0004-504587 BRICOLAJE BRICOMAN SLU</v>
      </c>
      <c r="G431" s="12">
        <f t="shared" si="35"/>
        <v>74.512396694214871</v>
      </c>
      <c r="H431">
        <v>21</v>
      </c>
      <c r="I431" s="5">
        <f t="shared" si="36"/>
        <v>15.647603305785124</v>
      </c>
      <c r="J431" s="5">
        <f t="shared" si="33"/>
        <v>74.512396694214871</v>
      </c>
      <c r="L431" s="5">
        <f t="shared" si="34"/>
        <v>0</v>
      </c>
      <c r="M431" s="8">
        <v>90.16</v>
      </c>
      <c r="N431" s="2" t="s">
        <v>21</v>
      </c>
      <c r="O431" s="3" t="s">
        <v>64</v>
      </c>
    </row>
    <row r="432" spans="1:15" x14ac:dyDescent="0.35">
      <c r="A432" s="4">
        <v>45398</v>
      </c>
      <c r="B432" s="2" t="s">
        <v>1886</v>
      </c>
      <c r="D432" s="2" t="s">
        <v>58</v>
      </c>
      <c r="E432" s="2" t="s">
        <v>1172</v>
      </c>
      <c r="F432" s="5" t="str">
        <f t="shared" si="28"/>
        <v>007-0004-504699 BRICOLAJE BRICOMAN SLU</v>
      </c>
      <c r="G432" s="12">
        <f t="shared" si="35"/>
        <v>386.02479338842977</v>
      </c>
      <c r="H432">
        <v>21</v>
      </c>
      <c r="I432" s="5">
        <f t="shared" si="36"/>
        <v>81.065206611570247</v>
      </c>
      <c r="J432" s="5">
        <f t="shared" si="33"/>
        <v>386.02479338842977</v>
      </c>
      <c r="L432" s="5">
        <f t="shared" si="34"/>
        <v>0</v>
      </c>
      <c r="M432" s="8">
        <v>467.09</v>
      </c>
      <c r="N432" s="2" t="s">
        <v>21</v>
      </c>
      <c r="O432" s="3" t="s">
        <v>64</v>
      </c>
    </row>
    <row r="433" spans="1:15" x14ac:dyDescent="0.35">
      <c r="A433" s="4">
        <v>45398</v>
      </c>
      <c r="B433" s="2" t="s">
        <v>1887</v>
      </c>
      <c r="D433" s="2" t="s">
        <v>58</v>
      </c>
      <c r="E433" s="2" t="s">
        <v>1172</v>
      </c>
      <c r="F433" s="5" t="str">
        <f t="shared" si="28"/>
        <v>007-0004-503798 BRICOLAJE BRICOMAN SLU</v>
      </c>
      <c r="G433" s="12">
        <f t="shared" si="35"/>
        <v>72.818181818181813</v>
      </c>
      <c r="H433">
        <v>21</v>
      </c>
      <c r="I433" s="5">
        <f t="shared" si="36"/>
        <v>15.291818181818179</v>
      </c>
      <c r="J433" s="5">
        <f t="shared" si="33"/>
        <v>72.818181818181813</v>
      </c>
      <c r="L433" s="5">
        <f t="shared" si="34"/>
        <v>0</v>
      </c>
      <c r="M433" s="8">
        <v>88.11</v>
      </c>
      <c r="N433" s="2" t="s">
        <v>21</v>
      </c>
      <c r="O433" s="3" t="s">
        <v>64</v>
      </c>
    </row>
    <row r="434" spans="1:15" x14ac:dyDescent="0.35">
      <c r="A434" s="4">
        <v>45397</v>
      </c>
      <c r="B434" s="2" t="s">
        <v>1888</v>
      </c>
      <c r="D434" s="2" t="s">
        <v>58</v>
      </c>
      <c r="E434" s="2" t="s">
        <v>1172</v>
      </c>
      <c r="F434" s="5" t="str">
        <f t="shared" si="28"/>
        <v>007-0004-502991 BRICOLAJE BRICOMAN SLU</v>
      </c>
      <c r="G434" s="12">
        <f t="shared" si="35"/>
        <v>150.17355371900828</v>
      </c>
      <c r="H434">
        <v>21</v>
      </c>
      <c r="I434" s="5">
        <f t="shared" si="36"/>
        <v>31.53644628099174</v>
      </c>
      <c r="J434" s="5">
        <f t="shared" si="33"/>
        <v>150.17355371900828</v>
      </c>
      <c r="L434" s="5">
        <f t="shared" si="34"/>
        <v>0</v>
      </c>
      <c r="M434" s="8">
        <v>181.71</v>
      </c>
      <c r="N434" s="2" t="s">
        <v>21</v>
      </c>
      <c r="O434" s="3" t="s">
        <v>64</v>
      </c>
    </row>
    <row r="435" spans="1:15" x14ac:dyDescent="0.35">
      <c r="A435" s="4">
        <v>45397</v>
      </c>
      <c r="B435" s="2" t="s">
        <v>1889</v>
      </c>
      <c r="D435" s="2" t="s">
        <v>58</v>
      </c>
      <c r="E435" s="2" t="s">
        <v>1172</v>
      </c>
      <c r="F435" s="5" t="str">
        <f t="shared" si="28"/>
        <v>004-0004-396342 BRICOLAJE BRICOMAN SLU</v>
      </c>
      <c r="G435" s="12">
        <f t="shared" si="35"/>
        <v>11.528925619834711</v>
      </c>
      <c r="H435">
        <v>21</v>
      </c>
      <c r="I435" s="5">
        <f t="shared" si="36"/>
        <v>2.4210743801652894</v>
      </c>
      <c r="J435" s="5">
        <f t="shared" si="33"/>
        <v>11.528925619834711</v>
      </c>
      <c r="L435" s="5">
        <f t="shared" si="34"/>
        <v>0</v>
      </c>
      <c r="M435" s="8">
        <v>13.95</v>
      </c>
      <c r="N435" s="2" t="s">
        <v>21</v>
      </c>
      <c r="O435" s="3" t="s">
        <v>64</v>
      </c>
    </row>
    <row r="436" spans="1:15" x14ac:dyDescent="0.35">
      <c r="A436" s="4">
        <v>45397</v>
      </c>
      <c r="B436" s="2" t="s">
        <v>1890</v>
      </c>
      <c r="D436" s="2" t="s">
        <v>58</v>
      </c>
      <c r="E436" s="2" t="s">
        <v>1172</v>
      </c>
      <c r="F436" s="5" t="str">
        <f t="shared" si="28"/>
        <v>007-0004-R066851 BRICOLAJE BRICOMAN SLU</v>
      </c>
      <c r="G436" s="12">
        <f t="shared" si="35"/>
        <v>-14.181818181818182</v>
      </c>
      <c r="H436">
        <v>21</v>
      </c>
      <c r="I436" s="5">
        <f t="shared" si="36"/>
        <v>-2.978181818181818</v>
      </c>
      <c r="J436" s="5">
        <f t="shared" si="33"/>
        <v>-14.181818181818182</v>
      </c>
      <c r="L436" s="5">
        <f t="shared" si="34"/>
        <v>0</v>
      </c>
      <c r="M436" s="8">
        <v>-17.16</v>
      </c>
      <c r="N436" s="2" t="s">
        <v>21</v>
      </c>
      <c r="O436" s="3" t="s">
        <v>64</v>
      </c>
    </row>
    <row r="437" spans="1:15" x14ac:dyDescent="0.35">
      <c r="A437" s="4">
        <v>45394</v>
      </c>
      <c r="B437" s="2" t="s">
        <v>1891</v>
      </c>
      <c r="D437" s="2" t="s">
        <v>58</v>
      </c>
      <c r="E437" s="2" t="s">
        <v>1172</v>
      </c>
      <c r="F437" s="5" t="str">
        <f t="shared" si="28"/>
        <v>007-0004-500262 BRICOLAJE BRICOMAN SLU</v>
      </c>
      <c r="G437" s="12">
        <f t="shared" si="35"/>
        <v>11.842975206611571</v>
      </c>
      <c r="H437">
        <v>21</v>
      </c>
      <c r="I437" s="5">
        <f t="shared" si="36"/>
        <v>2.48702479338843</v>
      </c>
      <c r="J437" s="5">
        <f t="shared" si="33"/>
        <v>11.842975206611571</v>
      </c>
      <c r="L437" s="5">
        <f t="shared" si="34"/>
        <v>0</v>
      </c>
      <c r="M437" s="8">
        <v>14.33</v>
      </c>
      <c r="N437" s="2" t="s">
        <v>21</v>
      </c>
      <c r="O437" s="3" t="s">
        <v>64</v>
      </c>
    </row>
    <row r="438" spans="1:15" x14ac:dyDescent="0.35">
      <c r="A438" s="4">
        <v>45394</v>
      </c>
      <c r="B438" s="2" t="s">
        <v>1892</v>
      </c>
      <c r="D438" s="2" t="s">
        <v>58</v>
      </c>
      <c r="E438" s="2" t="s">
        <v>1172</v>
      </c>
      <c r="F438" s="5" t="str">
        <f t="shared" si="28"/>
        <v>007-0004-500158 BRICOLAJE BRICOMAN SLU</v>
      </c>
      <c r="G438" s="12">
        <f t="shared" si="35"/>
        <v>34.421487603305785</v>
      </c>
      <c r="H438">
        <v>21</v>
      </c>
      <c r="I438" s="5">
        <f t="shared" si="36"/>
        <v>7.2285123966942146</v>
      </c>
      <c r="J438" s="5">
        <f t="shared" si="33"/>
        <v>34.421487603305785</v>
      </c>
      <c r="L438" s="5">
        <f t="shared" si="34"/>
        <v>0</v>
      </c>
      <c r="M438" s="8">
        <v>41.65</v>
      </c>
      <c r="N438" s="2" t="s">
        <v>21</v>
      </c>
      <c r="O438" s="3" t="s">
        <v>64</v>
      </c>
    </row>
    <row r="439" spans="1:15" x14ac:dyDescent="0.35">
      <c r="A439" s="4">
        <v>45400</v>
      </c>
      <c r="B439" s="2" t="s">
        <v>1893</v>
      </c>
      <c r="D439" s="2" t="s">
        <v>58</v>
      </c>
      <c r="E439" s="2" t="s">
        <v>1172</v>
      </c>
      <c r="F439" s="5" t="str">
        <f t="shared" si="28"/>
        <v>007-0004-508109 BRICOLAJE BRICOMAN SLU</v>
      </c>
      <c r="G439" s="12">
        <f t="shared" si="35"/>
        <v>45.454545454545453</v>
      </c>
      <c r="H439">
        <v>21</v>
      </c>
      <c r="I439" s="5">
        <f t="shared" si="36"/>
        <v>9.545454545454545</v>
      </c>
      <c r="J439" s="5">
        <f t="shared" si="33"/>
        <v>45.454545454545453</v>
      </c>
      <c r="L439" s="5">
        <f t="shared" si="34"/>
        <v>0</v>
      </c>
      <c r="M439" s="8">
        <v>55</v>
      </c>
      <c r="N439" s="2" t="s">
        <v>21</v>
      </c>
      <c r="O439" s="3" t="s">
        <v>64</v>
      </c>
    </row>
    <row r="440" spans="1:15" x14ac:dyDescent="0.35">
      <c r="A440" s="4">
        <v>45385</v>
      </c>
      <c r="B440" s="2" t="s">
        <v>1894</v>
      </c>
      <c r="D440" s="2" t="s">
        <v>58</v>
      </c>
      <c r="E440" s="2" t="s">
        <v>1172</v>
      </c>
      <c r="F440" s="5" t="str">
        <f t="shared" si="28"/>
        <v>007-0004-486069 BRICOLAJE BRICOMAN SLU</v>
      </c>
      <c r="G440" s="12">
        <f t="shared" si="35"/>
        <v>341.63636363636363</v>
      </c>
      <c r="H440">
        <v>21</v>
      </c>
      <c r="I440" s="5">
        <f t="shared" si="36"/>
        <v>71.743636363636355</v>
      </c>
      <c r="J440" s="5">
        <f t="shared" si="33"/>
        <v>341.63636363636363</v>
      </c>
      <c r="L440" s="5">
        <f t="shared" si="34"/>
        <v>0</v>
      </c>
      <c r="M440" s="8">
        <v>413.38</v>
      </c>
      <c r="N440" s="2" t="s">
        <v>21</v>
      </c>
      <c r="O440" s="3" t="s">
        <v>64</v>
      </c>
    </row>
    <row r="441" spans="1:15" x14ac:dyDescent="0.35">
      <c r="A441" s="4">
        <v>45385</v>
      </c>
      <c r="B441" s="2" t="s">
        <v>1895</v>
      </c>
      <c r="D441" s="2" t="s">
        <v>58</v>
      </c>
      <c r="E441" s="2" t="s">
        <v>1172</v>
      </c>
      <c r="F441" s="5" t="str">
        <f t="shared" si="28"/>
        <v>007-0004-486088 BRICOLAJE BRICOMAN SLU</v>
      </c>
      <c r="G441" s="12">
        <f t="shared" si="35"/>
        <v>1.859504132231405</v>
      </c>
      <c r="H441">
        <v>21</v>
      </c>
      <c r="I441" s="5">
        <f t="shared" si="36"/>
        <v>0.39049586776859507</v>
      </c>
      <c r="J441" s="5">
        <f t="shared" si="33"/>
        <v>1.859504132231405</v>
      </c>
      <c r="L441" s="5">
        <f t="shared" si="34"/>
        <v>0</v>
      </c>
      <c r="M441" s="8">
        <v>2.25</v>
      </c>
      <c r="N441" s="2" t="s">
        <v>21</v>
      </c>
      <c r="O441" s="3" t="s">
        <v>64</v>
      </c>
    </row>
    <row r="442" spans="1:15" x14ac:dyDescent="0.35">
      <c r="A442" s="4">
        <v>45392</v>
      </c>
      <c r="B442" s="2" t="s">
        <v>1896</v>
      </c>
      <c r="D442" s="2" t="s">
        <v>58</v>
      </c>
      <c r="E442" s="2" t="s">
        <v>1172</v>
      </c>
      <c r="F442" s="5" t="str">
        <f t="shared" si="28"/>
        <v>007-0004-496144 BRICOLAJE BRICOMAN SLU</v>
      </c>
      <c r="G442" s="12">
        <f t="shared" si="35"/>
        <v>200.95041322314052</v>
      </c>
      <c r="H442">
        <v>21</v>
      </c>
      <c r="I442" s="5">
        <f t="shared" si="36"/>
        <v>42.199586776859505</v>
      </c>
      <c r="J442" s="5">
        <f t="shared" si="33"/>
        <v>200.95041322314052</v>
      </c>
      <c r="L442" s="5">
        <f t="shared" si="34"/>
        <v>0</v>
      </c>
      <c r="M442" s="8">
        <v>243.15</v>
      </c>
      <c r="N442" s="2" t="s">
        <v>21</v>
      </c>
      <c r="O442" s="3" t="s">
        <v>64</v>
      </c>
    </row>
    <row r="443" spans="1:15" x14ac:dyDescent="0.35">
      <c r="A443" s="4">
        <v>45418</v>
      </c>
      <c r="B443" s="2" t="s">
        <v>1897</v>
      </c>
      <c r="D443" s="2" t="s">
        <v>58</v>
      </c>
      <c r="E443" s="2" t="s">
        <v>1172</v>
      </c>
      <c r="F443" s="5" t="str">
        <f t="shared" si="28"/>
        <v>007-0005-531867 BRICOLAJE BRICOMAN SLU</v>
      </c>
      <c r="G443" s="12">
        <f t="shared" si="35"/>
        <v>7.3719008264462813</v>
      </c>
      <c r="H443">
        <v>21</v>
      </c>
      <c r="I443" s="5">
        <f t="shared" si="36"/>
        <v>1.5480991735537191</v>
      </c>
      <c r="J443" s="5">
        <f t="shared" si="33"/>
        <v>7.3719008264462813</v>
      </c>
      <c r="L443" s="5">
        <f t="shared" si="34"/>
        <v>0</v>
      </c>
      <c r="M443" s="8">
        <v>8.92</v>
      </c>
      <c r="N443" s="2" t="s">
        <v>21</v>
      </c>
      <c r="O443" s="3" t="s">
        <v>64</v>
      </c>
    </row>
    <row r="444" spans="1:15" x14ac:dyDescent="0.35">
      <c r="A444" s="4">
        <v>45418</v>
      </c>
      <c r="B444" s="2" t="s">
        <v>1898</v>
      </c>
      <c r="D444" s="2" t="s">
        <v>58</v>
      </c>
      <c r="E444" s="2" t="s">
        <v>1172</v>
      </c>
      <c r="F444" s="5" t="str">
        <f t="shared" ref="F444:F507" si="37">CONCATENATE(S444,B444," ",E444)</f>
        <v>007-0005-R069431 BRICOLAJE BRICOMAN SLU</v>
      </c>
      <c r="G444" s="12">
        <f t="shared" si="35"/>
        <v>-22.97520661157025</v>
      </c>
      <c r="H444">
        <v>21</v>
      </c>
      <c r="I444" s="5">
        <f t="shared" si="36"/>
        <v>-4.8247933884297529</v>
      </c>
      <c r="J444" s="5">
        <f t="shared" si="33"/>
        <v>-22.97520661157025</v>
      </c>
      <c r="L444" s="5">
        <f t="shared" si="34"/>
        <v>0</v>
      </c>
      <c r="M444" s="8">
        <v>-27.8</v>
      </c>
      <c r="N444" s="2" t="s">
        <v>21</v>
      </c>
      <c r="O444" s="3" t="s">
        <v>64</v>
      </c>
    </row>
    <row r="445" spans="1:15" x14ac:dyDescent="0.35">
      <c r="A445" s="4">
        <v>45416</v>
      </c>
      <c r="B445" s="2" t="s">
        <v>1899</v>
      </c>
      <c r="D445" s="2" t="s">
        <v>58</v>
      </c>
      <c r="E445" s="2" t="s">
        <v>1172</v>
      </c>
      <c r="F445" s="5" t="str">
        <f t="shared" si="37"/>
        <v>007-0005-530259 BRICOLAJE BRICOMAN SLU</v>
      </c>
      <c r="G445" s="12">
        <f t="shared" si="35"/>
        <v>139.17355371900828</v>
      </c>
      <c r="H445">
        <v>21</v>
      </c>
      <c r="I445" s="5">
        <f t="shared" si="36"/>
        <v>29.226446280991741</v>
      </c>
      <c r="J445" s="5">
        <f t="shared" si="33"/>
        <v>139.17355371900828</v>
      </c>
      <c r="L445" s="5">
        <f t="shared" si="34"/>
        <v>0</v>
      </c>
      <c r="M445" s="8">
        <v>168.4</v>
      </c>
      <c r="N445" s="2" t="s">
        <v>21</v>
      </c>
      <c r="O445" s="3" t="s">
        <v>64</v>
      </c>
    </row>
    <row r="446" spans="1:15" x14ac:dyDescent="0.35">
      <c r="A446" s="4">
        <v>45418</v>
      </c>
      <c r="B446" s="2" t="s">
        <v>1900</v>
      </c>
      <c r="D446" s="2" t="s">
        <v>58</v>
      </c>
      <c r="E446" s="2" t="s">
        <v>1172</v>
      </c>
      <c r="F446" s="5" t="str">
        <f t="shared" si="37"/>
        <v>007-0005-531854 BRICOLAJE BRICOMAN SLU</v>
      </c>
      <c r="G446" s="12">
        <f t="shared" si="35"/>
        <v>181.31404958677686</v>
      </c>
      <c r="H446">
        <v>21</v>
      </c>
      <c r="I446" s="5">
        <f t="shared" si="36"/>
        <v>38.07595041322314</v>
      </c>
      <c r="J446" s="5">
        <f t="shared" si="33"/>
        <v>181.31404958677686</v>
      </c>
      <c r="L446" s="5">
        <f t="shared" si="34"/>
        <v>0</v>
      </c>
      <c r="M446" s="8">
        <v>219.39</v>
      </c>
      <c r="N446" s="2" t="s">
        <v>21</v>
      </c>
      <c r="O446" s="3" t="s">
        <v>64</v>
      </c>
    </row>
    <row r="447" spans="1:15" x14ac:dyDescent="0.35">
      <c r="A447" s="4">
        <v>45418</v>
      </c>
      <c r="B447" s="2" t="s">
        <v>1901</v>
      </c>
      <c r="D447" s="2" t="s">
        <v>58</v>
      </c>
      <c r="E447" s="2" t="s">
        <v>1172</v>
      </c>
      <c r="F447" s="5" t="str">
        <f t="shared" si="37"/>
        <v>007-0005-R069470 BRICOLAJE BRICOMAN SLU</v>
      </c>
      <c r="G447" s="12">
        <f t="shared" si="35"/>
        <v>-28.528925619834713</v>
      </c>
      <c r="H447">
        <v>21</v>
      </c>
      <c r="I447" s="5">
        <f t="shared" si="36"/>
        <v>-5.9910743801652897</v>
      </c>
      <c r="J447" s="5">
        <f t="shared" si="33"/>
        <v>-28.528925619834713</v>
      </c>
      <c r="L447" s="5">
        <f t="shared" si="34"/>
        <v>0</v>
      </c>
      <c r="M447" s="8">
        <v>-34.520000000000003</v>
      </c>
      <c r="N447" s="2" t="s">
        <v>21</v>
      </c>
      <c r="O447" s="3" t="s">
        <v>64</v>
      </c>
    </row>
    <row r="448" spans="1:15" x14ac:dyDescent="0.35">
      <c r="A448" s="4">
        <v>45408</v>
      </c>
      <c r="B448" s="2" t="s">
        <v>1902</v>
      </c>
      <c r="D448" s="2" t="s">
        <v>58</v>
      </c>
      <c r="E448" s="2" t="s">
        <v>1172</v>
      </c>
      <c r="F448" s="5" t="str">
        <f t="shared" si="37"/>
        <v>007-0004-520424 BRICOLAJE BRICOMAN SLU</v>
      </c>
      <c r="G448" s="12">
        <f t="shared" si="35"/>
        <v>13.388429752066115</v>
      </c>
      <c r="H448">
        <v>21</v>
      </c>
      <c r="I448" s="5">
        <f t="shared" si="36"/>
        <v>2.8115702479338842</v>
      </c>
      <c r="J448" s="5">
        <f t="shared" si="33"/>
        <v>13.388429752066115</v>
      </c>
      <c r="L448" s="5">
        <f t="shared" si="34"/>
        <v>0</v>
      </c>
      <c r="M448" s="8">
        <v>16.2</v>
      </c>
      <c r="N448" s="2" t="s">
        <v>21</v>
      </c>
      <c r="O448" s="3" t="s">
        <v>64</v>
      </c>
    </row>
    <row r="449" spans="1:15" x14ac:dyDescent="0.35">
      <c r="A449" s="4">
        <v>45407</v>
      </c>
      <c r="B449" s="2" t="s">
        <v>1903</v>
      </c>
      <c r="D449" s="2" t="s">
        <v>58</v>
      </c>
      <c r="E449" s="2" t="s">
        <v>1172</v>
      </c>
      <c r="F449" s="5" t="str">
        <f t="shared" si="37"/>
        <v>007-0004-519195 BRICOLAJE BRICOMAN SLU</v>
      </c>
      <c r="G449" s="12">
        <f t="shared" si="35"/>
        <v>55.272727272727273</v>
      </c>
      <c r="H449">
        <v>21</v>
      </c>
      <c r="I449" s="5">
        <f t="shared" si="36"/>
        <v>11.607272727272727</v>
      </c>
      <c r="J449" s="5">
        <f t="shared" si="33"/>
        <v>55.272727272727273</v>
      </c>
      <c r="L449" s="5">
        <f t="shared" si="34"/>
        <v>0</v>
      </c>
      <c r="M449" s="8">
        <v>66.88</v>
      </c>
      <c r="N449" s="2" t="s">
        <v>21</v>
      </c>
      <c r="O449" s="3" t="s">
        <v>64</v>
      </c>
    </row>
    <row r="450" spans="1:15" x14ac:dyDescent="0.35">
      <c r="A450" s="4">
        <v>45406</v>
      </c>
      <c r="B450" s="2" t="s">
        <v>1904</v>
      </c>
      <c r="D450" s="2" t="s">
        <v>58</v>
      </c>
      <c r="E450" s="2" t="s">
        <v>1172</v>
      </c>
      <c r="F450" s="5" t="str">
        <f t="shared" si="37"/>
        <v>007-0004-517354 BRICOLAJE BRICOMAN SLU</v>
      </c>
      <c r="G450" s="12">
        <f t="shared" si="35"/>
        <v>31.338842975206614</v>
      </c>
      <c r="H450">
        <v>21</v>
      </c>
      <c r="I450" s="5">
        <f t="shared" si="36"/>
        <v>6.5811570247933888</v>
      </c>
      <c r="J450" s="5">
        <f t="shared" si="33"/>
        <v>31.338842975206614</v>
      </c>
      <c r="L450" s="5">
        <f t="shared" si="34"/>
        <v>0</v>
      </c>
      <c r="M450" s="8">
        <v>37.92</v>
      </c>
      <c r="N450" s="2" t="s">
        <v>21</v>
      </c>
      <c r="O450" s="3" t="s">
        <v>64</v>
      </c>
    </row>
    <row r="451" spans="1:15" x14ac:dyDescent="0.35">
      <c r="A451" s="4">
        <v>45406</v>
      </c>
      <c r="B451" s="2" t="s">
        <v>1905</v>
      </c>
      <c r="D451" s="2" t="s">
        <v>58</v>
      </c>
      <c r="E451" s="2" t="s">
        <v>1172</v>
      </c>
      <c r="F451" s="5" t="str">
        <f t="shared" si="37"/>
        <v>007-0004-516822 BRICOLAJE BRICOMAN SLU</v>
      </c>
      <c r="G451" s="12">
        <f t="shared" si="35"/>
        <v>101.65289256198348</v>
      </c>
      <c r="H451">
        <v>21</v>
      </c>
      <c r="I451" s="5">
        <f t="shared" si="36"/>
        <v>21.347107438016529</v>
      </c>
      <c r="J451" s="5">
        <f t="shared" si="33"/>
        <v>101.65289256198348</v>
      </c>
      <c r="L451" s="5">
        <f t="shared" si="34"/>
        <v>0</v>
      </c>
      <c r="M451" s="8">
        <v>123</v>
      </c>
      <c r="N451" s="2" t="s">
        <v>21</v>
      </c>
      <c r="O451" s="3" t="s">
        <v>64</v>
      </c>
    </row>
    <row r="452" spans="1:15" x14ac:dyDescent="0.35">
      <c r="A452" s="4">
        <v>45405</v>
      </c>
      <c r="B452" s="2" t="s">
        <v>1906</v>
      </c>
      <c r="D452" s="2" t="s">
        <v>58</v>
      </c>
      <c r="E452" s="2" t="s">
        <v>1172</v>
      </c>
      <c r="F452" s="5" t="str">
        <f t="shared" si="37"/>
        <v>007-0004-515405 BRICOLAJE BRICOMAN SLU</v>
      </c>
      <c r="G452" s="12">
        <f t="shared" si="35"/>
        <v>51.628099173553721</v>
      </c>
      <c r="H452">
        <v>21</v>
      </c>
      <c r="I452" s="5">
        <f t="shared" si="36"/>
        <v>10.841900826446281</v>
      </c>
      <c r="J452" s="5">
        <f t="shared" si="33"/>
        <v>51.628099173553721</v>
      </c>
      <c r="L452" s="5">
        <f t="shared" si="34"/>
        <v>0</v>
      </c>
      <c r="M452" s="8">
        <v>62.47</v>
      </c>
      <c r="N452" s="2" t="s">
        <v>21</v>
      </c>
      <c r="O452" s="3" t="s">
        <v>64</v>
      </c>
    </row>
    <row r="453" spans="1:15" x14ac:dyDescent="0.35">
      <c r="A453" s="4">
        <v>45404</v>
      </c>
      <c r="B453" s="2" t="s">
        <v>1907</v>
      </c>
      <c r="D453" s="2" t="s">
        <v>58</v>
      </c>
      <c r="E453" s="2" t="s">
        <v>1172</v>
      </c>
      <c r="F453" s="5" t="str">
        <f t="shared" si="37"/>
        <v>007-0004-512902 BRICOLAJE BRICOMAN SLU</v>
      </c>
      <c r="G453" s="12">
        <v>142.29</v>
      </c>
      <c r="H453">
        <v>21</v>
      </c>
      <c r="I453" s="5">
        <f t="shared" si="36"/>
        <v>29.880899999999997</v>
      </c>
      <c r="J453" s="5">
        <v>1.92</v>
      </c>
      <c r="K453" s="5">
        <v>4</v>
      </c>
      <c r="L453" s="5">
        <f t="shared" ref="L453:L516" si="38">J453*K453/100</f>
        <v>7.6799999999999993E-2</v>
      </c>
      <c r="M453" s="8">
        <v>174.17</v>
      </c>
      <c r="N453" s="2" t="s">
        <v>21</v>
      </c>
      <c r="O453" s="3" t="s">
        <v>64</v>
      </c>
    </row>
    <row r="454" spans="1:15" x14ac:dyDescent="0.35">
      <c r="A454" s="4">
        <v>45404</v>
      </c>
      <c r="B454" s="2" t="s">
        <v>1908</v>
      </c>
      <c r="D454" s="2" t="s">
        <v>58</v>
      </c>
      <c r="E454" s="2" t="s">
        <v>1172</v>
      </c>
      <c r="F454" s="5" t="str">
        <f t="shared" si="37"/>
        <v>007-0004-513618 BRICOLAJE BRICOMAN SLU</v>
      </c>
      <c r="G454" s="12">
        <f t="shared" ref="G454:G517" si="39">M454/(1-K454/100+H454/100)</f>
        <v>107.7603305785124</v>
      </c>
      <c r="H454">
        <v>21</v>
      </c>
      <c r="I454" s="5">
        <f t="shared" ref="I454:I517" si="40">G454*H454/100</f>
        <v>22.629669421487602</v>
      </c>
      <c r="J454" s="5">
        <f t="shared" ref="J454:J516" si="41">G454</f>
        <v>107.7603305785124</v>
      </c>
      <c r="L454" s="5">
        <f t="shared" si="38"/>
        <v>0</v>
      </c>
      <c r="M454" s="8">
        <v>130.38999999999999</v>
      </c>
      <c r="N454" s="2" t="s">
        <v>21</v>
      </c>
      <c r="O454" s="3" t="s">
        <v>64</v>
      </c>
    </row>
    <row r="455" spans="1:15" x14ac:dyDescent="0.35">
      <c r="A455" s="4">
        <v>45404</v>
      </c>
      <c r="B455" s="2" t="s">
        <v>1909</v>
      </c>
      <c r="D455" s="2" t="s">
        <v>58</v>
      </c>
      <c r="E455" s="2" t="s">
        <v>1172</v>
      </c>
      <c r="F455" s="5" t="str">
        <f t="shared" si="37"/>
        <v>007-0004-512981 BRICOLAJE BRICOMAN SLU</v>
      </c>
      <c r="G455" s="12">
        <f t="shared" si="39"/>
        <v>112.30578512396693</v>
      </c>
      <c r="H455">
        <v>21</v>
      </c>
      <c r="I455" s="5">
        <f t="shared" si="40"/>
        <v>23.584214876033055</v>
      </c>
      <c r="J455" s="5">
        <f t="shared" si="41"/>
        <v>112.30578512396693</v>
      </c>
      <c r="L455" s="5">
        <f t="shared" si="38"/>
        <v>0</v>
      </c>
      <c r="M455" s="8">
        <v>135.88999999999999</v>
      </c>
      <c r="N455" s="2" t="s">
        <v>21</v>
      </c>
      <c r="O455" s="3" t="s">
        <v>64</v>
      </c>
    </row>
    <row r="456" spans="1:15" x14ac:dyDescent="0.35">
      <c r="A456" s="4">
        <v>45402</v>
      </c>
      <c r="B456" s="2" t="s">
        <v>1910</v>
      </c>
      <c r="D456" s="2" t="s">
        <v>58</v>
      </c>
      <c r="E456" s="2" t="s">
        <v>1172</v>
      </c>
      <c r="F456" s="5" t="str">
        <f t="shared" si="37"/>
        <v>007-0004-510868 BRICOLAJE BRICOMAN SLU</v>
      </c>
      <c r="G456" s="12">
        <f t="shared" si="39"/>
        <v>158.25619834710744</v>
      </c>
      <c r="H456">
        <v>21</v>
      </c>
      <c r="I456" s="5">
        <f t="shared" si="40"/>
        <v>33.233801652892559</v>
      </c>
      <c r="J456" s="5">
        <f t="shared" si="41"/>
        <v>158.25619834710744</v>
      </c>
      <c r="L456" s="5">
        <f t="shared" si="38"/>
        <v>0</v>
      </c>
      <c r="M456" s="8">
        <v>191.49</v>
      </c>
      <c r="N456" s="2" t="s">
        <v>21</v>
      </c>
      <c r="O456" s="3" t="s">
        <v>64</v>
      </c>
    </row>
    <row r="457" spans="1:15" x14ac:dyDescent="0.35">
      <c r="A457" s="4">
        <v>45401</v>
      </c>
      <c r="B457" s="2" t="s">
        <v>1911</v>
      </c>
      <c r="D457" s="2" t="s">
        <v>58</v>
      </c>
      <c r="E457" s="2" t="s">
        <v>1172</v>
      </c>
      <c r="F457" s="5" t="str">
        <f t="shared" si="37"/>
        <v>007-0004-509931 BRICOLAJE BRICOMAN SLU</v>
      </c>
      <c r="G457" s="12">
        <f t="shared" si="39"/>
        <v>23.140495867768596</v>
      </c>
      <c r="H457">
        <v>21</v>
      </c>
      <c r="I457" s="5">
        <f t="shared" si="40"/>
        <v>4.8595041322314048</v>
      </c>
      <c r="J457" s="5">
        <f t="shared" si="41"/>
        <v>23.140495867768596</v>
      </c>
      <c r="L457" s="5">
        <f t="shared" si="38"/>
        <v>0</v>
      </c>
      <c r="M457" s="8">
        <v>28</v>
      </c>
      <c r="N457" s="2" t="s">
        <v>21</v>
      </c>
      <c r="O457" s="3" t="s">
        <v>64</v>
      </c>
    </row>
    <row r="458" spans="1:15" x14ac:dyDescent="0.35">
      <c r="A458" s="4">
        <v>45406</v>
      </c>
      <c r="B458" s="2" t="s">
        <v>1912</v>
      </c>
      <c r="D458" s="2" t="s">
        <v>58</v>
      </c>
      <c r="E458" s="2" t="s">
        <v>1172</v>
      </c>
      <c r="F458" s="5" t="str">
        <f t="shared" si="37"/>
        <v>007-0004-891740 BRICOLAJE BRICOMAN SLU</v>
      </c>
      <c r="G458" s="12">
        <f t="shared" si="39"/>
        <v>101.65289256198348</v>
      </c>
      <c r="H458">
        <v>21</v>
      </c>
      <c r="I458" s="5">
        <f t="shared" si="40"/>
        <v>21.347107438016529</v>
      </c>
      <c r="J458" s="5">
        <f t="shared" si="41"/>
        <v>101.65289256198348</v>
      </c>
      <c r="L458" s="5">
        <f t="shared" si="38"/>
        <v>0</v>
      </c>
      <c r="M458" s="8">
        <v>123</v>
      </c>
      <c r="N458" s="2" t="s">
        <v>21</v>
      </c>
      <c r="O458" s="3" t="s">
        <v>64</v>
      </c>
    </row>
    <row r="459" spans="1:15" x14ac:dyDescent="0.35">
      <c r="A459" s="4">
        <v>45411</v>
      </c>
      <c r="B459" s="2" t="s">
        <v>1913</v>
      </c>
      <c r="D459" s="2" t="s">
        <v>58</v>
      </c>
      <c r="E459" s="2" t="s">
        <v>1172</v>
      </c>
      <c r="F459" s="5" t="str">
        <f t="shared" si="37"/>
        <v>007-0004-524092 BRICOLAJE BRICOMAN SLU</v>
      </c>
      <c r="G459" s="12">
        <f t="shared" si="39"/>
        <v>15.942148760330578</v>
      </c>
      <c r="H459">
        <v>21</v>
      </c>
      <c r="I459" s="5">
        <f t="shared" si="40"/>
        <v>3.3478512396694216</v>
      </c>
      <c r="J459" s="5">
        <f t="shared" si="41"/>
        <v>15.942148760330578</v>
      </c>
      <c r="L459" s="5">
        <f t="shared" si="38"/>
        <v>0</v>
      </c>
      <c r="M459" s="8">
        <v>19.29</v>
      </c>
      <c r="N459" s="2" t="s">
        <v>21</v>
      </c>
      <c r="O459" s="3" t="s">
        <v>64</v>
      </c>
    </row>
    <row r="460" spans="1:15" x14ac:dyDescent="0.35">
      <c r="A460" s="4">
        <v>45411</v>
      </c>
      <c r="B460" s="2" t="s">
        <v>1914</v>
      </c>
      <c r="D460" s="2" t="s">
        <v>58</v>
      </c>
      <c r="E460" s="2" t="s">
        <v>1172</v>
      </c>
      <c r="F460" s="5" t="str">
        <f t="shared" si="37"/>
        <v>007-0004-524147 BRICOLAJE BRICOMAN SLU</v>
      </c>
      <c r="G460" s="12">
        <f t="shared" si="39"/>
        <v>23.272727272727273</v>
      </c>
      <c r="H460">
        <v>21</v>
      </c>
      <c r="I460" s="5">
        <f t="shared" si="40"/>
        <v>4.8872727272727277</v>
      </c>
      <c r="J460" s="5">
        <f t="shared" si="41"/>
        <v>23.272727272727273</v>
      </c>
      <c r="L460" s="5">
        <f t="shared" si="38"/>
        <v>0</v>
      </c>
      <c r="M460" s="8">
        <v>28.16</v>
      </c>
      <c r="N460" s="2" t="s">
        <v>21</v>
      </c>
      <c r="O460" s="3" t="s">
        <v>64</v>
      </c>
    </row>
    <row r="461" spans="1:15" x14ac:dyDescent="0.35">
      <c r="A461" s="4">
        <v>45415</v>
      </c>
      <c r="B461" s="2" t="s">
        <v>1915</v>
      </c>
      <c r="D461" s="2" t="s">
        <v>58</v>
      </c>
      <c r="E461" s="2" t="s">
        <v>1172</v>
      </c>
      <c r="F461" s="5" t="str">
        <f t="shared" si="37"/>
        <v>007-0005-431647 BRICOLAJE BRICOMAN SLU</v>
      </c>
      <c r="G461" s="12">
        <f t="shared" si="39"/>
        <v>28.760330578512395</v>
      </c>
      <c r="H461">
        <v>21</v>
      </c>
      <c r="I461" s="5">
        <f t="shared" si="40"/>
        <v>6.039669421487603</v>
      </c>
      <c r="J461" s="5">
        <f t="shared" si="41"/>
        <v>28.760330578512395</v>
      </c>
      <c r="L461" s="5">
        <f t="shared" si="38"/>
        <v>0</v>
      </c>
      <c r="M461" s="8">
        <v>34.799999999999997</v>
      </c>
      <c r="N461" s="2" t="s">
        <v>21</v>
      </c>
      <c r="O461" s="3" t="s">
        <v>64</v>
      </c>
    </row>
    <row r="462" spans="1:15" x14ac:dyDescent="0.35">
      <c r="A462" s="4">
        <v>45411</v>
      </c>
      <c r="B462" s="2" t="s">
        <v>1916</v>
      </c>
      <c r="D462" s="2" t="s">
        <v>58</v>
      </c>
      <c r="E462" s="2" t="s">
        <v>1172</v>
      </c>
      <c r="F462" s="5" t="str">
        <f t="shared" si="37"/>
        <v>007-0004-524199 BRICOLAJE BRICOMAN SLU</v>
      </c>
      <c r="G462" s="12">
        <f t="shared" si="39"/>
        <v>17.066115702479337</v>
      </c>
      <c r="H462">
        <v>21</v>
      </c>
      <c r="I462" s="5">
        <f t="shared" si="40"/>
        <v>3.5838842975206608</v>
      </c>
      <c r="J462" s="5">
        <f t="shared" si="41"/>
        <v>17.066115702479337</v>
      </c>
      <c r="L462" s="5">
        <f t="shared" si="38"/>
        <v>0</v>
      </c>
      <c r="M462" s="8">
        <v>20.65</v>
      </c>
      <c r="N462" s="2" t="s">
        <v>21</v>
      </c>
      <c r="O462" s="3" t="s">
        <v>64</v>
      </c>
    </row>
    <row r="463" spans="1:15" x14ac:dyDescent="0.35">
      <c r="A463" s="4">
        <v>45415</v>
      </c>
      <c r="B463" s="2" t="s">
        <v>1917</v>
      </c>
      <c r="D463" s="2" t="s">
        <v>58</v>
      </c>
      <c r="E463" s="2" t="s">
        <v>1172</v>
      </c>
      <c r="F463" s="5" t="str">
        <f t="shared" si="37"/>
        <v>004-0005-431631 BRICOLAJE BRICOMAN SLU</v>
      </c>
      <c r="G463" s="12">
        <f t="shared" si="39"/>
        <v>25.008264462809919</v>
      </c>
      <c r="H463">
        <v>21</v>
      </c>
      <c r="I463" s="5">
        <f t="shared" si="40"/>
        <v>5.2517355371900827</v>
      </c>
      <c r="J463" s="5">
        <f t="shared" si="41"/>
        <v>25.008264462809919</v>
      </c>
      <c r="L463" s="5">
        <f t="shared" si="38"/>
        <v>0</v>
      </c>
      <c r="M463" s="8">
        <v>30.26</v>
      </c>
      <c r="N463" s="2" t="s">
        <v>21</v>
      </c>
      <c r="O463" s="3" t="s">
        <v>64</v>
      </c>
    </row>
    <row r="464" spans="1:15" x14ac:dyDescent="0.35">
      <c r="A464" s="4">
        <v>45416</v>
      </c>
      <c r="B464" s="2" t="s">
        <v>1918</v>
      </c>
      <c r="D464" s="2" t="s">
        <v>58</v>
      </c>
      <c r="E464" s="2" t="s">
        <v>1172</v>
      </c>
      <c r="F464" s="5" t="str">
        <f t="shared" si="37"/>
        <v>007-0005-R069235 BRICOLAJE BRICOMAN SLU</v>
      </c>
      <c r="G464" s="12">
        <f t="shared" si="39"/>
        <v>-22.206611570247937</v>
      </c>
      <c r="H464">
        <v>21</v>
      </c>
      <c r="I464" s="5">
        <f t="shared" si="40"/>
        <v>-4.6633884297520662</v>
      </c>
      <c r="J464" s="5">
        <f t="shared" si="41"/>
        <v>-22.206611570247937</v>
      </c>
      <c r="L464" s="5">
        <f t="shared" si="38"/>
        <v>0</v>
      </c>
      <c r="M464" s="8">
        <v>-26.87</v>
      </c>
      <c r="N464" s="2" t="s">
        <v>21</v>
      </c>
      <c r="O464" s="3" t="s">
        <v>64</v>
      </c>
    </row>
    <row r="465" spans="1:15" x14ac:dyDescent="0.35">
      <c r="A465" s="4">
        <v>45416</v>
      </c>
      <c r="B465" s="2" t="s">
        <v>1919</v>
      </c>
      <c r="D465" s="2" t="s">
        <v>58</v>
      </c>
      <c r="E465" s="2" t="s">
        <v>1172</v>
      </c>
      <c r="F465" s="5" t="str">
        <f t="shared" si="37"/>
        <v>007-0005-529978 BRICOLAJE BRICOMAN SLU</v>
      </c>
      <c r="G465" s="12">
        <f t="shared" si="39"/>
        <v>10.545454545454545</v>
      </c>
      <c r="H465">
        <v>21</v>
      </c>
      <c r="I465" s="5">
        <f t="shared" si="40"/>
        <v>2.2145454545454544</v>
      </c>
      <c r="J465" s="5">
        <f t="shared" si="41"/>
        <v>10.545454545454545</v>
      </c>
      <c r="L465" s="5">
        <f t="shared" si="38"/>
        <v>0</v>
      </c>
      <c r="M465" s="8">
        <v>12.76</v>
      </c>
      <c r="N465" s="2" t="s">
        <v>21</v>
      </c>
      <c r="O465" s="3" t="s">
        <v>64</v>
      </c>
    </row>
    <row r="466" spans="1:15" x14ac:dyDescent="0.35">
      <c r="A466" s="4">
        <v>45415</v>
      </c>
      <c r="B466" s="2" t="s">
        <v>1920</v>
      </c>
      <c r="D466" s="2" t="s">
        <v>58</v>
      </c>
      <c r="E466" s="2" t="s">
        <v>1172</v>
      </c>
      <c r="F466" s="5" t="str">
        <f t="shared" si="37"/>
        <v>007-0005-529238 BRICOLAJE BRICOMAN SLU</v>
      </c>
      <c r="G466" s="12">
        <f t="shared" si="39"/>
        <v>28.462809917355372</v>
      </c>
      <c r="H466">
        <v>21</v>
      </c>
      <c r="I466" s="5">
        <f t="shared" si="40"/>
        <v>5.9771900826446283</v>
      </c>
      <c r="J466" s="5">
        <f t="shared" si="41"/>
        <v>28.462809917355372</v>
      </c>
      <c r="L466" s="5">
        <f t="shared" si="38"/>
        <v>0</v>
      </c>
      <c r="M466" s="8">
        <v>34.44</v>
      </c>
      <c r="N466" s="2" t="s">
        <v>21</v>
      </c>
      <c r="O466" s="3" t="s">
        <v>64</v>
      </c>
    </row>
    <row r="467" spans="1:15" x14ac:dyDescent="0.35">
      <c r="A467" s="4">
        <v>45416</v>
      </c>
      <c r="B467" s="2" t="s">
        <v>1921</v>
      </c>
      <c r="D467" s="2" t="s">
        <v>58</v>
      </c>
      <c r="E467" s="2" t="s">
        <v>1172</v>
      </c>
      <c r="F467" s="5" t="str">
        <f t="shared" si="37"/>
        <v>007-0005-R069239 BRICOLAJE BRICOMAN SLU</v>
      </c>
      <c r="G467" s="12">
        <f t="shared" si="39"/>
        <v>-8.2644628099173563</v>
      </c>
      <c r="H467">
        <v>21</v>
      </c>
      <c r="I467" s="5">
        <f t="shared" si="40"/>
        <v>-1.7355371900826448</v>
      </c>
      <c r="J467" s="5">
        <f t="shared" si="41"/>
        <v>-8.2644628099173563</v>
      </c>
      <c r="L467" s="5">
        <f t="shared" si="38"/>
        <v>0</v>
      </c>
      <c r="M467" s="8">
        <v>-10</v>
      </c>
      <c r="N467" s="2" t="s">
        <v>21</v>
      </c>
      <c r="O467" s="3" t="s">
        <v>64</v>
      </c>
    </row>
    <row r="468" spans="1:15" x14ac:dyDescent="0.35">
      <c r="A468" s="4">
        <v>45415</v>
      </c>
      <c r="B468" s="2" t="s">
        <v>1922</v>
      </c>
      <c r="D468" s="2" t="s">
        <v>58</v>
      </c>
      <c r="E468" s="2" t="s">
        <v>1172</v>
      </c>
      <c r="F468" s="5" t="str">
        <f t="shared" si="37"/>
        <v>007-0005-528622 BRICOLAJE BRICOMAN SLU</v>
      </c>
      <c r="G468" s="12">
        <f t="shared" si="39"/>
        <v>201.9917355371901</v>
      </c>
      <c r="H468">
        <v>21</v>
      </c>
      <c r="I468" s="5">
        <f t="shared" si="40"/>
        <v>42.418264462809923</v>
      </c>
      <c r="J468" s="5">
        <f t="shared" si="41"/>
        <v>201.9917355371901</v>
      </c>
      <c r="L468" s="5">
        <f t="shared" si="38"/>
        <v>0</v>
      </c>
      <c r="M468" s="8">
        <v>244.41</v>
      </c>
      <c r="N468" s="2" t="s">
        <v>21</v>
      </c>
      <c r="O468" s="3" t="s">
        <v>64</v>
      </c>
    </row>
    <row r="469" spans="1:15" x14ac:dyDescent="0.35">
      <c r="A469" s="4">
        <v>45428</v>
      </c>
      <c r="B469" s="2" t="s">
        <v>1923</v>
      </c>
      <c r="D469" s="2" t="s">
        <v>58</v>
      </c>
      <c r="E469" s="2" t="s">
        <v>1172</v>
      </c>
      <c r="F469" s="5" t="str">
        <f t="shared" si="37"/>
        <v>007-0005-546820 BRICOLAJE BRICOMAN SLU</v>
      </c>
      <c r="G469" s="12">
        <f t="shared" si="39"/>
        <v>101.65289256198348</v>
      </c>
      <c r="H469">
        <v>21</v>
      </c>
      <c r="I469" s="5">
        <f t="shared" si="40"/>
        <v>21.347107438016529</v>
      </c>
      <c r="J469" s="5">
        <f t="shared" si="41"/>
        <v>101.65289256198348</v>
      </c>
      <c r="L469" s="5">
        <f t="shared" si="38"/>
        <v>0</v>
      </c>
      <c r="M469" s="8">
        <v>123</v>
      </c>
      <c r="N469" s="2" t="s">
        <v>21</v>
      </c>
      <c r="O469" s="3" t="s">
        <v>64</v>
      </c>
    </row>
    <row r="470" spans="1:15" x14ac:dyDescent="0.35">
      <c r="A470" s="4">
        <v>45428</v>
      </c>
      <c r="B470" s="2" t="s">
        <v>1924</v>
      </c>
      <c r="D470" s="2" t="s">
        <v>58</v>
      </c>
      <c r="E470" s="2" t="s">
        <v>1172</v>
      </c>
      <c r="F470" s="5" t="str">
        <f t="shared" si="37"/>
        <v>007-0005-547628 BRICOLAJE BRICOMAN SLU</v>
      </c>
      <c r="G470" s="12">
        <f t="shared" si="39"/>
        <v>96.033057851239676</v>
      </c>
      <c r="H470">
        <v>21</v>
      </c>
      <c r="I470" s="5">
        <f t="shared" si="40"/>
        <v>20.166942148760331</v>
      </c>
      <c r="J470" s="5">
        <f t="shared" si="41"/>
        <v>96.033057851239676</v>
      </c>
      <c r="L470" s="5">
        <f t="shared" si="38"/>
        <v>0</v>
      </c>
      <c r="M470" s="8">
        <v>116.2</v>
      </c>
      <c r="N470" s="2" t="s">
        <v>21</v>
      </c>
      <c r="O470" s="3" t="s">
        <v>64</v>
      </c>
    </row>
    <row r="471" spans="1:15" x14ac:dyDescent="0.35">
      <c r="A471" s="4">
        <v>45427</v>
      </c>
      <c r="B471" s="2" t="s">
        <v>1925</v>
      </c>
      <c r="D471" s="2" t="s">
        <v>58</v>
      </c>
      <c r="E471" s="2" t="s">
        <v>1172</v>
      </c>
      <c r="F471" s="5" t="str">
        <f t="shared" si="37"/>
        <v>007-0005-546644 BRICOLAJE BRICOMAN SLU</v>
      </c>
      <c r="G471" s="12">
        <f t="shared" si="39"/>
        <v>226.14049586776861</v>
      </c>
      <c r="H471">
        <v>21</v>
      </c>
      <c r="I471" s="5">
        <f t="shared" si="40"/>
        <v>47.489504132231403</v>
      </c>
      <c r="J471" s="5">
        <f t="shared" si="41"/>
        <v>226.14049586776861</v>
      </c>
      <c r="L471" s="5">
        <f t="shared" si="38"/>
        <v>0</v>
      </c>
      <c r="M471" s="8">
        <v>273.63</v>
      </c>
      <c r="N471" s="2" t="s">
        <v>21</v>
      </c>
      <c r="O471" s="3" t="s">
        <v>64</v>
      </c>
    </row>
    <row r="472" spans="1:15" x14ac:dyDescent="0.35">
      <c r="A472" s="4">
        <v>45427</v>
      </c>
      <c r="B472" s="2" t="s">
        <v>1926</v>
      </c>
      <c r="D472" s="2" t="s">
        <v>58</v>
      </c>
      <c r="E472" s="2" t="s">
        <v>1172</v>
      </c>
      <c r="F472" s="5" t="str">
        <f t="shared" si="37"/>
        <v>007-0005-R070776 BRICOLAJE BRICOMAN SLU</v>
      </c>
      <c r="G472" s="12">
        <f t="shared" si="39"/>
        <v>-9.8760330578512399</v>
      </c>
      <c r="H472">
        <v>21</v>
      </c>
      <c r="I472" s="5">
        <f t="shared" si="40"/>
        <v>-2.0739669421487603</v>
      </c>
      <c r="J472" s="5">
        <f t="shared" si="41"/>
        <v>-9.8760330578512399</v>
      </c>
      <c r="L472" s="5">
        <f t="shared" si="38"/>
        <v>0</v>
      </c>
      <c r="M472" s="8">
        <v>-11.95</v>
      </c>
      <c r="N472" s="2" t="s">
        <v>21</v>
      </c>
      <c r="O472" s="3" t="s">
        <v>64</v>
      </c>
    </row>
    <row r="473" spans="1:15" x14ac:dyDescent="0.35">
      <c r="A473" s="4">
        <v>45427</v>
      </c>
      <c r="B473" s="2" t="s">
        <v>1927</v>
      </c>
      <c r="D473" s="2" t="s">
        <v>58</v>
      </c>
      <c r="E473" s="2" t="s">
        <v>1172</v>
      </c>
      <c r="F473" s="5" t="str">
        <f t="shared" si="37"/>
        <v>007-0005-546022 BRICOLAJE BRICOMAN SLU</v>
      </c>
      <c r="G473" s="12">
        <f t="shared" si="39"/>
        <v>5.7438016528925626</v>
      </c>
      <c r="H473">
        <v>21</v>
      </c>
      <c r="I473" s="5">
        <f t="shared" si="40"/>
        <v>1.2061983471074382</v>
      </c>
      <c r="J473" s="5">
        <f t="shared" si="41"/>
        <v>5.7438016528925626</v>
      </c>
      <c r="L473" s="5">
        <f t="shared" si="38"/>
        <v>0</v>
      </c>
      <c r="M473" s="8">
        <v>6.95</v>
      </c>
      <c r="N473" s="2" t="s">
        <v>21</v>
      </c>
      <c r="O473" s="3" t="s">
        <v>64</v>
      </c>
    </row>
    <row r="474" spans="1:15" x14ac:dyDescent="0.35">
      <c r="A474" s="4">
        <v>45427</v>
      </c>
      <c r="B474" s="2" t="s">
        <v>1928</v>
      </c>
      <c r="D474" s="2" t="s">
        <v>58</v>
      </c>
      <c r="E474" s="2" t="s">
        <v>1172</v>
      </c>
      <c r="F474" s="5" t="str">
        <f t="shared" si="37"/>
        <v>007-0005-546009 BRICOLAJE BRICOMAN SLU</v>
      </c>
      <c r="G474" s="12">
        <f t="shared" si="39"/>
        <v>44.826446280991739</v>
      </c>
      <c r="H474">
        <v>21</v>
      </c>
      <c r="I474" s="5">
        <f t="shared" si="40"/>
        <v>9.4135537190082648</v>
      </c>
      <c r="J474" s="5">
        <f t="shared" si="41"/>
        <v>44.826446280991739</v>
      </c>
      <c r="L474" s="5">
        <f t="shared" si="38"/>
        <v>0</v>
      </c>
      <c r="M474" s="8">
        <v>54.24</v>
      </c>
      <c r="N474" s="2" t="s">
        <v>21</v>
      </c>
      <c r="O474" s="3" t="s">
        <v>64</v>
      </c>
    </row>
    <row r="475" spans="1:15" x14ac:dyDescent="0.35">
      <c r="A475" s="4">
        <v>45426</v>
      </c>
      <c r="B475" s="2" t="s">
        <v>1929</v>
      </c>
      <c r="D475" s="2" t="s">
        <v>58</v>
      </c>
      <c r="E475" s="2" t="s">
        <v>1172</v>
      </c>
      <c r="F475" s="5" t="str">
        <f t="shared" si="37"/>
        <v>004-0005-452697 BRICOLAJE BRICOMAN SLU</v>
      </c>
      <c r="G475" s="12">
        <f t="shared" si="39"/>
        <v>22.727272727272727</v>
      </c>
      <c r="H475">
        <v>21</v>
      </c>
      <c r="I475" s="5">
        <f t="shared" si="40"/>
        <v>4.7727272727272725</v>
      </c>
      <c r="J475" s="5">
        <f t="shared" si="41"/>
        <v>22.727272727272727</v>
      </c>
      <c r="L475" s="5">
        <f t="shared" si="38"/>
        <v>0</v>
      </c>
      <c r="M475" s="8">
        <v>27.5</v>
      </c>
      <c r="N475" s="2" t="s">
        <v>21</v>
      </c>
      <c r="O475" s="3" t="s">
        <v>64</v>
      </c>
    </row>
    <row r="476" spans="1:15" x14ac:dyDescent="0.35">
      <c r="A476" s="4">
        <v>45426</v>
      </c>
      <c r="B476" s="2" t="s">
        <v>1930</v>
      </c>
      <c r="D476" s="2" t="s">
        <v>58</v>
      </c>
      <c r="E476" s="2" t="s">
        <v>1172</v>
      </c>
      <c r="F476" s="5" t="str">
        <f t="shared" si="37"/>
        <v>007-0005-544064 BRICOLAJE BRICOMAN SLU</v>
      </c>
      <c r="G476" s="12">
        <f t="shared" si="39"/>
        <v>70.826446280991746</v>
      </c>
      <c r="H476">
        <v>21</v>
      </c>
      <c r="I476" s="5">
        <f t="shared" si="40"/>
        <v>14.873553719008266</v>
      </c>
      <c r="J476" s="5">
        <f t="shared" si="41"/>
        <v>70.826446280991746</v>
      </c>
      <c r="L476" s="5">
        <f t="shared" si="38"/>
        <v>0</v>
      </c>
      <c r="M476" s="8">
        <v>85.7</v>
      </c>
      <c r="N476" s="2" t="s">
        <v>21</v>
      </c>
      <c r="O476" s="3" t="s">
        <v>64</v>
      </c>
    </row>
    <row r="477" spans="1:15" x14ac:dyDescent="0.35">
      <c r="A477" s="4">
        <v>45426</v>
      </c>
      <c r="B477" s="2" t="s">
        <v>1931</v>
      </c>
      <c r="D477" s="2" t="s">
        <v>58</v>
      </c>
      <c r="E477" s="2" t="s">
        <v>1172</v>
      </c>
      <c r="F477" s="5" t="str">
        <f t="shared" si="37"/>
        <v>004-0005-452596 BRICOLAJE BRICOMAN SLU</v>
      </c>
      <c r="G477" s="12">
        <f t="shared" si="39"/>
        <v>21.446280991735538</v>
      </c>
      <c r="H477">
        <v>21</v>
      </c>
      <c r="I477" s="5">
        <f t="shared" si="40"/>
        <v>4.5037190082644631</v>
      </c>
      <c r="J477" s="5">
        <f t="shared" si="41"/>
        <v>21.446280991735538</v>
      </c>
      <c r="L477" s="5">
        <f t="shared" si="38"/>
        <v>0</v>
      </c>
      <c r="M477" s="8">
        <v>25.95</v>
      </c>
      <c r="N477" s="2" t="s">
        <v>21</v>
      </c>
      <c r="O477" s="3" t="s">
        <v>64</v>
      </c>
    </row>
    <row r="478" spans="1:15" x14ac:dyDescent="0.35">
      <c r="A478" s="4">
        <v>45425</v>
      </c>
      <c r="B478" s="2" t="s">
        <v>1932</v>
      </c>
      <c r="D478" s="2" t="s">
        <v>58</v>
      </c>
      <c r="E478" s="2" t="s">
        <v>1172</v>
      </c>
      <c r="F478" s="5" t="str">
        <f t="shared" si="37"/>
        <v>007-0005-542697 BRICOLAJE BRICOMAN SLU</v>
      </c>
      <c r="G478" s="12">
        <f t="shared" si="39"/>
        <v>435.80165289256206</v>
      </c>
      <c r="H478">
        <v>21</v>
      </c>
      <c r="I478" s="5">
        <f t="shared" si="40"/>
        <v>91.518347107438046</v>
      </c>
      <c r="J478" s="5">
        <f t="shared" si="41"/>
        <v>435.80165289256206</v>
      </c>
      <c r="L478" s="5">
        <f t="shared" si="38"/>
        <v>0</v>
      </c>
      <c r="M478" s="8">
        <v>527.32000000000005</v>
      </c>
      <c r="N478" s="2" t="s">
        <v>21</v>
      </c>
      <c r="O478" s="3" t="s">
        <v>64</v>
      </c>
    </row>
    <row r="479" spans="1:15" x14ac:dyDescent="0.35">
      <c r="A479" s="4">
        <v>45434</v>
      </c>
      <c r="B479" s="2" t="s">
        <v>1933</v>
      </c>
      <c r="D479" s="2" t="s">
        <v>58</v>
      </c>
      <c r="E479" s="2" t="s">
        <v>1172</v>
      </c>
      <c r="F479" s="5" t="str">
        <f t="shared" si="37"/>
        <v>011-0005-900224 BRICOLAJE BRICOMAN SLU</v>
      </c>
      <c r="G479" s="12">
        <f t="shared" si="39"/>
        <v>104.84297520661157</v>
      </c>
      <c r="H479">
        <v>21</v>
      </c>
      <c r="I479" s="5">
        <f t="shared" si="40"/>
        <v>22.017024793388426</v>
      </c>
      <c r="J479" s="5">
        <f t="shared" si="41"/>
        <v>104.84297520661157</v>
      </c>
      <c r="L479" s="5">
        <f t="shared" si="38"/>
        <v>0</v>
      </c>
      <c r="M479" s="8">
        <v>126.86</v>
      </c>
      <c r="N479" s="2" t="s">
        <v>21</v>
      </c>
      <c r="O479" s="3" t="s">
        <v>64</v>
      </c>
    </row>
    <row r="480" spans="1:15" x14ac:dyDescent="0.35">
      <c r="A480" s="4">
        <v>45434</v>
      </c>
      <c r="B480" s="2" t="s">
        <v>1934</v>
      </c>
      <c r="D480" s="2" t="s">
        <v>58</v>
      </c>
      <c r="E480" s="2" t="s">
        <v>1172</v>
      </c>
      <c r="F480" s="5" t="str">
        <f t="shared" si="37"/>
        <v>011-0005-R006588 BRICOLAJE BRICOMAN SLU</v>
      </c>
      <c r="G480" s="12">
        <f t="shared" si="39"/>
        <v>-16.528925619834713</v>
      </c>
      <c r="H480">
        <v>21</v>
      </c>
      <c r="I480" s="5">
        <f t="shared" si="40"/>
        <v>-3.4710743801652897</v>
      </c>
      <c r="J480" s="5">
        <f t="shared" si="41"/>
        <v>-16.528925619834713</v>
      </c>
      <c r="L480" s="5">
        <f t="shared" si="38"/>
        <v>0</v>
      </c>
      <c r="M480" s="8">
        <v>-20</v>
      </c>
      <c r="N480" s="2" t="s">
        <v>21</v>
      </c>
      <c r="O480" s="3" t="s">
        <v>64</v>
      </c>
    </row>
    <row r="481" spans="1:15" x14ac:dyDescent="0.35">
      <c r="A481" s="4">
        <v>45434</v>
      </c>
      <c r="B481" s="2" t="s">
        <v>1935</v>
      </c>
      <c r="D481" s="2" t="s">
        <v>58</v>
      </c>
      <c r="E481" s="2" t="s">
        <v>1172</v>
      </c>
      <c r="F481" s="5" t="str">
        <f t="shared" si="37"/>
        <v>011-0005-900789 BRICOLAJE BRICOMAN SLU</v>
      </c>
      <c r="G481" s="12">
        <f t="shared" si="39"/>
        <v>57.107438016528924</v>
      </c>
      <c r="H481">
        <v>21</v>
      </c>
      <c r="I481" s="5">
        <f t="shared" si="40"/>
        <v>11.992561983471074</v>
      </c>
      <c r="J481" s="5">
        <f t="shared" si="41"/>
        <v>57.107438016528924</v>
      </c>
      <c r="L481" s="5">
        <f t="shared" si="38"/>
        <v>0</v>
      </c>
      <c r="M481" s="8">
        <v>69.099999999999994</v>
      </c>
      <c r="N481" s="2" t="s">
        <v>21</v>
      </c>
      <c r="O481" s="3" t="s">
        <v>64</v>
      </c>
    </row>
    <row r="482" spans="1:15" x14ac:dyDescent="0.35">
      <c r="A482" s="4">
        <v>45434</v>
      </c>
      <c r="B482" s="2" t="s">
        <v>1936</v>
      </c>
      <c r="D482" s="2" t="s">
        <v>58</v>
      </c>
      <c r="E482" s="2" t="s">
        <v>1172</v>
      </c>
      <c r="F482" s="5" t="str">
        <f t="shared" si="37"/>
        <v>011-0005-900718 BRICOLAJE BRICOMAN SLU</v>
      </c>
      <c r="G482" s="12">
        <f t="shared" si="39"/>
        <v>15.644628099173554</v>
      </c>
      <c r="H482">
        <v>21</v>
      </c>
      <c r="I482" s="5">
        <f t="shared" si="40"/>
        <v>3.2853719008264464</v>
      </c>
      <c r="J482" s="5">
        <f t="shared" si="41"/>
        <v>15.644628099173554</v>
      </c>
      <c r="L482" s="5">
        <f t="shared" si="38"/>
        <v>0</v>
      </c>
      <c r="M482" s="8">
        <v>18.93</v>
      </c>
      <c r="N482" s="2" t="s">
        <v>21</v>
      </c>
      <c r="O482" s="3" t="s">
        <v>64</v>
      </c>
    </row>
    <row r="483" spans="1:15" x14ac:dyDescent="0.35">
      <c r="A483" s="4">
        <v>45439</v>
      </c>
      <c r="B483" s="2" t="s">
        <v>1937</v>
      </c>
      <c r="D483" s="2" t="s">
        <v>58</v>
      </c>
      <c r="E483" s="2" t="s">
        <v>1172</v>
      </c>
      <c r="F483" s="5" t="str">
        <f t="shared" si="37"/>
        <v>007-0005-563256 BRICOLAJE BRICOMAN SLU</v>
      </c>
      <c r="G483" s="12">
        <f t="shared" si="39"/>
        <v>63.603305785123965</v>
      </c>
      <c r="H483">
        <v>21</v>
      </c>
      <c r="I483" s="5">
        <f t="shared" si="40"/>
        <v>13.356694214876034</v>
      </c>
      <c r="J483" s="5">
        <f t="shared" si="41"/>
        <v>63.603305785123965</v>
      </c>
      <c r="L483" s="5">
        <f t="shared" si="38"/>
        <v>0</v>
      </c>
      <c r="M483" s="8">
        <v>76.959999999999994</v>
      </c>
      <c r="N483" s="2" t="s">
        <v>21</v>
      </c>
      <c r="O483" s="3" t="s">
        <v>64</v>
      </c>
    </row>
    <row r="484" spans="1:15" x14ac:dyDescent="0.35">
      <c r="A484" s="4">
        <v>45439</v>
      </c>
      <c r="B484" s="2" t="s">
        <v>1938</v>
      </c>
      <c r="D484" s="2" t="s">
        <v>58</v>
      </c>
      <c r="E484" s="2" t="s">
        <v>1172</v>
      </c>
      <c r="F484" s="5" t="str">
        <f t="shared" si="37"/>
        <v>011-0005-909275 BRICOLAJE BRICOMAN SLU</v>
      </c>
      <c r="G484" s="12">
        <f t="shared" si="39"/>
        <v>153.87603305785123</v>
      </c>
      <c r="H484">
        <v>21</v>
      </c>
      <c r="I484" s="5">
        <f t="shared" si="40"/>
        <v>32.31396694214876</v>
      </c>
      <c r="J484" s="5">
        <f t="shared" si="41"/>
        <v>153.87603305785123</v>
      </c>
      <c r="L484" s="5">
        <f t="shared" si="38"/>
        <v>0</v>
      </c>
      <c r="M484" s="8">
        <v>186.19</v>
      </c>
      <c r="N484" s="2" t="s">
        <v>21</v>
      </c>
      <c r="O484" s="3" t="s">
        <v>64</v>
      </c>
    </row>
    <row r="485" spans="1:15" x14ac:dyDescent="0.35">
      <c r="A485" s="4">
        <v>45439</v>
      </c>
      <c r="B485" s="2" t="s">
        <v>1939</v>
      </c>
      <c r="D485" s="2" t="s">
        <v>58</v>
      </c>
      <c r="E485" s="2" t="s">
        <v>1172</v>
      </c>
      <c r="F485" s="5" t="str">
        <f t="shared" si="37"/>
        <v>007-0005-563329 BRICOLAJE BRICOMAN SLU</v>
      </c>
      <c r="G485" s="12">
        <f t="shared" si="39"/>
        <v>121.73553719008265</v>
      </c>
      <c r="H485">
        <v>21</v>
      </c>
      <c r="I485" s="5">
        <f t="shared" si="40"/>
        <v>25.564462809917359</v>
      </c>
      <c r="J485" s="5">
        <f t="shared" si="41"/>
        <v>121.73553719008265</v>
      </c>
      <c r="L485" s="5">
        <f t="shared" si="38"/>
        <v>0</v>
      </c>
      <c r="M485" s="8">
        <v>147.30000000000001</v>
      </c>
      <c r="N485" s="2" t="s">
        <v>21</v>
      </c>
      <c r="O485" s="3" t="s">
        <v>64</v>
      </c>
    </row>
    <row r="486" spans="1:15" x14ac:dyDescent="0.35">
      <c r="A486" s="4">
        <v>45439</v>
      </c>
      <c r="B486" s="2" t="s">
        <v>1940</v>
      </c>
      <c r="D486" s="2" t="s">
        <v>58</v>
      </c>
      <c r="E486" s="2" t="s">
        <v>1172</v>
      </c>
      <c r="F486" s="5" t="str">
        <f t="shared" si="37"/>
        <v>011-0005-R007343 BRICOLAJE BRICOMAN SLU</v>
      </c>
      <c r="G486" s="12">
        <f t="shared" si="39"/>
        <v>-28.760330578512395</v>
      </c>
      <c r="H486">
        <v>21</v>
      </c>
      <c r="I486" s="5">
        <f t="shared" si="40"/>
        <v>-6.039669421487603</v>
      </c>
      <c r="J486" s="5">
        <f t="shared" si="41"/>
        <v>-28.760330578512395</v>
      </c>
      <c r="L486" s="5">
        <f t="shared" si="38"/>
        <v>0</v>
      </c>
      <c r="M486" s="8">
        <v>-34.799999999999997</v>
      </c>
      <c r="N486" s="2" t="s">
        <v>21</v>
      </c>
      <c r="O486" s="3" t="s">
        <v>64</v>
      </c>
    </row>
    <row r="487" spans="1:15" x14ac:dyDescent="0.35">
      <c r="A487" s="4">
        <v>45440</v>
      </c>
      <c r="B487" s="2" t="s">
        <v>1941</v>
      </c>
      <c r="D487" s="2" t="s">
        <v>58</v>
      </c>
      <c r="E487" s="2" t="s">
        <v>1172</v>
      </c>
      <c r="F487" s="5" t="str">
        <f t="shared" si="37"/>
        <v>007-0005-565099 BRICOLAJE BRICOMAN SLU</v>
      </c>
      <c r="G487" s="12">
        <f t="shared" si="39"/>
        <v>24.388429752066116</v>
      </c>
      <c r="H487">
        <v>21</v>
      </c>
      <c r="I487" s="5">
        <f t="shared" si="40"/>
        <v>5.1215702479338852</v>
      </c>
      <c r="J487" s="5">
        <f t="shared" si="41"/>
        <v>24.388429752066116</v>
      </c>
      <c r="L487" s="5">
        <f t="shared" si="38"/>
        <v>0</v>
      </c>
      <c r="M487" s="8">
        <v>29.51</v>
      </c>
      <c r="N487" s="2" t="s">
        <v>21</v>
      </c>
      <c r="O487" s="3" t="s">
        <v>64</v>
      </c>
    </row>
    <row r="488" spans="1:15" x14ac:dyDescent="0.35">
      <c r="A488" s="4">
        <v>45440</v>
      </c>
      <c r="B488" s="2" t="s">
        <v>1942</v>
      </c>
      <c r="D488" s="2" t="s">
        <v>58</v>
      </c>
      <c r="E488" s="2" t="s">
        <v>1172</v>
      </c>
      <c r="F488" s="5" t="str">
        <f t="shared" si="37"/>
        <v>011-0005-911415 BRICOLAJE BRICOMAN SLU</v>
      </c>
      <c r="G488" s="12">
        <f t="shared" si="39"/>
        <v>13.347107438016527</v>
      </c>
      <c r="H488">
        <v>21</v>
      </c>
      <c r="I488" s="5">
        <f t="shared" si="40"/>
        <v>2.8028925619834708</v>
      </c>
      <c r="J488" s="5">
        <f t="shared" si="41"/>
        <v>13.347107438016527</v>
      </c>
      <c r="L488" s="5">
        <f t="shared" si="38"/>
        <v>0</v>
      </c>
      <c r="M488" s="8">
        <v>16.149999999999999</v>
      </c>
      <c r="N488" s="2" t="s">
        <v>21</v>
      </c>
      <c r="O488" s="3" t="s">
        <v>64</v>
      </c>
    </row>
    <row r="489" spans="1:15" x14ac:dyDescent="0.35">
      <c r="A489" s="4">
        <v>45441</v>
      </c>
      <c r="B489" s="2" t="s">
        <v>1943</v>
      </c>
      <c r="D489" s="2" t="s">
        <v>58</v>
      </c>
      <c r="E489" s="2" t="s">
        <v>1172</v>
      </c>
      <c r="F489" s="5" t="str">
        <f t="shared" si="37"/>
        <v>007-0005-567398 BRICOLAJE BRICOMAN SLU</v>
      </c>
      <c r="G489" s="12">
        <f t="shared" si="39"/>
        <v>126.05785123966943</v>
      </c>
      <c r="H489">
        <v>21</v>
      </c>
      <c r="I489" s="5">
        <f t="shared" si="40"/>
        <v>26.47214876033058</v>
      </c>
      <c r="J489" s="5">
        <f t="shared" si="41"/>
        <v>126.05785123966943</v>
      </c>
      <c r="L489" s="5">
        <f t="shared" si="38"/>
        <v>0</v>
      </c>
      <c r="M489" s="8">
        <v>152.53</v>
      </c>
      <c r="N489" s="2" t="s">
        <v>21</v>
      </c>
      <c r="O489" s="3" t="s">
        <v>64</v>
      </c>
    </row>
    <row r="490" spans="1:15" x14ac:dyDescent="0.35">
      <c r="A490" s="4">
        <v>45446</v>
      </c>
      <c r="B490" s="2" t="s">
        <v>1944</v>
      </c>
      <c r="D490" s="2" t="s">
        <v>58</v>
      </c>
      <c r="E490" s="2" t="s">
        <v>1172</v>
      </c>
      <c r="F490" s="5" t="str">
        <f t="shared" si="37"/>
        <v>007-0006-574158 BRICOLAJE BRICOMAN SLU</v>
      </c>
      <c r="G490" s="12">
        <f t="shared" si="39"/>
        <v>127.45454545454545</v>
      </c>
      <c r="H490">
        <v>21</v>
      </c>
      <c r="I490" s="5">
        <f t="shared" si="40"/>
        <v>26.765454545454546</v>
      </c>
      <c r="J490" s="5">
        <f t="shared" si="41"/>
        <v>127.45454545454545</v>
      </c>
      <c r="L490" s="5">
        <f t="shared" si="38"/>
        <v>0</v>
      </c>
      <c r="M490" s="8">
        <v>154.22</v>
      </c>
      <c r="N490" s="2" t="s">
        <v>21</v>
      </c>
      <c r="O490" s="3" t="s">
        <v>64</v>
      </c>
    </row>
    <row r="491" spans="1:15" x14ac:dyDescent="0.35">
      <c r="A491" s="4">
        <v>45441</v>
      </c>
      <c r="B491" s="2" t="s">
        <v>1945</v>
      </c>
      <c r="D491" s="2" t="s">
        <v>58</v>
      </c>
      <c r="E491" s="2" t="s">
        <v>1172</v>
      </c>
      <c r="F491" s="5" t="str">
        <f t="shared" si="37"/>
        <v>007-0005-567695 BRICOLAJE BRICOMAN SLU</v>
      </c>
      <c r="G491" s="12">
        <f t="shared" si="39"/>
        <v>29.75206611570248</v>
      </c>
      <c r="H491">
        <v>21</v>
      </c>
      <c r="I491" s="5">
        <f t="shared" si="40"/>
        <v>6.2479338842975212</v>
      </c>
      <c r="J491" s="5">
        <f t="shared" si="41"/>
        <v>29.75206611570248</v>
      </c>
      <c r="L491" s="5">
        <f t="shared" si="38"/>
        <v>0</v>
      </c>
      <c r="M491" s="8">
        <v>36</v>
      </c>
      <c r="N491" s="2" t="s">
        <v>21</v>
      </c>
      <c r="O491" s="3" t="s">
        <v>64</v>
      </c>
    </row>
    <row r="492" spans="1:15" x14ac:dyDescent="0.35">
      <c r="A492" s="4">
        <v>45443</v>
      </c>
      <c r="B492" s="2" t="s">
        <v>1946</v>
      </c>
      <c r="D492" s="2" t="s">
        <v>58</v>
      </c>
      <c r="E492" s="2" t="s">
        <v>1172</v>
      </c>
      <c r="F492" s="5" t="str">
        <f t="shared" si="37"/>
        <v>007-0005-570866 BRICOLAJE BRICOMAN SLU</v>
      </c>
      <c r="G492" s="12">
        <f t="shared" si="39"/>
        <v>28.47933884297521</v>
      </c>
      <c r="H492">
        <v>21</v>
      </c>
      <c r="I492" s="5">
        <f t="shared" si="40"/>
        <v>5.9806611570247945</v>
      </c>
      <c r="J492" s="5">
        <f t="shared" si="41"/>
        <v>28.47933884297521</v>
      </c>
      <c r="L492" s="5">
        <f t="shared" si="38"/>
        <v>0</v>
      </c>
      <c r="M492" s="8">
        <v>34.46</v>
      </c>
      <c r="N492" s="2" t="s">
        <v>21</v>
      </c>
      <c r="O492" s="3" t="s">
        <v>64</v>
      </c>
    </row>
    <row r="493" spans="1:15" x14ac:dyDescent="0.35">
      <c r="A493" s="4">
        <v>45442</v>
      </c>
      <c r="B493" s="2" t="s">
        <v>1947</v>
      </c>
      <c r="D493" s="2" t="s">
        <v>58</v>
      </c>
      <c r="E493" s="2" t="s">
        <v>1172</v>
      </c>
      <c r="F493" s="5" t="str">
        <f t="shared" si="37"/>
        <v>007-0005-569516 BRICOLAJE BRICOMAN SLU</v>
      </c>
      <c r="G493" s="12">
        <f t="shared" si="39"/>
        <v>29.462809917355372</v>
      </c>
      <c r="H493">
        <v>21</v>
      </c>
      <c r="I493" s="5">
        <f t="shared" si="40"/>
        <v>6.1871900826446282</v>
      </c>
      <c r="J493" s="5">
        <f t="shared" si="41"/>
        <v>29.462809917355372</v>
      </c>
      <c r="L493" s="5">
        <f t="shared" si="38"/>
        <v>0</v>
      </c>
      <c r="M493" s="8">
        <v>35.65</v>
      </c>
      <c r="N493" s="2" t="s">
        <v>21</v>
      </c>
      <c r="O493" s="3" t="s">
        <v>64</v>
      </c>
    </row>
    <row r="494" spans="1:15" x14ac:dyDescent="0.35">
      <c r="A494" s="4">
        <v>45442</v>
      </c>
      <c r="B494" s="2" t="s">
        <v>1948</v>
      </c>
      <c r="D494" s="2" t="s">
        <v>58</v>
      </c>
      <c r="E494" s="2" t="s">
        <v>1172</v>
      </c>
      <c r="F494" s="5" t="str">
        <f t="shared" si="37"/>
        <v>007-0005-569500 BRICOLAJE BRICOMAN SLU</v>
      </c>
      <c r="G494" s="12">
        <f t="shared" si="39"/>
        <v>145.3305785123967</v>
      </c>
      <c r="H494">
        <v>21</v>
      </c>
      <c r="I494" s="5">
        <f t="shared" si="40"/>
        <v>30.51942148760331</v>
      </c>
      <c r="J494" s="5">
        <f t="shared" si="41"/>
        <v>145.3305785123967</v>
      </c>
      <c r="L494" s="5">
        <f t="shared" si="38"/>
        <v>0</v>
      </c>
      <c r="M494" s="8">
        <v>175.85</v>
      </c>
      <c r="N494" s="2" t="s">
        <v>21</v>
      </c>
      <c r="O494" s="3" t="s">
        <v>64</v>
      </c>
    </row>
    <row r="495" spans="1:15" x14ac:dyDescent="0.35">
      <c r="A495" s="4">
        <v>45442</v>
      </c>
      <c r="B495" s="2" t="s">
        <v>1949</v>
      </c>
      <c r="D495" s="2" t="s">
        <v>58</v>
      </c>
      <c r="E495" s="2" t="s">
        <v>1172</v>
      </c>
      <c r="F495" s="5" t="str">
        <f t="shared" si="37"/>
        <v>011-0005-916099 BRICOLAJE BRICOMAN SLU</v>
      </c>
      <c r="G495" s="12">
        <f t="shared" si="39"/>
        <v>38.148760330578511</v>
      </c>
      <c r="H495">
        <v>21</v>
      </c>
      <c r="I495" s="5">
        <f t="shared" si="40"/>
        <v>8.0112396694214869</v>
      </c>
      <c r="J495" s="5">
        <f t="shared" si="41"/>
        <v>38.148760330578511</v>
      </c>
      <c r="L495" s="5">
        <f t="shared" si="38"/>
        <v>0</v>
      </c>
      <c r="M495" s="8">
        <v>46.16</v>
      </c>
      <c r="N495" s="2" t="s">
        <v>21</v>
      </c>
      <c r="O495" s="3" t="s">
        <v>64</v>
      </c>
    </row>
    <row r="496" spans="1:15" x14ac:dyDescent="0.35">
      <c r="A496" s="4">
        <v>45442</v>
      </c>
      <c r="B496" s="2" t="s">
        <v>1950</v>
      </c>
      <c r="D496" s="2" t="s">
        <v>58</v>
      </c>
      <c r="E496" s="2" t="s">
        <v>1172</v>
      </c>
      <c r="F496" s="5" t="str">
        <f t="shared" si="37"/>
        <v>011-0005-915995 BRICOLAJE BRICOMAN SLU</v>
      </c>
      <c r="G496" s="12">
        <f t="shared" si="39"/>
        <v>28.677685950413228</v>
      </c>
      <c r="H496">
        <v>21</v>
      </c>
      <c r="I496" s="5">
        <f t="shared" si="40"/>
        <v>6.022314049586778</v>
      </c>
      <c r="J496" s="5">
        <f t="shared" si="41"/>
        <v>28.677685950413228</v>
      </c>
      <c r="L496" s="5">
        <f t="shared" si="38"/>
        <v>0</v>
      </c>
      <c r="M496" s="8">
        <v>34.700000000000003</v>
      </c>
      <c r="N496" s="2" t="s">
        <v>21</v>
      </c>
      <c r="O496" s="3" t="s">
        <v>64</v>
      </c>
    </row>
    <row r="497" spans="1:15" x14ac:dyDescent="0.35">
      <c r="A497" s="4">
        <v>45443</v>
      </c>
      <c r="B497" s="2" t="s">
        <v>1951</v>
      </c>
      <c r="D497" s="2" t="s">
        <v>58</v>
      </c>
      <c r="E497" s="2" t="s">
        <v>1172</v>
      </c>
      <c r="F497" s="5" t="str">
        <f t="shared" si="37"/>
        <v>018-0005-409204 BRICOLAJE BRICOMAN SLU</v>
      </c>
      <c r="G497" s="12">
        <f t="shared" si="39"/>
        <v>25.512396694214878</v>
      </c>
      <c r="H497">
        <v>21</v>
      </c>
      <c r="I497" s="5">
        <f t="shared" si="40"/>
        <v>5.3576033057851244</v>
      </c>
      <c r="J497" s="5">
        <f t="shared" si="41"/>
        <v>25.512396694214878</v>
      </c>
      <c r="L497" s="5">
        <f t="shared" si="38"/>
        <v>0</v>
      </c>
      <c r="M497" s="8">
        <v>30.87</v>
      </c>
      <c r="N497" s="2" t="s">
        <v>21</v>
      </c>
      <c r="O497" s="3" t="s">
        <v>64</v>
      </c>
    </row>
    <row r="498" spans="1:15" x14ac:dyDescent="0.35">
      <c r="A498" s="4">
        <v>45448</v>
      </c>
      <c r="B498" s="2" t="s">
        <v>1952</v>
      </c>
      <c r="D498" s="2" t="s">
        <v>58</v>
      </c>
      <c r="E498" s="2" t="s">
        <v>1172</v>
      </c>
      <c r="F498" s="5" t="str">
        <f t="shared" si="37"/>
        <v>011-0006-926668 BRICOLAJE BRICOMAN SLU</v>
      </c>
      <c r="G498" s="12">
        <f t="shared" si="39"/>
        <v>138.099173553719</v>
      </c>
      <c r="H498">
        <v>21</v>
      </c>
      <c r="I498" s="5">
        <f t="shared" si="40"/>
        <v>29.000826446280989</v>
      </c>
      <c r="J498" s="5">
        <f t="shared" si="41"/>
        <v>138.099173553719</v>
      </c>
      <c r="L498" s="5">
        <f t="shared" si="38"/>
        <v>0</v>
      </c>
      <c r="M498" s="8">
        <v>167.1</v>
      </c>
      <c r="N498" s="2" t="s">
        <v>21</v>
      </c>
      <c r="O498" s="3" t="s">
        <v>64</v>
      </c>
    </row>
    <row r="499" spans="1:15" x14ac:dyDescent="0.35">
      <c r="A499" s="4">
        <v>45447</v>
      </c>
      <c r="B499" s="2" t="s">
        <v>1953</v>
      </c>
      <c r="D499" s="2" t="s">
        <v>58</v>
      </c>
      <c r="E499" s="2" t="s">
        <v>1172</v>
      </c>
      <c r="F499" s="5" t="str">
        <f t="shared" si="37"/>
        <v>007-0006-575903 BRICOLAJE BRICOMAN SLU</v>
      </c>
      <c r="G499" s="12">
        <f t="shared" si="39"/>
        <v>510.17355371900823</v>
      </c>
      <c r="H499">
        <v>21</v>
      </c>
      <c r="I499" s="5">
        <f t="shared" si="40"/>
        <v>107.13644628099173</v>
      </c>
      <c r="J499" s="5">
        <f t="shared" si="41"/>
        <v>510.17355371900823</v>
      </c>
      <c r="L499" s="5">
        <f t="shared" si="38"/>
        <v>0</v>
      </c>
      <c r="M499" s="8">
        <v>617.30999999999995</v>
      </c>
      <c r="N499" s="2" t="s">
        <v>21</v>
      </c>
      <c r="O499" s="3" t="s">
        <v>64</v>
      </c>
    </row>
    <row r="500" spans="1:15" x14ac:dyDescent="0.35">
      <c r="A500" s="4">
        <v>45454</v>
      </c>
      <c r="B500" s="2" t="s">
        <v>1954</v>
      </c>
      <c r="D500" s="2" t="s">
        <v>58</v>
      </c>
      <c r="E500" s="2" t="s">
        <v>1172</v>
      </c>
      <c r="F500" s="5" t="str">
        <f t="shared" si="37"/>
        <v>007-0006-586581 BRICOLAJE BRICOMAN SLU</v>
      </c>
      <c r="G500" s="12">
        <f t="shared" si="39"/>
        <v>202.97520661157026</v>
      </c>
      <c r="H500">
        <v>21</v>
      </c>
      <c r="I500" s="5">
        <f t="shared" si="40"/>
        <v>42.624793388429751</v>
      </c>
      <c r="J500" s="5">
        <f t="shared" si="41"/>
        <v>202.97520661157026</v>
      </c>
      <c r="L500" s="5">
        <f t="shared" si="38"/>
        <v>0</v>
      </c>
      <c r="M500" s="8">
        <v>245.6</v>
      </c>
      <c r="N500" s="2" t="s">
        <v>21</v>
      </c>
      <c r="O500" s="3" t="s">
        <v>64</v>
      </c>
    </row>
    <row r="501" spans="1:15" x14ac:dyDescent="0.35">
      <c r="A501" s="4">
        <v>45454</v>
      </c>
      <c r="B501" s="2" t="s">
        <v>1955</v>
      </c>
      <c r="D501" s="2" t="s">
        <v>58</v>
      </c>
      <c r="E501" s="2" t="s">
        <v>1172</v>
      </c>
      <c r="F501" s="5" t="str">
        <f t="shared" si="37"/>
        <v>007-0006-R074425 BRICOLAJE BRICOMAN SLU</v>
      </c>
      <c r="G501" s="12">
        <f t="shared" si="39"/>
        <v>-114.04958677685951</v>
      </c>
      <c r="H501">
        <v>21</v>
      </c>
      <c r="I501" s="5">
        <f t="shared" si="40"/>
        <v>-23.950413223140501</v>
      </c>
      <c r="J501" s="5">
        <f t="shared" si="41"/>
        <v>-114.04958677685951</v>
      </c>
      <c r="L501" s="5">
        <f t="shared" si="38"/>
        <v>0</v>
      </c>
      <c r="M501" s="8">
        <v>-138</v>
      </c>
      <c r="N501" s="2" t="s">
        <v>21</v>
      </c>
      <c r="O501" s="3" t="s">
        <v>64</v>
      </c>
    </row>
    <row r="502" spans="1:15" x14ac:dyDescent="0.35">
      <c r="A502" s="4">
        <v>45456</v>
      </c>
      <c r="B502" s="2" t="s">
        <v>1956</v>
      </c>
      <c r="D502" s="2" t="s">
        <v>58</v>
      </c>
      <c r="E502" s="2" t="s">
        <v>1172</v>
      </c>
      <c r="F502" s="5" t="str">
        <f t="shared" si="37"/>
        <v>012-0006-049872 BRICOLAJE BRICOMAN SLU</v>
      </c>
      <c r="G502" s="12">
        <f t="shared" si="39"/>
        <v>125.2892561983471</v>
      </c>
      <c r="H502">
        <v>21</v>
      </c>
      <c r="I502" s="5">
        <f t="shared" si="40"/>
        <v>26.310743801652894</v>
      </c>
      <c r="J502" s="5">
        <f t="shared" si="41"/>
        <v>125.2892561983471</v>
      </c>
      <c r="L502" s="5">
        <f t="shared" si="38"/>
        <v>0</v>
      </c>
      <c r="M502" s="8">
        <v>151.6</v>
      </c>
      <c r="N502" s="2" t="s">
        <v>21</v>
      </c>
      <c r="O502" s="3" t="s">
        <v>64</v>
      </c>
    </row>
    <row r="503" spans="1:15" x14ac:dyDescent="0.35">
      <c r="A503" s="4">
        <v>45456</v>
      </c>
      <c r="B503" s="2" t="s">
        <v>1957</v>
      </c>
      <c r="D503" s="2" t="s">
        <v>58</v>
      </c>
      <c r="E503" s="2" t="s">
        <v>1172</v>
      </c>
      <c r="F503" s="5" t="str">
        <f t="shared" si="37"/>
        <v>007-0006-590871 BRICOLAJE BRICOMAN SLU</v>
      </c>
      <c r="G503" s="12">
        <f t="shared" si="39"/>
        <v>143.31404958677686</v>
      </c>
      <c r="H503">
        <v>21</v>
      </c>
      <c r="I503" s="5">
        <f t="shared" si="40"/>
        <v>30.095950413223139</v>
      </c>
      <c r="J503" s="5">
        <f t="shared" si="41"/>
        <v>143.31404958677686</v>
      </c>
      <c r="L503" s="5">
        <f t="shared" si="38"/>
        <v>0</v>
      </c>
      <c r="M503" s="8">
        <v>173.41</v>
      </c>
      <c r="N503" s="2" t="s">
        <v>21</v>
      </c>
      <c r="O503" s="3" t="s">
        <v>64</v>
      </c>
    </row>
    <row r="504" spans="1:15" x14ac:dyDescent="0.35">
      <c r="A504" s="4">
        <v>45454</v>
      </c>
      <c r="B504" s="2" t="s">
        <v>1958</v>
      </c>
      <c r="D504" s="2" t="s">
        <v>58</v>
      </c>
      <c r="E504" s="2" t="s">
        <v>1172</v>
      </c>
      <c r="F504" s="5" t="str">
        <f t="shared" si="37"/>
        <v>011-0006-937318 BRICOLAJE BRICOMAN SLU</v>
      </c>
      <c r="G504" s="12">
        <f t="shared" si="39"/>
        <v>29.132231404958677</v>
      </c>
      <c r="H504">
        <v>21</v>
      </c>
      <c r="I504" s="5">
        <f t="shared" si="40"/>
        <v>6.1177685950413219</v>
      </c>
      <c r="J504" s="5">
        <f t="shared" si="41"/>
        <v>29.132231404958677</v>
      </c>
      <c r="L504" s="5">
        <f t="shared" si="38"/>
        <v>0</v>
      </c>
      <c r="M504" s="8">
        <v>35.25</v>
      </c>
      <c r="N504" s="2" t="s">
        <v>21</v>
      </c>
      <c r="O504" s="3" t="s">
        <v>64</v>
      </c>
    </row>
    <row r="505" spans="1:15" x14ac:dyDescent="0.35">
      <c r="A505" s="4">
        <v>45429</v>
      </c>
      <c r="B505" s="2" t="s">
        <v>1959</v>
      </c>
      <c r="D505" s="2" t="s">
        <v>58</v>
      </c>
      <c r="E505" s="2" t="s">
        <v>1172</v>
      </c>
      <c r="F505" s="5" t="str">
        <f t="shared" si="37"/>
        <v>007-0005-549011 BRICOLAJE BRICOMAN SLU</v>
      </c>
      <c r="G505" s="12">
        <f t="shared" si="39"/>
        <v>94.628099173553721</v>
      </c>
      <c r="H505">
        <v>21</v>
      </c>
      <c r="I505" s="5">
        <f t="shared" si="40"/>
        <v>19.871900826446282</v>
      </c>
      <c r="J505" s="5">
        <f t="shared" si="41"/>
        <v>94.628099173553721</v>
      </c>
      <c r="L505" s="5">
        <f t="shared" si="38"/>
        <v>0</v>
      </c>
      <c r="M505" s="8">
        <v>114.5</v>
      </c>
      <c r="N505" s="2" t="s">
        <v>21</v>
      </c>
      <c r="O505" s="3" t="s">
        <v>64</v>
      </c>
    </row>
    <row r="506" spans="1:15" x14ac:dyDescent="0.35">
      <c r="A506" s="4">
        <v>45470</v>
      </c>
      <c r="B506" s="2" t="s">
        <v>1961</v>
      </c>
      <c r="D506" s="2" t="s">
        <v>145</v>
      </c>
      <c r="E506" s="2" t="s">
        <v>146</v>
      </c>
      <c r="F506" s="5" t="str">
        <f t="shared" si="37"/>
        <v>9 DAVID MARGIN</v>
      </c>
      <c r="G506" s="12">
        <f t="shared" si="39"/>
        <v>10000</v>
      </c>
      <c r="H506">
        <v>21</v>
      </c>
      <c r="I506" s="5">
        <f t="shared" si="40"/>
        <v>2100</v>
      </c>
      <c r="J506" s="5">
        <f t="shared" si="41"/>
        <v>10000</v>
      </c>
      <c r="L506" s="5">
        <f t="shared" si="38"/>
        <v>0</v>
      </c>
      <c r="M506" s="8">
        <v>12100</v>
      </c>
      <c r="N506" s="2" t="s">
        <v>37</v>
      </c>
      <c r="O506" s="3" t="s">
        <v>68</v>
      </c>
    </row>
    <row r="507" spans="1:15" x14ac:dyDescent="0.35">
      <c r="A507" s="4">
        <v>45471</v>
      </c>
      <c r="B507" s="2" t="s">
        <v>1962</v>
      </c>
      <c r="D507" s="2" t="s">
        <v>34</v>
      </c>
      <c r="E507" s="2" t="s">
        <v>1417</v>
      </c>
      <c r="F507" s="5" t="str">
        <f t="shared" si="37"/>
        <v>F242414 CONTAMAR</v>
      </c>
      <c r="G507" s="12">
        <f t="shared" si="39"/>
        <v>599.55371900826447</v>
      </c>
      <c r="H507">
        <v>21</v>
      </c>
      <c r="I507" s="5">
        <f t="shared" si="40"/>
        <v>125.90628099173553</v>
      </c>
      <c r="J507" s="5">
        <f t="shared" si="41"/>
        <v>599.55371900826447</v>
      </c>
      <c r="L507" s="5">
        <f t="shared" si="38"/>
        <v>0</v>
      </c>
      <c r="M507" s="8">
        <v>725.46</v>
      </c>
      <c r="N507" s="2" t="s">
        <v>55</v>
      </c>
      <c r="O507" s="3" t="s">
        <v>67</v>
      </c>
    </row>
    <row r="508" spans="1:15" x14ac:dyDescent="0.35">
      <c r="A508" s="4">
        <v>45426</v>
      </c>
      <c r="B508" s="2" t="s">
        <v>1963</v>
      </c>
      <c r="D508" s="2" t="s">
        <v>136</v>
      </c>
      <c r="E508" s="2" t="s">
        <v>1964</v>
      </c>
      <c r="F508" s="5" t="str">
        <f t="shared" ref="F508:F543" si="42">CONCATENATE(S508,B508," ",E508)</f>
        <v>5783-C ROD &amp; PLUS SYSTEM S.L.</v>
      </c>
      <c r="G508" s="12">
        <f t="shared" si="39"/>
        <v>172.25619834710744</v>
      </c>
      <c r="H508">
        <v>21</v>
      </c>
      <c r="I508" s="5">
        <f t="shared" si="40"/>
        <v>36.173801652892564</v>
      </c>
      <c r="J508" s="5">
        <f t="shared" si="41"/>
        <v>172.25619834710744</v>
      </c>
      <c r="L508" s="5">
        <f t="shared" si="38"/>
        <v>0</v>
      </c>
      <c r="M508" s="8">
        <v>208.43</v>
      </c>
      <c r="N508" s="2" t="s">
        <v>21</v>
      </c>
      <c r="O508" s="3" t="s">
        <v>64</v>
      </c>
    </row>
    <row r="509" spans="1:15" x14ac:dyDescent="0.35">
      <c r="A509" s="4">
        <v>45439</v>
      </c>
      <c r="B509" s="2" t="s">
        <v>1965</v>
      </c>
      <c r="D509" s="2" t="s">
        <v>132</v>
      </c>
      <c r="E509" s="2" t="s">
        <v>147</v>
      </c>
      <c r="F509" s="5" t="str">
        <f t="shared" si="42"/>
        <v>A/7289 AZULEJOS ROSA</v>
      </c>
      <c r="G509" s="12">
        <f t="shared" si="39"/>
        <v>66.942148760330582</v>
      </c>
      <c r="H509">
        <v>21</v>
      </c>
      <c r="I509" s="5">
        <f t="shared" si="40"/>
        <v>14.057851239669422</v>
      </c>
      <c r="J509" s="5">
        <f t="shared" si="41"/>
        <v>66.942148760330582</v>
      </c>
      <c r="L509" s="5">
        <f t="shared" si="38"/>
        <v>0</v>
      </c>
      <c r="M509" s="8">
        <v>81</v>
      </c>
      <c r="N509" s="2" t="s">
        <v>21</v>
      </c>
      <c r="O509" s="3" t="s">
        <v>64</v>
      </c>
    </row>
    <row r="510" spans="1:15" x14ac:dyDescent="0.35">
      <c r="A510" s="4">
        <v>45441</v>
      </c>
      <c r="B510" s="2" t="s">
        <v>1966</v>
      </c>
      <c r="D510" s="2" t="s">
        <v>57</v>
      </c>
      <c r="E510" s="2" t="s">
        <v>44</v>
      </c>
      <c r="F510" s="5" t="str">
        <f t="shared" si="42"/>
        <v>045-0005-R-660966 LEROY MERLIN</v>
      </c>
      <c r="G510" s="12">
        <f t="shared" si="39"/>
        <v>-64.016528925619838</v>
      </c>
      <c r="H510">
        <v>21</v>
      </c>
      <c r="I510" s="5">
        <f t="shared" si="40"/>
        <v>-13.443471074380165</v>
      </c>
      <c r="J510" s="5">
        <f t="shared" si="41"/>
        <v>-64.016528925619838</v>
      </c>
      <c r="L510" s="5">
        <f t="shared" si="38"/>
        <v>0</v>
      </c>
      <c r="M510" s="8">
        <v>-77.459999999999994</v>
      </c>
      <c r="N510" s="2" t="s">
        <v>21</v>
      </c>
      <c r="O510" s="3" t="s">
        <v>64</v>
      </c>
    </row>
    <row r="511" spans="1:15" x14ac:dyDescent="0.35">
      <c r="A511" s="4">
        <v>45429</v>
      </c>
      <c r="B511" s="2" t="s">
        <v>1967</v>
      </c>
      <c r="D511" s="2" t="s">
        <v>58</v>
      </c>
      <c r="E511" s="2" t="s">
        <v>1172</v>
      </c>
      <c r="F511" s="5" t="str">
        <f t="shared" si="42"/>
        <v>007-0005-549044 BRICOLAJE BRICOMAN SLU</v>
      </c>
      <c r="G511" s="12">
        <f t="shared" si="39"/>
        <v>4.0909090909090908</v>
      </c>
      <c r="H511">
        <v>21</v>
      </c>
      <c r="I511" s="5">
        <f t="shared" si="40"/>
        <v>0.85909090909090902</v>
      </c>
      <c r="J511" s="5">
        <f t="shared" si="41"/>
        <v>4.0909090909090908</v>
      </c>
      <c r="L511" s="5">
        <f t="shared" si="38"/>
        <v>0</v>
      </c>
      <c r="M511" s="8">
        <v>4.95</v>
      </c>
      <c r="N511" s="2" t="s">
        <v>21</v>
      </c>
      <c r="O511" s="3" t="s">
        <v>64</v>
      </c>
    </row>
    <row r="512" spans="1:15" x14ac:dyDescent="0.35">
      <c r="A512" s="4">
        <v>45422</v>
      </c>
      <c r="B512" s="2" t="s">
        <v>1968</v>
      </c>
      <c r="D512" s="2" t="s">
        <v>132</v>
      </c>
      <c r="E512" s="2" t="s">
        <v>147</v>
      </c>
      <c r="F512" s="5" t="str">
        <f t="shared" si="42"/>
        <v>A/6450 AZULEJOS ROSA</v>
      </c>
      <c r="G512" s="12">
        <f t="shared" si="39"/>
        <v>158.75206611570249</v>
      </c>
      <c r="H512">
        <v>21</v>
      </c>
      <c r="I512" s="5">
        <f t="shared" si="40"/>
        <v>33.33793388429752</v>
      </c>
      <c r="J512" s="5">
        <f t="shared" si="41"/>
        <v>158.75206611570249</v>
      </c>
      <c r="L512" s="5">
        <f t="shared" si="38"/>
        <v>0</v>
      </c>
      <c r="M512" s="8">
        <v>192.09</v>
      </c>
      <c r="N512" s="2" t="s">
        <v>21</v>
      </c>
      <c r="O512" s="3" t="s">
        <v>64</v>
      </c>
    </row>
    <row r="513" spans="1:15" x14ac:dyDescent="0.35">
      <c r="A513" s="4">
        <v>45303</v>
      </c>
      <c r="B513" s="2" t="s">
        <v>817</v>
      </c>
      <c r="D513" s="2" t="s">
        <v>132</v>
      </c>
      <c r="E513" s="2" t="s">
        <v>147</v>
      </c>
      <c r="F513" s="5" t="str">
        <f t="shared" si="42"/>
        <v>A/472 AZULEJOS ROSA</v>
      </c>
      <c r="G513" s="12">
        <f t="shared" si="39"/>
        <v>-9.0991735537190088</v>
      </c>
      <c r="H513">
        <v>21</v>
      </c>
      <c r="I513" s="5">
        <f t="shared" si="40"/>
        <v>-1.9108264462809919</v>
      </c>
      <c r="J513" s="5">
        <f t="shared" si="41"/>
        <v>-9.0991735537190088</v>
      </c>
      <c r="L513" s="5">
        <f t="shared" si="38"/>
        <v>0</v>
      </c>
      <c r="M513" s="8">
        <v>-11.01</v>
      </c>
      <c r="N513" s="2" t="s">
        <v>21</v>
      </c>
      <c r="O513" s="3" t="s">
        <v>64</v>
      </c>
    </row>
    <row r="514" spans="1:15" x14ac:dyDescent="0.35">
      <c r="A514" s="4">
        <v>45418</v>
      </c>
      <c r="B514" s="2" t="s">
        <v>1969</v>
      </c>
      <c r="D514" s="2" t="s">
        <v>132</v>
      </c>
      <c r="E514" s="2" t="s">
        <v>147</v>
      </c>
      <c r="F514" s="5" t="str">
        <f t="shared" si="42"/>
        <v>A/6181 AZULEJOS ROSA</v>
      </c>
      <c r="G514" s="12">
        <f t="shared" si="39"/>
        <v>18.380165289256198</v>
      </c>
      <c r="H514">
        <v>21</v>
      </c>
      <c r="I514" s="5">
        <f t="shared" si="40"/>
        <v>3.8598347107438014</v>
      </c>
      <c r="J514" s="5">
        <f t="shared" si="41"/>
        <v>18.380165289256198</v>
      </c>
      <c r="L514" s="5">
        <f t="shared" si="38"/>
        <v>0</v>
      </c>
      <c r="M514" s="8">
        <v>22.24</v>
      </c>
      <c r="N514" s="2" t="s">
        <v>21</v>
      </c>
      <c r="O514" s="3" t="s">
        <v>64</v>
      </c>
    </row>
    <row r="515" spans="1:15" x14ac:dyDescent="0.35">
      <c r="A515" s="4">
        <v>45392</v>
      </c>
      <c r="B515" s="2" t="s">
        <v>1970</v>
      </c>
      <c r="D515" s="2" t="s">
        <v>132</v>
      </c>
      <c r="E515" s="2" t="s">
        <v>147</v>
      </c>
      <c r="F515" s="5" t="str">
        <f t="shared" si="42"/>
        <v>A/4789 AZULEJOS ROSA</v>
      </c>
      <c r="G515" s="12">
        <f t="shared" si="39"/>
        <v>116.00826446280992</v>
      </c>
      <c r="H515">
        <v>21</v>
      </c>
      <c r="I515" s="5">
        <f t="shared" si="40"/>
        <v>24.361735537190086</v>
      </c>
      <c r="J515" s="5">
        <f t="shared" si="41"/>
        <v>116.00826446280992</v>
      </c>
      <c r="L515" s="5">
        <f t="shared" si="38"/>
        <v>0</v>
      </c>
      <c r="M515" s="8">
        <v>140.37</v>
      </c>
      <c r="N515" s="2" t="s">
        <v>21</v>
      </c>
      <c r="O515" s="3" t="s">
        <v>64</v>
      </c>
    </row>
    <row r="516" spans="1:15" x14ac:dyDescent="0.35">
      <c r="A516" s="4">
        <v>45385</v>
      </c>
      <c r="B516" s="2" t="s">
        <v>1971</v>
      </c>
      <c r="D516" s="2" t="s">
        <v>132</v>
      </c>
      <c r="E516" s="2" t="s">
        <v>147</v>
      </c>
      <c r="F516" s="5" t="str">
        <f t="shared" si="42"/>
        <v>A/4441 AZULEJOS ROSA</v>
      </c>
      <c r="G516" s="12">
        <f t="shared" si="39"/>
        <v>232.00000000000003</v>
      </c>
      <c r="H516">
        <v>21</v>
      </c>
      <c r="I516" s="5">
        <f t="shared" si="40"/>
        <v>48.720000000000006</v>
      </c>
      <c r="J516" s="5">
        <f t="shared" si="41"/>
        <v>232.00000000000003</v>
      </c>
      <c r="L516" s="5">
        <f t="shared" si="38"/>
        <v>0</v>
      </c>
      <c r="M516" s="8">
        <v>280.72000000000003</v>
      </c>
      <c r="N516" s="2" t="s">
        <v>21</v>
      </c>
      <c r="O516" s="3" t="s">
        <v>64</v>
      </c>
    </row>
    <row r="517" spans="1:15" x14ac:dyDescent="0.35">
      <c r="A517" s="4">
        <v>45399</v>
      </c>
      <c r="B517" s="2" t="s">
        <v>1972</v>
      </c>
      <c r="D517" s="2" t="s">
        <v>132</v>
      </c>
      <c r="E517" s="2" t="s">
        <v>147</v>
      </c>
      <c r="F517" s="5" t="str">
        <f t="shared" si="42"/>
        <v>A/5219 AZULEJOS ROSA</v>
      </c>
      <c r="G517" s="12">
        <f t="shared" si="39"/>
        <v>742.46280991735534</v>
      </c>
      <c r="H517">
        <v>21</v>
      </c>
      <c r="I517" s="5">
        <f t="shared" si="40"/>
        <v>155.91719008264462</v>
      </c>
      <c r="J517" s="5">
        <f t="shared" ref="J517:J548" si="43">G517</f>
        <v>742.46280991735534</v>
      </c>
      <c r="L517" s="5">
        <f t="shared" ref="L517:L548" si="44">J517*K517/100</f>
        <v>0</v>
      </c>
      <c r="M517" s="8">
        <v>898.38</v>
      </c>
      <c r="N517" s="2" t="s">
        <v>21</v>
      </c>
      <c r="O517" s="3" t="s">
        <v>64</v>
      </c>
    </row>
    <row r="518" spans="1:15" x14ac:dyDescent="0.35">
      <c r="A518" s="4">
        <v>45444</v>
      </c>
      <c r="B518" s="2" t="s">
        <v>1973</v>
      </c>
      <c r="D518" s="2" t="s">
        <v>1203</v>
      </c>
      <c r="E518" s="2" t="s">
        <v>1204</v>
      </c>
      <c r="F518" s="5" t="str">
        <f t="shared" si="42"/>
        <v>G 20886 AZULEJOS PEÑA</v>
      </c>
      <c r="G518" s="12">
        <f t="shared" ref="G518:G548" si="45">M518/(1-K518/100+H518/100)</f>
        <v>207.71900826446281</v>
      </c>
      <c r="H518">
        <v>21</v>
      </c>
      <c r="I518" s="5">
        <f t="shared" ref="I518:I547" si="46">G518*H518/100</f>
        <v>43.620991735537189</v>
      </c>
      <c r="J518" s="5">
        <f t="shared" si="43"/>
        <v>207.71900826446281</v>
      </c>
      <c r="L518" s="5">
        <f t="shared" si="44"/>
        <v>0</v>
      </c>
      <c r="M518" s="8">
        <v>251.34</v>
      </c>
      <c r="N518" s="2" t="s">
        <v>21</v>
      </c>
      <c r="O518" s="3" t="s">
        <v>64</v>
      </c>
    </row>
    <row r="519" spans="1:15" x14ac:dyDescent="0.35">
      <c r="A519" s="4">
        <v>45473</v>
      </c>
      <c r="B519" s="2" t="s">
        <v>1974</v>
      </c>
      <c r="D519" s="2" t="s">
        <v>94</v>
      </c>
      <c r="E519" s="2" t="s">
        <v>139</v>
      </c>
      <c r="F519" s="5" t="str">
        <f t="shared" si="42"/>
        <v>VEN/20265415 BIGMAT</v>
      </c>
      <c r="G519" s="12">
        <f t="shared" si="45"/>
        <v>1495.5206611570247</v>
      </c>
      <c r="H519">
        <v>21</v>
      </c>
      <c r="I519" s="5">
        <f t="shared" si="46"/>
        <v>314.05933884297519</v>
      </c>
      <c r="J519" s="5">
        <f t="shared" si="43"/>
        <v>1495.5206611570247</v>
      </c>
      <c r="L519" s="5">
        <f t="shared" si="44"/>
        <v>0</v>
      </c>
      <c r="M519" s="8">
        <v>1809.58</v>
      </c>
      <c r="N519" s="2" t="s">
        <v>21</v>
      </c>
      <c r="O519" s="3" t="s">
        <v>67</v>
      </c>
    </row>
    <row r="520" spans="1:15" x14ac:dyDescent="0.35">
      <c r="A520" s="4">
        <v>45471</v>
      </c>
      <c r="B520" s="2" t="s">
        <v>1975</v>
      </c>
      <c r="D520" s="2" t="s">
        <v>1976</v>
      </c>
      <c r="E520" s="2" t="s">
        <v>1977</v>
      </c>
      <c r="F520" s="5" t="str">
        <f t="shared" si="42"/>
        <v>MM/20240955 COMERCIAL DE PROTECCION CONTRA INCENDIOS</v>
      </c>
      <c r="G520" s="12">
        <f t="shared" si="45"/>
        <v>76.280991735537185</v>
      </c>
      <c r="H520">
        <v>21</v>
      </c>
      <c r="I520" s="5">
        <f t="shared" si="46"/>
        <v>16.019008264462808</v>
      </c>
      <c r="J520" s="5">
        <f t="shared" si="43"/>
        <v>76.280991735537185</v>
      </c>
      <c r="L520" s="5">
        <f t="shared" si="44"/>
        <v>0</v>
      </c>
      <c r="M520" s="8">
        <v>92.3</v>
      </c>
      <c r="N520" s="2" t="s">
        <v>1978</v>
      </c>
      <c r="O520" s="3" t="s">
        <v>67</v>
      </c>
    </row>
    <row r="521" spans="1:15" x14ac:dyDescent="0.35">
      <c r="A521" s="4">
        <v>45473</v>
      </c>
      <c r="B521" s="2" t="s">
        <v>1979</v>
      </c>
      <c r="D521" s="2" t="s">
        <v>109</v>
      </c>
      <c r="E521" s="2" t="s">
        <v>42</v>
      </c>
      <c r="F521" s="5" t="str">
        <f t="shared" si="42"/>
        <v>2410932 DISCESUR</v>
      </c>
      <c r="G521" s="12">
        <f t="shared" si="45"/>
        <v>-1052.2479338842975</v>
      </c>
      <c r="H521">
        <v>21</v>
      </c>
      <c r="I521" s="5">
        <f t="shared" si="46"/>
        <v>-220.97206611570246</v>
      </c>
      <c r="J521" s="5">
        <f t="shared" si="43"/>
        <v>-1052.2479338842975</v>
      </c>
      <c r="L521" s="5">
        <f t="shared" si="44"/>
        <v>0</v>
      </c>
      <c r="M521" s="8">
        <v>-1273.22</v>
      </c>
      <c r="N521" s="2" t="s">
        <v>21</v>
      </c>
      <c r="O521" s="3" t="s">
        <v>67</v>
      </c>
    </row>
    <row r="522" spans="1:15" x14ac:dyDescent="0.35">
      <c r="A522" s="4">
        <v>45473</v>
      </c>
      <c r="B522" s="2" t="s">
        <v>1980</v>
      </c>
      <c r="D522" s="2" t="s">
        <v>109</v>
      </c>
      <c r="E522" s="2" t="s">
        <v>42</v>
      </c>
      <c r="F522" s="5" t="str">
        <f t="shared" si="42"/>
        <v>24110789 DISCESUR</v>
      </c>
      <c r="G522" s="12">
        <f t="shared" si="45"/>
        <v>1491.0826446280992</v>
      </c>
      <c r="H522">
        <v>21</v>
      </c>
      <c r="I522" s="5">
        <f t="shared" si="46"/>
        <v>313.12735537190082</v>
      </c>
      <c r="J522" s="5">
        <f t="shared" si="43"/>
        <v>1491.0826446280992</v>
      </c>
      <c r="L522" s="5">
        <f t="shared" si="44"/>
        <v>0</v>
      </c>
      <c r="M522" s="8">
        <v>1804.21</v>
      </c>
      <c r="N522" s="2" t="s">
        <v>21</v>
      </c>
      <c r="O522" s="3" t="s">
        <v>67</v>
      </c>
    </row>
    <row r="523" spans="1:15" x14ac:dyDescent="0.35">
      <c r="A523" s="4">
        <v>45422</v>
      </c>
      <c r="B523" s="2" t="s">
        <v>1002</v>
      </c>
      <c r="D523" s="2" t="s">
        <v>628</v>
      </c>
      <c r="E523" s="2" t="s">
        <v>629</v>
      </c>
      <c r="F523" s="5" t="str">
        <f t="shared" si="42"/>
        <v>5 ADRIAN CODITA</v>
      </c>
      <c r="G523" s="12">
        <f t="shared" si="45"/>
        <v>700</v>
      </c>
      <c r="H523">
        <v>21</v>
      </c>
      <c r="I523" s="5">
        <f t="shared" si="46"/>
        <v>147</v>
      </c>
      <c r="J523" s="5">
        <f t="shared" si="43"/>
        <v>700</v>
      </c>
      <c r="L523" s="5">
        <f t="shared" si="44"/>
        <v>0</v>
      </c>
      <c r="M523" s="8">
        <v>847</v>
      </c>
      <c r="N523" s="2" t="s">
        <v>37</v>
      </c>
      <c r="O523" s="3" t="s">
        <v>64</v>
      </c>
    </row>
    <row r="524" spans="1:15" x14ac:dyDescent="0.35">
      <c r="A524" s="4">
        <v>45422</v>
      </c>
      <c r="B524" s="2" t="s">
        <v>1981</v>
      </c>
      <c r="D524" s="2" t="s">
        <v>628</v>
      </c>
      <c r="E524" s="2" t="s">
        <v>629</v>
      </c>
      <c r="F524" s="5" t="str">
        <f t="shared" si="42"/>
        <v>6 ADRIAN CODITA</v>
      </c>
      <c r="G524" s="12">
        <f t="shared" si="45"/>
        <v>680</v>
      </c>
      <c r="H524">
        <v>21</v>
      </c>
      <c r="I524" s="5">
        <f t="shared" si="46"/>
        <v>142.80000000000001</v>
      </c>
      <c r="J524" s="5">
        <f t="shared" si="43"/>
        <v>680</v>
      </c>
      <c r="L524" s="5">
        <f t="shared" si="44"/>
        <v>0</v>
      </c>
      <c r="M524" s="8">
        <v>822.8</v>
      </c>
      <c r="N524" s="2" t="s">
        <v>37</v>
      </c>
      <c r="O524" s="3" t="s">
        <v>64</v>
      </c>
    </row>
    <row r="525" spans="1:15" x14ac:dyDescent="0.35">
      <c r="A525" s="4">
        <v>45426</v>
      </c>
      <c r="B525" s="2" t="s">
        <v>1982</v>
      </c>
      <c r="D525" s="2" t="s">
        <v>1983</v>
      </c>
      <c r="E525" s="2" t="s">
        <v>1984</v>
      </c>
      <c r="F525" s="5" t="str">
        <f t="shared" si="42"/>
        <v>F/4861 BRICOLAJE GETAFE S.L.</v>
      </c>
      <c r="G525" s="12">
        <f t="shared" si="45"/>
        <v>119.00000000000001</v>
      </c>
      <c r="H525">
        <v>21</v>
      </c>
      <c r="I525" s="5">
        <f t="shared" si="46"/>
        <v>24.990000000000006</v>
      </c>
      <c r="J525" s="5">
        <f t="shared" si="43"/>
        <v>119.00000000000001</v>
      </c>
      <c r="L525" s="5">
        <f t="shared" si="44"/>
        <v>0</v>
      </c>
      <c r="M525" s="8">
        <v>143.99</v>
      </c>
      <c r="N525" s="2" t="s">
        <v>21</v>
      </c>
      <c r="O525" s="3" t="s">
        <v>64</v>
      </c>
    </row>
    <row r="526" spans="1:15" x14ac:dyDescent="0.35">
      <c r="A526" s="4">
        <v>45472</v>
      </c>
      <c r="B526" s="2" t="s">
        <v>1987</v>
      </c>
      <c r="D526" s="2" t="s">
        <v>25</v>
      </c>
      <c r="E526" s="2" t="s">
        <v>26</v>
      </c>
      <c r="F526" s="5" t="str">
        <f t="shared" si="42"/>
        <v>212607 SALTOKI</v>
      </c>
      <c r="G526" s="12">
        <f t="shared" si="45"/>
        <v>1063.297520661157</v>
      </c>
      <c r="H526">
        <v>21</v>
      </c>
      <c r="I526" s="5">
        <f t="shared" si="46"/>
        <v>223.29247933884298</v>
      </c>
      <c r="J526" s="5">
        <f t="shared" si="43"/>
        <v>1063.297520661157</v>
      </c>
      <c r="L526" s="5">
        <f t="shared" si="44"/>
        <v>0</v>
      </c>
      <c r="M526" s="8">
        <v>1286.5899999999999</v>
      </c>
      <c r="N526" s="2" t="s">
        <v>21</v>
      </c>
      <c r="O526" s="3" t="s">
        <v>67</v>
      </c>
    </row>
    <row r="527" spans="1:15" x14ac:dyDescent="0.35">
      <c r="A527" s="4">
        <v>45469</v>
      </c>
      <c r="B527" s="2" t="s">
        <v>1988</v>
      </c>
      <c r="D527" s="2" t="s">
        <v>25</v>
      </c>
      <c r="E527" s="2" t="s">
        <v>26</v>
      </c>
      <c r="F527" s="5" t="str">
        <f t="shared" si="42"/>
        <v>212606 SALTOKI</v>
      </c>
      <c r="G527" s="12">
        <f t="shared" si="45"/>
        <v>531.18181818181824</v>
      </c>
      <c r="H527">
        <v>21</v>
      </c>
      <c r="I527" s="5">
        <f t="shared" si="46"/>
        <v>111.54818181818183</v>
      </c>
      <c r="J527" s="5">
        <f t="shared" si="43"/>
        <v>531.18181818181824</v>
      </c>
      <c r="L527" s="5">
        <f t="shared" si="44"/>
        <v>0</v>
      </c>
      <c r="M527" s="8">
        <v>642.73</v>
      </c>
      <c r="N527" s="2" t="s">
        <v>21</v>
      </c>
      <c r="O527" s="3" t="s">
        <v>67</v>
      </c>
    </row>
    <row r="528" spans="1:15" x14ac:dyDescent="0.35">
      <c r="A528" s="4">
        <v>45471</v>
      </c>
      <c r="B528" s="2" t="s">
        <v>1989</v>
      </c>
      <c r="D528" s="2" t="s">
        <v>1281</v>
      </c>
      <c r="E528" s="2" t="s">
        <v>1990</v>
      </c>
      <c r="F528" s="5" t="str">
        <f t="shared" si="42"/>
        <v>QE 5126 QUICK EXPEDITII S.R.L.</v>
      </c>
      <c r="G528" s="12">
        <f t="shared" si="45"/>
        <v>1000</v>
      </c>
      <c r="H528">
        <v>0</v>
      </c>
      <c r="I528" s="5">
        <f t="shared" si="46"/>
        <v>0</v>
      </c>
      <c r="J528" s="5">
        <f t="shared" si="43"/>
        <v>1000</v>
      </c>
      <c r="L528" s="5">
        <f t="shared" si="44"/>
        <v>0</v>
      </c>
      <c r="M528" s="8">
        <v>1000</v>
      </c>
      <c r="N528" s="2" t="s">
        <v>56</v>
      </c>
      <c r="O528" s="3" t="s">
        <v>68</v>
      </c>
    </row>
    <row r="529" spans="1:15" x14ac:dyDescent="0.35">
      <c r="A529" s="4">
        <v>45468</v>
      </c>
      <c r="B529" s="2" t="s">
        <v>1993</v>
      </c>
      <c r="D529" s="2" t="s">
        <v>1994</v>
      </c>
      <c r="E529" s="2" t="s">
        <v>1995</v>
      </c>
      <c r="F529" s="5" t="str">
        <f t="shared" si="42"/>
        <v>P146977 SUDEL POZUELO S.A.</v>
      </c>
      <c r="G529" s="12">
        <f t="shared" si="45"/>
        <v>13.165289256198347</v>
      </c>
      <c r="H529">
        <v>21</v>
      </c>
      <c r="I529" s="5">
        <f t="shared" si="46"/>
        <v>2.7647107438016532</v>
      </c>
      <c r="J529" s="5">
        <f t="shared" si="43"/>
        <v>13.165289256198347</v>
      </c>
      <c r="L529" s="5">
        <f t="shared" si="44"/>
        <v>0</v>
      </c>
      <c r="M529" s="8">
        <v>15.93</v>
      </c>
      <c r="N529" s="2" t="s">
        <v>22</v>
      </c>
    </row>
    <row r="530" spans="1:15" x14ac:dyDescent="0.35">
      <c r="A530" s="4">
        <v>45451</v>
      </c>
      <c r="B530" s="2" t="s">
        <v>1996</v>
      </c>
      <c r="D530" s="2" t="s">
        <v>60</v>
      </c>
      <c r="E530" s="2" t="s">
        <v>24</v>
      </c>
      <c r="F530" s="5" t="str">
        <f t="shared" si="42"/>
        <v>033007/A/24/001412 REPSOL</v>
      </c>
      <c r="G530" s="12">
        <f t="shared" si="45"/>
        <v>27.685950413223143</v>
      </c>
      <c r="H530">
        <v>21</v>
      </c>
      <c r="I530" s="5">
        <f t="shared" si="46"/>
        <v>5.8140495867768598</v>
      </c>
      <c r="J530" s="5">
        <f t="shared" si="43"/>
        <v>27.685950413223143</v>
      </c>
      <c r="L530" s="5">
        <f t="shared" si="44"/>
        <v>0</v>
      </c>
      <c r="M530" s="8">
        <v>33.5</v>
      </c>
      <c r="N530" s="2" t="s">
        <v>22</v>
      </c>
    </row>
    <row r="531" spans="1:15" x14ac:dyDescent="0.35">
      <c r="A531" s="4">
        <v>45463</v>
      </c>
      <c r="B531" s="2" t="s">
        <v>1997</v>
      </c>
      <c r="D531" s="2" t="s">
        <v>1998</v>
      </c>
      <c r="E531" s="2" t="s">
        <v>774</v>
      </c>
      <c r="F531" s="5" t="str">
        <f t="shared" si="42"/>
        <v>249000838884 PETROPRIX</v>
      </c>
      <c r="G531" s="12">
        <f t="shared" si="45"/>
        <v>24.793388429752067</v>
      </c>
      <c r="H531">
        <v>21</v>
      </c>
      <c r="I531" s="5">
        <f t="shared" si="46"/>
        <v>5.2066115702479339</v>
      </c>
      <c r="J531" s="5">
        <f t="shared" si="43"/>
        <v>24.793388429752067</v>
      </c>
      <c r="L531" s="5">
        <f t="shared" si="44"/>
        <v>0</v>
      </c>
      <c r="M531" s="8">
        <v>30</v>
      </c>
      <c r="N531" s="2" t="s">
        <v>22</v>
      </c>
    </row>
    <row r="532" spans="1:15" x14ac:dyDescent="0.35">
      <c r="A532" s="4">
        <v>45469</v>
      </c>
      <c r="B532" s="2" t="s">
        <v>1999</v>
      </c>
      <c r="D532" s="2" t="s">
        <v>1983</v>
      </c>
      <c r="E532" s="2" t="s">
        <v>1984</v>
      </c>
      <c r="F532" s="5" t="str">
        <f t="shared" si="42"/>
        <v>F/6149 BRICOLAJE GETAFE S.L.</v>
      </c>
      <c r="G532" s="12">
        <f t="shared" si="45"/>
        <v>130</v>
      </c>
      <c r="H532">
        <v>21</v>
      </c>
      <c r="I532" s="5">
        <f t="shared" si="46"/>
        <v>27.3</v>
      </c>
      <c r="J532" s="5">
        <f t="shared" si="43"/>
        <v>130</v>
      </c>
      <c r="L532" s="5">
        <f t="shared" si="44"/>
        <v>0</v>
      </c>
      <c r="M532" s="8">
        <v>157.30000000000001</v>
      </c>
      <c r="N532" s="2" t="s">
        <v>21</v>
      </c>
      <c r="O532" s="3" t="s">
        <v>64</v>
      </c>
    </row>
    <row r="533" spans="1:15" x14ac:dyDescent="0.35">
      <c r="A533" s="4">
        <v>45473</v>
      </c>
      <c r="B533" s="2" t="s">
        <v>2000</v>
      </c>
      <c r="D533" s="2" t="s">
        <v>200</v>
      </c>
      <c r="E533" s="2" t="s">
        <v>1284</v>
      </c>
      <c r="F533" s="5" t="str">
        <f t="shared" si="42"/>
        <v>0.123285 ICAR DISTRIBUCIONES FERRETERIAS SL I.D.F.</v>
      </c>
      <c r="G533" s="12">
        <f t="shared" si="45"/>
        <v>306.82644628099172</v>
      </c>
      <c r="H533">
        <v>21</v>
      </c>
      <c r="I533" s="5">
        <f t="shared" si="46"/>
        <v>64.433553719008259</v>
      </c>
      <c r="J533" s="5">
        <f t="shared" si="43"/>
        <v>306.82644628099172</v>
      </c>
      <c r="L533" s="5">
        <f t="shared" si="44"/>
        <v>0</v>
      </c>
      <c r="M533" s="8">
        <v>371.26</v>
      </c>
      <c r="N533" s="2" t="s">
        <v>21</v>
      </c>
      <c r="O533" s="3" t="s">
        <v>67</v>
      </c>
    </row>
    <row r="534" spans="1:15" x14ac:dyDescent="0.35">
      <c r="A534" s="4">
        <v>45471</v>
      </c>
      <c r="B534" s="2" t="s">
        <v>2001</v>
      </c>
      <c r="D534" s="2" t="s">
        <v>95</v>
      </c>
      <c r="E534" s="2" t="s">
        <v>96</v>
      </c>
      <c r="F534" s="5" t="str">
        <f t="shared" si="42"/>
        <v>11/24 MARCEL DUMITER BEGOFF</v>
      </c>
      <c r="G534" s="12">
        <f t="shared" si="45"/>
        <v>1355</v>
      </c>
      <c r="H534">
        <v>21</v>
      </c>
      <c r="I534" s="5">
        <f t="shared" si="46"/>
        <v>284.55</v>
      </c>
      <c r="J534" s="5">
        <f t="shared" si="43"/>
        <v>1355</v>
      </c>
      <c r="L534" s="5">
        <f t="shared" si="44"/>
        <v>0</v>
      </c>
      <c r="M534" s="8">
        <v>1639.55</v>
      </c>
      <c r="N534" s="2" t="s">
        <v>37</v>
      </c>
      <c r="O534" s="3" t="s">
        <v>68</v>
      </c>
    </row>
    <row r="535" spans="1:15" x14ac:dyDescent="0.35">
      <c r="A535" s="4">
        <v>45473</v>
      </c>
      <c r="B535" s="2" t="s">
        <v>131</v>
      </c>
      <c r="D535" s="2" t="s">
        <v>134</v>
      </c>
      <c r="E535" s="2" t="s">
        <v>143</v>
      </c>
      <c r="F535" s="5" t="str">
        <f t="shared" si="42"/>
        <v>54 IOAN NICULAI</v>
      </c>
      <c r="G535" s="12">
        <f t="shared" si="45"/>
        <v>9350</v>
      </c>
      <c r="H535">
        <v>21</v>
      </c>
      <c r="I535" s="5">
        <f t="shared" si="46"/>
        <v>1963.5</v>
      </c>
      <c r="J535" s="5">
        <f t="shared" si="43"/>
        <v>9350</v>
      </c>
      <c r="L535" s="5">
        <f t="shared" si="44"/>
        <v>0</v>
      </c>
      <c r="M535" s="8">
        <v>11313.5</v>
      </c>
      <c r="N535" s="2" t="s">
        <v>37</v>
      </c>
      <c r="O535" s="3" t="s">
        <v>68</v>
      </c>
    </row>
    <row r="536" spans="1:15" x14ac:dyDescent="0.35">
      <c r="A536" s="4">
        <v>45473</v>
      </c>
      <c r="B536" s="2" t="s">
        <v>2003</v>
      </c>
      <c r="D536" s="2" t="s">
        <v>40</v>
      </c>
      <c r="E536" s="2" t="s">
        <v>41</v>
      </c>
      <c r="F536" s="5" t="str">
        <f t="shared" si="42"/>
        <v>1289/24 CONTENEDORES OSCONSUR</v>
      </c>
      <c r="G536" s="12">
        <v>366</v>
      </c>
      <c r="H536">
        <v>10</v>
      </c>
      <c r="I536" s="5">
        <f t="shared" si="46"/>
        <v>36.6</v>
      </c>
      <c r="J536" s="5">
        <v>120</v>
      </c>
      <c r="K536" s="5">
        <v>21</v>
      </c>
      <c r="L536" s="5">
        <f t="shared" si="44"/>
        <v>25.2</v>
      </c>
      <c r="M536" s="8">
        <v>547.79999999999995</v>
      </c>
      <c r="N536" s="2" t="s">
        <v>33</v>
      </c>
      <c r="O536" s="3" t="s">
        <v>67</v>
      </c>
    </row>
    <row r="537" spans="1:15" x14ac:dyDescent="0.35">
      <c r="A537" s="4">
        <v>45470</v>
      </c>
      <c r="B537" s="2" t="s">
        <v>2004</v>
      </c>
      <c r="D537" s="2" t="s">
        <v>57</v>
      </c>
      <c r="E537" s="2" t="s">
        <v>44</v>
      </c>
      <c r="F537" s="5" t="str">
        <f t="shared" si="42"/>
        <v>073-0006-867099 LEROY MERLIN</v>
      </c>
      <c r="G537" s="12">
        <f t="shared" si="45"/>
        <v>32.247933884297524</v>
      </c>
      <c r="H537">
        <v>21</v>
      </c>
      <c r="I537" s="5">
        <f t="shared" si="46"/>
        <v>6.7720661157024802</v>
      </c>
      <c r="J537" s="5">
        <f t="shared" si="43"/>
        <v>32.247933884297524</v>
      </c>
      <c r="L537" s="5">
        <f t="shared" si="44"/>
        <v>0</v>
      </c>
      <c r="M537" s="8">
        <v>39.020000000000003</v>
      </c>
      <c r="N537" s="2" t="s">
        <v>21</v>
      </c>
      <c r="O537" s="3" t="s">
        <v>64</v>
      </c>
    </row>
    <row r="538" spans="1:15" x14ac:dyDescent="0.35">
      <c r="A538" s="4">
        <v>45471</v>
      </c>
      <c r="B538" s="2" t="s">
        <v>2005</v>
      </c>
      <c r="D538" s="2" t="s">
        <v>58</v>
      </c>
      <c r="E538" s="2" t="s">
        <v>1172</v>
      </c>
      <c r="F538" s="5" t="str">
        <f t="shared" si="42"/>
        <v>034-0006-353040 BRICOLAJE BRICOMAN SLU</v>
      </c>
      <c r="G538" s="12">
        <f t="shared" si="45"/>
        <v>331.05785123966945</v>
      </c>
      <c r="H538">
        <v>21</v>
      </c>
      <c r="I538" s="5">
        <f t="shared" si="46"/>
        <v>69.52214876033058</v>
      </c>
      <c r="J538" s="5">
        <f t="shared" si="43"/>
        <v>331.05785123966945</v>
      </c>
      <c r="L538" s="5">
        <f t="shared" si="44"/>
        <v>0</v>
      </c>
      <c r="M538" s="8">
        <v>400.58</v>
      </c>
      <c r="N538" s="2" t="s">
        <v>21</v>
      </c>
      <c r="O538" s="3" t="s">
        <v>64</v>
      </c>
    </row>
    <row r="539" spans="1:15" x14ac:dyDescent="0.35">
      <c r="A539" s="4">
        <v>45471</v>
      </c>
      <c r="B539" s="2" t="s">
        <v>2006</v>
      </c>
      <c r="D539" s="2" t="s">
        <v>58</v>
      </c>
      <c r="E539" s="2" t="s">
        <v>1172</v>
      </c>
      <c r="F539" s="5" t="str">
        <f t="shared" si="42"/>
        <v>034-0006-352685 BRICOLAJE BRICOMAN SLU</v>
      </c>
      <c r="G539" s="12">
        <f t="shared" si="45"/>
        <v>121.02479338842976</v>
      </c>
      <c r="H539">
        <v>21</v>
      </c>
      <c r="I539" s="5">
        <f t="shared" si="46"/>
        <v>25.415206611570248</v>
      </c>
      <c r="J539" s="5">
        <f t="shared" si="43"/>
        <v>121.02479338842976</v>
      </c>
      <c r="L539" s="5">
        <f t="shared" si="44"/>
        <v>0</v>
      </c>
      <c r="M539" s="8">
        <v>146.44</v>
      </c>
      <c r="N539" s="2" t="s">
        <v>21</v>
      </c>
      <c r="O539" s="3" t="s">
        <v>64</v>
      </c>
    </row>
    <row r="540" spans="1:15" x14ac:dyDescent="0.35">
      <c r="A540" s="4">
        <v>45471</v>
      </c>
      <c r="B540" s="2" t="s">
        <v>2007</v>
      </c>
      <c r="D540" s="2" t="s">
        <v>58</v>
      </c>
      <c r="E540" s="2" t="s">
        <v>1172</v>
      </c>
      <c r="F540" s="5" t="str">
        <f t="shared" si="42"/>
        <v>034-0006-352645 BRICOLAJE BRICOMAN SLU</v>
      </c>
      <c r="G540" s="12">
        <f t="shared" si="45"/>
        <v>204.07438016528926</v>
      </c>
      <c r="H540">
        <v>21</v>
      </c>
      <c r="I540" s="5">
        <f t="shared" si="46"/>
        <v>42.855619834710744</v>
      </c>
      <c r="J540" s="5">
        <f t="shared" si="43"/>
        <v>204.07438016528926</v>
      </c>
      <c r="L540" s="5">
        <f t="shared" si="44"/>
        <v>0</v>
      </c>
      <c r="M540" s="8">
        <v>246.93</v>
      </c>
      <c r="N540" s="2" t="s">
        <v>21</v>
      </c>
      <c r="O540" s="3" t="s">
        <v>64</v>
      </c>
    </row>
    <row r="541" spans="1:15" x14ac:dyDescent="0.35">
      <c r="A541" s="4">
        <v>45471</v>
      </c>
      <c r="B541" s="2" t="s">
        <v>2008</v>
      </c>
      <c r="D541" s="2" t="s">
        <v>58</v>
      </c>
      <c r="E541" s="2" t="s">
        <v>1172</v>
      </c>
      <c r="F541" s="5" t="str">
        <f t="shared" si="42"/>
        <v>034-0006-352981 BRICOLAJE BRICOMAN SLU</v>
      </c>
      <c r="G541" s="12">
        <f t="shared" si="45"/>
        <v>480.198347107438</v>
      </c>
      <c r="H541">
        <v>21</v>
      </c>
      <c r="I541" s="5">
        <f t="shared" si="46"/>
        <v>100.84165289256198</v>
      </c>
      <c r="J541" s="5">
        <f t="shared" si="43"/>
        <v>480.198347107438</v>
      </c>
      <c r="L541" s="5">
        <f t="shared" si="44"/>
        <v>0</v>
      </c>
      <c r="M541" s="8">
        <v>581.04</v>
      </c>
      <c r="N541" s="2" t="s">
        <v>21</v>
      </c>
      <c r="O541" s="3" t="s">
        <v>64</v>
      </c>
    </row>
    <row r="542" spans="1:15" x14ac:dyDescent="0.35">
      <c r="A542" s="4">
        <v>45468</v>
      </c>
      <c r="B542" s="2" t="s">
        <v>2009</v>
      </c>
      <c r="D542" s="2" t="s">
        <v>58</v>
      </c>
      <c r="E542" s="2" t="s">
        <v>1172</v>
      </c>
      <c r="F542" s="5" t="str">
        <f t="shared" si="42"/>
        <v>009-0006-645499 BRICOLAJE BRICOMAN SLU</v>
      </c>
      <c r="G542" s="12">
        <f t="shared" si="45"/>
        <v>534.60330578512401</v>
      </c>
      <c r="H542">
        <v>21</v>
      </c>
      <c r="I542" s="5">
        <f t="shared" si="46"/>
        <v>112.26669421487604</v>
      </c>
      <c r="J542" s="5">
        <f t="shared" si="43"/>
        <v>534.60330578512401</v>
      </c>
      <c r="L542" s="5">
        <f t="shared" si="44"/>
        <v>0</v>
      </c>
      <c r="M542" s="8">
        <v>646.87</v>
      </c>
      <c r="N542" s="2" t="s">
        <v>21</v>
      </c>
      <c r="O542" s="3" t="s">
        <v>64</v>
      </c>
    </row>
    <row r="543" spans="1:15" x14ac:dyDescent="0.35">
      <c r="A543" s="4">
        <v>45468</v>
      </c>
      <c r="B543" s="2" t="s">
        <v>2010</v>
      </c>
      <c r="D543" s="2" t="s">
        <v>58</v>
      </c>
      <c r="E543" s="2" t="s">
        <v>1172</v>
      </c>
      <c r="F543" s="5" t="str">
        <f t="shared" si="42"/>
        <v>009-0006-645530 BRICOLAJE BRICOMAN SLU</v>
      </c>
      <c r="G543" s="12">
        <f t="shared" si="45"/>
        <v>73.173553719008268</v>
      </c>
      <c r="H543">
        <v>21</v>
      </c>
      <c r="I543" s="5">
        <f t="shared" si="46"/>
        <v>15.366446280991736</v>
      </c>
      <c r="J543" s="5">
        <f t="shared" si="43"/>
        <v>73.173553719008268</v>
      </c>
      <c r="L543" s="5">
        <f t="shared" si="44"/>
        <v>0</v>
      </c>
      <c r="M543" s="8">
        <v>88.54</v>
      </c>
      <c r="N543" s="2" t="s">
        <v>21</v>
      </c>
      <c r="O543" s="3" t="s">
        <v>64</v>
      </c>
    </row>
    <row r="544" spans="1:15" x14ac:dyDescent="0.35">
      <c r="G544" s="12">
        <f t="shared" si="45"/>
        <v>0</v>
      </c>
      <c r="H544">
        <v>21</v>
      </c>
      <c r="I544" s="5">
        <f t="shared" si="46"/>
        <v>0</v>
      </c>
      <c r="J544" s="5">
        <f t="shared" si="43"/>
        <v>0</v>
      </c>
      <c r="L544" s="5">
        <f t="shared" si="44"/>
        <v>0</v>
      </c>
      <c r="M544" s="8">
        <v>0</v>
      </c>
    </row>
    <row r="545" spans="7:13" x14ac:dyDescent="0.35">
      <c r="G545" s="12">
        <f t="shared" si="45"/>
        <v>0</v>
      </c>
      <c r="H545">
        <v>21</v>
      </c>
      <c r="I545" s="5">
        <f t="shared" si="46"/>
        <v>0</v>
      </c>
      <c r="J545" s="5">
        <f t="shared" si="43"/>
        <v>0</v>
      </c>
      <c r="L545" s="5">
        <f t="shared" si="44"/>
        <v>0</v>
      </c>
      <c r="M545" s="8">
        <v>0</v>
      </c>
    </row>
    <row r="546" spans="7:13" x14ac:dyDescent="0.35">
      <c r="G546" s="12">
        <f t="shared" si="45"/>
        <v>0</v>
      </c>
      <c r="H546">
        <v>21</v>
      </c>
      <c r="I546" s="5">
        <f t="shared" si="46"/>
        <v>0</v>
      </c>
      <c r="J546" s="5">
        <f t="shared" si="43"/>
        <v>0</v>
      </c>
      <c r="L546" s="5">
        <f t="shared" si="44"/>
        <v>0</v>
      </c>
      <c r="M546" s="8">
        <v>0</v>
      </c>
    </row>
    <row r="547" spans="7:13" x14ac:dyDescent="0.35">
      <c r="G547" s="12">
        <f t="shared" si="45"/>
        <v>0</v>
      </c>
      <c r="H547">
        <v>21</v>
      </c>
      <c r="I547" s="5">
        <f t="shared" si="46"/>
        <v>0</v>
      </c>
      <c r="J547" s="5">
        <f t="shared" si="43"/>
        <v>0</v>
      </c>
      <c r="L547" s="5">
        <f t="shared" si="44"/>
        <v>0</v>
      </c>
      <c r="M547" s="8">
        <v>0</v>
      </c>
    </row>
    <row r="548" spans="7:13" x14ac:dyDescent="0.35">
      <c r="G548" s="12">
        <f t="shared" si="45"/>
        <v>0</v>
      </c>
      <c r="H548">
        <v>21</v>
      </c>
      <c r="I548" s="5">
        <f>SUM(I2:I547)</f>
        <v>40489.977276033089</v>
      </c>
      <c r="J548" s="5">
        <f t="shared" si="43"/>
        <v>0</v>
      </c>
      <c r="L548" s="5">
        <f t="shared" si="44"/>
        <v>0</v>
      </c>
      <c r="M548" s="8">
        <v>0</v>
      </c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064B-D925-47A7-9069-3F1824FD94EC}">
  <dimension ref="A1:S575"/>
  <sheetViews>
    <sheetView topLeftCell="A110" zoomScaleNormal="100" workbookViewId="0">
      <selection activeCell="M129" sqref="M129"/>
    </sheetView>
  </sheetViews>
  <sheetFormatPr baseColWidth="10" defaultRowHeight="14.5" x14ac:dyDescent="0.35"/>
  <cols>
    <col min="1" max="1" width="11.54296875" bestFit="1" customWidth="1"/>
    <col min="2" max="2" width="32.26953125" style="2" customWidth="1"/>
    <col min="3" max="3" width="10" style="2" bestFit="1" customWidth="1"/>
    <col min="4" max="4" width="12.1796875" style="2" customWidth="1"/>
    <col min="5" max="5" width="34" style="2" customWidth="1"/>
    <col min="6" max="6" width="30.1796875" style="5" customWidth="1"/>
    <col min="7" max="7" width="10.54296875" style="10" customWidth="1"/>
    <col min="8" max="8" width="5.7265625" bestFit="1" customWidth="1"/>
    <col min="9" max="9" width="9.7265625" customWidth="1"/>
    <col min="10" max="10" width="11.7265625" customWidth="1"/>
    <col min="11" max="11" width="6.1796875" customWidth="1"/>
    <col min="12" max="12" width="8.54296875" customWidth="1"/>
    <col min="13" max="13" width="10.7265625" style="11" customWidth="1"/>
    <col min="14" max="14" width="24.26953125" style="2" customWidth="1"/>
    <col min="15" max="15" width="15.81640625" style="3" customWidth="1"/>
    <col min="16" max="16" width="15.26953125" style="3" customWidth="1"/>
    <col min="17" max="17" width="13.26953125" customWidth="1"/>
    <col min="18" max="18" width="14.1796875" customWidth="1"/>
  </cols>
  <sheetData>
    <row r="1" spans="1:19" s="1" customFormat="1" ht="30" customHeight="1" x14ac:dyDescent="0.35">
      <c r="A1" s="6" t="s">
        <v>0</v>
      </c>
      <c r="B1" s="7" t="s">
        <v>18</v>
      </c>
      <c r="C1" s="7" t="s">
        <v>2</v>
      </c>
      <c r="D1" s="7" t="s">
        <v>3</v>
      </c>
      <c r="E1" s="7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15</v>
      </c>
      <c r="P1" s="7" t="s">
        <v>14</v>
      </c>
      <c r="Q1" s="7" t="s">
        <v>16</v>
      </c>
      <c r="R1" s="6" t="s">
        <v>17</v>
      </c>
    </row>
    <row r="2" spans="1:19" x14ac:dyDescent="0.35">
      <c r="A2" s="15">
        <v>45477</v>
      </c>
      <c r="B2" s="2" t="s">
        <v>2011</v>
      </c>
      <c r="D2" s="2" t="s">
        <v>85</v>
      </c>
      <c r="E2" s="2" t="s">
        <v>32</v>
      </c>
      <c r="F2" s="5" t="str">
        <f>CONCATENATE(S2,B2," ",E2)</f>
        <v>S/F 20240087 XVENT</v>
      </c>
      <c r="G2" s="12">
        <f>M2/(1-K2/100+H2/100)</f>
        <v>2395.3636363636365</v>
      </c>
      <c r="H2">
        <v>21</v>
      </c>
      <c r="I2" s="5">
        <f>G2*H2/100</f>
        <v>503.02636363636367</v>
      </c>
      <c r="J2" s="5">
        <f>G2</f>
        <v>2395.3636363636365</v>
      </c>
      <c r="L2" s="5">
        <f>J2*K2/100</f>
        <v>0</v>
      </c>
      <c r="M2" s="8">
        <v>2898.39</v>
      </c>
      <c r="N2" s="2" t="s">
        <v>37</v>
      </c>
      <c r="O2" s="3" t="s">
        <v>68</v>
      </c>
      <c r="S2" t="s">
        <v>19</v>
      </c>
    </row>
    <row r="3" spans="1:19" x14ac:dyDescent="0.35">
      <c r="A3" s="15">
        <v>45476</v>
      </c>
      <c r="B3" s="2" t="s">
        <v>2012</v>
      </c>
      <c r="D3" s="2" t="s">
        <v>1030</v>
      </c>
      <c r="E3" s="2" t="s">
        <v>1031</v>
      </c>
      <c r="F3" s="5" t="str">
        <f t="shared" ref="F3:F55" si="0">CONCATENATE(S3,B3," ",E3)</f>
        <v>S/F 1 001115 STEINBOX SL</v>
      </c>
      <c r="G3" s="12">
        <f>M3/(1-K3/100+H3/100)</f>
        <v>207.50413223140498</v>
      </c>
      <c r="H3">
        <v>21</v>
      </c>
      <c r="I3" s="5">
        <f>G3*H3/100</f>
        <v>43.575867768595046</v>
      </c>
      <c r="J3" s="5">
        <f>G3</f>
        <v>207.50413223140498</v>
      </c>
      <c r="L3" s="5">
        <f>J3*K3/100</f>
        <v>0</v>
      </c>
      <c r="M3" s="8">
        <v>251.08</v>
      </c>
      <c r="N3" s="2" t="s">
        <v>21</v>
      </c>
      <c r="O3" s="3" t="s">
        <v>68</v>
      </c>
      <c r="S3" t="s">
        <v>19</v>
      </c>
    </row>
    <row r="4" spans="1:19" x14ac:dyDescent="0.35">
      <c r="A4" s="15">
        <v>45476</v>
      </c>
      <c r="B4" s="2" t="s">
        <v>2013</v>
      </c>
      <c r="D4" s="2" t="s">
        <v>1343</v>
      </c>
      <c r="E4" s="2" t="s">
        <v>1344</v>
      </c>
      <c r="F4" s="5" t="str">
        <f t="shared" si="0"/>
        <v>S/F FAC 2024000292 AUTOS GAITAN SERVICE SLU</v>
      </c>
      <c r="G4" s="12">
        <f t="shared" ref="G4:G56" si="1">M4/(1-K4/100+H4/100)</f>
        <v>1652.8925619834711</v>
      </c>
      <c r="H4">
        <v>21</v>
      </c>
      <c r="I4" s="5">
        <f t="shared" ref="I4:I56" si="2">G4*H4/100</f>
        <v>347.10743801652893</v>
      </c>
      <c r="J4" s="5">
        <f t="shared" ref="J4:J56" si="3">G4</f>
        <v>1652.8925619834711</v>
      </c>
      <c r="L4" s="5">
        <f t="shared" ref="L4:L56" si="4">J4*K4/100</f>
        <v>0</v>
      </c>
      <c r="M4" s="8">
        <v>2000</v>
      </c>
      <c r="N4" s="2" t="s">
        <v>53</v>
      </c>
      <c r="O4" s="3" t="s">
        <v>68</v>
      </c>
      <c r="S4" t="s">
        <v>19</v>
      </c>
    </row>
    <row r="5" spans="1:19" x14ac:dyDescent="0.35">
      <c r="A5" s="4">
        <v>45475</v>
      </c>
      <c r="B5" s="2" t="s">
        <v>2014</v>
      </c>
      <c r="D5" s="2" t="s">
        <v>1340</v>
      </c>
      <c r="E5" s="2" t="s">
        <v>1341</v>
      </c>
      <c r="F5" s="5" t="str">
        <f t="shared" si="0"/>
        <v>S/F 2024-0160 PIKYOE AUTOMOCION SL</v>
      </c>
      <c r="G5" s="12">
        <f t="shared" si="1"/>
        <v>262.22314049586777</v>
      </c>
      <c r="H5">
        <v>21</v>
      </c>
      <c r="I5" s="5">
        <f t="shared" si="2"/>
        <v>55.066859504132232</v>
      </c>
      <c r="J5" s="5">
        <f t="shared" si="3"/>
        <v>262.22314049586777</v>
      </c>
      <c r="L5" s="5">
        <f t="shared" si="4"/>
        <v>0</v>
      </c>
      <c r="M5" s="8">
        <v>317.29000000000002</v>
      </c>
      <c r="N5" s="2" t="s">
        <v>53</v>
      </c>
      <c r="O5" s="3" t="s">
        <v>68</v>
      </c>
      <c r="S5" t="s">
        <v>19</v>
      </c>
    </row>
    <row r="6" spans="1:19" x14ac:dyDescent="0.35">
      <c r="A6" s="4">
        <v>45474</v>
      </c>
      <c r="B6" s="2" t="s">
        <v>2015</v>
      </c>
      <c r="D6" s="2" t="s">
        <v>2016</v>
      </c>
      <c r="E6" s="2" t="s">
        <v>2017</v>
      </c>
      <c r="F6" s="5" t="str">
        <f t="shared" si="0"/>
        <v>S/F 391/24 AUTOHANDEL JERKOVIC</v>
      </c>
      <c r="G6" s="12">
        <f t="shared" si="1"/>
        <v>23000</v>
      </c>
      <c r="H6">
        <v>0</v>
      </c>
      <c r="I6" s="5">
        <f t="shared" si="2"/>
        <v>0</v>
      </c>
      <c r="J6" s="5">
        <f t="shared" si="3"/>
        <v>23000</v>
      </c>
      <c r="L6" s="5">
        <f t="shared" si="4"/>
        <v>0</v>
      </c>
      <c r="M6" s="8">
        <v>23000</v>
      </c>
      <c r="N6" s="2" t="s">
        <v>50</v>
      </c>
      <c r="O6" s="3" t="s">
        <v>68</v>
      </c>
      <c r="S6" t="s">
        <v>19</v>
      </c>
    </row>
    <row r="7" spans="1:19" x14ac:dyDescent="0.35">
      <c r="A7" s="4">
        <v>45474</v>
      </c>
      <c r="B7" s="2" t="s">
        <v>2018</v>
      </c>
      <c r="D7" s="2" t="s">
        <v>295</v>
      </c>
      <c r="E7" s="2" t="s">
        <v>2019</v>
      </c>
      <c r="F7" s="5" t="str">
        <f t="shared" si="0"/>
        <v>S/F 9124016027 GRUPO PORCELANOSA</v>
      </c>
      <c r="G7" s="12">
        <f t="shared" si="1"/>
        <v>233.19834710743802</v>
      </c>
      <c r="H7">
        <v>21</v>
      </c>
      <c r="I7" s="5">
        <f t="shared" si="2"/>
        <v>48.971652892561991</v>
      </c>
      <c r="J7" s="5">
        <f t="shared" si="3"/>
        <v>233.19834710743802</v>
      </c>
      <c r="L7" s="5">
        <f t="shared" si="4"/>
        <v>0</v>
      </c>
      <c r="M7" s="8">
        <v>282.17</v>
      </c>
      <c r="N7" s="2" t="s">
        <v>21</v>
      </c>
      <c r="O7" s="3" t="s">
        <v>68</v>
      </c>
      <c r="S7" t="s">
        <v>19</v>
      </c>
    </row>
    <row r="8" spans="1:19" x14ac:dyDescent="0.35">
      <c r="A8" s="4">
        <v>45474</v>
      </c>
      <c r="B8" s="2" t="s">
        <v>2020</v>
      </c>
      <c r="D8" s="2" t="s">
        <v>107</v>
      </c>
      <c r="E8" s="2" t="s">
        <v>2021</v>
      </c>
      <c r="F8" s="5" t="str">
        <f t="shared" si="0"/>
        <v>S/F 24/097 AIRCLIMA2000 S.L.</v>
      </c>
      <c r="G8" s="12">
        <f t="shared" si="1"/>
        <v>680</v>
      </c>
      <c r="H8">
        <v>21</v>
      </c>
      <c r="I8" s="5">
        <f t="shared" si="2"/>
        <v>142.80000000000001</v>
      </c>
      <c r="J8" s="5">
        <f t="shared" si="3"/>
        <v>680</v>
      </c>
      <c r="L8" s="5">
        <f t="shared" si="4"/>
        <v>0</v>
      </c>
      <c r="M8" s="8">
        <v>822.8</v>
      </c>
      <c r="N8" s="2" t="s">
        <v>37</v>
      </c>
      <c r="O8" s="3" t="s">
        <v>68</v>
      </c>
      <c r="S8" t="s">
        <v>19</v>
      </c>
    </row>
    <row r="9" spans="1:19" x14ac:dyDescent="0.35">
      <c r="A9" s="4">
        <v>45482</v>
      </c>
      <c r="B9" s="2" t="s">
        <v>2022</v>
      </c>
      <c r="D9" s="2" t="s">
        <v>23</v>
      </c>
      <c r="E9" s="2" t="s">
        <v>70</v>
      </c>
      <c r="F9" s="5" t="str">
        <f t="shared" si="0"/>
        <v>S/F 00011465 PINTOCOLORS CB</v>
      </c>
      <c r="G9" s="12">
        <f t="shared" si="1"/>
        <v>143.51239669421489</v>
      </c>
      <c r="H9">
        <v>21</v>
      </c>
      <c r="I9" s="5">
        <f t="shared" si="2"/>
        <v>30.137603305785124</v>
      </c>
      <c r="J9" s="5">
        <f t="shared" si="3"/>
        <v>143.51239669421489</v>
      </c>
      <c r="L9" s="5">
        <f t="shared" si="4"/>
        <v>0</v>
      </c>
      <c r="M9" s="8">
        <v>173.65</v>
      </c>
      <c r="N9" s="2" t="s">
        <v>21</v>
      </c>
      <c r="O9" s="3" t="s">
        <v>64</v>
      </c>
      <c r="S9" t="s">
        <v>19</v>
      </c>
    </row>
    <row r="10" spans="1:19" x14ac:dyDescent="0.35">
      <c r="A10" s="4">
        <v>45481</v>
      </c>
      <c r="B10" s="2" t="s">
        <v>2023</v>
      </c>
      <c r="D10" s="2" t="s">
        <v>85</v>
      </c>
      <c r="E10" s="2" t="s">
        <v>32</v>
      </c>
      <c r="F10" s="5" t="str">
        <f t="shared" si="0"/>
        <v>S/F 20240090 XVENT</v>
      </c>
      <c r="G10" s="12">
        <f t="shared" si="1"/>
        <v>1153.2727272727273</v>
      </c>
      <c r="H10">
        <v>21</v>
      </c>
      <c r="I10" s="5">
        <f t="shared" si="2"/>
        <v>242.18727272727273</v>
      </c>
      <c r="J10" s="5">
        <f t="shared" si="3"/>
        <v>1153.2727272727273</v>
      </c>
      <c r="L10" s="5">
        <f t="shared" si="4"/>
        <v>0</v>
      </c>
      <c r="M10" s="8">
        <v>1395.46</v>
      </c>
      <c r="N10" s="2" t="s">
        <v>37</v>
      </c>
      <c r="O10" s="3" t="s">
        <v>68</v>
      </c>
      <c r="S10" t="s">
        <v>19</v>
      </c>
    </row>
    <row r="11" spans="1:19" x14ac:dyDescent="0.35">
      <c r="A11" s="4">
        <v>45477</v>
      </c>
      <c r="B11" s="2" t="s">
        <v>2024</v>
      </c>
      <c r="D11" s="2" t="s">
        <v>2025</v>
      </c>
      <c r="E11" s="2" t="s">
        <v>2026</v>
      </c>
      <c r="F11" s="5" t="str">
        <f t="shared" si="0"/>
        <v>S/F FA2024006499 POPP LIGHTING SL</v>
      </c>
      <c r="G11" s="12">
        <f t="shared" si="1"/>
        <v>679</v>
      </c>
      <c r="H11">
        <v>21</v>
      </c>
      <c r="I11" s="5">
        <f t="shared" si="2"/>
        <v>142.59</v>
      </c>
      <c r="J11" s="5">
        <f t="shared" si="3"/>
        <v>679</v>
      </c>
      <c r="L11" s="5">
        <f t="shared" si="4"/>
        <v>0</v>
      </c>
      <c r="M11" s="8">
        <v>821.59</v>
      </c>
      <c r="N11" s="2" t="s">
        <v>21</v>
      </c>
      <c r="O11" s="3" t="s">
        <v>64</v>
      </c>
      <c r="S11" t="s">
        <v>19</v>
      </c>
    </row>
    <row r="12" spans="1:19" x14ac:dyDescent="0.35">
      <c r="A12" s="4">
        <v>45477</v>
      </c>
      <c r="B12" s="2" t="s">
        <v>2027</v>
      </c>
      <c r="D12" s="2" t="s">
        <v>58</v>
      </c>
      <c r="E12" s="2" t="s">
        <v>2028</v>
      </c>
      <c r="F12" s="5" t="str">
        <f t="shared" si="0"/>
        <v>S/F 073-0007-R081105 BRICOLAJE BRICOMAN</v>
      </c>
      <c r="G12" s="12">
        <f t="shared" si="1"/>
        <v>-8.6694214876033069</v>
      </c>
      <c r="H12">
        <v>21</v>
      </c>
      <c r="I12" s="5">
        <f t="shared" si="2"/>
        <v>-1.8205785123966944</v>
      </c>
      <c r="J12" s="5">
        <f t="shared" si="3"/>
        <v>-8.6694214876033069</v>
      </c>
      <c r="L12" s="5">
        <f t="shared" si="4"/>
        <v>0</v>
      </c>
      <c r="M12" s="8">
        <v>-10.49</v>
      </c>
      <c r="N12" s="2" t="s">
        <v>21</v>
      </c>
      <c r="O12" s="3" t="s">
        <v>64</v>
      </c>
      <c r="S12" t="s">
        <v>19</v>
      </c>
    </row>
    <row r="13" spans="1:19" x14ac:dyDescent="0.35">
      <c r="A13" s="4">
        <v>45483</v>
      </c>
      <c r="B13" s="2" t="s">
        <v>2029</v>
      </c>
      <c r="D13" s="2" t="s">
        <v>85</v>
      </c>
      <c r="E13" s="2" t="s">
        <v>32</v>
      </c>
      <c r="F13" s="5" t="str">
        <f t="shared" si="0"/>
        <v>S/F 20240091 XVENT</v>
      </c>
      <c r="G13" s="12">
        <f t="shared" si="1"/>
        <v>3202.7520661157023</v>
      </c>
      <c r="H13">
        <v>21</v>
      </c>
      <c r="I13" s="5">
        <f t="shared" si="2"/>
        <v>672.57793388429752</v>
      </c>
      <c r="J13" s="5">
        <f t="shared" si="3"/>
        <v>3202.7520661157023</v>
      </c>
      <c r="L13" s="5">
        <f t="shared" si="4"/>
        <v>0</v>
      </c>
      <c r="M13" s="8">
        <v>3875.33</v>
      </c>
      <c r="N13" s="2" t="s">
        <v>37</v>
      </c>
      <c r="O13" s="3" t="s">
        <v>68</v>
      </c>
      <c r="S13" t="s">
        <v>19</v>
      </c>
    </row>
    <row r="14" spans="1:19" x14ac:dyDescent="0.35">
      <c r="A14" s="4">
        <v>45478</v>
      </c>
      <c r="B14" s="2" t="s">
        <v>2030</v>
      </c>
      <c r="D14" s="2" t="s">
        <v>58</v>
      </c>
      <c r="E14" s="2" t="s">
        <v>2028</v>
      </c>
      <c r="F14" s="5" t="str">
        <f t="shared" si="0"/>
        <v>S/F 020-0007-662386 BRICOLAJE BRICOMAN</v>
      </c>
      <c r="G14" s="12">
        <f t="shared" si="1"/>
        <v>302.60330578512395</v>
      </c>
      <c r="H14">
        <v>21</v>
      </c>
      <c r="I14" s="5">
        <f t="shared" si="2"/>
        <v>63.546694214876034</v>
      </c>
      <c r="J14" s="5">
        <f t="shared" si="3"/>
        <v>302.60330578512395</v>
      </c>
      <c r="L14" s="5">
        <f t="shared" si="4"/>
        <v>0</v>
      </c>
      <c r="M14" s="8">
        <v>366.15</v>
      </c>
      <c r="N14" s="2" t="s">
        <v>21</v>
      </c>
      <c r="O14" s="3" t="s">
        <v>64</v>
      </c>
      <c r="S14" t="s">
        <v>19</v>
      </c>
    </row>
    <row r="15" spans="1:19" x14ac:dyDescent="0.35">
      <c r="A15" s="4">
        <v>45483</v>
      </c>
      <c r="B15" s="2" t="s">
        <v>2031</v>
      </c>
      <c r="D15" s="2" t="s">
        <v>94</v>
      </c>
      <c r="E15" s="2" t="s">
        <v>139</v>
      </c>
      <c r="F15" s="5" t="str">
        <f t="shared" si="0"/>
        <v>S/F VEN/20268365 BIGMAT</v>
      </c>
      <c r="G15" s="12">
        <f t="shared" si="1"/>
        <v>4197.8925619834708</v>
      </c>
      <c r="H15">
        <v>21</v>
      </c>
      <c r="I15" s="5">
        <f t="shared" si="2"/>
        <v>881.55743801652886</v>
      </c>
      <c r="J15" s="5">
        <f t="shared" si="3"/>
        <v>4197.8925619834708</v>
      </c>
      <c r="L15" s="5">
        <f t="shared" si="4"/>
        <v>0</v>
      </c>
      <c r="M15" s="8">
        <v>5079.45</v>
      </c>
      <c r="N15" s="2" t="s">
        <v>21</v>
      </c>
      <c r="O15" s="3" t="s">
        <v>67</v>
      </c>
      <c r="S15" t="s">
        <v>19</v>
      </c>
    </row>
    <row r="16" spans="1:19" x14ac:dyDescent="0.35">
      <c r="A16" s="4">
        <v>45483</v>
      </c>
      <c r="B16" s="2" t="s">
        <v>2032</v>
      </c>
      <c r="D16" s="2" t="s">
        <v>2033</v>
      </c>
      <c r="E16" s="2" t="s">
        <v>2034</v>
      </c>
      <c r="F16" s="5" t="str">
        <f t="shared" si="0"/>
        <v>S/F 050 DORU PISCINAS</v>
      </c>
      <c r="G16" s="12">
        <f t="shared" si="1"/>
        <v>1350</v>
      </c>
      <c r="H16">
        <v>21</v>
      </c>
      <c r="I16" s="5">
        <f t="shared" si="2"/>
        <v>283.5</v>
      </c>
      <c r="J16" s="5">
        <f t="shared" si="3"/>
        <v>1350</v>
      </c>
      <c r="L16" s="5">
        <f t="shared" si="4"/>
        <v>0</v>
      </c>
      <c r="M16" s="8">
        <v>1633.5</v>
      </c>
      <c r="N16" s="2" t="s">
        <v>21</v>
      </c>
      <c r="O16" s="3" t="s">
        <v>68</v>
      </c>
      <c r="S16" t="s">
        <v>19</v>
      </c>
    </row>
    <row r="17" spans="1:19" x14ac:dyDescent="0.35">
      <c r="A17" s="4">
        <v>45489</v>
      </c>
      <c r="B17" s="2" t="s">
        <v>2035</v>
      </c>
      <c r="D17" s="2" t="s">
        <v>773</v>
      </c>
      <c r="E17" s="2" t="s">
        <v>774</v>
      </c>
      <c r="F17" s="5" t="str">
        <f t="shared" si="0"/>
        <v>S/F 249000963707 PETROPRIX</v>
      </c>
      <c r="G17" s="12">
        <f t="shared" si="1"/>
        <v>68.173553719008268</v>
      </c>
      <c r="H17">
        <v>21</v>
      </c>
      <c r="I17" s="5">
        <f t="shared" si="2"/>
        <v>14.316446280991736</v>
      </c>
      <c r="J17" s="5">
        <f t="shared" si="3"/>
        <v>68.173553719008268</v>
      </c>
      <c r="L17" s="5">
        <f t="shared" si="4"/>
        <v>0</v>
      </c>
      <c r="M17" s="8">
        <v>82.49</v>
      </c>
      <c r="N17" s="2" t="s">
        <v>22</v>
      </c>
      <c r="S17" t="s">
        <v>19</v>
      </c>
    </row>
    <row r="18" spans="1:19" x14ac:dyDescent="0.35">
      <c r="A18" s="4">
        <v>45486</v>
      </c>
      <c r="B18" s="2" t="s">
        <v>2036</v>
      </c>
      <c r="D18" s="2" t="s">
        <v>25</v>
      </c>
      <c r="E18" s="2" t="s">
        <v>26</v>
      </c>
      <c r="F18" s="5" t="str">
        <f t="shared" si="0"/>
        <v>S/F 230641 SALTOKI</v>
      </c>
      <c r="G18" s="12">
        <f t="shared" si="1"/>
        <v>97.52066115702479</v>
      </c>
      <c r="H18">
        <v>21</v>
      </c>
      <c r="I18" s="5">
        <f t="shared" si="2"/>
        <v>20.479338842975206</v>
      </c>
      <c r="J18" s="5">
        <f t="shared" si="3"/>
        <v>97.52066115702479</v>
      </c>
      <c r="L18" s="5">
        <f t="shared" si="4"/>
        <v>0</v>
      </c>
      <c r="M18" s="8">
        <v>118</v>
      </c>
      <c r="N18" s="2" t="s">
        <v>21</v>
      </c>
      <c r="O18" s="3" t="s">
        <v>67</v>
      </c>
      <c r="S18" t="s">
        <v>19</v>
      </c>
    </row>
    <row r="19" spans="1:19" x14ac:dyDescent="0.35">
      <c r="A19" s="4">
        <v>45486</v>
      </c>
      <c r="B19" s="2" t="s">
        <v>2037</v>
      </c>
      <c r="D19" s="2" t="s">
        <v>25</v>
      </c>
      <c r="E19" s="2" t="s">
        <v>26</v>
      </c>
      <c r="F19" s="5" t="str">
        <f t="shared" si="0"/>
        <v>S/F 230642 SALTOKI</v>
      </c>
      <c r="G19" s="12">
        <f t="shared" si="1"/>
        <v>99.603305785123965</v>
      </c>
      <c r="H19">
        <v>21</v>
      </c>
      <c r="I19" s="5">
        <f t="shared" si="2"/>
        <v>20.916694214876035</v>
      </c>
      <c r="J19" s="5">
        <f t="shared" si="3"/>
        <v>99.603305785123965</v>
      </c>
      <c r="L19" s="5">
        <f t="shared" si="4"/>
        <v>0</v>
      </c>
      <c r="M19" s="8">
        <v>120.52</v>
      </c>
      <c r="N19" s="2" t="s">
        <v>21</v>
      </c>
      <c r="O19" s="3" t="s">
        <v>67</v>
      </c>
      <c r="S19" t="s">
        <v>19</v>
      </c>
    </row>
    <row r="20" spans="1:19" x14ac:dyDescent="0.35">
      <c r="A20" s="4">
        <v>45485</v>
      </c>
      <c r="B20" s="2" t="s">
        <v>2038</v>
      </c>
      <c r="D20" s="2" t="s">
        <v>1343</v>
      </c>
      <c r="E20" s="2" t="s">
        <v>1344</v>
      </c>
      <c r="F20" s="5" t="str">
        <f t="shared" si="0"/>
        <v>S/F FAC 2024000302 AUTOS GAITAN SERVICE SLU</v>
      </c>
      <c r="G20" s="12">
        <f t="shared" si="1"/>
        <v>826.44628099173553</v>
      </c>
      <c r="H20">
        <v>21</v>
      </c>
      <c r="I20" s="5">
        <f t="shared" si="2"/>
        <v>173.55371900826447</v>
      </c>
      <c r="J20" s="5">
        <f t="shared" si="3"/>
        <v>826.44628099173553</v>
      </c>
      <c r="L20" s="5">
        <f t="shared" si="4"/>
        <v>0</v>
      </c>
      <c r="M20" s="8">
        <v>1000</v>
      </c>
      <c r="N20" s="2" t="s">
        <v>53</v>
      </c>
      <c r="O20" s="3" t="s">
        <v>68</v>
      </c>
      <c r="S20" t="s">
        <v>19</v>
      </c>
    </row>
    <row r="21" spans="1:19" x14ac:dyDescent="0.35">
      <c r="A21" s="4">
        <v>45488</v>
      </c>
      <c r="B21" s="2" t="s">
        <v>2039</v>
      </c>
      <c r="D21" s="2" t="s">
        <v>200</v>
      </c>
      <c r="E21" s="2" t="s">
        <v>186</v>
      </c>
      <c r="F21" s="5" t="str">
        <f t="shared" si="0"/>
        <v>S/F 0123672 I.D.F. SUMINISTROS INDUSTRIALES</v>
      </c>
      <c r="G21" s="12">
        <f t="shared" si="1"/>
        <v>128.099173553719</v>
      </c>
      <c r="H21">
        <v>21</v>
      </c>
      <c r="I21" s="5">
        <f t="shared" si="2"/>
        <v>26.900826446280988</v>
      </c>
      <c r="J21" s="5">
        <f t="shared" si="3"/>
        <v>128.099173553719</v>
      </c>
      <c r="L21" s="5">
        <f t="shared" si="4"/>
        <v>0</v>
      </c>
      <c r="M21" s="8">
        <v>155</v>
      </c>
      <c r="N21" s="2" t="s">
        <v>21</v>
      </c>
      <c r="O21" s="3" t="s">
        <v>67</v>
      </c>
      <c r="S21" t="s">
        <v>19</v>
      </c>
    </row>
    <row r="22" spans="1:19" x14ac:dyDescent="0.35">
      <c r="A22" s="4">
        <v>45484</v>
      </c>
      <c r="B22" s="2" t="s">
        <v>2040</v>
      </c>
      <c r="D22" s="2" t="s">
        <v>109</v>
      </c>
      <c r="E22" s="2" t="s">
        <v>42</v>
      </c>
      <c r="F22" s="5" t="str">
        <f t="shared" si="0"/>
        <v>S/F 24111440 DISCESUR</v>
      </c>
      <c r="G22" s="12">
        <f t="shared" si="1"/>
        <v>1892.909090909091</v>
      </c>
      <c r="H22">
        <v>21</v>
      </c>
      <c r="I22" s="5">
        <f t="shared" si="2"/>
        <v>397.51090909090914</v>
      </c>
      <c r="J22" s="5">
        <f t="shared" si="3"/>
        <v>1892.909090909091</v>
      </c>
      <c r="L22" s="5">
        <f t="shared" si="4"/>
        <v>0</v>
      </c>
      <c r="M22" s="8">
        <v>2290.42</v>
      </c>
      <c r="N22" s="2" t="s">
        <v>21</v>
      </c>
      <c r="O22" s="3" t="s">
        <v>67</v>
      </c>
      <c r="S22" t="s">
        <v>19</v>
      </c>
    </row>
    <row r="23" spans="1:19" x14ac:dyDescent="0.35">
      <c r="A23" s="4">
        <v>45397</v>
      </c>
      <c r="B23" s="2" t="s">
        <v>2041</v>
      </c>
      <c r="D23" s="2" t="s">
        <v>109</v>
      </c>
      <c r="E23" s="2" t="s">
        <v>42</v>
      </c>
      <c r="F23" s="5" t="str">
        <f t="shared" si="0"/>
        <v>S/F 24111763 DISCESUR</v>
      </c>
      <c r="G23" s="12">
        <f t="shared" si="1"/>
        <v>425.3305785123967</v>
      </c>
      <c r="H23">
        <v>21</v>
      </c>
      <c r="I23" s="5">
        <f t="shared" si="2"/>
        <v>89.319421487603307</v>
      </c>
      <c r="J23" s="5">
        <f t="shared" si="3"/>
        <v>425.3305785123967</v>
      </c>
      <c r="L23" s="5">
        <f t="shared" si="4"/>
        <v>0</v>
      </c>
      <c r="M23" s="8">
        <v>514.65</v>
      </c>
      <c r="N23" s="2" t="s">
        <v>21</v>
      </c>
      <c r="O23" s="3" t="s">
        <v>67</v>
      </c>
      <c r="S23" t="s">
        <v>19</v>
      </c>
    </row>
    <row r="24" spans="1:19" x14ac:dyDescent="0.35">
      <c r="A24" s="4">
        <v>45488</v>
      </c>
      <c r="B24" s="2" t="s">
        <v>2042</v>
      </c>
      <c r="D24" s="2" t="s">
        <v>109</v>
      </c>
      <c r="E24" s="2" t="s">
        <v>42</v>
      </c>
      <c r="F24" s="5" t="str">
        <f t="shared" si="0"/>
        <v>S/F 24111764 DISCESUR</v>
      </c>
      <c r="G24" s="12">
        <f t="shared" si="1"/>
        <v>225</v>
      </c>
      <c r="H24">
        <v>21</v>
      </c>
      <c r="I24" s="5">
        <f t="shared" si="2"/>
        <v>47.25</v>
      </c>
      <c r="J24" s="5">
        <f t="shared" si="3"/>
        <v>225</v>
      </c>
      <c r="L24" s="5">
        <f t="shared" si="4"/>
        <v>0</v>
      </c>
      <c r="M24" s="8">
        <v>272.25</v>
      </c>
      <c r="N24" s="2" t="s">
        <v>21</v>
      </c>
      <c r="O24" s="3" t="s">
        <v>67</v>
      </c>
      <c r="S24" t="s">
        <v>19</v>
      </c>
    </row>
    <row r="25" spans="1:19" x14ac:dyDescent="0.35">
      <c r="A25" s="4">
        <v>45488</v>
      </c>
      <c r="B25" s="2" t="s">
        <v>2043</v>
      </c>
      <c r="D25" s="2" t="s">
        <v>109</v>
      </c>
      <c r="E25" s="2" t="s">
        <v>42</v>
      </c>
      <c r="F25" s="5" t="str">
        <f t="shared" si="0"/>
        <v>S/F 24111765 DISCESUR</v>
      </c>
      <c r="G25" s="12">
        <f t="shared" si="1"/>
        <v>1052.2479338842975</v>
      </c>
      <c r="H25">
        <v>21</v>
      </c>
      <c r="I25" s="5">
        <f t="shared" si="2"/>
        <v>220.97206611570246</v>
      </c>
      <c r="J25" s="5">
        <f t="shared" si="3"/>
        <v>1052.2479338842975</v>
      </c>
      <c r="L25" s="5">
        <f t="shared" si="4"/>
        <v>0</v>
      </c>
      <c r="M25" s="8">
        <v>1273.22</v>
      </c>
      <c r="N25" s="2" t="s">
        <v>21</v>
      </c>
      <c r="O25" s="3" t="s">
        <v>67</v>
      </c>
      <c r="S25" t="s">
        <v>19</v>
      </c>
    </row>
    <row r="26" spans="1:19" x14ac:dyDescent="0.35">
      <c r="A26" s="4">
        <v>45482</v>
      </c>
      <c r="B26" s="2" t="s">
        <v>307</v>
      </c>
      <c r="D26" s="2" t="s">
        <v>145</v>
      </c>
      <c r="E26" s="2" t="s">
        <v>146</v>
      </c>
      <c r="F26" s="5" t="str">
        <f t="shared" si="0"/>
        <v>S/F 10 DAVID MARGIN</v>
      </c>
      <c r="G26" s="12">
        <f t="shared" si="1"/>
        <v>3768</v>
      </c>
      <c r="H26">
        <v>21</v>
      </c>
      <c r="I26" s="5">
        <f t="shared" si="2"/>
        <v>791.28</v>
      </c>
      <c r="J26" s="5">
        <f t="shared" si="3"/>
        <v>3768</v>
      </c>
      <c r="L26" s="5">
        <f t="shared" si="4"/>
        <v>0</v>
      </c>
      <c r="M26" s="8">
        <v>4559.28</v>
      </c>
      <c r="N26" s="2" t="s">
        <v>37</v>
      </c>
      <c r="O26" s="3" t="s">
        <v>68</v>
      </c>
      <c r="S26" t="s">
        <v>19</v>
      </c>
    </row>
    <row r="27" spans="1:19" x14ac:dyDescent="0.35">
      <c r="A27" s="4">
        <v>45488</v>
      </c>
      <c r="B27" s="2" t="s">
        <v>1026</v>
      </c>
      <c r="D27" s="2" t="s">
        <v>234</v>
      </c>
      <c r="E27" s="2" t="s">
        <v>235</v>
      </c>
      <c r="F27" s="5" t="str">
        <f t="shared" si="0"/>
        <v>S/F 09/24 VIOREL ROBCIUC</v>
      </c>
      <c r="G27" s="12">
        <f t="shared" si="1"/>
        <v>661.15702479338847</v>
      </c>
      <c r="H27">
        <v>21</v>
      </c>
      <c r="I27" s="5">
        <f t="shared" si="2"/>
        <v>138.84297520661158</v>
      </c>
      <c r="J27" s="5">
        <f t="shared" si="3"/>
        <v>661.15702479338847</v>
      </c>
      <c r="L27" s="5">
        <f t="shared" si="4"/>
        <v>0</v>
      </c>
      <c r="M27" s="8">
        <v>800</v>
      </c>
      <c r="N27" s="2" t="s">
        <v>37</v>
      </c>
      <c r="O27" s="3" t="s">
        <v>68</v>
      </c>
      <c r="S27" t="s">
        <v>19</v>
      </c>
    </row>
    <row r="28" spans="1:19" x14ac:dyDescent="0.35">
      <c r="A28" s="4">
        <v>45489</v>
      </c>
      <c r="B28" s="2" t="s">
        <v>2077</v>
      </c>
      <c r="D28" s="2" t="s">
        <v>738</v>
      </c>
      <c r="E28" s="2" t="s">
        <v>739</v>
      </c>
      <c r="F28" s="5" t="str">
        <f t="shared" si="0"/>
        <v>S/F 1 24 0005 0002807030 DECATHLON</v>
      </c>
      <c r="G28" s="12">
        <f t="shared" si="1"/>
        <v>390.77685950413223</v>
      </c>
      <c r="H28">
        <v>21</v>
      </c>
      <c r="I28" s="5">
        <f t="shared" si="2"/>
        <v>82.063140495867771</v>
      </c>
      <c r="J28" s="5">
        <f t="shared" si="3"/>
        <v>390.77685950413223</v>
      </c>
      <c r="L28" s="5">
        <f t="shared" si="4"/>
        <v>0</v>
      </c>
      <c r="M28" s="8">
        <v>472.84</v>
      </c>
      <c r="N28" s="2" t="s">
        <v>21</v>
      </c>
      <c r="O28" s="3" t="s">
        <v>63</v>
      </c>
      <c r="S28" t="s">
        <v>19</v>
      </c>
    </row>
    <row r="29" spans="1:19" x14ac:dyDescent="0.35">
      <c r="A29" s="4">
        <v>45489</v>
      </c>
      <c r="B29" s="2" t="s">
        <v>2078</v>
      </c>
      <c r="D29" s="2" t="s">
        <v>23</v>
      </c>
      <c r="E29" s="2" t="s">
        <v>70</v>
      </c>
      <c r="F29" s="5" t="str">
        <f t="shared" si="0"/>
        <v>S/F 00011497 PINTOCOLORS CB</v>
      </c>
      <c r="G29" s="12">
        <f t="shared" si="1"/>
        <v>43.561983471074385</v>
      </c>
      <c r="H29">
        <v>21</v>
      </c>
      <c r="I29" s="5">
        <f t="shared" si="2"/>
        <v>9.1480165289256199</v>
      </c>
      <c r="J29" s="5">
        <f t="shared" si="3"/>
        <v>43.561983471074385</v>
      </c>
      <c r="L29" s="5">
        <f t="shared" si="4"/>
        <v>0</v>
      </c>
      <c r="M29" s="8">
        <v>52.71</v>
      </c>
      <c r="N29" s="2" t="s">
        <v>21</v>
      </c>
      <c r="O29" s="3" t="s">
        <v>64</v>
      </c>
      <c r="S29" t="s">
        <v>19</v>
      </c>
    </row>
    <row r="30" spans="1:19" x14ac:dyDescent="0.35">
      <c r="A30" s="4">
        <v>45476</v>
      </c>
      <c r="B30" s="2" t="s">
        <v>133</v>
      </c>
      <c r="D30" s="2" t="s">
        <v>134</v>
      </c>
      <c r="E30" s="2" t="s">
        <v>143</v>
      </c>
      <c r="F30" s="5" t="str">
        <f t="shared" si="0"/>
        <v>S/F 55 IOAN NICULAI</v>
      </c>
      <c r="G30" s="12">
        <f t="shared" si="1"/>
        <v>9295</v>
      </c>
      <c r="H30">
        <v>21</v>
      </c>
      <c r="I30" s="5">
        <f t="shared" si="2"/>
        <v>1951.95</v>
      </c>
      <c r="J30" s="5">
        <f t="shared" si="3"/>
        <v>9295</v>
      </c>
      <c r="L30" s="5">
        <f t="shared" si="4"/>
        <v>0</v>
      </c>
      <c r="M30" s="8">
        <v>11246.95</v>
      </c>
      <c r="N30" s="2" t="s">
        <v>37</v>
      </c>
      <c r="O30" s="3" t="s">
        <v>68</v>
      </c>
      <c r="S30" t="s">
        <v>19</v>
      </c>
    </row>
    <row r="31" spans="1:19" x14ac:dyDescent="0.35">
      <c r="A31" s="4">
        <v>45504</v>
      </c>
      <c r="B31" s="2" t="s">
        <v>2112</v>
      </c>
      <c r="D31" s="2" t="s">
        <v>27</v>
      </c>
      <c r="E31" s="2" t="s">
        <v>2113</v>
      </c>
      <c r="F31" s="5" t="str">
        <f t="shared" si="0"/>
        <v>S/F 2024/000344 PADRISA</v>
      </c>
      <c r="G31" s="12">
        <f t="shared" si="1"/>
        <v>1880.8760330578514</v>
      </c>
      <c r="H31">
        <v>21</v>
      </c>
      <c r="I31" s="5">
        <f t="shared" si="2"/>
        <v>394.98396694214875</v>
      </c>
      <c r="J31" s="5">
        <f t="shared" si="3"/>
        <v>1880.8760330578514</v>
      </c>
      <c r="L31" s="5">
        <f t="shared" si="4"/>
        <v>0</v>
      </c>
      <c r="M31" s="8">
        <v>2275.86</v>
      </c>
      <c r="N31" s="2" t="s">
        <v>53</v>
      </c>
      <c r="O31" s="3" t="s">
        <v>68</v>
      </c>
      <c r="S31" t="s">
        <v>19</v>
      </c>
    </row>
    <row r="32" spans="1:19" x14ac:dyDescent="0.35">
      <c r="A32" s="4">
        <v>45504</v>
      </c>
      <c r="B32" s="2" t="s">
        <v>2114</v>
      </c>
      <c r="D32" s="2" t="s">
        <v>2115</v>
      </c>
      <c r="E32" s="2" t="s">
        <v>2116</v>
      </c>
      <c r="F32" s="5" t="str">
        <f t="shared" si="0"/>
        <v>S/F 178213 TRABADO RESTAURACION SLU</v>
      </c>
      <c r="G32" s="12">
        <f t="shared" si="1"/>
        <v>109.09090909090908</v>
      </c>
      <c r="H32">
        <v>10</v>
      </c>
      <c r="I32" s="5">
        <f t="shared" si="2"/>
        <v>10.909090909090908</v>
      </c>
      <c r="J32" s="5">
        <f t="shared" si="3"/>
        <v>109.09090909090908</v>
      </c>
      <c r="L32" s="5">
        <f t="shared" si="4"/>
        <v>0</v>
      </c>
      <c r="M32" s="8">
        <v>120</v>
      </c>
      <c r="N32" s="2" t="s">
        <v>28</v>
      </c>
      <c r="O32" s="3" t="s">
        <v>64</v>
      </c>
      <c r="S32" t="s">
        <v>19</v>
      </c>
    </row>
    <row r="33" spans="1:19" x14ac:dyDescent="0.35">
      <c r="A33" s="4">
        <v>45495</v>
      </c>
      <c r="B33" s="2" t="s">
        <v>2118</v>
      </c>
      <c r="D33" s="2" t="s">
        <v>2119</v>
      </c>
      <c r="E33" s="2" t="s">
        <v>2120</v>
      </c>
      <c r="F33" s="5" t="str">
        <f t="shared" si="0"/>
        <v>S/F NTV24000935 NAUT VIAJES SL</v>
      </c>
      <c r="G33" s="12">
        <f t="shared" si="1"/>
        <v>173.55371900826447</v>
      </c>
      <c r="H33">
        <v>21</v>
      </c>
      <c r="I33" s="5">
        <f t="shared" si="2"/>
        <v>36.446280991735541</v>
      </c>
      <c r="J33" s="5">
        <f t="shared" si="3"/>
        <v>173.55371900826447</v>
      </c>
      <c r="L33" s="5">
        <f t="shared" si="4"/>
        <v>0</v>
      </c>
      <c r="M33" s="8">
        <v>210</v>
      </c>
      <c r="N33" s="2" t="s">
        <v>21</v>
      </c>
      <c r="O33" s="3" t="s">
        <v>63</v>
      </c>
      <c r="S33" t="s">
        <v>19</v>
      </c>
    </row>
    <row r="34" spans="1:19" x14ac:dyDescent="0.35">
      <c r="A34" s="4">
        <v>45495</v>
      </c>
      <c r="B34" s="2" t="s">
        <v>2121</v>
      </c>
      <c r="D34" s="2" t="s">
        <v>2119</v>
      </c>
      <c r="E34" s="2" t="s">
        <v>2120</v>
      </c>
      <c r="F34" s="5" t="str">
        <f t="shared" si="0"/>
        <v>S/F NTV24000936 NAUT VIAJES SL</v>
      </c>
      <c r="G34" s="12">
        <v>34.71</v>
      </c>
      <c r="H34">
        <v>21</v>
      </c>
      <c r="I34" s="5">
        <f t="shared" si="2"/>
        <v>7.2890999999999995</v>
      </c>
      <c r="J34" s="5">
        <v>22.73</v>
      </c>
      <c r="K34" s="5">
        <v>10</v>
      </c>
      <c r="L34" s="5">
        <f t="shared" si="4"/>
        <v>2.2730000000000001</v>
      </c>
      <c r="M34" s="8">
        <v>430</v>
      </c>
      <c r="N34" s="2" t="s">
        <v>21</v>
      </c>
      <c r="O34" s="3" t="s">
        <v>63</v>
      </c>
      <c r="S34" t="s">
        <v>19</v>
      </c>
    </row>
    <row r="35" spans="1:19" x14ac:dyDescent="0.35">
      <c r="A35" s="4">
        <v>45490</v>
      </c>
      <c r="B35" s="2" t="s">
        <v>2122</v>
      </c>
      <c r="D35" s="2" t="s">
        <v>59</v>
      </c>
      <c r="E35" s="2" t="s">
        <v>43</v>
      </c>
      <c r="F35" s="5" t="str">
        <f t="shared" si="0"/>
        <v>S/F AT9241429105078 EUGENIO PEREDA</v>
      </c>
      <c r="G35" s="12">
        <f t="shared" si="1"/>
        <v>1913.2231404958679</v>
      </c>
      <c r="H35">
        <v>21</v>
      </c>
      <c r="I35" s="5">
        <f t="shared" si="2"/>
        <v>401.77685950413229</v>
      </c>
      <c r="J35" s="5">
        <f t="shared" si="3"/>
        <v>1913.2231404958679</v>
      </c>
      <c r="L35" s="5">
        <f t="shared" si="4"/>
        <v>0</v>
      </c>
      <c r="M35" s="8">
        <v>2315</v>
      </c>
      <c r="N35" s="2" t="s">
        <v>21</v>
      </c>
      <c r="O35" s="3" t="s">
        <v>68</v>
      </c>
      <c r="S35" t="s">
        <v>19</v>
      </c>
    </row>
    <row r="36" spans="1:19" x14ac:dyDescent="0.35">
      <c r="A36" s="4">
        <v>45499</v>
      </c>
      <c r="B36" s="2" t="s">
        <v>2123</v>
      </c>
      <c r="D36" s="2" t="s">
        <v>2124</v>
      </c>
      <c r="E36" s="2" t="s">
        <v>2125</v>
      </c>
      <c r="F36" s="5" t="str">
        <f t="shared" si="0"/>
        <v>S/F 240908 IBP S.L.</v>
      </c>
      <c r="G36" s="12">
        <f t="shared" si="1"/>
        <v>237.67768595041321</v>
      </c>
      <c r="H36">
        <v>21</v>
      </c>
      <c r="I36" s="5">
        <f t="shared" si="2"/>
        <v>49.912314049586776</v>
      </c>
      <c r="J36" s="5">
        <f t="shared" si="3"/>
        <v>237.67768595041321</v>
      </c>
      <c r="L36" s="5">
        <f t="shared" si="4"/>
        <v>0</v>
      </c>
      <c r="M36" s="8">
        <v>287.58999999999997</v>
      </c>
      <c r="N36" s="2" t="s">
        <v>21</v>
      </c>
      <c r="O36" s="3" t="s">
        <v>68</v>
      </c>
      <c r="S36" t="s">
        <v>19</v>
      </c>
    </row>
    <row r="37" spans="1:19" x14ac:dyDescent="0.35">
      <c r="A37" s="4">
        <v>45503</v>
      </c>
      <c r="B37" s="2" t="s">
        <v>1852</v>
      </c>
      <c r="D37" s="2" t="s">
        <v>234</v>
      </c>
      <c r="E37" s="2" t="s">
        <v>235</v>
      </c>
      <c r="F37" s="5" t="str">
        <f t="shared" si="0"/>
        <v>S/F 10/24 VIOREL ROBCIUC</v>
      </c>
      <c r="G37" s="12">
        <f t="shared" si="1"/>
        <v>1570.2479338842975</v>
      </c>
      <c r="H37">
        <v>21</v>
      </c>
      <c r="I37" s="5">
        <f t="shared" si="2"/>
        <v>329.75206611570246</v>
      </c>
      <c r="J37" s="5">
        <f t="shared" si="3"/>
        <v>1570.2479338842975</v>
      </c>
      <c r="L37" s="5">
        <f t="shared" si="4"/>
        <v>0</v>
      </c>
      <c r="M37" s="8">
        <v>1900</v>
      </c>
      <c r="N37" s="2" t="s">
        <v>37</v>
      </c>
      <c r="O37" s="3" t="s">
        <v>68</v>
      </c>
      <c r="S37" t="s">
        <v>19</v>
      </c>
    </row>
    <row r="38" spans="1:19" x14ac:dyDescent="0.35">
      <c r="A38" s="4">
        <v>45440</v>
      </c>
      <c r="B38" s="2" t="s">
        <v>2126</v>
      </c>
      <c r="D38" s="2" t="s">
        <v>1119</v>
      </c>
      <c r="E38" s="2" t="s">
        <v>2127</v>
      </c>
      <c r="F38" s="5" t="str">
        <f t="shared" si="0"/>
        <v>S/F 452702635 GUARCONSA</v>
      </c>
      <c r="G38" s="12">
        <f t="shared" si="1"/>
        <v>48.685950413223139</v>
      </c>
      <c r="H38">
        <v>21</v>
      </c>
      <c r="I38" s="5">
        <f t="shared" si="2"/>
        <v>10.224049586776859</v>
      </c>
      <c r="J38" s="5">
        <f t="shared" si="3"/>
        <v>48.685950413223139</v>
      </c>
      <c r="L38" s="5">
        <f t="shared" si="4"/>
        <v>0</v>
      </c>
      <c r="M38" s="8">
        <v>58.91</v>
      </c>
      <c r="N38" s="2" t="s">
        <v>21</v>
      </c>
      <c r="O38" s="3" t="s">
        <v>63</v>
      </c>
      <c r="S38" t="s">
        <v>19</v>
      </c>
    </row>
    <row r="39" spans="1:19" x14ac:dyDescent="0.35">
      <c r="A39" s="4">
        <v>45440</v>
      </c>
      <c r="B39" s="2" t="s">
        <v>2128</v>
      </c>
      <c r="D39" s="2" t="s">
        <v>1119</v>
      </c>
      <c r="E39" s="2" t="s">
        <v>2127</v>
      </c>
      <c r="F39" s="5" t="str">
        <f t="shared" si="0"/>
        <v>S/F 451700249 GUARCONSA</v>
      </c>
      <c r="G39" s="12">
        <f t="shared" si="1"/>
        <v>-67.32231404958678</v>
      </c>
      <c r="H39">
        <v>21</v>
      </c>
      <c r="I39" s="5">
        <f t="shared" si="2"/>
        <v>-14.137685950413225</v>
      </c>
      <c r="J39" s="5">
        <f t="shared" si="3"/>
        <v>-67.32231404958678</v>
      </c>
      <c r="L39" s="5">
        <f t="shared" si="4"/>
        <v>0</v>
      </c>
      <c r="M39" s="8">
        <v>-81.459999999999994</v>
      </c>
      <c r="N39" s="2" t="s">
        <v>21</v>
      </c>
      <c r="O39" s="3" t="s">
        <v>63</v>
      </c>
      <c r="S39" t="s">
        <v>19</v>
      </c>
    </row>
    <row r="40" spans="1:19" x14ac:dyDescent="0.35">
      <c r="A40" s="4">
        <v>45440</v>
      </c>
      <c r="B40" s="2" t="s">
        <v>2129</v>
      </c>
      <c r="D40" s="2" t="s">
        <v>2130</v>
      </c>
      <c r="E40" s="2" t="s">
        <v>2131</v>
      </c>
      <c r="F40" s="5" t="str">
        <f t="shared" si="0"/>
        <v>S/F 422703827 SUMINISTROS ELECTRICOS MADRID</v>
      </c>
      <c r="G40" s="12">
        <f t="shared" si="1"/>
        <v>93.553719008264466</v>
      </c>
      <c r="H40">
        <v>21</v>
      </c>
      <c r="I40" s="5">
        <f t="shared" si="2"/>
        <v>19.646280991735537</v>
      </c>
      <c r="J40" s="5">
        <f t="shared" si="3"/>
        <v>93.553719008264466</v>
      </c>
      <c r="L40" s="5">
        <f t="shared" si="4"/>
        <v>0</v>
      </c>
      <c r="M40" s="8">
        <v>113.2</v>
      </c>
      <c r="N40" s="2" t="s">
        <v>21</v>
      </c>
      <c r="O40" s="3" t="s">
        <v>63</v>
      </c>
      <c r="S40" t="s">
        <v>19</v>
      </c>
    </row>
    <row r="41" spans="1:19" x14ac:dyDescent="0.35">
      <c r="A41" s="4">
        <v>45416</v>
      </c>
      <c r="B41" s="2" t="s">
        <v>2132</v>
      </c>
      <c r="D41" s="2" t="s">
        <v>58</v>
      </c>
      <c r="E41" s="2" t="s">
        <v>2028</v>
      </c>
      <c r="F41" s="5" t="str">
        <f t="shared" si="0"/>
        <v>S/F 007-0005-530647 BRICOLAJE BRICOMAN</v>
      </c>
      <c r="G41" s="12">
        <f t="shared" si="1"/>
        <v>46.206611570247929</v>
      </c>
      <c r="H41">
        <v>21</v>
      </c>
      <c r="I41" s="5">
        <f t="shared" si="2"/>
        <v>9.7033884297520654</v>
      </c>
      <c r="J41" s="5">
        <f t="shared" si="3"/>
        <v>46.206611570247929</v>
      </c>
      <c r="L41" s="5">
        <f t="shared" si="4"/>
        <v>0</v>
      </c>
      <c r="M41" s="8">
        <v>55.91</v>
      </c>
      <c r="N41" s="2" t="s">
        <v>21</v>
      </c>
      <c r="O41" s="3" t="s">
        <v>64</v>
      </c>
      <c r="S41" t="s">
        <v>19</v>
      </c>
    </row>
    <row r="42" spans="1:19" x14ac:dyDescent="0.35">
      <c r="A42" s="4">
        <v>45476</v>
      </c>
      <c r="B42" s="2" t="s">
        <v>2133</v>
      </c>
      <c r="D42" s="2" t="s">
        <v>94</v>
      </c>
      <c r="E42" s="2" t="s">
        <v>139</v>
      </c>
      <c r="F42" s="5" t="str">
        <f t="shared" si="0"/>
        <v>S/F 00001-2024/a0602/00000865 BIGMAT</v>
      </c>
      <c r="G42" s="12">
        <f t="shared" si="1"/>
        <v>8.1570247933884286</v>
      </c>
      <c r="H42">
        <v>21</v>
      </c>
      <c r="I42" s="5">
        <f t="shared" si="2"/>
        <v>1.71297520661157</v>
      </c>
      <c r="J42" s="5">
        <f t="shared" si="3"/>
        <v>8.1570247933884286</v>
      </c>
      <c r="L42" s="5">
        <f t="shared" si="4"/>
        <v>0</v>
      </c>
      <c r="M42" s="8">
        <v>9.8699999999999992</v>
      </c>
      <c r="N42" s="2" t="s">
        <v>21</v>
      </c>
      <c r="O42" s="3" t="s">
        <v>64</v>
      </c>
      <c r="S42" t="s">
        <v>19</v>
      </c>
    </row>
    <row r="43" spans="1:19" x14ac:dyDescent="0.35">
      <c r="A43" s="4">
        <v>45450</v>
      </c>
      <c r="B43" s="2" t="s">
        <v>2134</v>
      </c>
      <c r="D43" s="2" t="s">
        <v>58</v>
      </c>
      <c r="E43" s="2" t="s">
        <v>2028</v>
      </c>
      <c r="F43" s="5" t="str">
        <f t="shared" si="0"/>
        <v>S/F 011-0006-930374 BRICOLAJE BRICOMAN</v>
      </c>
      <c r="G43" s="12">
        <f t="shared" si="1"/>
        <v>22.760330578512395</v>
      </c>
      <c r="H43">
        <v>21</v>
      </c>
      <c r="I43" s="5">
        <f t="shared" si="2"/>
        <v>4.7796694214876023</v>
      </c>
      <c r="J43" s="5">
        <f t="shared" si="3"/>
        <v>22.760330578512395</v>
      </c>
      <c r="L43" s="5">
        <f t="shared" si="4"/>
        <v>0</v>
      </c>
      <c r="M43" s="8">
        <v>27.54</v>
      </c>
      <c r="N43" s="2" t="s">
        <v>21</v>
      </c>
      <c r="O43" s="3" t="s">
        <v>64</v>
      </c>
      <c r="S43" t="s">
        <v>19</v>
      </c>
    </row>
    <row r="44" spans="1:19" x14ac:dyDescent="0.35">
      <c r="A44" s="4">
        <v>45476</v>
      </c>
      <c r="B44" s="2" t="s">
        <v>2135</v>
      </c>
      <c r="D44" s="2" t="s">
        <v>59</v>
      </c>
      <c r="E44" s="2" t="s">
        <v>43</v>
      </c>
      <c r="F44" s="5" t="str">
        <f t="shared" si="0"/>
        <v>S/F AT1241241103465 EUGENIO PEREDA</v>
      </c>
      <c r="G44" s="12">
        <f t="shared" si="1"/>
        <v>123.96694214876034</v>
      </c>
      <c r="H44">
        <v>21</v>
      </c>
      <c r="I44" s="5">
        <f t="shared" si="2"/>
        <v>26.033057851239672</v>
      </c>
      <c r="J44" s="5">
        <f t="shared" si="3"/>
        <v>123.96694214876034</v>
      </c>
      <c r="L44" s="5">
        <f t="shared" si="4"/>
        <v>0</v>
      </c>
      <c r="M44" s="8">
        <v>150</v>
      </c>
      <c r="N44" s="2" t="s">
        <v>21</v>
      </c>
      <c r="S44" t="s">
        <v>19</v>
      </c>
    </row>
    <row r="45" spans="1:19" x14ac:dyDescent="0.35">
      <c r="A45" s="4">
        <v>45458</v>
      </c>
      <c r="B45" s="2" t="s">
        <v>2136</v>
      </c>
      <c r="D45" s="2" t="s">
        <v>58</v>
      </c>
      <c r="E45" s="2" t="s">
        <v>2028</v>
      </c>
      <c r="F45" s="5" t="str">
        <f t="shared" si="0"/>
        <v>S/F 011-0006-944634 BRICOLAJE BRICOMAN</v>
      </c>
      <c r="G45" s="12">
        <f t="shared" si="1"/>
        <v>22.520661157024794</v>
      </c>
      <c r="H45">
        <v>21</v>
      </c>
      <c r="I45" s="5">
        <f t="shared" si="2"/>
        <v>4.7293388429752063</v>
      </c>
      <c r="J45" s="5">
        <f t="shared" si="3"/>
        <v>22.520661157024794</v>
      </c>
      <c r="L45" s="5">
        <f t="shared" si="4"/>
        <v>0</v>
      </c>
      <c r="M45" s="8">
        <v>27.25</v>
      </c>
      <c r="N45" s="2" t="s">
        <v>21</v>
      </c>
      <c r="O45" s="3" t="s">
        <v>63</v>
      </c>
      <c r="S45" t="s">
        <v>19</v>
      </c>
    </row>
    <row r="46" spans="1:19" x14ac:dyDescent="0.35">
      <c r="A46" s="4">
        <v>45470</v>
      </c>
      <c r="B46" s="2" t="s">
        <v>2137</v>
      </c>
      <c r="D46" s="2" t="s">
        <v>57</v>
      </c>
      <c r="E46" s="2" t="s">
        <v>44</v>
      </c>
      <c r="F46" s="5" t="str">
        <f t="shared" si="0"/>
        <v>S/F 045-0006-402601 LEROY MERLIN</v>
      </c>
      <c r="G46" s="12">
        <f t="shared" si="1"/>
        <v>59.115702479338843</v>
      </c>
      <c r="H46">
        <v>21</v>
      </c>
      <c r="I46" s="5">
        <f t="shared" si="2"/>
        <v>12.414297520661158</v>
      </c>
      <c r="J46" s="5">
        <f t="shared" si="3"/>
        <v>59.115702479338843</v>
      </c>
      <c r="L46" s="5">
        <f t="shared" si="4"/>
        <v>0</v>
      </c>
      <c r="M46" s="8">
        <v>71.53</v>
      </c>
      <c r="N46" s="2" t="s">
        <v>21</v>
      </c>
      <c r="O46" s="3" t="s">
        <v>63</v>
      </c>
      <c r="S46" t="s">
        <v>19</v>
      </c>
    </row>
    <row r="47" spans="1:19" x14ac:dyDescent="0.35">
      <c r="A47" s="4">
        <v>45482</v>
      </c>
      <c r="B47" s="2" t="s">
        <v>2138</v>
      </c>
      <c r="D47" s="2" t="s">
        <v>57</v>
      </c>
      <c r="E47" s="2" t="s">
        <v>44</v>
      </c>
      <c r="F47" s="5" t="str">
        <f t="shared" si="0"/>
        <v>S/F 046-0007-966536 LEROY MERLIN</v>
      </c>
      <c r="G47" s="12">
        <f t="shared" si="1"/>
        <v>9.0495867768595044</v>
      </c>
      <c r="H47">
        <v>21</v>
      </c>
      <c r="I47" s="5">
        <f t="shared" si="2"/>
        <v>1.9004132231404958</v>
      </c>
      <c r="J47" s="5">
        <f t="shared" si="3"/>
        <v>9.0495867768595044</v>
      </c>
      <c r="L47" s="5">
        <f t="shared" si="4"/>
        <v>0</v>
      </c>
      <c r="M47" s="8">
        <v>10.95</v>
      </c>
      <c r="N47" s="2" t="s">
        <v>21</v>
      </c>
      <c r="O47" s="3" t="s">
        <v>63</v>
      </c>
      <c r="S47" t="s">
        <v>19</v>
      </c>
    </row>
    <row r="48" spans="1:19" x14ac:dyDescent="0.35">
      <c r="A48" s="4">
        <v>45483</v>
      </c>
      <c r="B48" s="2" t="s">
        <v>2139</v>
      </c>
      <c r="D48" s="2" t="s">
        <v>58</v>
      </c>
      <c r="E48" s="2" t="s">
        <v>2028</v>
      </c>
      <c r="F48" s="5" t="str">
        <f t="shared" si="0"/>
        <v>S/F 007-0007-631367 BRICOLAJE BRICOMAN</v>
      </c>
      <c r="G48" s="12">
        <f t="shared" si="1"/>
        <v>41.611570247933884</v>
      </c>
      <c r="H48">
        <v>21</v>
      </c>
      <c r="I48" s="5">
        <f t="shared" si="2"/>
        <v>8.7384297520661161</v>
      </c>
      <c r="J48" s="5">
        <f t="shared" si="3"/>
        <v>41.611570247933884</v>
      </c>
      <c r="L48" s="5">
        <f t="shared" si="4"/>
        <v>0</v>
      </c>
      <c r="M48" s="8">
        <v>50.35</v>
      </c>
      <c r="N48" s="2" t="s">
        <v>21</v>
      </c>
      <c r="O48" s="3" t="s">
        <v>64</v>
      </c>
      <c r="S48" t="s">
        <v>19</v>
      </c>
    </row>
    <row r="49" spans="1:19" x14ac:dyDescent="0.35">
      <c r="A49" s="4">
        <v>45482</v>
      </c>
      <c r="B49" s="2" t="s">
        <v>2140</v>
      </c>
      <c r="D49" s="2" t="s">
        <v>59</v>
      </c>
      <c r="E49" s="2" t="s">
        <v>43</v>
      </c>
      <c r="F49" s="5" t="str">
        <f t="shared" si="0"/>
        <v>S/F LgFon241241100897 EUGENIO PEREDA</v>
      </c>
      <c r="G49" s="12">
        <f t="shared" si="1"/>
        <v>135.53719008264463</v>
      </c>
      <c r="H49">
        <v>21</v>
      </c>
      <c r="I49" s="5">
        <f t="shared" si="2"/>
        <v>28.462809917355372</v>
      </c>
      <c r="J49" s="5">
        <f t="shared" si="3"/>
        <v>135.53719008264463</v>
      </c>
      <c r="L49" s="5">
        <f t="shared" si="4"/>
        <v>0</v>
      </c>
      <c r="M49" s="8">
        <v>164</v>
      </c>
      <c r="N49" s="2" t="s">
        <v>21</v>
      </c>
      <c r="O49" s="3" t="s">
        <v>63</v>
      </c>
      <c r="S49" t="s">
        <v>19</v>
      </c>
    </row>
    <row r="50" spans="1:19" x14ac:dyDescent="0.35">
      <c r="A50" s="4">
        <v>45482</v>
      </c>
      <c r="B50" s="2" t="s">
        <v>2141</v>
      </c>
      <c r="D50" s="2" t="s">
        <v>2142</v>
      </c>
      <c r="E50" s="2" t="s">
        <v>2143</v>
      </c>
      <c r="F50" s="5" t="str">
        <f t="shared" si="0"/>
        <v>S/F 952/5032918 ISOLANA</v>
      </c>
      <c r="G50" s="12">
        <f t="shared" si="1"/>
        <v>551.39669421487611</v>
      </c>
      <c r="H50">
        <v>21</v>
      </c>
      <c r="I50" s="5">
        <f t="shared" si="2"/>
        <v>115.79330578512398</v>
      </c>
      <c r="J50" s="5">
        <f t="shared" si="3"/>
        <v>551.39669421487611</v>
      </c>
      <c r="L50" s="5">
        <f t="shared" si="4"/>
        <v>0</v>
      </c>
      <c r="M50" s="8">
        <v>667.19</v>
      </c>
      <c r="N50" s="2" t="s">
        <v>21</v>
      </c>
      <c r="O50" s="3" t="s">
        <v>68</v>
      </c>
      <c r="P50" s="3" t="s">
        <v>2144</v>
      </c>
      <c r="S50" t="s">
        <v>19</v>
      </c>
    </row>
    <row r="51" spans="1:19" x14ac:dyDescent="0.35">
      <c r="A51" s="4">
        <v>45320</v>
      </c>
      <c r="B51" s="2" t="s">
        <v>1166</v>
      </c>
      <c r="D51" s="2" t="s">
        <v>59</v>
      </c>
      <c r="E51" s="2" t="s">
        <v>43</v>
      </c>
      <c r="F51" s="5" t="str">
        <f t="shared" si="0"/>
        <v>S/F 1433100075 EUGENIO PEREDA</v>
      </c>
      <c r="G51" s="12">
        <f t="shared" si="1"/>
        <v>219.84297520661156</v>
      </c>
      <c r="H51">
        <v>21</v>
      </c>
      <c r="I51" s="5">
        <f t="shared" si="2"/>
        <v>46.167024793388428</v>
      </c>
      <c r="J51" s="5">
        <f t="shared" si="3"/>
        <v>219.84297520661156</v>
      </c>
      <c r="L51" s="5">
        <f t="shared" si="4"/>
        <v>0</v>
      </c>
      <c r="M51" s="8">
        <v>266.01</v>
      </c>
      <c r="N51" s="2" t="s">
        <v>21</v>
      </c>
      <c r="O51" s="3" t="s">
        <v>63</v>
      </c>
      <c r="S51" t="s">
        <v>19</v>
      </c>
    </row>
    <row r="52" spans="1:19" x14ac:dyDescent="0.35">
      <c r="A52" s="4">
        <v>45461</v>
      </c>
      <c r="B52" s="2" t="s">
        <v>2145</v>
      </c>
      <c r="D52" s="2" t="s">
        <v>87</v>
      </c>
      <c r="E52" s="2" t="s">
        <v>88</v>
      </c>
      <c r="F52" s="5" t="str">
        <f t="shared" si="0"/>
        <v>S/F P24CON023678383 ENDESA</v>
      </c>
      <c r="G52" s="12">
        <f t="shared" si="1"/>
        <v>150.42975206611573</v>
      </c>
      <c r="H52">
        <v>21</v>
      </c>
      <c r="I52" s="5">
        <f t="shared" si="2"/>
        <v>31.590247933884303</v>
      </c>
      <c r="J52" s="5">
        <f t="shared" si="3"/>
        <v>150.42975206611573</v>
      </c>
      <c r="L52" s="5">
        <f t="shared" si="4"/>
        <v>0</v>
      </c>
      <c r="M52" s="8">
        <v>182.02</v>
      </c>
      <c r="N52" s="2" t="s">
        <v>38</v>
      </c>
      <c r="O52" s="3" t="s">
        <v>67</v>
      </c>
      <c r="S52" t="s">
        <v>19</v>
      </c>
    </row>
    <row r="53" spans="1:19" x14ac:dyDescent="0.35">
      <c r="A53" s="4">
        <v>45483</v>
      </c>
      <c r="B53" s="2" t="s">
        <v>2146</v>
      </c>
      <c r="D53" s="2" t="s">
        <v>295</v>
      </c>
      <c r="E53" s="2" t="s">
        <v>2019</v>
      </c>
      <c r="F53" s="5" t="str">
        <f t="shared" si="0"/>
        <v>S/F 4424402994 GRUPO PORCELANOSA</v>
      </c>
      <c r="G53" s="12">
        <f>M53/(1-K53/100+H53/100)</f>
        <v>233.19834710743802</v>
      </c>
      <c r="H53">
        <v>21</v>
      </c>
      <c r="I53" s="5">
        <f t="shared" si="2"/>
        <v>48.971652892561991</v>
      </c>
      <c r="J53" s="5">
        <f t="shared" si="3"/>
        <v>233.19834710743802</v>
      </c>
      <c r="L53" s="5">
        <f t="shared" si="4"/>
        <v>0</v>
      </c>
      <c r="M53" s="8">
        <v>282.17</v>
      </c>
      <c r="N53" s="2" t="s">
        <v>21</v>
      </c>
      <c r="O53" s="3" t="s">
        <v>63</v>
      </c>
      <c r="S53" t="s">
        <v>19</v>
      </c>
    </row>
    <row r="54" spans="1:19" x14ac:dyDescent="0.35">
      <c r="A54" s="4">
        <v>45478</v>
      </c>
      <c r="B54" s="2" t="s">
        <v>2147</v>
      </c>
      <c r="D54" s="2" t="s">
        <v>58</v>
      </c>
      <c r="E54" s="2" t="s">
        <v>2028</v>
      </c>
      <c r="F54" s="5" t="str">
        <f t="shared" si="0"/>
        <v>S/F 011-0007-982023 BRICOLAJE BRICOMAN</v>
      </c>
      <c r="G54" s="12">
        <f>M54/(1-K54/100+H54/100)</f>
        <v>18.181818181818183</v>
      </c>
      <c r="H54">
        <v>21</v>
      </c>
      <c r="I54" s="5">
        <f t="shared" si="2"/>
        <v>3.8181818181818188</v>
      </c>
      <c r="J54" s="5">
        <f t="shared" si="3"/>
        <v>18.181818181818183</v>
      </c>
      <c r="L54" s="5">
        <f t="shared" si="4"/>
        <v>0</v>
      </c>
      <c r="M54" s="8">
        <v>22</v>
      </c>
      <c r="N54" s="2" t="s">
        <v>21</v>
      </c>
      <c r="O54" s="3" t="s">
        <v>63</v>
      </c>
      <c r="S54" t="s">
        <v>19</v>
      </c>
    </row>
    <row r="55" spans="1:19" x14ac:dyDescent="0.35">
      <c r="A55" s="4">
        <v>45484</v>
      </c>
      <c r="B55" s="2" t="s">
        <v>2148</v>
      </c>
      <c r="D55" s="2" t="s">
        <v>58</v>
      </c>
      <c r="E55" s="2" t="s">
        <v>2028</v>
      </c>
      <c r="F55" s="5" t="str">
        <f t="shared" si="0"/>
        <v>S/F 011-0007-992012 BRICOLAJE BRICOMAN</v>
      </c>
      <c r="G55" s="12">
        <f>M55/(1-K55/100+H55/100)</f>
        <v>64.214876033057863</v>
      </c>
      <c r="H55">
        <v>21</v>
      </c>
      <c r="I55" s="5">
        <f t="shared" si="2"/>
        <v>13.485123966942151</v>
      </c>
      <c r="J55" s="5">
        <f t="shared" si="3"/>
        <v>64.214876033057863</v>
      </c>
      <c r="L55" s="5">
        <f t="shared" si="4"/>
        <v>0</v>
      </c>
      <c r="M55" s="8">
        <v>77.7</v>
      </c>
      <c r="N55" s="2" t="s">
        <v>21</v>
      </c>
      <c r="O55" s="3" t="s">
        <v>64</v>
      </c>
      <c r="S55" t="s">
        <v>19</v>
      </c>
    </row>
    <row r="56" spans="1:19" x14ac:dyDescent="0.35">
      <c r="A56" s="4">
        <v>45446</v>
      </c>
      <c r="B56" s="2" t="s">
        <v>2151</v>
      </c>
      <c r="D56" s="2" t="s">
        <v>2152</v>
      </c>
      <c r="E56" s="2" t="s">
        <v>2153</v>
      </c>
      <c r="F56" s="5" t="str">
        <f t="shared" ref="F56:F117" si="5">CONCATENATE(S56,B56," ",E56)</f>
        <v>S/F F24/2957 TODO EN COMUNICACIÓN MADRID S.L.</v>
      </c>
      <c r="G56" s="12">
        <f t="shared" si="1"/>
        <v>436.24793388429754</v>
      </c>
      <c r="H56">
        <v>21</v>
      </c>
      <c r="I56" s="5">
        <f t="shared" si="2"/>
        <v>91.61206611570249</v>
      </c>
      <c r="J56" s="5">
        <f t="shared" si="3"/>
        <v>436.24793388429754</v>
      </c>
      <c r="L56" s="5">
        <f t="shared" si="4"/>
        <v>0</v>
      </c>
      <c r="M56" s="8">
        <v>527.86</v>
      </c>
      <c r="N56" s="2" t="s">
        <v>21</v>
      </c>
      <c r="O56" s="3" t="s">
        <v>63</v>
      </c>
      <c r="S56" t="s">
        <v>19</v>
      </c>
    </row>
    <row r="57" spans="1:19" x14ac:dyDescent="0.35">
      <c r="A57" s="4">
        <v>45463</v>
      </c>
      <c r="B57" s="2" t="s">
        <v>2154</v>
      </c>
      <c r="D57" s="2" t="s">
        <v>2152</v>
      </c>
      <c r="E57" s="2" t="s">
        <v>2153</v>
      </c>
      <c r="F57" s="5" t="str">
        <f t="shared" si="5"/>
        <v>S/F F24/142A TODO EN COMUNICACIÓN MADRID S.L.</v>
      </c>
      <c r="G57" s="12">
        <f t="shared" ref="G57:G118" si="6">M57/(1-K57/100+H57/100)</f>
        <v>-436.24793388429754</v>
      </c>
      <c r="H57">
        <v>21</v>
      </c>
      <c r="I57" s="5">
        <f t="shared" ref="I57:I119" si="7">G57*H57/100</f>
        <v>-91.61206611570249</v>
      </c>
      <c r="J57" s="5">
        <f t="shared" ref="J57:J118" si="8">G57</f>
        <v>-436.24793388429754</v>
      </c>
      <c r="L57" s="5">
        <f t="shared" ref="L57:L118" si="9">J57*K57/100</f>
        <v>0</v>
      </c>
      <c r="M57" s="8">
        <v>-527.86</v>
      </c>
      <c r="N57" s="2" t="s">
        <v>21</v>
      </c>
      <c r="O57" s="3" t="s">
        <v>63</v>
      </c>
      <c r="S57" t="s">
        <v>19</v>
      </c>
    </row>
    <row r="58" spans="1:19" x14ac:dyDescent="0.35">
      <c r="A58" s="4">
        <v>45485</v>
      </c>
      <c r="B58" s="2" t="s">
        <v>2149</v>
      </c>
      <c r="D58" s="2" t="s">
        <v>2150</v>
      </c>
      <c r="E58" s="2" t="s">
        <v>2155</v>
      </c>
      <c r="F58" s="5" t="str">
        <f t="shared" si="5"/>
        <v>S/F FH2420535 DIGITAL AUDIMAGEN BQ SL</v>
      </c>
      <c r="G58" s="12">
        <f t="shared" si="6"/>
        <v>1582.5537190082646</v>
      </c>
      <c r="H58">
        <v>21</v>
      </c>
      <c r="I58" s="5">
        <f t="shared" si="7"/>
        <v>332.33628099173552</v>
      </c>
      <c r="J58" s="5">
        <f t="shared" si="8"/>
        <v>1582.5537190082646</v>
      </c>
      <c r="L58" s="5">
        <f t="shared" si="9"/>
        <v>0</v>
      </c>
      <c r="M58" s="8">
        <v>1914.89</v>
      </c>
      <c r="N58" s="2" t="s">
        <v>21</v>
      </c>
      <c r="O58" s="3" t="s">
        <v>63</v>
      </c>
      <c r="S58" t="s">
        <v>19</v>
      </c>
    </row>
    <row r="59" spans="1:19" x14ac:dyDescent="0.35">
      <c r="A59" s="4">
        <v>45485</v>
      </c>
      <c r="B59" s="2" t="s">
        <v>2156</v>
      </c>
      <c r="D59" s="2" t="s">
        <v>2150</v>
      </c>
      <c r="E59" s="2" t="s">
        <v>2155</v>
      </c>
      <c r="F59" s="5" t="str">
        <f t="shared" si="5"/>
        <v>S/F FH2420536 DIGITAL AUDIMAGEN BQ SL</v>
      </c>
      <c r="G59" s="12">
        <f t="shared" si="6"/>
        <v>246.28099173553719</v>
      </c>
      <c r="H59">
        <v>21</v>
      </c>
      <c r="I59" s="5">
        <f t="shared" si="7"/>
        <v>51.719008264462808</v>
      </c>
      <c r="J59" s="5">
        <f t="shared" si="8"/>
        <v>246.28099173553719</v>
      </c>
      <c r="L59" s="5">
        <f t="shared" si="9"/>
        <v>0</v>
      </c>
      <c r="M59" s="8">
        <v>298</v>
      </c>
      <c r="N59" s="2" t="s">
        <v>21</v>
      </c>
      <c r="O59" s="3" t="s">
        <v>63</v>
      </c>
      <c r="S59" t="s">
        <v>19</v>
      </c>
    </row>
    <row r="60" spans="1:19" x14ac:dyDescent="0.35">
      <c r="A60" s="4">
        <v>45462</v>
      </c>
      <c r="B60" s="2" t="s">
        <v>2157</v>
      </c>
      <c r="D60" s="2" t="s">
        <v>136</v>
      </c>
      <c r="E60" s="2" t="s">
        <v>2158</v>
      </c>
      <c r="F60" s="5" t="str">
        <f t="shared" si="5"/>
        <v xml:space="preserve">S/F 7596-C ROD Y PLUS SYSTEM SL </v>
      </c>
      <c r="G60" s="12">
        <f t="shared" si="6"/>
        <v>41.578512396694215</v>
      </c>
      <c r="H60">
        <v>21</v>
      </c>
      <c r="I60" s="5">
        <f t="shared" si="7"/>
        <v>8.7314876033057853</v>
      </c>
      <c r="J60" s="5">
        <f t="shared" si="8"/>
        <v>41.578512396694215</v>
      </c>
      <c r="L60" s="5">
        <f t="shared" si="9"/>
        <v>0</v>
      </c>
      <c r="M60" s="8">
        <v>50.31</v>
      </c>
      <c r="N60" s="2" t="s">
        <v>21</v>
      </c>
      <c r="O60" s="3" t="s">
        <v>63</v>
      </c>
      <c r="S60" t="s">
        <v>19</v>
      </c>
    </row>
    <row r="61" spans="1:19" x14ac:dyDescent="0.35">
      <c r="A61" s="4">
        <v>45442</v>
      </c>
      <c r="B61" s="2" t="s">
        <v>2159</v>
      </c>
      <c r="D61" s="2" t="s">
        <v>1203</v>
      </c>
      <c r="E61" s="2" t="s">
        <v>1204</v>
      </c>
      <c r="F61" s="5" t="str">
        <f t="shared" si="5"/>
        <v>S/F G 20676 AZULEJOS PEÑA</v>
      </c>
      <c r="G61" s="12">
        <f t="shared" si="6"/>
        <v>6.3636363636363642</v>
      </c>
      <c r="H61">
        <v>21</v>
      </c>
      <c r="I61" s="5">
        <f t="shared" si="7"/>
        <v>1.3363636363636366</v>
      </c>
      <c r="J61" s="5">
        <f t="shared" si="8"/>
        <v>6.3636363636363642</v>
      </c>
      <c r="L61" s="5">
        <f t="shared" si="9"/>
        <v>0</v>
      </c>
      <c r="M61" s="8">
        <v>7.7</v>
      </c>
      <c r="N61" s="2" t="s">
        <v>21</v>
      </c>
      <c r="O61" s="3" t="s">
        <v>63</v>
      </c>
      <c r="S61" t="s">
        <v>19</v>
      </c>
    </row>
    <row r="62" spans="1:19" x14ac:dyDescent="0.35">
      <c r="A62" s="4">
        <v>45457</v>
      </c>
      <c r="B62" s="2" t="s">
        <v>2160</v>
      </c>
      <c r="D62" s="2" t="s">
        <v>58</v>
      </c>
      <c r="E62" s="2" t="s">
        <v>2028</v>
      </c>
      <c r="F62" s="5" t="str">
        <f t="shared" si="5"/>
        <v>S/F 011-0006-942650 BRICOLAJE BRICOMAN</v>
      </c>
      <c r="G62" s="12">
        <f t="shared" si="6"/>
        <v>103.01652892561984</v>
      </c>
      <c r="H62">
        <v>21</v>
      </c>
      <c r="I62" s="5">
        <f t="shared" si="7"/>
        <v>21.633471074380168</v>
      </c>
      <c r="J62" s="5">
        <f t="shared" si="8"/>
        <v>103.01652892561984</v>
      </c>
      <c r="L62" s="5">
        <f t="shared" si="9"/>
        <v>0</v>
      </c>
      <c r="M62" s="8">
        <v>124.65</v>
      </c>
      <c r="N62" s="2" t="s">
        <v>21</v>
      </c>
      <c r="O62" s="3" t="s">
        <v>63</v>
      </c>
      <c r="S62" t="s">
        <v>19</v>
      </c>
    </row>
    <row r="63" spans="1:19" x14ac:dyDescent="0.35">
      <c r="A63" s="4">
        <v>45441</v>
      </c>
      <c r="B63" s="2" t="s">
        <v>2161</v>
      </c>
      <c r="D63" s="2" t="s">
        <v>58</v>
      </c>
      <c r="E63" s="2" t="s">
        <v>2028</v>
      </c>
      <c r="F63" s="5" t="str">
        <f t="shared" si="5"/>
        <v>S/F 007-0005-566479 BRICOLAJE BRICOMAN</v>
      </c>
      <c r="G63" s="12">
        <f t="shared" si="6"/>
        <v>12.87603305785124</v>
      </c>
      <c r="H63">
        <v>21</v>
      </c>
      <c r="I63" s="5">
        <f t="shared" si="7"/>
        <v>2.7039669421487607</v>
      </c>
      <c r="J63" s="5">
        <f t="shared" si="8"/>
        <v>12.87603305785124</v>
      </c>
      <c r="L63" s="5">
        <f t="shared" si="9"/>
        <v>0</v>
      </c>
      <c r="M63" s="8">
        <v>15.58</v>
      </c>
      <c r="N63" s="2" t="s">
        <v>21</v>
      </c>
      <c r="O63" s="3" t="s">
        <v>63</v>
      </c>
      <c r="S63" t="s">
        <v>19</v>
      </c>
    </row>
    <row r="64" spans="1:19" x14ac:dyDescent="0.35">
      <c r="A64" s="4">
        <v>45433</v>
      </c>
      <c r="B64" s="2" t="s">
        <v>2162</v>
      </c>
      <c r="D64" s="2" t="s">
        <v>1119</v>
      </c>
      <c r="E64" s="2" t="s">
        <v>2127</v>
      </c>
      <c r="F64" s="5" t="str">
        <f t="shared" si="5"/>
        <v>S/F 452702489 GUARCONSA</v>
      </c>
      <c r="G64" s="12">
        <f t="shared" si="6"/>
        <v>287.10743801652893</v>
      </c>
      <c r="H64">
        <v>21</v>
      </c>
      <c r="I64" s="5">
        <f t="shared" si="7"/>
        <v>60.292561983471074</v>
      </c>
      <c r="J64" s="5">
        <f t="shared" si="8"/>
        <v>287.10743801652893</v>
      </c>
      <c r="L64" s="5">
        <f t="shared" si="9"/>
        <v>0</v>
      </c>
      <c r="M64" s="8">
        <v>347.4</v>
      </c>
      <c r="N64" s="2" t="s">
        <v>21</v>
      </c>
      <c r="O64" s="3" t="s">
        <v>63</v>
      </c>
      <c r="S64" t="s">
        <v>19</v>
      </c>
    </row>
    <row r="65" spans="1:19" x14ac:dyDescent="0.35">
      <c r="A65" s="4">
        <v>45434</v>
      </c>
      <c r="B65" s="2" t="s">
        <v>2163</v>
      </c>
      <c r="D65" s="2" t="s">
        <v>1119</v>
      </c>
      <c r="E65" s="2" t="s">
        <v>2127</v>
      </c>
      <c r="F65" s="5" t="str">
        <f t="shared" si="5"/>
        <v>S/F 451700237 GUARCONSA</v>
      </c>
      <c r="G65" s="12">
        <f t="shared" si="6"/>
        <v>-232.91735537190081</v>
      </c>
      <c r="H65">
        <v>21</v>
      </c>
      <c r="I65" s="5">
        <f t="shared" si="7"/>
        <v>-48.912644628099173</v>
      </c>
      <c r="J65" s="5">
        <f t="shared" si="8"/>
        <v>-232.91735537190081</v>
      </c>
      <c r="L65" s="5">
        <f t="shared" si="9"/>
        <v>0</v>
      </c>
      <c r="M65" s="8">
        <v>-281.83</v>
      </c>
      <c r="N65" s="2" t="s">
        <v>21</v>
      </c>
      <c r="O65" s="3" t="s">
        <v>63</v>
      </c>
      <c r="S65" t="s">
        <v>19</v>
      </c>
    </row>
    <row r="66" spans="1:19" x14ac:dyDescent="0.35">
      <c r="A66" s="4">
        <v>45434</v>
      </c>
      <c r="B66" s="2" t="s">
        <v>2164</v>
      </c>
      <c r="D66" s="2" t="s">
        <v>1119</v>
      </c>
      <c r="E66" s="2" t="s">
        <v>2127</v>
      </c>
      <c r="F66" s="5" t="str">
        <f t="shared" si="5"/>
        <v>S/F 452702505 GUARCONSA</v>
      </c>
      <c r="G66" s="12">
        <f t="shared" si="6"/>
        <v>215.2231404958678</v>
      </c>
      <c r="H66">
        <v>21</v>
      </c>
      <c r="I66" s="5">
        <f t="shared" si="7"/>
        <v>45.196859504132235</v>
      </c>
      <c r="J66" s="5">
        <f t="shared" si="8"/>
        <v>215.2231404958678</v>
      </c>
      <c r="L66" s="5">
        <f t="shared" si="9"/>
        <v>0</v>
      </c>
      <c r="M66" s="8">
        <v>260.42</v>
      </c>
      <c r="N66" s="2" t="s">
        <v>21</v>
      </c>
      <c r="O66" s="3" t="s">
        <v>63</v>
      </c>
      <c r="S66" t="s">
        <v>19</v>
      </c>
    </row>
    <row r="67" spans="1:19" x14ac:dyDescent="0.35">
      <c r="A67" s="4">
        <v>45440</v>
      </c>
      <c r="B67" s="2" t="s">
        <v>2165</v>
      </c>
      <c r="D67" s="2" t="s">
        <v>1119</v>
      </c>
      <c r="E67" s="2" t="s">
        <v>2127</v>
      </c>
      <c r="F67" s="5" t="str">
        <f t="shared" si="5"/>
        <v>S/F 452702624 GUARCONSA</v>
      </c>
      <c r="G67" s="12">
        <f t="shared" si="6"/>
        <v>67.32231404958678</v>
      </c>
      <c r="H67">
        <v>21</v>
      </c>
      <c r="I67" s="5">
        <f t="shared" si="7"/>
        <v>14.137685950413225</v>
      </c>
      <c r="J67" s="5">
        <f t="shared" si="8"/>
        <v>67.32231404958678</v>
      </c>
      <c r="L67" s="5">
        <f t="shared" si="9"/>
        <v>0</v>
      </c>
      <c r="M67" s="8">
        <v>81.459999999999994</v>
      </c>
      <c r="N67" s="2" t="s">
        <v>21</v>
      </c>
      <c r="O67" s="3" t="s">
        <v>63</v>
      </c>
      <c r="S67" t="s">
        <v>19</v>
      </c>
    </row>
    <row r="68" spans="1:19" x14ac:dyDescent="0.35">
      <c r="A68" s="4">
        <v>45468</v>
      </c>
      <c r="B68" s="2" t="s">
        <v>2166</v>
      </c>
      <c r="D68" s="2" t="s">
        <v>2167</v>
      </c>
      <c r="E68" s="2" t="s">
        <v>2168</v>
      </c>
      <c r="F68" s="5" t="str">
        <f t="shared" si="5"/>
        <v>S/F F.24.000669 NUEVA TERRAIN</v>
      </c>
      <c r="G68" s="12">
        <f t="shared" si="6"/>
        <v>87.148760330578511</v>
      </c>
      <c r="H68">
        <v>21</v>
      </c>
      <c r="I68" s="5">
        <f t="shared" si="7"/>
        <v>18.301239669421488</v>
      </c>
      <c r="J68" s="5">
        <f t="shared" si="8"/>
        <v>87.148760330578511</v>
      </c>
      <c r="L68" s="5">
        <f t="shared" si="9"/>
        <v>0</v>
      </c>
      <c r="M68" s="8">
        <v>105.45</v>
      </c>
      <c r="N68" s="2" t="s">
        <v>21</v>
      </c>
      <c r="O68" s="3" t="s">
        <v>63</v>
      </c>
      <c r="S68" t="s">
        <v>19</v>
      </c>
    </row>
    <row r="69" spans="1:19" x14ac:dyDescent="0.35">
      <c r="A69" s="4">
        <v>45471</v>
      </c>
      <c r="B69" s="2" t="s">
        <v>2169</v>
      </c>
      <c r="D69" s="2" t="s">
        <v>1334</v>
      </c>
      <c r="E69" s="2" t="s">
        <v>2170</v>
      </c>
      <c r="F69" s="5" t="str">
        <f t="shared" si="5"/>
        <v xml:space="preserve">S/F 432705340 SUMINISTROS ELECTRICOS GUARDEÑO  </v>
      </c>
      <c r="G69" s="12">
        <f t="shared" si="6"/>
        <v>141.98347107438019</v>
      </c>
      <c r="H69">
        <v>21</v>
      </c>
      <c r="I69" s="5">
        <f t="shared" si="7"/>
        <v>29.816528925619842</v>
      </c>
      <c r="J69" s="5">
        <f t="shared" si="8"/>
        <v>141.98347107438019</v>
      </c>
      <c r="L69" s="5">
        <f t="shared" si="9"/>
        <v>0</v>
      </c>
      <c r="M69" s="8">
        <v>171.8</v>
      </c>
      <c r="N69" s="2" t="s">
        <v>21</v>
      </c>
      <c r="O69" s="3" t="s">
        <v>63</v>
      </c>
      <c r="S69" t="s">
        <v>19</v>
      </c>
    </row>
    <row r="70" spans="1:19" x14ac:dyDescent="0.35">
      <c r="A70" s="4">
        <v>45468</v>
      </c>
      <c r="B70" s="2" t="s">
        <v>2171</v>
      </c>
      <c r="D70" s="2" t="s">
        <v>2172</v>
      </c>
      <c r="E70" s="2" t="s">
        <v>2173</v>
      </c>
      <c r="F70" s="5" t="str">
        <f t="shared" si="5"/>
        <v>S/F 402001587 IBC CLIMAFUSION SL</v>
      </c>
      <c r="G70" s="12">
        <f t="shared" si="6"/>
        <v>51.776859504132233</v>
      </c>
      <c r="H70">
        <v>21</v>
      </c>
      <c r="I70" s="5">
        <f t="shared" si="7"/>
        <v>10.873140495867769</v>
      </c>
      <c r="J70" s="5">
        <f t="shared" si="8"/>
        <v>51.776859504132233</v>
      </c>
      <c r="L70" s="5">
        <f t="shared" si="9"/>
        <v>0</v>
      </c>
      <c r="M70" s="8">
        <v>62.65</v>
      </c>
      <c r="N70" s="2" t="s">
        <v>21</v>
      </c>
      <c r="O70" s="3" t="s">
        <v>63</v>
      </c>
      <c r="S70" t="s">
        <v>19</v>
      </c>
    </row>
    <row r="71" spans="1:19" x14ac:dyDescent="0.35">
      <c r="A71" s="4">
        <v>45470</v>
      </c>
      <c r="B71" s="2" t="s">
        <v>2174</v>
      </c>
      <c r="D71" s="2" t="s">
        <v>2172</v>
      </c>
      <c r="E71" s="2" t="s">
        <v>2173</v>
      </c>
      <c r="F71" s="5" t="str">
        <f t="shared" si="5"/>
        <v>S/F 402001608 IBC CLIMAFUSION SL</v>
      </c>
      <c r="G71" s="12">
        <f t="shared" si="6"/>
        <v>24.272727272727273</v>
      </c>
      <c r="H71">
        <v>21</v>
      </c>
      <c r="I71" s="5">
        <f t="shared" si="7"/>
        <v>5.0972727272727276</v>
      </c>
      <c r="J71" s="5">
        <f t="shared" si="8"/>
        <v>24.272727272727273</v>
      </c>
      <c r="L71" s="5">
        <f t="shared" si="9"/>
        <v>0</v>
      </c>
      <c r="M71" s="8">
        <v>29.37</v>
      </c>
      <c r="N71" s="2" t="s">
        <v>21</v>
      </c>
      <c r="O71" s="3" t="s">
        <v>63</v>
      </c>
      <c r="S71" t="s">
        <v>19</v>
      </c>
    </row>
    <row r="72" spans="1:19" x14ac:dyDescent="0.35">
      <c r="A72" s="4">
        <v>45467</v>
      </c>
      <c r="B72" s="2" t="s">
        <v>2175</v>
      </c>
      <c r="D72" s="2" t="s">
        <v>2172</v>
      </c>
      <c r="E72" s="2" t="s">
        <v>2173</v>
      </c>
      <c r="F72" s="5" t="str">
        <f t="shared" si="5"/>
        <v>S/F 402001574 IBC CLIMAFUSION SL</v>
      </c>
      <c r="G72" s="12">
        <f t="shared" si="6"/>
        <v>174.42148760330579</v>
      </c>
      <c r="H72">
        <v>21</v>
      </c>
      <c r="I72" s="5">
        <f t="shared" si="7"/>
        <v>36.628512396694219</v>
      </c>
      <c r="J72" s="5">
        <f t="shared" si="8"/>
        <v>174.42148760330579</v>
      </c>
      <c r="L72" s="5">
        <f t="shared" si="9"/>
        <v>0</v>
      </c>
      <c r="M72" s="8">
        <v>211.05</v>
      </c>
      <c r="N72" s="2" t="s">
        <v>21</v>
      </c>
      <c r="O72" s="3" t="s">
        <v>63</v>
      </c>
      <c r="S72" t="s">
        <v>19</v>
      </c>
    </row>
    <row r="73" spans="1:19" x14ac:dyDescent="0.35">
      <c r="A73" s="4">
        <v>45476</v>
      </c>
      <c r="B73" s="2" t="s">
        <v>2176</v>
      </c>
      <c r="D73" s="2" t="s">
        <v>58</v>
      </c>
      <c r="E73" s="2" t="s">
        <v>2028</v>
      </c>
      <c r="F73" s="5" t="str">
        <f t="shared" si="5"/>
        <v>S/F 011-0007-977868 BRICOLAJE BRICOMAN</v>
      </c>
      <c r="G73" s="12">
        <f t="shared" si="6"/>
        <v>9.9173553719008272</v>
      </c>
      <c r="H73">
        <v>21</v>
      </c>
      <c r="I73" s="5">
        <f t="shared" si="7"/>
        <v>2.0826446280991737</v>
      </c>
      <c r="J73" s="5">
        <f t="shared" si="8"/>
        <v>9.9173553719008272</v>
      </c>
      <c r="L73" s="5">
        <f t="shared" si="9"/>
        <v>0</v>
      </c>
      <c r="M73" s="8">
        <v>12</v>
      </c>
      <c r="N73" s="2" t="s">
        <v>21</v>
      </c>
      <c r="O73" s="3" t="s">
        <v>64</v>
      </c>
      <c r="S73" t="s">
        <v>19</v>
      </c>
    </row>
    <row r="74" spans="1:19" x14ac:dyDescent="0.35">
      <c r="A74" s="4">
        <v>45504</v>
      </c>
      <c r="B74" s="2" t="s">
        <v>2177</v>
      </c>
      <c r="D74" s="2" t="s">
        <v>200</v>
      </c>
      <c r="E74" s="2" t="s">
        <v>186</v>
      </c>
      <c r="F74" s="5" t="str">
        <f t="shared" si="5"/>
        <v>S/F 0123930 I.D.F. SUMINISTROS INDUSTRIALES</v>
      </c>
      <c r="G74" s="12">
        <f t="shared" si="6"/>
        <v>36.32231404958678</v>
      </c>
      <c r="H74">
        <v>21</v>
      </c>
      <c r="I74" s="5">
        <f t="shared" si="7"/>
        <v>7.6276859504132233</v>
      </c>
      <c r="J74" s="5">
        <f t="shared" si="8"/>
        <v>36.32231404958678</v>
      </c>
      <c r="L74" s="5">
        <f t="shared" si="9"/>
        <v>0</v>
      </c>
      <c r="M74" s="8">
        <v>43.95</v>
      </c>
      <c r="N74" s="2" t="s">
        <v>21</v>
      </c>
      <c r="O74" s="3" t="s">
        <v>67</v>
      </c>
      <c r="S74" t="s">
        <v>19</v>
      </c>
    </row>
    <row r="75" spans="1:19" x14ac:dyDescent="0.35">
      <c r="A75" s="4">
        <v>45441</v>
      </c>
      <c r="B75" s="2" t="s">
        <v>1672</v>
      </c>
      <c r="D75" s="2" t="s">
        <v>126</v>
      </c>
      <c r="E75" s="2" t="s">
        <v>127</v>
      </c>
      <c r="F75" s="5" t="str">
        <f t="shared" si="5"/>
        <v>S/F 102 MAZARRACIN POVEDA JESUS</v>
      </c>
      <c r="G75" s="12">
        <v>35.24</v>
      </c>
      <c r="H75">
        <v>21</v>
      </c>
      <c r="I75" s="5">
        <f t="shared" si="7"/>
        <v>7.4004000000000012</v>
      </c>
      <c r="J75" s="5">
        <f t="shared" si="8"/>
        <v>35.24</v>
      </c>
      <c r="L75" s="5">
        <f t="shared" si="9"/>
        <v>0</v>
      </c>
      <c r="M75" s="8">
        <v>106.21</v>
      </c>
      <c r="N75" s="2" t="s">
        <v>55</v>
      </c>
      <c r="O75" s="3" t="s">
        <v>68</v>
      </c>
      <c r="S75" t="s">
        <v>19</v>
      </c>
    </row>
    <row r="76" spans="1:19" x14ac:dyDescent="0.35">
      <c r="A76" s="4">
        <v>45475</v>
      </c>
      <c r="B76" s="2" t="s">
        <v>2061</v>
      </c>
      <c r="D76" s="2" t="s">
        <v>126</v>
      </c>
      <c r="E76" s="2" t="s">
        <v>127</v>
      </c>
      <c r="F76" s="5" t="str">
        <f t="shared" si="5"/>
        <v>S/F 126 MAZARRACIN POVEDA JESUS</v>
      </c>
      <c r="G76" s="12">
        <v>35.24</v>
      </c>
      <c r="H76">
        <v>21</v>
      </c>
      <c r="I76" s="5">
        <f t="shared" si="7"/>
        <v>7.4004000000000012</v>
      </c>
      <c r="J76" s="5">
        <f t="shared" si="8"/>
        <v>35.24</v>
      </c>
      <c r="L76" s="5">
        <f t="shared" si="9"/>
        <v>0</v>
      </c>
      <c r="M76" s="8">
        <v>106.21</v>
      </c>
      <c r="N76" s="2" t="s">
        <v>55</v>
      </c>
      <c r="O76" s="3" t="s">
        <v>68</v>
      </c>
      <c r="S76" t="s">
        <v>19</v>
      </c>
    </row>
    <row r="77" spans="1:19" x14ac:dyDescent="0.35">
      <c r="A77" s="4">
        <v>45475</v>
      </c>
      <c r="B77" s="2" t="s">
        <v>2048</v>
      </c>
      <c r="D77" s="2" t="s">
        <v>126</v>
      </c>
      <c r="E77" s="2" t="s">
        <v>127</v>
      </c>
      <c r="F77" s="5" t="str">
        <f t="shared" si="5"/>
        <v>S/F 127 MAZARRACIN POVEDA JESUS</v>
      </c>
      <c r="G77" s="12">
        <v>12</v>
      </c>
      <c r="H77">
        <v>21</v>
      </c>
      <c r="I77" s="5">
        <f t="shared" si="7"/>
        <v>2.52</v>
      </c>
      <c r="J77" s="5">
        <f t="shared" si="8"/>
        <v>12</v>
      </c>
      <c r="L77" s="5">
        <f t="shared" si="9"/>
        <v>0</v>
      </c>
      <c r="M77" s="8">
        <v>38.6</v>
      </c>
      <c r="N77" s="2" t="s">
        <v>55</v>
      </c>
      <c r="O77" s="3" t="s">
        <v>68</v>
      </c>
      <c r="S77" t="s">
        <v>19</v>
      </c>
    </row>
    <row r="78" spans="1:19" x14ac:dyDescent="0.35">
      <c r="A78" s="4">
        <v>45493</v>
      </c>
      <c r="B78" s="2" t="s">
        <v>2178</v>
      </c>
      <c r="D78" s="2" t="s">
        <v>94</v>
      </c>
      <c r="E78" s="2" t="s">
        <v>139</v>
      </c>
      <c r="F78" s="5" t="str">
        <f t="shared" si="5"/>
        <v>S/F VEN/20271179 BIGMAT</v>
      </c>
      <c r="G78" s="12">
        <f t="shared" si="6"/>
        <v>471.2561983471075</v>
      </c>
      <c r="H78">
        <v>21</v>
      </c>
      <c r="I78" s="5">
        <f t="shared" si="7"/>
        <v>98.963801652892585</v>
      </c>
      <c r="J78" s="5">
        <f t="shared" si="8"/>
        <v>471.2561983471075</v>
      </c>
      <c r="L78" s="5">
        <f t="shared" si="9"/>
        <v>0</v>
      </c>
      <c r="M78" s="8">
        <v>570.22</v>
      </c>
      <c r="N78" s="2" t="s">
        <v>21</v>
      </c>
      <c r="O78" s="3" t="s">
        <v>67</v>
      </c>
      <c r="S78" t="s">
        <v>19</v>
      </c>
    </row>
    <row r="79" spans="1:19" x14ac:dyDescent="0.35">
      <c r="A79" s="4">
        <v>45504</v>
      </c>
      <c r="B79" s="2" t="s">
        <v>2179</v>
      </c>
      <c r="D79" s="2" t="s">
        <v>94</v>
      </c>
      <c r="E79" s="2" t="s">
        <v>139</v>
      </c>
      <c r="F79" s="5" t="str">
        <f t="shared" si="5"/>
        <v>S/F VEN/20273968 BIGMAT</v>
      </c>
      <c r="G79" s="12">
        <f t="shared" si="6"/>
        <v>706.95867768595042</v>
      </c>
      <c r="H79">
        <v>21</v>
      </c>
      <c r="I79" s="5">
        <f t="shared" si="7"/>
        <v>148.4613223140496</v>
      </c>
      <c r="J79" s="5">
        <f t="shared" si="8"/>
        <v>706.95867768595042</v>
      </c>
      <c r="L79" s="5">
        <f t="shared" si="9"/>
        <v>0</v>
      </c>
      <c r="M79" s="8">
        <v>855.42</v>
      </c>
      <c r="N79" s="2" t="s">
        <v>21</v>
      </c>
      <c r="O79" s="3" t="s">
        <v>67</v>
      </c>
      <c r="S79" t="s">
        <v>19</v>
      </c>
    </row>
    <row r="80" spans="1:19" x14ac:dyDescent="0.35">
      <c r="A80" s="4">
        <v>45504</v>
      </c>
      <c r="B80" s="2" t="s">
        <v>2180</v>
      </c>
      <c r="D80" s="2" t="s">
        <v>25</v>
      </c>
      <c r="E80" s="2" t="s">
        <v>26</v>
      </c>
      <c r="F80" s="5" t="str">
        <f t="shared" si="5"/>
        <v>S/F 253643 SALTOKI</v>
      </c>
      <c r="G80" s="12">
        <f t="shared" si="6"/>
        <v>74.247933884297524</v>
      </c>
      <c r="H80">
        <v>21</v>
      </c>
      <c r="I80" s="5">
        <f t="shared" si="7"/>
        <v>15.59206611570248</v>
      </c>
      <c r="J80" s="5">
        <f t="shared" si="8"/>
        <v>74.247933884297524</v>
      </c>
      <c r="L80" s="5">
        <f t="shared" si="9"/>
        <v>0</v>
      </c>
      <c r="M80" s="8">
        <v>89.84</v>
      </c>
      <c r="N80" s="2" t="s">
        <v>21</v>
      </c>
      <c r="O80" s="3" t="s">
        <v>67</v>
      </c>
      <c r="S80" t="s">
        <v>19</v>
      </c>
    </row>
    <row r="81" spans="1:19" x14ac:dyDescent="0.35">
      <c r="A81" s="4">
        <v>45504</v>
      </c>
      <c r="B81" s="2" t="s">
        <v>2181</v>
      </c>
      <c r="D81" s="2" t="s">
        <v>109</v>
      </c>
      <c r="E81" s="2" t="s">
        <v>42</v>
      </c>
      <c r="F81" s="5" t="str">
        <f t="shared" si="5"/>
        <v>S/F 24112794 DISCESUR</v>
      </c>
      <c r="G81" s="12">
        <f t="shared" si="6"/>
        <v>246.80991735537191</v>
      </c>
      <c r="H81">
        <v>21</v>
      </c>
      <c r="I81" s="5">
        <f t="shared" si="7"/>
        <v>51.830082644628099</v>
      </c>
      <c r="J81" s="5">
        <f t="shared" si="8"/>
        <v>246.80991735537191</v>
      </c>
      <c r="L81" s="5">
        <f t="shared" si="9"/>
        <v>0</v>
      </c>
      <c r="M81" s="8">
        <v>298.64</v>
      </c>
      <c r="N81" s="2" t="s">
        <v>21</v>
      </c>
      <c r="O81" s="3" t="s">
        <v>67</v>
      </c>
      <c r="S81" t="s">
        <v>19</v>
      </c>
    </row>
    <row r="82" spans="1:19" x14ac:dyDescent="0.35">
      <c r="A82" s="4">
        <v>45476</v>
      </c>
      <c r="B82" s="2" t="s">
        <v>2182</v>
      </c>
      <c r="D82" s="2" t="s">
        <v>66</v>
      </c>
      <c r="E82" s="2" t="s">
        <v>193</v>
      </c>
      <c r="F82" s="5" t="str">
        <f t="shared" si="5"/>
        <v>S/F 85924FE000007587 MARKOIL</v>
      </c>
      <c r="G82" s="12">
        <f t="shared" si="6"/>
        <v>12.595041322314049</v>
      </c>
      <c r="H82">
        <v>21</v>
      </c>
      <c r="I82" s="5">
        <f t="shared" si="7"/>
        <v>2.6449586776859504</v>
      </c>
      <c r="J82" s="5">
        <f t="shared" si="8"/>
        <v>12.595041322314049</v>
      </c>
      <c r="L82" s="5">
        <f t="shared" si="9"/>
        <v>0</v>
      </c>
      <c r="M82" s="8">
        <v>15.24</v>
      </c>
      <c r="N82" s="2" t="s">
        <v>22</v>
      </c>
      <c r="O82" s="3" t="s">
        <v>64</v>
      </c>
      <c r="S82" t="s">
        <v>19</v>
      </c>
    </row>
    <row r="83" spans="1:19" x14ac:dyDescent="0.35">
      <c r="A83" s="4">
        <v>45434</v>
      </c>
      <c r="B83" s="2" t="s">
        <v>2183</v>
      </c>
      <c r="D83" s="2" t="s">
        <v>89</v>
      </c>
      <c r="E83" s="2" t="s">
        <v>90</v>
      </c>
      <c r="F83" s="5" t="str">
        <f t="shared" si="5"/>
        <v>S/F E05042024000002100 GALP</v>
      </c>
      <c r="G83" s="12">
        <f t="shared" si="6"/>
        <v>95.355371900826441</v>
      </c>
      <c r="H83">
        <v>21</v>
      </c>
      <c r="I83" s="5">
        <f t="shared" si="7"/>
        <v>20.024628099173555</v>
      </c>
      <c r="J83" s="5">
        <f t="shared" si="8"/>
        <v>95.355371900826441</v>
      </c>
      <c r="L83" s="5">
        <f t="shared" si="9"/>
        <v>0</v>
      </c>
      <c r="M83" s="8">
        <v>115.38</v>
      </c>
      <c r="N83" s="2" t="s">
        <v>22</v>
      </c>
      <c r="O83" s="3" t="s">
        <v>63</v>
      </c>
      <c r="S83" t="s">
        <v>19</v>
      </c>
    </row>
    <row r="84" spans="1:19" x14ac:dyDescent="0.35">
      <c r="A84" s="4">
        <v>45495</v>
      </c>
      <c r="B84" s="2" t="s">
        <v>2184</v>
      </c>
      <c r="D84" s="2" t="s">
        <v>60</v>
      </c>
      <c r="E84" s="2" t="s">
        <v>24</v>
      </c>
      <c r="F84" s="5" t="str">
        <f t="shared" si="5"/>
        <v>S/F 092158/A24/001139 REPSOL</v>
      </c>
      <c r="G84" s="12">
        <f t="shared" si="6"/>
        <v>100.68595041322314</v>
      </c>
      <c r="H84">
        <v>21</v>
      </c>
      <c r="I84" s="5">
        <f t="shared" si="7"/>
        <v>21.144049586776859</v>
      </c>
      <c r="J84" s="5">
        <f t="shared" si="8"/>
        <v>100.68595041322314</v>
      </c>
      <c r="L84" s="5">
        <f t="shared" si="9"/>
        <v>0</v>
      </c>
      <c r="M84" s="8">
        <v>121.83</v>
      </c>
      <c r="N84" s="2" t="s">
        <v>22</v>
      </c>
      <c r="O84" s="3" t="s">
        <v>64</v>
      </c>
      <c r="S84" t="s">
        <v>19</v>
      </c>
    </row>
    <row r="85" spans="1:19" x14ac:dyDescent="0.35">
      <c r="A85" s="4">
        <v>45448</v>
      </c>
      <c r="B85" s="2" t="s">
        <v>2185</v>
      </c>
      <c r="D85" s="2" t="s">
        <v>99</v>
      </c>
      <c r="E85" s="2" t="s">
        <v>262</v>
      </c>
      <c r="F85" s="5" t="str">
        <f t="shared" si="5"/>
        <v>S/F 0000101585 DISA</v>
      </c>
      <c r="G85" s="12">
        <f t="shared" si="6"/>
        <v>28.239669421487605</v>
      </c>
      <c r="H85">
        <v>21</v>
      </c>
      <c r="I85" s="5">
        <f t="shared" si="7"/>
        <v>5.9303305785123976</v>
      </c>
      <c r="J85" s="5">
        <f t="shared" si="8"/>
        <v>28.239669421487605</v>
      </c>
      <c r="L85" s="5">
        <f t="shared" si="9"/>
        <v>0</v>
      </c>
      <c r="M85" s="8">
        <v>34.17</v>
      </c>
      <c r="N85" s="2" t="s">
        <v>22</v>
      </c>
      <c r="O85" s="3" t="s">
        <v>64</v>
      </c>
      <c r="S85" t="s">
        <v>19</v>
      </c>
    </row>
    <row r="86" spans="1:19" x14ac:dyDescent="0.35">
      <c r="A86" s="4">
        <v>45415</v>
      </c>
      <c r="B86" s="2" t="s">
        <v>2186</v>
      </c>
      <c r="D86" s="2" t="s">
        <v>89</v>
      </c>
      <c r="E86" s="2" t="s">
        <v>90</v>
      </c>
      <c r="F86" s="5" t="str">
        <f t="shared" si="5"/>
        <v>S/F E12007224TS000FE000501 GALP</v>
      </c>
      <c r="G86" s="12">
        <f t="shared" si="6"/>
        <v>57.851239669421489</v>
      </c>
      <c r="H86">
        <v>21</v>
      </c>
      <c r="I86" s="5">
        <f t="shared" si="7"/>
        <v>12.148760330578511</v>
      </c>
      <c r="J86" s="5">
        <f t="shared" si="8"/>
        <v>57.851239669421489</v>
      </c>
      <c r="L86" s="5">
        <f t="shared" si="9"/>
        <v>0</v>
      </c>
      <c r="M86" s="8">
        <v>70</v>
      </c>
      <c r="N86" s="2" t="s">
        <v>22</v>
      </c>
      <c r="O86" s="3" t="s">
        <v>63</v>
      </c>
      <c r="S86" t="s">
        <v>19</v>
      </c>
    </row>
    <row r="87" spans="1:19" x14ac:dyDescent="0.35">
      <c r="A87" s="4">
        <v>45442</v>
      </c>
      <c r="B87" s="2" t="s">
        <v>2187</v>
      </c>
      <c r="D87" s="2" t="s">
        <v>99</v>
      </c>
      <c r="E87" s="2" t="s">
        <v>262</v>
      </c>
      <c r="F87" s="5" t="str">
        <f t="shared" si="5"/>
        <v>S/F 0000101437 DISA</v>
      </c>
      <c r="G87" s="12">
        <f t="shared" si="6"/>
        <v>90.15702479338843</v>
      </c>
      <c r="H87">
        <v>21</v>
      </c>
      <c r="I87" s="5">
        <f t="shared" si="7"/>
        <v>18.93297520661157</v>
      </c>
      <c r="J87" s="5">
        <f t="shared" si="8"/>
        <v>90.15702479338843</v>
      </c>
      <c r="L87" s="5">
        <f t="shared" si="9"/>
        <v>0</v>
      </c>
      <c r="M87" s="8">
        <v>109.09</v>
      </c>
      <c r="N87" s="2" t="s">
        <v>22</v>
      </c>
      <c r="O87" s="3" t="s">
        <v>63</v>
      </c>
      <c r="S87" t="s">
        <v>19</v>
      </c>
    </row>
    <row r="88" spans="1:19" x14ac:dyDescent="0.35">
      <c r="A88" s="4">
        <v>45474</v>
      </c>
      <c r="B88" s="2" t="s">
        <v>1722</v>
      </c>
      <c r="D88" s="2" t="s">
        <v>1604</v>
      </c>
      <c r="E88" s="2" t="s">
        <v>2199</v>
      </c>
      <c r="F88" s="5" t="str">
        <f t="shared" si="5"/>
        <v>S/F 07/24 OLARIU ADRIANA SILVANA</v>
      </c>
      <c r="G88" s="12">
        <f t="shared" si="6"/>
        <v>200</v>
      </c>
      <c r="H88">
        <v>21</v>
      </c>
      <c r="I88" s="5">
        <f t="shared" si="7"/>
        <v>42</v>
      </c>
      <c r="J88" s="5">
        <f t="shared" si="8"/>
        <v>200</v>
      </c>
      <c r="K88">
        <v>19</v>
      </c>
      <c r="L88" s="5">
        <f t="shared" si="9"/>
        <v>38</v>
      </c>
      <c r="M88" s="8">
        <v>204</v>
      </c>
      <c r="N88" s="2" t="s">
        <v>46</v>
      </c>
      <c r="O88" s="3" t="s">
        <v>68</v>
      </c>
      <c r="S88" t="s">
        <v>19</v>
      </c>
    </row>
    <row r="89" spans="1:19" x14ac:dyDescent="0.35">
      <c r="A89" s="4">
        <v>45474</v>
      </c>
      <c r="B89" s="2" t="s">
        <v>1722</v>
      </c>
      <c r="D89" s="2" t="s">
        <v>45</v>
      </c>
      <c r="E89" s="2" t="s">
        <v>163</v>
      </c>
      <c r="F89" s="5" t="str">
        <f t="shared" si="5"/>
        <v>07/24 EMANUEL CODITA</v>
      </c>
      <c r="G89" s="12">
        <f t="shared" si="6"/>
        <v>200</v>
      </c>
      <c r="H89">
        <v>21</v>
      </c>
      <c r="I89" s="5">
        <f t="shared" si="7"/>
        <v>42</v>
      </c>
      <c r="J89" s="5">
        <f t="shared" si="8"/>
        <v>200</v>
      </c>
      <c r="K89">
        <v>19</v>
      </c>
      <c r="L89" s="5">
        <f t="shared" si="9"/>
        <v>38</v>
      </c>
      <c r="M89" s="8">
        <v>204</v>
      </c>
      <c r="N89" s="2" t="s">
        <v>46</v>
      </c>
      <c r="O89" s="3" t="s">
        <v>68</v>
      </c>
    </row>
    <row r="90" spans="1:19" x14ac:dyDescent="0.35">
      <c r="A90" s="4">
        <v>45505</v>
      </c>
      <c r="B90" s="2" t="s">
        <v>1596</v>
      </c>
      <c r="D90" s="2" t="s">
        <v>1604</v>
      </c>
      <c r="E90" s="2" t="s">
        <v>2199</v>
      </c>
      <c r="F90" s="5" t="str">
        <f t="shared" si="5"/>
        <v>08/24 OLARIU ADRIANA SILVANA</v>
      </c>
      <c r="G90" s="12">
        <f t="shared" si="6"/>
        <v>200</v>
      </c>
      <c r="H90">
        <v>21</v>
      </c>
      <c r="I90" s="5">
        <f t="shared" si="7"/>
        <v>42</v>
      </c>
      <c r="J90" s="5">
        <f t="shared" si="8"/>
        <v>200</v>
      </c>
      <c r="K90">
        <v>19</v>
      </c>
      <c r="L90" s="5">
        <f t="shared" si="9"/>
        <v>38</v>
      </c>
      <c r="M90" s="8">
        <v>204</v>
      </c>
      <c r="N90" s="2" t="s">
        <v>46</v>
      </c>
      <c r="O90" s="3" t="s">
        <v>68</v>
      </c>
    </row>
    <row r="91" spans="1:19" x14ac:dyDescent="0.35">
      <c r="A91" s="4">
        <v>45505</v>
      </c>
      <c r="B91" s="2" t="s">
        <v>1596</v>
      </c>
      <c r="D91" s="2" t="s">
        <v>45</v>
      </c>
      <c r="E91" s="2" t="s">
        <v>163</v>
      </c>
      <c r="F91" s="5" t="str">
        <f t="shared" si="5"/>
        <v>08/24 EMANUEL CODITA</v>
      </c>
      <c r="G91" s="12">
        <f t="shared" si="6"/>
        <v>200</v>
      </c>
      <c r="H91">
        <v>21</v>
      </c>
      <c r="I91" s="5">
        <f t="shared" si="7"/>
        <v>42</v>
      </c>
      <c r="J91" s="5">
        <f t="shared" si="8"/>
        <v>200</v>
      </c>
      <c r="K91">
        <v>19</v>
      </c>
      <c r="L91" s="5">
        <f t="shared" si="9"/>
        <v>38</v>
      </c>
      <c r="M91" s="8">
        <v>204</v>
      </c>
      <c r="N91" s="2" t="s">
        <v>46</v>
      </c>
      <c r="O91" s="3" t="s">
        <v>68</v>
      </c>
    </row>
    <row r="92" spans="1:19" x14ac:dyDescent="0.35">
      <c r="A92" s="4">
        <v>45536</v>
      </c>
      <c r="B92" s="2" t="s">
        <v>1026</v>
      </c>
      <c r="D92" s="2" t="s">
        <v>1604</v>
      </c>
      <c r="E92" s="2" t="s">
        <v>2199</v>
      </c>
      <c r="F92" s="5" t="str">
        <f t="shared" si="5"/>
        <v>09/24 OLARIU ADRIANA SILVANA</v>
      </c>
      <c r="G92" s="12">
        <f t="shared" si="6"/>
        <v>200</v>
      </c>
      <c r="H92">
        <v>21</v>
      </c>
      <c r="I92" s="5">
        <f t="shared" si="7"/>
        <v>42</v>
      </c>
      <c r="J92" s="5">
        <f t="shared" si="8"/>
        <v>200</v>
      </c>
      <c r="K92">
        <v>19</v>
      </c>
      <c r="L92" s="5">
        <f t="shared" si="9"/>
        <v>38</v>
      </c>
      <c r="M92" s="8">
        <v>204</v>
      </c>
      <c r="N92" s="2" t="s">
        <v>46</v>
      </c>
      <c r="O92" s="3" t="s">
        <v>68</v>
      </c>
    </row>
    <row r="93" spans="1:19" x14ac:dyDescent="0.35">
      <c r="A93" s="4">
        <v>45536</v>
      </c>
      <c r="B93" s="2" t="s">
        <v>1026</v>
      </c>
      <c r="D93" s="2" t="s">
        <v>45</v>
      </c>
      <c r="E93" s="2" t="s">
        <v>163</v>
      </c>
      <c r="F93" s="5" t="str">
        <f t="shared" si="5"/>
        <v>09/24 EMANUEL CODITA</v>
      </c>
      <c r="G93" s="12">
        <f t="shared" si="6"/>
        <v>200</v>
      </c>
      <c r="H93">
        <v>21</v>
      </c>
      <c r="I93" s="5">
        <f t="shared" si="7"/>
        <v>42</v>
      </c>
      <c r="J93" s="5">
        <f t="shared" si="8"/>
        <v>200</v>
      </c>
      <c r="K93">
        <v>19</v>
      </c>
      <c r="L93" s="5">
        <f t="shared" si="9"/>
        <v>38</v>
      </c>
      <c r="M93" s="8">
        <v>204</v>
      </c>
      <c r="N93" s="2" t="s">
        <v>46</v>
      </c>
      <c r="O93" s="3" t="s">
        <v>68</v>
      </c>
    </row>
    <row r="94" spans="1:19" x14ac:dyDescent="0.35">
      <c r="A94" s="4">
        <v>45471</v>
      </c>
      <c r="B94" s="2" t="s">
        <v>2200</v>
      </c>
      <c r="D94" s="2" t="s">
        <v>34</v>
      </c>
      <c r="E94" s="2" t="s">
        <v>1417</v>
      </c>
      <c r="F94" s="5" t="str">
        <f t="shared" si="5"/>
        <v>F242601 CONTAMAR</v>
      </c>
      <c r="G94" s="12">
        <f t="shared" si="6"/>
        <v>25</v>
      </c>
      <c r="H94">
        <v>21</v>
      </c>
      <c r="I94" s="5">
        <f t="shared" si="7"/>
        <v>5.25</v>
      </c>
      <c r="J94" s="5">
        <f t="shared" si="8"/>
        <v>25</v>
      </c>
      <c r="L94" s="5">
        <f t="shared" si="9"/>
        <v>0</v>
      </c>
      <c r="M94" s="8">
        <v>30.25</v>
      </c>
      <c r="N94" s="2" t="s">
        <v>55</v>
      </c>
      <c r="O94" s="3" t="s">
        <v>67</v>
      </c>
    </row>
    <row r="95" spans="1:19" x14ac:dyDescent="0.35">
      <c r="A95" s="4">
        <v>45504</v>
      </c>
      <c r="B95" s="2" t="s">
        <v>2201</v>
      </c>
      <c r="D95" s="2" t="s">
        <v>34</v>
      </c>
      <c r="E95" s="2" t="s">
        <v>1417</v>
      </c>
      <c r="F95" s="5" t="str">
        <f t="shared" si="5"/>
        <v>F242835 CONTAMAR</v>
      </c>
      <c r="G95" s="12">
        <f t="shared" si="6"/>
        <v>89.553719008264466</v>
      </c>
      <c r="H95">
        <v>21</v>
      </c>
      <c r="I95" s="5">
        <f t="shared" si="7"/>
        <v>18.806280991735537</v>
      </c>
      <c r="J95" s="5">
        <f t="shared" si="8"/>
        <v>89.553719008264466</v>
      </c>
      <c r="L95" s="5">
        <f t="shared" si="9"/>
        <v>0</v>
      </c>
      <c r="M95" s="8">
        <v>108.36</v>
      </c>
      <c r="N95" s="2" t="s">
        <v>55</v>
      </c>
      <c r="O95" s="3" t="s">
        <v>67</v>
      </c>
    </row>
    <row r="96" spans="1:19" x14ac:dyDescent="0.35">
      <c r="A96" s="4">
        <v>45504</v>
      </c>
      <c r="B96" s="2" t="s">
        <v>2202</v>
      </c>
      <c r="D96" s="2" t="s">
        <v>34</v>
      </c>
      <c r="E96" s="2" t="s">
        <v>1417</v>
      </c>
      <c r="F96" s="5" t="str">
        <f t="shared" si="5"/>
        <v>F243001 CONTAMAR</v>
      </c>
      <c r="G96" s="12">
        <f t="shared" si="6"/>
        <v>25</v>
      </c>
      <c r="H96">
        <v>21</v>
      </c>
      <c r="I96" s="5">
        <f t="shared" si="7"/>
        <v>5.25</v>
      </c>
      <c r="J96" s="5">
        <f t="shared" si="8"/>
        <v>25</v>
      </c>
      <c r="L96" s="5">
        <f t="shared" si="9"/>
        <v>0</v>
      </c>
      <c r="M96" s="8">
        <v>30.25</v>
      </c>
      <c r="N96" s="2" t="s">
        <v>55</v>
      </c>
      <c r="O96" s="3" t="s">
        <v>67</v>
      </c>
    </row>
    <row r="97" spans="1:15" x14ac:dyDescent="0.35">
      <c r="A97" s="4">
        <v>45497</v>
      </c>
      <c r="B97" s="2" t="s">
        <v>2203</v>
      </c>
      <c r="D97" s="2" t="s">
        <v>1000</v>
      </c>
      <c r="E97" s="2" t="s">
        <v>2204</v>
      </c>
      <c r="F97" s="5" t="str">
        <f t="shared" si="5"/>
        <v>B-4217 IPE MADERAS 1991 S.L.U.</v>
      </c>
      <c r="G97" s="12">
        <f t="shared" si="6"/>
        <v>921.99999999999989</v>
      </c>
      <c r="H97">
        <v>21</v>
      </c>
      <c r="I97" s="5">
        <f t="shared" si="7"/>
        <v>193.61999999999998</v>
      </c>
      <c r="J97" s="5">
        <f t="shared" si="8"/>
        <v>921.99999999999989</v>
      </c>
      <c r="L97" s="5">
        <f t="shared" si="9"/>
        <v>0</v>
      </c>
      <c r="M97" s="8">
        <v>1115.6199999999999</v>
      </c>
      <c r="N97" s="2" t="s">
        <v>21</v>
      </c>
      <c r="O97" s="3" t="s">
        <v>68</v>
      </c>
    </row>
    <row r="98" spans="1:15" x14ac:dyDescent="0.35">
      <c r="A98" s="4">
        <v>45478</v>
      </c>
      <c r="B98" s="2" t="s">
        <v>2205</v>
      </c>
      <c r="D98" s="2" t="s">
        <v>1385</v>
      </c>
      <c r="E98" s="2" t="s">
        <v>2206</v>
      </c>
      <c r="F98" s="5" t="str">
        <f t="shared" si="5"/>
        <v>FV02402690 ECOMAMPARA S.A.</v>
      </c>
      <c r="G98" s="12">
        <f t="shared" si="6"/>
        <v>272</v>
      </c>
      <c r="H98">
        <v>21</v>
      </c>
      <c r="I98" s="5">
        <f t="shared" si="7"/>
        <v>57.12</v>
      </c>
      <c r="J98" s="5">
        <f t="shared" si="8"/>
        <v>272</v>
      </c>
      <c r="L98" s="5">
        <f t="shared" si="9"/>
        <v>0</v>
      </c>
      <c r="M98" s="8">
        <v>329.12</v>
      </c>
      <c r="N98" s="2" t="s">
        <v>21</v>
      </c>
      <c r="O98" s="3" t="s">
        <v>67</v>
      </c>
    </row>
    <row r="99" spans="1:15" x14ac:dyDescent="0.35">
      <c r="A99" s="4">
        <v>45420</v>
      </c>
      <c r="B99" s="2" t="s">
        <v>2208</v>
      </c>
      <c r="D99" s="2" t="s">
        <v>29</v>
      </c>
      <c r="E99" s="2" t="s">
        <v>76</v>
      </c>
      <c r="F99" s="5" t="str">
        <f t="shared" si="5"/>
        <v>5477202400026941 COSTCO</v>
      </c>
      <c r="G99" s="12">
        <f t="shared" si="6"/>
        <v>45.446280991735541</v>
      </c>
      <c r="H99">
        <v>21</v>
      </c>
      <c r="I99" s="5">
        <f t="shared" si="7"/>
        <v>9.5437190082644641</v>
      </c>
      <c r="J99" s="5">
        <f t="shared" si="8"/>
        <v>45.446280991735541</v>
      </c>
      <c r="L99" s="5">
        <f t="shared" si="9"/>
        <v>0</v>
      </c>
      <c r="M99" s="8">
        <v>54.99</v>
      </c>
      <c r="N99" s="2" t="s">
        <v>22</v>
      </c>
      <c r="O99" s="3" t="s">
        <v>63</v>
      </c>
    </row>
    <row r="100" spans="1:15" x14ac:dyDescent="0.35">
      <c r="A100" s="4">
        <v>45491</v>
      </c>
      <c r="B100" s="2" t="s">
        <v>2214</v>
      </c>
      <c r="D100" s="2" t="s">
        <v>1473</v>
      </c>
      <c r="E100" s="2" t="s">
        <v>1474</v>
      </c>
      <c r="F100" s="5" t="str">
        <f t="shared" si="5"/>
        <v>003076 GARDEN RIVAS</v>
      </c>
      <c r="G100" s="12">
        <f t="shared" si="6"/>
        <v>43.272727272727273</v>
      </c>
      <c r="H100">
        <v>10</v>
      </c>
      <c r="I100" s="5">
        <f t="shared" si="7"/>
        <v>4.3272727272727272</v>
      </c>
      <c r="J100" s="5">
        <f t="shared" si="8"/>
        <v>43.272727272727273</v>
      </c>
      <c r="L100" s="5">
        <f t="shared" si="9"/>
        <v>0</v>
      </c>
      <c r="M100" s="8">
        <v>47.6</v>
      </c>
      <c r="N100" s="2" t="s">
        <v>21</v>
      </c>
      <c r="O100" s="3" t="s">
        <v>63</v>
      </c>
    </row>
    <row r="101" spans="1:15" x14ac:dyDescent="0.35">
      <c r="A101" s="4">
        <v>45504</v>
      </c>
      <c r="B101" s="2" t="s">
        <v>2215</v>
      </c>
      <c r="D101" s="2" t="s">
        <v>1497</v>
      </c>
      <c r="E101" s="2" t="s">
        <v>2216</v>
      </c>
      <c r="F101" s="5" t="str">
        <f t="shared" si="5"/>
        <v>25137 ITV SESEÑA</v>
      </c>
      <c r="G101" s="12">
        <v>40.98</v>
      </c>
      <c r="H101">
        <v>21</v>
      </c>
      <c r="I101" s="5">
        <f t="shared" si="7"/>
        <v>8.6057999999999986</v>
      </c>
      <c r="J101" s="5">
        <f t="shared" si="8"/>
        <v>40.98</v>
      </c>
      <c r="L101" s="5">
        <f t="shared" si="9"/>
        <v>0</v>
      </c>
      <c r="M101" s="8">
        <v>54.81</v>
      </c>
      <c r="N101" s="2" t="s">
        <v>2217</v>
      </c>
      <c r="O101" s="3" t="s">
        <v>63</v>
      </c>
    </row>
    <row r="102" spans="1:15" x14ac:dyDescent="0.35">
      <c r="A102" s="4">
        <v>45489</v>
      </c>
      <c r="B102" s="2" t="s">
        <v>2035</v>
      </c>
      <c r="D102" s="2" t="s">
        <v>773</v>
      </c>
      <c r="E102" s="2" t="s">
        <v>774</v>
      </c>
      <c r="F102" s="5" t="str">
        <f t="shared" si="5"/>
        <v>249000963707 PETROPRIX</v>
      </c>
      <c r="G102" s="12">
        <f t="shared" si="6"/>
        <v>68.173553719008268</v>
      </c>
      <c r="H102">
        <v>21</v>
      </c>
      <c r="I102" s="5">
        <f t="shared" si="7"/>
        <v>14.316446280991736</v>
      </c>
      <c r="J102" s="5">
        <f t="shared" si="8"/>
        <v>68.173553719008268</v>
      </c>
      <c r="L102" s="5">
        <f t="shared" si="9"/>
        <v>0</v>
      </c>
      <c r="M102" s="8">
        <v>82.49</v>
      </c>
      <c r="N102" s="2" t="s">
        <v>22</v>
      </c>
      <c r="O102" s="3" t="s">
        <v>64</v>
      </c>
    </row>
    <row r="103" spans="1:15" x14ac:dyDescent="0.35">
      <c r="A103" s="4">
        <v>45482</v>
      </c>
      <c r="B103" s="2" t="s">
        <v>2218</v>
      </c>
      <c r="D103" s="2" t="s">
        <v>2219</v>
      </c>
      <c r="E103" s="2" t="s">
        <v>2220</v>
      </c>
      <c r="F103" s="5" t="str">
        <f t="shared" si="5"/>
        <v>A1648 VENTANAS NOGALES</v>
      </c>
      <c r="G103" s="12">
        <f t="shared" si="6"/>
        <v>18300</v>
      </c>
      <c r="H103">
        <v>21</v>
      </c>
      <c r="I103" s="5">
        <f t="shared" si="7"/>
        <v>3843</v>
      </c>
      <c r="J103" s="5">
        <f t="shared" si="8"/>
        <v>18300</v>
      </c>
      <c r="L103" s="5">
        <f t="shared" si="9"/>
        <v>0</v>
      </c>
      <c r="M103" s="8">
        <v>22143</v>
      </c>
      <c r="N103" s="2" t="s">
        <v>37</v>
      </c>
      <c r="O103" s="3" t="s">
        <v>68</v>
      </c>
    </row>
    <row r="104" spans="1:15" x14ac:dyDescent="0.35">
      <c r="A104" s="4">
        <v>45500</v>
      </c>
      <c r="B104" s="2" t="s">
        <v>2221</v>
      </c>
      <c r="D104" s="2" t="s">
        <v>35</v>
      </c>
      <c r="E104" s="2" t="s">
        <v>2222</v>
      </c>
      <c r="F104" s="5" t="str">
        <f t="shared" si="5"/>
        <v>0240010785 PINTODIS</v>
      </c>
      <c r="G104" s="12">
        <f t="shared" si="6"/>
        <v>41.32231404958678</v>
      </c>
      <c r="H104">
        <v>21</v>
      </c>
      <c r="I104" s="5">
        <f t="shared" si="7"/>
        <v>8.677685950413224</v>
      </c>
      <c r="J104" s="5">
        <f t="shared" si="8"/>
        <v>41.32231404958678</v>
      </c>
      <c r="L104" s="5">
        <f t="shared" si="9"/>
        <v>0</v>
      </c>
      <c r="M104" s="8">
        <v>50</v>
      </c>
      <c r="N104" s="2" t="s">
        <v>22</v>
      </c>
      <c r="O104" s="3" t="s">
        <v>64</v>
      </c>
    </row>
    <row r="105" spans="1:15" x14ac:dyDescent="0.35">
      <c r="A105" s="4">
        <v>45493</v>
      </c>
      <c r="B105" s="2" t="s">
        <v>2223</v>
      </c>
      <c r="D105" s="2" t="s">
        <v>35</v>
      </c>
      <c r="E105" s="2" t="s">
        <v>2222</v>
      </c>
      <c r="F105" s="5" t="str">
        <f t="shared" si="5"/>
        <v>0240010549 PINTODIS</v>
      </c>
      <c r="G105" s="12">
        <f t="shared" si="6"/>
        <v>60.652892561983471</v>
      </c>
      <c r="H105">
        <v>21</v>
      </c>
      <c r="I105" s="5">
        <f t="shared" si="7"/>
        <v>12.737107438016528</v>
      </c>
      <c r="J105" s="5">
        <f t="shared" si="8"/>
        <v>60.652892561983471</v>
      </c>
      <c r="L105" s="5">
        <f t="shared" si="9"/>
        <v>0</v>
      </c>
      <c r="M105" s="8">
        <v>73.39</v>
      </c>
      <c r="N105" s="2" t="s">
        <v>22</v>
      </c>
      <c r="O105" s="3" t="s">
        <v>64</v>
      </c>
    </row>
    <row r="106" spans="1:15" x14ac:dyDescent="0.35">
      <c r="A106" s="4">
        <v>45477</v>
      </c>
      <c r="B106" s="2" t="s">
        <v>2224</v>
      </c>
      <c r="D106" s="2" t="s">
        <v>35</v>
      </c>
      <c r="E106" s="2" t="s">
        <v>2222</v>
      </c>
      <c r="F106" s="5" t="str">
        <f t="shared" si="5"/>
        <v>0240009964 PINTODIS</v>
      </c>
      <c r="G106" s="12">
        <f t="shared" si="6"/>
        <v>95.429752066115711</v>
      </c>
      <c r="H106">
        <v>21</v>
      </c>
      <c r="I106" s="5">
        <f t="shared" si="7"/>
        <v>20.040247933884299</v>
      </c>
      <c r="J106" s="5">
        <f t="shared" si="8"/>
        <v>95.429752066115711</v>
      </c>
      <c r="L106" s="5">
        <f t="shared" si="9"/>
        <v>0</v>
      </c>
      <c r="M106" s="8">
        <v>115.47</v>
      </c>
      <c r="N106" s="2" t="s">
        <v>22</v>
      </c>
      <c r="O106" s="3" t="s">
        <v>64</v>
      </c>
    </row>
    <row r="107" spans="1:15" x14ac:dyDescent="0.35">
      <c r="A107" s="4">
        <v>45481</v>
      </c>
      <c r="B107" s="2" t="s">
        <v>2225</v>
      </c>
      <c r="D107" s="2" t="s">
        <v>35</v>
      </c>
      <c r="E107" s="2" t="s">
        <v>2222</v>
      </c>
      <c r="F107" s="5" t="str">
        <f t="shared" si="5"/>
        <v>0240010101 PINTODIS</v>
      </c>
      <c r="G107" s="12">
        <f t="shared" si="6"/>
        <v>53.603305785123965</v>
      </c>
      <c r="H107">
        <v>21</v>
      </c>
      <c r="I107" s="5">
        <f t="shared" si="7"/>
        <v>11.256694214876033</v>
      </c>
      <c r="J107" s="5">
        <f t="shared" si="8"/>
        <v>53.603305785123965</v>
      </c>
      <c r="L107" s="5">
        <f t="shared" si="9"/>
        <v>0</v>
      </c>
      <c r="M107" s="8">
        <v>64.86</v>
      </c>
      <c r="N107" s="2" t="s">
        <v>22</v>
      </c>
      <c r="O107" s="3" t="s">
        <v>64</v>
      </c>
    </row>
    <row r="108" spans="1:15" x14ac:dyDescent="0.35">
      <c r="A108" s="4">
        <v>45469</v>
      </c>
      <c r="B108" s="2" t="s">
        <v>2226</v>
      </c>
      <c r="D108" s="2" t="s">
        <v>58</v>
      </c>
      <c r="E108" s="2" t="s">
        <v>2028</v>
      </c>
      <c r="F108" s="5" t="str">
        <f t="shared" si="5"/>
        <v>011-0006-963866 BRICOLAJE BRICOMAN</v>
      </c>
      <c r="G108" s="12">
        <f t="shared" si="6"/>
        <v>63.867768595041326</v>
      </c>
      <c r="H108">
        <v>21</v>
      </c>
      <c r="I108" s="5">
        <f t="shared" si="7"/>
        <v>13.41223140495868</v>
      </c>
      <c r="J108" s="5">
        <f t="shared" si="8"/>
        <v>63.867768595041326</v>
      </c>
      <c r="L108" s="5">
        <f t="shared" si="9"/>
        <v>0</v>
      </c>
      <c r="M108" s="8">
        <v>77.28</v>
      </c>
      <c r="N108" s="2" t="s">
        <v>21</v>
      </c>
      <c r="O108" s="3" t="s">
        <v>64</v>
      </c>
    </row>
    <row r="109" spans="1:15" x14ac:dyDescent="0.35">
      <c r="A109" s="4">
        <v>45469</v>
      </c>
      <c r="B109" s="2" t="s">
        <v>2227</v>
      </c>
      <c r="D109" s="2" t="s">
        <v>58</v>
      </c>
      <c r="E109" s="2" t="s">
        <v>2028</v>
      </c>
      <c r="F109" s="5" t="str">
        <f t="shared" si="5"/>
        <v>011-0006-963951 BRICOLAJE BRICOMAN</v>
      </c>
      <c r="G109" s="12">
        <f t="shared" si="6"/>
        <v>29.652892561983474</v>
      </c>
      <c r="H109">
        <v>21</v>
      </c>
      <c r="I109" s="5">
        <f t="shared" si="7"/>
        <v>6.227107438016529</v>
      </c>
      <c r="J109" s="5">
        <f t="shared" si="8"/>
        <v>29.652892561983474</v>
      </c>
      <c r="L109" s="5">
        <f t="shared" si="9"/>
        <v>0</v>
      </c>
      <c r="M109" s="8">
        <v>35.880000000000003</v>
      </c>
      <c r="N109" s="2" t="s">
        <v>21</v>
      </c>
      <c r="O109" s="3" t="s">
        <v>64</v>
      </c>
    </row>
    <row r="110" spans="1:15" x14ac:dyDescent="0.35">
      <c r="A110" s="4">
        <v>45464</v>
      </c>
      <c r="B110" s="2" t="s">
        <v>2228</v>
      </c>
      <c r="D110" s="2" t="s">
        <v>35</v>
      </c>
      <c r="E110" s="2" t="s">
        <v>2222</v>
      </c>
      <c r="F110" s="5" t="str">
        <f t="shared" si="5"/>
        <v>0240009294 PINTODIS</v>
      </c>
      <c r="G110" s="12">
        <f t="shared" si="6"/>
        <v>96.619834710743802</v>
      </c>
      <c r="H110">
        <v>21</v>
      </c>
      <c r="I110" s="5">
        <f t="shared" si="7"/>
        <v>20.290165289256198</v>
      </c>
      <c r="J110" s="5">
        <f t="shared" si="8"/>
        <v>96.619834710743802</v>
      </c>
      <c r="L110" s="5">
        <f t="shared" si="9"/>
        <v>0</v>
      </c>
      <c r="M110" s="8">
        <v>116.91</v>
      </c>
      <c r="N110" s="2" t="s">
        <v>22</v>
      </c>
      <c r="O110" s="3" t="s">
        <v>64</v>
      </c>
    </row>
    <row r="111" spans="1:15" x14ac:dyDescent="0.35">
      <c r="A111" s="4">
        <v>45453</v>
      </c>
      <c r="B111" s="2" t="s">
        <v>2229</v>
      </c>
      <c r="D111" s="2" t="s">
        <v>35</v>
      </c>
      <c r="E111" s="2" t="s">
        <v>2222</v>
      </c>
      <c r="F111" s="5" t="str">
        <f t="shared" si="5"/>
        <v>0240008689 PINTODIS</v>
      </c>
      <c r="G111" s="12">
        <f t="shared" si="6"/>
        <v>33.057851239669425</v>
      </c>
      <c r="H111">
        <v>21</v>
      </c>
      <c r="I111" s="5">
        <f t="shared" si="7"/>
        <v>6.9421487603305794</v>
      </c>
      <c r="J111" s="5">
        <f t="shared" si="8"/>
        <v>33.057851239669425</v>
      </c>
      <c r="L111" s="5">
        <f t="shared" si="9"/>
        <v>0</v>
      </c>
      <c r="M111" s="8">
        <v>40</v>
      </c>
      <c r="N111" s="2" t="s">
        <v>22</v>
      </c>
      <c r="O111" s="3" t="s">
        <v>64</v>
      </c>
    </row>
    <row r="112" spans="1:15" x14ac:dyDescent="0.35">
      <c r="A112" s="4">
        <v>45448</v>
      </c>
      <c r="B112" s="2" t="s">
        <v>2230</v>
      </c>
      <c r="D112" s="2" t="s">
        <v>35</v>
      </c>
      <c r="E112" s="2" t="s">
        <v>2222</v>
      </c>
      <c r="F112" s="5" t="str">
        <f t="shared" si="5"/>
        <v>0240008503 PINTODIS</v>
      </c>
      <c r="G112" s="12">
        <f t="shared" si="6"/>
        <v>41.32231404958678</v>
      </c>
      <c r="H112">
        <v>21</v>
      </c>
      <c r="I112" s="5">
        <f t="shared" si="7"/>
        <v>8.677685950413224</v>
      </c>
      <c r="J112" s="5">
        <f t="shared" si="8"/>
        <v>41.32231404958678</v>
      </c>
      <c r="L112" s="5">
        <f t="shared" si="9"/>
        <v>0</v>
      </c>
      <c r="M112" s="8">
        <v>50</v>
      </c>
      <c r="N112" s="2" t="s">
        <v>22</v>
      </c>
      <c r="O112" s="3" t="s">
        <v>64</v>
      </c>
    </row>
    <row r="113" spans="1:15" x14ac:dyDescent="0.35">
      <c r="A113" s="4">
        <v>45487</v>
      </c>
      <c r="B113" s="2" t="s">
        <v>2231</v>
      </c>
      <c r="D113" s="2" t="s">
        <v>29</v>
      </c>
      <c r="E113" s="2" t="s">
        <v>76</v>
      </c>
      <c r="F113" s="5" t="str">
        <f t="shared" si="5"/>
        <v>5477-2024-00041070 COSTCO</v>
      </c>
      <c r="G113" s="12">
        <v>119.6</v>
      </c>
      <c r="H113">
        <v>21</v>
      </c>
      <c r="I113" s="5">
        <f t="shared" si="7"/>
        <v>25.116</v>
      </c>
      <c r="J113" s="5">
        <v>72.2</v>
      </c>
      <c r="K113" s="5">
        <v>10</v>
      </c>
      <c r="L113" s="5">
        <f t="shared" si="9"/>
        <v>7.22</v>
      </c>
      <c r="M113" s="8">
        <v>295.44</v>
      </c>
      <c r="N113" s="2" t="s">
        <v>2232</v>
      </c>
      <c r="O113" s="3" t="s">
        <v>63</v>
      </c>
    </row>
    <row r="114" spans="1:15" x14ac:dyDescent="0.35">
      <c r="A114" s="4">
        <v>45495</v>
      </c>
      <c r="B114" s="2" t="s">
        <v>2233</v>
      </c>
      <c r="D114" s="2" t="s">
        <v>2234</v>
      </c>
      <c r="E114" s="2" t="s">
        <v>2235</v>
      </c>
      <c r="F114" s="5" t="str">
        <f t="shared" si="5"/>
        <v>36390 RESTAURANTE PLA DE BERET</v>
      </c>
      <c r="G114" s="12">
        <f t="shared" si="6"/>
        <v>112.18181818181817</v>
      </c>
      <c r="H114">
        <v>10</v>
      </c>
      <c r="I114" s="5">
        <f t="shared" si="7"/>
        <v>11.218181818181817</v>
      </c>
      <c r="J114" s="5">
        <f t="shared" si="8"/>
        <v>112.18181818181817</v>
      </c>
      <c r="L114" s="5">
        <f t="shared" si="9"/>
        <v>0</v>
      </c>
      <c r="M114" s="8">
        <v>123.4</v>
      </c>
      <c r="N114" s="2" t="s">
        <v>28</v>
      </c>
      <c r="O114" s="3" t="s">
        <v>63</v>
      </c>
    </row>
    <row r="115" spans="1:15" x14ac:dyDescent="0.35">
      <c r="A115" s="4">
        <v>45498</v>
      </c>
      <c r="B115" s="2" t="s">
        <v>2236</v>
      </c>
      <c r="D115" s="2" t="s">
        <v>2237</v>
      </c>
      <c r="E115" s="2" t="s">
        <v>2238</v>
      </c>
      <c r="F115" s="5" t="str">
        <f t="shared" si="5"/>
        <v>020 LA BOVEDA</v>
      </c>
      <c r="G115" s="12">
        <f t="shared" si="6"/>
        <v>98.72727272727272</v>
      </c>
      <c r="H115">
        <v>10</v>
      </c>
      <c r="I115" s="5">
        <f t="shared" si="7"/>
        <v>9.872727272727273</v>
      </c>
      <c r="J115" s="5">
        <f t="shared" si="8"/>
        <v>98.72727272727272</v>
      </c>
      <c r="L115" s="5">
        <f t="shared" si="9"/>
        <v>0</v>
      </c>
      <c r="M115" s="8">
        <v>108.6</v>
      </c>
      <c r="N115" s="2" t="s">
        <v>28</v>
      </c>
      <c r="O115" s="3" t="s">
        <v>63</v>
      </c>
    </row>
    <row r="116" spans="1:15" x14ac:dyDescent="0.35">
      <c r="A116" s="4">
        <v>45491</v>
      </c>
      <c r="B116" s="2" t="s">
        <v>2239</v>
      </c>
      <c r="D116" s="2" t="s">
        <v>60</v>
      </c>
      <c r="E116" s="2" t="s">
        <v>24</v>
      </c>
      <c r="F116" s="5" t="str">
        <f t="shared" si="5"/>
        <v>004696/A/24/002929 REPSOL</v>
      </c>
      <c r="G116" s="12">
        <f t="shared" si="6"/>
        <v>67.859504132231407</v>
      </c>
      <c r="H116">
        <v>21</v>
      </c>
      <c r="I116" s="5">
        <f t="shared" si="7"/>
        <v>14.250495867768596</v>
      </c>
      <c r="J116" s="5">
        <f t="shared" si="8"/>
        <v>67.859504132231407</v>
      </c>
      <c r="L116" s="5">
        <f t="shared" si="9"/>
        <v>0</v>
      </c>
      <c r="M116" s="8">
        <v>82.11</v>
      </c>
      <c r="N116" s="2" t="s">
        <v>22</v>
      </c>
      <c r="O116" s="3" t="s">
        <v>64</v>
      </c>
    </row>
    <row r="117" spans="1:15" x14ac:dyDescent="0.35">
      <c r="A117" s="4">
        <v>45512</v>
      </c>
      <c r="B117" s="2" t="s">
        <v>2240</v>
      </c>
      <c r="D117" s="2" t="s">
        <v>2241</v>
      </c>
      <c r="E117" s="2" t="s">
        <v>2242</v>
      </c>
      <c r="F117" s="5" t="str">
        <f t="shared" si="5"/>
        <v>18245038 EUROPA SERVICE</v>
      </c>
      <c r="G117" s="12">
        <f t="shared" si="6"/>
        <v>42000</v>
      </c>
      <c r="I117" s="5">
        <f t="shared" si="7"/>
        <v>0</v>
      </c>
      <c r="J117" s="5">
        <f t="shared" si="8"/>
        <v>42000</v>
      </c>
      <c r="L117" s="5">
        <f t="shared" si="9"/>
        <v>0</v>
      </c>
      <c r="M117" s="8">
        <v>42000</v>
      </c>
      <c r="N117" s="2" t="s">
        <v>50</v>
      </c>
      <c r="O117" s="3" t="s">
        <v>68</v>
      </c>
    </row>
    <row r="118" spans="1:15" x14ac:dyDescent="0.35">
      <c r="A118" s="4">
        <v>45504</v>
      </c>
      <c r="B118" s="2" t="s">
        <v>2243</v>
      </c>
      <c r="D118" s="2" t="s">
        <v>2244</v>
      </c>
      <c r="E118" s="2" t="s">
        <v>2245</v>
      </c>
      <c r="F118" s="5" t="str">
        <f t="shared" ref="F118:F315" si="10">CONCATENATE(S118,B118," ",E118)</f>
        <v>0709436 BERESA SMBH &amp; CO. KG</v>
      </c>
      <c r="G118" s="12">
        <f t="shared" si="6"/>
        <v>37394.959999999999</v>
      </c>
      <c r="I118" s="5">
        <f t="shared" si="7"/>
        <v>0</v>
      </c>
      <c r="J118" s="5">
        <f t="shared" si="8"/>
        <v>37394.959999999999</v>
      </c>
      <c r="L118" s="5">
        <f t="shared" si="9"/>
        <v>0</v>
      </c>
      <c r="M118" s="8">
        <v>37394.959999999999</v>
      </c>
      <c r="N118" s="2" t="s">
        <v>50</v>
      </c>
      <c r="O118" s="3" t="s">
        <v>68</v>
      </c>
    </row>
    <row r="119" spans="1:15" x14ac:dyDescent="0.35">
      <c r="A119" s="4">
        <v>45504</v>
      </c>
      <c r="B119" s="2" t="s">
        <v>2246</v>
      </c>
      <c r="D119" s="2" t="s">
        <v>40</v>
      </c>
      <c r="E119" s="2" t="s">
        <v>41</v>
      </c>
      <c r="F119" s="5" t="str">
        <f t="shared" si="10"/>
        <v>1498/24 CONTENEDORES OSCONSUR</v>
      </c>
      <c r="G119" s="12">
        <v>682</v>
      </c>
      <c r="H119">
        <v>10</v>
      </c>
      <c r="I119" s="5">
        <f t="shared" si="7"/>
        <v>68.2</v>
      </c>
      <c r="J119" s="5">
        <v>120</v>
      </c>
      <c r="K119" s="5">
        <v>21</v>
      </c>
      <c r="L119" s="5">
        <f t="shared" ref="L119:L173" si="11">J119*K119/100</f>
        <v>25.2</v>
      </c>
      <c r="M119" s="8">
        <v>895.4</v>
      </c>
      <c r="N119" s="2" t="s">
        <v>33</v>
      </c>
      <c r="O119" s="3" t="s">
        <v>67</v>
      </c>
    </row>
    <row r="120" spans="1:15" x14ac:dyDescent="0.35">
      <c r="A120" s="4">
        <v>45514</v>
      </c>
      <c r="B120" s="2" t="s">
        <v>2247</v>
      </c>
      <c r="D120" s="2" t="s">
        <v>25</v>
      </c>
      <c r="E120" s="2" t="s">
        <v>26</v>
      </c>
      <c r="F120" s="5" t="str">
        <f t="shared" si="10"/>
        <v>266136 SALTOKI</v>
      </c>
      <c r="G120" s="12">
        <f t="shared" ref="G120:G173" si="12">M120/(1-K120/100+H120/100)</f>
        <v>400.84297520661158</v>
      </c>
      <c r="H120">
        <v>21</v>
      </c>
      <c r="I120" s="5">
        <f t="shared" ref="I120:I173" si="13">G120*H120/100</f>
        <v>84.177024793388426</v>
      </c>
      <c r="J120" s="5">
        <f t="shared" ref="J120:J173" si="14">G120</f>
        <v>400.84297520661158</v>
      </c>
      <c r="L120" s="5">
        <f t="shared" si="11"/>
        <v>0</v>
      </c>
      <c r="M120" s="8">
        <v>485.02</v>
      </c>
      <c r="N120" s="2" t="s">
        <v>21</v>
      </c>
      <c r="O120" s="3" t="s">
        <v>67</v>
      </c>
    </row>
    <row r="121" spans="1:15" x14ac:dyDescent="0.35">
      <c r="A121" s="4">
        <v>45514</v>
      </c>
      <c r="B121" s="2" t="s">
        <v>2248</v>
      </c>
      <c r="D121" s="2" t="s">
        <v>25</v>
      </c>
      <c r="E121" s="2" t="s">
        <v>26</v>
      </c>
      <c r="F121" s="5" t="str">
        <f t="shared" si="10"/>
        <v>266137 SALTOKI</v>
      </c>
      <c r="G121" s="12">
        <f t="shared" si="12"/>
        <v>923.7933884297521</v>
      </c>
      <c r="H121">
        <v>21</v>
      </c>
      <c r="I121" s="5">
        <f t="shared" si="13"/>
        <v>193.99661157024795</v>
      </c>
      <c r="J121" s="5">
        <f t="shared" si="14"/>
        <v>923.7933884297521</v>
      </c>
      <c r="L121" s="5">
        <f t="shared" si="11"/>
        <v>0</v>
      </c>
      <c r="M121" s="8">
        <v>1117.79</v>
      </c>
      <c r="N121" s="2" t="s">
        <v>21</v>
      </c>
      <c r="O121" s="3" t="s">
        <v>67</v>
      </c>
    </row>
    <row r="122" spans="1:15" x14ac:dyDescent="0.35">
      <c r="A122" s="4">
        <v>45514</v>
      </c>
      <c r="B122" s="2" t="s">
        <v>2249</v>
      </c>
      <c r="D122" s="2" t="s">
        <v>94</v>
      </c>
      <c r="E122" s="2" t="s">
        <v>139</v>
      </c>
      <c r="F122" s="5" t="str">
        <f t="shared" si="10"/>
        <v>VEN/20276533 BIGMAT</v>
      </c>
      <c r="G122" s="12">
        <f t="shared" si="12"/>
        <v>1463.6694214876034</v>
      </c>
      <c r="H122">
        <v>21</v>
      </c>
      <c r="I122" s="5">
        <f t="shared" si="13"/>
        <v>307.37057851239672</v>
      </c>
      <c r="J122" s="5">
        <f t="shared" si="14"/>
        <v>1463.6694214876034</v>
      </c>
      <c r="L122" s="5">
        <f t="shared" si="11"/>
        <v>0</v>
      </c>
      <c r="M122" s="8">
        <v>1771.04</v>
      </c>
      <c r="N122" s="2" t="s">
        <v>21</v>
      </c>
      <c r="O122" s="3" t="s">
        <v>67</v>
      </c>
    </row>
    <row r="123" spans="1:15" x14ac:dyDescent="0.35">
      <c r="A123" s="4">
        <v>45524</v>
      </c>
      <c r="B123" s="2" t="s">
        <v>2250</v>
      </c>
      <c r="D123" s="2" t="s">
        <v>94</v>
      </c>
      <c r="E123" s="2" t="s">
        <v>139</v>
      </c>
      <c r="F123" s="5" t="str">
        <f t="shared" si="10"/>
        <v>VEN/20278646 BIGMAT</v>
      </c>
      <c r="G123" s="12">
        <f t="shared" si="12"/>
        <v>854.28099173553721</v>
      </c>
      <c r="H123">
        <v>21</v>
      </c>
      <c r="I123" s="5">
        <f t="shared" si="13"/>
        <v>179.39900826446282</v>
      </c>
      <c r="J123" s="5">
        <f t="shared" si="14"/>
        <v>854.28099173553721</v>
      </c>
      <c r="L123" s="5">
        <f t="shared" si="11"/>
        <v>0</v>
      </c>
      <c r="M123" s="8">
        <v>1033.68</v>
      </c>
      <c r="N123" s="2" t="s">
        <v>21</v>
      </c>
      <c r="O123" s="3" t="s">
        <v>67</v>
      </c>
    </row>
    <row r="124" spans="1:15" x14ac:dyDescent="0.35">
      <c r="A124" s="4">
        <v>45519</v>
      </c>
      <c r="B124" s="2" t="s">
        <v>2251</v>
      </c>
      <c r="D124" s="2" t="s">
        <v>109</v>
      </c>
      <c r="E124" s="2" t="s">
        <v>42</v>
      </c>
      <c r="F124" s="5" t="str">
        <f t="shared" si="10"/>
        <v>24113788 DISCESUR</v>
      </c>
      <c r="G124" s="12">
        <f t="shared" si="12"/>
        <v>1663.6198347107438</v>
      </c>
      <c r="H124">
        <v>21</v>
      </c>
      <c r="I124" s="5">
        <f t="shared" si="13"/>
        <v>349.3601652892562</v>
      </c>
      <c r="J124" s="5">
        <f t="shared" si="14"/>
        <v>1663.6198347107438</v>
      </c>
      <c r="L124" s="5">
        <f t="shared" si="11"/>
        <v>0</v>
      </c>
      <c r="M124" s="8">
        <v>2012.98</v>
      </c>
      <c r="N124" s="2" t="s">
        <v>21</v>
      </c>
      <c r="O124" s="3" t="s">
        <v>67</v>
      </c>
    </row>
    <row r="125" spans="1:15" x14ac:dyDescent="0.35">
      <c r="A125" s="4">
        <v>45499</v>
      </c>
      <c r="B125" s="2" t="s">
        <v>2252</v>
      </c>
      <c r="D125" s="2" t="s">
        <v>1273</v>
      </c>
      <c r="E125" s="2" t="s">
        <v>1274</v>
      </c>
      <c r="F125" s="5" t="str">
        <f t="shared" si="10"/>
        <v>2024015 MARIUS MIHAI CIOCAN</v>
      </c>
      <c r="G125" s="12">
        <f t="shared" si="12"/>
        <v>528</v>
      </c>
      <c r="H125">
        <v>21</v>
      </c>
      <c r="I125" s="5">
        <f t="shared" si="13"/>
        <v>110.88</v>
      </c>
      <c r="J125" s="5">
        <f t="shared" si="14"/>
        <v>528</v>
      </c>
      <c r="L125" s="5">
        <f t="shared" si="11"/>
        <v>0</v>
      </c>
      <c r="M125" s="8">
        <v>638.88</v>
      </c>
      <c r="N125" s="2" t="s">
        <v>37</v>
      </c>
      <c r="O125" s="3" t="s">
        <v>68</v>
      </c>
    </row>
    <row r="126" spans="1:15" x14ac:dyDescent="0.35">
      <c r="A126" s="4">
        <v>45511</v>
      </c>
      <c r="B126" s="2" t="s">
        <v>192</v>
      </c>
      <c r="D126" s="2" t="s">
        <v>1003</v>
      </c>
      <c r="E126" s="2" t="s">
        <v>2253</v>
      </c>
      <c r="F126" s="5" t="str">
        <f t="shared" si="10"/>
        <v>19 ALEXANDRU MIHAILA</v>
      </c>
      <c r="G126" s="12">
        <f t="shared" si="12"/>
        <v>650</v>
      </c>
      <c r="H126">
        <v>21</v>
      </c>
      <c r="I126" s="5">
        <f t="shared" si="13"/>
        <v>136.5</v>
      </c>
      <c r="J126" s="5">
        <f t="shared" si="14"/>
        <v>650</v>
      </c>
      <c r="L126" s="5">
        <f t="shared" si="11"/>
        <v>0</v>
      </c>
      <c r="M126" s="8">
        <v>786.5</v>
      </c>
      <c r="N126" s="2" t="s">
        <v>37</v>
      </c>
      <c r="O126" s="3" t="s">
        <v>68</v>
      </c>
    </row>
    <row r="127" spans="1:15" x14ac:dyDescent="0.35">
      <c r="A127" s="4">
        <v>45519</v>
      </c>
      <c r="B127" s="2" t="s">
        <v>2254</v>
      </c>
      <c r="D127" s="2" t="s">
        <v>200</v>
      </c>
      <c r="E127" s="2" t="s">
        <v>186</v>
      </c>
      <c r="F127" s="5" t="str">
        <f t="shared" si="10"/>
        <v>0124263 I.D.F. SUMINISTROS INDUSTRIALES</v>
      </c>
      <c r="G127" s="12">
        <f t="shared" si="12"/>
        <v>12.03305785123967</v>
      </c>
      <c r="H127">
        <v>21</v>
      </c>
      <c r="I127" s="5">
        <f t="shared" si="13"/>
        <v>2.5269421487603307</v>
      </c>
      <c r="J127" s="5">
        <f t="shared" si="14"/>
        <v>12.03305785123967</v>
      </c>
      <c r="L127" s="5">
        <f t="shared" si="11"/>
        <v>0</v>
      </c>
      <c r="M127" s="8">
        <v>14.56</v>
      </c>
      <c r="N127" s="2" t="s">
        <v>21</v>
      </c>
      <c r="O127" s="3" t="s">
        <v>67</v>
      </c>
    </row>
    <row r="128" spans="1:15" x14ac:dyDescent="0.35">
      <c r="A128" s="4">
        <v>45532</v>
      </c>
      <c r="B128" s="2" t="s">
        <v>2255</v>
      </c>
      <c r="D128" s="2" t="s">
        <v>200</v>
      </c>
      <c r="E128" s="2" t="s">
        <v>186</v>
      </c>
      <c r="F128" s="5" t="str">
        <f t="shared" si="10"/>
        <v>2129069 I.D.F. SUMINISTROS INDUSTRIALES</v>
      </c>
      <c r="G128" s="12">
        <f t="shared" si="12"/>
        <v>21.223140495867771</v>
      </c>
      <c r="H128">
        <v>21</v>
      </c>
      <c r="I128" s="5">
        <f t="shared" si="13"/>
        <v>4.4568595041322316</v>
      </c>
      <c r="J128" s="5">
        <f t="shared" si="14"/>
        <v>21.223140495867771</v>
      </c>
      <c r="L128" s="5">
        <f t="shared" si="11"/>
        <v>0</v>
      </c>
      <c r="M128" s="8">
        <v>25.68</v>
      </c>
      <c r="N128" s="2" t="s">
        <v>21</v>
      </c>
      <c r="O128" s="3" t="s">
        <v>64</v>
      </c>
    </row>
    <row r="129" spans="1:15" x14ac:dyDescent="0.35">
      <c r="A129" s="4">
        <v>45506</v>
      </c>
      <c r="B129" s="2" t="s">
        <v>2256</v>
      </c>
      <c r="D129" s="2" t="s">
        <v>2257</v>
      </c>
      <c r="E129" s="2" t="s">
        <v>2258</v>
      </c>
      <c r="F129" s="5" t="str">
        <f t="shared" si="10"/>
        <v>A/01251 MARIA VICTORIA VALIENTE DE RAFAEL</v>
      </c>
      <c r="G129" s="12">
        <v>721.19</v>
      </c>
      <c r="H129">
        <v>21</v>
      </c>
      <c r="I129" s="5">
        <f t="shared" si="13"/>
        <v>151.44990000000001</v>
      </c>
      <c r="J129" s="5">
        <v>-721.19</v>
      </c>
      <c r="K129" s="5">
        <v>15</v>
      </c>
      <c r="L129" s="5">
        <f t="shared" si="11"/>
        <v>-108.1785</v>
      </c>
      <c r="M129" s="8">
        <v>774.21</v>
      </c>
      <c r="N129" s="2" t="s">
        <v>2259</v>
      </c>
      <c r="O129" s="3" t="s">
        <v>68</v>
      </c>
    </row>
    <row r="130" spans="1:15" x14ac:dyDescent="0.35">
      <c r="A130" s="4">
        <v>45517</v>
      </c>
      <c r="B130" s="2" t="s">
        <v>2260</v>
      </c>
      <c r="D130" s="2" t="s">
        <v>23</v>
      </c>
      <c r="E130" s="2" t="s">
        <v>70</v>
      </c>
      <c r="F130" s="5" t="str">
        <f t="shared" si="10"/>
        <v>00011599 PINTOCOLORS CB</v>
      </c>
      <c r="G130" s="12">
        <f t="shared" si="12"/>
        <v>11471.892561983472</v>
      </c>
      <c r="H130">
        <v>21</v>
      </c>
      <c r="I130" s="5">
        <f t="shared" si="13"/>
        <v>2409.0974380165294</v>
      </c>
      <c r="J130" s="5">
        <f t="shared" si="14"/>
        <v>11471.892561983472</v>
      </c>
      <c r="L130" s="5">
        <f t="shared" si="11"/>
        <v>0</v>
      </c>
      <c r="M130" s="8">
        <v>13880.99</v>
      </c>
      <c r="N130" s="2" t="s">
        <v>21</v>
      </c>
      <c r="O130" s="3" t="s">
        <v>68</v>
      </c>
    </row>
    <row r="131" spans="1:15" x14ac:dyDescent="0.35">
      <c r="A131" s="4">
        <v>45513</v>
      </c>
      <c r="B131" s="2" t="s">
        <v>2261</v>
      </c>
      <c r="D131" s="2" t="s">
        <v>112</v>
      </c>
      <c r="E131" s="2" t="s">
        <v>114</v>
      </c>
      <c r="F131" s="5" t="str">
        <f t="shared" si="10"/>
        <v>2024/216 LIVIU COSMIN JULA ANDREICA</v>
      </c>
      <c r="G131" s="12">
        <f t="shared" si="12"/>
        <v>1000</v>
      </c>
      <c r="H131">
        <v>21</v>
      </c>
      <c r="I131" s="5">
        <f t="shared" si="13"/>
        <v>210</v>
      </c>
      <c r="J131" s="5">
        <f t="shared" si="14"/>
        <v>1000</v>
      </c>
      <c r="L131" s="5">
        <f t="shared" si="11"/>
        <v>0</v>
      </c>
      <c r="M131" s="8">
        <v>1210</v>
      </c>
      <c r="N131" s="2" t="s">
        <v>56</v>
      </c>
      <c r="O131" s="3" t="s">
        <v>68</v>
      </c>
    </row>
    <row r="132" spans="1:15" x14ac:dyDescent="0.35">
      <c r="A132" s="4">
        <v>45523</v>
      </c>
      <c r="B132" s="2" t="s">
        <v>2262</v>
      </c>
      <c r="D132" s="2" t="s">
        <v>2263</v>
      </c>
      <c r="E132" s="2" t="s">
        <v>2264</v>
      </c>
      <c r="F132" s="5" t="str">
        <f t="shared" si="10"/>
        <v>24-160 MARVER</v>
      </c>
      <c r="G132" s="12">
        <f t="shared" si="12"/>
        <v>1198.1983471074379</v>
      </c>
      <c r="H132">
        <v>21</v>
      </c>
      <c r="I132" s="5">
        <f t="shared" si="13"/>
        <v>251.62165289256197</v>
      </c>
      <c r="J132" s="5">
        <f t="shared" si="14"/>
        <v>1198.1983471074379</v>
      </c>
      <c r="L132" s="5">
        <f t="shared" si="11"/>
        <v>0</v>
      </c>
      <c r="M132" s="8">
        <v>1449.82</v>
      </c>
      <c r="N132" s="2" t="s">
        <v>37</v>
      </c>
      <c r="O132" s="3" t="s">
        <v>68</v>
      </c>
    </row>
    <row r="133" spans="1:15" x14ac:dyDescent="0.35">
      <c r="A133" s="4">
        <v>45511</v>
      </c>
      <c r="B133" s="2" t="s">
        <v>2265</v>
      </c>
      <c r="D133" s="2" t="s">
        <v>2266</v>
      </c>
      <c r="E133" s="2" t="s">
        <v>2267</v>
      </c>
      <c r="F133" s="5" t="str">
        <f t="shared" si="10"/>
        <v>F2024/002147 TRANSPIERRE</v>
      </c>
      <c r="G133" s="12">
        <f t="shared" si="12"/>
        <v>1100</v>
      </c>
      <c r="H133">
        <v>21</v>
      </c>
      <c r="I133" s="5">
        <f t="shared" si="13"/>
        <v>231</v>
      </c>
      <c r="J133" s="5">
        <f t="shared" si="14"/>
        <v>1100</v>
      </c>
      <c r="L133" s="5">
        <f t="shared" si="11"/>
        <v>0</v>
      </c>
      <c r="M133" s="8">
        <v>1331</v>
      </c>
      <c r="N133" s="2" t="s">
        <v>56</v>
      </c>
      <c r="O133" s="3" t="s">
        <v>68</v>
      </c>
    </row>
    <row r="134" spans="1:15" x14ac:dyDescent="0.35">
      <c r="A134" s="4">
        <v>45512</v>
      </c>
      <c r="B134" s="2" t="s">
        <v>2268</v>
      </c>
      <c r="D134" s="2" t="s">
        <v>58</v>
      </c>
      <c r="E134" s="2" t="s">
        <v>2028</v>
      </c>
      <c r="F134" s="5" t="str">
        <f t="shared" si="10"/>
        <v>024-0008-338191 BRICOLAJE BRICOMAN</v>
      </c>
      <c r="G134" s="12">
        <f t="shared" si="12"/>
        <v>35.454545454545453</v>
      </c>
      <c r="H134">
        <v>21</v>
      </c>
      <c r="I134" s="5">
        <f t="shared" si="13"/>
        <v>7.4454545454545453</v>
      </c>
      <c r="J134" s="5">
        <f t="shared" si="14"/>
        <v>35.454545454545453</v>
      </c>
      <c r="L134" s="5">
        <f t="shared" si="11"/>
        <v>0</v>
      </c>
      <c r="M134" s="8">
        <v>42.9</v>
      </c>
      <c r="N134" s="2" t="s">
        <v>21</v>
      </c>
      <c r="O134" s="3" t="s">
        <v>63</v>
      </c>
    </row>
    <row r="135" spans="1:15" x14ac:dyDescent="0.35">
      <c r="A135" s="4">
        <v>45532</v>
      </c>
      <c r="B135" s="2" t="s">
        <v>678</v>
      </c>
      <c r="D135" s="2" t="s">
        <v>180</v>
      </c>
      <c r="E135" s="2" t="s">
        <v>181</v>
      </c>
      <c r="F135" s="5" t="str">
        <f t="shared" si="10"/>
        <v>03/24 FILIP ADISOR BALEA</v>
      </c>
      <c r="G135" s="12">
        <f t="shared" si="12"/>
        <v>2876.0330578512398</v>
      </c>
      <c r="H135">
        <v>21</v>
      </c>
      <c r="I135" s="5">
        <f t="shared" si="13"/>
        <v>603.96694214876038</v>
      </c>
      <c r="J135" s="5">
        <f t="shared" si="14"/>
        <v>2876.0330578512398</v>
      </c>
      <c r="L135" s="5">
        <f t="shared" si="11"/>
        <v>0</v>
      </c>
      <c r="M135" s="8">
        <v>3480</v>
      </c>
      <c r="N135" s="2" t="s">
        <v>37</v>
      </c>
      <c r="O135" s="3" t="s">
        <v>68</v>
      </c>
    </row>
    <row r="136" spans="1:15" x14ac:dyDescent="0.35">
      <c r="A136" s="4">
        <v>45533</v>
      </c>
      <c r="B136" s="2" t="s">
        <v>2281</v>
      </c>
      <c r="D136" s="2" t="s">
        <v>2282</v>
      </c>
      <c r="E136" s="2" t="s">
        <v>2283</v>
      </c>
      <c r="F136" s="5" t="str">
        <f t="shared" si="10"/>
        <v>434 SPAUCO TUNING</v>
      </c>
      <c r="G136" s="12">
        <f t="shared" si="12"/>
        <v>1239.5867768595042</v>
      </c>
      <c r="H136">
        <v>21</v>
      </c>
      <c r="I136" s="5">
        <f t="shared" si="13"/>
        <v>260.31322314049589</v>
      </c>
      <c r="J136" s="5">
        <f t="shared" si="14"/>
        <v>1239.5867768595042</v>
      </c>
      <c r="L136" s="5">
        <f t="shared" si="11"/>
        <v>0</v>
      </c>
      <c r="M136" s="8">
        <v>1499.9</v>
      </c>
      <c r="N136" s="2" t="s">
        <v>53</v>
      </c>
      <c r="O136" s="3" t="s">
        <v>68</v>
      </c>
    </row>
    <row r="137" spans="1:15" x14ac:dyDescent="0.35">
      <c r="A137" s="4">
        <v>45474</v>
      </c>
      <c r="B137" s="2" t="s">
        <v>2284</v>
      </c>
      <c r="D137" s="2" t="s">
        <v>1817</v>
      </c>
      <c r="E137" s="2" t="s">
        <v>220</v>
      </c>
      <c r="F137" s="5" t="str">
        <f t="shared" si="10"/>
        <v>28-G4U1-075563 TELEFONICA</v>
      </c>
      <c r="G137" s="12">
        <f t="shared" si="12"/>
        <v>4.9504132231404965</v>
      </c>
      <c r="H137">
        <v>21</v>
      </c>
      <c r="I137" s="5">
        <f t="shared" si="13"/>
        <v>1.0395867768595042</v>
      </c>
      <c r="J137" s="5">
        <f t="shared" si="14"/>
        <v>4.9504132231404965</v>
      </c>
      <c r="L137" s="5">
        <f t="shared" si="11"/>
        <v>0</v>
      </c>
      <c r="M137" s="8">
        <v>5.99</v>
      </c>
      <c r="N137" s="2" t="s">
        <v>39</v>
      </c>
      <c r="O137" s="3" t="s">
        <v>67</v>
      </c>
    </row>
    <row r="138" spans="1:15" x14ac:dyDescent="0.35">
      <c r="A138" s="4">
        <v>45474</v>
      </c>
      <c r="B138" s="2" t="s">
        <v>2285</v>
      </c>
      <c r="D138" s="2" t="s">
        <v>1817</v>
      </c>
      <c r="E138" s="2" t="s">
        <v>220</v>
      </c>
      <c r="F138" s="5" t="str">
        <f t="shared" si="10"/>
        <v>TA7DM0171210 TELEFONICA</v>
      </c>
      <c r="G138" s="12">
        <f t="shared" si="12"/>
        <v>80.719008264462815</v>
      </c>
      <c r="H138">
        <v>21</v>
      </c>
      <c r="I138" s="5">
        <f t="shared" si="13"/>
        <v>16.95099173553719</v>
      </c>
      <c r="J138" s="5">
        <f t="shared" si="14"/>
        <v>80.719008264462815</v>
      </c>
      <c r="L138" s="5">
        <f t="shared" si="11"/>
        <v>0</v>
      </c>
      <c r="M138" s="8">
        <v>97.67</v>
      </c>
      <c r="N138" s="2" t="s">
        <v>39</v>
      </c>
      <c r="O138" s="3" t="s">
        <v>67</v>
      </c>
    </row>
    <row r="139" spans="1:15" x14ac:dyDescent="0.35">
      <c r="A139" s="4">
        <v>45474</v>
      </c>
      <c r="B139" s="2" t="s">
        <v>2286</v>
      </c>
      <c r="D139" s="2" t="s">
        <v>1817</v>
      </c>
      <c r="E139" s="2" t="s">
        <v>220</v>
      </c>
      <c r="F139" s="5" t="str">
        <f t="shared" si="10"/>
        <v>TA7DM0171209 TELEFONICA</v>
      </c>
      <c r="G139" s="12">
        <f t="shared" si="12"/>
        <v>141.18181818181819</v>
      </c>
      <c r="H139">
        <v>21</v>
      </c>
      <c r="I139" s="5">
        <f t="shared" si="13"/>
        <v>29.648181818181818</v>
      </c>
      <c r="J139" s="5">
        <f t="shared" si="14"/>
        <v>141.18181818181819</v>
      </c>
      <c r="L139" s="5">
        <f t="shared" si="11"/>
        <v>0</v>
      </c>
      <c r="M139" s="8">
        <v>170.83</v>
      </c>
      <c r="N139" s="2" t="s">
        <v>39</v>
      </c>
      <c r="O139" s="3" t="s">
        <v>67</v>
      </c>
    </row>
    <row r="140" spans="1:15" x14ac:dyDescent="0.35">
      <c r="A140" s="4">
        <v>45474</v>
      </c>
      <c r="B140" s="2" t="s">
        <v>2287</v>
      </c>
      <c r="D140" s="2" t="s">
        <v>1817</v>
      </c>
      <c r="E140" s="2" t="s">
        <v>220</v>
      </c>
      <c r="F140" s="5" t="str">
        <f t="shared" si="10"/>
        <v>TA7DM0171207 TELEFONICA</v>
      </c>
      <c r="G140" s="12">
        <f t="shared" si="12"/>
        <v>80.719008264462815</v>
      </c>
      <c r="H140">
        <v>21</v>
      </c>
      <c r="I140" s="5">
        <f t="shared" si="13"/>
        <v>16.95099173553719</v>
      </c>
      <c r="J140" s="5">
        <f t="shared" si="14"/>
        <v>80.719008264462815</v>
      </c>
      <c r="L140" s="5">
        <f t="shared" si="11"/>
        <v>0</v>
      </c>
      <c r="M140" s="8">
        <v>97.67</v>
      </c>
      <c r="N140" s="2" t="s">
        <v>39</v>
      </c>
      <c r="O140" s="3" t="s">
        <v>67</v>
      </c>
    </row>
    <row r="141" spans="1:15" x14ac:dyDescent="0.35">
      <c r="A141" s="4">
        <v>45474</v>
      </c>
      <c r="B141" s="2" t="s">
        <v>2288</v>
      </c>
      <c r="D141" s="2" t="s">
        <v>1817</v>
      </c>
      <c r="E141" s="2" t="s">
        <v>220</v>
      </c>
      <c r="F141" s="5" t="str">
        <f t="shared" si="10"/>
        <v>TA7DM0171208 TELEFONICA</v>
      </c>
      <c r="G141" s="12">
        <f t="shared" si="12"/>
        <v>80.719008264462815</v>
      </c>
      <c r="H141">
        <v>21</v>
      </c>
      <c r="I141" s="5">
        <f t="shared" si="13"/>
        <v>16.95099173553719</v>
      </c>
      <c r="J141" s="5">
        <f t="shared" si="14"/>
        <v>80.719008264462815</v>
      </c>
      <c r="L141" s="5">
        <f t="shared" si="11"/>
        <v>0</v>
      </c>
      <c r="M141" s="8">
        <v>97.67</v>
      </c>
      <c r="N141" s="2" t="s">
        <v>39</v>
      </c>
      <c r="O141" s="3" t="s">
        <v>67</v>
      </c>
    </row>
    <row r="142" spans="1:15" x14ac:dyDescent="0.35">
      <c r="A142" s="4">
        <v>45505</v>
      </c>
      <c r="B142" s="2" t="s">
        <v>2289</v>
      </c>
      <c r="D142" s="2" t="s">
        <v>1817</v>
      </c>
      <c r="E142" s="2" t="s">
        <v>220</v>
      </c>
      <c r="F142" s="5" t="str">
        <f t="shared" si="10"/>
        <v>28-H4U1-048255 TELEFONICA</v>
      </c>
      <c r="G142" s="12">
        <f t="shared" si="12"/>
        <v>16.462809917355372</v>
      </c>
      <c r="H142">
        <v>21</v>
      </c>
      <c r="I142" s="5">
        <f t="shared" si="13"/>
        <v>3.4571900826446278</v>
      </c>
      <c r="J142" s="5">
        <f t="shared" si="14"/>
        <v>16.462809917355372</v>
      </c>
      <c r="L142" s="5">
        <f t="shared" si="11"/>
        <v>0</v>
      </c>
      <c r="M142" s="8">
        <v>19.920000000000002</v>
      </c>
      <c r="N142" s="2" t="s">
        <v>39</v>
      </c>
      <c r="O142" s="3" t="s">
        <v>67</v>
      </c>
    </row>
    <row r="143" spans="1:15" x14ac:dyDescent="0.35">
      <c r="A143" s="4">
        <v>45505</v>
      </c>
      <c r="B143" s="2" t="s">
        <v>2290</v>
      </c>
      <c r="D143" s="2" t="s">
        <v>1817</v>
      </c>
      <c r="E143" s="2" t="s">
        <v>220</v>
      </c>
      <c r="F143" s="5" t="str">
        <f t="shared" si="10"/>
        <v>TA7DN0171764 TELEFONICA</v>
      </c>
      <c r="G143" s="12">
        <f t="shared" si="12"/>
        <v>85.239669421487605</v>
      </c>
      <c r="H143">
        <v>21</v>
      </c>
      <c r="I143" s="5">
        <f t="shared" si="13"/>
        <v>17.900330578512396</v>
      </c>
      <c r="J143" s="5">
        <f t="shared" si="14"/>
        <v>85.239669421487605</v>
      </c>
      <c r="L143" s="5">
        <f t="shared" si="11"/>
        <v>0</v>
      </c>
      <c r="M143" s="8">
        <v>103.14</v>
      </c>
      <c r="N143" s="2" t="s">
        <v>39</v>
      </c>
      <c r="O143" s="3" t="s">
        <v>67</v>
      </c>
    </row>
    <row r="144" spans="1:15" x14ac:dyDescent="0.35">
      <c r="A144" s="4">
        <v>45505</v>
      </c>
      <c r="B144" s="2" t="s">
        <v>2291</v>
      </c>
      <c r="D144" s="2" t="s">
        <v>1817</v>
      </c>
      <c r="E144" s="2" t="s">
        <v>220</v>
      </c>
      <c r="F144" s="5" t="str">
        <f t="shared" si="10"/>
        <v>TA7DN0171765 TELEFONICA</v>
      </c>
      <c r="G144" s="12">
        <f t="shared" si="12"/>
        <v>85.239669421487605</v>
      </c>
      <c r="H144">
        <v>21</v>
      </c>
      <c r="I144" s="5">
        <f t="shared" si="13"/>
        <v>17.900330578512396</v>
      </c>
      <c r="J144" s="5">
        <f t="shared" si="14"/>
        <v>85.239669421487605</v>
      </c>
      <c r="L144" s="5">
        <f t="shared" si="11"/>
        <v>0</v>
      </c>
      <c r="M144" s="8">
        <v>103.14</v>
      </c>
      <c r="N144" s="2" t="s">
        <v>39</v>
      </c>
      <c r="O144" s="3" t="s">
        <v>67</v>
      </c>
    </row>
    <row r="145" spans="1:15" x14ac:dyDescent="0.35">
      <c r="A145" s="4">
        <v>45505</v>
      </c>
      <c r="B145" s="2" t="s">
        <v>2292</v>
      </c>
      <c r="D145" s="2" t="s">
        <v>1817</v>
      </c>
      <c r="E145" s="2" t="s">
        <v>220</v>
      </c>
      <c r="F145" s="5" t="str">
        <f t="shared" si="10"/>
        <v>TA7DN0171766 TELEFONICA</v>
      </c>
      <c r="G145" s="12">
        <f t="shared" si="12"/>
        <v>145.70247933884298</v>
      </c>
      <c r="H145">
        <v>21</v>
      </c>
      <c r="I145" s="5">
        <f t="shared" si="13"/>
        <v>30.597520661157024</v>
      </c>
      <c r="J145" s="5">
        <f t="shared" si="14"/>
        <v>145.70247933884298</v>
      </c>
      <c r="L145" s="5">
        <f t="shared" si="11"/>
        <v>0</v>
      </c>
      <c r="M145" s="8">
        <v>176.3</v>
      </c>
      <c r="N145" s="2" t="s">
        <v>39</v>
      </c>
      <c r="O145" s="3" t="s">
        <v>67</v>
      </c>
    </row>
    <row r="146" spans="1:15" x14ac:dyDescent="0.35">
      <c r="A146" s="4">
        <v>45505</v>
      </c>
      <c r="B146" s="2" t="s">
        <v>2293</v>
      </c>
      <c r="D146" s="2" t="s">
        <v>1817</v>
      </c>
      <c r="E146" s="2" t="s">
        <v>220</v>
      </c>
      <c r="F146" s="5" t="str">
        <f t="shared" si="10"/>
        <v>TA7DN0171767 TELEFONICA</v>
      </c>
      <c r="G146" s="12">
        <f t="shared" si="12"/>
        <v>85.239669421487605</v>
      </c>
      <c r="H146">
        <v>21</v>
      </c>
      <c r="I146" s="5">
        <f t="shared" si="13"/>
        <v>17.900330578512396</v>
      </c>
      <c r="J146" s="5">
        <f t="shared" si="14"/>
        <v>85.239669421487605</v>
      </c>
      <c r="L146" s="5">
        <f t="shared" si="11"/>
        <v>0</v>
      </c>
      <c r="M146" s="8">
        <v>103.14</v>
      </c>
      <c r="N146" s="2" t="s">
        <v>39</v>
      </c>
      <c r="O146" s="3" t="s">
        <v>67</v>
      </c>
    </row>
    <row r="147" spans="1:15" x14ac:dyDescent="0.35">
      <c r="A147" s="4">
        <v>45533</v>
      </c>
      <c r="B147" s="2" t="s">
        <v>2296</v>
      </c>
      <c r="D147" s="2" t="s">
        <v>74</v>
      </c>
      <c r="E147" s="2" t="s">
        <v>259</v>
      </c>
      <c r="F147" s="5" t="str">
        <f t="shared" si="10"/>
        <v>24/00162 CRISTALERIA ESCOBAR</v>
      </c>
      <c r="G147" s="12">
        <f t="shared" si="12"/>
        <v>401.75206611570252</v>
      </c>
      <c r="H147">
        <v>21</v>
      </c>
      <c r="I147" s="5">
        <f t="shared" si="13"/>
        <v>84.367933884297528</v>
      </c>
      <c r="J147" s="5">
        <f t="shared" si="14"/>
        <v>401.75206611570252</v>
      </c>
      <c r="L147" s="5">
        <f t="shared" si="11"/>
        <v>0</v>
      </c>
      <c r="M147" s="8">
        <v>486.12</v>
      </c>
      <c r="N147" s="2" t="s">
        <v>21</v>
      </c>
      <c r="O147" s="3" t="s">
        <v>68</v>
      </c>
    </row>
    <row r="148" spans="1:15" x14ac:dyDescent="0.35">
      <c r="A148" s="4">
        <v>45535</v>
      </c>
      <c r="B148" s="2" t="s">
        <v>2297</v>
      </c>
      <c r="D148" s="2" t="s">
        <v>25</v>
      </c>
      <c r="E148" s="2" t="s">
        <v>26</v>
      </c>
      <c r="F148" s="5" t="str">
        <f t="shared" si="10"/>
        <v>286879 SALTOKI</v>
      </c>
      <c r="G148" s="12">
        <f t="shared" si="12"/>
        <v>237.36363636363635</v>
      </c>
      <c r="H148">
        <v>21</v>
      </c>
      <c r="I148" s="5">
        <f t="shared" si="13"/>
        <v>49.846363636363634</v>
      </c>
      <c r="J148" s="5">
        <f t="shared" si="14"/>
        <v>237.36363636363635</v>
      </c>
      <c r="L148" s="5">
        <f t="shared" si="11"/>
        <v>0</v>
      </c>
      <c r="M148" s="8">
        <v>287.20999999999998</v>
      </c>
      <c r="N148" s="2" t="s">
        <v>21</v>
      </c>
      <c r="O148" s="3" t="s">
        <v>67</v>
      </c>
    </row>
    <row r="149" spans="1:15" x14ac:dyDescent="0.35">
      <c r="A149" s="4">
        <v>45496</v>
      </c>
      <c r="B149" s="2" t="s">
        <v>2299</v>
      </c>
      <c r="D149" s="2" t="s">
        <v>295</v>
      </c>
      <c r="E149" s="2" t="s">
        <v>2019</v>
      </c>
      <c r="F149" s="5" t="str">
        <f t="shared" si="10"/>
        <v>9124017855 GRUPO PORCELANOSA</v>
      </c>
      <c r="G149" s="12">
        <f t="shared" si="12"/>
        <v>814.78512396694214</v>
      </c>
      <c r="H149">
        <v>21</v>
      </c>
      <c r="I149" s="5">
        <f t="shared" si="13"/>
        <v>171.10487603305785</v>
      </c>
      <c r="J149" s="5">
        <f t="shared" si="14"/>
        <v>814.78512396694214</v>
      </c>
      <c r="L149" s="5">
        <f t="shared" si="11"/>
        <v>0</v>
      </c>
      <c r="M149" s="8">
        <v>985.89</v>
      </c>
      <c r="N149" s="2" t="s">
        <v>21</v>
      </c>
      <c r="O149" s="3" t="s">
        <v>68</v>
      </c>
    </row>
    <row r="150" spans="1:15" x14ac:dyDescent="0.35">
      <c r="A150" s="4">
        <v>45512</v>
      </c>
      <c r="B150" s="2" t="s">
        <v>2298</v>
      </c>
      <c r="D150" s="2" t="s">
        <v>295</v>
      </c>
      <c r="E150" s="2" t="s">
        <v>2019</v>
      </c>
      <c r="F150" s="5" t="str">
        <f t="shared" si="10"/>
        <v>9124018939 GRUPO PORCELANOSA</v>
      </c>
      <c r="G150" s="12">
        <f t="shared" si="12"/>
        <v>814.78512396694214</v>
      </c>
      <c r="H150">
        <v>21</v>
      </c>
      <c r="I150" s="5">
        <f t="shared" si="13"/>
        <v>171.10487603305785</v>
      </c>
      <c r="J150" s="5">
        <f t="shared" si="14"/>
        <v>814.78512396694214</v>
      </c>
      <c r="L150" s="5">
        <f t="shared" si="11"/>
        <v>0</v>
      </c>
      <c r="M150" s="8">
        <v>985.89</v>
      </c>
      <c r="N150" s="2" t="s">
        <v>21</v>
      </c>
      <c r="O150" s="3" t="s">
        <v>68</v>
      </c>
    </row>
    <row r="151" spans="1:15" x14ac:dyDescent="0.35">
      <c r="A151" s="4">
        <v>45535</v>
      </c>
      <c r="B151" s="2" t="s">
        <v>2300</v>
      </c>
      <c r="D151" s="2" t="s">
        <v>200</v>
      </c>
      <c r="E151" s="2" t="s">
        <v>186</v>
      </c>
      <c r="F151" s="5" t="str">
        <f t="shared" si="10"/>
        <v>0124423 I.D.F. SUMINISTROS INDUSTRIALES</v>
      </c>
      <c r="G151" s="12">
        <f t="shared" si="12"/>
        <v>328.17355371900823</v>
      </c>
      <c r="H151">
        <v>21</v>
      </c>
      <c r="I151" s="5">
        <f t="shared" si="13"/>
        <v>68.916446280991735</v>
      </c>
      <c r="J151" s="5">
        <f t="shared" si="14"/>
        <v>328.17355371900823</v>
      </c>
      <c r="L151" s="5">
        <f t="shared" si="11"/>
        <v>0</v>
      </c>
      <c r="M151" s="8">
        <v>397.09</v>
      </c>
      <c r="N151" s="2" t="s">
        <v>21</v>
      </c>
      <c r="O151" s="3" t="s">
        <v>67</v>
      </c>
    </row>
    <row r="152" spans="1:15" x14ac:dyDescent="0.35">
      <c r="A152" s="4">
        <v>45498</v>
      </c>
      <c r="B152" s="2" t="s">
        <v>2301</v>
      </c>
      <c r="D152" s="2" t="s">
        <v>1983</v>
      </c>
      <c r="E152" s="2" t="s">
        <v>1984</v>
      </c>
      <c r="F152" s="5" t="str">
        <f t="shared" si="10"/>
        <v>F/7089 BRICOLAJE GETAFE S.L.</v>
      </c>
      <c r="G152" s="12">
        <f t="shared" si="12"/>
        <v>691</v>
      </c>
      <c r="H152">
        <v>21</v>
      </c>
      <c r="I152" s="5">
        <f t="shared" si="13"/>
        <v>145.11000000000001</v>
      </c>
      <c r="J152" s="5">
        <f t="shared" si="14"/>
        <v>691</v>
      </c>
      <c r="L152" s="5">
        <f t="shared" si="11"/>
        <v>0</v>
      </c>
      <c r="M152" s="8">
        <v>836.11</v>
      </c>
      <c r="N152" s="2" t="s">
        <v>21</v>
      </c>
      <c r="O152" s="3" t="s">
        <v>63</v>
      </c>
    </row>
    <row r="153" spans="1:15" x14ac:dyDescent="0.35">
      <c r="A153" s="4">
        <v>45503</v>
      </c>
      <c r="B153" s="2" t="s">
        <v>2302</v>
      </c>
      <c r="D153" s="2" t="s">
        <v>95</v>
      </c>
      <c r="E153" s="2" t="s">
        <v>96</v>
      </c>
      <c r="F153" s="5" t="str">
        <f t="shared" si="10"/>
        <v>12/24 MARCEL DUMITER BEGOFF</v>
      </c>
      <c r="G153" s="12">
        <f t="shared" si="12"/>
        <v>1714.4214876033056</v>
      </c>
      <c r="H153">
        <v>21</v>
      </c>
      <c r="I153" s="5">
        <f t="shared" si="13"/>
        <v>360.02851239669423</v>
      </c>
      <c r="J153" s="5">
        <f t="shared" si="14"/>
        <v>1714.4214876033056</v>
      </c>
      <c r="L153" s="5">
        <f t="shared" si="11"/>
        <v>0</v>
      </c>
      <c r="M153" s="8">
        <v>2074.4499999999998</v>
      </c>
      <c r="N153" s="2" t="s">
        <v>37</v>
      </c>
      <c r="O153" s="3" t="s">
        <v>68</v>
      </c>
    </row>
    <row r="154" spans="1:15" x14ac:dyDescent="0.35">
      <c r="A154" s="4">
        <v>45518</v>
      </c>
      <c r="B154" s="2" t="s">
        <v>2303</v>
      </c>
      <c r="D154" s="2" t="s">
        <v>95</v>
      </c>
      <c r="E154" s="2" t="s">
        <v>96</v>
      </c>
      <c r="F154" s="5" t="str">
        <f t="shared" si="10"/>
        <v>13/24 MARCEL DUMITER BEGOFF</v>
      </c>
      <c r="G154" s="12">
        <f t="shared" si="12"/>
        <v>1487.6033057851241</v>
      </c>
      <c r="H154">
        <v>21</v>
      </c>
      <c r="I154" s="5">
        <f t="shared" si="13"/>
        <v>312.39669421487611</v>
      </c>
      <c r="J154" s="5">
        <f t="shared" si="14"/>
        <v>1487.6033057851241</v>
      </c>
      <c r="L154" s="5">
        <f t="shared" si="11"/>
        <v>0</v>
      </c>
      <c r="M154" s="8">
        <v>1800</v>
      </c>
      <c r="N154" s="2" t="s">
        <v>37</v>
      </c>
      <c r="O154" s="3" t="s">
        <v>68</v>
      </c>
    </row>
    <row r="155" spans="1:15" x14ac:dyDescent="0.35">
      <c r="A155" s="4">
        <v>45536</v>
      </c>
      <c r="B155" s="2" t="s">
        <v>2308</v>
      </c>
      <c r="D155" s="2" t="s">
        <v>1817</v>
      </c>
      <c r="E155" s="2" t="s">
        <v>220</v>
      </c>
      <c r="F155" s="5" t="str">
        <f t="shared" si="10"/>
        <v>28-I4U1-047774 TELEFONICA</v>
      </c>
      <c r="G155" s="12">
        <f t="shared" si="12"/>
        <v>16.66115702479339</v>
      </c>
      <c r="H155">
        <v>21</v>
      </c>
      <c r="I155" s="5">
        <f t="shared" si="13"/>
        <v>3.4988429752066117</v>
      </c>
      <c r="J155" s="5">
        <f t="shared" si="14"/>
        <v>16.66115702479339</v>
      </c>
      <c r="L155" s="5">
        <f t="shared" si="11"/>
        <v>0</v>
      </c>
      <c r="M155" s="8">
        <v>20.16</v>
      </c>
      <c r="N155" s="2" t="s">
        <v>39</v>
      </c>
      <c r="O155" s="3" t="s">
        <v>67</v>
      </c>
    </row>
    <row r="156" spans="1:15" x14ac:dyDescent="0.35">
      <c r="A156" s="4">
        <v>45536</v>
      </c>
      <c r="B156" s="2" t="s">
        <v>2309</v>
      </c>
      <c r="D156" s="2" t="s">
        <v>1817</v>
      </c>
      <c r="E156" s="2" t="s">
        <v>220</v>
      </c>
      <c r="F156" s="5" t="str">
        <f t="shared" si="10"/>
        <v>TA7DO0170840 TELEFONICA</v>
      </c>
      <c r="G156" s="12">
        <f t="shared" si="12"/>
        <v>85.239669421487605</v>
      </c>
      <c r="H156">
        <v>21</v>
      </c>
      <c r="I156" s="5">
        <f t="shared" si="13"/>
        <v>17.900330578512396</v>
      </c>
      <c r="J156" s="5">
        <f t="shared" si="14"/>
        <v>85.239669421487605</v>
      </c>
      <c r="L156" s="5">
        <f t="shared" si="11"/>
        <v>0</v>
      </c>
      <c r="M156" s="8">
        <v>103.14</v>
      </c>
      <c r="N156" s="2" t="s">
        <v>39</v>
      </c>
      <c r="O156" s="3" t="s">
        <v>67</v>
      </c>
    </row>
    <row r="157" spans="1:15" x14ac:dyDescent="0.35">
      <c r="A157" s="4">
        <v>45536</v>
      </c>
      <c r="B157" s="2" t="s">
        <v>2310</v>
      </c>
      <c r="D157" s="2" t="s">
        <v>1817</v>
      </c>
      <c r="E157" s="2" t="s">
        <v>220</v>
      </c>
      <c r="F157" s="5" t="str">
        <f t="shared" si="10"/>
        <v>TA7DO0170841 TELEFONICA</v>
      </c>
      <c r="G157" s="12">
        <f t="shared" si="12"/>
        <v>85.239669421487605</v>
      </c>
      <c r="H157">
        <v>21</v>
      </c>
      <c r="I157" s="5">
        <f t="shared" si="13"/>
        <v>17.900330578512396</v>
      </c>
      <c r="J157" s="5">
        <f t="shared" si="14"/>
        <v>85.239669421487605</v>
      </c>
      <c r="L157" s="5">
        <f t="shared" si="11"/>
        <v>0</v>
      </c>
      <c r="M157" s="8">
        <v>103.14</v>
      </c>
      <c r="N157" s="2" t="s">
        <v>39</v>
      </c>
      <c r="O157" s="3" t="s">
        <v>67</v>
      </c>
    </row>
    <row r="158" spans="1:15" x14ac:dyDescent="0.35">
      <c r="A158" s="4">
        <v>45536</v>
      </c>
      <c r="B158" s="2" t="s">
        <v>2311</v>
      </c>
      <c r="D158" s="2" t="s">
        <v>1817</v>
      </c>
      <c r="E158" s="2" t="s">
        <v>220</v>
      </c>
      <c r="F158" s="5" t="str">
        <f t="shared" si="10"/>
        <v>TA7DO0170843 TELEFONICA</v>
      </c>
      <c r="G158" s="12">
        <f t="shared" si="12"/>
        <v>85.239669421487605</v>
      </c>
      <c r="H158">
        <v>21</v>
      </c>
      <c r="I158" s="5">
        <f t="shared" si="13"/>
        <v>17.900330578512396</v>
      </c>
      <c r="J158" s="5">
        <f t="shared" si="14"/>
        <v>85.239669421487605</v>
      </c>
      <c r="L158" s="5">
        <f t="shared" si="11"/>
        <v>0</v>
      </c>
      <c r="M158" s="8">
        <v>103.14</v>
      </c>
      <c r="N158" s="2" t="s">
        <v>39</v>
      </c>
      <c r="O158" s="3" t="s">
        <v>67</v>
      </c>
    </row>
    <row r="159" spans="1:15" x14ac:dyDescent="0.35">
      <c r="A159" s="4">
        <v>45536</v>
      </c>
      <c r="B159" s="2" t="s">
        <v>2312</v>
      </c>
      <c r="D159" s="2" t="s">
        <v>1817</v>
      </c>
      <c r="E159" s="2" t="s">
        <v>220</v>
      </c>
      <c r="F159" s="5" t="str">
        <f t="shared" si="10"/>
        <v>TA7DO170842 TELEFONICA</v>
      </c>
      <c r="G159" s="12">
        <f t="shared" si="12"/>
        <v>145.70247933884298</v>
      </c>
      <c r="H159">
        <v>21</v>
      </c>
      <c r="I159" s="5">
        <f t="shared" si="13"/>
        <v>30.597520661157024</v>
      </c>
      <c r="J159" s="5">
        <f t="shared" si="14"/>
        <v>145.70247933884298</v>
      </c>
      <c r="L159" s="5">
        <f t="shared" si="11"/>
        <v>0</v>
      </c>
      <c r="M159" s="8">
        <v>176.3</v>
      </c>
      <c r="N159" s="2" t="s">
        <v>39</v>
      </c>
      <c r="O159" s="3" t="s">
        <v>67</v>
      </c>
    </row>
    <row r="160" spans="1:15" x14ac:dyDescent="0.35">
      <c r="A160" s="4">
        <v>45535</v>
      </c>
      <c r="B160" s="2" t="s">
        <v>2313</v>
      </c>
      <c r="D160" s="2" t="s">
        <v>30</v>
      </c>
      <c r="E160" s="2" t="s">
        <v>172</v>
      </c>
      <c r="F160" s="5" t="str">
        <f t="shared" si="10"/>
        <v>24FO001311 OLIVAR ALTO</v>
      </c>
      <c r="G160" s="12">
        <f t="shared" si="12"/>
        <v>64.123966942148769</v>
      </c>
      <c r="H160">
        <v>21</v>
      </c>
      <c r="I160" s="5">
        <f t="shared" si="13"/>
        <v>13.466033057851241</v>
      </c>
      <c r="J160" s="5">
        <f t="shared" si="14"/>
        <v>64.123966942148769</v>
      </c>
      <c r="L160" s="5">
        <f t="shared" si="11"/>
        <v>0</v>
      </c>
      <c r="M160" s="8">
        <v>77.59</v>
      </c>
      <c r="N160" s="2" t="s">
        <v>22</v>
      </c>
    </row>
    <row r="161" spans="1:15" x14ac:dyDescent="0.35">
      <c r="A161" s="4">
        <v>45535</v>
      </c>
      <c r="B161" s="2" t="s">
        <v>2314</v>
      </c>
      <c r="D161" s="2" t="s">
        <v>94</v>
      </c>
      <c r="E161" s="2" t="s">
        <v>139</v>
      </c>
      <c r="F161" s="5" t="str">
        <f t="shared" si="10"/>
        <v>VEN/20280918 BIGMAT</v>
      </c>
      <c r="G161" s="12">
        <f t="shared" si="12"/>
        <v>2385.0165289256197</v>
      </c>
      <c r="H161">
        <v>21</v>
      </c>
      <c r="I161" s="5">
        <f t="shared" si="13"/>
        <v>500.85347107438014</v>
      </c>
      <c r="J161" s="5">
        <f t="shared" si="14"/>
        <v>2385.0165289256197</v>
      </c>
      <c r="L161" s="5">
        <f t="shared" si="11"/>
        <v>0</v>
      </c>
      <c r="M161" s="8">
        <v>2885.87</v>
      </c>
      <c r="N161" s="2" t="s">
        <v>21</v>
      </c>
      <c r="O161" s="3" t="s">
        <v>67</v>
      </c>
    </row>
    <row r="162" spans="1:15" x14ac:dyDescent="0.35">
      <c r="A162" s="4">
        <v>45535</v>
      </c>
      <c r="B162" s="2" t="s">
        <v>2315</v>
      </c>
      <c r="D162" s="2" t="s">
        <v>109</v>
      </c>
      <c r="E162" s="2" t="s">
        <v>42</v>
      </c>
      <c r="F162" s="5" t="str">
        <f t="shared" si="10"/>
        <v>24114523 DISCESUR</v>
      </c>
      <c r="G162" s="12">
        <f t="shared" si="12"/>
        <v>506.61157024793391</v>
      </c>
      <c r="H162">
        <v>21</v>
      </c>
      <c r="I162" s="5">
        <f t="shared" si="13"/>
        <v>106.38842975206612</v>
      </c>
      <c r="J162" s="5">
        <f t="shared" si="14"/>
        <v>506.61157024793391</v>
      </c>
      <c r="L162" s="5">
        <f t="shared" si="11"/>
        <v>0</v>
      </c>
      <c r="M162" s="8">
        <v>613</v>
      </c>
      <c r="N162" s="2" t="s">
        <v>21</v>
      </c>
      <c r="O162" s="3" t="s">
        <v>67</v>
      </c>
    </row>
    <row r="163" spans="1:15" x14ac:dyDescent="0.35">
      <c r="A163" s="4">
        <v>45529</v>
      </c>
      <c r="B163" s="2" t="s">
        <v>2001</v>
      </c>
      <c r="D163" s="2" t="s">
        <v>2316</v>
      </c>
      <c r="E163" s="2" t="s">
        <v>235</v>
      </c>
      <c r="F163" s="5" t="str">
        <f t="shared" si="10"/>
        <v>11/24 VIOREL ROBCIUC</v>
      </c>
      <c r="G163" s="12">
        <f t="shared" si="12"/>
        <v>1652.8925619834711</v>
      </c>
      <c r="H163">
        <v>21</v>
      </c>
      <c r="I163" s="5">
        <f t="shared" si="13"/>
        <v>347.10743801652893</v>
      </c>
      <c r="J163" s="5">
        <f t="shared" si="14"/>
        <v>1652.8925619834711</v>
      </c>
      <c r="L163" s="5">
        <f t="shared" si="11"/>
        <v>0</v>
      </c>
      <c r="M163" s="8">
        <v>2000</v>
      </c>
      <c r="N163" s="2" t="s">
        <v>37</v>
      </c>
      <c r="O163" s="3" t="s">
        <v>68</v>
      </c>
    </row>
    <row r="164" spans="1:15" x14ac:dyDescent="0.35">
      <c r="A164" s="4">
        <v>45533</v>
      </c>
      <c r="B164" s="2" t="s">
        <v>2317</v>
      </c>
      <c r="D164" s="2" t="s">
        <v>2282</v>
      </c>
      <c r="E164" s="2" t="s">
        <v>2283</v>
      </c>
      <c r="F164" s="5" t="str">
        <f t="shared" si="10"/>
        <v>435 SPAUCO TUNING</v>
      </c>
      <c r="G164" s="12">
        <f t="shared" si="12"/>
        <v>1074.297520661157</v>
      </c>
      <c r="H164">
        <v>21</v>
      </c>
      <c r="I164" s="5">
        <f t="shared" si="13"/>
        <v>225.60247933884295</v>
      </c>
      <c r="J164" s="5">
        <f t="shared" si="14"/>
        <v>1074.297520661157</v>
      </c>
      <c r="L164" s="5">
        <f t="shared" si="11"/>
        <v>0</v>
      </c>
      <c r="M164" s="8">
        <v>1299.9000000000001</v>
      </c>
      <c r="N164" s="2" t="s">
        <v>53</v>
      </c>
      <c r="O164" s="3" t="s">
        <v>68</v>
      </c>
    </row>
    <row r="165" spans="1:15" x14ac:dyDescent="0.35">
      <c r="A165" s="4">
        <v>45535</v>
      </c>
      <c r="B165" s="2" t="s">
        <v>2318</v>
      </c>
      <c r="D165" s="2" t="s">
        <v>40</v>
      </c>
      <c r="E165" s="2" t="s">
        <v>41</v>
      </c>
      <c r="F165" s="5" t="str">
        <f t="shared" si="10"/>
        <v>1684/24 CONTENEDORES OSCONSUR</v>
      </c>
      <c r="G165" s="12">
        <v>524</v>
      </c>
      <c r="H165">
        <v>10</v>
      </c>
      <c r="I165" s="5">
        <f t="shared" si="13"/>
        <v>52.4</v>
      </c>
      <c r="J165" s="5">
        <v>120</v>
      </c>
      <c r="K165" s="5">
        <v>21</v>
      </c>
      <c r="L165" s="5">
        <f t="shared" si="11"/>
        <v>25.2</v>
      </c>
      <c r="M165" s="8">
        <v>721.6</v>
      </c>
      <c r="N165" s="2" t="s">
        <v>33</v>
      </c>
      <c r="O165" s="3" t="s">
        <v>67</v>
      </c>
    </row>
    <row r="166" spans="1:15" x14ac:dyDescent="0.35">
      <c r="A166" s="4">
        <v>45534</v>
      </c>
      <c r="B166" s="2" t="s">
        <v>2319</v>
      </c>
      <c r="D166" s="2" t="s">
        <v>34</v>
      </c>
      <c r="E166" s="2" t="s">
        <v>1417</v>
      </c>
      <c r="F166" s="5" t="str">
        <f t="shared" si="10"/>
        <v>F243218 CONTAMAR</v>
      </c>
      <c r="G166" s="12">
        <f t="shared" si="12"/>
        <v>179.55371900826447</v>
      </c>
      <c r="H166">
        <v>21</v>
      </c>
      <c r="I166" s="5">
        <f t="shared" si="13"/>
        <v>37.706280991735539</v>
      </c>
      <c r="J166" s="5">
        <f t="shared" si="14"/>
        <v>179.55371900826447</v>
      </c>
      <c r="L166" s="5">
        <f t="shared" si="11"/>
        <v>0</v>
      </c>
      <c r="M166" s="8">
        <v>217.26</v>
      </c>
      <c r="N166" s="2" t="s">
        <v>55</v>
      </c>
      <c r="O166" s="3" t="s">
        <v>67</v>
      </c>
    </row>
    <row r="167" spans="1:15" x14ac:dyDescent="0.35">
      <c r="A167" s="4">
        <v>45535</v>
      </c>
      <c r="B167" s="2" t="s">
        <v>2320</v>
      </c>
      <c r="D167" s="2" t="s">
        <v>34</v>
      </c>
      <c r="E167" s="2" t="s">
        <v>1417</v>
      </c>
      <c r="F167" s="5" t="str">
        <f t="shared" si="10"/>
        <v>F243378 CONTAMAR</v>
      </c>
      <c r="G167" s="12">
        <f t="shared" si="12"/>
        <v>25</v>
      </c>
      <c r="H167">
        <v>21</v>
      </c>
      <c r="I167" s="5">
        <f t="shared" si="13"/>
        <v>5.25</v>
      </c>
      <c r="J167" s="5">
        <f t="shared" si="14"/>
        <v>25</v>
      </c>
      <c r="L167" s="5">
        <f t="shared" si="11"/>
        <v>0</v>
      </c>
      <c r="M167" s="8">
        <v>30.25</v>
      </c>
      <c r="N167" s="2" t="s">
        <v>55</v>
      </c>
      <c r="O167" s="3" t="s">
        <v>67</v>
      </c>
    </row>
    <row r="168" spans="1:15" x14ac:dyDescent="0.35">
      <c r="A168" s="4">
        <v>45516</v>
      </c>
      <c r="B168" s="2" t="s">
        <v>223</v>
      </c>
      <c r="D168" s="2" t="s">
        <v>134</v>
      </c>
      <c r="E168" s="2" t="s">
        <v>143</v>
      </c>
      <c r="F168" s="5" t="str">
        <f t="shared" si="10"/>
        <v>59 IOAN NICULAI</v>
      </c>
      <c r="G168" s="12">
        <f t="shared" si="12"/>
        <v>2830.0000000000005</v>
      </c>
      <c r="H168">
        <v>21</v>
      </c>
      <c r="I168" s="5">
        <f t="shared" si="13"/>
        <v>594.30000000000007</v>
      </c>
      <c r="J168" s="5">
        <f t="shared" si="14"/>
        <v>2830.0000000000005</v>
      </c>
      <c r="L168" s="5">
        <f t="shared" si="11"/>
        <v>0</v>
      </c>
      <c r="M168" s="8">
        <v>3424.3</v>
      </c>
      <c r="N168" s="2" t="s">
        <v>37</v>
      </c>
      <c r="O168" s="3" t="s">
        <v>68</v>
      </c>
    </row>
    <row r="169" spans="1:15" x14ac:dyDescent="0.35">
      <c r="A169" s="4">
        <v>45516</v>
      </c>
      <c r="B169" s="2" t="s">
        <v>224</v>
      </c>
      <c r="D169" s="2" t="s">
        <v>134</v>
      </c>
      <c r="E169" s="2" t="s">
        <v>143</v>
      </c>
      <c r="F169" s="5" t="str">
        <f t="shared" si="10"/>
        <v>60 IOAN NICULAI</v>
      </c>
      <c r="G169" s="12">
        <f t="shared" si="12"/>
        <v>4555</v>
      </c>
      <c r="H169">
        <v>21</v>
      </c>
      <c r="I169" s="5">
        <f t="shared" si="13"/>
        <v>956.55</v>
      </c>
      <c r="J169" s="5">
        <f t="shared" si="14"/>
        <v>4555</v>
      </c>
      <c r="L169" s="5">
        <f t="shared" si="11"/>
        <v>0</v>
      </c>
      <c r="M169" s="8">
        <v>5511.55</v>
      </c>
      <c r="N169" s="2" t="s">
        <v>37</v>
      </c>
      <c r="O169" s="3" t="s">
        <v>68</v>
      </c>
    </row>
    <row r="170" spans="1:15" x14ac:dyDescent="0.35">
      <c r="A170" s="4">
        <v>45495</v>
      </c>
      <c r="B170" s="2" t="s">
        <v>2321</v>
      </c>
      <c r="D170" s="2" t="s">
        <v>101</v>
      </c>
      <c r="E170" s="2" t="s">
        <v>1324</v>
      </c>
      <c r="F170" s="5" t="str">
        <f t="shared" si="10"/>
        <v>FACG 5552 ESCAYOLAS EUROPA</v>
      </c>
      <c r="G170" s="12">
        <f t="shared" si="12"/>
        <v>917.28099173553733</v>
      </c>
      <c r="H170">
        <v>21</v>
      </c>
      <c r="I170" s="5">
        <f t="shared" si="13"/>
        <v>192.62900826446284</v>
      </c>
      <c r="J170" s="5">
        <f t="shared" si="14"/>
        <v>917.28099173553733</v>
      </c>
      <c r="L170" s="5">
        <f t="shared" si="11"/>
        <v>0</v>
      </c>
      <c r="M170" s="8">
        <v>1109.9100000000001</v>
      </c>
      <c r="N170" s="2" t="s">
        <v>21</v>
      </c>
      <c r="O170" s="3" t="s">
        <v>68</v>
      </c>
    </row>
    <row r="171" spans="1:15" x14ac:dyDescent="0.35">
      <c r="A171" s="4">
        <v>45534</v>
      </c>
      <c r="B171" s="2" t="s">
        <v>2322</v>
      </c>
      <c r="D171" s="2" t="s">
        <v>58</v>
      </c>
      <c r="E171" s="2" t="s">
        <v>2028</v>
      </c>
      <c r="F171" s="5" t="str">
        <f t="shared" si="10"/>
        <v>024-0008-385448 BRICOLAJE BRICOMAN</v>
      </c>
      <c r="G171" s="12">
        <f t="shared" si="12"/>
        <v>235.53719008264463</v>
      </c>
      <c r="H171">
        <v>21</v>
      </c>
      <c r="I171" s="5">
        <f t="shared" si="13"/>
        <v>49.462809917355372</v>
      </c>
      <c r="J171" s="5">
        <f t="shared" si="14"/>
        <v>235.53719008264463</v>
      </c>
      <c r="L171" s="5">
        <f t="shared" si="11"/>
        <v>0</v>
      </c>
      <c r="M171" s="8">
        <v>285</v>
      </c>
      <c r="N171" s="2" t="s">
        <v>21</v>
      </c>
      <c r="O171" s="3" t="s">
        <v>63</v>
      </c>
    </row>
    <row r="172" spans="1:15" x14ac:dyDescent="0.35">
      <c r="A172" s="4">
        <v>45535</v>
      </c>
      <c r="B172" s="2" t="s">
        <v>2323</v>
      </c>
      <c r="D172" s="2" t="s">
        <v>58</v>
      </c>
      <c r="E172" s="2" t="s">
        <v>2028</v>
      </c>
      <c r="F172" s="5" t="str">
        <f t="shared" si="10"/>
        <v>007-0008-698356 BRICOLAJE BRICOMAN</v>
      </c>
      <c r="G172" s="12">
        <f t="shared" si="12"/>
        <v>22.148760330578515</v>
      </c>
      <c r="H172">
        <v>21</v>
      </c>
      <c r="I172" s="5">
        <f t="shared" si="13"/>
        <v>4.6512396694214884</v>
      </c>
      <c r="J172" s="5">
        <f t="shared" si="14"/>
        <v>22.148760330578515</v>
      </c>
      <c r="L172" s="5">
        <f t="shared" si="11"/>
        <v>0</v>
      </c>
      <c r="M172" s="8">
        <v>26.8</v>
      </c>
      <c r="N172" s="2" t="s">
        <v>21</v>
      </c>
      <c r="O172" s="3" t="s">
        <v>64</v>
      </c>
    </row>
    <row r="173" spans="1:15" x14ac:dyDescent="0.35">
      <c r="A173" s="4">
        <v>45535</v>
      </c>
      <c r="B173" s="2" t="s">
        <v>2324</v>
      </c>
      <c r="D173" s="2" t="s">
        <v>58</v>
      </c>
      <c r="E173" s="2" t="s">
        <v>2028</v>
      </c>
      <c r="F173" s="5" t="str">
        <f t="shared" si="10"/>
        <v>007-0008-698082 BRICOLAJE BRICOMAN</v>
      </c>
      <c r="G173" s="12">
        <f t="shared" si="12"/>
        <v>45.933884297520663</v>
      </c>
      <c r="H173">
        <v>21</v>
      </c>
      <c r="I173" s="5">
        <f t="shared" si="13"/>
        <v>9.6461157024793405</v>
      </c>
      <c r="J173" s="5">
        <f t="shared" si="14"/>
        <v>45.933884297520663</v>
      </c>
      <c r="L173" s="5">
        <f t="shared" si="11"/>
        <v>0</v>
      </c>
      <c r="M173" s="8">
        <v>55.58</v>
      </c>
      <c r="N173" s="2" t="s">
        <v>21</v>
      </c>
      <c r="O173" s="3" t="s">
        <v>64</v>
      </c>
    </row>
    <row r="174" spans="1:15" x14ac:dyDescent="0.35">
      <c r="A174" s="4">
        <v>45535</v>
      </c>
      <c r="B174" s="2" t="s">
        <v>2325</v>
      </c>
      <c r="D174" s="2" t="s">
        <v>58</v>
      </c>
      <c r="E174" s="2" t="s">
        <v>2028</v>
      </c>
      <c r="F174" s="5" t="str">
        <f t="shared" si="10"/>
        <v>007-008-698774 BRICOLAJE BRICOMAN</v>
      </c>
      <c r="G174" s="12">
        <f t="shared" ref="G174:G234" si="15">M174/(1-K174/100+H174/100)</f>
        <v>50.909090909090914</v>
      </c>
      <c r="H174">
        <v>21</v>
      </c>
      <c r="I174" s="5">
        <f t="shared" ref="I174:I234" si="16">G174*H174/100</f>
        <v>10.690909090909093</v>
      </c>
      <c r="J174" s="5">
        <f t="shared" ref="J174:J234" si="17">G174</f>
        <v>50.909090909090914</v>
      </c>
      <c r="L174" s="5">
        <f t="shared" ref="L174:L234" si="18">J174*K174/100</f>
        <v>0</v>
      </c>
      <c r="M174" s="8">
        <v>61.6</v>
      </c>
      <c r="N174" s="2" t="s">
        <v>21</v>
      </c>
      <c r="O174" s="3" t="s">
        <v>64</v>
      </c>
    </row>
    <row r="175" spans="1:15" x14ac:dyDescent="0.35">
      <c r="A175" s="4">
        <v>45535</v>
      </c>
      <c r="B175" s="2" t="s">
        <v>2326</v>
      </c>
      <c r="D175" s="2" t="s">
        <v>58</v>
      </c>
      <c r="E175" s="2" t="s">
        <v>2028</v>
      </c>
      <c r="F175" s="5" t="str">
        <f t="shared" si="10"/>
        <v>007-0008-698392 BRICOLAJE BRICOMAN</v>
      </c>
      <c r="G175" s="12">
        <f t="shared" si="15"/>
        <v>8.5702479338842963</v>
      </c>
      <c r="H175">
        <v>21</v>
      </c>
      <c r="I175" s="5">
        <f t="shared" si="16"/>
        <v>1.7997520661157023</v>
      </c>
      <c r="J175" s="5">
        <f t="shared" si="17"/>
        <v>8.5702479338842963</v>
      </c>
      <c r="L175" s="5">
        <f t="shared" si="18"/>
        <v>0</v>
      </c>
      <c r="M175" s="8">
        <v>10.37</v>
      </c>
      <c r="N175" s="2" t="s">
        <v>21</v>
      </c>
      <c r="O175" s="3" t="s">
        <v>64</v>
      </c>
    </row>
    <row r="176" spans="1:15" x14ac:dyDescent="0.35">
      <c r="A176" s="4">
        <v>45531</v>
      </c>
      <c r="B176" s="2" t="s">
        <v>2327</v>
      </c>
      <c r="D176" s="2" t="s">
        <v>35</v>
      </c>
      <c r="E176" s="2" t="s">
        <v>2222</v>
      </c>
      <c r="F176" s="5" t="str">
        <f t="shared" si="10"/>
        <v>0240011696 PINTODIS</v>
      </c>
      <c r="G176" s="12">
        <f t="shared" si="15"/>
        <v>41.32231404958678</v>
      </c>
      <c r="H176">
        <v>21</v>
      </c>
      <c r="I176" s="5">
        <f t="shared" si="16"/>
        <v>8.677685950413224</v>
      </c>
      <c r="J176" s="5">
        <f t="shared" si="17"/>
        <v>41.32231404958678</v>
      </c>
      <c r="L176" s="5">
        <f t="shared" si="18"/>
        <v>0</v>
      </c>
      <c r="M176" s="8">
        <v>50</v>
      </c>
      <c r="N176" s="2" t="s">
        <v>22</v>
      </c>
      <c r="O176" s="3" t="s">
        <v>64</v>
      </c>
    </row>
    <row r="177" spans="1:15" x14ac:dyDescent="0.35">
      <c r="A177" s="4">
        <v>45537</v>
      </c>
      <c r="B177" s="2" t="s">
        <v>2328</v>
      </c>
      <c r="D177" s="2" t="s">
        <v>35</v>
      </c>
      <c r="E177" s="2" t="s">
        <v>2222</v>
      </c>
      <c r="F177" s="5" t="str">
        <f t="shared" si="10"/>
        <v>0240011829 PINTODIS</v>
      </c>
      <c r="G177" s="12">
        <f t="shared" si="15"/>
        <v>41.32231404958678</v>
      </c>
      <c r="H177">
        <v>21</v>
      </c>
      <c r="I177" s="5">
        <f t="shared" si="16"/>
        <v>8.677685950413224</v>
      </c>
      <c r="J177" s="5">
        <f t="shared" si="17"/>
        <v>41.32231404958678</v>
      </c>
      <c r="L177" s="5">
        <f t="shared" si="18"/>
        <v>0</v>
      </c>
      <c r="M177" s="8">
        <v>50</v>
      </c>
      <c r="N177" s="2" t="s">
        <v>22</v>
      </c>
      <c r="O177" s="3" t="s">
        <v>64</v>
      </c>
    </row>
    <row r="178" spans="1:15" x14ac:dyDescent="0.35">
      <c r="A178" s="4">
        <v>45514</v>
      </c>
      <c r="B178" s="2" t="s">
        <v>2329</v>
      </c>
      <c r="D178" s="2" t="s">
        <v>35</v>
      </c>
      <c r="E178" s="2" t="s">
        <v>2222</v>
      </c>
      <c r="F178" s="5" t="str">
        <f t="shared" si="10"/>
        <v>0240011259 PINTODIS</v>
      </c>
      <c r="G178" s="12">
        <f t="shared" si="15"/>
        <v>41.32231404958678</v>
      </c>
      <c r="H178">
        <v>21</v>
      </c>
      <c r="I178" s="5">
        <f t="shared" si="16"/>
        <v>8.677685950413224</v>
      </c>
      <c r="J178" s="5">
        <f t="shared" si="17"/>
        <v>41.32231404958678</v>
      </c>
      <c r="L178" s="5">
        <f t="shared" si="18"/>
        <v>0</v>
      </c>
      <c r="M178" s="8">
        <v>50</v>
      </c>
      <c r="N178" s="2" t="s">
        <v>22</v>
      </c>
      <c r="O178" s="3" t="s">
        <v>63</v>
      </c>
    </row>
    <row r="179" spans="1:15" x14ac:dyDescent="0.35">
      <c r="A179" s="4">
        <v>45508</v>
      </c>
      <c r="B179" s="2" t="s">
        <v>2330</v>
      </c>
      <c r="D179" s="2" t="s">
        <v>35</v>
      </c>
      <c r="E179" s="2" t="s">
        <v>2222</v>
      </c>
      <c r="F179" s="5" t="str">
        <f t="shared" si="10"/>
        <v>0240011086 PINTODIS</v>
      </c>
      <c r="G179" s="12">
        <f t="shared" si="15"/>
        <v>41.32231404958678</v>
      </c>
      <c r="H179">
        <v>21</v>
      </c>
      <c r="I179" s="5">
        <f t="shared" si="16"/>
        <v>8.677685950413224</v>
      </c>
      <c r="J179" s="5">
        <f t="shared" si="17"/>
        <v>41.32231404958678</v>
      </c>
      <c r="L179" s="5">
        <f t="shared" si="18"/>
        <v>0</v>
      </c>
      <c r="M179" s="8">
        <v>50</v>
      </c>
      <c r="N179" s="2" t="s">
        <v>22</v>
      </c>
      <c r="O179" s="3" t="s">
        <v>64</v>
      </c>
    </row>
    <row r="180" spans="1:15" x14ac:dyDescent="0.35">
      <c r="A180" s="4">
        <v>45528</v>
      </c>
      <c r="B180" s="2" t="s">
        <v>2331</v>
      </c>
      <c r="D180" s="2" t="s">
        <v>58</v>
      </c>
      <c r="E180" s="2" t="s">
        <v>2028</v>
      </c>
      <c r="F180" s="5" t="str">
        <f t="shared" si="10"/>
        <v>024-0008-371077 BRICOLAJE BRICOMAN</v>
      </c>
      <c r="G180" s="12">
        <f t="shared" si="15"/>
        <v>4.0909090909090908</v>
      </c>
      <c r="H180">
        <v>21</v>
      </c>
      <c r="I180" s="5">
        <f t="shared" si="16"/>
        <v>0.85909090909090902</v>
      </c>
      <c r="J180" s="5">
        <f t="shared" si="17"/>
        <v>4.0909090909090908</v>
      </c>
      <c r="L180" s="5">
        <f t="shared" si="18"/>
        <v>0</v>
      </c>
      <c r="M180" s="8">
        <v>4.95</v>
      </c>
      <c r="N180" s="2" t="s">
        <v>21</v>
      </c>
      <c r="O180" s="3" t="s">
        <v>63</v>
      </c>
    </row>
    <row r="181" spans="1:15" x14ac:dyDescent="0.35">
      <c r="A181" s="4">
        <v>45529</v>
      </c>
      <c r="B181" s="2" t="s">
        <v>2332</v>
      </c>
      <c r="D181" s="2" t="s">
        <v>2025</v>
      </c>
      <c r="E181" s="2" t="s">
        <v>2026</v>
      </c>
      <c r="F181" s="5" t="str">
        <f t="shared" si="10"/>
        <v>FA2024007904 POPP LIGHTING SL</v>
      </c>
      <c r="G181" s="12">
        <f t="shared" si="15"/>
        <v>45.909090909090907</v>
      </c>
      <c r="H181">
        <v>21</v>
      </c>
      <c r="I181" s="5">
        <f t="shared" si="16"/>
        <v>9.6409090909090907</v>
      </c>
      <c r="J181" s="5">
        <f t="shared" si="17"/>
        <v>45.909090909090907</v>
      </c>
      <c r="L181" s="5">
        <f t="shared" si="18"/>
        <v>0</v>
      </c>
      <c r="M181" s="8">
        <v>55.55</v>
      </c>
      <c r="N181" s="2" t="s">
        <v>21</v>
      </c>
      <c r="O181" s="3" t="s">
        <v>63</v>
      </c>
    </row>
    <row r="182" spans="1:15" x14ac:dyDescent="0.35">
      <c r="A182" s="4">
        <v>45512</v>
      </c>
      <c r="B182" s="2" t="s">
        <v>2333</v>
      </c>
      <c r="D182" s="2" t="s">
        <v>1779</v>
      </c>
      <c r="E182" s="2" t="s">
        <v>2334</v>
      </c>
      <c r="F182" s="5" t="str">
        <f t="shared" si="10"/>
        <v>HT41623 IKONOMOTORBIKE S.L.</v>
      </c>
      <c r="G182" s="12">
        <f t="shared" si="15"/>
        <v>1684.297520661157</v>
      </c>
      <c r="H182">
        <v>21</v>
      </c>
      <c r="I182" s="5">
        <f t="shared" si="16"/>
        <v>353.70247933884298</v>
      </c>
      <c r="J182" s="5">
        <f t="shared" si="17"/>
        <v>1684.297520661157</v>
      </c>
      <c r="L182" s="5">
        <f t="shared" si="18"/>
        <v>0</v>
      </c>
      <c r="M182" s="8">
        <v>2038</v>
      </c>
      <c r="N182" s="2" t="s">
        <v>53</v>
      </c>
      <c r="O182" s="3" t="s">
        <v>64</v>
      </c>
    </row>
    <row r="183" spans="1:15" x14ac:dyDescent="0.35">
      <c r="A183" s="4">
        <v>45511</v>
      </c>
      <c r="B183" s="2" t="s">
        <v>2335</v>
      </c>
      <c r="D183" s="2" t="s">
        <v>1497</v>
      </c>
      <c r="E183" s="2" t="s">
        <v>2216</v>
      </c>
      <c r="F183" s="5" t="str">
        <f t="shared" si="10"/>
        <v>26080 ITV SESEÑA</v>
      </c>
      <c r="G183" s="12">
        <v>93.08</v>
      </c>
      <c r="H183">
        <v>21</v>
      </c>
      <c r="I183" s="5">
        <f t="shared" si="16"/>
        <v>19.546800000000001</v>
      </c>
      <c r="J183" s="5">
        <f t="shared" si="17"/>
        <v>93.08</v>
      </c>
      <c r="L183" s="5">
        <f t="shared" si="18"/>
        <v>0</v>
      </c>
      <c r="M183" s="8">
        <v>113.67</v>
      </c>
      <c r="N183" s="2" t="s">
        <v>53</v>
      </c>
      <c r="O183" s="3" t="s">
        <v>63</v>
      </c>
    </row>
    <row r="184" spans="1:15" x14ac:dyDescent="0.35">
      <c r="A184" s="4">
        <v>45531</v>
      </c>
      <c r="B184" s="2" t="s">
        <v>2336</v>
      </c>
      <c r="D184" s="2" t="s">
        <v>1612</v>
      </c>
      <c r="E184" s="2" t="s">
        <v>2337</v>
      </c>
      <c r="F184" s="5" t="str">
        <f t="shared" si="10"/>
        <v>241635 MADEMOL NATURAL</v>
      </c>
      <c r="G184" s="12">
        <f t="shared" si="15"/>
        <v>642.55371900826447</v>
      </c>
      <c r="H184">
        <v>21</v>
      </c>
      <c r="I184" s="5">
        <f t="shared" si="16"/>
        <v>134.93628099173554</v>
      </c>
      <c r="J184" s="5">
        <f t="shared" si="17"/>
        <v>642.55371900826447</v>
      </c>
      <c r="L184" s="5">
        <f t="shared" si="18"/>
        <v>0</v>
      </c>
      <c r="M184" s="8">
        <v>777.49</v>
      </c>
      <c r="N184" s="2" t="s">
        <v>21</v>
      </c>
      <c r="O184" s="3" t="s">
        <v>64</v>
      </c>
    </row>
    <row r="185" spans="1:15" x14ac:dyDescent="0.35">
      <c r="A185" s="4">
        <v>45534</v>
      </c>
      <c r="B185" s="2" t="s">
        <v>2338</v>
      </c>
      <c r="D185" s="2" t="s">
        <v>58</v>
      </c>
      <c r="E185" s="2" t="s">
        <v>2028</v>
      </c>
      <c r="F185" s="5" t="str">
        <f t="shared" si="10"/>
        <v>007-0008-697239 BRICOLAJE BRICOMAN</v>
      </c>
      <c r="G185" s="12">
        <f t="shared" si="15"/>
        <v>9</v>
      </c>
      <c r="H185">
        <v>21</v>
      </c>
      <c r="I185" s="5">
        <f t="shared" si="16"/>
        <v>1.89</v>
      </c>
      <c r="J185" s="5">
        <f t="shared" si="17"/>
        <v>9</v>
      </c>
      <c r="L185" s="5">
        <f t="shared" si="18"/>
        <v>0</v>
      </c>
      <c r="M185" s="8">
        <v>10.89</v>
      </c>
      <c r="N185" s="2" t="s">
        <v>21</v>
      </c>
      <c r="O185" s="3" t="s">
        <v>64</v>
      </c>
    </row>
    <row r="186" spans="1:15" x14ac:dyDescent="0.35">
      <c r="A186" s="4">
        <v>45534</v>
      </c>
      <c r="B186" s="2" t="s">
        <v>2339</v>
      </c>
      <c r="D186" s="2" t="s">
        <v>58</v>
      </c>
      <c r="E186" s="2" t="s">
        <v>2028</v>
      </c>
      <c r="F186" s="5" t="str">
        <f t="shared" si="10"/>
        <v>007-0008-697217 BRICOLAJE BRICOMAN</v>
      </c>
      <c r="G186" s="12">
        <f t="shared" si="15"/>
        <v>236.93388429752068</v>
      </c>
      <c r="H186">
        <v>21</v>
      </c>
      <c r="I186" s="5">
        <f t="shared" si="16"/>
        <v>49.756115702479349</v>
      </c>
      <c r="J186" s="5">
        <f t="shared" si="17"/>
        <v>236.93388429752068</v>
      </c>
      <c r="L186" s="5">
        <f t="shared" si="18"/>
        <v>0</v>
      </c>
      <c r="M186" s="8">
        <v>286.69</v>
      </c>
      <c r="N186" s="2" t="s">
        <v>21</v>
      </c>
      <c r="O186" s="3" t="s">
        <v>64</v>
      </c>
    </row>
    <row r="187" spans="1:15" x14ac:dyDescent="0.35">
      <c r="A187" s="4">
        <v>45530</v>
      </c>
      <c r="B187" s="2" t="s">
        <v>2340</v>
      </c>
      <c r="D187" s="2" t="s">
        <v>1867</v>
      </c>
      <c r="E187" s="2" t="s">
        <v>1868</v>
      </c>
      <c r="F187" s="5" t="str">
        <f t="shared" si="10"/>
        <v>I-1985 IBERVILNA</v>
      </c>
      <c r="G187" s="12">
        <f t="shared" si="15"/>
        <v>29.206611570247937</v>
      </c>
      <c r="H187">
        <v>21</v>
      </c>
      <c r="I187" s="5">
        <f t="shared" si="16"/>
        <v>6.1333884297520669</v>
      </c>
      <c r="J187" s="5">
        <f t="shared" si="17"/>
        <v>29.206611570247937</v>
      </c>
      <c r="L187" s="5">
        <f t="shared" si="18"/>
        <v>0</v>
      </c>
      <c r="M187" s="8">
        <v>35.340000000000003</v>
      </c>
      <c r="N187" s="2" t="s">
        <v>22</v>
      </c>
      <c r="O187" s="3" t="s">
        <v>64</v>
      </c>
    </row>
    <row r="188" spans="1:15" x14ac:dyDescent="0.35">
      <c r="A188" s="4">
        <v>45521</v>
      </c>
      <c r="B188" s="2" t="s">
        <v>2341</v>
      </c>
      <c r="D188" s="2" t="s">
        <v>1867</v>
      </c>
      <c r="E188" s="2" t="s">
        <v>1868</v>
      </c>
      <c r="F188" s="5" t="str">
        <f t="shared" si="10"/>
        <v>I-1927 IBERVILNA</v>
      </c>
      <c r="G188" s="12">
        <f t="shared" si="15"/>
        <v>12.404958677685951</v>
      </c>
      <c r="H188">
        <v>21</v>
      </c>
      <c r="I188" s="5">
        <f t="shared" si="16"/>
        <v>2.6050413223140496</v>
      </c>
      <c r="J188" s="5">
        <f t="shared" si="17"/>
        <v>12.404958677685951</v>
      </c>
      <c r="L188" s="5">
        <f t="shared" si="18"/>
        <v>0</v>
      </c>
      <c r="M188" s="8">
        <v>15.01</v>
      </c>
      <c r="N188" s="2" t="s">
        <v>22</v>
      </c>
      <c r="O188" s="3" t="s">
        <v>64</v>
      </c>
    </row>
    <row r="189" spans="1:15" x14ac:dyDescent="0.35">
      <c r="A189" s="4">
        <v>45484</v>
      </c>
      <c r="B189" s="2" t="s">
        <v>2342</v>
      </c>
      <c r="D189" s="2" t="s">
        <v>58</v>
      </c>
      <c r="E189" s="2" t="s">
        <v>2028</v>
      </c>
      <c r="F189" s="5" t="str">
        <f t="shared" si="10"/>
        <v>011-0007-992493 BRICOLAJE BRICOMAN</v>
      </c>
      <c r="G189" s="12">
        <f t="shared" si="15"/>
        <v>9.0082644628099171</v>
      </c>
      <c r="H189">
        <v>21</v>
      </c>
      <c r="I189" s="5">
        <f t="shared" si="16"/>
        <v>1.8917355371900826</v>
      </c>
      <c r="J189" s="5">
        <f t="shared" si="17"/>
        <v>9.0082644628099171</v>
      </c>
      <c r="L189" s="5">
        <f t="shared" si="18"/>
        <v>0</v>
      </c>
      <c r="M189" s="8">
        <v>10.9</v>
      </c>
      <c r="N189" s="2" t="s">
        <v>21</v>
      </c>
      <c r="O189" s="3" t="s">
        <v>63</v>
      </c>
    </row>
    <row r="190" spans="1:15" x14ac:dyDescent="0.35">
      <c r="A190" s="4">
        <v>45481</v>
      </c>
      <c r="B190" s="2" t="s">
        <v>2343</v>
      </c>
      <c r="D190" s="2" t="s">
        <v>58</v>
      </c>
      <c r="E190" s="2" t="s">
        <v>2028</v>
      </c>
      <c r="F190" s="5" t="str">
        <f t="shared" si="10"/>
        <v>018-0007-482222 BRICOLAJE BRICOMAN</v>
      </c>
      <c r="G190" s="12">
        <f t="shared" si="15"/>
        <v>41.735537190082646</v>
      </c>
      <c r="H190">
        <v>21</v>
      </c>
      <c r="I190" s="5">
        <f t="shared" si="16"/>
        <v>8.7644628099173545</v>
      </c>
      <c r="J190" s="5">
        <f t="shared" si="17"/>
        <v>41.735537190082646</v>
      </c>
      <c r="L190" s="5">
        <f t="shared" si="18"/>
        <v>0</v>
      </c>
      <c r="M190" s="8">
        <v>50.5</v>
      </c>
      <c r="N190" s="2" t="s">
        <v>21</v>
      </c>
      <c r="O190" s="3" t="s">
        <v>63</v>
      </c>
    </row>
    <row r="191" spans="1:15" x14ac:dyDescent="0.35">
      <c r="A191" s="4">
        <v>45488</v>
      </c>
      <c r="B191" s="2" t="s">
        <v>2344</v>
      </c>
      <c r="D191" s="2" t="s">
        <v>58</v>
      </c>
      <c r="E191" s="2" t="s">
        <v>2028</v>
      </c>
      <c r="F191" s="5" t="str">
        <f t="shared" si="10"/>
        <v>011-0007-998973 BRICOLAJE BRICOMAN</v>
      </c>
      <c r="G191" s="12">
        <f t="shared" si="15"/>
        <v>11.694214876033058</v>
      </c>
      <c r="H191">
        <v>21</v>
      </c>
      <c r="I191" s="5">
        <f t="shared" si="16"/>
        <v>2.4557851239669422</v>
      </c>
      <c r="J191" s="5">
        <f t="shared" si="17"/>
        <v>11.694214876033058</v>
      </c>
      <c r="L191" s="5">
        <f t="shared" si="18"/>
        <v>0</v>
      </c>
      <c r="M191" s="8">
        <v>14.15</v>
      </c>
      <c r="N191" s="2" t="s">
        <v>21</v>
      </c>
      <c r="O191" s="3" t="s">
        <v>63</v>
      </c>
    </row>
    <row r="192" spans="1:15" x14ac:dyDescent="0.35">
      <c r="A192" s="4">
        <v>45502</v>
      </c>
      <c r="B192" s="2" t="s">
        <v>2345</v>
      </c>
      <c r="D192" s="2" t="s">
        <v>58</v>
      </c>
      <c r="E192" s="2" t="s">
        <v>2028</v>
      </c>
      <c r="F192" s="5" t="str">
        <f t="shared" si="10"/>
        <v>011-0007-022523 BRICOLAJE BRICOMAN</v>
      </c>
      <c r="G192" s="12">
        <f t="shared" si="15"/>
        <v>60.049586776859506</v>
      </c>
      <c r="H192">
        <v>21</v>
      </c>
      <c r="I192" s="5">
        <f t="shared" si="16"/>
        <v>12.610413223140498</v>
      </c>
      <c r="J192" s="5">
        <f t="shared" si="17"/>
        <v>60.049586776859506</v>
      </c>
      <c r="L192" s="5">
        <f t="shared" si="18"/>
        <v>0</v>
      </c>
      <c r="M192" s="8">
        <v>72.66</v>
      </c>
      <c r="N192" s="2" t="s">
        <v>21</v>
      </c>
      <c r="O192" s="3" t="s">
        <v>63</v>
      </c>
    </row>
    <row r="193" spans="1:15" x14ac:dyDescent="0.35">
      <c r="A193" s="4">
        <v>45503</v>
      </c>
      <c r="B193" s="2" t="s">
        <v>2346</v>
      </c>
      <c r="D193" s="2" t="s">
        <v>322</v>
      </c>
      <c r="E193" s="2" t="s">
        <v>2347</v>
      </c>
      <c r="F193" s="5" t="str">
        <f t="shared" si="10"/>
        <v>24009778 AUTOLYT</v>
      </c>
      <c r="G193" s="12">
        <f t="shared" si="15"/>
        <v>86.768595041322314</v>
      </c>
      <c r="H193">
        <v>21</v>
      </c>
      <c r="I193" s="5">
        <f t="shared" si="16"/>
        <v>18.221404958677685</v>
      </c>
      <c r="J193" s="5">
        <f t="shared" si="17"/>
        <v>86.768595041322314</v>
      </c>
      <c r="L193" s="5">
        <f t="shared" si="18"/>
        <v>0</v>
      </c>
      <c r="M193" s="8">
        <v>104.99</v>
      </c>
      <c r="N193" s="2" t="s">
        <v>22</v>
      </c>
      <c r="O193" s="3" t="s">
        <v>63</v>
      </c>
    </row>
    <row r="194" spans="1:15" x14ac:dyDescent="0.35">
      <c r="A194" s="4">
        <v>45504</v>
      </c>
      <c r="B194" s="2" t="s">
        <v>2348</v>
      </c>
      <c r="D194" s="2" t="s">
        <v>58</v>
      </c>
      <c r="E194" s="2" t="s">
        <v>2028</v>
      </c>
      <c r="F194" s="5" t="str">
        <f t="shared" si="10"/>
        <v>011-0007-026858 BRICOLAJE BRICOMAN</v>
      </c>
      <c r="G194" s="12">
        <f t="shared" si="15"/>
        <v>133.5619834710744</v>
      </c>
      <c r="H194">
        <v>21</v>
      </c>
      <c r="I194" s="5">
        <f t="shared" si="16"/>
        <v>28.048016528925622</v>
      </c>
      <c r="J194" s="5">
        <f t="shared" si="17"/>
        <v>133.5619834710744</v>
      </c>
      <c r="L194" s="5">
        <f t="shared" si="18"/>
        <v>0</v>
      </c>
      <c r="M194" s="8">
        <v>161.61000000000001</v>
      </c>
      <c r="N194" s="2" t="s">
        <v>21</v>
      </c>
      <c r="O194" s="3" t="s">
        <v>63</v>
      </c>
    </row>
    <row r="195" spans="1:15" x14ac:dyDescent="0.35">
      <c r="A195" s="4">
        <v>45505</v>
      </c>
      <c r="B195" s="2" t="s">
        <v>2349</v>
      </c>
      <c r="D195" s="2" t="s">
        <v>58</v>
      </c>
      <c r="E195" s="2" t="s">
        <v>2028</v>
      </c>
      <c r="F195" s="5" t="str">
        <f t="shared" si="10"/>
        <v>011-0008-028201 BRICOLAJE BRICOMAN</v>
      </c>
      <c r="G195" s="12">
        <f t="shared" si="15"/>
        <v>257.70247933884298</v>
      </c>
      <c r="H195">
        <v>21</v>
      </c>
      <c r="I195" s="5">
        <f t="shared" si="16"/>
        <v>54.117520661157023</v>
      </c>
      <c r="J195" s="5">
        <f t="shared" si="17"/>
        <v>257.70247933884298</v>
      </c>
      <c r="L195" s="5">
        <f t="shared" si="18"/>
        <v>0</v>
      </c>
      <c r="M195" s="8">
        <v>311.82</v>
      </c>
      <c r="N195" s="2" t="s">
        <v>21</v>
      </c>
      <c r="O195" s="3" t="s">
        <v>63</v>
      </c>
    </row>
    <row r="196" spans="1:15" x14ac:dyDescent="0.35">
      <c r="A196" s="4">
        <v>45499</v>
      </c>
      <c r="B196" s="2" t="s">
        <v>2350</v>
      </c>
      <c r="D196" s="2" t="s">
        <v>58</v>
      </c>
      <c r="E196" s="2" t="s">
        <v>2028</v>
      </c>
      <c r="F196" s="5" t="str">
        <f t="shared" si="10"/>
        <v>011-0007-018441 BRICOLAJE BRICOMAN</v>
      </c>
      <c r="G196" s="12">
        <f t="shared" si="15"/>
        <v>63.1404958677686</v>
      </c>
      <c r="H196">
        <v>21</v>
      </c>
      <c r="I196" s="5">
        <f t="shared" si="16"/>
        <v>13.259504132231406</v>
      </c>
      <c r="J196" s="5">
        <f t="shared" si="17"/>
        <v>63.1404958677686</v>
      </c>
      <c r="L196" s="5">
        <f t="shared" si="18"/>
        <v>0</v>
      </c>
      <c r="M196" s="8">
        <v>76.400000000000006</v>
      </c>
      <c r="N196" s="2" t="s">
        <v>21</v>
      </c>
      <c r="O196" s="3" t="s">
        <v>63</v>
      </c>
    </row>
    <row r="197" spans="1:15" x14ac:dyDescent="0.35">
      <c r="A197" s="4">
        <v>45496</v>
      </c>
      <c r="B197" s="2" t="s">
        <v>2351</v>
      </c>
      <c r="D197" s="2" t="s">
        <v>58</v>
      </c>
      <c r="E197" s="2" t="s">
        <v>2028</v>
      </c>
      <c r="F197" s="5" t="str">
        <f t="shared" si="10"/>
        <v>011-0007-012284 BRICOLAJE BRICOMAN</v>
      </c>
      <c r="G197" s="12">
        <f t="shared" si="15"/>
        <v>30.942148760330578</v>
      </c>
      <c r="H197">
        <v>21</v>
      </c>
      <c r="I197" s="5">
        <f t="shared" si="16"/>
        <v>6.497851239669421</v>
      </c>
      <c r="J197" s="5">
        <f t="shared" si="17"/>
        <v>30.942148760330578</v>
      </c>
      <c r="L197" s="5">
        <f t="shared" si="18"/>
        <v>0</v>
      </c>
      <c r="M197" s="8">
        <v>37.44</v>
      </c>
      <c r="N197" s="2" t="s">
        <v>21</v>
      </c>
      <c r="O197" s="3" t="s">
        <v>63</v>
      </c>
    </row>
    <row r="198" spans="1:15" x14ac:dyDescent="0.35">
      <c r="A198" s="4">
        <v>45492</v>
      </c>
      <c r="B198" s="2" t="s">
        <v>2352</v>
      </c>
      <c r="D198" s="2" t="s">
        <v>58</v>
      </c>
      <c r="E198" s="2" t="s">
        <v>2028</v>
      </c>
      <c r="F198" s="5" t="str">
        <f t="shared" si="10"/>
        <v>011-0007-007421 BRICOLAJE BRICOMAN</v>
      </c>
      <c r="G198" s="12">
        <f t="shared" si="15"/>
        <v>18.578512396694215</v>
      </c>
      <c r="H198">
        <v>21</v>
      </c>
      <c r="I198" s="5">
        <f t="shared" si="16"/>
        <v>3.9014876033057853</v>
      </c>
      <c r="J198" s="5">
        <f t="shared" si="17"/>
        <v>18.578512396694215</v>
      </c>
      <c r="L198" s="5">
        <f t="shared" si="18"/>
        <v>0</v>
      </c>
      <c r="M198" s="8">
        <v>22.48</v>
      </c>
      <c r="N198" s="2" t="s">
        <v>21</v>
      </c>
      <c r="O198" s="3" t="s">
        <v>63</v>
      </c>
    </row>
    <row r="199" spans="1:15" x14ac:dyDescent="0.35">
      <c r="A199" s="4">
        <v>45520</v>
      </c>
      <c r="B199" s="2" t="s">
        <v>2353</v>
      </c>
      <c r="D199" s="2" t="s">
        <v>58</v>
      </c>
      <c r="E199" s="2" t="s">
        <v>2028</v>
      </c>
      <c r="F199" s="5" t="str">
        <f t="shared" si="10"/>
        <v>011-0008-051054 BRICOLAJE BRICOMAN</v>
      </c>
      <c r="G199" s="12">
        <f t="shared" si="15"/>
        <v>29.264462809917354</v>
      </c>
      <c r="H199">
        <v>21</v>
      </c>
      <c r="I199" s="5">
        <f t="shared" si="16"/>
        <v>6.1455371900826448</v>
      </c>
      <c r="J199" s="5">
        <f t="shared" si="17"/>
        <v>29.264462809917354</v>
      </c>
      <c r="L199" s="5">
        <f t="shared" si="18"/>
        <v>0</v>
      </c>
      <c r="M199" s="8">
        <v>35.409999999999997</v>
      </c>
      <c r="N199" s="2" t="s">
        <v>21</v>
      </c>
      <c r="O199" s="3" t="s">
        <v>63</v>
      </c>
    </row>
    <row r="200" spans="1:15" x14ac:dyDescent="0.35">
      <c r="A200" s="4">
        <v>45517</v>
      </c>
      <c r="B200" s="2" t="s">
        <v>2354</v>
      </c>
      <c r="D200" s="2" t="s">
        <v>2167</v>
      </c>
      <c r="E200" s="2" t="s">
        <v>2168</v>
      </c>
      <c r="F200" s="5" t="str">
        <f t="shared" si="10"/>
        <v>F.24.65.000833 NUEVA TERRAIN</v>
      </c>
      <c r="G200" s="12">
        <f t="shared" si="15"/>
        <v>90.851239669421503</v>
      </c>
      <c r="H200">
        <v>21</v>
      </c>
      <c r="I200" s="5">
        <f t="shared" si="16"/>
        <v>19.078760330578515</v>
      </c>
      <c r="J200" s="5">
        <f t="shared" si="17"/>
        <v>90.851239669421503</v>
      </c>
      <c r="L200" s="5">
        <f t="shared" si="18"/>
        <v>0</v>
      </c>
      <c r="M200" s="8">
        <v>109.93</v>
      </c>
      <c r="N200" s="2" t="s">
        <v>21</v>
      </c>
      <c r="O200" s="3" t="s">
        <v>63</v>
      </c>
    </row>
    <row r="201" spans="1:15" x14ac:dyDescent="0.35">
      <c r="A201" s="4">
        <v>45491</v>
      </c>
      <c r="B201" s="2" t="s">
        <v>2355</v>
      </c>
      <c r="D201" s="2" t="s">
        <v>58</v>
      </c>
      <c r="E201" s="2" t="s">
        <v>2028</v>
      </c>
      <c r="F201" s="5" t="str">
        <f>CONCATENATE(S201,B201," ",E201)</f>
        <v>011-0007-005286 BRICOLAJE BRICOMAN</v>
      </c>
      <c r="G201" s="12">
        <f t="shared" si="15"/>
        <v>31.148760330578511</v>
      </c>
      <c r="H201">
        <v>21</v>
      </c>
      <c r="I201" s="5">
        <f t="shared" si="16"/>
        <v>6.5412396694214872</v>
      </c>
      <c r="J201" s="5">
        <f t="shared" si="17"/>
        <v>31.148760330578511</v>
      </c>
      <c r="L201" s="5">
        <f t="shared" si="18"/>
        <v>0</v>
      </c>
      <c r="M201" s="8">
        <v>37.69</v>
      </c>
      <c r="N201" s="2" t="s">
        <v>21</v>
      </c>
      <c r="O201" s="3" t="s">
        <v>63</v>
      </c>
    </row>
    <row r="202" spans="1:15" x14ac:dyDescent="0.35">
      <c r="A202" s="4">
        <v>45523</v>
      </c>
      <c r="B202" s="2" t="s">
        <v>2356</v>
      </c>
      <c r="D202" s="2" t="s">
        <v>58</v>
      </c>
      <c r="E202" s="2" t="s">
        <v>2028</v>
      </c>
      <c r="F202" s="5" t="str">
        <f t="shared" si="10"/>
        <v>011-0008-053676 BRICOLAJE BRICOMAN</v>
      </c>
      <c r="G202" s="12">
        <f t="shared" si="15"/>
        <v>76.27272727272728</v>
      </c>
      <c r="H202">
        <v>21</v>
      </c>
      <c r="I202" s="5">
        <f t="shared" si="16"/>
        <v>16.017272727272729</v>
      </c>
      <c r="J202" s="5">
        <f t="shared" si="17"/>
        <v>76.27272727272728</v>
      </c>
      <c r="L202" s="5">
        <f t="shared" si="18"/>
        <v>0</v>
      </c>
      <c r="M202" s="8">
        <v>92.29</v>
      </c>
      <c r="N202" s="2" t="s">
        <v>21</v>
      </c>
      <c r="O202" s="3" t="s">
        <v>63</v>
      </c>
    </row>
    <row r="203" spans="1:15" x14ac:dyDescent="0.35">
      <c r="A203" s="4">
        <v>45524</v>
      </c>
      <c r="B203" s="2" t="s">
        <v>2357</v>
      </c>
      <c r="D203" s="2" t="s">
        <v>58</v>
      </c>
      <c r="E203" s="2" t="s">
        <v>2028</v>
      </c>
      <c r="F203" s="5" t="str">
        <f>CONCATENATE(S203,B203," ",E203)</f>
        <v>011-0008-054350 BRICOLAJE BRICOMAN</v>
      </c>
      <c r="G203" s="12">
        <f t="shared" si="15"/>
        <v>11.404958677685951</v>
      </c>
      <c r="H203">
        <v>21</v>
      </c>
      <c r="I203" s="5">
        <f t="shared" si="16"/>
        <v>2.3950413223140496</v>
      </c>
      <c r="J203" s="5">
        <f t="shared" si="17"/>
        <v>11.404958677685951</v>
      </c>
      <c r="L203" s="5">
        <f t="shared" si="18"/>
        <v>0</v>
      </c>
      <c r="M203" s="8">
        <v>13.8</v>
      </c>
      <c r="N203" s="2" t="s">
        <v>21</v>
      </c>
      <c r="O203" s="3" t="s">
        <v>63</v>
      </c>
    </row>
    <row r="204" spans="1:15" x14ac:dyDescent="0.35">
      <c r="A204" s="4">
        <v>45526</v>
      </c>
      <c r="B204" s="2" t="s">
        <v>2358</v>
      </c>
      <c r="D204" s="2" t="s">
        <v>58</v>
      </c>
      <c r="E204" s="2" t="s">
        <v>2028</v>
      </c>
      <c r="F204" s="5" t="str">
        <f t="shared" si="10"/>
        <v>011-0008-058080 BRICOLAJE BRICOMAN</v>
      </c>
      <c r="G204" s="12">
        <f t="shared" si="15"/>
        <v>15.041322314049587</v>
      </c>
      <c r="H204">
        <v>21</v>
      </c>
      <c r="I204" s="5">
        <f t="shared" si="16"/>
        <v>3.1586776859504138</v>
      </c>
      <c r="J204" s="5">
        <f t="shared" si="17"/>
        <v>15.041322314049587</v>
      </c>
      <c r="L204" s="5">
        <f t="shared" si="18"/>
        <v>0</v>
      </c>
      <c r="M204" s="8">
        <v>18.2</v>
      </c>
      <c r="N204" s="2" t="s">
        <v>21</v>
      </c>
      <c r="O204" s="3" t="s">
        <v>63</v>
      </c>
    </row>
    <row r="205" spans="1:15" x14ac:dyDescent="0.35">
      <c r="A205" s="4">
        <v>45526</v>
      </c>
      <c r="B205" s="2" t="s">
        <v>2359</v>
      </c>
      <c r="D205" s="2" t="s">
        <v>58</v>
      </c>
      <c r="E205" s="2" t="s">
        <v>2028</v>
      </c>
      <c r="F205" s="5" t="str">
        <f t="shared" si="10"/>
        <v>011-0008-059238 BRICOLAJE BRICOMAN</v>
      </c>
      <c r="G205" s="12">
        <f t="shared" si="15"/>
        <v>7.5206611570247937</v>
      </c>
      <c r="H205">
        <v>21</v>
      </c>
      <c r="I205" s="5">
        <f t="shared" si="16"/>
        <v>1.5793388429752069</v>
      </c>
      <c r="J205" s="5">
        <f t="shared" si="17"/>
        <v>7.5206611570247937</v>
      </c>
      <c r="L205" s="5">
        <f t="shared" si="18"/>
        <v>0</v>
      </c>
      <c r="M205" s="8">
        <v>9.1</v>
      </c>
      <c r="N205" s="2" t="s">
        <v>21</v>
      </c>
      <c r="O205" s="3" t="s">
        <v>63</v>
      </c>
    </row>
    <row r="206" spans="1:15" x14ac:dyDescent="0.35">
      <c r="A206" s="4">
        <v>45527</v>
      </c>
      <c r="B206" s="2" t="s">
        <v>2360</v>
      </c>
      <c r="D206" s="2" t="s">
        <v>58</v>
      </c>
      <c r="E206" s="2" t="s">
        <v>2028</v>
      </c>
      <c r="F206" s="5" t="str">
        <f t="shared" si="10"/>
        <v>011-0008-060564 BRICOLAJE BRICOMAN</v>
      </c>
      <c r="G206" s="12">
        <f t="shared" si="15"/>
        <v>72.561983471074385</v>
      </c>
      <c r="H206">
        <v>21</v>
      </c>
      <c r="I206" s="5">
        <f t="shared" si="16"/>
        <v>15.23801652892562</v>
      </c>
      <c r="J206" s="5">
        <f t="shared" si="17"/>
        <v>72.561983471074385</v>
      </c>
      <c r="L206" s="5">
        <f t="shared" si="18"/>
        <v>0</v>
      </c>
      <c r="M206" s="8">
        <v>87.8</v>
      </c>
      <c r="N206" s="2" t="s">
        <v>21</v>
      </c>
      <c r="O206" s="3" t="s">
        <v>63</v>
      </c>
    </row>
    <row r="207" spans="1:15" x14ac:dyDescent="0.35">
      <c r="A207" s="4">
        <v>45528</v>
      </c>
      <c r="B207" s="2" t="s">
        <v>2361</v>
      </c>
      <c r="D207" s="2" t="s">
        <v>58</v>
      </c>
      <c r="E207" s="2" t="s">
        <v>2028</v>
      </c>
      <c r="F207" s="5" t="str">
        <f t="shared" si="10"/>
        <v>011-0008-061509 BRICOLAJE BRICOMAN</v>
      </c>
      <c r="G207" s="12">
        <f t="shared" si="15"/>
        <v>11.446280991735538</v>
      </c>
      <c r="H207">
        <v>21</v>
      </c>
      <c r="I207" s="5">
        <f t="shared" si="16"/>
        <v>2.4037190082644631</v>
      </c>
      <c r="J207" s="5">
        <f t="shared" si="17"/>
        <v>11.446280991735538</v>
      </c>
      <c r="L207" s="5">
        <f t="shared" si="18"/>
        <v>0</v>
      </c>
      <c r="M207" s="8">
        <v>13.85</v>
      </c>
      <c r="N207" s="2" t="s">
        <v>21</v>
      </c>
      <c r="O207" s="3" t="s">
        <v>63</v>
      </c>
    </row>
    <row r="208" spans="1:15" x14ac:dyDescent="0.35">
      <c r="A208" s="4">
        <v>45534</v>
      </c>
      <c r="B208" s="2" t="s">
        <v>2362</v>
      </c>
      <c r="D208" s="2" t="s">
        <v>322</v>
      </c>
      <c r="E208" s="2" t="s">
        <v>2347</v>
      </c>
      <c r="F208" s="5" t="str">
        <f t="shared" si="10"/>
        <v>24010970 AUTOLYT</v>
      </c>
      <c r="G208" s="12">
        <f t="shared" si="15"/>
        <v>85.727272727272734</v>
      </c>
      <c r="H208">
        <v>21</v>
      </c>
      <c r="I208" s="5">
        <f t="shared" si="16"/>
        <v>18.002727272727274</v>
      </c>
      <c r="J208" s="5">
        <f t="shared" si="17"/>
        <v>85.727272727272734</v>
      </c>
      <c r="L208" s="5">
        <f t="shared" si="18"/>
        <v>0</v>
      </c>
      <c r="M208" s="8">
        <v>103.73</v>
      </c>
      <c r="N208" s="2" t="s">
        <v>22</v>
      </c>
      <c r="O208" s="3" t="s">
        <v>63</v>
      </c>
    </row>
    <row r="209" spans="1:15" x14ac:dyDescent="0.35">
      <c r="A209" s="4">
        <v>45532</v>
      </c>
      <c r="B209" s="2" t="s">
        <v>2363</v>
      </c>
      <c r="D209" s="2" t="s">
        <v>58</v>
      </c>
      <c r="E209" s="2" t="s">
        <v>2028</v>
      </c>
      <c r="F209" s="5" t="str">
        <f t="shared" si="10"/>
        <v>011-0008-066906 BRICOLAJE BRICOMAN</v>
      </c>
      <c r="G209" s="12">
        <f t="shared" si="15"/>
        <v>59.876033057851245</v>
      </c>
      <c r="H209">
        <v>21</v>
      </c>
      <c r="I209" s="5">
        <f t="shared" si="16"/>
        <v>12.573966942148761</v>
      </c>
      <c r="J209" s="5">
        <f t="shared" si="17"/>
        <v>59.876033057851245</v>
      </c>
      <c r="L209" s="5">
        <f t="shared" si="18"/>
        <v>0</v>
      </c>
      <c r="M209" s="8">
        <v>72.45</v>
      </c>
      <c r="N209" s="2" t="s">
        <v>21</v>
      </c>
      <c r="O209" s="3" t="s">
        <v>63</v>
      </c>
    </row>
    <row r="210" spans="1:15" x14ac:dyDescent="0.35">
      <c r="A210" s="4">
        <v>45435</v>
      </c>
      <c r="B210" s="2" t="s">
        <v>2364</v>
      </c>
      <c r="D210" s="2" t="s">
        <v>29</v>
      </c>
      <c r="E210" s="2" t="s">
        <v>76</v>
      </c>
      <c r="F210" s="5" t="str">
        <f t="shared" si="10"/>
        <v>5477202400544897 COSTCO</v>
      </c>
      <c r="G210" s="12">
        <f t="shared" si="15"/>
        <v>59.247933884297524</v>
      </c>
      <c r="H210">
        <v>21</v>
      </c>
      <c r="I210" s="5">
        <f t="shared" si="16"/>
        <v>12.442066115702481</v>
      </c>
      <c r="J210" s="5">
        <f t="shared" si="17"/>
        <v>59.247933884297524</v>
      </c>
      <c r="L210" s="5">
        <f t="shared" si="18"/>
        <v>0</v>
      </c>
      <c r="M210" s="8">
        <v>71.69</v>
      </c>
      <c r="N210" s="2" t="s">
        <v>22</v>
      </c>
      <c r="O210" s="3" t="s">
        <v>63</v>
      </c>
    </row>
    <row r="211" spans="1:15" x14ac:dyDescent="0.35">
      <c r="A211" s="4">
        <v>45460</v>
      </c>
      <c r="B211" s="2" t="s">
        <v>2365</v>
      </c>
      <c r="D211" s="2" t="s">
        <v>29</v>
      </c>
      <c r="E211" s="2" t="s">
        <v>76</v>
      </c>
      <c r="F211" s="5" t="str">
        <f t="shared" si="10"/>
        <v>5477202400701011 COSTCO</v>
      </c>
      <c r="G211" s="12">
        <f t="shared" si="15"/>
        <v>64.611570247933898</v>
      </c>
      <c r="H211">
        <v>21</v>
      </c>
      <c r="I211" s="5">
        <f t="shared" si="16"/>
        <v>13.568429752066118</v>
      </c>
      <c r="J211" s="5">
        <f t="shared" si="17"/>
        <v>64.611570247933898</v>
      </c>
      <c r="L211" s="5">
        <f t="shared" si="18"/>
        <v>0</v>
      </c>
      <c r="M211" s="8">
        <v>78.180000000000007</v>
      </c>
      <c r="N211" s="2" t="s">
        <v>22</v>
      </c>
      <c r="O211" s="3" t="s">
        <v>63</v>
      </c>
    </row>
    <row r="212" spans="1:15" x14ac:dyDescent="0.35">
      <c r="A212" s="4">
        <v>45475</v>
      </c>
      <c r="B212" s="2" t="s">
        <v>2366</v>
      </c>
      <c r="D212" s="2" t="s">
        <v>29</v>
      </c>
      <c r="E212" s="2" t="s">
        <v>76</v>
      </c>
      <c r="F212" s="5" t="str">
        <f t="shared" si="10"/>
        <v>5477202400554555 COSTCO</v>
      </c>
      <c r="G212" s="12">
        <f t="shared" si="15"/>
        <v>53.132231404958688</v>
      </c>
      <c r="H212">
        <v>21</v>
      </c>
      <c r="I212" s="5">
        <f t="shared" si="16"/>
        <v>11.157768595041325</v>
      </c>
      <c r="J212" s="5">
        <f t="shared" si="17"/>
        <v>53.132231404958688</v>
      </c>
      <c r="L212" s="5">
        <f t="shared" si="18"/>
        <v>0</v>
      </c>
      <c r="M212" s="8">
        <v>64.290000000000006</v>
      </c>
      <c r="N212" s="2" t="s">
        <v>22</v>
      </c>
      <c r="O212" s="3" t="s">
        <v>63</v>
      </c>
    </row>
    <row r="213" spans="1:15" x14ac:dyDescent="0.35">
      <c r="A213" s="4">
        <v>45510</v>
      </c>
      <c r="B213" s="2" t="s">
        <v>2367</v>
      </c>
      <c r="D213" s="2" t="s">
        <v>29</v>
      </c>
      <c r="E213" s="2" t="s">
        <v>76</v>
      </c>
      <c r="F213" s="5" t="str">
        <f t="shared" si="10"/>
        <v>5477222400710621 COSTCO</v>
      </c>
      <c r="G213" s="12">
        <f t="shared" si="15"/>
        <v>64.082644628099175</v>
      </c>
      <c r="H213">
        <v>21</v>
      </c>
      <c r="I213" s="5">
        <f t="shared" si="16"/>
        <v>13.457355371900826</v>
      </c>
      <c r="J213" s="5">
        <f t="shared" si="17"/>
        <v>64.082644628099175</v>
      </c>
      <c r="L213" s="5">
        <f t="shared" si="18"/>
        <v>0</v>
      </c>
      <c r="M213" s="8">
        <v>77.540000000000006</v>
      </c>
      <c r="N213" s="2" t="s">
        <v>22</v>
      </c>
      <c r="O213" s="3" t="s">
        <v>63</v>
      </c>
    </row>
    <row r="214" spans="1:15" x14ac:dyDescent="0.35">
      <c r="A214" s="4">
        <v>45517</v>
      </c>
      <c r="B214" s="2" t="s">
        <v>2368</v>
      </c>
      <c r="D214" s="2" t="s">
        <v>29</v>
      </c>
      <c r="E214" s="2" t="s">
        <v>76</v>
      </c>
      <c r="F214" s="5" t="str">
        <f t="shared" si="10"/>
        <v>5477202400562142 COSTCO</v>
      </c>
      <c r="G214" s="12">
        <f t="shared" si="15"/>
        <v>30.008264462809919</v>
      </c>
      <c r="H214">
        <v>21</v>
      </c>
      <c r="I214" s="5">
        <f t="shared" si="16"/>
        <v>6.3017355371900825</v>
      </c>
      <c r="J214" s="5">
        <f t="shared" si="17"/>
        <v>30.008264462809919</v>
      </c>
      <c r="L214" s="5">
        <f t="shared" si="18"/>
        <v>0</v>
      </c>
      <c r="M214" s="8">
        <v>36.31</v>
      </c>
      <c r="N214" s="2" t="s">
        <v>22</v>
      </c>
      <c r="O214" s="3" t="s">
        <v>63</v>
      </c>
    </row>
    <row r="215" spans="1:15" x14ac:dyDescent="0.35">
      <c r="A215" s="4">
        <v>45420</v>
      </c>
      <c r="B215" s="2" t="s">
        <v>2208</v>
      </c>
      <c r="D215" s="2" t="s">
        <v>29</v>
      </c>
      <c r="E215" s="2" t="s">
        <v>76</v>
      </c>
      <c r="F215" s="5" t="str">
        <f t="shared" si="10"/>
        <v>5477202400026941 COSTCO</v>
      </c>
      <c r="G215" s="12">
        <f t="shared" si="15"/>
        <v>45.446280991735541</v>
      </c>
      <c r="H215">
        <v>21</v>
      </c>
      <c r="I215" s="5">
        <f t="shared" si="16"/>
        <v>9.5437190082644641</v>
      </c>
      <c r="J215" s="5">
        <f t="shared" si="17"/>
        <v>45.446280991735541</v>
      </c>
      <c r="L215" s="5">
        <f t="shared" si="18"/>
        <v>0</v>
      </c>
      <c r="M215" s="8">
        <v>54.99</v>
      </c>
      <c r="N215" s="2" t="s">
        <v>22</v>
      </c>
      <c r="O215" s="3" t="s">
        <v>63</v>
      </c>
    </row>
    <row r="216" spans="1:15" x14ac:dyDescent="0.35">
      <c r="A216" s="4">
        <v>45491</v>
      </c>
      <c r="B216" s="2" t="s">
        <v>2369</v>
      </c>
      <c r="D216" s="2" t="s">
        <v>29</v>
      </c>
      <c r="E216" s="2" t="s">
        <v>76</v>
      </c>
      <c r="F216" s="5" t="str">
        <f t="shared" si="10"/>
        <v>5477202400706966 COSTCO</v>
      </c>
      <c r="G216" s="12">
        <f t="shared" si="15"/>
        <v>82.644628099173559</v>
      </c>
      <c r="H216">
        <v>21</v>
      </c>
      <c r="I216" s="5">
        <f t="shared" si="16"/>
        <v>17.355371900826448</v>
      </c>
      <c r="J216" s="5">
        <f t="shared" si="17"/>
        <v>82.644628099173559</v>
      </c>
      <c r="L216" s="5">
        <f t="shared" si="18"/>
        <v>0</v>
      </c>
      <c r="M216" s="8">
        <v>100</v>
      </c>
      <c r="N216" s="2" t="s">
        <v>22</v>
      </c>
      <c r="O216" s="3" t="s">
        <v>63</v>
      </c>
    </row>
    <row r="217" spans="1:15" x14ac:dyDescent="0.35">
      <c r="A217" s="4">
        <v>45531</v>
      </c>
      <c r="B217" s="2" t="s">
        <v>2370</v>
      </c>
      <c r="D217" s="2" t="s">
        <v>29</v>
      </c>
      <c r="E217" s="2" t="s">
        <v>76</v>
      </c>
      <c r="F217" s="5" t="str">
        <f t="shared" si="10"/>
        <v>5477202400564427 COSTCO</v>
      </c>
      <c r="G217" s="12">
        <f t="shared" si="15"/>
        <v>66.347107438016536</v>
      </c>
      <c r="H217">
        <v>21</v>
      </c>
      <c r="I217" s="5">
        <f t="shared" si="16"/>
        <v>13.932892561983472</v>
      </c>
      <c r="J217" s="5">
        <f t="shared" si="17"/>
        <v>66.347107438016536</v>
      </c>
      <c r="L217" s="5">
        <f t="shared" si="18"/>
        <v>0</v>
      </c>
      <c r="M217" s="8">
        <v>80.28</v>
      </c>
      <c r="N217" s="2" t="s">
        <v>22</v>
      </c>
      <c r="O217" s="3" t="s">
        <v>63</v>
      </c>
    </row>
    <row r="218" spans="1:15" x14ac:dyDescent="0.35">
      <c r="A218" s="4">
        <v>45483</v>
      </c>
      <c r="B218" s="2" t="s">
        <v>2371</v>
      </c>
      <c r="D218" s="2" t="s">
        <v>140</v>
      </c>
      <c r="E218" s="2" t="s">
        <v>141</v>
      </c>
      <c r="F218" s="5" t="str">
        <f t="shared" si="10"/>
        <v>4398 ED OIL</v>
      </c>
      <c r="G218" s="12">
        <f t="shared" si="15"/>
        <v>87.851239669421489</v>
      </c>
      <c r="H218">
        <v>21</v>
      </c>
      <c r="I218" s="5">
        <f t="shared" si="16"/>
        <v>18.448760330578512</v>
      </c>
      <c r="J218" s="5">
        <f t="shared" si="17"/>
        <v>87.851239669421489</v>
      </c>
      <c r="L218" s="5">
        <f t="shared" si="18"/>
        <v>0</v>
      </c>
      <c r="M218" s="8">
        <v>106.3</v>
      </c>
      <c r="N218" s="2" t="s">
        <v>22</v>
      </c>
      <c r="O218" s="3" t="s">
        <v>63</v>
      </c>
    </row>
    <row r="219" spans="1:15" x14ac:dyDescent="0.35">
      <c r="A219" s="4">
        <v>45540</v>
      </c>
      <c r="B219" s="2" t="s">
        <v>2372</v>
      </c>
      <c r="D219" s="2" t="s">
        <v>2373</v>
      </c>
      <c r="E219" s="2" t="s">
        <v>2374</v>
      </c>
      <c r="F219" s="5" t="str">
        <f t="shared" si="10"/>
        <v>FC13273872 E.S. SALTOS DEL SIL</v>
      </c>
      <c r="G219" s="12">
        <f t="shared" si="15"/>
        <v>6.6033057851239674</v>
      </c>
      <c r="H219">
        <v>21</v>
      </c>
      <c r="I219" s="5">
        <f t="shared" si="16"/>
        <v>1.3866942148760331</v>
      </c>
      <c r="J219" s="5">
        <f t="shared" si="17"/>
        <v>6.6033057851239674</v>
      </c>
      <c r="L219" s="5">
        <f t="shared" si="18"/>
        <v>0</v>
      </c>
      <c r="M219" s="8">
        <v>7.99</v>
      </c>
      <c r="N219" s="2" t="s">
        <v>22</v>
      </c>
      <c r="O219" s="3" t="s">
        <v>64</v>
      </c>
    </row>
    <row r="220" spans="1:15" x14ac:dyDescent="0.35">
      <c r="A220" s="4">
        <v>45514</v>
      </c>
      <c r="B220" s="2" t="s">
        <v>2375</v>
      </c>
      <c r="D220" s="2" t="s">
        <v>2376</v>
      </c>
      <c r="E220" s="2" t="s">
        <v>2377</v>
      </c>
      <c r="F220" s="5" t="str">
        <f t="shared" si="10"/>
        <v>321649 CAFÉ DE LA IBERIA</v>
      </c>
      <c r="G220" s="12">
        <f t="shared" si="15"/>
        <v>12.545454545454545</v>
      </c>
      <c r="H220">
        <v>10</v>
      </c>
      <c r="I220" s="5">
        <f t="shared" si="16"/>
        <v>1.2545454545454546</v>
      </c>
      <c r="J220" s="5">
        <f t="shared" si="17"/>
        <v>12.545454545454545</v>
      </c>
      <c r="L220" s="5">
        <f t="shared" si="18"/>
        <v>0</v>
      </c>
      <c r="M220" s="8">
        <v>13.8</v>
      </c>
      <c r="N220" s="2" t="s">
        <v>28</v>
      </c>
      <c r="O220" s="3" t="s">
        <v>63</v>
      </c>
    </row>
    <row r="221" spans="1:15" x14ac:dyDescent="0.35">
      <c r="A221" s="4">
        <v>45492</v>
      </c>
      <c r="B221" s="2" t="s">
        <v>2382</v>
      </c>
      <c r="D221" s="2" t="s">
        <v>2383</v>
      </c>
      <c r="E221" s="2" t="s">
        <v>2384</v>
      </c>
      <c r="F221" s="5" t="str">
        <f t="shared" si="10"/>
        <v>FV241973 LUDERNA RENTALS SLU</v>
      </c>
      <c r="G221" s="12">
        <f t="shared" si="15"/>
        <v>1083.6363636363635</v>
      </c>
      <c r="H221">
        <v>10</v>
      </c>
      <c r="I221" s="5">
        <f t="shared" si="16"/>
        <v>108.36363636363636</v>
      </c>
      <c r="J221" s="5">
        <f t="shared" si="17"/>
        <v>1083.6363636363635</v>
      </c>
      <c r="L221" s="5">
        <f t="shared" si="18"/>
        <v>0</v>
      </c>
      <c r="M221" s="8">
        <v>1192</v>
      </c>
      <c r="N221" s="2" t="s">
        <v>21</v>
      </c>
      <c r="O221" s="3" t="s">
        <v>63</v>
      </c>
    </row>
    <row r="222" spans="1:15" x14ac:dyDescent="0.35">
      <c r="A222" s="4">
        <v>45541</v>
      </c>
      <c r="B222" s="2" t="s">
        <v>360</v>
      </c>
      <c r="D222" s="2" t="s">
        <v>1153</v>
      </c>
      <c r="E222" s="2" t="s">
        <v>1154</v>
      </c>
      <c r="F222" s="5" t="str">
        <f t="shared" si="10"/>
        <v>18 AURA MITOSERIU</v>
      </c>
      <c r="G222" s="12">
        <f t="shared" si="15"/>
        <v>450</v>
      </c>
      <c r="H222">
        <v>21</v>
      </c>
      <c r="I222" s="5">
        <f t="shared" si="16"/>
        <v>94.5</v>
      </c>
      <c r="J222" s="5">
        <f t="shared" si="17"/>
        <v>450</v>
      </c>
      <c r="L222" s="5">
        <f t="shared" si="18"/>
        <v>0</v>
      </c>
      <c r="M222" s="8">
        <v>544.5</v>
      </c>
      <c r="N222" s="2" t="s">
        <v>37</v>
      </c>
      <c r="O222" s="3" t="s">
        <v>68</v>
      </c>
    </row>
    <row r="223" spans="1:15" x14ac:dyDescent="0.35">
      <c r="A223" s="4">
        <v>45546</v>
      </c>
      <c r="B223" s="2" t="s">
        <v>2385</v>
      </c>
      <c r="D223" s="2" t="s">
        <v>107</v>
      </c>
      <c r="E223" s="2" t="s">
        <v>2021</v>
      </c>
      <c r="F223" s="5" t="str">
        <f t="shared" si="10"/>
        <v>24/152 AIRCLIMA2000 S.L.</v>
      </c>
      <c r="G223" s="12">
        <f t="shared" si="15"/>
        <v>2615</v>
      </c>
      <c r="H223">
        <v>21</v>
      </c>
      <c r="I223" s="5">
        <f t="shared" si="16"/>
        <v>549.15</v>
      </c>
      <c r="J223" s="5">
        <f t="shared" si="17"/>
        <v>2615</v>
      </c>
      <c r="L223" s="5">
        <f t="shared" si="18"/>
        <v>0</v>
      </c>
      <c r="M223" s="8">
        <v>3164.15</v>
      </c>
      <c r="N223" s="2" t="s">
        <v>37</v>
      </c>
      <c r="O223" s="3" t="s">
        <v>68</v>
      </c>
    </row>
    <row r="224" spans="1:15" x14ac:dyDescent="0.35">
      <c r="A224" s="4">
        <v>45545</v>
      </c>
      <c r="B224" s="2" t="s">
        <v>2386</v>
      </c>
      <c r="D224" s="2" t="s">
        <v>94</v>
      </c>
      <c r="E224" s="2" t="s">
        <v>139</v>
      </c>
      <c r="F224" s="5" t="str">
        <f t="shared" si="10"/>
        <v>VEN/20283459 BIGMAT</v>
      </c>
      <c r="G224" s="12">
        <f t="shared" si="15"/>
        <v>221.85123966942149</v>
      </c>
      <c r="H224">
        <v>21</v>
      </c>
      <c r="I224" s="5">
        <f t="shared" si="16"/>
        <v>46.588760330578516</v>
      </c>
      <c r="J224" s="5">
        <f t="shared" si="17"/>
        <v>221.85123966942149</v>
      </c>
      <c r="L224" s="5">
        <f t="shared" si="18"/>
        <v>0</v>
      </c>
      <c r="M224" s="8">
        <v>268.44</v>
      </c>
      <c r="N224" s="2" t="s">
        <v>21</v>
      </c>
      <c r="O224" s="3" t="s">
        <v>67</v>
      </c>
    </row>
    <row r="225" spans="1:15" x14ac:dyDescent="0.35">
      <c r="A225" s="4">
        <v>45559</v>
      </c>
      <c r="B225" s="2" t="s">
        <v>308</v>
      </c>
      <c r="D225" s="2" t="s">
        <v>145</v>
      </c>
      <c r="E225" s="2" t="s">
        <v>146</v>
      </c>
      <c r="F225" s="5" t="str">
        <f t="shared" si="10"/>
        <v>11 DAVID MARGIN</v>
      </c>
      <c r="G225" s="12">
        <f t="shared" si="15"/>
        <v>1000</v>
      </c>
      <c r="H225">
        <v>21</v>
      </c>
      <c r="I225" s="5">
        <f t="shared" si="16"/>
        <v>210</v>
      </c>
      <c r="J225" s="5">
        <f t="shared" si="17"/>
        <v>1000</v>
      </c>
      <c r="L225" s="5">
        <f t="shared" si="18"/>
        <v>0</v>
      </c>
      <c r="M225" s="8">
        <v>1210</v>
      </c>
      <c r="N225" s="2" t="s">
        <v>37</v>
      </c>
      <c r="O225" s="3" t="s">
        <v>68</v>
      </c>
    </row>
    <row r="226" spans="1:15" x14ac:dyDescent="0.35">
      <c r="A226" s="4">
        <v>45547</v>
      </c>
      <c r="B226" s="2" t="s">
        <v>2394</v>
      </c>
      <c r="D226" s="2" t="s">
        <v>95</v>
      </c>
      <c r="E226" s="2" t="s">
        <v>96</v>
      </c>
      <c r="F226" s="5" t="str">
        <f t="shared" si="10"/>
        <v>14/24 MARCEL DUMITER BEGOFF</v>
      </c>
      <c r="G226" s="12">
        <f t="shared" si="15"/>
        <v>583.47107438016531</v>
      </c>
      <c r="H226">
        <v>21</v>
      </c>
      <c r="I226" s="5">
        <f t="shared" si="16"/>
        <v>122.52892561983472</v>
      </c>
      <c r="J226" s="5">
        <f t="shared" si="17"/>
        <v>583.47107438016531</v>
      </c>
      <c r="L226" s="5">
        <f t="shared" si="18"/>
        <v>0</v>
      </c>
      <c r="M226" s="8">
        <v>706</v>
      </c>
      <c r="N226" s="2" t="s">
        <v>37</v>
      </c>
      <c r="O226" s="3" t="s">
        <v>68</v>
      </c>
    </row>
    <row r="227" spans="1:15" x14ac:dyDescent="0.35">
      <c r="A227" s="4">
        <v>45547</v>
      </c>
      <c r="B227" s="2" t="s">
        <v>2395</v>
      </c>
      <c r="D227" s="2" t="s">
        <v>2396</v>
      </c>
      <c r="E227" s="2" t="s">
        <v>2397</v>
      </c>
      <c r="F227" s="5" t="str">
        <f t="shared" si="10"/>
        <v>2157.24 RENALTA GLOBAL COMPANY S.L.</v>
      </c>
      <c r="G227" s="12">
        <f t="shared" si="15"/>
        <v>3611.5702479338843</v>
      </c>
      <c r="H227">
        <v>21</v>
      </c>
      <c r="I227" s="5">
        <f t="shared" si="16"/>
        <v>758.42975206611573</v>
      </c>
      <c r="J227" s="5">
        <f t="shared" si="17"/>
        <v>3611.5702479338843</v>
      </c>
      <c r="L227" s="5">
        <f t="shared" si="18"/>
        <v>0</v>
      </c>
      <c r="M227" s="8">
        <v>4370</v>
      </c>
      <c r="N227" s="2" t="s">
        <v>21</v>
      </c>
      <c r="O227" s="3" t="s">
        <v>68</v>
      </c>
    </row>
    <row r="228" spans="1:15" x14ac:dyDescent="0.35">
      <c r="A228" s="4">
        <v>45523</v>
      </c>
      <c r="B228" s="2" t="s">
        <v>2398</v>
      </c>
      <c r="D228" s="2" t="s">
        <v>2399</v>
      </c>
      <c r="E228" s="2" t="s">
        <v>2400</v>
      </c>
      <c r="F228" s="5" t="str">
        <f t="shared" si="10"/>
        <v>286720120180372 APPLUS ITEUVE TECHNOLOGY</v>
      </c>
      <c r="G228" s="12">
        <v>37</v>
      </c>
      <c r="H228">
        <v>21</v>
      </c>
      <c r="I228" s="5">
        <f t="shared" si="16"/>
        <v>7.77</v>
      </c>
      <c r="J228" s="5">
        <f t="shared" si="17"/>
        <v>37</v>
      </c>
      <c r="L228" s="5">
        <f t="shared" si="18"/>
        <v>0</v>
      </c>
      <c r="M228" s="8">
        <v>48.95</v>
      </c>
      <c r="N228" s="2" t="s">
        <v>2217</v>
      </c>
      <c r="O228" s="3" t="s">
        <v>64</v>
      </c>
    </row>
    <row r="229" spans="1:15" x14ac:dyDescent="0.35">
      <c r="A229" s="4">
        <v>45544</v>
      </c>
      <c r="B229" s="2" t="s">
        <v>2401</v>
      </c>
      <c r="D229" s="2" t="s">
        <v>1867</v>
      </c>
      <c r="E229" s="2" t="s">
        <v>1868</v>
      </c>
      <c r="F229" s="5" t="str">
        <f t="shared" si="10"/>
        <v>I-2067 IBERVILNA</v>
      </c>
      <c r="G229" s="12">
        <f t="shared" si="15"/>
        <v>23.347107438016529</v>
      </c>
      <c r="H229">
        <v>21</v>
      </c>
      <c r="I229" s="5">
        <f t="shared" si="16"/>
        <v>4.9028925619834709</v>
      </c>
      <c r="J229" s="5">
        <f t="shared" si="17"/>
        <v>23.347107438016529</v>
      </c>
      <c r="L229" s="5">
        <f t="shared" si="18"/>
        <v>0</v>
      </c>
      <c r="M229" s="8">
        <v>28.25</v>
      </c>
      <c r="N229" s="2" t="s">
        <v>22</v>
      </c>
      <c r="O229" s="3" t="s">
        <v>63</v>
      </c>
    </row>
    <row r="230" spans="1:15" x14ac:dyDescent="0.35">
      <c r="A230" s="4">
        <v>45547</v>
      </c>
      <c r="B230" s="2" t="s">
        <v>2402</v>
      </c>
      <c r="D230" s="2" t="s">
        <v>255</v>
      </c>
      <c r="E230" s="2" t="s">
        <v>2403</v>
      </c>
      <c r="F230" s="5" t="str">
        <f t="shared" si="10"/>
        <v>ES0022S2417626 HOME &amp; COOK</v>
      </c>
      <c r="G230" s="12">
        <v>201.65</v>
      </c>
      <c r="H230">
        <v>21</v>
      </c>
      <c r="I230" s="5">
        <f t="shared" si="16"/>
        <v>42.346500000000006</v>
      </c>
      <c r="J230" s="5">
        <f t="shared" si="17"/>
        <v>201.65</v>
      </c>
      <c r="L230" s="5">
        <f t="shared" si="18"/>
        <v>0</v>
      </c>
      <c r="M230" s="8">
        <v>224</v>
      </c>
      <c r="N230" s="2" t="s">
        <v>21</v>
      </c>
      <c r="O230" s="3" t="s">
        <v>63</v>
      </c>
    </row>
    <row r="231" spans="1:15" x14ac:dyDescent="0.35">
      <c r="A231" s="4">
        <v>45547</v>
      </c>
      <c r="B231" s="2" t="s">
        <v>2404</v>
      </c>
      <c r="D231" s="2" t="s">
        <v>255</v>
      </c>
      <c r="E231" s="2" t="s">
        <v>2403</v>
      </c>
      <c r="F231" s="5" t="str">
        <f t="shared" si="10"/>
        <v>ES0022S2417625 HOME &amp; COOK</v>
      </c>
      <c r="G231" s="12">
        <f t="shared" si="15"/>
        <v>33.057851239669425</v>
      </c>
      <c r="H231">
        <v>21</v>
      </c>
      <c r="I231" s="5">
        <f t="shared" si="16"/>
        <v>6.9421487603305794</v>
      </c>
      <c r="J231" s="5">
        <f t="shared" si="17"/>
        <v>33.057851239669425</v>
      </c>
      <c r="L231" s="5">
        <f t="shared" si="18"/>
        <v>0</v>
      </c>
      <c r="M231" s="8">
        <v>40</v>
      </c>
      <c r="N231" s="2" t="s">
        <v>21</v>
      </c>
      <c r="O231" s="3" t="s">
        <v>63</v>
      </c>
    </row>
    <row r="232" spans="1:15" x14ac:dyDescent="0.35">
      <c r="A232" s="4">
        <v>45510</v>
      </c>
      <c r="B232" s="2" t="s">
        <v>2405</v>
      </c>
      <c r="D232" s="2" t="s">
        <v>29</v>
      </c>
      <c r="E232" s="2" t="s">
        <v>76</v>
      </c>
      <c r="F232" s="5" t="str">
        <f t="shared" si="10"/>
        <v>5477-2024-00710621 COSTCO</v>
      </c>
      <c r="G232" s="12">
        <f t="shared" si="15"/>
        <v>64.082644628099175</v>
      </c>
      <c r="H232">
        <v>21</v>
      </c>
      <c r="I232" s="5">
        <f t="shared" si="16"/>
        <v>13.457355371900826</v>
      </c>
      <c r="J232" s="5">
        <f t="shared" si="17"/>
        <v>64.082644628099175</v>
      </c>
      <c r="L232" s="5">
        <f t="shared" si="18"/>
        <v>0</v>
      </c>
      <c r="M232" s="8">
        <v>77.540000000000006</v>
      </c>
      <c r="N232" s="2" t="s">
        <v>22</v>
      </c>
      <c r="O232" s="3" t="s">
        <v>63</v>
      </c>
    </row>
    <row r="233" spans="1:15" x14ac:dyDescent="0.35">
      <c r="A233" s="4">
        <v>45547</v>
      </c>
      <c r="B233" s="2" t="s">
        <v>2406</v>
      </c>
      <c r="D233" s="2" t="s">
        <v>773</v>
      </c>
      <c r="E233" s="2" t="s">
        <v>774</v>
      </c>
      <c r="F233" s="5" t="str">
        <f t="shared" si="10"/>
        <v>249001235435 PETROPRIX</v>
      </c>
      <c r="G233" s="12">
        <f t="shared" si="15"/>
        <v>24.793388429752067</v>
      </c>
      <c r="H233">
        <v>21</v>
      </c>
      <c r="I233" s="5">
        <f t="shared" si="16"/>
        <v>5.2066115702479339</v>
      </c>
      <c r="J233" s="5">
        <f t="shared" si="17"/>
        <v>24.793388429752067</v>
      </c>
      <c r="L233" s="5">
        <f t="shared" si="18"/>
        <v>0</v>
      </c>
      <c r="M233" s="8">
        <v>30</v>
      </c>
      <c r="N233" s="2" t="s">
        <v>22</v>
      </c>
      <c r="O233" s="3" t="s">
        <v>63</v>
      </c>
    </row>
    <row r="234" spans="1:15" x14ac:dyDescent="0.35">
      <c r="A234" s="4">
        <v>45469</v>
      </c>
      <c r="B234" s="2" t="s">
        <v>2407</v>
      </c>
      <c r="D234" s="2" t="s">
        <v>30</v>
      </c>
      <c r="E234" s="2" t="s">
        <v>172</v>
      </c>
      <c r="F234" s="5" t="str">
        <f t="shared" si="10"/>
        <v>24FP001249 OLIVAR ALTO</v>
      </c>
      <c r="G234" s="12">
        <f t="shared" si="15"/>
        <v>65.504132231404967</v>
      </c>
      <c r="H234">
        <v>21</v>
      </c>
      <c r="I234" s="5">
        <f t="shared" si="16"/>
        <v>13.755867768595042</v>
      </c>
      <c r="J234" s="5">
        <f t="shared" si="17"/>
        <v>65.504132231404967</v>
      </c>
      <c r="L234" s="5">
        <f t="shared" si="18"/>
        <v>0</v>
      </c>
      <c r="M234" s="8">
        <v>79.260000000000005</v>
      </c>
      <c r="N234" s="2" t="s">
        <v>22</v>
      </c>
      <c r="O234" s="3" t="s">
        <v>64</v>
      </c>
    </row>
    <row r="235" spans="1:15" x14ac:dyDescent="0.35">
      <c r="A235" s="4">
        <v>45548</v>
      </c>
      <c r="B235" s="2" t="s">
        <v>2408</v>
      </c>
      <c r="D235" s="2" t="s">
        <v>200</v>
      </c>
      <c r="E235" s="2" t="s">
        <v>186</v>
      </c>
      <c r="F235" s="5" t="str">
        <f t="shared" si="10"/>
        <v>2129683 I.D.F. SUMINISTROS INDUSTRIALES</v>
      </c>
      <c r="G235" s="12">
        <f t="shared" ref="G235:G296" si="19">M235/(1-K235/100+H235/100)</f>
        <v>7.2314049586776861</v>
      </c>
      <c r="H235">
        <v>21</v>
      </c>
      <c r="I235" s="5">
        <f t="shared" ref="I235:I296" si="20">G235*H235/100</f>
        <v>1.5185950413223139</v>
      </c>
      <c r="J235" s="5">
        <f t="shared" ref="J235:J296" si="21">G235</f>
        <v>7.2314049586776861</v>
      </c>
      <c r="L235" s="5">
        <f t="shared" ref="L235:L296" si="22">J235*K235/100</f>
        <v>0</v>
      </c>
      <c r="M235" s="8">
        <v>8.75</v>
      </c>
      <c r="N235" s="2" t="s">
        <v>21</v>
      </c>
      <c r="O235" s="3" t="s">
        <v>64</v>
      </c>
    </row>
    <row r="236" spans="1:15" x14ac:dyDescent="0.35">
      <c r="A236" s="4">
        <v>45550</v>
      </c>
      <c r="B236" s="2" t="s">
        <v>2411</v>
      </c>
      <c r="D236" s="2" t="s">
        <v>109</v>
      </c>
      <c r="E236" s="2" t="s">
        <v>42</v>
      </c>
      <c r="F236" s="5" t="str">
        <f t="shared" si="10"/>
        <v>24115277 DISCESUR</v>
      </c>
      <c r="G236" s="12">
        <f t="shared" si="19"/>
        <v>29.008264462809919</v>
      </c>
      <c r="H236">
        <v>21</v>
      </c>
      <c r="I236" s="5">
        <f t="shared" si="20"/>
        <v>6.0917355371900825</v>
      </c>
      <c r="J236" s="5">
        <f t="shared" si="21"/>
        <v>29.008264462809919</v>
      </c>
      <c r="L236" s="5">
        <f t="shared" si="22"/>
        <v>0</v>
      </c>
      <c r="M236" s="8">
        <v>35.1</v>
      </c>
      <c r="N236" s="2" t="s">
        <v>21</v>
      </c>
      <c r="O236" s="3" t="s">
        <v>67</v>
      </c>
    </row>
    <row r="237" spans="1:15" x14ac:dyDescent="0.35">
      <c r="A237" s="4">
        <v>45550</v>
      </c>
      <c r="B237" s="2" t="s">
        <v>2412</v>
      </c>
      <c r="D237" s="2" t="s">
        <v>109</v>
      </c>
      <c r="E237" s="2" t="s">
        <v>42</v>
      </c>
      <c r="F237" s="5" t="str">
        <f t="shared" si="10"/>
        <v>24115278 DISCESUR</v>
      </c>
      <c r="G237" s="12">
        <f t="shared" si="19"/>
        <v>1104.7520661157025</v>
      </c>
      <c r="H237">
        <v>21</v>
      </c>
      <c r="I237" s="5">
        <f t="shared" si="20"/>
        <v>231.99793388429754</v>
      </c>
      <c r="J237" s="5">
        <f t="shared" si="21"/>
        <v>1104.7520661157025</v>
      </c>
      <c r="L237" s="5">
        <f t="shared" si="22"/>
        <v>0</v>
      </c>
      <c r="M237" s="8">
        <v>1336.75</v>
      </c>
      <c r="N237" s="2" t="s">
        <v>21</v>
      </c>
      <c r="O237" s="3" t="s">
        <v>67</v>
      </c>
    </row>
    <row r="238" spans="1:15" x14ac:dyDescent="0.35">
      <c r="A238" s="4">
        <v>45546</v>
      </c>
      <c r="B238" s="2" t="s">
        <v>2419</v>
      </c>
      <c r="D238" s="2" t="s">
        <v>2420</v>
      </c>
      <c r="E238" s="2" t="s">
        <v>2421</v>
      </c>
      <c r="F238" s="5" t="str">
        <f t="shared" si="10"/>
        <v>717/24 DASHER GAS</v>
      </c>
      <c r="G238" s="12">
        <f t="shared" si="19"/>
        <v>3050</v>
      </c>
      <c r="H238">
        <v>21</v>
      </c>
      <c r="I238" s="5">
        <f t="shared" si="20"/>
        <v>640.5</v>
      </c>
      <c r="J238" s="5">
        <f t="shared" si="21"/>
        <v>3050</v>
      </c>
      <c r="L238" s="5">
        <f t="shared" si="22"/>
        <v>0</v>
      </c>
      <c r="M238" s="8">
        <v>3690.5</v>
      </c>
      <c r="N238" s="2" t="s">
        <v>37</v>
      </c>
      <c r="O238" s="3" t="s">
        <v>68</v>
      </c>
    </row>
    <row r="239" spans="1:15" x14ac:dyDescent="0.35">
      <c r="A239" s="4">
        <v>45553</v>
      </c>
      <c r="B239" s="2" t="s">
        <v>2422</v>
      </c>
      <c r="D239" s="2" t="s">
        <v>2423</v>
      </c>
      <c r="E239" s="2" t="s">
        <v>2424</v>
      </c>
      <c r="F239" s="5" t="str">
        <f t="shared" si="10"/>
        <v>1706559082 HILTI</v>
      </c>
      <c r="G239" s="12">
        <f t="shared" si="19"/>
        <v>263.9917355371901</v>
      </c>
      <c r="H239">
        <v>21</v>
      </c>
      <c r="I239" s="5">
        <f t="shared" si="20"/>
        <v>55.438264462809919</v>
      </c>
      <c r="J239" s="5">
        <f t="shared" si="21"/>
        <v>263.9917355371901</v>
      </c>
      <c r="L239" s="5">
        <f t="shared" si="22"/>
        <v>0</v>
      </c>
      <c r="M239" s="8">
        <v>319.43</v>
      </c>
      <c r="N239" s="2" t="s">
        <v>21</v>
      </c>
      <c r="O239" s="3" t="s">
        <v>63</v>
      </c>
    </row>
    <row r="240" spans="1:15" x14ac:dyDescent="0.35">
      <c r="A240" s="4">
        <v>45511</v>
      </c>
      <c r="B240" s="2" t="s">
        <v>2425</v>
      </c>
      <c r="D240" s="2" t="s">
        <v>2425</v>
      </c>
      <c r="E240" s="2" t="s">
        <v>2426</v>
      </c>
      <c r="F240" s="5" t="str">
        <f t="shared" si="10"/>
        <v>A29568177 DATA CONTROL</v>
      </c>
      <c r="G240" s="12">
        <f t="shared" si="19"/>
        <v>2000</v>
      </c>
      <c r="H240">
        <v>21</v>
      </c>
      <c r="I240" s="5">
        <f t="shared" si="20"/>
        <v>420</v>
      </c>
      <c r="J240" s="5">
        <f t="shared" si="21"/>
        <v>2000</v>
      </c>
      <c r="L240" s="5">
        <f t="shared" si="22"/>
        <v>0</v>
      </c>
      <c r="M240" s="8">
        <v>2420</v>
      </c>
      <c r="N240" s="2" t="s">
        <v>2427</v>
      </c>
      <c r="O240" s="3" t="s">
        <v>68</v>
      </c>
    </row>
    <row r="241" spans="1:15" x14ac:dyDescent="0.35">
      <c r="A241" s="4">
        <v>45550</v>
      </c>
      <c r="B241" s="2" t="s">
        <v>2428</v>
      </c>
      <c r="D241" s="2" t="s">
        <v>200</v>
      </c>
      <c r="E241" s="2" t="s">
        <v>186</v>
      </c>
      <c r="F241" s="5" t="str">
        <f t="shared" si="10"/>
        <v>0124757 I.D.F. SUMINISTROS INDUSTRIALES</v>
      </c>
      <c r="G241" s="12">
        <f t="shared" si="19"/>
        <v>21.438016528925623</v>
      </c>
      <c r="H241">
        <v>21</v>
      </c>
      <c r="I241" s="5">
        <f t="shared" si="20"/>
        <v>4.5019834710743805</v>
      </c>
      <c r="J241" s="5">
        <f t="shared" si="21"/>
        <v>21.438016528925623</v>
      </c>
      <c r="L241" s="5">
        <f t="shared" si="22"/>
        <v>0</v>
      </c>
      <c r="M241" s="8">
        <v>25.94</v>
      </c>
      <c r="N241" s="2" t="s">
        <v>21</v>
      </c>
      <c r="O241" s="3" t="s">
        <v>67</v>
      </c>
    </row>
    <row r="242" spans="1:15" x14ac:dyDescent="0.35">
      <c r="A242" s="4">
        <v>45555</v>
      </c>
      <c r="B242" s="2" t="s">
        <v>2430</v>
      </c>
      <c r="D242" s="2" t="s">
        <v>94</v>
      </c>
      <c r="E242" s="2" t="s">
        <v>139</v>
      </c>
      <c r="F242" s="5" t="str">
        <f t="shared" si="10"/>
        <v>VEN/20286099 BIGMAT</v>
      </c>
      <c r="G242" s="12">
        <f t="shared" si="19"/>
        <v>2261.4628099173556</v>
      </c>
      <c r="H242">
        <v>21</v>
      </c>
      <c r="I242" s="5">
        <f t="shared" si="20"/>
        <v>474.90719008264466</v>
      </c>
      <c r="J242" s="5">
        <f t="shared" si="21"/>
        <v>2261.4628099173556</v>
      </c>
      <c r="L242" s="5">
        <f t="shared" si="22"/>
        <v>0</v>
      </c>
      <c r="M242" s="8">
        <v>2736.37</v>
      </c>
      <c r="N242" s="2" t="s">
        <v>21</v>
      </c>
      <c r="O242" s="3" t="s">
        <v>67</v>
      </c>
    </row>
    <row r="243" spans="1:15" x14ac:dyDescent="0.35">
      <c r="A243" s="4">
        <v>45556</v>
      </c>
      <c r="B243" s="2" t="s">
        <v>2431</v>
      </c>
      <c r="D243" s="2" t="s">
        <v>25</v>
      </c>
      <c r="E243" s="2" t="s">
        <v>26</v>
      </c>
      <c r="F243" s="5" t="str">
        <f t="shared" si="10"/>
        <v>312350 SALTOKI</v>
      </c>
      <c r="G243" s="12">
        <f t="shared" si="19"/>
        <v>130.44628099173553</v>
      </c>
      <c r="H243">
        <v>21</v>
      </c>
      <c r="I243" s="5">
        <f t="shared" si="20"/>
        <v>27.393719008264462</v>
      </c>
      <c r="J243" s="5">
        <f t="shared" si="21"/>
        <v>130.44628099173553</v>
      </c>
      <c r="L243" s="5">
        <f t="shared" si="22"/>
        <v>0</v>
      </c>
      <c r="M243" s="8">
        <v>157.84</v>
      </c>
      <c r="N243" s="2" t="s">
        <v>21</v>
      </c>
      <c r="O243" s="3" t="s">
        <v>67</v>
      </c>
    </row>
    <row r="244" spans="1:15" x14ac:dyDescent="0.35">
      <c r="A244" s="4">
        <v>45555</v>
      </c>
      <c r="B244" s="2" t="s">
        <v>2432</v>
      </c>
      <c r="D244" s="2" t="s">
        <v>2433</v>
      </c>
      <c r="E244" s="2" t="s">
        <v>2434</v>
      </c>
      <c r="F244" s="5" t="str">
        <f t="shared" si="10"/>
        <v>RE-2024-21519 MBZ CLASISCPARTS</v>
      </c>
      <c r="G244" s="12">
        <f t="shared" si="19"/>
        <v>1988.9173553719011</v>
      </c>
      <c r="H244">
        <v>21</v>
      </c>
      <c r="I244" s="5">
        <f t="shared" si="20"/>
        <v>417.67264462809925</v>
      </c>
      <c r="J244" s="5">
        <f t="shared" si="21"/>
        <v>1988.9173553719011</v>
      </c>
      <c r="L244" s="5">
        <f t="shared" si="22"/>
        <v>0</v>
      </c>
      <c r="M244" s="8">
        <v>2406.59</v>
      </c>
      <c r="N244" s="2" t="s">
        <v>2435</v>
      </c>
      <c r="O244" s="3" t="s">
        <v>63</v>
      </c>
    </row>
    <row r="245" spans="1:15" x14ac:dyDescent="0.35">
      <c r="A245" s="4">
        <v>45558</v>
      </c>
      <c r="B245" s="2" t="s">
        <v>2436</v>
      </c>
      <c r="D245" s="2" t="s">
        <v>200</v>
      </c>
      <c r="E245" s="2" t="s">
        <v>186</v>
      </c>
      <c r="F245" s="5" t="str">
        <f t="shared" si="10"/>
        <v>2130023 I.D.F. SUMINISTROS INDUSTRIALES</v>
      </c>
      <c r="G245" s="12">
        <f t="shared" si="19"/>
        <v>32.256198347107443</v>
      </c>
      <c r="H245">
        <v>21</v>
      </c>
      <c r="I245" s="5">
        <f t="shared" si="20"/>
        <v>6.7738016528925629</v>
      </c>
      <c r="J245" s="5">
        <f t="shared" si="21"/>
        <v>32.256198347107443</v>
      </c>
      <c r="L245" s="5">
        <f t="shared" si="22"/>
        <v>0</v>
      </c>
      <c r="M245" s="8">
        <v>39.03</v>
      </c>
      <c r="N245" s="2" t="s">
        <v>21</v>
      </c>
    </row>
    <row r="246" spans="1:15" x14ac:dyDescent="0.35">
      <c r="A246" s="4">
        <v>45478</v>
      </c>
      <c r="B246" s="2" t="s">
        <v>2437</v>
      </c>
      <c r="D246" s="2" t="s">
        <v>71</v>
      </c>
      <c r="E246" s="2" t="s">
        <v>69</v>
      </c>
      <c r="F246" s="5" t="str">
        <f t="shared" si="10"/>
        <v>49/24 OLARIU ADRIAN RAZVAN</v>
      </c>
      <c r="G246" s="12">
        <f t="shared" si="19"/>
        <v>2200</v>
      </c>
      <c r="H246">
        <v>21</v>
      </c>
      <c r="I246" s="5">
        <f t="shared" si="20"/>
        <v>462</v>
      </c>
      <c r="J246" s="5">
        <f t="shared" si="21"/>
        <v>2200</v>
      </c>
      <c r="L246" s="5">
        <f t="shared" si="22"/>
        <v>0</v>
      </c>
      <c r="M246" s="8">
        <v>2662</v>
      </c>
      <c r="N246" s="2" t="s">
        <v>56</v>
      </c>
      <c r="O246" s="3" t="s">
        <v>68</v>
      </c>
    </row>
    <row r="247" spans="1:15" x14ac:dyDescent="0.35">
      <c r="A247" s="4">
        <v>45519</v>
      </c>
      <c r="B247" s="2" t="s">
        <v>2438</v>
      </c>
      <c r="D247" s="2" t="s">
        <v>71</v>
      </c>
      <c r="E247" s="2" t="s">
        <v>69</v>
      </c>
      <c r="F247" s="5" t="str">
        <f t="shared" si="10"/>
        <v>62/24 OLARIU ADRIAN RAZVAN</v>
      </c>
      <c r="G247" s="12">
        <f t="shared" si="19"/>
        <v>2150</v>
      </c>
      <c r="H247">
        <v>21</v>
      </c>
      <c r="I247" s="5">
        <f t="shared" si="20"/>
        <v>451.5</v>
      </c>
      <c r="J247" s="5">
        <f t="shared" si="21"/>
        <v>2150</v>
      </c>
      <c r="L247" s="5">
        <f t="shared" si="22"/>
        <v>0</v>
      </c>
      <c r="M247" s="8">
        <v>2601.5</v>
      </c>
      <c r="N247" s="2" t="s">
        <v>56</v>
      </c>
      <c r="O247" s="3" t="s">
        <v>68</v>
      </c>
    </row>
    <row r="248" spans="1:15" x14ac:dyDescent="0.35">
      <c r="A248" s="4">
        <v>45550</v>
      </c>
      <c r="B248" s="2" t="s">
        <v>2439</v>
      </c>
      <c r="D248" s="2" t="s">
        <v>71</v>
      </c>
      <c r="E248" s="2" t="s">
        <v>69</v>
      </c>
      <c r="F248" s="5" t="str">
        <f t="shared" si="10"/>
        <v>74/24 OLARIU ADRIAN RAZVAN</v>
      </c>
      <c r="G248" s="12">
        <f t="shared" si="19"/>
        <v>2450</v>
      </c>
      <c r="H248">
        <v>21</v>
      </c>
      <c r="I248" s="5">
        <f t="shared" si="20"/>
        <v>514.5</v>
      </c>
      <c r="J248" s="5">
        <f t="shared" si="21"/>
        <v>2450</v>
      </c>
      <c r="L248" s="5">
        <f t="shared" si="22"/>
        <v>0</v>
      </c>
      <c r="M248" s="8">
        <v>2964.5</v>
      </c>
      <c r="N248" s="2" t="s">
        <v>56</v>
      </c>
      <c r="O248" s="3" t="s">
        <v>68</v>
      </c>
    </row>
    <row r="249" spans="1:15" x14ac:dyDescent="0.35">
      <c r="A249" s="4">
        <v>45485</v>
      </c>
      <c r="B249" s="2" t="s">
        <v>2440</v>
      </c>
      <c r="D249" s="2" t="s">
        <v>2150</v>
      </c>
      <c r="E249" s="2" t="s">
        <v>2155</v>
      </c>
      <c r="F249" s="5" t="str">
        <f t="shared" si="10"/>
        <v>FH17208008290 DIGITAL AUDIMAGEN BQ SL</v>
      </c>
      <c r="G249" s="12">
        <f t="shared" si="19"/>
        <v>123.14049586776859</v>
      </c>
      <c r="H249">
        <v>21</v>
      </c>
      <c r="I249" s="5">
        <f t="shared" si="20"/>
        <v>25.859504132231404</v>
      </c>
      <c r="J249" s="5">
        <f t="shared" si="21"/>
        <v>123.14049586776859</v>
      </c>
      <c r="L249" s="5">
        <f t="shared" si="22"/>
        <v>0</v>
      </c>
      <c r="M249" s="8">
        <v>149</v>
      </c>
      <c r="N249" s="2" t="s">
        <v>61</v>
      </c>
      <c r="O249" s="3" t="s">
        <v>63</v>
      </c>
    </row>
    <row r="250" spans="1:15" x14ac:dyDescent="0.35">
      <c r="A250" s="4">
        <v>45553</v>
      </c>
      <c r="B250" s="2" t="s">
        <v>2109</v>
      </c>
      <c r="D250" s="2" t="s">
        <v>126</v>
      </c>
      <c r="E250" s="2" t="s">
        <v>127</v>
      </c>
      <c r="F250" s="5" t="str">
        <f t="shared" si="10"/>
        <v>151 MAZARRACIN POVEDA JESUS</v>
      </c>
      <c r="G250" s="12">
        <v>35.24</v>
      </c>
      <c r="H250">
        <v>21</v>
      </c>
      <c r="I250" s="5">
        <f t="shared" si="20"/>
        <v>7.4004000000000012</v>
      </c>
      <c r="J250" s="5">
        <f t="shared" si="21"/>
        <v>35.24</v>
      </c>
      <c r="L250" s="5">
        <f t="shared" si="22"/>
        <v>0</v>
      </c>
      <c r="M250" s="8">
        <v>106.21</v>
      </c>
      <c r="N250" s="2" t="s">
        <v>55</v>
      </c>
      <c r="O250" s="3" t="s">
        <v>68</v>
      </c>
    </row>
    <row r="251" spans="1:15" x14ac:dyDescent="0.35">
      <c r="A251" s="4">
        <v>45553</v>
      </c>
      <c r="B251" s="2" t="s">
        <v>2110</v>
      </c>
      <c r="D251" s="2" t="s">
        <v>126</v>
      </c>
      <c r="E251" s="2" t="s">
        <v>127</v>
      </c>
      <c r="F251" s="5" t="str">
        <f t="shared" si="10"/>
        <v>152 MAZARRACIN POVEDA JESUS</v>
      </c>
      <c r="G251" s="12">
        <v>35.24</v>
      </c>
      <c r="H251">
        <v>21</v>
      </c>
      <c r="I251" s="5">
        <f t="shared" si="20"/>
        <v>7.4004000000000012</v>
      </c>
      <c r="J251" s="5">
        <f t="shared" si="21"/>
        <v>35.24</v>
      </c>
      <c r="L251" s="5">
        <f t="shared" si="22"/>
        <v>0</v>
      </c>
      <c r="M251" s="8">
        <v>106.21</v>
      </c>
      <c r="N251" s="2" t="s">
        <v>55</v>
      </c>
      <c r="O251" s="3" t="s">
        <v>68</v>
      </c>
    </row>
    <row r="252" spans="1:15" x14ac:dyDescent="0.35">
      <c r="A252" s="4">
        <v>45400</v>
      </c>
      <c r="B252" s="2" t="s">
        <v>2441</v>
      </c>
      <c r="D252" s="2" t="s">
        <v>2442</v>
      </c>
      <c r="E252" s="2" t="s">
        <v>2443</v>
      </c>
      <c r="F252" s="5" t="str">
        <f t="shared" si="10"/>
        <v>4005407818 BERLIN BRANDS GROUP</v>
      </c>
      <c r="G252" s="12">
        <f t="shared" si="19"/>
        <v>436.51239669421483</v>
      </c>
      <c r="H252">
        <v>21</v>
      </c>
      <c r="I252" s="5">
        <f t="shared" si="20"/>
        <v>91.667603305785107</v>
      </c>
      <c r="J252" s="5">
        <f t="shared" si="21"/>
        <v>436.51239669421483</v>
      </c>
      <c r="L252" s="5">
        <f t="shared" si="22"/>
        <v>0</v>
      </c>
      <c r="M252" s="8">
        <v>528.17999999999995</v>
      </c>
      <c r="N252" s="2" t="s">
        <v>21</v>
      </c>
      <c r="O252" s="3" t="s">
        <v>63</v>
      </c>
    </row>
    <row r="253" spans="1:15" x14ac:dyDescent="0.35">
      <c r="A253" s="4">
        <v>45555</v>
      </c>
      <c r="B253" s="2" t="s">
        <v>2444</v>
      </c>
      <c r="D253" s="2" t="s">
        <v>1385</v>
      </c>
      <c r="E253" s="2" t="s">
        <v>2206</v>
      </c>
      <c r="F253" s="5" t="str">
        <f t="shared" si="10"/>
        <v>FV02403864 ECOMAMPARA S.A.</v>
      </c>
      <c r="G253" s="12">
        <f t="shared" si="19"/>
        <v>9.900826446280993</v>
      </c>
      <c r="H253">
        <v>21</v>
      </c>
      <c r="I253" s="5">
        <f t="shared" si="20"/>
        <v>2.0791735537190084</v>
      </c>
      <c r="J253" s="5">
        <f t="shared" si="21"/>
        <v>9.900826446280993</v>
      </c>
      <c r="L253" s="5">
        <f t="shared" si="22"/>
        <v>0</v>
      </c>
      <c r="M253" s="8">
        <v>11.98</v>
      </c>
      <c r="N253" s="2" t="s">
        <v>21</v>
      </c>
      <c r="O253" s="3" t="s">
        <v>67</v>
      </c>
    </row>
    <row r="254" spans="1:15" x14ac:dyDescent="0.35">
      <c r="A254" s="4">
        <v>45559</v>
      </c>
      <c r="B254" s="2" t="s">
        <v>2302</v>
      </c>
      <c r="D254" s="2" t="s">
        <v>234</v>
      </c>
      <c r="E254" s="2" t="s">
        <v>235</v>
      </c>
      <c r="F254" s="5" t="str">
        <f t="shared" si="10"/>
        <v>12/24 VIOREL ROBCIUC</v>
      </c>
      <c r="G254" s="12">
        <f t="shared" si="19"/>
        <v>619.83471074380168</v>
      </c>
      <c r="H254">
        <v>21</v>
      </c>
      <c r="I254" s="5">
        <f t="shared" si="20"/>
        <v>130.16528925619835</v>
      </c>
      <c r="J254" s="5">
        <f t="shared" si="21"/>
        <v>619.83471074380168</v>
      </c>
      <c r="L254" s="5">
        <f t="shared" si="22"/>
        <v>0</v>
      </c>
      <c r="M254" s="8">
        <v>750</v>
      </c>
      <c r="N254" s="2" t="s">
        <v>37</v>
      </c>
      <c r="O254" s="3" t="s">
        <v>68</v>
      </c>
    </row>
    <row r="255" spans="1:15" x14ac:dyDescent="0.35">
      <c r="A255" s="4">
        <v>45565</v>
      </c>
      <c r="B255" s="2" t="s">
        <v>2303</v>
      </c>
      <c r="D255" s="2" t="s">
        <v>234</v>
      </c>
      <c r="E255" s="2" t="s">
        <v>235</v>
      </c>
      <c r="F255" s="5" t="str">
        <f t="shared" si="10"/>
        <v>13/24 VIOREL ROBCIUC</v>
      </c>
      <c r="G255" s="12">
        <f t="shared" si="19"/>
        <v>619.83471074380168</v>
      </c>
      <c r="H255">
        <v>21</v>
      </c>
      <c r="I255" s="5">
        <f t="shared" si="20"/>
        <v>130.16528925619835</v>
      </c>
      <c r="J255" s="5">
        <f t="shared" si="21"/>
        <v>619.83471074380168</v>
      </c>
      <c r="L255" s="5">
        <f t="shared" si="22"/>
        <v>0</v>
      </c>
      <c r="M255" s="8">
        <v>750</v>
      </c>
      <c r="N255" s="2" t="s">
        <v>37</v>
      </c>
      <c r="O255" s="3" t="s">
        <v>68</v>
      </c>
    </row>
    <row r="256" spans="1:15" x14ac:dyDescent="0.35">
      <c r="A256" s="4">
        <v>45541</v>
      </c>
      <c r="B256" s="2" t="s">
        <v>2445</v>
      </c>
      <c r="D256" s="2" t="s">
        <v>1273</v>
      </c>
      <c r="E256" s="2" t="s">
        <v>1274</v>
      </c>
      <c r="F256" s="5" t="str">
        <f t="shared" si="10"/>
        <v>2024019 MARIUS MIHAI CIOCAN</v>
      </c>
      <c r="G256" s="12">
        <f t="shared" si="19"/>
        <v>1280</v>
      </c>
      <c r="H256">
        <v>21</v>
      </c>
      <c r="I256" s="5">
        <f t="shared" si="20"/>
        <v>268.8</v>
      </c>
      <c r="J256" s="5">
        <f t="shared" si="21"/>
        <v>1280</v>
      </c>
      <c r="L256" s="5">
        <f t="shared" si="22"/>
        <v>0</v>
      </c>
      <c r="M256" s="8">
        <v>1548.8</v>
      </c>
      <c r="N256" s="2" t="s">
        <v>37</v>
      </c>
      <c r="O256" s="3" t="s">
        <v>68</v>
      </c>
    </row>
    <row r="257" spans="1:15" x14ac:dyDescent="0.35">
      <c r="A257" s="4">
        <v>45560</v>
      </c>
      <c r="B257" s="2" t="s">
        <v>2446</v>
      </c>
      <c r="D257" s="2" t="s">
        <v>72</v>
      </c>
      <c r="E257" s="2" t="s">
        <v>73</v>
      </c>
      <c r="F257" s="5" t="str">
        <f t="shared" si="10"/>
        <v>42/2024 COSTEL DINCU</v>
      </c>
      <c r="G257" s="12">
        <f t="shared" si="19"/>
        <v>2860</v>
      </c>
      <c r="H257">
        <v>21</v>
      </c>
      <c r="I257" s="5">
        <f t="shared" si="20"/>
        <v>600.6</v>
      </c>
      <c r="J257" s="5">
        <f t="shared" si="21"/>
        <v>2860</v>
      </c>
      <c r="L257" s="5">
        <f t="shared" si="22"/>
        <v>0</v>
      </c>
      <c r="M257" s="8">
        <v>3460.6</v>
      </c>
      <c r="N257" s="2" t="s">
        <v>37</v>
      </c>
      <c r="O257" s="3" t="s">
        <v>68</v>
      </c>
    </row>
    <row r="258" spans="1:15" x14ac:dyDescent="0.35">
      <c r="A258" s="4">
        <v>45560</v>
      </c>
      <c r="B258" s="2" t="s">
        <v>2447</v>
      </c>
      <c r="D258" s="2" t="s">
        <v>137</v>
      </c>
      <c r="E258" s="2" t="s">
        <v>2448</v>
      </c>
      <c r="F258" s="5" t="str">
        <f t="shared" si="10"/>
        <v>2024-0188 PUERTAS AUTOMATICAS OSVAN</v>
      </c>
      <c r="G258" s="12">
        <f t="shared" si="19"/>
        <v>166.00000000000003</v>
      </c>
      <c r="H258">
        <v>21</v>
      </c>
      <c r="I258" s="5">
        <f t="shared" si="20"/>
        <v>34.860000000000007</v>
      </c>
      <c r="J258" s="5">
        <f t="shared" si="21"/>
        <v>166.00000000000003</v>
      </c>
      <c r="L258" s="5">
        <f t="shared" si="22"/>
        <v>0</v>
      </c>
      <c r="M258" s="8">
        <v>200.86</v>
      </c>
      <c r="N258" s="2" t="s">
        <v>37</v>
      </c>
      <c r="O258" s="3" t="s">
        <v>68</v>
      </c>
    </row>
    <row r="259" spans="1:15" x14ac:dyDescent="0.35">
      <c r="A259" s="4">
        <v>45560</v>
      </c>
      <c r="B259" s="2" t="s">
        <v>2449</v>
      </c>
      <c r="D259" s="2" t="s">
        <v>195</v>
      </c>
      <c r="E259" s="2" t="s">
        <v>2450</v>
      </c>
      <c r="F259" s="5" t="str">
        <f t="shared" si="10"/>
        <v>FRO20241623988 COOREOS</v>
      </c>
      <c r="G259" s="12">
        <f t="shared" si="19"/>
        <v>5.2066115702479339</v>
      </c>
      <c r="H259">
        <v>21</v>
      </c>
      <c r="I259" s="5">
        <f t="shared" si="20"/>
        <v>1.0933884297520662</v>
      </c>
      <c r="J259" s="5">
        <f t="shared" si="21"/>
        <v>5.2066115702479339</v>
      </c>
      <c r="L259" s="5">
        <f t="shared" si="22"/>
        <v>0</v>
      </c>
      <c r="M259" s="8">
        <v>6.3</v>
      </c>
      <c r="N259" s="2" t="s">
        <v>2451</v>
      </c>
      <c r="O259" s="3" t="s">
        <v>64</v>
      </c>
    </row>
    <row r="260" spans="1:15" x14ac:dyDescent="0.35">
      <c r="A260" s="4">
        <v>45560</v>
      </c>
      <c r="B260" s="2" t="s">
        <v>1189</v>
      </c>
      <c r="D260" s="2" t="s">
        <v>134</v>
      </c>
      <c r="E260" s="2" t="s">
        <v>143</v>
      </c>
      <c r="F260" s="5" t="str">
        <f t="shared" si="10"/>
        <v>68 IOAN NICULAI</v>
      </c>
      <c r="G260" s="12">
        <f t="shared" si="19"/>
        <v>16057.000000000002</v>
      </c>
      <c r="H260">
        <v>21</v>
      </c>
      <c r="I260" s="5">
        <f t="shared" si="20"/>
        <v>3371.9700000000007</v>
      </c>
      <c r="J260" s="5">
        <f t="shared" si="21"/>
        <v>16057.000000000002</v>
      </c>
      <c r="L260" s="5">
        <f t="shared" si="22"/>
        <v>0</v>
      </c>
      <c r="M260" s="8">
        <v>19428.97</v>
      </c>
      <c r="N260" s="2" t="s">
        <v>37</v>
      </c>
      <c r="O260" s="3" t="s">
        <v>68</v>
      </c>
    </row>
    <row r="261" spans="1:15" x14ac:dyDescent="0.35">
      <c r="A261" s="4">
        <v>45561</v>
      </c>
      <c r="B261" s="2" t="s">
        <v>1191</v>
      </c>
      <c r="D261" s="2" t="s">
        <v>134</v>
      </c>
      <c r="E261" s="2" t="s">
        <v>143</v>
      </c>
      <c r="F261" s="5" t="str">
        <f t="shared" si="10"/>
        <v>69 IOAN NICULAI</v>
      </c>
      <c r="G261" s="12">
        <f t="shared" si="19"/>
        <v>1500</v>
      </c>
      <c r="H261">
        <v>21</v>
      </c>
      <c r="I261" s="5">
        <f t="shared" si="20"/>
        <v>315</v>
      </c>
      <c r="J261" s="5">
        <f t="shared" si="21"/>
        <v>1500</v>
      </c>
      <c r="L261" s="5">
        <f t="shared" si="22"/>
        <v>0</v>
      </c>
      <c r="M261" s="8">
        <v>1815</v>
      </c>
      <c r="N261" s="2" t="s">
        <v>37</v>
      </c>
      <c r="O261" s="3" t="s">
        <v>68</v>
      </c>
    </row>
    <row r="262" spans="1:15" x14ac:dyDescent="0.35">
      <c r="A262" s="4">
        <v>45554</v>
      </c>
      <c r="B262" s="2" t="s">
        <v>228</v>
      </c>
      <c r="D262" s="2" t="s">
        <v>134</v>
      </c>
      <c r="E262" s="2" t="s">
        <v>143</v>
      </c>
      <c r="F262" s="5" t="str">
        <f t="shared" si="10"/>
        <v>65 IOAN NICULAI</v>
      </c>
      <c r="G262" s="12">
        <f t="shared" si="19"/>
        <v>620</v>
      </c>
      <c r="H262">
        <v>21</v>
      </c>
      <c r="I262" s="5">
        <f t="shared" si="20"/>
        <v>130.19999999999999</v>
      </c>
      <c r="J262" s="5">
        <f t="shared" si="21"/>
        <v>620</v>
      </c>
      <c r="L262" s="5">
        <f t="shared" si="22"/>
        <v>0</v>
      </c>
      <c r="M262" s="8">
        <v>750.2</v>
      </c>
      <c r="N262" s="2" t="s">
        <v>37</v>
      </c>
      <c r="O262" s="3" t="s">
        <v>68</v>
      </c>
    </row>
    <row r="263" spans="1:15" x14ac:dyDescent="0.35">
      <c r="A263" s="4">
        <v>45554</v>
      </c>
      <c r="B263" s="2" t="s">
        <v>230</v>
      </c>
      <c r="D263" s="2" t="s">
        <v>134</v>
      </c>
      <c r="E263" s="2" t="s">
        <v>143</v>
      </c>
      <c r="F263" s="5" t="str">
        <f t="shared" si="10"/>
        <v>66 IOAN NICULAI</v>
      </c>
      <c r="G263" s="12">
        <f t="shared" si="19"/>
        <v>3105.0000000000005</v>
      </c>
      <c r="H263">
        <v>21</v>
      </c>
      <c r="I263" s="5">
        <f t="shared" si="20"/>
        <v>652.05000000000007</v>
      </c>
      <c r="J263" s="5">
        <f t="shared" si="21"/>
        <v>3105.0000000000005</v>
      </c>
      <c r="L263" s="5">
        <f t="shared" si="22"/>
        <v>0</v>
      </c>
      <c r="M263" s="8">
        <v>3757.05</v>
      </c>
      <c r="N263" s="2" t="s">
        <v>37</v>
      </c>
      <c r="O263" s="3" t="s">
        <v>68</v>
      </c>
    </row>
    <row r="264" spans="1:15" x14ac:dyDescent="0.35">
      <c r="A264" s="4">
        <v>45562</v>
      </c>
      <c r="B264" s="2" t="s">
        <v>1827</v>
      </c>
      <c r="D264" s="2" t="s">
        <v>1747</v>
      </c>
      <c r="E264" s="2" t="s">
        <v>2064</v>
      </c>
      <c r="F264" s="5" t="str">
        <f t="shared" si="10"/>
        <v>28/24 VISARION</v>
      </c>
      <c r="G264" s="12">
        <f t="shared" si="19"/>
        <v>6322.3140495867774</v>
      </c>
      <c r="H264">
        <v>21</v>
      </c>
      <c r="I264" s="5">
        <f t="shared" si="20"/>
        <v>1327.6859504132233</v>
      </c>
      <c r="J264" s="5">
        <f t="shared" si="21"/>
        <v>6322.3140495867774</v>
      </c>
      <c r="L264" s="5">
        <f t="shared" si="22"/>
        <v>0</v>
      </c>
      <c r="M264" s="8">
        <v>7650</v>
      </c>
      <c r="N264" s="2" t="s">
        <v>37</v>
      </c>
      <c r="O264" s="3" t="s">
        <v>68</v>
      </c>
    </row>
    <row r="265" spans="1:15" x14ac:dyDescent="0.35">
      <c r="A265" s="4">
        <v>45563</v>
      </c>
      <c r="B265" s="2" t="s">
        <v>2459</v>
      </c>
      <c r="D265" s="2" t="s">
        <v>25</v>
      </c>
      <c r="E265" s="2" t="s">
        <v>26</v>
      </c>
      <c r="F265" s="5" t="str">
        <f t="shared" si="10"/>
        <v>320665 SALTOKI</v>
      </c>
      <c r="G265" s="12">
        <f t="shared" si="19"/>
        <v>1215.1239669421489</v>
      </c>
      <c r="H265">
        <v>21</v>
      </c>
      <c r="I265" s="5">
        <f t="shared" si="20"/>
        <v>255.17603305785127</v>
      </c>
      <c r="J265" s="5">
        <f t="shared" si="21"/>
        <v>1215.1239669421489</v>
      </c>
      <c r="L265" s="5">
        <f t="shared" si="22"/>
        <v>0</v>
      </c>
      <c r="M265" s="8">
        <v>1470.3</v>
      </c>
      <c r="N265" s="2" t="s">
        <v>21</v>
      </c>
      <c r="O265" s="3" t="s">
        <v>67</v>
      </c>
    </row>
    <row r="266" spans="1:15" x14ac:dyDescent="0.35">
      <c r="A266" s="4">
        <v>45563</v>
      </c>
      <c r="B266" s="2" t="s">
        <v>2460</v>
      </c>
      <c r="E266" s="2" t="s">
        <v>2461</v>
      </c>
      <c r="F266" s="5" t="str">
        <f t="shared" si="10"/>
        <v>132855684290 APPLE</v>
      </c>
      <c r="G266" s="12">
        <f t="shared" si="19"/>
        <v>74.371900826446279</v>
      </c>
      <c r="H266">
        <v>21</v>
      </c>
      <c r="I266" s="5">
        <f t="shared" si="20"/>
        <v>15.61809917355372</v>
      </c>
      <c r="J266" s="5">
        <f t="shared" si="21"/>
        <v>74.371900826446279</v>
      </c>
      <c r="L266" s="5">
        <f t="shared" si="22"/>
        <v>0</v>
      </c>
      <c r="M266" s="8">
        <v>89.99</v>
      </c>
      <c r="N266" s="2" t="s">
        <v>39</v>
      </c>
    </row>
    <row r="267" spans="1:15" x14ac:dyDescent="0.35">
      <c r="A267" s="4">
        <v>45565</v>
      </c>
      <c r="B267" s="2" t="s">
        <v>2462</v>
      </c>
      <c r="D267" s="2" t="s">
        <v>34</v>
      </c>
      <c r="E267" s="2" t="s">
        <v>1417</v>
      </c>
      <c r="F267" s="5" t="str">
        <f t="shared" si="10"/>
        <v>F243632 CONTAMAR</v>
      </c>
      <c r="G267" s="12">
        <f t="shared" si="19"/>
        <v>179.55371900826447</v>
      </c>
      <c r="H267">
        <v>21</v>
      </c>
      <c r="I267" s="5">
        <f t="shared" si="20"/>
        <v>37.706280991735539</v>
      </c>
      <c r="J267" s="5">
        <f t="shared" si="21"/>
        <v>179.55371900826447</v>
      </c>
      <c r="L267" s="5">
        <f t="shared" si="22"/>
        <v>0</v>
      </c>
      <c r="M267" s="8">
        <v>217.26</v>
      </c>
      <c r="N267" s="2" t="s">
        <v>55</v>
      </c>
      <c r="O267" s="3" t="s">
        <v>67</v>
      </c>
    </row>
    <row r="268" spans="1:15" x14ac:dyDescent="0.35">
      <c r="A268" s="4">
        <v>45565</v>
      </c>
      <c r="B268" s="2" t="s">
        <v>2463</v>
      </c>
      <c r="D268" s="2" t="s">
        <v>2464</v>
      </c>
      <c r="E268" s="2" t="s">
        <v>2465</v>
      </c>
      <c r="F268" s="5" t="str">
        <f t="shared" si="10"/>
        <v>288/24 GRAMAR AUTOMOCION</v>
      </c>
      <c r="G268" s="12">
        <f t="shared" si="19"/>
        <v>719</v>
      </c>
      <c r="H268">
        <v>21</v>
      </c>
      <c r="I268" s="5">
        <f t="shared" si="20"/>
        <v>150.99</v>
      </c>
      <c r="J268" s="5">
        <f t="shared" si="21"/>
        <v>719</v>
      </c>
      <c r="L268" s="5">
        <f t="shared" si="22"/>
        <v>0</v>
      </c>
      <c r="M268" s="8">
        <v>869.99</v>
      </c>
      <c r="N268" s="2" t="s">
        <v>53</v>
      </c>
      <c r="O268" s="3" t="s">
        <v>68</v>
      </c>
    </row>
    <row r="269" spans="1:15" x14ac:dyDescent="0.35">
      <c r="A269" s="4">
        <v>45562</v>
      </c>
      <c r="B269" s="2" t="s">
        <v>2466</v>
      </c>
      <c r="D269" s="2" t="s">
        <v>95</v>
      </c>
      <c r="E269" s="2" t="s">
        <v>96</v>
      </c>
      <c r="F269" s="5" t="str">
        <f t="shared" si="10"/>
        <v>15/24 MARCEL DUMITER BEGOFF</v>
      </c>
      <c r="G269" s="12">
        <f t="shared" si="19"/>
        <v>1487.6033057851241</v>
      </c>
      <c r="H269">
        <v>21</v>
      </c>
      <c r="I269" s="5">
        <f t="shared" si="20"/>
        <v>312.39669421487611</v>
      </c>
      <c r="J269" s="5">
        <f t="shared" si="21"/>
        <v>1487.6033057851241</v>
      </c>
      <c r="L269" s="5">
        <f t="shared" si="22"/>
        <v>0</v>
      </c>
      <c r="M269" s="8">
        <v>1800</v>
      </c>
      <c r="N269" s="2" t="s">
        <v>37</v>
      </c>
      <c r="O269" s="3" t="s">
        <v>68</v>
      </c>
    </row>
    <row r="270" spans="1:15" x14ac:dyDescent="0.35">
      <c r="A270" s="4">
        <v>45541</v>
      </c>
      <c r="B270" s="2" t="s">
        <v>2467</v>
      </c>
      <c r="D270" s="2" t="s">
        <v>2468</v>
      </c>
      <c r="E270" s="2" t="s">
        <v>2469</v>
      </c>
      <c r="F270" s="5" t="str">
        <f t="shared" si="10"/>
        <v>C424110924 CRISTAL BOX</v>
      </c>
      <c r="G270" s="12">
        <f t="shared" si="19"/>
        <v>333.75206611570246</v>
      </c>
      <c r="H270">
        <v>21</v>
      </c>
      <c r="I270" s="5">
        <f t="shared" si="20"/>
        <v>70.087933884297513</v>
      </c>
      <c r="J270" s="5">
        <f t="shared" si="21"/>
        <v>333.75206611570246</v>
      </c>
      <c r="L270" s="5">
        <f t="shared" si="22"/>
        <v>0</v>
      </c>
      <c r="M270" s="8">
        <v>403.84</v>
      </c>
      <c r="N270" s="2" t="s">
        <v>53</v>
      </c>
    </row>
    <row r="271" spans="1:15" x14ac:dyDescent="0.35">
      <c r="A271" s="4">
        <v>45545</v>
      </c>
      <c r="B271" s="2" t="s">
        <v>2470</v>
      </c>
      <c r="D271" s="2" t="s">
        <v>1497</v>
      </c>
      <c r="E271" s="2" t="s">
        <v>2216</v>
      </c>
      <c r="F271" s="5" t="str">
        <f t="shared" si="10"/>
        <v>29473 ITV SESEÑA</v>
      </c>
      <c r="G271" s="12">
        <v>103.11</v>
      </c>
      <c r="H271">
        <v>21</v>
      </c>
      <c r="I271" s="5">
        <f t="shared" si="20"/>
        <v>21.653099999999998</v>
      </c>
      <c r="J271" s="5">
        <f t="shared" si="21"/>
        <v>103.11</v>
      </c>
      <c r="L271" s="5">
        <f t="shared" si="22"/>
        <v>0</v>
      </c>
      <c r="M271" s="8">
        <v>125.8</v>
      </c>
      <c r="N271" s="2" t="s">
        <v>2217</v>
      </c>
      <c r="O271" s="3" t="s">
        <v>64</v>
      </c>
    </row>
    <row r="272" spans="1:15" x14ac:dyDescent="0.35">
      <c r="A272" s="4">
        <v>45521</v>
      </c>
      <c r="B272" s="2" t="s">
        <v>2471</v>
      </c>
      <c r="D272" s="2" t="s">
        <v>87</v>
      </c>
      <c r="E272" s="2" t="s">
        <v>88</v>
      </c>
      <c r="F272" s="5" t="str">
        <f t="shared" si="10"/>
        <v>P24CON032696199 ENDESA</v>
      </c>
      <c r="G272" s="12">
        <v>184.61</v>
      </c>
      <c r="H272">
        <v>10</v>
      </c>
      <c r="I272" s="5">
        <f t="shared" si="20"/>
        <v>18.461000000000002</v>
      </c>
      <c r="J272" s="5">
        <f t="shared" si="21"/>
        <v>184.61</v>
      </c>
      <c r="L272" s="5">
        <f t="shared" si="22"/>
        <v>0</v>
      </c>
      <c r="M272" s="8">
        <v>203.07</v>
      </c>
      <c r="N272" s="2" t="s">
        <v>22</v>
      </c>
    </row>
    <row r="273" spans="1:15" x14ac:dyDescent="0.35">
      <c r="A273" s="4">
        <v>45537</v>
      </c>
      <c r="B273" s="2" t="s">
        <v>2472</v>
      </c>
      <c r="D273" s="2" t="s">
        <v>1867</v>
      </c>
      <c r="E273" s="2" t="s">
        <v>1868</v>
      </c>
      <c r="F273" s="5" t="str">
        <f t="shared" si="10"/>
        <v>I-2017 IBERVILNA</v>
      </c>
      <c r="G273" s="12">
        <f t="shared" si="19"/>
        <v>13.380165289256199</v>
      </c>
      <c r="H273">
        <v>21</v>
      </c>
      <c r="I273" s="5">
        <f t="shared" si="20"/>
        <v>2.809834710743802</v>
      </c>
      <c r="J273" s="5">
        <f t="shared" si="21"/>
        <v>13.380165289256199</v>
      </c>
      <c r="L273" s="5">
        <f t="shared" si="22"/>
        <v>0</v>
      </c>
      <c r="M273" s="8">
        <v>16.190000000000001</v>
      </c>
      <c r="N273" s="2" t="s">
        <v>22</v>
      </c>
      <c r="O273" s="3" t="s">
        <v>64</v>
      </c>
    </row>
    <row r="274" spans="1:15" x14ac:dyDescent="0.35">
      <c r="A274" s="4">
        <v>45506</v>
      </c>
      <c r="B274" s="2" t="s">
        <v>2473</v>
      </c>
      <c r="D274" s="2" t="s">
        <v>149</v>
      </c>
      <c r="E274" s="2" t="s">
        <v>150</v>
      </c>
      <c r="F274" s="5" t="str">
        <f t="shared" si="10"/>
        <v>A/9928 TUBOS PARIS</v>
      </c>
      <c r="G274" s="12">
        <f t="shared" si="19"/>
        <v>100.85123966942149</v>
      </c>
      <c r="H274">
        <v>21</v>
      </c>
      <c r="I274" s="5">
        <f t="shared" si="20"/>
        <v>21.178760330578513</v>
      </c>
      <c r="J274" s="5">
        <f t="shared" si="21"/>
        <v>100.85123966942149</v>
      </c>
      <c r="L274" s="5">
        <f t="shared" si="22"/>
        <v>0</v>
      </c>
      <c r="M274" s="8">
        <v>122.03</v>
      </c>
      <c r="N274" s="2" t="s">
        <v>21</v>
      </c>
      <c r="O274" s="3" t="s">
        <v>63</v>
      </c>
    </row>
    <row r="275" spans="1:15" x14ac:dyDescent="0.35">
      <c r="A275" s="4">
        <v>45525</v>
      </c>
      <c r="B275" s="2" t="s">
        <v>2474</v>
      </c>
      <c r="D275" s="2" t="s">
        <v>82</v>
      </c>
      <c r="E275" s="2" t="s">
        <v>150</v>
      </c>
      <c r="F275" s="5" t="str">
        <f t="shared" si="10"/>
        <v>CO F24 0100002358 TUBOS PARIS</v>
      </c>
      <c r="G275" s="12">
        <f t="shared" si="19"/>
        <v>2</v>
      </c>
      <c r="H275">
        <v>21</v>
      </c>
      <c r="I275" s="5">
        <f t="shared" si="20"/>
        <v>0.42</v>
      </c>
      <c r="J275" s="5">
        <f t="shared" si="21"/>
        <v>2</v>
      </c>
      <c r="L275" s="5">
        <f t="shared" si="22"/>
        <v>0</v>
      </c>
      <c r="M275" s="8">
        <v>2.42</v>
      </c>
      <c r="N275" s="2" t="s">
        <v>21</v>
      </c>
      <c r="O275" s="3" t="s">
        <v>63</v>
      </c>
    </row>
    <row r="276" spans="1:15" x14ac:dyDescent="0.35">
      <c r="A276" s="4">
        <v>45499</v>
      </c>
      <c r="B276" s="2" t="s">
        <v>2475</v>
      </c>
      <c r="D276" s="2" t="s">
        <v>149</v>
      </c>
      <c r="E276" s="2" t="s">
        <v>150</v>
      </c>
      <c r="F276" s="5" t="str">
        <f t="shared" si="10"/>
        <v>A/9330 TUBOS PARIS</v>
      </c>
      <c r="G276" s="12">
        <f t="shared" si="19"/>
        <v>102.13223140495867</v>
      </c>
      <c r="H276">
        <v>21</v>
      </c>
      <c r="I276" s="5">
        <f t="shared" si="20"/>
        <v>21.447768595041321</v>
      </c>
      <c r="J276" s="5">
        <f t="shared" si="21"/>
        <v>102.13223140495867</v>
      </c>
      <c r="L276" s="5">
        <f t="shared" si="22"/>
        <v>0</v>
      </c>
      <c r="M276" s="8">
        <v>123.58</v>
      </c>
      <c r="N276" s="2" t="s">
        <v>21</v>
      </c>
      <c r="O276" s="3" t="s">
        <v>63</v>
      </c>
    </row>
    <row r="277" spans="1:15" x14ac:dyDescent="0.35">
      <c r="A277" s="4">
        <v>45564</v>
      </c>
      <c r="B277" s="2" t="s">
        <v>2476</v>
      </c>
      <c r="D277" s="2" t="s">
        <v>2477</v>
      </c>
      <c r="E277" s="2" t="s">
        <v>2478</v>
      </c>
      <c r="F277" s="5" t="str">
        <f t="shared" si="10"/>
        <v>2403908 EXMARZHEN SL</v>
      </c>
      <c r="G277" s="12">
        <f t="shared" si="19"/>
        <v>68.702479338842977</v>
      </c>
      <c r="H277">
        <v>21</v>
      </c>
      <c r="I277" s="5">
        <f t="shared" si="20"/>
        <v>14.427520661157025</v>
      </c>
      <c r="J277" s="5">
        <f t="shared" si="21"/>
        <v>68.702479338842977</v>
      </c>
      <c r="L277" s="5">
        <f t="shared" si="22"/>
        <v>0</v>
      </c>
      <c r="M277" s="8">
        <v>83.13</v>
      </c>
      <c r="N277" s="2" t="s">
        <v>21</v>
      </c>
      <c r="O277" s="3" t="s">
        <v>64</v>
      </c>
    </row>
    <row r="278" spans="1:15" x14ac:dyDescent="0.35">
      <c r="A278" s="4">
        <v>45541</v>
      </c>
      <c r="B278" s="2" t="s">
        <v>2479</v>
      </c>
      <c r="D278" s="2" t="s">
        <v>35</v>
      </c>
      <c r="E278" s="2" t="s">
        <v>167</v>
      </c>
      <c r="F278" s="5" t="str">
        <f t="shared" si="10"/>
        <v>0240011984 PINTODIS SL</v>
      </c>
      <c r="G278" s="12">
        <f t="shared" si="19"/>
        <v>41.32231404958678</v>
      </c>
      <c r="H278">
        <v>21</v>
      </c>
      <c r="I278" s="5">
        <f t="shared" si="20"/>
        <v>8.677685950413224</v>
      </c>
      <c r="J278" s="5">
        <f t="shared" si="21"/>
        <v>41.32231404958678</v>
      </c>
      <c r="L278" s="5">
        <f t="shared" si="22"/>
        <v>0</v>
      </c>
      <c r="M278" s="8">
        <v>50</v>
      </c>
      <c r="N278" s="2" t="s">
        <v>22</v>
      </c>
      <c r="O278" s="3" t="s">
        <v>64</v>
      </c>
    </row>
    <row r="279" spans="1:15" x14ac:dyDescent="0.35">
      <c r="A279" s="4">
        <v>45545</v>
      </c>
      <c r="B279" s="2" t="s">
        <v>2480</v>
      </c>
      <c r="D279" s="2" t="s">
        <v>35</v>
      </c>
      <c r="E279" s="2" t="s">
        <v>167</v>
      </c>
      <c r="F279" s="5" t="str">
        <f t="shared" si="10"/>
        <v>0240012068 PINTODIS SL</v>
      </c>
      <c r="G279" s="12">
        <f t="shared" si="19"/>
        <v>41.32231404958678</v>
      </c>
      <c r="H279">
        <v>21</v>
      </c>
      <c r="I279" s="5">
        <f t="shared" si="20"/>
        <v>8.677685950413224</v>
      </c>
      <c r="J279" s="5">
        <f t="shared" si="21"/>
        <v>41.32231404958678</v>
      </c>
      <c r="L279" s="5">
        <f t="shared" si="22"/>
        <v>0</v>
      </c>
      <c r="M279" s="8">
        <v>50</v>
      </c>
      <c r="N279" s="2" t="s">
        <v>22</v>
      </c>
      <c r="O279" s="3" t="s">
        <v>64</v>
      </c>
    </row>
    <row r="280" spans="1:15" x14ac:dyDescent="0.35">
      <c r="A280" s="4">
        <v>45549</v>
      </c>
      <c r="B280" s="2" t="s">
        <v>2481</v>
      </c>
      <c r="D280" s="2" t="s">
        <v>35</v>
      </c>
      <c r="E280" s="2" t="s">
        <v>167</v>
      </c>
      <c r="F280" s="5" t="str">
        <f t="shared" si="10"/>
        <v>0240012161 PINTODIS SL</v>
      </c>
      <c r="G280" s="12">
        <f t="shared" si="19"/>
        <v>41.32231404958678</v>
      </c>
      <c r="H280">
        <v>21</v>
      </c>
      <c r="I280" s="5">
        <f t="shared" si="20"/>
        <v>8.677685950413224</v>
      </c>
      <c r="J280" s="5">
        <f t="shared" si="21"/>
        <v>41.32231404958678</v>
      </c>
      <c r="L280" s="5">
        <f t="shared" si="22"/>
        <v>0</v>
      </c>
      <c r="M280" s="8">
        <v>50</v>
      </c>
      <c r="N280" s="2" t="s">
        <v>22</v>
      </c>
      <c r="O280" s="3" t="s">
        <v>64</v>
      </c>
    </row>
    <row r="281" spans="1:15" x14ac:dyDescent="0.35">
      <c r="A281" s="4">
        <v>45554</v>
      </c>
      <c r="B281" s="2" t="s">
        <v>2482</v>
      </c>
      <c r="D281" s="2" t="s">
        <v>1119</v>
      </c>
      <c r="E281" s="2" t="s">
        <v>2127</v>
      </c>
      <c r="F281" s="5" t="str">
        <f t="shared" si="10"/>
        <v>452704527 GUARCONSA</v>
      </c>
      <c r="G281" s="12">
        <f t="shared" si="19"/>
        <v>10.859504132231406</v>
      </c>
      <c r="H281">
        <v>21</v>
      </c>
      <c r="I281" s="5">
        <f t="shared" si="20"/>
        <v>2.2804958677685949</v>
      </c>
      <c r="J281" s="5">
        <f t="shared" si="21"/>
        <v>10.859504132231406</v>
      </c>
      <c r="L281" s="5">
        <f t="shared" si="22"/>
        <v>0</v>
      </c>
      <c r="M281" s="8">
        <v>13.14</v>
      </c>
      <c r="N281" s="2" t="s">
        <v>21</v>
      </c>
      <c r="O281" s="3" t="s">
        <v>63</v>
      </c>
    </row>
    <row r="282" spans="1:15" x14ac:dyDescent="0.35">
      <c r="A282" s="4">
        <v>45560</v>
      </c>
      <c r="B282" s="2" t="s">
        <v>2483</v>
      </c>
      <c r="D282" s="2" t="s">
        <v>58</v>
      </c>
      <c r="E282" s="2" t="s">
        <v>2028</v>
      </c>
      <c r="F282" s="5" t="str">
        <f t="shared" si="10"/>
        <v>024-0009-445025 BRICOLAJE BRICOMAN</v>
      </c>
      <c r="G282" s="12">
        <f t="shared" si="19"/>
        <v>272.23140495867767</v>
      </c>
      <c r="H282">
        <v>21</v>
      </c>
      <c r="I282" s="5">
        <f t="shared" si="20"/>
        <v>57.168595041322313</v>
      </c>
      <c r="J282" s="5">
        <f t="shared" si="21"/>
        <v>272.23140495867767</v>
      </c>
      <c r="L282" s="5">
        <f t="shared" si="22"/>
        <v>0</v>
      </c>
      <c r="M282" s="8">
        <v>329.4</v>
      </c>
      <c r="N282" s="2" t="s">
        <v>21</v>
      </c>
      <c r="O282" s="3" t="s">
        <v>63</v>
      </c>
    </row>
    <row r="283" spans="1:15" x14ac:dyDescent="0.35">
      <c r="A283" s="4">
        <v>45562</v>
      </c>
      <c r="B283" s="2" t="s">
        <v>2484</v>
      </c>
      <c r="D283" s="2" t="s">
        <v>1510</v>
      </c>
      <c r="E283" s="2" t="s">
        <v>2485</v>
      </c>
      <c r="F283" s="5" t="str">
        <f t="shared" si="10"/>
        <v>18-24-001968 TOOL QUICK</v>
      </c>
      <c r="G283" s="12">
        <f t="shared" si="19"/>
        <v>66.561983471074385</v>
      </c>
      <c r="H283">
        <v>21</v>
      </c>
      <c r="I283" s="5">
        <f t="shared" si="20"/>
        <v>13.97801652892562</v>
      </c>
      <c r="J283" s="5">
        <f t="shared" si="21"/>
        <v>66.561983471074385</v>
      </c>
      <c r="L283" s="5">
        <f t="shared" si="22"/>
        <v>0</v>
      </c>
      <c r="M283" s="8">
        <v>80.540000000000006</v>
      </c>
      <c r="N283" s="2" t="s">
        <v>118</v>
      </c>
      <c r="O283" s="3" t="s">
        <v>63</v>
      </c>
    </row>
    <row r="284" spans="1:15" x14ac:dyDescent="0.35">
      <c r="A284" s="4">
        <v>45561</v>
      </c>
      <c r="B284" s="2" t="s">
        <v>2486</v>
      </c>
      <c r="D284" s="2" t="s">
        <v>1147</v>
      </c>
      <c r="E284" s="2" t="s">
        <v>1148</v>
      </c>
      <c r="F284" s="5" t="str">
        <f t="shared" si="10"/>
        <v>2024FBFN02136422 CARREFOUR</v>
      </c>
      <c r="G284" s="12">
        <f t="shared" si="19"/>
        <v>57.66115702479339</v>
      </c>
      <c r="H284">
        <v>21</v>
      </c>
      <c r="I284" s="5">
        <f t="shared" si="20"/>
        <v>12.108842975206612</v>
      </c>
      <c r="J284" s="5">
        <f t="shared" si="21"/>
        <v>57.66115702479339</v>
      </c>
      <c r="L284" s="5">
        <f t="shared" si="22"/>
        <v>0</v>
      </c>
      <c r="M284" s="8">
        <v>69.77</v>
      </c>
      <c r="N284" s="2" t="s">
        <v>22</v>
      </c>
      <c r="O284" s="3" t="s">
        <v>64</v>
      </c>
    </row>
    <row r="285" spans="1:15" x14ac:dyDescent="0.35">
      <c r="A285" s="4">
        <v>45561</v>
      </c>
      <c r="B285" s="2" t="s">
        <v>2487</v>
      </c>
      <c r="D285" s="2" t="s">
        <v>57</v>
      </c>
      <c r="E285" s="2" t="s">
        <v>44</v>
      </c>
      <c r="F285" s="5" t="str">
        <f t="shared" si="10"/>
        <v>016-0009-829653 LEROY MERLIN</v>
      </c>
      <c r="G285" s="12">
        <f t="shared" si="19"/>
        <v>42.380165289256198</v>
      </c>
      <c r="H285">
        <v>21</v>
      </c>
      <c r="I285" s="5">
        <f t="shared" si="20"/>
        <v>8.8998347107438018</v>
      </c>
      <c r="J285" s="5">
        <f t="shared" si="21"/>
        <v>42.380165289256198</v>
      </c>
      <c r="L285" s="5">
        <f t="shared" si="22"/>
        <v>0</v>
      </c>
      <c r="M285" s="8">
        <v>51.28</v>
      </c>
      <c r="N285" s="2" t="s">
        <v>21</v>
      </c>
      <c r="O285" s="3" t="s">
        <v>64</v>
      </c>
    </row>
    <row r="286" spans="1:15" x14ac:dyDescent="0.35">
      <c r="A286" s="4">
        <v>45561</v>
      </c>
      <c r="B286" s="2" t="s">
        <v>2488</v>
      </c>
      <c r="D286" s="2" t="s">
        <v>1334</v>
      </c>
      <c r="E286" s="2" t="s">
        <v>2170</v>
      </c>
      <c r="F286" s="5" t="str">
        <f t="shared" si="10"/>
        <v xml:space="preserve">432707752 SUMINISTROS ELECTRICOS GUARDEÑO  </v>
      </c>
      <c r="G286" s="12">
        <f t="shared" si="19"/>
        <v>25.578512396694215</v>
      </c>
      <c r="H286">
        <v>21</v>
      </c>
      <c r="I286" s="5">
        <f t="shared" si="20"/>
        <v>5.371487603305785</v>
      </c>
      <c r="J286" s="5">
        <f t="shared" si="21"/>
        <v>25.578512396694215</v>
      </c>
      <c r="L286" s="5">
        <f t="shared" si="22"/>
        <v>0</v>
      </c>
      <c r="M286" s="8">
        <v>30.95</v>
      </c>
      <c r="N286" s="2" t="s">
        <v>21</v>
      </c>
      <c r="O286" s="3" t="s">
        <v>64</v>
      </c>
    </row>
    <row r="287" spans="1:15" x14ac:dyDescent="0.35">
      <c r="A287" s="4">
        <v>45558</v>
      </c>
      <c r="B287" s="2" t="s">
        <v>2436</v>
      </c>
      <c r="D287" s="2" t="s">
        <v>200</v>
      </c>
      <c r="E287" s="2" t="s">
        <v>186</v>
      </c>
      <c r="F287" s="5" t="str">
        <f t="shared" si="10"/>
        <v>2130023 I.D.F. SUMINISTROS INDUSTRIALES</v>
      </c>
      <c r="G287" s="12">
        <f t="shared" si="19"/>
        <v>32.256198347107443</v>
      </c>
      <c r="H287">
        <v>21</v>
      </c>
      <c r="I287" s="5">
        <f t="shared" si="20"/>
        <v>6.7738016528925629</v>
      </c>
      <c r="J287" s="5">
        <f t="shared" si="21"/>
        <v>32.256198347107443</v>
      </c>
      <c r="L287" s="5">
        <f t="shared" si="22"/>
        <v>0</v>
      </c>
      <c r="M287" s="8">
        <v>39.03</v>
      </c>
      <c r="N287" s="2" t="s">
        <v>21</v>
      </c>
      <c r="O287" s="3" t="s">
        <v>63</v>
      </c>
    </row>
    <row r="288" spans="1:15" x14ac:dyDescent="0.35">
      <c r="A288" s="4">
        <v>45556</v>
      </c>
      <c r="B288" s="2" t="s">
        <v>2489</v>
      </c>
      <c r="D288" s="2" t="s">
        <v>1473</v>
      </c>
      <c r="E288" s="2" t="s">
        <v>1474</v>
      </c>
      <c r="F288" s="5" t="str">
        <f t="shared" si="10"/>
        <v>003299 GARDEN RIVAS</v>
      </c>
      <c r="G288" s="12">
        <f t="shared" si="19"/>
        <v>29.054545454545455</v>
      </c>
      <c r="H288">
        <v>10</v>
      </c>
      <c r="I288" s="5">
        <f t="shared" si="20"/>
        <v>2.9054545454545457</v>
      </c>
      <c r="J288" s="5">
        <f t="shared" si="21"/>
        <v>29.054545454545455</v>
      </c>
      <c r="L288" s="5">
        <f t="shared" si="22"/>
        <v>0</v>
      </c>
      <c r="M288" s="8">
        <v>31.96</v>
      </c>
      <c r="N288" s="2" t="s">
        <v>21</v>
      </c>
      <c r="O288" s="3" t="s">
        <v>64</v>
      </c>
    </row>
    <row r="289" spans="1:15" x14ac:dyDescent="0.35">
      <c r="A289" s="4">
        <v>45551</v>
      </c>
      <c r="B289" s="2" t="s">
        <v>2490</v>
      </c>
      <c r="D289" s="2" t="s">
        <v>58</v>
      </c>
      <c r="E289" s="2" t="s">
        <v>2028</v>
      </c>
      <c r="F289" s="5" t="str">
        <f t="shared" si="10"/>
        <v>024-0009-420987 BRICOLAJE BRICOMAN</v>
      </c>
      <c r="G289" s="12">
        <f t="shared" si="19"/>
        <v>18.388429752066116</v>
      </c>
      <c r="H289">
        <v>21</v>
      </c>
      <c r="I289" s="5">
        <f t="shared" si="20"/>
        <v>3.8615702479338849</v>
      </c>
      <c r="J289" s="5">
        <f t="shared" si="21"/>
        <v>18.388429752066116</v>
      </c>
      <c r="L289" s="5">
        <f t="shared" si="22"/>
        <v>0</v>
      </c>
      <c r="M289" s="8">
        <v>22.25</v>
      </c>
      <c r="N289" s="2" t="s">
        <v>21</v>
      </c>
      <c r="O289" s="3" t="s">
        <v>63</v>
      </c>
    </row>
    <row r="290" spans="1:15" x14ac:dyDescent="0.35">
      <c r="A290" s="4">
        <v>45552</v>
      </c>
      <c r="B290" s="2" t="s">
        <v>2491</v>
      </c>
      <c r="D290" s="2" t="s">
        <v>58</v>
      </c>
      <c r="E290" s="2" t="s">
        <v>2028</v>
      </c>
      <c r="F290" s="5" t="str">
        <f t="shared" si="10"/>
        <v>011-0009-098593 BRICOLAJE BRICOMAN</v>
      </c>
      <c r="G290" s="12">
        <f t="shared" si="19"/>
        <v>37.909090909090907</v>
      </c>
      <c r="H290">
        <v>21</v>
      </c>
      <c r="I290" s="5">
        <f t="shared" si="20"/>
        <v>7.96090909090909</v>
      </c>
      <c r="J290" s="5">
        <f t="shared" si="21"/>
        <v>37.909090909090907</v>
      </c>
      <c r="L290" s="5">
        <f t="shared" si="22"/>
        <v>0</v>
      </c>
      <c r="M290" s="8">
        <v>45.87</v>
      </c>
      <c r="N290" s="2" t="s">
        <v>21</v>
      </c>
      <c r="O290" s="3" t="s">
        <v>63</v>
      </c>
    </row>
    <row r="291" spans="1:15" x14ac:dyDescent="0.35">
      <c r="A291" s="4">
        <v>45555</v>
      </c>
      <c r="B291" s="2" t="s">
        <v>2492</v>
      </c>
      <c r="D291" s="2" t="s">
        <v>58</v>
      </c>
      <c r="E291" s="2" t="s">
        <v>2028</v>
      </c>
      <c r="F291" s="5" t="str">
        <f t="shared" si="10"/>
        <v>024-0009-433696 BRICOLAJE BRICOMAN</v>
      </c>
      <c r="G291" s="12">
        <f t="shared" si="19"/>
        <v>57.438016528925623</v>
      </c>
      <c r="H291">
        <v>21</v>
      </c>
      <c r="I291" s="5">
        <f t="shared" si="20"/>
        <v>12.061983471074381</v>
      </c>
      <c r="J291" s="5">
        <f t="shared" si="21"/>
        <v>57.438016528925623</v>
      </c>
      <c r="L291" s="5">
        <f t="shared" si="22"/>
        <v>0</v>
      </c>
      <c r="M291" s="8">
        <v>69.5</v>
      </c>
      <c r="N291" s="2" t="s">
        <v>21</v>
      </c>
      <c r="O291" s="3" t="s">
        <v>63</v>
      </c>
    </row>
    <row r="292" spans="1:15" x14ac:dyDescent="0.35">
      <c r="A292" s="4">
        <v>45554</v>
      </c>
      <c r="B292" s="2" t="s">
        <v>2493</v>
      </c>
      <c r="D292" s="2" t="s">
        <v>58</v>
      </c>
      <c r="E292" s="2" t="s">
        <v>2028</v>
      </c>
      <c r="F292" s="5" t="str">
        <f t="shared" si="10"/>
        <v>024-0009-431877 BRICOLAJE BRICOMAN</v>
      </c>
      <c r="G292" s="12">
        <f t="shared" si="19"/>
        <v>57.231404958677686</v>
      </c>
      <c r="H292">
        <v>21</v>
      </c>
      <c r="I292" s="5">
        <f t="shared" si="20"/>
        <v>12.018595041322314</v>
      </c>
      <c r="J292" s="5">
        <f t="shared" si="21"/>
        <v>57.231404958677686</v>
      </c>
      <c r="L292" s="5">
        <f t="shared" si="22"/>
        <v>0</v>
      </c>
      <c r="M292" s="8">
        <v>69.25</v>
      </c>
      <c r="N292" s="2" t="s">
        <v>21</v>
      </c>
      <c r="O292" s="3" t="s">
        <v>63</v>
      </c>
    </row>
    <row r="293" spans="1:15" x14ac:dyDescent="0.35">
      <c r="A293" s="4">
        <v>45549</v>
      </c>
      <c r="B293" s="2" t="s">
        <v>2494</v>
      </c>
      <c r="D293" s="2" t="s">
        <v>1473</v>
      </c>
      <c r="E293" s="2" t="s">
        <v>1474</v>
      </c>
      <c r="F293" s="5" t="str">
        <f t="shared" si="10"/>
        <v>003259 GARDEN RIVAS</v>
      </c>
      <c r="G293" s="12">
        <f t="shared" si="19"/>
        <v>28.245454545454542</v>
      </c>
      <c r="H293">
        <v>10</v>
      </c>
      <c r="I293" s="5">
        <f t="shared" si="20"/>
        <v>2.8245454545454542</v>
      </c>
      <c r="J293" s="5">
        <f t="shared" si="21"/>
        <v>28.245454545454542</v>
      </c>
      <c r="L293" s="5">
        <f t="shared" si="22"/>
        <v>0</v>
      </c>
      <c r="M293" s="8">
        <v>31.07</v>
      </c>
      <c r="N293" s="2" t="s">
        <v>21</v>
      </c>
      <c r="O293" s="3" t="s">
        <v>63</v>
      </c>
    </row>
    <row r="294" spans="1:15" x14ac:dyDescent="0.35">
      <c r="A294" s="4">
        <v>45555</v>
      </c>
      <c r="B294" s="2" t="s">
        <v>2495</v>
      </c>
      <c r="D294" s="2" t="s">
        <v>82</v>
      </c>
      <c r="E294" s="2" t="s">
        <v>150</v>
      </c>
      <c r="F294" s="5" t="str">
        <f t="shared" si="10"/>
        <v>CO F24 0100002710 TUBOS PARIS</v>
      </c>
      <c r="G294" s="12">
        <f t="shared" si="19"/>
        <v>25</v>
      </c>
      <c r="H294">
        <v>21</v>
      </c>
      <c r="I294" s="5">
        <f t="shared" si="20"/>
        <v>5.25</v>
      </c>
      <c r="J294" s="5">
        <f t="shared" si="21"/>
        <v>25</v>
      </c>
      <c r="L294" s="5">
        <f t="shared" si="22"/>
        <v>0</v>
      </c>
      <c r="M294" s="8">
        <v>30.25</v>
      </c>
      <c r="N294" s="2" t="s">
        <v>21</v>
      </c>
      <c r="O294" s="3" t="s">
        <v>63</v>
      </c>
    </row>
    <row r="295" spans="1:15" x14ac:dyDescent="0.35">
      <c r="A295" s="4">
        <v>45552</v>
      </c>
      <c r="B295" s="2" t="s">
        <v>2496</v>
      </c>
      <c r="D295" s="2" t="s">
        <v>89</v>
      </c>
      <c r="E295" s="2" t="s">
        <v>90</v>
      </c>
      <c r="F295" s="5" t="str">
        <f t="shared" si="10"/>
        <v>E30422024000003473 GALP</v>
      </c>
      <c r="G295" s="12">
        <f t="shared" si="19"/>
        <v>11.586776859504132</v>
      </c>
      <c r="H295">
        <v>21</v>
      </c>
      <c r="I295" s="5">
        <f t="shared" si="20"/>
        <v>2.4332231404958677</v>
      </c>
      <c r="J295" s="5">
        <f t="shared" si="21"/>
        <v>11.586776859504132</v>
      </c>
      <c r="L295" s="5">
        <f t="shared" si="22"/>
        <v>0</v>
      </c>
      <c r="M295" s="8">
        <v>14.02</v>
      </c>
      <c r="N295" s="2" t="s">
        <v>22</v>
      </c>
      <c r="O295" s="3" t="s">
        <v>63</v>
      </c>
    </row>
    <row r="296" spans="1:15" x14ac:dyDescent="0.35">
      <c r="A296" s="4">
        <v>45555</v>
      </c>
      <c r="B296" s="2" t="s">
        <v>2497</v>
      </c>
      <c r="D296" s="2" t="s">
        <v>29</v>
      </c>
      <c r="E296" s="2" t="s">
        <v>76</v>
      </c>
      <c r="F296" s="5" t="str">
        <f t="shared" si="10"/>
        <v>5477-2023-00718526 COSTCO</v>
      </c>
      <c r="G296" s="12">
        <f t="shared" si="19"/>
        <v>43.603305785123965</v>
      </c>
      <c r="H296">
        <v>21</v>
      </c>
      <c r="I296" s="5">
        <f t="shared" si="20"/>
        <v>9.1566942148760333</v>
      </c>
      <c r="J296" s="5">
        <f t="shared" si="21"/>
        <v>43.603305785123965</v>
      </c>
      <c r="L296" s="5">
        <f t="shared" si="22"/>
        <v>0</v>
      </c>
      <c r="M296" s="8">
        <v>52.76</v>
      </c>
      <c r="N296" s="2" t="s">
        <v>22</v>
      </c>
      <c r="O296" s="3" t="s">
        <v>63</v>
      </c>
    </row>
    <row r="297" spans="1:15" x14ac:dyDescent="0.35">
      <c r="A297" s="4">
        <v>45518</v>
      </c>
      <c r="B297" s="2" t="s">
        <v>2498</v>
      </c>
      <c r="D297" s="2" t="s">
        <v>2499</v>
      </c>
      <c r="E297" s="2" t="s">
        <v>24</v>
      </c>
      <c r="F297" s="5" t="str">
        <f t="shared" si="10"/>
        <v>097029/A/24/001426 REPSOL</v>
      </c>
      <c r="G297" s="12">
        <f>M297/(1-K297/100+H297/100)</f>
        <v>16.528925619834713</v>
      </c>
      <c r="H297">
        <v>21</v>
      </c>
      <c r="I297" s="5">
        <f>G297*H297/100</f>
        <v>3.4710743801652897</v>
      </c>
      <c r="J297" s="5">
        <f>G297</f>
        <v>16.528925619834713</v>
      </c>
      <c r="L297" s="5">
        <f>J297*K297/100</f>
        <v>0</v>
      </c>
      <c r="M297" s="8">
        <v>20</v>
      </c>
      <c r="N297" s="2" t="s">
        <v>22</v>
      </c>
      <c r="O297" s="3" t="s">
        <v>63</v>
      </c>
    </row>
    <row r="298" spans="1:15" x14ac:dyDescent="0.35">
      <c r="A298" s="4">
        <v>45539</v>
      </c>
      <c r="B298" s="2" t="s">
        <v>2500</v>
      </c>
      <c r="D298" s="2" t="s">
        <v>29</v>
      </c>
      <c r="E298" s="2" t="s">
        <v>76</v>
      </c>
      <c r="F298" s="5" t="str">
        <f t="shared" si="10"/>
        <v>5477-2024-00047898 COSTCO</v>
      </c>
      <c r="G298" s="12">
        <f>M298/(1-K298/100+H298/100)</f>
        <v>71.743801652892571</v>
      </c>
      <c r="H298">
        <v>21</v>
      </c>
      <c r="I298" s="5">
        <f>G298*H298/100</f>
        <v>15.06619834710744</v>
      </c>
      <c r="J298" s="5">
        <f>G298</f>
        <v>71.743801652892571</v>
      </c>
      <c r="L298" s="5">
        <f>J298*K298/100</f>
        <v>0</v>
      </c>
      <c r="M298" s="8">
        <v>86.81</v>
      </c>
      <c r="N298" s="2" t="s">
        <v>2501</v>
      </c>
      <c r="O298" s="3" t="s">
        <v>63</v>
      </c>
    </row>
    <row r="299" spans="1:15" x14ac:dyDescent="0.35">
      <c r="A299" s="4">
        <v>45548</v>
      </c>
      <c r="B299" s="2" t="s">
        <v>2502</v>
      </c>
      <c r="D299" s="2" t="s">
        <v>2503</v>
      </c>
      <c r="E299" s="2" t="s">
        <v>124</v>
      </c>
      <c r="F299" s="5" t="str">
        <f t="shared" si="10"/>
        <v>035950024/00004045 CIA ESPAÑOLA DIST PETROLEOS</v>
      </c>
      <c r="G299" s="12">
        <f>M299/(1-K299/100+H299/100)</f>
        <v>12.008264462809917</v>
      </c>
      <c r="H299">
        <v>21</v>
      </c>
      <c r="I299" s="5">
        <f>G299*H299/100</f>
        <v>2.5217355371900827</v>
      </c>
      <c r="J299" s="5">
        <f>G299</f>
        <v>12.008264462809917</v>
      </c>
      <c r="L299" s="5">
        <f>J299*K299/100</f>
        <v>0</v>
      </c>
      <c r="M299" s="8">
        <v>14.53</v>
      </c>
      <c r="N299" s="2" t="s">
        <v>22</v>
      </c>
      <c r="O299" s="3" t="s">
        <v>64</v>
      </c>
    </row>
    <row r="300" spans="1:15" x14ac:dyDescent="0.35">
      <c r="A300" s="4">
        <v>45544</v>
      </c>
      <c r="B300" s="2" t="s">
        <v>2504</v>
      </c>
      <c r="D300" s="2" t="s">
        <v>29</v>
      </c>
      <c r="E300" s="2" t="s">
        <v>76</v>
      </c>
      <c r="F300" s="5" t="str">
        <f t="shared" si="10"/>
        <v>5477-2024-00716564 COSTCO</v>
      </c>
      <c r="G300" s="12">
        <f>M300/(1-K300/100+H300/100)</f>
        <v>68.446280991735534</v>
      </c>
      <c r="H300">
        <v>21</v>
      </c>
      <c r="I300" s="5">
        <f t="shared" ref="I300:I363" si="23">G300*H300/100</f>
        <v>14.373719008264461</v>
      </c>
      <c r="J300" s="5">
        <f>G300</f>
        <v>68.446280991735534</v>
      </c>
      <c r="L300" s="5">
        <f>J300*K300/100</f>
        <v>0</v>
      </c>
      <c r="M300" s="8">
        <v>82.82</v>
      </c>
      <c r="N300" s="2" t="s">
        <v>22</v>
      </c>
      <c r="O300" s="3" t="s">
        <v>64</v>
      </c>
    </row>
    <row r="301" spans="1:15" x14ac:dyDescent="0.35">
      <c r="A301" s="4">
        <v>45536</v>
      </c>
      <c r="B301" s="2" t="s">
        <v>2505</v>
      </c>
      <c r="D301" s="2" t="s">
        <v>100</v>
      </c>
      <c r="E301" s="2" t="s">
        <v>241</v>
      </c>
      <c r="F301" s="5" t="str">
        <f t="shared" si="10"/>
        <v>10110819 E.S. RACHELO</v>
      </c>
      <c r="G301" s="12">
        <f t="shared" ref="G301:G364" si="24">M301/(1-K301/100+H301/100)</f>
        <v>15.264462809917354</v>
      </c>
      <c r="H301">
        <v>21</v>
      </c>
      <c r="I301" s="5">
        <f t="shared" si="23"/>
        <v>3.2055371900826448</v>
      </c>
      <c r="J301" s="5">
        <f t="shared" ref="J301:J364" si="25">G301</f>
        <v>15.264462809917354</v>
      </c>
      <c r="L301" s="5">
        <f t="shared" ref="L301:L364" si="26">J301*K301/100</f>
        <v>0</v>
      </c>
      <c r="M301" s="8">
        <v>18.47</v>
      </c>
      <c r="N301" s="2" t="s">
        <v>22</v>
      </c>
      <c r="O301" s="3" t="s">
        <v>63</v>
      </c>
    </row>
    <row r="302" spans="1:15" x14ac:dyDescent="0.35">
      <c r="A302" s="4">
        <v>45547</v>
      </c>
      <c r="B302" s="2" t="s">
        <v>2506</v>
      </c>
      <c r="D302" s="2" t="s">
        <v>806</v>
      </c>
      <c r="E302" s="2" t="s">
        <v>807</v>
      </c>
      <c r="F302" s="5" t="str">
        <f t="shared" si="10"/>
        <v>1/2029 MESON TOLEDANO</v>
      </c>
      <c r="G302" s="12">
        <f t="shared" si="24"/>
        <v>80.833333333333343</v>
      </c>
      <c r="H302">
        <v>20</v>
      </c>
      <c r="I302" s="5">
        <f t="shared" si="23"/>
        <v>16.166666666666671</v>
      </c>
      <c r="J302" s="5">
        <f t="shared" si="25"/>
        <v>80.833333333333343</v>
      </c>
      <c r="L302" s="5">
        <f t="shared" si="26"/>
        <v>0</v>
      </c>
      <c r="M302" s="8">
        <v>97</v>
      </c>
      <c r="N302" s="2" t="s">
        <v>28</v>
      </c>
      <c r="O302" s="3" t="s">
        <v>64</v>
      </c>
    </row>
    <row r="303" spans="1:15" x14ac:dyDescent="0.35">
      <c r="A303" s="4">
        <v>45531</v>
      </c>
      <c r="B303" s="2" t="s">
        <v>2507</v>
      </c>
      <c r="D303" s="2" t="s">
        <v>2508</v>
      </c>
      <c r="E303" s="2" t="s">
        <v>2509</v>
      </c>
      <c r="F303" s="5" t="str">
        <f t="shared" si="10"/>
        <v>001000389114 VALDEMODIS</v>
      </c>
      <c r="G303" s="12">
        <f t="shared" si="24"/>
        <v>41.32231404958678</v>
      </c>
      <c r="H303">
        <v>21</v>
      </c>
      <c r="I303" s="5">
        <f t="shared" si="23"/>
        <v>8.677685950413224</v>
      </c>
      <c r="J303" s="5">
        <f t="shared" si="25"/>
        <v>41.32231404958678</v>
      </c>
      <c r="L303" s="5">
        <f t="shared" si="26"/>
        <v>0</v>
      </c>
      <c r="M303" s="8">
        <v>50</v>
      </c>
      <c r="N303" s="2" t="s">
        <v>22</v>
      </c>
      <c r="O303" s="3" t="s">
        <v>63</v>
      </c>
    </row>
    <row r="304" spans="1:15" x14ac:dyDescent="0.35">
      <c r="A304" s="4">
        <v>45563</v>
      </c>
      <c r="B304" s="2" t="s">
        <v>2510</v>
      </c>
      <c r="D304" s="2" t="s">
        <v>2511</v>
      </c>
      <c r="E304" s="2" t="s">
        <v>2512</v>
      </c>
      <c r="F304" s="5" t="str">
        <f t="shared" si="10"/>
        <v>61760852 BUENAVENTURA</v>
      </c>
      <c r="G304" s="12">
        <f t="shared" si="24"/>
        <v>74.045454545454547</v>
      </c>
      <c r="H304">
        <v>10</v>
      </c>
      <c r="I304" s="5">
        <f t="shared" si="23"/>
        <v>7.4045454545454552</v>
      </c>
      <c r="J304" s="5">
        <f t="shared" si="25"/>
        <v>74.045454545454547</v>
      </c>
      <c r="L304" s="5">
        <f t="shared" si="26"/>
        <v>0</v>
      </c>
      <c r="M304" s="8">
        <v>81.45</v>
      </c>
      <c r="N304" s="2" t="s">
        <v>28</v>
      </c>
      <c r="O304" s="3" t="s">
        <v>63</v>
      </c>
    </row>
    <row r="305" spans="1:15" x14ac:dyDescent="0.35">
      <c r="A305" s="4">
        <v>45564</v>
      </c>
      <c r="B305" s="2" t="s">
        <v>2513</v>
      </c>
      <c r="D305" s="2" t="s">
        <v>168</v>
      </c>
      <c r="E305" s="2" t="s">
        <v>169</v>
      </c>
      <c r="F305" s="5" t="str">
        <f t="shared" si="10"/>
        <v>243622004812 BALLENOIL</v>
      </c>
      <c r="G305" s="12">
        <f t="shared" si="24"/>
        <v>16.528925619834713</v>
      </c>
      <c r="H305">
        <v>21</v>
      </c>
      <c r="I305" s="5">
        <f t="shared" si="23"/>
        <v>3.4710743801652897</v>
      </c>
      <c r="J305" s="5">
        <f t="shared" si="25"/>
        <v>16.528925619834713</v>
      </c>
      <c r="L305" s="5">
        <f t="shared" si="26"/>
        <v>0</v>
      </c>
      <c r="M305" s="8">
        <v>20</v>
      </c>
      <c r="N305" s="2" t="s">
        <v>22</v>
      </c>
      <c r="O305" s="3" t="s">
        <v>64</v>
      </c>
    </row>
    <row r="306" spans="1:15" x14ac:dyDescent="0.35">
      <c r="A306" s="4">
        <v>45562</v>
      </c>
      <c r="B306" s="2" t="s">
        <v>2514</v>
      </c>
      <c r="D306" s="2" t="s">
        <v>1164</v>
      </c>
      <c r="E306" s="2" t="s">
        <v>2515</v>
      </c>
      <c r="F306" s="5" t="str">
        <f t="shared" si="10"/>
        <v>00556 ESTUDIO DE COCINA COCISUR S.L.</v>
      </c>
      <c r="G306" s="12">
        <f t="shared" si="24"/>
        <v>4958.6776859504134</v>
      </c>
      <c r="H306">
        <v>21</v>
      </c>
      <c r="I306" s="5">
        <f t="shared" si="23"/>
        <v>1041.3223140495868</v>
      </c>
      <c r="J306" s="5">
        <f t="shared" si="25"/>
        <v>4958.6776859504134</v>
      </c>
      <c r="L306" s="5">
        <f t="shared" si="26"/>
        <v>0</v>
      </c>
      <c r="M306" s="8">
        <v>6000</v>
      </c>
      <c r="N306" s="2" t="s">
        <v>37</v>
      </c>
      <c r="O306" s="3" t="s">
        <v>68</v>
      </c>
    </row>
    <row r="307" spans="1:15" x14ac:dyDescent="0.35">
      <c r="A307" s="4">
        <v>45555</v>
      </c>
      <c r="B307" s="2" t="s">
        <v>631</v>
      </c>
      <c r="D307" s="2" t="s">
        <v>180</v>
      </c>
      <c r="E307" s="2" t="s">
        <v>181</v>
      </c>
      <c r="F307" s="5" t="str">
        <f t="shared" si="10"/>
        <v>04/24 FILIP ADISOR BALEA</v>
      </c>
      <c r="G307" s="12">
        <f t="shared" si="24"/>
        <v>1980.1652892561983</v>
      </c>
      <c r="H307">
        <v>21</v>
      </c>
      <c r="I307" s="5">
        <f t="shared" si="23"/>
        <v>415.83471074380162</v>
      </c>
      <c r="J307" s="5">
        <f t="shared" si="25"/>
        <v>1980.1652892561983</v>
      </c>
      <c r="L307" s="5">
        <f t="shared" si="26"/>
        <v>0</v>
      </c>
      <c r="M307" s="8">
        <v>2396</v>
      </c>
      <c r="N307" s="2" t="s">
        <v>37</v>
      </c>
      <c r="O307" s="3" t="s">
        <v>68</v>
      </c>
    </row>
    <row r="308" spans="1:15" x14ac:dyDescent="0.35">
      <c r="A308" s="4">
        <v>45565</v>
      </c>
      <c r="B308" s="2" t="s">
        <v>2516</v>
      </c>
      <c r="D308" s="2" t="s">
        <v>2282</v>
      </c>
      <c r="E308" s="2" t="s">
        <v>2283</v>
      </c>
      <c r="F308" s="5" t="str">
        <f t="shared" si="10"/>
        <v>503 SPAUCO TUNING</v>
      </c>
      <c r="G308" s="12">
        <f t="shared" si="24"/>
        <v>148.67768595041323</v>
      </c>
      <c r="H308">
        <v>21</v>
      </c>
      <c r="I308" s="5">
        <f t="shared" si="23"/>
        <v>31.222314049586782</v>
      </c>
      <c r="J308" s="5">
        <f t="shared" si="25"/>
        <v>148.67768595041323</v>
      </c>
      <c r="L308" s="5">
        <f t="shared" si="26"/>
        <v>0</v>
      </c>
      <c r="M308" s="8">
        <v>179.9</v>
      </c>
      <c r="N308" s="2" t="s">
        <v>53</v>
      </c>
      <c r="O308" s="3" t="s">
        <v>68</v>
      </c>
    </row>
    <row r="309" spans="1:15" x14ac:dyDescent="0.35">
      <c r="A309" s="4">
        <v>45540</v>
      </c>
      <c r="B309" s="2" t="s">
        <v>2518</v>
      </c>
      <c r="D309" s="2" t="s">
        <v>2519</v>
      </c>
      <c r="E309" s="2" t="s">
        <v>2520</v>
      </c>
      <c r="F309" s="5" t="str">
        <f t="shared" si="10"/>
        <v>24-2506 PROMALLAS</v>
      </c>
      <c r="G309" s="12">
        <f t="shared" si="24"/>
        <v>540</v>
      </c>
      <c r="H309">
        <v>21</v>
      </c>
      <c r="I309" s="5">
        <f t="shared" si="23"/>
        <v>113.4</v>
      </c>
      <c r="J309" s="5">
        <f t="shared" si="25"/>
        <v>540</v>
      </c>
      <c r="L309" s="5">
        <f t="shared" si="26"/>
        <v>0</v>
      </c>
      <c r="M309" s="8">
        <v>653.4</v>
      </c>
      <c r="N309" s="2" t="s">
        <v>21</v>
      </c>
      <c r="O309" s="3" t="s">
        <v>68</v>
      </c>
    </row>
    <row r="310" spans="1:15" x14ac:dyDescent="0.35">
      <c r="A310" s="4">
        <v>45565</v>
      </c>
      <c r="B310" s="2" t="s">
        <v>2521</v>
      </c>
      <c r="D310" s="2" t="s">
        <v>94</v>
      </c>
      <c r="E310" s="2" t="s">
        <v>139</v>
      </c>
      <c r="F310" s="5" t="str">
        <f t="shared" si="10"/>
        <v>VEN/20288642 BIGMAT</v>
      </c>
      <c r="G310" s="12">
        <f t="shared" si="24"/>
        <v>1578.7190082644629</v>
      </c>
      <c r="H310">
        <v>21</v>
      </c>
      <c r="I310" s="5">
        <f t="shared" si="23"/>
        <v>331.53099173553727</v>
      </c>
      <c r="J310" s="5">
        <f t="shared" si="25"/>
        <v>1578.7190082644629</v>
      </c>
      <c r="L310" s="5">
        <f t="shared" si="26"/>
        <v>0</v>
      </c>
      <c r="M310" s="8">
        <v>1910.25</v>
      </c>
      <c r="N310" s="2" t="s">
        <v>21</v>
      </c>
      <c r="O310" s="3" t="s">
        <v>67</v>
      </c>
    </row>
    <row r="311" spans="1:15" x14ac:dyDescent="0.35">
      <c r="A311" s="4">
        <v>45565</v>
      </c>
      <c r="B311" s="2" t="s">
        <v>2522</v>
      </c>
      <c r="D311" s="2" t="s">
        <v>200</v>
      </c>
      <c r="E311" s="2" t="s">
        <v>186</v>
      </c>
      <c r="F311" s="5" t="str">
        <f t="shared" si="10"/>
        <v>0124986 I.D.F. SUMINISTROS INDUSTRIALES</v>
      </c>
      <c r="G311" s="12">
        <f t="shared" si="24"/>
        <v>136.58677685950414</v>
      </c>
      <c r="H311">
        <v>21</v>
      </c>
      <c r="I311" s="5">
        <f t="shared" si="23"/>
        <v>28.683223140495869</v>
      </c>
      <c r="J311" s="5">
        <f t="shared" si="25"/>
        <v>136.58677685950414</v>
      </c>
      <c r="L311" s="5">
        <f t="shared" si="26"/>
        <v>0</v>
      </c>
      <c r="M311" s="8">
        <v>165.27</v>
      </c>
      <c r="N311" s="2" t="s">
        <v>21</v>
      </c>
      <c r="O311" s="3" t="s">
        <v>67</v>
      </c>
    </row>
    <row r="312" spans="1:15" x14ac:dyDescent="0.35">
      <c r="A312" s="4">
        <v>45565</v>
      </c>
      <c r="B312" s="2" t="s">
        <v>2523</v>
      </c>
      <c r="D312" s="2" t="s">
        <v>254</v>
      </c>
      <c r="E312" s="2" t="s">
        <v>2524</v>
      </c>
      <c r="F312" s="5" t="str">
        <f t="shared" si="10"/>
        <v>406401168 SUMINISTROS ELECTRICOS BPV VALDEMORO S.L.</v>
      </c>
      <c r="G312" s="12">
        <f t="shared" si="24"/>
        <v>406.74380165289261</v>
      </c>
      <c r="H312">
        <v>21</v>
      </c>
      <c r="I312" s="5">
        <f t="shared" si="23"/>
        <v>85.416198347107454</v>
      </c>
      <c r="J312" s="5">
        <f t="shared" si="25"/>
        <v>406.74380165289261</v>
      </c>
      <c r="L312" s="5">
        <f t="shared" si="26"/>
        <v>0</v>
      </c>
      <c r="M312" s="8">
        <v>492.16</v>
      </c>
      <c r="N312" s="2" t="s">
        <v>21</v>
      </c>
      <c r="O312" s="3" t="s">
        <v>67</v>
      </c>
    </row>
    <row r="313" spans="1:15" x14ac:dyDescent="0.35">
      <c r="A313" s="4">
        <v>45565</v>
      </c>
      <c r="B313" s="2" t="s">
        <v>2525</v>
      </c>
      <c r="D313" s="2" t="s">
        <v>40</v>
      </c>
      <c r="E313" s="2" t="s">
        <v>41</v>
      </c>
      <c r="F313" s="5" t="str">
        <f t="shared" si="10"/>
        <v>1884/24 CONTENEDORES OSCONSUR</v>
      </c>
      <c r="G313" s="12">
        <f t="shared" si="24"/>
        <v>1462</v>
      </c>
      <c r="H313">
        <v>10</v>
      </c>
      <c r="I313" s="5">
        <f t="shared" si="23"/>
        <v>146.19999999999999</v>
      </c>
      <c r="J313" s="5">
        <f t="shared" si="25"/>
        <v>1462</v>
      </c>
      <c r="L313" s="5">
        <f t="shared" si="26"/>
        <v>0</v>
      </c>
      <c r="M313" s="8">
        <v>1608.2</v>
      </c>
      <c r="N313" s="2" t="s">
        <v>33</v>
      </c>
      <c r="O313" s="3" t="s">
        <v>67</v>
      </c>
    </row>
    <row r="314" spans="1:15" x14ac:dyDescent="0.35">
      <c r="A314" s="4">
        <v>45534</v>
      </c>
      <c r="B314" s="2" t="s">
        <v>1258</v>
      </c>
      <c r="D314" s="2" t="s">
        <v>45</v>
      </c>
      <c r="E314" s="2" t="s">
        <v>163</v>
      </c>
      <c r="F314" s="5" t="str">
        <f t="shared" si="10"/>
        <v>06/24 EMANUEL CODITA</v>
      </c>
      <c r="G314" s="12">
        <f t="shared" si="24"/>
        <v>2400</v>
      </c>
      <c r="H314">
        <v>21</v>
      </c>
      <c r="I314" s="5">
        <f t="shared" si="23"/>
        <v>504</v>
      </c>
      <c r="J314" s="5">
        <f t="shared" si="25"/>
        <v>2400</v>
      </c>
      <c r="L314" s="5">
        <f t="shared" si="26"/>
        <v>0</v>
      </c>
      <c r="M314" s="8">
        <v>2904</v>
      </c>
      <c r="N314" s="2" t="s">
        <v>37</v>
      </c>
      <c r="O314" s="3" t="s">
        <v>68</v>
      </c>
    </row>
    <row r="315" spans="1:15" x14ac:dyDescent="0.35">
      <c r="A315" s="4">
        <v>45565</v>
      </c>
      <c r="B315" s="2" t="s">
        <v>2394</v>
      </c>
      <c r="D315" s="2" t="s">
        <v>234</v>
      </c>
      <c r="E315" s="2" t="s">
        <v>235</v>
      </c>
      <c r="F315" s="5" t="str">
        <f t="shared" si="10"/>
        <v>14/24 VIOREL ROBCIUC</v>
      </c>
      <c r="G315" s="12">
        <f t="shared" si="24"/>
        <v>1358</v>
      </c>
      <c r="H315">
        <v>21</v>
      </c>
      <c r="I315" s="5">
        <f t="shared" si="23"/>
        <v>285.18</v>
      </c>
      <c r="J315" s="5">
        <f t="shared" si="25"/>
        <v>1358</v>
      </c>
      <c r="L315" s="5">
        <f t="shared" si="26"/>
        <v>0</v>
      </c>
      <c r="M315" s="8">
        <v>1643.18</v>
      </c>
      <c r="N315" s="2" t="s">
        <v>37</v>
      </c>
      <c r="O315" s="3" t="s">
        <v>68</v>
      </c>
    </row>
    <row r="316" spans="1:15" x14ac:dyDescent="0.35">
      <c r="A316" s="4">
        <v>45565</v>
      </c>
      <c r="B316" s="2" t="s">
        <v>2526</v>
      </c>
      <c r="D316" s="2" t="s">
        <v>95</v>
      </c>
      <c r="E316" s="2" t="s">
        <v>96</v>
      </c>
      <c r="F316" s="5" t="str">
        <f t="shared" ref="F316:F430" si="27">CONCATENATE(S316,B316," ",E316)</f>
        <v>16/24 MARCEL DUMITER BEGOFF</v>
      </c>
      <c r="G316" s="12">
        <f t="shared" si="24"/>
        <v>2100</v>
      </c>
      <c r="H316">
        <v>21</v>
      </c>
      <c r="I316" s="5">
        <f t="shared" si="23"/>
        <v>441</v>
      </c>
      <c r="J316" s="5">
        <f t="shared" si="25"/>
        <v>2100</v>
      </c>
      <c r="L316" s="5">
        <f t="shared" si="26"/>
        <v>0</v>
      </c>
      <c r="M316" s="8">
        <v>2541</v>
      </c>
      <c r="N316" s="2" t="s">
        <v>37</v>
      </c>
      <c r="O316" s="3" t="s">
        <v>68</v>
      </c>
    </row>
    <row r="317" spans="1:15" x14ac:dyDescent="0.35">
      <c r="A317" s="4">
        <v>45545</v>
      </c>
      <c r="B317" s="2" t="s">
        <v>2527</v>
      </c>
      <c r="D317" s="2" t="s">
        <v>1119</v>
      </c>
      <c r="E317" s="2" t="s">
        <v>2127</v>
      </c>
      <c r="F317" s="5" t="str">
        <f t="shared" si="27"/>
        <v>452704363 GUARCONSA</v>
      </c>
      <c r="G317" s="12">
        <f t="shared" si="24"/>
        <v>265.84297520661158</v>
      </c>
      <c r="H317">
        <v>21</v>
      </c>
      <c r="I317" s="5">
        <f t="shared" si="23"/>
        <v>55.827024793388439</v>
      </c>
      <c r="J317" s="5">
        <f t="shared" si="25"/>
        <v>265.84297520661158</v>
      </c>
      <c r="L317" s="5">
        <f t="shared" si="26"/>
        <v>0</v>
      </c>
      <c r="M317" s="8">
        <v>321.67</v>
      </c>
      <c r="N317" s="2" t="s">
        <v>21</v>
      </c>
      <c r="O317" s="3" t="s">
        <v>63</v>
      </c>
    </row>
    <row r="318" spans="1:15" x14ac:dyDescent="0.35">
      <c r="A318" s="4">
        <v>45544</v>
      </c>
      <c r="B318" s="2" t="s">
        <v>2528</v>
      </c>
      <c r="D318" s="2" t="s">
        <v>58</v>
      </c>
      <c r="E318" s="2" t="s">
        <v>2028</v>
      </c>
      <c r="F318" s="5" t="str">
        <f t="shared" si="27"/>
        <v>011-0009-086018 BRICOLAJE BRICOMAN</v>
      </c>
      <c r="G318" s="12">
        <f t="shared" si="24"/>
        <v>113.72727272727275</v>
      </c>
      <c r="H318">
        <v>21</v>
      </c>
      <c r="I318" s="5">
        <f t="shared" si="23"/>
        <v>23.88272727272728</v>
      </c>
      <c r="J318" s="5">
        <f t="shared" si="25"/>
        <v>113.72727272727275</v>
      </c>
      <c r="L318" s="5">
        <f t="shared" si="26"/>
        <v>0</v>
      </c>
      <c r="M318" s="8">
        <v>137.61000000000001</v>
      </c>
      <c r="N318" s="2" t="s">
        <v>21</v>
      </c>
      <c r="O318" s="3" t="s">
        <v>63</v>
      </c>
    </row>
    <row r="319" spans="1:15" x14ac:dyDescent="0.35">
      <c r="A319" s="4">
        <v>45553</v>
      </c>
      <c r="B319" s="2" t="s">
        <v>2529</v>
      </c>
      <c r="D319" s="2" t="s">
        <v>58</v>
      </c>
      <c r="E319" s="2" t="s">
        <v>2028</v>
      </c>
      <c r="F319" s="5" t="str">
        <f t="shared" si="27"/>
        <v>011-0009-101164 BRICOLAJE BRICOMAN</v>
      </c>
      <c r="G319" s="12">
        <f t="shared" si="24"/>
        <v>100</v>
      </c>
      <c r="H319">
        <v>21</v>
      </c>
      <c r="I319" s="5">
        <f t="shared" si="23"/>
        <v>21</v>
      </c>
      <c r="J319" s="5">
        <f t="shared" si="25"/>
        <v>100</v>
      </c>
      <c r="L319" s="5">
        <f t="shared" si="26"/>
        <v>0</v>
      </c>
      <c r="M319" s="8">
        <v>121</v>
      </c>
      <c r="N319" s="2" t="s">
        <v>21</v>
      </c>
      <c r="O319" s="3" t="s">
        <v>63</v>
      </c>
    </row>
    <row r="320" spans="1:15" x14ac:dyDescent="0.35">
      <c r="A320" s="4">
        <v>45553</v>
      </c>
      <c r="B320" s="2" t="s">
        <v>2530</v>
      </c>
      <c r="D320" s="2" t="s">
        <v>58</v>
      </c>
      <c r="E320" s="2" t="s">
        <v>2028</v>
      </c>
      <c r="F320" s="5" t="str">
        <f t="shared" si="27"/>
        <v>011-0009-101213 BRICOLAJE BRICOMAN</v>
      </c>
      <c r="G320" s="12">
        <f t="shared" si="24"/>
        <v>27.702479338842977</v>
      </c>
      <c r="H320">
        <v>21</v>
      </c>
      <c r="I320" s="5">
        <f t="shared" si="23"/>
        <v>5.8175206611570252</v>
      </c>
      <c r="J320" s="5">
        <f t="shared" si="25"/>
        <v>27.702479338842977</v>
      </c>
      <c r="L320" s="5">
        <f t="shared" si="26"/>
        <v>0</v>
      </c>
      <c r="M320" s="8">
        <v>33.520000000000003</v>
      </c>
      <c r="N320" s="2" t="s">
        <v>21</v>
      </c>
      <c r="O320" s="3" t="s">
        <v>63</v>
      </c>
    </row>
    <row r="321" spans="1:16" x14ac:dyDescent="0.35">
      <c r="A321" s="4">
        <v>45551</v>
      </c>
      <c r="B321" s="2" t="s">
        <v>2531</v>
      </c>
      <c r="D321" s="2" t="s">
        <v>58</v>
      </c>
      <c r="E321" s="2" t="s">
        <v>2028</v>
      </c>
      <c r="F321" s="5" t="str">
        <f t="shared" si="27"/>
        <v>011-0009-096874 BRICOLAJE BRICOMAN</v>
      </c>
      <c r="G321" s="12">
        <f t="shared" si="24"/>
        <v>99.165289256198349</v>
      </c>
      <c r="H321">
        <v>21</v>
      </c>
      <c r="I321" s="5">
        <f t="shared" si="23"/>
        <v>20.824710743801653</v>
      </c>
      <c r="J321" s="5">
        <f t="shared" si="25"/>
        <v>99.165289256198349</v>
      </c>
      <c r="L321" s="5">
        <f t="shared" si="26"/>
        <v>0</v>
      </c>
      <c r="M321" s="8">
        <v>119.99</v>
      </c>
      <c r="N321" s="2" t="s">
        <v>21</v>
      </c>
      <c r="O321" s="3" t="s">
        <v>63</v>
      </c>
    </row>
    <row r="322" spans="1:16" x14ac:dyDescent="0.35">
      <c r="A322" s="4">
        <v>45546</v>
      </c>
      <c r="B322" s="2" t="s">
        <v>2532</v>
      </c>
      <c r="D322" s="2" t="s">
        <v>58</v>
      </c>
      <c r="E322" s="2" t="s">
        <v>2028</v>
      </c>
      <c r="F322" s="5" t="str">
        <f t="shared" si="27"/>
        <v>011-0009-088822 BRICOLAJE BRICOMAN</v>
      </c>
      <c r="G322" s="12">
        <f t="shared" si="24"/>
        <v>64.545454545454547</v>
      </c>
      <c r="H322">
        <v>21</v>
      </c>
      <c r="I322" s="5">
        <f t="shared" si="23"/>
        <v>13.554545454545455</v>
      </c>
      <c r="J322" s="5">
        <f t="shared" si="25"/>
        <v>64.545454545454547</v>
      </c>
      <c r="L322" s="5">
        <f t="shared" si="26"/>
        <v>0</v>
      </c>
      <c r="M322" s="8">
        <v>78.099999999999994</v>
      </c>
      <c r="N322" s="2" t="s">
        <v>21</v>
      </c>
      <c r="O322" s="3" t="s">
        <v>63</v>
      </c>
    </row>
    <row r="323" spans="1:16" x14ac:dyDescent="0.35">
      <c r="A323" s="4">
        <v>45560</v>
      </c>
      <c r="B323" s="2" t="s">
        <v>2533</v>
      </c>
      <c r="D323" s="2" t="s">
        <v>58</v>
      </c>
      <c r="E323" s="2" t="s">
        <v>2028</v>
      </c>
      <c r="F323" s="5" t="str">
        <f t="shared" si="27"/>
        <v>011-0009-113324 BRICOLAJE BRICOMAN</v>
      </c>
      <c r="G323" s="12">
        <f t="shared" si="24"/>
        <v>5.8181818181818183</v>
      </c>
      <c r="H323">
        <v>21</v>
      </c>
      <c r="I323" s="5">
        <f t="shared" si="23"/>
        <v>1.2218181818181819</v>
      </c>
      <c r="J323" s="5">
        <f t="shared" si="25"/>
        <v>5.8181818181818183</v>
      </c>
      <c r="L323" s="5">
        <f t="shared" si="26"/>
        <v>0</v>
      </c>
      <c r="M323" s="8">
        <v>7.04</v>
      </c>
      <c r="N323" s="2" t="s">
        <v>21</v>
      </c>
      <c r="O323" s="3" t="s">
        <v>63</v>
      </c>
    </row>
    <row r="324" spans="1:16" x14ac:dyDescent="0.35">
      <c r="A324" s="4">
        <v>45565</v>
      </c>
      <c r="B324" s="2" t="s">
        <v>2534</v>
      </c>
      <c r="D324" s="2" t="s">
        <v>58</v>
      </c>
      <c r="E324" s="2" t="s">
        <v>2028</v>
      </c>
      <c r="F324" s="5" t="str">
        <f t="shared" si="27"/>
        <v>011-0009-120712 BRICOLAJE BRICOMAN</v>
      </c>
      <c r="G324" s="12">
        <f t="shared" si="24"/>
        <v>5.1570247933884303</v>
      </c>
      <c r="H324">
        <v>21</v>
      </c>
      <c r="I324" s="5">
        <f t="shared" si="23"/>
        <v>1.0829752066115703</v>
      </c>
      <c r="J324" s="5">
        <f t="shared" si="25"/>
        <v>5.1570247933884303</v>
      </c>
      <c r="L324" s="5">
        <f t="shared" si="26"/>
        <v>0</v>
      </c>
      <c r="M324" s="8">
        <v>6.24</v>
      </c>
      <c r="N324" s="2" t="s">
        <v>21</v>
      </c>
      <c r="O324" s="3" t="s">
        <v>63</v>
      </c>
    </row>
    <row r="325" spans="1:16" x14ac:dyDescent="0.35">
      <c r="A325" s="4">
        <v>45558</v>
      </c>
      <c r="B325" s="2" t="s">
        <v>2535</v>
      </c>
      <c r="D325" s="2" t="s">
        <v>82</v>
      </c>
      <c r="E325" s="2" t="s">
        <v>2536</v>
      </c>
      <c r="F325" s="5" t="str">
        <f t="shared" si="27"/>
        <v>CO F24 01000002737 FILTROS ACONCORA</v>
      </c>
      <c r="G325" s="12">
        <f t="shared" si="24"/>
        <v>68</v>
      </c>
      <c r="H325">
        <v>21</v>
      </c>
      <c r="I325" s="5">
        <f t="shared" si="23"/>
        <v>14.28</v>
      </c>
      <c r="J325" s="5">
        <f t="shared" si="25"/>
        <v>68</v>
      </c>
      <c r="L325" s="5">
        <f t="shared" si="26"/>
        <v>0</v>
      </c>
      <c r="M325" s="8">
        <v>82.28</v>
      </c>
      <c r="N325" s="2" t="s">
        <v>21</v>
      </c>
      <c r="O325" s="3" t="s">
        <v>64</v>
      </c>
    </row>
    <row r="326" spans="1:16" x14ac:dyDescent="0.35">
      <c r="A326" s="4">
        <v>45554</v>
      </c>
      <c r="B326" s="2" t="s">
        <v>2537</v>
      </c>
      <c r="D326" s="2" t="s">
        <v>99</v>
      </c>
      <c r="E326" s="2" t="s">
        <v>262</v>
      </c>
      <c r="F326" s="5" t="str">
        <f t="shared" si="27"/>
        <v>0000103627 DISA</v>
      </c>
      <c r="G326" s="12">
        <f t="shared" si="24"/>
        <v>88.413223140495873</v>
      </c>
      <c r="H326">
        <v>21</v>
      </c>
      <c r="I326" s="5">
        <f t="shared" si="23"/>
        <v>18.566776859504134</v>
      </c>
      <c r="J326" s="5">
        <f t="shared" si="25"/>
        <v>88.413223140495873</v>
      </c>
      <c r="L326" s="5">
        <f t="shared" si="26"/>
        <v>0</v>
      </c>
      <c r="M326" s="8">
        <v>106.98</v>
      </c>
      <c r="N326" s="2" t="s">
        <v>22</v>
      </c>
      <c r="O326" s="3" t="s">
        <v>63</v>
      </c>
    </row>
    <row r="327" spans="1:16" x14ac:dyDescent="0.35">
      <c r="A327" s="4">
        <v>45565</v>
      </c>
      <c r="B327" s="2" t="s">
        <v>2538</v>
      </c>
      <c r="D327" s="2" t="s">
        <v>58</v>
      </c>
      <c r="E327" s="2" t="s">
        <v>2028</v>
      </c>
      <c r="F327" s="5" t="str">
        <f t="shared" si="27"/>
        <v>007-0009-740275 BRICOLAJE BRICOMAN</v>
      </c>
      <c r="G327" s="12">
        <f t="shared" si="24"/>
        <v>619.00826446280996</v>
      </c>
      <c r="H327">
        <v>21</v>
      </c>
      <c r="I327" s="5">
        <f t="shared" si="23"/>
        <v>129.9917355371901</v>
      </c>
      <c r="J327" s="5">
        <f t="shared" si="25"/>
        <v>619.00826446280996</v>
      </c>
      <c r="L327" s="5">
        <f t="shared" si="26"/>
        <v>0</v>
      </c>
      <c r="M327" s="8">
        <v>749</v>
      </c>
      <c r="N327" s="2" t="s">
        <v>21</v>
      </c>
      <c r="O327" s="3" t="s">
        <v>64</v>
      </c>
    </row>
    <row r="328" spans="1:16" x14ac:dyDescent="0.35">
      <c r="A328" s="4">
        <v>45552</v>
      </c>
      <c r="B328" s="2" t="s">
        <v>2539</v>
      </c>
      <c r="D328" s="2" t="s">
        <v>58</v>
      </c>
      <c r="E328" s="2" t="s">
        <v>2028</v>
      </c>
      <c r="F328" s="5" t="str">
        <f t="shared" si="27"/>
        <v>0007-0009-721107 BRICOLAJE BRICOMAN</v>
      </c>
      <c r="G328" s="12">
        <f t="shared" si="24"/>
        <v>19.421487603305785</v>
      </c>
      <c r="H328">
        <v>21</v>
      </c>
      <c r="I328" s="5">
        <f t="shared" si="23"/>
        <v>4.0785123966942152</v>
      </c>
      <c r="J328" s="5">
        <f t="shared" si="25"/>
        <v>19.421487603305785</v>
      </c>
      <c r="L328" s="5">
        <f t="shared" si="26"/>
        <v>0</v>
      </c>
      <c r="M328" s="8">
        <v>23.5</v>
      </c>
      <c r="N328" s="2" t="s">
        <v>21</v>
      </c>
      <c r="O328" s="3" t="s">
        <v>64</v>
      </c>
      <c r="P328" s="16"/>
    </row>
    <row r="329" spans="1:16" x14ac:dyDescent="0.35">
      <c r="A329" s="4">
        <v>45505</v>
      </c>
      <c r="B329" s="2" t="s">
        <v>2540</v>
      </c>
      <c r="D329" s="2" t="s">
        <v>58</v>
      </c>
      <c r="E329" s="2" t="s">
        <v>2028</v>
      </c>
      <c r="F329" s="5" t="str">
        <f t="shared" si="27"/>
        <v>007-0008-661145 BRICOLAJE BRICOMAN</v>
      </c>
      <c r="G329" s="12">
        <f t="shared" si="24"/>
        <v>70.041322314049594</v>
      </c>
      <c r="H329">
        <v>21</v>
      </c>
      <c r="I329" s="5">
        <f t="shared" si="23"/>
        <v>14.708677685950414</v>
      </c>
      <c r="J329" s="5">
        <f t="shared" si="25"/>
        <v>70.041322314049594</v>
      </c>
      <c r="L329" s="5">
        <f t="shared" si="26"/>
        <v>0</v>
      </c>
      <c r="M329" s="8">
        <v>84.75</v>
      </c>
      <c r="N329" s="2" t="s">
        <v>21</v>
      </c>
      <c r="O329" s="3" t="s">
        <v>64</v>
      </c>
      <c r="P329" s="17"/>
    </row>
    <row r="330" spans="1:16" x14ac:dyDescent="0.35">
      <c r="A330" s="4">
        <v>45534</v>
      </c>
      <c r="B330" s="2" t="s">
        <v>2541</v>
      </c>
      <c r="D330" s="2" t="s">
        <v>58</v>
      </c>
      <c r="E330" s="2" t="s">
        <v>2028</v>
      </c>
      <c r="F330" s="5" t="str">
        <f t="shared" si="27"/>
        <v>007-0008-697813 BRICOLAJE BRICOMAN</v>
      </c>
      <c r="G330" s="12">
        <f t="shared" si="24"/>
        <v>24.619834710743802</v>
      </c>
      <c r="H330">
        <v>21</v>
      </c>
      <c r="I330" s="5">
        <f t="shared" si="23"/>
        <v>5.1701652892561984</v>
      </c>
      <c r="J330" s="5">
        <f t="shared" si="25"/>
        <v>24.619834710743802</v>
      </c>
      <c r="L330" s="5">
        <f t="shared" si="26"/>
        <v>0</v>
      </c>
      <c r="M330" s="8">
        <v>29.79</v>
      </c>
      <c r="N330" s="2" t="s">
        <v>21</v>
      </c>
      <c r="O330" s="3" t="s">
        <v>64</v>
      </c>
      <c r="P330" s="17"/>
    </row>
    <row r="331" spans="1:16" x14ac:dyDescent="0.35">
      <c r="A331" s="4">
        <v>45558</v>
      </c>
      <c r="B331" s="2" t="s">
        <v>2542</v>
      </c>
      <c r="D331" s="2" t="s">
        <v>58</v>
      </c>
      <c r="E331" s="2" t="s">
        <v>2028</v>
      </c>
      <c r="F331" s="5" t="str">
        <f t="shared" si="27"/>
        <v>007-0009-729860 BRICOLAJE BRICOMAN</v>
      </c>
      <c r="G331" s="12">
        <f t="shared" si="24"/>
        <v>145.37190082644628</v>
      </c>
      <c r="H331">
        <v>21</v>
      </c>
      <c r="I331" s="5">
        <f t="shared" si="23"/>
        <v>30.52809917355372</v>
      </c>
      <c r="J331" s="5">
        <f t="shared" si="25"/>
        <v>145.37190082644628</v>
      </c>
      <c r="L331" s="5">
        <f t="shared" si="26"/>
        <v>0</v>
      </c>
      <c r="M331" s="8">
        <v>175.9</v>
      </c>
      <c r="N331" s="2" t="s">
        <v>21</v>
      </c>
      <c r="O331" s="3" t="s">
        <v>64</v>
      </c>
      <c r="P331" s="16"/>
    </row>
    <row r="332" spans="1:16" x14ac:dyDescent="0.35">
      <c r="A332" s="4">
        <v>45559</v>
      </c>
      <c r="B332" s="2" t="s">
        <v>2543</v>
      </c>
      <c r="D332" s="2" t="s">
        <v>58</v>
      </c>
      <c r="E332" s="2" t="s">
        <v>2028</v>
      </c>
      <c r="F332" s="5" t="str">
        <f t="shared" si="27"/>
        <v>024-0009-442286 BRICOLAJE BRICOMAN</v>
      </c>
      <c r="G332" s="12">
        <f t="shared" si="24"/>
        <v>165.91735537190081</v>
      </c>
      <c r="H332">
        <v>21</v>
      </c>
      <c r="I332" s="5">
        <f t="shared" si="23"/>
        <v>34.842644628099173</v>
      </c>
      <c r="J332" s="5">
        <f t="shared" si="25"/>
        <v>165.91735537190081</v>
      </c>
      <c r="L332" s="5">
        <f t="shared" si="26"/>
        <v>0</v>
      </c>
      <c r="M332" s="8">
        <v>200.76</v>
      </c>
      <c r="N332" s="2" t="s">
        <v>21</v>
      </c>
      <c r="O332" s="3" t="s">
        <v>64</v>
      </c>
      <c r="P332" s="16"/>
    </row>
    <row r="333" spans="1:16" x14ac:dyDescent="0.35">
      <c r="A333" s="4">
        <v>45561</v>
      </c>
      <c r="B333" s="2" t="s">
        <v>2544</v>
      </c>
      <c r="D333" s="2" t="s">
        <v>2545</v>
      </c>
      <c r="E333" s="2" t="s">
        <v>2546</v>
      </c>
      <c r="F333" s="5" t="str">
        <f t="shared" si="27"/>
        <v>73000657 GASOLEOS GETAFE S.L.</v>
      </c>
      <c r="G333" s="12">
        <f t="shared" si="24"/>
        <v>1113.2231404958677</v>
      </c>
      <c r="H333">
        <v>21</v>
      </c>
      <c r="I333" s="5">
        <f t="shared" si="23"/>
        <v>233.77685950413223</v>
      </c>
      <c r="J333" s="5">
        <f t="shared" si="25"/>
        <v>1113.2231404958677</v>
      </c>
      <c r="L333" s="5">
        <f t="shared" si="26"/>
        <v>0</v>
      </c>
      <c r="M333" s="8">
        <v>1347</v>
      </c>
      <c r="N333" s="2" t="s">
        <v>22</v>
      </c>
      <c r="O333" s="3" t="s">
        <v>63</v>
      </c>
    </row>
    <row r="334" spans="1:16" x14ac:dyDescent="0.35">
      <c r="A334" s="4">
        <v>45527</v>
      </c>
      <c r="B334" s="2" t="s">
        <v>2547</v>
      </c>
      <c r="D334" s="2" t="s">
        <v>58</v>
      </c>
      <c r="E334" s="2" t="s">
        <v>2028</v>
      </c>
      <c r="F334" s="5" t="str">
        <f t="shared" si="27"/>
        <v>007-0008-R083912 BRICOLAJE BRICOMAN</v>
      </c>
      <c r="G334" s="12">
        <f t="shared" si="24"/>
        <v>-64.793388429752071</v>
      </c>
      <c r="H334">
        <v>21</v>
      </c>
      <c r="I334" s="5">
        <f t="shared" si="23"/>
        <v>-13.606611570247935</v>
      </c>
      <c r="J334" s="5">
        <f t="shared" si="25"/>
        <v>-64.793388429752071</v>
      </c>
      <c r="L334" s="5">
        <f t="shared" si="26"/>
        <v>0</v>
      </c>
      <c r="M334" s="8">
        <v>-78.400000000000006</v>
      </c>
      <c r="N334" s="2" t="s">
        <v>21</v>
      </c>
      <c r="O334" s="3" t="s">
        <v>64</v>
      </c>
    </row>
    <row r="335" spans="1:16" x14ac:dyDescent="0.35">
      <c r="A335" s="4">
        <v>45520</v>
      </c>
      <c r="B335" s="2" t="s">
        <v>2548</v>
      </c>
      <c r="D335" s="2" t="s">
        <v>58</v>
      </c>
      <c r="E335" s="2" t="s">
        <v>2028</v>
      </c>
      <c r="F335" s="5" t="str">
        <f t="shared" si="27"/>
        <v>012-0008-253630 BRICOLAJE BRICOMAN</v>
      </c>
      <c r="G335" s="12">
        <f t="shared" si="24"/>
        <v>610.59504132231416</v>
      </c>
      <c r="H335">
        <v>21</v>
      </c>
      <c r="I335" s="5">
        <f t="shared" si="23"/>
        <v>128.22495867768598</v>
      </c>
      <c r="J335" s="5">
        <f t="shared" si="25"/>
        <v>610.59504132231416</v>
      </c>
      <c r="L335" s="5">
        <f t="shared" si="26"/>
        <v>0</v>
      </c>
      <c r="M335" s="8">
        <v>738.82</v>
      </c>
      <c r="N335" s="2" t="s">
        <v>21</v>
      </c>
      <c r="O335" s="3" t="s">
        <v>64</v>
      </c>
    </row>
    <row r="336" spans="1:16" x14ac:dyDescent="0.35">
      <c r="A336" s="4">
        <v>45520</v>
      </c>
      <c r="B336" s="2" t="s">
        <v>2549</v>
      </c>
      <c r="D336" s="2" t="s">
        <v>58</v>
      </c>
      <c r="E336" s="2" t="s">
        <v>2028</v>
      </c>
      <c r="F336" s="5" t="str">
        <f t="shared" si="27"/>
        <v>007-0008-R083103 BRICOLAJE BRICOMAN</v>
      </c>
      <c r="G336" s="12">
        <f t="shared" si="24"/>
        <v>-105.86776859504133</v>
      </c>
      <c r="H336">
        <v>21</v>
      </c>
      <c r="I336" s="5">
        <f t="shared" si="23"/>
        <v>-22.232231404958679</v>
      </c>
      <c r="J336" s="5">
        <f t="shared" si="25"/>
        <v>-105.86776859504133</v>
      </c>
      <c r="L336" s="5">
        <f t="shared" si="26"/>
        <v>0</v>
      </c>
      <c r="M336" s="8">
        <v>-128.1</v>
      </c>
      <c r="N336" s="2" t="s">
        <v>21</v>
      </c>
      <c r="O336" s="3" t="s">
        <v>64</v>
      </c>
    </row>
    <row r="337" spans="1:15" x14ac:dyDescent="0.35">
      <c r="A337" s="4">
        <v>45524</v>
      </c>
      <c r="B337" s="2" t="s">
        <v>2550</v>
      </c>
      <c r="D337" s="2" t="s">
        <v>58</v>
      </c>
      <c r="E337" s="2" t="s">
        <v>2028</v>
      </c>
      <c r="F337" s="5" t="str">
        <f t="shared" si="27"/>
        <v>007-0008-683860 BRICOLAJE BRICOMAN</v>
      </c>
      <c r="G337" s="12">
        <f t="shared" si="24"/>
        <v>35.925619834710744</v>
      </c>
      <c r="H337">
        <v>21</v>
      </c>
      <c r="I337" s="5">
        <f t="shared" si="23"/>
        <v>7.5443801652892555</v>
      </c>
      <c r="J337" s="5">
        <f t="shared" si="25"/>
        <v>35.925619834710744</v>
      </c>
      <c r="L337" s="5">
        <f t="shared" si="26"/>
        <v>0</v>
      </c>
      <c r="M337" s="8">
        <v>43.47</v>
      </c>
      <c r="N337" s="2" t="s">
        <v>21</v>
      </c>
      <c r="O337" s="3" t="s">
        <v>64</v>
      </c>
    </row>
    <row r="338" spans="1:15" x14ac:dyDescent="0.35">
      <c r="A338" s="4">
        <v>45525</v>
      </c>
      <c r="B338" s="2" t="s">
        <v>2551</v>
      </c>
      <c r="D338" s="2" t="s">
        <v>58</v>
      </c>
      <c r="E338" s="2" t="s">
        <v>2028</v>
      </c>
      <c r="F338" s="5" t="str">
        <f t="shared" si="27"/>
        <v>007-0008-685413 BRICOLAJE BRICOMAN</v>
      </c>
      <c r="G338" s="12">
        <f t="shared" si="24"/>
        <v>228.20661157024793</v>
      </c>
      <c r="H338">
        <v>21</v>
      </c>
      <c r="I338" s="5">
        <f t="shared" si="23"/>
        <v>47.923388429752066</v>
      </c>
      <c r="J338" s="5">
        <f t="shared" si="25"/>
        <v>228.20661157024793</v>
      </c>
      <c r="L338" s="5">
        <f t="shared" si="26"/>
        <v>0</v>
      </c>
      <c r="M338" s="8">
        <v>276.13</v>
      </c>
      <c r="N338" s="2" t="s">
        <v>21</v>
      </c>
      <c r="O338" s="3" t="s">
        <v>64</v>
      </c>
    </row>
    <row r="339" spans="1:15" x14ac:dyDescent="0.35">
      <c r="A339" s="4">
        <v>45527</v>
      </c>
      <c r="B339" s="2" t="s">
        <v>2552</v>
      </c>
      <c r="D339" s="2" t="s">
        <v>58</v>
      </c>
      <c r="E339" s="2" t="s">
        <v>2028</v>
      </c>
      <c r="F339" s="5" t="str">
        <f t="shared" si="27"/>
        <v>007-0008-R083913 BRICOLAJE BRICOMAN</v>
      </c>
      <c r="G339" s="12">
        <f t="shared" si="24"/>
        <v>-23.966942148760332</v>
      </c>
      <c r="H339">
        <v>21</v>
      </c>
      <c r="I339" s="5">
        <f t="shared" si="23"/>
        <v>-5.0330578512396702</v>
      </c>
      <c r="J339" s="5">
        <f t="shared" si="25"/>
        <v>-23.966942148760332</v>
      </c>
      <c r="L339" s="5">
        <f t="shared" si="26"/>
        <v>0</v>
      </c>
      <c r="M339" s="8">
        <v>-29</v>
      </c>
      <c r="N339" s="2" t="s">
        <v>21</v>
      </c>
      <c r="O339" s="3" t="s">
        <v>64</v>
      </c>
    </row>
    <row r="340" spans="1:15" x14ac:dyDescent="0.35">
      <c r="A340" s="4">
        <v>45503</v>
      </c>
      <c r="B340" s="2" t="s">
        <v>2553</v>
      </c>
      <c r="D340" s="2" t="s">
        <v>58</v>
      </c>
      <c r="E340" s="2" t="s">
        <v>2028</v>
      </c>
      <c r="F340" s="5" t="str">
        <f t="shared" si="27"/>
        <v>007-0007-658852 BRICOLAJE BRICOMAN</v>
      </c>
      <c r="G340" s="12">
        <f t="shared" si="24"/>
        <v>279.3388429752066</v>
      </c>
      <c r="H340">
        <v>21</v>
      </c>
      <c r="I340" s="5">
        <f t="shared" si="23"/>
        <v>58.661157024793383</v>
      </c>
      <c r="J340" s="5">
        <f t="shared" si="25"/>
        <v>279.3388429752066</v>
      </c>
      <c r="L340" s="5">
        <f t="shared" si="26"/>
        <v>0</v>
      </c>
      <c r="M340" s="8">
        <v>338</v>
      </c>
      <c r="N340" s="2" t="s">
        <v>21</v>
      </c>
      <c r="O340" s="3" t="s">
        <v>64</v>
      </c>
    </row>
    <row r="341" spans="1:15" x14ac:dyDescent="0.35">
      <c r="A341" s="4">
        <v>45502</v>
      </c>
      <c r="B341" s="2" t="s">
        <v>2554</v>
      </c>
      <c r="D341" s="2" t="s">
        <v>58</v>
      </c>
      <c r="E341" s="2" t="s">
        <v>2028</v>
      </c>
      <c r="F341" s="5" t="str">
        <f t="shared" si="27"/>
        <v>007-0007-656567 BRICOLAJE BRICOMAN</v>
      </c>
      <c r="G341" s="12">
        <f t="shared" si="24"/>
        <v>211.40495867768595</v>
      </c>
      <c r="H341">
        <v>21</v>
      </c>
      <c r="I341" s="5">
        <f t="shared" si="23"/>
        <v>44.395041322314043</v>
      </c>
      <c r="J341" s="5">
        <f t="shared" si="25"/>
        <v>211.40495867768595</v>
      </c>
      <c r="L341" s="5">
        <f t="shared" si="26"/>
        <v>0</v>
      </c>
      <c r="M341" s="8">
        <v>255.8</v>
      </c>
      <c r="N341" s="2" t="s">
        <v>21</v>
      </c>
      <c r="O341" s="3" t="s">
        <v>64</v>
      </c>
    </row>
    <row r="342" spans="1:15" x14ac:dyDescent="0.35">
      <c r="A342" s="4">
        <v>45510</v>
      </c>
      <c r="B342" s="2" t="s">
        <v>2555</v>
      </c>
      <c r="D342" s="2" t="s">
        <v>58</v>
      </c>
      <c r="E342" s="2" t="s">
        <v>2028</v>
      </c>
      <c r="F342" s="5" t="str">
        <f t="shared" si="27"/>
        <v>007-0008-667868 BRICOLAJE BRICOMAN</v>
      </c>
      <c r="G342" s="12">
        <f t="shared" si="24"/>
        <v>111.59504132231406</v>
      </c>
      <c r="H342">
        <v>21</v>
      </c>
      <c r="I342" s="5">
        <f t="shared" si="23"/>
        <v>23.434958677685955</v>
      </c>
      <c r="J342" s="5">
        <f t="shared" si="25"/>
        <v>111.59504132231406</v>
      </c>
      <c r="L342" s="5">
        <f t="shared" si="26"/>
        <v>0</v>
      </c>
      <c r="M342" s="8">
        <v>135.03</v>
      </c>
      <c r="N342" s="2" t="s">
        <v>21</v>
      </c>
      <c r="O342" s="3" t="s">
        <v>64</v>
      </c>
    </row>
    <row r="343" spans="1:15" x14ac:dyDescent="0.35">
      <c r="A343" s="4">
        <v>45512</v>
      </c>
      <c r="B343" s="2" t="s">
        <v>2556</v>
      </c>
      <c r="D343" s="2" t="s">
        <v>58</v>
      </c>
      <c r="E343" s="2" t="s">
        <v>2028</v>
      </c>
      <c r="F343" s="5" t="str">
        <f t="shared" si="27"/>
        <v>020-0008-693666 BRICOLAJE BRICOMAN</v>
      </c>
      <c r="G343" s="12">
        <f t="shared" si="24"/>
        <v>160.03305785123968</v>
      </c>
      <c r="H343">
        <v>21</v>
      </c>
      <c r="I343" s="5">
        <f t="shared" si="23"/>
        <v>33.606942148760332</v>
      </c>
      <c r="J343" s="5">
        <f t="shared" si="25"/>
        <v>160.03305785123968</v>
      </c>
      <c r="L343" s="5">
        <f t="shared" si="26"/>
        <v>0</v>
      </c>
      <c r="M343" s="8">
        <v>193.64</v>
      </c>
      <c r="N343" s="2" t="s">
        <v>21</v>
      </c>
      <c r="O343" s="3" t="s">
        <v>64</v>
      </c>
    </row>
    <row r="344" spans="1:15" x14ac:dyDescent="0.35">
      <c r="A344" s="4">
        <v>45512</v>
      </c>
      <c r="B344" s="2" t="s">
        <v>2557</v>
      </c>
      <c r="D344" s="2" t="s">
        <v>58</v>
      </c>
      <c r="E344" s="2" t="s">
        <v>2028</v>
      </c>
      <c r="F344" s="5" t="str">
        <f t="shared" si="27"/>
        <v>020-0008-693674 BRICOLAJE BRICOMAN</v>
      </c>
      <c r="G344" s="12">
        <f t="shared" si="24"/>
        <v>33.884297520661157</v>
      </c>
      <c r="H344">
        <v>21</v>
      </c>
      <c r="I344" s="5">
        <f t="shared" si="23"/>
        <v>7.115702479338843</v>
      </c>
      <c r="J344" s="5">
        <f t="shared" si="25"/>
        <v>33.884297520661157</v>
      </c>
      <c r="L344" s="5">
        <f t="shared" si="26"/>
        <v>0</v>
      </c>
      <c r="M344" s="8">
        <v>41</v>
      </c>
      <c r="N344" s="2" t="s">
        <v>21</v>
      </c>
      <c r="O344" s="3" t="s">
        <v>64</v>
      </c>
    </row>
    <row r="345" spans="1:15" x14ac:dyDescent="0.35">
      <c r="A345" s="4">
        <v>45523</v>
      </c>
      <c r="B345" s="2" t="s">
        <v>2558</v>
      </c>
      <c r="D345" s="2" t="s">
        <v>58</v>
      </c>
      <c r="E345" s="2" t="s">
        <v>2028</v>
      </c>
      <c r="F345" s="5" t="str">
        <f t="shared" si="27"/>
        <v>007-0008-682602 BRICOLAJE BRICOMAN</v>
      </c>
      <c r="G345" s="12">
        <f t="shared" si="24"/>
        <v>120.0495867768595</v>
      </c>
      <c r="H345">
        <v>21</v>
      </c>
      <c r="I345" s="5">
        <f t="shared" si="23"/>
        <v>25.210413223140495</v>
      </c>
      <c r="J345" s="5">
        <f t="shared" si="25"/>
        <v>120.0495867768595</v>
      </c>
      <c r="L345" s="5">
        <f t="shared" si="26"/>
        <v>0</v>
      </c>
      <c r="M345" s="8">
        <v>145.26</v>
      </c>
      <c r="N345" s="2" t="s">
        <v>21</v>
      </c>
      <c r="O345" s="3" t="s">
        <v>64</v>
      </c>
    </row>
    <row r="346" spans="1:15" x14ac:dyDescent="0.35">
      <c r="A346" s="4">
        <v>45521</v>
      </c>
      <c r="B346" s="2" t="s">
        <v>2559</v>
      </c>
      <c r="D346" s="2" t="s">
        <v>58</v>
      </c>
      <c r="E346" s="2" t="s">
        <v>2028</v>
      </c>
      <c r="F346" s="5" t="str">
        <f t="shared" si="27"/>
        <v>007-0008-681462 BRICOLAJE BRICOMAN</v>
      </c>
      <c r="G346" s="12">
        <f t="shared" si="24"/>
        <v>14.008264462809917</v>
      </c>
      <c r="H346">
        <v>21</v>
      </c>
      <c r="I346" s="5">
        <f t="shared" si="23"/>
        <v>2.9417355371900826</v>
      </c>
      <c r="J346" s="5">
        <f t="shared" si="25"/>
        <v>14.008264462809917</v>
      </c>
      <c r="L346" s="5">
        <f t="shared" si="26"/>
        <v>0</v>
      </c>
      <c r="M346" s="8">
        <v>16.95</v>
      </c>
      <c r="N346" s="2" t="s">
        <v>21</v>
      </c>
      <c r="O346" s="3" t="s">
        <v>64</v>
      </c>
    </row>
    <row r="347" spans="1:15" x14ac:dyDescent="0.35">
      <c r="A347" s="4">
        <v>45523</v>
      </c>
      <c r="B347" s="2" t="s">
        <v>2560</v>
      </c>
      <c r="D347" s="2" t="s">
        <v>58</v>
      </c>
      <c r="E347" s="2" t="s">
        <v>2028</v>
      </c>
      <c r="F347" s="5" t="str">
        <f t="shared" si="27"/>
        <v>007-0008-R083305 BRICOLAJE BRICOMAN</v>
      </c>
      <c r="G347" s="12">
        <f t="shared" si="24"/>
        <v>-14.008264462809917</v>
      </c>
      <c r="H347">
        <v>21</v>
      </c>
      <c r="I347" s="5">
        <f t="shared" si="23"/>
        <v>-2.9417355371900826</v>
      </c>
      <c r="J347" s="5">
        <f t="shared" si="25"/>
        <v>-14.008264462809917</v>
      </c>
      <c r="L347" s="5">
        <f t="shared" si="26"/>
        <v>0</v>
      </c>
      <c r="M347" s="8">
        <v>-16.95</v>
      </c>
      <c r="N347" s="2" t="s">
        <v>21</v>
      </c>
      <c r="O347" s="3" t="s">
        <v>64</v>
      </c>
    </row>
    <row r="348" spans="1:15" x14ac:dyDescent="0.35">
      <c r="A348" s="4">
        <v>45525</v>
      </c>
      <c r="B348" s="2" t="s">
        <v>2561</v>
      </c>
      <c r="D348" s="2" t="s">
        <v>58</v>
      </c>
      <c r="E348" s="2" t="s">
        <v>2028</v>
      </c>
      <c r="F348" s="5" t="str">
        <f t="shared" si="27"/>
        <v>018-0008-562095 BRICOLAJE BRICOMAN</v>
      </c>
      <c r="G348" s="12">
        <f t="shared" si="24"/>
        <v>27.438016528925623</v>
      </c>
      <c r="H348">
        <v>21</v>
      </c>
      <c r="I348" s="5">
        <f t="shared" si="23"/>
        <v>5.7619834710743802</v>
      </c>
      <c r="J348" s="5">
        <f t="shared" si="25"/>
        <v>27.438016528925623</v>
      </c>
      <c r="L348" s="5">
        <f t="shared" si="26"/>
        <v>0</v>
      </c>
      <c r="M348" s="8">
        <v>33.200000000000003</v>
      </c>
      <c r="N348" s="2" t="s">
        <v>21</v>
      </c>
      <c r="O348" s="3" t="s">
        <v>64</v>
      </c>
    </row>
    <row r="349" spans="1:15" x14ac:dyDescent="0.35">
      <c r="A349" s="4">
        <v>45526</v>
      </c>
      <c r="B349" s="2" t="s">
        <v>2562</v>
      </c>
      <c r="D349" s="2" t="s">
        <v>58</v>
      </c>
      <c r="E349" s="2" t="s">
        <v>2028</v>
      </c>
      <c r="F349" s="5" t="str">
        <f t="shared" si="27"/>
        <v>007-0008-688357 BRICOLAJE BRICOMAN</v>
      </c>
      <c r="G349" s="12">
        <f t="shared" si="24"/>
        <v>144.62809917355372</v>
      </c>
      <c r="H349">
        <v>21</v>
      </c>
      <c r="I349" s="5">
        <f t="shared" si="23"/>
        <v>30.371900826446282</v>
      </c>
      <c r="J349" s="5">
        <f t="shared" si="25"/>
        <v>144.62809917355372</v>
      </c>
      <c r="L349" s="5">
        <f t="shared" si="26"/>
        <v>0</v>
      </c>
      <c r="M349" s="8">
        <v>175</v>
      </c>
      <c r="N349" s="2" t="s">
        <v>21</v>
      </c>
      <c r="O349" s="3" t="s">
        <v>64</v>
      </c>
    </row>
    <row r="350" spans="1:15" x14ac:dyDescent="0.35">
      <c r="A350" s="4">
        <v>45511</v>
      </c>
      <c r="B350" s="2" t="s">
        <v>2563</v>
      </c>
      <c r="D350" s="2" t="s">
        <v>58</v>
      </c>
      <c r="E350" s="2" t="s">
        <v>2028</v>
      </c>
      <c r="F350" s="5" t="str">
        <f t="shared" si="27"/>
        <v>034-0008-399423 BRICOLAJE BRICOMAN</v>
      </c>
      <c r="G350" s="12">
        <f t="shared" si="24"/>
        <v>206.69421487603307</v>
      </c>
      <c r="H350">
        <v>21</v>
      </c>
      <c r="I350" s="5">
        <f t="shared" si="23"/>
        <v>43.405785123966943</v>
      </c>
      <c r="J350" s="5">
        <f t="shared" si="25"/>
        <v>206.69421487603307</v>
      </c>
      <c r="L350" s="5">
        <f t="shared" si="26"/>
        <v>0</v>
      </c>
      <c r="M350" s="8">
        <v>250.1</v>
      </c>
      <c r="N350" s="2" t="s">
        <v>21</v>
      </c>
      <c r="O350" s="3" t="s">
        <v>64</v>
      </c>
    </row>
    <row r="351" spans="1:15" x14ac:dyDescent="0.35">
      <c r="A351" s="4">
        <v>45544</v>
      </c>
      <c r="B351" s="2" t="s">
        <v>2564</v>
      </c>
      <c r="D351" s="2" t="s">
        <v>58</v>
      </c>
      <c r="E351" s="2" t="s">
        <v>2028</v>
      </c>
      <c r="F351" s="5" t="str">
        <f t="shared" si="27"/>
        <v>034-0008-401612 BRICOLAJE BRICOMAN</v>
      </c>
      <c r="G351" s="12">
        <f t="shared" si="24"/>
        <v>-8.2644628099173563</v>
      </c>
      <c r="H351">
        <v>21</v>
      </c>
      <c r="I351" s="5">
        <f t="shared" si="23"/>
        <v>-1.7355371900826448</v>
      </c>
      <c r="J351" s="5">
        <f t="shared" si="25"/>
        <v>-8.2644628099173563</v>
      </c>
      <c r="L351" s="5">
        <f t="shared" si="26"/>
        <v>0</v>
      </c>
      <c r="M351" s="8">
        <v>-10</v>
      </c>
      <c r="N351" s="2" t="s">
        <v>21</v>
      </c>
      <c r="O351" s="3" t="s">
        <v>64</v>
      </c>
    </row>
    <row r="352" spans="1:15" x14ac:dyDescent="0.35">
      <c r="A352" s="4">
        <v>45475</v>
      </c>
      <c r="B352" s="2" t="s">
        <v>2565</v>
      </c>
      <c r="D352" s="2" t="s">
        <v>58</v>
      </c>
      <c r="E352" s="2" t="s">
        <v>2028</v>
      </c>
      <c r="F352" s="5" t="str">
        <f t="shared" si="27"/>
        <v>007-0007-618222 BRICOLAJE BRICOMAN</v>
      </c>
      <c r="G352" s="12">
        <f t="shared" si="24"/>
        <v>30.991735537190085</v>
      </c>
      <c r="H352">
        <v>21</v>
      </c>
      <c r="I352" s="5">
        <f t="shared" si="23"/>
        <v>6.508264462809918</v>
      </c>
      <c r="J352" s="5">
        <f t="shared" si="25"/>
        <v>30.991735537190085</v>
      </c>
      <c r="L352" s="5">
        <f t="shared" si="26"/>
        <v>0</v>
      </c>
      <c r="M352" s="8">
        <v>37.5</v>
      </c>
      <c r="N352" s="2" t="s">
        <v>21</v>
      </c>
      <c r="O352" s="3" t="s">
        <v>64</v>
      </c>
    </row>
    <row r="353" spans="1:15" x14ac:dyDescent="0.35">
      <c r="A353" s="4">
        <v>45475</v>
      </c>
      <c r="B353" s="2" t="s">
        <v>2566</v>
      </c>
      <c r="D353" s="2" t="s">
        <v>58</v>
      </c>
      <c r="E353" s="2" t="s">
        <v>2028</v>
      </c>
      <c r="F353" s="5" t="str">
        <f t="shared" si="27"/>
        <v>011-0007-975747 BRICOLAJE BRICOMAN</v>
      </c>
      <c r="G353" s="12">
        <f t="shared" si="24"/>
        <v>70.859504132231407</v>
      </c>
      <c r="H353">
        <v>21</v>
      </c>
      <c r="I353" s="5">
        <f t="shared" si="23"/>
        <v>14.880495867768595</v>
      </c>
      <c r="J353" s="5">
        <f t="shared" si="25"/>
        <v>70.859504132231407</v>
      </c>
      <c r="L353" s="5">
        <f t="shared" si="26"/>
        <v>0</v>
      </c>
      <c r="M353" s="8">
        <v>85.74</v>
      </c>
      <c r="N353" s="2" t="s">
        <v>21</v>
      </c>
      <c r="O353" s="3" t="s">
        <v>64</v>
      </c>
    </row>
    <row r="354" spans="1:15" x14ac:dyDescent="0.35">
      <c r="A354" s="4">
        <v>45499</v>
      </c>
      <c r="B354" s="2" t="s">
        <v>2567</v>
      </c>
      <c r="D354" s="2" t="s">
        <v>58</v>
      </c>
      <c r="E354" s="2" t="s">
        <v>2028</v>
      </c>
      <c r="F354" s="5" t="str">
        <f t="shared" si="27"/>
        <v>034-0006-349864 BRICOLAJE BRICOMAN</v>
      </c>
      <c r="G354" s="12">
        <f t="shared" si="24"/>
        <v>184.48760330578511</v>
      </c>
      <c r="H354">
        <v>21</v>
      </c>
      <c r="I354" s="5">
        <f t="shared" si="23"/>
        <v>38.742396694214875</v>
      </c>
      <c r="J354" s="5">
        <f t="shared" si="25"/>
        <v>184.48760330578511</v>
      </c>
      <c r="L354" s="5">
        <f t="shared" si="26"/>
        <v>0</v>
      </c>
      <c r="M354" s="8">
        <v>223.23</v>
      </c>
      <c r="N354" s="2" t="s">
        <v>21</v>
      </c>
      <c r="O354" s="3" t="s">
        <v>64</v>
      </c>
    </row>
    <row r="355" spans="1:15" x14ac:dyDescent="0.35">
      <c r="A355" s="4">
        <v>45500</v>
      </c>
      <c r="B355" s="2" t="s">
        <v>2568</v>
      </c>
      <c r="D355" s="2" t="s">
        <v>58</v>
      </c>
      <c r="E355" s="2" t="s">
        <v>2028</v>
      </c>
      <c r="F355" s="5" t="str">
        <f t="shared" si="27"/>
        <v>034-0006-350714 BRICOLAJE BRICOMAN</v>
      </c>
      <c r="G355" s="12">
        <f t="shared" si="24"/>
        <v>-13.239669421487603</v>
      </c>
      <c r="H355">
        <v>21</v>
      </c>
      <c r="I355" s="5">
        <f t="shared" si="23"/>
        <v>-2.7803305785123968</v>
      </c>
      <c r="J355" s="5">
        <f t="shared" si="25"/>
        <v>-13.239669421487603</v>
      </c>
      <c r="L355" s="5">
        <f t="shared" si="26"/>
        <v>0</v>
      </c>
      <c r="M355" s="8">
        <v>-16.02</v>
      </c>
      <c r="N355" s="2" t="s">
        <v>21</v>
      </c>
      <c r="O355" s="3" t="s">
        <v>64</v>
      </c>
    </row>
    <row r="356" spans="1:15" x14ac:dyDescent="0.35">
      <c r="A356" s="4">
        <v>45500</v>
      </c>
      <c r="B356" s="2" t="s">
        <v>2569</v>
      </c>
      <c r="D356" s="2" t="s">
        <v>58</v>
      </c>
      <c r="E356" s="2" t="s">
        <v>2028</v>
      </c>
      <c r="F356" s="5" t="str">
        <f t="shared" si="27"/>
        <v>034-0006-350703 BRICOLAJE BRICOMAN</v>
      </c>
      <c r="G356" s="12">
        <f t="shared" si="24"/>
        <v>132.3388429752066</v>
      </c>
      <c r="H356">
        <v>21</v>
      </c>
      <c r="I356" s="5">
        <f t="shared" si="23"/>
        <v>27.791157024793389</v>
      </c>
      <c r="J356" s="5">
        <f t="shared" si="25"/>
        <v>132.3388429752066</v>
      </c>
      <c r="L356" s="5">
        <f t="shared" si="26"/>
        <v>0</v>
      </c>
      <c r="M356" s="8">
        <v>160.13</v>
      </c>
      <c r="N356" s="2" t="s">
        <v>21</v>
      </c>
      <c r="O356" s="3" t="s">
        <v>64</v>
      </c>
    </row>
    <row r="357" spans="1:15" x14ac:dyDescent="0.35">
      <c r="A357" s="4">
        <v>45499</v>
      </c>
      <c r="B357" s="2" t="s">
        <v>2570</v>
      </c>
      <c r="D357" s="2" t="s">
        <v>58</v>
      </c>
      <c r="E357" s="2" t="s">
        <v>2028</v>
      </c>
      <c r="F357" s="5" t="str">
        <f t="shared" si="27"/>
        <v>034-0006-349885 BRICOLAJE BRICOMAN</v>
      </c>
      <c r="G357" s="12">
        <f t="shared" si="24"/>
        <v>83.305785123966942</v>
      </c>
      <c r="H357">
        <v>21</v>
      </c>
      <c r="I357" s="5">
        <f t="shared" si="23"/>
        <v>17.494214876033059</v>
      </c>
      <c r="J357" s="5">
        <f t="shared" si="25"/>
        <v>83.305785123966942</v>
      </c>
      <c r="L357" s="5">
        <f t="shared" si="26"/>
        <v>0</v>
      </c>
      <c r="M357" s="8">
        <v>100.8</v>
      </c>
      <c r="N357" s="2" t="s">
        <v>21</v>
      </c>
      <c r="O357" s="3" t="s">
        <v>64</v>
      </c>
    </row>
    <row r="358" spans="1:15" x14ac:dyDescent="0.35">
      <c r="A358" s="4">
        <v>45494</v>
      </c>
      <c r="B358" s="2" t="s">
        <v>2571</v>
      </c>
      <c r="D358" s="2" t="s">
        <v>58</v>
      </c>
      <c r="E358" s="2" t="s">
        <v>2028</v>
      </c>
      <c r="F358" s="5" t="str">
        <f t="shared" si="27"/>
        <v>011-0006-956159 BRICOLAJE BRICOMAN</v>
      </c>
      <c r="G358" s="12">
        <f t="shared" si="24"/>
        <v>43.388429752066116</v>
      </c>
      <c r="H358">
        <v>21</v>
      </c>
      <c r="I358" s="5">
        <f t="shared" si="23"/>
        <v>9.1115702479338854</v>
      </c>
      <c r="J358" s="5">
        <f t="shared" si="25"/>
        <v>43.388429752066116</v>
      </c>
      <c r="L358" s="5">
        <f t="shared" si="26"/>
        <v>0</v>
      </c>
      <c r="M358" s="8">
        <v>52.5</v>
      </c>
      <c r="N358" s="2" t="s">
        <v>21</v>
      </c>
      <c r="O358" s="3" t="s">
        <v>64</v>
      </c>
    </row>
    <row r="359" spans="1:15" x14ac:dyDescent="0.35">
      <c r="A359" s="4">
        <v>45465</v>
      </c>
      <c r="B359" s="2" t="s">
        <v>2572</v>
      </c>
      <c r="D359" s="2" t="s">
        <v>58</v>
      </c>
      <c r="E359" s="2" t="s">
        <v>2028</v>
      </c>
      <c r="F359" s="5" t="str">
        <f t="shared" si="27"/>
        <v>007-0006-603896 BRICOLAJE BRICOMAN</v>
      </c>
      <c r="G359" s="12">
        <f t="shared" si="24"/>
        <v>35.024793388429757</v>
      </c>
      <c r="H359">
        <v>21</v>
      </c>
      <c r="I359" s="5">
        <f t="shared" si="23"/>
        <v>7.3552066115702486</v>
      </c>
      <c r="J359" s="5">
        <f t="shared" si="25"/>
        <v>35.024793388429757</v>
      </c>
      <c r="L359" s="5">
        <f t="shared" si="26"/>
        <v>0</v>
      </c>
      <c r="M359" s="8">
        <v>42.38</v>
      </c>
      <c r="N359" s="2" t="s">
        <v>21</v>
      </c>
      <c r="O359" s="3" t="s">
        <v>64</v>
      </c>
    </row>
    <row r="360" spans="1:15" x14ac:dyDescent="0.35">
      <c r="A360" s="4">
        <v>45470</v>
      </c>
      <c r="B360" s="2" t="s">
        <v>2573</v>
      </c>
      <c r="D360" s="2" t="s">
        <v>58</v>
      </c>
      <c r="E360" s="2" t="s">
        <v>2028</v>
      </c>
      <c r="F360" s="5" t="str">
        <f t="shared" si="27"/>
        <v>034-0006-350785 BRICOLAJE BRICOMAN</v>
      </c>
      <c r="G360" s="12">
        <f t="shared" si="24"/>
        <v>518.64462809917347</v>
      </c>
      <c r="H360">
        <v>21</v>
      </c>
      <c r="I360" s="5">
        <f t="shared" si="23"/>
        <v>108.91537190082643</v>
      </c>
      <c r="J360" s="5">
        <f t="shared" si="25"/>
        <v>518.64462809917347</v>
      </c>
      <c r="L360" s="5">
        <f t="shared" si="26"/>
        <v>0</v>
      </c>
      <c r="M360" s="8">
        <v>627.55999999999995</v>
      </c>
      <c r="N360" s="2" t="s">
        <v>21</v>
      </c>
      <c r="O360" s="3" t="s">
        <v>64</v>
      </c>
    </row>
    <row r="361" spans="1:15" x14ac:dyDescent="0.35">
      <c r="A361" s="4">
        <v>45471</v>
      </c>
      <c r="B361" s="2" t="s">
        <v>2574</v>
      </c>
      <c r="D361" s="2" t="s">
        <v>58</v>
      </c>
      <c r="E361" s="2" t="s">
        <v>2028</v>
      </c>
      <c r="F361" s="5" t="str">
        <f t="shared" si="27"/>
        <v>020-0006-656946 BRICOLAJE BRICOMAN</v>
      </c>
      <c r="G361" s="12">
        <f t="shared" si="24"/>
        <v>602.23140495867779</v>
      </c>
      <c r="H361">
        <v>21</v>
      </c>
      <c r="I361" s="5">
        <f t="shared" si="23"/>
        <v>126.46859504132233</v>
      </c>
      <c r="J361" s="5">
        <f t="shared" si="25"/>
        <v>602.23140495867779</v>
      </c>
      <c r="L361" s="5">
        <f t="shared" si="26"/>
        <v>0</v>
      </c>
      <c r="M361" s="8">
        <v>728.7</v>
      </c>
      <c r="N361" s="2" t="s">
        <v>21</v>
      </c>
      <c r="O361" s="3" t="s">
        <v>64</v>
      </c>
    </row>
    <row r="362" spans="1:15" x14ac:dyDescent="0.35">
      <c r="A362" s="4">
        <v>45478</v>
      </c>
      <c r="B362" s="2" t="s">
        <v>2030</v>
      </c>
      <c r="D362" s="2" t="s">
        <v>58</v>
      </c>
      <c r="E362" s="2" t="s">
        <v>2028</v>
      </c>
      <c r="F362" s="5" t="str">
        <f t="shared" si="27"/>
        <v>020-0007-662386 BRICOLAJE BRICOMAN</v>
      </c>
      <c r="G362" s="12">
        <f t="shared" si="24"/>
        <v>302.60330578512395</v>
      </c>
      <c r="H362">
        <v>21</v>
      </c>
      <c r="I362" s="5">
        <f t="shared" si="23"/>
        <v>63.546694214876034</v>
      </c>
      <c r="J362" s="5">
        <f t="shared" si="25"/>
        <v>302.60330578512395</v>
      </c>
      <c r="L362" s="5">
        <f t="shared" si="26"/>
        <v>0</v>
      </c>
      <c r="M362" s="8">
        <v>366.15</v>
      </c>
      <c r="N362" s="2" t="s">
        <v>21</v>
      </c>
      <c r="O362" s="3" t="s">
        <v>64</v>
      </c>
    </row>
    <row r="363" spans="1:15" x14ac:dyDescent="0.35">
      <c r="A363" s="4">
        <v>45471</v>
      </c>
      <c r="B363" s="2" t="s">
        <v>2005</v>
      </c>
      <c r="D363" s="2" t="s">
        <v>58</v>
      </c>
      <c r="E363" s="2" t="s">
        <v>2028</v>
      </c>
      <c r="F363" s="5" t="str">
        <f t="shared" si="27"/>
        <v>034-0006-353040 BRICOLAJE BRICOMAN</v>
      </c>
      <c r="G363" s="12">
        <f t="shared" si="24"/>
        <v>331.05785123966945</v>
      </c>
      <c r="H363">
        <v>21</v>
      </c>
      <c r="I363" s="5">
        <f t="shared" si="23"/>
        <v>69.52214876033058</v>
      </c>
      <c r="J363" s="5">
        <f t="shared" si="25"/>
        <v>331.05785123966945</v>
      </c>
      <c r="L363" s="5">
        <f t="shared" si="26"/>
        <v>0</v>
      </c>
      <c r="M363" s="8">
        <v>400.58</v>
      </c>
      <c r="N363" s="2" t="s">
        <v>21</v>
      </c>
      <c r="O363" s="3" t="s">
        <v>64</v>
      </c>
    </row>
    <row r="364" spans="1:15" x14ac:dyDescent="0.35">
      <c r="A364" s="4">
        <v>45471</v>
      </c>
      <c r="B364" s="2" t="s">
        <v>2006</v>
      </c>
      <c r="D364" s="2" t="s">
        <v>58</v>
      </c>
      <c r="E364" s="2" t="s">
        <v>2028</v>
      </c>
      <c r="F364" s="5" t="str">
        <f t="shared" si="27"/>
        <v>034-0006-352685 BRICOLAJE BRICOMAN</v>
      </c>
      <c r="G364" s="12">
        <f t="shared" si="24"/>
        <v>121.02479338842976</v>
      </c>
      <c r="H364">
        <v>21</v>
      </c>
      <c r="I364" s="5">
        <f t="shared" ref="I364:I426" si="28">G364*H364/100</f>
        <v>25.415206611570248</v>
      </c>
      <c r="J364" s="5">
        <f t="shared" si="25"/>
        <v>121.02479338842976</v>
      </c>
      <c r="L364" s="5">
        <f t="shared" si="26"/>
        <v>0</v>
      </c>
      <c r="M364" s="8">
        <v>146.44</v>
      </c>
      <c r="N364" s="2" t="s">
        <v>21</v>
      </c>
      <c r="O364" s="3" t="s">
        <v>64</v>
      </c>
    </row>
    <row r="365" spans="1:15" x14ac:dyDescent="0.35">
      <c r="A365" s="4">
        <v>45471</v>
      </c>
      <c r="B365" s="2" t="s">
        <v>2575</v>
      </c>
      <c r="D365" s="2" t="s">
        <v>58</v>
      </c>
      <c r="E365" s="2" t="s">
        <v>2028</v>
      </c>
      <c r="F365" s="5" t="str">
        <f t="shared" si="27"/>
        <v>034-0006-352973 BRICOLAJE BRICOMAN</v>
      </c>
      <c r="G365" s="12">
        <f t="shared" ref="G365:G427" si="29">M365/(1-K365/100+H365/100)</f>
        <v>-0.82644628099173556</v>
      </c>
      <c r="H365">
        <v>21</v>
      </c>
      <c r="I365" s="5">
        <f t="shared" si="28"/>
        <v>-0.17355371900826447</v>
      </c>
      <c r="J365" s="5">
        <f t="shared" ref="J365:J427" si="30">G365</f>
        <v>-0.82644628099173556</v>
      </c>
      <c r="L365" s="5">
        <f t="shared" ref="L365:L427" si="31">J365*K365/100</f>
        <v>0</v>
      </c>
      <c r="M365" s="8">
        <v>-1</v>
      </c>
      <c r="N365" s="2" t="s">
        <v>21</v>
      </c>
      <c r="O365" s="3" t="s">
        <v>64</v>
      </c>
    </row>
    <row r="366" spans="1:15" x14ac:dyDescent="0.35">
      <c r="A366" s="4">
        <v>45471</v>
      </c>
      <c r="B366" s="2" t="s">
        <v>2007</v>
      </c>
      <c r="D366" s="2" t="s">
        <v>58</v>
      </c>
      <c r="E366" s="2" t="s">
        <v>2028</v>
      </c>
      <c r="F366" s="5" t="str">
        <f t="shared" si="27"/>
        <v>034-0006-352645 BRICOLAJE BRICOMAN</v>
      </c>
      <c r="G366" s="12">
        <f t="shared" si="29"/>
        <v>204.07438016528926</v>
      </c>
      <c r="H366">
        <v>21</v>
      </c>
      <c r="I366" s="5">
        <f t="shared" si="28"/>
        <v>42.855619834710744</v>
      </c>
      <c r="J366" s="5">
        <f t="shared" si="30"/>
        <v>204.07438016528926</v>
      </c>
      <c r="L366" s="5">
        <f t="shared" si="31"/>
        <v>0</v>
      </c>
      <c r="M366" s="8">
        <v>246.93</v>
      </c>
      <c r="N366" s="2" t="s">
        <v>21</v>
      </c>
      <c r="O366" s="3" t="s">
        <v>64</v>
      </c>
    </row>
    <row r="367" spans="1:15" x14ac:dyDescent="0.35">
      <c r="A367" s="4">
        <v>45471</v>
      </c>
      <c r="B367" s="2" t="s">
        <v>2008</v>
      </c>
      <c r="D367" s="2" t="s">
        <v>58</v>
      </c>
      <c r="E367" s="2" t="s">
        <v>2028</v>
      </c>
      <c r="F367" s="5" t="str">
        <f t="shared" si="27"/>
        <v>034-0006-352981 BRICOLAJE BRICOMAN</v>
      </c>
      <c r="G367" s="12">
        <f t="shared" si="29"/>
        <v>480.198347107438</v>
      </c>
      <c r="H367">
        <v>21</v>
      </c>
      <c r="I367" s="5">
        <f t="shared" si="28"/>
        <v>100.84165289256198</v>
      </c>
      <c r="J367" s="5">
        <f t="shared" si="30"/>
        <v>480.198347107438</v>
      </c>
      <c r="L367" s="5">
        <f t="shared" si="31"/>
        <v>0</v>
      </c>
      <c r="M367" s="8">
        <v>581.04</v>
      </c>
      <c r="N367" s="2" t="s">
        <v>21</v>
      </c>
      <c r="O367" s="3" t="s">
        <v>64</v>
      </c>
    </row>
    <row r="368" spans="1:15" x14ac:dyDescent="0.35">
      <c r="A368" s="4">
        <v>45468</v>
      </c>
      <c r="B368" s="2" t="s">
        <v>2009</v>
      </c>
      <c r="D368" s="2" t="s">
        <v>58</v>
      </c>
      <c r="E368" s="2" t="s">
        <v>2028</v>
      </c>
      <c r="F368" s="5" t="str">
        <f t="shared" si="27"/>
        <v>009-0006-645499 BRICOLAJE BRICOMAN</v>
      </c>
      <c r="G368" s="12">
        <f t="shared" si="29"/>
        <v>534.60330578512401</v>
      </c>
      <c r="H368">
        <v>21</v>
      </c>
      <c r="I368" s="5">
        <f t="shared" si="28"/>
        <v>112.26669421487604</v>
      </c>
      <c r="J368" s="5">
        <f t="shared" si="30"/>
        <v>534.60330578512401</v>
      </c>
      <c r="L368" s="5">
        <f t="shared" si="31"/>
        <v>0</v>
      </c>
      <c r="M368" s="8">
        <v>646.87</v>
      </c>
      <c r="N368" s="2" t="s">
        <v>21</v>
      </c>
      <c r="O368" s="3" t="s">
        <v>64</v>
      </c>
    </row>
    <row r="369" spans="1:15" x14ac:dyDescent="0.35">
      <c r="A369" s="4">
        <v>45468</v>
      </c>
      <c r="B369" s="2" t="s">
        <v>2010</v>
      </c>
      <c r="D369" s="2" t="s">
        <v>58</v>
      </c>
      <c r="E369" s="2" t="s">
        <v>2028</v>
      </c>
      <c r="F369" s="5" t="str">
        <f t="shared" si="27"/>
        <v>009-0006-645530 BRICOLAJE BRICOMAN</v>
      </c>
      <c r="G369" s="12">
        <f t="shared" si="29"/>
        <v>73.173553719008268</v>
      </c>
      <c r="H369">
        <v>21</v>
      </c>
      <c r="I369" s="5">
        <f t="shared" si="28"/>
        <v>15.366446280991736</v>
      </c>
      <c r="J369" s="5">
        <f t="shared" si="30"/>
        <v>73.173553719008268</v>
      </c>
      <c r="L369" s="5">
        <f t="shared" si="31"/>
        <v>0</v>
      </c>
      <c r="M369" s="8">
        <v>88.54</v>
      </c>
      <c r="N369" s="2" t="s">
        <v>21</v>
      </c>
      <c r="O369" s="3" t="s">
        <v>64</v>
      </c>
    </row>
    <row r="370" spans="1:15" x14ac:dyDescent="0.35">
      <c r="A370" s="4">
        <v>45496</v>
      </c>
      <c r="B370" s="2" t="s">
        <v>2576</v>
      </c>
      <c r="D370" s="2" t="s">
        <v>58</v>
      </c>
      <c r="E370" s="2" t="s">
        <v>2028</v>
      </c>
      <c r="F370" s="5" t="str">
        <f t="shared" si="27"/>
        <v>007-0007-649498 BRICOLAJE BRICOMAN</v>
      </c>
      <c r="G370" s="12">
        <f t="shared" si="29"/>
        <v>80.727272727272734</v>
      </c>
      <c r="H370">
        <v>21</v>
      </c>
      <c r="I370" s="5">
        <f t="shared" si="28"/>
        <v>16.952727272727273</v>
      </c>
      <c r="J370" s="5">
        <f t="shared" si="30"/>
        <v>80.727272727272734</v>
      </c>
      <c r="L370" s="5">
        <f t="shared" si="31"/>
        <v>0</v>
      </c>
      <c r="M370" s="8">
        <v>97.68</v>
      </c>
      <c r="N370" s="2" t="s">
        <v>21</v>
      </c>
      <c r="O370" s="3" t="s">
        <v>64</v>
      </c>
    </row>
    <row r="371" spans="1:15" x14ac:dyDescent="0.35">
      <c r="A371" s="4">
        <v>45478</v>
      </c>
      <c r="B371" s="2" t="s">
        <v>2577</v>
      </c>
      <c r="D371" s="2" t="s">
        <v>58</v>
      </c>
      <c r="E371" s="2" t="s">
        <v>2028</v>
      </c>
      <c r="F371" s="5" t="str">
        <f t="shared" si="27"/>
        <v>020-0007-662433 BRICOLAJE BRICOMAN</v>
      </c>
      <c r="G371" s="12">
        <f t="shared" si="29"/>
        <v>369.58677685950414</v>
      </c>
      <c r="H371">
        <v>21</v>
      </c>
      <c r="I371" s="5">
        <f t="shared" si="28"/>
        <v>77.613223140495862</v>
      </c>
      <c r="J371" s="5">
        <f t="shared" si="30"/>
        <v>369.58677685950414</v>
      </c>
      <c r="L371" s="5">
        <f t="shared" si="31"/>
        <v>0</v>
      </c>
      <c r="M371" s="8">
        <v>447.2</v>
      </c>
      <c r="N371" s="2" t="s">
        <v>21</v>
      </c>
      <c r="O371" s="3" t="s">
        <v>64</v>
      </c>
    </row>
    <row r="372" spans="1:15" x14ac:dyDescent="0.35">
      <c r="A372" s="4">
        <v>45477</v>
      </c>
      <c r="B372" s="2" t="s">
        <v>2578</v>
      </c>
      <c r="D372" s="2" t="s">
        <v>58</v>
      </c>
      <c r="E372" s="2" t="s">
        <v>2028</v>
      </c>
      <c r="F372" s="5" t="str">
        <f t="shared" si="27"/>
        <v>034-0007-359726 BRICOLAJE BRICOMAN</v>
      </c>
      <c r="G372" s="12">
        <f t="shared" si="29"/>
        <v>787.69421487603313</v>
      </c>
      <c r="H372">
        <v>21</v>
      </c>
      <c r="I372" s="5">
        <f t="shared" si="28"/>
        <v>165.41578512396697</v>
      </c>
      <c r="J372" s="5">
        <f t="shared" si="30"/>
        <v>787.69421487603313</v>
      </c>
      <c r="L372" s="5">
        <f t="shared" si="31"/>
        <v>0</v>
      </c>
      <c r="M372" s="8">
        <v>953.11</v>
      </c>
      <c r="N372" s="2" t="s">
        <v>21</v>
      </c>
      <c r="O372" s="3" t="s">
        <v>64</v>
      </c>
    </row>
    <row r="373" spans="1:15" x14ac:dyDescent="0.35">
      <c r="A373" s="4">
        <v>45478</v>
      </c>
      <c r="B373" s="2" t="s">
        <v>2579</v>
      </c>
      <c r="D373" s="2" t="s">
        <v>58</v>
      </c>
      <c r="E373" s="2" t="s">
        <v>2028</v>
      </c>
      <c r="F373" s="5" t="str">
        <f t="shared" si="27"/>
        <v>034-0007-360925 BRICOLAJE BRICOMAN</v>
      </c>
      <c r="G373" s="12">
        <f t="shared" si="29"/>
        <v>-16.528925619834713</v>
      </c>
      <c r="H373">
        <v>21</v>
      </c>
      <c r="I373" s="5">
        <f t="shared" si="28"/>
        <v>-3.4710743801652897</v>
      </c>
      <c r="J373" s="5">
        <f t="shared" si="30"/>
        <v>-16.528925619834713</v>
      </c>
      <c r="L373" s="5">
        <f t="shared" si="31"/>
        <v>0</v>
      </c>
      <c r="M373" s="8">
        <v>-20</v>
      </c>
      <c r="N373" s="2" t="s">
        <v>21</v>
      </c>
      <c r="O373" s="3" t="s">
        <v>64</v>
      </c>
    </row>
    <row r="374" spans="1:15" x14ac:dyDescent="0.35">
      <c r="A374" s="4">
        <v>45502</v>
      </c>
      <c r="B374" s="2" t="s">
        <v>2580</v>
      </c>
      <c r="D374" s="2" t="s">
        <v>58</v>
      </c>
      <c r="E374" s="2" t="s">
        <v>2028</v>
      </c>
      <c r="F374" s="5" t="str">
        <f t="shared" si="27"/>
        <v>007-0007-657180 BRICOLAJE BRICOMAN</v>
      </c>
      <c r="G374" s="12">
        <f t="shared" si="29"/>
        <v>51.15702479338843</v>
      </c>
      <c r="H374">
        <v>21</v>
      </c>
      <c r="I374" s="5">
        <f t="shared" si="28"/>
        <v>10.74297520661157</v>
      </c>
      <c r="J374" s="5">
        <f t="shared" si="30"/>
        <v>51.15702479338843</v>
      </c>
      <c r="L374" s="5">
        <f t="shared" si="31"/>
        <v>0</v>
      </c>
      <c r="M374" s="8">
        <v>61.9</v>
      </c>
      <c r="N374" s="2" t="s">
        <v>21</v>
      </c>
      <c r="O374" s="3" t="s">
        <v>64</v>
      </c>
    </row>
    <row r="375" spans="1:15" x14ac:dyDescent="0.35">
      <c r="A375" s="4">
        <v>45503</v>
      </c>
      <c r="B375" s="2" t="s">
        <v>2581</v>
      </c>
      <c r="D375" s="2" t="s">
        <v>58</v>
      </c>
      <c r="E375" s="2" t="s">
        <v>2028</v>
      </c>
      <c r="F375" s="5" t="str">
        <f t="shared" si="27"/>
        <v>007-0007-659287 BRICOLAJE BRICOMAN</v>
      </c>
      <c r="G375" s="12">
        <f t="shared" si="29"/>
        <v>20.950413223140497</v>
      </c>
      <c r="H375">
        <v>21</v>
      </c>
      <c r="I375" s="5">
        <f t="shared" si="28"/>
        <v>4.3995867768595041</v>
      </c>
      <c r="J375" s="5">
        <f t="shared" si="30"/>
        <v>20.950413223140497</v>
      </c>
      <c r="L375" s="5">
        <f t="shared" si="31"/>
        <v>0</v>
      </c>
      <c r="M375" s="8">
        <v>25.35</v>
      </c>
      <c r="N375" s="2" t="s">
        <v>21</v>
      </c>
      <c r="O375" s="3" t="s">
        <v>64</v>
      </c>
    </row>
    <row r="376" spans="1:15" x14ac:dyDescent="0.35">
      <c r="A376" s="4">
        <v>45504</v>
      </c>
      <c r="B376" s="2" t="s">
        <v>2582</v>
      </c>
      <c r="D376" s="2" t="s">
        <v>58</v>
      </c>
      <c r="E376" s="2" t="s">
        <v>2028</v>
      </c>
      <c r="F376" s="5" t="str">
        <f t="shared" si="27"/>
        <v>007-0007-659992 BRICOLAJE BRICOMAN</v>
      </c>
      <c r="G376" s="12">
        <f t="shared" si="29"/>
        <v>76.917355371900825</v>
      </c>
      <c r="H376">
        <v>21</v>
      </c>
      <c r="I376" s="5">
        <f t="shared" si="28"/>
        <v>16.152644628099175</v>
      </c>
      <c r="J376" s="5">
        <f t="shared" si="30"/>
        <v>76.917355371900825</v>
      </c>
      <c r="L376" s="5">
        <f t="shared" si="31"/>
        <v>0</v>
      </c>
      <c r="M376" s="8">
        <v>93.07</v>
      </c>
      <c r="N376" s="2" t="s">
        <v>21</v>
      </c>
      <c r="O376" s="3" t="s">
        <v>64</v>
      </c>
    </row>
    <row r="377" spans="1:15" x14ac:dyDescent="0.35">
      <c r="A377" s="4">
        <v>45504</v>
      </c>
      <c r="B377" s="2" t="s">
        <v>2583</v>
      </c>
      <c r="D377" s="2" t="s">
        <v>58</v>
      </c>
      <c r="E377" s="2" t="s">
        <v>2028</v>
      </c>
      <c r="F377" s="5" t="str">
        <f t="shared" si="27"/>
        <v>007-0007-660619 BRICOLAJE BRICOMAN</v>
      </c>
      <c r="G377" s="12">
        <f t="shared" si="29"/>
        <v>135.49586776859505</v>
      </c>
      <c r="H377">
        <v>21</v>
      </c>
      <c r="I377" s="5">
        <f t="shared" si="28"/>
        <v>28.454132231404959</v>
      </c>
      <c r="J377" s="5">
        <f t="shared" si="30"/>
        <v>135.49586776859505</v>
      </c>
      <c r="L377" s="5">
        <f t="shared" si="31"/>
        <v>0</v>
      </c>
      <c r="M377" s="8">
        <v>163.95</v>
      </c>
      <c r="N377" s="2" t="s">
        <v>21</v>
      </c>
      <c r="O377" s="3" t="s">
        <v>64</v>
      </c>
    </row>
    <row r="378" spans="1:15" x14ac:dyDescent="0.35">
      <c r="A378" s="4">
        <v>45496</v>
      </c>
      <c r="B378" s="2" t="s">
        <v>2584</v>
      </c>
      <c r="D378" s="2" t="s">
        <v>58</v>
      </c>
      <c r="E378" s="2" t="s">
        <v>2028</v>
      </c>
      <c r="F378" s="5" t="str">
        <f t="shared" si="27"/>
        <v>007-0007-649527 BRICOLAJE BRICOMAN</v>
      </c>
      <c r="G378" s="12">
        <f t="shared" si="29"/>
        <v>4.0909090909090908</v>
      </c>
      <c r="H378">
        <v>21</v>
      </c>
      <c r="I378" s="5">
        <f t="shared" si="28"/>
        <v>0.85909090909090902</v>
      </c>
      <c r="J378" s="5">
        <f t="shared" si="30"/>
        <v>4.0909090909090908</v>
      </c>
      <c r="L378" s="5">
        <f t="shared" si="31"/>
        <v>0</v>
      </c>
      <c r="M378" s="8">
        <v>4.95</v>
      </c>
      <c r="N378" s="2" t="s">
        <v>21</v>
      </c>
      <c r="O378" s="3" t="s">
        <v>64</v>
      </c>
    </row>
    <row r="379" spans="1:15" x14ac:dyDescent="0.35">
      <c r="A379" s="4">
        <v>45496</v>
      </c>
      <c r="B379" s="2" t="s">
        <v>2585</v>
      </c>
      <c r="D379" s="2" t="s">
        <v>58</v>
      </c>
      <c r="E379" s="2" t="s">
        <v>2028</v>
      </c>
      <c r="F379" s="5" t="str">
        <f t="shared" si="27"/>
        <v>007-0007-649503 BRICOLAJE BRICOMAN</v>
      </c>
      <c r="G379" s="12">
        <f t="shared" si="29"/>
        <v>250.85950413223142</v>
      </c>
      <c r="H379">
        <v>21</v>
      </c>
      <c r="I379" s="5">
        <f t="shared" si="28"/>
        <v>52.680495867768599</v>
      </c>
      <c r="J379" s="5">
        <f t="shared" si="30"/>
        <v>250.85950413223142</v>
      </c>
      <c r="L379" s="5">
        <f t="shared" si="31"/>
        <v>0</v>
      </c>
      <c r="M379" s="8">
        <v>303.54000000000002</v>
      </c>
      <c r="N379" s="2" t="s">
        <v>21</v>
      </c>
      <c r="O379" s="3" t="s">
        <v>64</v>
      </c>
    </row>
    <row r="380" spans="1:15" x14ac:dyDescent="0.35">
      <c r="A380" s="4">
        <v>45497</v>
      </c>
      <c r="B380" s="2" t="s">
        <v>2586</v>
      </c>
      <c r="D380" s="2" t="s">
        <v>58</v>
      </c>
      <c r="E380" s="2" t="s">
        <v>2028</v>
      </c>
      <c r="F380" s="5" t="str">
        <f t="shared" si="27"/>
        <v>007-0007-651335 BRICOLAJE BRICOMAN</v>
      </c>
      <c r="G380" s="12">
        <f t="shared" si="29"/>
        <v>24.33884297520661</v>
      </c>
      <c r="H380">
        <v>21</v>
      </c>
      <c r="I380" s="5">
        <f t="shared" si="28"/>
        <v>5.1111570247933882</v>
      </c>
      <c r="J380" s="5">
        <f t="shared" si="30"/>
        <v>24.33884297520661</v>
      </c>
      <c r="L380" s="5">
        <f t="shared" si="31"/>
        <v>0</v>
      </c>
      <c r="M380" s="8">
        <v>29.45</v>
      </c>
      <c r="N380" s="2" t="s">
        <v>21</v>
      </c>
      <c r="O380" s="3" t="s">
        <v>64</v>
      </c>
    </row>
    <row r="381" spans="1:15" x14ac:dyDescent="0.35">
      <c r="A381" s="4">
        <v>45497</v>
      </c>
      <c r="B381" s="2" t="s">
        <v>2587</v>
      </c>
      <c r="D381" s="2" t="s">
        <v>58</v>
      </c>
      <c r="E381" s="2" t="s">
        <v>2028</v>
      </c>
      <c r="F381" s="5" t="str">
        <f t="shared" si="27"/>
        <v>007-0007-651322 BRICOLAJE BRICOMAN</v>
      </c>
      <c r="G381" s="12">
        <v>162.27000000000001</v>
      </c>
      <c r="H381">
        <v>21</v>
      </c>
      <c r="I381" s="5">
        <f t="shared" si="28"/>
        <v>34.076700000000002</v>
      </c>
      <c r="J381" s="5">
        <v>94.55</v>
      </c>
      <c r="K381" s="5">
        <v>10</v>
      </c>
      <c r="L381" s="5">
        <f t="shared" si="31"/>
        <v>9.4550000000000001</v>
      </c>
      <c r="M381" s="8">
        <v>300.35000000000002</v>
      </c>
      <c r="N381" s="2" t="s">
        <v>21</v>
      </c>
      <c r="O381" s="3" t="s">
        <v>64</v>
      </c>
    </row>
    <row r="382" spans="1:15" x14ac:dyDescent="0.35">
      <c r="A382" s="4">
        <v>45496</v>
      </c>
      <c r="B382" s="2" t="s">
        <v>2588</v>
      </c>
      <c r="D382" s="2" t="s">
        <v>58</v>
      </c>
      <c r="E382" s="2" t="s">
        <v>2028</v>
      </c>
      <c r="F382" s="5" t="str">
        <f t="shared" si="27"/>
        <v>007-0007-649057 BRICOLAJE BRICOMAN</v>
      </c>
      <c r="G382" s="12">
        <f t="shared" si="29"/>
        <v>146.28099173553719</v>
      </c>
      <c r="H382">
        <v>21</v>
      </c>
      <c r="I382" s="5">
        <f t="shared" si="28"/>
        <v>30.719008264462808</v>
      </c>
      <c r="J382" s="5">
        <f t="shared" si="30"/>
        <v>146.28099173553719</v>
      </c>
      <c r="L382" s="5">
        <f t="shared" si="31"/>
        <v>0</v>
      </c>
      <c r="M382" s="8">
        <v>177</v>
      </c>
      <c r="N382" s="2" t="s">
        <v>21</v>
      </c>
      <c r="O382" s="3" t="s">
        <v>64</v>
      </c>
    </row>
    <row r="383" spans="1:15" x14ac:dyDescent="0.35">
      <c r="A383" s="4">
        <v>45496</v>
      </c>
      <c r="B383" s="2" t="s">
        <v>2589</v>
      </c>
      <c r="D383" s="2" t="s">
        <v>58</v>
      </c>
      <c r="E383" s="2" t="s">
        <v>2028</v>
      </c>
      <c r="F383" s="5" t="str">
        <f t="shared" si="27"/>
        <v>007-0007-649244 BRICOLAJE BRICOMAN</v>
      </c>
      <c r="G383" s="12">
        <f t="shared" si="29"/>
        <v>393.76033057851242</v>
      </c>
      <c r="H383">
        <v>21</v>
      </c>
      <c r="I383" s="5">
        <f t="shared" si="28"/>
        <v>82.689669421487622</v>
      </c>
      <c r="J383" s="5">
        <f t="shared" si="30"/>
        <v>393.76033057851242</v>
      </c>
      <c r="L383" s="5">
        <f t="shared" si="31"/>
        <v>0</v>
      </c>
      <c r="M383" s="8">
        <v>476.45</v>
      </c>
      <c r="N383" s="2" t="s">
        <v>21</v>
      </c>
      <c r="O383" s="3" t="s">
        <v>64</v>
      </c>
    </row>
    <row r="384" spans="1:15" x14ac:dyDescent="0.35">
      <c r="A384" s="4">
        <v>45464</v>
      </c>
      <c r="B384" s="2" t="s">
        <v>2590</v>
      </c>
      <c r="D384" s="2" t="s">
        <v>58</v>
      </c>
      <c r="E384" s="2" t="s">
        <v>2028</v>
      </c>
      <c r="F384" s="5" t="str">
        <f t="shared" si="27"/>
        <v>007-0006-602194 BRICOLAJE BRICOMAN</v>
      </c>
      <c r="G384" s="12">
        <f t="shared" si="29"/>
        <v>16.5702479338843</v>
      </c>
      <c r="H384">
        <v>21</v>
      </c>
      <c r="I384" s="5">
        <f t="shared" si="28"/>
        <v>3.4797520661157026</v>
      </c>
      <c r="J384" s="5">
        <f t="shared" si="30"/>
        <v>16.5702479338843</v>
      </c>
      <c r="L384" s="5">
        <f t="shared" si="31"/>
        <v>0</v>
      </c>
      <c r="M384" s="8">
        <v>20.05</v>
      </c>
      <c r="N384" s="2" t="s">
        <v>21</v>
      </c>
      <c r="O384" s="3" t="s">
        <v>64</v>
      </c>
    </row>
    <row r="385" spans="1:15" x14ac:dyDescent="0.35">
      <c r="A385" s="4">
        <v>45483</v>
      </c>
      <c r="B385" s="2" t="s">
        <v>2591</v>
      </c>
      <c r="D385" s="2" t="s">
        <v>58</v>
      </c>
      <c r="E385" s="2" t="s">
        <v>2028</v>
      </c>
      <c r="F385" s="5" t="str">
        <f t="shared" si="27"/>
        <v>007-0006-584307 BRICOLAJE BRICOMAN</v>
      </c>
      <c r="G385" s="12">
        <f t="shared" si="29"/>
        <v>24.322314049586776</v>
      </c>
      <c r="H385">
        <v>21</v>
      </c>
      <c r="I385" s="5">
        <f t="shared" si="28"/>
        <v>5.1076859504132228</v>
      </c>
      <c r="J385" s="5">
        <f t="shared" si="30"/>
        <v>24.322314049586776</v>
      </c>
      <c r="L385" s="5">
        <f t="shared" si="31"/>
        <v>0</v>
      </c>
      <c r="M385" s="8">
        <v>29.43</v>
      </c>
      <c r="N385" s="2" t="s">
        <v>21</v>
      </c>
      <c r="O385" s="3" t="s">
        <v>64</v>
      </c>
    </row>
    <row r="386" spans="1:15" x14ac:dyDescent="0.35">
      <c r="A386" s="4">
        <v>45453</v>
      </c>
      <c r="B386" s="2" t="s">
        <v>2592</v>
      </c>
      <c r="D386" s="2" t="s">
        <v>58</v>
      </c>
      <c r="E386" s="2" t="s">
        <v>2028</v>
      </c>
      <c r="F386" s="5" t="str">
        <f t="shared" si="27"/>
        <v>007-0006-585178 BRICOLAJE BRICOMAN</v>
      </c>
      <c r="G386" s="12">
        <f t="shared" si="29"/>
        <v>27.586776859504134</v>
      </c>
      <c r="H386">
        <v>21</v>
      </c>
      <c r="I386" s="5">
        <f t="shared" si="28"/>
        <v>5.7932231404958676</v>
      </c>
      <c r="J386" s="5">
        <f t="shared" si="30"/>
        <v>27.586776859504134</v>
      </c>
      <c r="L386" s="5">
        <f t="shared" si="31"/>
        <v>0</v>
      </c>
      <c r="M386" s="8">
        <v>33.380000000000003</v>
      </c>
      <c r="N386" s="2" t="s">
        <v>21</v>
      </c>
      <c r="O386" s="3" t="s">
        <v>64</v>
      </c>
    </row>
    <row r="387" spans="1:15" x14ac:dyDescent="0.35">
      <c r="A387" s="4">
        <v>45456</v>
      </c>
      <c r="B387" s="2" t="s">
        <v>2593</v>
      </c>
      <c r="D387" s="2" t="s">
        <v>58</v>
      </c>
      <c r="E387" s="2" t="s">
        <v>2028</v>
      </c>
      <c r="F387" s="5" t="str">
        <f t="shared" si="27"/>
        <v>007-0006-590189 BRICOLAJE BRICOMAN</v>
      </c>
      <c r="G387" s="12">
        <f t="shared" si="29"/>
        <v>32.280991735537192</v>
      </c>
      <c r="H387">
        <v>21</v>
      </c>
      <c r="I387" s="5">
        <f t="shared" si="28"/>
        <v>6.77900826446281</v>
      </c>
      <c r="J387" s="5">
        <f t="shared" si="30"/>
        <v>32.280991735537192</v>
      </c>
      <c r="L387" s="5">
        <f t="shared" si="31"/>
        <v>0</v>
      </c>
      <c r="M387" s="8">
        <v>39.06</v>
      </c>
      <c r="N387" s="2" t="s">
        <v>21</v>
      </c>
      <c r="O387" s="3" t="s">
        <v>64</v>
      </c>
    </row>
    <row r="388" spans="1:15" x14ac:dyDescent="0.35">
      <c r="A388" s="4">
        <v>45455</v>
      </c>
      <c r="B388" s="2" t="s">
        <v>2594</v>
      </c>
      <c r="D388" s="2" t="s">
        <v>58</v>
      </c>
      <c r="E388" s="2" t="s">
        <v>2028</v>
      </c>
      <c r="F388" s="5" t="str">
        <f t="shared" si="27"/>
        <v>007-0006-587782 BRICOLAJE BRICOMAN</v>
      </c>
      <c r="G388" s="12">
        <f t="shared" si="29"/>
        <v>3.785123966942149</v>
      </c>
      <c r="H388">
        <v>21</v>
      </c>
      <c r="I388" s="5">
        <f t="shared" si="28"/>
        <v>0.79487603305785126</v>
      </c>
      <c r="J388" s="5">
        <f t="shared" si="30"/>
        <v>3.785123966942149</v>
      </c>
      <c r="L388" s="5">
        <f t="shared" si="31"/>
        <v>0</v>
      </c>
      <c r="M388" s="8">
        <v>4.58</v>
      </c>
      <c r="N388" s="2" t="s">
        <v>21</v>
      </c>
      <c r="O388" s="3" t="s">
        <v>64</v>
      </c>
    </row>
    <row r="389" spans="1:15" x14ac:dyDescent="0.35">
      <c r="A389" s="4">
        <v>45456</v>
      </c>
      <c r="B389" s="2" t="s">
        <v>2595</v>
      </c>
      <c r="D389" s="2" t="s">
        <v>58</v>
      </c>
      <c r="E389" s="2" t="s">
        <v>2028</v>
      </c>
      <c r="F389" s="5" t="str">
        <f t="shared" si="27"/>
        <v>011-0006-941706 BRICOLAJE BRICOMAN</v>
      </c>
      <c r="G389" s="12">
        <f t="shared" si="29"/>
        <v>51.694214876033058</v>
      </c>
      <c r="H389">
        <v>21</v>
      </c>
      <c r="I389" s="5">
        <f t="shared" si="28"/>
        <v>10.855785123966941</v>
      </c>
      <c r="J389" s="5">
        <f t="shared" si="30"/>
        <v>51.694214876033058</v>
      </c>
      <c r="L389" s="5">
        <f t="shared" si="31"/>
        <v>0</v>
      </c>
      <c r="M389" s="8">
        <v>62.55</v>
      </c>
      <c r="N389" s="2" t="s">
        <v>21</v>
      </c>
      <c r="O389" s="3" t="s">
        <v>64</v>
      </c>
    </row>
    <row r="390" spans="1:15" x14ac:dyDescent="0.35">
      <c r="A390" s="4">
        <v>45456</v>
      </c>
      <c r="B390" s="2" t="s">
        <v>2596</v>
      </c>
      <c r="D390" s="2" t="s">
        <v>58</v>
      </c>
      <c r="E390" s="2" t="s">
        <v>2028</v>
      </c>
      <c r="F390" s="5" t="str">
        <f t="shared" si="27"/>
        <v>011-0006-941765 BRICOLAJE BRICOMAN</v>
      </c>
      <c r="G390" s="12">
        <f t="shared" si="29"/>
        <v>49.297520661157023</v>
      </c>
      <c r="H390">
        <v>21</v>
      </c>
      <c r="I390" s="5">
        <f t="shared" si="28"/>
        <v>10.352479338842976</v>
      </c>
      <c r="J390" s="5">
        <f t="shared" si="30"/>
        <v>49.297520661157023</v>
      </c>
      <c r="L390" s="5">
        <f t="shared" si="31"/>
        <v>0</v>
      </c>
      <c r="M390" s="8">
        <v>59.65</v>
      </c>
      <c r="N390" s="2" t="s">
        <v>21</v>
      </c>
      <c r="O390" s="3" t="s">
        <v>64</v>
      </c>
    </row>
    <row r="391" spans="1:15" x14ac:dyDescent="0.35">
      <c r="A391" s="4">
        <v>45460</v>
      </c>
      <c r="B391" s="2" t="s">
        <v>2597</v>
      </c>
      <c r="D391" s="2" t="s">
        <v>58</v>
      </c>
      <c r="E391" s="2" t="s">
        <v>2028</v>
      </c>
      <c r="F391" s="5" t="str">
        <f t="shared" si="27"/>
        <v>007-0006-595891 BRICOLAJE BRICOMAN</v>
      </c>
      <c r="G391" s="12">
        <f t="shared" si="29"/>
        <v>202.20661157024793</v>
      </c>
      <c r="H391">
        <v>21</v>
      </c>
      <c r="I391" s="5">
        <f t="shared" si="28"/>
        <v>42.463388429752065</v>
      </c>
      <c r="J391" s="5">
        <f t="shared" si="30"/>
        <v>202.20661157024793</v>
      </c>
      <c r="L391" s="5">
        <f t="shared" si="31"/>
        <v>0</v>
      </c>
      <c r="M391" s="8">
        <v>244.67</v>
      </c>
      <c r="N391" s="2" t="s">
        <v>21</v>
      </c>
      <c r="O391" s="3" t="s">
        <v>64</v>
      </c>
    </row>
    <row r="392" spans="1:15" x14ac:dyDescent="0.35">
      <c r="A392" s="4">
        <v>45461</v>
      </c>
      <c r="B392" s="2" t="s">
        <v>2598</v>
      </c>
      <c r="D392" s="2" t="s">
        <v>58</v>
      </c>
      <c r="E392" s="2" t="s">
        <v>2028</v>
      </c>
      <c r="F392" s="5" t="str">
        <f t="shared" si="27"/>
        <v>007-0006-597706 BRICOLAJE BRICOMAN</v>
      </c>
      <c r="G392" s="12">
        <f t="shared" si="29"/>
        <v>131.40495867768595</v>
      </c>
      <c r="H392">
        <v>21</v>
      </c>
      <c r="I392" s="5">
        <f t="shared" si="28"/>
        <v>27.595041322314049</v>
      </c>
      <c r="J392" s="5">
        <f t="shared" si="30"/>
        <v>131.40495867768595</v>
      </c>
      <c r="L392" s="5">
        <f t="shared" si="31"/>
        <v>0</v>
      </c>
      <c r="M392" s="8">
        <v>159</v>
      </c>
      <c r="N392" s="2" t="s">
        <v>21</v>
      </c>
      <c r="O392" s="3" t="s">
        <v>64</v>
      </c>
    </row>
    <row r="393" spans="1:15" x14ac:dyDescent="0.35">
      <c r="A393" s="4">
        <v>45525</v>
      </c>
      <c r="B393" s="2" t="s">
        <v>2599</v>
      </c>
      <c r="D393" s="2" t="s">
        <v>92</v>
      </c>
      <c r="E393" s="2" t="s">
        <v>93</v>
      </c>
      <c r="F393" s="5" t="str">
        <f t="shared" si="27"/>
        <v>1-350/43/395605 BAUHAUS</v>
      </c>
      <c r="G393" s="12">
        <f t="shared" si="29"/>
        <v>123.14049586776859</v>
      </c>
      <c r="H393">
        <v>21</v>
      </c>
      <c r="I393" s="5">
        <f t="shared" si="28"/>
        <v>25.859504132231404</v>
      </c>
      <c r="J393" s="5">
        <f t="shared" si="30"/>
        <v>123.14049586776859</v>
      </c>
      <c r="L393" s="5">
        <f t="shared" si="31"/>
        <v>0</v>
      </c>
      <c r="M393" s="8">
        <v>149</v>
      </c>
      <c r="N393" s="2" t="s">
        <v>21</v>
      </c>
      <c r="O393" s="3" t="s">
        <v>64</v>
      </c>
    </row>
    <row r="394" spans="1:15" x14ac:dyDescent="0.35">
      <c r="A394" s="4">
        <v>45521</v>
      </c>
      <c r="B394" s="2" t="s">
        <v>2600</v>
      </c>
      <c r="D394" s="2" t="s">
        <v>57</v>
      </c>
      <c r="E394" s="2" t="s">
        <v>44</v>
      </c>
      <c r="F394" s="5" t="str">
        <f t="shared" si="27"/>
        <v>045-0008-418315 LEROY MERLIN</v>
      </c>
      <c r="G394" s="12">
        <f t="shared" si="29"/>
        <v>20.487603305785125</v>
      </c>
      <c r="H394">
        <v>21</v>
      </c>
      <c r="I394" s="5">
        <f t="shared" si="28"/>
        <v>4.3023966942148766</v>
      </c>
      <c r="J394" s="5">
        <f t="shared" si="30"/>
        <v>20.487603305785125</v>
      </c>
      <c r="L394" s="5">
        <f t="shared" si="31"/>
        <v>0</v>
      </c>
      <c r="M394" s="8">
        <v>24.79</v>
      </c>
      <c r="N394" s="2" t="s">
        <v>21</v>
      </c>
      <c r="O394" s="3" t="s">
        <v>64</v>
      </c>
    </row>
    <row r="395" spans="1:15" x14ac:dyDescent="0.35">
      <c r="A395" s="4">
        <v>45523</v>
      </c>
      <c r="B395" s="2" t="s">
        <v>2601</v>
      </c>
      <c r="D395" s="2" t="s">
        <v>57</v>
      </c>
      <c r="E395" s="2" t="s">
        <v>44</v>
      </c>
      <c r="F395" s="5" t="str">
        <f t="shared" si="27"/>
        <v>045-0008-418736 LEROY MERLIN</v>
      </c>
      <c r="G395" s="12">
        <f t="shared" si="29"/>
        <v>54.520661157024797</v>
      </c>
      <c r="H395">
        <v>21</v>
      </c>
      <c r="I395" s="5">
        <f t="shared" si="28"/>
        <v>11.449338842975207</v>
      </c>
      <c r="J395" s="5">
        <f t="shared" si="30"/>
        <v>54.520661157024797</v>
      </c>
      <c r="L395" s="5">
        <f t="shared" si="31"/>
        <v>0</v>
      </c>
      <c r="M395" s="8">
        <v>65.97</v>
      </c>
      <c r="N395" s="2" t="s">
        <v>21</v>
      </c>
      <c r="O395" s="3" t="s">
        <v>64</v>
      </c>
    </row>
    <row r="396" spans="1:15" x14ac:dyDescent="0.35">
      <c r="A396" s="4">
        <v>45475</v>
      </c>
      <c r="B396" s="2" t="s">
        <v>2602</v>
      </c>
      <c r="D396" s="2" t="s">
        <v>2603</v>
      </c>
      <c r="E396" s="2" t="s">
        <v>2604</v>
      </c>
      <c r="F396" s="5" t="str">
        <f t="shared" si="27"/>
        <v>2024-000802 ENERGIA SOLAR LED S.L.</v>
      </c>
      <c r="G396" s="12">
        <f t="shared" si="29"/>
        <v>747</v>
      </c>
      <c r="H396">
        <v>21</v>
      </c>
      <c r="I396" s="5">
        <f t="shared" si="28"/>
        <v>156.87</v>
      </c>
      <c r="J396" s="5">
        <f t="shared" si="30"/>
        <v>747</v>
      </c>
      <c r="K396" s="5"/>
      <c r="L396" s="5">
        <f t="shared" si="31"/>
        <v>0</v>
      </c>
      <c r="M396" s="8">
        <v>903.87</v>
      </c>
      <c r="N396" s="2" t="s">
        <v>21</v>
      </c>
      <c r="O396" s="3" t="s">
        <v>64</v>
      </c>
    </row>
    <row r="397" spans="1:15" x14ac:dyDescent="0.35">
      <c r="A397" s="4">
        <v>45469</v>
      </c>
      <c r="B397" s="2" t="s">
        <v>2605</v>
      </c>
      <c r="D397" s="2" t="s">
        <v>57</v>
      </c>
      <c r="E397" s="2" t="s">
        <v>44</v>
      </c>
      <c r="F397" s="5" t="str">
        <f t="shared" si="27"/>
        <v>073-0006-866703 LEROY MERLIN</v>
      </c>
      <c r="G397" s="12">
        <f t="shared" si="29"/>
        <v>275.61983471074382</v>
      </c>
      <c r="H397">
        <v>21</v>
      </c>
      <c r="I397" s="5">
        <f t="shared" si="28"/>
        <v>57.880165289256205</v>
      </c>
      <c r="J397" s="5">
        <f t="shared" si="30"/>
        <v>275.61983471074382</v>
      </c>
      <c r="L397" s="5">
        <f t="shared" si="31"/>
        <v>0</v>
      </c>
      <c r="M397" s="8">
        <v>333.5</v>
      </c>
      <c r="N397" s="2" t="s">
        <v>21</v>
      </c>
      <c r="O397" s="3" t="s">
        <v>64</v>
      </c>
    </row>
    <row r="398" spans="1:15" x14ac:dyDescent="0.35">
      <c r="A398" s="4">
        <v>45474</v>
      </c>
      <c r="B398" s="2" t="s">
        <v>2606</v>
      </c>
      <c r="D398" s="2" t="s">
        <v>57</v>
      </c>
      <c r="E398" s="2" t="s">
        <v>44</v>
      </c>
      <c r="F398" s="5" t="str">
        <f t="shared" si="27"/>
        <v>045-0007-403549 LEROY MERLIN</v>
      </c>
      <c r="G398" s="12">
        <f t="shared" si="29"/>
        <v>51.413223140495873</v>
      </c>
      <c r="H398">
        <v>21</v>
      </c>
      <c r="I398" s="5">
        <f t="shared" si="28"/>
        <v>10.796776859504135</v>
      </c>
      <c r="J398" s="5">
        <f t="shared" si="30"/>
        <v>51.413223140495873</v>
      </c>
      <c r="L398" s="5">
        <f t="shared" si="31"/>
        <v>0</v>
      </c>
      <c r="M398" s="8">
        <v>62.21</v>
      </c>
      <c r="N398" s="2" t="s">
        <v>21</v>
      </c>
      <c r="O398" s="3" t="s">
        <v>64</v>
      </c>
    </row>
    <row r="399" spans="1:15" x14ac:dyDescent="0.35">
      <c r="A399" s="4">
        <v>45470</v>
      </c>
      <c r="B399" s="2" t="s">
        <v>2004</v>
      </c>
      <c r="D399" s="2" t="s">
        <v>57</v>
      </c>
      <c r="E399" s="2" t="s">
        <v>44</v>
      </c>
      <c r="F399" s="5" t="str">
        <f t="shared" si="27"/>
        <v>073-0006-867099 LEROY MERLIN</v>
      </c>
      <c r="G399" s="12">
        <f t="shared" si="29"/>
        <v>32.247933884297524</v>
      </c>
      <c r="H399">
        <v>21</v>
      </c>
      <c r="I399" s="5">
        <f t="shared" si="28"/>
        <v>6.7720661157024802</v>
      </c>
      <c r="J399" s="5">
        <f t="shared" si="30"/>
        <v>32.247933884297524</v>
      </c>
      <c r="L399" s="5">
        <f t="shared" si="31"/>
        <v>0</v>
      </c>
      <c r="M399" s="8">
        <v>39.020000000000003</v>
      </c>
      <c r="N399" s="2" t="s">
        <v>21</v>
      </c>
      <c r="O399" s="3" t="s">
        <v>64</v>
      </c>
    </row>
    <row r="400" spans="1:15" x14ac:dyDescent="0.35">
      <c r="A400" s="4">
        <v>45477</v>
      </c>
      <c r="B400" s="2" t="s">
        <v>2027</v>
      </c>
      <c r="D400" s="2" t="s">
        <v>57</v>
      </c>
      <c r="E400" s="2" t="s">
        <v>44</v>
      </c>
      <c r="F400" s="5" t="str">
        <f t="shared" si="27"/>
        <v>073-0007-R081105 LEROY MERLIN</v>
      </c>
      <c r="G400" s="12">
        <f t="shared" si="29"/>
        <v>-8.6694214876033069</v>
      </c>
      <c r="H400">
        <v>21</v>
      </c>
      <c r="I400" s="5">
        <f t="shared" si="28"/>
        <v>-1.8205785123966944</v>
      </c>
      <c r="J400" s="5">
        <f t="shared" si="30"/>
        <v>-8.6694214876033069</v>
      </c>
      <c r="L400" s="5">
        <f t="shared" si="31"/>
        <v>0</v>
      </c>
      <c r="M400" s="8">
        <v>-10.49</v>
      </c>
      <c r="N400" s="2" t="s">
        <v>21</v>
      </c>
      <c r="O400" s="3" t="s">
        <v>64</v>
      </c>
    </row>
    <row r="401" spans="1:15" x14ac:dyDescent="0.35">
      <c r="A401" s="4">
        <v>45482</v>
      </c>
      <c r="B401" s="2" t="s">
        <v>2607</v>
      </c>
      <c r="D401" s="2" t="s">
        <v>2025</v>
      </c>
      <c r="E401" s="2" t="s">
        <v>2026</v>
      </c>
      <c r="F401" s="5" t="str">
        <f t="shared" si="27"/>
        <v>FA2024006625 POPP LIGHTING SL</v>
      </c>
      <c r="G401" s="12">
        <f t="shared" si="29"/>
        <v>679</v>
      </c>
      <c r="H401">
        <v>21</v>
      </c>
      <c r="I401" s="5">
        <f t="shared" si="28"/>
        <v>142.59</v>
      </c>
      <c r="J401" s="5">
        <f t="shared" si="30"/>
        <v>679</v>
      </c>
      <c r="L401" s="5">
        <f t="shared" si="31"/>
        <v>0</v>
      </c>
      <c r="M401" s="8">
        <v>821.59</v>
      </c>
      <c r="N401" s="2" t="s">
        <v>21</v>
      </c>
      <c r="O401" s="3" t="s">
        <v>64</v>
      </c>
    </row>
    <row r="402" spans="1:15" x14ac:dyDescent="0.35">
      <c r="A402" s="4">
        <v>45488</v>
      </c>
      <c r="B402" s="2" t="s">
        <v>2608</v>
      </c>
      <c r="D402" s="2" t="s">
        <v>2025</v>
      </c>
      <c r="E402" s="2" t="s">
        <v>2026</v>
      </c>
      <c r="F402" s="5" t="str">
        <f t="shared" si="27"/>
        <v>FA2024006811 POPP LIGHTING SL</v>
      </c>
      <c r="G402" s="12">
        <f t="shared" si="29"/>
        <v>679</v>
      </c>
      <c r="H402">
        <v>21</v>
      </c>
      <c r="I402" s="5">
        <f t="shared" si="28"/>
        <v>142.59</v>
      </c>
      <c r="J402" s="5">
        <f t="shared" si="30"/>
        <v>679</v>
      </c>
      <c r="L402" s="5">
        <f t="shared" si="31"/>
        <v>0</v>
      </c>
      <c r="M402" s="8">
        <v>821.59</v>
      </c>
      <c r="N402" s="2" t="s">
        <v>21</v>
      </c>
      <c r="O402" s="3" t="s">
        <v>64</v>
      </c>
    </row>
    <row r="403" spans="1:15" x14ac:dyDescent="0.35">
      <c r="A403" s="4">
        <v>45503</v>
      </c>
      <c r="B403" s="2" t="s">
        <v>2609</v>
      </c>
      <c r="D403" s="2" t="s">
        <v>2025</v>
      </c>
      <c r="E403" s="2" t="s">
        <v>2026</v>
      </c>
      <c r="F403" s="5" t="str">
        <f t="shared" si="27"/>
        <v>FA2024007231 POPP LIGHTING SL</v>
      </c>
      <c r="G403" s="12">
        <f t="shared" si="29"/>
        <v>679</v>
      </c>
      <c r="H403">
        <v>21</v>
      </c>
      <c r="I403" s="5">
        <f t="shared" si="28"/>
        <v>142.59</v>
      </c>
      <c r="J403" s="5">
        <f t="shared" si="30"/>
        <v>679</v>
      </c>
      <c r="L403" s="5">
        <f t="shared" si="31"/>
        <v>0</v>
      </c>
      <c r="M403" s="8">
        <v>821.59</v>
      </c>
      <c r="N403" s="2" t="s">
        <v>21</v>
      </c>
      <c r="O403" s="3" t="s">
        <v>64</v>
      </c>
    </row>
    <row r="404" spans="1:15" x14ac:dyDescent="0.35">
      <c r="A404" s="4">
        <v>45504</v>
      </c>
      <c r="B404" s="2" t="s">
        <v>2610</v>
      </c>
      <c r="D404" s="2" t="s">
        <v>2025</v>
      </c>
      <c r="E404" s="2" t="s">
        <v>2026</v>
      </c>
      <c r="F404" s="5" t="str">
        <f t="shared" si="27"/>
        <v>FA2024007261 POPP LIGHTING SL</v>
      </c>
      <c r="G404" s="12">
        <f t="shared" si="29"/>
        <v>679</v>
      </c>
      <c r="H404">
        <v>21</v>
      </c>
      <c r="I404" s="5">
        <f t="shared" si="28"/>
        <v>142.59</v>
      </c>
      <c r="J404" s="5">
        <f t="shared" si="30"/>
        <v>679</v>
      </c>
      <c r="L404" s="5">
        <f t="shared" si="31"/>
        <v>0</v>
      </c>
      <c r="M404" s="8">
        <v>821.59</v>
      </c>
      <c r="N404" s="2" t="s">
        <v>21</v>
      </c>
      <c r="O404" s="3" t="s">
        <v>64</v>
      </c>
    </row>
    <row r="405" spans="1:15" x14ac:dyDescent="0.35">
      <c r="A405" s="4">
        <v>45478</v>
      </c>
      <c r="B405" s="2" t="s">
        <v>2611</v>
      </c>
      <c r="D405" s="2" t="s">
        <v>57</v>
      </c>
      <c r="E405" s="2" t="s">
        <v>44</v>
      </c>
      <c r="F405" s="5" t="str">
        <f t="shared" si="27"/>
        <v>067-0007-911620 LEROY MERLIN</v>
      </c>
      <c r="G405" s="12">
        <f t="shared" si="29"/>
        <v>15.520661157024795</v>
      </c>
      <c r="H405">
        <v>21</v>
      </c>
      <c r="I405" s="5">
        <f t="shared" si="28"/>
        <v>3.259338842975207</v>
      </c>
      <c r="J405" s="5">
        <f t="shared" si="30"/>
        <v>15.520661157024795</v>
      </c>
      <c r="L405" s="5">
        <f t="shared" si="31"/>
        <v>0</v>
      </c>
      <c r="M405" s="8">
        <v>18.78</v>
      </c>
      <c r="N405" s="2" t="s">
        <v>21</v>
      </c>
      <c r="O405" s="3" t="s">
        <v>64</v>
      </c>
    </row>
    <row r="406" spans="1:15" x14ac:dyDescent="0.35">
      <c r="A406" s="4">
        <v>45478</v>
      </c>
      <c r="B406" s="2" t="s">
        <v>2612</v>
      </c>
      <c r="D406" s="2" t="s">
        <v>57</v>
      </c>
      <c r="E406" s="2" t="s">
        <v>44</v>
      </c>
      <c r="F406" s="5" t="str">
        <f t="shared" si="27"/>
        <v>067-0007-911615 LEROY MERLIN</v>
      </c>
      <c r="G406" s="12">
        <f t="shared" si="29"/>
        <v>142.14049586776861</v>
      </c>
      <c r="H406">
        <v>21</v>
      </c>
      <c r="I406" s="5">
        <f t="shared" si="28"/>
        <v>29.849504132231409</v>
      </c>
      <c r="J406" s="5">
        <f t="shared" si="30"/>
        <v>142.14049586776861</v>
      </c>
      <c r="L406" s="5">
        <f t="shared" si="31"/>
        <v>0</v>
      </c>
      <c r="M406" s="8">
        <v>171.99</v>
      </c>
      <c r="N406" s="2" t="s">
        <v>21</v>
      </c>
      <c r="O406" s="3" t="s">
        <v>64</v>
      </c>
    </row>
    <row r="407" spans="1:15" x14ac:dyDescent="0.35">
      <c r="A407" s="4">
        <v>45496</v>
      </c>
      <c r="B407" s="2" t="s">
        <v>2613</v>
      </c>
      <c r="D407" s="2" t="s">
        <v>132</v>
      </c>
      <c r="E407" s="2" t="s">
        <v>147</v>
      </c>
      <c r="F407" s="5" t="str">
        <f t="shared" si="27"/>
        <v>A/10397 AZULEJOS ROSA</v>
      </c>
      <c r="G407" s="12">
        <f t="shared" si="29"/>
        <v>363</v>
      </c>
      <c r="H407">
        <v>21</v>
      </c>
      <c r="I407" s="5">
        <f t="shared" si="28"/>
        <v>76.23</v>
      </c>
      <c r="J407" s="5">
        <f t="shared" si="30"/>
        <v>363</v>
      </c>
      <c r="L407" s="5">
        <f t="shared" si="31"/>
        <v>0</v>
      </c>
      <c r="M407" s="8">
        <v>439.23</v>
      </c>
      <c r="N407" s="2" t="s">
        <v>21</v>
      </c>
      <c r="O407" s="3" t="s">
        <v>64</v>
      </c>
    </row>
    <row r="408" spans="1:15" x14ac:dyDescent="0.35">
      <c r="A408" s="4">
        <v>45496</v>
      </c>
      <c r="B408" s="2" t="s">
        <v>2614</v>
      </c>
      <c r="D408" s="2" t="s">
        <v>132</v>
      </c>
      <c r="E408" s="2" t="s">
        <v>147</v>
      </c>
      <c r="F408" s="5" t="str">
        <f t="shared" si="27"/>
        <v>A/10394 AZULEJOS ROSA</v>
      </c>
      <c r="G408" s="12">
        <f t="shared" si="29"/>
        <v>381.60330578512401</v>
      </c>
      <c r="H408">
        <v>21</v>
      </c>
      <c r="I408" s="5">
        <f t="shared" si="28"/>
        <v>80.136694214876044</v>
      </c>
      <c r="J408" s="5">
        <f t="shared" si="30"/>
        <v>381.60330578512401</v>
      </c>
      <c r="L408" s="5">
        <f t="shared" si="31"/>
        <v>0</v>
      </c>
      <c r="M408" s="8">
        <v>461.74</v>
      </c>
      <c r="N408" s="2" t="s">
        <v>21</v>
      </c>
      <c r="O408" s="3" t="s">
        <v>64</v>
      </c>
    </row>
    <row r="409" spans="1:15" x14ac:dyDescent="0.35">
      <c r="A409" s="4">
        <v>45497</v>
      </c>
      <c r="B409" s="2" t="s">
        <v>2615</v>
      </c>
      <c r="D409" s="2" t="s">
        <v>132</v>
      </c>
      <c r="E409" s="2" t="s">
        <v>147</v>
      </c>
      <c r="F409" s="5" t="str">
        <f t="shared" si="27"/>
        <v>A/10411 AZULEJOS ROSA</v>
      </c>
      <c r="G409" s="12">
        <f t="shared" si="29"/>
        <v>810</v>
      </c>
      <c r="H409">
        <v>21</v>
      </c>
      <c r="I409" s="5">
        <f t="shared" si="28"/>
        <v>170.1</v>
      </c>
      <c r="J409" s="5">
        <f t="shared" si="30"/>
        <v>810</v>
      </c>
      <c r="L409" s="5">
        <f t="shared" si="31"/>
        <v>0</v>
      </c>
      <c r="M409" s="8">
        <v>980.1</v>
      </c>
      <c r="N409" s="2" t="s">
        <v>21</v>
      </c>
      <c r="O409" s="3" t="s">
        <v>64</v>
      </c>
    </row>
    <row r="410" spans="1:15" x14ac:dyDescent="0.35">
      <c r="A410" s="4">
        <v>45488</v>
      </c>
      <c r="B410" s="2" t="s">
        <v>2616</v>
      </c>
      <c r="D410" s="2" t="s">
        <v>132</v>
      </c>
      <c r="E410" s="2" t="s">
        <v>147</v>
      </c>
      <c r="F410" s="5" t="str">
        <f t="shared" si="27"/>
        <v>A/10031 AZULEJOS ROSA</v>
      </c>
      <c r="G410" s="12">
        <f t="shared" si="29"/>
        <v>180.85950413223142</v>
      </c>
      <c r="H410">
        <v>21</v>
      </c>
      <c r="I410" s="5">
        <f t="shared" si="28"/>
        <v>37.980495867768603</v>
      </c>
      <c r="J410" s="5">
        <f t="shared" si="30"/>
        <v>180.85950413223142</v>
      </c>
      <c r="L410" s="5">
        <f t="shared" si="31"/>
        <v>0</v>
      </c>
      <c r="M410" s="8">
        <v>218.84</v>
      </c>
      <c r="N410" s="2" t="s">
        <v>21</v>
      </c>
      <c r="O410" s="3" t="s">
        <v>64</v>
      </c>
    </row>
    <row r="411" spans="1:15" x14ac:dyDescent="0.35">
      <c r="A411" s="4">
        <v>45461</v>
      </c>
      <c r="B411" s="2" t="s">
        <v>2617</v>
      </c>
      <c r="D411" s="2" t="s">
        <v>132</v>
      </c>
      <c r="E411" s="2" t="s">
        <v>147</v>
      </c>
      <c r="F411" s="5" t="str">
        <f t="shared" si="27"/>
        <v>A/8658 AZULEJOS ROSA</v>
      </c>
      <c r="G411" s="12">
        <f t="shared" si="29"/>
        <v>150.44628099173553</v>
      </c>
      <c r="H411">
        <v>21</v>
      </c>
      <c r="I411" s="5">
        <f t="shared" si="28"/>
        <v>31.593719008264461</v>
      </c>
      <c r="J411" s="5">
        <f t="shared" si="30"/>
        <v>150.44628099173553</v>
      </c>
      <c r="L411" s="5">
        <f t="shared" si="31"/>
        <v>0</v>
      </c>
      <c r="M411" s="8">
        <v>182.04</v>
      </c>
      <c r="N411" s="2" t="s">
        <v>21</v>
      </c>
      <c r="O411" s="3" t="s">
        <v>64</v>
      </c>
    </row>
    <row r="412" spans="1:15" x14ac:dyDescent="0.35">
      <c r="A412" s="4">
        <v>45555</v>
      </c>
      <c r="B412" s="2" t="s">
        <v>2618</v>
      </c>
      <c r="D412" s="2" t="s">
        <v>57</v>
      </c>
      <c r="E412" s="2" t="s">
        <v>44</v>
      </c>
      <c r="F412" s="5" t="str">
        <f t="shared" si="27"/>
        <v>045-0009-427918 LEROY MERLIN</v>
      </c>
      <c r="G412" s="12">
        <f t="shared" si="29"/>
        <v>27.264462809917358</v>
      </c>
      <c r="H412">
        <v>21</v>
      </c>
      <c r="I412" s="5">
        <f t="shared" si="28"/>
        <v>5.7255371900826448</v>
      </c>
      <c r="J412" s="5">
        <f t="shared" si="30"/>
        <v>27.264462809917358</v>
      </c>
      <c r="L412" s="5">
        <f t="shared" si="31"/>
        <v>0</v>
      </c>
      <c r="M412" s="8">
        <v>32.99</v>
      </c>
      <c r="N412" s="2" t="s">
        <v>21</v>
      </c>
      <c r="O412" s="3" t="s">
        <v>64</v>
      </c>
    </row>
    <row r="413" spans="1:15" x14ac:dyDescent="0.35">
      <c r="A413" s="4">
        <v>45555</v>
      </c>
      <c r="B413" s="2" t="s">
        <v>2619</v>
      </c>
      <c r="D413" s="2" t="s">
        <v>57</v>
      </c>
      <c r="E413" s="2" t="s">
        <v>44</v>
      </c>
      <c r="F413" s="5" t="str">
        <f t="shared" si="27"/>
        <v>045-0009-427955 LEROY MERLIN</v>
      </c>
      <c r="G413" s="12">
        <f t="shared" si="29"/>
        <v>29.743801652892564</v>
      </c>
      <c r="H413">
        <v>21</v>
      </c>
      <c r="I413" s="5">
        <f t="shared" si="28"/>
        <v>6.2461983471074385</v>
      </c>
      <c r="J413" s="5">
        <f t="shared" si="30"/>
        <v>29.743801652892564</v>
      </c>
      <c r="L413" s="5">
        <f t="shared" si="31"/>
        <v>0</v>
      </c>
      <c r="M413" s="8">
        <v>35.99</v>
      </c>
      <c r="N413" s="2" t="s">
        <v>21</v>
      </c>
      <c r="O413" s="3" t="s">
        <v>64</v>
      </c>
    </row>
    <row r="414" spans="1:15" x14ac:dyDescent="0.35">
      <c r="A414" s="4">
        <v>45531</v>
      </c>
      <c r="B414" s="2" t="s">
        <v>2620</v>
      </c>
      <c r="D414" s="2" t="s">
        <v>92</v>
      </c>
      <c r="E414" s="2" t="s">
        <v>93</v>
      </c>
      <c r="F414" s="5" t="str">
        <f t="shared" si="27"/>
        <v>1/351/21/322407 BAUHAUS</v>
      </c>
      <c r="G414" s="12">
        <f t="shared" si="29"/>
        <v>-50.404958677685954</v>
      </c>
      <c r="H414">
        <v>21</v>
      </c>
      <c r="I414" s="5">
        <f t="shared" si="28"/>
        <v>-10.58504132231405</v>
      </c>
      <c r="J414" s="5">
        <f t="shared" si="30"/>
        <v>-50.404958677685954</v>
      </c>
      <c r="L414" s="5">
        <f t="shared" si="31"/>
        <v>0</v>
      </c>
      <c r="M414" s="8">
        <v>-60.99</v>
      </c>
      <c r="N414" s="2" t="s">
        <v>21</v>
      </c>
      <c r="O414" s="3" t="s">
        <v>64</v>
      </c>
    </row>
    <row r="415" spans="1:15" x14ac:dyDescent="0.35">
      <c r="A415" s="4">
        <v>45525</v>
      </c>
      <c r="B415" s="2" t="s">
        <v>2621</v>
      </c>
      <c r="D415" s="2" t="s">
        <v>92</v>
      </c>
      <c r="E415" s="2" t="s">
        <v>93</v>
      </c>
      <c r="F415" s="5" t="str">
        <f t="shared" si="27"/>
        <v>1/351/2/881751 BAUHAUS</v>
      </c>
      <c r="G415" s="12">
        <f t="shared" si="29"/>
        <v>100.80991735537191</v>
      </c>
      <c r="H415">
        <v>21</v>
      </c>
      <c r="I415" s="5">
        <f t="shared" si="28"/>
        <v>21.170082644628099</v>
      </c>
      <c r="J415" s="5">
        <f t="shared" si="30"/>
        <v>100.80991735537191</v>
      </c>
      <c r="L415" s="5">
        <f t="shared" si="31"/>
        <v>0</v>
      </c>
      <c r="M415" s="8">
        <v>121.98</v>
      </c>
      <c r="N415" s="2" t="s">
        <v>21</v>
      </c>
      <c r="O415" s="3" t="s">
        <v>64</v>
      </c>
    </row>
    <row r="416" spans="1:15" x14ac:dyDescent="0.35">
      <c r="A416" s="4">
        <v>45552</v>
      </c>
      <c r="B416" s="2" t="s">
        <v>2622</v>
      </c>
      <c r="D416" s="2" t="s">
        <v>59</v>
      </c>
      <c r="E416" s="2" t="s">
        <v>43</v>
      </c>
      <c r="F416" s="5" t="str">
        <f t="shared" si="27"/>
        <v>1418131896 EUGENIO PEREDA</v>
      </c>
      <c r="G416" s="12">
        <f t="shared" si="29"/>
        <v>322.0082644628099</v>
      </c>
      <c r="H416">
        <v>21</v>
      </c>
      <c r="I416" s="5">
        <f t="shared" si="28"/>
        <v>67.621735537190077</v>
      </c>
      <c r="J416" s="5">
        <f t="shared" si="30"/>
        <v>322.0082644628099</v>
      </c>
      <c r="L416" s="5">
        <f t="shared" si="31"/>
        <v>0</v>
      </c>
      <c r="M416" s="8">
        <v>389.63</v>
      </c>
      <c r="N416" s="2" t="s">
        <v>21</v>
      </c>
      <c r="O416" s="3" t="s">
        <v>64</v>
      </c>
    </row>
    <row r="417" spans="1:15" x14ac:dyDescent="0.35">
      <c r="A417" s="4">
        <v>45551</v>
      </c>
      <c r="B417" s="2" t="s">
        <v>2623</v>
      </c>
      <c r="D417" s="2" t="s">
        <v>132</v>
      </c>
      <c r="E417" s="2" t="s">
        <v>147</v>
      </c>
      <c r="F417" s="5" t="str">
        <f t="shared" si="27"/>
        <v>A/12183 AZULEJOS ROSA</v>
      </c>
      <c r="G417" s="12">
        <f t="shared" si="29"/>
        <v>239</v>
      </c>
      <c r="H417">
        <v>21</v>
      </c>
      <c r="I417" s="5">
        <f t="shared" si="28"/>
        <v>50.19</v>
      </c>
      <c r="J417" s="5">
        <f t="shared" si="30"/>
        <v>239</v>
      </c>
      <c r="L417" s="5">
        <f t="shared" si="31"/>
        <v>0</v>
      </c>
      <c r="M417" s="8">
        <v>289.19</v>
      </c>
      <c r="N417" s="2" t="s">
        <v>21</v>
      </c>
      <c r="O417" s="3" t="s">
        <v>64</v>
      </c>
    </row>
    <row r="418" spans="1:15" x14ac:dyDescent="0.35">
      <c r="A418" s="4">
        <v>45551</v>
      </c>
      <c r="B418" s="2" t="s">
        <v>2624</v>
      </c>
      <c r="D418" s="2" t="s">
        <v>132</v>
      </c>
      <c r="E418" s="2" t="s">
        <v>147</v>
      </c>
      <c r="F418" s="5" t="str">
        <f t="shared" si="27"/>
        <v>A/12184 AZULEJOS ROSA</v>
      </c>
      <c r="G418" s="12">
        <f t="shared" si="29"/>
        <v>35.396694214876035</v>
      </c>
      <c r="H418">
        <v>21</v>
      </c>
      <c r="I418" s="5">
        <f t="shared" si="28"/>
        <v>7.4333057851239674</v>
      </c>
      <c r="J418" s="5">
        <f t="shared" si="30"/>
        <v>35.396694214876035</v>
      </c>
      <c r="L418" s="5">
        <f t="shared" si="31"/>
        <v>0</v>
      </c>
      <c r="M418" s="8">
        <v>42.83</v>
      </c>
      <c r="N418" s="2" t="s">
        <v>21</v>
      </c>
      <c r="O418" s="3" t="s">
        <v>64</v>
      </c>
    </row>
    <row r="419" spans="1:15" x14ac:dyDescent="0.35">
      <c r="A419" s="4">
        <v>45489</v>
      </c>
      <c r="B419" s="2" t="s">
        <v>2625</v>
      </c>
      <c r="D419" s="2" t="s">
        <v>2499</v>
      </c>
      <c r="E419" s="2" t="s">
        <v>24</v>
      </c>
      <c r="F419" s="5" t="str">
        <f t="shared" si="27"/>
        <v>096743/A/24/002143 REPSOL</v>
      </c>
      <c r="G419" s="12">
        <f t="shared" si="29"/>
        <v>21.685950413223139</v>
      </c>
      <c r="H419">
        <v>21</v>
      </c>
      <c r="I419" s="5">
        <f t="shared" si="28"/>
        <v>4.5540495867768591</v>
      </c>
      <c r="J419" s="5">
        <f t="shared" si="30"/>
        <v>21.685950413223139</v>
      </c>
      <c r="L419" s="5">
        <f t="shared" si="31"/>
        <v>0</v>
      </c>
      <c r="M419" s="8">
        <v>26.24</v>
      </c>
      <c r="N419" s="2" t="s">
        <v>22</v>
      </c>
      <c r="O419" s="3" t="s">
        <v>64</v>
      </c>
    </row>
    <row r="420" spans="1:15" x14ac:dyDescent="0.35">
      <c r="A420" s="4">
        <v>45491</v>
      </c>
      <c r="B420" s="2" t="s">
        <v>2626</v>
      </c>
      <c r="D420" s="2" t="s">
        <v>2499</v>
      </c>
      <c r="E420" s="2" t="s">
        <v>24</v>
      </c>
      <c r="F420" s="5" t="str">
        <f t="shared" si="27"/>
        <v>096743/A/24/002162 REPSOL</v>
      </c>
      <c r="G420" s="12">
        <f t="shared" si="29"/>
        <v>19.809917355371901</v>
      </c>
      <c r="H420">
        <v>21</v>
      </c>
      <c r="I420" s="5">
        <f t="shared" si="28"/>
        <v>4.1600826446280994</v>
      </c>
      <c r="J420" s="5">
        <f t="shared" si="30"/>
        <v>19.809917355371901</v>
      </c>
      <c r="L420" s="5">
        <f t="shared" si="31"/>
        <v>0</v>
      </c>
      <c r="M420" s="8">
        <v>23.97</v>
      </c>
      <c r="N420" s="2" t="s">
        <v>22</v>
      </c>
      <c r="O420" s="3" t="s">
        <v>64</v>
      </c>
    </row>
    <row r="421" spans="1:15" x14ac:dyDescent="0.35">
      <c r="A421" s="4">
        <v>45468</v>
      </c>
      <c r="B421" s="2" t="s">
        <v>2627</v>
      </c>
      <c r="D421" s="2" t="s">
        <v>2499</v>
      </c>
      <c r="E421" s="2" t="s">
        <v>24</v>
      </c>
      <c r="F421" s="5" t="str">
        <f t="shared" si="27"/>
        <v>096743/A/24/001879 REPSOL</v>
      </c>
      <c r="G421" s="12">
        <f t="shared" si="29"/>
        <v>25.18181818181818</v>
      </c>
      <c r="H421">
        <v>21</v>
      </c>
      <c r="I421" s="5">
        <f t="shared" si="28"/>
        <v>5.2881818181818172</v>
      </c>
      <c r="J421" s="5">
        <f t="shared" si="30"/>
        <v>25.18181818181818</v>
      </c>
      <c r="L421" s="5">
        <f t="shared" si="31"/>
        <v>0</v>
      </c>
      <c r="M421" s="8">
        <v>30.47</v>
      </c>
      <c r="N421" s="2" t="s">
        <v>22</v>
      </c>
      <c r="O421" s="3" t="s">
        <v>64</v>
      </c>
    </row>
    <row r="422" spans="1:15" x14ac:dyDescent="0.35">
      <c r="A422" s="4">
        <v>45488</v>
      </c>
      <c r="B422" s="2" t="s">
        <v>2628</v>
      </c>
      <c r="D422" s="2" t="s">
        <v>2499</v>
      </c>
      <c r="E422" s="2" t="s">
        <v>24</v>
      </c>
      <c r="F422" s="5" t="str">
        <f t="shared" si="27"/>
        <v>096743/A/24/002124 REPSOL</v>
      </c>
      <c r="G422" s="12">
        <f t="shared" si="29"/>
        <v>20.834710743801654</v>
      </c>
      <c r="H422">
        <v>21</v>
      </c>
      <c r="I422" s="5">
        <f t="shared" si="28"/>
        <v>4.3752892561983474</v>
      </c>
      <c r="J422" s="5">
        <f t="shared" si="30"/>
        <v>20.834710743801654</v>
      </c>
      <c r="L422" s="5">
        <f t="shared" si="31"/>
        <v>0</v>
      </c>
      <c r="M422" s="8">
        <v>25.21</v>
      </c>
      <c r="N422" s="2" t="s">
        <v>22</v>
      </c>
      <c r="O422" s="3" t="s">
        <v>64</v>
      </c>
    </row>
    <row r="423" spans="1:15" x14ac:dyDescent="0.35">
      <c r="A423" s="4">
        <v>45467</v>
      </c>
      <c r="B423" s="2" t="s">
        <v>2629</v>
      </c>
      <c r="D423" s="2" t="s">
        <v>111</v>
      </c>
      <c r="E423" s="2" t="s">
        <v>2630</v>
      </c>
      <c r="F423" s="5" t="str">
        <f t="shared" si="27"/>
        <v>001D2400015629 PLENOIL S.L.</v>
      </c>
      <c r="G423" s="12">
        <f t="shared" si="29"/>
        <v>16.528925619834713</v>
      </c>
      <c r="H423">
        <v>21</v>
      </c>
      <c r="I423" s="5">
        <f t="shared" si="28"/>
        <v>3.4710743801652897</v>
      </c>
      <c r="J423" s="5">
        <f t="shared" si="30"/>
        <v>16.528925619834713</v>
      </c>
      <c r="L423" s="5">
        <f t="shared" si="31"/>
        <v>0</v>
      </c>
      <c r="M423" s="8">
        <v>20</v>
      </c>
      <c r="N423" s="2" t="s">
        <v>22</v>
      </c>
      <c r="O423" s="3" t="s">
        <v>64</v>
      </c>
    </row>
    <row r="424" spans="1:15" x14ac:dyDescent="0.35">
      <c r="A424" s="4">
        <v>45467</v>
      </c>
      <c r="B424" s="2" t="s">
        <v>2631</v>
      </c>
      <c r="D424" s="2" t="s">
        <v>111</v>
      </c>
      <c r="E424" s="2" t="s">
        <v>2630</v>
      </c>
      <c r="F424" s="5" t="str">
        <f t="shared" si="27"/>
        <v>001D2400015628 PLENOIL S.L.</v>
      </c>
      <c r="G424" s="12">
        <f t="shared" si="29"/>
        <v>41.32231404958678</v>
      </c>
      <c r="H424">
        <v>21</v>
      </c>
      <c r="I424" s="5">
        <f t="shared" si="28"/>
        <v>8.677685950413224</v>
      </c>
      <c r="J424" s="5">
        <f t="shared" si="30"/>
        <v>41.32231404958678</v>
      </c>
      <c r="L424" s="5">
        <f t="shared" si="31"/>
        <v>0</v>
      </c>
      <c r="M424" s="8">
        <v>50</v>
      </c>
      <c r="N424" s="2" t="s">
        <v>22</v>
      </c>
      <c r="O424" s="3" t="s">
        <v>64</v>
      </c>
    </row>
    <row r="425" spans="1:15" x14ac:dyDescent="0.35">
      <c r="A425" s="4">
        <v>45552</v>
      </c>
      <c r="B425" s="2" t="s">
        <v>2632</v>
      </c>
      <c r="D425" s="2" t="s">
        <v>111</v>
      </c>
      <c r="E425" s="2" t="s">
        <v>2630</v>
      </c>
      <c r="F425" s="5" t="str">
        <f t="shared" si="27"/>
        <v>001D2400022147 PLENOIL S.L.</v>
      </c>
      <c r="G425" s="12">
        <f t="shared" si="29"/>
        <v>57.851239669421489</v>
      </c>
      <c r="H425">
        <v>21</v>
      </c>
      <c r="I425" s="5">
        <f t="shared" si="28"/>
        <v>12.148760330578511</v>
      </c>
      <c r="J425" s="5">
        <f t="shared" si="30"/>
        <v>57.851239669421489</v>
      </c>
      <c r="L425" s="5">
        <f t="shared" si="31"/>
        <v>0</v>
      </c>
      <c r="M425" s="8">
        <v>70</v>
      </c>
      <c r="N425" s="2" t="s">
        <v>22</v>
      </c>
      <c r="O425" s="3" t="s">
        <v>64</v>
      </c>
    </row>
    <row r="426" spans="1:15" x14ac:dyDescent="0.35">
      <c r="A426" s="4">
        <v>45542</v>
      </c>
      <c r="D426" s="2" t="s">
        <v>2633</v>
      </c>
      <c r="E426" s="2" t="s">
        <v>2634</v>
      </c>
      <c r="F426" s="5" t="str">
        <f t="shared" si="27"/>
        <v xml:space="preserve"> CILANTRO Y CURCUMA S.L.</v>
      </c>
      <c r="G426" s="12">
        <f t="shared" si="29"/>
        <v>134.09090909090909</v>
      </c>
      <c r="H426">
        <v>10</v>
      </c>
      <c r="I426" s="5">
        <f t="shared" si="28"/>
        <v>13.40909090909091</v>
      </c>
      <c r="J426" s="5">
        <f t="shared" si="30"/>
        <v>134.09090909090909</v>
      </c>
      <c r="L426" s="5">
        <f t="shared" si="31"/>
        <v>0</v>
      </c>
      <c r="M426" s="8">
        <v>147.5</v>
      </c>
      <c r="N426" s="2" t="s">
        <v>28</v>
      </c>
      <c r="O426" s="3" t="s">
        <v>63</v>
      </c>
    </row>
    <row r="427" spans="1:15" x14ac:dyDescent="0.35">
      <c r="A427" s="4"/>
      <c r="F427" s="5" t="str">
        <f t="shared" si="27"/>
        <v xml:space="preserve"> </v>
      </c>
      <c r="G427" s="12">
        <f t="shared" si="29"/>
        <v>0</v>
      </c>
      <c r="H427">
        <v>10</v>
      </c>
      <c r="I427" s="5">
        <f t="shared" ref="I427:I487" si="32">G427*H427/100</f>
        <v>0</v>
      </c>
      <c r="J427" s="5">
        <f t="shared" si="30"/>
        <v>0</v>
      </c>
      <c r="L427" s="5">
        <f t="shared" si="31"/>
        <v>0</v>
      </c>
      <c r="M427" s="8">
        <v>0</v>
      </c>
      <c r="N427" s="2" t="s">
        <v>28</v>
      </c>
      <c r="O427" s="3" t="s">
        <v>63</v>
      </c>
    </row>
    <row r="428" spans="1:15" x14ac:dyDescent="0.35">
      <c r="A428" s="4"/>
      <c r="F428" s="5" t="str">
        <f t="shared" si="27"/>
        <v xml:space="preserve"> </v>
      </c>
      <c r="G428" s="12">
        <f t="shared" ref="G428:G488" si="33">M428/(1-K428/100+H428/100)</f>
        <v>0</v>
      </c>
      <c r="H428">
        <v>0</v>
      </c>
      <c r="I428" s="5">
        <f t="shared" si="32"/>
        <v>0</v>
      </c>
      <c r="J428" s="5">
        <f t="shared" ref="J428:J488" si="34">G428</f>
        <v>0</v>
      </c>
      <c r="L428" s="5">
        <f t="shared" ref="L428:L488" si="35">J428*K428/100</f>
        <v>0</v>
      </c>
      <c r="M428" s="8">
        <v>0</v>
      </c>
      <c r="N428" s="2" t="s">
        <v>260</v>
      </c>
      <c r="O428" s="3" t="s">
        <v>68</v>
      </c>
    </row>
    <row r="429" spans="1:15" x14ac:dyDescent="0.35">
      <c r="A429" s="4"/>
      <c r="F429" s="5" t="str">
        <f t="shared" si="27"/>
        <v xml:space="preserve"> </v>
      </c>
      <c r="G429" s="12">
        <f t="shared" si="33"/>
        <v>0</v>
      </c>
      <c r="H429">
        <v>21</v>
      </c>
      <c r="I429" s="5">
        <f t="shared" si="32"/>
        <v>0</v>
      </c>
      <c r="J429" s="5">
        <f t="shared" si="34"/>
        <v>0</v>
      </c>
      <c r="L429" s="5">
        <f t="shared" si="35"/>
        <v>0</v>
      </c>
      <c r="M429" s="8">
        <v>0</v>
      </c>
      <c r="N429" s="2" t="s">
        <v>56</v>
      </c>
      <c r="O429" s="3" t="s">
        <v>68</v>
      </c>
    </row>
    <row r="430" spans="1:15" x14ac:dyDescent="0.35">
      <c r="A430" s="4"/>
      <c r="F430" s="5" t="str">
        <f t="shared" si="27"/>
        <v xml:space="preserve"> </v>
      </c>
      <c r="G430" s="12">
        <f t="shared" si="33"/>
        <v>0</v>
      </c>
      <c r="H430">
        <v>21</v>
      </c>
      <c r="I430" s="5">
        <f t="shared" si="32"/>
        <v>0</v>
      </c>
      <c r="J430" s="5">
        <f t="shared" si="34"/>
        <v>0</v>
      </c>
      <c r="L430" s="5">
        <f t="shared" si="35"/>
        <v>0</v>
      </c>
      <c r="M430" s="8">
        <v>0</v>
      </c>
      <c r="N430" s="2" t="s">
        <v>56</v>
      </c>
      <c r="O430" s="3" t="s">
        <v>68</v>
      </c>
    </row>
    <row r="431" spans="1:15" x14ac:dyDescent="0.35">
      <c r="A431" s="4"/>
      <c r="F431" s="5" t="str">
        <f t="shared" ref="F431:F491" si="36">CONCATENATE(S431,B431," ",E431)</f>
        <v xml:space="preserve"> </v>
      </c>
      <c r="G431" s="12">
        <f t="shared" si="33"/>
        <v>0</v>
      </c>
      <c r="H431">
        <v>21</v>
      </c>
      <c r="I431" s="5">
        <f t="shared" si="32"/>
        <v>0</v>
      </c>
      <c r="J431" s="5">
        <f t="shared" si="34"/>
        <v>0</v>
      </c>
      <c r="L431" s="5">
        <f t="shared" si="35"/>
        <v>0</v>
      </c>
      <c r="M431" s="8">
        <v>0</v>
      </c>
      <c r="N431" s="2" t="s">
        <v>56</v>
      </c>
      <c r="O431" s="3" t="s">
        <v>68</v>
      </c>
    </row>
    <row r="432" spans="1:15" x14ac:dyDescent="0.35">
      <c r="A432" s="4"/>
      <c r="F432" s="5" t="str">
        <f t="shared" si="36"/>
        <v xml:space="preserve"> </v>
      </c>
      <c r="G432" s="12">
        <f t="shared" si="33"/>
        <v>0</v>
      </c>
      <c r="H432">
        <v>21</v>
      </c>
      <c r="I432" s="5">
        <f t="shared" si="32"/>
        <v>0</v>
      </c>
      <c r="J432" s="5">
        <f t="shared" si="34"/>
        <v>0</v>
      </c>
      <c r="L432" s="5">
        <f t="shared" si="35"/>
        <v>0</v>
      </c>
      <c r="M432" s="8">
        <v>0</v>
      </c>
      <c r="N432" s="2" t="s">
        <v>56</v>
      </c>
    </row>
    <row r="433" spans="1:15" x14ac:dyDescent="0.35">
      <c r="A433" s="4"/>
      <c r="F433" s="5" t="str">
        <f t="shared" si="36"/>
        <v xml:space="preserve"> </v>
      </c>
      <c r="G433" s="12">
        <f t="shared" si="33"/>
        <v>0</v>
      </c>
      <c r="H433">
        <v>21</v>
      </c>
      <c r="I433" s="5">
        <f t="shared" si="32"/>
        <v>0</v>
      </c>
      <c r="J433" s="5">
        <f t="shared" si="34"/>
        <v>0</v>
      </c>
      <c r="L433" s="5">
        <f t="shared" si="35"/>
        <v>0</v>
      </c>
      <c r="M433" s="8">
        <v>0</v>
      </c>
      <c r="N433" s="2" t="s">
        <v>56</v>
      </c>
    </row>
    <row r="434" spans="1:15" x14ac:dyDescent="0.35">
      <c r="A434" s="4"/>
      <c r="F434" s="5" t="str">
        <f t="shared" si="36"/>
        <v xml:space="preserve"> </v>
      </c>
      <c r="G434" s="12">
        <f t="shared" si="33"/>
        <v>0</v>
      </c>
      <c r="H434">
        <v>21</v>
      </c>
      <c r="I434" s="5">
        <f t="shared" si="32"/>
        <v>0</v>
      </c>
      <c r="J434" s="5">
        <f t="shared" si="34"/>
        <v>0</v>
      </c>
      <c r="L434" s="5">
        <f t="shared" si="35"/>
        <v>0</v>
      </c>
      <c r="M434" s="8">
        <v>0</v>
      </c>
      <c r="N434" s="2" t="s">
        <v>37</v>
      </c>
      <c r="O434" s="3" t="s">
        <v>68</v>
      </c>
    </row>
    <row r="435" spans="1:15" x14ac:dyDescent="0.35">
      <c r="A435" s="4"/>
      <c r="F435" s="5" t="str">
        <f t="shared" si="36"/>
        <v xml:space="preserve"> </v>
      </c>
      <c r="G435" s="12">
        <f t="shared" si="33"/>
        <v>0</v>
      </c>
      <c r="H435">
        <v>21</v>
      </c>
      <c r="I435" s="5">
        <f t="shared" si="32"/>
        <v>0</v>
      </c>
      <c r="J435" s="5">
        <f t="shared" si="34"/>
        <v>0</v>
      </c>
      <c r="L435" s="5">
        <f t="shared" si="35"/>
        <v>0</v>
      </c>
      <c r="M435" s="8">
        <v>0</v>
      </c>
      <c r="N435" s="2" t="s">
        <v>21</v>
      </c>
      <c r="O435" s="3" t="s">
        <v>64</v>
      </c>
    </row>
    <row r="436" spans="1:15" x14ac:dyDescent="0.35">
      <c r="A436" s="4"/>
      <c r="F436" s="5" t="str">
        <f t="shared" si="36"/>
        <v xml:space="preserve"> </v>
      </c>
      <c r="G436" s="12">
        <f t="shared" si="33"/>
        <v>0</v>
      </c>
      <c r="H436">
        <v>21</v>
      </c>
      <c r="I436" s="5">
        <f t="shared" si="32"/>
        <v>0</v>
      </c>
      <c r="J436" s="5">
        <f t="shared" si="34"/>
        <v>0</v>
      </c>
      <c r="L436" s="5">
        <f t="shared" si="35"/>
        <v>0</v>
      </c>
      <c r="M436" s="8">
        <v>0</v>
      </c>
      <c r="N436" s="2" t="s">
        <v>61</v>
      </c>
      <c r="O436" s="3" t="s">
        <v>63</v>
      </c>
    </row>
    <row r="437" spans="1:15" x14ac:dyDescent="0.35">
      <c r="A437" s="4"/>
      <c r="F437" s="5" t="str">
        <f t="shared" si="36"/>
        <v xml:space="preserve"> </v>
      </c>
      <c r="G437" s="12">
        <f t="shared" si="33"/>
        <v>0</v>
      </c>
      <c r="H437">
        <v>21</v>
      </c>
      <c r="I437" s="5">
        <f>SUM(I2:I436)</f>
        <v>47278.150191460067</v>
      </c>
      <c r="J437" s="5">
        <f t="shared" si="34"/>
        <v>0</v>
      </c>
      <c r="L437" s="5">
        <f t="shared" si="35"/>
        <v>0</v>
      </c>
      <c r="M437" s="8">
        <v>0</v>
      </c>
      <c r="N437" s="2" t="s">
        <v>21</v>
      </c>
      <c r="O437" s="3" t="s">
        <v>63</v>
      </c>
    </row>
    <row r="438" spans="1:15" x14ac:dyDescent="0.35">
      <c r="A438" s="4"/>
      <c r="F438" s="5" t="str">
        <f t="shared" si="36"/>
        <v xml:space="preserve"> </v>
      </c>
      <c r="G438" s="12">
        <f t="shared" si="33"/>
        <v>0</v>
      </c>
      <c r="H438">
        <v>21</v>
      </c>
      <c r="I438" s="5">
        <f t="shared" si="32"/>
        <v>0</v>
      </c>
      <c r="J438" s="5">
        <f t="shared" si="34"/>
        <v>0</v>
      </c>
      <c r="L438" s="5">
        <f t="shared" si="35"/>
        <v>0</v>
      </c>
      <c r="M438" s="8">
        <v>0</v>
      </c>
      <c r="N438" s="2" t="s">
        <v>21</v>
      </c>
      <c r="O438" s="3" t="s">
        <v>67</v>
      </c>
    </row>
    <row r="439" spans="1:15" x14ac:dyDescent="0.35">
      <c r="A439" s="4"/>
      <c r="F439" s="5" t="str">
        <f t="shared" si="36"/>
        <v xml:space="preserve"> </v>
      </c>
      <c r="G439" s="12">
        <f t="shared" si="33"/>
        <v>0</v>
      </c>
      <c r="H439">
        <v>21</v>
      </c>
      <c r="I439" s="5">
        <f t="shared" si="32"/>
        <v>0</v>
      </c>
      <c r="J439" s="5">
        <f t="shared" si="34"/>
        <v>0</v>
      </c>
      <c r="L439" s="5">
        <f t="shared" si="35"/>
        <v>0</v>
      </c>
      <c r="M439" s="8">
        <v>0</v>
      </c>
      <c r="N439" s="2" t="s">
        <v>39</v>
      </c>
      <c r="O439" s="3" t="s">
        <v>67</v>
      </c>
    </row>
    <row r="440" spans="1:15" x14ac:dyDescent="0.35">
      <c r="A440" s="4"/>
      <c r="F440" s="5" t="str">
        <f t="shared" si="36"/>
        <v xml:space="preserve"> </v>
      </c>
      <c r="G440" s="12">
        <f t="shared" si="33"/>
        <v>0</v>
      </c>
      <c r="H440">
        <v>21</v>
      </c>
      <c r="I440" s="5">
        <f t="shared" si="32"/>
        <v>0</v>
      </c>
      <c r="J440" s="5">
        <f t="shared" si="34"/>
        <v>0</v>
      </c>
      <c r="L440" s="5">
        <f t="shared" si="35"/>
        <v>0</v>
      </c>
      <c r="M440" s="8">
        <v>0</v>
      </c>
      <c r="N440" s="2" t="s">
        <v>39</v>
      </c>
      <c r="O440" s="3" t="s">
        <v>67</v>
      </c>
    </row>
    <row r="441" spans="1:15" x14ac:dyDescent="0.35">
      <c r="A441" s="4"/>
      <c r="F441" s="5" t="str">
        <f t="shared" si="36"/>
        <v xml:space="preserve"> </v>
      </c>
      <c r="G441" s="12">
        <f t="shared" si="33"/>
        <v>0</v>
      </c>
      <c r="H441">
        <v>21</v>
      </c>
      <c r="I441" s="5">
        <f t="shared" si="32"/>
        <v>0</v>
      </c>
      <c r="J441" s="5">
        <f t="shared" si="34"/>
        <v>0</v>
      </c>
      <c r="L441" s="5">
        <f t="shared" si="35"/>
        <v>0</v>
      </c>
      <c r="M441" s="8">
        <v>0</v>
      </c>
      <c r="N441" s="2" t="s">
        <v>39</v>
      </c>
      <c r="O441" s="3" t="s">
        <v>67</v>
      </c>
    </row>
    <row r="442" spans="1:15" x14ac:dyDescent="0.35">
      <c r="A442" s="4"/>
      <c r="F442" s="5" t="str">
        <f t="shared" si="36"/>
        <v xml:space="preserve"> </v>
      </c>
      <c r="G442" s="12">
        <f t="shared" si="33"/>
        <v>0</v>
      </c>
      <c r="H442">
        <v>21</v>
      </c>
      <c r="I442" s="5">
        <f t="shared" si="32"/>
        <v>0</v>
      </c>
      <c r="J442" s="5">
        <f t="shared" si="34"/>
        <v>0</v>
      </c>
      <c r="L442" s="5">
        <f t="shared" si="35"/>
        <v>0</v>
      </c>
      <c r="M442" s="8">
        <v>0</v>
      </c>
      <c r="N442" s="2" t="s">
        <v>39</v>
      </c>
      <c r="O442" s="3" t="s">
        <v>67</v>
      </c>
    </row>
    <row r="443" spans="1:15" x14ac:dyDescent="0.35">
      <c r="A443" s="4"/>
      <c r="F443" s="5" t="str">
        <f t="shared" si="36"/>
        <v xml:space="preserve"> </v>
      </c>
      <c r="G443" s="12">
        <v>-12.564</v>
      </c>
      <c r="H443">
        <v>21</v>
      </c>
      <c r="I443" s="5">
        <f t="shared" si="32"/>
        <v>-2.6384400000000001</v>
      </c>
      <c r="J443" s="5">
        <f t="shared" si="34"/>
        <v>-12.564</v>
      </c>
      <c r="L443" s="5">
        <f t="shared" si="35"/>
        <v>0</v>
      </c>
      <c r="M443" s="8">
        <v>0</v>
      </c>
      <c r="N443" s="2" t="s">
        <v>39</v>
      </c>
      <c r="O443" s="3" t="s">
        <v>67</v>
      </c>
    </row>
    <row r="444" spans="1:15" x14ac:dyDescent="0.35">
      <c r="A444" s="4"/>
      <c r="F444" s="5" t="str">
        <f t="shared" si="36"/>
        <v xml:space="preserve"> </v>
      </c>
      <c r="G444" s="12">
        <f t="shared" si="33"/>
        <v>0</v>
      </c>
      <c r="H444">
        <v>21</v>
      </c>
      <c r="I444" s="5">
        <f t="shared" si="32"/>
        <v>0</v>
      </c>
      <c r="J444" s="5">
        <f t="shared" si="34"/>
        <v>0</v>
      </c>
      <c r="L444" s="5">
        <f t="shared" si="35"/>
        <v>0</v>
      </c>
      <c r="M444" s="8">
        <v>0</v>
      </c>
      <c r="N444" s="2" t="s">
        <v>39</v>
      </c>
      <c r="O444" s="3" t="s">
        <v>67</v>
      </c>
    </row>
    <row r="445" spans="1:15" x14ac:dyDescent="0.35">
      <c r="A445" s="4"/>
      <c r="F445" s="5" t="str">
        <f t="shared" si="36"/>
        <v xml:space="preserve"> </v>
      </c>
      <c r="G445" s="12">
        <f t="shared" si="33"/>
        <v>0</v>
      </c>
      <c r="H445">
        <v>21</v>
      </c>
      <c r="I445" s="5">
        <f t="shared" si="32"/>
        <v>0</v>
      </c>
      <c r="J445" s="5">
        <f t="shared" si="34"/>
        <v>0</v>
      </c>
      <c r="L445" s="5">
        <f t="shared" si="35"/>
        <v>0</v>
      </c>
      <c r="M445" s="8">
        <v>0</v>
      </c>
      <c r="N445" s="2" t="s">
        <v>39</v>
      </c>
      <c r="O445" s="3" t="s">
        <v>67</v>
      </c>
    </row>
    <row r="446" spans="1:15" x14ac:dyDescent="0.35">
      <c r="A446" s="4"/>
      <c r="F446" s="5" t="str">
        <f t="shared" si="36"/>
        <v xml:space="preserve"> </v>
      </c>
      <c r="G446" s="12">
        <f t="shared" si="33"/>
        <v>0</v>
      </c>
      <c r="H446">
        <v>21</v>
      </c>
      <c r="I446" s="5">
        <f t="shared" si="32"/>
        <v>0</v>
      </c>
      <c r="J446" s="5">
        <f t="shared" si="34"/>
        <v>0</v>
      </c>
      <c r="L446" s="5">
        <f t="shared" si="35"/>
        <v>0</v>
      </c>
      <c r="M446" s="8">
        <v>0</v>
      </c>
      <c r="N446" s="2" t="s">
        <v>39</v>
      </c>
      <c r="O446" s="3" t="s">
        <v>67</v>
      </c>
    </row>
    <row r="447" spans="1:15" x14ac:dyDescent="0.35">
      <c r="A447" s="4"/>
      <c r="F447" s="5" t="str">
        <f t="shared" si="36"/>
        <v xml:space="preserve"> </v>
      </c>
      <c r="G447" s="12">
        <f t="shared" si="33"/>
        <v>0</v>
      </c>
      <c r="H447">
        <v>21</v>
      </c>
      <c r="I447" s="5">
        <f t="shared" si="32"/>
        <v>0</v>
      </c>
      <c r="J447" s="5">
        <f t="shared" si="34"/>
        <v>0</v>
      </c>
      <c r="L447" s="5">
        <f t="shared" si="35"/>
        <v>0</v>
      </c>
      <c r="M447" s="8">
        <v>0</v>
      </c>
      <c r="N447" s="2" t="s">
        <v>39</v>
      </c>
      <c r="O447" s="3" t="s">
        <v>67</v>
      </c>
    </row>
    <row r="448" spans="1:15" x14ac:dyDescent="0.35">
      <c r="A448" s="4"/>
      <c r="F448" s="5" t="str">
        <f t="shared" si="36"/>
        <v xml:space="preserve"> </v>
      </c>
      <c r="G448" s="12">
        <v>-11.888</v>
      </c>
      <c r="H448">
        <v>21</v>
      </c>
      <c r="I448" s="5">
        <f t="shared" si="32"/>
        <v>-2.49648</v>
      </c>
      <c r="J448" s="5">
        <f t="shared" si="34"/>
        <v>-11.888</v>
      </c>
      <c r="L448" s="5">
        <f t="shared" si="35"/>
        <v>0</v>
      </c>
      <c r="M448" s="8">
        <v>0</v>
      </c>
      <c r="N448" s="2" t="s">
        <v>39</v>
      </c>
      <c r="O448" s="3" t="s">
        <v>67</v>
      </c>
    </row>
    <row r="449" spans="1:15" x14ac:dyDescent="0.35">
      <c r="A449" s="4"/>
      <c r="F449" s="5" t="str">
        <f t="shared" si="36"/>
        <v xml:space="preserve"> </v>
      </c>
      <c r="G449" s="12">
        <f t="shared" si="33"/>
        <v>0</v>
      </c>
      <c r="H449">
        <v>21</v>
      </c>
      <c r="I449" s="5">
        <f t="shared" si="32"/>
        <v>0</v>
      </c>
      <c r="J449" s="5">
        <f t="shared" si="34"/>
        <v>0</v>
      </c>
      <c r="L449" s="5">
        <f t="shared" si="35"/>
        <v>0</v>
      </c>
      <c r="M449" s="8">
        <v>0</v>
      </c>
      <c r="N449" s="2" t="s">
        <v>39</v>
      </c>
      <c r="O449" s="3" t="s">
        <v>67</v>
      </c>
    </row>
    <row r="450" spans="1:15" x14ac:dyDescent="0.35">
      <c r="A450" s="4"/>
      <c r="F450" s="5" t="str">
        <f t="shared" si="36"/>
        <v xml:space="preserve"> </v>
      </c>
      <c r="G450" s="12">
        <f t="shared" si="33"/>
        <v>0</v>
      </c>
      <c r="H450">
        <v>21</v>
      </c>
      <c r="I450" s="5">
        <f t="shared" si="32"/>
        <v>0</v>
      </c>
      <c r="J450" s="5">
        <f t="shared" si="34"/>
        <v>0</v>
      </c>
      <c r="L450" s="5">
        <f t="shared" si="35"/>
        <v>0</v>
      </c>
      <c r="M450" s="8">
        <v>0</v>
      </c>
      <c r="N450" s="2" t="s">
        <v>39</v>
      </c>
      <c r="O450" s="3" t="s">
        <v>67</v>
      </c>
    </row>
    <row r="451" spans="1:15" x14ac:dyDescent="0.35">
      <c r="A451" s="4"/>
      <c r="F451" s="5" t="str">
        <f t="shared" si="36"/>
        <v xml:space="preserve"> </v>
      </c>
      <c r="G451" s="12">
        <f t="shared" si="33"/>
        <v>0</v>
      </c>
      <c r="H451">
        <v>21</v>
      </c>
      <c r="I451" s="5">
        <f t="shared" si="32"/>
        <v>0</v>
      </c>
      <c r="J451" s="5">
        <f t="shared" si="34"/>
        <v>0</v>
      </c>
      <c r="L451" s="5">
        <f t="shared" si="35"/>
        <v>0</v>
      </c>
      <c r="M451" s="8">
        <v>0</v>
      </c>
      <c r="N451" s="2" t="s">
        <v>39</v>
      </c>
      <c r="O451" s="3" t="s">
        <v>67</v>
      </c>
    </row>
    <row r="452" spans="1:15" x14ac:dyDescent="0.35">
      <c r="A452" s="4"/>
      <c r="F452" s="5" t="str">
        <f t="shared" si="36"/>
        <v xml:space="preserve"> </v>
      </c>
      <c r="G452" s="12">
        <f t="shared" si="33"/>
        <v>0</v>
      </c>
      <c r="H452">
        <v>21</v>
      </c>
      <c r="I452" s="5">
        <f t="shared" si="32"/>
        <v>0</v>
      </c>
      <c r="J452" s="5">
        <f t="shared" si="34"/>
        <v>0</v>
      </c>
      <c r="L452" s="5">
        <f t="shared" si="35"/>
        <v>0</v>
      </c>
      <c r="M452" s="8">
        <v>0</v>
      </c>
      <c r="N452" s="2" t="s">
        <v>39</v>
      </c>
      <c r="O452" s="3" t="s">
        <v>67</v>
      </c>
    </row>
    <row r="453" spans="1:15" x14ac:dyDescent="0.35">
      <c r="A453" s="4"/>
      <c r="F453" s="5" t="str">
        <f t="shared" si="36"/>
        <v xml:space="preserve"> </v>
      </c>
      <c r="G453" s="12">
        <v>-7.5949999999999998</v>
      </c>
      <c r="H453">
        <v>21</v>
      </c>
      <c r="I453" s="5">
        <f t="shared" si="32"/>
        <v>-1.5949500000000001</v>
      </c>
      <c r="J453" s="5">
        <f t="shared" si="34"/>
        <v>-7.5949999999999998</v>
      </c>
      <c r="L453" s="5">
        <f t="shared" si="35"/>
        <v>0</v>
      </c>
      <c r="M453" s="8">
        <v>0</v>
      </c>
      <c r="N453" s="2" t="s">
        <v>39</v>
      </c>
      <c r="O453" s="3" t="s">
        <v>67</v>
      </c>
    </row>
    <row r="454" spans="1:15" x14ac:dyDescent="0.35">
      <c r="A454" s="4"/>
      <c r="F454" s="5" t="str">
        <f t="shared" si="36"/>
        <v xml:space="preserve"> </v>
      </c>
      <c r="G454" s="12">
        <f t="shared" si="33"/>
        <v>0</v>
      </c>
      <c r="H454">
        <v>21</v>
      </c>
      <c r="I454" s="5">
        <f t="shared" si="32"/>
        <v>0</v>
      </c>
      <c r="J454" s="5">
        <f t="shared" si="34"/>
        <v>0</v>
      </c>
      <c r="L454" s="5">
        <f t="shared" si="35"/>
        <v>0</v>
      </c>
      <c r="M454" s="8">
        <v>0</v>
      </c>
      <c r="N454" s="2" t="s">
        <v>21</v>
      </c>
      <c r="O454" s="3" t="s">
        <v>64</v>
      </c>
    </row>
    <row r="455" spans="1:15" x14ac:dyDescent="0.35">
      <c r="A455" s="4"/>
      <c r="F455" s="5" t="str">
        <f t="shared" si="36"/>
        <v xml:space="preserve"> </v>
      </c>
      <c r="G455" s="12">
        <f t="shared" si="33"/>
        <v>0</v>
      </c>
      <c r="H455">
        <v>21</v>
      </c>
      <c r="I455" s="5">
        <f t="shared" si="32"/>
        <v>0</v>
      </c>
      <c r="J455" s="5">
        <f t="shared" si="34"/>
        <v>0</v>
      </c>
      <c r="L455" s="5">
        <f t="shared" si="35"/>
        <v>0</v>
      </c>
      <c r="M455" s="8">
        <v>0</v>
      </c>
      <c r="N455" s="2" t="s">
        <v>21</v>
      </c>
      <c r="O455" s="3" t="s">
        <v>64</v>
      </c>
    </row>
    <row r="456" spans="1:15" x14ac:dyDescent="0.35">
      <c r="A456" s="4"/>
      <c r="F456" s="5" t="str">
        <f t="shared" si="36"/>
        <v xml:space="preserve"> </v>
      </c>
      <c r="G456" s="12">
        <f t="shared" si="33"/>
        <v>0</v>
      </c>
      <c r="H456">
        <v>21</v>
      </c>
      <c r="I456" s="5">
        <f t="shared" si="32"/>
        <v>0</v>
      </c>
      <c r="J456" s="5">
        <f t="shared" si="34"/>
        <v>0</v>
      </c>
      <c r="L456" s="5">
        <f t="shared" si="35"/>
        <v>0</v>
      </c>
      <c r="M456" s="8">
        <v>0</v>
      </c>
      <c r="N456" s="2" t="s">
        <v>21</v>
      </c>
      <c r="O456" s="3" t="s">
        <v>64</v>
      </c>
    </row>
    <row r="457" spans="1:15" x14ac:dyDescent="0.35">
      <c r="A457" s="4"/>
      <c r="F457" s="5" t="str">
        <f t="shared" si="36"/>
        <v xml:space="preserve"> </v>
      </c>
      <c r="G457" s="12">
        <f t="shared" si="33"/>
        <v>0</v>
      </c>
      <c r="H457">
        <v>21</v>
      </c>
      <c r="I457" s="5">
        <f t="shared" si="32"/>
        <v>0</v>
      </c>
      <c r="J457" s="5">
        <f t="shared" si="34"/>
        <v>0</v>
      </c>
      <c r="L457" s="5">
        <f t="shared" si="35"/>
        <v>0</v>
      </c>
      <c r="M457" s="8">
        <v>0</v>
      </c>
      <c r="N457" s="2" t="s">
        <v>21</v>
      </c>
      <c r="O457" s="3" t="s">
        <v>64</v>
      </c>
    </row>
    <row r="458" spans="1:15" x14ac:dyDescent="0.35">
      <c r="A458" s="4"/>
      <c r="F458" s="5" t="str">
        <f t="shared" si="36"/>
        <v xml:space="preserve"> </v>
      </c>
      <c r="G458" s="12">
        <f t="shared" si="33"/>
        <v>0</v>
      </c>
      <c r="H458">
        <v>21</v>
      </c>
      <c r="I458" s="5">
        <f t="shared" si="32"/>
        <v>0</v>
      </c>
      <c r="J458" s="5">
        <f t="shared" si="34"/>
        <v>0</v>
      </c>
      <c r="L458" s="5">
        <f t="shared" si="35"/>
        <v>0</v>
      </c>
      <c r="M458" s="8">
        <v>0</v>
      </c>
      <c r="N458" s="2" t="s">
        <v>21</v>
      </c>
      <c r="O458" s="3" t="s">
        <v>64</v>
      </c>
    </row>
    <row r="459" spans="1:15" x14ac:dyDescent="0.35">
      <c r="A459" s="4"/>
      <c r="F459" s="5" t="str">
        <f t="shared" si="36"/>
        <v xml:space="preserve"> </v>
      </c>
      <c r="G459" s="12">
        <f t="shared" si="33"/>
        <v>0</v>
      </c>
      <c r="H459">
        <v>21</v>
      </c>
      <c r="I459" s="5">
        <f t="shared" si="32"/>
        <v>0</v>
      </c>
      <c r="J459" s="5">
        <f t="shared" si="34"/>
        <v>0</v>
      </c>
      <c r="L459" s="5">
        <f t="shared" si="35"/>
        <v>0</v>
      </c>
      <c r="M459" s="8"/>
      <c r="N459" s="2" t="s">
        <v>21</v>
      </c>
      <c r="O459" s="3" t="s">
        <v>64</v>
      </c>
    </row>
    <row r="460" spans="1:15" x14ac:dyDescent="0.35">
      <c r="A460" s="4"/>
      <c r="F460" s="5" t="str">
        <f t="shared" si="36"/>
        <v xml:space="preserve"> </v>
      </c>
      <c r="G460" s="12">
        <f t="shared" si="33"/>
        <v>0</v>
      </c>
      <c r="H460">
        <v>21</v>
      </c>
      <c r="I460" s="5">
        <f t="shared" si="32"/>
        <v>0</v>
      </c>
      <c r="J460" s="5">
        <f t="shared" si="34"/>
        <v>0</v>
      </c>
      <c r="L460" s="5">
        <f t="shared" si="35"/>
        <v>0</v>
      </c>
      <c r="M460" s="8">
        <v>0</v>
      </c>
      <c r="N460" s="2" t="s">
        <v>21</v>
      </c>
      <c r="O460" s="3" t="s">
        <v>64</v>
      </c>
    </row>
    <row r="461" spans="1:15" x14ac:dyDescent="0.35">
      <c r="A461" s="4"/>
      <c r="F461" s="5" t="str">
        <f t="shared" si="36"/>
        <v xml:space="preserve"> </v>
      </c>
      <c r="G461" s="12">
        <f t="shared" si="33"/>
        <v>0</v>
      </c>
      <c r="H461">
        <v>21</v>
      </c>
      <c r="I461" s="5">
        <f t="shared" si="32"/>
        <v>0</v>
      </c>
      <c r="J461" s="5">
        <f t="shared" si="34"/>
        <v>0</v>
      </c>
      <c r="L461" s="5">
        <f t="shared" si="35"/>
        <v>0</v>
      </c>
      <c r="M461" s="8">
        <v>0</v>
      </c>
      <c r="N461" s="2" t="s">
        <v>21</v>
      </c>
      <c r="O461" s="3" t="s">
        <v>64</v>
      </c>
    </row>
    <row r="462" spans="1:15" x14ac:dyDescent="0.35">
      <c r="A462" s="4"/>
      <c r="F462" s="5" t="str">
        <f t="shared" si="36"/>
        <v xml:space="preserve"> </v>
      </c>
      <c r="G462" s="12">
        <f t="shared" si="33"/>
        <v>0</v>
      </c>
      <c r="H462">
        <v>21</v>
      </c>
      <c r="I462" s="5">
        <f t="shared" si="32"/>
        <v>0</v>
      </c>
      <c r="J462" s="5">
        <f t="shared" si="34"/>
        <v>0</v>
      </c>
      <c r="L462" s="5">
        <f t="shared" si="35"/>
        <v>0</v>
      </c>
      <c r="M462" s="8">
        <v>0</v>
      </c>
      <c r="N462" s="2" t="s">
        <v>21</v>
      </c>
      <c r="O462" s="3" t="s">
        <v>64</v>
      </c>
    </row>
    <row r="463" spans="1:15" x14ac:dyDescent="0.35">
      <c r="A463" s="4"/>
      <c r="F463" s="5" t="str">
        <f t="shared" si="36"/>
        <v xml:space="preserve"> </v>
      </c>
      <c r="G463" s="12">
        <f t="shared" si="33"/>
        <v>0</v>
      </c>
      <c r="H463">
        <v>21</v>
      </c>
      <c r="I463" s="5">
        <f t="shared" si="32"/>
        <v>0</v>
      </c>
      <c r="J463" s="5">
        <f t="shared" si="34"/>
        <v>0</v>
      </c>
      <c r="L463" s="5">
        <f t="shared" si="35"/>
        <v>0</v>
      </c>
      <c r="M463" s="8">
        <v>0</v>
      </c>
      <c r="N463" s="2" t="s">
        <v>21</v>
      </c>
      <c r="O463" s="3" t="s">
        <v>64</v>
      </c>
    </row>
    <row r="464" spans="1:15" x14ac:dyDescent="0.35">
      <c r="A464" s="4"/>
      <c r="F464" s="5" t="str">
        <f t="shared" si="36"/>
        <v xml:space="preserve"> </v>
      </c>
      <c r="G464" s="12">
        <f t="shared" si="33"/>
        <v>0</v>
      </c>
      <c r="H464">
        <v>21</v>
      </c>
      <c r="I464" s="5">
        <f t="shared" si="32"/>
        <v>0</v>
      </c>
      <c r="J464" s="5">
        <f t="shared" si="34"/>
        <v>0</v>
      </c>
      <c r="L464" s="5">
        <f t="shared" si="35"/>
        <v>0</v>
      </c>
      <c r="M464" s="8">
        <v>0</v>
      </c>
      <c r="N464" s="2" t="s">
        <v>21</v>
      </c>
      <c r="O464" s="3" t="s">
        <v>64</v>
      </c>
    </row>
    <row r="465" spans="1:15" x14ac:dyDescent="0.35">
      <c r="A465" s="4"/>
      <c r="F465" s="5" t="str">
        <f t="shared" si="36"/>
        <v xml:space="preserve"> </v>
      </c>
      <c r="G465" s="12">
        <f t="shared" si="33"/>
        <v>0</v>
      </c>
      <c r="H465">
        <v>21</v>
      </c>
      <c r="I465" s="5">
        <f t="shared" si="32"/>
        <v>0</v>
      </c>
      <c r="J465" s="5">
        <f t="shared" si="34"/>
        <v>0</v>
      </c>
      <c r="L465" s="5">
        <f t="shared" si="35"/>
        <v>0</v>
      </c>
      <c r="M465" s="8">
        <v>0</v>
      </c>
      <c r="N465" s="2" t="s">
        <v>21</v>
      </c>
      <c r="O465" s="3" t="s">
        <v>64</v>
      </c>
    </row>
    <row r="466" spans="1:15" x14ac:dyDescent="0.35">
      <c r="A466" s="4"/>
      <c r="F466" s="5" t="str">
        <f t="shared" si="36"/>
        <v xml:space="preserve"> </v>
      </c>
      <c r="G466" s="12">
        <f t="shared" si="33"/>
        <v>0</v>
      </c>
      <c r="H466">
        <v>21</v>
      </c>
      <c r="I466" s="5">
        <f t="shared" si="32"/>
        <v>0</v>
      </c>
      <c r="J466" s="5">
        <f t="shared" si="34"/>
        <v>0</v>
      </c>
      <c r="L466" s="5">
        <f t="shared" si="35"/>
        <v>0</v>
      </c>
      <c r="M466" s="8">
        <v>0</v>
      </c>
      <c r="N466" s="2" t="s">
        <v>21</v>
      </c>
      <c r="O466" s="3" t="s">
        <v>64</v>
      </c>
    </row>
    <row r="467" spans="1:15" x14ac:dyDescent="0.35">
      <c r="A467" s="4"/>
      <c r="F467" s="5" t="str">
        <f t="shared" si="36"/>
        <v xml:space="preserve"> </v>
      </c>
      <c r="G467" s="12">
        <f t="shared" si="33"/>
        <v>0</v>
      </c>
      <c r="H467">
        <v>21</v>
      </c>
      <c r="I467" s="5">
        <f t="shared" si="32"/>
        <v>0</v>
      </c>
      <c r="J467" s="5">
        <f t="shared" si="34"/>
        <v>0</v>
      </c>
      <c r="L467" s="5">
        <f t="shared" si="35"/>
        <v>0</v>
      </c>
      <c r="M467" s="8">
        <v>0</v>
      </c>
      <c r="N467" s="2" t="s">
        <v>21</v>
      </c>
      <c r="O467" s="3" t="s">
        <v>64</v>
      </c>
    </row>
    <row r="468" spans="1:15" x14ac:dyDescent="0.35">
      <c r="A468" s="4"/>
      <c r="F468" s="5" t="str">
        <f t="shared" si="36"/>
        <v xml:space="preserve"> </v>
      </c>
      <c r="G468" s="12">
        <f t="shared" si="33"/>
        <v>0</v>
      </c>
      <c r="H468">
        <v>21</v>
      </c>
      <c r="I468" s="5">
        <f t="shared" si="32"/>
        <v>0</v>
      </c>
      <c r="J468" s="5">
        <f t="shared" si="34"/>
        <v>0</v>
      </c>
      <c r="L468" s="5">
        <f t="shared" si="35"/>
        <v>0</v>
      </c>
      <c r="M468" s="8">
        <v>0</v>
      </c>
      <c r="N468" s="2" t="s">
        <v>21</v>
      </c>
      <c r="O468" s="3" t="s">
        <v>64</v>
      </c>
    </row>
    <row r="469" spans="1:15" x14ac:dyDescent="0.35">
      <c r="A469" s="4"/>
      <c r="F469" s="5" t="str">
        <f t="shared" si="36"/>
        <v xml:space="preserve"> </v>
      </c>
      <c r="G469" s="12">
        <f t="shared" si="33"/>
        <v>0</v>
      </c>
      <c r="H469">
        <v>21</v>
      </c>
      <c r="I469" s="5">
        <f t="shared" si="32"/>
        <v>0</v>
      </c>
      <c r="J469" s="5">
        <f t="shared" si="34"/>
        <v>0</v>
      </c>
      <c r="L469" s="5">
        <f t="shared" si="35"/>
        <v>0</v>
      </c>
      <c r="M469" s="8">
        <v>0</v>
      </c>
      <c r="N469" s="2" t="s">
        <v>21</v>
      </c>
      <c r="O469" s="3" t="s">
        <v>64</v>
      </c>
    </row>
    <row r="470" spans="1:15" x14ac:dyDescent="0.35">
      <c r="A470" s="4"/>
      <c r="F470" s="5" t="str">
        <f t="shared" si="36"/>
        <v xml:space="preserve"> </v>
      </c>
      <c r="G470" s="12">
        <f t="shared" si="33"/>
        <v>0</v>
      </c>
      <c r="H470">
        <v>21</v>
      </c>
      <c r="I470" s="5">
        <f t="shared" si="32"/>
        <v>0</v>
      </c>
      <c r="J470" s="5">
        <f t="shared" si="34"/>
        <v>0</v>
      </c>
      <c r="L470" s="5">
        <f t="shared" si="35"/>
        <v>0</v>
      </c>
      <c r="M470" s="8">
        <v>0</v>
      </c>
      <c r="N470" s="2" t="s">
        <v>21</v>
      </c>
      <c r="O470" s="3" t="s">
        <v>64</v>
      </c>
    </row>
    <row r="471" spans="1:15" x14ac:dyDescent="0.35">
      <c r="A471" s="4"/>
      <c r="F471" s="5" t="str">
        <f t="shared" si="36"/>
        <v xml:space="preserve"> </v>
      </c>
      <c r="G471" s="12">
        <f t="shared" si="33"/>
        <v>0</v>
      </c>
      <c r="H471">
        <v>21</v>
      </c>
      <c r="I471" s="5">
        <f t="shared" si="32"/>
        <v>0</v>
      </c>
      <c r="J471" s="5">
        <f t="shared" si="34"/>
        <v>0</v>
      </c>
      <c r="L471" s="5">
        <f t="shared" si="35"/>
        <v>0</v>
      </c>
      <c r="M471" s="8">
        <v>0</v>
      </c>
      <c r="N471" s="2" t="s">
        <v>21</v>
      </c>
      <c r="O471" s="3" t="s">
        <v>64</v>
      </c>
    </row>
    <row r="472" spans="1:15" x14ac:dyDescent="0.35">
      <c r="A472" s="4"/>
      <c r="F472" s="5" t="str">
        <f t="shared" si="36"/>
        <v xml:space="preserve"> </v>
      </c>
      <c r="G472" s="12">
        <f t="shared" si="33"/>
        <v>0</v>
      </c>
      <c r="H472">
        <v>21</v>
      </c>
      <c r="I472" s="5">
        <f t="shared" si="32"/>
        <v>0</v>
      </c>
      <c r="J472" s="5">
        <f t="shared" si="34"/>
        <v>0</v>
      </c>
      <c r="L472" s="5">
        <f t="shared" si="35"/>
        <v>0</v>
      </c>
      <c r="M472" s="8">
        <v>0</v>
      </c>
      <c r="N472" s="2" t="s">
        <v>21</v>
      </c>
      <c r="O472" s="3" t="s">
        <v>64</v>
      </c>
    </row>
    <row r="473" spans="1:15" x14ac:dyDescent="0.35">
      <c r="A473" s="4"/>
      <c r="F473" s="5" t="str">
        <f t="shared" si="36"/>
        <v xml:space="preserve"> </v>
      </c>
      <c r="G473" s="12">
        <f t="shared" si="33"/>
        <v>0</v>
      </c>
      <c r="H473">
        <v>21</v>
      </c>
      <c r="I473" s="5">
        <f t="shared" si="32"/>
        <v>0</v>
      </c>
      <c r="J473" s="5">
        <f t="shared" si="34"/>
        <v>0</v>
      </c>
      <c r="L473" s="5">
        <f t="shared" si="35"/>
        <v>0</v>
      </c>
      <c r="M473" s="8">
        <v>0</v>
      </c>
      <c r="N473" s="2" t="s">
        <v>21</v>
      </c>
      <c r="O473" s="3" t="s">
        <v>64</v>
      </c>
    </row>
    <row r="474" spans="1:15" x14ac:dyDescent="0.35">
      <c r="A474" s="4"/>
      <c r="F474" s="5" t="str">
        <f t="shared" si="36"/>
        <v xml:space="preserve"> </v>
      </c>
      <c r="G474" s="12">
        <f t="shared" si="33"/>
        <v>0</v>
      </c>
      <c r="H474">
        <v>21</v>
      </c>
      <c r="I474" s="5">
        <f t="shared" si="32"/>
        <v>0</v>
      </c>
      <c r="J474" s="5">
        <f t="shared" si="34"/>
        <v>0</v>
      </c>
      <c r="L474" s="5">
        <f t="shared" si="35"/>
        <v>0</v>
      </c>
      <c r="M474" s="8">
        <v>0</v>
      </c>
      <c r="N474" s="2" t="s">
        <v>21</v>
      </c>
      <c r="O474" s="3" t="s">
        <v>64</v>
      </c>
    </row>
    <row r="475" spans="1:15" x14ac:dyDescent="0.35">
      <c r="A475" s="4"/>
      <c r="F475" s="5" t="str">
        <f t="shared" si="36"/>
        <v xml:space="preserve"> </v>
      </c>
      <c r="G475" s="12">
        <f t="shared" si="33"/>
        <v>0</v>
      </c>
      <c r="H475">
        <v>21</v>
      </c>
      <c r="I475" s="5">
        <f t="shared" si="32"/>
        <v>0</v>
      </c>
      <c r="J475" s="5">
        <f t="shared" si="34"/>
        <v>0</v>
      </c>
      <c r="L475" s="5">
        <f t="shared" si="35"/>
        <v>0</v>
      </c>
      <c r="M475" s="8">
        <v>0</v>
      </c>
      <c r="N475" s="2" t="s">
        <v>21</v>
      </c>
      <c r="O475" s="3" t="s">
        <v>64</v>
      </c>
    </row>
    <row r="476" spans="1:15" x14ac:dyDescent="0.35">
      <c r="A476" s="4"/>
      <c r="F476" s="5" t="str">
        <f t="shared" si="36"/>
        <v xml:space="preserve"> </v>
      </c>
      <c r="G476" s="12">
        <f t="shared" si="33"/>
        <v>0</v>
      </c>
      <c r="H476">
        <v>21</v>
      </c>
      <c r="I476" s="5">
        <f t="shared" si="32"/>
        <v>0</v>
      </c>
      <c r="J476" s="5">
        <f t="shared" si="34"/>
        <v>0</v>
      </c>
      <c r="L476" s="5">
        <f t="shared" si="35"/>
        <v>0</v>
      </c>
      <c r="M476" s="8">
        <v>0</v>
      </c>
      <c r="N476" s="2" t="s">
        <v>21</v>
      </c>
      <c r="O476" s="3" t="s">
        <v>64</v>
      </c>
    </row>
    <row r="477" spans="1:15" x14ac:dyDescent="0.35">
      <c r="A477" s="4"/>
      <c r="F477" s="5" t="str">
        <f t="shared" si="36"/>
        <v xml:space="preserve"> </v>
      </c>
      <c r="G477" s="12">
        <f t="shared" si="33"/>
        <v>0</v>
      </c>
      <c r="H477">
        <v>21</v>
      </c>
      <c r="I477" s="5">
        <f t="shared" si="32"/>
        <v>0</v>
      </c>
      <c r="J477" s="5">
        <f t="shared" si="34"/>
        <v>0</v>
      </c>
      <c r="L477" s="5">
        <f t="shared" si="35"/>
        <v>0</v>
      </c>
      <c r="M477" s="8">
        <v>0</v>
      </c>
      <c r="N477" s="2" t="s">
        <v>22</v>
      </c>
      <c r="O477" s="3" t="s">
        <v>64</v>
      </c>
    </row>
    <row r="478" spans="1:15" x14ac:dyDescent="0.35">
      <c r="A478" s="4"/>
      <c r="F478" s="5" t="str">
        <f t="shared" si="36"/>
        <v xml:space="preserve"> </v>
      </c>
      <c r="G478" s="12">
        <f t="shared" si="33"/>
        <v>0</v>
      </c>
      <c r="H478">
        <v>21</v>
      </c>
      <c r="I478" s="5">
        <f t="shared" si="32"/>
        <v>0</v>
      </c>
      <c r="J478" s="5">
        <f t="shared" si="34"/>
        <v>0</v>
      </c>
      <c r="L478" s="5">
        <f t="shared" si="35"/>
        <v>0</v>
      </c>
      <c r="M478" s="8">
        <v>0</v>
      </c>
      <c r="N478" s="2" t="s">
        <v>22</v>
      </c>
      <c r="O478" s="3" t="s">
        <v>64</v>
      </c>
    </row>
    <row r="479" spans="1:15" x14ac:dyDescent="0.35">
      <c r="A479" s="4"/>
      <c r="F479" s="5" t="str">
        <f t="shared" si="36"/>
        <v xml:space="preserve"> </v>
      </c>
      <c r="G479" s="12">
        <f>M479/(1-K479/100+H479/100)</f>
        <v>0</v>
      </c>
      <c r="H479">
        <v>21</v>
      </c>
      <c r="I479" s="5">
        <f t="shared" si="32"/>
        <v>0</v>
      </c>
      <c r="J479" s="5">
        <f t="shared" si="34"/>
        <v>0</v>
      </c>
      <c r="L479" s="5">
        <f t="shared" si="35"/>
        <v>0</v>
      </c>
      <c r="M479" s="8">
        <v>0</v>
      </c>
      <c r="N479" s="2" t="s">
        <v>37</v>
      </c>
      <c r="O479" s="3" t="s">
        <v>68</v>
      </c>
    </row>
    <row r="480" spans="1:15" x14ac:dyDescent="0.35">
      <c r="A480" s="4"/>
      <c r="F480" s="5" t="str">
        <f t="shared" si="36"/>
        <v xml:space="preserve"> </v>
      </c>
      <c r="G480" s="12">
        <f t="shared" si="33"/>
        <v>0</v>
      </c>
      <c r="H480">
        <v>21</v>
      </c>
      <c r="I480" s="5">
        <f t="shared" si="32"/>
        <v>0</v>
      </c>
      <c r="J480" s="5">
        <f t="shared" si="34"/>
        <v>0</v>
      </c>
      <c r="L480" s="5">
        <f t="shared" si="35"/>
        <v>0</v>
      </c>
      <c r="M480" s="8">
        <v>0</v>
      </c>
      <c r="N480" s="2" t="s">
        <v>21</v>
      </c>
      <c r="O480" s="3" t="s">
        <v>68</v>
      </c>
    </row>
    <row r="481" spans="1:16" x14ac:dyDescent="0.35">
      <c r="A481" s="4"/>
      <c r="F481" s="5" t="str">
        <f t="shared" si="36"/>
        <v xml:space="preserve"> </v>
      </c>
      <c r="G481" s="12">
        <f t="shared" si="33"/>
        <v>0</v>
      </c>
      <c r="H481">
        <v>21</v>
      </c>
      <c r="I481" s="5">
        <f t="shared" si="32"/>
        <v>0</v>
      </c>
      <c r="J481" s="5">
        <f t="shared" si="34"/>
        <v>0</v>
      </c>
      <c r="L481" s="5">
        <f t="shared" si="35"/>
        <v>0</v>
      </c>
      <c r="M481" s="8">
        <v>0</v>
      </c>
      <c r="N481" s="2" t="s">
        <v>261</v>
      </c>
    </row>
    <row r="482" spans="1:16" x14ac:dyDescent="0.35">
      <c r="A482" s="4"/>
      <c r="F482" s="5" t="str">
        <f t="shared" si="36"/>
        <v xml:space="preserve"> </v>
      </c>
      <c r="G482" s="12">
        <f t="shared" si="33"/>
        <v>0</v>
      </c>
      <c r="H482">
        <v>21</v>
      </c>
      <c r="I482" s="5">
        <f t="shared" si="32"/>
        <v>0</v>
      </c>
      <c r="J482" s="5">
        <f t="shared" si="34"/>
        <v>0</v>
      </c>
      <c r="L482" s="5">
        <f t="shared" si="35"/>
        <v>0</v>
      </c>
      <c r="M482" s="8">
        <v>0</v>
      </c>
      <c r="N482" s="2" t="s">
        <v>21</v>
      </c>
      <c r="O482" s="3" t="s">
        <v>68</v>
      </c>
    </row>
    <row r="483" spans="1:16" x14ac:dyDescent="0.35">
      <c r="A483" s="4"/>
      <c r="F483" s="5" t="str">
        <f t="shared" si="36"/>
        <v xml:space="preserve"> </v>
      </c>
      <c r="G483" s="12">
        <f t="shared" si="33"/>
        <v>0</v>
      </c>
      <c r="H483">
        <v>21</v>
      </c>
      <c r="I483" s="5">
        <f t="shared" si="32"/>
        <v>0</v>
      </c>
      <c r="J483" s="5">
        <f t="shared" si="34"/>
        <v>0</v>
      </c>
      <c r="L483" s="5">
        <f t="shared" si="35"/>
        <v>0</v>
      </c>
      <c r="M483" s="8">
        <v>0</v>
      </c>
      <c r="N483" s="2" t="s">
        <v>37</v>
      </c>
      <c r="O483" s="3" t="s">
        <v>68</v>
      </c>
    </row>
    <row r="484" spans="1:16" x14ac:dyDescent="0.35">
      <c r="A484" s="4"/>
      <c r="F484" s="5" t="str">
        <f t="shared" si="36"/>
        <v xml:space="preserve"> </v>
      </c>
      <c r="G484" s="12">
        <f t="shared" si="33"/>
        <v>0</v>
      </c>
      <c r="H484">
        <v>21</v>
      </c>
      <c r="I484" s="5">
        <f t="shared" si="32"/>
        <v>0</v>
      </c>
      <c r="J484" s="5">
        <f t="shared" si="34"/>
        <v>0</v>
      </c>
      <c r="L484" s="5">
        <f t="shared" si="35"/>
        <v>0</v>
      </c>
      <c r="M484" s="8">
        <v>0</v>
      </c>
      <c r="N484" s="2" t="s">
        <v>37</v>
      </c>
      <c r="O484" s="3" t="s">
        <v>68</v>
      </c>
    </row>
    <row r="485" spans="1:16" x14ac:dyDescent="0.35">
      <c r="A485" s="4"/>
      <c r="F485" s="5" t="str">
        <f t="shared" si="36"/>
        <v xml:space="preserve"> </v>
      </c>
      <c r="G485" s="12">
        <f t="shared" si="33"/>
        <v>0</v>
      </c>
      <c r="H485">
        <v>21</v>
      </c>
      <c r="I485" s="5">
        <f t="shared" si="32"/>
        <v>0</v>
      </c>
      <c r="J485" s="5">
        <f t="shared" si="34"/>
        <v>0</v>
      </c>
      <c r="L485" s="5">
        <f t="shared" si="35"/>
        <v>0</v>
      </c>
      <c r="M485" s="8">
        <v>0</v>
      </c>
      <c r="N485" s="2" t="s">
        <v>21</v>
      </c>
      <c r="O485" s="3" t="s">
        <v>64</v>
      </c>
      <c r="P485" s="3" t="s">
        <v>63</v>
      </c>
    </row>
    <row r="486" spans="1:16" x14ac:dyDescent="0.35">
      <c r="A486" s="4"/>
      <c r="F486" s="5" t="str">
        <f t="shared" si="36"/>
        <v xml:space="preserve"> </v>
      </c>
      <c r="G486" s="12">
        <f t="shared" si="33"/>
        <v>0</v>
      </c>
      <c r="H486">
        <v>21</v>
      </c>
      <c r="I486" s="5">
        <f>SUM(I2:I485)</f>
        <v>94549.570512920138</v>
      </c>
      <c r="J486" s="5">
        <f t="shared" si="34"/>
        <v>0</v>
      </c>
      <c r="L486" s="5">
        <f t="shared" si="35"/>
        <v>0</v>
      </c>
      <c r="M486" s="8">
        <v>0</v>
      </c>
      <c r="N486" s="2" t="s">
        <v>22</v>
      </c>
      <c r="O486" s="3" t="s">
        <v>63</v>
      </c>
    </row>
    <row r="487" spans="1:16" x14ac:dyDescent="0.35">
      <c r="A487" s="4"/>
      <c r="F487" s="5" t="str">
        <f t="shared" si="36"/>
        <v xml:space="preserve"> </v>
      </c>
      <c r="G487" s="12">
        <f t="shared" si="33"/>
        <v>0</v>
      </c>
      <c r="H487">
        <v>21</v>
      </c>
      <c r="I487" s="5">
        <f t="shared" si="32"/>
        <v>0</v>
      </c>
      <c r="J487" s="5">
        <f t="shared" si="34"/>
        <v>0</v>
      </c>
      <c r="L487" s="5">
        <f t="shared" si="35"/>
        <v>0</v>
      </c>
      <c r="M487" s="8">
        <v>0</v>
      </c>
      <c r="N487" s="2" t="s">
        <v>22</v>
      </c>
      <c r="O487" s="3" t="s">
        <v>63</v>
      </c>
    </row>
    <row r="488" spans="1:16" x14ac:dyDescent="0.35">
      <c r="A488" s="4"/>
      <c r="F488" s="5" t="str">
        <f t="shared" si="36"/>
        <v xml:space="preserve"> </v>
      </c>
      <c r="G488" s="12">
        <f t="shared" si="33"/>
        <v>0</v>
      </c>
      <c r="H488">
        <v>21</v>
      </c>
      <c r="I488" s="5">
        <f>G488*H488/100</f>
        <v>0</v>
      </c>
      <c r="J488" s="5">
        <f t="shared" si="34"/>
        <v>0</v>
      </c>
      <c r="L488" s="5">
        <f t="shared" si="35"/>
        <v>0</v>
      </c>
      <c r="M488" s="8">
        <v>0</v>
      </c>
      <c r="N488" s="2" t="s">
        <v>22</v>
      </c>
      <c r="O488" s="3" t="s">
        <v>64</v>
      </c>
    </row>
    <row r="489" spans="1:16" x14ac:dyDescent="0.35">
      <c r="A489" s="4"/>
      <c r="F489" s="5" t="str">
        <f t="shared" si="36"/>
        <v xml:space="preserve"> </v>
      </c>
      <c r="G489" s="12">
        <f>M489/(1-K489/100+H489/100)</f>
        <v>0</v>
      </c>
      <c r="H489">
        <v>21</v>
      </c>
      <c r="I489" s="5">
        <f>G489*H489/100</f>
        <v>0</v>
      </c>
      <c r="J489" s="5">
        <f>G489</f>
        <v>0</v>
      </c>
      <c r="L489" s="5">
        <f>J489*K489/100</f>
        <v>0</v>
      </c>
      <c r="M489" s="8">
        <v>0</v>
      </c>
      <c r="N489" s="2" t="s">
        <v>21</v>
      </c>
      <c r="O489" s="3" t="s">
        <v>63</v>
      </c>
    </row>
    <row r="490" spans="1:16" x14ac:dyDescent="0.35">
      <c r="A490" s="4"/>
      <c r="F490" s="5" t="str">
        <f t="shared" si="36"/>
        <v xml:space="preserve"> </v>
      </c>
      <c r="G490" s="12">
        <f>M490/(1-K490/100+H490/100)</f>
        <v>0</v>
      </c>
      <c r="H490">
        <v>21</v>
      </c>
      <c r="I490" s="5">
        <f>G490*H490/100</f>
        <v>0</v>
      </c>
      <c r="J490" s="5">
        <f>G490</f>
        <v>0</v>
      </c>
      <c r="L490" s="5">
        <f>J490*K490/100</f>
        <v>0</v>
      </c>
      <c r="M490" s="8">
        <v>0</v>
      </c>
      <c r="N490" s="2" t="s">
        <v>21</v>
      </c>
      <c r="O490" s="3" t="s">
        <v>63</v>
      </c>
    </row>
    <row r="491" spans="1:16" x14ac:dyDescent="0.35">
      <c r="A491" s="4"/>
      <c r="F491" s="5" t="str">
        <f t="shared" si="36"/>
        <v xml:space="preserve"> </v>
      </c>
      <c r="G491" s="12">
        <f>M491/(1-K491/100+H491/100)</f>
        <v>0</v>
      </c>
      <c r="H491">
        <v>21</v>
      </c>
      <c r="I491" s="5">
        <f>G491*H491/100</f>
        <v>0</v>
      </c>
      <c r="J491" s="5">
        <f>G491</f>
        <v>0</v>
      </c>
      <c r="L491" s="5">
        <f>J491*K491/100</f>
        <v>0</v>
      </c>
      <c r="M491" s="8">
        <v>0</v>
      </c>
      <c r="N491" s="2" t="s">
        <v>22</v>
      </c>
      <c r="O491" s="3" t="s">
        <v>63</v>
      </c>
    </row>
    <row r="492" spans="1:16" x14ac:dyDescent="0.35">
      <c r="A492" s="4"/>
      <c r="F492" s="5" t="str">
        <f t="shared" ref="F492:F504" si="37">CONCATENATE(S492,B492," ",E492)</f>
        <v xml:space="preserve"> </v>
      </c>
      <c r="G492" s="12">
        <f>M492/(1-K492/100+H492/100)</f>
        <v>0</v>
      </c>
      <c r="H492">
        <v>21</v>
      </c>
      <c r="I492" s="5">
        <f t="shared" ref="I492:I555" si="38">G492*H492/100</f>
        <v>0</v>
      </c>
      <c r="J492" s="5">
        <f>G492</f>
        <v>0</v>
      </c>
      <c r="L492" s="5">
        <f>J492*K492/100</f>
        <v>0</v>
      </c>
      <c r="M492" s="8">
        <v>0</v>
      </c>
      <c r="N492" s="2" t="s">
        <v>22</v>
      </c>
      <c r="O492" s="3" t="s">
        <v>63</v>
      </c>
    </row>
    <row r="493" spans="1:16" x14ac:dyDescent="0.35">
      <c r="A493" s="4"/>
      <c r="F493" s="5" t="str">
        <f t="shared" si="37"/>
        <v xml:space="preserve"> </v>
      </c>
      <c r="G493" s="12">
        <f t="shared" ref="G493:G556" si="39">M493/(1-K493/100+H493/100)</f>
        <v>0</v>
      </c>
      <c r="H493">
        <v>21</v>
      </c>
      <c r="I493" s="5">
        <f t="shared" si="38"/>
        <v>0</v>
      </c>
      <c r="J493" s="5">
        <f t="shared" ref="J493:J556" si="40">G493</f>
        <v>0</v>
      </c>
      <c r="L493" s="5">
        <f t="shared" ref="L493:L556" si="41">J493*K493/100</f>
        <v>0</v>
      </c>
      <c r="M493" s="8">
        <v>0</v>
      </c>
      <c r="N493" s="2" t="s">
        <v>21</v>
      </c>
      <c r="O493" s="3" t="s">
        <v>64</v>
      </c>
    </row>
    <row r="494" spans="1:16" x14ac:dyDescent="0.35">
      <c r="A494" s="4"/>
      <c r="F494" s="5" t="str">
        <f t="shared" si="37"/>
        <v xml:space="preserve"> </v>
      </c>
      <c r="G494" s="12">
        <f t="shared" si="39"/>
        <v>0</v>
      </c>
      <c r="H494">
        <v>21</v>
      </c>
      <c r="I494" s="5">
        <f t="shared" si="38"/>
        <v>0</v>
      </c>
      <c r="J494" s="5">
        <f t="shared" si="40"/>
        <v>0</v>
      </c>
      <c r="L494" s="5">
        <f t="shared" si="41"/>
        <v>0</v>
      </c>
      <c r="M494" s="8">
        <v>0</v>
      </c>
      <c r="N494" s="2" t="s">
        <v>21</v>
      </c>
      <c r="O494" s="3" t="s">
        <v>64</v>
      </c>
    </row>
    <row r="495" spans="1:16" x14ac:dyDescent="0.35">
      <c r="A495" s="4"/>
      <c r="F495" s="5" t="str">
        <f t="shared" si="37"/>
        <v xml:space="preserve"> </v>
      </c>
      <c r="G495" s="12">
        <f t="shared" si="39"/>
        <v>0</v>
      </c>
      <c r="H495">
        <v>21</v>
      </c>
      <c r="I495" s="5">
        <f t="shared" si="38"/>
        <v>0</v>
      </c>
      <c r="J495" s="5">
        <f t="shared" si="40"/>
        <v>0</v>
      </c>
      <c r="L495" s="5">
        <f t="shared" si="41"/>
        <v>0</v>
      </c>
      <c r="M495" s="8">
        <v>0</v>
      </c>
      <c r="N495" s="2" t="s">
        <v>22</v>
      </c>
      <c r="O495" s="3" t="s">
        <v>64</v>
      </c>
    </row>
    <row r="496" spans="1:16" x14ac:dyDescent="0.35">
      <c r="A496" s="4"/>
      <c r="F496" s="5" t="str">
        <f t="shared" si="37"/>
        <v xml:space="preserve"> </v>
      </c>
      <c r="G496" s="12">
        <f t="shared" si="39"/>
        <v>0</v>
      </c>
      <c r="H496">
        <v>21</v>
      </c>
      <c r="I496" s="5">
        <f t="shared" si="38"/>
        <v>0</v>
      </c>
      <c r="J496" s="5">
        <f t="shared" si="40"/>
        <v>0</v>
      </c>
      <c r="L496" s="5">
        <f t="shared" si="41"/>
        <v>0</v>
      </c>
      <c r="M496" s="8">
        <v>0</v>
      </c>
      <c r="N496" s="2" t="s">
        <v>22</v>
      </c>
      <c r="O496" s="3" t="s">
        <v>64</v>
      </c>
    </row>
    <row r="497" spans="1:15" x14ac:dyDescent="0.35">
      <c r="A497" s="4"/>
      <c r="F497" s="5" t="str">
        <f t="shared" si="37"/>
        <v xml:space="preserve"> </v>
      </c>
      <c r="G497" s="12">
        <f t="shared" si="39"/>
        <v>0</v>
      </c>
      <c r="H497">
        <v>21</v>
      </c>
      <c r="I497" s="5">
        <f t="shared" si="38"/>
        <v>0</v>
      </c>
      <c r="J497" s="5">
        <f t="shared" si="40"/>
        <v>0</v>
      </c>
      <c r="L497" s="5">
        <f t="shared" si="41"/>
        <v>0</v>
      </c>
      <c r="M497" s="8">
        <v>0</v>
      </c>
      <c r="N497" s="2" t="s">
        <v>22</v>
      </c>
      <c r="O497" s="3" t="s">
        <v>64</v>
      </c>
    </row>
    <row r="498" spans="1:15" x14ac:dyDescent="0.35">
      <c r="A498" s="4"/>
      <c r="F498" s="5" t="str">
        <f t="shared" si="37"/>
        <v xml:space="preserve"> </v>
      </c>
      <c r="G498" s="12">
        <v>170.51</v>
      </c>
      <c r="H498">
        <v>5</v>
      </c>
      <c r="I498" s="5">
        <f t="shared" si="38"/>
        <v>8.5254999999999992</v>
      </c>
      <c r="J498" s="5">
        <f t="shared" si="40"/>
        <v>170.51</v>
      </c>
      <c r="L498" s="5">
        <f t="shared" si="41"/>
        <v>0</v>
      </c>
      <c r="M498" s="8">
        <v>0</v>
      </c>
      <c r="N498" s="2" t="s">
        <v>38</v>
      </c>
      <c r="O498" s="3" t="s">
        <v>67</v>
      </c>
    </row>
    <row r="499" spans="1:15" x14ac:dyDescent="0.35">
      <c r="A499" s="4"/>
      <c r="F499" s="5" t="str">
        <f t="shared" si="37"/>
        <v xml:space="preserve"> </v>
      </c>
      <c r="G499" s="12">
        <f t="shared" si="39"/>
        <v>0</v>
      </c>
      <c r="H499">
        <v>21</v>
      </c>
      <c r="I499" s="5">
        <f t="shared" si="38"/>
        <v>0</v>
      </c>
      <c r="J499" s="5">
        <f t="shared" si="40"/>
        <v>0</v>
      </c>
      <c r="L499" s="5">
        <f t="shared" si="41"/>
        <v>0</v>
      </c>
      <c r="M499" s="8">
        <v>0</v>
      </c>
      <c r="N499" s="2" t="s">
        <v>21</v>
      </c>
      <c r="O499" s="3" t="s">
        <v>67</v>
      </c>
    </row>
    <row r="500" spans="1:15" x14ac:dyDescent="0.35">
      <c r="A500" s="4"/>
      <c r="F500" s="5" t="str">
        <f t="shared" si="37"/>
        <v xml:space="preserve"> </v>
      </c>
      <c r="G500" s="12">
        <f t="shared" si="39"/>
        <v>0</v>
      </c>
      <c r="H500">
        <v>21</v>
      </c>
      <c r="I500" s="5">
        <f t="shared" si="38"/>
        <v>0</v>
      </c>
      <c r="J500" s="5">
        <f t="shared" si="40"/>
        <v>0</v>
      </c>
      <c r="L500" s="5">
        <f t="shared" si="41"/>
        <v>0</v>
      </c>
      <c r="M500" s="8">
        <v>0</v>
      </c>
      <c r="N500" s="2" t="s">
        <v>21</v>
      </c>
    </row>
    <row r="501" spans="1:15" x14ac:dyDescent="0.35">
      <c r="A501" s="4"/>
      <c r="F501" s="5" t="str">
        <f t="shared" si="37"/>
        <v xml:space="preserve"> </v>
      </c>
      <c r="G501" s="12">
        <f t="shared" si="39"/>
        <v>0</v>
      </c>
      <c r="H501">
        <v>21</v>
      </c>
      <c r="I501" s="5">
        <f t="shared" si="38"/>
        <v>0</v>
      </c>
      <c r="J501" s="5">
        <f t="shared" si="40"/>
        <v>0</v>
      </c>
      <c r="L501" s="5">
        <f t="shared" si="41"/>
        <v>0</v>
      </c>
      <c r="M501" s="8">
        <v>0</v>
      </c>
      <c r="N501" s="2" t="s">
        <v>21</v>
      </c>
      <c r="O501" s="3" t="s">
        <v>63</v>
      </c>
    </row>
    <row r="502" spans="1:15" x14ac:dyDescent="0.35">
      <c r="A502" s="4"/>
      <c r="F502" s="5" t="str">
        <f t="shared" si="37"/>
        <v xml:space="preserve"> </v>
      </c>
      <c r="G502" s="12">
        <f t="shared" si="39"/>
        <v>0</v>
      </c>
      <c r="H502">
        <v>21</v>
      </c>
      <c r="I502" s="5">
        <f t="shared" si="38"/>
        <v>0</v>
      </c>
      <c r="J502" s="5">
        <f t="shared" si="40"/>
        <v>0</v>
      </c>
      <c r="L502" s="5">
        <f t="shared" si="41"/>
        <v>0</v>
      </c>
      <c r="M502" s="8">
        <v>0</v>
      </c>
      <c r="N502" s="2" t="s">
        <v>21</v>
      </c>
    </row>
    <row r="503" spans="1:15" x14ac:dyDescent="0.35">
      <c r="A503" s="4"/>
      <c r="F503" s="5" t="str">
        <f t="shared" si="37"/>
        <v xml:space="preserve"> </v>
      </c>
      <c r="G503" s="12">
        <f t="shared" si="39"/>
        <v>0</v>
      </c>
      <c r="H503">
        <v>21</v>
      </c>
      <c r="I503" s="5">
        <f t="shared" si="38"/>
        <v>0</v>
      </c>
      <c r="J503" s="5">
        <f t="shared" si="40"/>
        <v>0</v>
      </c>
      <c r="L503" s="5">
        <f t="shared" si="41"/>
        <v>0</v>
      </c>
      <c r="M503" s="8">
        <v>0</v>
      </c>
      <c r="N503" s="2" t="s">
        <v>21</v>
      </c>
      <c r="O503" s="3" t="s">
        <v>64</v>
      </c>
    </row>
    <row r="504" spans="1:15" x14ac:dyDescent="0.35">
      <c r="A504" s="4"/>
      <c r="F504" s="5" t="str">
        <f t="shared" si="37"/>
        <v xml:space="preserve"> </v>
      </c>
      <c r="G504" s="12">
        <f t="shared" si="39"/>
        <v>0</v>
      </c>
      <c r="H504">
        <v>21</v>
      </c>
      <c r="I504" s="5">
        <f t="shared" si="38"/>
        <v>0</v>
      </c>
      <c r="J504" s="5">
        <f t="shared" si="40"/>
        <v>0</v>
      </c>
      <c r="L504" s="5">
        <f t="shared" si="41"/>
        <v>0</v>
      </c>
      <c r="M504" s="8">
        <v>0</v>
      </c>
      <c r="N504" s="2" t="s">
        <v>22</v>
      </c>
      <c r="O504" s="3" t="s">
        <v>63</v>
      </c>
    </row>
    <row r="505" spans="1:15" x14ac:dyDescent="0.35">
      <c r="A505" s="4"/>
      <c r="F505" s="5" t="str">
        <f t="shared" ref="F505:F574" si="42">CONCATENATE(S505,B505," ",E505)</f>
        <v xml:space="preserve"> </v>
      </c>
      <c r="G505" s="12">
        <f t="shared" si="39"/>
        <v>0</v>
      </c>
      <c r="H505">
        <v>21</v>
      </c>
      <c r="I505" s="5">
        <f t="shared" si="38"/>
        <v>0</v>
      </c>
      <c r="J505" s="5">
        <f t="shared" si="40"/>
        <v>0</v>
      </c>
      <c r="L505" s="5">
        <f t="shared" si="41"/>
        <v>0</v>
      </c>
      <c r="M505" s="8">
        <v>0</v>
      </c>
      <c r="N505" s="2" t="s">
        <v>22</v>
      </c>
      <c r="O505" s="3" t="s">
        <v>63</v>
      </c>
    </row>
    <row r="506" spans="1:15" x14ac:dyDescent="0.35">
      <c r="A506" s="4"/>
      <c r="F506" s="5" t="str">
        <f t="shared" si="42"/>
        <v xml:space="preserve"> </v>
      </c>
      <c r="G506" s="12">
        <f t="shared" si="39"/>
        <v>0</v>
      </c>
      <c r="H506">
        <v>21</v>
      </c>
      <c r="I506" s="5">
        <f t="shared" si="38"/>
        <v>0</v>
      </c>
      <c r="J506" s="5">
        <f t="shared" si="40"/>
        <v>0</v>
      </c>
      <c r="L506" s="5">
        <f t="shared" si="41"/>
        <v>0</v>
      </c>
      <c r="M506" s="8">
        <v>0</v>
      </c>
      <c r="N506" s="2" t="s">
        <v>22</v>
      </c>
      <c r="O506" s="3" t="s">
        <v>63</v>
      </c>
    </row>
    <row r="507" spans="1:15" x14ac:dyDescent="0.35">
      <c r="A507" s="4"/>
      <c r="F507" s="5" t="str">
        <f t="shared" si="42"/>
        <v xml:space="preserve"> </v>
      </c>
      <c r="G507" s="12">
        <f t="shared" si="39"/>
        <v>0</v>
      </c>
      <c r="H507">
        <v>21</v>
      </c>
      <c r="I507" s="5">
        <f t="shared" si="38"/>
        <v>0</v>
      </c>
      <c r="J507" s="5">
        <f t="shared" si="40"/>
        <v>0</v>
      </c>
      <c r="L507" s="5">
        <f t="shared" si="41"/>
        <v>0</v>
      </c>
      <c r="M507" s="8">
        <v>0</v>
      </c>
      <c r="N507" s="2" t="s">
        <v>22</v>
      </c>
      <c r="O507" s="3" t="s">
        <v>63</v>
      </c>
    </row>
    <row r="508" spans="1:15" x14ac:dyDescent="0.35">
      <c r="A508" s="4"/>
      <c r="F508" s="5" t="str">
        <f t="shared" si="42"/>
        <v xml:space="preserve"> </v>
      </c>
      <c r="G508" s="12">
        <f t="shared" si="39"/>
        <v>0</v>
      </c>
      <c r="H508">
        <v>21</v>
      </c>
      <c r="I508" s="5">
        <f t="shared" si="38"/>
        <v>0</v>
      </c>
      <c r="J508" s="5">
        <f t="shared" si="40"/>
        <v>0</v>
      </c>
      <c r="L508" s="5">
        <f t="shared" si="41"/>
        <v>0</v>
      </c>
      <c r="M508" s="8">
        <v>0</v>
      </c>
      <c r="N508" s="2" t="s">
        <v>22</v>
      </c>
    </row>
    <row r="509" spans="1:15" x14ac:dyDescent="0.35">
      <c r="A509" s="4"/>
      <c r="F509" s="5" t="str">
        <f t="shared" si="42"/>
        <v xml:space="preserve"> </v>
      </c>
      <c r="G509" s="12">
        <f t="shared" si="39"/>
        <v>0</v>
      </c>
      <c r="H509">
        <v>21</v>
      </c>
      <c r="I509" s="5">
        <f t="shared" si="38"/>
        <v>0</v>
      </c>
      <c r="J509" s="5">
        <f t="shared" si="40"/>
        <v>0</v>
      </c>
      <c r="L509" s="5">
        <f t="shared" si="41"/>
        <v>0</v>
      </c>
      <c r="M509" s="8">
        <v>0</v>
      </c>
      <c r="N509" s="2" t="s">
        <v>21</v>
      </c>
      <c r="O509" s="3" t="s">
        <v>63</v>
      </c>
    </row>
    <row r="510" spans="1:15" x14ac:dyDescent="0.35">
      <c r="A510" s="4"/>
      <c r="F510" s="5" t="str">
        <f t="shared" si="42"/>
        <v xml:space="preserve"> </v>
      </c>
      <c r="G510" s="12">
        <f t="shared" si="39"/>
        <v>0</v>
      </c>
      <c r="H510">
        <v>21</v>
      </c>
      <c r="I510" s="5">
        <f t="shared" si="38"/>
        <v>0</v>
      </c>
      <c r="J510" s="5">
        <f t="shared" si="40"/>
        <v>0</v>
      </c>
      <c r="L510" s="5">
        <f t="shared" si="41"/>
        <v>0</v>
      </c>
      <c r="M510" s="8">
        <v>0</v>
      </c>
      <c r="N510" s="2" t="s">
        <v>21</v>
      </c>
      <c r="O510" s="3" t="s">
        <v>63</v>
      </c>
    </row>
    <row r="511" spans="1:15" x14ac:dyDescent="0.35">
      <c r="A511" s="4"/>
      <c r="F511" s="5" t="str">
        <f t="shared" si="42"/>
        <v xml:space="preserve"> </v>
      </c>
      <c r="G511" s="12">
        <f t="shared" si="39"/>
        <v>0</v>
      </c>
      <c r="H511">
        <v>21</v>
      </c>
      <c r="I511" s="5">
        <f t="shared" si="38"/>
        <v>0</v>
      </c>
      <c r="J511" s="5">
        <f t="shared" si="40"/>
        <v>0</v>
      </c>
      <c r="L511" s="5">
        <f t="shared" si="41"/>
        <v>0</v>
      </c>
      <c r="M511" s="8">
        <v>0</v>
      </c>
      <c r="N511" s="2" t="s">
        <v>21</v>
      </c>
      <c r="O511" s="3" t="s">
        <v>63</v>
      </c>
    </row>
    <row r="512" spans="1:15" x14ac:dyDescent="0.35">
      <c r="A512" s="4"/>
      <c r="F512" s="5" t="str">
        <f t="shared" si="42"/>
        <v xml:space="preserve"> </v>
      </c>
      <c r="G512" s="12">
        <f t="shared" si="39"/>
        <v>0</v>
      </c>
      <c r="H512">
        <v>21</v>
      </c>
      <c r="I512" s="5">
        <f t="shared" si="38"/>
        <v>0</v>
      </c>
      <c r="J512" s="5">
        <f t="shared" si="40"/>
        <v>0</v>
      </c>
      <c r="L512" s="5">
        <f t="shared" si="41"/>
        <v>0</v>
      </c>
      <c r="M512" s="8">
        <v>0</v>
      </c>
      <c r="N512" s="2" t="s">
        <v>21</v>
      </c>
      <c r="O512" s="3" t="s">
        <v>63</v>
      </c>
    </row>
    <row r="513" spans="1:15" x14ac:dyDescent="0.35">
      <c r="A513" s="4"/>
      <c r="F513" s="5" t="str">
        <f t="shared" si="42"/>
        <v xml:space="preserve"> </v>
      </c>
      <c r="G513" s="12">
        <f t="shared" si="39"/>
        <v>0</v>
      </c>
      <c r="H513">
        <v>21</v>
      </c>
      <c r="I513" s="5">
        <f t="shared" si="38"/>
        <v>0</v>
      </c>
      <c r="J513" s="5">
        <f t="shared" si="40"/>
        <v>0</v>
      </c>
      <c r="L513" s="5">
        <f t="shared" si="41"/>
        <v>0</v>
      </c>
      <c r="M513" s="8">
        <v>0</v>
      </c>
      <c r="N513" s="2" t="s">
        <v>21</v>
      </c>
      <c r="O513" s="3" t="s">
        <v>63</v>
      </c>
    </row>
    <row r="514" spans="1:15" x14ac:dyDescent="0.35">
      <c r="A514" s="4"/>
      <c r="F514" s="5" t="str">
        <f t="shared" si="42"/>
        <v xml:space="preserve"> </v>
      </c>
      <c r="G514" s="12">
        <f t="shared" si="39"/>
        <v>0</v>
      </c>
      <c r="H514">
        <v>21</v>
      </c>
      <c r="I514" s="5">
        <f t="shared" si="38"/>
        <v>0</v>
      </c>
      <c r="J514" s="5">
        <f t="shared" si="40"/>
        <v>0</v>
      </c>
      <c r="L514" s="5">
        <f t="shared" si="41"/>
        <v>0</v>
      </c>
      <c r="M514" s="8">
        <v>0</v>
      </c>
      <c r="N514" s="2" t="s">
        <v>21</v>
      </c>
      <c r="O514" s="3" t="s">
        <v>63</v>
      </c>
    </row>
    <row r="515" spans="1:15" x14ac:dyDescent="0.35">
      <c r="A515" s="4"/>
      <c r="F515" s="5" t="str">
        <f t="shared" si="42"/>
        <v xml:space="preserve"> </v>
      </c>
      <c r="G515" s="12">
        <f t="shared" si="39"/>
        <v>0</v>
      </c>
      <c r="H515">
        <v>21</v>
      </c>
      <c r="I515" s="5">
        <f t="shared" si="38"/>
        <v>0</v>
      </c>
      <c r="J515" s="5">
        <f t="shared" si="40"/>
        <v>0</v>
      </c>
      <c r="L515" s="5">
        <f t="shared" si="41"/>
        <v>0</v>
      </c>
      <c r="M515" s="8">
        <v>0</v>
      </c>
      <c r="N515" s="2" t="s">
        <v>21</v>
      </c>
      <c r="O515" s="3" t="s">
        <v>63</v>
      </c>
    </row>
    <row r="516" spans="1:15" x14ac:dyDescent="0.35">
      <c r="A516" s="4"/>
      <c r="F516" s="5" t="str">
        <f t="shared" si="42"/>
        <v xml:space="preserve"> </v>
      </c>
      <c r="G516" s="12">
        <f t="shared" si="39"/>
        <v>0</v>
      </c>
      <c r="H516">
        <v>21</v>
      </c>
      <c r="I516" s="5">
        <f t="shared" si="38"/>
        <v>0</v>
      </c>
      <c r="J516" s="5">
        <f t="shared" si="40"/>
        <v>0</v>
      </c>
      <c r="L516" s="5">
        <f t="shared" si="41"/>
        <v>0</v>
      </c>
      <c r="M516" s="8">
        <v>0</v>
      </c>
      <c r="N516" s="2" t="s">
        <v>21</v>
      </c>
      <c r="O516" s="3" t="s">
        <v>63</v>
      </c>
    </row>
    <row r="517" spans="1:15" x14ac:dyDescent="0.35">
      <c r="A517" s="4"/>
      <c r="F517" s="5" t="str">
        <f t="shared" si="42"/>
        <v xml:space="preserve"> </v>
      </c>
      <c r="G517" s="12">
        <f t="shared" si="39"/>
        <v>0</v>
      </c>
      <c r="H517">
        <v>21</v>
      </c>
      <c r="I517" s="5">
        <f t="shared" si="38"/>
        <v>0</v>
      </c>
      <c r="J517" s="5">
        <f t="shared" si="40"/>
        <v>0</v>
      </c>
      <c r="L517" s="5">
        <f t="shared" si="41"/>
        <v>0</v>
      </c>
      <c r="M517" s="8">
        <v>0</v>
      </c>
      <c r="N517" s="2" t="s">
        <v>21</v>
      </c>
      <c r="O517" s="3" t="s">
        <v>63</v>
      </c>
    </row>
    <row r="518" spans="1:15" x14ac:dyDescent="0.35">
      <c r="A518" s="4"/>
      <c r="F518" s="5" t="str">
        <f t="shared" si="42"/>
        <v xml:space="preserve"> </v>
      </c>
      <c r="G518" s="12">
        <f t="shared" si="39"/>
        <v>0</v>
      </c>
      <c r="H518">
        <v>21</v>
      </c>
      <c r="I518" s="5">
        <f t="shared" si="38"/>
        <v>0</v>
      </c>
      <c r="J518" s="5">
        <f t="shared" si="40"/>
        <v>0</v>
      </c>
      <c r="L518" s="5">
        <f t="shared" si="41"/>
        <v>0</v>
      </c>
      <c r="M518" s="8">
        <v>0</v>
      </c>
      <c r="N518" s="2" t="s">
        <v>21</v>
      </c>
      <c r="O518" s="3" t="s">
        <v>63</v>
      </c>
    </row>
    <row r="519" spans="1:15" x14ac:dyDescent="0.35">
      <c r="A519" s="4"/>
      <c r="F519" s="5" t="str">
        <f t="shared" si="42"/>
        <v xml:space="preserve"> </v>
      </c>
      <c r="G519" s="12">
        <f t="shared" si="39"/>
        <v>0</v>
      </c>
      <c r="H519">
        <v>21</v>
      </c>
      <c r="I519" s="5">
        <f t="shared" si="38"/>
        <v>0</v>
      </c>
      <c r="J519" s="5">
        <f t="shared" si="40"/>
        <v>0</v>
      </c>
      <c r="L519" s="5">
        <f t="shared" si="41"/>
        <v>0</v>
      </c>
      <c r="M519" s="8">
        <v>0</v>
      </c>
      <c r="N519" s="2" t="s">
        <v>21</v>
      </c>
      <c r="O519" s="3" t="s">
        <v>63</v>
      </c>
    </row>
    <row r="520" spans="1:15" x14ac:dyDescent="0.35">
      <c r="A520" s="4"/>
      <c r="F520" s="5" t="str">
        <f t="shared" si="42"/>
        <v xml:space="preserve"> </v>
      </c>
      <c r="G520" s="12">
        <f t="shared" si="39"/>
        <v>0</v>
      </c>
      <c r="H520">
        <v>21</v>
      </c>
      <c r="I520" s="5">
        <f t="shared" si="38"/>
        <v>0</v>
      </c>
      <c r="J520" s="5">
        <f t="shared" si="40"/>
        <v>0</v>
      </c>
      <c r="L520" s="5">
        <f t="shared" si="41"/>
        <v>0</v>
      </c>
      <c r="M520" s="8">
        <v>0</v>
      </c>
      <c r="N520" s="2" t="s">
        <v>21</v>
      </c>
      <c r="O520" s="3" t="s">
        <v>63</v>
      </c>
    </row>
    <row r="521" spans="1:15" x14ac:dyDescent="0.35">
      <c r="A521" s="4"/>
      <c r="F521" s="5" t="str">
        <f t="shared" si="42"/>
        <v xml:space="preserve"> </v>
      </c>
      <c r="G521" s="12">
        <f t="shared" si="39"/>
        <v>0</v>
      </c>
      <c r="H521">
        <v>21</v>
      </c>
      <c r="I521" s="5">
        <f t="shared" si="38"/>
        <v>0</v>
      </c>
      <c r="J521" s="5">
        <f t="shared" si="40"/>
        <v>0</v>
      </c>
      <c r="L521" s="5">
        <f t="shared" si="41"/>
        <v>0</v>
      </c>
      <c r="M521" s="8">
        <v>0</v>
      </c>
      <c r="N521" s="2" t="s">
        <v>21</v>
      </c>
      <c r="O521" s="3" t="s">
        <v>63</v>
      </c>
    </row>
    <row r="522" spans="1:15" x14ac:dyDescent="0.35">
      <c r="A522" s="4"/>
      <c r="F522" s="5" t="str">
        <f t="shared" si="42"/>
        <v xml:space="preserve"> </v>
      </c>
      <c r="G522" s="12">
        <f t="shared" si="39"/>
        <v>0</v>
      </c>
      <c r="H522">
        <v>21</v>
      </c>
      <c r="I522" s="5">
        <f t="shared" si="38"/>
        <v>0</v>
      </c>
      <c r="J522" s="5">
        <f t="shared" si="40"/>
        <v>0</v>
      </c>
      <c r="L522" s="5">
        <f t="shared" si="41"/>
        <v>0</v>
      </c>
      <c r="M522" s="8">
        <v>0</v>
      </c>
      <c r="N522" s="2" t="s">
        <v>21</v>
      </c>
      <c r="O522" s="3" t="s">
        <v>63</v>
      </c>
    </row>
    <row r="523" spans="1:15" x14ac:dyDescent="0.35">
      <c r="A523" s="4"/>
      <c r="F523" s="5" t="str">
        <f t="shared" si="42"/>
        <v xml:space="preserve"> </v>
      </c>
      <c r="G523" s="12">
        <f t="shared" si="39"/>
        <v>0</v>
      </c>
      <c r="H523">
        <v>21</v>
      </c>
      <c r="I523" s="5">
        <f t="shared" si="38"/>
        <v>0</v>
      </c>
      <c r="J523" s="5">
        <f t="shared" si="40"/>
        <v>0</v>
      </c>
      <c r="L523" s="5">
        <f t="shared" si="41"/>
        <v>0</v>
      </c>
      <c r="M523" s="8">
        <v>0</v>
      </c>
      <c r="N523" s="2" t="s">
        <v>21</v>
      </c>
      <c r="O523" s="3" t="s">
        <v>63</v>
      </c>
    </row>
    <row r="524" spans="1:15" x14ac:dyDescent="0.35">
      <c r="A524" s="4"/>
      <c r="F524" s="5" t="str">
        <f t="shared" si="42"/>
        <v xml:space="preserve"> </v>
      </c>
      <c r="G524" s="12">
        <f t="shared" si="39"/>
        <v>0</v>
      </c>
      <c r="H524">
        <v>21</v>
      </c>
      <c r="I524" s="5">
        <f t="shared" si="38"/>
        <v>0</v>
      </c>
      <c r="J524" s="5">
        <f t="shared" si="40"/>
        <v>0</v>
      </c>
      <c r="L524" s="5">
        <f t="shared" si="41"/>
        <v>0</v>
      </c>
      <c r="M524" s="8">
        <v>0</v>
      </c>
      <c r="N524" s="2" t="s">
        <v>21</v>
      </c>
      <c r="O524" s="3" t="s">
        <v>63</v>
      </c>
    </row>
    <row r="525" spans="1:15" x14ac:dyDescent="0.35">
      <c r="A525" s="4"/>
      <c r="F525" s="5" t="str">
        <f t="shared" si="42"/>
        <v xml:space="preserve"> </v>
      </c>
      <c r="G525" s="12">
        <f t="shared" si="39"/>
        <v>0</v>
      </c>
      <c r="H525">
        <v>21</v>
      </c>
      <c r="I525" s="5">
        <f t="shared" si="38"/>
        <v>0</v>
      </c>
      <c r="J525" s="5">
        <f t="shared" si="40"/>
        <v>0</v>
      </c>
      <c r="L525" s="5">
        <f t="shared" si="41"/>
        <v>0</v>
      </c>
      <c r="M525" s="8">
        <v>0</v>
      </c>
      <c r="N525" s="2" t="s">
        <v>21</v>
      </c>
      <c r="O525" s="3" t="s">
        <v>63</v>
      </c>
    </row>
    <row r="526" spans="1:15" x14ac:dyDescent="0.35">
      <c r="A526" s="4"/>
      <c r="F526" s="5" t="str">
        <f t="shared" si="42"/>
        <v xml:space="preserve"> </v>
      </c>
      <c r="G526" s="12">
        <f t="shared" si="39"/>
        <v>0</v>
      </c>
      <c r="H526">
        <v>21</v>
      </c>
      <c r="I526" s="5">
        <f t="shared" si="38"/>
        <v>0</v>
      </c>
      <c r="J526" s="5">
        <f t="shared" si="40"/>
        <v>0</v>
      </c>
      <c r="L526" s="5">
        <f t="shared" si="41"/>
        <v>0</v>
      </c>
      <c r="M526" s="8">
        <v>0</v>
      </c>
      <c r="N526" s="2" t="s">
        <v>21</v>
      </c>
      <c r="O526" s="3" t="s">
        <v>63</v>
      </c>
    </row>
    <row r="527" spans="1:15" x14ac:dyDescent="0.35">
      <c r="A527" s="4"/>
      <c r="F527" s="5" t="str">
        <f t="shared" si="42"/>
        <v xml:space="preserve"> </v>
      </c>
      <c r="G527" s="12">
        <f t="shared" si="39"/>
        <v>0</v>
      </c>
      <c r="H527">
        <v>21</v>
      </c>
      <c r="I527" s="5">
        <f t="shared" si="38"/>
        <v>0</v>
      </c>
      <c r="J527" s="5">
        <f t="shared" si="40"/>
        <v>0</v>
      </c>
      <c r="L527" s="5">
        <f t="shared" si="41"/>
        <v>0</v>
      </c>
      <c r="M527" s="8">
        <v>0</v>
      </c>
      <c r="N527" s="2" t="s">
        <v>22</v>
      </c>
      <c r="O527" s="3" t="s">
        <v>63</v>
      </c>
    </row>
    <row r="528" spans="1:15" x14ac:dyDescent="0.35">
      <c r="A528" s="4"/>
      <c r="F528" s="5" t="str">
        <f t="shared" si="42"/>
        <v xml:space="preserve"> </v>
      </c>
      <c r="G528" s="12">
        <f t="shared" si="39"/>
        <v>0</v>
      </c>
      <c r="H528">
        <v>21</v>
      </c>
      <c r="I528" s="5">
        <f t="shared" si="38"/>
        <v>0</v>
      </c>
      <c r="J528" s="5">
        <f t="shared" si="40"/>
        <v>0</v>
      </c>
      <c r="L528" s="5">
        <f t="shared" si="41"/>
        <v>0</v>
      </c>
      <c r="M528" s="8">
        <v>0</v>
      </c>
      <c r="N528" s="2" t="s">
        <v>22</v>
      </c>
      <c r="O528" s="3" t="s">
        <v>63</v>
      </c>
    </row>
    <row r="529" spans="1:16" x14ac:dyDescent="0.35">
      <c r="A529" s="4"/>
      <c r="F529" s="5" t="str">
        <f t="shared" si="42"/>
        <v xml:space="preserve"> </v>
      </c>
      <c r="G529" s="12">
        <f t="shared" si="39"/>
        <v>0</v>
      </c>
      <c r="H529">
        <v>10</v>
      </c>
      <c r="I529" s="5">
        <f t="shared" si="38"/>
        <v>0</v>
      </c>
      <c r="J529" s="5">
        <f t="shared" si="40"/>
        <v>0</v>
      </c>
      <c r="L529" s="5">
        <f t="shared" si="41"/>
        <v>0</v>
      </c>
      <c r="M529" s="8">
        <v>0</v>
      </c>
      <c r="N529" s="2" t="s">
        <v>28</v>
      </c>
    </row>
    <row r="530" spans="1:16" x14ac:dyDescent="0.35">
      <c r="A530" s="4"/>
      <c r="F530" s="5" t="str">
        <f t="shared" si="42"/>
        <v xml:space="preserve"> </v>
      </c>
      <c r="G530" s="12">
        <f t="shared" si="39"/>
        <v>0</v>
      </c>
      <c r="H530">
        <v>21</v>
      </c>
      <c r="I530" s="5">
        <f t="shared" si="38"/>
        <v>0</v>
      </c>
      <c r="J530" s="5">
        <f t="shared" si="40"/>
        <v>0</v>
      </c>
      <c r="L530" s="5">
        <f t="shared" si="41"/>
        <v>0</v>
      </c>
      <c r="M530" s="8">
        <v>0</v>
      </c>
      <c r="N530" s="2" t="s">
        <v>21</v>
      </c>
      <c r="O530" s="3" t="s">
        <v>63</v>
      </c>
    </row>
    <row r="531" spans="1:16" x14ac:dyDescent="0.35">
      <c r="A531" s="4"/>
      <c r="F531" s="5" t="str">
        <f t="shared" si="42"/>
        <v xml:space="preserve"> </v>
      </c>
      <c r="G531" s="12">
        <f t="shared" si="39"/>
        <v>0</v>
      </c>
      <c r="H531">
        <v>21</v>
      </c>
      <c r="I531" s="5">
        <f t="shared" si="38"/>
        <v>0</v>
      </c>
      <c r="J531" s="5">
        <f t="shared" si="40"/>
        <v>0</v>
      </c>
      <c r="L531" s="5">
        <f t="shared" si="41"/>
        <v>0</v>
      </c>
      <c r="M531" s="8">
        <v>0</v>
      </c>
      <c r="N531" s="2" t="s">
        <v>21</v>
      </c>
      <c r="O531" s="3" t="s">
        <v>63</v>
      </c>
    </row>
    <row r="532" spans="1:16" x14ac:dyDescent="0.35">
      <c r="A532" s="4"/>
      <c r="F532" s="5" t="str">
        <f t="shared" si="42"/>
        <v xml:space="preserve"> </v>
      </c>
      <c r="G532" s="12">
        <f t="shared" si="39"/>
        <v>0</v>
      </c>
      <c r="H532">
        <v>21</v>
      </c>
      <c r="I532" s="5">
        <f t="shared" si="38"/>
        <v>0</v>
      </c>
      <c r="J532" s="5">
        <f t="shared" si="40"/>
        <v>0</v>
      </c>
      <c r="L532" s="5">
        <f t="shared" si="41"/>
        <v>0</v>
      </c>
      <c r="M532" s="8">
        <v>0</v>
      </c>
      <c r="N532" s="2" t="s">
        <v>22</v>
      </c>
      <c r="O532" s="3" t="s">
        <v>63</v>
      </c>
      <c r="P532" s="3" t="s">
        <v>154</v>
      </c>
    </row>
    <row r="533" spans="1:16" x14ac:dyDescent="0.35">
      <c r="A533" s="4"/>
      <c r="F533" s="5" t="str">
        <f t="shared" si="42"/>
        <v xml:space="preserve"> </v>
      </c>
      <c r="G533" s="12">
        <f t="shared" si="39"/>
        <v>0</v>
      </c>
      <c r="H533">
        <v>21</v>
      </c>
      <c r="I533" s="5">
        <f t="shared" si="38"/>
        <v>0</v>
      </c>
      <c r="J533" s="5">
        <f t="shared" si="40"/>
        <v>0</v>
      </c>
      <c r="L533" s="5">
        <f t="shared" si="41"/>
        <v>0</v>
      </c>
      <c r="M533" s="8">
        <v>0</v>
      </c>
      <c r="N533" s="2" t="s">
        <v>22</v>
      </c>
      <c r="O533" s="3" t="s">
        <v>63</v>
      </c>
      <c r="P533" s="3" t="s">
        <v>155</v>
      </c>
    </row>
    <row r="534" spans="1:16" x14ac:dyDescent="0.35">
      <c r="A534" s="4"/>
      <c r="F534" s="5" t="str">
        <f t="shared" si="42"/>
        <v xml:space="preserve"> </v>
      </c>
      <c r="G534" s="12">
        <f t="shared" si="39"/>
        <v>0</v>
      </c>
      <c r="H534">
        <v>21</v>
      </c>
      <c r="I534" s="5">
        <f t="shared" si="38"/>
        <v>0</v>
      </c>
      <c r="J534" s="5">
        <f t="shared" si="40"/>
        <v>0</v>
      </c>
      <c r="L534" s="5">
        <f t="shared" si="41"/>
        <v>0</v>
      </c>
      <c r="M534" s="8">
        <v>0</v>
      </c>
      <c r="N534" s="2" t="s">
        <v>22</v>
      </c>
      <c r="O534" s="3" t="s">
        <v>63</v>
      </c>
      <c r="P534" s="3" t="s">
        <v>156</v>
      </c>
    </row>
    <row r="535" spans="1:16" x14ac:dyDescent="0.35">
      <c r="A535" s="4"/>
      <c r="F535" s="5" t="str">
        <f t="shared" si="42"/>
        <v xml:space="preserve"> </v>
      </c>
      <c r="G535" s="12">
        <f t="shared" si="39"/>
        <v>0</v>
      </c>
      <c r="H535">
        <v>21</v>
      </c>
      <c r="I535" s="5">
        <f t="shared" si="38"/>
        <v>0</v>
      </c>
      <c r="J535" s="5">
        <f t="shared" si="40"/>
        <v>0</v>
      </c>
      <c r="L535" s="5">
        <f t="shared" si="41"/>
        <v>0</v>
      </c>
      <c r="M535" s="8">
        <v>0</v>
      </c>
      <c r="N535" s="2" t="s">
        <v>22</v>
      </c>
      <c r="O535" s="3" t="s">
        <v>63</v>
      </c>
      <c r="P535" s="3" t="s">
        <v>123</v>
      </c>
    </row>
    <row r="536" spans="1:16" x14ac:dyDescent="0.35">
      <c r="A536" s="4"/>
      <c r="F536" s="5" t="str">
        <f t="shared" si="42"/>
        <v xml:space="preserve"> </v>
      </c>
      <c r="G536" s="12">
        <f t="shared" si="39"/>
        <v>0</v>
      </c>
      <c r="H536">
        <v>21</v>
      </c>
      <c r="I536" s="5">
        <f t="shared" si="38"/>
        <v>0</v>
      </c>
      <c r="J536" s="5">
        <f t="shared" si="40"/>
        <v>0</v>
      </c>
      <c r="L536" s="5">
        <f t="shared" si="41"/>
        <v>0</v>
      </c>
      <c r="M536" s="8">
        <v>0</v>
      </c>
      <c r="N536" s="2" t="s">
        <v>21</v>
      </c>
      <c r="O536" s="3" t="s">
        <v>63</v>
      </c>
    </row>
    <row r="537" spans="1:16" x14ac:dyDescent="0.35">
      <c r="A537" s="4"/>
      <c r="F537" s="5" t="str">
        <f t="shared" si="42"/>
        <v xml:space="preserve"> </v>
      </c>
      <c r="G537" s="12">
        <f t="shared" si="39"/>
        <v>0</v>
      </c>
      <c r="H537">
        <v>21</v>
      </c>
      <c r="I537" s="5">
        <f t="shared" si="38"/>
        <v>0</v>
      </c>
      <c r="J537" s="5">
        <f t="shared" si="40"/>
        <v>0</v>
      </c>
      <c r="L537" s="5">
        <f t="shared" si="41"/>
        <v>0</v>
      </c>
      <c r="M537" s="8">
        <v>0</v>
      </c>
      <c r="N537" s="2" t="s">
        <v>21</v>
      </c>
      <c r="O537" s="3" t="s">
        <v>63</v>
      </c>
    </row>
    <row r="538" spans="1:16" x14ac:dyDescent="0.35">
      <c r="A538" s="4"/>
      <c r="F538" s="5" t="str">
        <f t="shared" si="42"/>
        <v xml:space="preserve"> </v>
      </c>
      <c r="G538" s="12">
        <f t="shared" si="39"/>
        <v>0</v>
      </c>
      <c r="H538">
        <v>21</v>
      </c>
      <c r="I538" s="5">
        <f t="shared" si="38"/>
        <v>0</v>
      </c>
      <c r="J538" s="5">
        <f t="shared" si="40"/>
        <v>0</v>
      </c>
      <c r="L538" s="5">
        <f t="shared" si="41"/>
        <v>0</v>
      </c>
      <c r="M538" s="8">
        <v>0</v>
      </c>
      <c r="N538" s="2" t="s">
        <v>22</v>
      </c>
      <c r="O538" s="3" t="s">
        <v>64</v>
      </c>
      <c r="P538" s="3" t="s">
        <v>157</v>
      </c>
    </row>
    <row r="539" spans="1:16" x14ac:dyDescent="0.35">
      <c r="A539" s="4"/>
      <c r="F539" s="5" t="str">
        <f t="shared" si="42"/>
        <v xml:space="preserve"> </v>
      </c>
      <c r="G539" s="12">
        <f t="shared" si="39"/>
        <v>0</v>
      </c>
      <c r="H539">
        <v>21</v>
      </c>
      <c r="I539" s="5">
        <f t="shared" si="38"/>
        <v>0</v>
      </c>
      <c r="J539" s="5">
        <f t="shared" si="40"/>
        <v>0</v>
      </c>
      <c r="L539" s="5">
        <f t="shared" si="41"/>
        <v>0</v>
      </c>
      <c r="M539" s="8">
        <v>0</v>
      </c>
      <c r="N539" s="2" t="s">
        <v>22</v>
      </c>
      <c r="P539" s="3" t="s">
        <v>158</v>
      </c>
    </row>
    <row r="540" spans="1:16" x14ac:dyDescent="0.35">
      <c r="A540" s="4"/>
      <c r="F540" s="5" t="str">
        <f t="shared" si="42"/>
        <v xml:space="preserve"> </v>
      </c>
      <c r="G540" s="12">
        <f t="shared" si="39"/>
        <v>0</v>
      </c>
      <c r="H540">
        <v>21</v>
      </c>
      <c r="I540" s="5">
        <f t="shared" si="38"/>
        <v>0</v>
      </c>
      <c r="J540" s="5">
        <f t="shared" si="40"/>
        <v>0</v>
      </c>
      <c r="L540" s="5">
        <f t="shared" si="41"/>
        <v>0</v>
      </c>
      <c r="M540" s="8">
        <v>0</v>
      </c>
      <c r="N540" s="2" t="s">
        <v>22</v>
      </c>
      <c r="O540" s="3" t="s">
        <v>63</v>
      </c>
      <c r="P540" s="3" t="s">
        <v>159</v>
      </c>
    </row>
    <row r="541" spans="1:16" x14ac:dyDescent="0.35">
      <c r="A541" s="4"/>
      <c r="F541" s="5" t="str">
        <f t="shared" si="42"/>
        <v xml:space="preserve"> </v>
      </c>
      <c r="G541" s="12">
        <f t="shared" si="39"/>
        <v>0</v>
      </c>
      <c r="H541">
        <v>21</v>
      </c>
      <c r="I541" s="5">
        <f t="shared" si="38"/>
        <v>0</v>
      </c>
      <c r="J541" s="5">
        <f t="shared" si="40"/>
        <v>0</v>
      </c>
      <c r="L541" s="5">
        <f t="shared" si="41"/>
        <v>0</v>
      </c>
      <c r="M541" s="8">
        <v>0</v>
      </c>
      <c r="N541" s="2" t="s">
        <v>21</v>
      </c>
      <c r="O541" s="3" t="s">
        <v>64</v>
      </c>
    </row>
    <row r="542" spans="1:16" x14ac:dyDescent="0.35">
      <c r="A542" s="4"/>
      <c r="F542" s="5" t="str">
        <f t="shared" si="42"/>
        <v xml:space="preserve"> </v>
      </c>
      <c r="G542" s="12">
        <f t="shared" si="39"/>
        <v>0</v>
      </c>
      <c r="H542">
        <v>21</v>
      </c>
      <c r="I542" s="5">
        <f t="shared" si="38"/>
        <v>0</v>
      </c>
      <c r="J542" s="5">
        <f t="shared" si="40"/>
        <v>0</v>
      </c>
      <c r="L542" s="5">
        <f t="shared" si="41"/>
        <v>0</v>
      </c>
      <c r="M542" s="8">
        <v>0</v>
      </c>
      <c r="N542" s="2" t="s">
        <v>21</v>
      </c>
      <c r="O542" s="3" t="s">
        <v>64</v>
      </c>
    </row>
    <row r="543" spans="1:16" x14ac:dyDescent="0.35">
      <c r="A543" s="4"/>
      <c r="F543" s="5" t="str">
        <f t="shared" si="42"/>
        <v xml:space="preserve"> </v>
      </c>
      <c r="G543" s="12">
        <f t="shared" si="39"/>
        <v>0</v>
      </c>
      <c r="H543">
        <v>21</v>
      </c>
      <c r="I543" s="5">
        <f t="shared" si="38"/>
        <v>0</v>
      </c>
      <c r="J543" s="5">
        <f t="shared" si="40"/>
        <v>0</v>
      </c>
      <c r="L543" s="5">
        <f t="shared" si="41"/>
        <v>0</v>
      </c>
      <c r="M543" s="8">
        <v>0</v>
      </c>
      <c r="N543" s="2" t="s">
        <v>21</v>
      </c>
      <c r="O543" s="3" t="s">
        <v>64</v>
      </c>
    </row>
    <row r="544" spans="1:16" x14ac:dyDescent="0.35">
      <c r="A544" s="4"/>
      <c r="F544" s="5" t="str">
        <f t="shared" si="42"/>
        <v xml:space="preserve"> </v>
      </c>
      <c r="G544" s="12">
        <f t="shared" si="39"/>
        <v>0</v>
      </c>
      <c r="H544">
        <v>21</v>
      </c>
      <c r="I544" s="5">
        <f t="shared" si="38"/>
        <v>0</v>
      </c>
      <c r="J544" s="5">
        <f t="shared" si="40"/>
        <v>0</v>
      </c>
      <c r="L544" s="5">
        <f t="shared" si="41"/>
        <v>0</v>
      </c>
      <c r="M544" s="8">
        <v>0</v>
      </c>
      <c r="N544" s="2" t="s">
        <v>21</v>
      </c>
      <c r="O544" s="3" t="s">
        <v>64</v>
      </c>
    </row>
    <row r="545" spans="1:16" x14ac:dyDescent="0.35">
      <c r="A545" s="4"/>
      <c r="F545" s="5" t="str">
        <f t="shared" si="42"/>
        <v xml:space="preserve"> </v>
      </c>
      <c r="G545" s="12">
        <f t="shared" si="39"/>
        <v>0</v>
      </c>
      <c r="H545">
        <v>21</v>
      </c>
      <c r="I545" s="5">
        <f t="shared" si="38"/>
        <v>0</v>
      </c>
      <c r="J545" s="5">
        <f t="shared" si="40"/>
        <v>0</v>
      </c>
      <c r="L545" s="5">
        <f t="shared" si="41"/>
        <v>0</v>
      </c>
      <c r="M545" s="8">
        <v>0</v>
      </c>
      <c r="N545" s="2" t="s">
        <v>21</v>
      </c>
      <c r="O545" s="3" t="s">
        <v>64</v>
      </c>
    </row>
    <row r="546" spans="1:16" x14ac:dyDescent="0.35">
      <c r="A546" s="4"/>
      <c r="F546" s="5" t="str">
        <f t="shared" si="42"/>
        <v xml:space="preserve"> </v>
      </c>
      <c r="G546" s="12">
        <f t="shared" si="39"/>
        <v>0</v>
      </c>
      <c r="H546">
        <v>21</v>
      </c>
      <c r="I546" s="5">
        <f t="shared" si="38"/>
        <v>0</v>
      </c>
      <c r="J546" s="5">
        <f t="shared" si="40"/>
        <v>0</v>
      </c>
      <c r="L546" s="5">
        <f t="shared" si="41"/>
        <v>0</v>
      </c>
      <c r="M546" s="8">
        <v>0</v>
      </c>
      <c r="N546" s="2" t="s">
        <v>21</v>
      </c>
      <c r="O546" s="3" t="s">
        <v>63</v>
      </c>
    </row>
    <row r="547" spans="1:16" x14ac:dyDescent="0.35">
      <c r="A547" s="4"/>
      <c r="F547" s="5" t="str">
        <f t="shared" si="42"/>
        <v xml:space="preserve"> </v>
      </c>
      <c r="G547" s="12">
        <f t="shared" si="39"/>
        <v>0</v>
      </c>
      <c r="H547">
        <v>21</v>
      </c>
      <c r="I547" s="5">
        <f t="shared" si="38"/>
        <v>0</v>
      </c>
      <c r="J547" s="5">
        <f t="shared" si="40"/>
        <v>0</v>
      </c>
      <c r="L547" s="5">
        <f t="shared" si="41"/>
        <v>0</v>
      </c>
      <c r="M547" s="8">
        <v>0</v>
      </c>
      <c r="N547" s="2" t="s">
        <v>21</v>
      </c>
      <c r="O547" s="3" t="s">
        <v>63</v>
      </c>
    </row>
    <row r="548" spans="1:16" x14ac:dyDescent="0.35">
      <c r="A548" s="4"/>
      <c r="F548" s="5" t="str">
        <f t="shared" si="42"/>
        <v xml:space="preserve"> </v>
      </c>
      <c r="G548" s="12">
        <f t="shared" si="39"/>
        <v>0</v>
      </c>
      <c r="H548">
        <v>21</v>
      </c>
      <c r="I548" s="5">
        <f t="shared" si="38"/>
        <v>0</v>
      </c>
      <c r="J548" s="5">
        <f t="shared" si="40"/>
        <v>0</v>
      </c>
      <c r="L548" s="5">
        <f t="shared" si="41"/>
        <v>0</v>
      </c>
      <c r="M548" s="8">
        <v>0</v>
      </c>
      <c r="N548" s="2" t="s">
        <v>22</v>
      </c>
      <c r="O548" s="3" t="s">
        <v>64</v>
      </c>
      <c r="P548" s="3" t="s">
        <v>160</v>
      </c>
    </row>
    <row r="549" spans="1:16" x14ac:dyDescent="0.35">
      <c r="A549" s="4"/>
      <c r="F549" s="5" t="str">
        <f t="shared" si="42"/>
        <v xml:space="preserve"> </v>
      </c>
      <c r="G549" s="12">
        <f t="shared" si="39"/>
        <v>0</v>
      </c>
      <c r="H549">
        <v>21</v>
      </c>
      <c r="I549" s="5">
        <f t="shared" si="38"/>
        <v>0</v>
      </c>
      <c r="J549" s="5">
        <f t="shared" si="40"/>
        <v>0</v>
      </c>
      <c r="L549" s="5">
        <f t="shared" si="41"/>
        <v>0</v>
      </c>
      <c r="M549" s="8">
        <v>0</v>
      </c>
      <c r="N549" s="2" t="s">
        <v>22</v>
      </c>
      <c r="O549" s="3" t="s">
        <v>64</v>
      </c>
      <c r="P549" s="3" t="s">
        <v>161</v>
      </c>
    </row>
    <row r="550" spans="1:16" x14ac:dyDescent="0.35">
      <c r="A550" s="4"/>
      <c r="F550" s="5" t="str">
        <f t="shared" si="42"/>
        <v xml:space="preserve"> </v>
      </c>
      <c r="G550" s="12">
        <f t="shared" si="39"/>
        <v>0</v>
      </c>
      <c r="H550">
        <v>21</v>
      </c>
      <c r="I550" s="5">
        <f t="shared" si="38"/>
        <v>0</v>
      </c>
      <c r="J550" s="5">
        <f t="shared" si="40"/>
        <v>0</v>
      </c>
      <c r="L550" s="5">
        <f t="shared" si="41"/>
        <v>0</v>
      </c>
      <c r="M550" s="8">
        <v>0</v>
      </c>
      <c r="N550" s="2" t="s">
        <v>21</v>
      </c>
      <c r="O550" s="3" t="s">
        <v>64</v>
      </c>
    </row>
    <row r="551" spans="1:16" x14ac:dyDescent="0.35">
      <c r="A551" s="4"/>
      <c r="F551" s="5" t="str">
        <f t="shared" si="42"/>
        <v xml:space="preserve"> </v>
      </c>
      <c r="G551" s="12">
        <f t="shared" si="39"/>
        <v>0</v>
      </c>
      <c r="H551">
        <v>21</v>
      </c>
      <c r="I551" s="5">
        <f t="shared" si="38"/>
        <v>0</v>
      </c>
      <c r="J551" s="5">
        <f t="shared" si="40"/>
        <v>0</v>
      </c>
      <c r="L551" s="5">
        <f t="shared" si="41"/>
        <v>0</v>
      </c>
      <c r="M551" s="8">
        <v>0</v>
      </c>
      <c r="N551" s="2" t="s">
        <v>21</v>
      </c>
      <c r="O551" s="3" t="s">
        <v>62</v>
      </c>
    </row>
    <row r="552" spans="1:16" x14ac:dyDescent="0.35">
      <c r="A552" s="4"/>
      <c r="F552" s="5" t="str">
        <f t="shared" si="42"/>
        <v xml:space="preserve"> </v>
      </c>
      <c r="G552" s="12">
        <f t="shared" si="39"/>
        <v>0</v>
      </c>
      <c r="H552">
        <v>21</v>
      </c>
      <c r="I552" s="5">
        <f t="shared" si="38"/>
        <v>0</v>
      </c>
      <c r="J552" s="5">
        <f t="shared" si="40"/>
        <v>0</v>
      </c>
      <c r="L552" s="5">
        <f t="shared" si="41"/>
        <v>0</v>
      </c>
      <c r="M552" s="8">
        <v>0</v>
      </c>
      <c r="N552" s="2" t="s">
        <v>21</v>
      </c>
      <c r="O552" s="3" t="s">
        <v>62</v>
      </c>
    </row>
    <row r="553" spans="1:16" x14ac:dyDescent="0.35">
      <c r="A553" s="4"/>
      <c r="F553" s="5" t="str">
        <f t="shared" si="42"/>
        <v xml:space="preserve"> </v>
      </c>
      <c r="G553" s="12">
        <f t="shared" si="39"/>
        <v>0</v>
      </c>
      <c r="H553">
        <v>21</v>
      </c>
      <c r="I553" s="5">
        <f t="shared" si="38"/>
        <v>0</v>
      </c>
      <c r="J553" s="5">
        <f t="shared" si="40"/>
        <v>0</v>
      </c>
      <c r="L553" s="5">
        <f t="shared" si="41"/>
        <v>0</v>
      </c>
      <c r="M553" s="8">
        <v>0</v>
      </c>
      <c r="N553" s="2" t="s">
        <v>22</v>
      </c>
      <c r="O553" s="3" t="s">
        <v>63</v>
      </c>
      <c r="P553" s="3" t="s">
        <v>162</v>
      </c>
    </row>
    <row r="554" spans="1:16" x14ac:dyDescent="0.35">
      <c r="A554" s="4"/>
      <c r="F554" s="5" t="str">
        <f t="shared" si="42"/>
        <v xml:space="preserve"> </v>
      </c>
      <c r="G554" s="12">
        <f t="shared" si="39"/>
        <v>0</v>
      </c>
      <c r="H554">
        <v>21</v>
      </c>
      <c r="I554" s="5">
        <f t="shared" si="38"/>
        <v>0</v>
      </c>
      <c r="J554" s="5">
        <f t="shared" si="40"/>
        <v>0</v>
      </c>
      <c r="L554" s="5">
        <f t="shared" si="41"/>
        <v>0</v>
      </c>
      <c r="M554" s="8">
        <v>0</v>
      </c>
      <c r="N554" s="2" t="s">
        <v>164</v>
      </c>
      <c r="O554" s="3" t="s">
        <v>67</v>
      </c>
    </row>
    <row r="555" spans="1:16" x14ac:dyDescent="0.35">
      <c r="A555" s="4"/>
      <c r="F555" s="5" t="str">
        <f t="shared" si="42"/>
        <v xml:space="preserve"> </v>
      </c>
      <c r="G555" s="12">
        <f t="shared" si="39"/>
        <v>0</v>
      </c>
      <c r="H555">
        <v>21</v>
      </c>
      <c r="I555" s="5">
        <f t="shared" si="38"/>
        <v>0</v>
      </c>
      <c r="J555" s="5">
        <f t="shared" si="40"/>
        <v>0</v>
      </c>
      <c r="L555" s="5">
        <f t="shared" si="41"/>
        <v>0</v>
      </c>
      <c r="M555" s="8">
        <v>0</v>
      </c>
      <c r="N555" s="2" t="s">
        <v>164</v>
      </c>
      <c r="O555" s="3" t="s">
        <v>67</v>
      </c>
    </row>
    <row r="556" spans="1:16" x14ac:dyDescent="0.35">
      <c r="A556" s="4"/>
      <c r="F556" s="5" t="str">
        <f t="shared" si="42"/>
        <v xml:space="preserve"> </v>
      </c>
      <c r="G556" s="12">
        <f t="shared" si="39"/>
        <v>0</v>
      </c>
      <c r="H556">
        <v>21</v>
      </c>
      <c r="I556" s="5">
        <f t="shared" ref="I556:I574" si="43">G556*H556/100</f>
        <v>0</v>
      </c>
      <c r="J556" s="5">
        <f t="shared" si="40"/>
        <v>0</v>
      </c>
      <c r="L556" s="5">
        <f t="shared" si="41"/>
        <v>0</v>
      </c>
      <c r="M556" s="8">
        <v>0</v>
      </c>
      <c r="N556" s="2" t="s">
        <v>164</v>
      </c>
      <c r="O556" s="3" t="s">
        <v>67</v>
      </c>
    </row>
    <row r="557" spans="1:16" x14ac:dyDescent="0.35">
      <c r="A557" s="4"/>
      <c r="F557" s="5" t="str">
        <f t="shared" si="42"/>
        <v xml:space="preserve"> </v>
      </c>
      <c r="G557" s="12">
        <f t="shared" ref="G557:G575" si="44">M557/(1-K557/100+H557/100)</f>
        <v>0</v>
      </c>
      <c r="H557">
        <v>21</v>
      </c>
      <c r="I557" s="5">
        <f t="shared" si="43"/>
        <v>0</v>
      </c>
      <c r="J557" s="5">
        <f t="shared" ref="J557:J575" si="45">G557</f>
        <v>0</v>
      </c>
      <c r="L557" s="5">
        <f t="shared" ref="L557:L575" si="46">J557*K557/100</f>
        <v>0</v>
      </c>
      <c r="M557" s="8">
        <v>0</v>
      </c>
      <c r="N557" s="2" t="s">
        <v>37</v>
      </c>
      <c r="O557" s="3" t="s">
        <v>62</v>
      </c>
    </row>
    <row r="558" spans="1:16" x14ac:dyDescent="0.35">
      <c r="A558" s="4"/>
      <c r="F558" s="5" t="str">
        <f t="shared" si="42"/>
        <v xml:space="preserve"> </v>
      </c>
      <c r="G558" s="12">
        <f t="shared" si="44"/>
        <v>0</v>
      </c>
      <c r="H558">
        <v>21</v>
      </c>
      <c r="I558" s="5">
        <f t="shared" si="43"/>
        <v>0</v>
      </c>
      <c r="J558" s="5">
        <f t="shared" si="45"/>
        <v>0</v>
      </c>
      <c r="L558" s="5">
        <f t="shared" si="46"/>
        <v>0</v>
      </c>
      <c r="M558" s="8">
        <v>0</v>
      </c>
      <c r="N558" s="2" t="s">
        <v>37</v>
      </c>
      <c r="O558" s="3" t="s">
        <v>62</v>
      </c>
    </row>
    <row r="559" spans="1:16" x14ac:dyDescent="0.35">
      <c r="A559" s="4"/>
      <c r="F559" s="5" t="str">
        <f t="shared" si="42"/>
        <v xml:space="preserve"> </v>
      </c>
      <c r="G559" s="12">
        <f t="shared" si="44"/>
        <v>0</v>
      </c>
      <c r="H559">
        <v>21</v>
      </c>
      <c r="I559" s="5">
        <f t="shared" si="43"/>
        <v>0</v>
      </c>
      <c r="J559" s="5">
        <f t="shared" si="45"/>
        <v>0</v>
      </c>
      <c r="L559" s="5">
        <f t="shared" si="46"/>
        <v>0</v>
      </c>
      <c r="M559" s="8">
        <v>0</v>
      </c>
      <c r="N559" s="2" t="s">
        <v>21</v>
      </c>
      <c r="O559" s="3" t="s">
        <v>67</v>
      </c>
    </row>
    <row r="560" spans="1:16" x14ac:dyDescent="0.35">
      <c r="A560" s="4"/>
      <c r="F560" s="5" t="str">
        <f t="shared" si="42"/>
        <v xml:space="preserve"> </v>
      </c>
      <c r="G560" s="12">
        <f t="shared" si="44"/>
        <v>0</v>
      </c>
      <c r="H560">
        <v>21</v>
      </c>
      <c r="I560" s="5">
        <f t="shared" si="43"/>
        <v>0</v>
      </c>
      <c r="J560" s="5">
        <f t="shared" si="45"/>
        <v>0</v>
      </c>
      <c r="L560" s="5">
        <f t="shared" si="46"/>
        <v>0</v>
      </c>
      <c r="M560" s="8">
        <v>0</v>
      </c>
      <c r="N560" s="2" t="s">
        <v>22</v>
      </c>
    </row>
    <row r="561" spans="1:15" x14ac:dyDescent="0.35">
      <c r="A561" s="4"/>
      <c r="F561" s="5" t="str">
        <f t="shared" si="42"/>
        <v xml:space="preserve"> </v>
      </c>
      <c r="G561" s="12">
        <f t="shared" si="44"/>
        <v>0</v>
      </c>
      <c r="H561">
        <v>21</v>
      </c>
      <c r="I561" s="5">
        <f t="shared" si="43"/>
        <v>0</v>
      </c>
      <c r="J561" s="5">
        <f t="shared" si="45"/>
        <v>0</v>
      </c>
      <c r="L561" s="5">
        <f t="shared" si="46"/>
        <v>0</v>
      </c>
      <c r="M561" s="8">
        <v>0</v>
      </c>
      <c r="N561" s="2" t="s">
        <v>102</v>
      </c>
      <c r="O561" s="3" t="s">
        <v>67</v>
      </c>
    </row>
    <row r="562" spans="1:15" x14ac:dyDescent="0.35">
      <c r="A562" s="4"/>
      <c r="F562" s="5" t="str">
        <f t="shared" si="42"/>
        <v xml:space="preserve"> </v>
      </c>
      <c r="G562" s="12">
        <f t="shared" si="44"/>
        <v>0</v>
      </c>
      <c r="H562">
        <v>21</v>
      </c>
      <c r="I562" s="5">
        <f t="shared" si="43"/>
        <v>0</v>
      </c>
      <c r="J562" s="5">
        <f t="shared" si="45"/>
        <v>0</v>
      </c>
      <c r="L562" s="5">
        <f t="shared" si="46"/>
        <v>0</v>
      </c>
      <c r="M562" s="8">
        <v>0</v>
      </c>
      <c r="N562" s="2" t="s">
        <v>37</v>
      </c>
      <c r="O562" s="3" t="s">
        <v>62</v>
      </c>
    </row>
    <row r="563" spans="1:15" x14ac:dyDescent="0.35">
      <c r="A563" s="4"/>
      <c r="F563" s="5" t="str">
        <f t="shared" si="42"/>
        <v xml:space="preserve"> </v>
      </c>
      <c r="G563" s="12">
        <f t="shared" si="44"/>
        <v>0</v>
      </c>
      <c r="H563">
        <v>10</v>
      </c>
      <c r="I563" s="5">
        <f t="shared" si="43"/>
        <v>0</v>
      </c>
      <c r="J563" s="5">
        <f t="shared" si="45"/>
        <v>0</v>
      </c>
      <c r="L563" s="5">
        <f t="shared" si="46"/>
        <v>0</v>
      </c>
      <c r="M563" s="8">
        <v>0</v>
      </c>
      <c r="N563" s="2" t="s">
        <v>33</v>
      </c>
      <c r="O563" s="3" t="s">
        <v>67</v>
      </c>
    </row>
    <row r="564" spans="1:15" x14ac:dyDescent="0.35">
      <c r="A564" s="4"/>
      <c r="F564" s="5" t="str">
        <f t="shared" si="42"/>
        <v xml:space="preserve"> </v>
      </c>
      <c r="G564" s="12">
        <f t="shared" si="44"/>
        <v>0</v>
      </c>
      <c r="H564">
        <v>10</v>
      </c>
      <c r="I564" s="5">
        <f t="shared" si="43"/>
        <v>0</v>
      </c>
      <c r="J564" s="5">
        <f t="shared" si="45"/>
        <v>0</v>
      </c>
      <c r="L564" s="5">
        <f t="shared" si="46"/>
        <v>0</v>
      </c>
      <c r="M564" s="8">
        <v>0</v>
      </c>
      <c r="N564" s="2" t="s">
        <v>108</v>
      </c>
      <c r="O564" s="3" t="s">
        <v>64</v>
      </c>
    </row>
    <row r="565" spans="1:15" x14ac:dyDescent="0.35">
      <c r="A565" s="4"/>
      <c r="F565" s="5" t="str">
        <f t="shared" si="42"/>
        <v xml:space="preserve"> </v>
      </c>
      <c r="G565" s="12">
        <f t="shared" si="44"/>
        <v>0</v>
      </c>
      <c r="H565">
        <v>10</v>
      </c>
      <c r="I565" s="5">
        <f t="shared" si="43"/>
        <v>0</v>
      </c>
      <c r="J565" s="5">
        <f t="shared" si="45"/>
        <v>0</v>
      </c>
      <c r="L565" s="5">
        <f t="shared" si="46"/>
        <v>0</v>
      </c>
      <c r="M565" s="8">
        <v>0</v>
      </c>
      <c r="N565" s="2" t="s">
        <v>108</v>
      </c>
      <c r="O565" s="3" t="s">
        <v>64</v>
      </c>
    </row>
    <row r="566" spans="1:15" x14ac:dyDescent="0.35">
      <c r="A566" s="4"/>
      <c r="F566" s="5" t="str">
        <f t="shared" si="42"/>
        <v xml:space="preserve"> </v>
      </c>
      <c r="G566" s="12">
        <f t="shared" si="44"/>
        <v>0</v>
      </c>
      <c r="H566">
        <v>10</v>
      </c>
      <c r="I566" s="5">
        <f t="shared" si="43"/>
        <v>0</v>
      </c>
      <c r="J566" s="5">
        <f t="shared" si="45"/>
        <v>0</v>
      </c>
      <c r="L566" s="5">
        <f t="shared" si="46"/>
        <v>0</v>
      </c>
      <c r="M566" s="8">
        <v>0</v>
      </c>
      <c r="N566" s="2" t="s">
        <v>108</v>
      </c>
      <c r="O566" s="3" t="s">
        <v>64</v>
      </c>
    </row>
    <row r="567" spans="1:15" x14ac:dyDescent="0.35">
      <c r="A567" s="4"/>
      <c r="F567" s="5" t="str">
        <f t="shared" si="42"/>
        <v xml:space="preserve"> </v>
      </c>
      <c r="G567" s="12">
        <f t="shared" si="44"/>
        <v>0</v>
      </c>
      <c r="H567">
        <v>10</v>
      </c>
      <c r="I567" s="5">
        <f t="shared" si="43"/>
        <v>0</v>
      </c>
      <c r="J567" s="5">
        <f t="shared" si="45"/>
        <v>0</v>
      </c>
      <c r="L567" s="5">
        <f t="shared" si="46"/>
        <v>0</v>
      </c>
      <c r="M567" s="8">
        <v>0</v>
      </c>
      <c r="N567" s="2" t="s">
        <v>108</v>
      </c>
      <c r="O567" s="3" t="s">
        <v>64</v>
      </c>
    </row>
    <row r="568" spans="1:15" x14ac:dyDescent="0.35">
      <c r="A568" s="4"/>
      <c r="F568" s="5" t="str">
        <f t="shared" si="42"/>
        <v xml:space="preserve"> </v>
      </c>
      <c r="G568" s="12">
        <f t="shared" si="44"/>
        <v>0</v>
      </c>
      <c r="H568">
        <v>21</v>
      </c>
      <c r="I568" s="5">
        <f t="shared" si="43"/>
        <v>0</v>
      </c>
      <c r="J568" s="5">
        <f t="shared" si="45"/>
        <v>0</v>
      </c>
      <c r="L568" s="5">
        <f t="shared" si="46"/>
        <v>0</v>
      </c>
      <c r="M568" s="8">
        <v>0</v>
      </c>
      <c r="N568" s="2" t="s">
        <v>21</v>
      </c>
      <c r="O568" s="3" t="s">
        <v>64</v>
      </c>
    </row>
    <row r="569" spans="1:15" x14ac:dyDescent="0.35">
      <c r="A569" s="4"/>
      <c r="F569" s="5" t="str">
        <f t="shared" si="42"/>
        <v xml:space="preserve"> </v>
      </c>
      <c r="G569" s="12">
        <f t="shared" si="44"/>
        <v>0</v>
      </c>
      <c r="H569">
        <v>21</v>
      </c>
      <c r="I569" s="5">
        <f t="shared" si="43"/>
        <v>0</v>
      </c>
      <c r="J569" s="5">
        <f t="shared" si="45"/>
        <v>0</v>
      </c>
      <c r="L569" s="5">
        <f t="shared" si="46"/>
        <v>0</v>
      </c>
      <c r="M569" s="8">
        <v>0</v>
      </c>
      <c r="N569" s="2" t="s">
        <v>22</v>
      </c>
      <c r="O569" s="3" t="s">
        <v>64</v>
      </c>
    </row>
    <row r="570" spans="1:15" x14ac:dyDescent="0.35">
      <c r="A570" s="4"/>
      <c r="F570" s="5" t="str">
        <f t="shared" si="42"/>
        <v xml:space="preserve"> </v>
      </c>
      <c r="G570" s="12">
        <f t="shared" si="44"/>
        <v>0</v>
      </c>
      <c r="H570">
        <v>21</v>
      </c>
      <c r="I570" s="5">
        <f t="shared" si="43"/>
        <v>0</v>
      </c>
      <c r="J570" s="5">
        <f t="shared" si="45"/>
        <v>0</v>
      </c>
      <c r="L570" s="5">
        <f t="shared" si="46"/>
        <v>0</v>
      </c>
      <c r="M570" s="8">
        <v>0</v>
      </c>
      <c r="N570" s="2" t="s">
        <v>22</v>
      </c>
      <c r="O570" s="3" t="s">
        <v>64</v>
      </c>
    </row>
    <row r="571" spans="1:15" x14ac:dyDescent="0.35">
      <c r="A571" s="4"/>
      <c r="F571" s="5" t="str">
        <f t="shared" si="42"/>
        <v xml:space="preserve"> </v>
      </c>
      <c r="G571" s="12">
        <f t="shared" si="44"/>
        <v>0</v>
      </c>
      <c r="H571">
        <v>21</v>
      </c>
      <c r="I571" s="5">
        <f t="shared" si="43"/>
        <v>0</v>
      </c>
      <c r="J571" s="5">
        <f t="shared" si="45"/>
        <v>0</v>
      </c>
      <c r="L571" s="5">
        <f t="shared" si="46"/>
        <v>0</v>
      </c>
      <c r="M571" s="8">
        <v>0</v>
      </c>
      <c r="N571" s="2" t="s">
        <v>22</v>
      </c>
      <c r="O571" s="3" t="s">
        <v>64</v>
      </c>
    </row>
    <row r="572" spans="1:15" x14ac:dyDescent="0.35">
      <c r="A572" s="4"/>
      <c r="F572" s="5" t="str">
        <f t="shared" si="42"/>
        <v xml:space="preserve"> </v>
      </c>
      <c r="G572" s="12">
        <f t="shared" si="44"/>
        <v>0</v>
      </c>
      <c r="H572">
        <v>21</v>
      </c>
      <c r="I572" s="5">
        <f t="shared" si="43"/>
        <v>0</v>
      </c>
      <c r="J572" s="5">
        <f t="shared" si="45"/>
        <v>0</v>
      </c>
      <c r="L572" s="5">
        <f t="shared" si="46"/>
        <v>0</v>
      </c>
      <c r="M572" s="8">
        <v>0</v>
      </c>
      <c r="N572" s="2" t="s">
        <v>22</v>
      </c>
      <c r="O572" s="3" t="s">
        <v>64</v>
      </c>
    </row>
    <row r="573" spans="1:15" x14ac:dyDescent="0.35">
      <c r="A573" s="4"/>
      <c r="F573" s="5" t="str">
        <f t="shared" si="42"/>
        <v xml:space="preserve"> </v>
      </c>
      <c r="G573" s="12">
        <f t="shared" si="44"/>
        <v>0</v>
      </c>
      <c r="H573">
        <v>21</v>
      </c>
      <c r="I573" s="5">
        <f t="shared" si="43"/>
        <v>0</v>
      </c>
      <c r="J573" s="5">
        <f t="shared" si="45"/>
        <v>0</v>
      </c>
      <c r="L573" s="5">
        <f t="shared" si="46"/>
        <v>0</v>
      </c>
      <c r="M573" s="8">
        <v>0</v>
      </c>
      <c r="N573" s="2" t="s">
        <v>22</v>
      </c>
      <c r="O573" s="3" t="s">
        <v>64</v>
      </c>
    </row>
    <row r="574" spans="1:15" x14ac:dyDescent="0.35">
      <c r="A574" s="4"/>
      <c r="F574" s="5" t="str">
        <f t="shared" si="42"/>
        <v xml:space="preserve"> </v>
      </c>
      <c r="G574" s="12">
        <f t="shared" si="44"/>
        <v>0</v>
      </c>
      <c r="H574">
        <v>21</v>
      </c>
      <c r="I574" s="5">
        <f t="shared" si="43"/>
        <v>0</v>
      </c>
      <c r="J574" s="5">
        <f t="shared" si="45"/>
        <v>0</v>
      </c>
      <c r="L574" s="5">
        <f t="shared" si="46"/>
        <v>0</v>
      </c>
      <c r="M574" s="8">
        <v>0</v>
      </c>
      <c r="N574" s="2" t="s">
        <v>22</v>
      </c>
      <c r="O574" s="3" t="s">
        <v>64</v>
      </c>
    </row>
    <row r="575" spans="1:15" x14ac:dyDescent="0.35">
      <c r="G575" s="12">
        <f t="shared" si="44"/>
        <v>0</v>
      </c>
      <c r="I575" s="5">
        <f>SUM(I2:I574)</f>
        <v>189107.66652584026</v>
      </c>
      <c r="J575" s="5">
        <f t="shared" si="45"/>
        <v>0</v>
      </c>
      <c r="L575" s="5">
        <f t="shared" si="46"/>
        <v>0</v>
      </c>
      <c r="M575" s="8">
        <v>0</v>
      </c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A5EB-DA86-43CC-B2CD-2F6662B1DA1B}">
  <dimension ref="A1:S551"/>
  <sheetViews>
    <sheetView tabSelected="1" topLeftCell="B438" zoomScaleNormal="100" workbookViewId="0">
      <selection activeCell="M188" sqref="M1:M65536"/>
    </sheetView>
  </sheetViews>
  <sheetFormatPr baseColWidth="10" defaultRowHeight="14.5" x14ac:dyDescent="0.35"/>
  <cols>
    <col min="1" max="1" width="11.54296875" bestFit="1" customWidth="1"/>
    <col min="2" max="2" width="32.1796875" style="2" customWidth="1"/>
    <col min="3" max="3" width="10" style="2" bestFit="1" customWidth="1"/>
    <col min="4" max="4" width="15.1796875" style="2" customWidth="1"/>
    <col min="5" max="5" width="32" style="2" customWidth="1"/>
    <col min="6" max="6" width="30.1796875" style="5" customWidth="1"/>
    <col min="7" max="7" width="10.54296875" style="10" customWidth="1"/>
    <col min="8" max="8" width="5.7265625" bestFit="1" customWidth="1"/>
    <col min="9" max="9" width="10.81640625" customWidth="1"/>
    <col min="10" max="10" width="11.7265625" customWidth="1"/>
    <col min="11" max="11" width="6.1796875" customWidth="1"/>
    <col min="12" max="12" width="8.54296875" customWidth="1"/>
    <col min="13" max="13" width="10.7265625" style="25" customWidth="1"/>
    <col min="14" max="14" width="20.7265625" style="2" customWidth="1"/>
    <col min="15" max="15" width="16" style="3" customWidth="1"/>
    <col min="16" max="16" width="15.81640625" style="3" customWidth="1"/>
    <col min="17" max="17" width="16" customWidth="1"/>
    <col min="18" max="18" width="14.1796875" customWidth="1"/>
  </cols>
  <sheetData>
    <row r="1" spans="1:19" s="1" customFormat="1" ht="30" customHeight="1" x14ac:dyDescent="0.35">
      <c r="A1" s="6" t="s">
        <v>0</v>
      </c>
      <c r="B1" s="7" t="s">
        <v>18</v>
      </c>
      <c r="C1" s="7" t="s">
        <v>2</v>
      </c>
      <c r="D1" s="7" t="s">
        <v>3</v>
      </c>
      <c r="E1" s="7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15</v>
      </c>
      <c r="P1" s="7" t="s">
        <v>14</v>
      </c>
      <c r="Q1" s="7" t="s">
        <v>16</v>
      </c>
      <c r="R1" s="6" t="s">
        <v>17</v>
      </c>
    </row>
    <row r="2" spans="1:19" x14ac:dyDescent="0.35">
      <c r="A2" s="19">
        <v>45573</v>
      </c>
      <c r="B2" s="20" t="s">
        <v>2635</v>
      </c>
      <c r="C2" s="20"/>
      <c r="D2" s="20" t="s">
        <v>1478</v>
      </c>
      <c r="E2" s="20" t="s">
        <v>1479</v>
      </c>
      <c r="F2" s="21" t="str">
        <f>CONCATENATE(S2,B2," ",E2)</f>
        <v>S/F 20240072 ELENA LAMBOVA DIMITROVA</v>
      </c>
      <c r="G2" s="12">
        <f>M2/(1-K2/100+H2/100)</f>
        <v>400</v>
      </c>
      <c r="H2" s="22">
        <v>21</v>
      </c>
      <c r="I2" s="21">
        <f>G2*H2/100</f>
        <v>84</v>
      </c>
      <c r="J2" s="21">
        <f>G2</f>
        <v>400</v>
      </c>
      <c r="K2" s="22"/>
      <c r="L2" s="5">
        <f>J2*K2/100</f>
        <v>0</v>
      </c>
      <c r="M2" s="8">
        <v>484</v>
      </c>
      <c r="N2" s="2" t="s">
        <v>53</v>
      </c>
      <c r="S2" t="s">
        <v>19</v>
      </c>
    </row>
    <row r="3" spans="1:19" x14ac:dyDescent="0.35">
      <c r="A3" s="19">
        <v>45568</v>
      </c>
      <c r="B3" s="20" t="s">
        <v>2636</v>
      </c>
      <c r="C3" s="20"/>
      <c r="D3" s="20" t="s">
        <v>59</v>
      </c>
      <c r="E3" s="20" t="s">
        <v>43</v>
      </c>
      <c r="F3" s="21" t="str">
        <f t="shared" ref="F3:F64" si="0">CONCATENATE(S3,B3," ",E3)</f>
        <v>S/F AT9241249106859 EUGENIO PEREDA</v>
      </c>
      <c r="G3" s="12">
        <f>M3/(1-K3/100+H3/100)</f>
        <v>2869.5537190082646</v>
      </c>
      <c r="H3" s="22">
        <v>21</v>
      </c>
      <c r="I3" s="21">
        <f>G3*H3/100</f>
        <v>602.6062809917355</v>
      </c>
      <c r="J3" s="21">
        <f>G3</f>
        <v>2869.5537190082646</v>
      </c>
      <c r="K3" s="22"/>
      <c r="L3" s="5">
        <f>J3*K3/100</f>
        <v>0</v>
      </c>
      <c r="M3" s="8">
        <v>3472.16</v>
      </c>
      <c r="N3" s="2" t="s">
        <v>21</v>
      </c>
      <c r="O3" s="3" t="s">
        <v>68</v>
      </c>
      <c r="S3" t="s">
        <v>19</v>
      </c>
    </row>
    <row r="4" spans="1:19" x14ac:dyDescent="0.35">
      <c r="A4" s="19">
        <v>45566</v>
      </c>
      <c r="B4" s="20" t="s">
        <v>309</v>
      </c>
      <c r="C4" s="20"/>
      <c r="D4" s="20" t="s">
        <v>145</v>
      </c>
      <c r="E4" s="20" t="s">
        <v>146</v>
      </c>
      <c r="F4" s="21" t="str">
        <f t="shared" si="0"/>
        <v>S/F 12 DAVID MARGIN</v>
      </c>
      <c r="G4" s="12">
        <f t="shared" ref="G4:G65" si="1">M4/(1-K4/100+H4/100)</f>
        <v>7000</v>
      </c>
      <c r="H4" s="22">
        <v>21</v>
      </c>
      <c r="I4" s="21">
        <f t="shared" ref="I4:I65" si="2">G4*H4/100</f>
        <v>1470</v>
      </c>
      <c r="J4" s="21">
        <f t="shared" ref="J4:J65" si="3">G4</f>
        <v>7000</v>
      </c>
      <c r="K4" s="22"/>
      <c r="L4" s="5">
        <f t="shared" ref="L4:L65" si="4">J4*K4/100</f>
        <v>0</v>
      </c>
      <c r="M4" s="8">
        <v>8470</v>
      </c>
      <c r="N4" s="2" t="s">
        <v>37</v>
      </c>
      <c r="O4" s="3" t="s">
        <v>68</v>
      </c>
      <c r="S4" t="s">
        <v>19</v>
      </c>
    </row>
    <row r="5" spans="1:19" x14ac:dyDescent="0.35">
      <c r="A5" s="24">
        <v>45572</v>
      </c>
      <c r="B5" s="20" t="s">
        <v>2637</v>
      </c>
      <c r="C5" s="20"/>
      <c r="D5" s="20" t="s">
        <v>27</v>
      </c>
      <c r="E5" s="20" t="s">
        <v>301</v>
      </c>
      <c r="F5" s="21" t="str">
        <f t="shared" si="0"/>
        <v xml:space="preserve">S/F 2024/000441 PADRISA </v>
      </c>
      <c r="G5" s="12">
        <f t="shared" si="1"/>
        <v>1044.4462809917356</v>
      </c>
      <c r="H5" s="22">
        <v>21</v>
      </c>
      <c r="I5" s="21">
        <f t="shared" si="2"/>
        <v>219.3337190082645</v>
      </c>
      <c r="J5" s="21">
        <f t="shared" si="3"/>
        <v>1044.4462809917356</v>
      </c>
      <c r="K5" s="22"/>
      <c r="L5" s="5">
        <f t="shared" si="4"/>
        <v>0</v>
      </c>
      <c r="M5" s="8">
        <v>1263.78</v>
      </c>
      <c r="N5" s="2" t="s">
        <v>53</v>
      </c>
      <c r="O5" s="3" t="s">
        <v>68</v>
      </c>
      <c r="S5" t="s">
        <v>19</v>
      </c>
    </row>
    <row r="6" spans="1:19" x14ac:dyDescent="0.35">
      <c r="A6" s="24">
        <v>45572</v>
      </c>
      <c r="B6" s="20" t="s">
        <v>2638</v>
      </c>
      <c r="C6" s="20"/>
      <c r="D6" s="20" t="s">
        <v>74</v>
      </c>
      <c r="E6" s="20" t="s">
        <v>259</v>
      </c>
      <c r="F6" s="21" t="str">
        <f t="shared" si="0"/>
        <v>S/F 24/00183 CRISTALERIA ESCOBAR</v>
      </c>
      <c r="G6" s="12">
        <f t="shared" si="1"/>
        <v>253.50413223140498</v>
      </c>
      <c r="H6" s="22">
        <v>21</v>
      </c>
      <c r="I6" s="21">
        <f t="shared" si="2"/>
        <v>53.235867768595043</v>
      </c>
      <c r="J6" s="21">
        <f t="shared" si="3"/>
        <v>253.50413223140498</v>
      </c>
      <c r="K6" s="21"/>
      <c r="L6" s="5">
        <f t="shared" si="4"/>
        <v>0</v>
      </c>
      <c r="M6" s="8">
        <v>306.74</v>
      </c>
      <c r="N6" s="2" t="s">
        <v>21</v>
      </c>
      <c r="O6" s="3" t="s">
        <v>68</v>
      </c>
      <c r="S6" t="s">
        <v>19</v>
      </c>
    </row>
    <row r="7" spans="1:19" x14ac:dyDescent="0.35">
      <c r="A7" s="24">
        <v>45567</v>
      </c>
      <c r="B7" s="20" t="s">
        <v>2639</v>
      </c>
      <c r="C7" s="20"/>
      <c r="D7" s="20" t="s">
        <v>82</v>
      </c>
      <c r="E7" s="20" t="s">
        <v>138</v>
      </c>
      <c r="F7" s="21" t="str">
        <f t="shared" si="0"/>
        <v>S/F CO F24 0100002815 FILTROS ANCORA</v>
      </c>
      <c r="G7" s="12">
        <f t="shared" si="1"/>
        <v>12.504132231404959</v>
      </c>
      <c r="H7" s="22">
        <v>21</v>
      </c>
      <c r="I7" s="21">
        <f t="shared" si="2"/>
        <v>2.6258677685950413</v>
      </c>
      <c r="J7" s="21">
        <f t="shared" si="3"/>
        <v>12.504132231404959</v>
      </c>
      <c r="K7" s="22"/>
      <c r="L7" s="5">
        <f t="shared" si="4"/>
        <v>0</v>
      </c>
      <c r="M7" s="8">
        <v>15.13</v>
      </c>
      <c r="N7" s="2" t="s">
        <v>21</v>
      </c>
      <c r="S7" t="s">
        <v>19</v>
      </c>
    </row>
    <row r="8" spans="1:19" x14ac:dyDescent="0.35">
      <c r="A8" s="24">
        <v>45575</v>
      </c>
      <c r="B8" s="20" t="s">
        <v>2667</v>
      </c>
      <c r="C8" s="20"/>
      <c r="D8" s="20" t="s">
        <v>2668</v>
      </c>
      <c r="E8" s="20" t="s">
        <v>2669</v>
      </c>
      <c r="F8" s="21" t="str">
        <f t="shared" si="0"/>
        <v>S/F 270 ARTE VETA</v>
      </c>
      <c r="G8" s="12">
        <f t="shared" si="1"/>
        <v>4258.9008264462818</v>
      </c>
      <c r="H8" s="22">
        <v>21</v>
      </c>
      <c r="I8" s="21">
        <f t="shared" si="2"/>
        <v>894.36917355371918</v>
      </c>
      <c r="J8" s="21">
        <f t="shared" si="3"/>
        <v>4258.9008264462818</v>
      </c>
      <c r="K8" s="22"/>
      <c r="L8" s="5">
        <f t="shared" si="4"/>
        <v>0</v>
      </c>
      <c r="M8" s="8">
        <v>5153.2700000000004</v>
      </c>
      <c r="N8" s="2" t="s">
        <v>21</v>
      </c>
      <c r="O8" s="3" t="s">
        <v>68</v>
      </c>
      <c r="S8" t="s">
        <v>19</v>
      </c>
    </row>
    <row r="9" spans="1:19" x14ac:dyDescent="0.35">
      <c r="A9" s="24">
        <v>45575</v>
      </c>
      <c r="B9" s="20" t="s">
        <v>2670</v>
      </c>
      <c r="C9" s="20"/>
      <c r="D9" s="20" t="s">
        <v>94</v>
      </c>
      <c r="E9" s="20" t="s">
        <v>139</v>
      </c>
      <c r="F9" s="21" t="str">
        <f t="shared" si="0"/>
        <v>S/F VEN/20291274 BIGMAT</v>
      </c>
      <c r="G9" s="12">
        <f t="shared" si="1"/>
        <v>3717.7520661157023</v>
      </c>
      <c r="H9" s="22">
        <v>21</v>
      </c>
      <c r="I9" s="21">
        <f t="shared" si="2"/>
        <v>780.7279338842975</v>
      </c>
      <c r="J9" s="21">
        <f t="shared" si="3"/>
        <v>3717.7520661157023</v>
      </c>
      <c r="K9" s="22"/>
      <c r="L9" s="5">
        <f t="shared" si="4"/>
        <v>0</v>
      </c>
      <c r="M9" s="8">
        <v>4498.4799999999996</v>
      </c>
      <c r="N9" s="2" t="s">
        <v>21</v>
      </c>
      <c r="O9" s="3" t="s">
        <v>65</v>
      </c>
      <c r="S9" t="s">
        <v>19</v>
      </c>
    </row>
    <row r="10" spans="1:19" x14ac:dyDescent="0.35">
      <c r="A10" s="24">
        <v>45576</v>
      </c>
      <c r="B10" s="20" t="s">
        <v>2677</v>
      </c>
      <c r="C10" s="20"/>
      <c r="D10" s="20" t="s">
        <v>109</v>
      </c>
      <c r="E10" s="20" t="s">
        <v>42</v>
      </c>
      <c r="F10" s="21" t="str">
        <f t="shared" si="0"/>
        <v>S/F 24117075 DISCESUR</v>
      </c>
      <c r="G10" s="12">
        <f t="shared" si="1"/>
        <v>1151.2561983471076</v>
      </c>
      <c r="H10" s="22">
        <v>21</v>
      </c>
      <c r="I10" s="21">
        <f t="shared" si="2"/>
        <v>241.76380165289257</v>
      </c>
      <c r="J10" s="21">
        <f t="shared" si="3"/>
        <v>1151.2561983471076</v>
      </c>
      <c r="K10" s="22"/>
      <c r="L10" s="5">
        <f t="shared" si="4"/>
        <v>0</v>
      </c>
      <c r="M10" s="8">
        <v>1393.02</v>
      </c>
      <c r="N10" s="2" t="s">
        <v>21</v>
      </c>
      <c r="O10" s="3" t="s">
        <v>65</v>
      </c>
      <c r="S10" t="s">
        <v>19</v>
      </c>
    </row>
    <row r="11" spans="1:19" x14ac:dyDescent="0.35">
      <c r="A11" s="24">
        <v>45580</v>
      </c>
      <c r="B11" s="20" t="s">
        <v>2678</v>
      </c>
      <c r="C11" s="20"/>
      <c r="D11" s="20" t="s">
        <v>112</v>
      </c>
      <c r="E11" s="20" t="s">
        <v>114</v>
      </c>
      <c r="F11" s="21" t="str">
        <f t="shared" si="0"/>
        <v>S/F 2024/273 LIVIU COSMIN JULA ANDREICA</v>
      </c>
      <c r="G11" s="12">
        <f t="shared" si="1"/>
        <v>600</v>
      </c>
      <c r="H11" s="22">
        <v>21</v>
      </c>
      <c r="I11" s="21">
        <f t="shared" si="2"/>
        <v>126</v>
      </c>
      <c r="J11" s="21">
        <f t="shared" si="3"/>
        <v>600</v>
      </c>
      <c r="K11" s="22"/>
      <c r="L11" s="5">
        <f t="shared" si="4"/>
        <v>0</v>
      </c>
      <c r="M11" s="8">
        <v>726</v>
      </c>
      <c r="N11" s="2" t="s">
        <v>56</v>
      </c>
      <c r="O11" s="3" t="s">
        <v>68</v>
      </c>
      <c r="S11" t="s">
        <v>19</v>
      </c>
    </row>
    <row r="12" spans="1:19" x14ac:dyDescent="0.35">
      <c r="A12" s="24">
        <v>45580</v>
      </c>
      <c r="B12" s="20" t="s">
        <v>2679</v>
      </c>
      <c r="C12" s="20"/>
      <c r="D12" s="20" t="s">
        <v>200</v>
      </c>
      <c r="E12" s="20" t="s">
        <v>186</v>
      </c>
      <c r="F12" s="21" t="str">
        <f t="shared" si="0"/>
        <v>S/F 0125405 I.D.F. SUMINISTROS INDUSTRIALES</v>
      </c>
      <c r="G12" s="12">
        <f t="shared" si="1"/>
        <v>16.272727272727273</v>
      </c>
      <c r="H12" s="22">
        <v>21</v>
      </c>
      <c r="I12" s="21">
        <f t="shared" si="2"/>
        <v>3.4172727272727275</v>
      </c>
      <c r="J12" s="21">
        <f t="shared" si="3"/>
        <v>16.272727272727273</v>
      </c>
      <c r="K12" s="22"/>
      <c r="L12" s="5">
        <f t="shared" si="4"/>
        <v>0</v>
      </c>
      <c r="M12" s="8">
        <v>19.690000000000001</v>
      </c>
      <c r="N12" s="2" t="s">
        <v>21</v>
      </c>
      <c r="O12" s="3" t="s">
        <v>65</v>
      </c>
      <c r="S12" t="s">
        <v>19</v>
      </c>
    </row>
    <row r="13" spans="1:19" x14ac:dyDescent="0.35">
      <c r="A13" s="24">
        <v>45585</v>
      </c>
      <c r="B13" s="20" t="s">
        <v>2683</v>
      </c>
      <c r="C13" s="20"/>
      <c r="D13" s="20" t="s">
        <v>94</v>
      </c>
      <c r="E13" s="20" t="s">
        <v>139</v>
      </c>
      <c r="F13" s="21" t="str">
        <f t="shared" si="0"/>
        <v>S/F VEN/20293790 BIGMAT</v>
      </c>
      <c r="G13" s="12">
        <f t="shared" si="1"/>
        <v>1058.7603305785124</v>
      </c>
      <c r="H13" s="22">
        <v>21</v>
      </c>
      <c r="I13" s="21">
        <f t="shared" si="2"/>
        <v>222.3396694214876</v>
      </c>
      <c r="J13" s="21">
        <f t="shared" si="3"/>
        <v>1058.7603305785124</v>
      </c>
      <c r="K13" s="22"/>
      <c r="L13" s="5">
        <f t="shared" si="4"/>
        <v>0</v>
      </c>
      <c r="M13" s="8">
        <v>1281.0999999999999</v>
      </c>
      <c r="N13" s="2" t="s">
        <v>21</v>
      </c>
      <c r="O13" s="3" t="s">
        <v>65</v>
      </c>
      <c r="S13" t="s">
        <v>19</v>
      </c>
    </row>
    <row r="14" spans="1:19" x14ac:dyDescent="0.35">
      <c r="A14" s="24">
        <v>45554</v>
      </c>
      <c r="B14" s="20" t="s">
        <v>128</v>
      </c>
      <c r="C14" s="20"/>
      <c r="D14" s="20" t="s">
        <v>1198</v>
      </c>
      <c r="E14" s="20" t="s">
        <v>2684</v>
      </c>
      <c r="F14" s="21" t="str">
        <f t="shared" si="0"/>
        <v>S/F 51 INSTALATE CALIN HORATIU IELCEAN</v>
      </c>
      <c r="G14" s="12">
        <f t="shared" si="1"/>
        <v>505.60330578512395</v>
      </c>
      <c r="H14" s="22">
        <v>21</v>
      </c>
      <c r="I14" s="21">
        <f t="shared" si="2"/>
        <v>106.17669421487602</v>
      </c>
      <c r="J14" s="21">
        <f t="shared" si="3"/>
        <v>505.60330578512395</v>
      </c>
      <c r="K14" s="22"/>
      <c r="L14" s="5">
        <f t="shared" si="4"/>
        <v>0</v>
      </c>
      <c r="M14" s="8">
        <v>611.78</v>
      </c>
      <c r="N14" s="2" t="s">
        <v>37</v>
      </c>
      <c r="O14" s="3" t="s">
        <v>68</v>
      </c>
      <c r="S14" t="s">
        <v>19</v>
      </c>
    </row>
    <row r="15" spans="1:19" x14ac:dyDescent="0.35">
      <c r="A15" s="24">
        <v>45566</v>
      </c>
      <c r="B15" s="20" t="s">
        <v>2685</v>
      </c>
      <c r="C15" s="20"/>
      <c r="D15" s="20" t="s">
        <v>2686</v>
      </c>
      <c r="E15" s="20" t="s">
        <v>2687</v>
      </c>
      <c r="F15" s="21" t="str">
        <f t="shared" si="0"/>
        <v>S/F AV24000398 GAROTECNIA</v>
      </c>
      <c r="G15" s="12">
        <f t="shared" si="1"/>
        <v>259.7933884297521</v>
      </c>
      <c r="H15" s="22">
        <v>21</v>
      </c>
      <c r="I15" s="21">
        <f t="shared" si="2"/>
        <v>54.556611570247945</v>
      </c>
      <c r="J15" s="21">
        <f t="shared" si="3"/>
        <v>259.7933884297521</v>
      </c>
      <c r="K15" s="22"/>
      <c r="L15" s="5">
        <f t="shared" si="4"/>
        <v>0</v>
      </c>
      <c r="M15" s="8">
        <v>314.35000000000002</v>
      </c>
      <c r="N15" s="2" t="s">
        <v>21</v>
      </c>
      <c r="O15" s="3" t="s">
        <v>68</v>
      </c>
      <c r="S15" t="s">
        <v>19</v>
      </c>
    </row>
    <row r="16" spans="1:19" x14ac:dyDescent="0.35">
      <c r="A16" s="24">
        <v>45583</v>
      </c>
      <c r="B16" s="20" t="s">
        <v>2688</v>
      </c>
      <c r="C16" s="20"/>
      <c r="D16" s="20" t="s">
        <v>85</v>
      </c>
      <c r="E16" s="20" t="s">
        <v>32</v>
      </c>
      <c r="F16" s="21" t="str">
        <f t="shared" si="0"/>
        <v>S/F 20240121 XVENT</v>
      </c>
      <c r="G16" s="12">
        <f t="shared" si="1"/>
        <v>3276.1652892561983</v>
      </c>
      <c r="H16" s="22">
        <v>21</v>
      </c>
      <c r="I16" s="21">
        <f t="shared" si="2"/>
        <v>687.99471074380165</v>
      </c>
      <c r="J16" s="21">
        <f t="shared" si="3"/>
        <v>3276.1652892561983</v>
      </c>
      <c r="K16" s="22"/>
      <c r="L16" s="5">
        <f t="shared" si="4"/>
        <v>0</v>
      </c>
      <c r="M16" s="8">
        <v>3964.16</v>
      </c>
      <c r="N16" s="2" t="s">
        <v>37</v>
      </c>
      <c r="O16" s="3" t="s">
        <v>68</v>
      </c>
      <c r="S16" t="s">
        <v>19</v>
      </c>
    </row>
    <row r="17" spans="1:19" x14ac:dyDescent="0.35">
      <c r="A17" s="24">
        <v>45593</v>
      </c>
      <c r="B17" s="20" t="s">
        <v>2689</v>
      </c>
      <c r="C17" s="20"/>
      <c r="D17" s="20" t="s">
        <v>85</v>
      </c>
      <c r="E17" s="20" t="s">
        <v>32</v>
      </c>
      <c r="F17" s="21" t="str">
        <f t="shared" si="0"/>
        <v>S/F 20240124 XVENT</v>
      </c>
      <c r="G17" s="12">
        <f t="shared" si="1"/>
        <v>2262.0165289256197</v>
      </c>
      <c r="H17" s="22">
        <v>21</v>
      </c>
      <c r="I17" s="21">
        <f t="shared" si="2"/>
        <v>475.02347107438015</v>
      </c>
      <c r="J17" s="21">
        <f t="shared" si="3"/>
        <v>2262.0165289256197</v>
      </c>
      <c r="K17" s="22"/>
      <c r="L17" s="5">
        <f t="shared" si="4"/>
        <v>0</v>
      </c>
      <c r="M17" s="8">
        <v>2737.04</v>
      </c>
      <c r="N17" s="2" t="s">
        <v>37</v>
      </c>
      <c r="O17" s="3" t="s">
        <v>68</v>
      </c>
      <c r="S17" t="s">
        <v>19</v>
      </c>
    </row>
    <row r="18" spans="1:19" x14ac:dyDescent="0.35">
      <c r="A18" s="24">
        <v>45593</v>
      </c>
      <c r="B18" s="20" t="s">
        <v>2690</v>
      </c>
      <c r="C18" s="20"/>
      <c r="D18" s="20" t="s">
        <v>85</v>
      </c>
      <c r="E18" s="20" t="s">
        <v>32</v>
      </c>
      <c r="F18" s="21" t="str">
        <f t="shared" si="0"/>
        <v>S/F 20240125 XVENT</v>
      </c>
      <c r="G18" s="12">
        <f t="shared" si="1"/>
        <v>4076.9338842975208</v>
      </c>
      <c r="H18" s="22">
        <v>21</v>
      </c>
      <c r="I18" s="21">
        <f t="shared" si="2"/>
        <v>856.15611570247927</v>
      </c>
      <c r="J18" s="21">
        <f t="shared" si="3"/>
        <v>4076.9338842975208</v>
      </c>
      <c r="K18" s="22"/>
      <c r="L18" s="5">
        <f t="shared" si="4"/>
        <v>0</v>
      </c>
      <c r="M18" s="8">
        <v>4933.09</v>
      </c>
      <c r="N18" s="2" t="s">
        <v>37</v>
      </c>
      <c r="O18" s="3" t="s">
        <v>68</v>
      </c>
      <c r="S18" t="s">
        <v>19</v>
      </c>
    </row>
    <row r="19" spans="1:19" x14ac:dyDescent="0.35">
      <c r="A19" s="24">
        <v>45580</v>
      </c>
      <c r="B19" s="20" t="s">
        <v>2691</v>
      </c>
      <c r="C19" s="20"/>
      <c r="D19" s="20" t="s">
        <v>254</v>
      </c>
      <c r="E19" s="20" t="s">
        <v>2692</v>
      </c>
      <c r="F19" s="21" t="str">
        <f t="shared" si="0"/>
        <v>S/F 406401234 SUMINSTROS ELECTRICOS BPV VALDEMORO</v>
      </c>
      <c r="G19" s="12">
        <f t="shared" si="1"/>
        <v>35.090909090909093</v>
      </c>
      <c r="H19" s="22">
        <v>21</v>
      </c>
      <c r="I19" s="21">
        <f t="shared" si="2"/>
        <v>7.36909090909091</v>
      </c>
      <c r="J19" s="21">
        <f t="shared" si="3"/>
        <v>35.090909090909093</v>
      </c>
      <c r="K19" s="22"/>
      <c r="L19" s="5">
        <f t="shared" si="4"/>
        <v>0</v>
      </c>
      <c r="M19" s="8">
        <v>42.46</v>
      </c>
      <c r="N19" s="2" t="s">
        <v>21</v>
      </c>
      <c r="O19" s="3" t="s">
        <v>65</v>
      </c>
      <c r="S19" t="s">
        <v>19</v>
      </c>
    </row>
    <row r="20" spans="1:19" x14ac:dyDescent="0.35">
      <c r="A20" s="24">
        <v>45584</v>
      </c>
      <c r="B20" s="20" t="s">
        <v>2693</v>
      </c>
      <c r="C20" s="20"/>
      <c r="D20" s="20" t="s">
        <v>25</v>
      </c>
      <c r="E20" s="20" t="s">
        <v>26</v>
      </c>
      <c r="F20" s="21" t="str">
        <f t="shared" si="0"/>
        <v>S/F 350460 SALTOKI</v>
      </c>
      <c r="G20" s="12">
        <f t="shared" si="1"/>
        <v>598.60330578512389</v>
      </c>
      <c r="H20" s="22">
        <v>21</v>
      </c>
      <c r="I20" s="21">
        <f t="shared" si="2"/>
        <v>125.70669421487602</v>
      </c>
      <c r="J20" s="21">
        <f t="shared" si="3"/>
        <v>598.60330578512389</v>
      </c>
      <c r="K20" s="22"/>
      <c r="L20" s="5">
        <f t="shared" si="4"/>
        <v>0</v>
      </c>
      <c r="M20" s="8">
        <v>724.31</v>
      </c>
      <c r="N20" s="2" t="s">
        <v>21</v>
      </c>
      <c r="O20" s="3" t="s">
        <v>65</v>
      </c>
      <c r="S20" t="s">
        <v>19</v>
      </c>
    </row>
    <row r="21" spans="1:19" x14ac:dyDescent="0.35">
      <c r="A21" s="24">
        <v>45591</v>
      </c>
      <c r="B21" s="20" t="s">
        <v>2694</v>
      </c>
      <c r="C21" s="20"/>
      <c r="D21" s="20" t="s">
        <v>25</v>
      </c>
      <c r="E21" s="20" t="s">
        <v>26</v>
      </c>
      <c r="F21" s="21" t="str">
        <f t="shared" si="0"/>
        <v>S/F 359437 SALTOKI</v>
      </c>
      <c r="G21" s="12">
        <f t="shared" si="1"/>
        <v>826.28925619834706</v>
      </c>
      <c r="H21" s="22">
        <v>21</v>
      </c>
      <c r="I21" s="21">
        <f t="shared" si="2"/>
        <v>173.52074380165288</v>
      </c>
      <c r="J21" s="21">
        <f t="shared" si="3"/>
        <v>826.28925619834706</v>
      </c>
      <c r="K21" s="22"/>
      <c r="L21" s="5">
        <f t="shared" si="4"/>
        <v>0</v>
      </c>
      <c r="M21" s="8">
        <v>999.81</v>
      </c>
      <c r="N21" s="2" t="s">
        <v>21</v>
      </c>
      <c r="O21" s="3" t="s">
        <v>65</v>
      </c>
      <c r="S21" t="s">
        <v>19</v>
      </c>
    </row>
    <row r="22" spans="1:19" x14ac:dyDescent="0.35">
      <c r="A22" s="24">
        <v>45591</v>
      </c>
      <c r="B22" s="20" t="s">
        <v>2695</v>
      </c>
      <c r="C22" s="20"/>
      <c r="D22" s="20" t="s">
        <v>25</v>
      </c>
      <c r="E22" s="20" t="s">
        <v>26</v>
      </c>
      <c r="F22" s="21" t="str">
        <f t="shared" si="0"/>
        <v>S/F 359438 SALTOKI</v>
      </c>
      <c r="G22" s="12">
        <f t="shared" si="1"/>
        <v>395.48760330578517</v>
      </c>
      <c r="H22" s="22">
        <v>21</v>
      </c>
      <c r="I22" s="21">
        <f t="shared" si="2"/>
        <v>83.052396694214892</v>
      </c>
      <c r="J22" s="21">
        <f t="shared" si="3"/>
        <v>395.48760330578517</v>
      </c>
      <c r="K22" s="22"/>
      <c r="L22" s="5">
        <f t="shared" si="4"/>
        <v>0</v>
      </c>
      <c r="M22" s="8">
        <v>478.54</v>
      </c>
      <c r="N22" s="2" t="s">
        <v>21</v>
      </c>
      <c r="O22" s="3" t="s">
        <v>65</v>
      </c>
      <c r="S22" t="s">
        <v>19</v>
      </c>
    </row>
    <row r="23" spans="1:19" x14ac:dyDescent="0.35">
      <c r="A23" s="24">
        <v>45593</v>
      </c>
      <c r="B23" s="20" t="s">
        <v>2696</v>
      </c>
      <c r="C23" s="20"/>
      <c r="D23" s="20" t="s">
        <v>295</v>
      </c>
      <c r="E23" s="20" t="s">
        <v>296</v>
      </c>
      <c r="F23" s="21" t="str">
        <f t="shared" si="0"/>
        <v>S/F 9124025380 PORCELANOSA</v>
      </c>
      <c r="G23" s="12">
        <f t="shared" si="1"/>
        <v>719.51239669421489</v>
      </c>
      <c r="H23" s="22">
        <v>21</v>
      </c>
      <c r="I23" s="21">
        <f t="shared" si="2"/>
        <v>151.09760330578513</v>
      </c>
      <c r="J23" s="21">
        <f t="shared" si="3"/>
        <v>719.51239669421489</v>
      </c>
      <c r="K23" s="22"/>
      <c r="L23" s="5">
        <f t="shared" si="4"/>
        <v>0</v>
      </c>
      <c r="M23" s="8">
        <v>870.61</v>
      </c>
      <c r="N23" s="2" t="s">
        <v>21</v>
      </c>
      <c r="O23" s="3" t="s">
        <v>68</v>
      </c>
      <c r="S23" t="s">
        <v>19</v>
      </c>
    </row>
    <row r="24" spans="1:19" x14ac:dyDescent="0.35">
      <c r="A24" s="24">
        <v>45565</v>
      </c>
      <c r="B24" s="20" t="s">
        <v>2697</v>
      </c>
      <c r="C24" s="20"/>
      <c r="D24" s="20" t="s">
        <v>109</v>
      </c>
      <c r="E24" s="20" t="s">
        <v>42</v>
      </c>
      <c r="F24" s="21" t="str">
        <f t="shared" si="0"/>
        <v>S/F 24116143 DISCESUR</v>
      </c>
      <c r="G24" s="12">
        <f t="shared" si="1"/>
        <v>6912.5702479338834</v>
      </c>
      <c r="H24" s="22">
        <v>21</v>
      </c>
      <c r="I24" s="21">
        <f t="shared" si="2"/>
        <v>1451.6397520661155</v>
      </c>
      <c r="J24" s="21">
        <f t="shared" si="3"/>
        <v>6912.5702479338834</v>
      </c>
      <c r="K24" s="22"/>
      <c r="L24" s="5">
        <f t="shared" si="4"/>
        <v>0</v>
      </c>
      <c r="M24" s="8">
        <v>8364.2099999999991</v>
      </c>
      <c r="N24" s="2" t="s">
        <v>21</v>
      </c>
      <c r="O24" s="3" t="s">
        <v>65</v>
      </c>
      <c r="S24" t="s">
        <v>19</v>
      </c>
    </row>
    <row r="25" spans="1:19" x14ac:dyDescent="0.35">
      <c r="A25" s="24">
        <v>45573</v>
      </c>
      <c r="B25" s="20" t="s">
        <v>2712</v>
      </c>
      <c r="C25" s="20"/>
      <c r="D25" s="20" t="s">
        <v>94</v>
      </c>
      <c r="E25" s="20" t="s">
        <v>139</v>
      </c>
      <c r="F25" s="21" t="str">
        <f t="shared" si="0"/>
        <v>S/F 00002-2024/A0603/00001167 BIGMAT</v>
      </c>
      <c r="G25" s="12">
        <f t="shared" si="1"/>
        <v>56.049586776859499</v>
      </c>
      <c r="H25" s="22">
        <v>21</v>
      </c>
      <c r="I25" s="21">
        <f t="shared" si="2"/>
        <v>11.770413223140494</v>
      </c>
      <c r="J25" s="21">
        <f t="shared" si="3"/>
        <v>56.049586776859499</v>
      </c>
      <c r="K25" s="22"/>
      <c r="L25" s="5">
        <f t="shared" si="4"/>
        <v>0</v>
      </c>
      <c r="M25" s="8">
        <v>67.819999999999993</v>
      </c>
      <c r="N25" s="2" t="s">
        <v>21</v>
      </c>
      <c r="O25" s="3" t="s">
        <v>63</v>
      </c>
      <c r="S25" t="s">
        <v>19</v>
      </c>
    </row>
    <row r="26" spans="1:19" x14ac:dyDescent="0.35">
      <c r="A26" s="24">
        <v>45565</v>
      </c>
      <c r="B26" s="20" t="s">
        <v>2713</v>
      </c>
      <c r="C26" s="20"/>
      <c r="D26" s="20" t="s">
        <v>199</v>
      </c>
      <c r="E26" s="20" t="s">
        <v>1476</v>
      </c>
      <c r="F26" s="21" t="str">
        <f t="shared" si="0"/>
        <v>S/F 245903487 CEMEVISA</v>
      </c>
      <c r="G26" s="12">
        <f t="shared" si="1"/>
        <v>439.52066115702485</v>
      </c>
      <c r="H26" s="22">
        <v>21</v>
      </c>
      <c r="I26" s="21">
        <f t="shared" si="2"/>
        <v>92.299338842975217</v>
      </c>
      <c r="J26" s="21">
        <f t="shared" si="3"/>
        <v>439.52066115702485</v>
      </c>
      <c r="K26" s="22"/>
      <c r="L26" s="5">
        <f t="shared" si="4"/>
        <v>0</v>
      </c>
      <c r="M26" s="8">
        <v>531.82000000000005</v>
      </c>
      <c r="N26" s="2" t="s">
        <v>21</v>
      </c>
      <c r="S26" t="s">
        <v>19</v>
      </c>
    </row>
    <row r="27" spans="1:19" x14ac:dyDescent="0.35">
      <c r="A27" s="24">
        <v>45581</v>
      </c>
      <c r="B27" s="20" t="s">
        <v>2714</v>
      </c>
      <c r="C27" s="20"/>
      <c r="D27" s="20" t="s">
        <v>58</v>
      </c>
      <c r="E27" s="20" t="s">
        <v>2715</v>
      </c>
      <c r="F27" s="21" t="str">
        <f t="shared" si="0"/>
        <v>S/F 007-0010-762983 BRICOLAJE BRICOMAN S.L.U.</v>
      </c>
      <c r="G27" s="12">
        <f t="shared" si="1"/>
        <v>255.05785123966945</v>
      </c>
      <c r="H27" s="22">
        <v>21</v>
      </c>
      <c r="I27" s="21">
        <f t="shared" si="2"/>
        <v>53.562148760330587</v>
      </c>
      <c r="J27" s="21">
        <f t="shared" si="3"/>
        <v>255.05785123966945</v>
      </c>
      <c r="K27" s="22"/>
      <c r="L27" s="5">
        <f t="shared" si="4"/>
        <v>0</v>
      </c>
      <c r="M27" s="8">
        <v>308.62</v>
      </c>
      <c r="N27" s="2" t="s">
        <v>21</v>
      </c>
      <c r="O27" s="3" t="s">
        <v>64</v>
      </c>
      <c r="S27" t="s">
        <v>19</v>
      </c>
    </row>
    <row r="28" spans="1:19" x14ac:dyDescent="0.35">
      <c r="A28" s="24">
        <v>45581</v>
      </c>
      <c r="B28" s="20" t="s">
        <v>2716</v>
      </c>
      <c r="C28" s="20"/>
      <c r="D28" s="20" t="s">
        <v>1147</v>
      </c>
      <c r="E28" s="20" t="s">
        <v>1148</v>
      </c>
      <c r="F28" s="21" t="str">
        <f t="shared" si="0"/>
        <v>S/F 2024FBFN02295717 CARREFOUR</v>
      </c>
      <c r="G28" s="12">
        <f t="shared" si="1"/>
        <v>56.380165289256198</v>
      </c>
      <c r="H28" s="22">
        <v>21</v>
      </c>
      <c r="I28" s="21">
        <f t="shared" si="2"/>
        <v>11.839834710743801</v>
      </c>
      <c r="J28" s="21">
        <f t="shared" si="3"/>
        <v>56.380165289256198</v>
      </c>
      <c r="K28" s="22"/>
      <c r="L28" s="5">
        <f t="shared" si="4"/>
        <v>0</v>
      </c>
      <c r="M28" s="8">
        <v>68.22</v>
      </c>
      <c r="N28" s="2" t="s">
        <v>22</v>
      </c>
      <c r="O28" s="3" t="s">
        <v>64</v>
      </c>
      <c r="S28" t="s">
        <v>19</v>
      </c>
    </row>
    <row r="29" spans="1:19" x14ac:dyDescent="0.35">
      <c r="A29" s="24">
        <v>45581</v>
      </c>
      <c r="B29" s="20" t="s">
        <v>2717</v>
      </c>
      <c r="C29" s="20"/>
      <c r="D29" s="20" t="s">
        <v>58</v>
      </c>
      <c r="E29" s="20" t="s">
        <v>2715</v>
      </c>
      <c r="F29" s="21" t="str">
        <f t="shared" si="0"/>
        <v>S/F 024-0010-496388 BRICOLAJE BRICOMAN S.L.U.</v>
      </c>
      <c r="G29" s="12">
        <f t="shared" si="1"/>
        <v>136.68595041322314</v>
      </c>
      <c r="H29" s="22">
        <v>21</v>
      </c>
      <c r="I29" s="21">
        <f t="shared" si="2"/>
        <v>28.704049586776861</v>
      </c>
      <c r="J29" s="21">
        <f t="shared" si="3"/>
        <v>136.68595041322314</v>
      </c>
      <c r="K29" s="22"/>
      <c r="L29" s="5">
        <f t="shared" si="4"/>
        <v>0</v>
      </c>
      <c r="M29" s="8">
        <v>165.39</v>
      </c>
      <c r="N29" s="2" t="s">
        <v>21</v>
      </c>
      <c r="O29" s="3" t="s">
        <v>64</v>
      </c>
      <c r="S29" t="s">
        <v>19</v>
      </c>
    </row>
    <row r="30" spans="1:19" x14ac:dyDescent="0.35">
      <c r="A30" s="24">
        <v>45571</v>
      </c>
      <c r="B30" s="20" t="s">
        <v>2718</v>
      </c>
      <c r="C30" s="20"/>
      <c r="D30" s="20" t="s">
        <v>2719</v>
      </c>
      <c r="E30" s="20" t="s">
        <v>2720</v>
      </c>
      <c r="F30" s="21" t="str">
        <f t="shared" si="0"/>
        <v>S/F I036-697 SPANPETROL S.L.</v>
      </c>
      <c r="G30" s="12">
        <f t="shared" si="1"/>
        <v>73.066115702479337</v>
      </c>
      <c r="H30" s="22">
        <v>21</v>
      </c>
      <c r="I30" s="21">
        <f t="shared" si="2"/>
        <v>15.34388429752066</v>
      </c>
      <c r="J30" s="21">
        <f t="shared" si="3"/>
        <v>73.066115702479337</v>
      </c>
      <c r="K30" s="22"/>
      <c r="L30" s="5">
        <f t="shared" si="4"/>
        <v>0</v>
      </c>
      <c r="M30" s="8">
        <v>88.41</v>
      </c>
      <c r="N30" s="2" t="s">
        <v>21</v>
      </c>
      <c r="O30" s="3" t="s">
        <v>64</v>
      </c>
      <c r="S30" t="s">
        <v>19</v>
      </c>
    </row>
    <row r="31" spans="1:19" x14ac:dyDescent="0.35">
      <c r="A31" s="24">
        <v>45575</v>
      </c>
      <c r="B31" s="20" t="s">
        <v>2721</v>
      </c>
      <c r="C31" s="20"/>
      <c r="D31" s="20" t="s">
        <v>58</v>
      </c>
      <c r="E31" s="20" t="s">
        <v>2715</v>
      </c>
      <c r="F31" s="21" t="str">
        <f t="shared" si="0"/>
        <v>S/F 024-0010-483944 BRICOLAJE BRICOMAN S.L.U.</v>
      </c>
      <c r="G31" s="12">
        <f t="shared" si="1"/>
        <v>28.84297520661157</v>
      </c>
      <c r="H31" s="22">
        <v>21</v>
      </c>
      <c r="I31" s="21">
        <f t="shared" si="2"/>
        <v>6.0570247933884298</v>
      </c>
      <c r="J31" s="21">
        <f t="shared" si="3"/>
        <v>28.84297520661157</v>
      </c>
      <c r="K31" s="22"/>
      <c r="L31" s="5">
        <f t="shared" si="4"/>
        <v>0</v>
      </c>
      <c r="M31" s="8">
        <v>34.9</v>
      </c>
      <c r="N31" s="2" t="s">
        <v>21</v>
      </c>
      <c r="O31" s="3" t="s">
        <v>64</v>
      </c>
      <c r="S31" t="s">
        <v>19</v>
      </c>
    </row>
    <row r="32" spans="1:19" x14ac:dyDescent="0.35">
      <c r="A32" s="24">
        <v>45582</v>
      </c>
      <c r="B32" s="20" t="s">
        <v>2722</v>
      </c>
      <c r="C32" s="20"/>
      <c r="D32" s="20" t="s">
        <v>58</v>
      </c>
      <c r="E32" s="20" t="s">
        <v>2715</v>
      </c>
      <c r="F32" s="21" t="str">
        <f t="shared" si="0"/>
        <v>S/F 007-0010-764550 BRICOLAJE BRICOMAN S.L.U.</v>
      </c>
      <c r="G32" s="12">
        <f t="shared" si="1"/>
        <v>42.603305785123965</v>
      </c>
      <c r="H32" s="22">
        <v>21</v>
      </c>
      <c r="I32" s="21">
        <f t="shared" si="2"/>
        <v>8.9466942148760324</v>
      </c>
      <c r="J32" s="21">
        <f t="shared" si="3"/>
        <v>42.603305785123965</v>
      </c>
      <c r="K32" s="22"/>
      <c r="L32" s="5">
        <f t="shared" si="4"/>
        <v>0</v>
      </c>
      <c r="M32" s="8">
        <v>51.55</v>
      </c>
      <c r="N32" s="2" t="s">
        <v>21</v>
      </c>
      <c r="O32" s="3" t="s">
        <v>64</v>
      </c>
      <c r="S32" t="s">
        <v>19</v>
      </c>
    </row>
    <row r="33" spans="1:19" x14ac:dyDescent="0.35">
      <c r="A33" s="24">
        <v>45580</v>
      </c>
      <c r="B33" s="20" t="s">
        <v>2723</v>
      </c>
      <c r="C33" s="20"/>
      <c r="D33" s="20" t="s">
        <v>1497</v>
      </c>
      <c r="E33" s="20" t="s">
        <v>2216</v>
      </c>
      <c r="F33" s="21" t="str">
        <f t="shared" si="0"/>
        <v>S/F 33410 ITV SESEÑA</v>
      </c>
      <c r="G33" s="12">
        <v>103.11</v>
      </c>
      <c r="H33" s="22">
        <v>21</v>
      </c>
      <c r="I33" s="21">
        <f t="shared" si="2"/>
        <v>21.653099999999998</v>
      </c>
      <c r="J33" s="21">
        <f t="shared" si="3"/>
        <v>103.11</v>
      </c>
      <c r="K33" s="22"/>
      <c r="L33" s="5">
        <f t="shared" si="4"/>
        <v>0</v>
      </c>
      <c r="M33" s="8">
        <v>125.8</v>
      </c>
      <c r="N33" s="2" t="s">
        <v>106</v>
      </c>
      <c r="O33" s="3" t="s">
        <v>64</v>
      </c>
      <c r="S33" t="s">
        <v>19</v>
      </c>
    </row>
    <row r="34" spans="1:19" x14ac:dyDescent="0.35">
      <c r="A34" s="24">
        <v>45579</v>
      </c>
      <c r="B34" s="20" t="s">
        <v>2724</v>
      </c>
      <c r="C34" s="20"/>
      <c r="D34" s="20" t="s">
        <v>1334</v>
      </c>
      <c r="E34" s="20" t="s">
        <v>2725</v>
      </c>
      <c r="F34" s="21" t="str">
        <f t="shared" si="0"/>
        <v>S/F 432708196 GUARDEÑO SUMINISTROS ELECTRICOS</v>
      </c>
      <c r="G34" s="12">
        <f t="shared" si="1"/>
        <v>35.801652892561982</v>
      </c>
      <c r="H34" s="22">
        <v>21</v>
      </c>
      <c r="I34" s="21">
        <f t="shared" si="2"/>
        <v>7.518347107438017</v>
      </c>
      <c r="J34" s="21">
        <f t="shared" si="3"/>
        <v>35.801652892561982</v>
      </c>
      <c r="K34" s="22"/>
      <c r="L34" s="5">
        <f t="shared" si="4"/>
        <v>0</v>
      </c>
      <c r="M34" s="8">
        <v>43.32</v>
      </c>
      <c r="N34" s="2" t="s">
        <v>21</v>
      </c>
      <c r="O34" s="3" t="s">
        <v>64</v>
      </c>
      <c r="S34" t="s">
        <v>19</v>
      </c>
    </row>
    <row r="35" spans="1:19" x14ac:dyDescent="0.35">
      <c r="A35" s="24">
        <v>45580</v>
      </c>
      <c r="B35" s="20" t="s">
        <v>2726</v>
      </c>
      <c r="C35" s="20"/>
      <c r="D35" s="20" t="s">
        <v>1334</v>
      </c>
      <c r="E35" s="20" t="s">
        <v>2725</v>
      </c>
      <c r="F35" s="21" t="str">
        <f t="shared" si="0"/>
        <v>S/F 432708277 GUARDEÑO SUMINISTROS ELECTRICOS</v>
      </c>
      <c r="G35" s="12">
        <f t="shared" si="1"/>
        <v>454.01652892561987</v>
      </c>
      <c r="H35" s="22">
        <v>21</v>
      </c>
      <c r="I35" s="21">
        <f t="shared" si="2"/>
        <v>95.343471074380176</v>
      </c>
      <c r="J35" s="21">
        <f t="shared" si="3"/>
        <v>454.01652892561987</v>
      </c>
      <c r="K35" s="22"/>
      <c r="L35" s="5">
        <f t="shared" si="4"/>
        <v>0</v>
      </c>
      <c r="M35" s="8">
        <v>549.36</v>
      </c>
      <c r="N35" s="2" t="s">
        <v>21</v>
      </c>
      <c r="O35" s="3" t="s">
        <v>64</v>
      </c>
      <c r="S35" t="s">
        <v>19</v>
      </c>
    </row>
    <row r="36" spans="1:19" x14ac:dyDescent="0.35">
      <c r="A36" s="24">
        <v>45510</v>
      </c>
      <c r="B36" s="20" t="s">
        <v>2727</v>
      </c>
      <c r="C36" s="20"/>
      <c r="D36" s="20" t="s">
        <v>29</v>
      </c>
      <c r="E36" s="20" t="s">
        <v>76</v>
      </c>
      <c r="F36" s="21" t="str">
        <f t="shared" si="0"/>
        <v>S/F 5477202460097805 COSTCO</v>
      </c>
      <c r="G36" s="12">
        <v>58.86</v>
      </c>
      <c r="H36" s="22">
        <v>10</v>
      </c>
      <c r="I36" s="21">
        <f t="shared" si="2"/>
        <v>5.8860000000000001</v>
      </c>
      <c r="J36" s="21">
        <v>8.26</v>
      </c>
      <c r="K36" s="21">
        <v>21</v>
      </c>
      <c r="L36" s="5">
        <f t="shared" si="4"/>
        <v>1.7346000000000001</v>
      </c>
      <c r="M36" s="8">
        <v>82.7</v>
      </c>
      <c r="O36" s="3" t="s">
        <v>63</v>
      </c>
      <c r="S36" t="s">
        <v>19</v>
      </c>
    </row>
    <row r="37" spans="1:19" x14ac:dyDescent="0.35">
      <c r="A37" s="24">
        <v>45574</v>
      </c>
      <c r="B37" s="20" t="s">
        <v>2728</v>
      </c>
      <c r="C37" s="20"/>
      <c r="D37" s="20" t="s">
        <v>255</v>
      </c>
      <c r="E37" s="20" t="s">
        <v>2729</v>
      </c>
      <c r="F37" s="21" t="str">
        <f t="shared" si="0"/>
        <v>S/F ES0022S2419682 GROPUE SEB IBERIA SA</v>
      </c>
      <c r="G37" s="12">
        <f t="shared" si="1"/>
        <v>263.38842975206609</v>
      </c>
      <c r="H37" s="22">
        <v>21</v>
      </c>
      <c r="I37" s="21">
        <f t="shared" si="2"/>
        <v>55.311570247933879</v>
      </c>
      <c r="J37" s="21">
        <f t="shared" si="3"/>
        <v>263.38842975206609</v>
      </c>
      <c r="K37" s="22"/>
      <c r="L37" s="5">
        <f t="shared" si="4"/>
        <v>0</v>
      </c>
      <c r="M37" s="8">
        <v>318.7</v>
      </c>
      <c r="N37" s="2" t="s">
        <v>61</v>
      </c>
      <c r="O37" s="3" t="s">
        <v>63</v>
      </c>
      <c r="S37" t="s">
        <v>19</v>
      </c>
    </row>
    <row r="38" spans="1:19" x14ac:dyDescent="0.35">
      <c r="A38" s="24">
        <v>45573</v>
      </c>
      <c r="B38" s="20" t="s">
        <v>2730</v>
      </c>
      <c r="C38" s="20"/>
      <c r="D38" s="20" t="s">
        <v>255</v>
      </c>
      <c r="E38" s="20" t="s">
        <v>2729</v>
      </c>
      <c r="F38" s="21" t="str">
        <f t="shared" si="0"/>
        <v>S/F ES0022S2419622 GROPUE SEB IBERIA SA</v>
      </c>
      <c r="G38" s="12">
        <f t="shared" si="1"/>
        <v>84.504132231404967</v>
      </c>
      <c r="H38" s="22">
        <v>21</v>
      </c>
      <c r="I38" s="21">
        <f t="shared" si="2"/>
        <v>17.745867768595041</v>
      </c>
      <c r="J38" s="21">
        <f t="shared" si="3"/>
        <v>84.504132231404967</v>
      </c>
      <c r="K38" s="22"/>
      <c r="L38" s="5">
        <f t="shared" si="4"/>
        <v>0</v>
      </c>
      <c r="M38" s="8">
        <v>102.25</v>
      </c>
      <c r="N38" s="2" t="s">
        <v>61</v>
      </c>
      <c r="O38" s="3" t="s">
        <v>63</v>
      </c>
      <c r="S38" t="s">
        <v>19</v>
      </c>
    </row>
    <row r="39" spans="1:19" x14ac:dyDescent="0.35">
      <c r="A39" s="24">
        <v>45562</v>
      </c>
      <c r="B39" s="20" t="s">
        <v>2731</v>
      </c>
      <c r="C39" s="20"/>
      <c r="D39" s="20" t="s">
        <v>57</v>
      </c>
      <c r="E39" s="20" t="s">
        <v>44</v>
      </c>
      <c r="F39" s="21" t="str">
        <f t="shared" si="0"/>
        <v>S/F 045-0009-430282 LEROY MERLIN</v>
      </c>
      <c r="G39" s="12">
        <f t="shared" si="1"/>
        <v>117.28099173553719</v>
      </c>
      <c r="H39" s="22">
        <v>21</v>
      </c>
      <c r="I39" s="21">
        <f t="shared" si="2"/>
        <v>24.629008264462808</v>
      </c>
      <c r="J39" s="21">
        <f t="shared" si="3"/>
        <v>117.28099173553719</v>
      </c>
      <c r="K39" s="22"/>
      <c r="L39" s="5">
        <f t="shared" si="4"/>
        <v>0</v>
      </c>
      <c r="M39" s="8">
        <v>141.91</v>
      </c>
      <c r="N39" s="2" t="s">
        <v>21</v>
      </c>
      <c r="O39" s="3" t="s">
        <v>63</v>
      </c>
      <c r="S39" t="s">
        <v>19</v>
      </c>
    </row>
    <row r="40" spans="1:19" x14ac:dyDescent="0.35">
      <c r="A40" s="24">
        <v>45559</v>
      </c>
      <c r="B40" s="20" t="s">
        <v>2732</v>
      </c>
      <c r="C40" s="20"/>
      <c r="D40" s="20" t="s">
        <v>35</v>
      </c>
      <c r="E40" s="20" t="s">
        <v>2222</v>
      </c>
      <c r="F40" s="21" t="str">
        <f t="shared" si="0"/>
        <v>S/F 0240012365 PINTODIS</v>
      </c>
      <c r="G40" s="12">
        <f t="shared" si="1"/>
        <v>41.801652892561982</v>
      </c>
      <c r="H40" s="22">
        <v>21</v>
      </c>
      <c r="I40" s="21">
        <f t="shared" si="2"/>
        <v>8.7783471074380159</v>
      </c>
      <c r="J40" s="21">
        <f t="shared" si="3"/>
        <v>41.801652892561982</v>
      </c>
      <c r="K40" s="22"/>
      <c r="L40" s="5">
        <f t="shared" si="4"/>
        <v>0</v>
      </c>
      <c r="M40" s="8">
        <v>50.58</v>
      </c>
      <c r="N40" s="2" t="s">
        <v>22</v>
      </c>
      <c r="O40" s="3" t="s">
        <v>64</v>
      </c>
      <c r="S40" t="s">
        <v>19</v>
      </c>
    </row>
    <row r="41" spans="1:19" x14ac:dyDescent="0.35">
      <c r="A41" s="24">
        <v>45488</v>
      </c>
      <c r="B41" s="20" t="s">
        <v>2733</v>
      </c>
      <c r="C41" s="20"/>
      <c r="D41" s="20" t="s">
        <v>170</v>
      </c>
      <c r="E41" s="20" t="s">
        <v>171</v>
      </c>
      <c r="F41" s="21" t="str">
        <f t="shared" si="0"/>
        <v>S/F E19T/185758 MOTOCARD</v>
      </c>
      <c r="G41" s="12">
        <f t="shared" si="1"/>
        <v>266.95867768595042</v>
      </c>
      <c r="H41" s="22">
        <v>21</v>
      </c>
      <c r="I41" s="21">
        <f t="shared" si="2"/>
        <v>56.061322314049583</v>
      </c>
      <c r="J41" s="21">
        <f t="shared" si="3"/>
        <v>266.95867768595042</v>
      </c>
      <c r="K41" s="22"/>
      <c r="L41" s="5">
        <f t="shared" si="4"/>
        <v>0</v>
      </c>
      <c r="M41" s="8">
        <v>323.02</v>
      </c>
      <c r="N41" s="2" t="s">
        <v>21</v>
      </c>
      <c r="O41" s="3" t="s">
        <v>63</v>
      </c>
      <c r="S41" t="s">
        <v>19</v>
      </c>
    </row>
    <row r="42" spans="1:19" x14ac:dyDescent="0.35">
      <c r="A42" s="24">
        <v>45465</v>
      </c>
      <c r="B42" s="20" t="s">
        <v>2734</v>
      </c>
      <c r="C42" s="20"/>
      <c r="D42" s="20" t="s">
        <v>2735</v>
      </c>
      <c r="E42" s="20" t="s">
        <v>2736</v>
      </c>
      <c r="F42" s="21" t="str">
        <f t="shared" si="0"/>
        <v>S/F T001/57793 BENARES MADRID</v>
      </c>
      <c r="G42" s="12">
        <f t="shared" si="1"/>
        <v>130</v>
      </c>
      <c r="H42" s="22">
        <v>10</v>
      </c>
      <c r="I42" s="21">
        <f t="shared" si="2"/>
        <v>13</v>
      </c>
      <c r="J42" s="21">
        <f t="shared" si="3"/>
        <v>130</v>
      </c>
      <c r="K42" s="22"/>
      <c r="L42" s="5">
        <f t="shared" si="4"/>
        <v>0</v>
      </c>
      <c r="M42" s="8">
        <v>143</v>
      </c>
      <c r="N42" s="2" t="s">
        <v>28</v>
      </c>
      <c r="O42" s="3" t="s">
        <v>63</v>
      </c>
      <c r="S42" t="s">
        <v>19</v>
      </c>
    </row>
    <row r="43" spans="1:19" x14ac:dyDescent="0.35">
      <c r="A43" s="24">
        <v>45477</v>
      </c>
      <c r="B43" s="20" t="s">
        <v>2737</v>
      </c>
      <c r="C43" s="20"/>
      <c r="D43" s="20" t="s">
        <v>30</v>
      </c>
      <c r="E43" s="20" t="s">
        <v>2738</v>
      </c>
      <c r="F43" s="21" t="str">
        <f t="shared" si="0"/>
        <v>S/F 24FP001297 E.S. OLIVAR ALTO AGROPIEDRA</v>
      </c>
      <c r="G43" s="12">
        <f t="shared" si="1"/>
        <v>63.727272727272727</v>
      </c>
      <c r="H43" s="22">
        <v>21</v>
      </c>
      <c r="I43" s="21">
        <f t="shared" si="2"/>
        <v>13.382727272727273</v>
      </c>
      <c r="J43" s="21">
        <f t="shared" si="3"/>
        <v>63.727272727272727</v>
      </c>
      <c r="K43" s="22"/>
      <c r="L43" s="5">
        <f t="shared" si="4"/>
        <v>0</v>
      </c>
      <c r="M43" s="8">
        <v>77.11</v>
      </c>
      <c r="N43" s="2" t="s">
        <v>22</v>
      </c>
      <c r="O43" s="3" t="s">
        <v>64</v>
      </c>
      <c r="S43" t="s">
        <v>19</v>
      </c>
    </row>
    <row r="44" spans="1:19" x14ac:dyDescent="0.35">
      <c r="A44" s="24">
        <v>45578</v>
      </c>
      <c r="B44" s="20" t="s">
        <v>2739</v>
      </c>
      <c r="C44" s="20"/>
      <c r="D44" s="20" t="s">
        <v>773</v>
      </c>
      <c r="E44" s="20" t="s">
        <v>774</v>
      </c>
      <c r="F44" s="21" t="str">
        <f t="shared" si="0"/>
        <v>S/F 249001379382 PETROPRIX</v>
      </c>
      <c r="G44" s="12">
        <f t="shared" si="1"/>
        <v>24.793388429752067</v>
      </c>
      <c r="H44" s="22">
        <v>21</v>
      </c>
      <c r="I44" s="21">
        <f>G44*H44/100</f>
        <v>5.2066115702479339</v>
      </c>
      <c r="J44" s="21">
        <f t="shared" si="3"/>
        <v>24.793388429752067</v>
      </c>
      <c r="K44" s="22"/>
      <c r="L44" s="5">
        <f t="shared" si="4"/>
        <v>0</v>
      </c>
      <c r="M44" s="8">
        <v>30</v>
      </c>
      <c r="N44" s="2" t="s">
        <v>22</v>
      </c>
      <c r="O44" s="3" t="s">
        <v>64</v>
      </c>
      <c r="S44" t="s">
        <v>19</v>
      </c>
    </row>
    <row r="45" spans="1:19" x14ac:dyDescent="0.35">
      <c r="A45" s="24">
        <v>45579</v>
      </c>
      <c r="B45" s="20" t="s">
        <v>2740</v>
      </c>
      <c r="C45" s="20"/>
      <c r="D45" s="20" t="s">
        <v>2741</v>
      </c>
      <c r="E45" s="20" t="s">
        <v>2742</v>
      </c>
      <c r="F45" s="21" t="str">
        <f t="shared" si="0"/>
        <v>S/F 41424F1000008359 ADENOR ENERGY SA</v>
      </c>
      <c r="G45" s="12">
        <f t="shared" si="1"/>
        <v>69.760330578512395</v>
      </c>
      <c r="H45" s="22">
        <v>21</v>
      </c>
      <c r="I45" s="21">
        <f>G45*H45/100</f>
        <v>14.649669421487603</v>
      </c>
      <c r="J45" s="21">
        <f t="shared" si="3"/>
        <v>69.760330578512395</v>
      </c>
      <c r="K45" s="22"/>
      <c r="L45" s="5">
        <f t="shared" si="4"/>
        <v>0</v>
      </c>
      <c r="M45" s="8">
        <v>84.41</v>
      </c>
      <c r="N45" s="2" t="s">
        <v>22</v>
      </c>
      <c r="O45" s="3" t="s">
        <v>64</v>
      </c>
      <c r="S45" t="s">
        <v>19</v>
      </c>
    </row>
    <row r="46" spans="1:19" x14ac:dyDescent="0.35">
      <c r="A46" s="24">
        <v>45569</v>
      </c>
      <c r="B46" s="20" t="s">
        <v>2743</v>
      </c>
      <c r="C46" s="20"/>
      <c r="D46" s="20" t="s">
        <v>29</v>
      </c>
      <c r="E46" s="20" t="s">
        <v>76</v>
      </c>
      <c r="F46" s="21" t="str">
        <f t="shared" si="0"/>
        <v>S/F 5477-2024-00571051 COSTCO</v>
      </c>
      <c r="G46" s="12">
        <f t="shared" si="1"/>
        <v>58.305785123966942</v>
      </c>
      <c r="H46" s="22">
        <v>21</v>
      </c>
      <c r="I46" s="21">
        <f>G46*H46/100</f>
        <v>12.244214876033059</v>
      </c>
      <c r="J46" s="21">
        <f t="shared" si="3"/>
        <v>58.305785123966942</v>
      </c>
      <c r="K46" s="22"/>
      <c r="L46" s="5">
        <f t="shared" si="4"/>
        <v>0</v>
      </c>
      <c r="M46" s="8">
        <v>70.55</v>
      </c>
      <c r="N46" s="2" t="s">
        <v>22</v>
      </c>
      <c r="O46" s="3" t="s">
        <v>63</v>
      </c>
      <c r="S46" t="s">
        <v>19</v>
      </c>
    </row>
    <row r="47" spans="1:19" x14ac:dyDescent="0.35">
      <c r="A47" s="24">
        <v>45601</v>
      </c>
      <c r="B47" s="20" t="s">
        <v>2744</v>
      </c>
      <c r="C47" s="20"/>
      <c r="D47" s="20" t="s">
        <v>1832</v>
      </c>
      <c r="E47" s="20" t="s">
        <v>1833</v>
      </c>
      <c r="F47" s="21" t="str">
        <f t="shared" si="0"/>
        <v>S/F 2240 PREVINTEGRA</v>
      </c>
      <c r="G47" s="12">
        <f t="shared" si="1"/>
        <v>200</v>
      </c>
      <c r="H47" s="22">
        <v>21</v>
      </c>
      <c r="I47" s="21">
        <f t="shared" si="2"/>
        <v>42</v>
      </c>
      <c r="J47" s="21">
        <f t="shared" si="3"/>
        <v>200</v>
      </c>
      <c r="K47" s="22"/>
      <c r="L47" s="5">
        <f t="shared" si="4"/>
        <v>0</v>
      </c>
      <c r="M47" s="8">
        <v>242</v>
      </c>
      <c r="N47" s="2" t="s">
        <v>239</v>
      </c>
      <c r="O47" s="3" t="s">
        <v>65</v>
      </c>
      <c r="S47" t="s">
        <v>19</v>
      </c>
    </row>
    <row r="48" spans="1:19" x14ac:dyDescent="0.35">
      <c r="A48" s="24">
        <v>45577</v>
      </c>
      <c r="B48" s="20" t="s">
        <v>2745</v>
      </c>
      <c r="C48" s="20"/>
      <c r="D48" s="20" t="s">
        <v>29</v>
      </c>
      <c r="E48" s="20" t="s">
        <v>76</v>
      </c>
      <c r="F48" s="21" t="str">
        <f t="shared" si="0"/>
        <v>S/F 5477202400064763 COSTCO</v>
      </c>
      <c r="G48" s="12">
        <f t="shared" si="1"/>
        <v>231.38842975206614</v>
      </c>
      <c r="H48" s="22">
        <v>21</v>
      </c>
      <c r="I48" s="21">
        <f t="shared" si="2"/>
        <v>48.591570247933888</v>
      </c>
      <c r="J48" s="21">
        <f t="shared" si="3"/>
        <v>231.38842975206614</v>
      </c>
      <c r="K48" s="22"/>
      <c r="L48" s="5">
        <f t="shared" si="4"/>
        <v>0</v>
      </c>
      <c r="M48" s="8">
        <v>279.98</v>
      </c>
      <c r="N48" s="2" t="s">
        <v>21</v>
      </c>
      <c r="O48" s="3" t="s">
        <v>63</v>
      </c>
      <c r="S48" t="s">
        <v>19</v>
      </c>
    </row>
    <row r="49" spans="1:19" x14ac:dyDescent="0.35">
      <c r="A49" s="24">
        <v>45577</v>
      </c>
      <c r="B49" s="20" t="s">
        <v>2746</v>
      </c>
      <c r="C49" s="20"/>
      <c r="D49" s="20" t="s">
        <v>29</v>
      </c>
      <c r="E49" s="20" t="s">
        <v>76</v>
      </c>
      <c r="F49" s="21" t="str">
        <f t="shared" si="0"/>
        <v>S/F 5477202400064764 COSTCO</v>
      </c>
      <c r="G49" s="12">
        <v>59.47</v>
      </c>
      <c r="H49" s="22">
        <v>21</v>
      </c>
      <c r="I49" s="21">
        <f t="shared" si="2"/>
        <v>12.4887</v>
      </c>
      <c r="J49" s="21">
        <v>8.17</v>
      </c>
      <c r="K49" s="21">
        <v>10</v>
      </c>
      <c r="L49" s="5">
        <f t="shared" si="4"/>
        <v>0.81700000000000006</v>
      </c>
      <c r="M49" s="8">
        <v>107.93</v>
      </c>
      <c r="N49" s="2" t="s">
        <v>21</v>
      </c>
      <c r="O49" s="3" t="s">
        <v>63</v>
      </c>
      <c r="S49" t="s">
        <v>19</v>
      </c>
    </row>
    <row r="50" spans="1:19" x14ac:dyDescent="0.35">
      <c r="A50" s="24">
        <v>45586</v>
      </c>
      <c r="B50" s="20" t="s">
        <v>2747</v>
      </c>
      <c r="C50" s="20"/>
      <c r="D50" s="20" t="s">
        <v>58</v>
      </c>
      <c r="E50" s="20" t="s">
        <v>2715</v>
      </c>
      <c r="F50" s="21" t="str">
        <f t="shared" si="0"/>
        <v>S/F 012-0010-458828 BRICOLAJE BRICOMAN S.L.U.</v>
      </c>
      <c r="G50" s="12">
        <f t="shared" si="1"/>
        <v>9.5537190082644639</v>
      </c>
      <c r="H50" s="22">
        <v>21</v>
      </c>
      <c r="I50" s="21">
        <f t="shared" si="2"/>
        <v>2.0062809917355375</v>
      </c>
      <c r="J50" s="21">
        <f t="shared" si="3"/>
        <v>9.5537190082644639</v>
      </c>
      <c r="K50" s="22"/>
      <c r="L50" s="5">
        <f t="shared" si="4"/>
        <v>0</v>
      </c>
      <c r="M50" s="8">
        <v>11.56</v>
      </c>
      <c r="N50" s="2" t="s">
        <v>21</v>
      </c>
      <c r="O50" s="3" t="s">
        <v>63</v>
      </c>
      <c r="S50" t="s">
        <v>19</v>
      </c>
    </row>
    <row r="51" spans="1:19" x14ac:dyDescent="0.35">
      <c r="A51" s="24">
        <v>45600</v>
      </c>
      <c r="B51" s="20" t="s">
        <v>2752</v>
      </c>
      <c r="C51" s="20"/>
      <c r="D51" s="20" t="s">
        <v>72</v>
      </c>
      <c r="E51" s="20" t="s">
        <v>73</v>
      </c>
      <c r="F51" s="21" t="str">
        <f t="shared" si="0"/>
        <v>S/F 47/2024 COSTEL DINCU</v>
      </c>
      <c r="G51" s="12">
        <f t="shared" si="1"/>
        <v>2615</v>
      </c>
      <c r="H51" s="22">
        <v>21</v>
      </c>
      <c r="I51" s="21">
        <f t="shared" si="2"/>
        <v>549.15</v>
      </c>
      <c r="J51" s="21">
        <f t="shared" si="3"/>
        <v>2615</v>
      </c>
      <c r="K51" s="22"/>
      <c r="L51" s="5">
        <f t="shared" si="4"/>
        <v>0</v>
      </c>
      <c r="M51" s="8">
        <v>3164.15</v>
      </c>
      <c r="N51" s="2" t="s">
        <v>37</v>
      </c>
      <c r="O51" s="3" t="s">
        <v>68</v>
      </c>
      <c r="S51" t="s">
        <v>19</v>
      </c>
    </row>
    <row r="52" spans="1:19" x14ac:dyDescent="0.35">
      <c r="A52" s="24">
        <v>45596</v>
      </c>
      <c r="B52" s="20" t="s">
        <v>2753</v>
      </c>
      <c r="C52" s="20"/>
      <c r="D52" s="20" t="s">
        <v>2754</v>
      </c>
      <c r="E52" s="20" t="s">
        <v>2755</v>
      </c>
      <c r="F52" s="21" t="str">
        <f t="shared" si="0"/>
        <v>S/F L/24/00149771 SOLRED</v>
      </c>
      <c r="G52" s="12">
        <f t="shared" si="1"/>
        <v>124.91735537190084</v>
      </c>
      <c r="H52" s="22">
        <v>21</v>
      </c>
      <c r="I52" s="21">
        <f t="shared" si="2"/>
        <v>26.23264462809918</v>
      </c>
      <c r="J52" s="21">
        <f t="shared" si="3"/>
        <v>124.91735537190084</v>
      </c>
      <c r="K52" s="22"/>
      <c r="L52" s="5">
        <f t="shared" si="4"/>
        <v>0</v>
      </c>
      <c r="M52" s="8">
        <v>151.15</v>
      </c>
      <c r="N52" s="2" t="s">
        <v>22</v>
      </c>
      <c r="S52" t="s">
        <v>19</v>
      </c>
    </row>
    <row r="53" spans="1:19" x14ac:dyDescent="0.35">
      <c r="A53" s="24">
        <v>45596</v>
      </c>
      <c r="B53" s="20" t="s">
        <v>2756</v>
      </c>
      <c r="C53" s="20"/>
      <c r="D53" s="20" t="s">
        <v>30</v>
      </c>
      <c r="E53" s="20" t="s">
        <v>2757</v>
      </c>
      <c r="F53" s="21" t="str">
        <f t="shared" si="0"/>
        <v>S/F 24FO001643 OLIVAR ALTO AGROPIEDRA</v>
      </c>
      <c r="G53" s="12">
        <f t="shared" si="1"/>
        <v>73.933884297520663</v>
      </c>
      <c r="H53" s="22">
        <v>21</v>
      </c>
      <c r="I53" s="21">
        <f t="shared" si="2"/>
        <v>15.526115702479339</v>
      </c>
      <c r="J53" s="21">
        <f t="shared" si="3"/>
        <v>73.933884297520663</v>
      </c>
      <c r="K53" s="22"/>
      <c r="L53" s="5">
        <f t="shared" si="4"/>
        <v>0</v>
      </c>
      <c r="M53" s="8">
        <v>89.46</v>
      </c>
      <c r="N53" s="2" t="s">
        <v>22</v>
      </c>
      <c r="S53" t="s">
        <v>19</v>
      </c>
    </row>
    <row r="54" spans="1:19" x14ac:dyDescent="0.35">
      <c r="A54" s="24">
        <v>45596</v>
      </c>
      <c r="B54" s="20" t="s">
        <v>2758</v>
      </c>
      <c r="C54" s="20"/>
      <c r="D54" s="20" t="s">
        <v>200</v>
      </c>
      <c r="E54" s="20" t="s">
        <v>186</v>
      </c>
      <c r="F54" s="21" t="str">
        <f t="shared" si="0"/>
        <v>S/F 0125657 I.D.F. SUMINISTROS INDUSTRIALES</v>
      </c>
      <c r="G54" s="12">
        <f t="shared" si="1"/>
        <v>178</v>
      </c>
      <c r="H54" s="22">
        <v>21</v>
      </c>
      <c r="I54" s="21">
        <f t="shared" si="2"/>
        <v>37.380000000000003</v>
      </c>
      <c r="J54" s="21">
        <f t="shared" si="3"/>
        <v>178</v>
      </c>
      <c r="K54" s="22"/>
      <c r="L54" s="5">
        <f t="shared" si="4"/>
        <v>0</v>
      </c>
      <c r="M54" s="8">
        <v>215.38</v>
      </c>
      <c r="N54" s="2" t="s">
        <v>236</v>
      </c>
      <c r="O54" s="3" t="s">
        <v>65</v>
      </c>
      <c r="S54" t="s">
        <v>19</v>
      </c>
    </row>
    <row r="55" spans="1:19" x14ac:dyDescent="0.35">
      <c r="A55" s="24">
        <v>45600</v>
      </c>
      <c r="B55" s="20" t="s">
        <v>2759</v>
      </c>
      <c r="C55" s="20"/>
      <c r="D55" s="20" t="s">
        <v>27</v>
      </c>
      <c r="E55" s="20" t="s">
        <v>301</v>
      </c>
      <c r="F55" s="21" t="str">
        <f t="shared" si="0"/>
        <v xml:space="preserve">S/F 2024/000512 PADRISA </v>
      </c>
      <c r="G55" s="12">
        <f t="shared" si="1"/>
        <v>619.27272727272737</v>
      </c>
      <c r="H55" s="22">
        <v>21</v>
      </c>
      <c r="I55" s="21">
        <f t="shared" si="2"/>
        <v>130.04727272727274</v>
      </c>
      <c r="J55" s="21">
        <f t="shared" si="3"/>
        <v>619.27272727272737</v>
      </c>
      <c r="K55" s="22"/>
      <c r="L55" s="5">
        <f t="shared" si="4"/>
        <v>0</v>
      </c>
      <c r="M55" s="8">
        <v>749.32</v>
      </c>
      <c r="N55" s="2" t="s">
        <v>53</v>
      </c>
      <c r="O55" s="3" t="s">
        <v>68</v>
      </c>
      <c r="S55" t="s">
        <v>19</v>
      </c>
    </row>
    <row r="56" spans="1:19" x14ac:dyDescent="0.35">
      <c r="A56" s="24">
        <v>45596</v>
      </c>
      <c r="B56" s="20" t="s">
        <v>2760</v>
      </c>
      <c r="C56" s="20"/>
      <c r="D56" s="20" t="s">
        <v>25</v>
      </c>
      <c r="E56" s="20" t="s">
        <v>26</v>
      </c>
      <c r="F56" s="21" t="str">
        <f t="shared" si="0"/>
        <v>S/F 368710 SALTOKI</v>
      </c>
      <c r="G56" s="12">
        <f t="shared" si="1"/>
        <v>510.98347107438013</v>
      </c>
      <c r="H56" s="22">
        <v>21</v>
      </c>
      <c r="I56" s="21">
        <f t="shared" si="2"/>
        <v>107.30652892561983</v>
      </c>
      <c r="J56" s="21">
        <f t="shared" si="3"/>
        <v>510.98347107438013</v>
      </c>
      <c r="K56" s="22"/>
      <c r="L56" s="5">
        <f t="shared" si="4"/>
        <v>0</v>
      </c>
      <c r="M56" s="8">
        <v>618.29</v>
      </c>
      <c r="N56" s="2" t="s">
        <v>21</v>
      </c>
      <c r="O56" s="3" t="s">
        <v>65</v>
      </c>
      <c r="S56" t="s">
        <v>19</v>
      </c>
    </row>
    <row r="57" spans="1:19" x14ac:dyDescent="0.35">
      <c r="A57" s="24">
        <v>45596</v>
      </c>
      <c r="B57" s="20" t="s">
        <v>2761</v>
      </c>
      <c r="C57" s="20"/>
      <c r="D57" s="20" t="s">
        <v>25</v>
      </c>
      <c r="E57" s="20" t="s">
        <v>26</v>
      </c>
      <c r="F57" s="21" t="str">
        <f t="shared" si="0"/>
        <v>S/F 368709 SALTOKI</v>
      </c>
      <c r="G57" s="12">
        <f t="shared" si="1"/>
        <v>-395.48760330578517</v>
      </c>
      <c r="H57" s="22">
        <v>21</v>
      </c>
      <c r="I57" s="21">
        <f t="shared" si="2"/>
        <v>-83.052396694214892</v>
      </c>
      <c r="J57" s="21">
        <f t="shared" si="3"/>
        <v>-395.48760330578517</v>
      </c>
      <c r="K57" s="22"/>
      <c r="L57" s="5">
        <f t="shared" si="4"/>
        <v>0</v>
      </c>
      <c r="M57" s="8">
        <v>-478.54</v>
      </c>
      <c r="N57" s="2" t="s">
        <v>21</v>
      </c>
      <c r="O57" s="3" t="s">
        <v>65</v>
      </c>
      <c r="S57" t="s">
        <v>19</v>
      </c>
    </row>
    <row r="58" spans="1:19" x14ac:dyDescent="0.35">
      <c r="A58" s="24">
        <v>45596</v>
      </c>
      <c r="B58" s="20" t="s">
        <v>2762</v>
      </c>
      <c r="C58" s="20"/>
      <c r="D58" s="20" t="s">
        <v>109</v>
      </c>
      <c r="E58" s="20" t="s">
        <v>42</v>
      </c>
      <c r="F58" s="21" t="str">
        <f t="shared" si="0"/>
        <v>S/F 24118028 DISCESUR</v>
      </c>
      <c r="G58" s="12">
        <f t="shared" si="1"/>
        <v>1844.0826446280994</v>
      </c>
      <c r="H58" s="22">
        <v>21</v>
      </c>
      <c r="I58" s="21">
        <f t="shared" si="2"/>
        <v>387.25735537190087</v>
      </c>
      <c r="J58" s="21">
        <f t="shared" si="3"/>
        <v>1844.0826446280994</v>
      </c>
      <c r="K58" s="22"/>
      <c r="L58" s="5">
        <f t="shared" si="4"/>
        <v>0</v>
      </c>
      <c r="M58" s="8">
        <v>2231.34</v>
      </c>
      <c r="N58" s="2" t="s">
        <v>21</v>
      </c>
      <c r="O58" s="3" t="s">
        <v>65</v>
      </c>
      <c r="S58" t="s">
        <v>19</v>
      </c>
    </row>
    <row r="59" spans="1:19" x14ac:dyDescent="0.35">
      <c r="A59" s="24">
        <v>45596</v>
      </c>
      <c r="B59" s="20" t="s">
        <v>2763</v>
      </c>
      <c r="C59" s="20"/>
      <c r="D59" s="20" t="s">
        <v>109</v>
      </c>
      <c r="E59" s="20" t="s">
        <v>42</v>
      </c>
      <c r="F59" s="21" t="str">
        <f t="shared" si="0"/>
        <v>S/F 24118029 DISCESUR</v>
      </c>
      <c r="G59" s="12">
        <f t="shared" si="1"/>
        <v>1119.8677685950413</v>
      </c>
      <c r="H59" s="22">
        <v>21</v>
      </c>
      <c r="I59" s="21">
        <f t="shared" si="2"/>
        <v>235.17223140495867</v>
      </c>
      <c r="J59" s="21">
        <f t="shared" si="3"/>
        <v>1119.8677685950413</v>
      </c>
      <c r="K59" s="22"/>
      <c r="L59" s="5">
        <f t="shared" si="4"/>
        <v>0</v>
      </c>
      <c r="M59" s="8">
        <v>1355.04</v>
      </c>
      <c r="N59" s="2" t="s">
        <v>21</v>
      </c>
      <c r="O59" s="3" t="s">
        <v>65</v>
      </c>
      <c r="S59" t="s">
        <v>19</v>
      </c>
    </row>
    <row r="60" spans="1:19" x14ac:dyDescent="0.35">
      <c r="A60" s="24">
        <v>45596</v>
      </c>
      <c r="B60" s="20" t="s">
        <v>2764</v>
      </c>
      <c r="C60" s="20"/>
      <c r="D60" s="20" t="s">
        <v>94</v>
      </c>
      <c r="E60" s="20" t="s">
        <v>139</v>
      </c>
      <c r="F60" s="21" t="str">
        <f t="shared" si="0"/>
        <v>S/F VEN/20296692 BIGMAT</v>
      </c>
      <c r="G60" s="12">
        <f t="shared" si="1"/>
        <v>3761.2892561983472</v>
      </c>
      <c r="H60" s="22">
        <v>21</v>
      </c>
      <c r="I60" s="21">
        <f t="shared" si="2"/>
        <v>789.87074380165291</v>
      </c>
      <c r="J60" s="21">
        <f t="shared" si="3"/>
        <v>3761.2892561983472</v>
      </c>
      <c r="K60" s="22"/>
      <c r="L60" s="5">
        <f t="shared" si="4"/>
        <v>0</v>
      </c>
      <c r="M60" s="8">
        <v>4551.16</v>
      </c>
      <c r="N60" s="2" t="s">
        <v>21</v>
      </c>
      <c r="O60" s="3" t="s">
        <v>65</v>
      </c>
      <c r="S60" t="s">
        <v>19</v>
      </c>
    </row>
    <row r="61" spans="1:19" x14ac:dyDescent="0.35">
      <c r="A61" s="24">
        <v>45593</v>
      </c>
      <c r="B61" s="20" t="s">
        <v>2765</v>
      </c>
      <c r="C61" s="20"/>
      <c r="D61" s="20" t="s">
        <v>2096</v>
      </c>
      <c r="E61" s="20" t="s">
        <v>2766</v>
      </c>
      <c r="F61" s="21" t="str">
        <f t="shared" si="0"/>
        <v>S/F 52/2024 ARTBEYAS CONSTRUCCIONES Y REFORMAS</v>
      </c>
      <c r="G61" s="12">
        <f t="shared" si="1"/>
        <v>1670</v>
      </c>
      <c r="H61" s="22">
        <v>21</v>
      </c>
      <c r="I61" s="21">
        <f t="shared" si="2"/>
        <v>350.7</v>
      </c>
      <c r="J61" s="21">
        <f t="shared" si="3"/>
        <v>1670</v>
      </c>
      <c r="K61" s="21"/>
      <c r="L61" s="5">
        <f t="shared" si="4"/>
        <v>0</v>
      </c>
      <c r="M61" s="8">
        <v>2020.7</v>
      </c>
      <c r="N61" s="2" t="s">
        <v>37</v>
      </c>
      <c r="O61" s="3" t="s">
        <v>68</v>
      </c>
      <c r="S61" t="s">
        <v>19</v>
      </c>
    </row>
    <row r="62" spans="1:19" x14ac:dyDescent="0.35">
      <c r="A62" s="24">
        <v>45604</v>
      </c>
      <c r="B62" s="20" t="s">
        <v>2767</v>
      </c>
      <c r="C62" s="20"/>
      <c r="D62" s="20" t="s">
        <v>27</v>
      </c>
      <c r="E62" s="20" t="s">
        <v>301</v>
      </c>
      <c r="F62" s="21" t="str">
        <f t="shared" si="0"/>
        <v xml:space="preserve">S/F 2024/000524 PADRISA </v>
      </c>
      <c r="G62" s="12">
        <f t="shared" si="1"/>
        <v>1388.2727272727273</v>
      </c>
      <c r="H62" s="22">
        <v>21</v>
      </c>
      <c r="I62" s="21">
        <f t="shared" si="2"/>
        <v>291.53727272727269</v>
      </c>
      <c r="J62" s="21">
        <f t="shared" si="3"/>
        <v>1388.2727272727273</v>
      </c>
      <c r="K62" s="22"/>
      <c r="L62" s="5">
        <f t="shared" si="4"/>
        <v>0</v>
      </c>
      <c r="M62" s="8">
        <v>1679.81</v>
      </c>
      <c r="N62" s="2" t="s">
        <v>53</v>
      </c>
      <c r="O62" s="3" t="s">
        <v>68</v>
      </c>
      <c r="S62" t="s">
        <v>19</v>
      </c>
    </row>
    <row r="63" spans="1:19" x14ac:dyDescent="0.35">
      <c r="A63" s="24">
        <v>45605</v>
      </c>
      <c r="B63" s="20" t="s">
        <v>2768</v>
      </c>
      <c r="C63" s="20"/>
      <c r="D63" s="20" t="s">
        <v>25</v>
      </c>
      <c r="E63" s="20" t="s">
        <v>26</v>
      </c>
      <c r="F63" s="21" t="str">
        <f t="shared" si="0"/>
        <v>S/F 379849 SALTOKI</v>
      </c>
      <c r="G63" s="12">
        <f t="shared" si="1"/>
        <v>325.29752066115702</v>
      </c>
      <c r="H63" s="22">
        <v>21</v>
      </c>
      <c r="I63" s="21">
        <f t="shared" si="2"/>
        <v>68.312479338842977</v>
      </c>
      <c r="J63" s="21">
        <f t="shared" si="3"/>
        <v>325.29752066115702</v>
      </c>
      <c r="K63" s="22"/>
      <c r="L63" s="5">
        <f t="shared" si="4"/>
        <v>0</v>
      </c>
      <c r="M63" s="8">
        <v>393.61</v>
      </c>
      <c r="N63" s="2" t="s">
        <v>21</v>
      </c>
      <c r="O63" s="3" t="s">
        <v>65</v>
      </c>
      <c r="S63" t="s">
        <v>19</v>
      </c>
    </row>
    <row r="64" spans="1:19" x14ac:dyDescent="0.35">
      <c r="A64" s="24">
        <v>45606</v>
      </c>
      <c r="B64" s="20" t="s">
        <v>2769</v>
      </c>
      <c r="C64" s="20"/>
      <c r="D64" s="20" t="s">
        <v>94</v>
      </c>
      <c r="E64" s="20" t="s">
        <v>139</v>
      </c>
      <c r="F64" s="21" t="str">
        <f t="shared" si="0"/>
        <v>S/F VEN/20299148 BIGMAT</v>
      </c>
      <c r="G64" s="12">
        <f t="shared" si="1"/>
        <v>1838.181818181818</v>
      </c>
      <c r="H64" s="22">
        <v>21</v>
      </c>
      <c r="I64" s="21">
        <f t="shared" si="2"/>
        <v>386.01818181818174</v>
      </c>
      <c r="J64" s="21">
        <f t="shared" si="3"/>
        <v>1838.181818181818</v>
      </c>
      <c r="K64" s="22"/>
      <c r="L64" s="5">
        <f t="shared" si="4"/>
        <v>0</v>
      </c>
      <c r="M64" s="8">
        <v>2224.1999999999998</v>
      </c>
      <c r="N64" s="2" t="s">
        <v>21</v>
      </c>
      <c r="O64" s="3" t="s">
        <v>65</v>
      </c>
      <c r="S64" t="s">
        <v>19</v>
      </c>
    </row>
    <row r="65" spans="1:19" x14ac:dyDescent="0.35">
      <c r="A65" s="24">
        <v>45596</v>
      </c>
      <c r="B65" s="20" t="s">
        <v>2770</v>
      </c>
      <c r="C65" s="20"/>
      <c r="D65" s="20" t="s">
        <v>40</v>
      </c>
      <c r="E65" s="20" t="s">
        <v>41</v>
      </c>
      <c r="F65" s="21" t="str">
        <f t="shared" ref="F65:F118" si="5">CONCATENATE(S65,B65," ",E65)</f>
        <v>S/F 2163/24 CONTENEDORES OSCONSUR</v>
      </c>
      <c r="G65" s="12">
        <f t="shared" si="1"/>
        <v>2211.9999999999995</v>
      </c>
      <c r="H65" s="22">
        <v>10</v>
      </c>
      <c r="I65" s="21">
        <f t="shared" si="2"/>
        <v>221.19999999999996</v>
      </c>
      <c r="J65" s="21">
        <f t="shared" si="3"/>
        <v>2211.9999999999995</v>
      </c>
      <c r="K65" s="22"/>
      <c r="L65" s="5">
        <f t="shared" si="4"/>
        <v>0</v>
      </c>
      <c r="M65" s="8">
        <v>2433.1999999999998</v>
      </c>
      <c r="N65" s="2" t="s">
        <v>33</v>
      </c>
      <c r="O65" s="3" t="s">
        <v>65</v>
      </c>
      <c r="S65" t="s">
        <v>19</v>
      </c>
    </row>
    <row r="66" spans="1:19" x14ac:dyDescent="0.35">
      <c r="A66" s="24">
        <v>45600</v>
      </c>
      <c r="B66" s="20" t="s">
        <v>2771</v>
      </c>
      <c r="C66" s="20"/>
      <c r="D66" s="20" t="s">
        <v>388</v>
      </c>
      <c r="E66" s="20" t="s">
        <v>2772</v>
      </c>
      <c r="F66" s="21" t="str">
        <f t="shared" si="5"/>
        <v>S/F 2024/63 VENTALUX</v>
      </c>
      <c r="G66" s="12">
        <f t="shared" ref="G66:G119" si="6">M66/(1-K66/100+H66/100)</f>
        <v>1551.2809917355371</v>
      </c>
      <c r="H66" s="22">
        <v>21</v>
      </c>
      <c r="I66" s="21">
        <f t="shared" ref="I66:I120" si="7">G66*H66/100</f>
        <v>325.7690082644628</v>
      </c>
      <c r="J66" s="21">
        <f t="shared" ref="J66:J119" si="8">G66</f>
        <v>1551.2809917355371</v>
      </c>
      <c r="K66" s="22"/>
      <c r="L66" s="5">
        <f t="shared" ref="L66:L119" si="9">J66*K66/100</f>
        <v>0</v>
      </c>
      <c r="M66" s="8">
        <v>1877.05</v>
      </c>
      <c r="N66" s="2" t="s">
        <v>37</v>
      </c>
      <c r="O66" s="3" t="s">
        <v>68</v>
      </c>
      <c r="S66" t="s">
        <v>19</v>
      </c>
    </row>
    <row r="67" spans="1:19" x14ac:dyDescent="0.35">
      <c r="A67" s="24">
        <v>45600</v>
      </c>
      <c r="B67" s="20" t="s">
        <v>2773</v>
      </c>
      <c r="C67" s="20"/>
      <c r="D67" s="20" t="s">
        <v>388</v>
      </c>
      <c r="E67" s="20" t="s">
        <v>2772</v>
      </c>
      <c r="F67" s="21" t="str">
        <f t="shared" si="5"/>
        <v>S/F 2024/64 VENTALUX</v>
      </c>
      <c r="G67" s="12">
        <f t="shared" si="6"/>
        <v>1236.0413223140495</v>
      </c>
      <c r="H67" s="22">
        <v>21</v>
      </c>
      <c r="I67" s="21">
        <f t="shared" si="7"/>
        <v>259.56867768595038</v>
      </c>
      <c r="J67" s="21">
        <f t="shared" si="8"/>
        <v>1236.0413223140495</v>
      </c>
      <c r="K67" s="22"/>
      <c r="L67" s="5">
        <f t="shared" si="9"/>
        <v>0</v>
      </c>
      <c r="M67" s="8">
        <v>1495.61</v>
      </c>
      <c r="N67" s="2" t="s">
        <v>37</v>
      </c>
      <c r="O67" s="3" t="s">
        <v>68</v>
      </c>
      <c r="S67" t="s">
        <v>19</v>
      </c>
    </row>
    <row r="68" spans="1:19" x14ac:dyDescent="0.35">
      <c r="A68" s="24">
        <v>45607</v>
      </c>
      <c r="B68" s="20" t="s">
        <v>2783</v>
      </c>
      <c r="C68" s="20"/>
      <c r="D68" s="20" t="s">
        <v>1030</v>
      </c>
      <c r="E68" s="20" t="s">
        <v>1031</v>
      </c>
      <c r="F68" s="21" t="str">
        <f t="shared" si="5"/>
        <v>S/F 1 001739 STEINBOX SL</v>
      </c>
      <c r="G68" s="12">
        <f t="shared" si="6"/>
        <v>130</v>
      </c>
      <c r="H68" s="22">
        <v>21</v>
      </c>
      <c r="I68" s="21">
        <f t="shared" si="7"/>
        <v>27.3</v>
      </c>
      <c r="J68" s="21">
        <f t="shared" si="8"/>
        <v>130</v>
      </c>
      <c r="K68" s="22"/>
      <c r="L68" s="5">
        <f t="shared" si="9"/>
        <v>0</v>
      </c>
      <c r="M68" s="8">
        <v>157.30000000000001</v>
      </c>
      <c r="N68" s="2" t="s">
        <v>21</v>
      </c>
      <c r="O68" s="3" t="s">
        <v>68</v>
      </c>
      <c r="S68" t="s">
        <v>19</v>
      </c>
    </row>
    <row r="69" spans="1:19" x14ac:dyDescent="0.35">
      <c r="A69" s="24">
        <v>45601</v>
      </c>
      <c r="B69" s="20" t="s">
        <v>2784</v>
      </c>
      <c r="C69" s="20"/>
      <c r="D69" s="20" t="s">
        <v>35</v>
      </c>
      <c r="E69" s="20" t="s">
        <v>2222</v>
      </c>
      <c r="F69" s="21" t="str">
        <f t="shared" si="5"/>
        <v>S/F 0240013204 PINTODIS</v>
      </c>
      <c r="G69" s="12">
        <f t="shared" si="6"/>
        <v>55.198347107438025</v>
      </c>
      <c r="H69" s="22">
        <v>21</v>
      </c>
      <c r="I69" s="21">
        <f t="shared" si="7"/>
        <v>11.591652892561985</v>
      </c>
      <c r="J69" s="21">
        <f t="shared" si="8"/>
        <v>55.198347107438025</v>
      </c>
      <c r="K69" s="22"/>
      <c r="L69" s="5">
        <f t="shared" si="9"/>
        <v>0</v>
      </c>
      <c r="M69" s="8">
        <v>66.790000000000006</v>
      </c>
      <c r="N69" s="2" t="s">
        <v>22</v>
      </c>
      <c r="O69" s="3" t="s">
        <v>63</v>
      </c>
      <c r="S69" t="s">
        <v>19</v>
      </c>
    </row>
    <row r="70" spans="1:19" x14ac:dyDescent="0.35">
      <c r="A70" s="24">
        <v>45602</v>
      </c>
      <c r="B70" s="20" t="s">
        <v>2785</v>
      </c>
      <c r="C70" s="20"/>
      <c r="D70" s="20" t="s">
        <v>74</v>
      </c>
      <c r="E70" s="20" t="s">
        <v>259</v>
      </c>
      <c r="F70" s="21" t="str">
        <f t="shared" si="5"/>
        <v>S/F 24/00207 CRISTALERIA ESCOBAR</v>
      </c>
      <c r="G70" s="12">
        <f t="shared" si="6"/>
        <v>49.504132231404959</v>
      </c>
      <c r="H70" s="22">
        <v>21</v>
      </c>
      <c r="I70" s="21">
        <f t="shared" si="7"/>
        <v>10.395867768595043</v>
      </c>
      <c r="J70" s="21">
        <f t="shared" si="8"/>
        <v>49.504132231404959</v>
      </c>
      <c r="K70" s="22"/>
      <c r="L70" s="5">
        <f t="shared" si="9"/>
        <v>0</v>
      </c>
      <c r="M70" s="8">
        <v>59.9</v>
      </c>
      <c r="N70" s="2" t="s">
        <v>21</v>
      </c>
      <c r="O70" s="3" t="s">
        <v>68</v>
      </c>
      <c r="S70" t="s">
        <v>19</v>
      </c>
    </row>
    <row r="71" spans="1:19" x14ac:dyDescent="0.35">
      <c r="A71" s="24">
        <v>45608</v>
      </c>
      <c r="B71" s="20" t="s">
        <v>2786</v>
      </c>
      <c r="C71" s="20"/>
      <c r="D71" s="20" t="s">
        <v>23</v>
      </c>
      <c r="E71" s="20" t="s">
        <v>70</v>
      </c>
      <c r="F71" s="21" t="str">
        <f t="shared" si="5"/>
        <v>S/F 00011974 PINTOCOLORS CB</v>
      </c>
      <c r="G71" s="12">
        <f t="shared" si="6"/>
        <v>157.44628099173553</v>
      </c>
      <c r="H71" s="22">
        <v>21</v>
      </c>
      <c r="I71" s="21">
        <f t="shared" si="7"/>
        <v>33.063719008264464</v>
      </c>
      <c r="J71" s="21">
        <f t="shared" si="8"/>
        <v>157.44628099173553</v>
      </c>
      <c r="K71" s="22"/>
      <c r="L71" s="5">
        <f t="shared" si="9"/>
        <v>0</v>
      </c>
      <c r="M71" s="8">
        <v>190.51</v>
      </c>
      <c r="N71" s="2" t="s">
        <v>21</v>
      </c>
      <c r="O71" s="3" t="s">
        <v>64</v>
      </c>
      <c r="S71" t="s">
        <v>19</v>
      </c>
    </row>
    <row r="72" spans="1:19" x14ac:dyDescent="0.35">
      <c r="A72" s="24">
        <v>45608</v>
      </c>
      <c r="B72" s="20" t="s">
        <v>2787</v>
      </c>
      <c r="C72" s="20"/>
      <c r="D72" s="20" t="s">
        <v>23</v>
      </c>
      <c r="E72" s="20" t="s">
        <v>70</v>
      </c>
      <c r="F72" s="21" t="str">
        <f t="shared" si="5"/>
        <v>S/F 00011975 PINTOCOLORS CB</v>
      </c>
      <c r="G72" s="12">
        <f t="shared" si="6"/>
        <v>182.32231404958679</v>
      </c>
      <c r="H72" s="22">
        <v>21</v>
      </c>
      <c r="I72" s="21">
        <f t="shared" si="7"/>
        <v>38.287685950413227</v>
      </c>
      <c r="J72" s="21">
        <f t="shared" si="8"/>
        <v>182.32231404958679</v>
      </c>
      <c r="K72" s="22"/>
      <c r="L72" s="5">
        <f t="shared" si="9"/>
        <v>0</v>
      </c>
      <c r="M72" s="8">
        <v>220.61</v>
      </c>
      <c r="N72" s="2" t="s">
        <v>21</v>
      </c>
      <c r="O72" s="3" t="s">
        <v>64</v>
      </c>
      <c r="S72" t="s">
        <v>19</v>
      </c>
    </row>
    <row r="73" spans="1:19" x14ac:dyDescent="0.35">
      <c r="A73" s="24">
        <v>45608</v>
      </c>
      <c r="B73" s="20" t="s">
        <v>2788</v>
      </c>
      <c r="C73" s="20"/>
      <c r="D73" s="20" t="s">
        <v>1832</v>
      </c>
      <c r="E73" s="20" t="s">
        <v>1833</v>
      </c>
      <c r="F73" s="21" t="str">
        <f t="shared" si="5"/>
        <v>S/F 2299 PREVINTEGRA</v>
      </c>
      <c r="G73" s="12">
        <f t="shared" si="6"/>
        <v>432.60330578512401</v>
      </c>
      <c r="H73" s="22">
        <v>21</v>
      </c>
      <c r="I73" s="21">
        <f t="shared" si="7"/>
        <v>90.846694214876038</v>
      </c>
      <c r="J73" s="21">
        <f t="shared" si="8"/>
        <v>432.60330578512401</v>
      </c>
      <c r="K73" s="22"/>
      <c r="L73" s="5">
        <f t="shared" si="9"/>
        <v>0</v>
      </c>
      <c r="M73" s="8">
        <v>523.45000000000005</v>
      </c>
      <c r="N73" s="2" t="s">
        <v>173</v>
      </c>
      <c r="O73" s="3" t="s">
        <v>68</v>
      </c>
      <c r="S73" t="s">
        <v>19</v>
      </c>
    </row>
    <row r="74" spans="1:19" x14ac:dyDescent="0.35">
      <c r="A74" s="24">
        <v>45614</v>
      </c>
      <c r="B74" s="20" t="s">
        <v>2796</v>
      </c>
      <c r="C74" s="20"/>
      <c r="D74" s="20" t="s">
        <v>35</v>
      </c>
      <c r="E74" s="20" t="s">
        <v>2222</v>
      </c>
      <c r="F74" s="21" t="str">
        <f t="shared" si="5"/>
        <v>S/F 0240013465 PINTODIS</v>
      </c>
      <c r="G74" s="12">
        <f t="shared" si="6"/>
        <v>50.702479338842977</v>
      </c>
      <c r="H74" s="22">
        <v>21</v>
      </c>
      <c r="I74" s="21">
        <f t="shared" si="7"/>
        <v>10.647520661157024</v>
      </c>
      <c r="J74" s="21">
        <f t="shared" si="8"/>
        <v>50.702479338842977</v>
      </c>
      <c r="K74" s="22"/>
      <c r="L74" s="5">
        <f t="shared" si="9"/>
        <v>0</v>
      </c>
      <c r="M74" s="8">
        <v>61.35</v>
      </c>
      <c r="N74" s="2" t="s">
        <v>22</v>
      </c>
      <c r="O74" s="3" t="s">
        <v>64</v>
      </c>
      <c r="S74" t="s">
        <v>19</v>
      </c>
    </row>
    <row r="75" spans="1:19" x14ac:dyDescent="0.35">
      <c r="A75" s="24">
        <v>45612</v>
      </c>
      <c r="B75" s="20" t="s">
        <v>2797</v>
      </c>
      <c r="C75" s="20"/>
      <c r="D75" s="20" t="s">
        <v>2798</v>
      </c>
      <c r="E75" s="20" t="s">
        <v>2799</v>
      </c>
      <c r="F75" s="21" t="str">
        <f t="shared" si="5"/>
        <v>S/F 1-242383 FONTICAL</v>
      </c>
      <c r="G75" s="12">
        <f t="shared" si="6"/>
        <v>128.3388429752066</v>
      </c>
      <c r="H75" s="22">
        <v>21</v>
      </c>
      <c r="I75" s="21">
        <f t="shared" si="7"/>
        <v>26.951157024793389</v>
      </c>
      <c r="J75" s="21">
        <f t="shared" si="8"/>
        <v>128.3388429752066</v>
      </c>
      <c r="K75" s="22"/>
      <c r="L75" s="5">
        <f t="shared" si="9"/>
        <v>0</v>
      </c>
      <c r="M75" s="8">
        <v>155.29</v>
      </c>
      <c r="N75" s="2" t="s">
        <v>21</v>
      </c>
      <c r="O75" s="3" t="s">
        <v>64</v>
      </c>
      <c r="S75" t="s">
        <v>19</v>
      </c>
    </row>
    <row r="76" spans="1:19" x14ac:dyDescent="0.35">
      <c r="A76" s="24">
        <v>45611</v>
      </c>
      <c r="B76" s="20" t="s">
        <v>2800</v>
      </c>
      <c r="C76" s="20"/>
      <c r="D76" s="20" t="s">
        <v>109</v>
      </c>
      <c r="E76" s="20" t="s">
        <v>42</v>
      </c>
      <c r="F76" s="21" t="str">
        <f t="shared" si="5"/>
        <v>S/F 24119014 DISCESUR</v>
      </c>
      <c r="G76" s="12">
        <f t="shared" si="6"/>
        <v>5015.3884297520663</v>
      </c>
      <c r="H76" s="22">
        <v>21</v>
      </c>
      <c r="I76" s="21">
        <f t="shared" si="7"/>
        <v>1053.2315702479339</v>
      </c>
      <c r="J76" s="21">
        <f t="shared" si="8"/>
        <v>5015.3884297520663</v>
      </c>
      <c r="K76" s="22"/>
      <c r="L76" s="5">
        <f t="shared" si="9"/>
        <v>0</v>
      </c>
      <c r="M76" s="8">
        <v>6068.62</v>
      </c>
      <c r="N76" s="2" t="s">
        <v>21</v>
      </c>
      <c r="O76" s="3" t="s">
        <v>65</v>
      </c>
      <c r="S76" t="s">
        <v>19</v>
      </c>
    </row>
    <row r="77" spans="1:19" x14ac:dyDescent="0.35">
      <c r="A77" s="24">
        <v>45611</v>
      </c>
      <c r="B77" s="20" t="s">
        <v>2801</v>
      </c>
      <c r="C77" s="20"/>
      <c r="D77" s="20" t="s">
        <v>109</v>
      </c>
      <c r="E77" s="20" t="s">
        <v>42</v>
      </c>
      <c r="F77" s="21" t="str">
        <f t="shared" si="5"/>
        <v>S/F 24119015 DISCESUR</v>
      </c>
      <c r="G77" s="12">
        <f t="shared" si="6"/>
        <v>829.63636363636363</v>
      </c>
      <c r="H77" s="22">
        <v>21</v>
      </c>
      <c r="I77" s="21">
        <f t="shared" si="7"/>
        <v>174.22363636363636</v>
      </c>
      <c r="J77" s="21">
        <f t="shared" si="8"/>
        <v>829.63636363636363</v>
      </c>
      <c r="K77" s="22"/>
      <c r="L77" s="5">
        <f t="shared" si="9"/>
        <v>0</v>
      </c>
      <c r="M77" s="8">
        <v>1003.86</v>
      </c>
      <c r="N77" s="2" t="s">
        <v>21</v>
      </c>
      <c r="O77" s="3" t="s">
        <v>65</v>
      </c>
      <c r="S77" t="s">
        <v>19</v>
      </c>
    </row>
    <row r="78" spans="1:19" x14ac:dyDescent="0.35">
      <c r="A78" s="24">
        <v>45611</v>
      </c>
      <c r="B78" s="20" t="s">
        <v>2802</v>
      </c>
      <c r="C78" s="20"/>
      <c r="D78" s="20" t="s">
        <v>1334</v>
      </c>
      <c r="E78" s="20" t="s">
        <v>2803</v>
      </c>
      <c r="F78" s="21" t="str">
        <f t="shared" si="5"/>
        <v>S/F 434313886 SUMINISTRO ELECTRICOS GUARDEÑO</v>
      </c>
      <c r="G78" s="12">
        <f t="shared" si="6"/>
        <v>107.51239669421489</v>
      </c>
      <c r="H78" s="22">
        <v>21</v>
      </c>
      <c r="I78" s="21">
        <f t="shared" si="7"/>
        <v>22.577603305785125</v>
      </c>
      <c r="J78" s="21">
        <f t="shared" si="8"/>
        <v>107.51239669421489</v>
      </c>
      <c r="K78" s="22"/>
      <c r="L78" s="5">
        <f t="shared" si="9"/>
        <v>0</v>
      </c>
      <c r="M78" s="8">
        <v>130.09</v>
      </c>
      <c r="N78" s="2" t="s">
        <v>21</v>
      </c>
      <c r="O78" s="3" t="s">
        <v>65</v>
      </c>
      <c r="S78" t="s">
        <v>19</v>
      </c>
    </row>
    <row r="79" spans="1:19" x14ac:dyDescent="0.35">
      <c r="A79" s="24">
        <v>45607</v>
      </c>
      <c r="B79" s="20" t="s">
        <v>2804</v>
      </c>
      <c r="C79" s="20"/>
      <c r="D79" s="20" t="s">
        <v>2668</v>
      </c>
      <c r="E79" s="20" t="s">
        <v>2669</v>
      </c>
      <c r="F79" s="21" t="str">
        <f t="shared" si="5"/>
        <v>S/F 314 ARTE VETA</v>
      </c>
      <c r="G79" s="12">
        <f t="shared" si="6"/>
        <v>8747.5041322314046</v>
      </c>
      <c r="H79" s="22">
        <v>21</v>
      </c>
      <c r="I79" s="21">
        <f t="shared" si="7"/>
        <v>1836.975867768595</v>
      </c>
      <c r="J79" s="21">
        <f t="shared" si="8"/>
        <v>8747.5041322314046</v>
      </c>
      <c r="K79" s="22"/>
      <c r="L79" s="5">
        <f t="shared" si="9"/>
        <v>0</v>
      </c>
      <c r="M79" s="8">
        <v>10584.48</v>
      </c>
      <c r="N79" s="2" t="s">
        <v>21</v>
      </c>
      <c r="O79" s="3" t="s">
        <v>68</v>
      </c>
      <c r="S79" t="s">
        <v>19</v>
      </c>
    </row>
    <row r="80" spans="1:19" x14ac:dyDescent="0.35">
      <c r="A80" s="24">
        <v>45610</v>
      </c>
      <c r="B80" s="20" t="s">
        <v>2805</v>
      </c>
      <c r="C80" s="20"/>
      <c r="D80" s="20" t="s">
        <v>2668</v>
      </c>
      <c r="E80" s="20" t="s">
        <v>2669</v>
      </c>
      <c r="F80" s="21" t="str">
        <f t="shared" si="5"/>
        <v>S/F 329 ARTE VETA</v>
      </c>
      <c r="G80" s="12">
        <f t="shared" si="6"/>
        <v>855</v>
      </c>
      <c r="H80" s="22">
        <v>21</v>
      </c>
      <c r="I80" s="21">
        <f t="shared" si="7"/>
        <v>179.55</v>
      </c>
      <c r="J80" s="21">
        <f t="shared" si="8"/>
        <v>855</v>
      </c>
      <c r="K80" s="22"/>
      <c r="L80" s="5">
        <f t="shared" si="9"/>
        <v>0</v>
      </c>
      <c r="M80" s="8">
        <v>1034.55</v>
      </c>
      <c r="N80" s="2" t="s">
        <v>21</v>
      </c>
      <c r="O80" s="3" t="s">
        <v>68</v>
      </c>
      <c r="S80" t="s">
        <v>19</v>
      </c>
    </row>
    <row r="81" spans="1:19" x14ac:dyDescent="0.35">
      <c r="A81" s="24">
        <v>45609</v>
      </c>
      <c r="B81" s="20" t="s">
        <v>2806</v>
      </c>
      <c r="C81" s="20"/>
      <c r="D81" s="20" t="s">
        <v>148</v>
      </c>
      <c r="E81" s="20" t="s">
        <v>110</v>
      </c>
      <c r="F81" s="21" t="str">
        <f t="shared" si="5"/>
        <v>S/F 2024010 TRAIAN DARIUS NEAG</v>
      </c>
      <c r="G81" s="12">
        <f t="shared" si="6"/>
        <v>10000</v>
      </c>
      <c r="H81" s="22">
        <v>21</v>
      </c>
      <c r="I81" s="21">
        <f t="shared" si="7"/>
        <v>2100</v>
      </c>
      <c r="J81" s="21">
        <f t="shared" si="8"/>
        <v>10000</v>
      </c>
      <c r="K81" s="22"/>
      <c r="L81" s="5">
        <f t="shared" si="9"/>
        <v>0</v>
      </c>
      <c r="M81" s="8">
        <v>12100</v>
      </c>
      <c r="N81" s="2" t="s">
        <v>37</v>
      </c>
      <c r="O81" s="3" t="s">
        <v>68</v>
      </c>
      <c r="S81" t="s">
        <v>19</v>
      </c>
    </row>
    <row r="82" spans="1:19" x14ac:dyDescent="0.35">
      <c r="A82" s="24">
        <v>45616</v>
      </c>
      <c r="B82" s="20" t="s">
        <v>2807</v>
      </c>
      <c r="C82" s="20"/>
      <c r="D82" s="20" t="s">
        <v>94</v>
      </c>
      <c r="E82" s="20" t="s">
        <v>139</v>
      </c>
      <c r="F82" s="21" t="str">
        <f t="shared" si="5"/>
        <v>S/F VEN/20301942 BIGMAT</v>
      </c>
      <c r="G82" s="12">
        <f t="shared" si="6"/>
        <v>1505.0247933884298</v>
      </c>
      <c r="H82" s="22">
        <v>21</v>
      </c>
      <c r="I82" s="21">
        <f t="shared" si="7"/>
        <v>316.05520661157027</v>
      </c>
      <c r="J82" s="21">
        <f t="shared" si="8"/>
        <v>1505.0247933884298</v>
      </c>
      <c r="K82" s="22"/>
      <c r="L82" s="5">
        <f t="shared" si="9"/>
        <v>0</v>
      </c>
      <c r="M82" s="8">
        <v>1821.08</v>
      </c>
      <c r="N82" s="2" t="s">
        <v>21</v>
      </c>
      <c r="O82" s="3" t="s">
        <v>65</v>
      </c>
      <c r="S82" t="s">
        <v>19</v>
      </c>
    </row>
    <row r="83" spans="1:19" x14ac:dyDescent="0.35">
      <c r="A83" s="24">
        <v>45617</v>
      </c>
      <c r="B83" s="20" t="s">
        <v>2811</v>
      </c>
      <c r="C83" s="20"/>
      <c r="D83" s="20" t="s">
        <v>1340</v>
      </c>
      <c r="E83" s="20" t="s">
        <v>2812</v>
      </c>
      <c r="F83" s="21" t="str">
        <f t="shared" si="5"/>
        <v>S/F 2024-0274 PIKYOE AUTIMICION</v>
      </c>
      <c r="G83" s="12">
        <f t="shared" si="6"/>
        <v>263.54545454545456</v>
      </c>
      <c r="H83" s="22">
        <v>21</v>
      </c>
      <c r="I83" s="21">
        <f t="shared" si="7"/>
        <v>55.344545454545461</v>
      </c>
      <c r="J83" s="21">
        <f t="shared" si="8"/>
        <v>263.54545454545456</v>
      </c>
      <c r="K83" s="22"/>
      <c r="L83" s="5">
        <f t="shared" si="9"/>
        <v>0</v>
      </c>
      <c r="M83" s="8">
        <v>318.89</v>
      </c>
      <c r="N83" s="2" t="s">
        <v>53</v>
      </c>
      <c r="O83" s="3" t="s">
        <v>68</v>
      </c>
      <c r="S83" t="s">
        <v>19</v>
      </c>
    </row>
    <row r="84" spans="1:19" x14ac:dyDescent="0.35">
      <c r="A84" s="24">
        <v>45618</v>
      </c>
      <c r="B84" s="20" t="s">
        <v>2813</v>
      </c>
      <c r="C84" s="20"/>
      <c r="D84" s="20" t="s">
        <v>2814</v>
      </c>
      <c r="E84" s="20" t="s">
        <v>2815</v>
      </c>
      <c r="F84" s="21" t="str">
        <f t="shared" si="5"/>
        <v>S/F C/343 VITOR MANUEL LOPES GOMES</v>
      </c>
      <c r="G84" s="12">
        <v>739.78</v>
      </c>
      <c r="H84" s="22">
        <v>21</v>
      </c>
      <c r="I84" s="21">
        <f t="shared" si="7"/>
        <v>155.35379999999998</v>
      </c>
      <c r="J84" s="21">
        <f t="shared" si="8"/>
        <v>739.78</v>
      </c>
      <c r="K84" s="22"/>
      <c r="L84" s="5">
        <f t="shared" si="9"/>
        <v>0</v>
      </c>
      <c r="M84" s="8">
        <v>899.31</v>
      </c>
      <c r="N84" s="2" t="s">
        <v>53</v>
      </c>
      <c r="O84" s="3" t="s">
        <v>64</v>
      </c>
      <c r="S84" t="s">
        <v>19</v>
      </c>
    </row>
    <row r="85" spans="1:19" x14ac:dyDescent="0.35">
      <c r="A85" s="24">
        <v>45619</v>
      </c>
      <c r="B85" s="20" t="s">
        <v>2821</v>
      </c>
      <c r="C85" s="20"/>
      <c r="D85" s="20" t="s">
        <v>25</v>
      </c>
      <c r="E85" s="20" t="s">
        <v>26</v>
      </c>
      <c r="F85" s="21" t="str">
        <f t="shared" si="5"/>
        <v>S/F 397668 SALTOKI</v>
      </c>
      <c r="G85" s="12">
        <f t="shared" si="6"/>
        <v>99.603305785123965</v>
      </c>
      <c r="H85" s="22">
        <v>21</v>
      </c>
      <c r="I85" s="21">
        <f t="shared" si="7"/>
        <v>20.916694214876035</v>
      </c>
      <c r="J85" s="21">
        <f t="shared" si="8"/>
        <v>99.603305785123965</v>
      </c>
      <c r="K85" s="21"/>
      <c r="L85" s="5">
        <f t="shared" si="9"/>
        <v>0</v>
      </c>
      <c r="M85" s="8">
        <v>120.52</v>
      </c>
      <c r="N85" s="2" t="s">
        <v>21</v>
      </c>
      <c r="O85" s="3" t="s">
        <v>65</v>
      </c>
      <c r="S85" t="s">
        <v>19</v>
      </c>
    </row>
    <row r="86" spans="1:19" x14ac:dyDescent="0.35">
      <c r="A86" s="24">
        <v>45619</v>
      </c>
      <c r="B86" s="20" t="s">
        <v>2822</v>
      </c>
      <c r="C86" s="20"/>
      <c r="D86" s="20" t="s">
        <v>25</v>
      </c>
      <c r="E86" s="20" t="s">
        <v>26</v>
      </c>
      <c r="F86" s="21" t="str">
        <f t="shared" si="5"/>
        <v>S/F 397669 SALTOKI</v>
      </c>
      <c r="G86" s="12">
        <f t="shared" si="6"/>
        <v>217.19834710743802</v>
      </c>
      <c r="H86" s="22">
        <v>21</v>
      </c>
      <c r="I86" s="21">
        <f t="shared" si="7"/>
        <v>45.611652892561985</v>
      </c>
      <c r="J86" s="21">
        <f t="shared" si="8"/>
        <v>217.19834710743802</v>
      </c>
      <c r="K86" s="22"/>
      <c r="L86" s="5">
        <f t="shared" si="9"/>
        <v>0</v>
      </c>
      <c r="M86" s="8">
        <v>262.81</v>
      </c>
      <c r="N86" s="2" t="s">
        <v>21</v>
      </c>
      <c r="O86" s="3" t="s">
        <v>65</v>
      </c>
      <c r="S86" t="s">
        <v>19</v>
      </c>
    </row>
    <row r="87" spans="1:19" x14ac:dyDescent="0.35">
      <c r="A87" s="24">
        <v>45621</v>
      </c>
      <c r="B87" s="20" t="s">
        <v>2830</v>
      </c>
      <c r="C87" s="20"/>
      <c r="D87" s="20" t="s">
        <v>1379</v>
      </c>
      <c r="E87" s="20" t="s">
        <v>1380</v>
      </c>
      <c r="F87" s="21" t="str">
        <f t="shared" si="5"/>
        <v>S/F 2024000188 DECORACIONES J. GARCIA S.L.</v>
      </c>
      <c r="G87" s="12">
        <f t="shared" si="6"/>
        <v>1114.2479338842975</v>
      </c>
      <c r="H87" s="22">
        <v>21</v>
      </c>
      <c r="I87" s="21">
        <f t="shared" si="7"/>
        <v>233.99206611570247</v>
      </c>
      <c r="J87" s="21">
        <f t="shared" si="8"/>
        <v>1114.2479338842975</v>
      </c>
      <c r="K87" s="22"/>
      <c r="L87" s="5">
        <f t="shared" si="9"/>
        <v>0</v>
      </c>
      <c r="M87" s="8">
        <v>1348.24</v>
      </c>
      <c r="N87" s="2" t="s">
        <v>21</v>
      </c>
      <c r="O87" s="3" t="s">
        <v>68</v>
      </c>
      <c r="S87" t="s">
        <v>19</v>
      </c>
    </row>
    <row r="88" spans="1:19" x14ac:dyDescent="0.35">
      <c r="A88" s="24">
        <v>45585</v>
      </c>
      <c r="B88" s="20" t="s">
        <v>2831</v>
      </c>
      <c r="C88" s="20"/>
      <c r="D88" s="20" t="s">
        <v>416</v>
      </c>
      <c r="E88" s="20" t="s">
        <v>2832</v>
      </c>
      <c r="F88" s="21" t="str">
        <f t="shared" si="5"/>
        <v>S/F 202490 ZENOVIU MARIS GORGAN</v>
      </c>
      <c r="G88" s="12">
        <f t="shared" si="6"/>
        <v>340</v>
      </c>
      <c r="H88" s="22">
        <v>21</v>
      </c>
      <c r="I88" s="21">
        <f t="shared" si="7"/>
        <v>71.400000000000006</v>
      </c>
      <c r="J88" s="21">
        <f t="shared" si="8"/>
        <v>340</v>
      </c>
      <c r="K88" s="22"/>
      <c r="L88" s="5">
        <f t="shared" si="9"/>
        <v>0</v>
      </c>
      <c r="M88" s="8">
        <v>411.4</v>
      </c>
      <c r="N88" s="2" t="s">
        <v>37</v>
      </c>
      <c r="O88" s="3" t="s">
        <v>68</v>
      </c>
      <c r="S88" t="s">
        <v>19</v>
      </c>
    </row>
    <row r="89" spans="1:19" x14ac:dyDescent="0.35">
      <c r="A89" s="24">
        <v>45624</v>
      </c>
      <c r="B89" s="20" t="s">
        <v>2851</v>
      </c>
      <c r="C89" s="20"/>
      <c r="D89" s="20" t="s">
        <v>72</v>
      </c>
      <c r="E89" s="20" t="s">
        <v>73</v>
      </c>
      <c r="F89" s="21" t="str">
        <f t="shared" si="5"/>
        <v>S/F 50/2024 COSTEL DINCU</v>
      </c>
      <c r="G89" s="12">
        <f t="shared" si="6"/>
        <v>785</v>
      </c>
      <c r="H89" s="22">
        <v>21</v>
      </c>
      <c r="I89" s="21">
        <f t="shared" si="7"/>
        <v>164.85</v>
      </c>
      <c r="J89" s="21">
        <f t="shared" si="8"/>
        <v>785</v>
      </c>
      <c r="K89" s="22"/>
      <c r="L89" s="5">
        <f t="shared" si="9"/>
        <v>0</v>
      </c>
      <c r="M89" s="8">
        <v>949.85</v>
      </c>
      <c r="N89" s="2" t="s">
        <v>37</v>
      </c>
      <c r="O89" s="3" t="s">
        <v>68</v>
      </c>
      <c r="S89" t="s">
        <v>19</v>
      </c>
    </row>
    <row r="90" spans="1:19" x14ac:dyDescent="0.35">
      <c r="A90" s="24">
        <v>45510</v>
      </c>
      <c r="B90" s="20" t="s">
        <v>2852</v>
      </c>
      <c r="C90" s="20"/>
      <c r="D90" s="20" t="s">
        <v>2853</v>
      </c>
      <c r="E90" s="20" t="s">
        <v>2854</v>
      </c>
      <c r="F90" s="21" t="str">
        <f t="shared" si="5"/>
        <v>S/F N001959/2024 DOLORES MORLAN GIMENEZ MONTESINOS FARMACIA</v>
      </c>
      <c r="G90" s="12">
        <v>22.34</v>
      </c>
      <c r="H90" s="22">
        <v>4</v>
      </c>
      <c r="I90" s="21">
        <f t="shared" si="7"/>
        <v>0.89359999999999995</v>
      </c>
      <c r="J90" s="21">
        <v>3.45</v>
      </c>
      <c r="K90" s="21">
        <v>10</v>
      </c>
      <c r="L90" s="5">
        <f t="shared" si="9"/>
        <v>0.34499999999999997</v>
      </c>
      <c r="M90" s="8">
        <v>27.03</v>
      </c>
      <c r="N90" s="2" t="s">
        <v>2858</v>
      </c>
      <c r="O90" s="3" t="s">
        <v>63</v>
      </c>
      <c r="S90" t="s">
        <v>19</v>
      </c>
    </row>
    <row r="91" spans="1:19" x14ac:dyDescent="0.35">
      <c r="A91" s="24">
        <v>45510</v>
      </c>
      <c r="B91" s="20" t="s">
        <v>2855</v>
      </c>
      <c r="C91" s="20"/>
      <c r="D91" s="20" t="s">
        <v>2856</v>
      </c>
      <c r="E91" s="20" t="s">
        <v>2857</v>
      </c>
      <c r="F91" s="21" t="str">
        <f t="shared" si="5"/>
        <v>S/F P000675/2024 GRUPO MOLRA GIMENEZ MONTESINOS</v>
      </c>
      <c r="G91" s="12">
        <v>5.99</v>
      </c>
      <c r="H91" s="22">
        <v>21</v>
      </c>
      <c r="I91" s="21">
        <f t="shared" si="7"/>
        <v>1.2579</v>
      </c>
      <c r="J91" s="21">
        <v>7.25</v>
      </c>
      <c r="K91" s="21">
        <v>10</v>
      </c>
      <c r="L91" s="5">
        <f t="shared" si="9"/>
        <v>0.72499999999999998</v>
      </c>
      <c r="M91" s="8">
        <v>22.38</v>
      </c>
      <c r="N91" s="2" t="s">
        <v>2858</v>
      </c>
      <c r="O91" s="3" t="s">
        <v>63</v>
      </c>
      <c r="S91" t="s">
        <v>19</v>
      </c>
    </row>
    <row r="92" spans="1:19" x14ac:dyDescent="0.35">
      <c r="A92" s="24">
        <v>45623</v>
      </c>
      <c r="B92" s="20" t="s">
        <v>2859</v>
      </c>
      <c r="C92" s="20"/>
      <c r="D92" s="20" t="s">
        <v>85</v>
      </c>
      <c r="E92" s="20" t="s">
        <v>32</v>
      </c>
      <c r="F92" s="21" t="str">
        <f t="shared" si="5"/>
        <v>S/F 20240138 XVENT</v>
      </c>
      <c r="G92" s="12">
        <f t="shared" si="6"/>
        <v>2728</v>
      </c>
      <c r="H92" s="22">
        <v>21</v>
      </c>
      <c r="I92" s="21">
        <f t="shared" si="7"/>
        <v>572.88</v>
      </c>
      <c r="J92" s="21">
        <f t="shared" si="8"/>
        <v>2728</v>
      </c>
      <c r="K92" s="22"/>
      <c r="L92" s="5">
        <f t="shared" si="9"/>
        <v>0</v>
      </c>
      <c r="M92" s="8">
        <v>3300.88</v>
      </c>
      <c r="N92" s="2" t="s">
        <v>37</v>
      </c>
      <c r="O92" s="3" t="s">
        <v>68</v>
      </c>
      <c r="S92" t="s">
        <v>19</v>
      </c>
    </row>
    <row r="93" spans="1:19" x14ac:dyDescent="0.35">
      <c r="A93" s="24">
        <v>45580</v>
      </c>
      <c r="B93" s="20" t="s">
        <v>2860</v>
      </c>
      <c r="C93" s="20"/>
      <c r="D93" s="20" t="s">
        <v>2861</v>
      </c>
      <c r="E93" s="20" t="s">
        <v>2862</v>
      </c>
      <c r="F93" s="21" t="str">
        <f t="shared" si="5"/>
        <v>S/F 15140 DAPSA</v>
      </c>
      <c r="G93" s="12">
        <f t="shared" si="6"/>
        <v>66.3</v>
      </c>
      <c r="H93" s="22">
        <v>10</v>
      </c>
      <c r="I93" s="21">
        <f t="shared" si="7"/>
        <v>6.63</v>
      </c>
      <c r="J93" s="21">
        <f t="shared" si="8"/>
        <v>66.3</v>
      </c>
      <c r="K93" s="22"/>
      <c r="L93" s="5">
        <f t="shared" si="9"/>
        <v>0</v>
      </c>
      <c r="M93" s="8">
        <v>72.930000000000007</v>
      </c>
      <c r="N93" s="2" t="s">
        <v>21</v>
      </c>
      <c r="S93" t="s">
        <v>19</v>
      </c>
    </row>
    <row r="94" spans="1:19" x14ac:dyDescent="0.35">
      <c r="A94" s="24" t="s">
        <v>2863</v>
      </c>
      <c r="B94" s="20" t="s">
        <v>2864</v>
      </c>
      <c r="C94" s="20"/>
      <c r="D94" s="20" t="s">
        <v>175</v>
      </c>
      <c r="E94" s="20" t="s">
        <v>1466</v>
      </c>
      <c r="F94" s="21" t="str">
        <f t="shared" si="5"/>
        <v>208820 HIPER CASA</v>
      </c>
      <c r="G94" s="12">
        <f t="shared" si="6"/>
        <v>17.652892561983471</v>
      </c>
      <c r="H94" s="22">
        <v>21</v>
      </c>
      <c r="I94" s="21">
        <f t="shared" si="7"/>
        <v>3.707107438016529</v>
      </c>
      <c r="J94" s="21">
        <f t="shared" si="8"/>
        <v>17.652892561983471</v>
      </c>
      <c r="K94" s="22"/>
      <c r="L94" s="5">
        <f t="shared" si="9"/>
        <v>0</v>
      </c>
      <c r="M94" s="8">
        <v>21.36</v>
      </c>
      <c r="N94" s="2" t="s">
        <v>61</v>
      </c>
      <c r="O94" s="3" t="s">
        <v>64</v>
      </c>
    </row>
    <row r="95" spans="1:19" x14ac:dyDescent="0.35">
      <c r="A95" s="24">
        <v>45604</v>
      </c>
      <c r="B95" s="20" t="s">
        <v>2865</v>
      </c>
      <c r="C95" s="20"/>
      <c r="D95" s="20" t="s">
        <v>168</v>
      </c>
      <c r="E95" s="20" t="s">
        <v>169</v>
      </c>
      <c r="F95" s="21" t="str">
        <f t="shared" si="5"/>
        <v>243622005678 BALLENOIL</v>
      </c>
      <c r="G95" s="12">
        <f t="shared" si="6"/>
        <v>24.793388429752067</v>
      </c>
      <c r="H95" s="22">
        <v>21</v>
      </c>
      <c r="I95" s="21">
        <f t="shared" si="7"/>
        <v>5.2066115702479339</v>
      </c>
      <c r="J95" s="21">
        <f t="shared" si="8"/>
        <v>24.793388429752067</v>
      </c>
      <c r="K95" s="22"/>
      <c r="L95" s="5">
        <f t="shared" si="9"/>
        <v>0</v>
      </c>
      <c r="M95" s="8">
        <v>30</v>
      </c>
      <c r="N95" s="2" t="s">
        <v>22</v>
      </c>
      <c r="O95" s="3" t="s">
        <v>64</v>
      </c>
    </row>
    <row r="96" spans="1:19" x14ac:dyDescent="0.35">
      <c r="A96" s="24">
        <v>45623</v>
      </c>
      <c r="B96" s="20" t="s">
        <v>2869</v>
      </c>
      <c r="C96" s="20"/>
      <c r="D96" s="20" t="s">
        <v>35</v>
      </c>
      <c r="E96" s="20" t="s">
        <v>2222</v>
      </c>
      <c r="F96" s="21" t="str">
        <f t="shared" si="5"/>
        <v>0240013642 PINTODIS</v>
      </c>
      <c r="G96" s="12">
        <f t="shared" si="6"/>
        <v>41.32231404958678</v>
      </c>
      <c r="H96" s="22">
        <v>21</v>
      </c>
      <c r="I96" s="21">
        <f t="shared" si="7"/>
        <v>8.677685950413224</v>
      </c>
      <c r="J96" s="21">
        <f t="shared" si="8"/>
        <v>41.32231404958678</v>
      </c>
      <c r="K96" s="22"/>
      <c r="L96" s="5">
        <f t="shared" si="9"/>
        <v>0</v>
      </c>
      <c r="M96" s="8">
        <v>50</v>
      </c>
      <c r="N96" s="2" t="s">
        <v>22</v>
      </c>
      <c r="O96" s="3" t="s">
        <v>64</v>
      </c>
    </row>
    <row r="97" spans="1:15" x14ac:dyDescent="0.35">
      <c r="A97" s="24">
        <v>45631</v>
      </c>
      <c r="B97" s="20" t="s">
        <v>2870</v>
      </c>
      <c r="C97" s="20"/>
      <c r="D97" s="20" t="s">
        <v>35</v>
      </c>
      <c r="E97" s="20" t="s">
        <v>2222</v>
      </c>
      <c r="F97" s="21" t="str">
        <f t="shared" si="5"/>
        <v>0240013820 PINTODIS</v>
      </c>
      <c r="G97" s="12">
        <f t="shared" si="6"/>
        <v>41.32231404958678</v>
      </c>
      <c r="H97" s="22">
        <v>21</v>
      </c>
      <c r="I97" s="21">
        <f t="shared" si="7"/>
        <v>8.677685950413224</v>
      </c>
      <c r="J97" s="21">
        <f t="shared" si="8"/>
        <v>41.32231404958678</v>
      </c>
      <c r="K97" s="22"/>
      <c r="L97" s="5">
        <f t="shared" si="9"/>
        <v>0</v>
      </c>
      <c r="M97" s="8">
        <v>50</v>
      </c>
      <c r="N97" s="2" t="s">
        <v>22</v>
      </c>
      <c r="O97" s="3" t="s">
        <v>64</v>
      </c>
    </row>
    <row r="98" spans="1:15" x14ac:dyDescent="0.35">
      <c r="A98" s="24">
        <v>45635</v>
      </c>
      <c r="B98" s="20" t="s">
        <v>2871</v>
      </c>
      <c r="C98" s="20"/>
      <c r="D98" s="20" t="s">
        <v>107</v>
      </c>
      <c r="E98" s="20" t="s">
        <v>2021</v>
      </c>
      <c r="F98" s="21" t="str">
        <f t="shared" si="5"/>
        <v>24/195 AIRCLIMA2000 S.L.</v>
      </c>
      <c r="G98" s="12">
        <f t="shared" si="6"/>
        <v>2225</v>
      </c>
      <c r="H98" s="22">
        <v>21</v>
      </c>
      <c r="I98" s="21">
        <f t="shared" si="7"/>
        <v>467.25</v>
      </c>
      <c r="J98" s="21">
        <f t="shared" si="8"/>
        <v>2225</v>
      </c>
      <c r="K98" s="22"/>
      <c r="L98" s="5">
        <f t="shared" si="9"/>
        <v>0</v>
      </c>
      <c r="M98" s="8">
        <v>2692.25</v>
      </c>
      <c r="N98" s="2" t="s">
        <v>37</v>
      </c>
      <c r="O98" s="3" t="s">
        <v>68</v>
      </c>
    </row>
    <row r="99" spans="1:15" x14ac:dyDescent="0.35">
      <c r="A99" s="24">
        <v>45626</v>
      </c>
      <c r="B99" s="20" t="s">
        <v>1261</v>
      </c>
      <c r="C99" s="20"/>
      <c r="D99" s="20" t="s">
        <v>134</v>
      </c>
      <c r="E99" s="20" t="s">
        <v>143</v>
      </c>
      <c r="F99" s="21" t="str">
        <f t="shared" si="5"/>
        <v>73 IOAN NICULAI</v>
      </c>
      <c r="G99" s="12">
        <f t="shared" si="6"/>
        <v>6611.5702479338843</v>
      </c>
      <c r="H99" s="22">
        <v>21</v>
      </c>
      <c r="I99" s="21">
        <f t="shared" si="7"/>
        <v>1388.4297520661157</v>
      </c>
      <c r="J99" s="21">
        <f t="shared" si="8"/>
        <v>6611.5702479338843</v>
      </c>
      <c r="K99" s="22"/>
      <c r="L99" s="5">
        <f t="shared" si="9"/>
        <v>0</v>
      </c>
      <c r="M99" s="8">
        <v>8000</v>
      </c>
      <c r="N99" s="2" t="s">
        <v>37</v>
      </c>
      <c r="O99" s="3" t="s">
        <v>68</v>
      </c>
    </row>
    <row r="100" spans="1:15" x14ac:dyDescent="0.35">
      <c r="A100" s="24">
        <v>45623</v>
      </c>
      <c r="B100" s="20" t="s">
        <v>2872</v>
      </c>
      <c r="C100" s="20"/>
      <c r="D100" s="20" t="s">
        <v>2873</v>
      </c>
      <c r="E100" s="20" t="s">
        <v>2874</v>
      </c>
      <c r="F100" s="21" t="str">
        <f t="shared" si="5"/>
        <v>00043 FLORIN DORIN STOICA</v>
      </c>
      <c r="G100" s="12">
        <f t="shared" si="6"/>
        <v>5530</v>
      </c>
      <c r="H100" s="22">
        <v>21</v>
      </c>
      <c r="I100" s="21">
        <f t="shared" si="7"/>
        <v>1161.3</v>
      </c>
      <c r="J100" s="21">
        <v>4.74</v>
      </c>
      <c r="K100" s="21"/>
      <c r="L100" s="5">
        <f t="shared" si="9"/>
        <v>0</v>
      </c>
      <c r="M100" s="8">
        <v>6691.3</v>
      </c>
      <c r="N100" s="2" t="s">
        <v>37</v>
      </c>
      <c r="O100" s="3" t="s">
        <v>68</v>
      </c>
    </row>
    <row r="101" spans="1:15" x14ac:dyDescent="0.35">
      <c r="A101" s="24">
        <v>45625</v>
      </c>
      <c r="B101" s="20" t="s">
        <v>2875</v>
      </c>
      <c r="C101" s="20"/>
      <c r="D101" s="20" t="s">
        <v>2668</v>
      </c>
      <c r="E101" s="20" t="s">
        <v>2669</v>
      </c>
      <c r="F101" s="21" t="str">
        <f t="shared" si="5"/>
        <v>357 ARTE VETA</v>
      </c>
      <c r="G101" s="12">
        <f t="shared" si="6"/>
        <v>1935.8677685950415</v>
      </c>
      <c r="H101" s="22">
        <v>21</v>
      </c>
      <c r="I101" s="21">
        <f t="shared" si="7"/>
        <v>406.53223140495874</v>
      </c>
      <c r="J101" s="21">
        <f t="shared" si="8"/>
        <v>1935.8677685950415</v>
      </c>
      <c r="K101" s="22"/>
      <c r="L101" s="5">
        <f t="shared" si="9"/>
        <v>0</v>
      </c>
      <c r="M101" s="8">
        <v>2342.4</v>
      </c>
      <c r="N101" s="2" t="s">
        <v>21</v>
      </c>
      <c r="O101" s="3" t="s">
        <v>68</v>
      </c>
    </row>
    <row r="102" spans="1:15" x14ac:dyDescent="0.35">
      <c r="A102" s="24">
        <v>45635</v>
      </c>
      <c r="B102" s="20" t="s">
        <v>2876</v>
      </c>
      <c r="C102" s="20"/>
      <c r="D102" s="20" t="s">
        <v>234</v>
      </c>
      <c r="E102" s="20" t="s">
        <v>235</v>
      </c>
      <c r="F102" s="21" t="str">
        <f t="shared" si="5"/>
        <v>17/24 VIOREL ROBCIUC</v>
      </c>
      <c r="G102" s="12">
        <f t="shared" si="6"/>
        <v>613.07438016528931</v>
      </c>
      <c r="H102" s="22">
        <v>21</v>
      </c>
      <c r="I102" s="21">
        <f t="shared" si="7"/>
        <v>128.74561983471077</v>
      </c>
      <c r="J102" s="21">
        <f t="shared" si="8"/>
        <v>613.07438016528931</v>
      </c>
      <c r="K102" s="22"/>
      <c r="L102" s="5">
        <f t="shared" si="9"/>
        <v>0</v>
      </c>
      <c r="M102" s="8">
        <v>741.82</v>
      </c>
      <c r="N102" s="2" t="s">
        <v>37</v>
      </c>
      <c r="O102" s="3" t="s">
        <v>68</v>
      </c>
    </row>
    <row r="103" spans="1:15" x14ac:dyDescent="0.35">
      <c r="A103" s="24">
        <v>45626</v>
      </c>
      <c r="B103" s="20" t="s">
        <v>2877</v>
      </c>
      <c r="C103" s="20"/>
      <c r="D103" s="20" t="s">
        <v>200</v>
      </c>
      <c r="E103" s="20" t="s">
        <v>186</v>
      </c>
      <c r="F103" s="21" t="str">
        <f t="shared" si="5"/>
        <v>0126397 I.D.F. SUMINISTROS INDUSTRIALES</v>
      </c>
      <c r="G103" s="12">
        <f t="shared" si="6"/>
        <v>137.71074380165288</v>
      </c>
      <c r="H103" s="22">
        <v>21</v>
      </c>
      <c r="I103" s="21">
        <f t="shared" si="7"/>
        <v>28.919256198347107</v>
      </c>
      <c r="J103" s="21">
        <f t="shared" si="8"/>
        <v>137.71074380165288</v>
      </c>
      <c r="K103" s="22"/>
      <c r="L103" s="5">
        <f t="shared" si="9"/>
        <v>0</v>
      </c>
      <c r="M103" s="8">
        <v>166.63</v>
      </c>
      <c r="N103" s="2" t="s">
        <v>21</v>
      </c>
      <c r="O103" s="3" t="s">
        <v>65</v>
      </c>
    </row>
    <row r="104" spans="1:15" x14ac:dyDescent="0.35">
      <c r="A104" s="24">
        <v>45626</v>
      </c>
      <c r="B104" s="20" t="s">
        <v>2878</v>
      </c>
      <c r="C104" s="20"/>
      <c r="D104" s="20" t="s">
        <v>25</v>
      </c>
      <c r="E104" s="20" t="s">
        <v>26</v>
      </c>
      <c r="F104" s="21" t="str">
        <f t="shared" si="5"/>
        <v>407726 SALTOKI</v>
      </c>
      <c r="G104" s="12">
        <f t="shared" si="6"/>
        <v>259.87603305785126</v>
      </c>
      <c r="H104" s="22">
        <v>21</v>
      </c>
      <c r="I104" s="21">
        <f t="shared" si="7"/>
        <v>54.573966942148765</v>
      </c>
      <c r="J104" s="21">
        <f t="shared" si="8"/>
        <v>259.87603305785126</v>
      </c>
      <c r="K104" s="22"/>
      <c r="L104" s="5">
        <f t="shared" si="9"/>
        <v>0</v>
      </c>
      <c r="M104" s="8">
        <v>314.45</v>
      </c>
      <c r="N104" s="2" t="s">
        <v>21</v>
      </c>
      <c r="O104" s="3" t="s">
        <v>65</v>
      </c>
    </row>
    <row r="105" spans="1:15" x14ac:dyDescent="0.35">
      <c r="A105" s="24">
        <v>45626</v>
      </c>
      <c r="B105" s="20" t="s">
        <v>2879</v>
      </c>
      <c r="C105" s="20"/>
      <c r="D105" s="20" t="s">
        <v>25</v>
      </c>
      <c r="E105" s="20" t="s">
        <v>26</v>
      </c>
      <c r="F105" s="21" t="str">
        <f t="shared" si="5"/>
        <v>407725 SALTOKI</v>
      </c>
      <c r="G105" s="12">
        <f t="shared" si="6"/>
        <v>-170.82644628099172</v>
      </c>
      <c r="H105" s="22">
        <v>21</v>
      </c>
      <c r="I105" s="21">
        <f t="shared" si="7"/>
        <v>-35.873553719008257</v>
      </c>
      <c r="J105" s="21">
        <f t="shared" si="8"/>
        <v>-170.82644628099172</v>
      </c>
      <c r="K105" s="22"/>
      <c r="L105" s="5">
        <f t="shared" si="9"/>
        <v>0</v>
      </c>
      <c r="M105" s="8">
        <v>-206.7</v>
      </c>
      <c r="N105" s="2" t="s">
        <v>21</v>
      </c>
      <c r="O105" s="3" t="s">
        <v>65</v>
      </c>
    </row>
    <row r="106" spans="1:15" x14ac:dyDescent="0.35">
      <c r="A106" s="24">
        <v>45626</v>
      </c>
      <c r="B106" s="20" t="s">
        <v>2880</v>
      </c>
      <c r="C106" s="20"/>
      <c r="D106" s="20" t="s">
        <v>25</v>
      </c>
      <c r="E106" s="20" t="s">
        <v>26</v>
      </c>
      <c r="F106" s="21" t="str">
        <f t="shared" si="5"/>
        <v>407724 SALTOKI</v>
      </c>
      <c r="G106" s="12">
        <f t="shared" si="6"/>
        <v>-67.049586776859499</v>
      </c>
      <c r="H106" s="22">
        <v>21</v>
      </c>
      <c r="I106" s="21">
        <f t="shared" si="7"/>
        <v>-14.080413223140495</v>
      </c>
      <c r="J106" s="21">
        <f t="shared" si="8"/>
        <v>-67.049586776859499</v>
      </c>
      <c r="K106" s="22"/>
      <c r="L106" s="5">
        <f t="shared" si="9"/>
        <v>0</v>
      </c>
      <c r="M106" s="8">
        <v>-81.13</v>
      </c>
      <c r="N106" s="2" t="s">
        <v>21</v>
      </c>
      <c r="O106" s="3" t="s">
        <v>65</v>
      </c>
    </row>
    <row r="107" spans="1:15" x14ac:dyDescent="0.35">
      <c r="A107" s="24">
        <v>45633</v>
      </c>
      <c r="B107" s="20" t="s">
        <v>2881</v>
      </c>
      <c r="C107" s="20"/>
      <c r="D107" s="20" t="s">
        <v>25</v>
      </c>
      <c r="E107" s="20" t="s">
        <v>26</v>
      </c>
      <c r="F107" s="21" t="str">
        <f t="shared" si="5"/>
        <v>418399 SALTOKI</v>
      </c>
      <c r="G107" s="12">
        <f t="shared" si="6"/>
        <v>381.77685950413223</v>
      </c>
      <c r="H107" s="22">
        <v>21</v>
      </c>
      <c r="I107" s="21">
        <f t="shared" si="7"/>
        <v>80.17314049586777</v>
      </c>
      <c r="J107" s="21">
        <f t="shared" si="8"/>
        <v>381.77685950413223</v>
      </c>
      <c r="K107" s="22"/>
      <c r="L107" s="5">
        <f t="shared" si="9"/>
        <v>0</v>
      </c>
      <c r="M107" s="8">
        <v>461.95</v>
      </c>
      <c r="N107" s="2" t="s">
        <v>21</v>
      </c>
      <c r="O107" s="3" t="s">
        <v>65</v>
      </c>
    </row>
    <row r="108" spans="1:15" x14ac:dyDescent="0.35">
      <c r="A108" s="24">
        <v>45626</v>
      </c>
      <c r="B108" s="20" t="s">
        <v>2882</v>
      </c>
      <c r="C108" s="20"/>
      <c r="D108" s="20" t="s">
        <v>1334</v>
      </c>
      <c r="E108" s="20" t="s">
        <v>2883</v>
      </c>
      <c r="F108" s="21" t="str">
        <f t="shared" si="5"/>
        <v>434314642 SUMINSTROS ELECTRICOS GUARDEÑO</v>
      </c>
      <c r="G108" s="12">
        <f t="shared" si="6"/>
        <v>85.148760330578511</v>
      </c>
      <c r="H108" s="22">
        <v>21</v>
      </c>
      <c r="I108" s="21">
        <f t="shared" si="7"/>
        <v>17.88123966942149</v>
      </c>
      <c r="J108" s="21">
        <f t="shared" si="8"/>
        <v>85.148760330578511</v>
      </c>
      <c r="K108" s="22"/>
      <c r="L108" s="5">
        <f t="shared" si="9"/>
        <v>0</v>
      </c>
      <c r="M108" s="8">
        <v>103.03</v>
      </c>
      <c r="N108" s="2" t="s">
        <v>21</v>
      </c>
      <c r="O108" s="3" t="s">
        <v>65</v>
      </c>
    </row>
    <row r="109" spans="1:15" x14ac:dyDescent="0.35">
      <c r="A109" s="24">
        <v>45626</v>
      </c>
      <c r="B109" s="20" t="s">
        <v>2884</v>
      </c>
      <c r="C109" s="20"/>
      <c r="D109" s="20" t="s">
        <v>109</v>
      </c>
      <c r="E109" s="20" t="s">
        <v>42</v>
      </c>
      <c r="F109" s="21" t="str">
        <f t="shared" si="5"/>
        <v>24119932 DISCESUR</v>
      </c>
      <c r="G109" s="12">
        <f t="shared" si="6"/>
        <v>3258.2892561983472</v>
      </c>
      <c r="H109" s="22">
        <v>21</v>
      </c>
      <c r="I109" s="21">
        <f t="shared" si="7"/>
        <v>684.24074380165291</v>
      </c>
      <c r="J109" s="21">
        <f t="shared" si="8"/>
        <v>3258.2892561983472</v>
      </c>
      <c r="K109" s="22"/>
      <c r="L109" s="5">
        <f t="shared" si="9"/>
        <v>0</v>
      </c>
      <c r="M109" s="8">
        <v>3942.53</v>
      </c>
      <c r="N109" s="2" t="s">
        <v>21</v>
      </c>
      <c r="O109" s="3" t="s">
        <v>65</v>
      </c>
    </row>
    <row r="110" spans="1:15" x14ac:dyDescent="0.35">
      <c r="A110" s="24">
        <v>45626</v>
      </c>
      <c r="B110" s="20" t="s">
        <v>2885</v>
      </c>
      <c r="C110" s="20"/>
      <c r="D110" s="20" t="s">
        <v>109</v>
      </c>
      <c r="E110" s="20" t="s">
        <v>42</v>
      </c>
      <c r="F110" s="21" t="str">
        <f t="shared" si="5"/>
        <v>24119933 DISCESUR</v>
      </c>
      <c r="G110" s="12">
        <f t="shared" si="6"/>
        <v>49.793388429752071</v>
      </c>
      <c r="H110" s="22">
        <v>21</v>
      </c>
      <c r="I110" s="21">
        <f t="shared" si="7"/>
        <v>10.456611570247935</v>
      </c>
      <c r="J110" s="21">
        <f t="shared" si="8"/>
        <v>49.793388429752071</v>
      </c>
      <c r="K110" s="22"/>
      <c r="L110" s="5">
        <f t="shared" si="9"/>
        <v>0</v>
      </c>
      <c r="M110" s="8">
        <v>60.25</v>
      </c>
      <c r="N110" s="2" t="s">
        <v>21</v>
      </c>
      <c r="O110" s="3" t="s">
        <v>65</v>
      </c>
    </row>
    <row r="111" spans="1:15" x14ac:dyDescent="0.35">
      <c r="A111" s="24">
        <v>45625</v>
      </c>
      <c r="B111" s="20" t="s">
        <v>2886</v>
      </c>
      <c r="C111" s="20"/>
      <c r="D111" s="20" t="s">
        <v>109</v>
      </c>
      <c r="E111" s="20" t="s">
        <v>42</v>
      </c>
      <c r="F111" s="21" t="str">
        <f t="shared" si="5"/>
        <v>24119934 DISCESUR</v>
      </c>
      <c r="G111" s="12">
        <f t="shared" si="6"/>
        <v>55.272727272727273</v>
      </c>
      <c r="H111" s="22">
        <v>21</v>
      </c>
      <c r="I111" s="21">
        <f t="shared" si="7"/>
        <v>11.607272727272727</v>
      </c>
      <c r="J111" s="21">
        <f t="shared" si="8"/>
        <v>55.272727272727273</v>
      </c>
      <c r="K111" s="22"/>
      <c r="L111" s="5">
        <f t="shared" si="9"/>
        <v>0</v>
      </c>
      <c r="M111" s="8">
        <v>66.88</v>
      </c>
      <c r="N111" s="2" t="s">
        <v>21</v>
      </c>
      <c r="O111" s="3" t="s">
        <v>65</v>
      </c>
    </row>
    <row r="112" spans="1:15" x14ac:dyDescent="0.35">
      <c r="A112" s="24">
        <v>45626</v>
      </c>
      <c r="B112" s="20" t="s">
        <v>2887</v>
      </c>
      <c r="C112" s="20"/>
      <c r="D112" s="20" t="s">
        <v>109</v>
      </c>
      <c r="E112" s="20" t="s">
        <v>42</v>
      </c>
      <c r="F112" s="21" t="str">
        <f t="shared" si="5"/>
        <v>24119935 DISCESUR</v>
      </c>
      <c r="G112" s="12">
        <f t="shared" si="6"/>
        <v>39.826446280991732</v>
      </c>
      <c r="H112" s="22">
        <v>21</v>
      </c>
      <c r="I112" s="21">
        <f t="shared" si="7"/>
        <v>8.3635537190082641</v>
      </c>
      <c r="J112" s="21">
        <f t="shared" si="8"/>
        <v>39.826446280991732</v>
      </c>
      <c r="K112" s="22"/>
      <c r="L112" s="5">
        <f t="shared" si="9"/>
        <v>0</v>
      </c>
      <c r="M112" s="8">
        <v>48.19</v>
      </c>
      <c r="N112" s="2" t="s">
        <v>21</v>
      </c>
      <c r="O112" s="3" t="s">
        <v>65</v>
      </c>
    </row>
    <row r="113" spans="1:15" x14ac:dyDescent="0.35">
      <c r="A113" s="24">
        <v>45626</v>
      </c>
      <c r="B113" s="20" t="s">
        <v>2888</v>
      </c>
      <c r="C113" s="20"/>
      <c r="D113" s="20" t="s">
        <v>109</v>
      </c>
      <c r="E113" s="20" t="s">
        <v>42</v>
      </c>
      <c r="F113" s="21" t="str">
        <f t="shared" si="5"/>
        <v>24119936 DISCESUR</v>
      </c>
      <c r="G113" s="12">
        <f t="shared" si="6"/>
        <v>1130.8760330578511</v>
      </c>
      <c r="H113" s="22">
        <v>21</v>
      </c>
      <c r="I113" s="21">
        <f t="shared" si="7"/>
        <v>237.48396694214873</v>
      </c>
      <c r="J113" s="21">
        <f t="shared" si="8"/>
        <v>1130.8760330578511</v>
      </c>
      <c r="K113" s="22"/>
      <c r="L113" s="5">
        <f t="shared" si="9"/>
        <v>0</v>
      </c>
      <c r="M113" s="8">
        <v>1368.36</v>
      </c>
      <c r="N113" s="2" t="s">
        <v>21</v>
      </c>
      <c r="O113" s="3" t="s">
        <v>65</v>
      </c>
    </row>
    <row r="114" spans="1:15" x14ac:dyDescent="0.35">
      <c r="A114" s="24">
        <v>45626</v>
      </c>
      <c r="B114" s="20" t="s">
        <v>2889</v>
      </c>
      <c r="C114" s="20"/>
      <c r="D114" s="20" t="s">
        <v>109</v>
      </c>
      <c r="E114" s="20" t="s">
        <v>42</v>
      </c>
      <c r="F114" s="21" t="str">
        <f t="shared" si="5"/>
        <v>24119937 DISCESUR</v>
      </c>
      <c r="G114" s="12">
        <f t="shared" si="6"/>
        <v>35.33884297520661</v>
      </c>
      <c r="H114" s="22">
        <v>21</v>
      </c>
      <c r="I114" s="21">
        <f t="shared" si="7"/>
        <v>7.4211570247933878</v>
      </c>
      <c r="J114" s="21">
        <f t="shared" si="8"/>
        <v>35.33884297520661</v>
      </c>
      <c r="K114" s="22"/>
      <c r="L114" s="5">
        <f t="shared" si="9"/>
        <v>0</v>
      </c>
      <c r="M114" s="8">
        <v>42.76</v>
      </c>
      <c r="N114" s="2" t="s">
        <v>21</v>
      </c>
      <c r="O114" s="3" t="s">
        <v>65</v>
      </c>
    </row>
    <row r="115" spans="1:15" x14ac:dyDescent="0.35">
      <c r="A115" s="24">
        <v>45626</v>
      </c>
      <c r="B115" s="20" t="s">
        <v>2890</v>
      </c>
      <c r="C115" s="20"/>
      <c r="D115" s="20" t="s">
        <v>109</v>
      </c>
      <c r="E115" s="20" t="s">
        <v>42</v>
      </c>
      <c r="F115" s="21" t="str">
        <f t="shared" si="5"/>
        <v>24119938 DISCESUR</v>
      </c>
      <c r="G115" s="12">
        <f t="shared" si="6"/>
        <v>294.50413223140498</v>
      </c>
      <c r="H115" s="22">
        <v>21</v>
      </c>
      <c r="I115" s="21">
        <f t="shared" si="7"/>
        <v>61.845867768595042</v>
      </c>
      <c r="J115" s="21">
        <f t="shared" si="8"/>
        <v>294.50413223140498</v>
      </c>
      <c r="K115" s="22"/>
      <c r="L115" s="5">
        <f t="shared" si="9"/>
        <v>0</v>
      </c>
      <c r="M115" s="8">
        <v>356.35</v>
      </c>
      <c r="N115" s="2" t="s">
        <v>21</v>
      </c>
      <c r="O115" s="3" t="s">
        <v>65</v>
      </c>
    </row>
    <row r="116" spans="1:15" x14ac:dyDescent="0.35">
      <c r="A116" s="24">
        <v>45626</v>
      </c>
      <c r="B116" s="20" t="s">
        <v>2891</v>
      </c>
      <c r="C116" s="20"/>
      <c r="D116" s="20" t="s">
        <v>94</v>
      </c>
      <c r="E116" s="20" t="s">
        <v>139</v>
      </c>
      <c r="F116" s="21" t="str">
        <f t="shared" si="5"/>
        <v>VEN/20304775 BIGMAT</v>
      </c>
      <c r="G116" s="12">
        <f t="shared" si="6"/>
        <v>2643.2561983471078</v>
      </c>
      <c r="H116" s="22">
        <v>21</v>
      </c>
      <c r="I116" s="21">
        <f t="shared" si="7"/>
        <v>555.0838016528927</v>
      </c>
      <c r="J116" s="21">
        <f t="shared" si="8"/>
        <v>2643.2561983471078</v>
      </c>
      <c r="K116" s="22"/>
      <c r="L116" s="5">
        <f t="shared" si="9"/>
        <v>0</v>
      </c>
      <c r="M116" s="8">
        <v>3198.34</v>
      </c>
      <c r="N116" s="2" t="s">
        <v>21</v>
      </c>
      <c r="O116" s="3" t="s">
        <v>65</v>
      </c>
    </row>
    <row r="117" spans="1:15" x14ac:dyDescent="0.35">
      <c r="A117" s="24">
        <v>45627</v>
      </c>
      <c r="B117" s="20" t="s">
        <v>2892</v>
      </c>
      <c r="C117" s="20"/>
      <c r="D117" s="20" t="s">
        <v>2893</v>
      </c>
      <c r="E117" s="20" t="s">
        <v>2896</v>
      </c>
      <c r="F117" s="21" t="str">
        <f t="shared" si="5"/>
        <v>2024-00009 MARCELA ROMAN TUNS</v>
      </c>
      <c r="G117" s="12">
        <f t="shared" si="6"/>
        <v>161.15702479338844</v>
      </c>
      <c r="H117" s="22">
        <v>21</v>
      </c>
      <c r="I117" s="21">
        <f t="shared" si="7"/>
        <v>33.84297520661157</v>
      </c>
      <c r="J117" s="21">
        <f t="shared" si="8"/>
        <v>161.15702479338844</v>
      </c>
      <c r="K117" s="22"/>
      <c r="L117" s="5">
        <f t="shared" si="9"/>
        <v>0</v>
      </c>
      <c r="M117" s="8">
        <v>195</v>
      </c>
      <c r="N117" s="2" t="s">
        <v>2894</v>
      </c>
      <c r="O117" s="3" t="s">
        <v>68</v>
      </c>
    </row>
    <row r="118" spans="1:15" x14ac:dyDescent="0.35">
      <c r="A118" s="24">
        <v>45629</v>
      </c>
      <c r="B118" s="20" t="s">
        <v>2895</v>
      </c>
      <c r="C118" s="20"/>
      <c r="D118" s="20" t="s">
        <v>2893</v>
      </c>
      <c r="E118" s="20" t="s">
        <v>2896</v>
      </c>
      <c r="F118" s="21" t="str">
        <f t="shared" si="5"/>
        <v>2024-00010 MARCELA ROMAN TUNS</v>
      </c>
      <c r="G118" s="12">
        <f t="shared" si="6"/>
        <v>95</v>
      </c>
      <c r="H118" s="22">
        <v>21</v>
      </c>
      <c r="I118" s="21">
        <f t="shared" si="7"/>
        <v>19.95</v>
      </c>
      <c r="J118" s="21">
        <f t="shared" si="8"/>
        <v>95</v>
      </c>
      <c r="K118" s="22"/>
      <c r="L118" s="5">
        <f t="shared" si="9"/>
        <v>0</v>
      </c>
      <c r="M118" s="8">
        <v>114.95</v>
      </c>
      <c r="N118" s="2" t="s">
        <v>2894</v>
      </c>
      <c r="O118" s="3" t="s">
        <v>68</v>
      </c>
    </row>
    <row r="119" spans="1:15" x14ac:dyDescent="0.35">
      <c r="A119" s="24">
        <v>45626</v>
      </c>
      <c r="B119" s="20" t="s">
        <v>2912</v>
      </c>
      <c r="C119" s="20"/>
      <c r="D119" s="20" t="s">
        <v>2754</v>
      </c>
      <c r="E119" s="20" t="s">
        <v>2755</v>
      </c>
      <c r="F119" s="21" t="str">
        <f t="shared" ref="F119:F350" si="10">CONCATENATE(S119,B119," ",E119)</f>
        <v>L/24/00165481 SOLRED</v>
      </c>
      <c r="G119" s="12">
        <f t="shared" si="6"/>
        <v>92.057851239669418</v>
      </c>
      <c r="H119" s="22">
        <v>21</v>
      </c>
      <c r="I119" s="21">
        <f t="shared" si="7"/>
        <v>19.332148760330579</v>
      </c>
      <c r="J119" s="21">
        <f t="shared" si="8"/>
        <v>92.057851239669418</v>
      </c>
      <c r="K119" s="22"/>
      <c r="L119" s="5">
        <f t="shared" si="9"/>
        <v>0</v>
      </c>
      <c r="M119" s="8">
        <v>111.39</v>
      </c>
      <c r="N119" s="2" t="s">
        <v>22</v>
      </c>
      <c r="O119" s="3" t="s">
        <v>63</v>
      </c>
    </row>
    <row r="120" spans="1:15" x14ac:dyDescent="0.35">
      <c r="A120" s="24">
        <v>45619</v>
      </c>
      <c r="B120" s="20" t="s">
        <v>2913</v>
      </c>
      <c r="C120" s="20"/>
      <c r="D120" s="20" t="s">
        <v>1473</v>
      </c>
      <c r="E120" s="20" t="s">
        <v>1474</v>
      </c>
      <c r="F120" s="21" t="str">
        <f t="shared" si="10"/>
        <v>003564 GARDEN RIVAS</v>
      </c>
      <c r="G120" s="12">
        <v>10.54</v>
      </c>
      <c r="H120" s="22">
        <v>21</v>
      </c>
      <c r="I120" s="21">
        <f t="shared" si="7"/>
        <v>2.2133999999999996</v>
      </c>
      <c r="J120" s="21">
        <v>7.69</v>
      </c>
      <c r="K120" s="21">
        <v>10</v>
      </c>
      <c r="L120" s="5">
        <f>J120*K120/100</f>
        <v>0.76900000000000002</v>
      </c>
      <c r="M120" s="8">
        <v>21.21</v>
      </c>
      <c r="N120" s="2" t="s">
        <v>21</v>
      </c>
      <c r="O120" s="3" t="s">
        <v>63</v>
      </c>
    </row>
    <row r="121" spans="1:15" x14ac:dyDescent="0.35">
      <c r="A121" s="24">
        <v>45601</v>
      </c>
      <c r="B121" s="20" t="s">
        <v>2914</v>
      </c>
      <c r="C121" s="20"/>
      <c r="D121" s="20" t="s">
        <v>58</v>
      </c>
      <c r="E121" s="20" t="s">
        <v>2715</v>
      </c>
      <c r="F121" s="21" t="str">
        <f t="shared" si="10"/>
        <v>007-0011-792187 BRICOLAJE BRICOMAN S.L.U.</v>
      </c>
      <c r="G121" s="12">
        <f t="shared" ref="G121:G175" si="11">M121/(1-K121/100+H121/100)</f>
        <v>14.793388429752065</v>
      </c>
      <c r="H121" s="22">
        <v>21</v>
      </c>
      <c r="I121" s="21">
        <f t="shared" ref="I121:I175" si="12">G121*H121/100</f>
        <v>3.1066115702479338</v>
      </c>
      <c r="J121" s="21">
        <f t="shared" ref="J121:J175" si="13">G121</f>
        <v>14.793388429752065</v>
      </c>
      <c r="K121" s="22"/>
      <c r="L121" s="5">
        <f t="shared" ref="L121:L175" si="14">J121*K121/100</f>
        <v>0</v>
      </c>
      <c r="M121" s="8">
        <v>17.899999999999999</v>
      </c>
      <c r="N121" s="2" t="s">
        <v>21</v>
      </c>
      <c r="O121" s="3" t="s">
        <v>63</v>
      </c>
    </row>
    <row r="122" spans="1:15" x14ac:dyDescent="0.35">
      <c r="A122" s="24">
        <v>45630</v>
      </c>
      <c r="B122" s="20" t="s">
        <v>2915</v>
      </c>
      <c r="C122" s="20"/>
      <c r="D122" s="20" t="s">
        <v>57</v>
      </c>
      <c r="E122" s="20" t="s">
        <v>44</v>
      </c>
      <c r="F122" s="21" t="str">
        <f t="shared" si="10"/>
        <v>045-0012-452114 LEROY MERLIN</v>
      </c>
      <c r="G122" s="12">
        <f t="shared" si="11"/>
        <v>28.917355371900829</v>
      </c>
      <c r="H122" s="22">
        <v>21</v>
      </c>
      <c r="I122" s="21">
        <f t="shared" si="12"/>
        <v>6.0726446280991739</v>
      </c>
      <c r="J122" s="21">
        <f t="shared" si="13"/>
        <v>28.917355371900829</v>
      </c>
      <c r="K122" s="22"/>
      <c r="L122" s="5">
        <f t="shared" si="14"/>
        <v>0</v>
      </c>
      <c r="M122" s="8">
        <v>34.99</v>
      </c>
      <c r="N122" s="2" t="s">
        <v>21</v>
      </c>
      <c r="O122" s="3" t="s">
        <v>64</v>
      </c>
    </row>
    <row r="123" spans="1:15" x14ac:dyDescent="0.35">
      <c r="A123" s="24">
        <v>45630</v>
      </c>
      <c r="B123" s="20" t="s">
        <v>2916</v>
      </c>
      <c r="C123" s="20"/>
      <c r="D123" s="20" t="s">
        <v>58</v>
      </c>
      <c r="E123" s="20" t="s">
        <v>2715</v>
      </c>
      <c r="F123" s="21" t="str">
        <f t="shared" si="10"/>
        <v>007-0012-835312 BRICOLAJE BRICOMAN S.L.U.</v>
      </c>
      <c r="G123" s="12">
        <f t="shared" si="11"/>
        <v>23.380165289256198</v>
      </c>
      <c r="H123" s="22">
        <v>21</v>
      </c>
      <c r="I123" s="21">
        <f t="shared" si="12"/>
        <v>4.9098347107438016</v>
      </c>
      <c r="J123" s="21">
        <f t="shared" si="13"/>
        <v>23.380165289256198</v>
      </c>
      <c r="K123" s="22"/>
      <c r="L123" s="5">
        <f t="shared" si="14"/>
        <v>0</v>
      </c>
      <c r="M123" s="8">
        <v>28.29</v>
      </c>
      <c r="N123" s="2" t="s">
        <v>21</v>
      </c>
      <c r="O123" s="3" t="s">
        <v>64</v>
      </c>
    </row>
    <row r="124" spans="1:15" x14ac:dyDescent="0.35">
      <c r="A124" s="24">
        <v>45623</v>
      </c>
      <c r="B124" s="20" t="s">
        <v>2917</v>
      </c>
      <c r="C124" s="20"/>
      <c r="D124" s="20" t="s">
        <v>58</v>
      </c>
      <c r="E124" s="20" t="s">
        <v>2715</v>
      </c>
      <c r="F124" s="21" t="str">
        <f t="shared" si="10"/>
        <v>018-0011-749075 BRICOLAJE BRICOMAN S.L.U.</v>
      </c>
      <c r="G124" s="12">
        <f t="shared" si="11"/>
        <v>5.7024793388429753</v>
      </c>
      <c r="H124" s="22">
        <v>21</v>
      </c>
      <c r="I124" s="21">
        <f t="shared" si="12"/>
        <v>1.1975206611570248</v>
      </c>
      <c r="J124" s="21">
        <f t="shared" si="13"/>
        <v>5.7024793388429753</v>
      </c>
      <c r="K124" s="22"/>
      <c r="L124" s="5">
        <f t="shared" si="14"/>
        <v>0</v>
      </c>
      <c r="M124" s="8">
        <v>6.9</v>
      </c>
      <c r="N124" s="2" t="s">
        <v>21</v>
      </c>
      <c r="O124" s="3" t="s">
        <v>64</v>
      </c>
    </row>
    <row r="125" spans="1:15" x14ac:dyDescent="0.35">
      <c r="A125" s="24">
        <v>45622</v>
      </c>
      <c r="B125" s="20" t="s">
        <v>2918</v>
      </c>
      <c r="C125" s="20"/>
      <c r="D125" s="20" t="s">
        <v>59</v>
      </c>
      <c r="E125" s="20" t="s">
        <v>43</v>
      </c>
      <c r="F125" s="21" t="str">
        <f t="shared" si="10"/>
        <v>1437100354 EUGENIO PEREDA</v>
      </c>
      <c r="G125" s="12">
        <f t="shared" si="11"/>
        <v>79.206611570247944</v>
      </c>
      <c r="H125" s="22">
        <v>21</v>
      </c>
      <c r="I125" s="21">
        <f t="shared" si="12"/>
        <v>16.633388429752067</v>
      </c>
      <c r="J125" s="21">
        <f t="shared" si="13"/>
        <v>79.206611570247944</v>
      </c>
      <c r="K125" s="22"/>
      <c r="L125" s="5">
        <f t="shared" si="14"/>
        <v>0</v>
      </c>
      <c r="M125" s="8">
        <v>95.84</v>
      </c>
      <c r="N125" s="2" t="s">
        <v>21</v>
      </c>
      <c r="O125" s="3" t="s">
        <v>63</v>
      </c>
    </row>
    <row r="126" spans="1:15" x14ac:dyDescent="0.35">
      <c r="A126" s="24">
        <v>45591</v>
      </c>
      <c r="B126" s="20" t="s">
        <v>2919</v>
      </c>
      <c r="C126" s="20"/>
      <c r="D126" s="20" t="s">
        <v>59</v>
      </c>
      <c r="E126" s="20" t="s">
        <v>43</v>
      </c>
      <c r="F126" s="21" t="str">
        <f t="shared" si="10"/>
        <v>141836973 EUGENIO PEREDA</v>
      </c>
      <c r="G126" s="12">
        <f t="shared" si="11"/>
        <v>493.10743801652893</v>
      </c>
      <c r="H126" s="22">
        <v>21</v>
      </c>
      <c r="I126" s="21">
        <f t="shared" si="12"/>
        <v>103.55256198347108</v>
      </c>
      <c r="J126" s="21">
        <f t="shared" si="13"/>
        <v>493.10743801652893</v>
      </c>
      <c r="K126" s="22"/>
      <c r="L126" s="5">
        <f t="shared" si="14"/>
        <v>0</v>
      </c>
      <c r="M126" s="8">
        <v>596.66</v>
      </c>
      <c r="N126" s="2" t="s">
        <v>21</v>
      </c>
    </row>
    <row r="127" spans="1:15" x14ac:dyDescent="0.35">
      <c r="A127" s="24">
        <v>45580</v>
      </c>
      <c r="B127" s="20" t="s">
        <v>2920</v>
      </c>
      <c r="C127" s="20"/>
      <c r="D127" s="20" t="s">
        <v>255</v>
      </c>
      <c r="E127" s="20" t="s">
        <v>2921</v>
      </c>
      <c r="F127" s="21" t="str">
        <f t="shared" si="10"/>
        <v>ES0022S2420159 GROUPE SEB IBERICA</v>
      </c>
      <c r="G127" s="12">
        <f t="shared" si="11"/>
        <v>914.04958677685954</v>
      </c>
      <c r="H127" s="22">
        <v>21</v>
      </c>
      <c r="I127" s="21">
        <f t="shared" si="12"/>
        <v>191.95041322314049</v>
      </c>
      <c r="J127" s="21">
        <f t="shared" si="13"/>
        <v>914.04958677685954</v>
      </c>
      <c r="K127" s="22"/>
      <c r="L127" s="5">
        <f t="shared" si="14"/>
        <v>0</v>
      </c>
      <c r="M127" s="8">
        <v>1106</v>
      </c>
      <c r="N127" s="2" t="s">
        <v>61</v>
      </c>
      <c r="O127" s="3" t="s">
        <v>2922</v>
      </c>
    </row>
    <row r="128" spans="1:15" x14ac:dyDescent="0.35">
      <c r="A128" s="24">
        <v>45601</v>
      </c>
      <c r="B128" s="20" t="s">
        <v>2923</v>
      </c>
      <c r="C128" s="20"/>
      <c r="D128" s="20" t="s">
        <v>2924</v>
      </c>
      <c r="E128" s="20" t="s">
        <v>2925</v>
      </c>
      <c r="F128" s="21" t="str">
        <f t="shared" si="10"/>
        <v>24C 240096700 GULLERMO DURAN</v>
      </c>
      <c r="G128" s="12">
        <f t="shared" si="11"/>
        <v>55.991735537190081</v>
      </c>
      <c r="H128" s="22">
        <v>21</v>
      </c>
      <c r="I128" s="21">
        <f t="shared" si="12"/>
        <v>11.758264462809915</v>
      </c>
      <c r="J128" s="21">
        <f t="shared" si="13"/>
        <v>55.991735537190081</v>
      </c>
      <c r="K128" s="22"/>
      <c r="L128" s="5">
        <f t="shared" si="14"/>
        <v>0</v>
      </c>
      <c r="M128" s="8">
        <v>67.75</v>
      </c>
      <c r="N128" s="2" t="s">
        <v>21</v>
      </c>
      <c r="O128" s="3" t="s">
        <v>64</v>
      </c>
    </row>
    <row r="129" spans="1:15" x14ac:dyDescent="0.35">
      <c r="A129" s="24">
        <v>45619</v>
      </c>
      <c r="B129" s="20" t="s">
        <v>2926</v>
      </c>
      <c r="C129" s="20"/>
      <c r="D129" s="20" t="s">
        <v>58</v>
      </c>
      <c r="E129" s="20" t="s">
        <v>2715</v>
      </c>
      <c r="F129" s="21" t="str">
        <f t="shared" si="10"/>
        <v>007-0011-818684 BRICOLAJE BRICOMAN S.L.U.</v>
      </c>
      <c r="G129" s="12">
        <f t="shared" si="11"/>
        <v>61.462809917355379</v>
      </c>
      <c r="H129" s="22">
        <v>21</v>
      </c>
      <c r="I129" s="21">
        <f t="shared" si="12"/>
        <v>12.907190082644629</v>
      </c>
      <c r="J129" s="21">
        <f t="shared" si="13"/>
        <v>61.462809917355379</v>
      </c>
      <c r="K129" s="22"/>
      <c r="L129" s="5">
        <f t="shared" si="14"/>
        <v>0</v>
      </c>
      <c r="M129" s="8">
        <v>74.37</v>
      </c>
      <c r="N129" s="2" t="s">
        <v>21</v>
      </c>
      <c r="O129" s="3" t="s">
        <v>64</v>
      </c>
    </row>
    <row r="130" spans="1:15" x14ac:dyDescent="0.35">
      <c r="A130" s="24">
        <v>45619</v>
      </c>
      <c r="B130" s="20" t="s">
        <v>2927</v>
      </c>
      <c r="C130" s="20"/>
      <c r="D130" s="20" t="s">
        <v>58</v>
      </c>
      <c r="E130" s="20" t="s">
        <v>2715</v>
      </c>
      <c r="F130" s="21" t="str">
        <f t="shared" si="10"/>
        <v>007-0011-818692 BRICOLAJE BRICOMAN S.L.U.</v>
      </c>
      <c r="G130" s="12">
        <f t="shared" si="11"/>
        <v>7.9834710743801658</v>
      </c>
      <c r="H130" s="22">
        <v>21</v>
      </c>
      <c r="I130" s="21">
        <f t="shared" si="12"/>
        <v>1.676528925619835</v>
      </c>
      <c r="J130" s="21">
        <f t="shared" si="13"/>
        <v>7.9834710743801658</v>
      </c>
      <c r="K130" s="22"/>
      <c r="L130" s="5">
        <f t="shared" si="14"/>
        <v>0</v>
      </c>
      <c r="M130" s="8">
        <v>9.66</v>
      </c>
      <c r="N130" s="2" t="s">
        <v>21</v>
      </c>
      <c r="O130" s="3" t="s">
        <v>63</v>
      </c>
    </row>
    <row r="131" spans="1:15" x14ac:dyDescent="0.35">
      <c r="A131" s="24">
        <v>45620</v>
      </c>
      <c r="B131" s="20" t="s">
        <v>2928</v>
      </c>
      <c r="C131" s="20"/>
      <c r="D131" s="20" t="s">
        <v>252</v>
      </c>
      <c r="E131" s="20" t="s">
        <v>2929</v>
      </c>
      <c r="F131" s="21" t="str">
        <f t="shared" si="10"/>
        <v>I110124AA041448 ATEN OIL SETOR OPERACIONES SL</v>
      </c>
      <c r="G131" s="12">
        <f t="shared" si="11"/>
        <v>82.231404958677686</v>
      </c>
      <c r="H131" s="22">
        <v>21</v>
      </c>
      <c r="I131" s="21">
        <f t="shared" si="12"/>
        <v>17.268595041322314</v>
      </c>
      <c r="J131" s="21">
        <f t="shared" si="13"/>
        <v>82.231404958677686</v>
      </c>
      <c r="K131" s="22"/>
      <c r="L131" s="5">
        <f t="shared" si="14"/>
        <v>0</v>
      </c>
      <c r="M131" s="8">
        <v>99.5</v>
      </c>
      <c r="N131" s="2" t="s">
        <v>22</v>
      </c>
      <c r="O131" s="3" t="s">
        <v>64</v>
      </c>
    </row>
    <row r="132" spans="1:15" x14ac:dyDescent="0.35">
      <c r="A132" s="24">
        <v>45590</v>
      </c>
      <c r="B132" s="20" t="s">
        <v>2930</v>
      </c>
      <c r="C132" s="20"/>
      <c r="D132" s="20" t="s">
        <v>58</v>
      </c>
      <c r="E132" s="20" t="s">
        <v>2715</v>
      </c>
      <c r="F132" s="21" t="str">
        <f t="shared" si="10"/>
        <v>007-0010-777250 BRICOLAJE BRICOMAN S.L.U.</v>
      </c>
      <c r="G132" s="12">
        <f t="shared" si="11"/>
        <v>30.314049586776861</v>
      </c>
      <c r="H132" s="22">
        <v>21</v>
      </c>
      <c r="I132" s="21">
        <f t="shared" si="12"/>
        <v>6.3659504132231408</v>
      </c>
      <c r="J132" s="21">
        <f t="shared" si="13"/>
        <v>30.314049586776861</v>
      </c>
      <c r="K132" s="22"/>
      <c r="L132" s="5">
        <f t="shared" si="14"/>
        <v>0</v>
      </c>
      <c r="M132" s="8">
        <v>36.68</v>
      </c>
      <c r="N132" s="2" t="s">
        <v>21</v>
      </c>
      <c r="O132" s="3" t="s">
        <v>63</v>
      </c>
    </row>
    <row r="133" spans="1:15" x14ac:dyDescent="0.35">
      <c r="A133" s="24">
        <v>45590</v>
      </c>
      <c r="B133" s="20" t="s">
        <v>2931</v>
      </c>
      <c r="C133" s="20"/>
      <c r="D133" s="20" t="s">
        <v>58</v>
      </c>
      <c r="E133" s="20" t="s">
        <v>2715</v>
      </c>
      <c r="F133" s="21" t="str">
        <f t="shared" si="10"/>
        <v>007-0010-R091948 BRICOLAJE BRICOMAN S.L.U.</v>
      </c>
      <c r="G133" s="12">
        <f t="shared" si="11"/>
        <v>-8.2644628099173563</v>
      </c>
      <c r="H133" s="22">
        <v>21</v>
      </c>
      <c r="I133" s="21">
        <f t="shared" si="12"/>
        <v>-1.7355371900826448</v>
      </c>
      <c r="J133" s="21">
        <f t="shared" si="13"/>
        <v>-8.2644628099173563</v>
      </c>
      <c r="K133" s="22"/>
      <c r="L133" s="5">
        <f t="shared" si="14"/>
        <v>0</v>
      </c>
      <c r="M133" s="8">
        <v>-10</v>
      </c>
      <c r="N133" s="2" t="s">
        <v>21</v>
      </c>
      <c r="O133" s="3" t="s">
        <v>63</v>
      </c>
    </row>
    <row r="134" spans="1:15" x14ac:dyDescent="0.35">
      <c r="A134" s="24">
        <v>45590</v>
      </c>
      <c r="B134" s="20" t="s">
        <v>2932</v>
      </c>
      <c r="C134" s="20"/>
      <c r="D134" s="20" t="s">
        <v>58</v>
      </c>
      <c r="E134" s="20" t="s">
        <v>2715</v>
      </c>
      <c r="F134" s="21" t="str">
        <f t="shared" si="10"/>
        <v>007-0010-777229 BRICOLAJE BRICOMAN S.L.U.</v>
      </c>
      <c r="G134" s="12">
        <f t="shared" si="11"/>
        <v>129.87603305785126</v>
      </c>
      <c r="H134" s="22">
        <v>21</v>
      </c>
      <c r="I134" s="21">
        <f t="shared" si="12"/>
        <v>27.273966942148764</v>
      </c>
      <c r="J134" s="21">
        <f t="shared" si="13"/>
        <v>129.87603305785126</v>
      </c>
      <c r="K134" s="22"/>
      <c r="L134" s="5">
        <f t="shared" si="14"/>
        <v>0</v>
      </c>
      <c r="M134" s="8">
        <v>157.15</v>
      </c>
      <c r="N134" s="2" t="s">
        <v>21</v>
      </c>
      <c r="O134" s="3" t="s">
        <v>63</v>
      </c>
    </row>
    <row r="135" spans="1:15" x14ac:dyDescent="0.35">
      <c r="A135" s="24">
        <v>45588</v>
      </c>
      <c r="B135" s="20" t="s">
        <v>2933</v>
      </c>
      <c r="C135" s="20"/>
      <c r="D135" s="20" t="s">
        <v>58</v>
      </c>
      <c r="E135" s="20" t="s">
        <v>2715</v>
      </c>
      <c r="F135" s="21" t="str">
        <f t="shared" si="10"/>
        <v>024-0010-513929 BRICOLAJE BRICOMAN S.L.U.</v>
      </c>
      <c r="G135" s="12">
        <f t="shared" si="11"/>
        <v>5.3884297520661155</v>
      </c>
      <c r="H135" s="22">
        <v>21</v>
      </c>
      <c r="I135" s="21">
        <f t="shared" si="12"/>
        <v>1.1315702479338843</v>
      </c>
      <c r="J135" s="21">
        <f t="shared" si="13"/>
        <v>5.3884297520661155</v>
      </c>
      <c r="K135" s="22"/>
      <c r="L135" s="5">
        <f t="shared" si="14"/>
        <v>0</v>
      </c>
      <c r="M135" s="8">
        <v>6.52</v>
      </c>
      <c r="N135" s="2" t="s">
        <v>21</v>
      </c>
      <c r="O135" s="3" t="s">
        <v>64</v>
      </c>
    </row>
    <row r="136" spans="1:15" x14ac:dyDescent="0.35">
      <c r="A136" s="24">
        <v>45582</v>
      </c>
      <c r="B136" s="20" t="s">
        <v>2934</v>
      </c>
      <c r="C136" s="20"/>
      <c r="D136" s="20" t="s">
        <v>59</v>
      </c>
      <c r="E136" s="20" t="s">
        <v>43</v>
      </c>
      <c r="F136" s="21" t="str">
        <f t="shared" si="10"/>
        <v>1417114535 EUGENIO PEREDA</v>
      </c>
      <c r="G136" s="12">
        <f t="shared" si="11"/>
        <v>128.06611570247935</v>
      </c>
      <c r="H136" s="22">
        <v>21</v>
      </c>
      <c r="I136" s="21">
        <f t="shared" si="12"/>
        <v>26.893884297520664</v>
      </c>
      <c r="J136" s="21">
        <f t="shared" si="13"/>
        <v>128.06611570247935</v>
      </c>
      <c r="K136" s="22"/>
      <c r="L136" s="5">
        <f t="shared" si="14"/>
        <v>0</v>
      </c>
      <c r="M136" s="8">
        <v>154.96</v>
      </c>
      <c r="N136" s="2" t="s">
        <v>21</v>
      </c>
      <c r="O136" s="3" t="s">
        <v>63</v>
      </c>
    </row>
    <row r="137" spans="1:15" x14ac:dyDescent="0.35">
      <c r="A137" s="24">
        <v>45583</v>
      </c>
      <c r="B137" s="20" t="s">
        <v>2935</v>
      </c>
      <c r="C137" s="20"/>
      <c r="D137" s="20" t="s">
        <v>59</v>
      </c>
      <c r="E137" s="20" t="s">
        <v>43</v>
      </c>
      <c r="F137" s="21" t="str">
        <f t="shared" si="10"/>
        <v>1413126106 EUGENIO PEREDA</v>
      </c>
      <c r="G137" s="12">
        <f t="shared" si="11"/>
        <v>174.39669421487605</v>
      </c>
      <c r="H137" s="22">
        <v>21</v>
      </c>
      <c r="I137" s="21">
        <f t="shared" si="12"/>
        <v>36.623305785123968</v>
      </c>
      <c r="J137" s="21">
        <f t="shared" si="13"/>
        <v>174.39669421487605</v>
      </c>
      <c r="K137" s="22"/>
      <c r="L137" s="5">
        <f t="shared" si="14"/>
        <v>0</v>
      </c>
      <c r="M137" s="8">
        <v>211.02</v>
      </c>
      <c r="N137" s="2" t="s">
        <v>21</v>
      </c>
      <c r="O137" s="3" t="s">
        <v>63</v>
      </c>
    </row>
    <row r="138" spans="1:15" x14ac:dyDescent="0.35">
      <c r="A138" s="24">
        <v>45617</v>
      </c>
      <c r="B138" s="20" t="s">
        <v>2936</v>
      </c>
      <c r="C138" s="20"/>
      <c r="D138" s="20" t="s">
        <v>1867</v>
      </c>
      <c r="E138" s="20" t="s">
        <v>1868</v>
      </c>
      <c r="F138" s="21" t="str">
        <f t="shared" si="10"/>
        <v>I-2605 IBERVILNA</v>
      </c>
      <c r="G138" s="12">
        <f t="shared" si="11"/>
        <v>61.801652892561989</v>
      </c>
      <c r="H138" s="22">
        <v>21</v>
      </c>
      <c r="I138" s="21">
        <f t="shared" si="12"/>
        <v>12.978347107438017</v>
      </c>
      <c r="J138" s="21">
        <f t="shared" si="13"/>
        <v>61.801652892561989</v>
      </c>
      <c r="K138" s="22"/>
      <c r="L138" s="5">
        <f t="shared" si="14"/>
        <v>0</v>
      </c>
      <c r="M138" s="8">
        <v>74.78</v>
      </c>
      <c r="N138" s="2" t="s">
        <v>22</v>
      </c>
      <c r="O138" s="3" t="s">
        <v>64</v>
      </c>
    </row>
    <row r="139" spans="1:15" x14ac:dyDescent="0.35">
      <c r="A139" s="24">
        <v>45617</v>
      </c>
      <c r="B139" s="20" t="s">
        <v>2937</v>
      </c>
      <c r="C139" s="20"/>
      <c r="D139" s="20" t="s">
        <v>58</v>
      </c>
      <c r="E139" s="20" t="s">
        <v>2715</v>
      </c>
      <c r="F139" s="21" t="str">
        <f t="shared" si="10"/>
        <v>007-0011-816748 BRICOLAJE BRICOMAN S.L.U.</v>
      </c>
      <c r="G139" s="12">
        <f t="shared" si="11"/>
        <v>115.66115702479338</v>
      </c>
      <c r="H139" s="22">
        <v>21</v>
      </c>
      <c r="I139" s="21">
        <f t="shared" si="12"/>
        <v>24.288842975206613</v>
      </c>
      <c r="J139" s="21">
        <f t="shared" si="13"/>
        <v>115.66115702479338</v>
      </c>
      <c r="K139" s="22"/>
      <c r="L139" s="5">
        <f t="shared" si="14"/>
        <v>0</v>
      </c>
      <c r="M139" s="8">
        <v>139.94999999999999</v>
      </c>
      <c r="N139" s="2" t="s">
        <v>21</v>
      </c>
      <c r="O139" s="3" t="s">
        <v>64</v>
      </c>
    </row>
    <row r="140" spans="1:15" x14ac:dyDescent="0.35">
      <c r="A140" s="24">
        <v>45478</v>
      </c>
      <c r="B140" s="20" t="s">
        <v>2938</v>
      </c>
      <c r="C140" s="20"/>
      <c r="D140" s="20" t="s">
        <v>35</v>
      </c>
      <c r="E140" s="20" t="s">
        <v>2222</v>
      </c>
      <c r="F140" s="21" t="str">
        <f t="shared" si="10"/>
        <v>02100285638 PINTODIS</v>
      </c>
      <c r="G140" s="12">
        <f t="shared" si="11"/>
        <v>20.702479338842977</v>
      </c>
      <c r="H140" s="22">
        <v>21</v>
      </c>
      <c r="I140" s="21">
        <f t="shared" si="12"/>
        <v>4.3475206611570254</v>
      </c>
      <c r="J140" s="21">
        <f t="shared" si="13"/>
        <v>20.702479338842977</v>
      </c>
      <c r="K140" s="22"/>
      <c r="L140" s="5">
        <f t="shared" si="14"/>
        <v>0</v>
      </c>
      <c r="M140" s="8">
        <v>25.05</v>
      </c>
      <c r="N140" s="2" t="s">
        <v>22</v>
      </c>
      <c r="O140" s="3" t="s">
        <v>63</v>
      </c>
    </row>
    <row r="141" spans="1:15" x14ac:dyDescent="0.35">
      <c r="A141" s="24">
        <v>45586</v>
      </c>
      <c r="B141" s="20" t="s">
        <v>2939</v>
      </c>
      <c r="C141" s="20"/>
      <c r="D141" s="20" t="s">
        <v>87</v>
      </c>
      <c r="E141" s="20" t="s">
        <v>88</v>
      </c>
      <c r="F141" s="21" t="str">
        <f t="shared" si="10"/>
        <v>P24CON043038133 ENDESA</v>
      </c>
      <c r="G141" s="12">
        <v>164.43</v>
      </c>
      <c r="H141" s="22">
        <v>10</v>
      </c>
      <c r="I141" s="21">
        <f t="shared" si="12"/>
        <v>16.443000000000001</v>
      </c>
      <c r="J141" s="21">
        <f t="shared" si="13"/>
        <v>164.43</v>
      </c>
      <c r="K141" s="22"/>
      <c r="L141" s="5">
        <f t="shared" si="14"/>
        <v>0</v>
      </c>
      <c r="M141" s="8">
        <v>180.87</v>
      </c>
      <c r="N141" s="2" t="s">
        <v>38</v>
      </c>
      <c r="O141" s="3" t="s">
        <v>65</v>
      </c>
    </row>
    <row r="142" spans="1:15" x14ac:dyDescent="0.35">
      <c r="A142" s="24">
        <v>45610</v>
      </c>
      <c r="B142" s="20" t="s">
        <v>2940</v>
      </c>
      <c r="C142" s="20"/>
      <c r="D142" s="20" t="s">
        <v>58</v>
      </c>
      <c r="E142" s="20" t="s">
        <v>2715</v>
      </c>
      <c r="F142" s="21" t="str">
        <f t="shared" si="10"/>
        <v>011-0011-197310 BRICOLAJE BRICOMAN S.L.U.</v>
      </c>
      <c r="G142" s="12">
        <f t="shared" si="11"/>
        <v>20.297520661157023</v>
      </c>
      <c r="H142" s="22">
        <v>21</v>
      </c>
      <c r="I142" s="21">
        <f t="shared" si="12"/>
        <v>4.2624793388429749</v>
      </c>
      <c r="J142" s="21">
        <f t="shared" si="13"/>
        <v>20.297520661157023</v>
      </c>
      <c r="K142" s="22"/>
      <c r="L142" s="5">
        <f t="shared" si="14"/>
        <v>0</v>
      </c>
      <c r="M142" s="8">
        <v>24.56</v>
      </c>
      <c r="N142" s="2" t="s">
        <v>21</v>
      </c>
      <c r="O142" s="3" t="s">
        <v>64</v>
      </c>
    </row>
    <row r="143" spans="1:15" x14ac:dyDescent="0.35">
      <c r="A143" s="24">
        <v>45609</v>
      </c>
      <c r="B143" s="20" t="s">
        <v>2941</v>
      </c>
      <c r="C143" s="20"/>
      <c r="D143" s="20" t="s">
        <v>35</v>
      </c>
      <c r="E143" s="20" t="s">
        <v>2222</v>
      </c>
      <c r="F143" s="21" t="str">
        <f t="shared" si="10"/>
        <v>0240013377 PINTODIS</v>
      </c>
      <c r="G143" s="12">
        <f t="shared" si="11"/>
        <v>66.123966942148769</v>
      </c>
      <c r="H143" s="22">
        <v>21</v>
      </c>
      <c r="I143" s="21">
        <f t="shared" si="12"/>
        <v>13.886033057851241</v>
      </c>
      <c r="J143" s="21">
        <f t="shared" si="13"/>
        <v>66.123966942148769</v>
      </c>
      <c r="K143" s="22"/>
      <c r="L143" s="5">
        <f t="shared" si="14"/>
        <v>0</v>
      </c>
      <c r="M143" s="8">
        <v>80.010000000000005</v>
      </c>
      <c r="N143" s="2" t="s">
        <v>22</v>
      </c>
      <c r="O143" s="3" t="s">
        <v>64</v>
      </c>
    </row>
    <row r="144" spans="1:15" x14ac:dyDescent="0.35">
      <c r="A144" s="24">
        <v>45594</v>
      </c>
      <c r="B144" s="20" t="s">
        <v>2942</v>
      </c>
      <c r="C144" s="20"/>
      <c r="D144" s="20" t="s">
        <v>59</v>
      </c>
      <c r="E144" s="20" t="s">
        <v>43</v>
      </c>
      <c r="F144" s="21" t="str">
        <f t="shared" si="10"/>
        <v>01414100113 EUGENIO PEREDA</v>
      </c>
      <c r="G144" s="12">
        <f t="shared" si="11"/>
        <v>62.917355371900825</v>
      </c>
      <c r="H144" s="22">
        <v>21</v>
      </c>
      <c r="I144" s="21">
        <f t="shared" si="12"/>
        <v>13.212644628099174</v>
      </c>
      <c r="J144" s="21">
        <f t="shared" si="13"/>
        <v>62.917355371900825</v>
      </c>
      <c r="K144" s="22"/>
      <c r="L144" s="5">
        <f t="shared" si="14"/>
        <v>0</v>
      </c>
      <c r="M144" s="8">
        <v>76.13</v>
      </c>
      <c r="N144" s="2" t="s">
        <v>21</v>
      </c>
      <c r="O144" s="3" t="s">
        <v>64</v>
      </c>
    </row>
    <row r="145" spans="1:15" x14ac:dyDescent="0.35">
      <c r="A145" s="24">
        <v>45594</v>
      </c>
      <c r="B145" s="20" t="s">
        <v>2943</v>
      </c>
      <c r="C145" s="20"/>
      <c r="D145" s="20" t="s">
        <v>59</v>
      </c>
      <c r="E145" s="20" t="s">
        <v>43</v>
      </c>
      <c r="F145" s="21" t="str">
        <f t="shared" si="10"/>
        <v>1414117431 EUGENIO PEREDA</v>
      </c>
      <c r="G145" s="12">
        <f t="shared" si="11"/>
        <v>349.84297520661158</v>
      </c>
      <c r="H145" s="22">
        <v>21</v>
      </c>
      <c r="I145" s="21">
        <f t="shared" si="12"/>
        <v>73.467024793388433</v>
      </c>
      <c r="J145" s="21">
        <f t="shared" si="13"/>
        <v>349.84297520661158</v>
      </c>
      <c r="K145" s="22"/>
      <c r="L145" s="5">
        <f t="shared" si="14"/>
        <v>0</v>
      </c>
      <c r="M145" s="8">
        <v>423.31</v>
      </c>
      <c r="N145" s="2" t="s">
        <v>21</v>
      </c>
      <c r="O145" s="3" t="s">
        <v>64</v>
      </c>
    </row>
    <row r="146" spans="1:15" x14ac:dyDescent="0.35">
      <c r="A146" s="24">
        <v>45594</v>
      </c>
      <c r="B146" s="20" t="s">
        <v>2944</v>
      </c>
      <c r="C146" s="20"/>
      <c r="D146" s="20" t="s">
        <v>59</v>
      </c>
      <c r="E146" s="20" t="s">
        <v>43</v>
      </c>
      <c r="F146" s="21" t="str">
        <f t="shared" si="10"/>
        <v>1414117432 EUGENIO PEREDA</v>
      </c>
      <c r="G146" s="12">
        <f t="shared" si="11"/>
        <v>47.190082644628099</v>
      </c>
      <c r="H146" s="22">
        <v>21</v>
      </c>
      <c r="I146" s="21">
        <f t="shared" si="12"/>
        <v>9.9099173553719009</v>
      </c>
      <c r="J146" s="21">
        <f t="shared" si="13"/>
        <v>47.190082644628099</v>
      </c>
      <c r="K146" s="22"/>
      <c r="L146" s="5">
        <f t="shared" si="14"/>
        <v>0</v>
      </c>
      <c r="M146" s="8">
        <v>57.1</v>
      </c>
      <c r="N146" s="2" t="s">
        <v>21</v>
      </c>
      <c r="O146" s="3" t="s">
        <v>64</v>
      </c>
    </row>
    <row r="147" spans="1:15" x14ac:dyDescent="0.35">
      <c r="A147" s="24">
        <v>45598</v>
      </c>
      <c r="B147" s="20" t="s">
        <v>2945</v>
      </c>
      <c r="C147" s="20"/>
      <c r="D147" s="20" t="s">
        <v>58</v>
      </c>
      <c r="E147" s="20" t="s">
        <v>2715</v>
      </c>
      <c r="F147" s="21" t="str">
        <f t="shared" si="10"/>
        <v>007-0011-787519 BRICOLAJE BRICOMAN S.L.U.</v>
      </c>
      <c r="G147" s="12">
        <f t="shared" si="11"/>
        <v>163.63636363636365</v>
      </c>
      <c r="H147" s="22">
        <v>21</v>
      </c>
      <c r="I147" s="21">
        <f t="shared" si="12"/>
        <v>34.363636363636367</v>
      </c>
      <c r="J147" s="21">
        <f t="shared" si="13"/>
        <v>163.63636363636365</v>
      </c>
      <c r="K147" s="22"/>
      <c r="L147" s="5">
        <f t="shared" si="14"/>
        <v>0</v>
      </c>
      <c r="M147" s="8">
        <v>198</v>
      </c>
      <c r="N147" s="2" t="s">
        <v>21</v>
      </c>
      <c r="O147" s="3" t="s">
        <v>64</v>
      </c>
    </row>
    <row r="148" spans="1:15" x14ac:dyDescent="0.35">
      <c r="A148" s="24">
        <v>45596</v>
      </c>
      <c r="B148" s="20" t="s">
        <v>2946</v>
      </c>
      <c r="C148" s="20"/>
      <c r="D148" s="20" t="s">
        <v>58</v>
      </c>
      <c r="E148" s="20" t="s">
        <v>2715</v>
      </c>
      <c r="F148" s="21" t="str">
        <f t="shared" si="10"/>
        <v>024-0010-534415 BRICOLAJE BRICOMAN S.L.U.</v>
      </c>
      <c r="G148" s="12">
        <f t="shared" si="11"/>
        <v>20.206611570247933</v>
      </c>
      <c r="H148" s="22">
        <v>21</v>
      </c>
      <c r="I148" s="21">
        <f t="shared" si="12"/>
        <v>4.2433884297520663</v>
      </c>
      <c r="J148" s="21">
        <f t="shared" si="13"/>
        <v>20.206611570247933</v>
      </c>
      <c r="K148" s="22"/>
      <c r="L148" s="5">
        <f t="shared" si="14"/>
        <v>0</v>
      </c>
      <c r="M148" s="8">
        <v>24.45</v>
      </c>
      <c r="N148" s="2" t="s">
        <v>21</v>
      </c>
      <c r="O148" s="3" t="s">
        <v>64</v>
      </c>
    </row>
    <row r="149" spans="1:15" x14ac:dyDescent="0.35">
      <c r="A149" s="24">
        <v>45590</v>
      </c>
      <c r="B149" s="20" t="s">
        <v>2947</v>
      </c>
      <c r="C149" s="20"/>
      <c r="D149" s="20" t="s">
        <v>57</v>
      </c>
      <c r="E149" s="20" t="s">
        <v>44</v>
      </c>
      <c r="F149" s="21" t="str">
        <f t="shared" si="10"/>
        <v>045-0010-439263 LEROY MERLIN</v>
      </c>
      <c r="G149" s="12">
        <f t="shared" si="11"/>
        <v>287.97520661157023</v>
      </c>
      <c r="H149" s="22">
        <v>21</v>
      </c>
      <c r="I149" s="21">
        <f t="shared" si="12"/>
        <v>60.474793388429752</v>
      </c>
      <c r="J149" s="21">
        <f t="shared" si="13"/>
        <v>287.97520661157023</v>
      </c>
      <c r="K149" s="22"/>
      <c r="L149" s="5">
        <f t="shared" si="14"/>
        <v>0</v>
      </c>
      <c r="M149" s="8">
        <v>348.45</v>
      </c>
      <c r="N149" s="2" t="s">
        <v>21</v>
      </c>
      <c r="O149" s="3" t="s">
        <v>63</v>
      </c>
    </row>
    <row r="150" spans="1:15" x14ac:dyDescent="0.35">
      <c r="A150" s="24">
        <v>45591</v>
      </c>
      <c r="B150" s="20" t="s">
        <v>2948</v>
      </c>
      <c r="C150" s="20"/>
      <c r="D150" s="20" t="s">
        <v>59</v>
      </c>
      <c r="E150" s="20" t="s">
        <v>43</v>
      </c>
      <c r="F150" s="21" t="str">
        <f t="shared" si="10"/>
        <v>1413127022 EUGENIO PEREDA</v>
      </c>
      <c r="G150" s="12">
        <f t="shared" si="11"/>
        <v>32.239669421487605</v>
      </c>
      <c r="H150" s="22">
        <v>21</v>
      </c>
      <c r="I150" s="21">
        <f t="shared" si="12"/>
        <v>6.7703305785123975</v>
      </c>
      <c r="J150" s="21">
        <f t="shared" si="13"/>
        <v>32.239669421487605</v>
      </c>
      <c r="K150" s="22"/>
      <c r="L150" s="5">
        <f t="shared" si="14"/>
        <v>0</v>
      </c>
      <c r="M150" s="8">
        <v>39.01</v>
      </c>
      <c r="N150" s="2" t="s">
        <v>21</v>
      </c>
      <c r="O150" s="3" t="s">
        <v>63</v>
      </c>
    </row>
    <row r="151" spans="1:15" x14ac:dyDescent="0.35">
      <c r="A151" s="24">
        <v>45589</v>
      </c>
      <c r="B151" s="20" t="s">
        <v>2949</v>
      </c>
      <c r="C151" s="20"/>
      <c r="D151" s="20" t="s">
        <v>59</v>
      </c>
      <c r="E151" s="20" t="s">
        <v>43</v>
      </c>
      <c r="F151" s="21" t="str">
        <f t="shared" si="10"/>
        <v>1416114467 EUGENIO PEREDA</v>
      </c>
      <c r="G151" s="12">
        <f t="shared" si="11"/>
        <v>68.446280991735534</v>
      </c>
      <c r="H151" s="22">
        <v>21</v>
      </c>
      <c r="I151" s="21">
        <f t="shared" si="12"/>
        <v>14.373719008264461</v>
      </c>
      <c r="J151" s="21">
        <f t="shared" si="13"/>
        <v>68.446280991735534</v>
      </c>
      <c r="K151" s="22"/>
      <c r="L151" s="5">
        <f t="shared" si="14"/>
        <v>0</v>
      </c>
      <c r="M151" s="8">
        <v>82.82</v>
      </c>
      <c r="N151" s="2" t="s">
        <v>21</v>
      </c>
      <c r="O151" s="3" t="s">
        <v>64</v>
      </c>
    </row>
    <row r="152" spans="1:15" x14ac:dyDescent="0.35">
      <c r="A152" s="24">
        <v>45593</v>
      </c>
      <c r="B152" s="20" t="s">
        <v>2950</v>
      </c>
      <c r="C152" s="20"/>
      <c r="D152" s="20" t="s">
        <v>1510</v>
      </c>
      <c r="E152" s="20" t="s">
        <v>2485</v>
      </c>
      <c r="F152" s="21" t="str">
        <f t="shared" si="10"/>
        <v>17-24-002349 TOOL QUICK</v>
      </c>
      <c r="G152" s="12">
        <f t="shared" si="11"/>
        <v>33.36363636363636</v>
      </c>
      <c r="H152" s="22">
        <v>21</v>
      </c>
      <c r="I152" s="21">
        <f t="shared" si="12"/>
        <v>7.006363636363635</v>
      </c>
      <c r="J152" s="21">
        <f t="shared" si="13"/>
        <v>33.36363636363636</v>
      </c>
      <c r="K152" s="22"/>
      <c r="L152" s="5">
        <f t="shared" si="14"/>
        <v>0</v>
      </c>
      <c r="M152" s="8">
        <v>40.369999999999997</v>
      </c>
      <c r="N152" s="2" t="s">
        <v>118</v>
      </c>
      <c r="O152" s="3" t="s">
        <v>63</v>
      </c>
    </row>
    <row r="153" spans="1:15" x14ac:dyDescent="0.35">
      <c r="A153" s="24">
        <v>45635</v>
      </c>
      <c r="B153" s="20" t="s">
        <v>2951</v>
      </c>
      <c r="C153" s="20"/>
      <c r="D153" s="20" t="s">
        <v>29</v>
      </c>
      <c r="E153" s="20" t="s">
        <v>76</v>
      </c>
      <c r="F153" s="21" t="str">
        <f t="shared" si="10"/>
        <v>5477-2024-00086989 COSTCO</v>
      </c>
      <c r="G153" s="12">
        <v>104.13</v>
      </c>
      <c r="H153" s="22">
        <v>10</v>
      </c>
      <c r="I153" s="21">
        <f t="shared" si="12"/>
        <v>10.413</v>
      </c>
      <c r="J153" s="21">
        <v>4.4000000000000004</v>
      </c>
      <c r="K153" s="21">
        <v>2</v>
      </c>
      <c r="L153" s="5">
        <f t="shared" si="14"/>
        <v>8.8000000000000009E-2</v>
      </c>
      <c r="M153" s="8">
        <v>119.03</v>
      </c>
      <c r="N153" s="2" t="s">
        <v>179</v>
      </c>
      <c r="O153" s="3" t="s">
        <v>63</v>
      </c>
    </row>
    <row r="154" spans="1:15" x14ac:dyDescent="0.35">
      <c r="A154" s="24">
        <v>45635</v>
      </c>
      <c r="B154" s="20" t="s">
        <v>2952</v>
      </c>
      <c r="C154" s="20"/>
      <c r="D154" s="20" t="s">
        <v>29</v>
      </c>
      <c r="E154" s="20" t="s">
        <v>76</v>
      </c>
      <c r="F154" s="21" t="str">
        <f t="shared" si="10"/>
        <v>5477-2024-00086988 COSTCO</v>
      </c>
      <c r="G154" s="12">
        <v>438.55</v>
      </c>
      <c r="H154" s="22">
        <v>10</v>
      </c>
      <c r="I154" s="21">
        <f t="shared" si="12"/>
        <v>43.854999999999997</v>
      </c>
      <c r="J154" s="21">
        <v>99.03</v>
      </c>
      <c r="K154" s="21">
        <v>21</v>
      </c>
      <c r="L154" s="5">
        <f t="shared" si="14"/>
        <v>20.796300000000002</v>
      </c>
      <c r="M154" s="8">
        <v>797.1</v>
      </c>
      <c r="N154" s="2" t="s">
        <v>179</v>
      </c>
      <c r="O154" s="3" t="s">
        <v>63</v>
      </c>
    </row>
    <row r="155" spans="1:15" x14ac:dyDescent="0.35">
      <c r="A155" s="24" t="s">
        <v>2953</v>
      </c>
      <c r="B155" s="20" t="s">
        <v>2954</v>
      </c>
      <c r="C155" s="20"/>
      <c r="D155" s="20" t="s">
        <v>140</v>
      </c>
      <c r="E155" s="20" t="s">
        <v>141</v>
      </c>
      <c r="F155" s="21" t="str">
        <f t="shared" si="10"/>
        <v>6766 ED OIL</v>
      </c>
      <c r="G155" s="12">
        <f t="shared" si="11"/>
        <v>59.099173553719012</v>
      </c>
      <c r="H155" s="22">
        <v>21</v>
      </c>
      <c r="I155" s="21">
        <f t="shared" si="12"/>
        <v>12.410826446280991</v>
      </c>
      <c r="J155" s="21">
        <f t="shared" si="13"/>
        <v>59.099173553719012</v>
      </c>
      <c r="K155" s="22"/>
      <c r="L155" s="5">
        <f t="shared" si="14"/>
        <v>0</v>
      </c>
      <c r="M155" s="8">
        <v>71.510000000000005</v>
      </c>
      <c r="N155" s="2" t="s">
        <v>22</v>
      </c>
      <c r="O155" s="3" t="s">
        <v>64</v>
      </c>
    </row>
    <row r="156" spans="1:15" x14ac:dyDescent="0.35">
      <c r="A156" s="24">
        <v>45593</v>
      </c>
      <c r="B156" s="20" t="s">
        <v>2955</v>
      </c>
      <c r="C156" s="20"/>
      <c r="D156" s="20" t="s">
        <v>49</v>
      </c>
      <c r="E156" s="20" t="s">
        <v>124</v>
      </c>
      <c r="F156" s="21" t="str">
        <f t="shared" si="10"/>
        <v>011064024/00009708 CIA ESPAÑOLA DIST PETROLEOS</v>
      </c>
      <c r="G156" s="12">
        <f t="shared" si="11"/>
        <v>15.504132231404961</v>
      </c>
      <c r="H156" s="22">
        <v>21</v>
      </c>
      <c r="I156" s="21">
        <f t="shared" si="12"/>
        <v>3.2558677685950421</v>
      </c>
      <c r="J156" s="21">
        <f t="shared" si="13"/>
        <v>15.504132231404961</v>
      </c>
      <c r="K156" s="22"/>
      <c r="L156" s="5">
        <f t="shared" si="14"/>
        <v>0</v>
      </c>
      <c r="M156" s="8">
        <v>18.760000000000002</v>
      </c>
      <c r="N156" s="2" t="s">
        <v>22</v>
      </c>
      <c r="O156" s="3" t="s">
        <v>63</v>
      </c>
    </row>
    <row r="157" spans="1:15" x14ac:dyDescent="0.35">
      <c r="A157" s="24">
        <v>45635</v>
      </c>
      <c r="B157" s="20" t="s">
        <v>2956</v>
      </c>
      <c r="C157" s="20"/>
      <c r="D157" s="20" t="s">
        <v>1147</v>
      </c>
      <c r="E157" s="20" t="s">
        <v>1148</v>
      </c>
      <c r="F157" s="21" t="str">
        <f t="shared" si="10"/>
        <v>2024FBFN02723321 CARREFOUR</v>
      </c>
      <c r="G157" s="12">
        <v>75.37</v>
      </c>
      <c r="H157" s="22">
        <v>10</v>
      </c>
      <c r="I157" s="21">
        <f t="shared" si="12"/>
        <v>7.5370000000000008</v>
      </c>
      <c r="J157" s="21">
        <v>77.34</v>
      </c>
      <c r="K157" s="21">
        <v>2</v>
      </c>
      <c r="L157" s="5">
        <f t="shared" si="14"/>
        <v>1.5468000000000002</v>
      </c>
      <c r="M157" s="8">
        <v>164.3</v>
      </c>
      <c r="N157" s="2" t="s">
        <v>179</v>
      </c>
      <c r="O157" s="3" t="s">
        <v>63</v>
      </c>
    </row>
    <row r="158" spans="1:15" x14ac:dyDescent="0.35">
      <c r="A158" s="24">
        <v>45634</v>
      </c>
      <c r="B158" s="20" t="s">
        <v>2957</v>
      </c>
      <c r="C158" s="20"/>
      <c r="D158" s="20" t="s">
        <v>29</v>
      </c>
      <c r="E158" s="20" t="s">
        <v>76</v>
      </c>
      <c r="F158" s="21" t="str">
        <f t="shared" si="10"/>
        <v>5477-2024-00086583 COSTCO</v>
      </c>
      <c r="G158" s="12">
        <v>41.31</v>
      </c>
      <c r="H158" s="22">
        <v>21</v>
      </c>
      <c r="I158" s="21">
        <f t="shared" si="12"/>
        <v>8.6751000000000005</v>
      </c>
      <c r="J158" s="21">
        <v>44.52</v>
      </c>
      <c r="K158" s="21">
        <v>10</v>
      </c>
      <c r="L158" s="5">
        <f t="shared" si="14"/>
        <v>4.4520000000000008</v>
      </c>
      <c r="M158" s="8">
        <v>98.96</v>
      </c>
      <c r="N158" s="2" t="s">
        <v>179</v>
      </c>
      <c r="O158" s="3" t="s">
        <v>63</v>
      </c>
    </row>
    <row r="159" spans="1:15" x14ac:dyDescent="0.35">
      <c r="A159" s="24">
        <v>45577</v>
      </c>
      <c r="B159" s="20" t="s">
        <v>2958</v>
      </c>
      <c r="C159" s="20"/>
      <c r="D159" s="20" t="s">
        <v>29</v>
      </c>
      <c r="E159" s="20" t="s">
        <v>76</v>
      </c>
      <c r="F159" s="21" t="str">
        <f t="shared" si="10"/>
        <v>5477-2024-0064763 COSTCO</v>
      </c>
      <c r="G159" s="12">
        <f t="shared" si="11"/>
        <v>231.38842975206614</v>
      </c>
      <c r="H159" s="22">
        <v>21</v>
      </c>
      <c r="I159" s="21">
        <f t="shared" si="12"/>
        <v>48.591570247933888</v>
      </c>
      <c r="J159" s="21">
        <f t="shared" si="13"/>
        <v>231.38842975206614</v>
      </c>
      <c r="K159" s="22"/>
      <c r="L159" s="5">
        <f t="shared" si="14"/>
        <v>0</v>
      </c>
      <c r="M159" s="8">
        <v>279.98</v>
      </c>
      <c r="N159" s="2" t="s">
        <v>21</v>
      </c>
      <c r="O159" s="3" t="s">
        <v>64</v>
      </c>
    </row>
    <row r="160" spans="1:15" x14ac:dyDescent="0.35">
      <c r="A160" s="24">
        <v>45630</v>
      </c>
      <c r="B160" s="20" t="s">
        <v>2959</v>
      </c>
      <c r="C160" s="20"/>
      <c r="D160" s="20" t="s">
        <v>29</v>
      </c>
      <c r="E160" s="20" t="s">
        <v>76</v>
      </c>
      <c r="F160" s="21" t="str">
        <f t="shared" si="10"/>
        <v>5477-2024-00085172 COSTCO</v>
      </c>
      <c r="G160" s="12">
        <f t="shared" si="11"/>
        <v>181.80165289256198</v>
      </c>
      <c r="H160" s="22">
        <v>21</v>
      </c>
      <c r="I160" s="21">
        <f t="shared" si="12"/>
        <v>38.178347107438015</v>
      </c>
      <c r="J160" s="21">
        <f t="shared" si="13"/>
        <v>181.80165289256198</v>
      </c>
      <c r="K160" s="22"/>
      <c r="L160" s="5">
        <f t="shared" si="14"/>
        <v>0</v>
      </c>
      <c r="M160" s="8">
        <v>219.98</v>
      </c>
      <c r="N160" s="2" t="s">
        <v>21</v>
      </c>
      <c r="O160" s="3" t="s">
        <v>64</v>
      </c>
    </row>
    <row r="161" spans="1:15" x14ac:dyDescent="0.35">
      <c r="A161" s="24">
        <v>45618</v>
      </c>
      <c r="B161" s="20" t="s">
        <v>2960</v>
      </c>
      <c r="C161" s="20"/>
      <c r="D161" s="20" t="s">
        <v>60</v>
      </c>
      <c r="E161" s="20" t="s">
        <v>24</v>
      </c>
      <c r="F161" s="21" t="str">
        <f t="shared" si="10"/>
        <v>096670/A/24/009295 REPSOL</v>
      </c>
      <c r="G161" s="12">
        <f t="shared" si="11"/>
        <v>19.884297520661157</v>
      </c>
      <c r="H161" s="22">
        <v>21</v>
      </c>
      <c r="I161" s="21">
        <f t="shared" si="12"/>
        <v>4.1757024793388426</v>
      </c>
      <c r="J161" s="21">
        <f t="shared" si="13"/>
        <v>19.884297520661157</v>
      </c>
      <c r="K161" s="22"/>
      <c r="L161" s="5">
        <f t="shared" si="14"/>
        <v>0</v>
      </c>
      <c r="M161" s="8">
        <v>24.06</v>
      </c>
      <c r="N161" s="2" t="s">
        <v>22</v>
      </c>
      <c r="O161" s="3" t="s">
        <v>64</v>
      </c>
    </row>
    <row r="162" spans="1:15" x14ac:dyDescent="0.35">
      <c r="A162" s="24">
        <v>45577</v>
      </c>
      <c r="B162" s="20" t="s">
        <v>2961</v>
      </c>
      <c r="C162" s="20"/>
      <c r="D162" s="20" t="s">
        <v>29</v>
      </c>
      <c r="E162" s="20" t="s">
        <v>76</v>
      </c>
      <c r="F162" s="21" t="str">
        <f t="shared" si="10"/>
        <v>5477-2024-00064764 COSTCO</v>
      </c>
      <c r="G162" s="12">
        <v>59.47</v>
      </c>
      <c r="H162" s="22">
        <v>21</v>
      </c>
      <c r="I162" s="21">
        <f t="shared" si="12"/>
        <v>12.4887</v>
      </c>
      <c r="J162" s="21">
        <v>8.17</v>
      </c>
      <c r="K162" s="21">
        <v>10</v>
      </c>
      <c r="L162" s="5">
        <f t="shared" si="14"/>
        <v>0.81700000000000006</v>
      </c>
      <c r="M162" s="8">
        <v>107.93</v>
      </c>
      <c r="N162" s="2" t="s">
        <v>21</v>
      </c>
      <c r="O162" s="3" t="s">
        <v>63</v>
      </c>
    </row>
    <row r="163" spans="1:15" x14ac:dyDescent="0.35">
      <c r="A163" s="24">
        <v>45616</v>
      </c>
      <c r="B163" s="20" t="s">
        <v>2962</v>
      </c>
      <c r="C163" s="20"/>
      <c r="D163" s="20" t="s">
        <v>2963</v>
      </c>
      <c r="E163" s="20" t="s">
        <v>2964</v>
      </c>
      <c r="F163" s="21" t="str">
        <f t="shared" si="10"/>
        <v>SFU120237 CARBUGAL FUENLABRADA</v>
      </c>
      <c r="G163" s="12">
        <f t="shared" si="11"/>
        <v>73.148760330578526</v>
      </c>
      <c r="H163" s="22">
        <v>21</v>
      </c>
      <c r="I163" s="21">
        <f t="shared" si="12"/>
        <v>15.36123966942149</v>
      </c>
      <c r="J163" s="21">
        <f t="shared" si="13"/>
        <v>73.148760330578526</v>
      </c>
      <c r="K163" s="22"/>
      <c r="L163" s="5">
        <f t="shared" si="14"/>
        <v>0</v>
      </c>
      <c r="M163" s="8">
        <v>88.51</v>
      </c>
      <c r="N163" s="2" t="s">
        <v>21</v>
      </c>
      <c r="O163" s="3" t="s">
        <v>64</v>
      </c>
    </row>
    <row r="164" spans="1:15" x14ac:dyDescent="0.35">
      <c r="A164" s="24">
        <v>45596</v>
      </c>
      <c r="B164" s="20" t="s">
        <v>2965</v>
      </c>
      <c r="C164" s="20"/>
      <c r="D164" s="20" t="s">
        <v>99</v>
      </c>
      <c r="E164" s="20" t="s">
        <v>262</v>
      </c>
      <c r="F164" s="21" t="str">
        <f t="shared" si="10"/>
        <v>0000102610 DISA</v>
      </c>
      <c r="G164" s="12">
        <f t="shared" si="11"/>
        <v>13.123966942148762</v>
      </c>
      <c r="H164" s="22">
        <v>21</v>
      </c>
      <c r="I164" s="21">
        <f t="shared" si="12"/>
        <v>2.7560330578512402</v>
      </c>
      <c r="J164" s="21">
        <f t="shared" si="13"/>
        <v>13.123966942148762</v>
      </c>
      <c r="K164" s="22"/>
      <c r="L164" s="5">
        <f t="shared" si="14"/>
        <v>0</v>
      </c>
      <c r="M164" s="8">
        <v>15.88</v>
      </c>
      <c r="N164" s="2" t="s">
        <v>22</v>
      </c>
      <c r="O164" s="3" t="s">
        <v>64</v>
      </c>
    </row>
    <row r="165" spans="1:15" x14ac:dyDescent="0.35">
      <c r="A165" s="24">
        <v>45635</v>
      </c>
      <c r="B165" s="20" t="s">
        <v>2966</v>
      </c>
      <c r="C165" s="20"/>
      <c r="D165" s="20" t="s">
        <v>29</v>
      </c>
      <c r="E165" s="20" t="s">
        <v>76</v>
      </c>
      <c r="F165" s="21" t="str">
        <f t="shared" si="10"/>
        <v>5477-2024-00582360 COSTCO</v>
      </c>
      <c r="G165" s="12">
        <f t="shared" si="11"/>
        <v>58.107438016528931</v>
      </c>
      <c r="H165" s="22">
        <v>21</v>
      </c>
      <c r="I165" s="21">
        <f t="shared" si="12"/>
        <v>12.202561983471076</v>
      </c>
      <c r="J165" s="21">
        <f t="shared" si="13"/>
        <v>58.107438016528931</v>
      </c>
      <c r="K165" s="22"/>
      <c r="L165" s="5">
        <f t="shared" si="14"/>
        <v>0</v>
      </c>
      <c r="M165" s="8">
        <v>70.31</v>
      </c>
      <c r="N165" s="2" t="s">
        <v>22</v>
      </c>
      <c r="O165" s="3" t="s">
        <v>63</v>
      </c>
    </row>
    <row r="166" spans="1:15" x14ac:dyDescent="0.35">
      <c r="A166" s="24">
        <v>45635</v>
      </c>
      <c r="B166" s="20" t="s">
        <v>2967</v>
      </c>
      <c r="C166" s="20"/>
      <c r="D166" s="20" t="s">
        <v>29</v>
      </c>
      <c r="E166" s="20" t="s">
        <v>76</v>
      </c>
      <c r="F166" s="21" t="str">
        <f t="shared" si="10"/>
        <v>5477-2024-00582356 COSTCO</v>
      </c>
      <c r="G166" s="12">
        <f t="shared" si="11"/>
        <v>38.909090909090907</v>
      </c>
      <c r="H166" s="22">
        <v>21</v>
      </c>
      <c r="I166" s="21">
        <f t="shared" si="12"/>
        <v>8.17090909090909</v>
      </c>
      <c r="J166" s="21">
        <f t="shared" si="13"/>
        <v>38.909090909090907</v>
      </c>
      <c r="K166" s="22"/>
      <c r="L166" s="5">
        <f t="shared" si="14"/>
        <v>0</v>
      </c>
      <c r="M166" s="8">
        <v>47.08</v>
      </c>
      <c r="N166" s="2" t="s">
        <v>22</v>
      </c>
      <c r="O166" s="3" t="s">
        <v>63</v>
      </c>
    </row>
    <row r="167" spans="1:15" x14ac:dyDescent="0.35">
      <c r="A167" s="24">
        <v>45618</v>
      </c>
      <c r="B167" s="20" t="s">
        <v>2968</v>
      </c>
      <c r="C167" s="20"/>
      <c r="D167" s="20" t="s">
        <v>29</v>
      </c>
      <c r="E167" s="20" t="s">
        <v>76</v>
      </c>
      <c r="F167" s="21" t="str">
        <f t="shared" si="10"/>
        <v>5477-2024-00579373 COSTCO</v>
      </c>
      <c r="G167" s="12">
        <f t="shared" si="11"/>
        <v>63.603305785123965</v>
      </c>
      <c r="H167" s="22">
        <v>21</v>
      </c>
      <c r="I167" s="21">
        <f t="shared" si="12"/>
        <v>13.356694214876034</v>
      </c>
      <c r="J167" s="21">
        <f t="shared" si="13"/>
        <v>63.603305785123965</v>
      </c>
      <c r="K167" s="22"/>
      <c r="L167" s="5">
        <f t="shared" si="14"/>
        <v>0</v>
      </c>
      <c r="M167" s="8">
        <v>76.959999999999994</v>
      </c>
      <c r="N167" s="2" t="s">
        <v>22</v>
      </c>
      <c r="O167" s="3" t="s">
        <v>63</v>
      </c>
    </row>
    <row r="168" spans="1:15" x14ac:dyDescent="0.35">
      <c r="A168" s="24">
        <v>45596</v>
      </c>
      <c r="B168" s="20" t="s">
        <v>2969</v>
      </c>
      <c r="C168" s="20"/>
      <c r="D168" s="20" t="s">
        <v>29</v>
      </c>
      <c r="E168" s="20" t="s">
        <v>76</v>
      </c>
      <c r="F168" s="21" t="str">
        <f t="shared" si="10"/>
        <v>5477-2024-00575737 COSTCO</v>
      </c>
      <c r="G168" s="12">
        <f t="shared" si="11"/>
        <v>53.892561983471069</v>
      </c>
      <c r="H168" s="22">
        <v>21</v>
      </c>
      <c r="I168" s="21">
        <f t="shared" si="12"/>
        <v>11.317438016528925</v>
      </c>
      <c r="J168" s="21">
        <f t="shared" si="13"/>
        <v>53.892561983471069</v>
      </c>
      <c r="K168" s="22"/>
      <c r="L168" s="5">
        <f t="shared" si="14"/>
        <v>0</v>
      </c>
      <c r="M168" s="8">
        <v>65.209999999999994</v>
      </c>
      <c r="N168" s="2" t="s">
        <v>22</v>
      </c>
      <c r="O168" s="3" t="s">
        <v>63</v>
      </c>
    </row>
    <row r="169" spans="1:15" x14ac:dyDescent="0.35">
      <c r="A169" s="24">
        <v>45624</v>
      </c>
      <c r="B169" s="20" t="s">
        <v>2970</v>
      </c>
      <c r="C169" s="20"/>
      <c r="D169" s="20" t="s">
        <v>30</v>
      </c>
      <c r="E169" s="20" t="s">
        <v>2757</v>
      </c>
      <c r="F169" s="21" t="str">
        <f t="shared" si="10"/>
        <v>AP024652 OLIVAR ALTO AGROPIEDRA</v>
      </c>
      <c r="G169" s="12">
        <f t="shared" si="11"/>
        <v>73.15702479338843</v>
      </c>
      <c r="H169" s="22">
        <v>21</v>
      </c>
      <c r="I169" s="21">
        <f t="shared" si="12"/>
        <v>15.362975206611571</v>
      </c>
      <c r="J169" s="21">
        <f t="shared" si="13"/>
        <v>73.15702479338843</v>
      </c>
      <c r="K169" s="22"/>
      <c r="L169" s="5">
        <f t="shared" si="14"/>
        <v>0</v>
      </c>
      <c r="M169" s="8">
        <v>88.52</v>
      </c>
      <c r="N169" s="2" t="s">
        <v>22</v>
      </c>
      <c r="O169" s="3" t="s">
        <v>63</v>
      </c>
    </row>
    <row r="170" spans="1:15" x14ac:dyDescent="0.35">
      <c r="A170" s="24">
        <v>45614</v>
      </c>
      <c r="B170" s="20" t="s">
        <v>2971</v>
      </c>
      <c r="C170" s="20"/>
      <c r="D170" s="20" t="s">
        <v>231</v>
      </c>
      <c r="E170" s="20" t="s">
        <v>2972</v>
      </c>
      <c r="F170" s="21" t="str">
        <f t="shared" si="10"/>
        <v xml:space="preserve">99-31468 CARLA`S </v>
      </c>
      <c r="G170" s="12">
        <f t="shared" si="11"/>
        <v>13.136363636363635</v>
      </c>
      <c r="H170" s="22">
        <v>10</v>
      </c>
      <c r="I170" s="21">
        <f t="shared" si="12"/>
        <v>1.3136363636363635</v>
      </c>
      <c r="J170" s="21">
        <f t="shared" si="13"/>
        <v>13.136363636363635</v>
      </c>
      <c r="K170" s="22"/>
      <c r="L170" s="5">
        <f t="shared" si="14"/>
        <v>0</v>
      </c>
      <c r="M170" s="8">
        <v>14.45</v>
      </c>
      <c r="N170" s="2" t="s">
        <v>28</v>
      </c>
      <c r="O170" s="3" t="s">
        <v>64</v>
      </c>
    </row>
    <row r="171" spans="1:15" x14ac:dyDescent="0.35">
      <c r="A171" s="24">
        <v>45614</v>
      </c>
      <c r="B171" s="20" t="s">
        <v>2973</v>
      </c>
      <c r="C171" s="20"/>
      <c r="D171" s="20" t="s">
        <v>231</v>
      </c>
      <c r="E171" s="20" t="s">
        <v>2972</v>
      </c>
      <c r="F171" s="21" t="str">
        <f t="shared" si="10"/>
        <v xml:space="preserve">99-31469 CARLA`S </v>
      </c>
      <c r="G171" s="12">
        <f t="shared" si="11"/>
        <v>13.136363636363635</v>
      </c>
      <c r="H171" s="22">
        <v>10</v>
      </c>
      <c r="I171" s="21">
        <f t="shared" si="12"/>
        <v>1.3136363636363635</v>
      </c>
      <c r="J171" s="21">
        <f t="shared" si="13"/>
        <v>13.136363636363635</v>
      </c>
      <c r="K171" s="22"/>
      <c r="L171" s="5">
        <f t="shared" si="14"/>
        <v>0</v>
      </c>
      <c r="M171" s="8">
        <v>14.45</v>
      </c>
      <c r="N171" s="2" t="s">
        <v>28</v>
      </c>
      <c r="O171" s="3" t="s">
        <v>64</v>
      </c>
    </row>
    <row r="172" spans="1:15" x14ac:dyDescent="0.35">
      <c r="A172" s="24">
        <v>45570</v>
      </c>
      <c r="B172" s="20" t="s">
        <v>2974</v>
      </c>
      <c r="C172" s="20"/>
      <c r="D172" s="20" t="s">
        <v>2975</v>
      </c>
      <c r="E172" s="20" t="s">
        <v>2976</v>
      </c>
      <c r="F172" s="21" t="str">
        <f t="shared" si="10"/>
        <v>704 MIÑA NAI</v>
      </c>
      <c r="G172" s="12">
        <f t="shared" si="11"/>
        <v>117.22727272727271</v>
      </c>
      <c r="H172" s="22">
        <v>10</v>
      </c>
      <c r="I172" s="21">
        <f t="shared" si="12"/>
        <v>11.722727272727271</v>
      </c>
      <c r="J172" s="21">
        <f t="shared" si="13"/>
        <v>117.22727272727271</v>
      </c>
      <c r="K172" s="22"/>
      <c r="L172" s="5">
        <f t="shared" si="14"/>
        <v>0</v>
      </c>
      <c r="M172" s="8">
        <v>128.94999999999999</v>
      </c>
      <c r="N172" s="2" t="s">
        <v>28</v>
      </c>
      <c r="O172" s="3" t="s">
        <v>63</v>
      </c>
    </row>
    <row r="173" spans="1:15" x14ac:dyDescent="0.35">
      <c r="A173" s="24">
        <v>45576</v>
      </c>
      <c r="B173" s="20" t="s">
        <v>2977</v>
      </c>
      <c r="C173" s="20"/>
      <c r="D173" s="20" t="s">
        <v>806</v>
      </c>
      <c r="E173" s="20" t="s">
        <v>807</v>
      </c>
      <c r="F173" s="21" t="str">
        <f t="shared" si="10"/>
        <v>1/2061 MESON TOLEDANO</v>
      </c>
      <c r="G173" s="12">
        <f t="shared" si="11"/>
        <v>140.90909090909091</v>
      </c>
      <c r="H173" s="22">
        <v>10</v>
      </c>
      <c r="I173" s="21">
        <f t="shared" si="12"/>
        <v>14.09090909090909</v>
      </c>
      <c r="J173" s="21">
        <f t="shared" si="13"/>
        <v>140.90909090909091</v>
      </c>
      <c r="K173" s="22"/>
      <c r="L173" s="5">
        <f t="shared" si="14"/>
        <v>0</v>
      </c>
      <c r="M173" s="8">
        <v>155</v>
      </c>
      <c r="N173" s="2" t="s">
        <v>28</v>
      </c>
      <c r="O173" s="3" t="s">
        <v>63</v>
      </c>
    </row>
    <row r="174" spans="1:15" x14ac:dyDescent="0.35">
      <c r="A174" s="24">
        <v>45637</v>
      </c>
      <c r="B174" s="20" t="s">
        <v>2979</v>
      </c>
      <c r="C174" s="20"/>
      <c r="D174" s="20" t="s">
        <v>27</v>
      </c>
      <c r="E174" s="20" t="s">
        <v>301</v>
      </c>
      <c r="F174" s="21" t="str">
        <f t="shared" si="10"/>
        <v xml:space="preserve">2024/000565 PADRISA </v>
      </c>
      <c r="G174" s="12">
        <f t="shared" si="11"/>
        <v>711.15702479338847</v>
      </c>
      <c r="H174" s="22">
        <v>21</v>
      </c>
      <c r="I174" s="21">
        <f t="shared" si="12"/>
        <v>149.34297520661158</v>
      </c>
      <c r="J174" s="21">
        <f t="shared" si="13"/>
        <v>711.15702479338847</v>
      </c>
      <c r="K174" s="22"/>
      <c r="L174" s="5">
        <f t="shared" si="14"/>
        <v>0</v>
      </c>
      <c r="M174" s="8">
        <v>860.5</v>
      </c>
      <c r="N174" s="2" t="s">
        <v>53</v>
      </c>
      <c r="O174" s="3" t="s">
        <v>68</v>
      </c>
    </row>
    <row r="175" spans="1:15" x14ac:dyDescent="0.35">
      <c r="A175" s="24">
        <v>45637</v>
      </c>
      <c r="B175" s="20" t="s">
        <v>2978</v>
      </c>
      <c r="C175" s="20"/>
      <c r="D175" s="20" t="s">
        <v>27</v>
      </c>
      <c r="E175" s="20" t="s">
        <v>301</v>
      </c>
      <c r="F175" s="21" t="str">
        <f t="shared" si="10"/>
        <v xml:space="preserve">2024/000566 PADRISA </v>
      </c>
      <c r="G175" s="12">
        <f t="shared" si="11"/>
        <v>420.31404958677683</v>
      </c>
      <c r="H175" s="22">
        <v>21</v>
      </c>
      <c r="I175" s="21">
        <f t="shared" si="12"/>
        <v>88.265950413223123</v>
      </c>
      <c r="J175" s="21">
        <f t="shared" si="13"/>
        <v>420.31404958677683</v>
      </c>
      <c r="K175" s="22"/>
      <c r="L175" s="5">
        <f t="shared" si="14"/>
        <v>0</v>
      </c>
      <c r="M175" s="8">
        <v>508.58</v>
      </c>
      <c r="N175" s="2" t="s">
        <v>53</v>
      </c>
      <c r="O175" s="3" t="s">
        <v>68</v>
      </c>
    </row>
    <row r="176" spans="1:15" x14ac:dyDescent="0.35">
      <c r="A176" s="24">
        <v>45626</v>
      </c>
      <c r="B176" s="20" t="s">
        <v>2980</v>
      </c>
      <c r="C176" s="20"/>
      <c r="D176" s="20" t="s">
        <v>40</v>
      </c>
      <c r="E176" s="20" t="s">
        <v>41</v>
      </c>
      <c r="F176" s="21" t="str">
        <f t="shared" si="10"/>
        <v>2367/24 CONTENEDORES OSCONSUR</v>
      </c>
      <c r="G176" s="12">
        <f t="shared" ref="G176:G183" si="15">M176/(1-K176/100+H176/100)</f>
        <v>1422</v>
      </c>
      <c r="H176" s="22">
        <v>10</v>
      </c>
      <c r="I176" s="21">
        <f>G176*H176/100</f>
        <v>142.19999999999999</v>
      </c>
      <c r="J176" s="21">
        <f>G176</f>
        <v>1422</v>
      </c>
      <c r="K176" s="22"/>
      <c r="L176" s="5">
        <f>J176*K176/100</f>
        <v>0</v>
      </c>
      <c r="M176" s="8">
        <v>1564.2</v>
      </c>
      <c r="N176" s="2" t="s">
        <v>33</v>
      </c>
      <c r="O176" s="3" t="s">
        <v>65</v>
      </c>
    </row>
    <row r="177" spans="1:15" x14ac:dyDescent="0.35">
      <c r="A177" s="24">
        <v>45636</v>
      </c>
      <c r="B177" s="20" t="s">
        <v>2981</v>
      </c>
      <c r="C177" s="20"/>
      <c r="D177" s="20" t="s">
        <v>94</v>
      </c>
      <c r="E177" s="20" t="s">
        <v>139</v>
      </c>
      <c r="F177" s="21" t="str">
        <f t="shared" si="10"/>
        <v>VEN/20307315 BIGMAT</v>
      </c>
      <c r="G177" s="12">
        <f t="shared" si="15"/>
        <v>1921.3388429752067</v>
      </c>
      <c r="H177" s="22">
        <v>21</v>
      </c>
      <c r="I177" s="21">
        <f>G177*H177/100</f>
        <v>403.48115702479345</v>
      </c>
      <c r="J177" s="21">
        <f>G177</f>
        <v>1921.3388429752067</v>
      </c>
      <c r="K177" s="22"/>
      <c r="L177" s="5">
        <f>J177*K177/100</f>
        <v>0</v>
      </c>
      <c r="M177" s="8">
        <v>2324.8200000000002</v>
      </c>
      <c r="N177" s="2" t="s">
        <v>2982</v>
      </c>
      <c r="O177" s="3" t="s">
        <v>65</v>
      </c>
    </row>
    <row r="178" spans="1:15" x14ac:dyDescent="0.35">
      <c r="A178" s="24">
        <v>45596</v>
      </c>
      <c r="B178" s="20" t="s">
        <v>2985</v>
      </c>
      <c r="C178" s="20"/>
      <c r="D178" s="20" t="s">
        <v>34</v>
      </c>
      <c r="E178" s="20" t="s">
        <v>2642</v>
      </c>
      <c r="F178" s="21" t="str">
        <f t="shared" si="10"/>
        <v>F244021 CONTAMAR ASESORES DE EMPRESAS</v>
      </c>
      <c r="G178" s="12">
        <f t="shared" si="15"/>
        <v>179.55371900826447</v>
      </c>
      <c r="H178" s="22">
        <v>21</v>
      </c>
      <c r="I178" s="21">
        <f>G178*H178/100</f>
        <v>37.706280991735539</v>
      </c>
      <c r="J178" s="21">
        <f>G178</f>
        <v>179.55371900826447</v>
      </c>
      <c r="K178" s="22"/>
      <c r="L178" s="5">
        <f>J178*K178/100</f>
        <v>0</v>
      </c>
      <c r="M178" s="8">
        <v>217.26</v>
      </c>
      <c r="N178" s="2" t="s">
        <v>55</v>
      </c>
      <c r="O178" s="3" t="s">
        <v>65</v>
      </c>
    </row>
    <row r="179" spans="1:15" x14ac:dyDescent="0.35">
      <c r="A179" s="24">
        <v>45565</v>
      </c>
      <c r="B179" s="20" t="s">
        <v>2986</v>
      </c>
      <c r="C179" s="20"/>
      <c r="D179" s="20" t="s">
        <v>34</v>
      </c>
      <c r="E179" s="20" t="s">
        <v>2642</v>
      </c>
      <c r="F179" s="21" t="str">
        <f t="shared" si="10"/>
        <v>F243802 CONTAMAR ASESORES DE EMPRESAS</v>
      </c>
      <c r="G179" s="12">
        <f t="shared" si="15"/>
        <v>25</v>
      </c>
      <c r="H179" s="22">
        <v>21</v>
      </c>
      <c r="I179" s="21">
        <f>G179*H179/100</f>
        <v>5.25</v>
      </c>
      <c r="J179" s="21">
        <f>G179</f>
        <v>25</v>
      </c>
      <c r="K179" s="22"/>
      <c r="L179" s="5">
        <f>J179*K179/100</f>
        <v>0</v>
      </c>
      <c r="M179" s="8">
        <v>30.25</v>
      </c>
      <c r="N179" s="2" t="s">
        <v>55</v>
      </c>
      <c r="O179" s="3" t="s">
        <v>65</v>
      </c>
    </row>
    <row r="180" spans="1:15" x14ac:dyDescent="0.35">
      <c r="A180" s="24">
        <v>45625</v>
      </c>
      <c r="B180" s="20" t="s">
        <v>2987</v>
      </c>
      <c r="C180" s="20"/>
      <c r="D180" s="20" t="s">
        <v>34</v>
      </c>
      <c r="E180" s="20" t="s">
        <v>2642</v>
      </c>
      <c r="F180" s="21" t="str">
        <f t="shared" si="10"/>
        <v>F244432 CONTAMAR ASESORES DE EMPRESAS</v>
      </c>
      <c r="G180" s="12">
        <f t="shared" si="15"/>
        <v>179.55371900826447</v>
      </c>
      <c r="H180" s="22">
        <v>21</v>
      </c>
      <c r="I180" s="21">
        <f t="shared" ref="I180:I231" si="16">G180*H180/100</f>
        <v>37.706280991735539</v>
      </c>
      <c r="J180" s="21">
        <f t="shared" ref="J180:J232" si="17">G180</f>
        <v>179.55371900826447</v>
      </c>
      <c r="K180" s="22"/>
      <c r="L180" s="5">
        <f t="shared" ref="L180:L232" si="18">J180*K180/100</f>
        <v>0</v>
      </c>
      <c r="M180" s="8">
        <v>217.26</v>
      </c>
      <c r="N180" s="2" t="s">
        <v>55</v>
      </c>
      <c r="O180" s="3" t="s">
        <v>65</v>
      </c>
    </row>
    <row r="181" spans="1:15" x14ac:dyDescent="0.35">
      <c r="A181" s="24">
        <v>45626</v>
      </c>
      <c r="B181" s="20" t="s">
        <v>2988</v>
      </c>
      <c r="C181" s="20"/>
      <c r="D181" s="20" t="s">
        <v>34</v>
      </c>
      <c r="E181" s="20" t="s">
        <v>2642</v>
      </c>
      <c r="F181" s="21" t="str">
        <f t="shared" si="10"/>
        <v>F244605 CONTAMAR ASESORES DE EMPRESAS</v>
      </c>
      <c r="G181" s="12">
        <f t="shared" si="15"/>
        <v>25</v>
      </c>
      <c r="H181" s="22">
        <v>21</v>
      </c>
      <c r="I181" s="21">
        <f t="shared" si="16"/>
        <v>5.25</v>
      </c>
      <c r="J181" s="21">
        <f t="shared" si="17"/>
        <v>25</v>
      </c>
      <c r="K181" s="22"/>
      <c r="L181" s="5">
        <f t="shared" si="18"/>
        <v>0</v>
      </c>
      <c r="M181" s="8">
        <v>30.25</v>
      </c>
      <c r="N181" s="2" t="s">
        <v>55</v>
      </c>
      <c r="O181" s="3" t="s">
        <v>65</v>
      </c>
    </row>
    <row r="182" spans="1:15" x14ac:dyDescent="0.35">
      <c r="A182" s="24">
        <v>45566</v>
      </c>
      <c r="B182" s="20" t="s">
        <v>2989</v>
      </c>
      <c r="C182" s="20"/>
      <c r="D182" s="20" t="s">
        <v>1817</v>
      </c>
      <c r="E182" s="20" t="s">
        <v>220</v>
      </c>
      <c r="F182" s="21" t="str">
        <f t="shared" si="10"/>
        <v>28-J4U1-045800 TELEFONICA</v>
      </c>
      <c r="G182" s="12">
        <f t="shared" si="15"/>
        <v>18.033057851239668</v>
      </c>
      <c r="H182" s="22">
        <v>21</v>
      </c>
      <c r="I182" s="21">
        <f t="shared" si="16"/>
        <v>3.7869421487603301</v>
      </c>
      <c r="J182" s="21">
        <f t="shared" si="17"/>
        <v>18.033057851239668</v>
      </c>
      <c r="K182" s="22"/>
      <c r="L182" s="5">
        <f t="shared" si="18"/>
        <v>0</v>
      </c>
      <c r="M182" s="8">
        <v>21.82</v>
      </c>
      <c r="N182" s="2" t="s">
        <v>39</v>
      </c>
      <c r="O182" s="3" t="s">
        <v>65</v>
      </c>
    </row>
    <row r="183" spans="1:15" x14ac:dyDescent="0.35">
      <c r="A183" s="24">
        <v>45566</v>
      </c>
      <c r="B183" s="20" t="s">
        <v>2990</v>
      </c>
      <c r="C183" s="20"/>
      <c r="D183" s="20" t="s">
        <v>1817</v>
      </c>
      <c r="E183" s="20" t="s">
        <v>220</v>
      </c>
      <c r="F183" s="21" t="str">
        <f t="shared" si="10"/>
        <v>TA7DP0170655 TELEFONICA</v>
      </c>
      <c r="G183" s="12">
        <f t="shared" si="15"/>
        <v>85.239669421487605</v>
      </c>
      <c r="H183" s="22">
        <v>21</v>
      </c>
      <c r="I183" s="21">
        <f t="shared" si="16"/>
        <v>17.900330578512396</v>
      </c>
      <c r="J183" s="21">
        <f t="shared" si="17"/>
        <v>85.239669421487605</v>
      </c>
      <c r="K183" s="22"/>
      <c r="L183" s="5">
        <f t="shared" si="18"/>
        <v>0</v>
      </c>
      <c r="M183" s="8">
        <v>103.14</v>
      </c>
      <c r="N183" s="2" t="s">
        <v>39</v>
      </c>
      <c r="O183" s="3" t="s">
        <v>65</v>
      </c>
    </row>
    <row r="184" spans="1:15" x14ac:dyDescent="0.35">
      <c r="A184" s="24">
        <v>45566</v>
      </c>
      <c r="B184" s="20" t="s">
        <v>2991</v>
      </c>
      <c r="C184" s="20"/>
      <c r="D184" s="20" t="s">
        <v>2754</v>
      </c>
      <c r="E184" s="20" t="s">
        <v>220</v>
      </c>
      <c r="F184" s="21" t="str">
        <f t="shared" si="10"/>
        <v>TA7DP0170656 TELEFONICA</v>
      </c>
      <c r="G184" s="12">
        <f t="shared" ref="G184:G234" si="19">M184/(1-K184/100+H184/100)</f>
        <v>85.239669421487605</v>
      </c>
      <c r="H184" s="22">
        <v>21</v>
      </c>
      <c r="I184" s="21">
        <f t="shared" si="16"/>
        <v>17.900330578512396</v>
      </c>
      <c r="J184" s="21">
        <f t="shared" si="17"/>
        <v>85.239669421487605</v>
      </c>
      <c r="K184" s="22"/>
      <c r="L184" s="5">
        <f t="shared" si="18"/>
        <v>0</v>
      </c>
      <c r="M184" s="8">
        <v>103.14</v>
      </c>
      <c r="N184" s="2" t="s">
        <v>39</v>
      </c>
      <c r="O184" s="3" t="s">
        <v>65</v>
      </c>
    </row>
    <row r="185" spans="1:15" x14ac:dyDescent="0.35">
      <c r="A185" s="24">
        <v>45566</v>
      </c>
      <c r="B185" s="20" t="s">
        <v>2992</v>
      </c>
      <c r="C185" s="20"/>
      <c r="D185" s="20" t="s">
        <v>2754</v>
      </c>
      <c r="E185" s="20" t="s">
        <v>220</v>
      </c>
      <c r="F185" s="21" t="str">
        <f t="shared" si="10"/>
        <v>TA7DP0170657 TELEFONICA</v>
      </c>
      <c r="G185" s="12">
        <f t="shared" si="19"/>
        <v>145.70247933884298</v>
      </c>
      <c r="H185" s="22">
        <v>21</v>
      </c>
      <c r="I185" s="21">
        <f t="shared" si="16"/>
        <v>30.597520661157024</v>
      </c>
      <c r="J185" s="21">
        <f t="shared" si="17"/>
        <v>145.70247933884298</v>
      </c>
      <c r="K185" s="22"/>
      <c r="L185" s="5">
        <f t="shared" si="18"/>
        <v>0</v>
      </c>
      <c r="M185" s="8">
        <v>176.3</v>
      </c>
      <c r="N185" s="2" t="s">
        <v>39</v>
      </c>
      <c r="O185" s="3" t="s">
        <v>65</v>
      </c>
    </row>
    <row r="186" spans="1:15" x14ac:dyDescent="0.35">
      <c r="A186" s="24">
        <v>45566</v>
      </c>
      <c r="B186" s="20" t="s">
        <v>2993</v>
      </c>
      <c r="C186" s="20"/>
      <c r="D186" s="20" t="s">
        <v>2754</v>
      </c>
      <c r="E186" s="20" t="s">
        <v>220</v>
      </c>
      <c r="F186" s="21" t="str">
        <f t="shared" si="10"/>
        <v>TA7DP0170658 TELEFONICA</v>
      </c>
      <c r="G186" s="12">
        <f t="shared" si="19"/>
        <v>85.239669421487605</v>
      </c>
      <c r="H186" s="22">
        <v>21</v>
      </c>
      <c r="I186" s="21">
        <f t="shared" si="16"/>
        <v>17.900330578512396</v>
      </c>
      <c r="J186" s="21">
        <f t="shared" si="17"/>
        <v>85.239669421487605</v>
      </c>
      <c r="K186" s="22"/>
      <c r="L186" s="5">
        <f t="shared" si="18"/>
        <v>0</v>
      </c>
      <c r="M186" s="8">
        <v>103.14</v>
      </c>
      <c r="N186" s="2" t="s">
        <v>39</v>
      </c>
      <c r="O186" s="3" t="s">
        <v>65</v>
      </c>
    </row>
    <row r="187" spans="1:15" x14ac:dyDescent="0.35">
      <c r="A187" s="24">
        <v>45597</v>
      </c>
      <c r="B187" s="20" t="s">
        <v>2994</v>
      </c>
      <c r="C187" s="20"/>
      <c r="D187" s="20" t="s">
        <v>2754</v>
      </c>
      <c r="E187" s="20" t="s">
        <v>220</v>
      </c>
      <c r="F187" s="21" t="str">
        <f t="shared" si="10"/>
        <v>28-K4U1-049589 TELEFONICA</v>
      </c>
      <c r="G187" s="12">
        <f t="shared" si="19"/>
        <v>14.504132231404959</v>
      </c>
      <c r="H187" s="22">
        <v>21</v>
      </c>
      <c r="I187" s="21">
        <f t="shared" si="16"/>
        <v>3.0458677685950413</v>
      </c>
      <c r="J187" s="21">
        <f t="shared" si="17"/>
        <v>14.504132231404959</v>
      </c>
      <c r="K187" s="22"/>
      <c r="L187" s="5">
        <f t="shared" si="18"/>
        <v>0</v>
      </c>
      <c r="M187" s="8">
        <v>17.55</v>
      </c>
      <c r="N187" s="2" t="s">
        <v>39</v>
      </c>
      <c r="O187" s="3" t="s">
        <v>65</v>
      </c>
    </row>
    <row r="188" spans="1:15" x14ac:dyDescent="0.35">
      <c r="A188" s="24">
        <v>45597</v>
      </c>
      <c r="B188" s="20" t="s">
        <v>2995</v>
      </c>
      <c r="C188" s="20"/>
      <c r="D188" s="20" t="s">
        <v>2754</v>
      </c>
      <c r="E188" s="20" t="s">
        <v>220</v>
      </c>
      <c r="F188" s="21" t="str">
        <f t="shared" si="10"/>
        <v>TA7DQ0169890 TELEFONICA</v>
      </c>
      <c r="G188" s="12">
        <f t="shared" si="19"/>
        <v>85.239669421487605</v>
      </c>
      <c r="H188" s="22">
        <v>21</v>
      </c>
      <c r="I188" s="21">
        <f t="shared" si="16"/>
        <v>17.900330578512396</v>
      </c>
      <c r="J188" s="21">
        <f t="shared" si="17"/>
        <v>85.239669421487605</v>
      </c>
      <c r="K188" s="22"/>
      <c r="L188" s="5">
        <f t="shared" si="18"/>
        <v>0</v>
      </c>
      <c r="M188" s="8">
        <v>103.14</v>
      </c>
      <c r="N188" s="2" t="s">
        <v>39</v>
      </c>
      <c r="O188" s="3" t="s">
        <v>65</v>
      </c>
    </row>
    <row r="189" spans="1:15" x14ac:dyDescent="0.35">
      <c r="A189" s="24">
        <v>45597</v>
      </c>
      <c r="B189" s="20" t="s">
        <v>2996</v>
      </c>
      <c r="C189" s="20"/>
      <c r="D189" s="20" t="s">
        <v>2754</v>
      </c>
      <c r="E189" s="20" t="s">
        <v>220</v>
      </c>
      <c r="F189" s="21" t="str">
        <f t="shared" si="10"/>
        <v>TA7DQ0169891 TELEFONICA</v>
      </c>
      <c r="G189" s="12">
        <f t="shared" si="19"/>
        <v>85.239669421487605</v>
      </c>
      <c r="H189" s="22">
        <v>21</v>
      </c>
      <c r="I189" s="21">
        <f t="shared" si="16"/>
        <v>17.900330578512396</v>
      </c>
      <c r="J189" s="21">
        <f t="shared" si="17"/>
        <v>85.239669421487605</v>
      </c>
      <c r="K189" s="22"/>
      <c r="L189" s="5">
        <f t="shared" si="18"/>
        <v>0</v>
      </c>
      <c r="M189" s="8">
        <v>103.14</v>
      </c>
      <c r="N189" s="2" t="s">
        <v>39</v>
      </c>
      <c r="O189" s="3" t="s">
        <v>65</v>
      </c>
    </row>
    <row r="190" spans="1:15" x14ac:dyDescent="0.35">
      <c r="A190" s="24">
        <v>45597</v>
      </c>
      <c r="B190" s="20" t="s">
        <v>2997</v>
      </c>
      <c r="C190" s="20"/>
      <c r="D190" s="20" t="s">
        <v>2754</v>
      </c>
      <c r="E190" s="20" t="s">
        <v>220</v>
      </c>
      <c r="F190" s="21" t="str">
        <f t="shared" si="10"/>
        <v>TA7DQ0169892 TELEFONICA</v>
      </c>
      <c r="G190" s="12">
        <f t="shared" si="19"/>
        <v>145.70247933884298</v>
      </c>
      <c r="H190" s="22">
        <v>21</v>
      </c>
      <c r="I190" s="21">
        <f t="shared" si="16"/>
        <v>30.597520661157024</v>
      </c>
      <c r="J190" s="21">
        <f t="shared" si="17"/>
        <v>145.70247933884298</v>
      </c>
      <c r="K190" s="22"/>
      <c r="L190" s="5">
        <f t="shared" si="18"/>
        <v>0</v>
      </c>
      <c r="M190" s="8">
        <v>176.3</v>
      </c>
      <c r="N190" s="2" t="s">
        <v>39</v>
      </c>
      <c r="O190" s="3" t="s">
        <v>65</v>
      </c>
    </row>
    <row r="191" spans="1:15" x14ac:dyDescent="0.35">
      <c r="A191" s="24">
        <v>45597</v>
      </c>
      <c r="B191" s="20" t="s">
        <v>2998</v>
      </c>
      <c r="C191" s="20"/>
      <c r="D191" s="20" t="s">
        <v>2754</v>
      </c>
      <c r="E191" s="20" t="s">
        <v>220</v>
      </c>
      <c r="F191" s="21" t="str">
        <f t="shared" si="10"/>
        <v>TA7DQ0169893 TELEFONICA</v>
      </c>
      <c r="G191" s="12">
        <f t="shared" si="19"/>
        <v>85.239669421487605</v>
      </c>
      <c r="H191" s="22">
        <v>21</v>
      </c>
      <c r="I191" s="21">
        <f t="shared" si="16"/>
        <v>17.900330578512396</v>
      </c>
      <c r="J191" s="21">
        <f t="shared" si="17"/>
        <v>85.239669421487605</v>
      </c>
      <c r="K191" s="22"/>
      <c r="L191" s="5">
        <f t="shared" si="18"/>
        <v>0</v>
      </c>
      <c r="M191" s="8">
        <v>103.14</v>
      </c>
      <c r="N191" s="2" t="s">
        <v>39</v>
      </c>
      <c r="O191" s="3" t="s">
        <v>65</v>
      </c>
    </row>
    <row r="192" spans="1:15" x14ac:dyDescent="0.35">
      <c r="A192" s="24">
        <v>45566</v>
      </c>
      <c r="B192" s="20" t="s">
        <v>2999</v>
      </c>
      <c r="C192" s="20"/>
      <c r="D192" s="20" t="s">
        <v>3000</v>
      </c>
      <c r="E192" s="20" t="s">
        <v>485</v>
      </c>
      <c r="F192" s="21" t="str">
        <f t="shared" si="10"/>
        <v>DS-AEU-INV-ES-2024-18626020 AMAZON</v>
      </c>
      <c r="G192" s="12">
        <f t="shared" si="19"/>
        <v>65.851239669421489</v>
      </c>
      <c r="H192" s="22">
        <v>21</v>
      </c>
      <c r="I192" s="21">
        <f t="shared" si="16"/>
        <v>13.828760330578511</v>
      </c>
      <c r="J192" s="21">
        <f t="shared" si="17"/>
        <v>65.851239669421489</v>
      </c>
      <c r="K192" s="22"/>
      <c r="L192" s="5">
        <f t="shared" si="18"/>
        <v>0</v>
      </c>
      <c r="M192" s="8">
        <v>79.680000000000007</v>
      </c>
      <c r="N192" s="2" t="s">
        <v>21</v>
      </c>
      <c r="O192" s="3" t="s">
        <v>63</v>
      </c>
    </row>
    <row r="193" spans="1:16" x14ac:dyDescent="0.35">
      <c r="A193" s="24">
        <v>45567</v>
      </c>
      <c r="B193" s="20" t="s">
        <v>3001</v>
      </c>
      <c r="C193" s="20"/>
      <c r="D193" s="20" t="s">
        <v>3000</v>
      </c>
      <c r="E193" s="20" t="s">
        <v>485</v>
      </c>
      <c r="F193" s="21" t="str">
        <f t="shared" si="10"/>
        <v>DS-AEU-INV-ES-2024-18958591 AMAZON</v>
      </c>
      <c r="G193" s="12">
        <f t="shared" si="19"/>
        <v>74.371900826446279</v>
      </c>
      <c r="H193" s="22">
        <v>21</v>
      </c>
      <c r="I193" s="21">
        <f t="shared" si="16"/>
        <v>15.61809917355372</v>
      </c>
      <c r="J193" s="21">
        <f t="shared" si="17"/>
        <v>74.371900826446279</v>
      </c>
      <c r="K193" s="22"/>
      <c r="L193" s="5">
        <f t="shared" si="18"/>
        <v>0</v>
      </c>
      <c r="M193" s="8">
        <v>89.99</v>
      </c>
      <c r="N193" s="2" t="s">
        <v>21</v>
      </c>
      <c r="O193" s="3" t="s">
        <v>63</v>
      </c>
    </row>
    <row r="194" spans="1:16" x14ac:dyDescent="0.35">
      <c r="A194" s="24">
        <v>45567</v>
      </c>
      <c r="B194" s="20" t="s">
        <v>3002</v>
      </c>
      <c r="C194" s="20"/>
      <c r="D194" s="20" t="s">
        <v>3000</v>
      </c>
      <c r="E194" s="20" t="s">
        <v>485</v>
      </c>
      <c r="F194" s="21" t="str">
        <f t="shared" si="10"/>
        <v>DS-AEU-INV-ES-2024-19140553 AMAZON</v>
      </c>
      <c r="G194" s="12">
        <f t="shared" si="19"/>
        <v>76.297520661157023</v>
      </c>
      <c r="H194" s="22">
        <v>21</v>
      </c>
      <c r="I194" s="21">
        <f t="shared" si="16"/>
        <v>16.022479338842974</v>
      </c>
      <c r="J194" s="21">
        <f t="shared" si="17"/>
        <v>76.297520661157023</v>
      </c>
      <c r="K194" s="22"/>
      <c r="L194" s="5">
        <f t="shared" si="18"/>
        <v>0</v>
      </c>
      <c r="M194" s="8">
        <v>92.32</v>
      </c>
      <c r="N194" s="2" t="s">
        <v>21</v>
      </c>
      <c r="O194" s="3" t="s">
        <v>63</v>
      </c>
    </row>
    <row r="195" spans="1:16" x14ac:dyDescent="0.35">
      <c r="A195" s="24">
        <v>45563</v>
      </c>
      <c r="B195" s="20" t="s">
        <v>3003</v>
      </c>
      <c r="C195" s="20"/>
      <c r="D195" s="20" t="s">
        <v>3004</v>
      </c>
      <c r="E195" s="20" t="s">
        <v>3005</v>
      </c>
      <c r="F195" s="21" t="str">
        <f t="shared" si="10"/>
        <v>REE20241000491316 BSSW EUROPE GMBH</v>
      </c>
      <c r="G195" s="12">
        <f t="shared" si="19"/>
        <v>11.553719008264464</v>
      </c>
      <c r="H195" s="22">
        <v>21</v>
      </c>
      <c r="I195" s="21">
        <f t="shared" si="16"/>
        <v>2.4262809917355375</v>
      </c>
      <c r="J195" s="21">
        <f t="shared" si="17"/>
        <v>11.553719008264464</v>
      </c>
      <c r="K195" s="22"/>
      <c r="L195" s="5">
        <f t="shared" si="18"/>
        <v>0</v>
      </c>
      <c r="M195" s="8">
        <v>13.98</v>
      </c>
      <c r="N195" s="2" t="s">
        <v>3006</v>
      </c>
      <c r="O195" s="3" t="s">
        <v>63</v>
      </c>
    </row>
    <row r="196" spans="1:16" x14ac:dyDescent="0.35">
      <c r="A196" s="24">
        <v>45566</v>
      </c>
      <c r="B196" s="20" t="s">
        <v>2999</v>
      </c>
      <c r="C196" s="20"/>
      <c r="D196" s="20" t="s">
        <v>3000</v>
      </c>
      <c r="E196" s="20" t="s">
        <v>485</v>
      </c>
      <c r="F196" s="21" t="str">
        <f t="shared" si="10"/>
        <v>DS-AEU-INV-ES-2024-18626020 AMAZON</v>
      </c>
      <c r="G196" s="12">
        <f t="shared" si="19"/>
        <v>65.851239669421489</v>
      </c>
      <c r="H196" s="22">
        <v>21</v>
      </c>
      <c r="I196" s="21">
        <f t="shared" si="16"/>
        <v>13.828760330578511</v>
      </c>
      <c r="J196" s="21">
        <f t="shared" si="17"/>
        <v>65.851239669421489</v>
      </c>
      <c r="K196" s="22"/>
      <c r="L196" s="5">
        <f t="shared" si="18"/>
        <v>0</v>
      </c>
      <c r="M196" s="8">
        <v>79.680000000000007</v>
      </c>
      <c r="N196" s="2" t="s">
        <v>21</v>
      </c>
      <c r="O196" s="3" t="s">
        <v>63</v>
      </c>
    </row>
    <row r="197" spans="1:16" s="22" customFormat="1" ht="16.5" customHeight="1" x14ac:dyDescent="0.35">
      <c r="A197" s="24">
        <v>45632</v>
      </c>
      <c r="B197" s="20" t="s">
        <v>1262</v>
      </c>
      <c r="C197" s="20"/>
      <c r="D197" s="20" t="s">
        <v>134</v>
      </c>
      <c r="E197" s="20" t="s">
        <v>143</v>
      </c>
      <c r="F197" s="21" t="str">
        <f t="shared" si="10"/>
        <v>74 IOAN NICULAI</v>
      </c>
      <c r="G197" s="12">
        <f t="shared" si="19"/>
        <v>1739.6694214876034</v>
      </c>
      <c r="H197" s="22">
        <v>21</v>
      </c>
      <c r="I197" s="21">
        <f t="shared" si="16"/>
        <v>365.3305785123967</v>
      </c>
      <c r="J197" s="21">
        <f t="shared" si="17"/>
        <v>1739.6694214876034</v>
      </c>
      <c r="L197" s="21">
        <f t="shared" si="18"/>
        <v>0</v>
      </c>
      <c r="M197" s="8">
        <v>2105</v>
      </c>
      <c r="N197" s="20" t="s">
        <v>37</v>
      </c>
      <c r="O197" s="23" t="s">
        <v>68</v>
      </c>
      <c r="P197" s="23"/>
    </row>
    <row r="198" spans="1:16" s="22" customFormat="1" x14ac:dyDescent="0.35">
      <c r="A198" s="24">
        <v>45632</v>
      </c>
      <c r="B198" s="20" t="s">
        <v>1265</v>
      </c>
      <c r="C198" s="20"/>
      <c r="D198" s="20" t="s">
        <v>134</v>
      </c>
      <c r="E198" s="20" t="s">
        <v>143</v>
      </c>
      <c r="F198" s="21" t="str">
        <f t="shared" si="10"/>
        <v>75 IOAN NICULAI</v>
      </c>
      <c r="G198" s="12">
        <f t="shared" si="19"/>
        <v>4535</v>
      </c>
      <c r="H198" s="22">
        <v>21</v>
      </c>
      <c r="I198" s="21">
        <f t="shared" si="16"/>
        <v>952.35</v>
      </c>
      <c r="J198" s="21">
        <f t="shared" si="17"/>
        <v>4535</v>
      </c>
      <c r="L198" s="21">
        <f t="shared" si="18"/>
        <v>0</v>
      </c>
      <c r="M198" s="8">
        <v>5487.35</v>
      </c>
      <c r="N198" s="20" t="s">
        <v>37</v>
      </c>
      <c r="O198" s="23" t="s">
        <v>68</v>
      </c>
      <c r="P198" s="23"/>
    </row>
    <row r="199" spans="1:16" s="22" customFormat="1" x14ac:dyDescent="0.35">
      <c r="A199" s="24">
        <v>45643</v>
      </c>
      <c r="B199" s="20" t="s">
        <v>3007</v>
      </c>
      <c r="C199" s="20"/>
      <c r="D199" s="20" t="s">
        <v>23</v>
      </c>
      <c r="E199" s="20" t="s">
        <v>70</v>
      </c>
      <c r="F199" s="21" t="str">
        <f t="shared" si="10"/>
        <v>00012102 PINTOCOLORS CB</v>
      </c>
      <c r="G199" s="12">
        <f t="shared" si="19"/>
        <v>1706.0000000000002</v>
      </c>
      <c r="H199" s="22">
        <v>21</v>
      </c>
      <c r="I199" s="21">
        <f t="shared" si="16"/>
        <v>358.26000000000005</v>
      </c>
      <c r="J199" s="21">
        <f t="shared" si="17"/>
        <v>1706.0000000000002</v>
      </c>
      <c r="L199" s="21">
        <f t="shared" si="18"/>
        <v>0</v>
      </c>
      <c r="M199" s="8">
        <v>2064.2600000000002</v>
      </c>
      <c r="N199" s="20" t="s">
        <v>21</v>
      </c>
      <c r="O199" s="23" t="s">
        <v>68</v>
      </c>
      <c r="P199" s="23"/>
    </row>
    <row r="200" spans="1:16" s="22" customFormat="1" x14ac:dyDescent="0.35">
      <c r="A200" s="24">
        <v>45643</v>
      </c>
      <c r="B200" s="20" t="s">
        <v>3008</v>
      </c>
      <c r="C200" s="20"/>
      <c r="D200" s="20" t="s">
        <v>23</v>
      </c>
      <c r="E200" s="20" t="s">
        <v>70</v>
      </c>
      <c r="F200" s="21" t="str">
        <f t="shared" si="10"/>
        <v>00012103 PINTOCOLORS CB</v>
      </c>
      <c r="G200" s="12">
        <f t="shared" si="19"/>
        <v>1974.7520661157023</v>
      </c>
      <c r="H200" s="22">
        <v>21</v>
      </c>
      <c r="I200" s="21">
        <f t="shared" si="16"/>
        <v>414.69793388429747</v>
      </c>
      <c r="J200" s="21">
        <f t="shared" si="17"/>
        <v>1974.7520661157023</v>
      </c>
      <c r="L200" s="21">
        <f t="shared" si="18"/>
        <v>0</v>
      </c>
      <c r="M200" s="8">
        <v>2389.4499999999998</v>
      </c>
      <c r="N200" s="20" t="s">
        <v>21</v>
      </c>
      <c r="O200" s="23" t="s">
        <v>68</v>
      </c>
      <c r="P200" s="23"/>
    </row>
    <row r="201" spans="1:16" s="22" customFormat="1" x14ac:dyDescent="0.35">
      <c r="A201" s="24">
        <v>45639</v>
      </c>
      <c r="B201" s="20" t="s">
        <v>3009</v>
      </c>
      <c r="C201" s="20"/>
      <c r="D201" s="20" t="s">
        <v>1832</v>
      </c>
      <c r="E201" s="20" t="s">
        <v>1833</v>
      </c>
      <c r="F201" s="21" t="str">
        <f t="shared" si="10"/>
        <v>2685 PREVINTEGRA</v>
      </c>
      <c r="G201" s="12">
        <f t="shared" si="19"/>
        <v>50</v>
      </c>
      <c r="H201" s="22">
        <v>0</v>
      </c>
      <c r="I201" s="21">
        <f t="shared" si="16"/>
        <v>0</v>
      </c>
      <c r="J201" s="21">
        <f t="shared" si="17"/>
        <v>50</v>
      </c>
      <c r="L201" s="21">
        <f t="shared" si="18"/>
        <v>0</v>
      </c>
      <c r="M201" s="8">
        <v>50</v>
      </c>
      <c r="N201" s="20" t="s">
        <v>239</v>
      </c>
      <c r="O201" s="23" t="s">
        <v>65</v>
      </c>
      <c r="P201" s="23"/>
    </row>
    <row r="202" spans="1:16" s="22" customFormat="1" x14ac:dyDescent="0.35">
      <c r="A202" s="24">
        <v>45641</v>
      </c>
      <c r="B202" s="20" t="s">
        <v>3010</v>
      </c>
      <c r="C202" s="20"/>
      <c r="D202" s="20" t="s">
        <v>200</v>
      </c>
      <c r="E202" s="20" t="s">
        <v>186</v>
      </c>
      <c r="F202" s="21" t="str">
        <f t="shared" si="10"/>
        <v>0126703 I.D.F. SUMINISTROS INDUSTRIALES</v>
      </c>
      <c r="G202" s="12">
        <f t="shared" si="19"/>
        <v>76.438016528925615</v>
      </c>
      <c r="H202" s="22">
        <v>21</v>
      </c>
      <c r="I202" s="21">
        <f t="shared" si="16"/>
        <v>16.051983471074379</v>
      </c>
      <c r="J202" s="21">
        <f t="shared" si="17"/>
        <v>76.438016528925615</v>
      </c>
      <c r="L202" s="21">
        <f t="shared" si="18"/>
        <v>0</v>
      </c>
      <c r="M202" s="8">
        <v>92.49</v>
      </c>
      <c r="N202" s="20" t="s">
        <v>21</v>
      </c>
      <c r="O202" s="23" t="s">
        <v>65</v>
      </c>
      <c r="P202" s="23"/>
    </row>
    <row r="203" spans="1:16" s="22" customFormat="1" x14ac:dyDescent="0.35">
      <c r="A203" s="24">
        <v>45639</v>
      </c>
      <c r="B203" s="20" t="s">
        <v>3011</v>
      </c>
      <c r="C203" s="20"/>
      <c r="D203" s="20" t="s">
        <v>3012</v>
      </c>
      <c r="E203" s="20" t="s">
        <v>3013</v>
      </c>
      <c r="F203" s="21" t="str">
        <f t="shared" si="10"/>
        <v>011359 DEL ESPINO</v>
      </c>
      <c r="G203" s="12">
        <v>153.63</v>
      </c>
      <c r="H203" s="22">
        <v>10</v>
      </c>
      <c r="I203" s="21">
        <f t="shared" si="16"/>
        <v>15.363</v>
      </c>
      <c r="J203" s="21">
        <v>25.32</v>
      </c>
      <c r="K203" s="21">
        <v>21</v>
      </c>
      <c r="L203" s="21">
        <f t="shared" si="18"/>
        <v>5.3172000000000006</v>
      </c>
      <c r="M203" s="8">
        <v>199.63</v>
      </c>
      <c r="N203" s="20" t="s">
        <v>179</v>
      </c>
      <c r="O203" s="23"/>
      <c r="P203" s="23"/>
    </row>
    <row r="204" spans="1:16" s="22" customFormat="1" x14ac:dyDescent="0.35">
      <c r="A204" s="24">
        <v>45639</v>
      </c>
      <c r="B204" s="20" t="s">
        <v>3014</v>
      </c>
      <c r="C204" s="20"/>
      <c r="D204" s="20" t="s">
        <v>3012</v>
      </c>
      <c r="E204" s="20" t="s">
        <v>3013</v>
      </c>
      <c r="F204" s="21" t="str">
        <f t="shared" si="10"/>
        <v>011367 DEL ESPINO</v>
      </c>
      <c r="G204" s="12">
        <f t="shared" si="19"/>
        <v>96.154545454545442</v>
      </c>
      <c r="H204" s="22">
        <v>10</v>
      </c>
      <c r="I204" s="21">
        <f t="shared" si="16"/>
        <v>9.6154545454545435</v>
      </c>
      <c r="J204" s="21">
        <f t="shared" si="17"/>
        <v>96.154545454545442</v>
      </c>
      <c r="L204" s="21">
        <f t="shared" si="18"/>
        <v>0</v>
      </c>
      <c r="M204" s="8">
        <v>105.77</v>
      </c>
      <c r="N204" s="20" t="s">
        <v>179</v>
      </c>
      <c r="O204" s="23"/>
      <c r="P204" s="23"/>
    </row>
    <row r="205" spans="1:16" s="22" customFormat="1" x14ac:dyDescent="0.35">
      <c r="A205" s="24">
        <v>45641</v>
      </c>
      <c r="B205" s="20" t="s">
        <v>3015</v>
      </c>
      <c r="C205" s="20"/>
      <c r="D205" s="20" t="s">
        <v>109</v>
      </c>
      <c r="E205" s="20" t="s">
        <v>42</v>
      </c>
      <c r="F205" s="21" t="str">
        <f t="shared" si="10"/>
        <v>2411852 DISCESUR</v>
      </c>
      <c r="G205" s="12">
        <f t="shared" si="19"/>
        <v>-29.867768595041323</v>
      </c>
      <c r="H205" s="22">
        <v>21</v>
      </c>
      <c r="I205" s="21">
        <f t="shared" si="16"/>
        <v>-6.2722314049586778</v>
      </c>
      <c r="J205" s="21">
        <f t="shared" si="17"/>
        <v>-29.867768595041323</v>
      </c>
      <c r="L205" s="21">
        <f t="shared" si="18"/>
        <v>0</v>
      </c>
      <c r="M205" s="8">
        <v>-36.14</v>
      </c>
      <c r="N205" s="20" t="s">
        <v>21</v>
      </c>
      <c r="O205" s="23" t="s">
        <v>65</v>
      </c>
      <c r="P205" s="23"/>
    </row>
    <row r="206" spans="1:16" s="22" customFormat="1" x14ac:dyDescent="0.35">
      <c r="A206" s="24">
        <v>45641</v>
      </c>
      <c r="B206" s="20" t="s">
        <v>3016</v>
      </c>
      <c r="C206" s="20"/>
      <c r="D206" s="20" t="s">
        <v>109</v>
      </c>
      <c r="E206" s="20" t="s">
        <v>42</v>
      </c>
      <c r="F206" s="21" t="str">
        <f t="shared" si="10"/>
        <v>24120861 DISCESUR</v>
      </c>
      <c r="G206" s="12">
        <f t="shared" si="19"/>
        <v>1160.7520661157025</v>
      </c>
      <c r="H206" s="22">
        <v>21</v>
      </c>
      <c r="I206" s="21">
        <f t="shared" si="16"/>
        <v>243.75793388429753</v>
      </c>
      <c r="J206" s="21">
        <f t="shared" si="17"/>
        <v>1160.7520661157025</v>
      </c>
      <c r="L206" s="21">
        <f t="shared" si="18"/>
        <v>0</v>
      </c>
      <c r="M206" s="8">
        <v>1404.51</v>
      </c>
      <c r="N206" s="20" t="s">
        <v>21</v>
      </c>
      <c r="O206" s="23" t="s">
        <v>65</v>
      </c>
      <c r="P206" s="23"/>
    </row>
    <row r="207" spans="1:16" s="22" customFormat="1" x14ac:dyDescent="0.35">
      <c r="A207" s="24">
        <v>45641</v>
      </c>
      <c r="B207" s="20" t="s">
        <v>3017</v>
      </c>
      <c r="C207" s="20"/>
      <c r="D207" s="20" t="s">
        <v>109</v>
      </c>
      <c r="E207" s="20" t="s">
        <v>42</v>
      </c>
      <c r="F207" s="21" t="str">
        <f t="shared" si="10"/>
        <v>24120860 DISCESUR</v>
      </c>
      <c r="G207" s="12">
        <f t="shared" si="19"/>
        <v>1130.8760330578511</v>
      </c>
      <c r="H207" s="22">
        <v>21</v>
      </c>
      <c r="I207" s="21">
        <f t="shared" si="16"/>
        <v>237.48396694214873</v>
      </c>
      <c r="J207" s="21">
        <f t="shared" si="17"/>
        <v>1130.8760330578511</v>
      </c>
      <c r="L207" s="21">
        <f t="shared" si="18"/>
        <v>0</v>
      </c>
      <c r="M207" s="8">
        <v>1368.36</v>
      </c>
      <c r="N207" s="20" t="s">
        <v>21</v>
      </c>
      <c r="O207" s="23" t="s">
        <v>65</v>
      </c>
      <c r="P207" s="23"/>
    </row>
    <row r="208" spans="1:16" s="22" customFormat="1" x14ac:dyDescent="0.35">
      <c r="A208" s="24">
        <v>45641</v>
      </c>
      <c r="B208" s="20" t="s">
        <v>3018</v>
      </c>
      <c r="C208" s="20"/>
      <c r="D208" s="20" t="s">
        <v>109</v>
      </c>
      <c r="E208" s="20" t="s">
        <v>42</v>
      </c>
      <c r="F208" s="21" t="str">
        <f t="shared" si="10"/>
        <v>24120859 DISCESUR</v>
      </c>
      <c r="G208" s="12">
        <f t="shared" si="19"/>
        <v>9.1900826446280988</v>
      </c>
      <c r="H208" s="22">
        <v>21</v>
      </c>
      <c r="I208" s="21">
        <f t="shared" si="16"/>
        <v>1.9299173553719007</v>
      </c>
      <c r="J208" s="21">
        <f t="shared" si="17"/>
        <v>9.1900826446280988</v>
      </c>
      <c r="L208" s="21">
        <f t="shared" si="18"/>
        <v>0</v>
      </c>
      <c r="M208" s="8">
        <v>11.12</v>
      </c>
      <c r="N208" s="20" t="s">
        <v>21</v>
      </c>
      <c r="O208" s="23" t="s">
        <v>65</v>
      </c>
      <c r="P208" s="23"/>
    </row>
    <row r="209" spans="1:16" s="22" customFormat="1" x14ac:dyDescent="0.35">
      <c r="A209" s="24">
        <v>45641</v>
      </c>
      <c r="B209" s="20" t="s">
        <v>3019</v>
      </c>
      <c r="C209" s="20"/>
      <c r="D209" s="20" t="s">
        <v>109</v>
      </c>
      <c r="E209" s="20" t="s">
        <v>42</v>
      </c>
      <c r="F209" s="21" t="str">
        <f t="shared" si="10"/>
        <v>24120858 DISCESUR</v>
      </c>
      <c r="G209" s="12">
        <f t="shared" si="19"/>
        <v>779.01652892561992</v>
      </c>
      <c r="H209" s="22">
        <v>21</v>
      </c>
      <c r="I209" s="21">
        <f t="shared" si="16"/>
        <v>163.59347107438018</v>
      </c>
      <c r="J209" s="21">
        <f t="shared" si="17"/>
        <v>779.01652892561992</v>
      </c>
      <c r="K209" s="21"/>
      <c r="L209" s="21">
        <f t="shared" si="18"/>
        <v>0</v>
      </c>
      <c r="M209" s="8">
        <v>942.61</v>
      </c>
      <c r="N209" s="20" t="s">
        <v>21</v>
      </c>
      <c r="O209" s="23" t="s">
        <v>65</v>
      </c>
      <c r="P209" s="23"/>
    </row>
    <row r="210" spans="1:16" s="22" customFormat="1" x14ac:dyDescent="0.35">
      <c r="A210" s="24">
        <v>45641</v>
      </c>
      <c r="B210" s="20" t="s">
        <v>3020</v>
      </c>
      <c r="C210" s="20"/>
      <c r="D210" s="20" t="s">
        <v>109</v>
      </c>
      <c r="E210" s="20" t="s">
        <v>42</v>
      </c>
      <c r="F210" s="21" t="str">
        <f t="shared" si="10"/>
        <v>24120857 DISCESUR</v>
      </c>
      <c r="G210" s="12">
        <f t="shared" si="19"/>
        <v>1396.818181818182</v>
      </c>
      <c r="H210" s="22">
        <v>21</v>
      </c>
      <c r="I210" s="21">
        <f t="shared" si="16"/>
        <v>293.33181818181822</v>
      </c>
      <c r="J210" s="21">
        <f t="shared" si="17"/>
        <v>1396.818181818182</v>
      </c>
      <c r="L210" s="21">
        <f t="shared" si="18"/>
        <v>0</v>
      </c>
      <c r="M210" s="8">
        <v>1690.15</v>
      </c>
      <c r="N210" s="20" t="s">
        <v>21</v>
      </c>
      <c r="O210" s="23" t="s">
        <v>65</v>
      </c>
      <c r="P210" s="23"/>
    </row>
    <row r="211" spans="1:16" s="22" customFormat="1" x14ac:dyDescent="0.35">
      <c r="A211" s="24">
        <v>45640</v>
      </c>
      <c r="B211" s="20" t="s">
        <v>3021</v>
      </c>
      <c r="C211" s="20"/>
      <c r="D211" s="20" t="s">
        <v>25</v>
      </c>
      <c r="E211" s="20" t="s">
        <v>26</v>
      </c>
      <c r="F211" s="21" t="str">
        <f t="shared" si="10"/>
        <v>426138 SALTOKI</v>
      </c>
      <c r="G211" s="12">
        <f t="shared" si="19"/>
        <v>-289</v>
      </c>
      <c r="H211" s="22">
        <v>21</v>
      </c>
      <c r="I211" s="21">
        <f t="shared" si="16"/>
        <v>-60.69</v>
      </c>
      <c r="J211" s="21">
        <f t="shared" si="17"/>
        <v>-289</v>
      </c>
      <c r="L211" s="21">
        <f t="shared" si="18"/>
        <v>0</v>
      </c>
      <c r="M211" s="8">
        <v>-349.69</v>
      </c>
      <c r="N211" s="20" t="s">
        <v>21</v>
      </c>
      <c r="O211" s="23" t="s">
        <v>65</v>
      </c>
      <c r="P211" s="23"/>
    </row>
    <row r="212" spans="1:16" s="22" customFormat="1" x14ac:dyDescent="0.35">
      <c r="A212" s="24">
        <v>45640</v>
      </c>
      <c r="B212" s="20" t="s">
        <v>3022</v>
      </c>
      <c r="C212" s="20"/>
      <c r="D212" s="20" t="s">
        <v>25</v>
      </c>
      <c r="E212" s="20" t="s">
        <v>26</v>
      </c>
      <c r="F212" s="21" t="str">
        <f t="shared" si="10"/>
        <v>426139 SALTOKI</v>
      </c>
      <c r="G212" s="12">
        <f t="shared" si="19"/>
        <v>174.77685950413223</v>
      </c>
      <c r="H212" s="22">
        <v>21</v>
      </c>
      <c r="I212" s="21">
        <f t="shared" si="16"/>
        <v>36.703140495867771</v>
      </c>
      <c r="J212" s="21">
        <f t="shared" si="17"/>
        <v>174.77685950413223</v>
      </c>
      <c r="L212" s="21">
        <f t="shared" si="18"/>
        <v>0</v>
      </c>
      <c r="M212" s="8">
        <v>211.48</v>
      </c>
      <c r="N212" s="20" t="s">
        <v>21</v>
      </c>
      <c r="O212" s="23" t="s">
        <v>65</v>
      </c>
      <c r="P212" s="23"/>
    </row>
    <row r="213" spans="1:16" s="22" customFormat="1" x14ac:dyDescent="0.35">
      <c r="A213" s="24">
        <v>45655</v>
      </c>
      <c r="B213" s="20" t="s">
        <v>3023</v>
      </c>
      <c r="C213" s="20"/>
      <c r="D213" s="20" t="s">
        <v>3024</v>
      </c>
      <c r="E213" s="20" t="s">
        <v>3025</v>
      </c>
      <c r="F213" s="21" t="str">
        <f t="shared" si="10"/>
        <v>SIM-INV-ES-1102429215-2024-85084 REDCAR LOW COST</v>
      </c>
      <c r="G213" s="12">
        <f t="shared" si="19"/>
        <v>15.619834710743801</v>
      </c>
      <c r="H213" s="22">
        <v>21</v>
      </c>
      <c r="I213" s="21">
        <f t="shared" si="16"/>
        <v>3.2801652892561979</v>
      </c>
      <c r="J213" s="21">
        <f t="shared" si="17"/>
        <v>15.619834710743801</v>
      </c>
      <c r="L213" s="21">
        <f t="shared" si="18"/>
        <v>0</v>
      </c>
      <c r="M213" s="8">
        <v>18.899999999999999</v>
      </c>
      <c r="N213" s="20" t="s">
        <v>21</v>
      </c>
      <c r="O213" s="23" t="s">
        <v>63</v>
      </c>
      <c r="P213" s="23"/>
    </row>
    <row r="214" spans="1:16" s="22" customFormat="1" x14ac:dyDescent="0.35">
      <c r="A214" s="24">
        <v>45639</v>
      </c>
      <c r="B214" s="20" t="s">
        <v>3026</v>
      </c>
      <c r="C214" s="20"/>
      <c r="D214" s="20" t="s">
        <v>107</v>
      </c>
      <c r="E214" s="20" t="s">
        <v>2021</v>
      </c>
      <c r="F214" s="21" t="str">
        <f t="shared" si="10"/>
        <v>24/201 AIRCLIMA2000 S.L.</v>
      </c>
      <c r="G214" s="12">
        <f t="shared" si="19"/>
        <v>9755</v>
      </c>
      <c r="H214" s="22">
        <v>21</v>
      </c>
      <c r="I214" s="21">
        <f t="shared" si="16"/>
        <v>2048.5500000000002</v>
      </c>
      <c r="J214" s="21">
        <f t="shared" si="17"/>
        <v>9755</v>
      </c>
      <c r="L214" s="21">
        <f t="shared" si="18"/>
        <v>0</v>
      </c>
      <c r="M214" s="8">
        <v>11803.55</v>
      </c>
      <c r="N214" s="20" t="s">
        <v>37</v>
      </c>
      <c r="O214" s="23" t="s">
        <v>68</v>
      </c>
      <c r="P214" s="23"/>
    </row>
    <row r="215" spans="1:16" s="22" customFormat="1" x14ac:dyDescent="0.35">
      <c r="A215" s="24">
        <v>45630</v>
      </c>
      <c r="B215" s="20" t="s">
        <v>3027</v>
      </c>
      <c r="C215" s="20"/>
      <c r="D215" s="20" t="s">
        <v>1000</v>
      </c>
      <c r="E215" s="20" t="s">
        <v>1001</v>
      </c>
      <c r="F215" s="21" t="str">
        <f t="shared" si="10"/>
        <v>B-4233 IPE MADERAS 1991 SLU</v>
      </c>
      <c r="G215" s="12">
        <f t="shared" si="19"/>
        <v>1843.9999999999998</v>
      </c>
      <c r="H215" s="22">
        <v>21</v>
      </c>
      <c r="I215" s="21">
        <f t="shared" si="16"/>
        <v>387.23999999999995</v>
      </c>
      <c r="J215" s="21">
        <f t="shared" si="17"/>
        <v>1843.9999999999998</v>
      </c>
      <c r="L215" s="21">
        <f t="shared" si="18"/>
        <v>0</v>
      </c>
      <c r="M215" s="8">
        <v>2231.2399999999998</v>
      </c>
      <c r="N215" s="20" t="s">
        <v>21</v>
      </c>
      <c r="O215" s="23" t="s">
        <v>68</v>
      </c>
      <c r="P215" s="23"/>
    </row>
    <row r="216" spans="1:16" s="22" customFormat="1" x14ac:dyDescent="0.35">
      <c r="A216" s="24">
        <v>45579</v>
      </c>
      <c r="B216" s="20" t="s">
        <v>3028</v>
      </c>
      <c r="C216" s="20"/>
      <c r="D216" s="20" t="s">
        <v>238</v>
      </c>
      <c r="E216" s="20" t="s">
        <v>220</v>
      </c>
      <c r="F216" s="21" t="str">
        <f t="shared" si="10"/>
        <v>60JDFE002456 TELEFONICA</v>
      </c>
      <c r="G216" s="12">
        <f t="shared" si="19"/>
        <v>1000</v>
      </c>
      <c r="H216" s="22">
        <v>21</v>
      </c>
      <c r="I216" s="21">
        <f t="shared" si="16"/>
        <v>210</v>
      </c>
      <c r="J216" s="21">
        <f t="shared" si="17"/>
        <v>1000</v>
      </c>
      <c r="L216" s="21">
        <f t="shared" si="18"/>
        <v>0</v>
      </c>
      <c r="M216" s="8">
        <v>1210</v>
      </c>
      <c r="N216" s="20" t="s">
        <v>39</v>
      </c>
      <c r="O216" s="23" t="s">
        <v>65</v>
      </c>
      <c r="P216" s="23" t="s">
        <v>3033</v>
      </c>
    </row>
    <row r="217" spans="1:16" s="22" customFormat="1" x14ac:dyDescent="0.35">
      <c r="A217" s="24">
        <v>45511</v>
      </c>
      <c r="B217" s="20" t="s">
        <v>3029</v>
      </c>
      <c r="C217" s="20"/>
      <c r="D217" s="20" t="s">
        <v>2425</v>
      </c>
      <c r="E217" s="20" t="s">
        <v>3030</v>
      </c>
      <c r="F217" s="21" t="str">
        <f t="shared" si="10"/>
        <v>FAC-09CUB24-001854 DATA CONTROL TECNOLOGIAS DE LA INFORMACION SA</v>
      </c>
      <c r="G217" s="12">
        <f t="shared" si="19"/>
        <v>2000</v>
      </c>
      <c r="H217" s="22">
        <v>21</v>
      </c>
      <c r="I217" s="21">
        <f t="shared" si="16"/>
        <v>420</v>
      </c>
      <c r="J217" s="21">
        <f t="shared" si="17"/>
        <v>2000</v>
      </c>
      <c r="L217" s="21">
        <f t="shared" si="18"/>
        <v>0</v>
      </c>
      <c r="M217" s="8">
        <v>2420</v>
      </c>
      <c r="N217" s="20" t="s">
        <v>3031</v>
      </c>
      <c r="O217" s="23" t="s">
        <v>68</v>
      </c>
      <c r="P217" s="23" t="s">
        <v>3032</v>
      </c>
    </row>
    <row r="218" spans="1:16" s="22" customFormat="1" x14ac:dyDescent="0.35">
      <c r="A218" s="24">
        <v>45627</v>
      </c>
      <c r="B218" s="20" t="s">
        <v>3034</v>
      </c>
      <c r="C218" s="20"/>
      <c r="D218" s="20" t="s">
        <v>238</v>
      </c>
      <c r="E218" s="20" t="s">
        <v>220</v>
      </c>
      <c r="F218" s="21" t="str">
        <f t="shared" si="10"/>
        <v>28-L4U1-064603 TELEFONICA</v>
      </c>
      <c r="G218" s="12">
        <f t="shared" si="19"/>
        <v>7.5537190082644639</v>
      </c>
      <c r="H218" s="22">
        <v>21</v>
      </c>
      <c r="I218" s="21">
        <f t="shared" si="16"/>
        <v>1.5862809917355376</v>
      </c>
      <c r="J218" s="21">
        <f t="shared" si="17"/>
        <v>7.5537190082644639</v>
      </c>
      <c r="L218" s="21">
        <f t="shared" si="18"/>
        <v>0</v>
      </c>
      <c r="M218" s="8">
        <v>9.14</v>
      </c>
      <c r="N218" s="20" t="s">
        <v>39</v>
      </c>
      <c r="O218" s="23" t="s">
        <v>65</v>
      </c>
      <c r="P218" s="23"/>
    </row>
    <row r="219" spans="1:16" s="22" customFormat="1" x14ac:dyDescent="0.35">
      <c r="A219" s="24">
        <v>45627</v>
      </c>
      <c r="B219" s="20" t="s">
        <v>3035</v>
      </c>
      <c r="C219" s="20"/>
      <c r="D219" s="20" t="s">
        <v>238</v>
      </c>
      <c r="E219" s="20" t="s">
        <v>220</v>
      </c>
      <c r="F219" s="21" t="str">
        <f t="shared" si="10"/>
        <v>TA7DR0170187 TELEFONICA</v>
      </c>
      <c r="G219" s="12">
        <f t="shared" si="19"/>
        <v>85.239669421487605</v>
      </c>
      <c r="H219" s="22">
        <v>21</v>
      </c>
      <c r="I219" s="21">
        <f t="shared" si="16"/>
        <v>17.900330578512396</v>
      </c>
      <c r="J219" s="21">
        <f t="shared" si="17"/>
        <v>85.239669421487605</v>
      </c>
      <c r="L219" s="21">
        <f t="shared" si="18"/>
        <v>0</v>
      </c>
      <c r="M219" s="8">
        <v>103.14</v>
      </c>
      <c r="N219" s="20" t="s">
        <v>39</v>
      </c>
      <c r="O219" s="23" t="s">
        <v>65</v>
      </c>
      <c r="P219" s="23"/>
    </row>
    <row r="220" spans="1:16" s="22" customFormat="1" x14ac:dyDescent="0.35">
      <c r="A220" s="24">
        <v>45627</v>
      </c>
      <c r="B220" s="20" t="s">
        <v>3036</v>
      </c>
      <c r="C220" s="20"/>
      <c r="D220" s="20" t="s">
        <v>238</v>
      </c>
      <c r="E220" s="20" t="s">
        <v>220</v>
      </c>
      <c r="F220" s="21" t="str">
        <f t="shared" si="10"/>
        <v>TA7DR0170188 TELEFONICA</v>
      </c>
      <c r="G220" s="12">
        <f t="shared" si="19"/>
        <v>85.239669421487605</v>
      </c>
      <c r="H220" s="22">
        <v>21</v>
      </c>
      <c r="I220" s="21">
        <f t="shared" si="16"/>
        <v>17.900330578512396</v>
      </c>
      <c r="J220" s="21">
        <f t="shared" si="17"/>
        <v>85.239669421487605</v>
      </c>
      <c r="L220" s="21">
        <f t="shared" si="18"/>
        <v>0</v>
      </c>
      <c r="M220" s="8">
        <v>103.14</v>
      </c>
      <c r="N220" s="20" t="s">
        <v>39</v>
      </c>
      <c r="O220" s="23" t="s">
        <v>65</v>
      </c>
      <c r="P220" s="23"/>
    </row>
    <row r="221" spans="1:16" s="22" customFormat="1" x14ac:dyDescent="0.35">
      <c r="A221" s="24">
        <v>45627</v>
      </c>
      <c r="B221" s="20" t="s">
        <v>3037</v>
      </c>
      <c r="C221" s="20"/>
      <c r="D221" s="20" t="s">
        <v>238</v>
      </c>
      <c r="E221" s="20" t="s">
        <v>220</v>
      </c>
      <c r="F221" s="21" t="str">
        <f t="shared" si="10"/>
        <v>TA7DR0170190 TELEFONICA</v>
      </c>
      <c r="G221" s="12">
        <f t="shared" si="19"/>
        <v>85.239669421487605</v>
      </c>
      <c r="H221" s="22">
        <v>21</v>
      </c>
      <c r="I221" s="21">
        <f t="shared" si="16"/>
        <v>17.900330578512396</v>
      </c>
      <c r="J221" s="21">
        <f t="shared" si="17"/>
        <v>85.239669421487605</v>
      </c>
      <c r="L221" s="21">
        <f t="shared" si="18"/>
        <v>0</v>
      </c>
      <c r="M221" s="8">
        <v>103.14</v>
      </c>
      <c r="N221" s="20" t="s">
        <v>39</v>
      </c>
      <c r="O221" s="23" t="s">
        <v>65</v>
      </c>
      <c r="P221" s="23"/>
    </row>
    <row r="222" spans="1:16" s="22" customFormat="1" x14ac:dyDescent="0.35">
      <c r="A222" s="24">
        <v>45627</v>
      </c>
      <c r="B222" s="20" t="s">
        <v>3038</v>
      </c>
      <c r="C222" s="20"/>
      <c r="D222" s="20" t="s">
        <v>238</v>
      </c>
      <c r="E222" s="20" t="s">
        <v>220</v>
      </c>
      <c r="F222" s="21" t="str">
        <f t="shared" si="10"/>
        <v>TA7DR0170189 TELEFONICA</v>
      </c>
      <c r="G222" s="12">
        <f t="shared" si="19"/>
        <v>145.70247933884298</v>
      </c>
      <c r="H222" s="22">
        <v>21</v>
      </c>
      <c r="I222" s="21">
        <f t="shared" si="16"/>
        <v>30.597520661157024</v>
      </c>
      <c r="J222" s="21">
        <f t="shared" si="17"/>
        <v>145.70247933884298</v>
      </c>
      <c r="L222" s="21">
        <f t="shared" si="18"/>
        <v>0</v>
      </c>
      <c r="M222" s="8">
        <v>176.3</v>
      </c>
      <c r="N222" s="20" t="s">
        <v>39</v>
      </c>
      <c r="O222" s="23" t="s">
        <v>65</v>
      </c>
      <c r="P222" s="23"/>
    </row>
    <row r="223" spans="1:16" s="22" customFormat="1" x14ac:dyDescent="0.35">
      <c r="A223" s="24">
        <v>45641</v>
      </c>
      <c r="B223" s="20" t="s">
        <v>3042</v>
      </c>
      <c r="C223" s="20"/>
      <c r="D223" s="20" t="s">
        <v>1334</v>
      </c>
      <c r="E223" s="20" t="s">
        <v>2803</v>
      </c>
      <c r="F223" s="21" t="str">
        <f t="shared" si="10"/>
        <v>434315379 SUMINISTRO ELECTRICOS GUARDEÑO</v>
      </c>
      <c r="G223" s="12">
        <f t="shared" si="19"/>
        <v>893.55371900826458</v>
      </c>
      <c r="H223" s="22">
        <v>21</v>
      </c>
      <c r="I223" s="21">
        <f t="shared" si="16"/>
        <v>187.64628099173555</v>
      </c>
      <c r="J223" s="21">
        <f t="shared" si="17"/>
        <v>893.55371900826458</v>
      </c>
      <c r="L223" s="21">
        <f t="shared" si="18"/>
        <v>0</v>
      </c>
      <c r="M223" s="8">
        <v>1081.2</v>
      </c>
      <c r="N223" s="20" t="s">
        <v>21</v>
      </c>
      <c r="O223" s="23" t="s">
        <v>65</v>
      </c>
      <c r="P223" s="23"/>
    </row>
    <row r="224" spans="1:16" s="22" customFormat="1" x14ac:dyDescent="0.35">
      <c r="A224" s="24">
        <v>45357</v>
      </c>
      <c r="B224" s="20" t="s">
        <v>3049</v>
      </c>
      <c r="C224" s="20"/>
      <c r="D224" s="20" t="s">
        <v>3050</v>
      </c>
      <c r="E224" s="20" t="s">
        <v>3051</v>
      </c>
      <c r="F224" s="21" t="str">
        <f t="shared" si="10"/>
        <v>B/00217 NOTARIOS DE LA CIBELINA S.C.</v>
      </c>
      <c r="G224" s="12">
        <v>149.78</v>
      </c>
      <c r="H224" s="22">
        <v>21</v>
      </c>
      <c r="I224" s="21">
        <f t="shared" si="16"/>
        <v>31.453800000000001</v>
      </c>
      <c r="J224" s="21">
        <v>149.78</v>
      </c>
      <c r="K224" s="22">
        <v>15</v>
      </c>
      <c r="L224" s="21">
        <f t="shared" si="18"/>
        <v>22.466999999999999</v>
      </c>
      <c r="M224" s="8">
        <v>159.6</v>
      </c>
      <c r="N224" s="20"/>
      <c r="O224" s="23" t="s">
        <v>65</v>
      </c>
      <c r="P224" s="23"/>
    </row>
    <row r="225" spans="1:16" s="22" customFormat="1" x14ac:dyDescent="0.35">
      <c r="A225" s="24">
        <v>45642</v>
      </c>
      <c r="B225" s="20" t="s">
        <v>3052</v>
      </c>
      <c r="C225" s="20"/>
      <c r="D225" s="20" t="s">
        <v>3053</v>
      </c>
      <c r="E225" s="20" t="s">
        <v>3054</v>
      </c>
      <c r="F225" s="21" t="str">
        <f t="shared" si="10"/>
        <v>F4/20222 GALERIAS MIMMA</v>
      </c>
      <c r="G225" s="12">
        <f t="shared" si="19"/>
        <v>1719.0082644628101</v>
      </c>
      <c r="H225" s="22">
        <v>21</v>
      </c>
      <c r="I225" s="21">
        <f t="shared" si="16"/>
        <v>360.9917355371901</v>
      </c>
      <c r="J225" s="21">
        <f t="shared" si="17"/>
        <v>1719.0082644628101</v>
      </c>
      <c r="L225" s="21">
        <f t="shared" si="18"/>
        <v>0</v>
      </c>
      <c r="M225" s="8">
        <v>2080</v>
      </c>
      <c r="N225" s="20" t="s">
        <v>21</v>
      </c>
      <c r="O225" s="23" t="s">
        <v>68</v>
      </c>
      <c r="P225" s="23" t="s">
        <v>3055</v>
      </c>
    </row>
    <row r="226" spans="1:16" s="22" customFormat="1" x14ac:dyDescent="0.35">
      <c r="A226" s="24">
        <v>45473</v>
      </c>
      <c r="B226" s="20" t="s">
        <v>3057</v>
      </c>
      <c r="C226" s="20"/>
      <c r="D226" s="20" t="s">
        <v>3056</v>
      </c>
      <c r="E226" s="20" t="s">
        <v>2755</v>
      </c>
      <c r="F226" s="21" t="str">
        <f t="shared" si="10"/>
        <v>L/24/00083843 SOLRED</v>
      </c>
      <c r="G226" s="12">
        <f t="shared" si="19"/>
        <v>273.64462809917359</v>
      </c>
      <c r="H226" s="22">
        <v>21</v>
      </c>
      <c r="I226" s="21">
        <f t="shared" si="16"/>
        <v>57.465371900826447</v>
      </c>
      <c r="J226" s="21">
        <f t="shared" si="17"/>
        <v>273.64462809917359</v>
      </c>
      <c r="L226" s="21">
        <f t="shared" si="18"/>
        <v>0</v>
      </c>
      <c r="M226" s="8">
        <v>331.11</v>
      </c>
      <c r="N226" s="20" t="s">
        <v>22</v>
      </c>
      <c r="O226" s="23" t="s">
        <v>63</v>
      </c>
      <c r="P226" s="23"/>
    </row>
    <row r="227" spans="1:16" s="22" customFormat="1" x14ac:dyDescent="0.35">
      <c r="A227" s="24">
        <v>45504</v>
      </c>
      <c r="B227" s="20" t="s">
        <v>3058</v>
      </c>
      <c r="C227" s="20"/>
      <c r="D227" s="20" t="s">
        <v>3056</v>
      </c>
      <c r="E227" s="20" t="s">
        <v>2755</v>
      </c>
      <c r="F227" s="21" t="str">
        <f t="shared" si="10"/>
        <v>L/24/00100479 SOLRED</v>
      </c>
      <c r="G227" s="12">
        <f t="shared" si="19"/>
        <v>214.23140495867773</v>
      </c>
      <c r="H227" s="22">
        <v>21</v>
      </c>
      <c r="I227" s="21">
        <f t="shared" si="16"/>
        <v>44.988595041322327</v>
      </c>
      <c r="J227" s="21">
        <f t="shared" si="17"/>
        <v>214.23140495867773</v>
      </c>
      <c r="L227" s="21">
        <f t="shared" si="18"/>
        <v>0</v>
      </c>
      <c r="M227" s="8">
        <v>259.22000000000003</v>
      </c>
      <c r="N227" s="20" t="s">
        <v>22</v>
      </c>
      <c r="O227" s="23" t="s">
        <v>63</v>
      </c>
      <c r="P227" s="23"/>
    </row>
    <row r="228" spans="1:16" s="22" customFormat="1" x14ac:dyDescent="0.35">
      <c r="A228" s="24">
        <v>45535</v>
      </c>
      <c r="B228" s="20" t="s">
        <v>3059</v>
      </c>
      <c r="C228" s="20"/>
      <c r="D228" s="20" t="s">
        <v>3056</v>
      </c>
      <c r="E228" s="20" t="s">
        <v>2755</v>
      </c>
      <c r="F228" s="21" t="str">
        <f t="shared" si="10"/>
        <v>L/24/00117301 SOLRED</v>
      </c>
      <c r="G228" s="12">
        <f t="shared" si="19"/>
        <v>93.082644628099175</v>
      </c>
      <c r="H228" s="22">
        <v>21</v>
      </c>
      <c r="I228" s="21">
        <f t="shared" si="16"/>
        <v>19.547355371900824</v>
      </c>
      <c r="J228" s="21">
        <f t="shared" si="17"/>
        <v>93.082644628099175</v>
      </c>
      <c r="L228" s="21">
        <f t="shared" si="18"/>
        <v>0</v>
      </c>
      <c r="M228" s="8">
        <v>112.63</v>
      </c>
      <c r="N228" s="20" t="s">
        <v>22</v>
      </c>
      <c r="O228" s="23" t="s">
        <v>63</v>
      </c>
      <c r="P228" s="23"/>
    </row>
    <row r="229" spans="1:16" s="22" customFormat="1" x14ac:dyDescent="0.35">
      <c r="A229" s="24">
        <v>45565</v>
      </c>
      <c r="B229" s="20" t="s">
        <v>3060</v>
      </c>
      <c r="C229" s="20"/>
      <c r="D229" s="20" t="s">
        <v>3056</v>
      </c>
      <c r="E229" s="20" t="s">
        <v>2755</v>
      </c>
      <c r="F229" s="21" t="str">
        <f t="shared" si="10"/>
        <v>L/24/00133848 SOLRED</v>
      </c>
      <c r="G229" s="12">
        <f t="shared" si="19"/>
        <v>80.074380165289256</v>
      </c>
      <c r="H229" s="22">
        <v>21</v>
      </c>
      <c r="I229" s="21">
        <f t="shared" si="16"/>
        <v>16.815619834710745</v>
      </c>
      <c r="J229" s="21">
        <f t="shared" si="17"/>
        <v>80.074380165289256</v>
      </c>
      <c r="L229" s="21">
        <f t="shared" si="18"/>
        <v>0</v>
      </c>
      <c r="M229" s="8">
        <v>96.89</v>
      </c>
      <c r="N229" s="20" t="s">
        <v>22</v>
      </c>
      <c r="O229" s="23" t="s">
        <v>63</v>
      </c>
      <c r="P229" s="23"/>
    </row>
    <row r="230" spans="1:16" s="22" customFormat="1" x14ac:dyDescent="0.35">
      <c r="A230" s="24">
        <v>45644</v>
      </c>
      <c r="B230" s="20" t="s">
        <v>1266</v>
      </c>
      <c r="C230" s="20"/>
      <c r="D230" s="20" t="s">
        <v>134</v>
      </c>
      <c r="E230" s="20" t="s">
        <v>143</v>
      </c>
      <c r="F230" s="21" t="str">
        <f t="shared" si="10"/>
        <v>76 IOAN NICULAI</v>
      </c>
      <c r="G230" s="12">
        <f t="shared" si="19"/>
        <v>14558</v>
      </c>
      <c r="H230" s="22">
        <v>21</v>
      </c>
      <c r="I230" s="21">
        <f t="shared" si="16"/>
        <v>3057.18</v>
      </c>
      <c r="J230" s="21">
        <f t="shared" si="17"/>
        <v>14558</v>
      </c>
      <c r="L230" s="21">
        <f t="shared" si="18"/>
        <v>0</v>
      </c>
      <c r="M230" s="8">
        <v>17615.18</v>
      </c>
      <c r="N230" s="20" t="s">
        <v>37</v>
      </c>
      <c r="O230" s="23" t="s">
        <v>68</v>
      </c>
      <c r="P230" s="23"/>
    </row>
    <row r="231" spans="1:16" s="22" customFormat="1" x14ac:dyDescent="0.35">
      <c r="A231" s="24">
        <v>45499</v>
      </c>
      <c r="B231" s="20" t="s">
        <v>3061</v>
      </c>
      <c r="C231" s="20"/>
      <c r="D231" s="20" t="s">
        <v>3062</v>
      </c>
      <c r="E231" s="20" t="s">
        <v>3063</v>
      </c>
      <c r="F231" s="21" t="str">
        <f t="shared" si="10"/>
        <v>G-241931 GESTORIA ENRIQUE RAYA ALVAREZ</v>
      </c>
      <c r="G231" s="12">
        <v>160</v>
      </c>
      <c r="H231" s="22">
        <v>21</v>
      </c>
      <c r="I231" s="21">
        <f t="shared" si="16"/>
        <v>33.6</v>
      </c>
      <c r="J231" s="21">
        <v>98.71</v>
      </c>
      <c r="K231" s="21">
        <v>21</v>
      </c>
      <c r="L231" s="21">
        <f t="shared" si="18"/>
        <v>20.729099999999999</v>
      </c>
      <c r="M231" s="8">
        <v>1648</v>
      </c>
      <c r="N231" s="20" t="s">
        <v>55</v>
      </c>
      <c r="O231" s="23" t="s">
        <v>68</v>
      </c>
      <c r="P231" s="23"/>
    </row>
    <row r="232" spans="1:16" s="22" customFormat="1" x14ac:dyDescent="0.35">
      <c r="A232" s="24">
        <v>45647</v>
      </c>
      <c r="B232" s="20" t="s">
        <v>3064</v>
      </c>
      <c r="C232" s="20"/>
      <c r="D232" s="20" t="s">
        <v>25</v>
      </c>
      <c r="E232" s="20" t="s">
        <v>26</v>
      </c>
      <c r="F232" s="21" t="str">
        <f t="shared" si="10"/>
        <v>435266 SALTOKI</v>
      </c>
      <c r="G232" s="12">
        <f t="shared" si="19"/>
        <v>529.7190082644629</v>
      </c>
      <c r="H232" s="22">
        <v>21</v>
      </c>
      <c r="I232" s="21">
        <f>G232*H232/100</f>
        <v>111.24099173553721</v>
      </c>
      <c r="J232" s="21">
        <f t="shared" si="17"/>
        <v>529.7190082644629</v>
      </c>
      <c r="L232" s="21">
        <f t="shared" si="18"/>
        <v>0</v>
      </c>
      <c r="M232" s="8">
        <v>640.96</v>
      </c>
      <c r="N232" s="20" t="s">
        <v>21</v>
      </c>
      <c r="O232" s="23" t="s">
        <v>65</v>
      </c>
      <c r="P232" s="23"/>
    </row>
    <row r="233" spans="1:16" s="22" customFormat="1" x14ac:dyDescent="0.35">
      <c r="A233" s="24">
        <v>45646</v>
      </c>
      <c r="B233" s="20" t="s">
        <v>3065</v>
      </c>
      <c r="C233" s="20"/>
      <c r="D233" s="20" t="s">
        <v>94</v>
      </c>
      <c r="E233" s="20" t="s">
        <v>139</v>
      </c>
      <c r="F233" s="21" t="str">
        <f t="shared" si="10"/>
        <v>VEN/20309847 BIGMAT</v>
      </c>
      <c r="G233" s="12">
        <f t="shared" si="19"/>
        <v>425.08264462809922</v>
      </c>
      <c r="H233" s="22">
        <v>21</v>
      </c>
      <c r="I233" s="21">
        <f>G233*H233/100</f>
        <v>89.267355371900834</v>
      </c>
      <c r="J233" s="21">
        <f>G233</f>
        <v>425.08264462809922</v>
      </c>
      <c r="L233" s="21">
        <f>J233*K233/100</f>
        <v>0</v>
      </c>
      <c r="M233" s="8">
        <v>514.35</v>
      </c>
      <c r="N233" s="20" t="s">
        <v>21</v>
      </c>
      <c r="O233" s="23" t="s">
        <v>65</v>
      </c>
      <c r="P233" s="23"/>
    </row>
    <row r="234" spans="1:16" s="22" customFormat="1" x14ac:dyDescent="0.35">
      <c r="A234" s="24">
        <v>45652</v>
      </c>
      <c r="B234" s="20" t="s">
        <v>3067</v>
      </c>
      <c r="C234" s="20"/>
      <c r="D234" s="20" t="s">
        <v>23</v>
      </c>
      <c r="E234" s="20" t="s">
        <v>70</v>
      </c>
      <c r="F234" s="21" t="str">
        <f t="shared" si="10"/>
        <v>00012132 PINTOCOLORS CB</v>
      </c>
      <c r="G234" s="12">
        <f t="shared" si="19"/>
        <v>413.44628099173553</v>
      </c>
      <c r="H234" s="22">
        <v>21</v>
      </c>
      <c r="I234" s="21">
        <f>G234*H234/100</f>
        <v>86.823719008264476</v>
      </c>
      <c r="J234" s="21">
        <f>G234</f>
        <v>413.44628099173553</v>
      </c>
      <c r="L234" s="21">
        <f>J234*K234/100</f>
        <v>0</v>
      </c>
      <c r="M234" s="8">
        <v>500.27</v>
      </c>
      <c r="N234" s="20" t="s">
        <v>21</v>
      </c>
      <c r="O234" s="23" t="s">
        <v>64</v>
      </c>
      <c r="P234" s="23"/>
    </row>
    <row r="235" spans="1:16" s="22" customFormat="1" x14ac:dyDescent="0.35">
      <c r="A235" s="24">
        <v>45590</v>
      </c>
      <c r="B235" s="20" t="s">
        <v>3068</v>
      </c>
      <c r="C235" s="20"/>
      <c r="D235" s="20" t="s">
        <v>29</v>
      </c>
      <c r="E235" s="20" t="s">
        <v>76</v>
      </c>
      <c r="F235" s="21" t="str">
        <f t="shared" si="10"/>
        <v>5477202400724681 COSTCO</v>
      </c>
      <c r="G235" s="12">
        <f>M235/(1-K235/100+H235/100)</f>
        <v>66.884297520661164</v>
      </c>
      <c r="H235" s="22">
        <v>21</v>
      </c>
      <c r="I235" s="21">
        <f>G235*H235/100</f>
        <v>14.045702479338845</v>
      </c>
      <c r="J235" s="21">
        <f>G235</f>
        <v>66.884297520661164</v>
      </c>
      <c r="L235" s="21">
        <f>J235*K235/100</f>
        <v>0</v>
      </c>
      <c r="M235" s="8">
        <v>80.930000000000007</v>
      </c>
      <c r="N235" s="20" t="s">
        <v>22</v>
      </c>
      <c r="O235" s="23" t="s">
        <v>63</v>
      </c>
      <c r="P235" s="23"/>
    </row>
    <row r="236" spans="1:16" s="22" customFormat="1" x14ac:dyDescent="0.35">
      <c r="A236" s="24">
        <v>45630</v>
      </c>
      <c r="B236" s="20" t="s">
        <v>3069</v>
      </c>
      <c r="C236" s="20"/>
      <c r="D236" s="20" t="s">
        <v>29</v>
      </c>
      <c r="E236" s="20" t="s">
        <v>76</v>
      </c>
      <c r="F236" s="21" t="str">
        <f t="shared" si="10"/>
        <v>5477202400731482 COSTCO</v>
      </c>
      <c r="G236" s="12">
        <f>M236/(1-K236/100+H236/100)</f>
        <v>51.636363636363633</v>
      </c>
      <c r="H236" s="22">
        <v>21</v>
      </c>
      <c r="I236" s="21">
        <f t="shared" ref="I236:I295" si="20">G236*H236/100</f>
        <v>10.843636363636362</v>
      </c>
      <c r="J236" s="21">
        <f>G236</f>
        <v>51.636363636363633</v>
      </c>
      <c r="L236" s="21">
        <f>J236*K236/100</f>
        <v>0</v>
      </c>
      <c r="M236" s="8">
        <v>62.48</v>
      </c>
      <c r="N236" s="20" t="s">
        <v>22</v>
      </c>
      <c r="O236" s="23" t="s">
        <v>63</v>
      </c>
      <c r="P236" s="23"/>
    </row>
    <row r="237" spans="1:16" s="22" customFormat="1" x14ac:dyDescent="0.35">
      <c r="A237" s="24">
        <v>45644</v>
      </c>
      <c r="B237" s="20" t="s">
        <v>3070</v>
      </c>
      <c r="C237" s="20"/>
      <c r="D237" s="20" t="s">
        <v>29</v>
      </c>
      <c r="E237" s="20" t="s">
        <v>76</v>
      </c>
      <c r="F237" s="21" t="str">
        <f t="shared" si="10"/>
        <v>5477202400734370 COSTCO</v>
      </c>
      <c r="G237" s="12">
        <f t="shared" ref="G237:G296" si="21">M237/(1-K237/100+H237/100)</f>
        <v>67.264462809917362</v>
      </c>
      <c r="H237" s="22">
        <v>21</v>
      </c>
      <c r="I237" s="21">
        <f t="shared" si="20"/>
        <v>14.125537190082646</v>
      </c>
      <c r="J237" s="21">
        <f t="shared" ref="J237:J296" si="22">G237</f>
        <v>67.264462809917362</v>
      </c>
      <c r="L237" s="21">
        <f t="shared" ref="L237:L296" si="23">J237*K237/100</f>
        <v>0</v>
      </c>
      <c r="M237" s="8">
        <v>81.39</v>
      </c>
      <c r="N237" s="20" t="s">
        <v>22</v>
      </c>
      <c r="O237" s="23" t="s">
        <v>63</v>
      </c>
      <c r="P237" s="23"/>
    </row>
    <row r="238" spans="1:16" s="22" customFormat="1" x14ac:dyDescent="0.35">
      <c r="A238" s="24">
        <v>45649</v>
      </c>
      <c r="B238" s="20" t="s">
        <v>3071</v>
      </c>
      <c r="C238" s="20"/>
      <c r="D238" s="20" t="s">
        <v>29</v>
      </c>
      <c r="E238" s="20" t="s">
        <v>76</v>
      </c>
      <c r="F238" s="21" t="str">
        <f t="shared" si="10"/>
        <v>5477202400080988 COSTCO</v>
      </c>
      <c r="G238" s="12">
        <v>38.15</v>
      </c>
      <c r="H238" s="22">
        <v>10</v>
      </c>
      <c r="I238" s="21">
        <f t="shared" si="20"/>
        <v>3.8149999999999999</v>
      </c>
      <c r="J238" s="21">
        <v>24.44</v>
      </c>
      <c r="K238" s="21">
        <v>2</v>
      </c>
      <c r="L238" s="21">
        <f t="shared" si="23"/>
        <v>0.48880000000000001</v>
      </c>
      <c r="M238" s="8">
        <v>69.95</v>
      </c>
      <c r="N238" s="20" t="s">
        <v>22</v>
      </c>
      <c r="O238" s="23" t="s">
        <v>63</v>
      </c>
      <c r="P238" s="23"/>
    </row>
    <row r="239" spans="1:16" s="22" customFormat="1" x14ac:dyDescent="0.35">
      <c r="A239" s="24">
        <v>45653</v>
      </c>
      <c r="B239" s="20" t="s">
        <v>3128</v>
      </c>
      <c r="C239" s="20"/>
      <c r="D239" s="20" t="s">
        <v>29</v>
      </c>
      <c r="E239" s="20" t="s">
        <v>76</v>
      </c>
      <c r="F239" s="21" t="str">
        <f>CONCATENATE(S239,B239," ",E239)</f>
        <v>5477-2024-00585437 COSTCO</v>
      </c>
      <c r="G239" s="12">
        <f>M239/(1-K239/100+H239/100)</f>
        <v>60.380165289256205</v>
      </c>
      <c r="H239" s="22">
        <v>21</v>
      </c>
      <c r="I239" s="21">
        <f>G239*H239/100</f>
        <v>12.679834710743803</v>
      </c>
      <c r="J239" s="21">
        <f>G239</f>
        <v>60.380165289256205</v>
      </c>
      <c r="L239" s="21">
        <f>J239*K239/100</f>
        <v>0</v>
      </c>
      <c r="M239" s="8">
        <v>73.06</v>
      </c>
      <c r="N239" s="20" t="s">
        <v>22</v>
      </c>
      <c r="O239" s="23" t="s">
        <v>63</v>
      </c>
      <c r="P239" s="23"/>
    </row>
    <row r="240" spans="1:16" s="22" customFormat="1" x14ac:dyDescent="0.35">
      <c r="A240" s="24">
        <v>45657</v>
      </c>
      <c r="B240" s="20" t="s">
        <v>3072</v>
      </c>
      <c r="C240" s="20"/>
      <c r="D240" s="20" t="s">
        <v>34</v>
      </c>
      <c r="E240" s="20" t="s">
        <v>2642</v>
      </c>
      <c r="F240" s="21" t="str">
        <f t="shared" si="10"/>
        <v>F244878 CONTAMAR ASESORES DE EMPRESAS</v>
      </c>
      <c r="G240" s="12">
        <f t="shared" si="21"/>
        <v>179.55371900826447</v>
      </c>
      <c r="H240" s="22">
        <v>21</v>
      </c>
      <c r="I240" s="21">
        <f t="shared" si="20"/>
        <v>37.706280991735539</v>
      </c>
      <c r="J240" s="21">
        <f t="shared" si="22"/>
        <v>179.55371900826447</v>
      </c>
      <c r="L240" s="21">
        <f t="shared" si="23"/>
        <v>0</v>
      </c>
      <c r="M240" s="8">
        <v>217.26</v>
      </c>
      <c r="N240" s="20" t="s">
        <v>55</v>
      </c>
      <c r="O240" s="23" t="s">
        <v>65</v>
      </c>
      <c r="P240" s="23"/>
    </row>
    <row r="241" spans="1:18" s="22" customFormat="1" x14ac:dyDescent="0.35">
      <c r="A241" s="24">
        <v>45644</v>
      </c>
      <c r="B241" s="20" t="s">
        <v>3073</v>
      </c>
      <c r="C241" s="20"/>
      <c r="D241" s="20" t="s">
        <v>57</v>
      </c>
      <c r="E241" s="20" t="s">
        <v>44</v>
      </c>
      <c r="F241" s="21" t="str">
        <f t="shared" si="10"/>
        <v>016-0012-864538 LEROY MERLIN</v>
      </c>
      <c r="G241" s="12">
        <f t="shared" si="21"/>
        <v>3288.3388429752067</v>
      </c>
      <c r="H241" s="22">
        <v>21</v>
      </c>
      <c r="I241" s="21">
        <f t="shared" si="20"/>
        <v>690.55115702479338</v>
      </c>
      <c r="J241" s="21">
        <f t="shared" si="22"/>
        <v>3288.3388429752067</v>
      </c>
      <c r="L241" s="21">
        <f t="shared" si="23"/>
        <v>0</v>
      </c>
      <c r="M241" s="8">
        <v>3978.89</v>
      </c>
      <c r="N241" s="20" t="s">
        <v>21</v>
      </c>
      <c r="O241" s="23" t="s">
        <v>68</v>
      </c>
      <c r="P241" s="23"/>
    </row>
    <row r="242" spans="1:18" s="22" customFormat="1" x14ac:dyDescent="0.35">
      <c r="A242" s="24">
        <v>45616</v>
      </c>
      <c r="B242" s="20" t="s">
        <v>3074</v>
      </c>
      <c r="C242" s="20"/>
      <c r="D242" s="20" t="s">
        <v>3075</v>
      </c>
      <c r="E242" s="20" t="s">
        <v>3076</v>
      </c>
      <c r="F242" s="21" t="str">
        <f t="shared" si="10"/>
        <v>1320112024 WILLCO SPAIN</v>
      </c>
      <c r="G242" s="12">
        <v>1275</v>
      </c>
      <c r="H242" s="22">
        <v>21</v>
      </c>
      <c r="I242" s="21">
        <f t="shared" si="20"/>
        <v>267.75</v>
      </c>
      <c r="J242" s="21">
        <f t="shared" si="22"/>
        <v>1275</v>
      </c>
      <c r="L242" s="21">
        <f t="shared" si="23"/>
        <v>0</v>
      </c>
      <c r="M242" s="8">
        <v>1781.55</v>
      </c>
      <c r="N242" s="20" t="s">
        <v>3077</v>
      </c>
      <c r="O242" s="23" t="s">
        <v>63</v>
      </c>
      <c r="P242" s="23"/>
    </row>
    <row r="243" spans="1:18" s="22" customFormat="1" x14ac:dyDescent="0.35">
      <c r="A243" s="24">
        <v>45636</v>
      </c>
      <c r="B243" s="20" t="s">
        <v>3078</v>
      </c>
      <c r="C243" s="20"/>
      <c r="D243" s="20" t="s">
        <v>1273</v>
      </c>
      <c r="E243" s="20" t="s">
        <v>1274</v>
      </c>
      <c r="F243" s="21" t="str">
        <f t="shared" si="10"/>
        <v>2024026 MARIUS MIHAI CIOCAN</v>
      </c>
      <c r="G243" s="12">
        <f t="shared" si="21"/>
        <v>4560</v>
      </c>
      <c r="H243" s="22">
        <v>21</v>
      </c>
      <c r="I243" s="21">
        <f t="shared" si="20"/>
        <v>957.6</v>
      </c>
      <c r="J243" s="21">
        <f t="shared" si="22"/>
        <v>4560</v>
      </c>
      <c r="L243" s="21">
        <f t="shared" si="23"/>
        <v>0</v>
      </c>
      <c r="M243" s="8">
        <v>5517.6</v>
      </c>
      <c r="N243" s="20" t="s">
        <v>37</v>
      </c>
      <c r="O243" s="23" t="s">
        <v>68</v>
      </c>
      <c r="P243" s="23"/>
    </row>
    <row r="244" spans="1:18" s="22" customFormat="1" x14ac:dyDescent="0.35">
      <c r="A244" s="24">
        <v>45653</v>
      </c>
      <c r="B244" s="20" t="s">
        <v>3079</v>
      </c>
      <c r="C244" s="20"/>
      <c r="D244" s="20" t="s">
        <v>3080</v>
      </c>
      <c r="E244" s="20" t="s">
        <v>24</v>
      </c>
      <c r="F244" s="21" t="str">
        <f t="shared" si="10"/>
        <v>PE/097045/V/24/000265 REPSOL</v>
      </c>
      <c r="G244" s="12">
        <f t="shared" si="21"/>
        <v>12.082644628099173</v>
      </c>
      <c r="H244" s="22">
        <v>21</v>
      </c>
      <c r="I244" s="21">
        <f t="shared" si="20"/>
        <v>2.5373553719008264</v>
      </c>
      <c r="J244" s="21">
        <f t="shared" si="22"/>
        <v>12.082644628099173</v>
      </c>
      <c r="L244" s="21">
        <f t="shared" si="23"/>
        <v>0</v>
      </c>
      <c r="M244" s="8">
        <v>14.62</v>
      </c>
      <c r="N244" s="20" t="s">
        <v>22</v>
      </c>
      <c r="O244" s="23"/>
      <c r="P244" s="23"/>
    </row>
    <row r="245" spans="1:18" s="22" customFormat="1" x14ac:dyDescent="0.35">
      <c r="A245" s="24">
        <v>45554</v>
      </c>
      <c r="B245" s="20" t="s">
        <v>3081</v>
      </c>
      <c r="C245" s="20"/>
      <c r="D245" s="20" t="s">
        <v>3082</v>
      </c>
      <c r="E245" s="20" t="s">
        <v>3083</v>
      </c>
      <c r="F245" s="21" t="str">
        <f t="shared" si="10"/>
        <v>1036/09/2024/ES MOSSA PIOTR BLAHYJ</v>
      </c>
      <c r="G245" s="12">
        <f t="shared" si="21"/>
        <v>57</v>
      </c>
      <c r="H245" s="22">
        <v>0</v>
      </c>
      <c r="I245" s="21">
        <f t="shared" si="20"/>
        <v>0</v>
      </c>
      <c r="J245" s="21">
        <f t="shared" si="22"/>
        <v>57</v>
      </c>
      <c r="L245" s="21">
        <f t="shared" si="23"/>
        <v>0</v>
      </c>
      <c r="M245" s="8">
        <v>57</v>
      </c>
      <c r="N245" s="20" t="s">
        <v>21</v>
      </c>
      <c r="O245" s="23" t="s">
        <v>63</v>
      </c>
      <c r="P245" s="23"/>
    </row>
    <row r="246" spans="1:18" s="22" customFormat="1" x14ac:dyDescent="0.35">
      <c r="A246" s="24">
        <v>45565</v>
      </c>
      <c r="B246" s="20" t="s">
        <v>3084</v>
      </c>
      <c r="C246" s="20"/>
      <c r="D246" s="20" t="s">
        <v>3085</v>
      </c>
      <c r="E246" s="20" t="s">
        <v>3086</v>
      </c>
      <c r="F246" s="21" t="str">
        <f t="shared" si="10"/>
        <v>VA 2400139 CAMPOS RECAMBIOS Y ACCESORIOS</v>
      </c>
      <c r="G246" s="12">
        <f t="shared" si="21"/>
        <v>469.3388429752066</v>
      </c>
      <c r="H246" s="22">
        <v>21</v>
      </c>
      <c r="I246" s="21">
        <f t="shared" si="20"/>
        <v>98.561157024793388</v>
      </c>
      <c r="J246" s="21">
        <f t="shared" si="22"/>
        <v>469.3388429752066</v>
      </c>
      <c r="L246" s="21">
        <f t="shared" si="23"/>
        <v>0</v>
      </c>
      <c r="M246" s="8">
        <v>567.9</v>
      </c>
      <c r="N246" s="20" t="s">
        <v>21</v>
      </c>
      <c r="O246" s="23" t="s">
        <v>63</v>
      </c>
      <c r="P246" s="23"/>
    </row>
    <row r="247" spans="1:18" s="22" customFormat="1" x14ac:dyDescent="0.35">
      <c r="A247" s="24">
        <v>45638</v>
      </c>
      <c r="B247" s="20" t="s">
        <v>3087</v>
      </c>
      <c r="C247" s="20"/>
      <c r="D247" s="20" t="s">
        <v>29</v>
      </c>
      <c r="E247" s="20" t="s">
        <v>76</v>
      </c>
      <c r="F247" s="21" t="str">
        <f t="shared" si="10"/>
        <v>5477-2024-00087852 COSTCO</v>
      </c>
      <c r="G247" s="12">
        <v>57.82</v>
      </c>
      <c r="H247" s="22">
        <v>21</v>
      </c>
      <c r="I247" s="21">
        <f t="shared" si="20"/>
        <v>12.142200000000001</v>
      </c>
      <c r="J247" s="21">
        <v>86.87</v>
      </c>
      <c r="K247" s="21">
        <v>10</v>
      </c>
      <c r="L247" s="21">
        <f t="shared" si="23"/>
        <v>8.6870000000000012</v>
      </c>
      <c r="M247" s="8">
        <v>171.53</v>
      </c>
      <c r="N247" s="20" t="s">
        <v>179</v>
      </c>
      <c r="O247" s="23" t="s">
        <v>63</v>
      </c>
      <c r="P247" s="23"/>
    </row>
    <row r="248" spans="1:18" s="22" customFormat="1" x14ac:dyDescent="0.35">
      <c r="A248" s="24">
        <v>45637</v>
      </c>
      <c r="B248" s="20" t="s">
        <v>3088</v>
      </c>
      <c r="C248" s="20"/>
      <c r="D248" s="20" t="s">
        <v>29</v>
      </c>
      <c r="E248" s="20" t="s">
        <v>76</v>
      </c>
      <c r="F248" s="21" t="str">
        <f t="shared" si="10"/>
        <v>5477-2024-00076329 COSTCO</v>
      </c>
      <c r="G248" s="12">
        <v>331.27</v>
      </c>
      <c r="H248" s="22">
        <v>21</v>
      </c>
      <c r="I248" s="21">
        <f t="shared" si="20"/>
        <v>69.566699999999997</v>
      </c>
      <c r="J248" s="21">
        <v>3.63</v>
      </c>
      <c r="K248" s="21">
        <v>10</v>
      </c>
      <c r="L248" s="21">
        <f t="shared" si="23"/>
        <v>0.36299999999999999</v>
      </c>
      <c r="M248" s="8">
        <v>404.82</v>
      </c>
      <c r="N248" s="20" t="s">
        <v>179</v>
      </c>
      <c r="O248" s="23" t="s">
        <v>63</v>
      </c>
      <c r="P248" s="23"/>
    </row>
    <row r="249" spans="1:18" s="22" customFormat="1" x14ac:dyDescent="0.35">
      <c r="A249" s="24">
        <v>45649</v>
      </c>
      <c r="B249" s="20" t="s">
        <v>3089</v>
      </c>
      <c r="C249" s="20"/>
      <c r="D249" s="20" t="s">
        <v>29</v>
      </c>
      <c r="E249" s="20" t="s">
        <v>76</v>
      </c>
      <c r="F249" s="21" t="str">
        <f t="shared" si="10"/>
        <v>5477-2024-00080988 COSTCO</v>
      </c>
      <c r="G249" s="12">
        <v>38.15</v>
      </c>
      <c r="H249" s="22">
        <v>10</v>
      </c>
      <c r="I249" s="21">
        <f t="shared" si="20"/>
        <v>3.8149999999999999</v>
      </c>
      <c r="J249" s="21">
        <v>27.44</v>
      </c>
      <c r="K249" s="21">
        <v>2</v>
      </c>
      <c r="L249" s="21">
        <f t="shared" si="23"/>
        <v>0.54880000000000007</v>
      </c>
      <c r="M249" s="8">
        <v>69.95</v>
      </c>
      <c r="N249" s="20" t="s">
        <v>179</v>
      </c>
      <c r="O249" s="23" t="s">
        <v>63</v>
      </c>
      <c r="P249" s="23"/>
    </row>
    <row r="250" spans="1:18" s="22" customFormat="1" x14ac:dyDescent="0.35">
      <c r="A250" s="24">
        <v>45637</v>
      </c>
      <c r="B250" s="20" t="s">
        <v>3090</v>
      </c>
      <c r="C250" s="20"/>
      <c r="D250" s="20" t="s">
        <v>29</v>
      </c>
      <c r="E250" s="20" t="s">
        <v>76</v>
      </c>
      <c r="F250" s="21" t="str">
        <f t="shared" si="10"/>
        <v>5477-2024-00076324 COSTCO</v>
      </c>
      <c r="G250" s="12">
        <v>25.6</v>
      </c>
      <c r="H250" s="22">
        <v>21</v>
      </c>
      <c r="I250" s="21">
        <f t="shared" si="20"/>
        <v>5.3760000000000003</v>
      </c>
      <c r="J250" s="21">
        <v>12.71</v>
      </c>
      <c r="K250" s="21">
        <v>10</v>
      </c>
      <c r="L250" s="21">
        <f t="shared" si="23"/>
        <v>1.2710000000000001</v>
      </c>
      <c r="M250" s="8">
        <v>84.69</v>
      </c>
      <c r="N250" s="20" t="s">
        <v>179</v>
      </c>
      <c r="O250" s="23" t="s">
        <v>63</v>
      </c>
      <c r="P250" s="23"/>
      <c r="R250" s="21">
        <f>SUM(M212:M251)</f>
        <v>56729.03</v>
      </c>
    </row>
    <row r="251" spans="1:18" s="22" customFormat="1" x14ac:dyDescent="0.35">
      <c r="A251" s="24">
        <v>45637</v>
      </c>
      <c r="B251" s="20" t="s">
        <v>3091</v>
      </c>
      <c r="C251" s="20"/>
      <c r="D251" s="20" t="s">
        <v>29</v>
      </c>
      <c r="E251" s="20" t="s">
        <v>76</v>
      </c>
      <c r="F251" s="21" t="str">
        <f t="shared" si="10"/>
        <v>5477-2024-00582752 COSTCO</v>
      </c>
      <c r="G251" s="12">
        <f t="shared" si="21"/>
        <v>54.520661157024797</v>
      </c>
      <c r="H251" s="22">
        <v>21</v>
      </c>
      <c r="I251" s="21">
        <f t="shared" si="20"/>
        <v>11.449338842975207</v>
      </c>
      <c r="J251" s="21">
        <f t="shared" si="22"/>
        <v>54.520661157024797</v>
      </c>
      <c r="L251" s="21">
        <f t="shared" si="23"/>
        <v>0</v>
      </c>
      <c r="M251" s="8">
        <v>65.97</v>
      </c>
      <c r="N251" s="20" t="s">
        <v>22</v>
      </c>
      <c r="O251" s="23" t="s">
        <v>63</v>
      </c>
      <c r="P251" s="23"/>
      <c r="R251" s="21">
        <f>SUM(I212:I251)</f>
        <v>9501.2438239669391</v>
      </c>
    </row>
    <row r="252" spans="1:18" s="22" customFormat="1" x14ac:dyDescent="0.35">
      <c r="A252" s="24">
        <v>45644</v>
      </c>
      <c r="B252" s="20" t="s">
        <v>3092</v>
      </c>
      <c r="C252" s="20"/>
      <c r="D252" s="20" t="s">
        <v>75</v>
      </c>
      <c r="E252" s="20" t="s">
        <v>97</v>
      </c>
      <c r="F252" s="21" t="str">
        <f t="shared" si="10"/>
        <v>ORD_282_2024/0055681 IKEA</v>
      </c>
      <c r="G252" s="12">
        <f t="shared" si="21"/>
        <v>14.842975206611571</v>
      </c>
      <c r="H252" s="22">
        <v>21</v>
      </c>
      <c r="I252" s="21">
        <f t="shared" si="20"/>
        <v>3.1170247933884299</v>
      </c>
      <c r="J252" s="21">
        <f t="shared" si="22"/>
        <v>14.842975206611571</v>
      </c>
      <c r="L252" s="21">
        <f t="shared" si="23"/>
        <v>0</v>
      </c>
      <c r="M252" s="8">
        <v>17.96</v>
      </c>
      <c r="N252" s="20" t="s">
        <v>21</v>
      </c>
      <c r="O252" s="23" t="s">
        <v>63</v>
      </c>
      <c r="P252" s="23"/>
    </row>
    <row r="253" spans="1:18" s="22" customFormat="1" x14ac:dyDescent="0.35">
      <c r="A253" s="24">
        <v>45646</v>
      </c>
      <c r="B253" s="20" t="s">
        <v>3093</v>
      </c>
      <c r="C253" s="20"/>
      <c r="D253" s="20" t="s">
        <v>3094</v>
      </c>
      <c r="E253" s="20" t="s">
        <v>3095</v>
      </c>
      <c r="F253" s="21" t="str">
        <f t="shared" si="10"/>
        <v>25019/2024 OH LA LAU</v>
      </c>
      <c r="G253" s="12">
        <f t="shared" si="21"/>
        <v>28.636363636363633</v>
      </c>
      <c r="H253" s="22">
        <v>10</v>
      </c>
      <c r="I253" s="21">
        <f t="shared" si="20"/>
        <v>2.8636363636363633</v>
      </c>
      <c r="J253" s="21">
        <f t="shared" si="22"/>
        <v>28.636363636363633</v>
      </c>
      <c r="L253" s="21">
        <f t="shared" si="23"/>
        <v>0</v>
      </c>
      <c r="M253" s="8">
        <v>31.5</v>
      </c>
      <c r="N253" s="20" t="s">
        <v>179</v>
      </c>
      <c r="O253" s="23" t="s">
        <v>63</v>
      </c>
      <c r="P253" s="23"/>
    </row>
    <row r="254" spans="1:18" s="22" customFormat="1" x14ac:dyDescent="0.35">
      <c r="A254" s="24">
        <v>45333</v>
      </c>
      <c r="B254" s="20" t="s">
        <v>3096</v>
      </c>
      <c r="C254" s="20"/>
      <c r="D254" s="20" t="s">
        <v>3097</v>
      </c>
      <c r="E254" s="20" t="s">
        <v>3098</v>
      </c>
      <c r="F254" s="21" t="str">
        <f t="shared" si="10"/>
        <v>514698 CHATTER CAFÉ GETAFE</v>
      </c>
      <c r="G254" s="12">
        <f t="shared" si="21"/>
        <v>29.09090909090909</v>
      </c>
      <c r="H254" s="22">
        <v>10</v>
      </c>
      <c r="I254" s="21">
        <f t="shared" si="20"/>
        <v>2.9090909090909087</v>
      </c>
      <c r="J254" s="21">
        <f t="shared" si="22"/>
        <v>29.09090909090909</v>
      </c>
      <c r="L254" s="21">
        <f t="shared" si="23"/>
        <v>0</v>
      </c>
      <c r="M254" s="8">
        <v>32</v>
      </c>
      <c r="N254" s="20" t="s">
        <v>28</v>
      </c>
      <c r="O254" s="23" t="s">
        <v>63</v>
      </c>
      <c r="P254" s="23"/>
    </row>
    <row r="255" spans="1:18" s="22" customFormat="1" x14ac:dyDescent="0.35">
      <c r="A255" s="24">
        <v>45650</v>
      </c>
      <c r="B255" s="20" t="s">
        <v>3099</v>
      </c>
      <c r="C255" s="20"/>
      <c r="D255" s="20" t="s">
        <v>1147</v>
      </c>
      <c r="E255" s="20" t="s">
        <v>1148</v>
      </c>
      <c r="F255" s="21" t="str">
        <f t="shared" si="10"/>
        <v>2024FBFN02855937 CARREFOUR</v>
      </c>
      <c r="G255" s="12">
        <f t="shared" si="21"/>
        <v>24.884297520661157</v>
      </c>
      <c r="H255" s="22">
        <v>21</v>
      </c>
      <c r="I255" s="21">
        <f t="shared" si="20"/>
        <v>5.2257024793388425</v>
      </c>
      <c r="J255" s="21">
        <f t="shared" si="22"/>
        <v>24.884297520661157</v>
      </c>
      <c r="L255" s="21">
        <f t="shared" si="23"/>
        <v>0</v>
      </c>
      <c r="M255" s="8">
        <v>30.11</v>
      </c>
      <c r="N255" s="20" t="s">
        <v>22</v>
      </c>
      <c r="O255" s="23" t="s">
        <v>63</v>
      </c>
      <c r="P255" s="23"/>
    </row>
    <row r="256" spans="1:18" s="22" customFormat="1" x14ac:dyDescent="0.35">
      <c r="A256" s="24">
        <v>45653</v>
      </c>
      <c r="B256" s="20" t="s">
        <v>3100</v>
      </c>
      <c r="C256" s="20"/>
      <c r="D256" s="20" t="s">
        <v>3101</v>
      </c>
      <c r="E256" s="20" t="s">
        <v>3102</v>
      </c>
      <c r="F256" s="21" t="str">
        <f t="shared" si="10"/>
        <v>673 LA ROSA AMARILLA</v>
      </c>
      <c r="G256" s="12">
        <f t="shared" si="21"/>
        <v>72.529411764705884</v>
      </c>
      <c r="H256" s="22">
        <v>2</v>
      </c>
      <c r="I256" s="21">
        <f t="shared" si="20"/>
        <v>1.4505882352941177</v>
      </c>
      <c r="J256" s="21">
        <f t="shared" si="22"/>
        <v>72.529411764705884</v>
      </c>
      <c r="L256" s="21">
        <f t="shared" si="23"/>
        <v>0</v>
      </c>
      <c r="M256" s="8">
        <v>73.98</v>
      </c>
      <c r="N256" s="20" t="s">
        <v>179</v>
      </c>
      <c r="O256" s="23" t="s">
        <v>63</v>
      </c>
      <c r="P256" s="23"/>
    </row>
    <row r="257" spans="1:16" s="22" customFormat="1" x14ac:dyDescent="0.35">
      <c r="A257" s="24">
        <v>45637</v>
      </c>
      <c r="B257" s="20" t="s">
        <v>3103</v>
      </c>
      <c r="C257" s="20"/>
      <c r="D257" s="20" t="s">
        <v>3104</v>
      </c>
      <c r="E257" s="20" t="s">
        <v>3105</v>
      </c>
      <c r="F257" s="21" t="str">
        <f t="shared" si="10"/>
        <v xml:space="preserve">N001984/2024 DOLORES MORLAN GIMENEZ MONTESINOS </v>
      </c>
      <c r="G257" s="12">
        <f t="shared" si="21"/>
        <v>7.8512396694214877</v>
      </c>
      <c r="H257" s="22">
        <v>21</v>
      </c>
      <c r="I257" s="21">
        <f t="shared" si="20"/>
        <v>1.6487603305785123</v>
      </c>
      <c r="J257" s="21">
        <f t="shared" si="22"/>
        <v>7.8512396694214877</v>
      </c>
      <c r="L257" s="21">
        <f t="shared" si="23"/>
        <v>0</v>
      </c>
      <c r="M257" s="8">
        <v>9.5</v>
      </c>
      <c r="N257" s="20" t="s">
        <v>179</v>
      </c>
      <c r="O257" s="23" t="s">
        <v>63</v>
      </c>
      <c r="P257" s="23"/>
    </row>
    <row r="258" spans="1:16" s="22" customFormat="1" x14ac:dyDescent="0.35">
      <c r="A258" s="24">
        <v>45637</v>
      </c>
      <c r="B258" s="20" t="s">
        <v>3106</v>
      </c>
      <c r="C258" s="20"/>
      <c r="D258" s="20" t="s">
        <v>2856</v>
      </c>
      <c r="E258" s="20" t="s">
        <v>3107</v>
      </c>
      <c r="F258" s="21" t="str">
        <f t="shared" si="10"/>
        <v>P000699/2024 GRUUPO MORLAN GIMENEZ- MONTESINOS</v>
      </c>
      <c r="G258" s="12">
        <v>61.41</v>
      </c>
      <c r="H258" s="22">
        <v>21</v>
      </c>
      <c r="I258" s="21">
        <f t="shared" si="20"/>
        <v>12.896099999999999</v>
      </c>
      <c r="J258" s="21">
        <v>26.2</v>
      </c>
      <c r="K258" s="22">
        <v>21</v>
      </c>
      <c r="L258" s="21">
        <f t="shared" si="23"/>
        <v>5.5019999999999989</v>
      </c>
      <c r="M258" s="8">
        <v>106</v>
      </c>
      <c r="N258" s="20" t="s">
        <v>179</v>
      </c>
      <c r="O258" s="23" t="s">
        <v>63</v>
      </c>
      <c r="P258" s="23"/>
    </row>
    <row r="259" spans="1:16" s="22" customFormat="1" x14ac:dyDescent="0.35">
      <c r="A259" s="24">
        <v>45656</v>
      </c>
      <c r="B259" s="20" t="s">
        <v>3111</v>
      </c>
      <c r="C259" s="20"/>
      <c r="D259" s="20" t="s">
        <v>35</v>
      </c>
      <c r="E259" s="20" t="s">
        <v>2222</v>
      </c>
      <c r="F259" s="21" t="str">
        <f t="shared" si="10"/>
        <v>0240014314 PINTODIS</v>
      </c>
      <c r="G259" s="12">
        <f t="shared" si="21"/>
        <v>54.289256198347104</v>
      </c>
      <c r="H259" s="22">
        <v>21</v>
      </c>
      <c r="I259" s="21">
        <f t="shared" si="20"/>
        <v>11.40074380165289</v>
      </c>
      <c r="J259" s="21">
        <f t="shared" si="22"/>
        <v>54.289256198347104</v>
      </c>
      <c r="L259" s="21">
        <f t="shared" si="23"/>
        <v>0</v>
      </c>
      <c r="M259" s="8">
        <v>65.69</v>
      </c>
      <c r="N259" s="20" t="s">
        <v>22</v>
      </c>
      <c r="O259" s="23" t="s">
        <v>64</v>
      </c>
      <c r="P259" s="23"/>
    </row>
    <row r="260" spans="1:16" s="22" customFormat="1" x14ac:dyDescent="0.35">
      <c r="A260" s="24">
        <v>45657</v>
      </c>
      <c r="B260" s="20" t="s">
        <v>3112</v>
      </c>
      <c r="C260" s="20"/>
      <c r="D260" s="20" t="s">
        <v>94</v>
      </c>
      <c r="E260" s="20" t="s">
        <v>139</v>
      </c>
      <c r="F260" s="21" t="str">
        <f t="shared" si="10"/>
        <v>VEN/20311610 BIGMAT</v>
      </c>
      <c r="G260" s="12">
        <f t="shared" si="21"/>
        <v>368.81818181818181</v>
      </c>
      <c r="H260" s="22">
        <v>21</v>
      </c>
      <c r="I260" s="21">
        <f t="shared" si="20"/>
        <v>77.451818181818183</v>
      </c>
      <c r="J260" s="21">
        <f t="shared" si="22"/>
        <v>368.81818181818181</v>
      </c>
      <c r="L260" s="21">
        <f t="shared" si="23"/>
        <v>0</v>
      </c>
      <c r="M260" s="8">
        <v>446.27</v>
      </c>
      <c r="N260" s="20" t="s">
        <v>21</v>
      </c>
      <c r="O260" s="23" t="s">
        <v>65</v>
      </c>
      <c r="P260" s="23"/>
    </row>
    <row r="261" spans="1:16" s="22" customFormat="1" x14ac:dyDescent="0.35">
      <c r="A261" s="24">
        <v>45654</v>
      </c>
      <c r="B261" s="20" t="s">
        <v>3113</v>
      </c>
      <c r="C261" s="20"/>
      <c r="D261" s="20" t="s">
        <v>25</v>
      </c>
      <c r="E261" s="20" t="s">
        <v>26</v>
      </c>
      <c r="F261" s="21" t="str">
        <f t="shared" si="10"/>
        <v>441729 SALTOKI</v>
      </c>
      <c r="G261" s="12">
        <f t="shared" si="21"/>
        <v>1891.9421487603306</v>
      </c>
      <c r="H261" s="22">
        <v>21</v>
      </c>
      <c r="I261" s="21">
        <f t="shared" si="20"/>
        <v>397.30785123966939</v>
      </c>
      <c r="J261" s="21">
        <f t="shared" si="22"/>
        <v>1891.9421487603306</v>
      </c>
      <c r="L261" s="21">
        <f t="shared" si="23"/>
        <v>0</v>
      </c>
      <c r="M261" s="8">
        <v>2289.25</v>
      </c>
      <c r="N261" s="20" t="s">
        <v>21</v>
      </c>
      <c r="O261" s="23" t="s">
        <v>65</v>
      </c>
      <c r="P261" s="23"/>
    </row>
    <row r="262" spans="1:16" s="22" customFormat="1" x14ac:dyDescent="0.35">
      <c r="A262" s="24">
        <v>45657</v>
      </c>
      <c r="B262" s="20" t="s">
        <v>3114</v>
      </c>
      <c r="C262" s="20"/>
      <c r="D262" s="20" t="s">
        <v>25</v>
      </c>
      <c r="E262" s="20" t="s">
        <v>26</v>
      </c>
      <c r="F262" s="21" t="str">
        <f t="shared" si="10"/>
        <v>450097 SALTOKI</v>
      </c>
      <c r="G262" s="12">
        <f t="shared" si="21"/>
        <v>-79.380165289256198</v>
      </c>
      <c r="H262" s="22">
        <v>21</v>
      </c>
      <c r="I262" s="21">
        <f t="shared" si="20"/>
        <v>-16.6698347107438</v>
      </c>
      <c r="J262" s="21">
        <f t="shared" si="22"/>
        <v>-79.380165289256198</v>
      </c>
      <c r="L262" s="21">
        <f t="shared" si="23"/>
        <v>0</v>
      </c>
      <c r="M262" s="8">
        <v>-96.05</v>
      </c>
      <c r="N262" s="20" t="s">
        <v>21</v>
      </c>
      <c r="O262" s="23" t="s">
        <v>65</v>
      </c>
      <c r="P262" s="23"/>
    </row>
    <row r="263" spans="1:16" s="22" customFormat="1" x14ac:dyDescent="0.35">
      <c r="A263" s="24">
        <v>45657</v>
      </c>
      <c r="B263" s="20" t="s">
        <v>3115</v>
      </c>
      <c r="C263" s="20"/>
      <c r="D263" s="20" t="s">
        <v>25</v>
      </c>
      <c r="E263" s="20" t="s">
        <v>26</v>
      </c>
      <c r="F263" s="21" t="str">
        <f t="shared" si="10"/>
        <v>450098 SALTOKI</v>
      </c>
      <c r="G263" s="12">
        <f t="shared" si="21"/>
        <v>-125.24793388429754</v>
      </c>
      <c r="H263" s="22">
        <v>21</v>
      </c>
      <c r="I263" s="21">
        <f t="shared" si="20"/>
        <v>-26.302066115702484</v>
      </c>
      <c r="J263" s="21">
        <f t="shared" si="22"/>
        <v>-125.24793388429754</v>
      </c>
      <c r="L263" s="21">
        <f t="shared" si="23"/>
        <v>0</v>
      </c>
      <c r="M263" s="8">
        <v>-151.55000000000001</v>
      </c>
      <c r="N263" s="20" t="s">
        <v>21</v>
      </c>
      <c r="O263" s="23" t="s">
        <v>65</v>
      </c>
      <c r="P263" s="23"/>
    </row>
    <row r="264" spans="1:16" s="22" customFormat="1" x14ac:dyDescent="0.35">
      <c r="A264" s="24">
        <v>45657</v>
      </c>
      <c r="B264" s="20" t="s">
        <v>3116</v>
      </c>
      <c r="C264" s="20"/>
      <c r="D264" s="20" t="s">
        <v>109</v>
      </c>
      <c r="E264" s="20" t="s">
        <v>42</v>
      </c>
      <c r="F264" s="21" t="str">
        <f t="shared" si="10"/>
        <v>24121718 DISCESUR</v>
      </c>
      <c r="G264" s="12">
        <f t="shared" si="21"/>
        <v>219.81818181818184</v>
      </c>
      <c r="H264" s="22">
        <v>21</v>
      </c>
      <c r="I264" s="21">
        <f t="shared" si="20"/>
        <v>46.161818181818191</v>
      </c>
      <c r="J264" s="21">
        <f t="shared" si="22"/>
        <v>219.81818181818184</v>
      </c>
      <c r="L264" s="21">
        <f t="shared" si="23"/>
        <v>0</v>
      </c>
      <c r="M264" s="8">
        <v>265.98</v>
      </c>
      <c r="N264" s="20" t="s">
        <v>21</v>
      </c>
      <c r="O264" s="23" t="s">
        <v>65</v>
      </c>
      <c r="P264" s="23"/>
    </row>
    <row r="265" spans="1:16" s="22" customFormat="1" x14ac:dyDescent="0.35">
      <c r="A265" s="24">
        <v>45657</v>
      </c>
      <c r="B265" s="20" t="s">
        <v>3117</v>
      </c>
      <c r="C265" s="20"/>
      <c r="D265" s="20" t="s">
        <v>109</v>
      </c>
      <c r="E265" s="20" t="s">
        <v>42</v>
      </c>
      <c r="F265" s="21" t="str">
        <f t="shared" si="10"/>
        <v>24121719 DISCESUR</v>
      </c>
      <c r="G265" s="12">
        <f t="shared" si="21"/>
        <v>290.24793388429754</v>
      </c>
      <c r="H265" s="22">
        <v>21</v>
      </c>
      <c r="I265" s="21">
        <f t="shared" si="20"/>
        <v>60.952066115702479</v>
      </c>
      <c r="J265" s="21">
        <f t="shared" si="22"/>
        <v>290.24793388429754</v>
      </c>
      <c r="L265" s="21">
        <f t="shared" si="23"/>
        <v>0</v>
      </c>
      <c r="M265" s="8">
        <v>351.2</v>
      </c>
      <c r="N265" s="20" t="s">
        <v>21</v>
      </c>
      <c r="O265" s="23" t="s">
        <v>65</v>
      </c>
      <c r="P265" s="23"/>
    </row>
    <row r="266" spans="1:16" s="22" customFormat="1" x14ac:dyDescent="0.35">
      <c r="A266" s="24">
        <v>45657</v>
      </c>
      <c r="B266" s="20" t="s">
        <v>3118</v>
      </c>
      <c r="C266" s="20"/>
      <c r="D266" s="20" t="s">
        <v>109</v>
      </c>
      <c r="E266" s="20" t="s">
        <v>42</v>
      </c>
      <c r="F266" s="21" t="str">
        <f t="shared" si="10"/>
        <v>24121720 DISCESUR</v>
      </c>
      <c r="G266" s="12">
        <f t="shared" si="21"/>
        <v>565.43801652892557</v>
      </c>
      <c r="H266" s="22">
        <v>21</v>
      </c>
      <c r="I266" s="21">
        <f t="shared" si="20"/>
        <v>118.74198347107436</v>
      </c>
      <c r="J266" s="21">
        <f t="shared" si="22"/>
        <v>565.43801652892557</v>
      </c>
      <c r="L266" s="21">
        <f t="shared" si="23"/>
        <v>0</v>
      </c>
      <c r="M266" s="8">
        <v>684.18</v>
      </c>
      <c r="N266" s="20" t="s">
        <v>21</v>
      </c>
      <c r="O266" s="23" t="s">
        <v>65</v>
      </c>
      <c r="P266" s="23"/>
    </row>
    <row r="267" spans="1:16" s="22" customFormat="1" x14ac:dyDescent="0.35">
      <c r="A267" s="24">
        <v>45657</v>
      </c>
      <c r="B267" s="20" t="s">
        <v>3119</v>
      </c>
      <c r="C267" s="20"/>
      <c r="D267" s="20" t="s">
        <v>109</v>
      </c>
      <c r="E267" s="20" t="s">
        <v>42</v>
      </c>
      <c r="F267" s="21" t="str">
        <f t="shared" si="10"/>
        <v>24121721 DISCESUR</v>
      </c>
      <c r="G267" s="12">
        <f t="shared" si="21"/>
        <v>565.43801652892557</v>
      </c>
      <c r="H267" s="22">
        <v>21</v>
      </c>
      <c r="I267" s="21">
        <f t="shared" si="20"/>
        <v>118.74198347107436</v>
      </c>
      <c r="J267" s="21">
        <f t="shared" si="22"/>
        <v>565.43801652892557</v>
      </c>
      <c r="L267" s="21">
        <f t="shared" si="23"/>
        <v>0</v>
      </c>
      <c r="M267" s="8">
        <v>684.18</v>
      </c>
      <c r="N267" s="20" t="s">
        <v>21</v>
      </c>
      <c r="O267" s="23" t="s">
        <v>65</v>
      </c>
      <c r="P267" s="23"/>
    </row>
    <row r="268" spans="1:16" s="22" customFormat="1" x14ac:dyDescent="0.35">
      <c r="A268" s="24">
        <v>45657</v>
      </c>
      <c r="B268" s="20" t="s">
        <v>3120</v>
      </c>
      <c r="C268" s="20"/>
      <c r="D268" s="20" t="s">
        <v>109</v>
      </c>
      <c r="E268" s="20" t="s">
        <v>42</v>
      </c>
      <c r="F268" s="21" t="str">
        <f t="shared" si="10"/>
        <v>24121722 DISCESUR</v>
      </c>
      <c r="G268" s="12">
        <f t="shared" si="21"/>
        <v>508.90082644628097</v>
      </c>
      <c r="H268" s="22">
        <v>21</v>
      </c>
      <c r="I268" s="21">
        <f t="shared" si="20"/>
        <v>106.86917355371901</v>
      </c>
      <c r="J268" s="21">
        <f t="shared" si="22"/>
        <v>508.90082644628097</v>
      </c>
      <c r="L268" s="21">
        <f t="shared" si="23"/>
        <v>0</v>
      </c>
      <c r="M268" s="8">
        <v>615.77</v>
      </c>
      <c r="N268" s="20" t="s">
        <v>21</v>
      </c>
      <c r="O268" s="23" t="s">
        <v>65</v>
      </c>
      <c r="P268" s="23"/>
    </row>
    <row r="269" spans="1:16" s="22" customFormat="1" x14ac:dyDescent="0.35">
      <c r="A269" s="24">
        <v>45656</v>
      </c>
      <c r="B269" s="20" t="s">
        <v>3121</v>
      </c>
      <c r="C269" s="20"/>
      <c r="D269" s="20" t="s">
        <v>2873</v>
      </c>
      <c r="E269" s="20" t="s">
        <v>2874</v>
      </c>
      <c r="F269" s="21" t="str">
        <f t="shared" si="10"/>
        <v>00047 FLORIN DORIN STOICA</v>
      </c>
      <c r="G269" s="12">
        <f t="shared" si="21"/>
        <v>5320</v>
      </c>
      <c r="H269" s="22">
        <v>21</v>
      </c>
      <c r="I269" s="21">
        <f t="shared" si="20"/>
        <v>1117.2</v>
      </c>
      <c r="J269" s="21">
        <f t="shared" si="22"/>
        <v>5320</v>
      </c>
      <c r="L269" s="21">
        <f t="shared" si="23"/>
        <v>0</v>
      </c>
      <c r="M269" s="8">
        <v>6437.2</v>
      </c>
      <c r="N269" s="20" t="s">
        <v>37</v>
      </c>
      <c r="O269" s="23" t="s">
        <v>68</v>
      </c>
      <c r="P269" s="23"/>
    </row>
    <row r="270" spans="1:16" s="22" customFormat="1" x14ac:dyDescent="0.35">
      <c r="A270" s="24">
        <v>45653</v>
      </c>
      <c r="B270" s="20" t="s">
        <v>3122</v>
      </c>
      <c r="C270" s="20"/>
      <c r="D270" s="20" t="s">
        <v>3123</v>
      </c>
      <c r="E270" s="20" t="s">
        <v>3126</v>
      </c>
      <c r="F270" s="21" t="str">
        <f t="shared" si="10"/>
        <v>08104016090 EL CORTE INGLES HIPERCOR</v>
      </c>
      <c r="G270" s="12">
        <v>22.97</v>
      </c>
      <c r="H270" s="22">
        <v>21</v>
      </c>
      <c r="I270" s="21">
        <f t="shared" si="20"/>
        <v>4.8236999999999997</v>
      </c>
      <c r="J270" s="21">
        <v>43.2</v>
      </c>
      <c r="K270" s="21">
        <v>10</v>
      </c>
      <c r="L270" s="21">
        <f t="shared" si="23"/>
        <v>4.32</v>
      </c>
      <c r="M270" s="8">
        <v>87.9</v>
      </c>
      <c r="N270" s="20" t="s">
        <v>179</v>
      </c>
      <c r="O270" s="23" t="s">
        <v>63</v>
      </c>
      <c r="P270" s="23"/>
    </row>
    <row r="271" spans="1:16" s="22" customFormat="1" x14ac:dyDescent="0.35">
      <c r="A271" s="24">
        <v>45653</v>
      </c>
      <c r="B271" s="20" t="s">
        <v>3124</v>
      </c>
      <c r="C271" s="20"/>
      <c r="D271" s="20" t="s">
        <v>3123</v>
      </c>
      <c r="E271" s="20" t="s">
        <v>3126</v>
      </c>
      <c r="F271" s="21" t="str">
        <f t="shared" si="10"/>
        <v>08104016091 EL CORTE INGLES HIPERCOR</v>
      </c>
      <c r="G271" s="12">
        <v>72.22</v>
      </c>
      <c r="H271" s="22">
        <v>21</v>
      </c>
      <c r="I271" s="21">
        <f t="shared" si="20"/>
        <v>15.166199999999998</v>
      </c>
      <c r="J271" s="21">
        <v>145.36000000000001</v>
      </c>
      <c r="K271" s="21">
        <v>10</v>
      </c>
      <c r="L271" s="21">
        <f t="shared" si="23"/>
        <v>14.536000000000001</v>
      </c>
      <c r="M271" s="8">
        <v>247.29</v>
      </c>
      <c r="N271" s="20" t="s">
        <v>179</v>
      </c>
      <c r="O271" s="23" t="s">
        <v>63</v>
      </c>
      <c r="P271" s="23"/>
    </row>
    <row r="272" spans="1:16" s="22" customFormat="1" x14ac:dyDescent="0.35">
      <c r="A272" s="24">
        <v>45653</v>
      </c>
      <c r="B272" s="20" t="s">
        <v>3125</v>
      </c>
      <c r="C272" s="20"/>
      <c r="D272" s="20" t="s">
        <v>3123</v>
      </c>
      <c r="E272" s="20" t="s">
        <v>3126</v>
      </c>
      <c r="F272" s="21" t="str">
        <f t="shared" si="10"/>
        <v>08104016089 EL CORTE INGLES HIPERCOR</v>
      </c>
      <c r="G272" s="12">
        <v>84.75</v>
      </c>
      <c r="H272" s="22">
        <v>10</v>
      </c>
      <c r="I272" s="21">
        <f t="shared" si="20"/>
        <v>8.4749999999999996</v>
      </c>
      <c r="J272" s="21">
        <v>20.5</v>
      </c>
      <c r="K272" s="21">
        <v>21</v>
      </c>
      <c r="L272" s="21">
        <f t="shared" si="23"/>
        <v>4.3049999999999997</v>
      </c>
      <c r="M272" s="8">
        <v>123.48</v>
      </c>
      <c r="N272" s="20" t="s">
        <v>179</v>
      </c>
      <c r="O272" s="23" t="s">
        <v>63</v>
      </c>
      <c r="P272" s="23"/>
    </row>
    <row r="273" spans="1:16" s="22" customFormat="1" x14ac:dyDescent="0.35">
      <c r="A273" s="24">
        <v>45528</v>
      </c>
      <c r="B273" s="20" t="s">
        <v>3127</v>
      </c>
      <c r="C273" s="20"/>
      <c r="D273" s="20" t="s">
        <v>60</v>
      </c>
      <c r="E273" s="20" t="s">
        <v>24</v>
      </c>
      <c r="F273" s="21" t="str">
        <f t="shared" si="10"/>
        <v>010822A/24/002857 REPSOL</v>
      </c>
      <c r="G273" s="12">
        <f t="shared" si="21"/>
        <v>85.909090909090921</v>
      </c>
      <c r="H273" s="22">
        <v>21</v>
      </c>
      <c r="I273" s="21">
        <f t="shared" si="20"/>
        <v>18.040909090909093</v>
      </c>
      <c r="J273" s="21">
        <f t="shared" si="22"/>
        <v>85.909090909090921</v>
      </c>
      <c r="L273" s="21">
        <f t="shared" si="23"/>
        <v>0</v>
      </c>
      <c r="M273" s="8">
        <v>103.95</v>
      </c>
      <c r="N273" s="20" t="s">
        <v>22</v>
      </c>
      <c r="O273" s="23" t="s">
        <v>63</v>
      </c>
      <c r="P273" s="23"/>
    </row>
    <row r="274" spans="1:16" s="22" customFormat="1" x14ac:dyDescent="0.35">
      <c r="A274" s="24">
        <v>45657</v>
      </c>
      <c r="B274" s="20" t="s">
        <v>3130</v>
      </c>
      <c r="C274" s="20"/>
      <c r="D274" s="20" t="s">
        <v>1334</v>
      </c>
      <c r="E274" s="20" t="s">
        <v>2803</v>
      </c>
      <c r="F274" s="21" t="str">
        <f t="shared" si="10"/>
        <v>434316033 SUMINISTRO ELECTRICOS GUARDEÑO</v>
      </c>
      <c r="G274" s="12">
        <f t="shared" si="21"/>
        <v>677.51239669421489</v>
      </c>
      <c r="H274" s="22">
        <v>21</v>
      </c>
      <c r="I274" s="21">
        <f t="shared" si="20"/>
        <v>142.27760330578514</v>
      </c>
      <c r="J274" s="21">
        <f t="shared" si="22"/>
        <v>677.51239669421489</v>
      </c>
      <c r="L274" s="21">
        <f t="shared" si="23"/>
        <v>0</v>
      </c>
      <c r="M274" s="8">
        <v>819.79</v>
      </c>
      <c r="N274" s="20" t="s">
        <v>21</v>
      </c>
      <c r="O274" s="23" t="s">
        <v>65</v>
      </c>
      <c r="P274" s="23"/>
    </row>
    <row r="275" spans="1:16" s="22" customFormat="1" x14ac:dyDescent="0.35">
      <c r="A275" s="24">
        <v>45657</v>
      </c>
      <c r="B275" s="20" t="s">
        <v>3135</v>
      </c>
      <c r="C275" s="20"/>
      <c r="D275" s="20" t="s">
        <v>200</v>
      </c>
      <c r="E275" s="20" t="s">
        <v>186</v>
      </c>
      <c r="F275" s="21" t="str">
        <f t="shared" si="10"/>
        <v>0126915 I.D.F. SUMINISTROS INDUSTRIALES</v>
      </c>
      <c r="G275" s="12">
        <f t="shared" si="21"/>
        <v>303.27272727272725</v>
      </c>
      <c r="H275" s="22">
        <v>21</v>
      </c>
      <c r="I275" s="21">
        <f t="shared" si="20"/>
        <v>63.68727272727272</v>
      </c>
      <c r="J275" s="21">
        <f t="shared" si="22"/>
        <v>303.27272727272725</v>
      </c>
      <c r="L275" s="21">
        <f t="shared" si="23"/>
        <v>0</v>
      </c>
      <c r="M275" s="8">
        <v>366.96</v>
      </c>
      <c r="N275" s="20" t="s">
        <v>21</v>
      </c>
      <c r="O275" s="23" t="s">
        <v>65</v>
      </c>
      <c r="P275" s="23"/>
    </row>
    <row r="276" spans="1:16" s="22" customFormat="1" x14ac:dyDescent="0.35">
      <c r="A276" s="24">
        <v>45581</v>
      </c>
      <c r="B276" s="20" t="s">
        <v>3136</v>
      </c>
      <c r="C276" s="20"/>
      <c r="D276" s="20" t="s">
        <v>29</v>
      </c>
      <c r="E276" s="20" t="s">
        <v>76</v>
      </c>
      <c r="F276" s="21" t="str">
        <f t="shared" si="10"/>
        <v>5477202400573162 COSTCO</v>
      </c>
      <c r="G276" s="12">
        <f t="shared" si="21"/>
        <v>38.652892561983478</v>
      </c>
      <c r="H276" s="22">
        <v>21</v>
      </c>
      <c r="I276" s="21">
        <f t="shared" si="20"/>
        <v>8.1171074380165305</v>
      </c>
      <c r="J276" s="21">
        <f t="shared" si="22"/>
        <v>38.652892561983478</v>
      </c>
      <c r="L276" s="21">
        <f t="shared" si="23"/>
        <v>0</v>
      </c>
      <c r="M276" s="8">
        <v>46.77</v>
      </c>
      <c r="N276" s="20" t="s">
        <v>22</v>
      </c>
      <c r="O276" s="23" t="s">
        <v>63</v>
      </c>
      <c r="P276" s="23"/>
    </row>
    <row r="277" spans="1:16" s="22" customFormat="1" x14ac:dyDescent="0.35">
      <c r="A277" s="24">
        <v>45590</v>
      </c>
      <c r="B277" s="20" t="s">
        <v>3137</v>
      </c>
      <c r="C277" s="20"/>
      <c r="D277" s="20" t="s">
        <v>29</v>
      </c>
      <c r="E277" s="20" t="s">
        <v>76</v>
      </c>
      <c r="F277" s="21" t="str">
        <f t="shared" si="10"/>
        <v>5477202400574601 COSTCO</v>
      </c>
      <c r="G277" s="12">
        <f t="shared" si="21"/>
        <v>56.710743801652896</v>
      </c>
      <c r="H277" s="22">
        <v>21</v>
      </c>
      <c r="I277" s="21">
        <f t="shared" si="20"/>
        <v>11.909256198347109</v>
      </c>
      <c r="J277" s="21">
        <f t="shared" si="22"/>
        <v>56.710743801652896</v>
      </c>
      <c r="L277" s="21">
        <f t="shared" si="23"/>
        <v>0</v>
      </c>
      <c r="M277" s="8">
        <v>68.62</v>
      </c>
      <c r="N277" s="20" t="s">
        <v>22</v>
      </c>
      <c r="O277" s="23" t="s">
        <v>63</v>
      </c>
      <c r="P277" s="23"/>
    </row>
    <row r="278" spans="1:16" s="22" customFormat="1" x14ac:dyDescent="0.35">
      <c r="A278" s="24">
        <v>45637</v>
      </c>
      <c r="B278" s="20" t="s">
        <v>3138</v>
      </c>
      <c r="C278" s="20"/>
      <c r="D278" s="20" t="s">
        <v>29</v>
      </c>
      <c r="E278" s="20" t="s">
        <v>76</v>
      </c>
      <c r="F278" s="21" t="str">
        <f t="shared" si="10"/>
        <v>5477202400732903 COSTCO</v>
      </c>
      <c r="G278" s="12">
        <f t="shared" si="21"/>
        <v>33.173553719008268</v>
      </c>
      <c r="H278" s="22">
        <v>21</v>
      </c>
      <c r="I278" s="21">
        <f t="shared" si="20"/>
        <v>6.966446280991736</v>
      </c>
      <c r="J278" s="21">
        <f t="shared" si="22"/>
        <v>33.173553719008268</v>
      </c>
      <c r="L278" s="21">
        <f t="shared" si="23"/>
        <v>0</v>
      </c>
      <c r="M278" s="8">
        <v>40.14</v>
      </c>
      <c r="N278" s="20" t="s">
        <v>22</v>
      </c>
      <c r="O278" s="23" t="s">
        <v>63</v>
      </c>
      <c r="P278" s="23"/>
    </row>
    <row r="279" spans="1:16" s="22" customFormat="1" x14ac:dyDescent="0.35">
      <c r="A279" s="24">
        <v>45637</v>
      </c>
      <c r="B279" s="20" t="s">
        <v>3139</v>
      </c>
      <c r="C279" s="20"/>
      <c r="D279" s="20" t="s">
        <v>29</v>
      </c>
      <c r="E279" s="20" t="s">
        <v>76</v>
      </c>
      <c r="F279" s="21" t="str">
        <f t="shared" si="10"/>
        <v>5477202400582752 COSTCO</v>
      </c>
      <c r="G279" s="12">
        <f t="shared" si="21"/>
        <v>54.520661157024797</v>
      </c>
      <c r="H279" s="22">
        <v>21</v>
      </c>
      <c r="I279" s="21">
        <f t="shared" si="20"/>
        <v>11.449338842975207</v>
      </c>
      <c r="J279" s="21">
        <f t="shared" si="22"/>
        <v>54.520661157024797</v>
      </c>
      <c r="L279" s="21">
        <f t="shared" si="23"/>
        <v>0</v>
      </c>
      <c r="M279" s="8">
        <v>65.97</v>
      </c>
      <c r="N279" s="20" t="s">
        <v>22</v>
      </c>
      <c r="O279" s="23" t="s">
        <v>63</v>
      </c>
      <c r="P279" s="23"/>
    </row>
    <row r="280" spans="1:16" s="22" customFormat="1" x14ac:dyDescent="0.35">
      <c r="A280" s="24">
        <v>45638</v>
      </c>
      <c r="B280" s="20" t="s">
        <v>3140</v>
      </c>
      <c r="C280" s="20"/>
      <c r="D280" s="20" t="s">
        <v>29</v>
      </c>
      <c r="E280" s="20" t="s">
        <v>76</v>
      </c>
      <c r="F280" s="21" t="str">
        <f t="shared" si="10"/>
        <v>5477202400087843 COSTCO</v>
      </c>
      <c r="G280" s="12">
        <f t="shared" si="21"/>
        <v>33.008264462809919</v>
      </c>
      <c r="H280" s="22">
        <v>21</v>
      </c>
      <c r="I280" s="21">
        <f t="shared" si="20"/>
        <v>6.9317355371900824</v>
      </c>
      <c r="J280" s="21">
        <f t="shared" si="22"/>
        <v>33.008264462809919</v>
      </c>
      <c r="L280" s="21">
        <f t="shared" si="23"/>
        <v>0</v>
      </c>
      <c r="M280" s="8">
        <v>39.94</v>
      </c>
      <c r="N280" s="20" t="s">
        <v>22</v>
      </c>
      <c r="O280" s="23" t="s">
        <v>63</v>
      </c>
      <c r="P280" s="23"/>
    </row>
    <row r="281" spans="1:16" s="22" customFormat="1" x14ac:dyDescent="0.35">
      <c r="A281" s="24">
        <v>45656</v>
      </c>
      <c r="B281" s="20" t="s">
        <v>3141</v>
      </c>
      <c r="C281" s="20"/>
      <c r="D281" s="20" t="s">
        <v>29</v>
      </c>
      <c r="E281" s="20" t="s">
        <v>76</v>
      </c>
      <c r="F281" s="21" t="str">
        <f t="shared" si="10"/>
        <v>5477202400448557 COSTCO</v>
      </c>
      <c r="G281" s="12">
        <f t="shared" si="21"/>
        <v>65.404958677685954</v>
      </c>
      <c r="H281" s="22">
        <v>21</v>
      </c>
      <c r="I281" s="21">
        <f t="shared" si="20"/>
        <v>13.73504132231405</v>
      </c>
      <c r="J281" s="21">
        <f t="shared" si="22"/>
        <v>65.404958677685954</v>
      </c>
      <c r="L281" s="21">
        <f t="shared" si="23"/>
        <v>0</v>
      </c>
      <c r="M281" s="8">
        <v>79.14</v>
      </c>
      <c r="N281" s="20" t="s">
        <v>22</v>
      </c>
      <c r="O281" s="23" t="s">
        <v>63</v>
      </c>
      <c r="P281" s="23"/>
    </row>
    <row r="282" spans="1:16" s="22" customFormat="1" x14ac:dyDescent="0.35">
      <c r="A282" s="24">
        <v>45653</v>
      </c>
      <c r="B282" s="20" t="s">
        <v>3142</v>
      </c>
      <c r="C282" s="20"/>
      <c r="D282" s="20" t="s">
        <v>29</v>
      </c>
      <c r="E282" s="20" t="s">
        <v>76</v>
      </c>
      <c r="F282" s="21" t="str">
        <f t="shared" si="10"/>
        <v>5477202400081772 COSTCO</v>
      </c>
      <c r="G282" s="12">
        <v>33.619999999999997</v>
      </c>
      <c r="H282" s="22">
        <v>10</v>
      </c>
      <c r="I282" s="21">
        <f t="shared" si="20"/>
        <v>3.3620000000000001</v>
      </c>
      <c r="J282" s="21">
        <v>15.19</v>
      </c>
      <c r="K282" s="21">
        <v>2</v>
      </c>
      <c r="L282" s="21">
        <f t="shared" si="23"/>
        <v>0.30380000000000001</v>
      </c>
      <c r="M282" s="8">
        <v>52.47</v>
      </c>
      <c r="N282" s="20" t="s">
        <v>179</v>
      </c>
      <c r="O282" s="23" t="s">
        <v>63</v>
      </c>
      <c r="P282" s="23"/>
    </row>
    <row r="283" spans="1:16" s="22" customFormat="1" x14ac:dyDescent="0.35">
      <c r="A283" s="24">
        <v>45656</v>
      </c>
      <c r="B283" s="20" t="s">
        <v>3143</v>
      </c>
      <c r="C283" s="20"/>
      <c r="D283" s="20" t="s">
        <v>29</v>
      </c>
      <c r="E283" s="20" t="s">
        <v>76</v>
      </c>
      <c r="F283" s="21" t="str">
        <f t="shared" si="10"/>
        <v>5477202400736671 COSTCO</v>
      </c>
      <c r="G283" s="12">
        <f t="shared" si="21"/>
        <v>40.619834710743802</v>
      </c>
      <c r="H283" s="22">
        <v>21</v>
      </c>
      <c r="I283" s="21">
        <f t="shared" si="20"/>
        <v>8.5301652892561979</v>
      </c>
      <c r="J283" s="21">
        <f t="shared" si="22"/>
        <v>40.619834710743802</v>
      </c>
      <c r="L283" s="21">
        <f t="shared" si="23"/>
        <v>0</v>
      </c>
      <c r="M283" s="8">
        <v>49.15</v>
      </c>
      <c r="N283" s="20" t="s">
        <v>22</v>
      </c>
      <c r="O283" s="23" t="s">
        <v>63</v>
      </c>
      <c r="P283" s="23"/>
    </row>
    <row r="284" spans="1:16" s="22" customFormat="1" x14ac:dyDescent="0.35">
      <c r="A284" s="24">
        <v>45656</v>
      </c>
      <c r="B284" s="20" t="s">
        <v>3144</v>
      </c>
      <c r="C284" s="20"/>
      <c r="D284" s="20" t="s">
        <v>29</v>
      </c>
      <c r="E284" s="20" t="s">
        <v>76</v>
      </c>
      <c r="F284" s="21" t="str">
        <f t="shared" si="10"/>
        <v>5477202400736672 COSTCO</v>
      </c>
      <c r="G284" s="12">
        <f t="shared" si="21"/>
        <v>80.181818181818187</v>
      </c>
      <c r="H284" s="22">
        <v>21</v>
      </c>
      <c r="I284" s="21">
        <f t="shared" si="20"/>
        <v>16.83818181818182</v>
      </c>
      <c r="J284" s="21">
        <f t="shared" si="22"/>
        <v>80.181818181818187</v>
      </c>
      <c r="K284" s="21"/>
      <c r="L284" s="21">
        <f t="shared" si="23"/>
        <v>0</v>
      </c>
      <c r="M284" s="8">
        <v>97.02</v>
      </c>
      <c r="N284" s="20" t="s">
        <v>22</v>
      </c>
      <c r="O284" s="23" t="s">
        <v>63</v>
      </c>
      <c r="P284" s="23"/>
    </row>
    <row r="285" spans="1:16" s="22" customFormat="1" x14ac:dyDescent="0.35">
      <c r="A285" s="24">
        <v>45565</v>
      </c>
      <c r="B285" s="20" t="s">
        <v>3146</v>
      </c>
      <c r="C285" s="20"/>
      <c r="D285" s="20" t="s">
        <v>3147</v>
      </c>
      <c r="E285" s="20" t="s">
        <v>3148</v>
      </c>
      <c r="F285" s="21" t="str">
        <f t="shared" si="10"/>
        <v>R241855 AUTOHAUS WUNDEN</v>
      </c>
      <c r="G285" s="12">
        <f t="shared" si="21"/>
        <v>29600</v>
      </c>
      <c r="H285" s="22">
        <v>0</v>
      </c>
      <c r="I285" s="21">
        <f t="shared" si="20"/>
        <v>0</v>
      </c>
      <c r="J285" s="21">
        <f t="shared" si="22"/>
        <v>29600</v>
      </c>
      <c r="L285" s="21">
        <f t="shared" si="23"/>
        <v>0</v>
      </c>
      <c r="M285" s="8">
        <v>29600</v>
      </c>
      <c r="N285" s="20" t="s">
        <v>50</v>
      </c>
      <c r="O285" s="23" t="s">
        <v>68</v>
      </c>
      <c r="P285" s="23"/>
    </row>
    <row r="286" spans="1:16" s="22" customFormat="1" x14ac:dyDescent="0.35">
      <c r="A286" s="24">
        <v>45610</v>
      </c>
      <c r="B286" s="20" t="s">
        <v>3149</v>
      </c>
      <c r="C286" s="20"/>
      <c r="D286" s="20" t="s">
        <v>3150</v>
      </c>
      <c r="E286" s="20" t="s">
        <v>3151</v>
      </c>
      <c r="F286" s="21" t="str">
        <f t="shared" si="10"/>
        <v>1497 RUIZ DE LA PEÑA GONZALEZ MARIA</v>
      </c>
      <c r="G286" s="12">
        <f t="shared" si="21"/>
        <v>225.28301886792454</v>
      </c>
      <c r="H286" s="22">
        <v>21</v>
      </c>
      <c r="I286" s="21">
        <f t="shared" si="20"/>
        <v>47.309433962264158</v>
      </c>
      <c r="J286" s="21">
        <f t="shared" si="22"/>
        <v>225.28301886792454</v>
      </c>
      <c r="K286" s="22">
        <v>15</v>
      </c>
      <c r="L286" s="21">
        <f t="shared" si="23"/>
        <v>33.79245283018868</v>
      </c>
      <c r="M286" s="8">
        <v>238.8</v>
      </c>
      <c r="N286" s="20" t="s">
        <v>2259</v>
      </c>
      <c r="O286" s="23"/>
      <c r="P286" s="23"/>
    </row>
    <row r="287" spans="1:16" s="22" customFormat="1" x14ac:dyDescent="0.35">
      <c r="A287" s="24">
        <v>45587</v>
      </c>
      <c r="B287" s="20" t="s">
        <v>3152</v>
      </c>
      <c r="C287" s="20"/>
      <c r="D287" s="20" t="s">
        <v>58</v>
      </c>
      <c r="E287" s="20" t="s">
        <v>2715</v>
      </c>
      <c r="F287" s="21" t="str">
        <f t="shared" si="10"/>
        <v>011-0010-158855 BRICOLAJE BRICOMAN S.L.U.</v>
      </c>
      <c r="G287" s="12">
        <f t="shared" si="21"/>
        <v>18.330578512396695</v>
      </c>
      <c r="H287" s="22">
        <v>21</v>
      </c>
      <c r="I287" s="21">
        <f t="shared" si="20"/>
        <v>3.8494214876033062</v>
      </c>
      <c r="J287" s="21">
        <f t="shared" si="22"/>
        <v>18.330578512396695</v>
      </c>
      <c r="L287" s="21">
        <f t="shared" si="23"/>
        <v>0</v>
      </c>
      <c r="M287" s="8">
        <v>22.18</v>
      </c>
      <c r="N287" s="20" t="s">
        <v>21</v>
      </c>
      <c r="O287" s="23" t="s">
        <v>64</v>
      </c>
      <c r="P287" s="23"/>
    </row>
    <row r="288" spans="1:16" s="22" customFormat="1" x14ac:dyDescent="0.35">
      <c r="A288" s="24">
        <v>45590</v>
      </c>
      <c r="B288" s="20" t="s">
        <v>3153</v>
      </c>
      <c r="C288" s="20"/>
      <c r="D288" s="20" t="s">
        <v>58</v>
      </c>
      <c r="E288" s="20" t="s">
        <v>2715</v>
      </c>
      <c r="F288" s="21" t="str">
        <f t="shared" si="10"/>
        <v>011-0010-164610 BRICOLAJE BRICOMAN S.L.U.</v>
      </c>
      <c r="G288" s="12">
        <f t="shared" si="21"/>
        <v>24.694214876033058</v>
      </c>
      <c r="H288" s="22">
        <v>21</v>
      </c>
      <c r="I288" s="21">
        <f t="shared" si="20"/>
        <v>5.1857851239669426</v>
      </c>
      <c r="J288" s="21">
        <f t="shared" si="22"/>
        <v>24.694214876033058</v>
      </c>
      <c r="L288" s="21">
        <f t="shared" si="23"/>
        <v>0</v>
      </c>
      <c r="M288" s="8">
        <v>29.88</v>
      </c>
      <c r="N288" s="20" t="s">
        <v>21</v>
      </c>
      <c r="O288" s="23" t="s">
        <v>64</v>
      </c>
      <c r="P288" s="23"/>
    </row>
    <row r="289" spans="1:16" s="22" customFormat="1" x14ac:dyDescent="0.35">
      <c r="A289" s="24">
        <v>45595</v>
      </c>
      <c r="B289" s="20" t="s">
        <v>3154</v>
      </c>
      <c r="C289" s="20"/>
      <c r="D289" s="20" t="s">
        <v>240</v>
      </c>
      <c r="E289" s="20" t="s">
        <v>380</v>
      </c>
      <c r="F289" s="21" t="str">
        <f t="shared" si="10"/>
        <v>6083 ESCAYOLAS Y AISLAMIENTOS VILLAVERDE</v>
      </c>
      <c r="G289" s="12">
        <f t="shared" si="21"/>
        <v>32.876033057851238</v>
      </c>
      <c r="H289" s="22">
        <v>21</v>
      </c>
      <c r="I289" s="21">
        <f t="shared" si="20"/>
        <v>6.9039669421487595</v>
      </c>
      <c r="J289" s="21">
        <f t="shared" si="22"/>
        <v>32.876033057851238</v>
      </c>
      <c r="L289" s="21">
        <f t="shared" si="23"/>
        <v>0</v>
      </c>
      <c r="M289" s="8">
        <v>39.78</v>
      </c>
      <c r="N289" s="20" t="s">
        <v>21</v>
      </c>
      <c r="O289" s="23" t="s">
        <v>64</v>
      </c>
      <c r="P289" s="23"/>
    </row>
    <row r="290" spans="1:16" s="22" customFormat="1" x14ac:dyDescent="0.35">
      <c r="A290" s="24">
        <v>45594</v>
      </c>
      <c r="B290" s="20" t="s">
        <v>3155</v>
      </c>
      <c r="C290" s="20"/>
      <c r="D290" s="20" t="s">
        <v>58</v>
      </c>
      <c r="E290" s="20" t="s">
        <v>2715</v>
      </c>
      <c r="F290" s="21" t="str">
        <f t="shared" si="10"/>
        <v>011-0010-170163 BRICOLAJE BRICOMAN S.L.U.</v>
      </c>
      <c r="G290" s="12">
        <f t="shared" si="21"/>
        <v>132.43801652892563</v>
      </c>
      <c r="H290" s="22">
        <v>21</v>
      </c>
      <c r="I290" s="21">
        <f t="shared" si="20"/>
        <v>27.811983471074381</v>
      </c>
      <c r="J290" s="21">
        <f t="shared" si="22"/>
        <v>132.43801652892563</v>
      </c>
      <c r="L290" s="21">
        <f t="shared" si="23"/>
        <v>0</v>
      </c>
      <c r="M290" s="8">
        <v>160.25</v>
      </c>
      <c r="N290" s="20" t="s">
        <v>21</v>
      </c>
      <c r="O290" s="23" t="s">
        <v>64</v>
      </c>
      <c r="P290" s="23"/>
    </row>
    <row r="291" spans="1:16" s="22" customFormat="1" x14ac:dyDescent="0.35">
      <c r="A291" s="24">
        <v>45624</v>
      </c>
      <c r="B291" s="20" t="s">
        <v>3156</v>
      </c>
      <c r="C291" s="20"/>
      <c r="D291" s="20" t="s">
        <v>58</v>
      </c>
      <c r="E291" s="20" t="s">
        <v>2715</v>
      </c>
      <c r="F291" s="21" t="str">
        <f t="shared" si="10"/>
        <v>011-0011-221355 BRICOLAJE BRICOMAN S.L.U.</v>
      </c>
      <c r="G291" s="12">
        <f t="shared" si="21"/>
        <v>33.330578512396691</v>
      </c>
      <c r="H291" s="22">
        <v>21</v>
      </c>
      <c r="I291" s="21">
        <f t="shared" si="20"/>
        <v>6.9994214876033052</v>
      </c>
      <c r="J291" s="21">
        <f t="shared" si="22"/>
        <v>33.330578512396691</v>
      </c>
      <c r="L291" s="21">
        <f t="shared" si="23"/>
        <v>0</v>
      </c>
      <c r="M291" s="8">
        <v>40.33</v>
      </c>
      <c r="N291" s="20" t="s">
        <v>21</v>
      </c>
      <c r="O291" s="23" t="s">
        <v>64</v>
      </c>
      <c r="P291" s="23"/>
    </row>
    <row r="292" spans="1:16" s="22" customFormat="1" x14ac:dyDescent="0.35">
      <c r="A292" s="24">
        <v>45630</v>
      </c>
      <c r="B292" s="20" t="s">
        <v>3157</v>
      </c>
      <c r="C292" s="20"/>
      <c r="D292" s="20" t="s">
        <v>3158</v>
      </c>
      <c r="E292" s="20" t="s">
        <v>3159</v>
      </c>
      <c r="F292" s="21" t="str">
        <f t="shared" si="10"/>
        <v>12570799 MADRIFERR</v>
      </c>
      <c r="G292" s="12">
        <f t="shared" si="21"/>
        <v>24.06611570247934</v>
      </c>
      <c r="H292" s="22">
        <v>21</v>
      </c>
      <c r="I292" s="21">
        <f t="shared" si="20"/>
        <v>5.0538842975206615</v>
      </c>
      <c r="J292" s="21">
        <f t="shared" si="22"/>
        <v>24.06611570247934</v>
      </c>
      <c r="L292" s="21">
        <f t="shared" si="23"/>
        <v>0</v>
      </c>
      <c r="M292" s="8">
        <v>29.12</v>
      </c>
      <c r="N292" s="20" t="s">
        <v>21</v>
      </c>
      <c r="O292" s="23" t="s">
        <v>64</v>
      </c>
      <c r="P292" s="23"/>
    </row>
    <row r="293" spans="1:16" s="22" customFormat="1" x14ac:dyDescent="0.35">
      <c r="A293" s="24">
        <v>45609</v>
      </c>
      <c r="B293" s="20" t="s">
        <v>3160</v>
      </c>
      <c r="C293" s="20"/>
      <c r="D293" s="20" t="s">
        <v>3161</v>
      </c>
      <c r="E293" s="20" t="s">
        <v>3162</v>
      </c>
      <c r="F293" s="21" t="str">
        <f t="shared" si="10"/>
        <v>03/00001320 GILPEREZ SLU</v>
      </c>
      <c r="G293" s="12">
        <f t="shared" si="21"/>
        <v>51.396694214876035</v>
      </c>
      <c r="H293" s="22">
        <v>21</v>
      </c>
      <c r="I293" s="21">
        <f t="shared" si="20"/>
        <v>10.793305785123966</v>
      </c>
      <c r="J293" s="21">
        <f t="shared" si="22"/>
        <v>51.396694214876035</v>
      </c>
      <c r="L293" s="21">
        <f t="shared" si="23"/>
        <v>0</v>
      </c>
      <c r="M293" s="8">
        <v>62.19</v>
      </c>
      <c r="N293" s="20" t="s">
        <v>21</v>
      </c>
      <c r="O293" s="23" t="s">
        <v>64</v>
      </c>
      <c r="P293" s="23"/>
    </row>
    <row r="294" spans="1:16" s="22" customFormat="1" x14ac:dyDescent="0.35">
      <c r="A294" s="24">
        <v>45609</v>
      </c>
      <c r="B294" s="20" t="s">
        <v>3163</v>
      </c>
      <c r="C294" s="20"/>
      <c r="D294" s="20" t="s">
        <v>58</v>
      </c>
      <c r="E294" s="20" t="s">
        <v>2715</v>
      </c>
      <c r="F294" s="21" t="str">
        <f t="shared" si="10"/>
        <v>011-0011-195436 BRICOLAJE BRICOMAN S.L.U.</v>
      </c>
      <c r="G294" s="12">
        <f t="shared" si="21"/>
        <v>115.49586776859505</v>
      </c>
      <c r="H294" s="22">
        <v>21</v>
      </c>
      <c r="I294" s="21">
        <f t="shared" si="20"/>
        <v>24.254132231404959</v>
      </c>
      <c r="J294" s="21">
        <f t="shared" si="22"/>
        <v>115.49586776859505</v>
      </c>
      <c r="L294" s="21">
        <f t="shared" si="23"/>
        <v>0</v>
      </c>
      <c r="M294" s="8">
        <v>139.75</v>
      </c>
      <c r="N294" s="20" t="s">
        <v>21</v>
      </c>
      <c r="O294" s="23" t="s">
        <v>63</v>
      </c>
      <c r="P294" s="23"/>
    </row>
    <row r="295" spans="1:16" s="22" customFormat="1" x14ac:dyDescent="0.35">
      <c r="A295" s="24">
        <v>45597</v>
      </c>
      <c r="B295" s="20" t="s">
        <v>3164</v>
      </c>
      <c r="C295" s="20"/>
      <c r="D295" s="20" t="s">
        <v>58</v>
      </c>
      <c r="E295" s="20" t="s">
        <v>2715</v>
      </c>
      <c r="F295" s="21" t="str">
        <f t="shared" si="10"/>
        <v>007-0011-786654 BRICOLAJE BRICOMAN S.L.U.</v>
      </c>
      <c r="G295" s="12">
        <f t="shared" si="21"/>
        <v>33.347107438016529</v>
      </c>
      <c r="H295" s="22">
        <v>21</v>
      </c>
      <c r="I295" s="21">
        <f t="shared" si="20"/>
        <v>7.0028925619834705</v>
      </c>
      <c r="J295" s="21">
        <f t="shared" si="22"/>
        <v>33.347107438016529</v>
      </c>
      <c r="L295" s="21">
        <f t="shared" si="23"/>
        <v>0</v>
      </c>
      <c r="M295" s="8">
        <v>40.35</v>
      </c>
      <c r="N295" s="20" t="s">
        <v>21</v>
      </c>
      <c r="O295" s="23" t="s">
        <v>63</v>
      </c>
      <c r="P295" s="23"/>
    </row>
    <row r="296" spans="1:16" s="22" customFormat="1" x14ac:dyDescent="0.35">
      <c r="A296" s="24">
        <v>45607</v>
      </c>
      <c r="B296" s="20" t="s">
        <v>3165</v>
      </c>
      <c r="C296" s="20"/>
      <c r="D296" s="20" t="s">
        <v>58</v>
      </c>
      <c r="E296" s="20" t="s">
        <v>2715</v>
      </c>
      <c r="F296" s="21" t="str">
        <f t="shared" si="10"/>
        <v>011-0011-190429 BRICOLAJE BRICOMAN S.L.U.</v>
      </c>
      <c r="G296" s="12">
        <f t="shared" si="21"/>
        <v>25.991735537190081</v>
      </c>
      <c r="H296" s="22">
        <v>21</v>
      </c>
      <c r="I296" s="21">
        <f t="shared" ref="I296:I359" si="24">G296*H296/100</f>
        <v>5.4582644628099173</v>
      </c>
      <c r="J296" s="21">
        <f t="shared" si="22"/>
        <v>25.991735537190081</v>
      </c>
      <c r="L296" s="21">
        <f t="shared" si="23"/>
        <v>0</v>
      </c>
      <c r="M296" s="8">
        <v>31.45</v>
      </c>
      <c r="N296" s="20" t="s">
        <v>21</v>
      </c>
      <c r="O296" s="23" t="s">
        <v>63</v>
      </c>
      <c r="P296" s="23"/>
    </row>
    <row r="297" spans="1:16" s="22" customFormat="1" x14ac:dyDescent="0.35">
      <c r="A297" s="24">
        <v>45591</v>
      </c>
      <c r="B297" s="20" t="s">
        <v>3166</v>
      </c>
      <c r="C297" s="20"/>
      <c r="D297" s="20" t="s">
        <v>58</v>
      </c>
      <c r="E297" s="20" t="s">
        <v>2715</v>
      </c>
      <c r="F297" s="21" t="str">
        <f t="shared" si="10"/>
        <v>011-0010-165492 BRICOLAJE BRICOMAN S.L.U.</v>
      </c>
      <c r="G297" s="12">
        <f t="shared" ref="G297:G360" si="25">M297/(1-K297/100+H297/100)</f>
        <v>15.223140495867771</v>
      </c>
      <c r="H297" s="22">
        <v>21</v>
      </c>
      <c r="I297" s="21">
        <f t="shared" si="24"/>
        <v>3.1968595041322319</v>
      </c>
      <c r="J297" s="21">
        <f t="shared" ref="J297:J360" si="26">G297</f>
        <v>15.223140495867771</v>
      </c>
      <c r="L297" s="21">
        <f t="shared" ref="L297:L360" si="27">J297*K297/100</f>
        <v>0</v>
      </c>
      <c r="M297" s="8">
        <v>18.420000000000002</v>
      </c>
      <c r="N297" s="20" t="s">
        <v>21</v>
      </c>
      <c r="O297" s="23" t="s">
        <v>63</v>
      </c>
      <c r="P297" s="23"/>
    </row>
    <row r="298" spans="1:16" s="22" customFormat="1" x14ac:dyDescent="0.35">
      <c r="A298" s="24">
        <v>45584</v>
      </c>
      <c r="B298" s="20" t="s">
        <v>3167</v>
      </c>
      <c r="C298" s="20"/>
      <c r="D298" s="20" t="s">
        <v>58</v>
      </c>
      <c r="E298" s="20" t="s">
        <v>2715</v>
      </c>
      <c r="F298" s="21" t="str">
        <f t="shared" si="10"/>
        <v>011-0010-153634 BRICOLAJE BRICOMAN S.L.U.</v>
      </c>
      <c r="G298" s="12">
        <f t="shared" si="25"/>
        <v>39.595041322314046</v>
      </c>
      <c r="H298" s="22">
        <v>21</v>
      </c>
      <c r="I298" s="21">
        <f>G298*H298/100</f>
        <v>8.314958677685949</v>
      </c>
      <c r="J298" s="21">
        <f t="shared" si="26"/>
        <v>39.595041322314046</v>
      </c>
      <c r="L298" s="21">
        <f t="shared" si="27"/>
        <v>0</v>
      </c>
      <c r="M298" s="8">
        <v>47.91</v>
      </c>
      <c r="N298" s="20" t="s">
        <v>21</v>
      </c>
      <c r="O298" s="23" t="s">
        <v>63</v>
      </c>
      <c r="P298" s="23"/>
    </row>
    <row r="299" spans="1:16" s="22" customFormat="1" x14ac:dyDescent="0.35">
      <c r="A299" s="24">
        <v>45584</v>
      </c>
      <c r="B299" s="20" t="s">
        <v>3168</v>
      </c>
      <c r="C299" s="20"/>
      <c r="D299" s="20" t="s">
        <v>58</v>
      </c>
      <c r="E299" s="20" t="s">
        <v>2715</v>
      </c>
      <c r="F299" s="21" t="str">
        <f t="shared" si="10"/>
        <v>011-0010-153692 BRICOLAJE BRICOMAN S.L.U.</v>
      </c>
      <c r="G299" s="12">
        <f t="shared" si="25"/>
        <v>28.082644628099171</v>
      </c>
      <c r="H299" s="22">
        <v>21</v>
      </c>
      <c r="I299" s="21">
        <f t="shared" si="24"/>
        <v>5.8973553719008258</v>
      </c>
      <c r="J299" s="21">
        <f t="shared" si="26"/>
        <v>28.082644628099171</v>
      </c>
      <c r="K299" s="21"/>
      <c r="L299" s="21">
        <f t="shared" si="27"/>
        <v>0</v>
      </c>
      <c r="M299" s="8">
        <v>33.979999999999997</v>
      </c>
      <c r="N299" s="20" t="s">
        <v>21</v>
      </c>
      <c r="O299" s="23" t="s">
        <v>63</v>
      </c>
      <c r="P299" s="23"/>
    </row>
    <row r="300" spans="1:16" s="22" customFormat="1" x14ac:dyDescent="0.35">
      <c r="A300" s="24">
        <v>45589</v>
      </c>
      <c r="B300" s="20" t="s">
        <v>3169</v>
      </c>
      <c r="C300" s="20"/>
      <c r="D300" s="20" t="s">
        <v>58</v>
      </c>
      <c r="E300" s="20" t="s">
        <v>2715</v>
      </c>
      <c r="F300" s="21" t="str">
        <f t="shared" si="10"/>
        <v>011-0010-161647 BRICOLAJE BRICOMAN S.L.U.</v>
      </c>
      <c r="G300" s="12">
        <f t="shared" si="25"/>
        <v>22.735537190082646</v>
      </c>
      <c r="H300" s="22">
        <v>21</v>
      </c>
      <c r="I300" s="21">
        <f t="shared" si="24"/>
        <v>4.7744628099173552</v>
      </c>
      <c r="J300" s="21">
        <f t="shared" si="26"/>
        <v>22.735537190082646</v>
      </c>
      <c r="L300" s="21">
        <f t="shared" si="27"/>
        <v>0</v>
      </c>
      <c r="M300" s="8">
        <v>27.51</v>
      </c>
      <c r="N300" s="20" t="s">
        <v>21</v>
      </c>
      <c r="O300" s="23" t="s">
        <v>63</v>
      </c>
      <c r="P300" s="23"/>
    </row>
    <row r="301" spans="1:16" s="22" customFormat="1" x14ac:dyDescent="0.35">
      <c r="A301" s="24">
        <v>45582</v>
      </c>
      <c r="B301" s="20" t="s">
        <v>3170</v>
      </c>
      <c r="C301" s="20"/>
      <c r="D301" s="20" t="s">
        <v>58</v>
      </c>
      <c r="E301" s="20" t="s">
        <v>2715</v>
      </c>
      <c r="F301" s="21" t="str">
        <f t="shared" si="10"/>
        <v>011-0010-149776 BRICOLAJE BRICOMAN S.L.U.</v>
      </c>
      <c r="G301" s="12">
        <f t="shared" si="25"/>
        <v>10.12396694214876</v>
      </c>
      <c r="H301" s="22">
        <v>21</v>
      </c>
      <c r="I301" s="21">
        <f t="shared" si="24"/>
        <v>2.1260330578512394</v>
      </c>
      <c r="J301" s="21">
        <f t="shared" si="26"/>
        <v>10.12396694214876</v>
      </c>
      <c r="L301" s="21">
        <f t="shared" si="27"/>
        <v>0</v>
      </c>
      <c r="M301" s="8">
        <v>12.25</v>
      </c>
      <c r="N301" s="20" t="s">
        <v>21</v>
      </c>
      <c r="O301" s="23" t="s">
        <v>63</v>
      </c>
      <c r="P301" s="23"/>
    </row>
    <row r="302" spans="1:16" s="22" customFormat="1" x14ac:dyDescent="0.35">
      <c r="A302" s="24">
        <v>45582</v>
      </c>
      <c r="B302" s="20" t="s">
        <v>3171</v>
      </c>
      <c r="C302" s="20"/>
      <c r="D302" s="20" t="s">
        <v>58</v>
      </c>
      <c r="E302" s="20" t="s">
        <v>2715</v>
      </c>
      <c r="F302" s="21" t="str">
        <f t="shared" si="10"/>
        <v>011-0010-149774 BRICOLAJE BRICOMAN S.L.U.</v>
      </c>
      <c r="G302" s="12">
        <f t="shared" si="25"/>
        <v>13.636363636363637</v>
      </c>
      <c r="H302" s="22">
        <v>21</v>
      </c>
      <c r="I302" s="21">
        <f t="shared" si="24"/>
        <v>2.8636363636363638</v>
      </c>
      <c r="J302" s="21">
        <f t="shared" si="26"/>
        <v>13.636363636363637</v>
      </c>
      <c r="L302" s="21">
        <f t="shared" si="27"/>
        <v>0</v>
      </c>
      <c r="M302" s="8">
        <v>16.5</v>
      </c>
      <c r="N302" s="20" t="s">
        <v>21</v>
      </c>
      <c r="O302" s="23" t="s">
        <v>63</v>
      </c>
      <c r="P302" s="23"/>
    </row>
    <row r="303" spans="1:16" s="22" customFormat="1" x14ac:dyDescent="0.35">
      <c r="A303" s="24">
        <v>45582</v>
      </c>
      <c r="B303" s="20" t="s">
        <v>3172</v>
      </c>
      <c r="C303" s="20"/>
      <c r="D303" s="20" t="s">
        <v>58</v>
      </c>
      <c r="E303" s="20" t="s">
        <v>2715</v>
      </c>
      <c r="F303" s="21" t="str">
        <f t="shared" si="10"/>
        <v>011-0010-150764 BRICOLAJE BRICOMAN S.L.U.</v>
      </c>
      <c r="G303" s="12">
        <f t="shared" si="25"/>
        <v>33.537190082644628</v>
      </c>
      <c r="H303" s="22">
        <v>21</v>
      </c>
      <c r="I303" s="21">
        <f t="shared" si="24"/>
        <v>7.0428099173553722</v>
      </c>
      <c r="J303" s="21">
        <f t="shared" si="26"/>
        <v>33.537190082644628</v>
      </c>
      <c r="L303" s="21">
        <f t="shared" si="27"/>
        <v>0</v>
      </c>
      <c r="M303" s="8">
        <v>40.58</v>
      </c>
      <c r="N303" s="20" t="s">
        <v>21</v>
      </c>
      <c r="O303" s="23" t="s">
        <v>63</v>
      </c>
      <c r="P303" s="23"/>
    </row>
    <row r="304" spans="1:16" s="22" customFormat="1" x14ac:dyDescent="0.35">
      <c r="A304" s="24">
        <v>45582</v>
      </c>
      <c r="B304" s="20" t="s">
        <v>3173</v>
      </c>
      <c r="C304" s="20"/>
      <c r="D304" s="20" t="s">
        <v>58</v>
      </c>
      <c r="E304" s="20" t="s">
        <v>2715</v>
      </c>
      <c r="F304" s="21" t="str">
        <f t="shared" si="10"/>
        <v>011-0010-149779 BRICOLAJE BRICOMAN S.L.U.</v>
      </c>
      <c r="G304" s="12">
        <f t="shared" si="25"/>
        <v>26.280991735537192</v>
      </c>
      <c r="H304" s="22">
        <v>21</v>
      </c>
      <c r="I304" s="21">
        <f t="shared" si="24"/>
        <v>5.5190082644628102</v>
      </c>
      <c r="J304" s="21">
        <f t="shared" si="26"/>
        <v>26.280991735537192</v>
      </c>
      <c r="L304" s="21">
        <f t="shared" si="27"/>
        <v>0</v>
      </c>
      <c r="M304" s="8">
        <v>31.8</v>
      </c>
      <c r="N304" s="20" t="s">
        <v>21</v>
      </c>
      <c r="O304" s="23" t="s">
        <v>63</v>
      </c>
      <c r="P304" s="23"/>
    </row>
    <row r="305" spans="1:16" s="22" customFormat="1" x14ac:dyDescent="0.35">
      <c r="A305" s="24">
        <v>45583</v>
      </c>
      <c r="B305" s="20" t="s">
        <v>3174</v>
      </c>
      <c r="C305" s="20"/>
      <c r="D305" s="20" t="s">
        <v>58</v>
      </c>
      <c r="E305" s="20" t="s">
        <v>2715</v>
      </c>
      <c r="F305" s="21" t="str">
        <f t="shared" si="10"/>
        <v>011-0010-152552 BRICOLAJE BRICOMAN S.L.U.</v>
      </c>
      <c r="G305" s="12">
        <f t="shared" si="25"/>
        <v>7.5041322314049586</v>
      </c>
      <c r="H305" s="22">
        <v>21</v>
      </c>
      <c r="I305" s="21">
        <f t="shared" si="24"/>
        <v>1.5758677685950415</v>
      </c>
      <c r="J305" s="21">
        <f t="shared" si="26"/>
        <v>7.5041322314049586</v>
      </c>
      <c r="L305" s="21">
        <f t="shared" si="27"/>
        <v>0</v>
      </c>
      <c r="M305" s="8">
        <v>9.08</v>
      </c>
      <c r="N305" s="20" t="s">
        <v>21</v>
      </c>
      <c r="O305" s="23" t="s">
        <v>63</v>
      </c>
      <c r="P305" s="23"/>
    </row>
    <row r="306" spans="1:16" s="22" customFormat="1" x14ac:dyDescent="0.35">
      <c r="A306" s="24">
        <v>45602</v>
      </c>
      <c r="B306" s="20" t="s">
        <v>3175</v>
      </c>
      <c r="C306" s="20"/>
      <c r="D306" s="20" t="s">
        <v>58</v>
      </c>
      <c r="E306" s="20" t="s">
        <v>2715</v>
      </c>
      <c r="F306" s="21" t="str">
        <f t="shared" si="10"/>
        <v>011-0011-182318 BRICOLAJE BRICOMAN S.L.U.</v>
      </c>
      <c r="G306" s="12">
        <f t="shared" si="25"/>
        <v>40.743801652892557</v>
      </c>
      <c r="H306" s="22">
        <v>21</v>
      </c>
      <c r="I306" s="21">
        <f t="shared" si="24"/>
        <v>8.5561983471074363</v>
      </c>
      <c r="J306" s="21">
        <f t="shared" si="26"/>
        <v>40.743801652892557</v>
      </c>
      <c r="K306" s="21"/>
      <c r="L306" s="21">
        <f t="shared" si="27"/>
        <v>0</v>
      </c>
      <c r="M306" s="8">
        <v>49.3</v>
      </c>
      <c r="N306" s="20" t="s">
        <v>21</v>
      </c>
      <c r="O306" s="23" t="s">
        <v>63</v>
      </c>
      <c r="P306" s="23"/>
    </row>
    <row r="307" spans="1:16" s="22" customFormat="1" x14ac:dyDescent="0.35">
      <c r="A307" s="24">
        <v>45602</v>
      </c>
      <c r="B307" s="20" t="s">
        <v>3176</v>
      </c>
      <c r="C307" s="20"/>
      <c r="D307" s="20" t="s">
        <v>58</v>
      </c>
      <c r="E307" s="20" t="s">
        <v>2715</v>
      </c>
      <c r="F307" s="21" t="str">
        <f t="shared" si="10"/>
        <v>011-0011-R031261 BRICOLAJE BRICOMAN S.L.U.</v>
      </c>
      <c r="G307" s="12">
        <f t="shared" si="25"/>
        <v>-15.289256198347108</v>
      </c>
      <c r="H307" s="22">
        <v>21</v>
      </c>
      <c r="I307" s="21">
        <f t="shared" si="24"/>
        <v>-3.2107438016528924</v>
      </c>
      <c r="J307" s="21">
        <f t="shared" si="26"/>
        <v>-15.289256198347108</v>
      </c>
      <c r="L307" s="21">
        <f t="shared" si="27"/>
        <v>0</v>
      </c>
      <c r="M307" s="8">
        <v>-18.5</v>
      </c>
      <c r="N307" s="20" t="s">
        <v>21</v>
      </c>
      <c r="O307" s="23" t="s">
        <v>63</v>
      </c>
      <c r="P307" s="23"/>
    </row>
    <row r="308" spans="1:16" s="22" customFormat="1" x14ac:dyDescent="0.35">
      <c r="A308" s="24">
        <v>45602</v>
      </c>
      <c r="B308" s="20" t="s">
        <v>3177</v>
      </c>
      <c r="C308" s="20"/>
      <c r="D308" s="20" t="s">
        <v>58</v>
      </c>
      <c r="E308" s="20" t="s">
        <v>2715</v>
      </c>
      <c r="F308" s="21" t="str">
        <f t="shared" si="10"/>
        <v>011-0011-183033 BRICOLAJE BRICOMAN S.L.U.</v>
      </c>
      <c r="G308" s="12">
        <f t="shared" si="25"/>
        <v>12.644628099173554</v>
      </c>
      <c r="H308" s="22">
        <v>21</v>
      </c>
      <c r="I308" s="21">
        <f t="shared" si="24"/>
        <v>2.6553719008264465</v>
      </c>
      <c r="J308" s="21">
        <f t="shared" si="26"/>
        <v>12.644628099173554</v>
      </c>
      <c r="L308" s="21">
        <f t="shared" si="27"/>
        <v>0</v>
      </c>
      <c r="M308" s="8">
        <v>15.3</v>
      </c>
      <c r="N308" s="20" t="s">
        <v>21</v>
      </c>
      <c r="O308" s="23" t="s">
        <v>63</v>
      </c>
      <c r="P308" s="23"/>
    </row>
    <row r="309" spans="1:16" s="22" customFormat="1" x14ac:dyDescent="0.35">
      <c r="A309" s="24">
        <v>45603</v>
      </c>
      <c r="B309" s="20" t="s">
        <v>3178</v>
      </c>
      <c r="C309" s="20"/>
      <c r="D309" s="20" t="s">
        <v>58</v>
      </c>
      <c r="E309" s="20" t="s">
        <v>2715</v>
      </c>
      <c r="F309" s="21" t="str">
        <f t="shared" si="10"/>
        <v>011-0011-184534 BRICOLAJE BRICOMAN S.L.U.</v>
      </c>
      <c r="G309" s="12">
        <f t="shared" si="25"/>
        <v>60.97520661157025</v>
      </c>
      <c r="H309" s="22">
        <v>21</v>
      </c>
      <c r="I309" s="21">
        <f t="shared" si="24"/>
        <v>12.804793388429752</v>
      </c>
      <c r="J309" s="21">
        <f t="shared" si="26"/>
        <v>60.97520661157025</v>
      </c>
      <c r="L309" s="21">
        <f t="shared" si="27"/>
        <v>0</v>
      </c>
      <c r="M309" s="8">
        <v>73.78</v>
      </c>
      <c r="N309" s="20" t="s">
        <v>21</v>
      </c>
      <c r="O309" s="23" t="s">
        <v>63</v>
      </c>
      <c r="P309" s="23"/>
    </row>
    <row r="310" spans="1:16" s="22" customFormat="1" x14ac:dyDescent="0.35">
      <c r="A310" s="24">
        <v>45603</v>
      </c>
      <c r="B310" s="20" t="s">
        <v>3179</v>
      </c>
      <c r="C310" s="20"/>
      <c r="D310" s="20" t="s">
        <v>58</v>
      </c>
      <c r="E310" s="20" t="s">
        <v>2715</v>
      </c>
      <c r="F310" s="21" t="str">
        <f t="shared" si="10"/>
        <v>011-0011-185750 BRICOLAJE BRICOMAN S.L.U.</v>
      </c>
      <c r="G310" s="12">
        <f t="shared" si="25"/>
        <v>10.743801652892563</v>
      </c>
      <c r="H310" s="22">
        <v>21</v>
      </c>
      <c r="I310" s="21">
        <f t="shared" si="24"/>
        <v>2.2561983471074383</v>
      </c>
      <c r="J310" s="21">
        <f t="shared" si="26"/>
        <v>10.743801652892563</v>
      </c>
      <c r="L310" s="21">
        <f t="shared" si="27"/>
        <v>0</v>
      </c>
      <c r="M310" s="8">
        <v>13</v>
      </c>
      <c r="N310" s="20" t="s">
        <v>21</v>
      </c>
      <c r="O310" s="23" t="s">
        <v>63</v>
      </c>
      <c r="P310" s="23"/>
    </row>
    <row r="311" spans="1:16" s="22" customFormat="1" x14ac:dyDescent="0.35">
      <c r="A311" s="24">
        <v>45607</v>
      </c>
      <c r="B311" s="20" t="s">
        <v>3180</v>
      </c>
      <c r="C311" s="20"/>
      <c r="D311" s="20" t="s">
        <v>58</v>
      </c>
      <c r="E311" s="20" t="s">
        <v>2715</v>
      </c>
      <c r="F311" s="21" t="str">
        <f t="shared" si="10"/>
        <v>011-0011-190496 BRICOLAJE BRICOMAN S.L.U.</v>
      </c>
      <c r="G311" s="12">
        <f t="shared" si="25"/>
        <v>38.81818181818182</v>
      </c>
      <c r="H311" s="22">
        <v>21</v>
      </c>
      <c r="I311" s="21">
        <f t="shared" si="24"/>
        <v>8.1518181818181823</v>
      </c>
      <c r="J311" s="21">
        <f t="shared" si="26"/>
        <v>38.81818181818182</v>
      </c>
      <c r="L311" s="21">
        <f t="shared" si="27"/>
        <v>0</v>
      </c>
      <c r="M311" s="8">
        <v>46.97</v>
      </c>
      <c r="N311" s="20" t="s">
        <v>21</v>
      </c>
      <c r="O311" s="23" t="s">
        <v>63</v>
      </c>
      <c r="P311" s="23"/>
    </row>
    <row r="312" spans="1:16" s="22" customFormat="1" x14ac:dyDescent="0.35">
      <c r="A312" s="24">
        <v>45607</v>
      </c>
      <c r="B312" s="20" t="s">
        <v>3181</v>
      </c>
      <c r="C312" s="20"/>
      <c r="D312" s="20" t="s">
        <v>58</v>
      </c>
      <c r="E312" s="20" t="s">
        <v>2715</v>
      </c>
      <c r="F312" s="21" t="str">
        <f t="shared" si="10"/>
        <v>011-0011-R031938 BRICOLAJE BRICOMAN S.L.U.</v>
      </c>
      <c r="G312" s="12">
        <f t="shared" si="25"/>
        <v>-8.2644628099173563</v>
      </c>
      <c r="H312" s="22">
        <v>21</v>
      </c>
      <c r="I312" s="21">
        <f t="shared" si="24"/>
        <v>-1.7355371900826448</v>
      </c>
      <c r="J312" s="21">
        <f t="shared" si="26"/>
        <v>-8.2644628099173563</v>
      </c>
      <c r="L312" s="21">
        <f t="shared" si="27"/>
        <v>0</v>
      </c>
      <c r="M312" s="8">
        <v>-10</v>
      </c>
      <c r="N312" s="20" t="s">
        <v>21</v>
      </c>
      <c r="O312" s="23" t="s">
        <v>63</v>
      </c>
      <c r="P312" s="23"/>
    </row>
    <row r="313" spans="1:16" s="22" customFormat="1" x14ac:dyDescent="0.35">
      <c r="A313" s="24">
        <v>45584</v>
      </c>
      <c r="B313" s="20" t="s">
        <v>3182</v>
      </c>
      <c r="C313" s="20"/>
      <c r="D313" s="20" t="s">
        <v>58</v>
      </c>
      <c r="E313" s="20" t="s">
        <v>2715</v>
      </c>
      <c r="F313" s="21" t="str">
        <f t="shared" si="10"/>
        <v>011-0010-153529 BRICOLAJE BRICOMAN S.L.U.</v>
      </c>
      <c r="G313" s="12">
        <f t="shared" si="25"/>
        <v>32.95867768595042</v>
      </c>
      <c r="H313" s="22">
        <v>21</v>
      </c>
      <c r="I313" s="21">
        <f t="shared" si="24"/>
        <v>6.9213223140495881</v>
      </c>
      <c r="J313" s="21">
        <f t="shared" si="26"/>
        <v>32.95867768595042</v>
      </c>
      <c r="L313" s="21">
        <f t="shared" si="27"/>
        <v>0</v>
      </c>
      <c r="M313" s="8">
        <v>39.880000000000003</v>
      </c>
      <c r="N313" s="20" t="s">
        <v>21</v>
      </c>
      <c r="O313" s="23" t="s">
        <v>63</v>
      </c>
      <c r="P313" s="23"/>
    </row>
    <row r="314" spans="1:16" s="22" customFormat="1" x14ac:dyDescent="0.35">
      <c r="A314" s="24">
        <v>45575</v>
      </c>
      <c r="B314" s="20" t="s">
        <v>3183</v>
      </c>
      <c r="C314" s="20"/>
      <c r="D314" s="20" t="s">
        <v>58</v>
      </c>
      <c r="E314" s="20" t="s">
        <v>2715</v>
      </c>
      <c r="F314" s="21" t="str">
        <f t="shared" si="10"/>
        <v>011-0010-138705 BRICOLAJE BRICOMAN S.L.U.</v>
      </c>
      <c r="G314" s="12">
        <f t="shared" si="25"/>
        <v>20.826446280991735</v>
      </c>
      <c r="H314" s="22">
        <v>21</v>
      </c>
      <c r="I314" s="21">
        <f t="shared" si="24"/>
        <v>4.3735537190082647</v>
      </c>
      <c r="J314" s="21">
        <f t="shared" si="26"/>
        <v>20.826446280991735</v>
      </c>
      <c r="L314" s="21">
        <f t="shared" si="27"/>
        <v>0</v>
      </c>
      <c r="M314" s="8">
        <v>25.2</v>
      </c>
      <c r="N314" s="20" t="s">
        <v>21</v>
      </c>
      <c r="O314" s="23" t="s">
        <v>63</v>
      </c>
      <c r="P314" s="23"/>
    </row>
    <row r="315" spans="1:16" s="22" customFormat="1" x14ac:dyDescent="0.35">
      <c r="A315" s="24">
        <v>45579</v>
      </c>
      <c r="B315" s="20" t="s">
        <v>3184</v>
      </c>
      <c r="C315" s="20"/>
      <c r="D315" s="20" t="s">
        <v>58</v>
      </c>
      <c r="E315" s="20" t="s">
        <v>2715</v>
      </c>
      <c r="F315" s="21" t="str">
        <f t="shared" si="10"/>
        <v>011-0010-144591 BRICOLAJE BRICOMAN S.L.U.</v>
      </c>
      <c r="G315" s="12">
        <f t="shared" si="25"/>
        <v>44.495867768595048</v>
      </c>
      <c r="H315" s="22">
        <v>21</v>
      </c>
      <c r="I315" s="21">
        <f t="shared" si="24"/>
        <v>9.3441322314049611</v>
      </c>
      <c r="J315" s="21">
        <f t="shared" si="26"/>
        <v>44.495867768595048</v>
      </c>
      <c r="L315" s="21">
        <f t="shared" si="27"/>
        <v>0</v>
      </c>
      <c r="M315" s="8">
        <v>53.84</v>
      </c>
      <c r="N315" s="20" t="s">
        <v>21</v>
      </c>
      <c r="O315" s="23" t="s">
        <v>63</v>
      </c>
      <c r="P315" s="23"/>
    </row>
    <row r="316" spans="1:16" s="22" customFormat="1" x14ac:dyDescent="0.35">
      <c r="A316" s="24">
        <v>45579</v>
      </c>
      <c r="B316" s="20" t="s">
        <v>3185</v>
      </c>
      <c r="C316" s="20"/>
      <c r="D316" s="20" t="s">
        <v>58</v>
      </c>
      <c r="E316" s="20" t="s">
        <v>2715</v>
      </c>
      <c r="F316" s="21" t="str">
        <f t="shared" si="10"/>
        <v>011-0010-144615 BRICOLAJE BRICOMAN S.L.U.</v>
      </c>
      <c r="G316" s="12">
        <f t="shared" si="25"/>
        <v>25.330578512396695</v>
      </c>
      <c r="H316" s="22">
        <v>21</v>
      </c>
      <c r="I316" s="21">
        <f t="shared" si="24"/>
        <v>5.3194214876033064</v>
      </c>
      <c r="J316" s="21">
        <f t="shared" si="26"/>
        <v>25.330578512396695</v>
      </c>
      <c r="L316" s="21">
        <f t="shared" si="27"/>
        <v>0</v>
      </c>
      <c r="M316" s="8">
        <v>30.65</v>
      </c>
      <c r="N316" s="20" t="s">
        <v>21</v>
      </c>
      <c r="O316" s="23" t="s">
        <v>63</v>
      </c>
      <c r="P316" s="23"/>
    </row>
    <row r="317" spans="1:16" s="22" customFormat="1" x14ac:dyDescent="0.35">
      <c r="A317" s="24">
        <v>45576</v>
      </c>
      <c r="B317" s="20" t="s">
        <v>3186</v>
      </c>
      <c r="C317" s="20"/>
      <c r="D317" s="20" t="s">
        <v>58</v>
      </c>
      <c r="E317" s="20" t="s">
        <v>2715</v>
      </c>
      <c r="F317" s="21" t="str">
        <f t="shared" si="10"/>
        <v>011-0010-140502 BRICOLAJE BRICOMAN S.L.U.</v>
      </c>
      <c r="G317" s="12">
        <f t="shared" si="25"/>
        <v>15.371900826446282</v>
      </c>
      <c r="H317" s="22">
        <v>21</v>
      </c>
      <c r="I317" s="21">
        <f t="shared" si="24"/>
        <v>3.2280991735537192</v>
      </c>
      <c r="J317" s="21">
        <f t="shared" si="26"/>
        <v>15.371900826446282</v>
      </c>
      <c r="L317" s="21">
        <f t="shared" si="27"/>
        <v>0</v>
      </c>
      <c r="M317" s="8">
        <v>18.600000000000001</v>
      </c>
      <c r="N317" s="20" t="s">
        <v>21</v>
      </c>
      <c r="O317" s="23" t="s">
        <v>63</v>
      </c>
      <c r="P317" s="23"/>
    </row>
    <row r="318" spans="1:16" s="22" customFormat="1" x14ac:dyDescent="0.35">
      <c r="A318" s="24">
        <v>45580</v>
      </c>
      <c r="B318" s="20" t="s">
        <v>3187</v>
      </c>
      <c r="C318" s="20"/>
      <c r="D318" s="20" t="s">
        <v>58</v>
      </c>
      <c r="E318" s="20" t="s">
        <v>2715</v>
      </c>
      <c r="F318" s="21" t="str">
        <f t="shared" si="10"/>
        <v>011-0010-145595 BRICOLAJE BRICOMAN S.L.U.</v>
      </c>
      <c r="G318" s="12">
        <f t="shared" si="25"/>
        <v>33.710743801652896</v>
      </c>
      <c r="H318" s="22">
        <v>21</v>
      </c>
      <c r="I318" s="21">
        <f t="shared" si="24"/>
        <v>7.0792561983471076</v>
      </c>
      <c r="J318" s="21">
        <f t="shared" si="26"/>
        <v>33.710743801652896</v>
      </c>
      <c r="L318" s="21">
        <f t="shared" si="27"/>
        <v>0</v>
      </c>
      <c r="M318" s="8">
        <v>40.79</v>
      </c>
      <c r="N318" s="20" t="s">
        <v>21</v>
      </c>
      <c r="O318" s="23" t="s">
        <v>63</v>
      </c>
      <c r="P318" s="23"/>
    </row>
    <row r="319" spans="1:16" s="22" customFormat="1" x14ac:dyDescent="0.35">
      <c r="A319" s="24">
        <v>45576</v>
      </c>
      <c r="B319" s="20" t="s">
        <v>3188</v>
      </c>
      <c r="C319" s="20"/>
      <c r="D319" s="20" t="s">
        <v>58</v>
      </c>
      <c r="E319" s="20" t="s">
        <v>2715</v>
      </c>
      <c r="F319" s="21" t="str">
        <f t="shared" si="10"/>
        <v>011-0010-140460 BRICOLAJE BRICOMAN S.L.U.</v>
      </c>
      <c r="G319" s="12">
        <f t="shared" si="25"/>
        <v>239.25619834710744</v>
      </c>
      <c r="H319" s="22">
        <v>21</v>
      </c>
      <c r="I319" s="21">
        <f t="shared" si="24"/>
        <v>50.243801652892564</v>
      </c>
      <c r="J319" s="21">
        <f t="shared" si="26"/>
        <v>239.25619834710744</v>
      </c>
      <c r="L319" s="21">
        <f t="shared" si="27"/>
        <v>0</v>
      </c>
      <c r="M319" s="8">
        <v>289.5</v>
      </c>
      <c r="N319" s="20" t="s">
        <v>21</v>
      </c>
      <c r="O319" s="23" t="s">
        <v>63</v>
      </c>
      <c r="P319" s="23"/>
    </row>
    <row r="320" spans="1:16" s="22" customFormat="1" x14ac:dyDescent="0.35">
      <c r="A320" s="24">
        <v>45580</v>
      </c>
      <c r="B320" s="20" t="s">
        <v>3189</v>
      </c>
      <c r="C320" s="20"/>
      <c r="D320" s="20" t="s">
        <v>58</v>
      </c>
      <c r="E320" s="20" t="s">
        <v>2715</v>
      </c>
      <c r="F320" s="21" t="str">
        <f t="shared" si="10"/>
        <v>011-0010-145615 BRICOLAJE BRICOMAN S.L.U.</v>
      </c>
      <c r="G320" s="12">
        <f t="shared" si="25"/>
        <v>51.462809917355379</v>
      </c>
      <c r="H320" s="22">
        <v>21</v>
      </c>
      <c r="I320" s="21">
        <f t="shared" si="24"/>
        <v>10.807190082644629</v>
      </c>
      <c r="J320" s="21">
        <f t="shared" si="26"/>
        <v>51.462809917355379</v>
      </c>
      <c r="L320" s="21">
        <f t="shared" si="27"/>
        <v>0</v>
      </c>
      <c r="M320" s="8">
        <v>62.27</v>
      </c>
      <c r="N320" s="20" t="s">
        <v>21</v>
      </c>
      <c r="O320" s="23" t="s">
        <v>63</v>
      </c>
      <c r="P320" s="23"/>
    </row>
    <row r="321" spans="1:16" s="22" customFormat="1" x14ac:dyDescent="0.35">
      <c r="A321" s="24">
        <v>45573</v>
      </c>
      <c r="B321" s="20" t="s">
        <v>3190</v>
      </c>
      <c r="C321" s="20"/>
      <c r="D321" s="20" t="s">
        <v>58</v>
      </c>
      <c r="E321" s="20" t="s">
        <v>2715</v>
      </c>
      <c r="F321" s="21" t="str">
        <f t="shared" si="10"/>
        <v>011-0010-133948 BRICOLAJE BRICOMAN S.L.U.</v>
      </c>
      <c r="G321" s="12">
        <f t="shared" si="25"/>
        <v>9.8347107438016543</v>
      </c>
      <c r="H321" s="22">
        <v>21</v>
      </c>
      <c r="I321" s="21">
        <f t="shared" si="24"/>
        <v>2.0652892561983474</v>
      </c>
      <c r="J321" s="21">
        <f t="shared" si="26"/>
        <v>9.8347107438016543</v>
      </c>
      <c r="L321" s="21">
        <f t="shared" si="27"/>
        <v>0</v>
      </c>
      <c r="M321" s="8">
        <v>11.9</v>
      </c>
      <c r="N321" s="20" t="s">
        <v>21</v>
      </c>
      <c r="O321" s="23" t="s">
        <v>63</v>
      </c>
      <c r="P321" s="23"/>
    </row>
    <row r="322" spans="1:16" s="22" customFormat="1" x14ac:dyDescent="0.35">
      <c r="A322" s="24">
        <v>45572</v>
      </c>
      <c r="B322" s="20" t="s">
        <v>3191</v>
      </c>
      <c r="C322" s="20"/>
      <c r="D322" s="20" t="s">
        <v>58</v>
      </c>
      <c r="E322" s="20" t="s">
        <v>2715</v>
      </c>
      <c r="F322" s="21" t="str">
        <f t="shared" si="10"/>
        <v>011-0010-131879 BRICOLAJE BRICOMAN S.L.U.</v>
      </c>
      <c r="G322" s="12">
        <f t="shared" si="25"/>
        <v>30.826446280991735</v>
      </c>
      <c r="H322" s="22">
        <v>21</v>
      </c>
      <c r="I322" s="21">
        <f t="shared" si="24"/>
        <v>6.4735537190082644</v>
      </c>
      <c r="J322" s="21">
        <f t="shared" si="26"/>
        <v>30.826446280991735</v>
      </c>
      <c r="L322" s="21">
        <f t="shared" si="27"/>
        <v>0</v>
      </c>
      <c r="M322" s="8">
        <v>37.299999999999997</v>
      </c>
      <c r="N322" s="20" t="s">
        <v>21</v>
      </c>
      <c r="O322" s="23" t="s">
        <v>63</v>
      </c>
      <c r="P322" s="23"/>
    </row>
    <row r="323" spans="1:16" s="22" customFormat="1" x14ac:dyDescent="0.35">
      <c r="A323" s="24">
        <v>45569</v>
      </c>
      <c r="B323" s="20" t="s">
        <v>3192</v>
      </c>
      <c r="C323" s="20"/>
      <c r="D323" s="20" t="s">
        <v>58</v>
      </c>
      <c r="E323" s="20" t="s">
        <v>2715</v>
      </c>
      <c r="F323" s="21" t="str">
        <f t="shared" si="10"/>
        <v>011-0010-128665 BRICOLAJE BRICOMAN S.L.U.</v>
      </c>
      <c r="G323" s="12">
        <f t="shared" si="25"/>
        <v>15.099173553719009</v>
      </c>
      <c r="H323" s="22">
        <v>21</v>
      </c>
      <c r="I323" s="21">
        <f t="shared" si="24"/>
        <v>3.1708264462809916</v>
      </c>
      <c r="J323" s="21">
        <f t="shared" si="26"/>
        <v>15.099173553719009</v>
      </c>
      <c r="L323" s="21">
        <f t="shared" si="27"/>
        <v>0</v>
      </c>
      <c r="M323" s="8">
        <v>18.27</v>
      </c>
      <c r="N323" s="20" t="s">
        <v>21</v>
      </c>
      <c r="O323" s="23" t="s">
        <v>63</v>
      </c>
      <c r="P323" s="23"/>
    </row>
    <row r="324" spans="1:16" s="22" customFormat="1" x14ac:dyDescent="0.35">
      <c r="A324" s="24">
        <v>45573</v>
      </c>
      <c r="B324" s="20" t="s">
        <v>3193</v>
      </c>
      <c r="C324" s="20"/>
      <c r="D324" s="20" t="s">
        <v>58</v>
      </c>
      <c r="E324" s="20" t="s">
        <v>2715</v>
      </c>
      <c r="F324" s="21" t="str">
        <f t="shared" si="10"/>
        <v>011-0010-133932 BRICOLAJE BRICOMAN S.L.U.</v>
      </c>
      <c r="G324" s="12">
        <f t="shared" si="25"/>
        <v>228.28925619834712</v>
      </c>
      <c r="H324" s="22">
        <v>21</v>
      </c>
      <c r="I324" s="21">
        <f t="shared" si="24"/>
        <v>47.9407438016529</v>
      </c>
      <c r="J324" s="21">
        <f t="shared" si="26"/>
        <v>228.28925619834712</v>
      </c>
      <c r="L324" s="21">
        <f t="shared" si="27"/>
        <v>0</v>
      </c>
      <c r="M324" s="8">
        <v>276.23</v>
      </c>
      <c r="N324" s="20" t="s">
        <v>21</v>
      </c>
      <c r="O324" s="23" t="s">
        <v>63</v>
      </c>
      <c r="P324" s="23"/>
    </row>
    <row r="325" spans="1:16" s="22" customFormat="1" x14ac:dyDescent="0.35">
      <c r="A325" s="24">
        <v>45574</v>
      </c>
      <c r="B325" s="20" t="s">
        <v>3194</v>
      </c>
      <c r="C325" s="20"/>
      <c r="D325" s="20" t="s">
        <v>58</v>
      </c>
      <c r="E325" s="20" t="s">
        <v>2715</v>
      </c>
      <c r="F325" s="21" t="str">
        <f t="shared" si="10"/>
        <v>011-0010-135986 BRICOLAJE BRICOMAN S.L.U.</v>
      </c>
      <c r="G325" s="12">
        <f t="shared" si="25"/>
        <v>35.47933884297521</v>
      </c>
      <c r="H325" s="22">
        <v>21</v>
      </c>
      <c r="I325" s="21">
        <f t="shared" si="24"/>
        <v>7.4506611570247943</v>
      </c>
      <c r="J325" s="21">
        <f t="shared" si="26"/>
        <v>35.47933884297521</v>
      </c>
      <c r="L325" s="21">
        <f t="shared" si="27"/>
        <v>0</v>
      </c>
      <c r="M325" s="8">
        <v>42.93</v>
      </c>
      <c r="N325" s="20" t="s">
        <v>21</v>
      </c>
      <c r="O325" s="23" t="s">
        <v>63</v>
      </c>
      <c r="P325" s="23"/>
    </row>
    <row r="326" spans="1:16" s="22" customFormat="1" x14ac:dyDescent="0.35">
      <c r="A326" s="24">
        <v>45656</v>
      </c>
      <c r="B326" s="20" t="s">
        <v>3195</v>
      </c>
      <c r="C326" s="20"/>
      <c r="D326" s="20" t="s">
        <v>255</v>
      </c>
      <c r="E326" s="20" t="s">
        <v>767</v>
      </c>
      <c r="F326" s="21" t="str">
        <f t="shared" si="10"/>
        <v>ES0022S2427267 GROUPE SEB IBERICA SA</v>
      </c>
      <c r="G326" s="12">
        <f t="shared" si="25"/>
        <v>28.181818181818183</v>
      </c>
      <c r="H326" s="22">
        <v>21</v>
      </c>
      <c r="I326" s="21">
        <f t="shared" si="24"/>
        <v>5.9181818181818189</v>
      </c>
      <c r="J326" s="21">
        <f t="shared" si="26"/>
        <v>28.181818181818183</v>
      </c>
      <c r="L326" s="21">
        <f t="shared" si="27"/>
        <v>0</v>
      </c>
      <c r="M326" s="8">
        <v>34.1</v>
      </c>
      <c r="N326" s="20" t="s">
        <v>61</v>
      </c>
      <c r="O326" s="23" t="s">
        <v>63</v>
      </c>
      <c r="P326" s="23"/>
    </row>
    <row r="327" spans="1:16" s="22" customFormat="1" x14ac:dyDescent="0.35">
      <c r="A327" s="24">
        <v>45657</v>
      </c>
      <c r="B327" s="20" t="s">
        <v>3196</v>
      </c>
      <c r="C327" s="20"/>
      <c r="D327" s="20" t="s">
        <v>3012</v>
      </c>
      <c r="E327" s="20" t="s">
        <v>3013</v>
      </c>
      <c r="F327" s="21" t="str">
        <f t="shared" si="10"/>
        <v>2024V 011582 DEL ESPINO</v>
      </c>
      <c r="G327" s="12">
        <f t="shared" si="25"/>
        <v>213.36363636363635</v>
      </c>
      <c r="H327" s="22">
        <v>10</v>
      </c>
      <c r="I327" s="21">
        <f t="shared" si="24"/>
        <v>21.336363636363636</v>
      </c>
      <c r="J327" s="21">
        <f t="shared" si="26"/>
        <v>213.36363636363635</v>
      </c>
      <c r="L327" s="21">
        <f t="shared" si="27"/>
        <v>0</v>
      </c>
      <c r="M327" s="8">
        <v>234.7</v>
      </c>
      <c r="N327" s="20" t="s">
        <v>179</v>
      </c>
      <c r="O327" s="23" t="s">
        <v>63</v>
      </c>
      <c r="P327" s="23"/>
    </row>
    <row r="328" spans="1:16" s="22" customFormat="1" x14ac:dyDescent="0.35">
      <c r="A328" s="24">
        <v>45604</v>
      </c>
      <c r="B328" s="20" t="s">
        <v>3197</v>
      </c>
      <c r="C328" s="20"/>
      <c r="D328" s="20" t="s">
        <v>240</v>
      </c>
      <c r="E328" s="20" t="s">
        <v>380</v>
      </c>
      <c r="F328" s="21" t="str">
        <f t="shared" si="10"/>
        <v>6248 ESCAYOLAS Y AISLAMIENTOS VILLAVERDE</v>
      </c>
      <c r="G328" s="12">
        <f t="shared" si="25"/>
        <v>32.876033057851238</v>
      </c>
      <c r="H328" s="22">
        <v>21</v>
      </c>
      <c r="I328" s="21">
        <f t="shared" si="24"/>
        <v>6.9039669421487595</v>
      </c>
      <c r="J328" s="21">
        <f t="shared" si="26"/>
        <v>32.876033057851238</v>
      </c>
      <c r="L328" s="21">
        <f t="shared" si="27"/>
        <v>0</v>
      </c>
      <c r="M328" s="8">
        <v>39.78</v>
      </c>
      <c r="N328" s="20" t="s">
        <v>21</v>
      </c>
      <c r="O328" s="23" t="s">
        <v>63</v>
      </c>
      <c r="P328" s="23"/>
    </row>
    <row r="329" spans="1:16" s="22" customFormat="1" x14ac:dyDescent="0.35">
      <c r="A329" s="24">
        <v>45604</v>
      </c>
      <c r="B329" s="20" t="s">
        <v>3198</v>
      </c>
      <c r="C329" s="20"/>
      <c r="D329" s="20" t="s">
        <v>2167</v>
      </c>
      <c r="E329" s="20" t="s">
        <v>2168</v>
      </c>
      <c r="F329" s="21" t="str">
        <f t="shared" si="10"/>
        <v>F2465001135 NUEVA TERRAIN</v>
      </c>
      <c r="G329" s="12">
        <f t="shared" si="25"/>
        <v>39.198347107438018</v>
      </c>
      <c r="H329" s="22">
        <v>21</v>
      </c>
      <c r="I329" s="21">
        <f t="shared" si="24"/>
        <v>8.2316528925619838</v>
      </c>
      <c r="J329" s="21">
        <f t="shared" si="26"/>
        <v>39.198347107438018</v>
      </c>
      <c r="L329" s="21">
        <f t="shared" si="27"/>
        <v>0</v>
      </c>
      <c r="M329" s="8">
        <v>47.43</v>
      </c>
      <c r="N329" s="20" t="s">
        <v>21</v>
      </c>
      <c r="O329" s="23" t="s">
        <v>63</v>
      </c>
      <c r="P329" s="23"/>
    </row>
    <row r="330" spans="1:16" s="22" customFormat="1" x14ac:dyDescent="0.35">
      <c r="A330" s="24">
        <v>45622</v>
      </c>
      <c r="B330" s="20" t="s">
        <v>3199</v>
      </c>
      <c r="C330" s="20"/>
      <c r="D330" s="20" t="s">
        <v>58</v>
      </c>
      <c r="E330" s="20" t="s">
        <v>2715</v>
      </c>
      <c r="F330" s="21" t="str">
        <f t="shared" si="10"/>
        <v>011-0011-217647 BRICOLAJE BRICOMAN S.L.U.</v>
      </c>
      <c r="G330" s="12">
        <f t="shared" si="25"/>
        <v>5.123966942148761</v>
      </c>
      <c r="H330" s="22">
        <v>21</v>
      </c>
      <c r="I330" s="21">
        <f t="shared" si="24"/>
        <v>1.0760330578512398</v>
      </c>
      <c r="J330" s="21">
        <f t="shared" si="26"/>
        <v>5.123966942148761</v>
      </c>
      <c r="L330" s="21">
        <f t="shared" si="27"/>
        <v>0</v>
      </c>
      <c r="M330" s="8">
        <v>6.2</v>
      </c>
      <c r="N330" s="20" t="s">
        <v>21</v>
      </c>
      <c r="O330" s="23" t="s">
        <v>63</v>
      </c>
      <c r="P330" s="23"/>
    </row>
    <row r="331" spans="1:16" s="22" customFormat="1" x14ac:dyDescent="0.35">
      <c r="A331" s="24">
        <v>45624</v>
      </c>
      <c r="B331" s="20" t="s">
        <v>3200</v>
      </c>
      <c r="C331" s="20"/>
      <c r="D331" s="20" t="s">
        <v>2373</v>
      </c>
      <c r="E331" s="20" t="s">
        <v>3201</v>
      </c>
      <c r="F331" s="21" t="str">
        <f t="shared" si="10"/>
        <v>FC13277345 G.I. AFIDCASA SL</v>
      </c>
      <c r="G331" s="12">
        <f t="shared" si="25"/>
        <v>16.528925619834713</v>
      </c>
      <c r="H331" s="22">
        <v>21</v>
      </c>
      <c r="I331" s="21">
        <f t="shared" si="24"/>
        <v>3.4710743801652897</v>
      </c>
      <c r="J331" s="21">
        <f t="shared" si="26"/>
        <v>16.528925619834713</v>
      </c>
      <c r="L331" s="21">
        <f t="shared" si="27"/>
        <v>0</v>
      </c>
      <c r="M331" s="8">
        <v>20</v>
      </c>
      <c r="N331" s="20" t="s">
        <v>22</v>
      </c>
      <c r="O331" s="23" t="s">
        <v>63</v>
      </c>
      <c r="P331" s="23"/>
    </row>
    <row r="332" spans="1:16" s="22" customFormat="1" x14ac:dyDescent="0.35">
      <c r="A332" s="24">
        <v>45624</v>
      </c>
      <c r="B332" s="20" t="s">
        <v>3202</v>
      </c>
      <c r="C332" s="20"/>
      <c r="D332" s="20" t="s">
        <v>58</v>
      </c>
      <c r="E332" s="20" t="s">
        <v>2715</v>
      </c>
      <c r="F332" s="21" t="str">
        <f t="shared" si="10"/>
        <v>011-0011-222672 BRICOLAJE BRICOMAN S.L.U.</v>
      </c>
      <c r="G332" s="12">
        <f t="shared" si="25"/>
        <v>29.090909090909093</v>
      </c>
      <c r="H332" s="22">
        <v>21</v>
      </c>
      <c r="I332" s="21">
        <f t="shared" si="24"/>
        <v>6.1090909090909102</v>
      </c>
      <c r="J332" s="21">
        <f t="shared" si="26"/>
        <v>29.090909090909093</v>
      </c>
      <c r="L332" s="21">
        <f t="shared" si="27"/>
        <v>0</v>
      </c>
      <c r="M332" s="8">
        <v>35.200000000000003</v>
      </c>
      <c r="N332" s="20" t="s">
        <v>21</v>
      </c>
      <c r="O332" s="23" t="s">
        <v>63</v>
      </c>
      <c r="P332" s="23"/>
    </row>
    <row r="333" spans="1:16" s="22" customFormat="1" x14ac:dyDescent="0.35">
      <c r="A333" s="24">
        <v>45625</v>
      </c>
      <c r="B333" s="20" t="s">
        <v>3203</v>
      </c>
      <c r="C333" s="20"/>
      <c r="D333" s="20" t="s">
        <v>2373</v>
      </c>
      <c r="E333" s="20" t="s">
        <v>3201</v>
      </c>
      <c r="F333" s="21" t="str">
        <f t="shared" si="10"/>
        <v>FC13277369 G.I. AFIDCASA SL</v>
      </c>
      <c r="G333" s="12">
        <f t="shared" si="25"/>
        <v>24.793388429752067</v>
      </c>
      <c r="H333" s="22">
        <v>21</v>
      </c>
      <c r="I333" s="21">
        <f t="shared" si="24"/>
        <v>5.2066115702479339</v>
      </c>
      <c r="J333" s="21">
        <f t="shared" si="26"/>
        <v>24.793388429752067</v>
      </c>
      <c r="L333" s="21">
        <f t="shared" si="27"/>
        <v>0</v>
      </c>
      <c r="M333" s="8">
        <v>30</v>
      </c>
      <c r="N333" s="20" t="s">
        <v>22</v>
      </c>
      <c r="O333" s="23" t="s">
        <v>63</v>
      </c>
      <c r="P333" s="23"/>
    </row>
    <row r="334" spans="1:16" s="22" customFormat="1" x14ac:dyDescent="0.35">
      <c r="A334" s="24">
        <v>45625</v>
      </c>
      <c r="B334" s="20" t="s">
        <v>3204</v>
      </c>
      <c r="C334" s="20"/>
      <c r="D334" s="20" t="s">
        <v>1619</v>
      </c>
      <c r="E334" s="20" t="s">
        <v>3205</v>
      </c>
      <c r="F334" s="21" t="str">
        <f t="shared" si="10"/>
        <v>23367/24 SUMINISTROS VILLAVICIOSA SL</v>
      </c>
      <c r="G334" s="12">
        <f t="shared" si="25"/>
        <v>50</v>
      </c>
      <c r="H334" s="22">
        <v>21</v>
      </c>
      <c r="I334" s="21">
        <f t="shared" si="24"/>
        <v>10.5</v>
      </c>
      <c r="J334" s="21">
        <f t="shared" si="26"/>
        <v>50</v>
      </c>
      <c r="L334" s="21">
        <f t="shared" si="27"/>
        <v>0</v>
      </c>
      <c r="M334" s="8">
        <v>60.5</v>
      </c>
      <c r="N334" s="20" t="s">
        <v>21</v>
      </c>
      <c r="O334" s="23" t="s">
        <v>63</v>
      </c>
      <c r="P334" s="23"/>
    </row>
    <row r="335" spans="1:16" s="22" customFormat="1" x14ac:dyDescent="0.35">
      <c r="A335" s="24">
        <v>45629</v>
      </c>
      <c r="B335" s="20" t="s">
        <v>3206</v>
      </c>
      <c r="C335" s="20"/>
      <c r="D335" s="20" t="s">
        <v>1619</v>
      </c>
      <c r="E335" s="20" t="s">
        <v>3205</v>
      </c>
      <c r="F335" s="21" t="str">
        <f t="shared" si="10"/>
        <v>23502/24 SUMINISTROS VILLAVICIOSA SL</v>
      </c>
      <c r="G335" s="12">
        <f t="shared" si="25"/>
        <v>34.371900826446286</v>
      </c>
      <c r="H335" s="22">
        <v>21</v>
      </c>
      <c r="I335" s="21">
        <f t="shared" si="24"/>
        <v>7.2180991735537203</v>
      </c>
      <c r="J335" s="21">
        <f t="shared" si="26"/>
        <v>34.371900826446286</v>
      </c>
      <c r="L335" s="21">
        <f t="shared" si="27"/>
        <v>0</v>
      </c>
      <c r="M335" s="8">
        <v>41.59</v>
      </c>
      <c r="N335" s="20" t="s">
        <v>21</v>
      </c>
      <c r="O335" s="23" t="s">
        <v>63</v>
      </c>
      <c r="P335" s="23"/>
    </row>
    <row r="336" spans="1:16" s="22" customFormat="1" x14ac:dyDescent="0.35">
      <c r="A336" s="24">
        <v>45629</v>
      </c>
      <c r="B336" s="20" t="s">
        <v>3207</v>
      </c>
      <c r="C336" s="20"/>
      <c r="D336" s="20" t="s">
        <v>92</v>
      </c>
      <c r="E336" s="20" t="s">
        <v>93</v>
      </c>
      <c r="F336" s="21" t="str">
        <f t="shared" si="10"/>
        <v>1/351/41/376664 BAUHAUS</v>
      </c>
      <c r="G336" s="12">
        <f t="shared" si="25"/>
        <v>49.066115702479337</v>
      </c>
      <c r="H336" s="22">
        <v>21</v>
      </c>
      <c r="I336" s="21">
        <f t="shared" si="24"/>
        <v>10.303884297520661</v>
      </c>
      <c r="J336" s="21">
        <f t="shared" si="26"/>
        <v>49.066115702479337</v>
      </c>
      <c r="L336" s="21">
        <f t="shared" si="27"/>
        <v>0</v>
      </c>
      <c r="M336" s="8">
        <v>59.37</v>
      </c>
      <c r="N336" s="20" t="s">
        <v>21</v>
      </c>
      <c r="O336" s="23" t="s">
        <v>63</v>
      </c>
      <c r="P336" s="23"/>
    </row>
    <row r="337" spans="1:16" s="22" customFormat="1" x14ac:dyDescent="0.35">
      <c r="A337" s="24">
        <v>45569</v>
      </c>
      <c r="B337" s="20" t="s">
        <v>3208</v>
      </c>
      <c r="C337" s="20"/>
      <c r="D337" s="20" t="s">
        <v>58</v>
      </c>
      <c r="E337" s="20" t="s">
        <v>2715</v>
      </c>
      <c r="F337" s="21" t="str">
        <f t="shared" si="10"/>
        <v>018-0012-762856 BRICOLAJE BRICOMAN S.L.U.</v>
      </c>
      <c r="G337" s="12">
        <f t="shared" si="25"/>
        <v>19.214876033057852</v>
      </c>
      <c r="H337" s="22">
        <v>21</v>
      </c>
      <c r="I337" s="21">
        <f t="shared" si="24"/>
        <v>4.035123966942149</v>
      </c>
      <c r="J337" s="21">
        <f t="shared" si="26"/>
        <v>19.214876033057852</v>
      </c>
      <c r="L337" s="21">
        <f t="shared" si="27"/>
        <v>0</v>
      </c>
      <c r="M337" s="8">
        <v>23.25</v>
      </c>
      <c r="N337" s="20" t="s">
        <v>21</v>
      </c>
      <c r="O337" s="23" t="s">
        <v>63</v>
      </c>
      <c r="P337" s="23"/>
    </row>
    <row r="338" spans="1:16" s="22" customFormat="1" x14ac:dyDescent="0.35">
      <c r="A338" s="24">
        <v>45630</v>
      </c>
      <c r="B338" s="20" t="s">
        <v>3209</v>
      </c>
      <c r="C338" s="20"/>
      <c r="D338" s="20" t="s">
        <v>58</v>
      </c>
      <c r="E338" s="20" t="s">
        <v>2715</v>
      </c>
      <c r="F338" s="21" t="str">
        <f t="shared" si="10"/>
        <v>018-0012-762871 BRICOLAJE BRICOMAN S.L.U.</v>
      </c>
      <c r="G338" s="12">
        <f t="shared" si="25"/>
        <v>1.2809917355371903</v>
      </c>
      <c r="H338" s="22">
        <v>21</v>
      </c>
      <c r="I338" s="21">
        <f t="shared" si="24"/>
        <v>0.26900826446280995</v>
      </c>
      <c r="J338" s="21">
        <f t="shared" si="26"/>
        <v>1.2809917355371903</v>
      </c>
      <c r="L338" s="21">
        <f t="shared" si="27"/>
        <v>0</v>
      </c>
      <c r="M338" s="8">
        <v>1.55</v>
      </c>
      <c r="N338" s="20" t="s">
        <v>21</v>
      </c>
      <c r="O338" s="23" t="s">
        <v>63</v>
      </c>
      <c r="P338" s="23"/>
    </row>
    <row r="339" spans="1:16" s="22" customFormat="1" x14ac:dyDescent="0.35">
      <c r="A339" s="24">
        <v>45636</v>
      </c>
      <c r="B339" s="20" t="s">
        <v>3210</v>
      </c>
      <c r="C339" s="20"/>
      <c r="D339" s="20" t="s">
        <v>58</v>
      </c>
      <c r="E339" s="20" t="s">
        <v>2715</v>
      </c>
      <c r="F339" s="21" t="str">
        <f t="shared" si="10"/>
        <v>018-0012-773293 BRICOLAJE BRICOMAN S.L.U.</v>
      </c>
      <c r="G339" s="12">
        <f t="shared" si="25"/>
        <v>4.8760330578512399</v>
      </c>
      <c r="H339" s="22">
        <v>21</v>
      </c>
      <c r="I339" s="21">
        <f t="shared" si="24"/>
        <v>1.0239669421487603</v>
      </c>
      <c r="J339" s="21">
        <f t="shared" si="26"/>
        <v>4.8760330578512399</v>
      </c>
      <c r="L339" s="21">
        <f t="shared" si="27"/>
        <v>0</v>
      </c>
      <c r="M339" s="8">
        <v>5.9</v>
      </c>
      <c r="N339" s="20" t="s">
        <v>21</v>
      </c>
      <c r="O339" s="23" t="s">
        <v>63</v>
      </c>
      <c r="P339" s="23"/>
    </row>
    <row r="340" spans="1:16" s="22" customFormat="1" x14ac:dyDescent="0.35">
      <c r="A340" s="24">
        <v>45636</v>
      </c>
      <c r="B340" s="20" t="s">
        <v>3211</v>
      </c>
      <c r="C340" s="20"/>
      <c r="D340" s="20" t="s">
        <v>101</v>
      </c>
      <c r="E340" s="20" t="s">
        <v>3212</v>
      </c>
      <c r="F340" s="21" t="str">
        <f t="shared" si="10"/>
        <v>9232 ESCAYOLAS EUROPÀ</v>
      </c>
      <c r="G340" s="12">
        <f t="shared" si="25"/>
        <v>18.32231404958678</v>
      </c>
      <c r="H340" s="22">
        <v>21</v>
      </c>
      <c r="I340" s="21">
        <f t="shared" si="24"/>
        <v>3.8476859504132239</v>
      </c>
      <c r="J340" s="21">
        <f t="shared" si="26"/>
        <v>18.32231404958678</v>
      </c>
      <c r="L340" s="21">
        <f t="shared" si="27"/>
        <v>0</v>
      </c>
      <c r="M340" s="8">
        <v>22.17</v>
      </c>
      <c r="N340" s="20" t="s">
        <v>21</v>
      </c>
      <c r="O340" s="23" t="s">
        <v>63</v>
      </c>
      <c r="P340" s="23"/>
    </row>
    <row r="341" spans="1:16" s="22" customFormat="1" x14ac:dyDescent="0.35">
      <c r="A341" s="24">
        <v>45637</v>
      </c>
      <c r="B341" s="20" t="s">
        <v>3213</v>
      </c>
      <c r="C341" s="20"/>
      <c r="D341" s="20" t="s">
        <v>58</v>
      </c>
      <c r="E341" s="20" t="s">
        <v>2715</v>
      </c>
      <c r="F341" s="21" t="str">
        <f t="shared" si="10"/>
        <v>018-0012-774691 BRICOLAJE BRICOMAN S.L.U.</v>
      </c>
      <c r="G341" s="12">
        <f t="shared" si="25"/>
        <v>36.041322314049587</v>
      </c>
      <c r="H341" s="22">
        <v>21</v>
      </c>
      <c r="I341" s="21">
        <f t="shared" si="24"/>
        <v>7.568677685950413</v>
      </c>
      <c r="J341" s="21">
        <f t="shared" si="26"/>
        <v>36.041322314049587</v>
      </c>
      <c r="L341" s="21">
        <f t="shared" si="27"/>
        <v>0</v>
      </c>
      <c r="M341" s="8">
        <v>43.61</v>
      </c>
      <c r="N341" s="20" t="s">
        <v>21</v>
      </c>
      <c r="O341" s="23" t="s">
        <v>63</v>
      </c>
      <c r="P341" s="23"/>
    </row>
    <row r="342" spans="1:16" s="22" customFormat="1" x14ac:dyDescent="0.35">
      <c r="A342" s="24">
        <v>45637</v>
      </c>
      <c r="B342" s="20" t="s">
        <v>3214</v>
      </c>
      <c r="C342" s="20"/>
      <c r="D342" s="20" t="s">
        <v>58</v>
      </c>
      <c r="E342" s="20" t="s">
        <v>2715</v>
      </c>
      <c r="F342" s="21" t="str">
        <f t="shared" si="10"/>
        <v>018-0012-774762 BRICOLAJE BRICOMAN S.L.U.</v>
      </c>
      <c r="G342" s="12">
        <f t="shared" si="25"/>
        <v>15.206611570247933</v>
      </c>
      <c r="H342" s="22">
        <v>21</v>
      </c>
      <c r="I342" s="21">
        <f t="shared" si="24"/>
        <v>3.193388429752066</v>
      </c>
      <c r="J342" s="21">
        <f t="shared" si="26"/>
        <v>15.206611570247933</v>
      </c>
      <c r="L342" s="21">
        <f t="shared" si="27"/>
        <v>0</v>
      </c>
      <c r="M342" s="8">
        <v>18.399999999999999</v>
      </c>
      <c r="N342" s="20" t="s">
        <v>21</v>
      </c>
      <c r="O342" s="23" t="s">
        <v>63</v>
      </c>
      <c r="P342" s="23"/>
    </row>
    <row r="343" spans="1:16" s="22" customFormat="1" x14ac:dyDescent="0.35">
      <c r="A343" s="24">
        <v>45640</v>
      </c>
      <c r="B343" s="20" t="s">
        <v>3215</v>
      </c>
      <c r="C343" s="20"/>
      <c r="D343" s="20" t="s">
        <v>58</v>
      </c>
      <c r="E343" s="20" t="s">
        <v>2715</v>
      </c>
      <c r="F343" s="21" t="str">
        <f t="shared" si="10"/>
        <v>018-0012-781310 BRICOLAJE BRICOMAN S.L.U.</v>
      </c>
      <c r="G343" s="12">
        <f t="shared" si="25"/>
        <v>1.7520661157024795</v>
      </c>
      <c r="H343" s="22">
        <v>21</v>
      </c>
      <c r="I343" s="21">
        <f t="shared" si="24"/>
        <v>0.36793388429752072</v>
      </c>
      <c r="J343" s="21">
        <f t="shared" si="26"/>
        <v>1.7520661157024795</v>
      </c>
      <c r="L343" s="21">
        <f t="shared" si="27"/>
        <v>0</v>
      </c>
      <c r="M343" s="8">
        <v>2.12</v>
      </c>
      <c r="N343" s="20" t="s">
        <v>21</v>
      </c>
      <c r="O343" s="23" t="s">
        <v>63</v>
      </c>
      <c r="P343" s="23"/>
    </row>
    <row r="344" spans="1:16" s="22" customFormat="1" x14ac:dyDescent="0.35">
      <c r="A344" s="24">
        <v>45640</v>
      </c>
      <c r="B344" s="20" t="s">
        <v>3216</v>
      </c>
      <c r="C344" s="20"/>
      <c r="D344" s="20" t="s">
        <v>3217</v>
      </c>
      <c r="E344" s="20" t="s">
        <v>3218</v>
      </c>
      <c r="F344" s="21" t="str">
        <f t="shared" si="10"/>
        <v>2024004475 CERAMICAS LEGANES SL</v>
      </c>
      <c r="G344" s="12">
        <f t="shared" si="25"/>
        <v>56.396694214876028</v>
      </c>
      <c r="H344" s="22">
        <v>21</v>
      </c>
      <c r="I344" s="21">
        <f t="shared" si="24"/>
        <v>11.843305785123967</v>
      </c>
      <c r="J344" s="21">
        <f t="shared" si="26"/>
        <v>56.396694214876028</v>
      </c>
      <c r="L344" s="21">
        <f t="shared" si="27"/>
        <v>0</v>
      </c>
      <c r="M344" s="8">
        <v>68.239999999999995</v>
      </c>
      <c r="N344" s="20" t="s">
        <v>21</v>
      </c>
      <c r="O344" s="23" t="s">
        <v>63</v>
      </c>
      <c r="P344" s="23"/>
    </row>
    <row r="345" spans="1:16" s="22" customFormat="1" x14ac:dyDescent="0.35">
      <c r="A345" s="24">
        <v>45643</v>
      </c>
      <c r="B345" s="20" t="s">
        <v>3219</v>
      </c>
      <c r="C345" s="20"/>
      <c r="D345" s="20" t="s">
        <v>94</v>
      </c>
      <c r="E345" s="20" t="s">
        <v>139</v>
      </c>
      <c r="F345" s="21" t="str">
        <f t="shared" si="10"/>
        <v>00002-2024/A0603/00002208 BIGMAT</v>
      </c>
      <c r="G345" s="12">
        <f t="shared" si="25"/>
        <v>103.19834710743802</v>
      </c>
      <c r="H345" s="22">
        <v>21</v>
      </c>
      <c r="I345" s="21">
        <f t="shared" si="24"/>
        <v>21.671652892561983</v>
      </c>
      <c r="J345" s="21">
        <f t="shared" si="26"/>
        <v>103.19834710743802</v>
      </c>
      <c r="L345" s="21">
        <f t="shared" si="27"/>
        <v>0</v>
      </c>
      <c r="M345" s="8">
        <v>124.87</v>
      </c>
      <c r="N345" s="20" t="s">
        <v>21</v>
      </c>
      <c r="O345" s="23" t="s">
        <v>63</v>
      </c>
      <c r="P345" s="23"/>
    </row>
    <row r="346" spans="1:16" s="22" customFormat="1" x14ac:dyDescent="0.35">
      <c r="A346" s="24">
        <v>45643</v>
      </c>
      <c r="B346" s="20" t="s">
        <v>3220</v>
      </c>
      <c r="C346" s="20"/>
      <c r="D346" s="20" t="s">
        <v>58</v>
      </c>
      <c r="E346" s="20" t="s">
        <v>2715</v>
      </c>
      <c r="F346" s="21" t="str">
        <f t="shared" si="10"/>
        <v>011-0012-251945 BRICOLAJE BRICOMAN S.L.U.</v>
      </c>
      <c r="G346" s="12">
        <f t="shared" si="25"/>
        <v>93.917355371900825</v>
      </c>
      <c r="H346" s="22">
        <v>21</v>
      </c>
      <c r="I346" s="21">
        <f t="shared" si="24"/>
        <v>19.722644628099175</v>
      </c>
      <c r="J346" s="21">
        <f t="shared" si="26"/>
        <v>93.917355371900825</v>
      </c>
      <c r="L346" s="21">
        <f t="shared" si="27"/>
        <v>0</v>
      </c>
      <c r="M346" s="8">
        <v>113.64</v>
      </c>
      <c r="N346" s="20" t="s">
        <v>21</v>
      </c>
      <c r="O346" s="23" t="s">
        <v>63</v>
      </c>
      <c r="P346" s="23"/>
    </row>
    <row r="347" spans="1:16" s="22" customFormat="1" x14ac:dyDescent="0.35">
      <c r="A347" s="24">
        <v>45643</v>
      </c>
      <c r="B347" s="20" t="s">
        <v>3221</v>
      </c>
      <c r="C347" s="20"/>
      <c r="D347" s="20" t="s">
        <v>94</v>
      </c>
      <c r="E347" s="20" t="s">
        <v>139</v>
      </c>
      <c r="F347" s="21" t="str">
        <f t="shared" si="10"/>
        <v>00002-2024/A0101/00010865 BIGMAT</v>
      </c>
      <c r="G347" s="12">
        <f t="shared" si="25"/>
        <v>90.000000000000014</v>
      </c>
      <c r="H347" s="22">
        <v>21</v>
      </c>
      <c r="I347" s="21">
        <f t="shared" si="24"/>
        <v>18.900000000000002</v>
      </c>
      <c r="J347" s="21">
        <f t="shared" si="26"/>
        <v>90.000000000000014</v>
      </c>
      <c r="L347" s="21">
        <f t="shared" si="27"/>
        <v>0</v>
      </c>
      <c r="M347" s="8">
        <v>108.9</v>
      </c>
      <c r="N347" s="20" t="s">
        <v>21</v>
      </c>
      <c r="O347" s="23" t="s">
        <v>63</v>
      </c>
      <c r="P347" s="23"/>
    </row>
    <row r="348" spans="1:16" s="22" customFormat="1" x14ac:dyDescent="0.35">
      <c r="A348" s="24">
        <v>45645</v>
      </c>
      <c r="B348" s="20" t="s">
        <v>3222</v>
      </c>
      <c r="C348" s="20"/>
      <c r="D348" s="20" t="s">
        <v>94</v>
      </c>
      <c r="E348" s="20" t="s">
        <v>139</v>
      </c>
      <c r="F348" s="21" t="str">
        <f t="shared" si="10"/>
        <v>00002-2024/A0603/00002282 BIGMAT</v>
      </c>
      <c r="G348" s="12">
        <f t="shared" si="25"/>
        <v>31.793388429752067</v>
      </c>
      <c r="H348" s="22">
        <v>21</v>
      </c>
      <c r="I348" s="21">
        <f>G348*H348/100</f>
        <v>6.6766115702479336</v>
      </c>
      <c r="J348" s="21">
        <f t="shared" si="26"/>
        <v>31.793388429752067</v>
      </c>
      <c r="L348" s="21">
        <f t="shared" si="27"/>
        <v>0</v>
      </c>
      <c r="M348" s="8">
        <v>38.47</v>
      </c>
      <c r="N348" s="20" t="s">
        <v>21</v>
      </c>
      <c r="O348" s="23" t="s">
        <v>63</v>
      </c>
      <c r="P348" s="23"/>
    </row>
    <row r="349" spans="1:16" s="22" customFormat="1" x14ac:dyDescent="0.35">
      <c r="A349" s="24">
        <v>45644</v>
      </c>
      <c r="B349" s="20" t="s">
        <v>3223</v>
      </c>
      <c r="C349" s="20"/>
      <c r="D349" s="20" t="s">
        <v>94</v>
      </c>
      <c r="E349" s="20" t="s">
        <v>139</v>
      </c>
      <c r="F349" s="21" t="str">
        <f t="shared" si="10"/>
        <v>00002-2024/A0602/00012570 BIGMAT</v>
      </c>
      <c r="G349" s="12">
        <f t="shared" si="25"/>
        <v>65.851239669421489</v>
      </c>
      <c r="H349" s="22">
        <v>21</v>
      </c>
      <c r="I349" s="21">
        <f>G349*H349/100</f>
        <v>13.828760330578511</v>
      </c>
      <c r="J349" s="21">
        <f t="shared" si="26"/>
        <v>65.851239669421489</v>
      </c>
      <c r="L349" s="21">
        <f t="shared" si="27"/>
        <v>0</v>
      </c>
      <c r="M349" s="8">
        <v>79.680000000000007</v>
      </c>
      <c r="N349" s="20" t="s">
        <v>21</v>
      </c>
      <c r="O349" s="23" t="s">
        <v>63</v>
      </c>
      <c r="P349" s="23"/>
    </row>
    <row r="350" spans="1:16" s="22" customFormat="1" x14ac:dyDescent="0.35">
      <c r="A350" s="24">
        <v>45649</v>
      </c>
      <c r="B350" s="20" t="s">
        <v>3224</v>
      </c>
      <c r="C350" s="20"/>
      <c r="D350" s="20" t="s">
        <v>1619</v>
      </c>
      <c r="E350" s="20" t="s">
        <v>3205</v>
      </c>
      <c r="F350" s="21" t="str">
        <f t="shared" si="10"/>
        <v>24587/24 SUMINISTROS VILLAVICIOSA SL</v>
      </c>
      <c r="G350" s="12">
        <f t="shared" si="25"/>
        <v>14.000000000000002</v>
      </c>
      <c r="H350" s="22">
        <v>21</v>
      </c>
      <c r="I350" s="21">
        <f t="shared" si="24"/>
        <v>2.9400000000000004</v>
      </c>
      <c r="J350" s="21">
        <f t="shared" si="26"/>
        <v>14.000000000000002</v>
      </c>
      <c r="L350" s="21">
        <f t="shared" si="27"/>
        <v>0</v>
      </c>
      <c r="M350" s="8">
        <v>16.940000000000001</v>
      </c>
      <c r="N350" s="20" t="s">
        <v>21</v>
      </c>
      <c r="O350" s="23" t="s">
        <v>63</v>
      </c>
      <c r="P350" s="23"/>
    </row>
    <row r="351" spans="1:16" s="22" customFormat="1" x14ac:dyDescent="0.35">
      <c r="A351" s="24">
        <v>45649</v>
      </c>
      <c r="B351" s="20" t="s">
        <v>3225</v>
      </c>
      <c r="C351" s="20"/>
      <c r="D351" s="20" t="s">
        <v>58</v>
      </c>
      <c r="E351" s="20" t="s">
        <v>2715</v>
      </c>
      <c r="F351" s="21" t="str">
        <f t="shared" ref="F351:F456" si="28">CONCATENATE(S351,B351," ",E351)</f>
        <v>011-0012-260646 BRICOLAJE BRICOMAN S.L.U.</v>
      </c>
      <c r="G351" s="12">
        <f t="shared" si="25"/>
        <v>4.5454545454545459</v>
      </c>
      <c r="H351" s="22">
        <v>21</v>
      </c>
      <c r="I351" s="21">
        <f t="shared" si="24"/>
        <v>0.9545454545454547</v>
      </c>
      <c r="J351" s="21">
        <f t="shared" si="26"/>
        <v>4.5454545454545459</v>
      </c>
      <c r="L351" s="21">
        <f t="shared" si="27"/>
        <v>0</v>
      </c>
      <c r="M351" s="8">
        <v>5.5</v>
      </c>
      <c r="N351" s="20" t="s">
        <v>21</v>
      </c>
      <c r="O351" s="23" t="s">
        <v>63</v>
      </c>
      <c r="P351" s="23"/>
    </row>
    <row r="352" spans="1:16" s="22" customFormat="1" x14ac:dyDescent="0.35">
      <c r="A352" s="24">
        <v>45647</v>
      </c>
      <c r="B352" s="20" t="s">
        <v>3226</v>
      </c>
      <c r="C352" s="20"/>
      <c r="D352" s="20" t="s">
        <v>58</v>
      </c>
      <c r="E352" s="20" t="s">
        <v>2715</v>
      </c>
      <c r="F352" s="21" t="str">
        <f t="shared" si="28"/>
        <v>007-0012-858205 BRICOLAJE BRICOMAN S.L.U.</v>
      </c>
      <c r="G352" s="12">
        <f t="shared" si="25"/>
        <v>2.3966942148760331</v>
      </c>
      <c r="H352" s="22">
        <v>21</v>
      </c>
      <c r="I352" s="21">
        <f t="shared" si="24"/>
        <v>0.50330578512396695</v>
      </c>
      <c r="J352" s="21">
        <f t="shared" si="26"/>
        <v>2.3966942148760331</v>
      </c>
      <c r="L352" s="21">
        <f t="shared" si="27"/>
        <v>0</v>
      </c>
      <c r="M352" s="8">
        <v>2.9</v>
      </c>
      <c r="N352" s="20" t="s">
        <v>21</v>
      </c>
      <c r="O352" s="23" t="s">
        <v>63</v>
      </c>
      <c r="P352" s="23"/>
    </row>
    <row r="353" spans="1:16" s="22" customFormat="1" x14ac:dyDescent="0.35">
      <c r="A353" s="24">
        <v>45656</v>
      </c>
      <c r="B353" s="20" t="s">
        <v>3227</v>
      </c>
      <c r="C353" s="20"/>
      <c r="D353" s="20" t="s">
        <v>240</v>
      </c>
      <c r="E353" s="20" t="s">
        <v>380</v>
      </c>
      <c r="F353" s="21" t="str">
        <f t="shared" si="28"/>
        <v>7129 ESCAYOLAS Y AISLAMIENTOS VILLAVERDE</v>
      </c>
      <c r="G353" s="12">
        <f t="shared" si="25"/>
        <v>8.3471074380165291</v>
      </c>
      <c r="H353" s="22">
        <v>21</v>
      </c>
      <c r="I353" s="21">
        <f t="shared" si="24"/>
        <v>1.7528925619834712</v>
      </c>
      <c r="J353" s="21">
        <f t="shared" si="26"/>
        <v>8.3471074380165291</v>
      </c>
      <c r="L353" s="21">
        <f t="shared" si="27"/>
        <v>0</v>
      </c>
      <c r="M353" s="8">
        <v>10.1</v>
      </c>
      <c r="N353" s="20" t="s">
        <v>21</v>
      </c>
      <c r="O353" s="23" t="s">
        <v>63</v>
      </c>
      <c r="P353" s="23"/>
    </row>
    <row r="354" spans="1:16" s="22" customFormat="1" x14ac:dyDescent="0.35">
      <c r="A354" s="24">
        <v>45656</v>
      </c>
      <c r="B354" s="20" t="s">
        <v>3228</v>
      </c>
      <c r="C354" s="20"/>
      <c r="D354" s="20" t="s">
        <v>2373</v>
      </c>
      <c r="E354" s="20" t="s">
        <v>3201</v>
      </c>
      <c r="F354" s="21" t="str">
        <f t="shared" si="28"/>
        <v>FC13278567 G.I. AFIDCASA SL</v>
      </c>
      <c r="G354" s="12">
        <f t="shared" si="25"/>
        <v>16.528925619834713</v>
      </c>
      <c r="H354" s="22">
        <v>21</v>
      </c>
      <c r="I354" s="21">
        <f t="shared" si="24"/>
        <v>3.4710743801652897</v>
      </c>
      <c r="J354" s="21">
        <f t="shared" si="26"/>
        <v>16.528925619834713</v>
      </c>
      <c r="L354" s="21">
        <f t="shared" si="27"/>
        <v>0</v>
      </c>
      <c r="M354" s="8">
        <v>20</v>
      </c>
      <c r="N354" s="20" t="s">
        <v>22</v>
      </c>
      <c r="O354" s="23" t="s">
        <v>64</v>
      </c>
      <c r="P354" s="23"/>
    </row>
    <row r="355" spans="1:16" s="22" customFormat="1" x14ac:dyDescent="0.35">
      <c r="A355" s="24">
        <v>45656</v>
      </c>
      <c r="B355" s="20" t="s">
        <v>3229</v>
      </c>
      <c r="C355" s="20"/>
      <c r="D355" s="20" t="s">
        <v>3230</v>
      </c>
      <c r="E355" s="20" t="s">
        <v>3231</v>
      </c>
      <c r="F355" s="21" t="str">
        <f t="shared" si="28"/>
        <v>1407 CLASIFICASION DE TIERRAS GARCIAS MORENO SL</v>
      </c>
      <c r="G355" s="12">
        <f t="shared" si="25"/>
        <v>62.999999999999993</v>
      </c>
      <c r="H355" s="22">
        <v>10</v>
      </c>
      <c r="I355" s="21">
        <f t="shared" si="24"/>
        <v>6.2999999999999989</v>
      </c>
      <c r="J355" s="21">
        <f t="shared" si="26"/>
        <v>62.999999999999993</v>
      </c>
      <c r="L355" s="21">
        <f t="shared" si="27"/>
        <v>0</v>
      </c>
      <c r="M355" s="8">
        <v>69.3</v>
      </c>
      <c r="N355" s="20" t="s">
        <v>21</v>
      </c>
      <c r="O355" s="23" t="s">
        <v>63</v>
      </c>
      <c r="P355" s="23"/>
    </row>
    <row r="356" spans="1:16" s="22" customFormat="1" x14ac:dyDescent="0.35">
      <c r="A356" s="24">
        <v>45652</v>
      </c>
      <c r="B356" s="20" t="s">
        <v>3232</v>
      </c>
      <c r="C356" s="20"/>
      <c r="D356" s="20" t="s">
        <v>2373</v>
      </c>
      <c r="E356" s="20" t="s">
        <v>3201</v>
      </c>
      <c r="F356" s="21" t="str">
        <f t="shared" si="28"/>
        <v>FC13278447 G.I. AFIDCASA SL</v>
      </c>
      <c r="G356" s="12">
        <f t="shared" si="25"/>
        <v>16.528925619834713</v>
      </c>
      <c r="H356" s="22">
        <v>21</v>
      </c>
      <c r="I356" s="21">
        <f t="shared" si="24"/>
        <v>3.4710743801652897</v>
      </c>
      <c r="J356" s="21">
        <f t="shared" si="26"/>
        <v>16.528925619834713</v>
      </c>
      <c r="L356" s="21">
        <f t="shared" si="27"/>
        <v>0</v>
      </c>
      <c r="M356" s="8">
        <v>20</v>
      </c>
      <c r="N356" s="20" t="s">
        <v>22</v>
      </c>
      <c r="O356" s="23" t="s">
        <v>63</v>
      </c>
      <c r="P356" s="23"/>
    </row>
    <row r="357" spans="1:16" s="22" customFormat="1" x14ac:dyDescent="0.35">
      <c r="A357" s="24">
        <v>45652</v>
      </c>
      <c r="B357" s="20" t="s">
        <v>3233</v>
      </c>
      <c r="C357" s="20"/>
      <c r="D357" s="20" t="s">
        <v>58</v>
      </c>
      <c r="E357" s="20" t="s">
        <v>2715</v>
      </c>
      <c r="F357" s="21" t="str">
        <f t="shared" si="28"/>
        <v>011-0012-262954 BRICOLAJE BRICOMAN S.L.U.</v>
      </c>
      <c r="G357" s="12">
        <f t="shared" si="25"/>
        <v>33.553719008264466</v>
      </c>
      <c r="H357" s="22">
        <v>21</v>
      </c>
      <c r="I357" s="21">
        <f t="shared" si="24"/>
        <v>7.0462809917355376</v>
      </c>
      <c r="J357" s="21">
        <f t="shared" si="26"/>
        <v>33.553719008264466</v>
      </c>
      <c r="L357" s="21">
        <f t="shared" si="27"/>
        <v>0</v>
      </c>
      <c r="M357" s="8">
        <v>40.6</v>
      </c>
      <c r="N357" s="20" t="s">
        <v>21</v>
      </c>
      <c r="O357" s="23" t="s">
        <v>63</v>
      </c>
      <c r="P357" s="23"/>
    </row>
    <row r="358" spans="1:16" s="22" customFormat="1" x14ac:dyDescent="0.35">
      <c r="A358" s="24">
        <v>45652</v>
      </c>
      <c r="B358" s="20" t="s">
        <v>3234</v>
      </c>
      <c r="C358" s="20"/>
      <c r="D358" s="20" t="s">
        <v>57</v>
      </c>
      <c r="E358" s="20" t="s">
        <v>44</v>
      </c>
      <c r="F358" s="21" t="str">
        <f t="shared" si="28"/>
        <v>007-0012-483372 LEROY MERLIN</v>
      </c>
      <c r="G358" s="12">
        <f t="shared" si="25"/>
        <v>11.561983471074381</v>
      </c>
      <c r="H358" s="22">
        <v>21</v>
      </c>
      <c r="I358" s="21">
        <f t="shared" si="24"/>
        <v>2.4280165289256201</v>
      </c>
      <c r="J358" s="21">
        <f t="shared" si="26"/>
        <v>11.561983471074381</v>
      </c>
      <c r="L358" s="21">
        <f t="shared" si="27"/>
        <v>0</v>
      </c>
      <c r="M358" s="8">
        <v>13.99</v>
      </c>
      <c r="N358" s="20" t="s">
        <v>21</v>
      </c>
      <c r="O358" s="23" t="s">
        <v>63</v>
      </c>
      <c r="P358" s="23"/>
    </row>
    <row r="359" spans="1:16" s="22" customFormat="1" x14ac:dyDescent="0.35">
      <c r="A359" s="24">
        <v>45652</v>
      </c>
      <c r="B359" s="20" t="s">
        <v>3235</v>
      </c>
      <c r="C359" s="20"/>
      <c r="D359" s="20" t="s">
        <v>57</v>
      </c>
      <c r="E359" s="20" t="s">
        <v>44</v>
      </c>
      <c r="F359" s="21" t="str">
        <f t="shared" si="28"/>
        <v>007-0012-483373 LEROY MERLIN</v>
      </c>
      <c r="G359" s="12">
        <f t="shared" si="25"/>
        <v>164.46280991735537</v>
      </c>
      <c r="H359" s="22">
        <v>21</v>
      </c>
      <c r="I359" s="21">
        <f t="shared" si="24"/>
        <v>34.537190082644628</v>
      </c>
      <c r="J359" s="21">
        <f t="shared" si="26"/>
        <v>164.46280991735537</v>
      </c>
      <c r="L359" s="21">
        <f t="shared" si="27"/>
        <v>0</v>
      </c>
      <c r="M359" s="8">
        <v>199</v>
      </c>
      <c r="N359" s="20" t="s">
        <v>21</v>
      </c>
      <c r="O359" s="23" t="s">
        <v>64</v>
      </c>
      <c r="P359" s="23"/>
    </row>
    <row r="360" spans="1:16" s="22" customFormat="1" x14ac:dyDescent="0.35">
      <c r="A360" s="24">
        <v>45635</v>
      </c>
      <c r="B360" s="20" t="s">
        <v>3236</v>
      </c>
      <c r="C360" s="20"/>
      <c r="D360" s="20" t="s">
        <v>3158</v>
      </c>
      <c r="E360" s="20" t="s">
        <v>3159</v>
      </c>
      <c r="F360" s="21" t="str">
        <f t="shared" si="28"/>
        <v>12570889 MADRIFERR</v>
      </c>
      <c r="G360" s="12">
        <f t="shared" si="25"/>
        <v>20.768595041322314</v>
      </c>
      <c r="H360" s="22">
        <v>21</v>
      </c>
      <c r="I360" s="21">
        <f t="shared" ref="I360:I415" si="29">G360*H360/100</f>
        <v>4.361404958677686</v>
      </c>
      <c r="J360" s="21">
        <f t="shared" si="26"/>
        <v>20.768595041322314</v>
      </c>
      <c r="L360" s="21">
        <f t="shared" si="27"/>
        <v>0</v>
      </c>
      <c r="M360" s="8">
        <v>25.13</v>
      </c>
      <c r="N360" s="20" t="s">
        <v>21</v>
      </c>
      <c r="O360" s="23" t="s">
        <v>63</v>
      </c>
      <c r="P360" s="23"/>
    </row>
    <row r="361" spans="1:16" s="22" customFormat="1" x14ac:dyDescent="0.35">
      <c r="A361" s="24">
        <v>45637</v>
      </c>
      <c r="B361" s="20" t="s">
        <v>3237</v>
      </c>
      <c r="C361" s="20"/>
      <c r="D361" s="20" t="s">
        <v>3238</v>
      </c>
      <c r="E361" s="20" t="s">
        <v>3239</v>
      </c>
      <c r="F361" s="21" t="str">
        <f t="shared" si="28"/>
        <v>535061 VILLAR CORCES SL</v>
      </c>
      <c r="G361" s="12">
        <f t="shared" ref="G361:G416" si="30">M361/(1-K361/100+H361/100)</f>
        <v>88.223140495867767</v>
      </c>
      <c r="H361" s="22">
        <v>21</v>
      </c>
      <c r="I361" s="21">
        <f t="shared" si="29"/>
        <v>18.526859504132229</v>
      </c>
      <c r="J361" s="21">
        <f t="shared" ref="J361:J416" si="31">G361</f>
        <v>88.223140495867767</v>
      </c>
      <c r="L361" s="21">
        <f t="shared" ref="L361:L416" si="32">J361*K361/100</f>
        <v>0</v>
      </c>
      <c r="M361" s="8">
        <v>106.75</v>
      </c>
      <c r="N361" s="20" t="s">
        <v>21</v>
      </c>
      <c r="O361" s="23" t="s">
        <v>63</v>
      </c>
      <c r="P361" s="23"/>
    </row>
    <row r="362" spans="1:16" s="22" customFormat="1" x14ac:dyDescent="0.35">
      <c r="A362" s="24">
        <v>45637</v>
      </c>
      <c r="B362" s="20" t="s">
        <v>3240</v>
      </c>
      <c r="C362" s="20"/>
      <c r="D362" s="20" t="s">
        <v>101</v>
      </c>
      <c r="E362" s="20" t="s">
        <v>3212</v>
      </c>
      <c r="F362" s="21" t="str">
        <f t="shared" si="28"/>
        <v>9267 ESCAYOLAS EUROPÀ</v>
      </c>
      <c r="G362" s="12">
        <f t="shared" si="30"/>
        <v>22.84297520661157</v>
      </c>
      <c r="H362" s="22">
        <v>21</v>
      </c>
      <c r="I362" s="21">
        <f t="shared" si="29"/>
        <v>4.79702479338843</v>
      </c>
      <c r="J362" s="21">
        <f t="shared" si="31"/>
        <v>22.84297520661157</v>
      </c>
      <c r="L362" s="21">
        <f t="shared" si="32"/>
        <v>0</v>
      </c>
      <c r="M362" s="8">
        <v>27.64</v>
      </c>
      <c r="N362" s="20" t="s">
        <v>21</v>
      </c>
      <c r="O362" s="23" t="s">
        <v>63</v>
      </c>
      <c r="P362" s="23"/>
    </row>
    <row r="363" spans="1:16" s="22" customFormat="1" x14ac:dyDescent="0.35">
      <c r="A363" s="24">
        <v>45647</v>
      </c>
      <c r="B363" s="20" t="s">
        <v>3241</v>
      </c>
      <c r="C363" s="20"/>
      <c r="D363" s="20" t="s">
        <v>57</v>
      </c>
      <c r="E363" s="20" t="s">
        <v>44</v>
      </c>
      <c r="F363" s="21" t="str">
        <f t="shared" si="28"/>
        <v>045-0012-457026 LEROY MERLIN</v>
      </c>
      <c r="G363" s="12">
        <f t="shared" si="30"/>
        <v>157.38842975206612</v>
      </c>
      <c r="H363" s="22">
        <v>21</v>
      </c>
      <c r="I363" s="21">
        <f t="shared" si="29"/>
        <v>33.051570247933881</v>
      </c>
      <c r="J363" s="21">
        <f t="shared" si="31"/>
        <v>157.38842975206612</v>
      </c>
      <c r="L363" s="21">
        <f t="shared" si="32"/>
        <v>0</v>
      </c>
      <c r="M363" s="8">
        <v>190.44</v>
      </c>
      <c r="N363" s="20" t="s">
        <v>21</v>
      </c>
      <c r="O363" s="23" t="s">
        <v>64</v>
      </c>
      <c r="P363" s="23"/>
    </row>
    <row r="364" spans="1:16" s="22" customFormat="1" x14ac:dyDescent="0.35">
      <c r="A364" s="24">
        <v>45628</v>
      </c>
      <c r="B364" s="20" t="s">
        <v>3242</v>
      </c>
      <c r="C364" s="20"/>
      <c r="D364" s="20" t="s">
        <v>322</v>
      </c>
      <c r="E364" s="20" t="s">
        <v>3243</v>
      </c>
      <c r="F364" s="21" t="str">
        <f t="shared" si="28"/>
        <v>24015028 AUTOLUT SL</v>
      </c>
      <c r="G364" s="12">
        <f t="shared" si="30"/>
        <v>60.033057851239668</v>
      </c>
      <c r="H364" s="22">
        <v>21</v>
      </c>
      <c r="I364" s="21">
        <f t="shared" si="29"/>
        <v>12.606942148760332</v>
      </c>
      <c r="J364" s="21">
        <f t="shared" si="31"/>
        <v>60.033057851239668</v>
      </c>
      <c r="L364" s="21">
        <f t="shared" si="32"/>
        <v>0</v>
      </c>
      <c r="M364" s="8">
        <v>72.64</v>
      </c>
      <c r="N364" s="20" t="s">
        <v>22</v>
      </c>
      <c r="O364" s="23" t="s">
        <v>64</v>
      </c>
      <c r="P364" s="23"/>
    </row>
    <row r="365" spans="1:16" s="22" customFormat="1" x14ac:dyDescent="0.35">
      <c r="A365" s="24">
        <v>45642</v>
      </c>
      <c r="B365" s="20" t="s">
        <v>3244</v>
      </c>
      <c r="C365" s="20"/>
      <c r="D365" s="20" t="s">
        <v>58</v>
      </c>
      <c r="E365" s="20" t="s">
        <v>2715</v>
      </c>
      <c r="F365" s="21" t="str">
        <f t="shared" si="28"/>
        <v>007-0012-850055 BRICOLAJE BRICOMAN S.L.U.</v>
      </c>
      <c r="G365" s="12">
        <f t="shared" si="30"/>
        <v>9.5041322314049594</v>
      </c>
      <c r="H365" s="22">
        <v>21</v>
      </c>
      <c r="I365" s="21">
        <f t="shared" si="29"/>
        <v>1.9958677685950414</v>
      </c>
      <c r="J365" s="21">
        <f t="shared" si="31"/>
        <v>9.5041322314049594</v>
      </c>
      <c r="L365" s="21">
        <f t="shared" si="32"/>
        <v>0</v>
      </c>
      <c r="M365" s="8">
        <v>11.5</v>
      </c>
      <c r="N365" s="20" t="s">
        <v>21</v>
      </c>
      <c r="O365" s="23" t="s">
        <v>64</v>
      </c>
      <c r="P365" s="23"/>
    </row>
    <row r="366" spans="1:16" s="22" customFormat="1" x14ac:dyDescent="0.35">
      <c r="A366" s="24">
        <v>45631</v>
      </c>
      <c r="B366" s="20" t="s">
        <v>3245</v>
      </c>
      <c r="C366" s="20"/>
      <c r="D366" s="20" t="s">
        <v>1779</v>
      </c>
      <c r="E366" s="20" t="s">
        <v>3246</v>
      </c>
      <c r="F366" s="21" t="str">
        <f t="shared" si="28"/>
        <v>HT42430 IKOMO MOTORBIKE HONDA</v>
      </c>
      <c r="G366" s="12">
        <f t="shared" si="30"/>
        <v>987.93388429752076</v>
      </c>
      <c r="H366" s="22">
        <v>21</v>
      </c>
      <c r="I366" s="21">
        <f t="shared" si="29"/>
        <v>207.46611570247936</v>
      </c>
      <c r="J366" s="21">
        <f t="shared" si="31"/>
        <v>987.93388429752076</v>
      </c>
      <c r="L366" s="21">
        <f t="shared" si="32"/>
        <v>0</v>
      </c>
      <c r="M366" s="8">
        <v>1195.4000000000001</v>
      </c>
      <c r="N366" s="20" t="s">
        <v>53</v>
      </c>
      <c r="O366" s="23" t="s">
        <v>63</v>
      </c>
      <c r="P366" s="23"/>
    </row>
    <row r="367" spans="1:16" s="22" customFormat="1" x14ac:dyDescent="0.35">
      <c r="A367" s="24">
        <v>45646</v>
      </c>
      <c r="B367" s="20" t="s">
        <v>3247</v>
      </c>
      <c r="C367" s="20"/>
      <c r="D367" s="20" t="s">
        <v>58</v>
      </c>
      <c r="E367" s="20" t="s">
        <v>2715</v>
      </c>
      <c r="F367" s="21" t="str">
        <f t="shared" si="28"/>
        <v>018-0012-793029 BRICOLAJE BRICOMAN S.L.U.</v>
      </c>
      <c r="G367" s="12">
        <f t="shared" si="30"/>
        <v>50.239669421487605</v>
      </c>
      <c r="H367" s="22">
        <v>21</v>
      </c>
      <c r="I367" s="21">
        <f t="shared" si="29"/>
        <v>10.550330578512396</v>
      </c>
      <c r="J367" s="21">
        <f t="shared" si="31"/>
        <v>50.239669421487605</v>
      </c>
      <c r="L367" s="21">
        <f t="shared" si="32"/>
        <v>0</v>
      </c>
      <c r="M367" s="8">
        <v>60.79</v>
      </c>
      <c r="N367" s="20" t="s">
        <v>21</v>
      </c>
      <c r="O367" s="23" t="s">
        <v>64</v>
      </c>
      <c r="P367" s="23"/>
    </row>
    <row r="368" spans="1:16" s="22" customFormat="1" x14ac:dyDescent="0.35">
      <c r="A368" s="24">
        <v>45646</v>
      </c>
      <c r="B368" s="20" t="s">
        <v>3248</v>
      </c>
      <c r="C368" s="20"/>
      <c r="D368" s="20" t="s">
        <v>94</v>
      </c>
      <c r="E368" s="20" t="s">
        <v>139</v>
      </c>
      <c r="F368" s="21" t="str">
        <f t="shared" si="28"/>
        <v>0002-2024/A0605/00005099 BIGMAT</v>
      </c>
      <c r="G368" s="12">
        <f t="shared" si="30"/>
        <v>25.462809917355372</v>
      </c>
      <c r="H368" s="22">
        <v>21</v>
      </c>
      <c r="I368" s="21">
        <f t="shared" si="29"/>
        <v>5.3471900826446275</v>
      </c>
      <c r="J368" s="21">
        <f t="shared" si="31"/>
        <v>25.462809917355372</v>
      </c>
      <c r="L368" s="21">
        <f t="shared" si="32"/>
        <v>0</v>
      </c>
      <c r="M368" s="8">
        <v>30.81</v>
      </c>
      <c r="N368" s="20" t="s">
        <v>21</v>
      </c>
      <c r="O368" s="23" t="s">
        <v>64</v>
      </c>
      <c r="P368" s="23"/>
    </row>
    <row r="369" spans="1:16" s="22" customFormat="1" x14ac:dyDescent="0.35">
      <c r="A369" s="24">
        <v>45657</v>
      </c>
      <c r="B369" s="20" t="s">
        <v>3249</v>
      </c>
      <c r="C369" s="20"/>
      <c r="D369" s="20" t="s">
        <v>738</v>
      </c>
      <c r="E369" s="20" t="s">
        <v>3250</v>
      </c>
      <c r="F369" s="21" t="str">
        <f t="shared" si="28"/>
        <v xml:space="preserve">1 24 0005 0005437961 DECATHLOIN </v>
      </c>
      <c r="G369" s="12">
        <f t="shared" si="30"/>
        <v>33.049586776859506</v>
      </c>
      <c r="H369" s="22">
        <v>21</v>
      </c>
      <c r="I369" s="21">
        <f t="shared" si="29"/>
        <v>6.9404132231404958</v>
      </c>
      <c r="J369" s="21">
        <f t="shared" si="31"/>
        <v>33.049586776859506</v>
      </c>
      <c r="L369" s="21">
        <f t="shared" si="32"/>
        <v>0</v>
      </c>
      <c r="M369" s="8">
        <v>39.99</v>
      </c>
      <c r="N369" s="20" t="s">
        <v>2501</v>
      </c>
      <c r="O369" s="23" t="s">
        <v>63</v>
      </c>
      <c r="P369" s="23"/>
    </row>
    <row r="370" spans="1:16" s="22" customFormat="1" x14ac:dyDescent="0.35">
      <c r="A370" s="24">
        <v>45625</v>
      </c>
      <c r="B370" s="20" t="s">
        <v>3251</v>
      </c>
      <c r="C370" s="20"/>
      <c r="D370" s="20" t="s">
        <v>82</v>
      </c>
      <c r="E370" s="20" t="s">
        <v>138</v>
      </c>
      <c r="F370" s="21" t="str">
        <f t="shared" si="28"/>
        <v>CO F24 0100003430 FILTROS ANCORA</v>
      </c>
      <c r="G370" s="12">
        <f t="shared" si="30"/>
        <v>10</v>
      </c>
      <c r="H370" s="22">
        <v>21</v>
      </c>
      <c r="I370" s="21">
        <f t="shared" si="29"/>
        <v>2.1</v>
      </c>
      <c r="J370" s="21">
        <f t="shared" si="31"/>
        <v>10</v>
      </c>
      <c r="L370" s="21">
        <f t="shared" si="32"/>
        <v>0</v>
      </c>
      <c r="M370" s="8">
        <v>12.1</v>
      </c>
      <c r="N370" s="20" t="s">
        <v>21</v>
      </c>
      <c r="O370" s="23" t="s">
        <v>3252</v>
      </c>
      <c r="P370" s="23"/>
    </row>
    <row r="371" spans="1:16" s="22" customFormat="1" x14ac:dyDescent="0.35">
      <c r="A371" s="24">
        <v>45471</v>
      </c>
      <c r="B371" s="20" t="s">
        <v>3253</v>
      </c>
      <c r="C371" s="20"/>
      <c r="D371" s="20" t="s">
        <v>49</v>
      </c>
      <c r="E371" s="20" t="s">
        <v>124</v>
      </c>
      <c r="F371" s="21" t="str">
        <f t="shared" si="28"/>
        <v>009560024/00004651 CIA ESPAÑOLA DIST PETROLEOS</v>
      </c>
      <c r="G371" s="12">
        <f t="shared" si="30"/>
        <v>41.32231404958678</v>
      </c>
      <c r="H371" s="22">
        <v>21</v>
      </c>
      <c r="I371" s="21">
        <f t="shared" si="29"/>
        <v>8.677685950413224</v>
      </c>
      <c r="J371" s="21">
        <f t="shared" si="31"/>
        <v>41.32231404958678</v>
      </c>
      <c r="L371" s="21">
        <f t="shared" si="32"/>
        <v>0</v>
      </c>
      <c r="M371" s="8">
        <v>50</v>
      </c>
      <c r="N371" s="20" t="s">
        <v>22</v>
      </c>
      <c r="O371" s="23" t="s">
        <v>64</v>
      </c>
      <c r="P371" s="23"/>
    </row>
    <row r="372" spans="1:16" s="22" customFormat="1" x14ac:dyDescent="0.35">
      <c r="A372" s="24">
        <v>45594</v>
      </c>
      <c r="B372" s="20" t="s">
        <v>3254</v>
      </c>
      <c r="C372" s="20"/>
      <c r="D372" s="20" t="s">
        <v>49</v>
      </c>
      <c r="E372" s="20" t="s">
        <v>124</v>
      </c>
      <c r="F372" s="21" t="str">
        <f t="shared" si="28"/>
        <v>011064024/00009778 CIA ESPAÑOLA DIST PETROLEOS</v>
      </c>
      <c r="G372" s="12">
        <f t="shared" si="30"/>
        <v>41.32231404958678</v>
      </c>
      <c r="H372" s="22">
        <v>21</v>
      </c>
      <c r="I372" s="21">
        <f t="shared" si="29"/>
        <v>8.677685950413224</v>
      </c>
      <c r="J372" s="21">
        <f t="shared" si="31"/>
        <v>41.32231404958678</v>
      </c>
      <c r="L372" s="21">
        <f t="shared" si="32"/>
        <v>0</v>
      </c>
      <c r="M372" s="8">
        <v>50</v>
      </c>
      <c r="N372" s="20" t="s">
        <v>22</v>
      </c>
      <c r="O372" s="23" t="s">
        <v>3255</v>
      </c>
      <c r="P372" s="23"/>
    </row>
    <row r="373" spans="1:16" s="22" customFormat="1" x14ac:dyDescent="0.35">
      <c r="A373" s="24">
        <v>45596</v>
      </c>
      <c r="B373" s="20" t="s">
        <v>3256</v>
      </c>
      <c r="C373" s="20"/>
      <c r="D373" s="20" t="s">
        <v>60</v>
      </c>
      <c r="E373" s="20" t="s">
        <v>24</v>
      </c>
      <c r="F373" s="21" t="str">
        <f t="shared" si="28"/>
        <v>097029/A/24/001928 REPSOL</v>
      </c>
      <c r="G373" s="12">
        <f t="shared" si="30"/>
        <v>24.826446280991735</v>
      </c>
      <c r="H373" s="22">
        <v>21</v>
      </c>
      <c r="I373" s="21">
        <f t="shared" si="29"/>
        <v>5.2135537190082637</v>
      </c>
      <c r="J373" s="21">
        <f t="shared" si="31"/>
        <v>24.826446280991735</v>
      </c>
      <c r="L373" s="21">
        <f t="shared" si="32"/>
        <v>0</v>
      </c>
      <c r="M373" s="8">
        <v>30.04</v>
      </c>
      <c r="N373" s="20" t="s">
        <v>22</v>
      </c>
      <c r="O373" s="23" t="s">
        <v>64</v>
      </c>
      <c r="P373" s="23"/>
    </row>
    <row r="374" spans="1:16" s="22" customFormat="1" x14ac:dyDescent="0.35">
      <c r="A374" s="24">
        <v>45586</v>
      </c>
      <c r="B374" s="20" t="s">
        <v>3257</v>
      </c>
      <c r="C374" s="20"/>
      <c r="D374" s="20" t="s">
        <v>60</v>
      </c>
      <c r="E374" s="20" t="s">
        <v>24</v>
      </c>
      <c r="F374" s="21" t="str">
        <f t="shared" si="28"/>
        <v>097029/A/24/001856 REPSOL</v>
      </c>
      <c r="G374" s="12">
        <f t="shared" si="30"/>
        <v>86.338842975206617</v>
      </c>
      <c r="H374" s="22">
        <v>21</v>
      </c>
      <c r="I374" s="21">
        <f t="shared" si="29"/>
        <v>18.131157024793389</v>
      </c>
      <c r="J374" s="21">
        <f t="shared" si="31"/>
        <v>86.338842975206617</v>
      </c>
      <c r="L374" s="21">
        <f t="shared" si="32"/>
        <v>0</v>
      </c>
      <c r="M374" s="8">
        <v>104.47</v>
      </c>
      <c r="N374" s="20" t="s">
        <v>22</v>
      </c>
      <c r="O374" s="23" t="s">
        <v>64</v>
      </c>
      <c r="P374" s="23"/>
    </row>
    <row r="375" spans="1:16" s="22" customFormat="1" x14ac:dyDescent="0.35">
      <c r="A375" s="24">
        <v>45656</v>
      </c>
      <c r="B375" s="20" t="s">
        <v>3258</v>
      </c>
      <c r="C375" s="20"/>
      <c r="D375" s="20" t="s">
        <v>3259</v>
      </c>
      <c r="E375" s="20" t="s">
        <v>3260</v>
      </c>
      <c r="F375" s="21" t="str">
        <f t="shared" si="28"/>
        <v>000001-TB015314 TUTTO CAPSULE</v>
      </c>
      <c r="G375" s="12">
        <f t="shared" si="30"/>
        <v>20.818181818181817</v>
      </c>
      <c r="H375" s="22">
        <v>10</v>
      </c>
      <c r="I375" s="21">
        <f t="shared" si="29"/>
        <v>2.0818181818181816</v>
      </c>
      <c r="J375" s="21">
        <f t="shared" si="31"/>
        <v>20.818181818181817</v>
      </c>
      <c r="L375" s="21">
        <f t="shared" si="32"/>
        <v>0</v>
      </c>
      <c r="M375" s="8">
        <v>22.9</v>
      </c>
      <c r="N375" s="20" t="s">
        <v>61</v>
      </c>
      <c r="O375" s="23" t="s">
        <v>63</v>
      </c>
      <c r="P375" s="23"/>
    </row>
    <row r="376" spans="1:16" s="22" customFormat="1" x14ac:dyDescent="0.35">
      <c r="A376" s="24">
        <v>45574</v>
      </c>
      <c r="B376" s="20" t="s">
        <v>3261</v>
      </c>
      <c r="C376" s="20"/>
      <c r="D376" s="20" t="s">
        <v>66</v>
      </c>
      <c r="E376" s="20" t="s">
        <v>193</v>
      </c>
      <c r="F376" s="21" t="str">
        <f t="shared" si="28"/>
        <v>07324FE000006343 MARKOIL</v>
      </c>
      <c r="G376" s="12">
        <f t="shared" si="30"/>
        <v>92.280991735537185</v>
      </c>
      <c r="H376" s="22">
        <v>21</v>
      </c>
      <c r="I376" s="21">
        <f t="shared" si="29"/>
        <v>19.379008264462808</v>
      </c>
      <c r="J376" s="21">
        <f t="shared" si="31"/>
        <v>92.280991735537185</v>
      </c>
      <c r="L376" s="21">
        <f t="shared" si="32"/>
        <v>0</v>
      </c>
      <c r="M376" s="8">
        <v>111.66</v>
      </c>
      <c r="N376" s="20" t="s">
        <v>22</v>
      </c>
      <c r="O376" s="23" t="s">
        <v>63</v>
      </c>
      <c r="P376" s="23"/>
    </row>
    <row r="377" spans="1:16" s="22" customFormat="1" x14ac:dyDescent="0.35">
      <c r="A377" s="24">
        <v>45597</v>
      </c>
      <c r="B377" s="20" t="s">
        <v>3262</v>
      </c>
      <c r="C377" s="20"/>
      <c r="D377" s="20" t="s">
        <v>3263</v>
      </c>
      <c r="E377" s="20" t="s">
        <v>3264</v>
      </c>
      <c r="F377" s="21" t="str">
        <f t="shared" si="28"/>
        <v>00424FI0040000001813 ASCIA EAS</v>
      </c>
      <c r="G377" s="12">
        <f t="shared" si="30"/>
        <v>99.057851239669418</v>
      </c>
      <c r="H377" s="22">
        <v>21</v>
      </c>
      <c r="I377" s="21">
        <f t="shared" si="29"/>
        <v>20.802148760330578</v>
      </c>
      <c r="J377" s="21">
        <f t="shared" si="31"/>
        <v>99.057851239669418</v>
      </c>
      <c r="K377" s="21"/>
      <c r="L377" s="21">
        <f t="shared" si="32"/>
        <v>0</v>
      </c>
      <c r="M377" s="8">
        <v>119.86</v>
      </c>
      <c r="N377" s="20" t="s">
        <v>22</v>
      </c>
      <c r="O377" s="23" t="s">
        <v>64</v>
      </c>
      <c r="P377" s="23"/>
    </row>
    <row r="378" spans="1:16" s="22" customFormat="1" x14ac:dyDescent="0.35">
      <c r="A378" s="24">
        <v>45652</v>
      </c>
      <c r="B378" s="20" t="s">
        <v>3265</v>
      </c>
      <c r="C378" s="20"/>
      <c r="D378" s="20" t="s">
        <v>3263</v>
      </c>
      <c r="E378" s="20" t="s">
        <v>3264</v>
      </c>
      <c r="F378" s="21" t="str">
        <f t="shared" si="28"/>
        <v>00324FI003000002870 ASCIA EAS</v>
      </c>
      <c r="G378" s="12">
        <f t="shared" si="30"/>
        <v>15.107438016528928</v>
      </c>
      <c r="H378" s="22">
        <v>21</v>
      </c>
      <c r="I378" s="21">
        <f t="shared" si="29"/>
        <v>3.1725619834710752</v>
      </c>
      <c r="J378" s="21">
        <f t="shared" si="31"/>
        <v>15.107438016528928</v>
      </c>
      <c r="L378" s="21">
        <f t="shared" si="32"/>
        <v>0</v>
      </c>
      <c r="M378" s="8">
        <v>18.28</v>
      </c>
      <c r="N378" s="20" t="s">
        <v>22</v>
      </c>
      <c r="O378" s="23" t="s">
        <v>64</v>
      </c>
      <c r="P378" s="23"/>
    </row>
    <row r="379" spans="1:16" s="22" customFormat="1" x14ac:dyDescent="0.35">
      <c r="A379" s="24">
        <v>45657</v>
      </c>
      <c r="B379" s="20" t="s">
        <v>3266</v>
      </c>
      <c r="C379" s="20"/>
      <c r="D379" s="20" t="s">
        <v>3267</v>
      </c>
      <c r="E379" s="20" t="s">
        <v>3268</v>
      </c>
      <c r="F379" s="21" t="str">
        <f t="shared" si="28"/>
        <v>24101 VALREY TELECOM</v>
      </c>
      <c r="G379" s="12">
        <f t="shared" si="30"/>
        <v>807</v>
      </c>
      <c r="H379" s="22">
        <v>21</v>
      </c>
      <c r="I379" s="21">
        <f t="shared" si="29"/>
        <v>169.47</v>
      </c>
      <c r="J379" s="21">
        <f t="shared" si="31"/>
        <v>807</v>
      </c>
      <c r="L379" s="21">
        <f t="shared" si="32"/>
        <v>0</v>
      </c>
      <c r="M379" s="8">
        <v>976.47</v>
      </c>
      <c r="N379" s="20" t="s">
        <v>3269</v>
      </c>
      <c r="O379" s="23" t="s">
        <v>64</v>
      </c>
      <c r="P379" s="23"/>
    </row>
    <row r="380" spans="1:16" s="22" customFormat="1" x14ac:dyDescent="0.35">
      <c r="A380" s="24">
        <v>45611</v>
      </c>
      <c r="B380" s="20" t="s">
        <v>3270</v>
      </c>
      <c r="C380" s="20"/>
      <c r="D380" s="20" t="s">
        <v>71</v>
      </c>
      <c r="E380" s="20" t="s">
        <v>69</v>
      </c>
      <c r="F380" s="21" t="str">
        <f t="shared" si="28"/>
        <v>91/24 OLARIU ADRIAN RAZVAN</v>
      </c>
      <c r="G380" s="12">
        <f t="shared" si="30"/>
        <v>1900</v>
      </c>
      <c r="H380" s="22">
        <v>21</v>
      </c>
      <c r="I380" s="21">
        <f t="shared" si="29"/>
        <v>399</v>
      </c>
      <c r="J380" s="21">
        <f t="shared" si="31"/>
        <v>1900</v>
      </c>
      <c r="L380" s="21">
        <f t="shared" si="32"/>
        <v>0</v>
      </c>
      <c r="M380" s="8">
        <v>2299</v>
      </c>
      <c r="N380" s="20" t="s">
        <v>56</v>
      </c>
      <c r="O380" s="23" t="s">
        <v>68</v>
      </c>
      <c r="P380" s="23"/>
    </row>
    <row r="381" spans="1:16" s="22" customFormat="1" x14ac:dyDescent="0.35">
      <c r="A381" s="24">
        <v>45580</v>
      </c>
      <c r="B381" s="20" t="s">
        <v>3271</v>
      </c>
      <c r="C381" s="20"/>
      <c r="D381" s="20" t="s">
        <v>71</v>
      </c>
      <c r="E381" s="20" t="s">
        <v>69</v>
      </c>
      <c r="F381" s="21" t="str">
        <f t="shared" si="28"/>
        <v>82/24 OLARIU ADRIAN RAZVAN</v>
      </c>
      <c r="G381" s="12">
        <f t="shared" si="30"/>
        <v>2250</v>
      </c>
      <c r="H381" s="22">
        <v>21</v>
      </c>
      <c r="I381" s="21">
        <f t="shared" si="29"/>
        <v>472.5</v>
      </c>
      <c r="J381" s="21">
        <f t="shared" si="31"/>
        <v>2250</v>
      </c>
      <c r="L381" s="21">
        <f t="shared" si="32"/>
        <v>0</v>
      </c>
      <c r="M381" s="8">
        <v>2722.5</v>
      </c>
      <c r="N381" s="20" t="s">
        <v>56</v>
      </c>
      <c r="O381" s="23" t="s">
        <v>68</v>
      </c>
      <c r="P381" s="23"/>
    </row>
    <row r="382" spans="1:16" s="22" customFormat="1" x14ac:dyDescent="0.35">
      <c r="A382" s="24">
        <v>45654</v>
      </c>
      <c r="B382" s="20" t="s">
        <v>3272</v>
      </c>
      <c r="C382" s="20"/>
      <c r="D382" s="20" t="s">
        <v>71</v>
      </c>
      <c r="E382" s="20" t="s">
        <v>69</v>
      </c>
      <c r="F382" s="21" t="str">
        <f t="shared" si="28"/>
        <v>104/24 OLARIU ADRIAN RAZVAN</v>
      </c>
      <c r="G382" s="12">
        <f t="shared" si="30"/>
        <v>2000</v>
      </c>
      <c r="H382" s="22">
        <v>21</v>
      </c>
      <c r="I382" s="21">
        <f t="shared" si="29"/>
        <v>420</v>
      </c>
      <c r="J382" s="21">
        <f t="shared" si="31"/>
        <v>2000</v>
      </c>
      <c r="L382" s="21">
        <f t="shared" si="32"/>
        <v>0</v>
      </c>
      <c r="M382" s="8">
        <v>2420</v>
      </c>
      <c r="N382" s="20" t="s">
        <v>56</v>
      </c>
      <c r="O382" s="23" t="s">
        <v>68</v>
      </c>
      <c r="P382" s="23"/>
    </row>
    <row r="383" spans="1:16" s="22" customFormat="1" x14ac:dyDescent="0.35">
      <c r="A383" s="24">
        <v>45566</v>
      </c>
      <c r="B383" s="20" t="s">
        <v>1852</v>
      </c>
      <c r="C383" s="20"/>
      <c r="D383" s="20" t="s">
        <v>1604</v>
      </c>
      <c r="E383" s="20" t="s">
        <v>3274</v>
      </c>
      <c r="F383" s="21" t="str">
        <f t="shared" si="28"/>
        <v>10/24 OLARIU SILVANA ADRIANA</v>
      </c>
      <c r="G383" s="12">
        <f t="shared" si="30"/>
        <v>200</v>
      </c>
      <c r="H383" s="22">
        <v>21</v>
      </c>
      <c r="I383" s="21">
        <f t="shared" si="29"/>
        <v>42</v>
      </c>
      <c r="J383" s="21">
        <f t="shared" si="31"/>
        <v>200</v>
      </c>
      <c r="K383" s="22">
        <v>19</v>
      </c>
      <c r="L383" s="21">
        <f t="shared" si="32"/>
        <v>38</v>
      </c>
      <c r="M383" s="8">
        <v>204</v>
      </c>
      <c r="N383" s="20" t="s">
        <v>46</v>
      </c>
      <c r="O383" s="23" t="s">
        <v>68</v>
      </c>
      <c r="P383" s="23"/>
    </row>
    <row r="384" spans="1:16" s="22" customFormat="1" x14ac:dyDescent="0.35">
      <c r="A384" s="24">
        <v>45566</v>
      </c>
      <c r="B384" s="20" t="s">
        <v>1852</v>
      </c>
      <c r="C384" s="20"/>
      <c r="D384" s="20" t="s">
        <v>45</v>
      </c>
      <c r="E384" s="20" t="s">
        <v>3275</v>
      </c>
      <c r="F384" s="21" t="str">
        <f t="shared" si="28"/>
        <v>10/24 CODITA EMANUEL</v>
      </c>
      <c r="G384" s="12">
        <f t="shared" si="30"/>
        <v>200</v>
      </c>
      <c r="H384" s="22">
        <v>21</v>
      </c>
      <c r="I384" s="21">
        <f t="shared" si="29"/>
        <v>42</v>
      </c>
      <c r="J384" s="21">
        <f t="shared" si="31"/>
        <v>200</v>
      </c>
      <c r="K384" s="22">
        <v>19</v>
      </c>
      <c r="L384" s="21">
        <f t="shared" si="32"/>
        <v>38</v>
      </c>
      <c r="M384" s="8">
        <v>204</v>
      </c>
      <c r="N384" s="20" t="s">
        <v>46</v>
      </c>
      <c r="O384" s="23" t="s">
        <v>68</v>
      </c>
      <c r="P384" s="23"/>
    </row>
    <row r="385" spans="1:16" s="22" customFormat="1" x14ac:dyDescent="0.35">
      <c r="A385" s="24">
        <v>45597</v>
      </c>
      <c r="B385" s="20" t="s">
        <v>2001</v>
      </c>
      <c r="C385" s="20"/>
      <c r="D385" s="20" t="s">
        <v>1604</v>
      </c>
      <c r="E385" s="20" t="s">
        <v>3274</v>
      </c>
      <c r="F385" s="21" t="str">
        <f t="shared" si="28"/>
        <v>11/24 OLARIU SILVANA ADRIANA</v>
      </c>
      <c r="G385" s="12">
        <f t="shared" si="30"/>
        <v>200</v>
      </c>
      <c r="H385" s="22">
        <v>21</v>
      </c>
      <c r="I385" s="21">
        <f t="shared" si="29"/>
        <v>42</v>
      </c>
      <c r="J385" s="21">
        <f t="shared" si="31"/>
        <v>200</v>
      </c>
      <c r="K385" s="22">
        <v>19</v>
      </c>
      <c r="L385" s="21">
        <f t="shared" si="32"/>
        <v>38</v>
      </c>
      <c r="M385" s="8">
        <v>204</v>
      </c>
      <c r="N385" s="20" t="s">
        <v>46</v>
      </c>
      <c r="O385" s="23" t="s">
        <v>68</v>
      </c>
      <c r="P385" s="23"/>
    </row>
    <row r="386" spans="1:16" s="22" customFormat="1" x14ac:dyDescent="0.35">
      <c r="A386" s="24">
        <v>45597</v>
      </c>
      <c r="B386" s="20" t="s">
        <v>2001</v>
      </c>
      <c r="C386" s="20"/>
      <c r="D386" s="20" t="s">
        <v>45</v>
      </c>
      <c r="E386" s="20" t="s">
        <v>3275</v>
      </c>
      <c r="F386" s="21" t="str">
        <f t="shared" si="28"/>
        <v>11/24 CODITA EMANUEL</v>
      </c>
      <c r="G386" s="12">
        <f t="shared" si="30"/>
        <v>200</v>
      </c>
      <c r="H386" s="22">
        <v>21</v>
      </c>
      <c r="I386" s="21">
        <f t="shared" si="29"/>
        <v>42</v>
      </c>
      <c r="J386" s="21">
        <f t="shared" si="31"/>
        <v>200</v>
      </c>
      <c r="K386" s="22">
        <v>19</v>
      </c>
      <c r="L386" s="21">
        <f t="shared" si="32"/>
        <v>38</v>
      </c>
      <c r="M386" s="8">
        <v>204</v>
      </c>
      <c r="N386" s="20" t="s">
        <v>46</v>
      </c>
      <c r="O386" s="23" t="s">
        <v>68</v>
      </c>
      <c r="P386" s="23"/>
    </row>
    <row r="387" spans="1:16" s="22" customFormat="1" x14ac:dyDescent="0.35">
      <c r="A387" s="24">
        <v>45627</v>
      </c>
      <c r="B387" s="20" t="s">
        <v>2302</v>
      </c>
      <c r="C387" s="20"/>
      <c r="D387" s="20" t="s">
        <v>1604</v>
      </c>
      <c r="E387" s="20" t="s">
        <v>3274</v>
      </c>
      <c r="F387" s="21" t="str">
        <f t="shared" si="28"/>
        <v>12/24 OLARIU SILVANA ADRIANA</v>
      </c>
      <c r="G387" s="12">
        <f t="shared" si="30"/>
        <v>200</v>
      </c>
      <c r="H387" s="22">
        <v>21</v>
      </c>
      <c r="I387" s="21">
        <f t="shared" si="29"/>
        <v>42</v>
      </c>
      <c r="J387" s="21">
        <f t="shared" si="31"/>
        <v>200</v>
      </c>
      <c r="K387" s="22">
        <v>19</v>
      </c>
      <c r="L387" s="21">
        <f t="shared" si="32"/>
        <v>38</v>
      </c>
      <c r="M387" s="8">
        <v>204</v>
      </c>
      <c r="N387" s="20" t="s">
        <v>46</v>
      </c>
      <c r="O387" s="23" t="s">
        <v>68</v>
      </c>
      <c r="P387" s="23"/>
    </row>
    <row r="388" spans="1:16" s="22" customFormat="1" x14ac:dyDescent="0.35">
      <c r="A388" s="24">
        <v>45627</v>
      </c>
      <c r="B388" s="20" t="s">
        <v>2302</v>
      </c>
      <c r="C388" s="20"/>
      <c r="D388" s="20" t="s">
        <v>45</v>
      </c>
      <c r="E388" s="20" t="s">
        <v>3275</v>
      </c>
      <c r="F388" s="21" t="str">
        <f t="shared" si="28"/>
        <v>12/24 CODITA EMANUEL</v>
      </c>
      <c r="G388" s="12">
        <f t="shared" si="30"/>
        <v>200</v>
      </c>
      <c r="H388" s="22">
        <v>21</v>
      </c>
      <c r="I388" s="21">
        <f t="shared" si="29"/>
        <v>42</v>
      </c>
      <c r="J388" s="21">
        <f t="shared" si="31"/>
        <v>200</v>
      </c>
      <c r="K388" s="22">
        <v>19</v>
      </c>
      <c r="L388" s="21">
        <f t="shared" si="32"/>
        <v>38</v>
      </c>
      <c r="M388" s="8">
        <v>204</v>
      </c>
      <c r="N388" s="20" t="s">
        <v>46</v>
      </c>
      <c r="O388" s="23" t="s">
        <v>68</v>
      </c>
      <c r="P388" s="23"/>
    </row>
    <row r="389" spans="1:16" s="22" customFormat="1" x14ac:dyDescent="0.35">
      <c r="A389" s="24">
        <v>45646</v>
      </c>
      <c r="B389" s="20" t="s">
        <v>3276</v>
      </c>
      <c r="C389" s="20"/>
      <c r="D389" s="20" t="s">
        <v>234</v>
      </c>
      <c r="E389" s="20" t="s">
        <v>235</v>
      </c>
      <c r="F389" s="21" t="str">
        <f t="shared" si="28"/>
        <v>18/24 VIOREL ROBCIUC</v>
      </c>
      <c r="G389" s="12">
        <f t="shared" si="30"/>
        <v>702.47933884297527</v>
      </c>
      <c r="H389" s="22">
        <v>21</v>
      </c>
      <c r="I389" s="21">
        <f t="shared" si="29"/>
        <v>147.52066115702482</v>
      </c>
      <c r="J389" s="21">
        <f t="shared" si="31"/>
        <v>702.47933884297527</v>
      </c>
      <c r="L389" s="21">
        <f t="shared" si="32"/>
        <v>0</v>
      </c>
      <c r="M389" s="8">
        <v>850</v>
      </c>
      <c r="N389" s="20" t="s">
        <v>37</v>
      </c>
      <c r="O389" s="23" t="s">
        <v>68</v>
      </c>
      <c r="P389" s="23"/>
    </row>
    <row r="390" spans="1:16" s="22" customFormat="1" x14ac:dyDescent="0.35">
      <c r="A390" s="24">
        <v>45617</v>
      </c>
      <c r="B390" s="20" t="s">
        <v>3277</v>
      </c>
      <c r="C390" s="20"/>
      <c r="D390" s="20" t="s">
        <v>58</v>
      </c>
      <c r="E390" s="20" t="s">
        <v>2715</v>
      </c>
      <c r="F390" s="21" t="str">
        <f t="shared" si="28"/>
        <v>007-0011-816000 BRICOLAJE BRICOMAN S.L.U.</v>
      </c>
      <c r="G390" s="12">
        <f t="shared" si="30"/>
        <v>44.190082644628099</v>
      </c>
      <c r="H390" s="22">
        <v>21</v>
      </c>
      <c r="I390" s="21">
        <f t="shared" si="29"/>
        <v>9.2799173553719001</v>
      </c>
      <c r="J390" s="21">
        <f t="shared" si="31"/>
        <v>44.190082644628099</v>
      </c>
      <c r="L390" s="21">
        <f t="shared" si="32"/>
        <v>0</v>
      </c>
      <c r="M390" s="8">
        <v>53.47</v>
      </c>
      <c r="N390" s="20" t="s">
        <v>21</v>
      </c>
      <c r="O390" s="23" t="s">
        <v>64</v>
      </c>
      <c r="P390" s="23"/>
    </row>
    <row r="391" spans="1:16" s="22" customFormat="1" x14ac:dyDescent="0.35">
      <c r="A391" s="24">
        <v>45621</v>
      </c>
      <c r="B391" s="20" t="s">
        <v>3278</v>
      </c>
      <c r="C391" s="20"/>
      <c r="D391" s="20" t="s">
        <v>58</v>
      </c>
      <c r="E391" s="20" t="s">
        <v>2715</v>
      </c>
      <c r="F391" s="21" t="str">
        <f t="shared" si="28"/>
        <v>007-0011-R095970 BRICOLAJE BRICOMAN S.L.U.</v>
      </c>
      <c r="G391" s="12">
        <f t="shared" si="30"/>
        <v>-14.727272727272728</v>
      </c>
      <c r="H391" s="22">
        <v>21</v>
      </c>
      <c r="I391" s="21">
        <f t="shared" si="29"/>
        <v>-3.0927272727272732</v>
      </c>
      <c r="J391" s="21">
        <f t="shared" si="31"/>
        <v>-14.727272727272728</v>
      </c>
      <c r="L391" s="21">
        <f t="shared" si="32"/>
        <v>0</v>
      </c>
      <c r="M391" s="8">
        <v>-17.82</v>
      </c>
      <c r="N391" s="20" t="s">
        <v>21</v>
      </c>
      <c r="O391" s="23" t="s">
        <v>64</v>
      </c>
      <c r="P391" s="23"/>
    </row>
    <row r="392" spans="1:16" s="22" customFormat="1" x14ac:dyDescent="0.35">
      <c r="A392" s="24">
        <v>45621</v>
      </c>
      <c r="B392" s="20" t="s">
        <v>3279</v>
      </c>
      <c r="C392" s="20"/>
      <c r="D392" s="20" t="s">
        <v>58</v>
      </c>
      <c r="E392" s="20" t="s">
        <v>2715</v>
      </c>
      <c r="F392" s="21" t="str">
        <f t="shared" si="28"/>
        <v>007-0011-820926 BRICOLAJE BRICOMAN S.L.U.</v>
      </c>
      <c r="G392" s="12">
        <f t="shared" si="30"/>
        <v>9.9173553719008272</v>
      </c>
      <c r="H392" s="22">
        <v>21</v>
      </c>
      <c r="I392" s="21">
        <f t="shared" si="29"/>
        <v>2.0826446280991737</v>
      </c>
      <c r="J392" s="21">
        <f t="shared" si="31"/>
        <v>9.9173553719008272</v>
      </c>
      <c r="L392" s="21">
        <f t="shared" si="32"/>
        <v>0</v>
      </c>
      <c r="M392" s="8">
        <v>12</v>
      </c>
      <c r="N392" s="20" t="s">
        <v>21</v>
      </c>
      <c r="O392" s="23" t="s">
        <v>64</v>
      </c>
      <c r="P392" s="23"/>
    </row>
    <row r="393" spans="1:16" s="22" customFormat="1" x14ac:dyDescent="0.35">
      <c r="A393" s="24">
        <v>45621</v>
      </c>
      <c r="B393" s="20" t="s">
        <v>3280</v>
      </c>
      <c r="C393" s="20"/>
      <c r="D393" s="20" t="s">
        <v>58</v>
      </c>
      <c r="E393" s="20" t="s">
        <v>2715</v>
      </c>
      <c r="F393" s="21" t="str">
        <f t="shared" si="28"/>
        <v>004-0011-836777 BRICOLAJE BRICOMAN S.L.U.</v>
      </c>
      <c r="G393" s="12">
        <f t="shared" si="30"/>
        <v>73.553719008264466</v>
      </c>
      <c r="H393" s="22">
        <v>21</v>
      </c>
      <c r="I393" s="21">
        <f t="shared" si="29"/>
        <v>15.44628099173554</v>
      </c>
      <c r="J393" s="21">
        <f t="shared" si="31"/>
        <v>73.553719008264466</v>
      </c>
      <c r="L393" s="21">
        <f t="shared" si="32"/>
        <v>0</v>
      </c>
      <c r="M393" s="8">
        <v>89</v>
      </c>
      <c r="N393" s="20" t="s">
        <v>21</v>
      </c>
      <c r="O393" s="23" t="s">
        <v>64</v>
      </c>
      <c r="P393" s="23"/>
    </row>
    <row r="394" spans="1:16" s="22" customFormat="1" x14ac:dyDescent="0.35">
      <c r="A394" s="24">
        <v>45621</v>
      </c>
      <c r="B394" s="20" t="s">
        <v>3281</v>
      </c>
      <c r="C394" s="20"/>
      <c r="D394" s="20" t="s">
        <v>58</v>
      </c>
      <c r="E394" s="20" t="s">
        <v>2715</v>
      </c>
      <c r="F394" s="21" t="str">
        <f t="shared" si="28"/>
        <v>004-0011-836763 BRICOLAJE BRICOMAN S.L.U.</v>
      </c>
      <c r="G394" s="12">
        <f t="shared" si="30"/>
        <v>13.297520661157025</v>
      </c>
      <c r="H394" s="22">
        <v>21</v>
      </c>
      <c r="I394" s="21">
        <f t="shared" si="29"/>
        <v>2.7924793388429752</v>
      </c>
      <c r="J394" s="21">
        <f t="shared" si="31"/>
        <v>13.297520661157025</v>
      </c>
      <c r="K394" s="21"/>
      <c r="L394" s="21">
        <f t="shared" si="32"/>
        <v>0</v>
      </c>
      <c r="M394" s="8">
        <v>16.09</v>
      </c>
      <c r="N394" s="20" t="s">
        <v>21</v>
      </c>
      <c r="O394" s="23" t="s">
        <v>64</v>
      </c>
      <c r="P394" s="23"/>
    </row>
    <row r="395" spans="1:16" s="22" customFormat="1" x14ac:dyDescent="0.35">
      <c r="A395" s="24">
        <v>45617</v>
      </c>
      <c r="B395" s="20" t="s">
        <v>3282</v>
      </c>
      <c r="C395" s="20"/>
      <c r="D395" s="20" t="s">
        <v>58</v>
      </c>
      <c r="E395" s="20" t="s">
        <v>2715</v>
      </c>
      <c r="F395" s="21" t="str">
        <f t="shared" si="28"/>
        <v>007-0011-815269 BRICOLAJE BRICOMAN S.L.U.</v>
      </c>
      <c r="G395" s="12">
        <f t="shared" si="30"/>
        <v>14.669421487603307</v>
      </c>
      <c r="H395" s="22">
        <v>21</v>
      </c>
      <c r="I395" s="21">
        <f t="shared" si="29"/>
        <v>3.0805785123966944</v>
      </c>
      <c r="J395" s="21">
        <f t="shared" si="31"/>
        <v>14.669421487603307</v>
      </c>
      <c r="L395" s="21">
        <f t="shared" si="32"/>
        <v>0</v>
      </c>
      <c r="M395" s="8">
        <v>17.75</v>
      </c>
      <c r="N395" s="20" t="s">
        <v>21</v>
      </c>
      <c r="O395" s="23" t="s">
        <v>64</v>
      </c>
      <c r="P395" s="23"/>
    </row>
    <row r="396" spans="1:16" s="22" customFormat="1" x14ac:dyDescent="0.35">
      <c r="A396" s="24">
        <v>45608</v>
      </c>
      <c r="B396" s="20" t="s">
        <v>3283</v>
      </c>
      <c r="C396" s="20"/>
      <c r="D396" s="20" t="s">
        <v>58</v>
      </c>
      <c r="E396" s="20" t="s">
        <v>2715</v>
      </c>
      <c r="F396" s="21" t="str">
        <f t="shared" si="28"/>
        <v>007-0011-802149 BRICOLAJE BRICOMAN S.L.U.</v>
      </c>
      <c r="G396" s="12">
        <f t="shared" si="30"/>
        <v>46.991735537190081</v>
      </c>
      <c r="H396" s="22">
        <v>21</v>
      </c>
      <c r="I396" s="21">
        <f t="shared" si="29"/>
        <v>9.8682644628099165</v>
      </c>
      <c r="J396" s="21">
        <f t="shared" si="31"/>
        <v>46.991735537190081</v>
      </c>
      <c r="L396" s="21">
        <f t="shared" si="32"/>
        <v>0</v>
      </c>
      <c r="M396" s="8">
        <v>56.86</v>
      </c>
      <c r="N396" s="20" t="s">
        <v>21</v>
      </c>
      <c r="O396" s="23" t="s">
        <v>64</v>
      </c>
      <c r="P396" s="23"/>
    </row>
    <row r="397" spans="1:16" s="22" customFormat="1" x14ac:dyDescent="0.35">
      <c r="A397" s="24">
        <v>45609</v>
      </c>
      <c r="B397" s="20" t="s">
        <v>3284</v>
      </c>
      <c r="C397" s="20"/>
      <c r="D397" s="20" t="s">
        <v>58</v>
      </c>
      <c r="E397" s="20" t="s">
        <v>2715</v>
      </c>
      <c r="F397" s="21" t="str">
        <f t="shared" si="28"/>
        <v>007-0011-R094320 BRICOLAJE BRICOMAN S.L.U.</v>
      </c>
      <c r="G397" s="12">
        <f t="shared" si="30"/>
        <v>-5.1074380165289259</v>
      </c>
      <c r="H397" s="22">
        <v>21</v>
      </c>
      <c r="I397" s="21">
        <f t="shared" si="29"/>
        <v>-1.0725619834710745</v>
      </c>
      <c r="J397" s="21">
        <f t="shared" si="31"/>
        <v>-5.1074380165289259</v>
      </c>
      <c r="L397" s="21">
        <f t="shared" si="32"/>
        <v>0</v>
      </c>
      <c r="M397" s="8">
        <v>-6.18</v>
      </c>
      <c r="N397" s="20" t="s">
        <v>21</v>
      </c>
      <c r="O397" s="23" t="s">
        <v>64</v>
      </c>
      <c r="P397" s="23"/>
    </row>
    <row r="398" spans="1:16" s="22" customFormat="1" x14ac:dyDescent="0.35">
      <c r="A398" s="24">
        <v>45608</v>
      </c>
      <c r="B398" s="20" t="s">
        <v>3285</v>
      </c>
      <c r="C398" s="20"/>
      <c r="D398" s="20" t="s">
        <v>58</v>
      </c>
      <c r="E398" s="20" t="s">
        <v>2715</v>
      </c>
      <c r="F398" s="21" t="str">
        <f t="shared" si="28"/>
        <v>007-0011-802639 BRICOLAJE BRICOMAN S.L.U.</v>
      </c>
      <c r="G398" s="12">
        <f t="shared" si="30"/>
        <v>24.297520661157023</v>
      </c>
      <c r="H398" s="22">
        <v>21</v>
      </c>
      <c r="I398" s="21">
        <f t="shared" si="29"/>
        <v>5.1024793388429748</v>
      </c>
      <c r="J398" s="21">
        <f t="shared" si="31"/>
        <v>24.297520661157023</v>
      </c>
      <c r="L398" s="21">
        <f t="shared" si="32"/>
        <v>0</v>
      </c>
      <c r="M398" s="8">
        <v>29.4</v>
      </c>
      <c r="N398" s="20" t="s">
        <v>21</v>
      </c>
      <c r="O398" s="23" t="s">
        <v>64</v>
      </c>
      <c r="P398" s="23"/>
    </row>
    <row r="399" spans="1:16" s="22" customFormat="1" x14ac:dyDescent="0.35">
      <c r="A399" s="24">
        <v>45609</v>
      </c>
      <c r="B399" s="20" t="s">
        <v>3286</v>
      </c>
      <c r="C399" s="20"/>
      <c r="D399" s="20" t="s">
        <v>58</v>
      </c>
      <c r="E399" s="20" t="s">
        <v>2715</v>
      </c>
      <c r="F399" s="21" t="str">
        <f t="shared" si="28"/>
        <v>007-0011-803308 BRICOLAJE BRICOMAN S.L.U.</v>
      </c>
      <c r="G399" s="12">
        <f t="shared" si="30"/>
        <v>42.719008264462808</v>
      </c>
      <c r="H399" s="22">
        <v>21</v>
      </c>
      <c r="I399" s="21">
        <f t="shared" si="29"/>
        <v>8.97099173553719</v>
      </c>
      <c r="J399" s="21">
        <f t="shared" si="31"/>
        <v>42.719008264462808</v>
      </c>
      <c r="K399" s="21"/>
      <c r="L399" s="21">
        <f t="shared" si="32"/>
        <v>0</v>
      </c>
      <c r="M399" s="8">
        <v>51.69</v>
      </c>
      <c r="N399" s="20" t="s">
        <v>21</v>
      </c>
      <c r="O399" s="23" t="s">
        <v>64</v>
      </c>
      <c r="P399" s="23"/>
    </row>
    <row r="400" spans="1:16" s="22" customFormat="1" x14ac:dyDescent="0.35">
      <c r="A400" s="24">
        <v>45614</v>
      </c>
      <c r="B400" s="20" t="s">
        <v>3287</v>
      </c>
      <c r="C400" s="20"/>
      <c r="D400" s="20" t="s">
        <v>58</v>
      </c>
      <c r="E400" s="20" t="s">
        <v>2715</v>
      </c>
      <c r="F400" s="21" t="str">
        <f t="shared" si="28"/>
        <v>007-0011-811420 BRICOLAJE BRICOMAN S.L.U.</v>
      </c>
      <c r="G400" s="12">
        <f t="shared" si="30"/>
        <v>35.388429752066116</v>
      </c>
      <c r="H400" s="22">
        <v>21</v>
      </c>
      <c r="I400" s="21">
        <f t="shared" si="29"/>
        <v>7.4315702479338848</v>
      </c>
      <c r="J400" s="21">
        <f t="shared" si="31"/>
        <v>35.388429752066116</v>
      </c>
      <c r="L400" s="21">
        <f t="shared" si="32"/>
        <v>0</v>
      </c>
      <c r="M400" s="8">
        <v>42.82</v>
      </c>
      <c r="N400" s="20" t="s">
        <v>21</v>
      </c>
      <c r="O400" s="23" t="s">
        <v>64</v>
      </c>
      <c r="P400" s="23"/>
    </row>
    <row r="401" spans="1:16" s="22" customFormat="1" x14ac:dyDescent="0.35">
      <c r="A401" s="24">
        <v>45610</v>
      </c>
      <c r="B401" s="20" t="s">
        <v>3288</v>
      </c>
      <c r="C401" s="20"/>
      <c r="D401" s="20" t="s">
        <v>58</v>
      </c>
      <c r="E401" s="20" t="s">
        <v>2715</v>
      </c>
      <c r="F401" s="21" t="str">
        <f t="shared" si="28"/>
        <v>007-0011-805247 BRICOLAJE BRICOMAN S.L.U.</v>
      </c>
      <c r="G401" s="12">
        <f t="shared" si="30"/>
        <v>23.801652892561986</v>
      </c>
      <c r="H401" s="22">
        <v>21</v>
      </c>
      <c r="I401" s="21">
        <f t="shared" si="29"/>
        <v>4.9983471074380166</v>
      </c>
      <c r="J401" s="21">
        <f t="shared" si="31"/>
        <v>23.801652892561986</v>
      </c>
      <c r="L401" s="21">
        <f t="shared" si="32"/>
        <v>0</v>
      </c>
      <c r="M401" s="8">
        <v>28.8</v>
      </c>
      <c r="N401" s="20" t="s">
        <v>21</v>
      </c>
      <c r="O401" s="23" t="s">
        <v>64</v>
      </c>
      <c r="P401" s="23"/>
    </row>
    <row r="402" spans="1:16" s="22" customFormat="1" x14ac:dyDescent="0.35">
      <c r="A402" s="24">
        <v>45618</v>
      </c>
      <c r="B402" s="20" t="s">
        <v>3289</v>
      </c>
      <c r="C402" s="20"/>
      <c r="D402" s="20" t="s">
        <v>58</v>
      </c>
      <c r="E402" s="20" t="s">
        <v>2715</v>
      </c>
      <c r="F402" s="21" t="str">
        <f t="shared" si="28"/>
        <v>007-0011-817726 BRICOLAJE BRICOMAN S.L.U.</v>
      </c>
      <c r="G402" s="12">
        <f t="shared" si="30"/>
        <v>36.280991735537192</v>
      </c>
      <c r="H402" s="22">
        <v>21</v>
      </c>
      <c r="I402" s="21">
        <f t="shared" si="29"/>
        <v>7.6190082644628099</v>
      </c>
      <c r="J402" s="21">
        <f t="shared" si="31"/>
        <v>36.280991735537192</v>
      </c>
      <c r="L402" s="21">
        <f t="shared" si="32"/>
        <v>0</v>
      </c>
      <c r="M402" s="8">
        <v>43.9</v>
      </c>
      <c r="N402" s="20" t="s">
        <v>21</v>
      </c>
      <c r="O402" s="23" t="s">
        <v>64</v>
      </c>
      <c r="P402" s="23"/>
    </row>
    <row r="403" spans="1:16" s="22" customFormat="1" x14ac:dyDescent="0.35">
      <c r="A403" s="24">
        <v>45616</v>
      </c>
      <c r="B403" s="20" t="s">
        <v>3290</v>
      </c>
      <c r="C403" s="20"/>
      <c r="D403" s="20" t="s">
        <v>58</v>
      </c>
      <c r="E403" s="20" t="s">
        <v>2715</v>
      </c>
      <c r="F403" s="21" t="str">
        <f t="shared" si="28"/>
        <v>007-0011-R095362 BRICOLAJE BRICOMAN S.L.U.</v>
      </c>
      <c r="G403" s="12">
        <f t="shared" si="30"/>
        <v>-58.347107438016529</v>
      </c>
      <c r="H403" s="22">
        <v>21</v>
      </c>
      <c r="I403" s="21">
        <f t="shared" si="29"/>
        <v>-12.252892561983472</v>
      </c>
      <c r="J403" s="21">
        <f t="shared" si="31"/>
        <v>-58.347107438016529</v>
      </c>
      <c r="L403" s="21">
        <f t="shared" si="32"/>
        <v>0</v>
      </c>
      <c r="M403" s="8">
        <v>-70.599999999999994</v>
      </c>
      <c r="N403" s="20" t="s">
        <v>21</v>
      </c>
      <c r="O403" s="23" t="s">
        <v>64</v>
      </c>
      <c r="P403" s="23"/>
    </row>
    <row r="404" spans="1:16" s="22" customFormat="1" x14ac:dyDescent="0.35">
      <c r="A404" s="24">
        <v>45607</v>
      </c>
      <c r="B404" s="20" t="s">
        <v>3291</v>
      </c>
      <c r="C404" s="20"/>
      <c r="D404" s="20" t="s">
        <v>58</v>
      </c>
      <c r="E404" s="20" t="s">
        <v>2715</v>
      </c>
      <c r="F404" s="21" t="str">
        <f t="shared" si="28"/>
        <v>007-0011-800284 BRICOLAJE BRICOMAN S.L.U.</v>
      </c>
      <c r="G404" s="12">
        <f t="shared" si="30"/>
        <v>92.669421487603302</v>
      </c>
      <c r="H404" s="22">
        <v>21</v>
      </c>
      <c r="I404" s="21">
        <f t="shared" si="29"/>
        <v>19.460578512396694</v>
      </c>
      <c r="J404" s="21">
        <f t="shared" si="31"/>
        <v>92.669421487603302</v>
      </c>
      <c r="L404" s="21">
        <f t="shared" si="32"/>
        <v>0</v>
      </c>
      <c r="M404" s="8">
        <v>112.13</v>
      </c>
      <c r="N404" s="20" t="s">
        <v>21</v>
      </c>
      <c r="O404" s="23" t="s">
        <v>64</v>
      </c>
      <c r="P404" s="23"/>
    </row>
    <row r="405" spans="1:16" s="22" customFormat="1" x14ac:dyDescent="0.35">
      <c r="A405" s="24">
        <v>45616</v>
      </c>
      <c r="B405" s="20" t="s">
        <v>3292</v>
      </c>
      <c r="C405" s="20"/>
      <c r="D405" s="20" t="s">
        <v>58</v>
      </c>
      <c r="E405" s="20" t="s">
        <v>2715</v>
      </c>
      <c r="F405" s="21" t="str">
        <f t="shared" si="28"/>
        <v>007-0011-814146 BRICOLAJE BRICOMAN S.L.U.</v>
      </c>
      <c r="G405" s="12">
        <f t="shared" si="30"/>
        <v>58.239669421487605</v>
      </c>
      <c r="H405" s="22">
        <v>21</v>
      </c>
      <c r="I405" s="21">
        <f t="shared" si="29"/>
        <v>12.230330578512396</v>
      </c>
      <c r="J405" s="21">
        <f t="shared" si="31"/>
        <v>58.239669421487605</v>
      </c>
      <c r="L405" s="21">
        <f t="shared" si="32"/>
        <v>0</v>
      </c>
      <c r="M405" s="8">
        <v>70.47</v>
      </c>
      <c r="N405" s="20" t="s">
        <v>21</v>
      </c>
      <c r="O405" s="23" t="s">
        <v>64</v>
      </c>
      <c r="P405" s="23"/>
    </row>
    <row r="406" spans="1:16" s="22" customFormat="1" x14ac:dyDescent="0.35">
      <c r="A406" s="24">
        <v>45617</v>
      </c>
      <c r="B406" s="20" t="s">
        <v>3293</v>
      </c>
      <c r="C406" s="20"/>
      <c r="D406" s="20" t="s">
        <v>58</v>
      </c>
      <c r="E406" s="20" t="s">
        <v>2715</v>
      </c>
      <c r="F406" s="21" t="str">
        <f t="shared" si="28"/>
        <v>007-0011-815253 BRICOLAJE BRICOMAN S.L.U.</v>
      </c>
      <c r="G406" s="12">
        <f t="shared" si="30"/>
        <v>27.52066115702479</v>
      </c>
      <c r="H406" s="22">
        <v>21</v>
      </c>
      <c r="I406" s="21">
        <f t="shared" si="29"/>
        <v>5.7793388429752053</v>
      </c>
      <c r="J406" s="21">
        <f t="shared" si="31"/>
        <v>27.52066115702479</v>
      </c>
      <c r="L406" s="21">
        <f t="shared" si="32"/>
        <v>0</v>
      </c>
      <c r="M406" s="8">
        <v>33.299999999999997</v>
      </c>
      <c r="N406" s="20" t="s">
        <v>21</v>
      </c>
      <c r="O406" s="23" t="s">
        <v>64</v>
      </c>
      <c r="P406" s="23"/>
    </row>
    <row r="407" spans="1:16" s="22" customFormat="1" x14ac:dyDescent="0.35">
      <c r="A407" s="24">
        <v>45625</v>
      </c>
      <c r="B407" s="20" t="s">
        <v>3294</v>
      </c>
      <c r="C407" s="20"/>
      <c r="D407" s="20" t="s">
        <v>58</v>
      </c>
      <c r="E407" s="20" t="s">
        <v>2715</v>
      </c>
      <c r="F407" s="21" t="str">
        <f t="shared" si="28"/>
        <v>007-0011-828328 BRICOLAJE BRICOMAN S.L.U.</v>
      </c>
      <c r="G407" s="12">
        <f t="shared" si="30"/>
        <v>33.884297520661157</v>
      </c>
      <c r="H407" s="22">
        <v>21</v>
      </c>
      <c r="I407" s="21">
        <f t="shared" si="29"/>
        <v>7.115702479338843</v>
      </c>
      <c r="J407" s="21">
        <f t="shared" si="31"/>
        <v>33.884297520661157</v>
      </c>
      <c r="L407" s="21">
        <f t="shared" si="32"/>
        <v>0</v>
      </c>
      <c r="M407" s="8">
        <v>41</v>
      </c>
      <c r="N407" s="20" t="s">
        <v>21</v>
      </c>
      <c r="O407" s="23" t="s">
        <v>64</v>
      </c>
      <c r="P407" s="23"/>
    </row>
    <row r="408" spans="1:16" s="22" customFormat="1" x14ac:dyDescent="0.35">
      <c r="A408" s="24">
        <v>45618</v>
      </c>
      <c r="B408" s="20" t="s">
        <v>3295</v>
      </c>
      <c r="C408" s="20"/>
      <c r="D408" s="20" t="s">
        <v>58</v>
      </c>
      <c r="E408" s="20" t="s">
        <v>2715</v>
      </c>
      <c r="F408" s="21" t="str">
        <f t="shared" si="28"/>
        <v>007-0011-817696 BRICOLAJE BRICOMAN S.L.U.</v>
      </c>
      <c r="G408" s="12">
        <f t="shared" si="30"/>
        <v>229.70247933884298</v>
      </c>
      <c r="H408" s="22">
        <v>21</v>
      </c>
      <c r="I408" s="21">
        <f t="shared" si="29"/>
        <v>48.237520661157021</v>
      </c>
      <c r="J408" s="21">
        <f t="shared" si="31"/>
        <v>229.70247933884298</v>
      </c>
      <c r="L408" s="21">
        <f t="shared" si="32"/>
        <v>0</v>
      </c>
      <c r="M408" s="8">
        <v>277.94</v>
      </c>
      <c r="N408" s="20" t="s">
        <v>21</v>
      </c>
      <c r="O408" s="23" t="s">
        <v>64</v>
      </c>
      <c r="P408" s="23"/>
    </row>
    <row r="409" spans="1:16" s="22" customFormat="1" x14ac:dyDescent="0.35">
      <c r="A409" s="24">
        <v>45625</v>
      </c>
      <c r="B409" s="20" t="s">
        <v>3296</v>
      </c>
      <c r="C409" s="20"/>
      <c r="D409" s="20" t="s">
        <v>58</v>
      </c>
      <c r="E409" s="20" t="s">
        <v>2715</v>
      </c>
      <c r="F409" s="21" t="str">
        <f t="shared" si="28"/>
        <v>007-0011-R096643 BRICOLAJE BRICOMAN S.L.U.</v>
      </c>
      <c r="G409" s="12">
        <f t="shared" si="30"/>
        <v>-17.669421487603305</v>
      </c>
      <c r="H409" s="22">
        <v>21</v>
      </c>
      <c r="I409" s="21">
        <f t="shared" si="29"/>
        <v>-3.7105785123966939</v>
      </c>
      <c r="J409" s="21">
        <f t="shared" si="31"/>
        <v>-17.669421487603305</v>
      </c>
      <c r="L409" s="21">
        <f t="shared" si="32"/>
        <v>0</v>
      </c>
      <c r="M409" s="8">
        <v>-21.38</v>
      </c>
      <c r="N409" s="20" t="s">
        <v>21</v>
      </c>
      <c r="O409" s="23" t="s">
        <v>64</v>
      </c>
      <c r="P409" s="23"/>
    </row>
    <row r="410" spans="1:16" s="22" customFormat="1" x14ac:dyDescent="0.35">
      <c r="A410" s="24">
        <v>45628</v>
      </c>
      <c r="B410" s="20" t="s">
        <v>3297</v>
      </c>
      <c r="C410" s="20"/>
      <c r="D410" s="20" t="s">
        <v>58</v>
      </c>
      <c r="E410" s="20" t="s">
        <v>2715</v>
      </c>
      <c r="F410" s="21" t="str">
        <f t="shared" si="28"/>
        <v>007-0012-830973 BRICOLAJE BRICOMAN S.L.U.</v>
      </c>
      <c r="G410" s="12">
        <f t="shared" si="30"/>
        <v>36.917355371900825</v>
      </c>
      <c r="H410" s="22">
        <v>21</v>
      </c>
      <c r="I410" s="21">
        <f t="shared" si="29"/>
        <v>7.7526446280991728</v>
      </c>
      <c r="J410" s="21">
        <f t="shared" si="31"/>
        <v>36.917355371900825</v>
      </c>
      <c r="L410" s="21">
        <f t="shared" si="32"/>
        <v>0</v>
      </c>
      <c r="M410" s="8">
        <v>44.67</v>
      </c>
      <c r="N410" s="20" t="s">
        <v>21</v>
      </c>
      <c r="O410" s="23" t="s">
        <v>64</v>
      </c>
      <c r="P410" s="23"/>
    </row>
    <row r="411" spans="1:16" s="22" customFormat="1" x14ac:dyDescent="0.35">
      <c r="A411" s="24">
        <v>45589</v>
      </c>
      <c r="B411" s="20" t="s">
        <v>3298</v>
      </c>
      <c r="C411" s="20"/>
      <c r="D411" s="20" t="s">
        <v>58</v>
      </c>
      <c r="E411" s="20" t="s">
        <v>2715</v>
      </c>
      <c r="F411" s="21" t="str">
        <f t="shared" si="28"/>
        <v>007-0010-775078 BRICOLAJE BRICOMAN S.L.U.</v>
      </c>
      <c r="G411" s="12">
        <f t="shared" si="30"/>
        <v>93.661157024793383</v>
      </c>
      <c r="H411" s="22">
        <v>21</v>
      </c>
      <c r="I411" s="21">
        <f t="shared" si="29"/>
        <v>19.668842975206609</v>
      </c>
      <c r="J411" s="21">
        <f t="shared" si="31"/>
        <v>93.661157024793383</v>
      </c>
      <c r="L411" s="21">
        <f t="shared" si="32"/>
        <v>0</v>
      </c>
      <c r="M411" s="8">
        <v>113.33</v>
      </c>
      <c r="N411" s="20" t="s">
        <v>21</v>
      </c>
      <c r="O411" s="23" t="s">
        <v>64</v>
      </c>
      <c r="P411" s="23"/>
    </row>
    <row r="412" spans="1:16" s="22" customFormat="1" x14ac:dyDescent="0.35">
      <c r="A412" s="24">
        <v>45589</v>
      </c>
      <c r="B412" s="20" t="s">
        <v>3299</v>
      </c>
      <c r="C412" s="20"/>
      <c r="D412" s="20" t="s">
        <v>58</v>
      </c>
      <c r="E412" s="20" t="s">
        <v>2715</v>
      </c>
      <c r="F412" s="21" t="str">
        <f t="shared" si="28"/>
        <v>007-0010-775140 BRICOLAJE BRICOMAN S.L.U.</v>
      </c>
      <c r="G412" s="12">
        <f t="shared" si="30"/>
        <v>10.305785123966944</v>
      </c>
      <c r="H412" s="22">
        <v>21</v>
      </c>
      <c r="I412" s="21">
        <f t="shared" si="29"/>
        <v>2.1642148760330584</v>
      </c>
      <c r="J412" s="21">
        <f t="shared" si="31"/>
        <v>10.305785123966944</v>
      </c>
      <c r="L412" s="21">
        <f t="shared" si="32"/>
        <v>0</v>
      </c>
      <c r="M412" s="8">
        <v>12.47</v>
      </c>
      <c r="N412" s="20" t="s">
        <v>21</v>
      </c>
      <c r="O412" s="23" t="s">
        <v>64</v>
      </c>
      <c r="P412" s="23"/>
    </row>
    <row r="413" spans="1:16" s="22" customFormat="1" x14ac:dyDescent="0.35">
      <c r="A413" s="24">
        <v>45593</v>
      </c>
      <c r="B413" s="20" t="s">
        <v>3300</v>
      </c>
      <c r="C413" s="20"/>
      <c r="D413" s="20" t="s">
        <v>58</v>
      </c>
      <c r="E413" s="20" t="s">
        <v>2715</v>
      </c>
      <c r="F413" s="21" t="str">
        <f t="shared" si="28"/>
        <v>007-0010-780464 BRICOLAJE BRICOMAN S.L.U.</v>
      </c>
      <c r="G413" s="12">
        <f t="shared" si="30"/>
        <v>37.15702479338843</v>
      </c>
      <c r="H413" s="22">
        <v>21</v>
      </c>
      <c r="I413" s="21">
        <f t="shared" si="29"/>
        <v>7.8029752066115705</v>
      </c>
      <c r="J413" s="21">
        <f t="shared" si="31"/>
        <v>37.15702479338843</v>
      </c>
      <c r="L413" s="21">
        <f t="shared" si="32"/>
        <v>0</v>
      </c>
      <c r="M413" s="8">
        <v>44.96</v>
      </c>
      <c r="N413" s="20" t="s">
        <v>21</v>
      </c>
      <c r="O413" s="23" t="s">
        <v>64</v>
      </c>
      <c r="P413" s="23"/>
    </row>
    <row r="414" spans="1:16" s="22" customFormat="1" x14ac:dyDescent="0.35">
      <c r="A414" s="24">
        <v>45593</v>
      </c>
      <c r="B414" s="20" t="s">
        <v>3301</v>
      </c>
      <c r="C414" s="20"/>
      <c r="D414" s="20" t="s">
        <v>58</v>
      </c>
      <c r="E414" s="20" t="s">
        <v>2715</v>
      </c>
      <c r="F414" s="21" t="str">
        <f t="shared" si="28"/>
        <v>007-0010-7804444 BRICOLAJE BRICOMAN S.L.U.</v>
      </c>
      <c r="G414" s="12">
        <f t="shared" si="30"/>
        <v>347.6611570247934</v>
      </c>
      <c r="H414" s="22">
        <v>21</v>
      </c>
      <c r="I414" s="21">
        <f t="shared" si="29"/>
        <v>73.008842975206619</v>
      </c>
      <c r="J414" s="21">
        <f t="shared" si="31"/>
        <v>347.6611570247934</v>
      </c>
      <c r="L414" s="21">
        <f t="shared" si="32"/>
        <v>0</v>
      </c>
      <c r="M414" s="8">
        <v>420.67</v>
      </c>
      <c r="N414" s="20" t="s">
        <v>21</v>
      </c>
      <c r="O414" s="23" t="s">
        <v>64</v>
      </c>
      <c r="P414" s="23"/>
    </row>
    <row r="415" spans="1:16" s="22" customFormat="1" x14ac:dyDescent="0.35">
      <c r="A415" s="24">
        <v>45587</v>
      </c>
      <c r="B415" s="20" t="s">
        <v>3302</v>
      </c>
      <c r="C415" s="20"/>
      <c r="D415" s="20" t="s">
        <v>58</v>
      </c>
      <c r="E415" s="20" t="s">
        <v>2715</v>
      </c>
      <c r="F415" s="21" t="str">
        <f t="shared" si="28"/>
        <v>007-0010-R091491 BRICOLAJE BRICOMAN S.L.U.</v>
      </c>
      <c r="G415" s="12">
        <f t="shared" si="30"/>
        <v>-597.09917355371908</v>
      </c>
      <c r="H415" s="22">
        <v>21</v>
      </c>
      <c r="I415" s="21">
        <f t="shared" si="29"/>
        <v>-125.39082644628101</v>
      </c>
      <c r="J415" s="21">
        <f t="shared" si="31"/>
        <v>-597.09917355371908</v>
      </c>
      <c r="L415" s="21">
        <f t="shared" si="32"/>
        <v>0</v>
      </c>
      <c r="M415" s="8">
        <v>-722.49</v>
      </c>
      <c r="N415" s="20" t="s">
        <v>21</v>
      </c>
      <c r="O415" s="23" t="s">
        <v>64</v>
      </c>
      <c r="P415" s="23"/>
    </row>
    <row r="416" spans="1:16" s="22" customFormat="1" x14ac:dyDescent="0.35">
      <c r="A416" s="24">
        <v>45587</v>
      </c>
      <c r="B416" s="20" t="s">
        <v>3303</v>
      </c>
      <c r="C416" s="20"/>
      <c r="D416" s="20" t="s">
        <v>58</v>
      </c>
      <c r="E416" s="20" t="s">
        <v>2715</v>
      </c>
      <c r="F416" s="21" t="str">
        <f t="shared" si="28"/>
        <v>007-0010-771644 BRICOLAJE BRICOMAN S.L.U.</v>
      </c>
      <c r="G416" s="12">
        <f t="shared" si="30"/>
        <v>821.34710743801656</v>
      </c>
      <c r="H416" s="22">
        <v>21</v>
      </c>
      <c r="I416" s="21">
        <f t="shared" ref="I416:I478" si="33">G416*H416/100</f>
        <v>172.48289256198348</v>
      </c>
      <c r="J416" s="21">
        <f t="shared" si="31"/>
        <v>821.34710743801656</v>
      </c>
      <c r="L416" s="21">
        <f t="shared" si="32"/>
        <v>0</v>
      </c>
      <c r="M416" s="8">
        <v>993.83</v>
      </c>
      <c r="N416" s="20" t="s">
        <v>21</v>
      </c>
      <c r="O416" s="23" t="s">
        <v>64</v>
      </c>
      <c r="P416" s="23"/>
    </row>
    <row r="417" spans="1:16" s="22" customFormat="1" x14ac:dyDescent="0.35">
      <c r="A417" s="24">
        <v>45587</v>
      </c>
      <c r="B417" s="20" t="s">
        <v>3304</v>
      </c>
      <c r="C417" s="20"/>
      <c r="D417" s="20" t="s">
        <v>58</v>
      </c>
      <c r="E417" s="20" t="s">
        <v>2715</v>
      </c>
      <c r="F417" s="21" t="str">
        <f t="shared" si="28"/>
        <v>007-0010-772315 BRICOLAJE BRICOMAN S.L.U.</v>
      </c>
      <c r="G417" s="12">
        <f t="shared" ref="G417:G479" si="34">M417/(1-K417/100+H417/100)</f>
        <v>105.25619834710744</v>
      </c>
      <c r="H417" s="22">
        <v>21</v>
      </c>
      <c r="I417" s="21">
        <f t="shared" si="33"/>
        <v>22.10380165289256</v>
      </c>
      <c r="J417" s="21">
        <f t="shared" ref="J417:J479" si="35">G417</f>
        <v>105.25619834710744</v>
      </c>
      <c r="L417" s="21">
        <f t="shared" ref="L417:L480" si="36">J417*K417/100</f>
        <v>0</v>
      </c>
      <c r="M417" s="8">
        <v>127.36</v>
      </c>
      <c r="N417" s="20" t="s">
        <v>21</v>
      </c>
      <c r="O417" s="23" t="s">
        <v>64</v>
      </c>
      <c r="P417" s="23"/>
    </row>
    <row r="418" spans="1:16" s="22" customFormat="1" x14ac:dyDescent="0.35">
      <c r="A418" s="24">
        <v>45587</v>
      </c>
      <c r="B418" s="20" t="s">
        <v>3305</v>
      </c>
      <c r="C418" s="20"/>
      <c r="D418" s="20" t="s">
        <v>58</v>
      </c>
      <c r="E418" s="20" t="s">
        <v>2715</v>
      </c>
      <c r="F418" s="21" t="str">
        <f t="shared" si="28"/>
        <v>007-0010-771720 BRICOLAJE BRICOMAN S.L.U.</v>
      </c>
      <c r="G418" s="12">
        <f t="shared" si="34"/>
        <v>555.03305785123973</v>
      </c>
      <c r="H418" s="22">
        <v>21</v>
      </c>
      <c r="I418" s="21">
        <f t="shared" si="33"/>
        <v>116.55694214876034</v>
      </c>
      <c r="J418" s="21">
        <f t="shared" si="35"/>
        <v>555.03305785123973</v>
      </c>
      <c r="L418" s="21">
        <f t="shared" si="36"/>
        <v>0</v>
      </c>
      <c r="M418" s="8">
        <v>671.59</v>
      </c>
      <c r="N418" s="20" t="s">
        <v>21</v>
      </c>
      <c r="O418" s="23" t="s">
        <v>64</v>
      </c>
      <c r="P418" s="23"/>
    </row>
    <row r="419" spans="1:16" s="22" customFormat="1" x14ac:dyDescent="0.35">
      <c r="A419" s="24">
        <v>45602</v>
      </c>
      <c r="B419" s="20" t="s">
        <v>3306</v>
      </c>
      <c r="C419" s="20"/>
      <c r="D419" s="20" t="s">
        <v>58</v>
      </c>
      <c r="E419" s="20" t="s">
        <v>2715</v>
      </c>
      <c r="F419" s="21" t="str">
        <f t="shared" si="28"/>
        <v>012-0011-511162 BRICOLAJE BRICOMAN S.L.U.</v>
      </c>
      <c r="G419" s="12">
        <f t="shared" si="34"/>
        <v>132.19008264462809</v>
      </c>
      <c r="H419" s="22">
        <v>21</v>
      </c>
      <c r="I419" s="21">
        <f t="shared" si="33"/>
        <v>27.759917355371901</v>
      </c>
      <c r="J419" s="21">
        <f t="shared" si="35"/>
        <v>132.19008264462809</v>
      </c>
      <c r="L419" s="21">
        <f t="shared" si="36"/>
        <v>0</v>
      </c>
      <c r="M419" s="8">
        <v>159.94999999999999</v>
      </c>
      <c r="N419" s="20" t="s">
        <v>21</v>
      </c>
      <c r="O419" s="23" t="s">
        <v>64</v>
      </c>
      <c r="P419" s="23"/>
    </row>
    <row r="420" spans="1:16" s="22" customFormat="1" x14ac:dyDescent="0.35">
      <c r="A420" s="24">
        <v>45602</v>
      </c>
      <c r="B420" s="20" t="s">
        <v>3307</v>
      </c>
      <c r="C420" s="20"/>
      <c r="D420" s="20" t="s">
        <v>58</v>
      </c>
      <c r="E420" s="20" t="s">
        <v>2715</v>
      </c>
      <c r="F420" s="21" t="str">
        <f t="shared" si="28"/>
        <v>004-0011-797342 BRICOLAJE BRICOMAN S.L.U.</v>
      </c>
      <c r="G420" s="12">
        <f t="shared" si="34"/>
        <v>49.057851239669425</v>
      </c>
      <c r="H420" s="22">
        <v>21</v>
      </c>
      <c r="I420" s="21">
        <f t="shared" si="33"/>
        <v>10.302148760330578</v>
      </c>
      <c r="J420" s="21">
        <f t="shared" si="35"/>
        <v>49.057851239669425</v>
      </c>
      <c r="L420" s="21">
        <f t="shared" si="36"/>
        <v>0</v>
      </c>
      <c r="M420" s="8">
        <v>59.36</v>
      </c>
      <c r="N420" s="20" t="s">
        <v>21</v>
      </c>
      <c r="O420" s="23" t="s">
        <v>64</v>
      </c>
      <c r="P420" s="23"/>
    </row>
    <row r="421" spans="1:16" s="22" customFormat="1" x14ac:dyDescent="0.35">
      <c r="A421" s="24">
        <v>45601</v>
      </c>
      <c r="B421" s="20" t="s">
        <v>3308</v>
      </c>
      <c r="C421" s="20"/>
      <c r="D421" s="20" t="s">
        <v>58</v>
      </c>
      <c r="E421" s="20" t="s">
        <v>2715</v>
      </c>
      <c r="F421" s="21" t="str">
        <f t="shared" si="28"/>
        <v>007-0011-791600 BRICOLAJE BRICOMAN S.L.U.</v>
      </c>
      <c r="G421" s="12">
        <f t="shared" si="34"/>
        <v>9.4214876033057848</v>
      </c>
      <c r="H421" s="22">
        <v>21</v>
      </c>
      <c r="I421" s="21">
        <f t="shared" si="33"/>
        <v>1.9785123966942149</v>
      </c>
      <c r="J421" s="21">
        <f t="shared" si="35"/>
        <v>9.4214876033057848</v>
      </c>
      <c r="L421" s="21">
        <f t="shared" si="36"/>
        <v>0</v>
      </c>
      <c r="M421" s="8">
        <v>11.4</v>
      </c>
      <c r="N421" s="20" t="s">
        <v>21</v>
      </c>
      <c r="O421" s="23" t="s">
        <v>64</v>
      </c>
      <c r="P421" s="23"/>
    </row>
    <row r="422" spans="1:16" s="22" customFormat="1" x14ac:dyDescent="0.35">
      <c r="A422" s="24">
        <v>45594</v>
      </c>
      <c r="B422" s="20" t="s">
        <v>3309</v>
      </c>
      <c r="C422" s="20"/>
      <c r="D422" s="20" t="s">
        <v>58</v>
      </c>
      <c r="E422" s="20" t="s">
        <v>2715</v>
      </c>
      <c r="F422" s="21" t="str">
        <f t="shared" si="28"/>
        <v>004-0010-782316 BRICOLAJE BRICOMAN S.L.U.</v>
      </c>
      <c r="G422" s="12">
        <f t="shared" si="34"/>
        <v>46.02479338842975</v>
      </c>
      <c r="H422" s="22">
        <v>21</v>
      </c>
      <c r="I422" s="21">
        <f t="shared" si="33"/>
        <v>9.6652066115702482</v>
      </c>
      <c r="J422" s="21">
        <f t="shared" si="35"/>
        <v>46.02479338842975</v>
      </c>
      <c r="L422" s="21">
        <f t="shared" si="36"/>
        <v>0</v>
      </c>
      <c r="M422" s="8">
        <v>55.69</v>
      </c>
      <c r="N422" s="20" t="s">
        <v>21</v>
      </c>
      <c r="O422" s="23" t="s">
        <v>64</v>
      </c>
      <c r="P422" s="23"/>
    </row>
    <row r="423" spans="1:16" s="22" customFormat="1" x14ac:dyDescent="0.35">
      <c r="A423" s="24">
        <v>45603</v>
      </c>
      <c r="B423" s="20" t="s">
        <v>3310</v>
      </c>
      <c r="C423" s="20"/>
      <c r="D423" s="20" t="s">
        <v>58</v>
      </c>
      <c r="E423" s="20" t="s">
        <v>2715</v>
      </c>
      <c r="F423" s="21" t="str">
        <f t="shared" si="28"/>
        <v>007-0011-794738 BRICOLAJE BRICOMAN S.L.U.</v>
      </c>
      <c r="G423" s="12">
        <f t="shared" si="34"/>
        <v>39.173553719008261</v>
      </c>
      <c r="H423" s="22">
        <v>21</v>
      </c>
      <c r="I423" s="21">
        <f t="shared" si="33"/>
        <v>8.226446280991734</v>
      </c>
      <c r="J423" s="21">
        <f t="shared" si="35"/>
        <v>39.173553719008261</v>
      </c>
      <c r="L423" s="21">
        <f t="shared" si="36"/>
        <v>0</v>
      </c>
      <c r="M423" s="8">
        <v>47.4</v>
      </c>
      <c r="N423" s="20" t="s">
        <v>21</v>
      </c>
      <c r="O423" s="23" t="s">
        <v>64</v>
      </c>
      <c r="P423" s="23"/>
    </row>
    <row r="424" spans="1:16" s="22" customFormat="1" x14ac:dyDescent="0.35">
      <c r="A424" s="24">
        <v>45594</v>
      </c>
      <c r="B424" s="20" t="s">
        <v>3311</v>
      </c>
      <c r="C424" s="20"/>
      <c r="D424" s="20" t="s">
        <v>58</v>
      </c>
      <c r="E424" s="20" t="s">
        <v>2715</v>
      </c>
      <c r="F424" s="21" t="str">
        <f t="shared" si="28"/>
        <v>004-0010-782366 BRICOLAJE BRICOMAN S.L.U.</v>
      </c>
      <c r="G424" s="12">
        <f t="shared" si="34"/>
        <v>19.256198347107439</v>
      </c>
      <c r="H424" s="22">
        <v>21</v>
      </c>
      <c r="I424" s="21">
        <f t="shared" si="33"/>
        <v>4.0438016528925624</v>
      </c>
      <c r="J424" s="21">
        <f t="shared" si="35"/>
        <v>19.256198347107439</v>
      </c>
      <c r="L424" s="21">
        <f t="shared" si="36"/>
        <v>0</v>
      </c>
      <c r="M424" s="8">
        <v>23.3</v>
      </c>
      <c r="N424" s="20" t="s">
        <v>21</v>
      </c>
      <c r="O424" s="23" t="s">
        <v>64</v>
      </c>
      <c r="P424" s="23"/>
    </row>
    <row r="425" spans="1:16" s="22" customFormat="1" x14ac:dyDescent="0.35">
      <c r="A425" s="24">
        <v>45594</v>
      </c>
      <c r="B425" s="20" t="s">
        <v>3312</v>
      </c>
      <c r="C425" s="20"/>
      <c r="D425" s="20" t="s">
        <v>58</v>
      </c>
      <c r="E425" s="20" t="s">
        <v>2715</v>
      </c>
      <c r="F425" s="21" t="str">
        <f t="shared" si="28"/>
        <v>004-0010-782405 BRICOLAJE BRICOMAN S.L.U.</v>
      </c>
      <c r="G425" s="12">
        <f t="shared" si="34"/>
        <v>32.851239669421489</v>
      </c>
      <c r="H425" s="22">
        <v>21</v>
      </c>
      <c r="I425" s="21">
        <f t="shared" si="33"/>
        <v>6.8987603305785123</v>
      </c>
      <c r="J425" s="21">
        <f t="shared" si="35"/>
        <v>32.851239669421489</v>
      </c>
      <c r="L425" s="21">
        <f t="shared" si="36"/>
        <v>0</v>
      </c>
      <c r="M425" s="8">
        <v>39.75</v>
      </c>
      <c r="N425" s="20" t="s">
        <v>21</v>
      </c>
      <c r="O425" s="23" t="s">
        <v>64</v>
      </c>
      <c r="P425" s="23"/>
    </row>
    <row r="426" spans="1:16" s="22" customFormat="1" x14ac:dyDescent="0.35">
      <c r="A426" s="24">
        <v>45590</v>
      </c>
      <c r="B426" s="20" t="s">
        <v>3313</v>
      </c>
      <c r="C426" s="20"/>
      <c r="D426" s="20" t="s">
        <v>58</v>
      </c>
      <c r="E426" s="20" t="s">
        <v>2715</v>
      </c>
      <c r="F426" s="21" t="str">
        <f t="shared" si="28"/>
        <v>007-0010-777291 BRICOLAJE BRICOMAN S.L.U.</v>
      </c>
      <c r="G426" s="12">
        <f t="shared" si="34"/>
        <v>88.429752066115711</v>
      </c>
      <c r="H426" s="22">
        <v>21</v>
      </c>
      <c r="I426" s="21">
        <f t="shared" si="33"/>
        <v>18.5702479338843</v>
      </c>
      <c r="J426" s="21">
        <f t="shared" si="35"/>
        <v>88.429752066115711</v>
      </c>
      <c r="L426" s="21">
        <f t="shared" si="36"/>
        <v>0</v>
      </c>
      <c r="M426" s="8">
        <v>107</v>
      </c>
      <c r="N426" s="20" t="s">
        <v>21</v>
      </c>
      <c r="O426" s="23" t="s">
        <v>64</v>
      </c>
      <c r="P426" s="23"/>
    </row>
    <row r="427" spans="1:16" s="22" customFormat="1" x14ac:dyDescent="0.35">
      <c r="A427" s="24">
        <v>45567</v>
      </c>
      <c r="B427" s="20" t="s">
        <v>3314</v>
      </c>
      <c r="C427" s="20"/>
      <c r="D427" s="20" t="s">
        <v>58</v>
      </c>
      <c r="E427" s="20" t="s">
        <v>2715</v>
      </c>
      <c r="F427" s="21" t="str">
        <f t="shared" si="28"/>
        <v>007-0010-743580 BRICOLAJE BRICOMAN S.L.U.</v>
      </c>
      <c r="G427" s="12">
        <f t="shared" si="34"/>
        <v>17.396694214876035</v>
      </c>
      <c r="H427" s="22">
        <v>21</v>
      </c>
      <c r="I427" s="21">
        <f t="shared" si="33"/>
        <v>3.6533057851239676</v>
      </c>
      <c r="J427" s="21">
        <f t="shared" si="35"/>
        <v>17.396694214876035</v>
      </c>
      <c r="L427" s="21">
        <f t="shared" si="36"/>
        <v>0</v>
      </c>
      <c r="M427" s="8">
        <v>21.05</v>
      </c>
      <c r="N427" s="20" t="s">
        <v>21</v>
      </c>
      <c r="O427" s="23" t="s">
        <v>64</v>
      </c>
      <c r="P427" s="23"/>
    </row>
    <row r="428" spans="1:16" s="22" customFormat="1" x14ac:dyDescent="0.35">
      <c r="A428" s="24">
        <v>45566</v>
      </c>
      <c r="B428" s="20" t="s">
        <v>3315</v>
      </c>
      <c r="C428" s="20"/>
      <c r="D428" s="20" t="s">
        <v>58</v>
      </c>
      <c r="E428" s="20" t="s">
        <v>2715</v>
      </c>
      <c r="F428" s="21" t="str">
        <f t="shared" si="28"/>
        <v>007-0010-741973 BRICOLAJE BRICOMAN S.L.U.</v>
      </c>
      <c r="G428" s="12">
        <f t="shared" si="34"/>
        <v>37.603305785123965</v>
      </c>
      <c r="H428" s="22">
        <v>21</v>
      </c>
      <c r="I428" s="21">
        <f t="shared" si="33"/>
        <v>7.8966942148760326</v>
      </c>
      <c r="J428" s="21">
        <f t="shared" si="35"/>
        <v>37.603305785123965</v>
      </c>
      <c r="L428" s="21">
        <f t="shared" si="36"/>
        <v>0</v>
      </c>
      <c r="M428" s="8">
        <v>45.5</v>
      </c>
      <c r="N428" s="20" t="s">
        <v>21</v>
      </c>
      <c r="O428" s="23" t="s">
        <v>64</v>
      </c>
      <c r="P428" s="23"/>
    </row>
    <row r="429" spans="1:16" s="22" customFormat="1" x14ac:dyDescent="0.35">
      <c r="A429" s="24">
        <v>45568</v>
      </c>
      <c r="B429" s="20" t="s">
        <v>3316</v>
      </c>
      <c r="C429" s="20"/>
      <c r="D429" s="20" t="s">
        <v>58</v>
      </c>
      <c r="E429" s="20" t="s">
        <v>2715</v>
      </c>
      <c r="F429" s="21" t="str">
        <f t="shared" si="28"/>
        <v>007-0010-744860 BRICOLAJE BRICOMAN S.L.U.</v>
      </c>
      <c r="G429" s="12">
        <f t="shared" si="34"/>
        <v>86.52066115702479</v>
      </c>
      <c r="H429" s="22">
        <v>21</v>
      </c>
      <c r="I429" s="21">
        <f t="shared" si="33"/>
        <v>18.169338842975204</v>
      </c>
      <c r="J429" s="21">
        <f t="shared" si="35"/>
        <v>86.52066115702479</v>
      </c>
      <c r="K429" s="21"/>
      <c r="L429" s="21">
        <f t="shared" si="36"/>
        <v>0</v>
      </c>
      <c r="M429" s="8">
        <v>104.69</v>
      </c>
      <c r="N429" s="20" t="s">
        <v>21</v>
      </c>
      <c r="O429" s="23" t="s">
        <v>64</v>
      </c>
      <c r="P429" s="23"/>
    </row>
    <row r="430" spans="1:16" s="22" customFormat="1" x14ac:dyDescent="0.35">
      <c r="A430" s="24">
        <v>45568</v>
      </c>
      <c r="B430" s="20" t="s">
        <v>3317</v>
      </c>
      <c r="C430" s="20"/>
      <c r="D430" s="20" t="s">
        <v>58</v>
      </c>
      <c r="E430" s="20" t="s">
        <v>2715</v>
      </c>
      <c r="F430" s="21" t="str">
        <f t="shared" si="28"/>
        <v>007-0010-745163 BRICOLAJE BRICOMAN S.L.U.</v>
      </c>
      <c r="G430" s="12">
        <f t="shared" si="34"/>
        <v>106.21487603305786</v>
      </c>
      <c r="H430" s="22">
        <v>21</v>
      </c>
      <c r="I430" s="21">
        <f t="shared" si="33"/>
        <v>22.305123966942151</v>
      </c>
      <c r="J430" s="21">
        <f t="shared" si="35"/>
        <v>106.21487603305786</v>
      </c>
      <c r="L430" s="21">
        <f t="shared" si="36"/>
        <v>0</v>
      </c>
      <c r="M430" s="8">
        <v>128.52000000000001</v>
      </c>
      <c r="N430" s="20" t="s">
        <v>21</v>
      </c>
      <c r="O430" s="23" t="s">
        <v>64</v>
      </c>
      <c r="P430" s="23"/>
    </row>
    <row r="431" spans="1:16" s="22" customFormat="1" x14ac:dyDescent="0.35">
      <c r="A431" s="24">
        <v>45569</v>
      </c>
      <c r="B431" s="20" t="s">
        <v>3318</v>
      </c>
      <c r="C431" s="20"/>
      <c r="D431" s="20" t="s">
        <v>58</v>
      </c>
      <c r="E431" s="20" t="s">
        <v>2715</v>
      </c>
      <c r="F431" s="21" t="str">
        <f t="shared" si="28"/>
        <v>007-0010-746691 BRICOLAJE BRICOMAN S.L.U.</v>
      </c>
      <c r="G431" s="12">
        <f t="shared" si="34"/>
        <v>52.033057851239668</v>
      </c>
      <c r="H431" s="22">
        <v>21</v>
      </c>
      <c r="I431" s="21">
        <f t="shared" si="33"/>
        <v>10.926942148760331</v>
      </c>
      <c r="J431" s="21">
        <f t="shared" si="35"/>
        <v>52.033057851239668</v>
      </c>
      <c r="L431" s="21">
        <f t="shared" si="36"/>
        <v>0</v>
      </c>
      <c r="M431" s="8">
        <v>62.96</v>
      </c>
      <c r="N431" s="20" t="s">
        <v>21</v>
      </c>
      <c r="O431" s="23" t="s">
        <v>64</v>
      </c>
      <c r="P431" s="23"/>
    </row>
    <row r="432" spans="1:16" s="22" customFormat="1" x14ac:dyDescent="0.35">
      <c r="A432" s="24">
        <v>45574</v>
      </c>
      <c r="B432" s="20" t="s">
        <v>3319</v>
      </c>
      <c r="C432" s="20"/>
      <c r="D432" s="20" t="s">
        <v>58</v>
      </c>
      <c r="E432" s="20" t="s">
        <v>2715</v>
      </c>
      <c r="F432" s="21" t="str">
        <f t="shared" si="28"/>
        <v>007-0010-753511 BRICOLAJE BRICOMAN S.L.U.</v>
      </c>
      <c r="G432" s="12">
        <f t="shared" si="34"/>
        <v>106.15702479338843</v>
      </c>
      <c r="H432" s="22">
        <v>21</v>
      </c>
      <c r="I432" s="21">
        <f t="shared" si="33"/>
        <v>22.292975206611573</v>
      </c>
      <c r="J432" s="21">
        <f t="shared" si="35"/>
        <v>106.15702479338843</v>
      </c>
      <c r="L432" s="21">
        <f t="shared" si="36"/>
        <v>0</v>
      </c>
      <c r="M432" s="8">
        <v>128.44999999999999</v>
      </c>
      <c r="N432" s="20" t="s">
        <v>21</v>
      </c>
      <c r="O432" s="23" t="s">
        <v>64</v>
      </c>
      <c r="P432" s="23"/>
    </row>
    <row r="433" spans="1:16" s="22" customFormat="1" x14ac:dyDescent="0.35">
      <c r="A433" s="24">
        <v>45575</v>
      </c>
      <c r="B433" s="20" t="s">
        <v>3320</v>
      </c>
      <c r="C433" s="20"/>
      <c r="D433" s="20" t="s">
        <v>58</v>
      </c>
      <c r="E433" s="20" t="s">
        <v>2715</v>
      </c>
      <c r="F433" s="21" t="str">
        <f t="shared" si="28"/>
        <v>007-0010-755139 BRICOLAJE BRICOMAN S.L.U.</v>
      </c>
      <c r="G433" s="12">
        <f t="shared" si="34"/>
        <v>20.074380165289256</v>
      </c>
      <c r="H433" s="22">
        <v>21</v>
      </c>
      <c r="I433" s="21">
        <f t="shared" si="33"/>
        <v>4.2156198347107434</v>
      </c>
      <c r="J433" s="21">
        <f t="shared" si="35"/>
        <v>20.074380165289256</v>
      </c>
      <c r="L433" s="21">
        <f t="shared" si="36"/>
        <v>0</v>
      </c>
      <c r="M433" s="8">
        <v>24.29</v>
      </c>
      <c r="N433" s="20" t="s">
        <v>21</v>
      </c>
      <c r="O433" s="23" t="s">
        <v>64</v>
      </c>
      <c r="P433" s="23"/>
    </row>
    <row r="434" spans="1:16" s="22" customFormat="1" x14ac:dyDescent="0.35">
      <c r="A434" s="24">
        <v>45577</v>
      </c>
      <c r="B434" s="20" t="s">
        <v>3321</v>
      </c>
      <c r="C434" s="20"/>
      <c r="D434" s="20" t="s">
        <v>58</v>
      </c>
      <c r="E434" s="20" t="s">
        <v>2715</v>
      </c>
      <c r="F434" s="21" t="str">
        <f t="shared" si="28"/>
        <v>007-0010-758444 BRICOLAJE BRICOMAN S.L.U.</v>
      </c>
      <c r="G434" s="12">
        <f t="shared" si="34"/>
        <v>78.041322314049594</v>
      </c>
      <c r="H434" s="22">
        <v>21</v>
      </c>
      <c r="I434" s="21">
        <f t="shared" si="33"/>
        <v>16.388677685950416</v>
      </c>
      <c r="J434" s="21">
        <f t="shared" si="35"/>
        <v>78.041322314049594</v>
      </c>
      <c r="L434" s="21">
        <f t="shared" si="36"/>
        <v>0</v>
      </c>
      <c r="M434" s="8">
        <v>94.43</v>
      </c>
      <c r="N434" s="20" t="s">
        <v>21</v>
      </c>
      <c r="O434" s="23" t="s">
        <v>64</v>
      </c>
      <c r="P434" s="23"/>
    </row>
    <row r="435" spans="1:16" s="22" customFormat="1" x14ac:dyDescent="0.35">
      <c r="A435" s="24">
        <v>45575</v>
      </c>
      <c r="B435" s="20" t="s">
        <v>3322</v>
      </c>
      <c r="C435" s="20"/>
      <c r="D435" s="20" t="s">
        <v>58</v>
      </c>
      <c r="E435" s="20" t="s">
        <v>2715</v>
      </c>
      <c r="F435" s="21" t="str">
        <f t="shared" si="28"/>
        <v>007-0010-755136 BRICOLAJE BRICOMAN S.L.U.</v>
      </c>
      <c r="G435" s="12">
        <f t="shared" si="34"/>
        <v>68.016528925619838</v>
      </c>
      <c r="H435" s="22">
        <v>21</v>
      </c>
      <c r="I435" s="21">
        <f t="shared" si="33"/>
        <v>14.283471074380166</v>
      </c>
      <c r="J435" s="21">
        <f t="shared" si="35"/>
        <v>68.016528925619838</v>
      </c>
      <c r="L435" s="21">
        <f t="shared" si="36"/>
        <v>0</v>
      </c>
      <c r="M435" s="8">
        <v>82.3</v>
      </c>
      <c r="N435" s="20" t="s">
        <v>21</v>
      </c>
      <c r="O435" s="23" t="s">
        <v>64</v>
      </c>
      <c r="P435" s="23"/>
    </row>
    <row r="436" spans="1:16" s="22" customFormat="1" x14ac:dyDescent="0.35">
      <c r="A436" s="24">
        <v>45575</v>
      </c>
      <c r="B436" s="20" t="s">
        <v>3323</v>
      </c>
      <c r="C436" s="20"/>
      <c r="D436" s="20" t="s">
        <v>58</v>
      </c>
      <c r="E436" s="20" t="s">
        <v>2715</v>
      </c>
      <c r="F436" s="21" t="str">
        <f t="shared" si="28"/>
        <v>007-0010-744990 BRICOLAJE BRICOMAN S.L.U.</v>
      </c>
      <c r="G436" s="12">
        <f t="shared" si="34"/>
        <v>41.247933884297517</v>
      </c>
      <c r="H436" s="22">
        <v>21</v>
      </c>
      <c r="I436" s="21">
        <f t="shared" si="33"/>
        <v>8.6620661157024799</v>
      </c>
      <c r="J436" s="21">
        <f t="shared" si="35"/>
        <v>41.247933884297517</v>
      </c>
      <c r="L436" s="21">
        <f t="shared" si="36"/>
        <v>0</v>
      </c>
      <c r="M436" s="8">
        <v>49.91</v>
      </c>
      <c r="N436" s="20" t="s">
        <v>21</v>
      </c>
      <c r="O436" s="23" t="s">
        <v>64</v>
      </c>
      <c r="P436" s="23"/>
    </row>
    <row r="437" spans="1:16" s="22" customFormat="1" x14ac:dyDescent="0.35">
      <c r="A437" s="24">
        <v>45575</v>
      </c>
      <c r="B437" s="20" t="s">
        <v>3324</v>
      </c>
      <c r="C437" s="20"/>
      <c r="D437" s="20" t="s">
        <v>58</v>
      </c>
      <c r="E437" s="20" t="s">
        <v>2715</v>
      </c>
      <c r="F437" s="21" t="str">
        <f t="shared" si="28"/>
        <v>004-0010-745011 BRICOLAJE BRICOMAN S.L.U.</v>
      </c>
      <c r="G437" s="12">
        <f t="shared" si="34"/>
        <v>30</v>
      </c>
      <c r="H437" s="22">
        <v>21</v>
      </c>
      <c r="I437" s="21">
        <f t="shared" si="33"/>
        <v>6.3</v>
      </c>
      <c r="J437" s="21">
        <f t="shared" si="35"/>
        <v>30</v>
      </c>
      <c r="L437" s="21">
        <f t="shared" si="36"/>
        <v>0</v>
      </c>
      <c r="M437" s="8">
        <v>36.299999999999997</v>
      </c>
      <c r="N437" s="20" t="s">
        <v>21</v>
      </c>
      <c r="O437" s="23" t="s">
        <v>64</v>
      </c>
      <c r="P437" s="23"/>
    </row>
    <row r="438" spans="1:16" s="22" customFormat="1" x14ac:dyDescent="0.35">
      <c r="A438" s="24">
        <v>45579</v>
      </c>
      <c r="B438" s="20" t="s">
        <v>3325</v>
      </c>
      <c r="C438" s="20"/>
      <c r="D438" s="20" t="s">
        <v>58</v>
      </c>
      <c r="E438" s="20" t="s">
        <v>2715</v>
      </c>
      <c r="F438" s="21" t="str">
        <f t="shared" si="28"/>
        <v>007-0010-759750 BRICOLAJE BRICOMAN S.L.U.</v>
      </c>
      <c r="G438" s="12">
        <v>139.79</v>
      </c>
      <c r="H438" s="22">
        <v>21</v>
      </c>
      <c r="I438" s="21">
        <f t="shared" si="33"/>
        <v>29.355899999999998</v>
      </c>
      <c r="J438" s="21">
        <v>1.92</v>
      </c>
      <c r="K438" s="21">
        <v>4</v>
      </c>
      <c r="L438" s="21">
        <f t="shared" si="36"/>
        <v>7.6799999999999993E-2</v>
      </c>
      <c r="M438" s="8">
        <v>171.15</v>
      </c>
      <c r="N438" s="20" t="s">
        <v>21</v>
      </c>
      <c r="O438" s="23" t="s">
        <v>64</v>
      </c>
      <c r="P438" s="23"/>
    </row>
    <row r="439" spans="1:16" s="22" customFormat="1" x14ac:dyDescent="0.35">
      <c r="A439" s="24">
        <v>45579</v>
      </c>
      <c r="B439" s="20" t="s">
        <v>3326</v>
      </c>
      <c r="C439" s="20"/>
      <c r="D439" s="20" t="s">
        <v>58</v>
      </c>
      <c r="E439" s="20" t="s">
        <v>2715</v>
      </c>
      <c r="F439" s="21" t="str">
        <f t="shared" si="28"/>
        <v>007-0010-760405 BRICOLAJE BRICOMAN S.L.U.</v>
      </c>
      <c r="G439" s="12">
        <f t="shared" si="34"/>
        <v>15.950413223140497</v>
      </c>
      <c r="H439" s="22">
        <v>21</v>
      </c>
      <c r="I439" s="21">
        <f t="shared" si="33"/>
        <v>3.3495867768595042</v>
      </c>
      <c r="J439" s="21">
        <f t="shared" si="35"/>
        <v>15.950413223140497</v>
      </c>
      <c r="L439" s="21">
        <f t="shared" si="36"/>
        <v>0</v>
      </c>
      <c r="M439" s="8">
        <v>19.3</v>
      </c>
      <c r="N439" s="20" t="s">
        <v>21</v>
      </c>
      <c r="O439" s="23" t="s">
        <v>64</v>
      </c>
      <c r="P439" s="23"/>
    </row>
    <row r="440" spans="1:16" s="22" customFormat="1" x14ac:dyDescent="0.35">
      <c r="A440" s="24">
        <v>45607</v>
      </c>
      <c r="B440" s="20" t="s">
        <v>3327</v>
      </c>
      <c r="C440" s="20"/>
      <c r="D440" s="20" t="s">
        <v>58</v>
      </c>
      <c r="E440" s="20" t="s">
        <v>2715</v>
      </c>
      <c r="F440" s="21" t="str">
        <f t="shared" si="28"/>
        <v>004-0011-R208449 BRICOLAJE BRICOMAN S.L.U.</v>
      </c>
      <c r="G440" s="12">
        <f t="shared" si="34"/>
        <v>-15.173553719008265</v>
      </c>
      <c r="H440" s="22">
        <v>21</v>
      </c>
      <c r="I440" s="21">
        <f t="shared" si="33"/>
        <v>-3.1864462809917353</v>
      </c>
      <c r="J440" s="21">
        <f t="shared" si="35"/>
        <v>-15.173553719008265</v>
      </c>
      <c r="L440" s="21">
        <f t="shared" si="36"/>
        <v>0</v>
      </c>
      <c r="M440" s="8">
        <v>-18.36</v>
      </c>
      <c r="N440" s="20" t="s">
        <v>21</v>
      </c>
      <c r="O440" s="23" t="s">
        <v>64</v>
      </c>
      <c r="P440" s="23"/>
    </row>
    <row r="441" spans="1:16" s="22" customFormat="1" x14ac:dyDescent="0.35">
      <c r="A441" s="24">
        <v>45601</v>
      </c>
      <c r="B441" s="20" t="s">
        <v>3328</v>
      </c>
      <c r="C441" s="20"/>
      <c r="D441" s="20" t="s">
        <v>58</v>
      </c>
      <c r="E441" s="20" t="s">
        <v>2715</v>
      </c>
      <c r="F441" s="21" t="str">
        <f t="shared" si="28"/>
        <v>007-0011-791571 BRICOLAJE BRICOMAN S.L.U.</v>
      </c>
      <c r="G441" s="12">
        <f t="shared" si="34"/>
        <v>157.16528925619835</v>
      </c>
      <c r="H441" s="22">
        <v>21</v>
      </c>
      <c r="I441" s="21">
        <f t="shared" si="33"/>
        <v>33.004710743801652</v>
      </c>
      <c r="J441" s="21">
        <f t="shared" si="35"/>
        <v>157.16528925619835</v>
      </c>
      <c r="L441" s="21">
        <f t="shared" si="36"/>
        <v>0</v>
      </c>
      <c r="M441" s="8">
        <v>190.17</v>
      </c>
      <c r="N441" s="20" t="s">
        <v>21</v>
      </c>
      <c r="O441" s="23" t="s">
        <v>64</v>
      </c>
      <c r="P441" s="23"/>
    </row>
    <row r="442" spans="1:16" s="22" customFormat="1" x14ac:dyDescent="0.35">
      <c r="A442" s="24">
        <v>45607</v>
      </c>
      <c r="B442" s="20" t="s">
        <v>3329</v>
      </c>
      <c r="C442" s="20"/>
      <c r="D442" s="20" t="s">
        <v>58</v>
      </c>
      <c r="E442" s="20" t="s">
        <v>2715</v>
      </c>
      <c r="F442" s="21" t="str">
        <f t="shared" si="28"/>
        <v>004-0011-807102 BRICOLAJE BRICOMAN S.L.U.</v>
      </c>
      <c r="G442" s="12">
        <f t="shared" si="34"/>
        <v>8.2644628099173563</v>
      </c>
      <c r="H442" s="22">
        <v>21</v>
      </c>
      <c r="I442" s="21">
        <f t="shared" si="33"/>
        <v>1.7355371900826448</v>
      </c>
      <c r="J442" s="21">
        <f t="shared" si="35"/>
        <v>8.2644628099173563</v>
      </c>
      <c r="L442" s="21">
        <f t="shared" si="36"/>
        <v>0</v>
      </c>
      <c r="M442" s="8">
        <v>10</v>
      </c>
      <c r="N442" s="20" t="s">
        <v>21</v>
      </c>
      <c r="O442" s="23" t="s">
        <v>64</v>
      </c>
      <c r="P442" s="23"/>
    </row>
    <row r="443" spans="1:16" s="22" customFormat="1" x14ac:dyDescent="0.35">
      <c r="A443" s="24">
        <v>45607</v>
      </c>
      <c r="B443" s="20" t="s">
        <v>3330</v>
      </c>
      <c r="C443" s="20"/>
      <c r="D443" s="20" t="s">
        <v>58</v>
      </c>
      <c r="E443" s="20" t="s">
        <v>2715</v>
      </c>
      <c r="F443" s="21" t="str">
        <f t="shared" si="28"/>
        <v>007-0011-799819 BRICOLAJE BRICOMAN S.L.U.</v>
      </c>
      <c r="G443" s="12">
        <f t="shared" si="34"/>
        <v>41.165289256198349</v>
      </c>
      <c r="H443" s="22">
        <v>21</v>
      </c>
      <c r="I443" s="21">
        <f t="shared" si="33"/>
        <v>8.6447107438016531</v>
      </c>
      <c r="J443" s="21">
        <f t="shared" si="35"/>
        <v>41.165289256198349</v>
      </c>
      <c r="L443" s="21">
        <f t="shared" si="36"/>
        <v>0</v>
      </c>
      <c r="M443" s="8">
        <v>49.81</v>
      </c>
      <c r="N443" s="20" t="s">
        <v>21</v>
      </c>
      <c r="O443" s="23" t="s">
        <v>64</v>
      </c>
      <c r="P443" s="23"/>
    </row>
    <row r="444" spans="1:16" s="22" customFormat="1" x14ac:dyDescent="0.35">
      <c r="A444" s="24">
        <v>45583</v>
      </c>
      <c r="B444" s="20" t="s">
        <v>3331</v>
      </c>
      <c r="C444" s="20"/>
      <c r="D444" s="20" t="s">
        <v>58</v>
      </c>
      <c r="E444" s="20" t="s">
        <v>2715</v>
      </c>
      <c r="F444" s="21" t="str">
        <f t="shared" si="28"/>
        <v>007-0010-766706 BRICOLAJE BRICOMAN S.L.U.</v>
      </c>
      <c r="G444" s="12">
        <f t="shared" si="34"/>
        <v>205.07438016528926</v>
      </c>
      <c r="H444" s="22">
        <v>21</v>
      </c>
      <c r="I444" s="21">
        <f t="shared" si="33"/>
        <v>43.065619834710745</v>
      </c>
      <c r="J444" s="21">
        <f t="shared" si="35"/>
        <v>205.07438016528926</v>
      </c>
      <c r="L444" s="21">
        <f t="shared" si="36"/>
        <v>0</v>
      </c>
      <c r="M444" s="8">
        <v>248.14</v>
      </c>
      <c r="N444" s="20" t="s">
        <v>21</v>
      </c>
      <c r="O444" s="23" t="s">
        <v>64</v>
      </c>
      <c r="P444" s="23"/>
    </row>
    <row r="445" spans="1:16" s="22" customFormat="1" x14ac:dyDescent="0.35">
      <c r="A445" s="24">
        <v>45583</v>
      </c>
      <c r="B445" s="20" t="s">
        <v>3332</v>
      </c>
      <c r="C445" s="20"/>
      <c r="D445" s="20" t="s">
        <v>58</v>
      </c>
      <c r="E445" s="20" t="s">
        <v>2715</v>
      </c>
      <c r="F445" s="21" t="str">
        <f t="shared" si="28"/>
        <v>007-0010-767090 BRICOLAJE BRICOMAN S.L.U.</v>
      </c>
      <c r="G445" s="12">
        <f t="shared" si="34"/>
        <v>141.35537190082644</v>
      </c>
      <c r="H445" s="22">
        <v>21</v>
      </c>
      <c r="I445" s="21">
        <f t="shared" si="33"/>
        <v>29.684628099173551</v>
      </c>
      <c r="J445" s="21">
        <f t="shared" si="35"/>
        <v>141.35537190082644</v>
      </c>
      <c r="L445" s="21">
        <f t="shared" si="36"/>
        <v>0</v>
      </c>
      <c r="M445" s="8">
        <v>171.04</v>
      </c>
      <c r="N445" s="20" t="s">
        <v>21</v>
      </c>
      <c r="O445" s="23" t="s">
        <v>64</v>
      </c>
      <c r="P445" s="23"/>
    </row>
    <row r="446" spans="1:16" s="22" customFormat="1" x14ac:dyDescent="0.35">
      <c r="A446" s="24">
        <v>45583</v>
      </c>
      <c r="B446" s="20" t="s">
        <v>3333</v>
      </c>
      <c r="C446" s="20"/>
      <c r="D446" s="20" t="s">
        <v>58</v>
      </c>
      <c r="E446" s="20" t="s">
        <v>2715</v>
      </c>
      <c r="F446" s="21" t="str">
        <f t="shared" si="28"/>
        <v>007-0010-767150 BRICOLAJE BRICOMAN S.L.U.</v>
      </c>
      <c r="G446" s="12">
        <f t="shared" si="34"/>
        <v>175.04132231404961</v>
      </c>
      <c r="H446" s="22">
        <v>21</v>
      </c>
      <c r="I446" s="21">
        <f t="shared" si="33"/>
        <v>36.758677685950417</v>
      </c>
      <c r="J446" s="21">
        <f t="shared" si="35"/>
        <v>175.04132231404961</v>
      </c>
      <c r="L446" s="21">
        <f t="shared" si="36"/>
        <v>0</v>
      </c>
      <c r="M446" s="8">
        <v>211.8</v>
      </c>
      <c r="N446" s="20" t="s">
        <v>21</v>
      </c>
      <c r="O446" s="23" t="s">
        <v>64</v>
      </c>
      <c r="P446" s="23"/>
    </row>
    <row r="447" spans="1:16" s="22" customFormat="1" x14ac:dyDescent="0.35">
      <c r="A447" s="24">
        <v>45582</v>
      </c>
      <c r="B447" s="20" t="s">
        <v>3334</v>
      </c>
      <c r="C447" s="20"/>
      <c r="D447" s="20" t="s">
        <v>58</v>
      </c>
      <c r="E447" s="20" t="s">
        <v>2715</v>
      </c>
      <c r="F447" s="21" t="str">
        <f t="shared" si="28"/>
        <v>007-0010-R090849 BRICOLAJE BRICOMAN S.L.U.</v>
      </c>
      <c r="G447" s="12">
        <f t="shared" si="34"/>
        <v>-104.13223140495867</v>
      </c>
      <c r="H447" s="22">
        <v>21</v>
      </c>
      <c r="I447" s="21">
        <f t="shared" si="33"/>
        <v>-21.867768595041319</v>
      </c>
      <c r="J447" s="21">
        <f t="shared" si="35"/>
        <v>-104.13223140495867</v>
      </c>
      <c r="L447" s="21">
        <f t="shared" si="36"/>
        <v>0</v>
      </c>
      <c r="M447" s="8">
        <v>-126</v>
      </c>
      <c r="N447" s="20" t="s">
        <v>21</v>
      </c>
      <c r="O447" s="23" t="s">
        <v>64</v>
      </c>
      <c r="P447" s="23"/>
    </row>
    <row r="448" spans="1:16" s="22" customFormat="1" x14ac:dyDescent="0.35">
      <c r="A448" s="24">
        <v>45580</v>
      </c>
      <c r="B448" s="20" t="s">
        <v>3335</v>
      </c>
      <c r="C448" s="20"/>
      <c r="D448" s="20" t="s">
        <v>58</v>
      </c>
      <c r="E448" s="20" t="s">
        <v>2715</v>
      </c>
      <c r="F448" s="21" t="str">
        <f t="shared" si="28"/>
        <v>007-0010-761698 BRICOLAJE BRICOMAN S.L.U.</v>
      </c>
      <c r="G448" s="12">
        <f t="shared" si="34"/>
        <v>23.768595041322317</v>
      </c>
      <c r="H448" s="22">
        <v>21</v>
      </c>
      <c r="I448" s="21">
        <f t="shared" si="33"/>
        <v>4.9914049586776867</v>
      </c>
      <c r="J448" s="21">
        <f t="shared" si="35"/>
        <v>23.768595041322317</v>
      </c>
      <c r="K448" s="21"/>
      <c r="L448" s="21">
        <f t="shared" si="36"/>
        <v>0</v>
      </c>
      <c r="M448" s="8">
        <v>28.76</v>
      </c>
      <c r="N448" s="20" t="s">
        <v>21</v>
      </c>
      <c r="O448" s="23" t="s">
        <v>64</v>
      </c>
      <c r="P448" s="23"/>
    </row>
    <row r="449" spans="1:16" s="22" customFormat="1" x14ac:dyDescent="0.35">
      <c r="A449" s="24">
        <v>45581</v>
      </c>
      <c r="B449" s="20" t="s">
        <v>3336</v>
      </c>
      <c r="C449" s="20"/>
      <c r="D449" s="20" t="s">
        <v>58</v>
      </c>
      <c r="E449" s="20" t="s">
        <v>2715</v>
      </c>
      <c r="F449" s="21" t="str">
        <f t="shared" si="28"/>
        <v>007-0010-763804 BRICOLAJE BRICOMAN S.L.U.</v>
      </c>
      <c r="G449" s="12">
        <f t="shared" si="34"/>
        <v>75.67768595041322</v>
      </c>
      <c r="H449" s="22">
        <v>21</v>
      </c>
      <c r="I449" s="21">
        <f t="shared" si="33"/>
        <v>15.892314049586776</v>
      </c>
      <c r="J449" s="21">
        <f t="shared" si="35"/>
        <v>75.67768595041322</v>
      </c>
      <c r="L449" s="21">
        <f t="shared" si="36"/>
        <v>0</v>
      </c>
      <c r="M449" s="8">
        <v>91.57</v>
      </c>
      <c r="N449" s="20" t="s">
        <v>21</v>
      </c>
      <c r="O449" s="23" t="s">
        <v>64</v>
      </c>
      <c r="P449" s="23"/>
    </row>
    <row r="450" spans="1:16" s="22" customFormat="1" x14ac:dyDescent="0.35">
      <c r="A450" s="24">
        <v>45582</v>
      </c>
      <c r="B450" s="20" t="s">
        <v>3337</v>
      </c>
      <c r="C450" s="20"/>
      <c r="D450" s="20" t="s">
        <v>58</v>
      </c>
      <c r="E450" s="20" t="s">
        <v>2715</v>
      </c>
      <c r="F450" s="21" t="str">
        <f t="shared" si="28"/>
        <v>007-0010-765449 BRICOLAJE BRICOMAN S.L.U.</v>
      </c>
      <c r="G450" s="12">
        <f t="shared" si="34"/>
        <v>110.9421487603306</v>
      </c>
      <c r="H450" s="22">
        <v>21</v>
      </c>
      <c r="I450" s="21">
        <f t="shared" si="33"/>
        <v>23.297851239669427</v>
      </c>
      <c r="J450" s="21">
        <f t="shared" si="35"/>
        <v>110.9421487603306</v>
      </c>
      <c r="L450" s="21">
        <f t="shared" si="36"/>
        <v>0</v>
      </c>
      <c r="M450" s="8">
        <v>134.24</v>
      </c>
      <c r="N450" s="20" t="s">
        <v>21</v>
      </c>
      <c r="O450" s="23" t="s">
        <v>64</v>
      </c>
      <c r="P450" s="23"/>
    </row>
    <row r="451" spans="1:16" s="22" customFormat="1" x14ac:dyDescent="0.35">
      <c r="A451" s="24">
        <v>45582</v>
      </c>
      <c r="B451" s="20" t="s">
        <v>3338</v>
      </c>
      <c r="C451" s="20"/>
      <c r="D451" s="20" t="s">
        <v>58</v>
      </c>
      <c r="E451" s="20" t="s">
        <v>2715</v>
      </c>
      <c r="F451" s="21" t="str">
        <f t="shared" si="28"/>
        <v>007-0010-765275 BRICOLAJE BRICOMAN S.L.U.</v>
      </c>
      <c r="G451" s="12">
        <f t="shared" si="34"/>
        <v>184.03305785123968</v>
      </c>
      <c r="H451" s="22">
        <v>21</v>
      </c>
      <c r="I451" s="21">
        <f t="shared" si="33"/>
        <v>38.646942148760331</v>
      </c>
      <c r="J451" s="21">
        <f t="shared" si="35"/>
        <v>184.03305785123968</v>
      </c>
      <c r="L451" s="21">
        <f t="shared" si="36"/>
        <v>0</v>
      </c>
      <c r="M451" s="8">
        <v>222.68</v>
      </c>
      <c r="N451" s="20" t="s">
        <v>21</v>
      </c>
      <c r="O451" s="23" t="s">
        <v>64</v>
      </c>
      <c r="P451" s="23"/>
    </row>
    <row r="452" spans="1:16" s="22" customFormat="1" x14ac:dyDescent="0.35">
      <c r="A452" s="24">
        <v>45600</v>
      </c>
      <c r="B452" s="20" t="s">
        <v>3339</v>
      </c>
      <c r="C452" s="20"/>
      <c r="D452" s="20" t="s">
        <v>58</v>
      </c>
      <c r="E452" s="20" t="s">
        <v>2715</v>
      </c>
      <c r="F452" s="21" t="str">
        <f t="shared" si="28"/>
        <v>007-0011-789801 BRICOLAJE BRICOMAN S.L.U.</v>
      </c>
      <c r="G452" s="12">
        <f t="shared" si="34"/>
        <v>700.16528925619843</v>
      </c>
      <c r="H452" s="22">
        <v>21</v>
      </c>
      <c r="I452" s="21">
        <f t="shared" si="33"/>
        <v>147.03471074380167</v>
      </c>
      <c r="J452" s="21">
        <f t="shared" si="35"/>
        <v>700.16528925619843</v>
      </c>
      <c r="L452" s="21">
        <f t="shared" si="36"/>
        <v>0</v>
      </c>
      <c r="M452" s="8">
        <v>847.2</v>
      </c>
      <c r="N452" s="20" t="s">
        <v>21</v>
      </c>
      <c r="O452" s="23" t="s">
        <v>64</v>
      </c>
      <c r="P452" s="23"/>
    </row>
    <row r="453" spans="1:16" s="22" customFormat="1" x14ac:dyDescent="0.35">
      <c r="A453" s="24">
        <v>45596</v>
      </c>
      <c r="B453" s="20" t="s">
        <v>3340</v>
      </c>
      <c r="C453" s="20"/>
      <c r="D453" s="20" t="s">
        <v>58</v>
      </c>
      <c r="E453" s="20" t="s">
        <v>2715</v>
      </c>
      <c r="F453" s="21" t="str">
        <f t="shared" si="28"/>
        <v>007-0010-785343 BRICOLAJE BRICOMAN S.L.U.</v>
      </c>
      <c r="G453" s="12">
        <f t="shared" si="34"/>
        <v>150.74380165289256</v>
      </c>
      <c r="H453" s="22">
        <v>21</v>
      </c>
      <c r="I453" s="21">
        <f t="shared" si="33"/>
        <v>31.656198347107438</v>
      </c>
      <c r="J453" s="21">
        <f t="shared" si="35"/>
        <v>150.74380165289256</v>
      </c>
      <c r="L453" s="21">
        <f t="shared" si="36"/>
        <v>0</v>
      </c>
      <c r="M453" s="8">
        <v>182.4</v>
      </c>
      <c r="N453" s="20" t="s">
        <v>21</v>
      </c>
      <c r="O453" s="23" t="s">
        <v>64</v>
      </c>
      <c r="P453" s="23"/>
    </row>
    <row r="454" spans="1:16" s="22" customFormat="1" x14ac:dyDescent="0.35">
      <c r="A454" s="24">
        <v>45596</v>
      </c>
      <c r="B454" s="20" t="s">
        <v>3341</v>
      </c>
      <c r="C454" s="20"/>
      <c r="D454" s="20" t="s">
        <v>58</v>
      </c>
      <c r="E454" s="20" t="s">
        <v>2715</v>
      </c>
      <c r="F454" s="21" t="str">
        <f t="shared" si="28"/>
        <v>007-0010-R092685 BRICOLAJE BRICOMAN S.L.U.</v>
      </c>
      <c r="G454" s="12">
        <f t="shared" si="34"/>
        <v>-18.884297520661161</v>
      </c>
      <c r="H454" s="22">
        <v>21</v>
      </c>
      <c r="I454" s="21">
        <f t="shared" si="33"/>
        <v>-3.965702479338844</v>
      </c>
      <c r="J454" s="21">
        <f t="shared" si="35"/>
        <v>-18.884297520661161</v>
      </c>
      <c r="L454" s="21">
        <f t="shared" si="36"/>
        <v>0</v>
      </c>
      <c r="M454" s="8">
        <v>-22.85</v>
      </c>
      <c r="N454" s="20" t="s">
        <v>21</v>
      </c>
      <c r="O454" s="23" t="s">
        <v>64</v>
      </c>
      <c r="P454" s="23"/>
    </row>
    <row r="455" spans="1:16" s="22" customFormat="1" x14ac:dyDescent="0.35">
      <c r="A455" s="24">
        <v>45596</v>
      </c>
      <c r="B455" s="20" t="s">
        <v>3342</v>
      </c>
      <c r="C455" s="20"/>
      <c r="D455" s="20" t="s">
        <v>58</v>
      </c>
      <c r="E455" s="20" t="s">
        <v>2715</v>
      </c>
      <c r="F455" s="21" t="str">
        <f t="shared" si="28"/>
        <v>007-0010-785291 BRICOLAJE BRICOMAN S.L.U.</v>
      </c>
      <c r="G455" s="12">
        <f t="shared" si="34"/>
        <v>28.801652892561986</v>
      </c>
      <c r="H455" s="22">
        <v>21</v>
      </c>
      <c r="I455" s="21">
        <f t="shared" si="33"/>
        <v>6.0483471074380164</v>
      </c>
      <c r="J455" s="21">
        <f t="shared" si="35"/>
        <v>28.801652892561986</v>
      </c>
      <c r="L455" s="21">
        <f t="shared" si="36"/>
        <v>0</v>
      </c>
      <c r="M455" s="8">
        <v>34.85</v>
      </c>
      <c r="N455" s="20" t="s">
        <v>21</v>
      </c>
      <c r="O455" s="23" t="s">
        <v>64</v>
      </c>
      <c r="P455" s="23"/>
    </row>
    <row r="456" spans="1:16" s="22" customFormat="1" x14ac:dyDescent="0.35">
      <c r="A456" s="24">
        <v>45600</v>
      </c>
      <c r="B456" s="20" t="s">
        <v>3343</v>
      </c>
      <c r="C456" s="20"/>
      <c r="D456" s="20" t="s">
        <v>58</v>
      </c>
      <c r="E456" s="20" t="s">
        <v>2715</v>
      </c>
      <c r="F456" s="21" t="str">
        <f t="shared" si="28"/>
        <v>007-0011-R093077 BRICOLAJE BRICOMAN S.L.U.</v>
      </c>
      <c r="G456" s="12">
        <f t="shared" si="34"/>
        <v>-94.214876033057848</v>
      </c>
      <c r="H456" s="22">
        <v>21</v>
      </c>
      <c r="I456" s="21">
        <f t="shared" si="33"/>
        <v>-19.785123966942148</v>
      </c>
      <c r="J456" s="21">
        <f t="shared" si="35"/>
        <v>-94.214876033057848</v>
      </c>
      <c r="L456" s="21">
        <f t="shared" si="36"/>
        <v>0</v>
      </c>
      <c r="M456" s="8">
        <v>-114</v>
      </c>
      <c r="N456" s="20" t="s">
        <v>21</v>
      </c>
      <c r="O456" s="23" t="s">
        <v>64</v>
      </c>
      <c r="P456" s="23"/>
    </row>
    <row r="457" spans="1:16" s="22" customFormat="1" x14ac:dyDescent="0.35">
      <c r="A457" s="24">
        <v>45600</v>
      </c>
      <c r="B457" s="20" t="s">
        <v>3344</v>
      </c>
      <c r="C457" s="20"/>
      <c r="D457" s="20" t="s">
        <v>58</v>
      </c>
      <c r="E457" s="20" t="s">
        <v>2715</v>
      </c>
      <c r="F457" s="21" t="str">
        <f t="shared" ref="F457:F483" si="37">CONCATENATE(S457,B457," ",E457)</f>
        <v>007-0011-789268 BRICOLAJE BRICOMAN S.L.U.</v>
      </c>
      <c r="G457" s="12">
        <f t="shared" si="34"/>
        <v>94.214876033057848</v>
      </c>
      <c r="H457" s="22">
        <v>21</v>
      </c>
      <c r="I457" s="21">
        <f t="shared" si="33"/>
        <v>19.785123966942148</v>
      </c>
      <c r="J457" s="21">
        <f t="shared" si="35"/>
        <v>94.214876033057848</v>
      </c>
      <c r="L457" s="21">
        <f t="shared" si="36"/>
        <v>0</v>
      </c>
      <c r="M457" s="8">
        <v>114</v>
      </c>
      <c r="N457" s="20" t="s">
        <v>21</v>
      </c>
      <c r="O457" s="23" t="s">
        <v>64</v>
      </c>
      <c r="P457" s="23"/>
    </row>
    <row r="458" spans="1:16" s="22" customFormat="1" x14ac:dyDescent="0.35">
      <c r="A458" s="24">
        <v>45600</v>
      </c>
      <c r="B458" s="20" t="s">
        <v>3345</v>
      </c>
      <c r="C458" s="20"/>
      <c r="D458" s="20" t="s">
        <v>58</v>
      </c>
      <c r="E458" s="20" t="s">
        <v>2715</v>
      </c>
      <c r="F458" s="21" t="str">
        <f t="shared" si="37"/>
        <v>007-0011-789282 BRICOLAJE BRICOMAN S.L.U.</v>
      </c>
      <c r="G458" s="12">
        <f t="shared" si="34"/>
        <v>65.950413223140501</v>
      </c>
      <c r="H458" s="22">
        <v>21</v>
      </c>
      <c r="I458" s="21">
        <f t="shared" si="33"/>
        <v>13.849586776859505</v>
      </c>
      <c r="J458" s="21">
        <f t="shared" si="35"/>
        <v>65.950413223140501</v>
      </c>
      <c r="L458" s="21">
        <f t="shared" si="36"/>
        <v>0</v>
      </c>
      <c r="M458" s="8">
        <v>79.8</v>
      </c>
      <c r="N458" s="20" t="s">
        <v>21</v>
      </c>
      <c r="O458" s="23" t="s">
        <v>64</v>
      </c>
      <c r="P458" s="23"/>
    </row>
    <row r="459" spans="1:16" s="22" customFormat="1" x14ac:dyDescent="0.35">
      <c r="A459" s="24">
        <v>45582</v>
      </c>
      <c r="B459" s="20" t="s">
        <v>3346</v>
      </c>
      <c r="C459" s="20"/>
      <c r="D459" s="20" t="s">
        <v>58</v>
      </c>
      <c r="E459" s="20" t="s">
        <v>2715</v>
      </c>
      <c r="F459" s="21" t="str">
        <f t="shared" si="37"/>
        <v>007-0010-765300 BRICOLAJE BRICOMAN S.L.U.</v>
      </c>
      <c r="G459" s="12">
        <f t="shared" si="34"/>
        <v>3.0578512396694215</v>
      </c>
      <c r="H459" s="22">
        <v>21</v>
      </c>
      <c r="I459" s="21">
        <f t="shared" si="33"/>
        <v>0.64214876033057844</v>
      </c>
      <c r="J459" s="21">
        <f t="shared" si="35"/>
        <v>3.0578512396694215</v>
      </c>
      <c r="L459" s="21">
        <f t="shared" si="36"/>
        <v>0</v>
      </c>
      <c r="M459" s="8">
        <v>3.7</v>
      </c>
      <c r="N459" s="20" t="s">
        <v>21</v>
      </c>
      <c r="O459" s="23" t="s">
        <v>64</v>
      </c>
      <c r="P459" s="23"/>
    </row>
    <row r="460" spans="1:16" s="22" customFormat="1" x14ac:dyDescent="0.35">
      <c r="A460" s="24">
        <v>45611</v>
      </c>
      <c r="B460" s="20" t="s">
        <v>3347</v>
      </c>
      <c r="C460" s="20"/>
      <c r="D460" s="20" t="s">
        <v>58</v>
      </c>
      <c r="E460" s="20" t="s">
        <v>2715</v>
      </c>
      <c r="F460" s="21" t="str">
        <f t="shared" si="37"/>
        <v>007-0011-808103 BRICOLAJE BRICOMAN S.L.U.</v>
      </c>
      <c r="G460" s="12">
        <f t="shared" si="34"/>
        <v>98.710743801652896</v>
      </c>
      <c r="H460" s="22">
        <v>21</v>
      </c>
      <c r="I460" s="21">
        <f t="shared" si="33"/>
        <v>20.729256198347105</v>
      </c>
      <c r="J460" s="21">
        <f t="shared" si="35"/>
        <v>98.710743801652896</v>
      </c>
      <c r="L460" s="21">
        <f t="shared" si="36"/>
        <v>0</v>
      </c>
      <c r="M460" s="8">
        <v>119.44</v>
      </c>
      <c r="N460" s="20" t="s">
        <v>21</v>
      </c>
      <c r="O460" s="23" t="s">
        <v>64</v>
      </c>
      <c r="P460" s="23"/>
    </row>
    <row r="461" spans="1:16" s="22" customFormat="1" x14ac:dyDescent="0.35">
      <c r="A461" s="24">
        <v>45611</v>
      </c>
      <c r="B461" s="20" t="s">
        <v>3348</v>
      </c>
      <c r="C461" s="20"/>
      <c r="D461" s="20" t="s">
        <v>92</v>
      </c>
      <c r="E461" s="20" t="s">
        <v>93</v>
      </c>
      <c r="F461" s="21" t="str">
        <f t="shared" si="37"/>
        <v>1/350/44/389957 BAUHAUS</v>
      </c>
      <c r="G461" s="12">
        <f t="shared" si="34"/>
        <v>12.12396694214876</v>
      </c>
      <c r="H461" s="22">
        <v>21</v>
      </c>
      <c r="I461" s="21">
        <f t="shared" si="33"/>
        <v>2.5460330578512393</v>
      </c>
      <c r="J461" s="21">
        <f t="shared" si="35"/>
        <v>12.12396694214876</v>
      </c>
      <c r="L461" s="21">
        <f t="shared" si="36"/>
        <v>0</v>
      </c>
      <c r="M461" s="8">
        <v>14.67</v>
      </c>
      <c r="N461" s="20" t="s">
        <v>21</v>
      </c>
      <c r="O461" s="23" t="s">
        <v>64</v>
      </c>
      <c r="P461" s="23"/>
    </row>
    <row r="462" spans="1:16" s="22" customFormat="1" x14ac:dyDescent="0.35">
      <c r="A462" s="24">
        <v>45574</v>
      </c>
      <c r="B462" s="20" t="s">
        <v>3349</v>
      </c>
      <c r="C462" s="20"/>
      <c r="D462" s="20" t="s">
        <v>92</v>
      </c>
      <c r="E462" s="20" t="s">
        <v>93</v>
      </c>
      <c r="F462" s="21" t="str">
        <f t="shared" si="37"/>
        <v>1/350/21/210038 BAUHAUS</v>
      </c>
      <c r="G462" s="12">
        <f t="shared" si="34"/>
        <v>-288.96694214876032</v>
      </c>
      <c r="H462" s="22">
        <v>21</v>
      </c>
      <c r="I462" s="21">
        <f t="shared" si="33"/>
        <v>-60.683057851239667</v>
      </c>
      <c r="J462" s="21">
        <f t="shared" si="35"/>
        <v>-288.96694214876032</v>
      </c>
      <c r="L462" s="21">
        <f t="shared" si="36"/>
        <v>0</v>
      </c>
      <c r="M462" s="8">
        <v>-349.65</v>
      </c>
      <c r="N462" s="20" t="s">
        <v>21</v>
      </c>
      <c r="O462" s="23" t="s">
        <v>64</v>
      </c>
      <c r="P462" s="23"/>
    </row>
    <row r="463" spans="1:16" s="22" customFormat="1" x14ac:dyDescent="0.35">
      <c r="A463" s="24">
        <v>45574</v>
      </c>
      <c r="B463" s="20" t="s">
        <v>3350</v>
      </c>
      <c r="C463" s="20"/>
      <c r="D463" s="20" t="s">
        <v>92</v>
      </c>
      <c r="E463" s="20" t="s">
        <v>93</v>
      </c>
      <c r="F463" s="21" t="str">
        <f t="shared" si="37"/>
        <v>1/354/2/21460 BAUHAUS</v>
      </c>
      <c r="G463" s="12">
        <f t="shared" si="34"/>
        <v>288.96694214876032</v>
      </c>
      <c r="H463" s="22">
        <v>21</v>
      </c>
      <c r="I463" s="21">
        <f t="shared" si="33"/>
        <v>60.683057851239667</v>
      </c>
      <c r="J463" s="21">
        <f t="shared" si="35"/>
        <v>288.96694214876032</v>
      </c>
      <c r="K463" s="21"/>
      <c r="L463" s="21">
        <f t="shared" si="36"/>
        <v>0</v>
      </c>
      <c r="M463" s="8">
        <v>349.65</v>
      </c>
      <c r="N463" s="20" t="s">
        <v>21</v>
      </c>
      <c r="O463" s="23" t="s">
        <v>64</v>
      </c>
      <c r="P463" s="23"/>
    </row>
    <row r="464" spans="1:16" s="22" customFormat="1" x14ac:dyDescent="0.35">
      <c r="A464" s="24">
        <v>45583</v>
      </c>
      <c r="B464" s="20" t="s">
        <v>3351</v>
      </c>
      <c r="C464" s="20"/>
      <c r="D464" s="20" t="s">
        <v>92</v>
      </c>
      <c r="E464" s="20" t="s">
        <v>93</v>
      </c>
      <c r="F464" s="21" t="str">
        <f t="shared" si="37"/>
        <v>0/350/43/412472 BAUHAUS</v>
      </c>
      <c r="G464" s="12">
        <f t="shared" si="34"/>
        <v>26.429752066115704</v>
      </c>
      <c r="H464" s="22">
        <v>21</v>
      </c>
      <c r="I464" s="21">
        <f t="shared" si="33"/>
        <v>5.5502479338842976</v>
      </c>
      <c r="J464" s="21">
        <f t="shared" si="35"/>
        <v>26.429752066115704</v>
      </c>
      <c r="L464" s="21">
        <f t="shared" si="36"/>
        <v>0</v>
      </c>
      <c r="M464" s="8">
        <v>31.98</v>
      </c>
      <c r="N464" s="20" t="s">
        <v>21</v>
      </c>
      <c r="O464" s="23" t="s">
        <v>64</v>
      </c>
      <c r="P464" s="23"/>
    </row>
    <row r="465" spans="1:16" s="22" customFormat="1" x14ac:dyDescent="0.35">
      <c r="A465" s="24">
        <v>45607</v>
      </c>
      <c r="B465" s="20" t="s">
        <v>3352</v>
      </c>
      <c r="C465" s="20"/>
      <c r="D465" s="20" t="s">
        <v>92</v>
      </c>
      <c r="E465" s="20" t="s">
        <v>93</v>
      </c>
      <c r="F465" s="21" t="str">
        <f t="shared" si="37"/>
        <v>1/354/42/24344 BAUHAUS</v>
      </c>
      <c r="G465" s="12">
        <f t="shared" si="34"/>
        <v>8.2561983471074392</v>
      </c>
      <c r="H465" s="22">
        <v>21</v>
      </c>
      <c r="I465" s="21">
        <f t="shared" si="33"/>
        <v>1.7338016528925622</v>
      </c>
      <c r="J465" s="21">
        <f t="shared" si="35"/>
        <v>8.2561983471074392</v>
      </c>
      <c r="L465" s="21">
        <f t="shared" si="36"/>
        <v>0</v>
      </c>
      <c r="M465" s="8">
        <v>9.99</v>
      </c>
      <c r="N465" s="20" t="s">
        <v>21</v>
      </c>
      <c r="O465" s="23" t="s">
        <v>64</v>
      </c>
      <c r="P465" s="23"/>
    </row>
    <row r="466" spans="1:16" s="22" customFormat="1" x14ac:dyDescent="0.35">
      <c r="A466" s="24">
        <v>45586</v>
      </c>
      <c r="B466" s="20" t="s">
        <v>3353</v>
      </c>
      <c r="C466" s="20"/>
      <c r="D466" s="20" t="s">
        <v>92</v>
      </c>
      <c r="E466" s="20" t="s">
        <v>93</v>
      </c>
      <c r="F466" s="21" t="str">
        <f t="shared" si="37"/>
        <v>1/350/43/432551 BAUHAUS</v>
      </c>
      <c r="G466" s="12">
        <f t="shared" si="34"/>
        <v>20.892561983471076</v>
      </c>
      <c r="H466" s="22">
        <v>21</v>
      </c>
      <c r="I466" s="21">
        <f t="shared" si="33"/>
        <v>4.3874380165289262</v>
      </c>
      <c r="J466" s="21">
        <f t="shared" si="35"/>
        <v>20.892561983471076</v>
      </c>
      <c r="L466" s="21">
        <f t="shared" si="36"/>
        <v>0</v>
      </c>
      <c r="M466" s="8">
        <v>25.28</v>
      </c>
      <c r="N466" s="20" t="s">
        <v>21</v>
      </c>
      <c r="O466" s="23" t="s">
        <v>64</v>
      </c>
      <c r="P466" s="23"/>
    </row>
    <row r="467" spans="1:16" s="22" customFormat="1" x14ac:dyDescent="0.35">
      <c r="A467" s="24">
        <v>45624</v>
      </c>
      <c r="B467" s="20" t="s">
        <v>3354</v>
      </c>
      <c r="C467" s="20"/>
      <c r="D467" s="20" t="s">
        <v>92</v>
      </c>
      <c r="E467" s="20" t="s">
        <v>93</v>
      </c>
      <c r="F467" s="21" t="str">
        <f t="shared" si="37"/>
        <v>1/350/43/415812 BAUHAUS</v>
      </c>
      <c r="G467" s="12">
        <f t="shared" si="34"/>
        <v>8.2975206611570247</v>
      </c>
      <c r="H467" s="22">
        <v>21</v>
      </c>
      <c r="I467" s="21">
        <f t="shared" si="33"/>
        <v>1.7424793388429751</v>
      </c>
      <c r="J467" s="21">
        <f t="shared" si="35"/>
        <v>8.2975206611570247</v>
      </c>
      <c r="L467" s="21">
        <f t="shared" si="36"/>
        <v>0</v>
      </c>
      <c r="M467" s="8">
        <v>10.039999999999999</v>
      </c>
      <c r="N467" s="20" t="s">
        <v>21</v>
      </c>
      <c r="O467" s="23" t="s">
        <v>64</v>
      </c>
      <c r="P467" s="23"/>
    </row>
    <row r="468" spans="1:16" s="22" customFormat="1" x14ac:dyDescent="0.35">
      <c r="A468" s="24">
        <v>45583</v>
      </c>
      <c r="B468" s="20" t="s">
        <v>3355</v>
      </c>
      <c r="C468" s="20"/>
      <c r="D468" s="20" t="s">
        <v>92</v>
      </c>
      <c r="E468" s="20" t="s">
        <v>93</v>
      </c>
      <c r="F468" s="21" t="str">
        <f t="shared" si="37"/>
        <v>1/350/11/362938 BAUHAUS</v>
      </c>
      <c r="G468" s="12">
        <f t="shared" si="34"/>
        <v>9.0826446280991746</v>
      </c>
      <c r="H468" s="22">
        <v>21</v>
      </c>
      <c r="I468" s="21">
        <f t="shared" si="33"/>
        <v>1.9073553719008265</v>
      </c>
      <c r="J468" s="21">
        <f t="shared" si="35"/>
        <v>9.0826446280991746</v>
      </c>
      <c r="L468" s="21">
        <f t="shared" si="36"/>
        <v>0</v>
      </c>
      <c r="M468" s="8">
        <v>10.99</v>
      </c>
      <c r="N468" s="20" t="s">
        <v>21</v>
      </c>
      <c r="O468" s="23" t="s">
        <v>64</v>
      </c>
      <c r="P468" s="23"/>
    </row>
    <row r="469" spans="1:16" s="22" customFormat="1" x14ac:dyDescent="0.35">
      <c r="A469" s="24">
        <v>45603</v>
      </c>
      <c r="B469" s="20" t="s">
        <v>3356</v>
      </c>
      <c r="C469" s="20"/>
      <c r="D469" s="20" t="s">
        <v>57</v>
      </c>
      <c r="E469" s="20" t="s">
        <v>44</v>
      </c>
      <c r="F469" s="21" t="str">
        <f t="shared" si="37"/>
        <v>045-0011-443027 LEROY MERLIN</v>
      </c>
      <c r="G469" s="12">
        <f t="shared" si="34"/>
        <v>59.793388429752063</v>
      </c>
      <c r="H469" s="22">
        <v>21</v>
      </c>
      <c r="I469" s="21">
        <f t="shared" si="33"/>
        <v>12.556611570247933</v>
      </c>
      <c r="J469" s="21">
        <f t="shared" si="35"/>
        <v>59.793388429752063</v>
      </c>
      <c r="L469" s="21">
        <f t="shared" si="36"/>
        <v>0</v>
      </c>
      <c r="M469" s="8">
        <v>72.349999999999994</v>
      </c>
      <c r="N469" s="20" t="s">
        <v>21</v>
      </c>
      <c r="O469" s="23" t="s">
        <v>64</v>
      </c>
      <c r="P469" s="23"/>
    </row>
    <row r="470" spans="1:16" s="22" customFormat="1" x14ac:dyDescent="0.35">
      <c r="A470" s="24">
        <v>45588</v>
      </c>
      <c r="B470" s="20" t="s">
        <v>3357</v>
      </c>
      <c r="C470" s="20"/>
      <c r="D470" s="20" t="s">
        <v>57</v>
      </c>
      <c r="E470" s="20" t="s">
        <v>44</v>
      </c>
      <c r="F470" s="21" t="str">
        <f t="shared" si="37"/>
        <v>045-0010-438436 LEROY MERLIN</v>
      </c>
      <c r="G470" s="12">
        <f t="shared" si="34"/>
        <v>59.710743801652896</v>
      </c>
      <c r="H470" s="22">
        <v>21</v>
      </c>
      <c r="I470" s="21">
        <f t="shared" si="33"/>
        <v>12.539256198347109</v>
      </c>
      <c r="J470" s="21">
        <f t="shared" si="35"/>
        <v>59.710743801652896</v>
      </c>
      <c r="L470" s="21">
        <f t="shared" si="36"/>
        <v>0</v>
      </c>
      <c r="M470" s="8">
        <v>72.25</v>
      </c>
      <c r="N470" s="20" t="s">
        <v>21</v>
      </c>
      <c r="O470" s="23" t="s">
        <v>64</v>
      </c>
      <c r="P470" s="23"/>
    </row>
    <row r="471" spans="1:16" s="22" customFormat="1" ht="15.75" customHeight="1" x14ac:dyDescent="0.35">
      <c r="A471" s="24">
        <v>45574</v>
      </c>
      <c r="B471" s="20" t="s">
        <v>3358</v>
      </c>
      <c r="C471" s="20"/>
      <c r="D471" s="20" t="s">
        <v>57</v>
      </c>
      <c r="E471" s="20" t="s">
        <v>44</v>
      </c>
      <c r="F471" s="21" t="str">
        <f t="shared" si="37"/>
        <v>050-0010-969107 LEROY MERLIN</v>
      </c>
      <c r="G471" s="12">
        <f t="shared" si="34"/>
        <v>14.380165289256198</v>
      </c>
      <c r="H471" s="22">
        <v>21</v>
      </c>
      <c r="I471" s="21">
        <f t="shared" si="33"/>
        <v>3.0198347107438015</v>
      </c>
      <c r="J471" s="21">
        <f t="shared" si="35"/>
        <v>14.380165289256198</v>
      </c>
      <c r="L471" s="21">
        <f t="shared" si="36"/>
        <v>0</v>
      </c>
      <c r="M471" s="8">
        <v>17.399999999999999</v>
      </c>
      <c r="N471" s="20" t="s">
        <v>21</v>
      </c>
      <c r="O471" s="23" t="s">
        <v>64</v>
      </c>
      <c r="P471" s="23"/>
    </row>
    <row r="472" spans="1:16" s="22" customFormat="1" x14ac:dyDescent="0.35">
      <c r="A472" s="24">
        <v>45589</v>
      </c>
      <c r="B472" s="20" t="s">
        <v>3359</v>
      </c>
      <c r="C472" s="20"/>
      <c r="D472" s="20" t="s">
        <v>57</v>
      </c>
      <c r="E472" s="20" t="s">
        <v>44</v>
      </c>
      <c r="F472" s="21" t="str">
        <f t="shared" si="37"/>
        <v>045-0010-438906 LEROY MERLIN</v>
      </c>
      <c r="G472" s="12">
        <f t="shared" si="34"/>
        <v>19.471074380165287</v>
      </c>
      <c r="H472" s="22">
        <v>21</v>
      </c>
      <c r="I472" s="21">
        <f t="shared" si="33"/>
        <v>4.0889256198347104</v>
      </c>
      <c r="J472" s="21">
        <f t="shared" si="35"/>
        <v>19.471074380165287</v>
      </c>
      <c r="K472" s="21"/>
      <c r="L472" s="21">
        <f t="shared" si="36"/>
        <v>0</v>
      </c>
      <c r="M472" s="8">
        <v>23.56</v>
      </c>
      <c r="N472" s="20" t="s">
        <v>21</v>
      </c>
      <c r="O472" s="23" t="s">
        <v>64</v>
      </c>
      <c r="P472" s="23"/>
    </row>
    <row r="473" spans="1:16" s="22" customFormat="1" x14ac:dyDescent="0.35">
      <c r="A473" s="24">
        <v>45610</v>
      </c>
      <c r="B473" s="20" t="s">
        <v>3360</v>
      </c>
      <c r="C473" s="20"/>
      <c r="D473" s="20" t="s">
        <v>57</v>
      </c>
      <c r="E473" s="20" t="s">
        <v>44</v>
      </c>
      <c r="F473" s="21" t="str">
        <f t="shared" si="37"/>
        <v>045-0011-445198 LEROY MERLIN</v>
      </c>
      <c r="G473" s="12">
        <f t="shared" si="34"/>
        <v>11.28099173553719</v>
      </c>
      <c r="H473" s="22">
        <v>21</v>
      </c>
      <c r="I473" s="21">
        <f t="shared" si="33"/>
        <v>2.3690082644628099</v>
      </c>
      <c r="J473" s="21">
        <f t="shared" si="35"/>
        <v>11.28099173553719</v>
      </c>
      <c r="L473" s="21">
        <f t="shared" si="36"/>
        <v>0</v>
      </c>
      <c r="M473" s="8">
        <v>13.65</v>
      </c>
      <c r="N473" s="20" t="s">
        <v>21</v>
      </c>
      <c r="O473" s="23" t="s">
        <v>64</v>
      </c>
      <c r="P473" s="23"/>
    </row>
    <row r="474" spans="1:16" s="22" customFormat="1" x14ac:dyDescent="0.35">
      <c r="A474" s="24">
        <v>45618</v>
      </c>
      <c r="B474" s="20" t="s">
        <v>3361</v>
      </c>
      <c r="C474" s="20"/>
      <c r="D474" s="20" t="s">
        <v>57</v>
      </c>
      <c r="E474" s="20" t="s">
        <v>44</v>
      </c>
      <c r="F474" s="21" t="str">
        <f t="shared" si="37"/>
        <v>050-0011-991646 LEROY MERLIN</v>
      </c>
      <c r="G474" s="12">
        <f t="shared" si="34"/>
        <v>14.438016528925619</v>
      </c>
      <c r="H474" s="22">
        <v>21</v>
      </c>
      <c r="I474" s="21">
        <f t="shared" si="33"/>
        <v>3.0319834710743798</v>
      </c>
      <c r="J474" s="21">
        <f t="shared" si="35"/>
        <v>14.438016528925619</v>
      </c>
      <c r="L474" s="21">
        <f t="shared" si="36"/>
        <v>0</v>
      </c>
      <c r="M474" s="8">
        <v>17.47</v>
      </c>
      <c r="N474" s="20" t="s">
        <v>21</v>
      </c>
      <c r="O474" s="23" t="s">
        <v>64</v>
      </c>
      <c r="P474" s="23"/>
    </row>
    <row r="475" spans="1:16" s="22" customFormat="1" x14ac:dyDescent="0.35">
      <c r="A475" s="24">
        <v>45587</v>
      </c>
      <c r="B475" s="20" t="s">
        <v>3362</v>
      </c>
      <c r="C475" s="20"/>
      <c r="D475" s="20" t="s">
        <v>57</v>
      </c>
      <c r="E475" s="20" t="s">
        <v>44</v>
      </c>
      <c r="F475" s="21" t="str">
        <f t="shared" si="37"/>
        <v>050-0011-991656 LEROY MERLIN</v>
      </c>
      <c r="G475" s="12">
        <f t="shared" si="34"/>
        <v>9.8099173553719012</v>
      </c>
      <c r="H475" s="22">
        <v>21</v>
      </c>
      <c r="I475" s="21">
        <f t="shared" si="33"/>
        <v>2.0600826446280993</v>
      </c>
      <c r="J475" s="21">
        <f t="shared" si="35"/>
        <v>9.8099173553719012</v>
      </c>
      <c r="L475" s="21">
        <f t="shared" si="36"/>
        <v>0</v>
      </c>
      <c r="M475" s="8">
        <v>11.87</v>
      </c>
      <c r="N475" s="20" t="s">
        <v>21</v>
      </c>
      <c r="O475" s="23" t="s">
        <v>64</v>
      </c>
      <c r="P475" s="23"/>
    </row>
    <row r="476" spans="1:16" s="22" customFormat="1" x14ac:dyDescent="0.35">
      <c r="A476" s="24">
        <v>45624</v>
      </c>
      <c r="B476" s="20" t="s">
        <v>3363</v>
      </c>
      <c r="C476" s="20"/>
      <c r="D476" s="20" t="s">
        <v>3364</v>
      </c>
      <c r="E476" s="20" t="s">
        <v>3365</v>
      </c>
      <c r="F476" s="21" t="str">
        <f t="shared" si="37"/>
        <v>2404056 A ANDRES CLEMENTE</v>
      </c>
      <c r="G476" s="12">
        <f t="shared" si="34"/>
        <v>155.61157024793388</v>
      </c>
      <c r="H476" s="22">
        <v>21</v>
      </c>
      <c r="I476" s="21">
        <f t="shared" si="33"/>
        <v>32.678429752066116</v>
      </c>
      <c r="J476" s="21">
        <f t="shared" si="35"/>
        <v>155.61157024793388</v>
      </c>
      <c r="L476" s="21">
        <f t="shared" si="36"/>
        <v>0</v>
      </c>
      <c r="M476" s="8">
        <v>188.29</v>
      </c>
      <c r="N476" s="20" t="s">
        <v>21</v>
      </c>
      <c r="O476" s="23" t="s">
        <v>64</v>
      </c>
      <c r="P476" s="23"/>
    </row>
    <row r="477" spans="1:16" s="22" customFormat="1" x14ac:dyDescent="0.35">
      <c r="A477" s="24">
        <v>45625</v>
      </c>
      <c r="B477" s="20" t="s">
        <v>3366</v>
      </c>
      <c r="C477" s="20"/>
      <c r="D477" s="20" t="s">
        <v>136</v>
      </c>
      <c r="E477" s="20" t="s">
        <v>3367</v>
      </c>
      <c r="F477" s="21" t="str">
        <f t="shared" si="37"/>
        <v>14724-C ROD &amp; PLUS SYSTEM</v>
      </c>
      <c r="G477" s="12">
        <f t="shared" si="34"/>
        <v>89.099173553719012</v>
      </c>
      <c r="H477" s="22">
        <v>21</v>
      </c>
      <c r="I477" s="21">
        <f t="shared" si="33"/>
        <v>18.71082644628099</v>
      </c>
      <c r="J477" s="21">
        <f t="shared" si="35"/>
        <v>89.099173553719012</v>
      </c>
      <c r="L477" s="21">
        <f t="shared" si="36"/>
        <v>0</v>
      </c>
      <c r="M477" s="8">
        <v>107.81</v>
      </c>
      <c r="N477" s="20" t="s">
        <v>21</v>
      </c>
      <c r="O477" s="23" t="s">
        <v>64</v>
      </c>
      <c r="P477" s="23"/>
    </row>
    <row r="478" spans="1:16" s="22" customFormat="1" x14ac:dyDescent="0.35">
      <c r="A478" s="24">
        <v>45623</v>
      </c>
      <c r="B478" s="20" t="s">
        <v>3368</v>
      </c>
      <c r="C478" s="20"/>
      <c r="D478" s="20" t="s">
        <v>3369</v>
      </c>
      <c r="E478" s="20" t="s">
        <v>3370</v>
      </c>
      <c r="F478" s="21" t="str">
        <f t="shared" si="37"/>
        <v>A24004589 HIERROS Y ACEROS DUARTE</v>
      </c>
      <c r="G478" s="12">
        <f t="shared" si="34"/>
        <v>896.33057851239664</v>
      </c>
      <c r="H478" s="22">
        <v>21</v>
      </c>
      <c r="I478" s="21">
        <f t="shared" si="33"/>
        <v>188.22942148760328</v>
      </c>
      <c r="J478" s="21">
        <f t="shared" si="35"/>
        <v>896.33057851239664</v>
      </c>
      <c r="L478" s="21">
        <f t="shared" si="36"/>
        <v>0</v>
      </c>
      <c r="M478" s="8">
        <v>1084.56</v>
      </c>
      <c r="N478" s="20" t="s">
        <v>21</v>
      </c>
      <c r="O478" s="23" t="s">
        <v>64</v>
      </c>
      <c r="P478" s="23"/>
    </row>
    <row r="479" spans="1:16" s="22" customFormat="1" x14ac:dyDescent="0.35">
      <c r="A479" s="24">
        <v>45580</v>
      </c>
      <c r="B479" s="20" t="s">
        <v>3371</v>
      </c>
      <c r="C479" s="20"/>
      <c r="D479" s="20" t="s">
        <v>1203</v>
      </c>
      <c r="E479" s="20" t="s">
        <v>1204</v>
      </c>
      <c r="F479" s="21" t="str">
        <f t="shared" si="37"/>
        <v>G 40307 AZULEJOS PEÑA</v>
      </c>
      <c r="G479" s="12">
        <f t="shared" si="34"/>
        <v>487.42975206611567</v>
      </c>
      <c r="H479" s="22">
        <v>21</v>
      </c>
      <c r="I479" s="21">
        <f t="shared" ref="I479:I542" si="38">G479*H479/100</f>
        <v>102.3602479338843</v>
      </c>
      <c r="J479" s="21">
        <f t="shared" si="35"/>
        <v>487.42975206611567</v>
      </c>
      <c r="L479" s="21">
        <f t="shared" si="36"/>
        <v>0</v>
      </c>
      <c r="M479" s="8">
        <v>589.79</v>
      </c>
      <c r="N479" s="20" t="s">
        <v>21</v>
      </c>
      <c r="O479" s="23" t="s">
        <v>64</v>
      </c>
      <c r="P479" s="23"/>
    </row>
    <row r="480" spans="1:16" s="22" customFormat="1" x14ac:dyDescent="0.35">
      <c r="A480" s="24">
        <v>45510</v>
      </c>
      <c r="B480" s="20" t="s">
        <v>3372</v>
      </c>
      <c r="C480" s="20"/>
      <c r="D480" s="20" t="s">
        <v>3123</v>
      </c>
      <c r="E480" s="20" t="s">
        <v>3373</v>
      </c>
      <c r="F480" s="21" t="str">
        <f t="shared" si="37"/>
        <v xml:space="preserve">08104008533 EL CORTE INGLES </v>
      </c>
      <c r="G480" s="12">
        <f t="shared" ref="G480:G543" si="39">M480/(1-K480/100+H480/100)</f>
        <v>742.97520661157023</v>
      </c>
      <c r="H480" s="22">
        <v>21</v>
      </c>
      <c r="I480" s="21">
        <f t="shared" si="38"/>
        <v>156.02479338842974</v>
      </c>
      <c r="J480" s="21">
        <f t="shared" ref="J480:J543" si="40">G480</f>
        <v>742.97520661157023</v>
      </c>
      <c r="L480" s="21">
        <f t="shared" si="36"/>
        <v>0</v>
      </c>
      <c r="M480" s="8">
        <v>899</v>
      </c>
      <c r="N480" s="20" t="s">
        <v>21</v>
      </c>
      <c r="O480" s="23" t="s">
        <v>64</v>
      </c>
      <c r="P480" s="23"/>
    </row>
    <row r="481" spans="1:16" s="22" customFormat="1" x14ac:dyDescent="0.35">
      <c r="A481" s="24">
        <v>45575</v>
      </c>
      <c r="B481" s="20" t="s">
        <v>3374</v>
      </c>
      <c r="C481" s="20"/>
      <c r="D481" s="20" t="s">
        <v>92</v>
      </c>
      <c r="E481" s="20" t="s">
        <v>93</v>
      </c>
      <c r="F481" s="21" t="str">
        <f t="shared" si="37"/>
        <v>1/354/2/21534 BAUHAUS</v>
      </c>
      <c r="G481" s="12">
        <f t="shared" si="39"/>
        <v>198.14876033057851</v>
      </c>
      <c r="H481" s="22">
        <v>21</v>
      </c>
      <c r="I481" s="21">
        <f t="shared" si="38"/>
        <v>41.611239669421487</v>
      </c>
      <c r="J481" s="21">
        <f t="shared" si="40"/>
        <v>198.14876033057851</v>
      </c>
      <c r="L481" s="21">
        <f>J481*K481/100</f>
        <v>0</v>
      </c>
      <c r="M481" s="8">
        <v>239.76</v>
      </c>
      <c r="N481" s="20" t="s">
        <v>21</v>
      </c>
      <c r="O481" s="23" t="s">
        <v>64</v>
      </c>
      <c r="P481" s="23"/>
    </row>
    <row r="482" spans="1:16" s="22" customFormat="1" x14ac:dyDescent="0.35">
      <c r="A482" s="24">
        <v>45573</v>
      </c>
      <c r="B482" s="20" t="s">
        <v>3375</v>
      </c>
      <c r="C482" s="20"/>
      <c r="D482" s="20" t="s">
        <v>59</v>
      </c>
      <c r="E482" s="20" t="s">
        <v>43</v>
      </c>
      <c r="F482" s="21" t="str">
        <f t="shared" si="37"/>
        <v>1413125206 EUGENIO PEREDA</v>
      </c>
      <c r="G482" s="12">
        <f t="shared" si="39"/>
        <v>291.01652892561987</v>
      </c>
      <c r="H482" s="22">
        <v>21</v>
      </c>
      <c r="I482" s="21">
        <f t="shared" si="38"/>
        <v>61.113471074380165</v>
      </c>
      <c r="J482" s="21">
        <f t="shared" si="40"/>
        <v>291.01652892561987</v>
      </c>
      <c r="L482" s="21">
        <f>J482*K482/100</f>
        <v>0</v>
      </c>
      <c r="M482" s="8">
        <v>352.13</v>
      </c>
      <c r="N482" s="20" t="s">
        <v>21</v>
      </c>
      <c r="O482" s="23" t="s">
        <v>64</v>
      </c>
      <c r="P482" s="23"/>
    </row>
    <row r="483" spans="1:16" s="22" customFormat="1" x14ac:dyDescent="0.35">
      <c r="A483" s="24">
        <v>45574</v>
      </c>
      <c r="B483" s="20" t="s">
        <v>3376</v>
      </c>
      <c r="C483" s="20"/>
      <c r="D483" s="20" t="s">
        <v>132</v>
      </c>
      <c r="E483" s="20" t="s">
        <v>147</v>
      </c>
      <c r="F483" s="21" t="str">
        <f t="shared" si="37"/>
        <v>A/13437 AZULEJOS ROSA</v>
      </c>
      <c r="G483" s="12">
        <f t="shared" si="39"/>
        <v>35.396694214876035</v>
      </c>
      <c r="H483" s="22">
        <v>21</v>
      </c>
      <c r="I483" s="21">
        <f t="shared" si="38"/>
        <v>7.4333057851239674</v>
      </c>
      <c r="J483" s="21">
        <f t="shared" si="40"/>
        <v>35.396694214876035</v>
      </c>
      <c r="L483" s="21">
        <f>J483*K483/100</f>
        <v>0</v>
      </c>
      <c r="M483" s="8">
        <v>42.83</v>
      </c>
      <c r="N483" s="20" t="s">
        <v>21</v>
      </c>
      <c r="O483" s="23" t="s">
        <v>64</v>
      </c>
      <c r="P483" s="23"/>
    </row>
    <row r="484" spans="1:16" s="22" customFormat="1" x14ac:dyDescent="0.35">
      <c r="A484" s="24">
        <v>45575</v>
      </c>
      <c r="B484" s="20" t="s">
        <v>3377</v>
      </c>
      <c r="C484" s="20"/>
      <c r="D484" s="20" t="s">
        <v>92</v>
      </c>
      <c r="E484" s="20" t="s">
        <v>93</v>
      </c>
      <c r="F484" s="21" t="str">
        <f>CONCATENATE(S484,B484," ",E484)</f>
        <v>1/354/2/21533 BAUHAUS</v>
      </c>
      <c r="G484" s="12">
        <f t="shared" si="39"/>
        <v>90.818181818181827</v>
      </c>
      <c r="H484" s="22">
        <v>21</v>
      </c>
      <c r="I484" s="21">
        <f t="shared" si="38"/>
        <v>19.071818181818184</v>
      </c>
      <c r="J484" s="21">
        <f t="shared" si="40"/>
        <v>90.818181818181827</v>
      </c>
      <c r="L484" s="21">
        <f t="shared" ref="L484:L547" si="41">J484*K484/100</f>
        <v>0</v>
      </c>
      <c r="M484" s="8">
        <v>109.89</v>
      </c>
      <c r="N484" s="20" t="s">
        <v>21</v>
      </c>
      <c r="O484" s="23" t="s">
        <v>64</v>
      </c>
      <c r="P484" s="23"/>
    </row>
    <row r="485" spans="1:16" s="22" customFormat="1" x14ac:dyDescent="0.35">
      <c r="A485" s="24">
        <v>45579</v>
      </c>
      <c r="B485" s="20" t="s">
        <v>3378</v>
      </c>
      <c r="C485" s="20"/>
      <c r="D485" s="20" t="s">
        <v>59</v>
      </c>
      <c r="E485" s="20" t="s">
        <v>43</v>
      </c>
      <c r="F485" s="21" t="str">
        <f t="shared" ref="F485:F535" si="42">CONCATENATE(S485,B485," ",E485)</f>
        <v>1463125640 EUGENIO PEREDA</v>
      </c>
      <c r="G485" s="12">
        <f t="shared" si="39"/>
        <v>116.74380165289256</v>
      </c>
      <c r="H485" s="22">
        <v>21</v>
      </c>
      <c r="I485" s="21">
        <f t="shared" si="38"/>
        <v>24.516198347107437</v>
      </c>
      <c r="J485" s="21">
        <f t="shared" si="40"/>
        <v>116.74380165289256</v>
      </c>
      <c r="L485" s="21">
        <f t="shared" si="41"/>
        <v>0</v>
      </c>
      <c r="M485" s="8">
        <v>141.26</v>
      </c>
      <c r="N485" s="20" t="s">
        <v>21</v>
      </c>
      <c r="O485" s="23" t="s">
        <v>64</v>
      </c>
      <c r="P485" s="23"/>
    </row>
    <row r="486" spans="1:16" s="22" customFormat="1" x14ac:dyDescent="0.35">
      <c r="A486" s="24">
        <v>45607</v>
      </c>
      <c r="B486" s="20" t="s">
        <v>3379</v>
      </c>
      <c r="C486" s="20"/>
      <c r="D486" s="20" t="s">
        <v>1203</v>
      </c>
      <c r="E486" s="20" t="s">
        <v>1204</v>
      </c>
      <c r="F486" s="21" t="str">
        <f t="shared" si="42"/>
        <v>G 44239 AZULEJOS PEÑA</v>
      </c>
      <c r="G486" s="12">
        <f t="shared" si="39"/>
        <v>154.98347107438016</v>
      </c>
      <c r="H486" s="22">
        <v>21</v>
      </c>
      <c r="I486" s="21">
        <f t="shared" si="38"/>
        <v>32.546528925619832</v>
      </c>
      <c r="J486" s="21">
        <f t="shared" si="40"/>
        <v>154.98347107438016</v>
      </c>
      <c r="L486" s="21">
        <f t="shared" si="41"/>
        <v>0</v>
      </c>
      <c r="M486" s="8">
        <v>187.53</v>
      </c>
      <c r="N486" s="20" t="s">
        <v>21</v>
      </c>
      <c r="O486" s="23" t="s">
        <v>64</v>
      </c>
      <c r="P486" s="23"/>
    </row>
    <row r="487" spans="1:16" s="22" customFormat="1" x14ac:dyDescent="0.35">
      <c r="A487" s="24">
        <v>45607</v>
      </c>
      <c r="B487" s="20" t="s">
        <v>3380</v>
      </c>
      <c r="C487" s="20"/>
      <c r="D487" s="20" t="s">
        <v>136</v>
      </c>
      <c r="E487" s="20" t="s">
        <v>3367</v>
      </c>
      <c r="F487" s="21" t="str">
        <f t="shared" si="42"/>
        <v>13810C ROD &amp; PLUS SYSTEM</v>
      </c>
      <c r="G487" s="12">
        <f t="shared" si="39"/>
        <v>82.347107438016536</v>
      </c>
      <c r="H487" s="22">
        <v>21</v>
      </c>
      <c r="I487" s="21">
        <f t="shared" si="38"/>
        <v>17.292892561983471</v>
      </c>
      <c r="J487" s="21">
        <f t="shared" si="40"/>
        <v>82.347107438016536</v>
      </c>
      <c r="L487" s="21">
        <f t="shared" si="41"/>
        <v>0</v>
      </c>
      <c r="M487" s="8">
        <v>99.64</v>
      </c>
      <c r="N487" s="20" t="s">
        <v>21</v>
      </c>
      <c r="O487" s="23" t="s">
        <v>64</v>
      </c>
      <c r="P487" s="23"/>
    </row>
    <row r="488" spans="1:16" s="22" customFormat="1" x14ac:dyDescent="0.35">
      <c r="A488" s="24">
        <v>45603</v>
      </c>
      <c r="B488" s="20" t="s">
        <v>3381</v>
      </c>
      <c r="C488" s="20"/>
      <c r="D488" s="20" t="s">
        <v>1203</v>
      </c>
      <c r="E488" s="20" t="s">
        <v>1204</v>
      </c>
      <c r="F488" s="21" t="str">
        <f t="shared" si="42"/>
        <v>G 43672 AZULEJOS PEÑA</v>
      </c>
      <c r="G488" s="12">
        <f t="shared" si="39"/>
        <v>54.049586776859513</v>
      </c>
      <c r="H488" s="22">
        <v>21</v>
      </c>
      <c r="I488" s="21">
        <f t="shared" si="38"/>
        <v>11.350413223140498</v>
      </c>
      <c r="J488" s="21">
        <f t="shared" si="40"/>
        <v>54.049586776859513</v>
      </c>
      <c r="L488" s="21">
        <f t="shared" si="41"/>
        <v>0</v>
      </c>
      <c r="M488" s="8">
        <v>65.400000000000006</v>
      </c>
      <c r="N488" s="20" t="s">
        <v>21</v>
      </c>
      <c r="O488" s="23" t="s">
        <v>64</v>
      </c>
      <c r="P488" s="23"/>
    </row>
    <row r="489" spans="1:16" s="22" customFormat="1" x14ac:dyDescent="0.35">
      <c r="A489" s="24">
        <v>45581</v>
      </c>
      <c r="B489" s="20" t="s">
        <v>3382</v>
      </c>
      <c r="C489" s="20"/>
      <c r="D489" s="20" t="s">
        <v>57</v>
      </c>
      <c r="E489" s="20" t="s">
        <v>44</v>
      </c>
      <c r="F489" s="21" t="str">
        <f t="shared" si="42"/>
        <v>045-0010-436249 LEROY MERLIN</v>
      </c>
      <c r="G489" s="12">
        <f t="shared" si="39"/>
        <v>11.785123966942148</v>
      </c>
      <c r="H489" s="22">
        <v>21</v>
      </c>
      <c r="I489" s="21">
        <f t="shared" si="38"/>
        <v>2.4748760330578512</v>
      </c>
      <c r="J489" s="21">
        <f t="shared" si="40"/>
        <v>11.785123966942148</v>
      </c>
      <c r="L489" s="21">
        <f t="shared" si="41"/>
        <v>0</v>
      </c>
      <c r="M489" s="8">
        <v>14.26</v>
      </c>
      <c r="N489" s="20" t="s">
        <v>21</v>
      </c>
      <c r="O489" s="23" t="s">
        <v>64</v>
      </c>
      <c r="P489" s="23"/>
    </row>
    <row r="490" spans="1:16" s="22" customFormat="1" x14ac:dyDescent="0.35">
      <c r="A490" s="24">
        <v>45594</v>
      </c>
      <c r="B490" s="20" t="s">
        <v>3383</v>
      </c>
      <c r="C490" s="20"/>
      <c r="D490" s="20" t="s">
        <v>136</v>
      </c>
      <c r="E490" s="20" t="s">
        <v>3367</v>
      </c>
      <c r="F490" s="21" t="str">
        <f t="shared" si="42"/>
        <v>13281-C ROD &amp; PLUS SYSTEM</v>
      </c>
      <c r="G490" s="12">
        <f t="shared" si="39"/>
        <v>13.727272727272727</v>
      </c>
      <c r="H490" s="22">
        <v>21</v>
      </c>
      <c r="I490" s="21">
        <f t="shared" si="38"/>
        <v>2.8827272727272724</v>
      </c>
      <c r="J490" s="21">
        <f t="shared" si="40"/>
        <v>13.727272727272727</v>
      </c>
      <c r="L490" s="21">
        <f t="shared" si="41"/>
        <v>0</v>
      </c>
      <c r="M490" s="8">
        <v>16.61</v>
      </c>
      <c r="N490" s="20" t="s">
        <v>21</v>
      </c>
      <c r="O490" s="23" t="s">
        <v>64</v>
      </c>
      <c r="P490" s="23"/>
    </row>
    <row r="491" spans="1:16" s="22" customFormat="1" x14ac:dyDescent="0.35">
      <c r="A491" s="24">
        <v>45594</v>
      </c>
      <c r="B491" s="20" t="s">
        <v>3384</v>
      </c>
      <c r="C491" s="20"/>
      <c r="D491" s="20" t="s">
        <v>136</v>
      </c>
      <c r="E491" s="20" t="s">
        <v>3367</v>
      </c>
      <c r="F491" s="21" t="str">
        <f t="shared" si="42"/>
        <v>13283-C ROD &amp; PLUS SYSTEM</v>
      </c>
      <c r="G491" s="12">
        <f t="shared" si="39"/>
        <v>36.231404958677693</v>
      </c>
      <c r="H491" s="22">
        <v>21</v>
      </c>
      <c r="I491" s="21">
        <f t="shared" si="38"/>
        <v>7.6085950413223156</v>
      </c>
      <c r="J491" s="21">
        <f t="shared" si="40"/>
        <v>36.231404958677693</v>
      </c>
      <c r="L491" s="21">
        <f t="shared" si="41"/>
        <v>0</v>
      </c>
      <c r="M491" s="8">
        <v>43.84</v>
      </c>
      <c r="N491" s="20" t="s">
        <v>21</v>
      </c>
      <c r="O491" s="23" t="s">
        <v>64</v>
      </c>
      <c r="P491" s="23"/>
    </row>
    <row r="492" spans="1:16" s="22" customFormat="1" x14ac:dyDescent="0.35">
      <c r="A492" s="24">
        <v>45586</v>
      </c>
      <c r="B492" s="20" t="s">
        <v>3385</v>
      </c>
      <c r="C492" s="20"/>
      <c r="D492" s="20" t="s">
        <v>951</v>
      </c>
      <c r="E492" s="20" t="s">
        <v>3386</v>
      </c>
      <c r="F492" s="21" t="str">
        <f t="shared" si="42"/>
        <v>02619 SILVIU MATERIALES DE CONTRUCCION</v>
      </c>
      <c r="G492" s="12">
        <f t="shared" si="39"/>
        <v>6.123966942148761</v>
      </c>
      <c r="H492" s="22">
        <v>21</v>
      </c>
      <c r="I492" s="21">
        <f t="shared" si="38"/>
        <v>1.2860330578512398</v>
      </c>
      <c r="J492" s="21">
        <f t="shared" si="40"/>
        <v>6.123966942148761</v>
      </c>
      <c r="L492" s="21">
        <f t="shared" si="41"/>
        <v>0</v>
      </c>
      <c r="M492" s="8">
        <v>7.41</v>
      </c>
      <c r="N492" s="20" t="s">
        <v>21</v>
      </c>
      <c r="O492" s="23" t="s">
        <v>64</v>
      </c>
      <c r="P492" s="23"/>
    </row>
    <row r="493" spans="1:16" s="22" customFormat="1" x14ac:dyDescent="0.35">
      <c r="A493" s="24">
        <v>45584</v>
      </c>
      <c r="B493" s="20" t="s">
        <v>3387</v>
      </c>
      <c r="C493" s="20"/>
      <c r="D493" s="20" t="s">
        <v>168</v>
      </c>
      <c r="E493" s="20" t="s">
        <v>169</v>
      </c>
      <c r="F493" s="21" t="str">
        <f t="shared" si="42"/>
        <v>243072006830 BALLENOIL</v>
      </c>
      <c r="G493" s="12">
        <f t="shared" si="39"/>
        <v>52.892561983471076</v>
      </c>
      <c r="H493" s="22">
        <v>21</v>
      </c>
      <c r="I493" s="21">
        <f t="shared" si="38"/>
        <v>11.107438016528926</v>
      </c>
      <c r="J493" s="21">
        <f t="shared" si="40"/>
        <v>52.892561983471076</v>
      </c>
      <c r="L493" s="21">
        <f t="shared" si="41"/>
        <v>0</v>
      </c>
      <c r="M493" s="8">
        <v>64</v>
      </c>
      <c r="N493" s="20" t="s">
        <v>22</v>
      </c>
      <c r="O493" s="23" t="s">
        <v>64</v>
      </c>
      <c r="P493" s="23"/>
    </row>
    <row r="494" spans="1:16" s="22" customFormat="1" x14ac:dyDescent="0.35">
      <c r="A494" s="24"/>
      <c r="B494" s="20"/>
      <c r="C494" s="20"/>
      <c r="D494" s="20"/>
      <c r="E494" s="20"/>
      <c r="F494" s="21" t="str">
        <f t="shared" si="42"/>
        <v xml:space="preserve"> </v>
      </c>
      <c r="G494" s="12">
        <f t="shared" si="39"/>
        <v>0</v>
      </c>
      <c r="H494" s="22">
        <v>21</v>
      </c>
      <c r="I494" s="21">
        <f t="shared" si="38"/>
        <v>0</v>
      </c>
      <c r="J494" s="21">
        <f t="shared" si="40"/>
        <v>0</v>
      </c>
      <c r="L494" s="21">
        <f t="shared" si="41"/>
        <v>0</v>
      </c>
      <c r="M494" s="8">
        <v>0</v>
      </c>
      <c r="N494" s="20" t="s">
        <v>21</v>
      </c>
      <c r="O494" s="23" t="s">
        <v>64</v>
      </c>
      <c r="P494" s="23"/>
    </row>
    <row r="495" spans="1:16" s="22" customFormat="1" x14ac:dyDescent="0.35">
      <c r="A495" s="24"/>
      <c r="B495" s="20"/>
      <c r="C495" s="20"/>
      <c r="D495" s="20"/>
      <c r="E495" s="20"/>
      <c r="F495" s="21" t="str">
        <f t="shared" si="42"/>
        <v xml:space="preserve"> </v>
      </c>
      <c r="G495" s="12">
        <f t="shared" si="39"/>
        <v>0</v>
      </c>
      <c r="H495" s="22">
        <v>21</v>
      </c>
      <c r="I495" s="21">
        <f t="shared" si="38"/>
        <v>0</v>
      </c>
      <c r="J495" s="21">
        <f t="shared" si="40"/>
        <v>0</v>
      </c>
      <c r="L495" s="21">
        <f t="shared" si="41"/>
        <v>0</v>
      </c>
      <c r="M495" s="8">
        <v>0</v>
      </c>
      <c r="N495" s="20" t="s">
        <v>21</v>
      </c>
      <c r="O495" s="23" t="s">
        <v>64</v>
      </c>
      <c r="P495" s="23"/>
    </row>
    <row r="496" spans="1:16" s="22" customFormat="1" x14ac:dyDescent="0.35">
      <c r="A496" s="24"/>
      <c r="B496" s="20"/>
      <c r="C496" s="20"/>
      <c r="D496" s="20"/>
      <c r="E496" s="20"/>
      <c r="F496" s="21" t="str">
        <f t="shared" si="42"/>
        <v xml:space="preserve"> </v>
      </c>
      <c r="G496" s="12">
        <f t="shared" si="39"/>
        <v>0</v>
      </c>
      <c r="H496" s="22">
        <v>21</v>
      </c>
      <c r="I496" s="21">
        <f t="shared" si="38"/>
        <v>0</v>
      </c>
      <c r="J496" s="21">
        <f t="shared" si="40"/>
        <v>0</v>
      </c>
      <c r="L496" s="21">
        <f t="shared" si="41"/>
        <v>0</v>
      </c>
      <c r="M496" s="8">
        <v>0</v>
      </c>
      <c r="N496" s="20" t="s">
        <v>21</v>
      </c>
      <c r="O496" s="23" t="s">
        <v>64</v>
      </c>
      <c r="P496" s="23"/>
    </row>
    <row r="497" spans="1:16" s="22" customFormat="1" x14ac:dyDescent="0.35">
      <c r="A497" s="24"/>
      <c r="B497" s="20"/>
      <c r="C497" s="20"/>
      <c r="D497" s="20"/>
      <c r="E497" s="20"/>
      <c r="F497" s="21" t="str">
        <f t="shared" si="42"/>
        <v xml:space="preserve"> </v>
      </c>
      <c r="G497" s="12">
        <f t="shared" si="39"/>
        <v>0</v>
      </c>
      <c r="H497" s="22">
        <v>21</v>
      </c>
      <c r="I497" s="21">
        <f t="shared" si="38"/>
        <v>0</v>
      </c>
      <c r="J497" s="21">
        <f t="shared" si="40"/>
        <v>0</v>
      </c>
      <c r="L497" s="21">
        <f t="shared" si="41"/>
        <v>0</v>
      </c>
      <c r="M497" s="8">
        <v>0</v>
      </c>
      <c r="N497" s="20" t="s">
        <v>21</v>
      </c>
      <c r="O497" s="23" t="s">
        <v>64</v>
      </c>
      <c r="P497" s="23"/>
    </row>
    <row r="498" spans="1:16" s="22" customFormat="1" x14ac:dyDescent="0.35">
      <c r="A498" s="24"/>
      <c r="B498" s="20"/>
      <c r="C498" s="20"/>
      <c r="D498" s="20"/>
      <c r="E498" s="20"/>
      <c r="F498" s="21" t="str">
        <f t="shared" si="42"/>
        <v xml:space="preserve"> </v>
      </c>
      <c r="G498" s="12">
        <f t="shared" si="39"/>
        <v>0</v>
      </c>
      <c r="H498" s="22">
        <v>21</v>
      </c>
      <c r="I498" s="21">
        <f t="shared" si="38"/>
        <v>0</v>
      </c>
      <c r="J498" s="21">
        <f t="shared" si="40"/>
        <v>0</v>
      </c>
      <c r="L498" s="21">
        <f t="shared" si="41"/>
        <v>0</v>
      </c>
      <c r="M498" s="8">
        <v>0</v>
      </c>
      <c r="N498" s="20" t="s">
        <v>21</v>
      </c>
      <c r="O498" s="23" t="s">
        <v>64</v>
      </c>
      <c r="P498" s="23"/>
    </row>
    <row r="499" spans="1:16" s="22" customFormat="1" x14ac:dyDescent="0.35">
      <c r="A499" s="24"/>
      <c r="B499" s="20"/>
      <c r="C499" s="20"/>
      <c r="D499" s="20"/>
      <c r="E499" s="20"/>
      <c r="F499" s="21" t="str">
        <f t="shared" si="42"/>
        <v xml:space="preserve"> </v>
      </c>
      <c r="G499" s="12">
        <f t="shared" si="39"/>
        <v>0</v>
      </c>
      <c r="H499" s="22">
        <v>21</v>
      </c>
      <c r="I499" s="21">
        <f>SUM(I2:I498)</f>
        <v>48163.450492445576</v>
      </c>
      <c r="J499" s="21">
        <f t="shared" si="40"/>
        <v>0</v>
      </c>
      <c r="L499" s="21">
        <f t="shared" si="41"/>
        <v>0</v>
      </c>
      <c r="M499" s="8">
        <v>0</v>
      </c>
      <c r="N499" s="20" t="s">
        <v>164</v>
      </c>
      <c r="O499" s="23" t="s">
        <v>65</v>
      </c>
      <c r="P499" s="23"/>
    </row>
    <row r="500" spans="1:16" s="22" customFormat="1" x14ac:dyDescent="0.35">
      <c r="A500" s="24"/>
      <c r="B500" s="20"/>
      <c r="C500" s="20"/>
      <c r="D500" s="20"/>
      <c r="E500" s="20"/>
      <c r="F500" s="21" t="str">
        <f t="shared" si="42"/>
        <v xml:space="preserve"> </v>
      </c>
      <c r="G500" s="12">
        <f t="shared" si="39"/>
        <v>0</v>
      </c>
      <c r="H500" s="22">
        <v>21</v>
      </c>
      <c r="I500" s="21">
        <f t="shared" si="38"/>
        <v>0</v>
      </c>
      <c r="J500" s="21">
        <f t="shared" si="40"/>
        <v>0</v>
      </c>
      <c r="L500" s="21">
        <f t="shared" si="41"/>
        <v>0</v>
      </c>
      <c r="M500" s="8">
        <v>0</v>
      </c>
      <c r="N500" s="20" t="s">
        <v>164</v>
      </c>
      <c r="O500" s="23" t="s">
        <v>65</v>
      </c>
      <c r="P500" s="23"/>
    </row>
    <row r="501" spans="1:16" s="22" customFormat="1" x14ac:dyDescent="0.35">
      <c r="A501" s="24"/>
      <c r="B501" s="20"/>
      <c r="C501" s="20"/>
      <c r="D501" s="20"/>
      <c r="E501" s="20"/>
      <c r="F501" s="21" t="str">
        <f t="shared" si="42"/>
        <v xml:space="preserve"> </v>
      </c>
      <c r="G501" s="12">
        <f t="shared" si="39"/>
        <v>0</v>
      </c>
      <c r="H501" s="22">
        <v>21</v>
      </c>
      <c r="I501" s="21">
        <f t="shared" si="38"/>
        <v>0</v>
      </c>
      <c r="J501" s="21">
        <f t="shared" si="40"/>
        <v>0</v>
      </c>
      <c r="L501" s="21">
        <f t="shared" si="41"/>
        <v>0</v>
      </c>
      <c r="M501" s="8">
        <v>0</v>
      </c>
      <c r="N501" s="20" t="s">
        <v>164</v>
      </c>
      <c r="O501" s="23" t="s">
        <v>65</v>
      </c>
      <c r="P501" s="23"/>
    </row>
    <row r="502" spans="1:16" s="22" customFormat="1" x14ac:dyDescent="0.35">
      <c r="A502" s="24"/>
      <c r="B502" s="20"/>
      <c r="C502" s="20"/>
      <c r="D502" s="20"/>
      <c r="E502" s="20"/>
      <c r="F502" s="21" t="str">
        <f t="shared" si="42"/>
        <v xml:space="preserve"> </v>
      </c>
      <c r="G502" s="12">
        <f t="shared" si="39"/>
        <v>0</v>
      </c>
      <c r="H502" s="22">
        <v>10</v>
      </c>
      <c r="I502" s="21">
        <f t="shared" si="38"/>
        <v>0</v>
      </c>
      <c r="J502" s="21">
        <f t="shared" si="40"/>
        <v>0</v>
      </c>
      <c r="L502" s="21">
        <f t="shared" si="41"/>
        <v>0</v>
      </c>
      <c r="M502" s="8">
        <v>0</v>
      </c>
      <c r="N502" s="20" t="s">
        <v>21</v>
      </c>
      <c r="O502" s="23" t="s">
        <v>63</v>
      </c>
      <c r="P502" s="23"/>
    </row>
    <row r="503" spans="1:16" s="22" customFormat="1" x14ac:dyDescent="0.35">
      <c r="A503" s="24"/>
      <c r="B503" s="20"/>
      <c r="C503" s="20"/>
      <c r="D503" s="20"/>
      <c r="E503" s="20"/>
      <c r="F503" s="21" t="str">
        <f t="shared" si="42"/>
        <v xml:space="preserve"> </v>
      </c>
      <c r="G503" s="12">
        <f t="shared" si="39"/>
        <v>0</v>
      </c>
      <c r="H503" s="22">
        <v>10</v>
      </c>
      <c r="I503" s="21">
        <f t="shared" si="38"/>
        <v>0</v>
      </c>
      <c r="J503" s="21">
        <f t="shared" si="40"/>
        <v>0</v>
      </c>
      <c r="L503" s="21">
        <f t="shared" si="41"/>
        <v>0</v>
      </c>
      <c r="M503" s="8">
        <v>0</v>
      </c>
      <c r="N503" s="20" t="s">
        <v>179</v>
      </c>
      <c r="O503" s="23" t="s">
        <v>63</v>
      </c>
      <c r="P503" s="23"/>
    </row>
    <row r="504" spans="1:16" s="22" customFormat="1" x14ac:dyDescent="0.35">
      <c r="A504" s="24"/>
      <c r="B504" s="20"/>
      <c r="C504" s="20"/>
      <c r="D504" s="20"/>
      <c r="E504" s="20"/>
      <c r="F504" s="21" t="str">
        <f t="shared" si="42"/>
        <v xml:space="preserve"> </v>
      </c>
      <c r="G504" s="12">
        <v>105.05</v>
      </c>
      <c r="H504" s="22">
        <v>10</v>
      </c>
      <c r="I504" s="21">
        <f t="shared" si="38"/>
        <v>10.505000000000001</v>
      </c>
      <c r="J504" s="21">
        <v>5.49</v>
      </c>
      <c r="K504" s="21">
        <v>4</v>
      </c>
      <c r="L504" s="21">
        <f t="shared" si="41"/>
        <v>0.21960000000000002</v>
      </c>
      <c r="M504" s="8">
        <v>0</v>
      </c>
      <c r="N504" s="20" t="s">
        <v>179</v>
      </c>
      <c r="O504" s="23" t="s">
        <v>63</v>
      </c>
      <c r="P504" s="23"/>
    </row>
    <row r="505" spans="1:16" s="22" customFormat="1" x14ac:dyDescent="0.35">
      <c r="A505" s="24"/>
      <c r="B505" s="20"/>
      <c r="C505" s="20"/>
      <c r="D505" s="20"/>
      <c r="E505" s="20"/>
      <c r="F505" s="21" t="str">
        <f t="shared" si="42"/>
        <v xml:space="preserve"> </v>
      </c>
      <c r="G505" s="12">
        <v>263.45</v>
      </c>
      <c r="H505" s="22">
        <v>10</v>
      </c>
      <c r="I505" s="21">
        <f t="shared" si="38"/>
        <v>26.344999999999999</v>
      </c>
      <c r="J505" s="21">
        <v>103.65</v>
      </c>
      <c r="K505" s="21">
        <v>21</v>
      </c>
      <c r="L505" s="21">
        <f t="shared" si="41"/>
        <v>21.766500000000001</v>
      </c>
      <c r="M505" s="8">
        <v>0</v>
      </c>
      <c r="N505" s="20" t="s">
        <v>179</v>
      </c>
      <c r="O505" s="23" t="s">
        <v>63</v>
      </c>
      <c r="P505" s="23"/>
    </row>
    <row r="506" spans="1:16" s="22" customFormat="1" x14ac:dyDescent="0.35">
      <c r="A506" s="24"/>
      <c r="B506" s="20"/>
      <c r="C506" s="20"/>
      <c r="D506" s="20"/>
      <c r="E506" s="20"/>
      <c r="F506" s="21" t="str">
        <f t="shared" si="42"/>
        <v xml:space="preserve"> </v>
      </c>
      <c r="G506" s="12">
        <f t="shared" si="39"/>
        <v>0</v>
      </c>
      <c r="H506" s="22">
        <v>21</v>
      </c>
      <c r="I506" s="21">
        <f t="shared" si="38"/>
        <v>0</v>
      </c>
      <c r="J506" s="21">
        <f t="shared" si="40"/>
        <v>0</v>
      </c>
      <c r="L506" s="21">
        <f t="shared" si="41"/>
        <v>0</v>
      </c>
      <c r="M506" s="8">
        <v>0</v>
      </c>
      <c r="N506" s="20" t="s">
        <v>21</v>
      </c>
      <c r="O506" s="23" t="s">
        <v>63</v>
      </c>
      <c r="P506" s="23"/>
    </row>
    <row r="507" spans="1:16" s="22" customFormat="1" x14ac:dyDescent="0.35">
      <c r="A507" s="24"/>
      <c r="B507" s="20"/>
      <c r="C507" s="20"/>
      <c r="D507" s="20"/>
      <c r="E507" s="20"/>
      <c r="F507" s="21" t="str">
        <f t="shared" si="42"/>
        <v xml:space="preserve"> </v>
      </c>
      <c r="G507" s="12">
        <f t="shared" si="39"/>
        <v>0</v>
      </c>
      <c r="H507" s="22">
        <v>21</v>
      </c>
      <c r="I507" s="21">
        <f t="shared" si="38"/>
        <v>0</v>
      </c>
      <c r="J507" s="21">
        <f t="shared" si="40"/>
        <v>0</v>
      </c>
      <c r="L507" s="21">
        <f t="shared" si="41"/>
        <v>0</v>
      </c>
      <c r="M507" s="8">
        <v>0</v>
      </c>
      <c r="N507" s="20" t="s">
        <v>179</v>
      </c>
      <c r="O507" s="23" t="s">
        <v>63</v>
      </c>
      <c r="P507" s="23"/>
    </row>
    <row r="508" spans="1:16" s="22" customFormat="1" x14ac:dyDescent="0.35">
      <c r="A508" s="24"/>
      <c r="B508" s="20"/>
      <c r="C508" s="20"/>
      <c r="D508" s="20"/>
      <c r="E508" s="20"/>
      <c r="F508" s="21" t="str">
        <f t="shared" si="42"/>
        <v xml:space="preserve"> </v>
      </c>
      <c r="G508" s="12">
        <f t="shared" si="39"/>
        <v>0</v>
      </c>
      <c r="H508" s="22">
        <v>21</v>
      </c>
      <c r="I508" s="21">
        <f t="shared" si="38"/>
        <v>0</v>
      </c>
      <c r="J508" s="21">
        <f t="shared" si="40"/>
        <v>0</v>
      </c>
      <c r="L508" s="21">
        <f t="shared" si="41"/>
        <v>0</v>
      </c>
      <c r="M508" s="8">
        <v>0</v>
      </c>
      <c r="N508" s="20" t="s">
        <v>21</v>
      </c>
      <c r="O508" s="23" t="s">
        <v>63</v>
      </c>
      <c r="P508" s="23"/>
    </row>
    <row r="509" spans="1:16" s="22" customFormat="1" x14ac:dyDescent="0.35">
      <c r="A509" s="24"/>
      <c r="B509" s="20"/>
      <c r="C509" s="20"/>
      <c r="D509" s="20"/>
      <c r="E509" s="20"/>
      <c r="F509" s="21" t="str">
        <f t="shared" si="42"/>
        <v xml:space="preserve"> </v>
      </c>
      <c r="G509" s="12">
        <v>119.5</v>
      </c>
      <c r="H509" s="22">
        <v>10</v>
      </c>
      <c r="I509" s="21">
        <f t="shared" si="38"/>
        <v>11.95</v>
      </c>
      <c r="J509" s="21">
        <v>36.32</v>
      </c>
      <c r="K509" s="21">
        <v>21</v>
      </c>
      <c r="L509" s="21">
        <f t="shared" si="41"/>
        <v>7.6272000000000002</v>
      </c>
      <c r="M509" s="8">
        <v>0</v>
      </c>
      <c r="N509" s="20" t="s">
        <v>179</v>
      </c>
      <c r="O509" s="23"/>
      <c r="P509" s="23"/>
    </row>
    <row r="510" spans="1:16" s="22" customFormat="1" x14ac:dyDescent="0.35">
      <c r="A510" s="24"/>
      <c r="B510" s="20"/>
      <c r="C510" s="20"/>
      <c r="D510" s="20"/>
      <c r="E510" s="20"/>
      <c r="F510" s="21" t="str">
        <f t="shared" si="42"/>
        <v xml:space="preserve"> </v>
      </c>
      <c r="G510" s="12">
        <f t="shared" si="39"/>
        <v>0</v>
      </c>
      <c r="H510" s="22">
        <v>21</v>
      </c>
      <c r="I510" s="21">
        <f t="shared" si="38"/>
        <v>0</v>
      </c>
      <c r="J510" s="21">
        <f t="shared" si="40"/>
        <v>0</v>
      </c>
      <c r="L510" s="21">
        <f t="shared" si="41"/>
        <v>0</v>
      </c>
      <c r="M510" s="8">
        <v>0</v>
      </c>
      <c r="N510" s="20" t="s">
        <v>22</v>
      </c>
      <c r="O510" s="23" t="s">
        <v>63</v>
      </c>
      <c r="P510" s="23"/>
    </row>
    <row r="511" spans="1:16" s="22" customFormat="1" x14ac:dyDescent="0.35">
      <c r="A511" s="24"/>
      <c r="B511" s="20"/>
      <c r="C511" s="20"/>
      <c r="D511" s="20"/>
      <c r="E511" s="20"/>
      <c r="F511" s="21" t="str">
        <f t="shared" si="42"/>
        <v xml:space="preserve"> </v>
      </c>
      <c r="G511" s="12">
        <f t="shared" si="39"/>
        <v>0</v>
      </c>
      <c r="H511" s="22">
        <v>21</v>
      </c>
      <c r="I511" s="21">
        <f t="shared" si="38"/>
        <v>0</v>
      </c>
      <c r="J511" s="21">
        <f t="shared" si="40"/>
        <v>0</v>
      </c>
      <c r="L511" s="21">
        <f t="shared" si="41"/>
        <v>0</v>
      </c>
      <c r="M511" s="8">
        <v>0</v>
      </c>
      <c r="N511" s="20" t="s">
        <v>179</v>
      </c>
      <c r="O511" s="23" t="s">
        <v>63</v>
      </c>
      <c r="P511" s="23"/>
    </row>
    <row r="512" spans="1:16" s="22" customFormat="1" x14ac:dyDescent="0.35">
      <c r="A512" s="24"/>
      <c r="B512" s="20"/>
      <c r="C512" s="20"/>
      <c r="D512" s="20"/>
      <c r="E512" s="20"/>
      <c r="F512" s="21" t="str">
        <f t="shared" si="42"/>
        <v xml:space="preserve"> </v>
      </c>
      <c r="G512" s="12">
        <f t="shared" si="39"/>
        <v>0</v>
      </c>
      <c r="H512" s="22">
        <v>10</v>
      </c>
      <c r="I512" s="21">
        <f t="shared" si="38"/>
        <v>0</v>
      </c>
      <c r="J512" s="21">
        <f t="shared" si="40"/>
        <v>0</v>
      </c>
      <c r="L512" s="21">
        <f t="shared" si="41"/>
        <v>0</v>
      </c>
      <c r="M512" s="8">
        <v>0</v>
      </c>
      <c r="N512" s="20" t="s">
        <v>28</v>
      </c>
      <c r="O512" s="23" t="s">
        <v>63</v>
      </c>
      <c r="P512" s="23"/>
    </row>
    <row r="513" spans="1:16" s="22" customFormat="1" x14ac:dyDescent="0.35">
      <c r="A513" s="24"/>
      <c r="B513" s="20"/>
      <c r="C513" s="20"/>
      <c r="D513" s="20"/>
      <c r="E513" s="20"/>
      <c r="F513" s="21" t="str">
        <f t="shared" si="42"/>
        <v xml:space="preserve"> </v>
      </c>
      <c r="G513" s="12">
        <f t="shared" si="39"/>
        <v>0</v>
      </c>
      <c r="H513" s="22">
        <v>21</v>
      </c>
      <c r="I513" s="21">
        <f t="shared" si="38"/>
        <v>0</v>
      </c>
      <c r="J513" s="21">
        <f t="shared" si="40"/>
        <v>0</v>
      </c>
      <c r="L513" s="21">
        <f t="shared" si="41"/>
        <v>0</v>
      </c>
      <c r="M513" s="8">
        <v>0</v>
      </c>
      <c r="N513" s="20" t="s">
        <v>22</v>
      </c>
      <c r="O513" s="23" t="s">
        <v>64</v>
      </c>
      <c r="P513" s="23"/>
    </row>
    <row r="514" spans="1:16" s="22" customFormat="1" x14ac:dyDescent="0.35">
      <c r="A514" s="24"/>
      <c r="B514" s="20"/>
      <c r="C514" s="20"/>
      <c r="D514" s="20"/>
      <c r="E514" s="20"/>
      <c r="F514" s="21" t="str">
        <f t="shared" si="42"/>
        <v xml:space="preserve"> </v>
      </c>
      <c r="G514" s="12">
        <f t="shared" si="39"/>
        <v>0</v>
      </c>
      <c r="H514" s="22">
        <v>21</v>
      </c>
      <c r="I514" s="21">
        <f t="shared" si="38"/>
        <v>0</v>
      </c>
      <c r="J514" s="21">
        <f t="shared" si="40"/>
        <v>0</v>
      </c>
      <c r="L514" s="21">
        <f t="shared" si="41"/>
        <v>0</v>
      </c>
      <c r="M514" s="8">
        <v>0</v>
      </c>
      <c r="N514" s="20" t="s">
        <v>22</v>
      </c>
      <c r="O514" s="23" t="s">
        <v>63</v>
      </c>
      <c r="P514" s="23"/>
    </row>
    <row r="515" spans="1:16" s="22" customFormat="1" x14ac:dyDescent="0.35">
      <c r="A515" s="24"/>
      <c r="B515" s="20"/>
      <c r="C515" s="20"/>
      <c r="D515" s="20"/>
      <c r="E515" s="20"/>
      <c r="F515" s="21" t="str">
        <f t="shared" si="42"/>
        <v xml:space="preserve"> </v>
      </c>
      <c r="G515" s="12">
        <f t="shared" si="39"/>
        <v>0</v>
      </c>
      <c r="H515" s="22">
        <v>10</v>
      </c>
      <c r="I515" s="21">
        <f t="shared" si="38"/>
        <v>0</v>
      </c>
      <c r="J515" s="21">
        <f t="shared" si="40"/>
        <v>0</v>
      </c>
      <c r="L515" s="21">
        <f t="shared" si="41"/>
        <v>0</v>
      </c>
      <c r="M515" s="8">
        <v>0</v>
      </c>
      <c r="N515" s="20" t="s">
        <v>179</v>
      </c>
      <c r="O515" s="23" t="s">
        <v>63</v>
      </c>
      <c r="P515" s="23"/>
    </row>
    <row r="516" spans="1:16" s="22" customFormat="1" x14ac:dyDescent="0.35">
      <c r="A516" s="24"/>
      <c r="B516" s="20"/>
      <c r="C516" s="20"/>
      <c r="D516" s="20"/>
      <c r="E516" s="20"/>
      <c r="F516" s="21" t="str">
        <f t="shared" si="42"/>
        <v xml:space="preserve"> </v>
      </c>
      <c r="G516" s="12">
        <f t="shared" si="39"/>
        <v>0</v>
      </c>
      <c r="H516" s="22">
        <v>10</v>
      </c>
      <c r="I516" s="21">
        <f t="shared" si="38"/>
        <v>0</v>
      </c>
      <c r="J516" s="21">
        <f t="shared" si="40"/>
        <v>0</v>
      </c>
      <c r="L516" s="21">
        <f t="shared" si="41"/>
        <v>0</v>
      </c>
      <c r="M516" s="8">
        <v>0</v>
      </c>
      <c r="N516" s="20" t="s">
        <v>179</v>
      </c>
      <c r="O516" s="23" t="s">
        <v>63</v>
      </c>
      <c r="P516" s="23"/>
    </row>
    <row r="517" spans="1:16" s="22" customFormat="1" x14ac:dyDescent="0.35">
      <c r="A517" s="24"/>
      <c r="B517" s="20"/>
      <c r="C517" s="20"/>
      <c r="D517" s="20"/>
      <c r="E517" s="20"/>
      <c r="F517" s="21" t="str">
        <f t="shared" si="42"/>
        <v xml:space="preserve"> </v>
      </c>
      <c r="G517" s="12">
        <f t="shared" si="39"/>
        <v>0</v>
      </c>
      <c r="H517" s="22">
        <v>21</v>
      </c>
      <c r="I517" s="21">
        <f t="shared" si="38"/>
        <v>0</v>
      </c>
      <c r="J517" s="21">
        <f t="shared" si="40"/>
        <v>0</v>
      </c>
      <c r="L517" s="21">
        <f t="shared" si="41"/>
        <v>0</v>
      </c>
      <c r="M517" s="8">
        <v>0</v>
      </c>
      <c r="N517" s="20" t="s">
        <v>22</v>
      </c>
      <c r="O517" s="23" t="s">
        <v>63</v>
      </c>
      <c r="P517" s="23"/>
    </row>
    <row r="518" spans="1:16" s="22" customFormat="1" x14ac:dyDescent="0.35">
      <c r="A518" s="24"/>
      <c r="B518" s="20"/>
      <c r="C518" s="20"/>
      <c r="D518" s="20"/>
      <c r="E518" s="20"/>
      <c r="F518" s="21" t="str">
        <f t="shared" si="42"/>
        <v xml:space="preserve"> </v>
      </c>
      <c r="G518" s="12">
        <f t="shared" si="39"/>
        <v>0</v>
      </c>
      <c r="H518" s="22">
        <v>10</v>
      </c>
      <c r="I518" s="21">
        <f t="shared" si="38"/>
        <v>0</v>
      </c>
      <c r="J518" s="21">
        <f t="shared" si="40"/>
        <v>0</v>
      </c>
      <c r="L518" s="21">
        <f t="shared" si="41"/>
        <v>0</v>
      </c>
      <c r="M518" s="8">
        <v>0</v>
      </c>
      <c r="N518" s="20" t="s">
        <v>28</v>
      </c>
      <c r="O518" s="23" t="s">
        <v>64</v>
      </c>
      <c r="P518" s="23"/>
    </row>
    <row r="519" spans="1:16" s="22" customFormat="1" x14ac:dyDescent="0.35">
      <c r="A519" s="24"/>
      <c r="B519" s="20"/>
      <c r="C519" s="20"/>
      <c r="D519" s="20"/>
      <c r="E519" s="20"/>
      <c r="F519" s="21" t="str">
        <f t="shared" si="42"/>
        <v xml:space="preserve"> </v>
      </c>
      <c r="G519" s="12">
        <f t="shared" si="39"/>
        <v>0</v>
      </c>
      <c r="H519" s="22">
        <v>21</v>
      </c>
      <c r="I519" s="21">
        <f t="shared" si="38"/>
        <v>0</v>
      </c>
      <c r="J519" s="21">
        <f t="shared" si="40"/>
        <v>0</v>
      </c>
      <c r="L519" s="21">
        <f t="shared" si="41"/>
        <v>0</v>
      </c>
      <c r="M519" s="8">
        <v>0</v>
      </c>
      <c r="N519" s="20" t="s">
        <v>22</v>
      </c>
      <c r="O519" s="23" t="s">
        <v>63</v>
      </c>
      <c r="P519" s="23"/>
    </row>
    <row r="520" spans="1:16" s="22" customFormat="1" x14ac:dyDescent="0.35">
      <c r="A520" s="24"/>
      <c r="B520" s="20"/>
      <c r="C520" s="20"/>
      <c r="D520" s="20"/>
      <c r="E520" s="20"/>
      <c r="F520" s="21" t="str">
        <f t="shared" si="42"/>
        <v xml:space="preserve"> </v>
      </c>
      <c r="G520" s="12">
        <f t="shared" si="39"/>
        <v>0</v>
      </c>
      <c r="H520" s="22">
        <v>21</v>
      </c>
      <c r="I520" s="21">
        <f t="shared" si="38"/>
        <v>0</v>
      </c>
      <c r="J520" s="21">
        <f t="shared" si="40"/>
        <v>0</v>
      </c>
      <c r="L520" s="21">
        <f t="shared" si="41"/>
        <v>0</v>
      </c>
      <c r="M520" s="8">
        <v>0</v>
      </c>
      <c r="N520" s="20" t="s">
        <v>21</v>
      </c>
      <c r="O520" s="23" t="s">
        <v>64</v>
      </c>
      <c r="P520" s="23"/>
    </row>
    <row r="521" spans="1:16" s="22" customFormat="1" x14ac:dyDescent="0.35">
      <c r="A521" s="24"/>
      <c r="B521" s="20"/>
      <c r="C521" s="20"/>
      <c r="D521" s="20"/>
      <c r="E521" s="20"/>
      <c r="F521" s="21" t="str">
        <f t="shared" si="42"/>
        <v xml:space="preserve"> </v>
      </c>
      <c r="G521" s="12">
        <f t="shared" si="39"/>
        <v>0</v>
      </c>
      <c r="H521" s="22">
        <v>10</v>
      </c>
      <c r="I521" s="21">
        <f t="shared" si="38"/>
        <v>0</v>
      </c>
      <c r="J521" s="21">
        <f t="shared" si="40"/>
        <v>0</v>
      </c>
      <c r="L521" s="21">
        <f t="shared" si="41"/>
        <v>0</v>
      </c>
      <c r="M521" s="8">
        <v>0</v>
      </c>
      <c r="N521" s="20" t="s">
        <v>28</v>
      </c>
      <c r="O521" s="23" t="s">
        <v>63</v>
      </c>
      <c r="P521" s="23"/>
    </row>
    <row r="522" spans="1:16" s="22" customFormat="1" x14ac:dyDescent="0.35">
      <c r="A522" s="24"/>
      <c r="B522" s="20"/>
      <c r="C522" s="20"/>
      <c r="D522" s="20"/>
      <c r="E522" s="20"/>
      <c r="F522" s="21" t="str">
        <f t="shared" si="42"/>
        <v xml:space="preserve"> </v>
      </c>
      <c r="G522" s="12">
        <v>153.05000000000001</v>
      </c>
      <c r="H522" s="22">
        <v>10</v>
      </c>
      <c r="I522" s="21">
        <f t="shared" si="38"/>
        <v>15.305</v>
      </c>
      <c r="J522" s="21">
        <v>69.290000000000006</v>
      </c>
      <c r="K522" s="21">
        <v>4</v>
      </c>
      <c r="L522" s="21">
        <f t="shared" si="41"/>
        <v>2.7716000000000003</v>
      </c>
      <c r="M522" s="8">
        <v>0</v>
      </c>
      <c r="N522" s="20" t="s">
        <v>179</v>
      </c>
      <c r="O522" s="23" t="s">
        <v>63</v>
      </c>
      <c r="P522" s="23"/>
    </row>
    <row r="523" spans="1:16" s="22" customFormat="1" x14ac:dyDescent="0.35">
      <c r="A523" s="24"/>
      <c r="B523" s="20"/>
      <c r="C523" s="20"/>
      <c r="D523" s="20"/>
      <c r="E523" s="20"/>
      <c r="F523" s="21" t="str">
        <f t="shared" si="42"/>
        <v xml:space="preserve"> </v>
      </c>
      <c r="G523" s="12">
        <f t="shared" si="39"/>
        <v>0</v>
      </c>
      <c r="H523" s="22">
        <v>10</v>
      </c>
      <c r="I523" s="21">
        <f t="shared" si="38"/>
        <v>0</v>
      </c>
      <c r="J523" s="21">
        <f t="shared" si="40"/>
        <v>0</v>
      </c>
      <c r="L523" s="21">
        <f t="shared" si="41"/>
        <v>0</v>
      </c>
      <c r="M523" s="8">
        <v>0</v>
      </c>
      <c r="N523" s="20" t="s">
        <v>33</v>
      </c>
      <c r="O523" s="23" t="s">
        <v>65</v>
      </c>
      <c r="P523" s="23"/>
    </row>
    <row r="524" spans="1:16" s="22" customFormat="1" x14ac:dyDescent="0.35">
      <c r="A524" s="24"/>
      <c r="B524" s="20"/>
      <c r="C524" s="20"/>
      <c r="D524" s="20"/>
      <c r="E524" s="20"/>
      <c r="F524" s="21" t="str">
        <f t="shared" si="42"/>
        <v xml:space="preserve"> </v>
      </c>
      <c r="G524" s="12">
        <f t="shared" si="39"/>
        <v>0</v>
      </c>
      <c r="H524" s="22">
        <v>21</v>
      </c>
      <c r="I524" s="21">
        <f t="shared" si="38"/>
        <v>0</v>
      </c>
      <c r="J524" s="21">
        <f t="shared" si="40"/>
        <v>0</v>
      </c>
      <c r="L524" s="21">
        <f t="shared" si="41"/>
        <v>0</v>
      </c>
      <c r="M524" s="8">
        <v>0</v>
      </c>
      <c r="N524" s="20" t="s">
        <v>21</v>
      </c>
      <c r="O524" s="23" t="s">
        <v>65</v>
      </c>
      <c r="P524" s="23"/>
    </row>
    <row r="525" spans="1:16" s="22" customFormat="1" x14ac:dyDescent="0.35">
      <c r="A525" s="24"/>
      <c r="B525" s="20"/>
      <c r="C525" s="20"/>
      <c r="D525" s="20"/>
      <c r="E525" s="20"/>
      <c r="F525" s="21" t="str">
        <f t="shared" si="42"/>
        <v xml:space="preserve"> </v>
      </c>
      <c r="G525" s="12">
        <f t="shared" si="39"/>
        <v>0</v>
      </c>
      <c r="H525" s="22">
        <v>21</v>
      </c>
      <c r="I525" s="21">
        <f t="shared" si="38"/>
        <v>0</v>
      </c>
      <c r="J525" s="21">
        <f t="shared" si="40"/>
        <v>0</v>
      </c>
      <c r="L525" s="21">
        <f t="shared" si="41"/>
        <v>0</v>
      </c>
      <c r="M525" s="8">
        <v>0</v>
      </c>
      <c r="N525" s="20" t="s">
        <v>21</v>
      </c>
      <c r="O525" s="23" t="s">
        <v>65</v>
      </c>
      <c r="P525" s="23"/>
    </row>
    <row r="526" spans="1:16" s="22" customFormat="1" x14ac:dyDescent="0.35">
      <c r="A526" s="24"/>
      <c r="B526" s="20"/>
      <c r="C526" s="20"/>
      <c r="D526" s="20"/>
      <c r="E526" s="20"/>
      <c r="F526" s="21" t="str">
        <f t="shared" si="42"/>
        <v xml:space="preserve"> </v>
      </c>
      <c r="G526" s="12">
        <f t="shared" si="39"/>
        <v>0</v>
      </c>
      <c r="H526" s="22">
        <v>21</v>
      </c>
      <c r="I526" s="21">
        <f t="shared" si="38"/>
        <v>0</v>
      </c>
      <c r="J526" s="21">
        <f t="shared" si="40"/>
        <v>0</v>
      </c>
      <c r="L526" s="21">
        <f t="shared" si="41"/>
        <v>0</v>
      </c>
      <c r="M526" s="8">
        <v>0</v>
      </c>
      <c r="N526" s="20" t="s">
        <v>21</v>
      </c>
      <c r="O526" s="23" t="s">
        <v>65</v>
      </c>
      <c r="P526" s="23"/>
    </row>
    <row r="527" spans="1:16" s="22" customFormat="1" x14ac:dyDescent="0.35">
      <c r="A527" s="24"/>
      <c r="B527" s="20"/>
      <c r="C527" s="20"/>
      <c r="D527" s="20"/>
      <c r="E527" s="20"/>
      <c r="F527" s="21" t="str">
        <f t="shared" si="42"/>
        <v xml:space="preserve"> </v>
      </c>
      <c r="G527" s="12">
        <v>665.58</v>
      </c>
      <c r="H527" s="22">
        <v>21</v>
      </c>
      <c r="I527" s="21">
        <f t="shared" si="38"/>
        <v>139.77180000000001</v>
      </c>
      <c r="J527" s="21">
        <v>70.5</v>
      </c>
      <c r="K527" s="21">
        <v>5</v>
      </c>
      <c r="L527" s="21">
        <f t="shared" si="41"/>
        <v>3.5249999999999999</v>
      </c>
      <c r="M527" s="8">
        <v>0</v>
      </c>
      <c r="N527" s="20" t="s">
        <v>21</v>
      </c>
      <c r="O527" s="23" t="s">
        <v>65</v>
      </c>
      <c r="P527" s="23"/>
    </row>
    <row r="528" spans="1:16" x14ac:dyDescent="0.35">
      <c r="A528" s="4"/>
      <c r="F528" s="5" t="str">
        <f t="shared" si="42"/>
        <v xml:space="preserve"> </v>
      </c>
      <c r="G528" s="12">
        <v>256.3</v>
      </c>
      <c r="H528">
        <v>21</v>
      </c>
      <c r="I528" s="5">
        <f t="shared" si="38"/>
        <v>53.823</v>
      </c>
      <c r="J528" s="5">
        <f t="shared" si="40"/>
        <v>256.3</v>
      </c>
      <c r="L528" s="5">
        <f t="shared" si="41"/>
        <v>0</v>
      </c>
      <c r="M528" s="8">
        <v>0</v>
      </c>
      <c r="N528" s="2" t="s">
        <v>39</v>
      </c>
      <c r="O528" s="3" t="s">
        <v>65</v>
      </c>
    </row>
    <row r="529" spans="1:15" x14ac:dyDescent="0.35">
      <c r="A529" s="4"/>
      <c r="F529" s="5" t="str">
        <f t="shared" si="42"/>
        <v xml:space="preserve"> </v>
      </c>
      <c r="G529" s="12">
        <f t="shared" si="39"/>
        <v>0</v>
      </c>
      <c r="H529">
        <v>21</v>
      </c>
      <c r="I529" s="5">
        <f t="shared" si="38"/>
        <v>0</v>
      </c>
      <c r="J529" s="5">
        <f t="shared" si="40"/>
        <v>0</v>
      </c>
      <c r="L529" s="5">
        <f t="shared" si="41"/>
        <v>0</v>
      </c>
      <c r="M529" s="8">
        <v>0</v>
      </c>
      <c r="N529" s="2" t="s">
        <v>37</v>
      </c>
      <c r="O529" s="3" t="s">
        <v>68</v>
      </c>
    </row>
    <row r="530" spans="1:15" x14ac:dyDescent="0.35">
      <c r="A530" s="4"/>
      <c r="F530" s="5" t="str">
        <f t="shared" si="42"/>
        <v xml:space="preserve"> </v>
      </c>
      <c r="G530" s="12">
        <f t="shared" si="39"/>
        <v>0</v>
      </c>
      <c r="H530">
        <v>21</v>
      </c>
      <c r="I530" s="5">
        <f t="shared" si="38"/>
        <v>0</v>
      </c>
      <c r="J530" s="5">
        <f t="shared" si="40"/>
        <v>0</v>
      </c>
      <c r="L530" s="5">
        <f t="shared" si="41"/>
        <v>0</v>
      </c>
      <c r="M530" s="8">
        <v>0</v>
      </c>
      <c r="N530" s="2" t="s">
        <v>21</v>
      </c>
      <c r="O530" s="3" t="s">
        <v>68</v>
      </c>
    </row>
    <row r="531" spans="1:15" x14ac:dyDescent="0.35">
      <c r="A531" s="4"/>
      <c r="F531" s="5" t="str">
        <f t="shared" si="42"/>
        <v xml:space="preserve"> </v>
      </c>
      <c r="G531" s="12">
        <f t="shared" si="39"/>
        <v>0</v>
      </c>
      <c r="H531">
        <v>21</v>
      </c>
      <c r="I531" s="5">
        <f t="shared" si="38"/>
        <v>0</v>
      </c>
      <c r="J531" s="5">
        <f t="shared" si="40"/>
        <v>0</v>
      </c>
      <c r="L531" s="5">
        <f t="shared" si="41"/>
        <v>0</v>
      </c>
      <c r="M531" s="8">
        <v>0</v>
      </c>
      <c r="N531" s="2" t="s">
        <v>56</v>
      </c>
    </row>
    <row r="532" spans="1:15" x14ac:dyDescent="0.35">
      <c r="A532" s="4"/>
      <c r="F532" s="5" t="str">
        <f t="shared" si="42"/>
        <v xml:space="preserve"> </v>
      </c>
      <c r="G532" s="12">
        <f t="shared" si="39"/>
        <v>0</v>
      </c>
      <c r="H532">
        <v>21</v>
      </c>
      <c r="I532" s="5">
        <f t="shared" si="38"/>
        <v>0</v>
      </c>
      <c r="J532" s="5">
        <f t="shared" si="40"/>
        <v>0</v>
      </c>
      <c r="L532" s="5">
        <f t="shared" si="41"/>
        <v>0</v>
      </c>
      <c r="M532" s="8">
        <v>0</v>
      </c>
      <c r="N532" s="2" t="s">
        <v>56</v>
      </c>
    </row>
    <row r="533" spans="1:15" x14ac:dyDescent="0.35">
      <c r="A533" s="4"/>
      <c r="F533" s="5" t="str">
        <f t="shared" si="42"/>
        <v xml:space="preserve"> </v>
      </c>
      <c r="G533" s="12">
        <f t="shared" si="39"/>
        <v>0</v>
      </c>
      <c r="H533">
        <v>21</v>
      </c>
      <c r="I533" s="5">
        <f t="shared" si="38"/>
        <v>0</v>
      </c>
      <c r="J533" s="5">
        <f t="shared" si="40"/>
        <v>0</v>
      </c>
      <c r="L533" s="5">
        <f t="shared" si="41"/>
        <v>0</v>
      </c>
      <c r="M533" s="8">
        <v>0</v>
      </c>
      <c r="N533" s="2" t="s">
        <v>56</v>
      </c>
    </row>
    <row r="534" spans="1:15" x14ac:dyDescent="0.35">
      <c r="A534" s="4"/>
      <c r="F534" s="5" t="str">
        <f t="shared" si="42"/>
        <v xml:space="preserve"> </v>
      </c>
      <c r="G534" s="12">
        <f t="shared" si="39"/>
        <v>0</v>
      </c>
      <c r="H534">
        <v>21</v>
      </c>
      <c r="I534" s="5">
        <f t="shared" si="38"/>
        <v>0</v>
      </c>
      <c r="J534" s="5">
        <f t="shared" si="40"/>
        <v>0</v>
      </c>
      <c r="L534" s="5">
        <f t="shared" si="41"/>
        <v>0</v>
      </c>
      <c r="M534" s="8">
        <v>0</v>
      </c>
      <c r="N534" s="2" t="s">
        <v>56</v>
      </c>
    </row>
    <row r="535" spans="1:15" x14ac:dyDescent="0.35">
      <c r="A535" s="4"/>
      <c r="F535" s="5" t="str">
        <f t="shared" si="42"/>
        <v xml:space="preserve"> </v>
      </c>
      <c r="G535" s="12">
        <f t="shared" si="39"/>
        <v>0</v>
      </c>
      <c r="H535">
        <v>21</v>
      </c>
      <c r="I535" s="5">
        <f t="shared" si="38"/>
        <v>0</v>
      </c>
      <c r="J535" s="5">
        <f t="shared" si="40"/>
        <v>0</v>
      </c>
      <c r="L535" s="5">
        <f t="shared" si="41"/>
        <v>0</v>
      </c>
      <c r="M535" s="8">
        <v>0</v>
      </c>
      <c r="N535" s="2" t="s">
        <v>37</v>
      </c>
    </row>
    <row r="536" spans="1:15" x14ac:dyDescent="0.35">
      <c r="G536" s="12">
        <f t="shared" si="39"/>
        <v>0</v>
      </c>
      <c r="I536" s="5">
        <f t="shared" si="38"/>
        <v>0</v>
      </c>
      <c r="J536" s="5">
        <f t="shared" si="40"/>
        <v>0</v>
      </c>
      <c r="L536" s="5">
        <f t="shared" si="41"/>
        <v>0</v>
      </c>
      <c r="M536" s="8">
        <v>0</v>
      </c>
    </row>
    <row r="537" spans="1:15" x14ac:dyDescent="0.35">
      <c r="G537" s="12">
        <f t="shared" si="39"/>
        <v>0</v>
      </c>
      <c r="I537" s="5">
        <f t="shared" si="38"/>
        <v>0</v>
      </c>
      <c r="J537" s="5">
        <f t="shared" si="40"/>
        <v>0</v>
      </c>
      <c r="L537" s="5">
        <f t="shared" si="41"/>
        <v>0</v>
      </c>
      <c r="M537" s="8">
        <v>0</v>
      </c>
    </row>
    <row r="538" spans="1:15" x14ac:dyDescent="0.35">
      <c r="G538" s="12">
        <f t="shared" si="39"/>
        <v>0</v>
      </c>
      <c r="I538" s="5">
        <f t="shared" si="38"/>
        <v>0</v>
      </c>
      <c r="J538" s="5">
        <f t="shared" si="40"/>
        <v>0</v>
      </c>
      <c r="L538" s="5">
        <f t="shared" si="41"/>
        <v>0</v>
      </c>
      <c r="M538" s="8">
        <v>0</v>
      </c>
    </row>
    <row r="539" spans="1:15" x14ac:dyDescent="0.35">
      <c r="G539" s="12">
        <f t="shared" si="39"/>
        <v>0</v>
      </c>
      <c r="I539" s="5">
        <f t="shared" si="38"/>
        <v>0</v>
      </c>
      <c r="J539" s="5">
        <f t="shared" si="40"/>
        <v>0</v>
      </c>
      <c r="L539" s="5">
        <f t="shared" si="41"/>
        <v>0</v>
      </c>
      <c r="M539" s="8">
        <v>0</v>
      </c>
    </row>
    <row r="540" spans="1:15" x14ac:dyDescent="0.35">
      <c r="G540" s="12">
        <f t="shared" si="39"/>
        <v>0</v>
      </c>
      <c r="I540" s="5">
        <f t="shared" si="38"/>
        <v>0</v>
      </c>
      <c r="J540" s="5">
        <f t="shared" si="40"/>
        <v>0</v>
      </c>
      <c r="L540" s="5">
        <f t="shared" si="41"/>
        <v>0</v>
      </c>
      <c r="M540" s="8">
        <v>0</v>
      </c>
    </row>
    <row r="541" spans="1:15" x14ac:dyDescent="0.35">
      <c r="G541" s="12">
        <f t="shared" si="39"/>
        <v>0</v>
      </c>
      <c r="I541" s="5">
        <f t="shared" si="38"/>
        <v>0</v>
      </c>
      <c r="J541" s="5">
        <f t="shared" si="40"/>
        <v>0</v>
      </c>
      <c r="L541" s="5">
        <f t="shared" si="41"/>
        <v>0</v>
      </c>
      <c r="M541" s="8">
        <v>0</v>
      </c>
    </row>
    <row r="542" spans="1:15" x14ac:dyDescent="0.35">
      <c r="G542" s="12">
        <f t="shared" si="39"/>
        <v>0</v>
      </c>
      <c r="I542" s="5">
        <f t="shared" si="38"/>
        <v>0</v>
      </c>
      <c r="J542" s="5">
        <f t="shared" si="40"/>
        <v>0</v>
      </c>
      <c r="L542" s="5">
        <f t="shared" si="41"/>
        <v>0</v>
      </c>
      <c r="M542" s="8">
        <v>0</v>
      </c>
    </row>
    <row r="543" spans="1:15" x14ac:dyDescent="0.35">
      <c r="G543" s="12">
        <f t="shared" si="39"/>
        <v>0</v>
      </c>
      <c r="I543" s="5">
        <f t="shared" ref="I543:I551" si="43">G543*H543/100</f>
        <v>0</v>
      </c>
      <c r="J543" s="5">
        <f t="shared" si="40"/>
        <v>0</v>
      </c>
      <c r="L543" s="5">
        <f t="shared" si="41"/>
        <v>0</v>
      </c>
      <c r="M543" s="8">
        <v>0</v>
      </c>
    </row>
    <row r="544" spans="1:15" x14ac:dyDescent="0.35">
      <c r="G544" s="12">
        <f t="shared" ref="G544:G551" si="44">M544/(1-K544/100+H544/100)</f>
        <v>0</v>
      </c>
      <c r="I544" s="5">
        <f t="shared" si="43"/>
        <v>0</v>
      </c>
      <c r="J544" s="5">
        <f t="shared" ref="J544:J551" si="45">G544</f>
        <v>0</v>
      </c>
      <c r="L544" s="5">
        <f t="shared" si="41"/>
        <v>0</v>
      </c>
      <c r="M544" s="8">
        <v>0</v>
      </c>
    </row>
    <row r="545" spans="7:13" x14ac:dyDescent="0.35">
      <c r="G545" s="12">
        <f t="shared" si="44"/>
        <v>0</v>
      </c>
      <c r="I545" s="5">
        <f t="shared" si="43"/>
        <v>0</v>
      </c>
      <c r="J545" s="5">
        <f t="shared" si="45"/>
        <v>0</v>
      </c>
      <c r="L545" s="5">
        <f t="shared" si="41"/>
        <v>0</v>
      </c>
      <c r="M545" s="8">
        <v>0</v>
      </c>
    </row>
    <row r="546" spans="7:13" x14ac:dyDescent="0.35">
      <c r="G546" s="12">
        <f t="shared" si="44"/>
        <v>0</v>
      </c>
      <c r="I546" s="5">
        <f t="shared" si="43"/>
        <v>0</v>
      </c>
      <c r="J546" s="5">
        <f t="shared" si="45"/>
        <v>0</v>
      </c>
      <c r="L546" s="5">
        <f t="shared" si="41"/>
        <v>0</v>
      </c>
      <c r="M546" s="8">
        <v>0</v>
      </c>
    </row>
    <row r="547" spans="7:13" x14ac:dyDescent="0.35">
      <c r="G547" s="12">
        <f t="shared" si="44"/>
        <v>0</v>
      </c>
      <c r="I547" s="5">
        <f t="shared" si="43"/>
        <v>0</v>
      </c>
      <c r="J547" s="5">
        <f t="shared" si="45"/>
        <v>0</v>
      </c>
      <c r="L547" s="5">
        <f t="shared" si="41"/>
        <v>0</v>
      </c>
      <c r="M547" s="8">
        <v>0</v>
      </c>
    </row>
    <row r="548" spans="7:13" x14ac:dyDescent="0.35">
      <c r="G548" s="12">
        <f t="shared" si="44"/>
        <v>0</v>
      </c>
      <c r="I548" s="5">
        <f t="shared" si="43"/>
        <v>0</v>
      </c>
      <c r="J548" s="5">
        <f t="shared" si="45"/>
        <v>0</v>
      </c>
      <c r="L548" s="5">
        <f>J548*K548/100</f>
        <v>0</v>
      </c>
      <c r="M548" s="8">
        <v>0</v>
      </c>
    </row>
    <row r="549" spans="7:13" x14ac:dyDescent="0.35">
      <c r="G549" s="12">
        <f t="shared" si="44"/>
        <v>0</v>
      </c>
      <c r="I549" s="5">
        <f t="shared" si="43"/>
        <v>0</v>
      </c>
      <c r="J549" s="5">
        <f t="shared" si="45"/>
        <v>0</v>
      </c>
      <c r="L549" s="5">
        <f>J549*K549/100</f>
        <v>0</v>
      </c>
      <c r="M549" s="8">
        <v>0</v>
      </c>
    </row>
    <row r="550" spans="7:13" x14ac:dyDescent="0.35">
      <c r="G550" s="12">
        <f t="shared" si="44"/>
        <v>0</v>
      </c>
      <c r="I550" s="5">
        <f>SUM(I3:I549)</f>
        <v>96500.600784891154</v>
      </c>
      <c r="J550" s="5">
        <f t="shared" si="45"/>
        <v>0</v>
      </c>
      <c r="L550" s="5">
        <f>J550*K550/100</f>
        <v>0</v>
      </c>
      <c r="M550" s="8">
        <v>0</v>
      </c>
    </row>
    <row r="551" spans="7:13" x14ac:dyDescent="0.35">
      <c r="G551" s="12">
        <f t="shared" si="44"/>
        <v>0</v>
      </c>
      <c r="I551" s="5">
        <f t="shared" si="43"/>
        <v>0</v>
      </c>
      <c r="J551" s="5">
        <f t="shared" si="45"/>
        <v>0</v>
      </c>
      <c r="L551" s="5">
        <f>J551*K551/100</f>
        <v>0</v>
      </c>
      <c r="M551" s="8">
        <v>0</v>
      </c>
    </row>
  </sheetData>
  <autoFilter ref="A1:S551" xr:uid="{6486968D-8E25-4D8A-A89A-583168C15DFC}"/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01E0-A8CF-48AC-8D0D-E26DF72B377D}">
  <dimension ref="A1:S87"/>
  <sheetViews>
    <sheetView topLeftCell="A51" workbookViewId="0">
      <selection activeCell="G83" sqref="G83"/>
    </sheetView>
  </sheetViews>
  <sheetFormatPr baseColWidth="10" defaultRowHeight="14.5" x14ac:dyDescent="0.35"/>
  <cols>
    <col min="1" max="1" width="11.54296875" bestFit="1" customWidth="1"/>
    <col min="2" max="2" width="11.54296875" style="2" customWidth="1"/>
    <col min="3" max="3" width="10" style="2" bestFit="1" customWidth="1"/>
    <col min="4" max="4" width="19" style="2" customWidth="1"/>
    <col min="5" max="5" width="36.7265625" style="2" customWidth="1"/>
    <col min="6" max="6" width="26.1796875" style="5" customWidth="1"/>
    <col min="7" max="7" width="11.54296875" style="12" customWidth="1"/>
    <col min="8" max="8" width="5.7265625" bestFit="1" customWidth="1"/>
    <col min="9" max="9" width="13.26953125" style="5" customWidth="1"/>
    <col min="10" max="10" width="11.7265625" style="5" customWidth="1"/>
    <col min="11" max="11" width="6.1796875" customWidth="1"/>
    <col min="12" max="12" width="8.54296875" style="5" customWidth="1"/>
    <col min="13" max="13" width="10.7265625" style="8" customWidth="1"/>
    <col min="14" max="14" width="20.1796875" style="3" customWidth="1"/>
    <col min="15" max="15" width="18.81640625" style="3" customWidth="1"/>
    <col min="16" max="16" width="23.26953125" style="3" customWidth="1"/>
    <col min="17" max="17" width="12.54296875" style="2" customWidth="1"/>
    <col min="18" max="18" width="14.1796875" customWidth="1"/>
  </cols>
  <sheetData>
    <row r="1" spans="1:19" s="1" customFormat="1" ht="30" customHeigh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6" t="s">
        <v>7</v>
      </c>
      <c r="I1" s="9" t="s">
        <v>8</v>
      </c>
      <c r="J1" s="9" t="s">
        <v>9</v>
      </c>
      <c r="K1" s="6" t="s">
        <v>10</v>
      </c>
      <c r="L1" s="9" t="s">
        <v>11</v>
      </c>
      <c r="M1" s="9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9" x14ac:dyDescent="0.35">
      <c r="A2" s="4">
        <v>45294</v>
      </c>
      <c r="B2" s="2" t="s">
        <v>182</v>
      </c>
      <c r="D2" s="2" t="s">
        <v>47</v>
      </c>
      <c r="E2" s="2" t="s">
        <v>31</v>
      </c>
      <c r="F2" s="5" t="str">
        <f t="shared" ref="F2:F28" si="0">CONCATENATE(S2,B2," ",E2)</f>
        <v>N/F 01 MARTA REY ABAD</v>
      </c>
      <c r="G2" s="12">
        <f t="shared" ref="G2:G29" si="1">M2/(1-K2/100+H2/100)</f>
        <v>604</v>
      </c>
      <c r="H2">
        <v>21</v>
      </c>
      <c r="I2" s="5">
        <f t="shared" ref="I2:I29" si="2">G2*H2/100</f>
        <v>126.84</v>
      </c>
      <c r="J2" s="5">
        <f t="shared" ref="J2:J29" si="3">G2</f>
        <v>604</v>
      </c>
      <c r="L2" s="5">
        <f t="shared" ref="L2:L29" si="4">J2*K2/100</f>
        <v>0</v>
      </c>
      <c r="M2" s="8">
        <v>730.84</v>
      </c>
      <c r="N2" s="3" t="s">
        <v>612</v>
      </c>
      <c r="S2" t="s">
        <v>20</v>
      </c>
    </row>
    <row r="3" spans="1:19" x14ac:dyDescent="0.35">
      <c r="A3" s="4">
        <v>45294</v>
      </c>
      <c r="B3" s="2" t="s">
        <v>183</v>
      </c>
      <c r="D3" s="2" t="s">
        <v>316</v>
      </c>
      <c r="E3" s="2" t="s">
        <v>297</v>
      </c>
      <c r="F3" s="5" t="str">
        <f t="shared" si="0"/>
        <v>N/F 02 PATRICIA DIAZ PIÑERO</v>
      </c>
      <c r="G3" s="12">
        <f t="shared" si="1"/>
        <v>308.29752066115702</v>
      </c>
      <c r="H3">
        <v>21</v>
      </c>
      <c r="I3" s="5">
        <f t="shared" si="2"/>
        <v>64.742479338842983</v>
      </c>
      <c r="J3" s="5">
        <f t="shared" si="3"/>
        <v>308.29752066115702</v>
      </c>
      <c r="L3" s="5">
        <f t="shared" si="4"/>
        <v>0</v>
      </c>
      <c r="M3" s="8">
        <v>373.04</v>
      </c>
      <c r="N3" s="3" t="s">
        <v>298</v>
      </c>
      <c r="S3" t="s">
        <v>20</v>
      </c>
    </row>
    <row r="4" spans="1:19" x14ac:dyDescent="0.35">
      <c r="A4" s="14">
        <v>45294</v>
      </c>
      <c r="B4" s="2" t="s">
        <v>78</v>
      </c>
      <c r="D4" s="2" t="s">
        <v>47</v>
      </c>
      <c r="E4" s="2" t="s">
        <v>31</v>
      </c>
      <c r="F4" s="5" t="str">
        <f t="shared" si="0"/>
        <v>N/F 03 MARTA REY ABAD</v>
      </c>
      <c r="G4" s="12">
        <f t="shared" si="1"/>
        <v>19008.264462809919</v>
      </c>
      <c r="H4">
        <v>21</v>
      </c>
      <c r="I4" s="5">
        <f t="shared" si="2"/>
        <v>3991.7355371900831</v>
      </c>
      <c r="J4" s="5">
        <f t="shared" si="3"/>
        <v>19008.264462809919</v>
      </c>
      <c r="L4" s="5">
        <f t="shared" si="4"/>
        <v>0</v>
      </c>
      <c r="M4" s="8">
        <v>23000</v>
      </c>
      <c r="N4" s="3" t="s">
        <v>299</v>
      </c>
      <c r="S4" t="s">
        <v>20</v>
      </c>
    </row>
    <row r="5" spans="1:19" x14ac:dyDescent="0.35">
      <c r="A5" s="4">
        <v>45294</v>
      </c>
      <c r="B5" s="2" t="s">
        <v>418</v>
      </c>
      <c r="D5" s="2" t="s">
        <v>23</v>
      </c>
      <c r="E5" s="2" t="s">
        <v>70</v>
      </c>
      <c r="F5" s="5" t="str">
        <f t="shared" si="0"/>
        <v>N/F 04 PINTOCOLORS CB</v>
      </c>
      <c r="G5" s="12">
        <f t="shared" si="1"/>
        <v>95</v>
      </c>
      <c r="H5">
        <v>21</v>
      </c>
      <c r="I5" s="5">
        <f t="shared" si="2"/>
        <v>19.95</v>
      </c>
      <c r="J5" s="5">
        <f t="shared" si="3"/>
        <v>95</v>
      </c>
      <c r="L5" s="5">
        <f t="shared" si="4"/>
        <v>0</v>
      </c>
      <c r="M5" s="8">
        <v>114.95</v>
      </c>
      <c r="N5" s="3" t="s">
        <v>64</v>
      </c>
      <c r="S5" t="s">
        <v>20</v>
      </c>
    </row>
    <row r="6" spans="1:19" x14ac:dyDescent="0.35">
      <c r="A6" s="4">
        <v>45295</v>
      </c>
      <c r="B6" s="2" t="s">
        <v>185</v>
      </c>
      <c r="D6" s="2" t="s">
        <v>142</v>
      </c>
      <c r="E6" s="2" t="s">
        <v>129</v>
      </c>
      <c r="F6" s="5" t="str">
        <f t="shared" si="0"/>
        <v>N/F 05 LINOTEC SOLUCIONES TECNICAS SL</v>
      </c>
      <c r="G6" s="12">
        <f t="shared" si="1"/>
        <v>6008.2</v>
      </c>
      <c r="H6">
        <v>0</v>
      </c>
      <c r="I6" s="5">
        <f t="shared" si="2"/>
        <v>0</v>
      </c>
      <c r="J6" s="5">
        <f t="shared" si="3"/>
        <v>6008.2</v>
      </c>
      <c r="L6" s="5">
        <f t="shared" si="4"/>
        <v>0</v>
      </c>
      <c r="M6" s="8">
        <v>6008.2</v>
      </c>
      <c r="N6" s="3" t="s">
        <v>341</v>
      </c>
      <c r="S6" t="s">
        <v>20</v>
      </c>
    </row>
    <row r="7" spans="1:19" x14ac:dyDescent="0.35">
      <c r="A7" s="4">
        <v>45295</v>
      </c>
      <c r="B7" s="2" t="s">
        <v>184</v>
      </c>
      <c r="D7" s="2" t="s">
        <v>142</v>
      </c>
      <c r="E7" s="2" t="s">
        <v>129</v>
      </c>
      <c r="F7" s="5" t="str">
        <f t="shared" si="0"/>
        <v>N/F 06 LINOTEC SOLUCIONES TECNICAS SL</v>
      </c>
      <c r="G7" s="12">
        <f t="shared" si="1"/>
        <v>2100</v>
      </c>
      <c r="H7">
        <v>0</v>
      </c>
      <c r="I7" s="5">
        <f t="shared" si="2"/>
        <v>0</v>
      </c>
      <c r="J7" s="5">
        <f t="shared" si="3"/>
        <v>2100</v>
      </c>
      <c r="L7" s="5">
        <f t="shared" si="4"/>
        <v>0</v>
      </c>
      <c r="M7" s="8">
        <v>2100</v>
      </c>
      <c r="N7" s="3" t="s">
        <v>341</v>
      </c>
      <c r="S7" t="s">
        <v>20</v>
      </c>
    </row>
    <row r="8" spans="1:19" x14ac:dyDescent="0.35">
      <c r="A8" s="4">
        <v>45302</v>
      </c>
      <c r="B8" s="2" t="s">
        <v>303</v>
      </c>
      <c r="D8" s="2" t="s">
        <v>251</v>
      </c>
      <c r="E8" s="2" t="s">
        <v>304</v>
      </c>
      <c r="F8" s="5" t="str">
        <f t="shared" si="0"/>
        <v>N/F 07 BERTA MARTINEZ DELGADO</v>
      </c>
      <c r="G8" s="12">
        <f t="shared" si="1"/>
        <v>40530.917355371908</v>
      </c>
      <c r="H8">
        <v>21</v>
      </c>
      <c r="I8" s="5">
        <f t="shared" si="2"/>
        <v>8511.4926446281006</v>
      </c>
      <c r="J8" s="5">
        <f t="shared" si="3"/>
        <v>40530.917355371908</v>
      </c>
      <c r="L8" s="5">
        <f t="shared" si="4"/>
        <v>0</v>
      </c>
      <c r="M8" s="8">
        <v>49042.41</v>
      </c>
      <c r="N8" s="3" t="s">
        <v>341</v>
      </c>
      <c r="S8" t="s">
        <v>20</v>
      </c>
    </row>
    <row r="9" spans="1:19" x14ac:dyDescent="0.35">
      <c r="A9" s="4">
        <v>45302</v>
      </c>
      <c r="B9" s="2" t="s">
        <v>305</v>
      </c>
      <c r="D9" s="2" t="s">
        <v>283</v>
      </c>
      <c r="E9" s="2" t="s">
        <v>284</v>
      </c>
      <c r="F9" s="5" t="str">
        <f t="shared" si="0"/>
        <v>N/F 08 C.P. CRISTO DE LA SALUD 9</v>
      </c>
      <c r="G9" s="12">
        <f t="shared" si="1"/>
        <v>1363.6363636363635</v>
      </c>
      <c r="H9">
        <v>10</v>
      </c>
      <c r="I9" s="5">
        <f t="shared" si="2"/>
        <v>136.36363636363637</v>
      </c>
      <c r="J9" s="5">
        <f t="shared" si="3"/>
        <v>1363.6363636363635</v>
      </c>
      <c r="L9" s="5">
        <f t="shared" si="4"/>
        <v>0</v>
      </c>
      <c r="M9" s="8">
        <v>1500</v>
      </c>
      <c r="N9" s="3" t="s">
        <v>401</v>
      </c>
      <c r="S9" t="s">
        <v>20</v>
      </c>
    </row>
    <row r="10" spans="1:19" x14ac:dyDescent="0.35">
      <c r="A10" s="4">
        <v>45303</v>
      </c>
      <c r="B10" s="2" t="s">
        <v>187</v>
      </c>
      <c r="D10" s="2" t="s">
        <v>306</v>
      </c>
      <c r="E10" s="2" t="s">
        <v>282</v>
      </c>
      <c r="F10" s="5" t="str">
        <f t="shared" si="0"/>
        <v>N/F 09 C.P. PASEO DEL PRADO 2</v>
      </c>
      <c r="G10" s="12">
        <f t="shared" si="1"/>
        <v>999</v>
      </c>
      <c r="H10">
        <v>21</v>
      </c>
      <c r="I10" s="5">
        <f t="shared" si="2"/>
        <v>209.79</v>
      </c>
      <c r="J10" s="5">
        <f t="shared" si="3"/>
        <v>999</v>
      </c>
      <c r="L10" s="5">
        <f t="shared" si="4"/>
        <v>0</v>
      </c>
      <c r="M10" s="8">
        <v>1208.79</v>
      </c>
      <c r="N10" s="3" t="s">
        <v>401</v>
      </c>
      <c r="S10" t="s">
        <v>20</v>
      </c>
    </row>
    <row r="11" spans="1:19" x14ac:dyDescent="0.35">
      <c r="A11" s="4">
        <v>45303</v>
      </c>
      <c r="B11" s="2" t="s">
        <v>307</v>
      </c>
      <c r="D11" s="2" t="s">
        <v>245</v>
      </c>
      <c r="E11" s="2" t="s">
        <v>246</v>
      </c>
      <c r="F11" s="5" t="str">
        <f t="shared" si="0"/>
        <v>N/F 10 MASGEO ASOCIADOS SLU</v>
      </c>
      <c r="G11" s="12">
        <f t="shared" si="1"/>
        <v>4340</v>
      </c>
      <c r="H11">
        <v>21</v>
      </c>
      <c r="I11" s="5">
        <f t="shared" si="2"/>
        <v>911.4</v>
      </c>
      <c r="J11" s="5">
        <f t="shared" si="3"/>
        <v>4340</v>
      </c>
      <c r="L11" s="5">
        <f t="shared" si="4"/>
        <v>0</v>
      </c>
      <c r="M11" s="8">
        <v>5251.4</v>
      </c>
      <c r="N11" s="3" t="s">
        <v>342</v>
      </c>
      <c r="S11" t="s">
        <v>20</v>
      </c>
    </row>
    <row r="12" spans="1:19" x14ac:dyDescent="0.35">
      <c r="A12" s="4">
        <v>45303</v>
      </c>
      <c r="B12" s="2" t="s">
        <v>308</v>
      </c>
      <c r="D12" s="2" t="s">
        <v>48</v>
      </c>
      <c r="E12" s="2" t="s">
        <v>286</v>
      </c>
      <c r="F12" s="5" t="str">
        <f t="shared" si="0"/>
        <v>N/F 11 DOFITEC SOLUCIONES INTEGRALES</v>
      </c>
      <c r="G12" s="12">
        <f t="shared" si="1"/>
        <v>10000</v>
      </c>
      <c r="H12">
        <v>21</v>
      </c>
      <c r="I12" s="5">
        <f t="shared" si="2"/>
        <v>2100</v>
      </c>
      <c r="J12" s="5">
        <f t="shared" si="3"/>
        <v>10000</v>
      </c>
      <c r="L12" s="5">
        <f t="shared" si="4"/>
        <v>0</v>
      </c>
      <c r="M12" s="8">
        <v>12100</v>
      </c>
      <c r="N12" s="3" t="s">
        <v>453</v>
      </c>
      <c r="S12" t="s">
        <v>20</v>
      </c>
    </row>
    <row r="13" spans="1:19" x14ac:dyDescent="0.35">
      <c r="A13" s="4">
        <v>45303</v>
      </c>
      <c r="B13" s="2" t="s">
        <v>309</v>
      </c>
      <c r="D13" s="2" t="s">
        <v>457</v>
      </c>
      <c r="E13" s="2" t="s">
        <v>403</v>
      </c>
      <c r="F13" s="5" t="str">
        <f t="shared" si="0"/>
        <v>N/F 12 MANUELA CASTRO VIDALES</v>
      </c>
      <c r="G13" s="12">
        <f t="shared" si="1"/>
        <v>720.00000000000011</v>
      </c>
      <c r="H13">
        <v>21</v>
      </c>
      <c r="I13" s="5">
        <f t="shared" si="2"/>
        <v>151.20000000000002</v>
      </c>
      <c r="J13" s="5">
        <f t="shared" si="3"/>
        <v>720.00000000000011</v>
      </c>
      <c r="L13" s="5">
        <f t="shared" si="4"/>
        <v>0</v>
      </c>
      <c r="M13" s="8">
        <v>871.2</v>
      </c>
      <c r="N13" s="3" t="s">
        <v>1033</v>
      </c>
      <c r="S13" t="s">
        <v>20</v>
      </c>
    </row>
    <row r="14" spans="1:19" x14ac:dyDescent="0.35">
      <c r="A14" s="4">
        <v>45303</v>
      </c>
      <c r="B14" s="2" t="s">
        <v>188</v>
      </c>
      <c r="D14" s="2" t="s">
        <v>47</v>
      </c>
      <c r="E14" s="2" t="s">
        <v>31</v>
      </c>
      <c r="F14" s="5" t="str">
        <f t="shared" si="0"/>
        <v>N/F 13 MARTA REY ABAD</v>
      </c>
      <c r="G14" s="12">
        <f t="shared" si="1"/>
        <v>12396.694214876034</v>
      </c>
      <c r="H14">
        <v>21</v>
      </c>
      <c r="I14" s="5">
        <f t="shared" si="2"/>
        <v>2603.3057851239669</v>
      </c>
      <c r="J14" s="5">
        <f t="shared" si="3"/>
        <v>12396.694214876034</v>
      </c>
      <c r="L14" s="5">
        <f t="shared" si="4"/>
        <v>0</v>
      </c>
      <c r="M14" s="8">
        <v>15000</v>
      </c>
      <c r="N14" s="3" t="s">
        <v>668</v>
      </c>
      <c r="S14" t="s">
        <v>20</v>
      </c>
    </row>
    <row r="15" spans="1:19" x14ac:dyDescent="0.35">
      <c r="A15" s="4">
        <v>45303</v>
      </c>
      <c r="B15" s="2" t="s">
        <v>189</v>
      </c>
      <c r="D15" s="2" t="s">
        <v>265</v>
      </c>
      <c r="E15" s="2" t="s">
        <v>266</v>
      </c>
      <c r="F15" s="5" t="str">
        <f t="shared" si="0"/>
        <v>N/F 14 PARNASUS IDEARIOS SL</v>
      </c>
      <c r="G15" s="12">
        <f t="shared" si="1"/>
        <v>1395.4380165289256</v>
      </c>
      <c r="H15">
        <v>21</v>
      </c>
      <c r="I15" s="5">
        <f t="shared" si="2"/>
        <v>293.04198347107439</v>
      </c>
      <c r="J15" s="5">
        <f t="shared" si="3"/>
        <v>1395.4380165289256</v>
      </c>
      <c r="L15" s="5">
        <f t="shared" si="4"/>
        <v>0</v>
      </c>
      <c r="M15" s="8">
        <v>1688.48</v>
      </c>
      <c r="N15" s="3" t="s">
        <v>437</v>
      </c>
      <c r="S15" t="s">
        <v>20</v>
      </c>
    </row>
    <row r="16" spans="1:19" x14ac:dyDescent="0.35">
      <c r="A16" s="4">
        <v>45309</v>
      </c>
      <c r="B16" s="2" t="s">
        <v>190</v>
      </c>
      <c r="D16" s="2" t="s">
        <v>120</v>
      </c>
      <c r="E16" s="2" t="s">
        <v>352</v>
      </c>
      <c r="F16" s="5" t="str">
        <f t="shared" si="0"/>
        <v>N/F 15 DURPLEI</v>
      </c>
      <c r="G16" s="12">
        <f t="shared" si="1"/>
        <v>220</v>
      </c>
      <c r="H16">
        <v>21</v>
      </c>
      <c r="I16" s="5">
        <f t="shared" si="2"/>
        <v>46.2</v>
      </c>
      <c r="J16" s="5">
        <f t="shared" si="3"/>
        <v>220</v>
      </c>
      <c r="L16" s="5">
        <f t="shared" si="4"/>
        <v>0</v>
      </c>
      <c r="M16" s="8">
        <v>266.2</v>
      </c>
      <c r="N16" s="3" t="s">
        <v>358</v>
      </c>
      <c r="S16" t="s">
        <v>20</v>
      </c>
    </row>
    <row r="17" spans="1:19" x14ac:dyDescent="0.35">
      <c r="A17" s="4">
        <v>45310</v>
      </c>
      <c r="B17" s="2" t="s">
        <v>353</v>
      </c>
      <c r="D17" s="2" t="s">
        <v>48</v>
      </c>
      <c r="E17" s="2" t="s">
        <v>286</v>
      </c>
      <c r="F17" s="5" t="str">
        <f t="shared" si="0"/>
        <v>N/F 16 DOFITEC SOLUCIONES INTEGRALES</v>
      </c>
      <c r="G17" s="12">
        <f t="shared" si="1"/>
        <v>25000</v>
      </c>
      <c r="H17">
        <v>21</v>
      </c>
      <c r="I17" s="5">
        <f t="shared" si="2"/>
        <v>5250</v>
      </c>
      <c r="J17" s="5">
        <f t="shared" si="3"/>
        <v>25000</v>
      </c>
      <c r="L17" s="5">
        <f t="shared" si="4"/>
        <v>0</v>
      </c>
      <c r="M17" s="8">
        <v>30250</v>
      </c>
      <c r="N17" s="3" t="s">
        <v>364</v>
      </c>
      <c r="S17" t="s">
        <v>20</v>
      </c>
    </row>
    <row r="18" spans="1:19" x14ac:dyDescent="0.35">
      <c r="A18" s="4">
        <v>45310</v>
      </c>
      <c r="B18" s="2" t="s">
        <v>359</v>
      </c>
      <c r="D18" s="2" t="s">
        <v>232</v>
      </c>
      <c r="E18" s="2" t="s">
        <v>233</v>
      </c>
      <c r="F18" s="5" t="str">
        <f t="shared" si="0"/>
        <v>N/F 17 CORINA NICOLETA MOLDOVANU</v>
      </c>
      <c r="G18" s="12">
        <f t="shared" si="1"/>
        <v>700</v>
      </c>
      <c r="H18">
        <v>21</v>
      </c>
      <c r="I18" s="5">
        <f t="shared" si="2"/>
        <v>147</v>
      </c>
      <c r="J18" s="5">
        <f t="shared" si="3"/>
        <v>700</v>
      </c>
      <c r="L18" s="5">
        <f t="shared" si="4"/>
        <v>0</v>
      </c>
      <c r="M18" s="8">
        <v>847</v>
      </c>
      <c r="N18" s="3" t="s">
        <v>358</v>
      </c>
      <c r="S18" t="s">
        <v>20</v>
      </c>
    </row>
    <row r="19" spans="1:19" x14ac:dyDescent="0.35">
      <c r="A19" s="4">
        <v>45310</v>
      </c>
      <c r="B19" s="2" t="s">
        <v>360</v>
      </c>
      <c r="D19" s="2" t="s">
        <v>361</v>
      </c>
      <c r="E19" s="2" t="s">
        <v>362</v>
      </c>
      <c r="F19" s="5" t="str">
        <f t="shared" si="0"/>
        <v>N/F 18 COM PROP ALCALDE SAINZ DE BARANDA</v>
      </c>
      <c r="G19" s="12">
        <f t="shared" si="1"/>
        <v>480</v>
      </c>
      <c r="H19">
        <v>21</v>
      </c>
      <c r="I19" s="5">
        <f t="shared" si="2"/>
        <v>100.8</v>
      </c>
      <c r="J19" s="5">
        <f t="shared" si="3"/>
        <v>480</v>
      </c>
      <c r="L19" s="5">
        <f t="shared" si="4"/>
        <v>0</v>
      </c>
      <c r="M19" s="8">
        <v>580.79999999999995</v>
      </c>
      <c r="S19" t="s">
        <v>20</v>
      </c>
    </row>
    <row r="20" spans="1:19" x14ac:dyDescent="0.35">
      <c r="A20" s="4">
        <v>45314</v>
      </c>
      <c r="B20" s="2" t="s">
        <v>192</v>
      </c>
      <c r="D20" s="2" t="s">
        <v>361</v>
      </c>
      <c r="E20" s="2" t="s">
        <v>362</v>
      </c>
      <c r="F20" s="5" t="str">
        <f t="shared" si="0"/>
        <v>N/F 19 COM PROP ALCALDE SAINZ DE BARANDA</v>
      </c>
      <c r="G20" s="12">
        <f t="shared" si="1"/>
        <v>1280</v>
      </c>
      <c r="H20">
        <v>21</v>
      </c>
      <c r="I20" s="5">
        <f t="shared" si="2"/>
        <v>268.8</v>
      </c>
      <c r="J20" s="5">
        <f t="shared" si="3"/>
        <v>1280</v>
      </c>
      <c r="L20" s="5">
        <f t="shared" si="4"/>
        <v>0</v>
      </c>
      <c r="M20" s="8">
        <v>1548.8</v>
      </c>
      <c r="N20" s="3" t="s">
        <v>363</v>
      </c>
      <c r="S20" t="s">
        <v>20</v>
      </c>
    </row>
    <row r="21" spans="1:19" x14ac:dyDescent="0.35">
      <c r="A21" s="4">
        <v>45317</v>
      </c>
      <c r="B21" s="2" t="s">
        <v>191</v>
      </c>
      <c r="D21" s="2" t="s">
        <v>232</v>
      </c>
      <c r="E21" s="2" t="s">
        <v>233</v>
      </c>
      <c r="F21" s="5" t="str">
        <f t="shared" si="0"/>
        <v>N/F 20 CORINA NICOLETA MOLDOVANU</v>
      </c>
      <c r="G21" s="12">
        <f t="shared" si="1"/>
        <v>1060</v>
      </c>
      <c r="H21">
        <v>21</v>
      </c>
      <c r="I21" s="5">
        <f t="shared" si="2"/>
        <v>222.6</v>
      </c>
      <c r="J21" s="5">
        <f t="shared" si="3"/>
        <v>1060</v>
      </c>
      <c r="L21" s="5">
        <f t="shared" si="4"/>
        <v>0</v>
      </c>
      <c r="M21" s="8">
        <v>1282.5999999999999</v>
      </c>
      <c r="N21" s="3" t="s">
        <v>399</v>
      </c>
      <c r="S21" t="s">
        <v>20</v>
      </c>
    </row>
    <row r="22" spans="1:19" x14ac:dyDescent="0.35">
      <c r="A22" s="4">
        <v>45320</v>
      </c>
      <c r="B22" s="18" t="s">
        <v>402</v>
      </c>
      <c r="C22" s="18"/>
      <c r="D22" s="18" t="s">
        <v>457</v>
      </c>
      <c r="E22" s="18" t="s">
        <v>403</v>
      </c>
      <c r="F22" s="5" t="str">
        <f t="shared" si="0"/>
        <v>N/F 21 MANUELA CASTRO VIDALES</v>
      </c>
      <c r="G22" s="12">
        <f t="shared" si="1"/>
        <v>22443.2479338843</v>
      </c>
      <c r="H22">
        <v>21</v>
      </c>
      <c r="I22" s="5">
        <f t="shared" si="2"/>
        <v>4713.0820661157031</v>
      </c>
      <c r="J22" s="5">
        <f t="shared" si="3"/>
        <v>22443.2479338843</v>
      </c>
      <c r="L22" s="5">
        <f t="shared" si="4"/>
        <v>0</v>
      </c>
      <c r="M22" s="8">
        <v>27156.33</v>
      </c>
      <c r="N22" s="3" t="s">
        <v>1213</v>
      </c>
      <c r="O22" s="3" t="s">
        <v>268</v>
      </c>
      <c r="S22" t="s">
        <v>20</v>
      </c>
    </row>
    <row r="23" spans="1:19" x14ac:dyDescent="0.35">
      <c r="A23" s="4">
        <v>45320</v>
      </c>
      <c r="B23" s="2" t="s">
        <v>197</v>
      </c>
      <c r="D23" s="2" t="s">
        <v>47</v>
      </c>
      <c r="E23" s="2" t="s">
        <v>31</v>
      </c>
      <c r="F23" s="5" t="str">
        <f t="shared" si="0"/>
        <v>N/F 22 MARTA REY ABAD</v>
      </c>
      <c r="G23" s="12">
        <f t="shared" si="1"/>
        <v>741.75206611570252</v>
      </c>
      <c r="H23">
        <v>21</v>
      </c>
      <c r="I23" s="5">
        <f t="shared" si="2"/>
        <v>155.76793388429752</v>
      </c>
      <c r="J23" s="5">
        <f t="shared" si="3"/>
        <v>741.75206611570252</v>
      </c>
      <c r="L23" s="5">
        <f t="shared" si="4"/>
        <v>0</v>
      </c>
      <c r="M23" s="8">
        <v>897.52</v>
      </c>
      <c r="N23" s="3" t="s">
        <v>510</v>
      </c>
      <c r="S23" t="s">
        <v>20</v>
      </c>
    </row>
    <row r="24" spans="1:19" x14ac:dyDescent="0.35">
      <c r="A24" s="4">
        <v>45320</v>
      </c>
      <c r="B24" s="2" t="s">
        <v>198</v>
      </c>
      <c r="D24" s="2" t="s">
        <v>47</v>
      </c>
      <c r="E24" s="2" t="s">
        <v>31</v>
      </c>
      <c r="F24" s="5" t="str">
        <f t="shared" si="0"/>
        <v>N/F 23 MARTA REY ABAD</v>
      </c>
      <c r="G24" s="12">
        <f t="shared" si="1"/>
        <v>1000.9008264462809</v>
      </c>
      <c r="H24">
        <v>21</v>
      </c>
      <c r="I24" s="5">
        <f t="shared" si="2"/>
        <v>210.189173553719</v>
      </c>
      <c r="J24" s="5">
        <f t="shared" si="3"/>
        <v>1000.9008264462809</v>
      </c>
      <c r="L24" s="5">
        <f t="shared" si="4"/>
        <v>0</v>
      </c>
      <c r="M24" s="8">
        <v>1211.0899999999999</v>
      </c>
      <c r="N24" s="3" t="s">
        <v>2105</v>
      </c>
      <c r="S24" t="s">
        <v>20</v>
      </c>
    </row>
    <row r="25" spans="1:19" x14ac:dyDescent="0.35">
      <c r="A25" s="4">
        <v>45320</v>
      </c>
      <c r="B25" s="2" t="s">
        <v>204</v>
      </c>
      <c r="D25" s="2" t="s">
        <v>47</v>
      </c>
      <c r="E25" s="2" t="s">
        <v>31</v>
      </c>
      <c r="F25" s="5" t="str">
        <f t="shared" si="0"/>
        <v>N/F 24 MARTA REY ABAD</v>
      </c>
      <c r="G25" s="12">
        <f t="shared" si="1"/>
        <v>4727</v>
      </c>
      <c r="H25">
        <v>21</v>
      </c>
      <c r="I25" s="5">
        <f t="shared" si="2"/>
        <v>992.67</v>
      </c>
      <c r="J25" s="5">
        <f t="shared" si="3"/>
        <v>4727</v>
      </c>
      <c r="L25" s="5">
        <f t="shared" si="4"/>
        <v>0</v>
      </c>
      <c r="M25" s="8">
        <v>5719.67</v>
      </c>
      <c r="N25" s="3" t="s">
        <v>510</v>
      </c>
      <c r="S25" t="s">
        <v>20</v>
      </c>
    </row>
    <row r="26" spans="1:19" x14ac:dyDescent="0.35">
      <c r="A26" s="4">
        <v>45320</v>
      </c>
      <c r="B26" s="2" t="s">
        <v>404</v>
      </c>
      <c r="D26" s="2" t="s">
        <v>47</v>
      </c>
      <c r="E26" s="2" t="s">
        <v>31</v>
      </c>
      <c r="F26" s="5" t="str">
        <f t="shared" si="0"/>
        <v>N/F 25 MARTA REY ABAD</v>
      </c>
      <c r="G26" s="12">
        <f t="shared" si="1"/>
        <v>1061.1983471074379</v>
      </c>
      <c r="H26">
        <v>21</v>
      </c>
      <c r="I26" s="5">
        <f t="shared" si="2"/>
        <v>222.85165289256199</v>
      </c>
      <c r="J26" s="5">
        <f t="shared" si="3"/>
        <v>1061.1983471074379</v>
      </c>
      <c r="L26" s="5">
        <f t="shared" si="4"/>
        <v>0</v>
      </c>
      <c r="M26" s="8">
        <v>1284.05</v>
      </c>
      <c r="N26" s="3" t="s">
        <v>510</v>
      </c>
      <c r="S26" t="s">
        <v>20</v>
      </c>
    </row>
    <row r="27" spans="1:19" x14ac:dyDescent="0.35">
      <c r="A27" s="4">
        <v>45320</v>
      </c>
      <c r="B27" s="2" t="s">
        <v>205</v>
      </c>
      <c r="D27" s="2" t="s">
        <v>47</v>
      </c>
      <c r="E27" s="2" t="s">
        <v>31</v>
      </c>
      <c r="F27" s="5" t="str">
        <f t="shared" si="0"/>
        <v>N/F 26 MARTA REY ABAD</v>
      </c>
      <c r="G27" s="12">
        <f t="shared" si="1"/>
        <v>9563.6611570247951</v>
      </c>
      <c r="H27">
        <v>21</v>
      </c>
      <c r="I27" s="5">
        <f t="shared" si="2"/>
        <v>2008.3688429752071</v>
      </c>
      <c r="J27" s="5">
        <f t="shared" si="3"/>
        <v>9563.6611570247951</v>
      </c>
      <c r="L27" s="5">
        <f t="shared" si="4"/>
        <v>0</v>
      </c>
      <c r="M27" s="8">
        <v>11572.03</v>
      </c>
      <c r="N27" s="3" t="s">
        <v>612</v>
      </c>
      <c r="S27" t="s">
        <v>20</v>
      </c>
    </row>
    <row r="28" spans="1:19" x14ac:dyDescent="0.35">
      <c r="A28" s="4">
        <v>45322</v>
      </c>
      <c r="B28" s="2" t="s">
        <v>206</v>
      </c>
      <c r="D28" s="2" t="s">
        <v>784</v>
      </c>
      <c r="E28" s="2" t="s">
        <v>785</v>
      </c>
      <c r="F28" s="5" t="str">
        <f t="shared" si="0"/>
        <v>N/F 27 METALTIM</v>
      </c>
      <c r="G28" s="12">
        <f t="shared" si="1"/>
        <v>7267.636363636364</v>
      </c>
      <c r="H28">
        <v>21</v>
      </c>
      <c r="I28" s="5">
        <f t="shared" si="2"/>
        <v>1526.2036363636364</v>
      </c>
      <c r="J28" s="5">
        <f t="shared" si="3"/>
        <v>7267.636363636364</v>
      </c>
      <c r="L28" s="5">
        <f t="shared" si="4"/>
        <v>0</v>
      </c>
      <c r="M28" s="8">
        <v>8793.84</v>
      </c>
      <c r="N28" s="3" t="s">
        <v>788</v>
      </c>
      <c r="S28" t="s">
        <v>20</v>
      </c>
    </row>
    <row r="29" spans="1:19" x14ac:dyDescent="0.35">
      <c r="A29" s="4">
        <v>45322</v>
      </c>
      <c r="B29" s="2" t="s">
        <v>405</v>
      </c>
      <c r="D29" s="2" t="s">
        <v>669</v>
      </c>
      <c r="E29" s="2" t="s">
        <v>406</v>
      </c>
      <c r="F29" s="5" t="str">
        <f t="shared" ref="F29:F84" si="5">CONCATENATE(S29,B29," ",E29)</f>
        <v>N/F 28 FRANCISCA LEIVA PEREZ</v>
      </c>
      <c r="G29" s="12">
        <f t="shared" si="1"/>
        <v>1460</v>
      </c>
      <c r="H29">
        <v>21</v>
      </c>
      <c r="I29" s="5">
        <f t="shared" si="2"/>
        <v>306.60000000000002</v>
      </c>
      <c r="J29" s="5">
        <f t="shared" si="3"/>
        <v>1460</v>
      </c>
      <c r="L29" s="5">
        <f t="shared" si="4"/>
        <v>0</v>
      </c>
      <c r="M29" s="8">
        <v>1766.6</v>
      </c>
      <c r="N29" s="3" t="s">
        <v>473</v>
      </c>
      <c r="S29" t="s">
        <v>20</v>
      </c>
    </row>
    <row r="30" spans="1:19" x14ac:dyDescent="0.35">
      <c r="A30" s="4">
        <v>45323</v>
      </c>
      <c r="B30" s="2" t="s">
        <v>207</v>
      </c>
      <c r="D30" s="2" t="s">
        <v>54</v>
      </c>
      <c r="E30" s="2" t="s">
        <v>407</v>
      </c>
      <c r="F30" s="5" t="str">
        <f t="shared" si="5"/>
        <v>N/F 29 JILTRES CONSTRUCCIONES</v>
      </c>
      <c r="G30" s="12">
        <f t="shared" ref="G30:G84" si="6">M30/(1-K30/100+H30/100)</f>
        <v>1980.0000000000002</v>
      </c>
      <c r="H30">
        <v>21</v>
      </c>
      <c r="I30" s="5">
        <f t="shared" ref="I30:I87" si="7">G30*H30/100</f>
        <v>415.80000000000007</v>
      </c>
      <c r="J30" s="5">
        <f t="shared" ref="J30:J84" si="8">G30</f>
        <v>1980.0000000000002</v>
      </c>
      <c r="L30" s="5">
        <f t="shared" ref="L30:L84" si="9">J30*K30/100</f>
        <v>0</v>
      </c>
      <c r="M30" s="8">
        <v>2395.8000000000002</v>
      </c>
      <c r="N30" s="3" t="s">
        <v>454</v>
      </c>
      <c r="S30" t="s">
        <v>20</v>
      </c>
    </row>
    <row r="31" spans="1:19" x14ac:dyDescent="0.35">
      <c r="A31" s="4">
        <v>45324</v>
      </c>
      <c r="B31" s="2" t="s">
        <v>208</v>
      </c>
      <c r="D31" s="2" t="s">
        <v>306</v>
      </c>
      <c r="E31" s="2" t="s">
        <v>282</v>
      </c>
      <c r="F31" s="5" t="str">
        <f t="shared" si="5"/>
        <v>N/F 30 C.P. PASEO DEL PRADO 2</v>
      </c>
      <c r="G31" s="12">
        <f t="shared" si="6"/>
        <v>823.99999999999989</v>
      </c>
      <c r="H31">
        <v>10</v>
      </c>
      <c r="I31" s="5">
        <f t="shared" si="7"/>
        <v>82.399999999999977</v>
      </c>
      <c r="J31" s="5">
        <f t="shared" si="8"/>
        <v>823.99999999999989</v>
      </c>
      <c r="L31" s="5">
        <f t="shared" si="9"/>
        <v>0</v>
      </c>
      <c r="M31" s="8">
        <v>906.4</v>
      </c>
      <c r="N31" s="3" t="s">
        <v>454</v>
      </c>
      <c r="S31" t="s">
        <v>20</v>
      </c>
    </row>
    <row r="32" spans="1:19" x14ac:dyDescent="0.35">
      <c r="A32" s="4">
        <v>45327</v>
      </c>
      <c r="B32" s="2" t="s">
        <v>209</v>
      </c>
      <c r="D32" s="2" t="s">
        <v>116</v>
      </c>
      <c r="E32" s="2" t="s">
        <v>117</v>
      </c>
      <c r="F32" s="5" t="str">
        <f t="shared" si="5"/>
        <v>N/F 31 SAGO PACKAGING SL</v>
      </c>
      <c r="G32" s="12">
        <f t="shared" si="6"/>
        <v>12127</v>
      </c>
      <c r="H32">
        <v>21</v>
      </c>
      <c r="I32" s="5">
        <f t="shared" si="7"/>
        <v>2546.67</v>
      </c>
      <c r="J32" s="5">
        <f t="shared" si="8"/>
        <v>12127</v>
      </c>
      <c r="L32" s="5">
        <f t="shared" si="9"/>
        <v>0</v>
      </c>
      <c r="M32" s="8">
        <v>14673.67</v>
      </c>
      <c r="N32" s="3" t="s">
        <v>777</v>
      </c>
      <c r="S32" t="s">
        <v>20</v>
      </c>
    </row>
    <row r="33" spans="1:19" x14ac:dyDescent="0.35">
      <c r="A33" s="4">
        <v>45329</v>
      </c>
      <c r="B33" s="2" t="s">
        <v>511</v>
      </c>
      <c r="D33" s="2" t="s">
        <v>47</v>
      </c>
      <c r="E33" s="2" t="s">
        <v>31</v>
      </c>
      <c r="F33" s="5" t="str">
        <f t="shared" si="5"/>
        <v>N/F 32 MARTA REY ABAD</v>
      </c>
      <c r="G33" s="12">
        <f t="shared" si="6"/>
        <v>730.75206611570252</v>
      </c>
      <c r="H33">
        <v>21</v>
      </c>
      <c r="I33" s="5">
        <f t="shared" si="7"/>
        <v>153.45793388429752</v>
      </c>
      <c r="J33" s="5">
        <f t="shared" si="8"/>
        <v>730.75206611570252</v>
      </c>
      <c r="L33" s="5">
        <f t="shared" si="9"/>
        <v>0</v>
      </c>
      <c r="M33" s="8">
        <v>884.21</v>
      </c>
      <c r="N33" s="3" t="s">
        <v>510</v>
      </c>
      <c r="S33" t="s">
        <v>20</v>
      </c>
    </row>
    <row r="34" spans="1:19" x14ac:dyDescent="0.35">
      <c r="A34" s="4">
        <v>45329</v>
      </c>
      <c r="B34" s="2" t="s">
        <v>512</v>
      </c>
      <c r="D34" s="2" t="s">
        <v>47</v>
      </c>
      <c r="E34" s="2" t="s">
        <v>31</v>
      </c>
      <c r="F34" s="5" t="str">
        <f t="shared" si="5"/>
        <v>N/F 33 MARTA REY ABAD</v>
      </c>
      <c r="G34" s="12">
        <f t="shared" si="6"/>
        <v>13134.247933884299</v>
      </c>
      <c r="H34">
        <v>21</v>
      </c>
      <c r="I34" s="5">
        <f t="shared" si="7"/>
        <v>2758.1920661157028</v>
      </c>
      <c r="J34" s="5">
        <f t="shared" si="8"/>
        <v>13134.247933884299</v>
      </c>
      <c r="L34" s="5">
        <f t="shared" si="9"/>
        <v>0</v>
      </c>
      <c r="M34" s="8">
        <v>15892.44</v>
      </c>
      <c r="N34" s="3" t="s">
        <v>1032</v>
      </c>
      <c r="S34" t="s">
        <v>20</v>
      </c>
    </row>
    <row r="35" spans="1:19" x14ac:dyDescent="0.35">
      <c r="A35" s="4">
        <v>45329</v>
      </c>
      <c r="B35" s="2" t="s">
        <v>79</v>
      </c>
      <c r="D35" s="2" t="s">
        <v>47</v>
      </c>
      <c r="E35" s="2" t="s">
        <v>31</v>
      </c>
      <c r="F35" s="5" t="str">
        <f t="shared" si="5"/>
        <v>34 MARTA REY ABAD</v>
      </c>
      <c r="G35" s="12">
        <f t="shared" si="6"/>
        <v>5260.1983471074382</v>
      </c>
      <c r="H35">
        <v>21</v>
      </c>
      <c r="I35" s="5">
        <f t="shared" si="7"/>
        <v>1104.641652892562</v>
      </c>
      <c r="J35" s="5">
        <f t="shared" si="8"/>
        <v>5260.1983471074382</v>
      </c>
      <c r="L35" s="5">
        <f t="shared" si="9"/>
        <v>0</v>
      </c>
      <c r="M35" s="8">
        <v>6364.84</v>
      </c>
      <c r="N35" s="3" t="s">
        <v>510</v>
      </c>
    </row>
    <row r="36" spans="1:19" x14ac:dyDescent="0.35">
      <c r="A36" s="4">
        <v>45330</v>
      </c>
      <c r="B36" s="2" t="s">
        <v>513</v>
      </c>
      <c r="D36" s="2" t="s">
        <v>229</v>
      </c>
      <c r="E36" s="2" t="s">
        <v>244</v>
      </c>
      <c r="F36" s="5" t="str">
        <f t="shared" si="5"/>
        <v>35 MEDA INMUEBLES SL</v>
      </c>
      <c r="G36" s="12">
        <f t="shared" si="6"/>
        <v>1480</v>
      </c>
      <c r="H36">
        <v>21</v>
      </c>
      <c r="I36" s="5">
        <f t="shared" si="7"/>
        <v>310.8</v>
      </c>
      <c r="J36" s="5">
        <f t="shared" si="8"/>
        <v>1480</v>
      </c>
      <c r="L36" s="5">
        <f t="shared" si="9"/>
        <v>0</v>
      </c>
      <c r="M36" s="8">
        <v>1790.8</v>
      </c>
      <c r="N36" s="3" t="s">
        <v>634</v>
      </c>
    </row>
    <row r="37" spans="1:19" x14ac:dyDescent="0.35">
      <c r="A37" s="4">
        <v>45331</v>
      </c>
      <c r="B37" s="2" t="s">
        <v>514</v>
      </c>
      <c r="D37" s="2" t="s">
        <v>232</v>
      </c>
      <c r="E37" s="2" t="s">
        <v>233</v>
      </c>
      <c r="F37" s="5" t="str">
        <f t="shared" si="5"/>
        <v>36 CORINA NICOLETA MOLDOVANU</v>
      </c>
      <c r="G37" s="12">
        <f t="shared" si="6"/>
        <v>700</v>
      </c>
      <c r="H37">
        <v>21</v>
      </c>
      <c r="I37" s="5">
        <f t="shared" si="7"/>
        <v>147</v>
      </c>
      <c r="J37" s="5">
        <f t="shared" si="8"/>
        <v>700</v>
      </c>
      <c r="L37" s="5">
        <f t="shared" si="9"/>
        <v>0</v>
      </c>
      <c r="M37" s="8">
        <v>847</v>
      </c>
      <c r="N37" s="3" t="s">
        <v>523</v>
      </c>
    </row>
    <row r="38" spans="1:19" x14ac:dyDescent="0.35">
      <c r="A38" s="4">
        <v>45337</v>
      </c>
      <c r="B38" s="2" t="s">
        <v>210</v>
      </c>
      <c r="D38" s="2" t="s">
        <v>283</v>
      </c>
      <c r="E38" s="2" t="s">
        <v>284</v>
      </c>
      <c r="F38" s="5" t="str">
        <f t="shared" si="5"/>
        <v>37 C.P. CRISTO DE LA SALUD 9</v>
      </c>
      <c r="G38" s="12">
        <f t="shared" si="6"/>
        <v>727.27272727272725</v>
      </c>
      <c r="H38">
        <v>10</v>
      </c>
      <c r="I38" s="5">
        <f t="shared" si="7"/>
        <v>72.72727272727272</v>
      </c>
      <c r="J38" s="5">
        <f t="shared" si="8"/>
        <v>727.27272727272725</v>
      </c>
      <c r="L38" s="5">
        <f t="shared" si="9"/>
        <v>0</v>
      </c>
      <c r="M38" s="8">
        <v>800</v>
      </c>
      <c r="N38" s="3" t="s">
        <v>635</v>
      </c>
    </row>
    <row r="39" spans="1:19" x14ac:dyDescent="0.35">
      <c r="A39" s="4">
        <v>45337</v>
      </c>
      <c r="B39" s="2" t="s">
        <v>211</v>
      </c>
      <c r="D39" s="2" t="s">
        <v>279</v>
      </c>
      <c r="E39" s="2" t="s">
        <v>280</v>
      </c>
      <c r="F39" s="5" t="str">
        <f t="shared" si="5"/>
        <v>38 C.P. FERNANDO VII 24</v>
      </c>
      <c r="G39" s="12">
        <f t="shared" si="6"/>
        <v>124.99999999999999</v>
      </c>
      <c r="H39">
        <v>10</v>
      </c>
      <c r="I39" s="5">
        <f t="shared" si="7"/>
        <v>12.499999999999998</v>
      </c>
      <c r="J39" s="5">
        <f t="shared" si="8"/>
        <v>124.99999999999999</v>
      </c>
      <c r="L39" s="5">
        <f t="shared" si="9"/>
        <v>0</v>
      </c>
      <c r="M39" s="8">
        <v>137.5</v>
      </c>
      <c r="N39" s="3" t="s">
        <v>635</v>
      </c>
    </row>
    <row r="40" spans="1:19" x14ac:dyDescent="0.35">
      <c r="A40" s="4">
        <v>45337</v>
      </c>
      <c r="B40" s="2" t="s">
        <v>213</v>
      </c>
      <c r="D40" s="2" t="s">
        <v>521</v>
      </c>
      <c r="E40" s="2" t="s">
        <v>522</v>
      </c>
      <c r="F40" s="5" t="str">
        <f t="shared" si="5"/>
        <v>39 C.P. VICENTE BLANCO IBAÑEZ</v>
      </c>
      <c r="G40" s="12">
        <f t="shared" si="6"/>
        <v>799.99999999999989</v>
      </c>
      <c r="H40">
        <v>10</v>
      </c>
      <c r="I40" s="5">
        <f t="shared" si="7"/>
        <v>79.999999999999986</v>
      </c>
      <c r="J40" s="5">
        <f t="shared" si="8"/>
        <v>799.99999999999989</v>
      </c>
      <c r="L40" s="5">
        <f t="shared" si="9"/>
        <v>0</v>
      </c>
      <c r="M40" s="8">
        <v>880</v>
      </c>
      <c r="N40" s="3" t="s">
        <v>635</v>
      </c>
    </row>
    <row r="41" spans="1:19" x14ac:dyDescent="0.35">
      <c r="A41" s="4">
        <v>45342</v>
      </c>
      <c r="B41" s="2" t="s">
        <v>214</v>
      </c>
      <c r="D41" s="2" t="s">
        <v>81</v>
      </c>
      <c r="E41" s="2" t="s">
        <v>598</v>
      </c>
      <c r="F41" s="5" t="str">
        <f t="shared" si="5"/>
        <v>40 CONSEJERIA DE VIVIENDA TRANSP. E INFR.</v>
      </c>
      <c r="G41" s="12">
        <f t="shared" si="6"/>
        <v>684</v>
      </c>
      <c r="H41">
        <v>21</v>
      </c>
      <c r="I41" s="5">
        <f t="shared" si="7"/>
        <v>143.63999999999999</v>
      </c>
      <c r="J41" s="5">
        <f t="shared" si="8"/>
        <v>684</v>
      </c>
      <c r="L41" s="5">
        <f t="shared" si="9"/>
        <v>0</v>
      </c>
      <c r="M41" s="8">
        <v>827.64</v>
      </c>
      <c r="N41" s="3" t="s">
        <v>1369</v>
      </c>
    </row>
    <row r="42" spans="1:19" x14ac:dyDescent="0.35">
      <c r="A42" s="4">
        <v>45342</v>
      </c>
      <c r="B42" s="2" t="s">
        <v>215</v>
      </c>
      <c r="D42" s="2" t="s">
        <v>81</v>
      </c>
      <c r="E42" s="2" t="s">
        <v>598</v>
      </c>
      <c r="F42" s="5" t="str">
        <f t="shared" si="5"/>
        <v>41 CONSEJERIA DE VIVIENDA TRANSP. E INFR.</v>
      </c>
      <c r="G42" s="12">
        <f t="shared" si="6"/>
        <v>718.19834710743805</v>
      </c>
      <c r="H42">
        <v>21</v>
      </c>
      <c r="I42" s="5">
        <f t="shared" si="7"/>
        <v>150.82165289256199</v>
      </c>
      <c r="J42" s="5">
        <f t="shared" si="8"/>
        <v>718.19834710743805</v>
      </c>
      <c r="L42" s="5">
        <f t="shared" si="9"/>
        <v>0</v>
      </c>
      <c r="M42" s="8">
        <v>869.02</v>
      </c>
      <c r="N42" s="3" t="s">
        <v>1398</v>
      </c>
    </row>
    <row r="43" spans="1:19" x14ac:dyDescent="0.35">
      <c r="A43" s="4">
        <v>45342</v>
      </c>
      <c r="B43" s="2" t="s">
        <v>216</v>
      </c>
      <c r="D43" s="2" t="s">
        <v>81</v>
      </c>
      <c r="E43" s="2" t="s">
        <v>598</v>
      </c>
      <c r="F43" s="5" t="str">
        <f t="shared" si="5"/>
        <v>42 CONSEJERIA DE VIVIENDA TRANSP. E INFR.</v>
      </c>
      <c r="G43" s="12">
        <f t="shared" si="6"/>
        <v>579.60330578512401</v>
      </c>
      <c r="H43">
        <v>21</v>
      </c>
      <c r="I43" s="5">
        <f t="shared" si="7"/>
        <v>121.71669421487604</v>
      </c>
      <c r="J43" s="5">
        <f t="shared" si="8"/>
        <v>579.60330578512401</v>
      </c>
      <c r="L43" s="5">
        <f t="shared" si="9"/>
        <v>0</v>
      </c>
      <c r="M43" s="8">
        <v>701.32</v>
      </c>
      <c r="N43" s="3" t="s">
        <v>1398</v>
      </c>
    </row>
    <row r="44" spans="1:19" x14ac:dyDescent="0.35">
      <c r="A44" s="4">
        <v>45342</v>
      </c>
      <c r="B44" s="2" t="s">
        <v>386</v>
      </c>
      <c r="D44" s="2" t="s">
        <v>81</v>
      </c>
      <c r="E44" s="2" t="s">
        <v>598</v>
      </c>
      <c r="F44" s="5" t="str">
        <f t="shared" si="5"/>
        <v>43 CONSEJERIA DE VIVIENDA TRANSP. E INFR.</v>
      </c>
      <c r="G44" s="12">
        <f t="shared" si="6"/>
        <v>359.09917355371903</v>
      </c>
      <c r="H44">
        <v>21</v>
      </c>
      <c r="I44" s="5">
        <f t="shared" si="7"/>
        <v>75.410826446280993</v>
      </c>
      <c r="J44" s="5">
        <f t="shared" si="8"/>
        <v>359.09917355371903</v>
      </c>
      <c r="L44" s="5">
        <f t="shared" si="9"/>
        <v>0</v>
      </c>
      <c r="M44" s="8">
        <v>434.51</v>
      </c>
      <c r="N44" s="3" t="s">
        <v>1398</v>
      </c>
    </row>
    <row r="45" spans="1:19" x14ac:dyDescent="0.35">
      <c r="A45" s="4">
        <v>45345</v>
      </c>
      <c r="B45" s="2" t="s">
        <v>617</v>
      </c>
      <c r="D45" s="2" t="s">
        <v>618</v>
      </c>
      <c r="E45" s="2" t="s">
        <v>619</v>
      </c>
      <c r="F45" s="5" t="str">
        <f t="shared" si="5"/>
        <v>44 CREACIONES BENTON SL</v>
      </c>
      <c r="G45" s="12">
        <f t="shared" si="6"/>
        <v>3022.504132231405</v>
      </c>
      <c r="H45">
        <v>21</v>
      </c>
      <c r="I45" s="5">
        <f t="shared" si="7"/>
        <v>634.72586776859509</v>
      </c>
      <c r="J45" s="5">
        <f t="shared" si="8"/>
        <v>3022.504132231405</v>
      </c>
      <c r="L45" s="5">
        <f t="shared" si="9"/>
        <v>0</v>
      </c>
      <c r="M45" s="8">
        <v>3657.23</v>
      </c>
      <c r="N45" s="3" t="s">
        <v>979</v>
      </c>
    </row>
    <row r="46" spans="1:19" x14ac:dyDescent="0.35">
      <c r="A46" s="4">
        <v>45347</v>
      </c>
      <c r="B46" s="2" t="s">
        <v>620</v>
      </c>
      <c r="D46" s="2" t="s">
        <v>229</v>
      </c>
      <c r="E46" s="2" t="s">
        <v>244</v>
      </c>
      <c r="F46" s="5" t="str">
        <f t="shared" si="5"/>
        <v>45 MEDA INMUEBLES SL</v>
      </c>
      <c r="G46" s="12">
        <f t="shared" si="6"/>
        <v>4463.0991735537191</v>
      </c>
      <c r="H46">
        <v>21</v>
      </c>
      <c r="I46" s="5">
        <f t="shared" si="7"/>
        <v>937.25082644628094</v>
      </c>
      <c r="J46" s="5">
        <f t="shared" si="8"/>
        <v>4463.0991735537191</v>
      </c>
      <c r="L46" s="5">
        <f t="shared" si="9"/>
        <v>0</v>
      </c>
      <c r="M46" s="8">
        <v>5400.35</v>
      </c>
      <c r="N46" s="3" t="s">
        <v>634</v>
      </c>
    </row>
    <row r="47" spans="1:19" x14ac:dyDescent="0.35">
      <c r="A47" s="4">
        <v>45348</v>
      </c>
      <c r="B47" s="2" t="s">
        <v>621</v>
      </c>
      <c r="D47" s="2" t="s">
        <v>229</v>
      </c>
      <c r="E47" s="2" t="s">
        <v>244</v>
      </c>
      <c r="F47" s="5" t="str">
        <f t="shared" si="5"/>
        <v>46 MEDA INMUEBLES SL</v>
      </c>
      <c r="G47" s="12">
        <f t="shared" si="6"/>
        <v>2334</v>
      </c>
      <c r="H47">
        <v>21</v>
      </c>
      <c r="I47" s="5">
        <f t="shared" si="7"/>
        <v>490.14</v>
      </c>
      <c r="J47" s="5">
        <f t="shared" si="8"/>
        <v>2334</v>
      </c>
      <c r="L47" s="5">
        <f t="shared" si="9"/>
        <v>0</v>
      </c>
      <c r="M47" s="8">
        <v>2824.14</v>
      </c>
      <c r="N47" s="3" t="s">
        <v>634</v>
      </c>
    </row>
    <row r="48" spans="1:19" x14ac:dyDescent="0.35">
      <c r="A48" s="4">
        <v>45348</v>
      </c>
      <c r="B48" s="2" t="s">
        <v>602</v>
      </c>
      <c r="D48" s="2" t="s">
        <v>48</v>
      </c>
      <c r="E48" s="2" t="s">
        <v>286</v>
      </c>
      <c r="F48" s="5" t="str">
        <f t="shared" si="5"/>
        <v>47 DOFITEC SOLUCIONES INTEGRALES</v>
      </c>
      <c r="G48" s="12">
        <f t="shared" si="6"/>
        <v>20000</v>
      </c>
      <c r="H48">
        <v>21</v>
      </c>
      <c r="I48" s="5">
        <f t="shared" si="7"/>
        <v>4200</v>
      </c>
      <c r="J48" s="5">
        <f t="shared" si="8"/>
        <v>20000</v>
      </c>
      <c r="L48" s="5">
        <f t="shared" si="9"/>
        <v>0</v>
      </c>
      <c r="M48" s="8">
        <v>24200</v>
      </c>
      <c r="N48" s="3" t="s">
        <v>636</v>
      </c>
    </row>
    <row r="49" spans="1:14" x14ac:dyDescent="0.35">
      <c r="A49" s="4">
        <v>45349</v>
      </c>
      <c r="B49" s="2" t="s">
        <v>83</v>
      </c>
      <c r="D49" s="2" t="s">
        <v>229</v>
      </c>
      <c r="E49" s="2" t="s">
        <v>244</v>
      </c>
      <c r="F49" s="5" t="str">
        <f t="shared" si="5"/>
        <v>48 MEDA INMUEBLES SL</v>
      </c>
      <c r="G49" s="12">
        <f t="shared" si="6"/>
        <v>963.55371900826458</v>
      </c>
      <c r="H49">
        <v>21</v>
      </c>
      <c r="I49" s="5">
        <f t="shared" si="7"/>
        <v>202.34628099173554</v>
      </c>
      <c r="J49" s="5">
        <f t="shared" si="8"/>
        <v>963.55371900826458</v>
      </c>
      <c r="L49" s="5">
        <f t="shared" si="9"/>
        <v>0</v>
      </c>
      <c r="M49" s="8">
        <v>1165.9000000000001</v>
      </c>
      <c r="N49" s="3" t="s">
        <v>634</v>
      </c>
    </row>
    <row r="50" spans="1:14" x14ac:dyDescent="0.35">
      <c r="A50" s="4">
        <v>45355</v>
      </c>
      <c r="B50" s="2" t="s">
        <v>639</v>
      </c>
      <c r="D50" s="2" t="s">
        <v>45</v>
      </c>
      <c r="E50" s="2" t="s">
        <v>163</v>
      </c>
      <c r="F50" s="5" t="str">
        <f t="shared" si="5"/>
        <v>49 EMANUEL CODITA</v>
      </c>
      <c r="G50" s="12">
        <f t="shared" si="6"/>
        <v>300</v>
      </c>
      <c r="H50">
        <v>21</v>
      </c>
      <c r="I50" s="5">
        <f t="shared" si="7"/>
        <v>63</v>
      </c>
      <c r="J50" s="5">
        <f t="shared" si="8"/>
        <v>300</v>
      </c>
      <c r="L50" s="5">
        <f t="shared" si="9"/>
        <v>0</v>
      </c>
      <c r="M50" s="8">
        <v>363</v>
      </c>
      <c r="N50" s="3" t="s">
        <v>64</v>
      </c>
    </row>
    <row r="51" spans="1:14" x14ac:dyDescent="0.35">
      <c r="A51" s="4">
        <v>45355</v>
      </c>
      <c r="B51" s="2" t="s">
        <v>123</v>
      </c>
      <c r="D51" s="2" t="s">
        <v>640</v>
      </c>
      <c r="E51" s="2" t="s">
        <v>641</v>
      </c>
      <c r="F51" s="5" t="str">
        <f t="shared" si="5"/>
        <v>50 INMOBILIARIA HERMANOS RUBIO SA</v>
      </c>
      <c r="G51" s="12">
        <f t="shared" si="6"/>
        <v>3719.0082644628101</v>
      </c>
      <c r="H51">
        <v>21</v>
      </c>
      <c r="I51" s="5">
        <f t="shared" si="7"/>
        <v>780.99173553719015</v>
      </c>
      <c r="J51" s="5">
        <f t="shared" si="8"/>
        <v>3719.0082644628101</v>
      </c>
      <c r="L51" s="5">
        <f t="shared" si="9"/>
        <v>0</v>
      </c>
      <c r="M51" s="8">
        <v>4500</v>
      </c>
      <c r="N51" s="3" t="s">
        <v>642</v>
      </c>
    </row>
    <row r="52" spans="1:14" x14ac:dyDescent="0.35">
      <c r="A52" s="4">
        <v>45355</v>
      </c>
      <c r="B52" s="2" t="s">
        <v>128</v>
      </c>
      <c r="D52" s="2" t="s">
        <v>263</v>
      </c>
      <c r="E52" s="2" t="s">
        <v>264</v>
      </c>
      <c r="F52" s="5" t="str">
        <f t="shared" si="5"/>
        <v>51 MQF SL</v>
      </c>
      <c r="G52" s="12">
        <f t="shared" si="6"/>
        <v>4900</v>
      </c>
      <c r="H52">
        <v>0</v>
      </c>
      <c r="I52" s="5">
        <f t="shared" si="7"/>
        <v>0</v>
      </c>
      <c r="J52" s="5">
        <f t="shared" si="8"/>
        <v>4900</v>
      </c>
      <c r="L52" s="5">
        <f t="shared" si="9"/>
        <v>0</v>
      </c>
      <c r="M52" s="8">
        <v>4900</v>
      </c>
      <c r="N52" s="3" t="s">
        <v>671</v>
      </c>
    </row>
    <row r="53" spans="1:14" x14ac:dyDescent="0.35">
      <c r="A53" s="4">
        <v>45355</v>
      </c>
      <c r="B53" s="2" t="s">
        <v>84</v>
      </c>
      <c r="D53" s="2" t="s">
        <v>263</v>
      </c>
      <c r="E53" s="2" t="s">
        <v>264</v>
      </c>
      <c r="F53" s="5" t="str">
        <f t="shared" si="5"/>
        <v>52 MQF SL</v>
      </c>
      <c r="G53" s="12">
        <f t="shared" si="6"/>
        <v>5480</v>
      </c>
      <c r="H53">
        <v>21</v>
      </c>
      <c r="I53" s="5">
        <f t="shared" si="7"/>
        <v>1150.8</v>
      </c>
      <c r="J53" s="5">
        <f t="shared" si="8"/>
        <v>5480</v>
      </c>
      <c r="L53" s="5">
        <f t="shared" si="9"/>
        <v>0</v>
      </c>
      <c r="M53" s="8">
        <v>6630.8</v>
      </c>
      <c r="N53" s="3" t="s">
        <v>671</v>
      </c>
    </row>
    <row r="54" spans="1:14" x14ac:dyDescent="0.35">
      <c r="A54" s="4">
        <v>45355</v>
      </c>
      <c r="B54" s="2" t="s">
        <v>130</v>
      </c>
      <c r="D54" s="2" t="s">
        <v>643</v>
      </c>
      <c r="E54" s="2" t="s">
        <v>644</v>
      </c>
      <c r="F54" s="5" t="str">
        <f t="shared" si="5"/>
        <v>53 DECOR EXCEL</v>
      </c>
      <c r="G54" s="12">
        <f t="shared" si="6"/>
        <v>4038.504132231405</v>
      </c>
      <c r="H54">
        <v>21</v>
      </c>
      <c r="I54" s="5">
        <f t="shared" si="7"/>
        <v>848.08586776859511</v>
      </c>
      <c r="J54" s="5">
        <f t="shared" si="8"/>
        <v>4038.504132231405</v>
      </c>
      <c r="L54" s="5">
        <f t="shared" si="9"/>
        <v>0</v>
      </c>
      <c r="M54" s="8">
        <v>4886.59</v>
      </c>
      <c r="N54" s="3" t="s">
        <v>750</v>
      </c>
    </row>
    <row r="55" spans="1:14" x14ac:dyDescent="0.35">
      <c r="A55" s="4">
        <v>45355</v>
      </c>
      <c r="B55" s="2" t="s">
        <v>131</v>
      </c>
      <c r="D55" s="2" t="s">
        <v>645</v>
      </c>
      <c r="E55" s="2" t="s">
        <v>646</v>
      </c>
      <c r="F55" s="5" t="str">
        <f t="shared" si="5"/>
        <v>54 EUROCONTRUCCIONES 2020</v>
      </c>
      <c r="G55" s="12">
        <f t="shared" si="6"/>
        <v>7463.5537190082641</v>
      </c>
      <c r="H55">
        <v>21</v>
      </c>
      <c r="I55" s="5">
        <f t="shared" si="7"/>
        <v>1567.3462809917355</v>
      </c>
      <c r="J55" s="5">
        <f t="shared" si="8"/>
        <v>7463.5537190082641</v>
      </c>
      <c r="L55" s="5">
        <f t="shared" si="9"/>
        <v>0</v>
      </c>
      <c r="M55" s="8">
        <v>9030.9</v>
      </c>
      <c r="N55" s="3" t="s">
        <v>670</v>
      </c>
    </row>
    <row r="56" spans="1:14" x14ac:dyDescent="0.35">
      <c r="A56" s="4">
        <v>45363</v>
      </c>
      <c r="B56" s="2" t="s">
        <v>133</v>
      </c>
      <c r="D56" s="2" t="s">
        <v>81</v>
      </c>
      <c r="E56" s="2" t="s">
        <v>598</v>
      </c>
      <c r="F56" s="5" t="str">
        <f t="shared" si="5"/>
        <v>55 CONSEJERIA DE VIVIENDA TRANSP. E INFR.</v>
      </c>
      <c r="G56" s="12">
        <f t="shared" si="6"/>
        <v>718.19834710743805</v>
      </c>
      <c r="H56">
        <v>21</v>
      </c>
      <c r="I56" s="5">
        <f t="shared" si="7"/>
        <v>150.82165289256199</v>
      </c>
      <c r="J56" s="5">
        <f t="shared" si="8"/>
        <v>718.19834710743805</v>
      </c>
      <c r="L56" s="5">
        <f t="shared" si="9"/>
        <v>0</v>
      </c>
      <c r="M56" s="8">
        <v>869.02</v>
      </c>
      <c r="N56" s="3" t="s">
        <v>1398</v>
      </c>
    </row>
    <row r="57" spans="1:14" x14ac:dyDescent="0.35">
      <c r="A57" s="4">
        <v>45363</v>
      </c>
      <c r="B57" s="2" t="s">
        <v>86</v>
      </c>
      <c r="D57" s="2" t="s">
        <v>81</v>
      </c>
      <c r="E57" s="2" t="s">
        <v>598</v>
      </c>
      <c r="F57" s="5" t="str">
        <f t="shared" si="5"/>
        <v>56 CONSEJERIA DE VIVIENDA TRANSP. E INFR.</v>
      </c>
      <c r="G57" s="12">
        <f t="shared" si="6"/>
        <v>359.09917355371903</v>
      </c>
      <c r="H57">
        <v>21</v>
      </c>
      <c r="I57" s="5">
        <f t="shared" si="7"/>
        <v>75.410826446280993</v>
      </c>
      <c r="J57" s="5">
        <f t="shared" si="8"/>
        <v>359.09917355371903</v>
      </c>
      <c r="L57" s="5">
        <f t="shared" si="9"/>
        <v>0</v>
      </c>
      <c r="M57" s="8">
        <v>434.51</v>
      </c>
      <c r="N57" s="3" t="s">
        <v>1398</v>
      </c>
    </row>
    <row r="58" spans="1:14" x14ac:dyDescent="0.35">
      <c r="A58" s="4">
        <v>45363</v>
      </c>
      <c r="B58" s="2" t="s">
        <v>221</v>
      </c>
      <c r="D58" s="2" t="s">
        <v>81</v>
      </c>
      <c r="E58" s="2" t="s">
        <v>598</v>
      </c>
      <c r="F58" s="5" t="str">
        <f t="shared" si="5"/>
        <v>57 CONSEJERIA DE VIVIENDA TRANSP. E INFR.</v>
      </c>
      <c r="G58" s="12">
        <f t="shared" si="6"/>
        <v>995.00000000000011</v>
      </c>
      <c r="H58">
        <v>21</v>
      </c>
      <c r="I58" s="5">
        <f t="shared" si="7"/>
        <v>208.95000000000005</v>
      </c>
      <c r="J58" s="5">
        <f t="shared" si="8"/>
        <v>995.00000000000011</v>
      </c>
      <c r="L58" s="5">
        <f t="shared" si="9"/>
        <v>0</v>
      </c>
      <c r="M58" s="8">
        <v>1203.95</v>
      </c>
      <c r="N58" s="3" t="s">
        <v>1330</v>
      </c>
    </row>
    <row r="59" spans="1:14" x14ac:dyDescent="0.35">
      <c r="A59" s="4">
        <v>45364</v>
      </c>
      <c r="B59" s="2" t="s">
        <v>222</v>
      </c>
      <c r="D59" s="2" t="s">
        <v>47</v>
      </c>
      <c r="E59" s="2" t="s">
        <v>31</v>
      </c>
      <c r="F59" s="5" t="str">
        <f t="shared" si="5"/>
        <v>58 MARTA REY ABAD</v>
      </c>
      <c r="G59" s="12">
        <f t="shared" si="6"/>
        <v>7739.7024793388437</v>
      </c>
      <c r="H59">
        <v>21</v>
      </c>
      <c r="I59" s="5">
        <f t="shared" si="7"/>
        <v>1625.337520661157</v>
      </c>
      <c r="J59" s="5">
        <f t="shared" si="8"/>
        <v>7739.7024793388437</v>
      </c>
      <c r="L59" s="5">
        <f t="shared" si="9"/>
        <v>0</v>
      </c>
      <c r="M59" s="8">
        <v>9365.0400000000009</v>
      </c>
      <c r="N59" s="3" t="s">
        <v>1032</v>
      </c>
    </row>
    <row r="60" spans="1:14" x14ac:dyDescent="0.35">
      <c r="A60" s="4">
        <v>45364</v>
      </c>
      <c r="B60" s="2" t="s">
        <v>223</v>
      </c>
      <c r="D60" s="2" t="s">
        <v>48</v>
      </c>
      <c r="E60" s="2" t="s">
        <v>286</v>
      </c>
      <c r="F60" s="5" t="str">
        <f t="shared" si="5"/>
        <v>59 DOFITEC SOLUCIONES INTEGRALES</v>
      </c>
      <c r="G60" s="12">
        <f t="shared" si="6"/>
        <v>585</v>
      </c>
      <c r="H60">
        <v>21</v>
      </c>
      <c r="I60" s="5">
        <f t="shared" si="7"/>
        <v>122.85</v>
      </c>
      <c r="J60" s="5">
        <f t="shared" si="8"/>
        <v>585</v>
      </c>
      <c r="L60" s="5">
        <f t="shared" si="9"/>
        <v>0</v>
      </c>
      <c r="M60" s="8">
        <v>707.85</v>
      </c>
      <c r="N60" s="3" t="s">
        <v>979</v>
      </c>
    </row>
    <row r="61" spans="1:14" x14ac:dyDescent="0.35">
      <c r="A61" s="4">
        <v>45366</v>
      </c>
      <c r="B61" s="2" t="s">
        <v>224</v>
      </c>
      <c r="D61" s="2" t="s">
        <v>81</v>
      </c>
      <c r="E61" s="2" t="s">
        <v>598</v>
      </c>
      <c r="F61" s="5" t="str">
        <f t="shared" si="5"/>
        <v>60 CONSEJERIA DE VIVIENDA TRANSP. E INFR.</v>
      </c>
      <c r="G61" s="12">
        <f t="shared" si="6"/>
        <v>579.60330578512401</v>
      </c>
      <c r="H61">
        <v>21</v>
      </c>
      <c r="I61" s="5">
        <f t="shared" si="7"/>
        <v>121.71669421487604</v>
      </c>
      <c r="J61" s="5">
        <f t="shared" si="8"/>
        <v>579.60330578512401</v>
      </c>
      <c r="L61" s="5">
        <f t="shared" si="9"/>
        <v>0</v>
      </c>
      <c r="M61" s="8">
        <v>701.32</v>
      </c>
      <c r="N61" s="3" t="s">
        <v>1398</v>
      </c>
    </row>
    <row r="62" spans="1:14" x14ac:dyDescent="0.35">
      <c r="A62" s="4">
        <v>45366</v>
      </c>
      <c r="B62" s="2" t="s">
        <v>135</v>
      </c>
      <c r="D62" s="2" t="s">
        <v>81</v>
      </c>
      <c r="E62" s="2" t="s">
        <v>598</v>
      </c>
      <c r="F62" s="5" t="str">
        <f t="shared" si="5"/>
        <v>61 CONSEJERIA DE VIVIENDA TRANSP. E INFR.</v>
      </c>
      <c r="G62" s="12">
        <f t="shared" si="6"/>
        <v>720.39669421487599</v>
      </c>
      <c r="H62">
        <v>21</v>
      </c>
      <c r="I62" s="5">
        <f t="shared" si="7"/>
        <v>151.28330578512396</v>
      </c>
      <c r="J62" s="5">
        <f t="shared" si="8"/>
        <v>720.39669421487599</v>
      </c>
      <c r="L62" s="5">
        <f t="shared" si="9"/>
        <v>0</v>
      </c>
      <c r="M62" s="8">
        <v>871.68</v>
      </c>
      <c r="N62" s="3" t="s">
        <v>1674</v>
      </c>
    </row>
    <row r="63" spans="1:14" x14ac:dyDescent="0.35">
      <c r="A63" s="4">
        <v>45369</v>
      </c>
      <c r="B63" s="2" t="s">
        <v>225</v>
      </c>
      <c r="D63" s="2" t="s">
        <v>54</v>
      </c>
      <c r="E63" s="2" t="s">
        <v>407</v>
      </c>
      <c r="F63" s="5" t="str">
        <f t="shared" si="5"/>
        <v>62 JILTRES CONSTRUCCIONES</v>
      </c>
      <c r="G63" s="12">
        <f t="shared" si="6"/>
        <v>1650</v>
      </c>
      <c r="H63">
        <v>21</v>
      </c>
      <c r="I63" s="5">
        <f t="shared" si="7"/>
        <v>346.5</v>
      </c>
      <c r="J63" s="5">
        <f t="shared" si="8"/>
        <v>1650</v>
      </c>
      <c r="L63" s="5">
        <f t="shared" si="9"/>
        <v>0</v>
      </c>
      <c r="M63" s="8">
        <v>1996.5</v>
      </c>
      <c r="N63" s="3" t="s">
        <v>978</v>
      </c>
    </row>
    <row r="64" spans="1:14" x14ac:dyDescent="0.35">
      <c r="A64" s="4">
        <v>45369</v>
      </c>
      <c r="B64" s="2" t="s">
        <v>226</v>
      </c>
      <c r="D64" s="2" t="s">
        <v>54</v>
      </c>
      <c r="E64" s="2" t="s">
        <v>407</v>
      </c>
      <c r="F64" s="5" t="str">
        <f t="shared" si="5"/>
        <v>63 JILTRES CONSTRUCCIONES</v>
      </c>
      <c r="G64" s="12">
        <f t="shared" si="6"/>
        <v>4500</v>
      </c>
      <c r="H64">
        <v>21</v>
      </c>
      <c r="I64" s="5">
        <f t="shared" si="7"/>
        <v>945</v>
      </c>
      <c r="J64" s="5">
        <f t="shared" si="8"/>
        <v>4500</v>
      </c>
      <c r="L64" s="5">
        <f t="shared" si="9"/>
        <v>0</v>
      </c>
      <c r="M64" s="8">
        <v>5445</v>
      </c>
      <c r="N64" s="3" t="s">
        <v>978</v>
      </c>
    </row>
    <row r="65" spans="1:19" x14ac:dyDescent="0.35">
      <c r="A65" s="4">
        <v>45370</v>
      </c>
      <c r="B65" s="2" t="s">
        <v>227</v>
      </c>
      <c r="D65" s="2" t="s">
        <v>640</v>
      </c>
      <c r="E65" s="2" t="s">
        <v>641</v>
      </c>
      <c r="F65" s="5" t="str">
        <f t="shared" si="5"/>
        <v>64 INMOBILIARIA HERMANOS RUBIO SA</v>
      </c>
      <c r="G65" s="12">
        <f t="shared" si="6"/>
        <v>16207.991735537189</v>
      </c>
      <c r="H65">
        <v>21</v>
      </c>
      <c r="I65" s="5">
        <f t="shared" si="7"/>
        <v>3403.6782644628097</v>
      </c>
      <c r="J65" s="5">
        <f t="shared" si="8"/>
        <v>16207.991735537189</v>
      </c>
      <c r="L65" s="5">
        <f t="shared" si="9"/>
        <v>0</v>
      </c>
      <c r="M65" s="8">
        <v>19611.669999999998</v>
      </c>
      <c r="N65" s="3" t="s">
        <v>996</v>
      </c>
    </row>
    <row r="66" spans="1:19" x14ac:dyDescent="0.35">
      <c r="A66" s="4">
        <v>45370</v>
      </c>
      <c r="B66" s="2" t="s">
        <v>228</v>
      </c>
      <c r="D66" s="2" t="s">
        <v>997</v>
      </c>
      <c r="E66" s="2" t="s">
        <v>998</v>
      </c>
      <c r="F66" s="5" t="str">
        <f t="shared" si="5"/>
        <v>65 C.P. DOCTOR MATA 2-4-6</v>
      </c>
      <c r="G66" s="12">
        <f t="shared" si="6"/>
        <v>1579.9999999999998</v>
      </c>
      <c r="H66">
        <v>10</v>
      </c>
      <c r="I66" s="5">
        <f t="shared" si="7"/>
        <v>157.99999999999997</v>
      </c>
      <c r="J66" s="5">
        <f t="shared" si="8"/>
        <v>1579.9999999999998</v>
      </c>
      <c r="L66" s="5">
        <f t="shared" si="9"/>
        <v>0</v>
      </c>
      <c r="M66" s="8">
        <v>1738</v>
      </c>
      <c r="N66" s="3" t="s">
        <v>1040</v>
      </c>
    </row>
    <row r="67" spans="1:19" x14ac:dyDescent="0.35">
      <c r="A67" s="4">
        <v>45377</v>
      </c>
      <c r="B67" s="2" t="s">
        <v>230</v>
      </c>
      <c r="D67" s="2" t="s">
        <v>1034</v>
      </c>
      <c r="E67" s="2" t="s">
        <v>1035</v>
      </c>
      <c r="F67" s="5" t="str">
        <f t="shared" si="5"/>
        <v>66 INNOMAT</v>
      </c>
      <c r="G67" s="12">
        <f t="shared" si="6"/>
        <v>3100.6776859504134</v>
      </c>
      <c r="H67">
        <v>21</v>
      </c>
      <c r="I67" s="5">
        <f t="shared" si="7"/>
        <v>651.14231404958684</v>
      </c>
      <c r="J67" s="5">
        <f t="shared" si="8"/>
        <v>3100.6776859504134</v>
      </c>
      <c r="L67" s="5">
        <f t="shared" si="9"/>
        <v>0</v>
      </c>
      <c r="M67" s="8">
        <v>3751.82</v>
      </c>
      <c r="N67" s="3" t="s">
        <v>1033</v>
      </c>
    </row>
    <row r="68" spans="1:19" x14ac:dyDescent="0.35">
      <c r="A68" s="4">
        <v>45377</v>
      </c>
      <c r="B68" s="2" t="s">
        <v>98</v>
      </c>
      <c r="D68" s="2" t="s">
        <v>1034</v>
      </c>
      <c r="E68" s="2" t="s">
        <v>1035</v>
      </c>
      <c r="F68" s="5" t="str">
        <f t="shared" si="5"/>
        <v>67 INNOMAT</v>
      </c>
      <c r="G68" s="12">
        <f t="shared" si="6"/>
        <v>4667.5041322314055</v>
      </c>
      <c r="H68">
        <v>21</v>
      </c>
      <c r="I68" s="5">
        <f t="shared" si="7"/>
        <v>980.17586776859525</v>
      </c>
      <c r="J68" s="5">
        <f t="shared" si="8"/>
        <v>4667.5041322314055</v>
      </c>
      <c r="L68" s="5">
        <f t="shared" si="9"/>
        <v>0</v>
      </c>
      <c r="M68" s="8">
        <v>5647.68</v>
      </c>
      <c r="N68" s="3" t="s">
        <v>1033</v>
      </c>
    </row>
    <row r="69" spans="1:19" x14ac:dyDescent="0.35">
      <c r="A69" s="4"/>
      <c r="F69" s="5" t="str">
        <f t="shared" si="5"/>
        <v xml:space="preserve"> </v>
      </c>
      <c r="G69" s="12">
        <f t="shared" si="6"/>
        <v>0</v>
      </c>
      <c r="H69">
        <v>21</v>
      </c>
      <c r="I69" s="5">
        <f t="shared" si="7"/>
        <v>0</v>
      </c>
      <c r="J69" s="5">
        <f t="shared" si="8"/>
        <v>0</v>
      </c>
      <c r="L69" s="5">
        <f t="shared" si="9"/>
        <v>0</v>
      </c>
      <c r="M69" s="8">
        <v>0</v>
      </c>
    </row>
    <row r="70" spans="1:19" x14ac:dyDescent="0.35">
      <c r="A70" s="4">
        <v>45292</v>
      </c>
      <c r="B70" s="2" t="s">
        <v>144</v>
      </c>
      <c r="D70" s="2" t="s">
        <v>48</v>
      </c>
      <c r="E70" s="2" t="s">
        <v>286</v>
      </c>
      <c r="F70" s="5" t="str">
        <f t="shared" si="5"/>
        <v>R01 DOFITEC SOLUCIONES INTEGRALES</v>
      </c>
      <c r="G70" s="12">
        <f t="shared" si="6"/>
        <v>-861.50413223140504</v>
      </c>
      <c r="H70">
        <v>21</v>
      </c>
      <c r="I70" s="5">
        <f t="shared" si="7"/>
        <v>-180.91586776859506</v>
      </c>
      <c r="J70" s="5">
        <f t="shared" si="8"/>
        <v>-861.50413223140504</v>
      </c>
      <c r="L70" s="5">
        <f t="shared" si="9"/>
        <v>0</v>
      </c>
      <c r="M70" s="8">
        <v>-1042.42</v>
      </c>
    </row>
    <row r="71" spans="1:19" x14ac:dyDescent="0.35">
      <c r="A71" s="4"/>
      <c r="F71" s="5" t="str">
        <f t="shared" si="5"/>
        <v xml:space="preserve"> </v>
      </c>
      <c r="G71" s="12">
        <f t="shared" si="6"/>
        <v>0</v>
      </c>
      <c r="I71" s="5">
        <f t="shared" si="7"/>
        <v>0</v>
      </c>
      <c r="J71" s="5">
        <f t="shared" si="8"/>
        <v>0</v>
      </c>
      <c r="L71" s="5">
        <f t="shared" si="9"/>
        <v>0</v>
      </c>
      <c r="M71" s="8">
        <v>0</v>
      </c>
    </row>
    <row r="72" spans="1:19" x14ac:dyDescent="0.35">
      <c r="A72" s="4"/>
      <c r="F72" s="5" t="str">
        <f t="shared" si="5"/>
        <v xml:space="preserve"> </v>
      </c>
      <c r="G72" s="12">
        <f t="shared" si="6"/>
        <v>0</v>
      </c>
      <c r="H72">
        <v>21</v>
      </c>
      <c r="I72" s="5">
        <f t="shared" si="7"/>
        <v>0</v>
      </c>
      <c r="J72" s="5">
        <f t="shared" si="8"/>
        <v>0</v>
      </c>
      <c r="L72" s="5">
        <f t="shared" si="9"/>
        <v>0</v>
      </c>
      <c r="M72" s="8">
        <v>0</v>
      </c>
    </row>
    <row r="73" spans="1:19" x14ac:dyDescent="0.35">
      <c r="A73" s="4">
        <v>45292</v>
      </c>
      <c r="B73" s="2" t="s">
        <v>338</v>
      </c>
      <c r="D73" s="2" t="s">
        <v>177</v>
      </c>
      <c r="E73" s="2" t="s">
        <v>178</v>
      </c>
      <c r="F73" s="5" t="str">
        <f t="shared" si="5"/>
        <v>N/F AL01 ZACARIAS ORTEGA MERCEDES</v>
      </c>
      <c r="G73" s="12">
        <f t="shared" si="6"/>
        <v>1032</v>
      </c>
      <c r="H73">
        <v>21</v>
      </c>
      <c r="I73" s="5">
        <f t="shared" si="7"/>
        <v>216.72</v>
      </c>
      <c r="J73" s="5">
        <f t="shared" si="8"/>
        <v>1032</v>
      </c>
      <c r="K73">
        <v>19</v>
      </c>
      <c r="L73" s="5">
        <f t="shared" si="9"/>
        <v>196.08</v>
      </c>
      <c r="M73" s="8">
        <v>1052.6400000000001</v>
      </c>
      <c r="N73" s="3" t="s">
        <v>339</v>
      </c>
      <c r="O73" s="3" t="s">
        <v>340</v>
      </c>
      <c r="S73" t="s">
        <v>20</v>
      </c>
    </row>
    <row r="74" spans="1:19" x14ac:dyDescent="0.35">
      <c r="A74" s="4">
        <v>45323</v>
      </c>
      <c r="B74" s="2" t="s">
        <v>400</v>
      </c>
      <c r="D74" s="2" t="s">
        <v>177</v>
      </c>
      <c r="E74" s="2" t="s">
        <v>178</v>
      </c>
      <c r="F74" s="5" t="str">
        <f t="shared" si="5"/>
        <v>N/F AL02 ZACARIAS ORTEGA MERCEDES</v>
      </c>
      <c r="G74" s="12">
        <f t="shared" si="6"/>
        <v>1032</v>
      </c>
      <c r="H74">
        <v>21</v>
      </c>
      <c r="I74" s="5">
        <f t="shared" si="7"/>
        <v>216.72</v>
      </c>
      <c r="J74" s="5">
        <f t="shared" si="8"/>
        <v>1032</v>
      </c>
      <c r="K74">
        <v>19</v>
      </c>
      <c r="L74" s="5">
        <f t="shared" si="9"/>
        <v>196.08</v>
      </c>
      <c r="M74" s="8">
        <v>1052.6400000000001</v>
      </c>
      <c r="N74" s="3" t="s">
        <v>638</v>
      </c>
      <c r="S74" t="s">
        <v>20</v>
      </c>
    </row>
    <row r="75" spans="1:19" x14ac:dyDescent="0.35">
      <c r="A75" s="4">
        <v>45352</v>
      </c>
      <c r="B75" s="2" t="s">
        <v>637</v>
      </c>
      <c r="D75" s="2" t="s">
        <v>177</v>
      </c>
      <c r="E75" s="2" t="s">
        <v>178</v>
      </c>
      <c r="F75" s="5" t="str">
        <f t="shared" si="5"/>
        <v>N/F al03 ZACARIAS ORTEGA MERCEDES</v>
      </c>
      <c r="G75" s="12">
        <f t="shared" si="6"/>
        <v>1032</v>
      </c>
      <c r="H75">
        <v>21</v>
      </c>
      <c r="I75" s="5">
        <f t="shared" si="7"/>
        <v>216.72</v>
      </c>
      <c r="J75" s="5">
        <f t="shared" si="8"/>
        <v>1032</v>
      </c>
      <c r="K75">
        <v>19</v>
      </c>
      <c r="L75" s="5">
        <f t="shared" si="9"/>
        <v>196.08</v>
      </c>
      <c r="M75" s="8">
        <v>1052.6400000000001</v>
      </c>
      <c r="N75" s="3" t="s">
        <v>217</v>
      </c>
      <c r="S75" t="s">
        <v>20</v>
      </c>
    </row>
    <row r="76" spans="1:19" x14ac:dyDescent="0.35">
      <c r="A76" s="4"/>
      <c r="I76" s="5">
        <f t="shared" si="7"/>
        <v>0</v>
      </c>
      <c r="M76" s="8">
        <v>0</v>
      </c>
    </row>
    <row r="77" spans="1:19" x14ac:dyDescent="0.35">
      <c r="A77" s="4"/>
      <c r="F77" s="5" t="str">
        <f t="shared" si="5"/>
        <v xml:space="preserve">N/F  </v>
      </c>
      <c r="G77" s="12">
        <f t="shared" si="6"/>
        <v>0</v>
      </c>
      <c r="H77">
        <v>0</v>
      </c>
      <c r="I77" s="5">
        <f t="shared" si="7"/>
        <v>0</v>
      </c>
      <c r="J77" s="5">
        <f t="shared" si="8"/>
        <v>0</v>
      </c>
      <c r="L77" s="5">
        <f t="shared" si="9"/>
        <v>0</v>
      </c>
      <c r="M77" s="8">
        <v>0</v>
      </c>
      <c r="S77" t="s">
        <v>20</v>
      </c>
    </row>
    <row r="78" spans="1:19" x14ac:dyDescent="0.35">
      <c r="A78" s="4">
        <v>45355</v>
      </c>
      <c r="B78" s="2" t="s">
        <v>1022</v>
      </c>
      <c r="D78" s="2" t="s">
        <v>148</v>
      </c>
      <c r="E78" s="2" t="s">
        <v>110</v>
      </c>
      <c r="F78" s="5" t="str">
        <f t="shared" si="5"/>
        <v>N/F A01 TRAIAN DARIUS NEAG</v>
      </c>
      <c r="G78" s="12">
        <f t="shared" si="6"/>
        <v>29800</v>
      </c>
      <c r="H78">
        <v>0</v>
      </c>
      <c r="I78" s="5">
        <v>138.84</v>
      </c>
      <c r="J78" s="5">
        <f t="shared" si="8"/>
        <v>29800</v>
      </c>
      <c r="L78" s="5">
        <f t="shared" si="9"/>
        <v>0</v>
      </c>
      <c r="M78" s="8">
        <v>29800</v>
      </c>
      <c r="S78" t="s">
        <v>20</v>
      </c>
    </row>
    <row r="79" spans="1:19" x14ac:dyDescent="0.35">
      <c r="A79" s="4"/>
      <c r="F79" s="5" t="str">
        <f t="shared" si="5"/>
        <v xml:space="preserve">N/F  </v>
      </c>
      <c r="G79" s="12">
        <f t="shared" si="6"/>
        <v>0</v>
      </c>
      <c r="H79">
        <v>0</v>
      </c>
      <c r="I79" s="5">
        <f t="shared" si="7"/>
        <v>0</v>
      </c>
      <c r="J79" s="5">
        <f t="shared" si="8"/>
        <v>0</v>
      </c>
      <c r="L79" s="5">
        <f t="shared" si="9"/>
        <v>0</v>
      </c>
      <c r="M79" s="8">
        <v>0</v>
      </c>
      <c r="S79" t="s">
        <v>20</v>
      </c>
    </row>
    <row r="80" spans="1:19" x14ac:dyDescent="0.35">
      <c r="A80" s="4"/>
      <c r="F80" s="5" t="str">
        <f t="shared" si="5"/>
        <v xml:space="preserve">N/F  </v>
      </c>
      <c r="G80" s="12">
        <f t="shared" si="6"/>
        <v>0</v>
      </c>
      <c r="H80">
        <v>0</v>
      </c>
      <c r="I80" s="5">
        <f t="shared" si="7"/>
        <v>0</v>
      </c>
      <c r="J80" s="5">
        <f t="shared" si="8"/>
        <v>0</v>
      </c>
      <c r="L80" s="5">
        <f t="shared" si="9"/>
        <v>0</v>
      </c>
      <c r="M80" s="8">
        <v>0</v>
      </c>
      <c r="S80" t="s">
        <v>20</v>
      </c>
    </row>
    <row r="81" spans="1:19" x14ac:dyDescent="0.35">
      <c r="A81" s="4"/>
      <c r="F81" s="5" t="str">
        <f t="shared" si="5"/>
        <v xml:space="preserve">N/F  </v>
      </c>
      <c r="G81" s="12">
        <f t="shared" si="6"/>
        <v>0</v>
      </c>
      <c r="H81">
        <v>0</v>
      </c>
      <c r="I81" s="5">
        <f t="shared" si="7"/>
        <v>0</v>
      </c>
      <c r="J81" s="5">
        <f t="shared" si="8"/>
        <v>0</v>
      </c>
      <c r="L81" s="5">
        <f t="shared" si="9"/>
        <v>0</v>
      </c>
      <c r="M81" s="8">
        <v>0</v>
      </c>
      <c r="S81" t="s">
        <v>20</v>
      </c>
    </row>
    <row r="82" spans="1:19" x14ac:dyDescent="0.35">
      <c r="F82" s="5" t="str">
        <f t="shared" si="5"/>
        <v xml:space="preserve">N/F  </v>
      </c>
      <c r="G82" s="12">
        <f t="shared" si="6"/>
        <v>0</v>
      </c>
      <c r="I82" s="5">
        <f t="shared" si="7"/>
        <v>0</v>
      </c>
      <c r="J82" s="5">
        <f t="shared" si="8"/>
        <v>0</v>
      </c>
      <c r="L82" s="5">
        <f t="shared" si="9"/>
        <v>0</v>
      </c>
      <c r="M82" s="8">
        <v>0</v>
      </c>
      <c r="S82" t="s">
        <v>20</v>
      </c>
    </row>
    <row r="83" spans="1:19" x14ac:dyDescent="0.35">
      <c r="F83" s="5" t="str">
        <f t="shared" si="5"/>
        <v xml:space="preserve">N/F  </v>
      </c>
      <c r="G83" s="12">
        <f>SUM(G2:G82)</f>
        <v>349226.10909090913</v>
      </c>
      <c r="I83" s="5">
        <f t="shared" si="7"/>
        <v>0</v>
      </c>
      <c r="J83" s="5">
        <f t="shared" si="8"/>
        <v>349226.10909090913</v>
      </c>
      <c r="L83" s="5">
        <f t="shared" si="9"/>
        <v>0</v>
      </c>
      <c r="M83" s="8">
        <v>0</v>
      </c>
      <c r="S83" t="s">
        <v>20</v>
      </c>
    </row>
    <row r="84" spans="1:19" x14ac:dyDescent="0.35">
      <c r="F84" s="5" t="str">
        <f t="shared" si="5"/>
        <v xml:space="preserve">N/F  </v>
      </c>
      <c r="G84" s="12">
        <f t="shared" si="6"/>
        <v>0</v>
      </c>
      <c r="I84" s="5">
        <f>SUM(I2:I83)</f>
        <v>63890.410909090904</v>
      </c>
      <c r="J84" s="5">
        <f t="shared" si="8"/>
        <v>0</v>
      </c>
      <c r="L84" s="5">
        <f t="shared" si="9"/>
        <v>0</v>
      </c>
      <c r="M84" s="8">
        <v>0</v>
      </c>
      <c r="S84" t="s">
        <v>20</v>
      </c>
    </row>
    <row r="85" spans="1:19" x14ac:dyDescent="0.35">
      <c r="I85" s="5">
        <f t="shared" si="7"/>
        <v>0</v>
      </c>
      <c r="M85" s="8">
        <v>0</v>
      </c>
    </row>
    <row r="86" spans="1:19" x14ac:dyDescent="0.35">
      <c r="I86" s="5">
        <f t="shared" si="7"/>
        <v>0</v>
      </c>
      <c r="M86" s="8">
        <v>0</v>
      </c>
    </row>
    <row r="87" spans="1:19" x14ac:dyDescent="0.35">
      <c r="I87" s="5">
        <f t="shared" si="7"/>
        <v>0</v>
      </c>
      <c r="M87" s="8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0353-0E93-4F8C-889C-AAB1F51773D2}">
  <dimension ref="A1:S109"/>
  <sheetViews>
    <sheetView topLeftCell="A65" workbookViewId="0">
      <selection activeCell="G71" sqref="G71"/>
    </sheetView>
  </sheetViews>
  <sheetFormatPr baseColWidth="10" defaultRowHeight="14.5" x14ac:dyDescent="0.35"/>
  <cols>
    <col min="1" max="1" width="11.54296875" bestFit="1" customWidth="1"/>
    <col min="2" max="2" width="11.54296875" style="2" customWidth="1"/>
    <col min="3" max="3" width="10" style="2" bestFit="1" customWidth="1"/>
    <col min="4" max="4" width="15.81640625" style="2" bestFit="1" customWidth="1"/>
    <col min="5" max="5" width="46.26953125" style="2" customWidth="1"/>
    <col min="6" max="6" width="26.1796875" style="5" customWidth="1"/>
    <col min="7" max="7" width="11.54296875" style="12" customWidth="1"/>
    <col min="8" max="8" width="5.7265625" bestFit="1" customWidth="1"/>
    <col min="9" max="9" width="13.26953125" style="5" customWidth="1"/>
    <col min="10" max="10" width="11.7265625" style="5" customWidth="1"/>
    <col min="11" max="11" width="6.1796875" customWidth="1"/>
    <col min="12" max="12" width="8.54296875" style="5" customWidth="1"/>
    <col min="13" max="13" width="10.7265625" style="8" customWidth="1"/>
    <col min="14" max="14" width="17.453125" style="3" customWidth="1"/>
    <col min="15" max="15" width="20" style="3" customWidth="1"/>
    <col min="16" max="16" width="14.7265625" style="3" customWidth="1"/>
    <col min="17" max="17" width="13.7265625" style="2" customWidth="1"/>
    <col min="18" max="18" width="14.1796875" customWidth="1"/>
  </cols>
  <sheetData>
    <row r="1" spans="1:19" s="1" customFormat="1" ht="30" customHeigh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6" t="s">
        <v>7</v>
      </c>
      <c r="I1" s="9" t="s">
        <v>8</v>
      </c>
      <c r="J1" s="9" t="s">
        <v>9</v>
      </c>
      <c r="K1" s="6" t="s">
        <v>10</v>
      </c>
      <c r="L1" s="9" t="s">
        <v>11</v>
      </c>
      <c r="M1" s="9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9" x14ac:dyDescent="0.35">
      <c r="A2" s="4">
        <v>45383</v>
      </c>
      <c r="B2" s="2" t="s">
        <v>1189</v>
      </c>
      <c r="D2" s="2" t="s">
        <v>251</v>
      </c>
      <c r="E2" s="2" t="s">
        <v>304</v>
      </c>
      <c r="F2" s="5" t="str">
        <f>CONCATENATE(S2,B2," ",E2)</f>
        <v>N/F 68 BERTA MARTINEZ DELGADO</v>
      </c>
      <c r="G2" s="12">
        <f>M2/(1-K2/100+H2/100)</f>
        <v>30000</v>
      </c>
      <c r="H2">
        <v>21</v>
      </c>
      <c r="I2" s="5">
        <f>G2*H2/100</f>
        <v>6300</v>
      </c>
      <c r="J2" s="5">
        <f>G2</f>
        <v>30000</v>
      </c>
      <c r="L2" s="5">
        <f>J2*K2/100</f>
        <v>0</v>
      </c>
      <c r="M2" s="8">
        <v>36300</v>
      </c>
      <c r="N2" s="3" t="s">
        <v>1190</v>
      </c>
      <c r="O2" s="3" t="s">
        <v>268</v>
      </c>
      <c r="S2" t="s">
        <v>20</v>
      </c>
    </row>
    <row r="3" spans="1:19" x14ac:dyDescent="0.35">
      <c r="A3" s="4">
        <v>45383</v>
      </c>
      <c r="B3" s="2" t="s">
        <v>1191</v>
      </c>
      <c r="D3" s="2" t="s">
        <v>48</v>
      </c>
      <c r="E3" s="2" t="s">
        <v>1192</v>
      </c>
      <c r="F3" s="5" t="str">
        <f t="shared" ref="F3:F75" si="0">CONCATENATE(S3,B3," ",E3)</f>
        <v>N/F 69 DOFITEC SOLUCIONES INTEGRALES SL</v>
      </c>
      <c r="G3" s="12">
        <f>M3/(1-K3/100+H3/100)</f>
        <v>8638.6198347107438</v>
      </c>
      <c r="H3">
        <v>21</v>
      </c>
      <c r="I3" s="5">
        <f>G3*H3/100</f>
        <v>1814.1101652892562</v>
      </c>
      <c r="J3" s="5">
        <f>G3</f>
        <v>8638.6198347107438</v>
      </c>
      <c r="L3" s="5">
        <f>J3*K3/100</f>
        <v>0</v>
      </c>
      <c r="M3" s="8">
        <v>10452.73</v>
      </c>
      <c r="N3" s="3" t="s">
        <v>1193</v>
      </c>
      <c r="O3" s="3" t="s">
        <v>1194</v>
      </c>
      <c r="S3" t="s">
        <v>20</v>
      </c>
    </row>
    <row r="4" spans="1:19" x14ac:dyDescent="0.35">
      <c r="A4" s="4">
        <v>45384</v>
      </c>
      <c r="B4" s="2" t="s">
        <v>1195</v>
      </c>
      <c r="D4" s="2" t="s">
        <v>45</v>
      </c>
      <c r="E4" s="2" t="s">
        <v>163</v>
      </c>
      <c r="F4" s="5" t="str">
        <f t="shared" si="0"/>
        <v>N/F 70 EMANUEL CODITA</v>
      </c>
      <c r="G4" s="12">
        <f t="shared" ref="G4:G76" si="1">M4/(1-K4/100+H4/100)</f>
        <v>320</v>
      </c>
      <c r="H4">
        <v>21</v>
      </c>
      <c r="I4" s="5">
        <f t="shared" ref="I4:I76" si="2">G4*H4/100</f>
        <v>67.2</v>
      </c>
      <c r="J4" s="5">
        <f t="shared" ref="J4:J76" si="3">G4</f>
        <v>320</v>
      </c>
      <c r="L4" s="5">
        <f t="shared" ref="L4:L76" si="4">J4*K4/100</f>
        <v>0</v>
      </c>
      <c r="M4" s="8">
        <v>387.2</v>
      </c>
      <c r="N4" s="3" t="s">
        <v>64</v>
      </c>
      <c r="S4" t="s">
        <v>20</v>
      </c>
    </row>
    <row r="5" spans="1:19" x14ac:dyDescent="0.35">
      <c r="A5" s="4">
        <v>45384</v>
      </c>
      <c r="B5" s="2" t="s">
        <v>1196</v>
      </c>
      <c r="D5" s="2" t="s">
        <v>263</v>
      </c>
      <c r="E5" s="2" t="s">
        <v>264</v>
      </c>
      <c r="F5" s="5" t="str">
        <f t="shared" si="0"/>
        <v>N/F 71 MQF SL</v>
      </c>
      <c r="G5" s="12">
        <f t="shared" si="1"/>
        <v>4724</v>
      </c>
      <c r="H5">
        <v>21</v>
      </c>
      <c r="I5" s="5">
        <f t="shared" si="2"/>
        <v>992.04</v>
      </c>
      <c r="J5" s="5">
        <f t="shared" si="3"/>
        <v>4724</v>
      </c>
      <c r="L5" s="5">
        <f t="shared" si="4"/>
        <v>0</v>
      </c>
      <c r="M5" s="8">
        <v>5716.04</v>
      </c>
      <c r="N5" s="3" t="s">
        <v>1260</v>
      </c>
      <c r="S5" t="s">
        <v>20</v>
      </c>
    </row>
    <row r="6" spans="1:19" x14ac:dyDescent="0.35">
      <c r="A6" s="4">
        <v>45390</v>
      </c>
      <c r="B6" s="2" t="s">
        <v>1239</v>
      </c>
      <c r="D6" s="2" t="s">
        <v>283</v>
      </c>
      <c r="E6" s="2" t="s">
        <v>1240</v>
      </c>
      <c r="F6" s="5" t="str">
        <f t="shared" si="0"/>
        <v>N/F 72 C.P. CRISTO DE LA SALUD</v>
      </c>
      <c r="G6" s="12">
        <f t="shared" si="1"/>
        <v>1294.5454545454545</v>
      </c>
      <c r="H6">
        <v>10</v>
      </c>
      <c r="I6" s="5">
        <f t="shared" si="2"/>
        <v>129.45454545454544</v>
      </c>
      <c r="J6" s="5">
        <f t="shared" si="3"/>
        <v>1294.5454545454545</v>
      </c>
      <c r="L6" s="5">
        <f t="shared" si="4"/>
        <v>0</v>
      </c>
      <c r="M6" s="8">
        <v>1424</v>
      </c>
      <c r="N6" s="3" t="s">
        <v>1260</v>
      </c>
      <c r="S6" t="s">
        <v>20</v>
      </c>
    </row>
    <row r="7" spans="1:19" x14ac:dyDescent="0.35">
      <c r="A7" s="4">
        <v>45393</v>
      </c>
      <c r="B7" s="2" t="s">
        <v>1261</v>
      </c>
      <c r="D7" s="2" t="s">
        <v>306</v>
      </c>
      <c r="E7" s="2" t="s">
        <v>282</v>
      </c>
      <c r="F7" s="5" t="str">
        <f t="shared" si="0"/>
        <v>N/F 73 C.P. PASEO DEL PRADO 2</v>
      </c>
      <c r="G7" s="12">
        <f t="shared" si="1"/>
        <v>999</v>
      </c>
      <c r="H7">
        <v>21</v>
      </c>
      <c r="I7" s="5">
        <f t="shared" si="2"/>
        <v>209.79</v>
      </c>
      <c r="J7" s="5">
        <f t="shared" si="3"/>
        <v>999</v>
      </c>
      <c r="L7" s="5">
        <f t="shared" si="4"/>
        <v>0</v>
      </c>
      <c r="M7" s="8">
        <v>1208.79</v>
      </c>
      <c r="N7" s="3" t="s">
        <v>1428</v>
      </c>
      <c r="S7" t="s">
        <v>20</v>
      </c>
    </row>
    <row r="8" spans="1:19" x14ac:dyDescent="0.35">
      <c r="A8" s="4">
        <v>45393</v>
      </c>
      <c r="B8" s="2" t="s">
        <v>1262</v>
      </c>
      <c r="D8" s="2" t="s">
        <v>1263</v>
      </c>
      <c r="E8" s="2" t="s">
        <v>1264</v>
      </c>
      <c r="F8" s="5" t="str">
        <f t="shared" si="0"/>
        <v>N/F 74 C.P. OSA MENOR 12</v>
      </c>
      <c r="G8" s="12">
        <f t="shared" si="1"/>
        <v>585</v>
      </c>
      <c r="H8">
        <v>10</v>
      </c>
      <c r="I8" s="5">
        <f t="shared" si="2"/>
        <v>58.5</v>
      </c>
      <c r="J8" s="5">
        <f t="shared" si="3"/>
        <v>585</v>
      </c>
      <c r="L8" s="5">
        <f t="shared" si="4"/>
        <v>0</v>
      </c>
      <c r="M8" s="8">
        <v>643.5</v>
      </c>
      <c r="N8" s="3" t="s">
        <v>1429</v>
      </c>
      <c r="S8" t="s">
        <v>20</v>
      </c>
    </row>
    <row r="9" spans="1:19" x14ac:dyDescent="0.35">
      <c r="A9" s="4">
        <v>45393</v>
      </c>
      <c r="B9" s="2" t="s">
        <v>1265</v>
      </c>
      <c r="D9" s="2" t="s">
        <v>48</v>
      </c>
      <c r="E9" s="2" t="s">
        <v>1192</v>
      </c>
      <c r="F9" s="5" t="str">
        <f t="shared" si="0"/>
        <v>N/F 75 DOFITEC SOLUCIONES INTEGRALES SL</v>
      </c>
      <c r="G9" s="12">
        <f t="shared" si="1"/>
        <v>8638.6198347107438</v>
      </c>
      <c r="H9">
        <v>21</v>
      </c>
      <c r="I9" s="5">
        <f t="shared" si="2"/>
        <v>1814.1101652892562</v>
      </c>
      <c r="J9" s="5">
        <f t="shared" si="3"/>
        <v>8638.6198347107438</v>
      </c>
      <c r="L9" s="5">
        <f t="shared" si="4"/>
        <v>0</v>
      </c>
      <c r="M9" s="8">
        <v>10452.73</v>
      </c>
      <c r="N9" s="3" t="s">
        <v>1991</v>
      </c>
      <c r="S9" t="s">
        <v>20</v>
      </c>
    </row>
    <row r="10" spans="1:19" x14ac:dyDescent="0.35">
      <c r="A10" s="4">
        <v>45393</v>
      </c>
      <c r="B10" s="2" t="s">
        <v>1266</v>
      </c>
      <c r="D10" s="2" t="s">
        <v>47</v>
      </c>
      <c r="E10" s="2" t="s">
        <v>31</v>
      </c>
      <c r="F10" s="5" t="str">
        <f t="shared" si="0"/>
        <v>N/F 76 MARTA REY ABAD</v>
      </c>
      <c r="G10" s="12">
        <f t="shared" si="1"/>
        <v>4132.2314049586776</v>
      </c>
      <c r="H10">
        <v>21</v>
      </c>
      <c r="I10" s="5">
        <f t="shared" si="2"/>
        <v>867.76859504132221</v>
      </c>
      <c r="J10" s="5">
        <f t="shared" si="3"/>
        <v>4132.2314049586776</v>
      </c>
      <c r="L10" s="5">
        <f t="shared" si="4"/>
        <v>0</v>
      </c>
      <c r="M10" s="8">
        <v>5000</v>
      </c>
      <c r="N10" s="3" t="s">
        <v>1267</v>
      </c>
      <c r="S10" t="s">
        <v>20</v>
      </c>
    </row>
    <row r="11" spans="1:19" x14ac:dyDescent="0.35">
      <c r="A11" s="4">
        <v>45397</v>
      </c>
      <c r="B11" s="2" t="s">
        <v>1298</v>
      </c>
      <c r="D11" s="2" t="s">
        <v>81</v>
      </c>
      <c r="E11" s="2" t="s">
        <v>1299</v>
      </c>
      <c r="F11" s="5" t="str">
        <f t="shared" si="0"/>
        <v>N/F 77 CONSEJERIA DE VIVIENDA TRASP. E INFRAESTRUCTURA</v>
      </c>
      <c r="G11" s="12">
        <f t="shared" si="1"/>
        <v>718.19834710743805</v>
      </c>
      <c r="H11">
        <v>21</v>
      </c>
      <c r="I11" s="5">
        <f t="shared" si="2"/>
        <v>150.82165289256199</v>
      </c>
      <c r="J11" s="5">
        <f t="shared" si="3"/>
        <v>718.19834710743805</v>
      </c>
      <c r="L11" s="5">
        <f t="shared" si="4"/>
        <v>0</v>
      </c>
      <c r="M11" s="8">
        <v>869.02</v>
      </c>
      <c r="N11" s="3" t="s">
        <v>1718</v>
      </c>
      <c r="S11" t="s">
        <v>20</v>
      </c>
    </row>
    <row r="12" spans="1:19" x14ac:dyDescent="0.35">
      <c r="A12" s="4">
        <v>45397</v>
      </c>
      <c r="B12" s="2" t="s">
        <v>1300</v>
      </c>
      <c r="D12" s="2" t="s">
        <v>81</v>
      </c>
      <c r="E12" s="2" t="s">
        <v>1299</v>
      </c>
      <c r="F12" s="5" t="str">
        <f t="shared" si="0"/>
        <v>N/F 78 CONSEJERIA DE VIVIENDA TRASP. E INFRAESTRUCTURA</v>
      </c>
      <c r="G12" s="12">
        <f t="shared" si="1"/>
        <v>579.60330578512401</v>
      </c>
      <c r="H12">
        <v>21</v>
      </c>
      <c r="I12" s="5">
        <f t="shared" si="2"/>
        <v>121.71669421487604</v>
      </c>
      <c r="J12" s="5">
        <f t="shared" si="3"/>
        <v>579.60330578512401</v>
      </c>
      <c r="L12" s="5">
        <f t="shared" si="4"/>
        <v>0</v>
      </c>
      <c r="M12" s="8">
        <v>701.32</v>
      </c>
      <c r="N12" s="3" t="s">
        <v>1718</v>
      </c>
      <c r="S12" t="s">
        <v>20</v>
      </c>
    </row>
    <row r="13" spans="1:19" x14ac:dyDescent="0.35">
      <c r="A13" s="4">
        <v>45397</v>
      </c>
      <c r="B13" s="2" t="s">
        <v>1301</v>
      </c>
      <c r="D13" s="2" t="s">
        <v>81</v>
      </c>
      <c r="E13" s="2" t="s">
        <v>1299</v>
      </c>
      <c r="F13" s="5" t="str">
        <f t="shared" si="0"/>
        <v>N/F 79 CONSEJERIA DE VIVIENDA TRASP. E INFRAESTRUCTURA</v>
      </c>
      <c r="G13" s="12">
        <f t="shared" si="1"/>
        <v>359.09917355371903</v>
      </c>
      <c r="H13">
        <v>21</v>
      </c>
      <c r="I13" s="5">
        <f t="shared" si="2"/>
        <v>75.410826446280993</v>
      </c>
      <c r="J13" s="5">
        <f t="shared" si="3"/>
        <v>359.09917355371903</v>
      </c>
      <c r="L13" s="5">
        <f t="shared" si="4"/>
        <v>0</v>
      </c>
      <c r="M13" s="8">
        <v>434.51</v>
      </c>
      <c r="N13" s="3" t="s">
        <v>1719</v>
      </c>
      <c r="S13" t="s">
        <v>20</v>
      </c>
    </row>
    <row r="14" spans="1:19" x14ac:dyDescent="0.35">
      <c r="A14" s="4">
        <v>45404</v>
      </c>
      <c r="B14" s="2" t="s">
        <v>1351</v>
      </c>
      <c r="D14" s="2" t="s">
        <v>47</v>
      </c>
      <c r="E14" s="2" t="s">
        <v>31</v>
      </c>
      <c r="F14" s="5" t="str">
        <f t="shared" si="0"/>
        <v>N/F 80 MARTA REY ABAD</v>
      </c>
      <c r="G14" s="12">
        <f t="shared" si="1"/>
        <v>9402.6528925619823</v>
      </c>
      <c r="H14">
        <v>21</v>
      </c>
      <c r="I14" s="5">
        <f t="shared" si="2"/>
        <v>1974.5571074380164</v>
      </c>
      <c r="J14" s="5">
        <f t="shared" si="3"/>
        <v>9402.6528925619823</v>
      </c>
      <c r="L14" s="5">
        <f t="shared" si="4"/>
        <v>0</v>
      </c>
      <c r="M14" s="8">
        <v>11377.21</v>
      </c>
      <c r="N14" s="3" t="s">
        <v>1424</v>
      </c>
      <c r="S14" t="s">
        <v>20</v>
      </c>
    </row>
    <row r="15" spans="1:19" x14ac:dyDescent="0.35">
      <c r="A15" s="4">
        <v>45404</v>
      </c>
      <c r="B15" s="2" t="s">
        <v>1352</v>
      </c>
      <c r="D15" s="2" t="s">
        <v>47</v>
      </c>
      <c r="E15" s="2" t="s">
        <v>31</v>
      </c>
      <c r="F15" s="5" t="str">
        <f t="shared" si="0"/>
        <v>N/F 81 MARTA REY ABAD</v>
      </c>
      <c r="G15" s="12">
        <f t="shared" si="1"/>
        <v>8264.4628099173551</v>
      </c>
      <c r="H15">
        <v>21</v>
      </c>
      <c r="I15" s="5">
        <f t="shared" si="2"/>
        <v>1735.5371900826444</v>
      </c>
      <c r="J15" s="5">
        <f t="shared" si="3"/>
        <v>8264.4628099173551</v>
      </c>
      <c r="L15" s="5">
        <f t="shared" si="4"/>
        <v>0</v>
      </c>
      <c r="M15" s="8">
        <v>10000</v>
      </c>
      <c r="N15" s="3" t="s">
        <v>1330</v>
      </c>
      <c r="S15" t="s">
        <v>20</v>
      </c>
    </row>
    <row r="16" spans="1:19" x14ac:dyDescent="0.35">
      <c r="A16" s="4">
        <v>45404</v>
      </c>
      <c r="B16" s="2" t="s">
        <v>1353</v>
      </c>
      <c r="D16" s="2" t="s">
        <v>47</v>
      </c>
      <c r="E16" s="2" t="s">
        <v>31</v>
      </c>
      <c r="F16" s="5" t="str">
        <f t="shared" si="0"/>
        <v>N/F 82 MARTA REY ABAD</v>
      </c>
      <c r="G16" s="12">
        <f t="shared" si="1"/>
        <v>8264.4628099173551</v>
      </c>
      <c r="H16">
        <v>21</v>
      </c>
      <c r="I16" s="5">
        <f t="shared" si="2"/>
        <v>1735.5371900826444</v>
      </c>
      <c r="J16" s="5">
        <f t="shared" si="3"/>
        <v>8264.4628099173551</v>
      </c>
      <c r="L16" s="5">
        <f t="shared" si="4"/>
        <v>0</v>
      </c>
      <c r="M16" s="8">
        <v>10000</v>
      </c>
      <c r="N16" s="3" t="s">
        <v>1330</v>
      </c>
      <c r="S16" t="s">
        <v>20</v>
      </c>
    </row>
    <row r="17" spans="1:19" x14ac:dyDescent="0.35">
      <c r="A17" s="4">
        <v>45405</v>
      </c>
      <c r="B17" s="2" t="s">
        <v>1354</v>
      </c>
      <c r="D17" s="2" t="s">
        <v>1355</v>
      </c>
      <c r="E17" s="2" t="s">
        <v>1356</v>
      </c>
      <c r="F17" s="5" t="str">
        <f>CONCATENATE(S17,B17," ",E17)</f>
        <v>N/F 83 CPM PETRE ADAM</v>
      </c>
      <c r="G17" s="12">
        <f t="shared" si="1"/>
        <v>1998</v>
      </c>
      <c r="H17">
        <v>21</v>
      </c>
      <c r="I17" s="5">
        <f t="shared" si="2"/>
        <v>419.58</v>
      </c>
      <c r="J17" s="5">
        <f t="shared" si="3"/>
        <v>1998</v>
      </c>
      <c r="L17" s="5">
        <f t="shared" si="4"/>
        <v>0</v>
      </c>
      <c r="M17" s="8">
        <v>2417.58</v>
      </c>
      <c r="N17" s="3" t="s">
        <v>1361</v>
      </c>
      <c r="S17" t="s">
        <v>20</v>
      </c>
    </row>
    <row r="18" spans="1:19" x14ac:dyDescent="0.35">
      <c r="A18" s="4">
        <v>45405</v>
      </c>
      <c r="B18" s="2" t="s">
        <v>1357</v>
      </c>
      <c r="D18" s="2" t="s">
        <v>142</v>
      </c>
      <c r="E18" s="2" t="s">
        <v>129</v>
      </c>
      <c r="F18" s="5" t="str">
        <f t="shared" si="0"/>
        <v>N/F 84 LINOTEC SOLUCIONES TECNICAS SL</v>
      </c>
      <c r="G18" s="12">
        <f t="shared" si="1"/>
        <v>1557</v>
      </c>
      <c r="H18">
        <v>21</v>
      </c>
      <c r="I18" s="5">
        <f t="shared" si="2"/>
        <v>326.97000000000003</v>
      </c>
      <c r="J18" s="5">
        <f t="shared" si="3"/>
        <v>1557</v>
      </c>
      <c r="L18" s="5">
        <f t="shared" si="4"/>
        <v>0</v>
      </c>
      <c r="M18" s="8">
        <v>1883.97</v>
      </c>
      <c r="N18" s="3" t="s">
        <v>1381</v>
      </c>
      <c r="S18" t="s">
        <v>20</v>
      </c>
    </row>
    <row r="19" spans="1:19" x14ac:dyDescent="0.35">
      <c r="A19" s="4">
        <v>45405</v>
      </c>
      <c r="B19" s="2" t="s">
        <v>1358</v>
      </c>
      <c r="D19" s="2" t="s">
        <v>1359</v>
      </c>
      <c r="E19" s="2" t="s">
        <v>1360</v>
      </c>
      <c r="F19" s="5" t="str">
        <f t="shared" si="0"/>
        <v>N/F 85 PARQUETS FLOTANTES BURGOS SL</v>
      </c>
      <c r="G19" s="12">
        <f t="shared" si="1"/>
        <v>4251.2975206611573</v>
      </c>
      <c r="H19">
        <v>21</v>
      </c>
      <c r="I19" s="5">
        <f t="shared" si="2"/>
        <v>892.77247933884291</v>
      </c>
      <c r="J19" s="5">
        <f t="shared" si="3"/>
        <v>4251.2975206611573</v>
      </c>
      <c r="L19" s="5">
        <f t="shared" si="4"/>
        <v>0</v>
      </c>
      <c r="M19" s="8">
        <v>5144.07</v>
      </c>
      <c r="N19" s="3" t="s">
        <v>1396</v>
      </c>
      <c r="S19" t="s">
        <v>20</v>
      </c>
    </row>
    <row r="20" spans="1:19" x14ac:dyDescent="0.35">
      <c r="A20" s="4">
        <v>45405</v>
      </c>
      <c r="B20" s="2" t="s">
        <v>1313</v>
      </c>
      <c r="D20" s="2" t="s">
        <v>142</v>
      </c>
      <c r="E20" s="2" t="s">
        <v>129</v>
      </c>
      <c r="F20" s="5" t="str">
        <f t="shared" si="0"/>
        <v>N/F 86 LINOTEC SOLUCIONES TECNICAS SL</v>
      </c>
      <c r="G20" s="12">
        <f t="shared" si="1"/>
        <v>5392.1</v>
      </c>
      <c r="H20">
        <v>0</v>
      </c>
      <c r="I20" s="5">
        <f t="shared" si="2"/>
        <v>0</v>
      </c>
      <c r="J20" s="5">
        <f t="shared" si="3"/>
        <v>5392.1</v>
      </c>
      <c r="L20" s="5">
        <f t="shared" si="4"/>
        <v>0</v>
      </c>
      <c r="M20" s="8">
        <v>5392.1</v>
      </c>
      <c r="N20" s="3" t="s">
        <v>1381</v>
      </c>
      <c r="S20" t="s">
        <v>20</v>
      </c>
    </row>
    <row r="21" spans="1:19" x14ac:dyDescent="0.35">
      <c r="A21" s="4">
        <v>45411</v>
      </c>
      <c r="B21" s="2" t="s">
        <v>1376</v>
      </c>
      <c r="D21" s="2" t="s">
        <v>48</v>
      </c>
      <c r="E21" s="2" t="s">
        <v>1192</v>
      </c>
      <c r="F21" s="5" t="str">
        <f t="shared" si="0"/>
        <v>N/F 87 DOFITEC SOLUCIONES INTEGRALES SL</v>
      </c>
      <c r="G21" s="12">
        <f t="shared" si="1"/>
        <v>6944.3388429752067</v>
      </c>
      <c r="H21">
        <v>21</v>
      </c>
      <c r="I21" s="5">
        <f t="shared" si="2"/>
        <v>1458.3111570247936</v>
      </c>
      <c r="J21" s="5">
        <f t="shared" si="3"/>
        <v>6944.3388429752067</v>
      </c>
      <c r="L21" s="5">
        <f t="shared" si="4"/>
        <v>0</v>
      </c>
      <c r="M21" s="8">
        <v>8402.65</v>
      </c>
      <c r="N21" s="3" t="s">
        <v>1584</v>
      </c>
      <c r="S21" t="s">
        <v>20</v>
      </c>
    </row>
    <row r="22" spans="1:19" x14ac:dyDescent="0.35">
      <c r="A22" s="4">
        <v>45411</v>
      </c>
      <c r="B22" s="2" t="s">
        <v>1377</v>
      </c>
      <c r="D22" s="2" t="s">
        <v>48</v>
      </c>
      <c r="E22" s="2" t="s">
        <v>1192</v>
      </c>
      <c r="F22" s="5" t="str">
        <f t="shared" si="0"/>
        <v>N/F 88 DOFITEC SOLUCIONES INTEGRALES SL</v>
      </c>
      <c r="G22" s="12">
        <f t="shared" si="1"/>
        <v>20000</v>
      </c>
      <c r="H22">
        <v>21</v>
      </c>
      <c r="I22" s="5">
        <f t="shared" si="2"/>
        <v>4200</v>
      </c>
      <c r="J22" s="5">
        <f t="shared" si="3"/>
        <v>20000</v>
      </c>
      <c r="L22" s="5">
        <f t="shared" si="4"/>
        <v>0</v>
      </c>
      <c r="M22" s="8">
        <v>24200</v>
      </c>
      <c r="N22" s="3" t="s">
        <v>1584</v>
      </c>
      <c r="R22" s="3"/>
      <c r="S22" t="s">
        <v>20</v>
      </c>
    </row>
    <row r="23" spans="1:19" x14ac:dyDescent="0.35">
      <c r="A23" s="4">
        <v>45411</v>
      </c>
      <c r="B23" s="2" t="s">
        <v>1378</v>
      </c>
      <c r="D23" s="2" t="s">
        <v>1379</v>
      </c>
      <c r="E23" s="2" t="s">
        <v>1380</v>
      </c>
      <c r="F23" s="5" t="str">
        <f t="shared" si="0"/>
        <v>N/F 89 DECORACIONES J. GARCIA S.L.</v>
      </c>
      <c r="G23" s="12">
        <f t="shared" si="1"/>
        <v>959.00000000000011</v>
      </c>
      <c r="H23">
        <v>21</v>
      </c>
      <c r="I23" s="5">
        <f t="shared" si="2"/>
        <v>201.39000000000004</v>
      </c>
      <c r="J23" s="5">
        <f t="shared" si="3"/>
        <v>959.00000000000011</v>
      </c>
      <c r="L23" s="5">
        <f t="shared" si="4"/>
        <v>0</v>
      </c>
      <c r="M23" s="8">
        <v>1160.3900000000001</v>
      </c>
      <c r="N23" s="3" t="s">
        <v>1397</v>
      </c>
      <c r="S23" t="s">
        <v>20</v>
      </c>
    </row>
    <row r="24" spans="1:19" x14ac:dyDescent="0.35">
      <c r="A24" s="4">
        <v>45411</v>
      </c>
      <c r="B24" s="2" t="s">
        <v>1419</v>
      </c>
      <c r="D24" s="2" t="s">
        <v>47</v>
      </c>
      <c r="E24" s="2" t="s">
        <v>31</v>
      </c>
      <c r="F24" s="5" t="str">
        <f t="shared" si="0"/>
        <v>N/F 90 MARTA REY ABAD</v>
      </c>
      <c r="G24" s="12">
        <f t="shared" si="1"/>
        <v>8704.5041322314064</v>
      </c>
      <c r="H24">
        <v>21</v>
      </c>
      <c r="I24" s="5">
        <f t="shared" si="2"/>
        <v>1827.9458677685952</v>
      </c>
      <c r="J24" s="5">
        <f t="shared" si="3"/>
        <v>8704.5041322314064</v>
      </c>
      <c r="L24" s="5">
        <f t="shared" si="4"/>
        <v>0</v>
      </c>
      <c r="M24" s="8">
        <v>10532.45</v>
      </c>
      <c r="N24" s="3" t="s">
        <v>1424</v>
      </c>
      <c r="S24" t="s">
        <v>20</v>
      </c>
    </row>
    <row r="25" spans="1:19" x14ac:dyDescent="0.35">
      <c r="A25" s="4">
        <v>45419</v>
      </c>
      <c r="B25" s="2" t="s">
        <v>1420</v>
      </c>
      <c r="D25" s="2" t="s">
        <v>1421</v>
      </c>
      <c r="E25" s="2" t="s">
        <v>1422</v>
      </c>
      <c r="F25" s="5" t="str">
        <f t="shared" si="0"/>
        <v>N/F 91 ISABEL RODRIGUEZ ENRIQUEZ</v>
      </c>
      <c r="G25" s="12">
        <f t="shared" si="1"/>
        <v>471.70247933884298</v>
      </c>
      <c r="H25">
        <v>21</v>
      </c>
      <c r="I25" s="5">
        <f t="shared" si="2"/>
        <v>99.057520661157028</v>
      </c>
      <c r="J25" s="5">
        <f t="shared" si="3"/>
        <v>471.70247933884298</v>
      </c>
      <c r="L25" s="5">
        <f t="shared" si="4"/>
        <v>0</v>
      </c>
      <c r="M25" s="8">
        <v>570.76</v>
      </c>
      <c r="N25" s="3" t="s">
        <v>1424</v>
      </c>
      <c r="S25" t="s">
        <v>20</v>
      </c>
    </row>
    <row r="26" spans="1:19" x14ac:dyDescent="0.35">
      <c r="A26" s="4">
        <v>45421</v>
      </c>
      <c r="B26" s="2" t="s">
        <v>1423</v>
      </c>
      <c r="D26" s="2" t="s">
        <v>283</v>
      </c>
      <c r="E26" s="2" t="s">
        <v>1240</v>
      </c>
      <c r="F26" s="5" t="str">
        <f t="shared" si="0"/>
        <v>N/F 92 C.P. CRISTO DE LA SALUD</v>
      </c>
      <c r="G26" s="12">
        <f t="shared" si="1"/>
        <v>1295.0454545454545</v>
      </c>
      <c r="H26">
        <v>10</v>
      </c>
      <c r="I26" s="5">
        <f t="shared" si="2"/>
        <v>129.50454545454545</v>
      </c>
      <c r="J26" s="5">
        <f t="shared" si="3"/>
        <v>1295.0454545454545</v>
      </c>
      <c r="L26" s="5">
        <f t="shared" si="4"/>
        <v>0</v>
      </c>
      <c r="M26" s="8">
        <v>1424.55</v>
      </c>
      <c r="N26" s="3" t="s">
        <v>1608</v>
      </c>
      <c r="S26" t="s">
        <v>20</v>
      </c>
    </row>
    <row r="27" spans="1:19" x14ac:dyDescent="0.35">
      <c r="A27" s="4">
        <v>45422</v>
      </c>
      <c r="B27" s="2" t="s">
        <v>1558</v>
      </c>
      <c r="D27" s="2" t="s">
        <v>81</v>
      </c>
      <c r="E27" s="2" t="s">
        <v>1299</v>
      </c>
      <c r="F27" s="5" t="str">
        <f t="shared" si="0"/>
        <v>N/F 93 CONSEJERIA DE VIVIENDA TRASP. E INFRAESTRUCTURA</v>
      </c>
      <c r="G27" s="12">
        <f t="shared" si="1"/>
        <v>718.19834710743805</v>
      </c>
      <c r="H27">
        <v>21</v>
      </c>
      <c r="I27" s="5">
        <f t="shared" si="2"/>
        <v>150.82165289256199</v>
      </c>
      <c r="J27" s="5">
        <f t="shared" si="3"/>
        <v>718.19834710743805</v>
      </c>
      <c r="L27" s="5">
        <f t="shared" si="4"/>
        <v>0</v>
      </c>
      <c r="M27" s="8">
        <v>869.02</v>
      </c>
      <c r="N27" s="3" t="s">
        <v>1825</v>
      </c>
      <c r="S27" t="s">
        <v>20</v>
      </c>
    </row>
    <row r="28" spans="1:19" x14ac:dyDescent="0.35">
      <c r="A28" s="4">
        <v>45422</v>
      </c>
      <c r="B28" s="2" t="s">
        <v>1559</v>
      </c>
      <c r="D28" s="2" t="s">
        <v>81</v>
      </c>
      <c r="E28" s="2" t="s">
        <v>1299</v>
      </c>
      <c r="F28" s="5" t="str">
        <f t="shared" si="0"/>
        <v>N/F 94 CONSEJERIA DE VIVIENDA TRASP. E INFRAESTRUCTURA</v>
      </c>
      <c r="G28" s="12">
        <f t="shared" si="1"/>
        <v>579.60330578512401</v>
      </c>
      <c r="H28">
        <v>21</v>
      </c>
      <c r="I28" s="5">
        <f t="shared" si="2"/>
        <v>121.71669421487604</v>
      </c>
      <c r="J28" s="5">
        <f t="shared" si="3"/>
        <v>579.60330578512401</v>
      </c>
      <c r="L28" s="5">
        <f t="shared" si="4"/>
        <v>0</v>
      </c>
      <c r="M28" s="8">
        <v>701.32</v>
      </c>
      <c r="N28" s="3" t="s">
        <v>1851</v>
      </c>
      <c r="S28" t="s">
        <v>20</v>
      </c>
    </row>
    <row r="29" spans="1:19" x14ac:dyDescent="0.35">
      <c r="A29" s="4">
        <v>45422</v>
      </c>
      <c r="B29" s="2" t="s">
        <v>1560</v>
      </c>
      <c r="D29" s="2" t="s">
        <v>81</v>
      </c>
      <c r="E29" s="2" t="s">
        <v>1299</v>
      </c>
      <c r="F29" s="5" t="str">
        <f t="shared" si="0"/>
        <v>N/F 95 CONSEJERIA DE VIVIENDA TRASP. E INFRAESTRUCTURA</v>
      </c>
      <c r="G29" s="12">
        <f t="shared" si="1"/>
        <v>359.09917355371903</v>
      </c>
      <c r="H29">
        <v>21</v>
      </c>
      <c r="I29" s="5">
        <f t="shared" si="2"/>
        <v>75.410826446280993</v>
      </c>
      <c r="J29" s="5">
        <f t="shared" si="3"/>
        <v>359.09917355371903</v>
      </c>
      <c r="L29" s="5">
        <f t="shared" si="4"/>
        <v>0</v>
      </c>
      <c r="M29" s="8">
        <v>434.51</v>
      </c>
      <c r="N29" s="3" t="s">
        <v>1838</v>
      </c>
      <c r="S29" t="s">
        <v>20</v>
      </c>
    </row>
    <row r="30" spans="1:19" x14ac:dyDescent="0.35">
      <c r="A30" s="4">
        <v>45426</v>
      </c>
      <c r="B30" s="2" t="s">
        <v>1587</v>
      </c>
      <c r="D30" s="2" t="s">
        <v>251</v>
      </c>
      <c r="E30" s="2" t="s">
        <v>304</v>
      </c>
      <c r="F30" s="5" t="str">
        <f t="shared" si="0"/>
        <v>N/F 96 BERTA MARTINEZ DELGADO</v>
      </c>
      <c r="G30" s="12">
        <f t="shared" si="1"/>
        <v>5857.3966942148763</v>
      </c>
      <c r="H30">
        <v>21</v>
      </c>
      <c r="I30" s="5">
        <f t="shared" si="2"/>
        <v>1230.0533057851239</v>
      </c>
      <c r="J30" s="5">
        <f t="shared" si="3"/>
        <v>5857.3966942148763</v>
      </c>
      <c r="L30" s="5">
        <f t="shared" si="4"/>
        <v>0</v>
      </c>
      <c r="M30" s="8">
        <v>7087.45</v>
      </c>
      <c r="N30" s="3" t="s">
        <v>1588</v>
      </c>
      <c r="S30" t="s">
        <v>20</v>
      </c>
    </row>
    <row r="31" spans="1:19" x14ac:dyDescent="0.35">
      <c r="A31" s="4">
        <v>45426</v>
      </c>
      <c r="B31" s="2" t="s">
        <v>1589</v>
      </c>
      <c r="D31" s="2" t="s">
        <v>47</v>
      </c>
      <c r="E31" s="2" t="s">
        <v>31</v>
      </c>
      <c r="F31" s="5" t="str">
        <f t="shared" si="0"/>
        <v>N/F 97 MARTA REY ABAD</v>
      </c>
      <c r="G31" s="12">
        <f t="shared" si="1"/>
        <v>3240.0991735537191</v>
      </c>
      <c r="H31">
        <v>21</v>
      </c>
      <c r="I31" s="5">
        <f t="shared" si="2"/>
        <v>680.42082644628101</v>
      </c>
      <c r="J31" s="5">
        <f t="shared" si="3"/>
        <v>3240.0991735537191</v>
      </c>
      <c r="L31" s="5">
        <f t="shared" si="4"/>
        <v>0</v>
      </c>
      <c r="M31" s="8">
        <v>3920.52</v>
      </c>
      <c r="N31" s="3" t="s">
        <v>2088</v>
      </c>
      <c r="O31" s="3" t="s">
        <v>2106</v>
      </c>
      <c r="S31" t="s">
        <v>20</v>
      </c>
    </row>
    <row r="32" spans="1:19" x14ac:dyDescent="0.35">
      <c r="A32" s="4">
        <v>45433</v>
      </c>
      <c r="B32" s="2" t="s">
        <v>1600</v>
      </c>
      <c r="D32" s="2" t="s">
        <v>1601</v>
      </c>
      <c r="E32" s="2" t="s">
        <v>1602</v>
      </c>
      <c r="F32" s="5" t="str">
        <f t="shared" si="0"/>
        <v>N/F 98 DISTRIBUCIONES GARVIC S.L.</v>
      </c>
      <c r="G32" s="12">
        <f t="shared" si="1"/>
        <v>584</v>
      </c>
      <c r="H32">
        <v>21</v>
      </c>
      <c r="I32" s="5">
        <f t="shared" si="2"/>
        <v>122.64</v>
      </c>
      <c r="J32" s="5">
        <f t="shared" si="3"/>
        <v>584</v>
      </c>
      <c r="L32" s="5">
        <f t="shared" si="4"/>
        <v>0</v>
      </c>
      <c r="M32" s="8">
        <v>706.64</v>
      </c>
      <c r="N32" s="3" t="s">
        <v>1603</v>
      </c>
      <c r="S32" t="s">
        <v>20</v>
      </c>
    </row>
    <row r="33" spans="1:19" x14ac:dyDescent="0.35">
      <c r="A33" s="4">
        <v>45435</v>
      </c>
      <c r="B33" s="2" t="s">
        <v>1607</v>
      </c>
      <c r="D33" s="2" t="s">
        <v>47</v>
      </c>
      <c r="E33" s="2" t="s">
        <v>31</v>
      </c>
      <c r="F33" s="5" t="str">
        <f t="shared" si="0"/>
        <v>99 MARTA REY ABAD</v>
      </c>
      <c r="G33" s="12">
        <f t="shared" si="1"/>
        <v>16528.92561983471</v>
      </c>
      <c r="H33">
        <v>21</v>
      </c>
      <c r="I33" s="5">
        <f t="shared" si="2"/>
        <v>3471.0743801652889</v>
      </c>
      <c r="J33" s="5">
        <f t="shared" si="3"/>
        <v>16528.92561983471</v>
      </c>
      <c r="L33" s="5">
        <f t="shared" si="4"/>
        <v>0</v>
      </c>
      <c r="M33" s="8">
        <v>20000</v>
      </c>
      <c r="N33" s="3" t="s">
        <v>1608</v>
      </c>
    </row>
    <row r="34" spans="1:19" x14ac:dyDescent="0.35">
      <c r="A34" s="4">
        <v>45440</v>
      </c>
      <c r="B34" s="2" t="s">
        <v>1668</v>
      </c>
      <c r="D34" s="2" t="s">
        <v>23</v>
      </c>
      <c r="E34" s="2" t="s">
        <v>122</v>
      </c>
      <c r="F34" s="5" t="str">
        <f t="shared" si="0"/>
        <v>100 PINTOCOLORS</v>
      </c>
      <c r="G34" s="12">
        <f t="shared" si="1"/>
        <v>75</v>
      </c>
      <c r="H34">
        <v>21</v>
      </c>
      <c r="I34" s="5">
        <f t="shared" si="2"/>
        <v>15.75</v>
      </c>
      <c r="J34" s="5">
        <f t="shared" si="3"/>
        <v>75</v>
      </c>
      <c r="L34" s="5">
        <f t="shared" si="4"/>
        <v>0</v>
      </c>
      <c r="M34" s="8">
        <v>90.75</v>
      </c>
      <c r="N34" s="3" t="s">
        <v>64</v>
      </c>
    </row>
    <row r="35" spans="1:19" x14ac:dyDescent="0.35">
      <c r="A35" s="4">
        <v>45442</v>
      </c>
      <c r="B35" s="2" t="s">
        <v>1669</v>
      </c>
      <c r="D35" s="2" t="s">
        <v>1670</v>
      </c>
      <c r="E35" s="2" t="s">
        <v>1671</v>
      </c>
      <c r="F35" s="5" t="str">
        <f t="shared" si="0"/>
        <v>N/F 101 GEORGEL LAZAR</v>
      </c>
      <c r="G35" s="12">
        <f t="shared" si="1"/>
        <v>2090</v>
      </c>
      <c r="H35">
        <v>21</v>
      </c>
      <c r="I35" s="5">
        <f t="shared" si="2"/>
        <v>438.9</v>
      </c>
      <c r="J35" s="5">
        <f t="shared" si="3"/>
        <v>2090</v>
      </c>
      <c r="L35" s="5">
        <f t="shared" si="4"/>
        <v>0</v>
      </c>
      <c r="M35" s="8">
        <v>2528.9</v>
      </c>
      <c r="N35" s="3" t="s">
        <v>1714</v>
      </c>
      <c r="S35" t="s">
        <v>20</v>
      </c>
    </row>
    <row r="36" spans="1:19" x14ac:dyDescent="0.35">
      <c r="A36" s="4">
        <v>45442</v>
      </c>
      <c r="B36" s="2" t="s">
        <v>1672</v>
      </c>
      <c r="D36" s="2" t="s">
        <v>263</v>
      </c>
      <c r="E36" s="2" t="s">
        <v>264</v>
      </c>
      <c r="F36" s="5" t="str">
        <f t="shared" si="0"/>
        <v>N/F 102 MQF SL</v>
      </c>
      <c r="G36" s="12">
        <f t="shared" si="1"/>
        <v>2457</v>
      </c>
      <c r="H36">
        <v>0</v>
      </c>
      <c r="I36" s="5">
        <f t="shared" si="2"/>
        <v>0</v>
      </c>
      <c r="J36" s="5">
        <f t="shared" si="3"/>
        <v>2457</v>
      </c>
      <c r="L36" s="5">
        <f t="shared" si="4"/>
        <v>0</v>
      </c>
      <c r="M36" s="8">
        <v>2457</v>
      </c>
      <c r="N36" s="3" t="s">
        <v>1719</v>
      </c>
      <c r="S36" t="s">
        <v>20</v>
      </c>
    </row>
    <row r="37" spans="1:19" x14ac:dyDescent="0.35">
      <c r="A37" s="4">
        <v>45442</v>
      </c>
      <c r="B37" s="2" t="s">
        <v>1673</v>
      </c>
      <c r="D37" s="2" t="s">
        <v>1379</v>
      </c>
      <c r="E37" s="2" t="s">
        <v>1380</v>
      </c>
      <c r="F37" s="5" t="str">
        <f t="shared" si="0"/>
        <v>N/F 103 DECORACIONES J. GARCIA S.L.</v>
      </c>
      <c r="G37" s="12">
        <f t="shared" si="1"/>
        <v>500</v>
      </c>
      <c r="H37">
        <v>21</v>
      </c>
      <c r="I37" s="5">
        <f t="shared" si="2"/>
        <v>105</v>
      </c>
      <c r="J37" s="5">
        <f t="shared" si="3"/>
        <v>500</v>
      </c>
      <c r="L37" s="5">
        <f t="shared" si="4"/>
        <v>0</v>
      </c>
      <c r="M37" s="8">
        <v>605</v>
      </c>
      <c r="N37" s="3" t="s">
        <v>1687</v>
      </c>
      <c r="S37" t="s">
        <v>20</v>
      </c>
    </row>
    <row r="38" spans="1:19" x14ac:dyDescent="0.35">
      <c r="A38" s="4">
        <v>45443</v>
      </c>
      <c r="B38" s="2" t="s">
        <v>1675</v>
      </c>
      <c r="D38" s="2" t="s">
        <v>142</v>
      </c>
      <c r="E38" s="2" t="s">
        <v>129</v>
      </c>
      <c r="F38" s="5" t="str">
        <f t="shared" si="0"/>
        <v>N/F 104 LINOTEC SOLUCIONES TECNICAS SL</v>
      </c>
      <c r="G38" s="12">
        <f t="shared" si="1"/>
        <v>7965.3636363636369</v>
      </c>
      <c r="H38">
        <v>21</v>
      </c>
      <c r="I38" s="5">
        <f t="shared" si="2"/>
        <v>1672.7263636363639</v>
      </c>
      <c r="J38" s="5">
        <f t="shared" si="3"/>
        <v>7965.3636363636369</v>
      </c>
      <c r="L38" s="5">
        <f t="shared" si="4"/>
        <v>0</v>
      </c>
      <c r="M38" s="8">
        <v>9638.09</v>
      </c>
      <c r="N38" s="3" t="s">
        <v>1720</v>
      </c>
      <c r="S38" t="s">
        <v>20</v>
      </c>
    </row>
    <row r="39" spans="1:19" x14ac:dyDescent="0.35">
      <c r="A39" s="4">
        <v>45443</v>
      </c>
      <c r="B39" s="2" t="s">
        <v>1683</v>
      </c>
      <c r="D39" s="2" t="s">
        <v>142</v>
      </c>
      <c r="E39" s="2" t="s">
        <v>129</v>
      </c>
      <c r="F39" s="5" t="str">
        <f t="shared" si="0"/>
        <v>N/F 105 LINOTEC SOLUCIONES TECNICAS SL</v>
      </c>
      <c r="G39" s="12">
        <f t="shared" si="1"/>
        <v>4620</v>
      </c>
      <c r="H39">
        <v>0</v>
      </c>
      <c r="I39" s="5">
        <f t="shared" si="2"/>
        <v>0</v>
      </c>
      <c r="J39" s="5">
        <f t="shared" si="3"/>
        <v>4620</v>
      </c>
      <c r="L39" s="5">
        <f t="shared" si="4"/>
        <v>0</v>
      </c>
      <c r="M39" s="8">
        <v>4620</v>
      </c>
      <c r="N39" s="3" t="s">
        <v>1719</v>
      </c>
      <c r="S39" t="s">
        <v>20</v>
      </c>
    </row>
    <row r="40" spans="1:19" x14ac:dyDescent="0.35">
      <c r="A40" s="4">
        <v>45447</v>
      </c>
      <c r="B40" s="2" t="s">
        <v>1711</v>
      </c>
      <c r="D40" s="2" t="s">
        <v>1712</v>
      </c>
      <c r="E40" s="2" t="s">
        <v>1713</v>
      </c>
      <c r="F40" s="5" t="str">
        <f t="shared" si="0"/>
        <v>N/F 106 C.P. BELGICA 21-47</v>
      </c>
      <c r="G40" s="12">
        <f t="shared" si="1"/>
        <v>240</v>
      </c>
      <c r="H40">
        <v>21</v>
      </c>
      <c r="I40" s="5">
        <f t="shared" si="2"/>
        <v>50.4</v>
      </c>
      <c r="J40" s="5">
        <f t="shared" si="3"/>
        <v>240</v>
      </c>
      <c r="L40" s="5">
        <f t="shared" si="4"/>
        <v>0</v>
      </c>
      <c r="M40" s="8">
        <v>290.39999999999998</v>
      </c>
      <c r="N40" s="3" t="s">
        <v>1985</v>
      </c>
      <c r="S40" t="s">
        <v>20</v>
      </c>
    </row>
    <row r="41" spans="1:19" x14ac:dyDescent="0.35">
      <c r="A41" s="4">
        <v>45447</v>
      </c>
      <c r="B41" s="2" t="s">
        <v>1715</v>
      </c>
      <c r="D41" s="2" t="s">
        <v>81</v>
      </c>
      <c r="E41" s="2" t="s">
        <v>1299</v>
      </c>
      <c r="F41" s="5" t="str">
        <f t="shared" si="0"/>
        <v>N/F 107 CONSEJERIA DE VIVIENDA TRASP. E INFRAESTRUCTURA</v>
      </c>
      <c r="G41" s="12">
        <f t="shared" si="1"/>
        <v>718.19834710743805</v>
      </c>
      <c r="H41">
        <v>21</v>
      </c>
      <c r="I41" s="5">
        <f t="shared" si="2"/>
        <v>150.82165289256199</v>
      </c>
      <c r="J41" s="5">
        <f t="shared" si="3"/>
        <v>718.19834710743805</v>
      </c>
      <c r="L41" s="5">
        <f t="shared" si="4"/>
        <v>0</v>
      </c>
      <c r="M41" s="8">
        <v>869.02</v>
      </c>
      <c r="N41" s="3" t="s">
        <v>2105</v>
      </c>
      <c r="S41" t="s">
        <v>20</v>
      </c>
    </row>
    <row r="42" spans="1:19" x14ac:dyDescent="0.35">
      <c r="A42" s="4">
        <v>45447</v>
      </c>
      <c r="B42" s="2" t="s">
        <v>1716</v>
      </c>
      <c r="D42" s="2" t="s">
        <v>81</v>
      </c>
      <c r="E42" s="2" t="s">
        <v>1299</v>
      </c>
      <c r="F42" s="5" t="str">
        <f t="shared" si="0"/>
        <v>N/F 108 CONSEJERIA DE VIVIENDA TRASP. E INFRAESTRUCTURA</v>
      </c>
      <c r="G42" s="12">
        <f t="shared" si="1"/>
        <v>579.60330578512401</v>
      </c>
      <c r="H42">
        <v>21</v>
      </c>
      <c r="I42" s="5">
        <f t="shared" si="2"/>
        <v>121.71669421487604</v>
      </c>
      <c r="J42" s="5">
        <f t="shared" si="3"/>
        <v>579.60330578512401</v>
      </c>
      <c r="L42" s="5">
        <f t="shared" si="4"/>
        <v>0</v>
      </c>
      <c r="M42" s="8">
        <v>701.32</v>
      </c>
      <c r="N42" s="3" t="s">
        <v>2105</v>
      </c>
      <c r="S42" t="s">
        <v>20</v>
      </c>
    </row>
    <row r="43" spans="1:19" x14ac:dyDescent="0.35">
      <c r="A43" s="4">
        <v>45447</v>
      </c>
      <c r="B43" s="2" t="s">
        <v>1717</v>
      </c>
      <c r="D43" s="2" t="s">
        <v>81</v>
      </c>
      <c r="E43" s="2" t="s">
        <v>1299</v>
      </c>
      <c r="F43" s="5" t="str">
        <f t="shared" si="0"/>
        <v>N/F 109 CONSEJERIA DE VIVIENDA TRASP. E INFRAESTRUCTURA</v>
      </c>
      <c r="G43" s="12">
        <f t="shared" si="1"/>
        <v>359.09917355371903</v>
      </c>
      <c r="H43">
        <v>21</v>
      </c>
      <c r="I43" s="5">
        <f t="shared" si="2"/>
        <v>75.410826446280993</v>
      </c>
      <c r="J43" s="5">
        <f t="shared" si="3"/>
        <v>359.09917355371903</v>
      </c>
      <c r="L43" s="5">
        <f t="shared" si="4"/>
        <v>0</v>
      </c>
      <c r="M43" s="8">
        <v>434.51</v>
      </c>
      <c r="N43" s="3" t="s">
        <v>2409</v>
      </c>
      <c r="S43" t="s">
        <v>20</v>
      </c>
    </row>
    <row r="44" spans="1:19" x14ac:dyDescent="0.35">
      <c r="A44" s="4">
        <v>45448</v>
      </c>
      <c r="B44" s="2" t="s">
        <v>1745</v>
      </c>
      <c r="D44" s="2" t="s">
        <v>47</v>
      </c>
      <c r="E44" s="2" t="s">
        <v>31</v>
      </c>
      <c r="F44" s="5" t="str">
        <f t="shared" si="0"/>
        <v>N/F 110 MARTA REY ABAD</v>
      </c>
      <c r="G44" s="12">
        <f t="shared" si="1"/>
        <v>1354.0495867768595</v>
      </c>
      <c r="H44">
        <v>21</v>
      </c>
      <c r="I44" s="5">
        <f t="shared" si="2"/>
        <v>284.35041322314049</v>
      </c>
      <c r="J44" s="5">
        <f t="shared" si="3"/>
        <v>1354.0495867768595</v>
      </c>
      <c r="L44" s="5">
        <f t="shared" si="4"/>
        <v>0</v>
      </c>
      <c r="M44" s="8">
        <v>1638.4</v>
      </c>
      <c r="N44" s="3" t="s">
        <v>1765</v>
      </c>
      <c r="S44" t="s">
        <v>20</v>
      </c>
    </row>
    <row r="45" spans="1:19" x14ac:dyDescent="0.35">
      <c r="A45" s="4">
        <v>45453</v>
      </c>
      <c r="B45" s="2" t="s">
        <v>1742</v>
      </c>
      <c r="D45" s="2" t="s">
        <v>1743</v>
      </c>
      <c r="E45" s="2" t="s">
        <v>1744</v>
      </c>
      <c r="F45" s="5" t="str">
        <f t="shared" si="0"/>
        <v>N/F 111 NILOOFAR TOCHAI SAFAI</v>
      </c>
      <c r="G45" s="12">
        <f t="shared" si="1"/>
        <v>14359.618181818181</v>
      </c>
      <c r="H45">
        <v>10</v>
      </c>
      <c r="I45" s="5">
        <f t="shared" si="2"/>
        <v>1435.9618181818182</v>
      </c>
      <c r="J45" s="5">
        <f t="shared" si="3"/>
        <v>14359.618181818181</v>
      </c>
      <c r="L45" s="5">
        <f t="shared" si="4"/>
        <v>0</v>
      </c>
      <c r="M45" s="8">
        <v>15795.58</v>
      </c>
      <c r="N45" s="3" t="s">
        <v>1750</v>
      </c>
      <c r="S45" t="s">
        <v>20</v>
      </c>
    </row>
    <row r="46" spans="1:19" x14ac:dyDescent="0.35">
      <c r="A46" s="4">
        <v>45455</v>
      </c>
      <c r="B46" s="2" t="s">
        <v>1751</v>
      </c>
      <c r="D46" s="2" t="s">
        <v>1421</v>
      </c>
      <c r="E46" s="2" t="s">
        <v>1422</v>
      </c>
      <c r="F46" s="5" t="str">
        <f t="shared" si="0"/>
        <v>N/F 112 ISABEL RODRIGUEZ ENRIQUEZ</v>
      </c>
      <c r="G46" s="12">
        <f t="shared" si="1"/>
        <v>2421.0991735537191</v>
      </c>
      <c r="H46">
        <v>21</v>
      </c>
      <c r="I46" s="5">
        <f t="shared" si="2"/>
        <v>508.430826446281</v>
      </c>
      <c r="J46" s="5">
        <f t="shared" si="3"/>
        <v>2421.0991735537191</v>
      </c>
      <c r="L46" s="5">
        <f t="shared" si="4"/>
        <v>0</v>
      </c>
      <c r="M46" s="8">
        <v>2929.53</v>
      </c>
      <c r="N46" s="3" t="s">
        <v>1838</v>
      </c>
      <c r="S46" t="s">
        <v>20</v>
      </c>
    </row>
    <row r="47" spans="1:19" x14ac:dyDescent="0.35">
      <c r="A47" s="4">
        <v>45460</v>
      </c>
      <c r="B47" s="2" t="s">
        <v>1767</v>
      </c>
      <c r="D47" s="2" t="s">
        <v>784</v>
      </c>
      <c r="E47" s="2" t="s">
        <v>1768</v>
      </c>
      <c r="F47" s="5" t="str">
        <f t="shared" si="0"/>
        <v xml:space="preserve">N/F 113 ESTRUCTURAS METALTIM </v>
      </c>
      <c r="G47" s="12">
        <f t="shared" si="1"/>
        <v>1524.7933884297522</v>
      </c>
      <c r="H47">
        <v>21</v>
      </c>
      <c r="I47" s="5">
        <f t="shared" si="2"/>
        <v>320.20661157024796</v>
      </c>
      <c r="J47" s="5">
        <f t="shared" si="3"/>
        <v>1524.7933884297522</v>
      </c>
      <c r="L47" s="5">
        <f t="shared" si="4"/>
        <v>0</v>
      </c>
      <c r="M47" s="8">
        <v>1845</v>
      </c>
      <c r="N47" s="3" t="s">
        <v>2105</v>
      </c>
      <c r="S47" t="s">
        <v>20</v>
      </c>
    </row>
    <row r="48" spans="1:19" x14ac:dyDescent="0.35">
      <c r="A48" s="4">
        <v>45461</v>
      </c>
      <c r="B48" s="2" t="s">
        <v>1769</v>
      </c>
      <c r="D48" s="2" t="s">
        <v>48</v>
      </c>
      <c r="E48" s="2" t="s">
        <v>1192</v>
      </c>
      <c r="F48" s="5" t="str">
        <f t="shared" si="0"/>
        <v>N/F 114 DOFITEC SOLUCIONES INTEGRALES SL</v>
      </c>
      <c r="G48" s="12">
        <f t="shared" si="1"/>
        <v>10000</v>
      </c>
      <c r="H48">
        <v>21</v>
      </c>
      <c r="I48" s="5">
        <f t="shared" si="2"/>
        <v>2100</v>
      </c>
      <c r="J48" s="5">
        <f t="shared" si="3"/>
        <v>10000</v>
      </c>
      <c r="L48" s="5">
        <f t="shared" si="4"/>
        <v>0</v>
      </c>
      <c r="M48" s="8">
        <v>12100</v>
      </c>
      <c r="N48" s="3" t="s">
        <v>1825</v>
      </c>
      <c r="S48" t="s">
        <v>20</v>
      </c>
    </row>
    <row r="49" spans="1:19" x14ac:dyDescent="0.35">
      <c r="A49" s="4">
        <v>45461</v>
      </c>
      <c r="B49" s="2" t="s">
        <v>1770</v>
      </c>
      <c r="D49" s="2" t="s">
        <v>81</v>
      </c>
      <c r="E49" s="2" t="s">
        <v>1299</v>
      </c>
      <c r="F49" s="5" t="str">
        <f t="shared" si="0"/>
        <v>N/F 115 CONSEJERIA DE VIVIENDA TRASP. E INFRAESTRUCTURA</v>
      </c>
      <c r="G49" s="12">
        <f t="shared" si="1"/>
        <v>1770</v>
      </c>
      <c r="H49">
        <v>21</v>
      </c>
      <c r="I49" s="5">
        <f t="shared" si="2"/>
        <v>371.7</v>
      </c>
      <c r="J49" s="5">
        <f t="shared" si="3"/>
        <v>1770</v>
      </c>
      <c r="L49" s="5">
        <f t="shared" si="4"/>
        <v>0</v>
      </c>
      <c r="M49" s="8">
        <v>2141.6999999999998</v>
      </c>
      <c r="N49" s="3" t="s">
        <v>2047</v>
      </c>
      <c r="S49" t="s">
        <v>20</v>
      </c>
    </row>
    <row r="50" spans="1:19" x14ac:dyDescent="0.35">
      <c r="A50" s="4">
        <v>45461</v>
      </c>
      <c r="B50" s="2" t="s">
        <v>1814</v>
      </c>
      <c r="D50" s="2" t="s">
        <v>81</v>
      </c>
      <c r="E50" s="2" t="s">
        <v>1299</v>
      </c>
      <c r="F50" s="5" t="str">
        <f t="shared" si="0"/>
        <v>116 CONSEJERIA DE VIVIENDA TRASP. E INFRAESTRUCTURA</v>
      </c>
      <c r="G50" s="12">
        <f t="shared" si="1"/>
        <v>100</v>
      </c>
      <c r="H50">
        <v>21</v>
      </c>
      <c r="I50" s="5">
        <f t="shared" si="2"/>
        <v>21</v>
      </c>
      <c r="J50" s="5">
        <f t="shared" si="3"/>
        <v>100</v>
      </c>
      <c r="L50" s="5">
        <f t="shared" si="4"/>
        <v>0</v>
      </c>
      <c r="M50" s="8">
        <v>121</v>
      </c>
      <c r="N50" s="3" t="s">
        <v>2074</v>
      </c>
    </row>
    <row r="51" spans="1:19" x14ac:dyDescent="0.35">
      <c r="A51" s="4">
        <v>45461</v>
      </c>
      <c r="B51" s="2" t="s">
        <v>1815</v>
      </c>
      <c r="D51" s="2" t="s">
        <v>81</v>
      </c>
      <c r="E51" s="2" t="s">
        <v>1299</v>
      </c>
      <c r="F51" s="5" t="str">
        <f t="shared" si="0"/>
        <v>117 CONSEJERIA DE VIVIENDA TRASP. E INFRAESTRUCTURA</v>
      </c>
      <c r="G51" s="12">
        <f t="shared" si="1"/>
        <v>197.60330578512398</v>
      </c>
      <c r="H51">
        <v>21</v>
      </c>
      <c r="I51" s="5">
        <f t="shared" si="2"/>
        <v>41.496694214876037</v>
      </c>
      <c r="J51" s="5">
        <f t="shared" si="3"/>
        <v>197.60330578512398</v>
      </c>
      <c r="L51" s="5">
        <f t="shared" si="4"/>
        <v>0</v>
      </c>
      <c r="M51" s="8">
        <v>239.1</v>
      </c>
      <c r="N51" s="3" t="s">
        <v>2074</v>
      </c>
    </row>
    <row r="52" spans="1:19" x14ac:dyDescent="0.35">
      <c r="A52" s="4">
        <v>45462</v>
      </c>
      <c r="B52" s="2" t="s">
        <v>1826</v>
      </c>
      <c r="D52" s="2" t="s">
        <v>47</v>
      </c>
      <c r="E52" s="2" t="s">
        <v>31</v>
      </c>
      <c r="F52" s="5" t="str">
        <f t="shared" si="0"/>
        <v>118 MARTA REY ABAD</v>
      </c>
      <c r="G52" s="12">
        <f t="shared" si="1"/>
        <v>857</v>
      </c>
      <c r="H52">
        <v>21</v>
      </c>
      <c r="I52" s="5">
        <f t="shared" si="2"/>
        <v>179.97</v>
      </c>
      <c r="J52" s="5">
        <f t="shared" si="3"/>
        <v>857</v>
      </c>
      <c r="L52" s="5">
        <f t="shared" si="4"/>
        <v>0</v>
      </c>
      <c r="M52" s="8">
        <v>1036.97</v>
      </c>
      <c r="N52" s="3" t="s">
        <v>2105</v>
      </c>
    </row>
    <row r="53" spans="1:19" x14ac:dyDescent="0.35">
      <c r="A53" s="4">
        <v>45464</v>
      </c>
      <c r="B53" s="2" t="s">
        <v>1835</v>
      </c>
      <c r="D53" s="2" t="s">
        <v>1263</v>
      </c>
      <c r="E53" s="2" t="s">
        <v>1264</v>
      </c>
      <c r="F53" s="5" t="str">
        <f t="shared" si="0"/>
        <v>119 C.P. OSA MENOR 12</v>
      </c>
      <c r="G53" s="12">
        <f t="shared" si="1"/>
        <v>171.99999999999997</v>
      </c>
      <c r="H53">
        <v>10</v>
      </c>
      <c r="I53" s="5">
        <f t="shared" si="2"/>
        <v>17.2</v>
      </c>
      <c r="J53" s="5">
        <f t="shared" si="3"/>
        <v>171.99999999999997</v>
      </c>
      <c r="L53" s="5">
        <f t="shared" si="4"/>
        <v>0</v>
      </c>
      <c r="M53" s="8">
        <v>189.2</v>
      </c>
      <c r="N53" s="3" t="s">
        <v>1986</v>
      </c>
    </row>
    <row r="54" spans="1:19" x14ac:dyDescent="0.35">
      <c r="A54" s="4">
        <v>45467</v>
      </c>
      <c r="B54" s="2" t="s">
        <v>1844</v>
      </c>
      <c r="D54" s="2" t="s">
        <v>1359</v>
      </c>
      <c r="E54" s="2" t="s">
        <v>1360</v>
      </c>
      <c r="F54" s="5" t="str">
        <f t="shared" si="0"/>
        <v>120 PARQUETS FLOTANTES BURGOS SL</v>
      </c>
      <c r="G54" s="12">
        <f t="shared" si="1"/>
        <v>2618.8512396694214</v>
      </c>
      <c r="H54">
        <v>21</v>
      </c>
      <c r="I54" s="5">
        <f t="shared" si="2"/>
        <v>549.95876033057857</v>
      </c>
      <c r="J54" s="5">
        <f t="shared" si="3"/>
        <v>2618.8512396694214</v>
      </c>
      <c r="L54" s="5">
        <f t="shared" si="4"/>
        <v>0</v>
      </c>
      <c r="M54" s="8">
        <v>3168.81</v>
      </c>
      <c r="N54" s="3" t="s">
        <v>1851</v>
      </c>
    </row>
    <row r="55" spans="1:19" x14ac:dyDescent="0.35">
      <c r="A55" s="4">
        <v>45467</v>
      </c>
      <c r="B55" s="2" t="s">
        <v>1845</v>
      </c>
      <c r="D55" s="2" t="s">
        <v>1379</v>
      </c>
      <c r="E55" s="2" t="s">
        <v>1380</v>
      </c>
      <c r="F55" s="5" t="str">
        <f t="shared" si="0"/>
        <v>121 DECORACIONES J. GARCIA S.L.</v>
      </c>
      <c r="G55" s="12">
        <f t="shared" si="1"/>
        <v>5280</v>
      </c>
      <c r="H55">
        <v>21</v>
      </c>
      <c r="I55" s="5">
        <f t="shared" si="2"/>
        <v>1108.8</v>
      </c>
      <c r="J55" s="5">
        <f t="shared" si="3"/>
        <v>5280</v>
      </c>
      <c r="L55" s="5">
        <f t="shared" si="4"/>
        <v>0</v>
      </c>
      <c r="M55" s="8">
        <v>6388.8</v>
      </c>
      <c r="N55" s="3" t="s">
        <v>1960</v>
      </c>
    </row>
    <row r="56" spans="1:19" x14ac:dyDescent="0.35">
      <c r="A56" s="4">
        <v>45467</v>
      </c>
      <c r="B56" s="2" t="s">
        <v>1846</v>
      </c>
      <c r="D56" s="2" t="s">
        <v>263</v>
      </c>
      <c r="E56" s="2" t="s">
        <v>264</v>
      </c>
      <c r="F56" s="5" t="str">
        <f t="shared" si="0"/>
        <v>122 MQF SL</v>
      </c>
      <c r="G56" s="12">
        <f t="shared" si="1"/>
        <v>900</v>
      </c>
      <c r="H56">
        <v>21</v>
      </c>
      <c r="I56" s="5">
        <f t="shared" si="2"/>
        <v>189</v>
      </c>
      <c r="J56" s="5">
        <f t="shared" si="3"/>
        <v>900</v>
      </c>
      <c r="L56" s="5">
        <f t="shared" si="4"/>
        <v>0</v>
      </c>
      <c r="M56" s="8">
        <v>1089</v>
      </c>
      <c r="N56" s="3" t="s">
        <v>2274</v>
      </c>
    </row>
    <row r="57" spans="1:19" x14ac:dyDescent="0.35">
      <c r="A57" s="4">
        <v>45468</v>
      </c>
      <c r="B57" s="2" t="s">
        <v>1847</v>
      </c>
      <c r="D57" s="2" t="s">
        <v>1848</v>
      </c>
      <c r="E57" s="2" t="s">
        <v>1849</v>
      </c>
      <c r="F57" s="5" t="str">
        <f t="shared" si="0"/>
        <v xml:space="preserve">123 PETRA RESIDENCES </v>
      </c>
      <c r="G57" s="12">
        <f t="shared" si="1"/>
        <v>5778</v>
      </c>
      <c r="H57">
        <v>21</v>
      </c>
      <c r="I57" s="5">
        <f t="shared" si="2"/>
        <v>1213.3800000000001</v>
      </c>
      <c r="J57" s="5">
        <f t="shared" si="3"/>
        <v>5778</v>
      </c>
      <c r="L57" s="5">
        <f t="shared" si="4"/>
        <v>0</v>
      </c>
      <c r="M57" s="8">
        <v>6991.38</v>
      </c>
      <c r="N57" s="3" t="s">
        <v>1850</v>
      </c>
      <c r="O57" s="3" t="s">
        <v>2002</v>
      </c>
    </row>
    <row r="58" spans="1:19" x14ac:dyDescent="0.35">
      <c r="A58" s="4"/>
    </row>
    <row r="59" spans="1:19" x14ac:dyDescent="0.35">
      <c r="A59" s="4"/>
    </row>
    <row r="60" spans="1:19" x14ac:dyDescent="0.35">
      <c r="A60" s="4"/>
      <c r="F60" s="5" t="str">
        <f t="shared" si="0"/>
        <v xml:space="preserve">N/F  </v>
      </c>
      <c r="G60" s="12">
        <f t="shared" si="1"/>
        <v>0</v>
      </c>
      <c r="H60">
        <v>21</v>
      </c>
      <c r="I60" s="5">
        <f t="shared" si="2"/>
        <v>0</v>
      </c>
      <c r="J60" s="5">
        <f t="shared" si="3"/>
        <v>0</v>
      </c>
      <c r="L60" s="5">
        <f t="shared" si="4"/>
        <v>0</v>
      </c>
      <c r="M60" s="8">
        <v>0</v>
      </c>
      <c r="S60" t="s">
        <v>20</v>
      </c>
    </row>
    <row r="61" spans="1:19" x14ac:dyDescent="0.35">
      <c r="A61" s="4">
        <v>45383</v>
      </c>
      <c r="B61" s="2" t="s">
        <v>1246</v>
      </c>
      <c r="D61" s="2" t="s">
        <v>177</v>
      </c>
      <c r="E61" s="2" t="s">
        <v>178</v>
      </c>
      <c r="F61" s="5" t="str">
        <f t="shared" si="0"/>
        <v>N/F AL04 ZACARIAS ORTEGA MERCEDES</v>
      </c>
      <c r="G61" s="12">
        <f t="shared" si="1"/>
        <v>1032</v>
      </c>
      <c r="H61">
        <v>21</v>
      </c>
      <c r="I61" s="5">
        <f t="shared" si="2"/>
        <v>216.72</v>
      </c>
      <c r="J61" s="5">
        <f t="shared" si="3"/>
        <v>1032</v>
      </c>
      <c r="K61">
        <v>19</v>
      </c>
      <c r="L61" s="5">
        <f t="shared" si="4"/>
        <v>196.08</v>
      </c>
      <c r="M61" s="8">
        <v>1052.6400000000001</v>
      </c>
      <c r="N61" s="3" t="s">
        <v>217</v>
      </c>
      <c r="S61" t="s">
        <v>20</v>
      </c>
    </row>
    <row r="62" spans="1:19" x14ac:dyDescent="0.35">
      <c r="A62" s="4">
        <v>45413</v>
      </c>
      <c r="B62" s="2" t="s">
        <v>1375</v>
      </c>
      <c r="D62" s="2" t="s">
        <v>177</v>
      </c>
      <c r="E62" s="2" t="s">
        <v>178</v>
      </c>
      <c r="F62" s="5" t="str">
        <f t="shared" si="0"/>
        <v>N/F AL05 ZACARIAS ORTEGA MERCEDES</v>
      </c>
      <c r="G62" s="12">
        <f t="shared" si="1"/>
        <v>1032</v>
      </c>
      <c r="H62">
        <v>21</v>
      </c>
      <c r="I62" s="5">
        <f t="shared" si="2"/>
        <v>216.72</v>
      </c>
      <c r="J62" s="5">
        <f t="shared" si="3"/>
        <v>1032</v>
      </c>
      <c r="K62">
        <v>19</v>
      </c>
      <c r="L62" s="5">
        <f t="shared" si="4"/>
        <v>196.08</v>
      </c>
      <c r="M62" s="8">
        <v>1052.6400000000001</v>
      </c>
      <c r="N62" s="3" t="s">
        <v>217</v>
      </c>
      <c r="S62" t="s">
        <v>20</v>
      </c>
    </row>
    <row r="63" spans="1:19" x14ac:dyDescent="0.35">
      <c r="A63" s="4">
        <v>45444</v>
      </c>
      <c r="B63" s="2" t="s">
        <v>1667</v>
      </c>
      <c r="D63" s="2" t="s">
        <v>177</v>
      </c>
      <c r="E63" s="2" t="s">
        <v>178</v>
      </c>
      <c r="F63" s="5" t="str">
        <f t="shared" si="0"/>
        <v>N/F AL06 ZACARIAS ORTEGA MERCEDES</v>
      </c>
      <c r="G63" s="12">
        <f t="shared" si="1"/>
        <v>1032</v>
      </c>
      <c r="H63">
        <v>21</v>
      </c>
      <c r="I63" s="5">
        <f t="shared" si="2"/>
        <v>216.72</v>
      </c>
      <c r="J63" s="5">
        <f t="shared" si="3"/>
        <v>1032</v>
      </c>
      <c r="K63">
        <v>19</v>
      </c>
      <c r="L63" s="5">
        <f t="shared" si="4"/>
        <v>196.08</v>
      </c>
      <c r="M63" s="8">
        <v>1052.6400000000001</v>
      </c>
      <c r="N63" s="3" t="s">
        <v>217</v>
      </c>
      <c r="S63" t="s">
        <v>20</v>
      </c>
    </row>
    <row r="64" spans="1:19" x14ac:dyDescent="0.35">
      <c r="A64" s="4"/>
      <c r="F64" s="5" t="str">
        <f t="shared" si="0"/>
        <v xml:space="preserve">N/F  </v>
      </c>
      <c r="G64" s="12">
        <f t="shared" si="1"/>
        <v>0</v>
      </c>
      <c r="H64">
        <v>21</v>
      </c>
      <c r="I64" s="5">
        <f t="shared" si="2"/>
        <v>0</v>
      </c>
      <c r="J64" s="5">
        <f t="shared" si="3"/>
        <v>0</v>
      </c>
      <c r="L64" s="5">
        <f t="shared" si="4"/>
        <v>0</v>
      </c>
      <c r="M64" s="8">
        <v>0</v>
      </c>
      <c r="S64" t="s">
        <v>20</v>
      </c>
    </row>
    <row r="65" spans="1:19" x14ac:dyDescent="0.35">
      <c r="A65" s="4"/>
      <c r="F65" s="5" t="str">
        <f t="shared" si="0"/>
        <v xml:space="preserve">N/F  </v>
      </c>
      <c r="G65" s="12">
        <f t="shared" si="1"/>
        <v>0</v>
      </c>
      <c r="H65">
        <v>21</v>
      </c>
      <c r="I65" s="5">
        <f t="shared" si="2"/>
        <v>0</v>
      </c>
      <c r="J65" s="5">
        <f t="shared" si="3"/>
        <v>0</v>
      </c>
      <c r="L65" s="5">
        <f t="shared" si="4"/>
        <v>0</v>
      </c>
      <c r="M65" s="8">
        <v>0</v>
      </c>
      <c r="S65" t="s">
        <v>20</v>
      </c>
    </row>
    <row r="66" spans="1:19" x14ac:dyDescent="0.35">
      <c r="A66" s="4">
        <v>45386</v>
      </c>
      <c r="B66" s="2" t="s">
        <v>1241</v>
      </c>
      <c r="D66" s="2" t="s">
        <v>1242</v>
      </c>
      <c r="E66" s="2" t="s">
        <v>1243</v>
      </c>
      <c r="F66" s="5" t="str">
        <f t="shared" si="0"/>
        <v>N/F A02 NICOLAE CRISAN</v>
      </c>
      <c r="G66" s="12">
        <f t="shared" si="1"/>
        <v>17600</v>
      </c>
      <c r="H66">
        <v>0</v>
      </c>
      <c r="I66" s="5">
        <v>34.71</v>
      </c>
      <c r="J66" s="5">
        <f t="shared" si="3"/>
        <v>17600</v>
      </c>
      <c r="L66" s="5">
        <f t="shared" si="4"/>
        <v>0</v>
      </c>
      <c r="M66" s="8">
        <v>17600</v>
      </c>
      <c r="N66" s="3" t="s">
        <v>1749</v>
      </c>
      <c r="S66" t="s">
        <v>20</v>
      </c>
    </row>
    <row r="67" spans="1:19" x14ac:dyDescent="0.35">
      <c r="A67" s="4">
        <v>45386</v>
      </c>
      <c r="B67" s="2" t="s">
        <v>1244</v>
      </c>
      <c r="D67" s="2" t="s">
        <v>1245</v>
      </c>
      <c r="E67" s="2" t="s">
        <v>69</v>
      </c>
      <c r="F67" s="5" t="str">
        <f t="shared" si="0"/>
        <v>N/F A03 OLARIU ADRIAN RAZVAN</v>
      </c>
      <c r="G67" s="12">
        <f t="shared" si="1"/>
        <v>9400</v>
      </c>
      <c r="H67">
        <v>21</v>
      </c>
      <c r="I67" s="5">
        <f t="shared" si="2"/>
        <v>1974</v>
      </c>
      <c r="J67" s="5">
        <f t="shared" si="3"/>
        <v>9400</v>
      </c>
      <c r="L67" s="5">
        <f t="shared" si="4"/>
        <v>0</v>
      </c>
      <c r="M67" s="8">
        <v>11374</v>
      </c>
      <c r="N67" s="3" t="s">
        <v>1749</v>
      </c>
      <c r="S67" t="s">
        <v>20</v>
      </c>
    </row>
    <row r="68" spans="1:19" x14ac:dyDescent="0.35">
      <c r="A68" s="4">
        <v>45433</v>
      </c>
      <c r="B68" s="2" t="s">
        <v>1746</v>
      </c>
      <c r="D68" s="2" t="s">
        <v>1747</v>
      </c>
      <c r="E68" s="2" t="s">
        <v>1748</v>
      </c>
      <c r="F68" s="5" t="str">
        <f t="shared" si="0"/>
        <v>N/F A04 VISARION S.L.</v>
      </c>
      <c r="G68" s="12">
        <f t="shared" si="1"/>
        <v>2500</v>
      </c>
      <c r="H68">
        <v>21</v>
      </c>
      <c r="I68" s="5">
        <f t="shared" si="2"/>
        <v>525</v>
      </c>
      <c r="J68" s="5">
        <f t="shared" si="3"/>
        <v>2500</v>
      </c>
      <c r="L68" s="5">
        <f t="shared" si="4"/>
        <v>0</v>
      </c>
      <c r="M68" s="8">
        <v>3025</v>
      </c>
      <c r="N68" s="3" t="s">
        <v>2676</v>
      </c>
      <c r="S68" t="s">
        <v>20</v>
      </c>
    </row>
    <row r="69" spans="1:19" x14ac:dyDescent="0.35">
      <c r="F69" s="5" t="str">
        <f t="shared" si="0"/>
        <v xml:space="preserve">N/F  </v>
      </c>
      <c r="G69" s="12">
        <f t="shared" si="1"/>
        <v>0</v>
      </c>
      <c r="I69" s="5">
        <f t="shared" si="2"/>
        <v>0</v>
      </c>
      <c r="J69" s="5">
        <f t="shared" si="3"/>
        <v>0</v>
      </c>
      <c r="L69" s="5">
        <f t="shared" si="4"/>
        <v>0</v>
      </c>
      <c r="M69" s="8">
        <v>0</v>
      </c>
      <c r="S69" t="s">
        <v>20</v>
      </c>
    </row>
    <row r="70" spans="1:19" x14ac:dyDescent="0.35">
      <c r="F70" s="5" t="str">
        <f t="shared" si="0"/>
        <v xml:space="preserve">N/F  </v>
      </c>
      <c r="G70" s="12">
        <f t="shared" si="1"/>
        <v>0</v>
      </c>
      <c r="I70" s="5">
        <f t="shared" si="2"/>
        <v>0</v>
      </c>
      <c r="J70" s="5">
        <f t="shared" si="3"/>
        <v>0</v>
      </c>
      <c r="L70" s="5">
        <f t="shared" si="4"/>
        <v>0</v>
      </c>
      <c r="M70" s="8">
        <v>0</v>
      </c>
      <c r="S70" t="s">
        <v>20</v>
      </c>
    </row>
    <row r="71" spans="1:19" x14ac:dyDescent="0.35">
      <c r="F71" s="5" t="str">
        <f t="shared" si="0"/>
        <v xml:space="preserve">N/F  </v>
      </c>
      <c r="G71" s="12">
        <f>SUM(G2:G70)</f>
        <v>265894.08595041331</v>
      </c>
      <c r="I71" s="5">
        <f t="shared" si="2"/>
        <v>0</v>
      </c>
      <c r="J71" s="5">
        <f t="shared" si="3"/>
        <v>265894.08595041331</v>
      </c>
      <c r="L71" s="5">
        <f t="shared" si="4"/>
        <v>0</v>
      </c>
      <c r="M71" s="8">
        <v>0</v>
      </c>
      <c r="S71" t="s">
        <v>20</v>
      </c>
    </row>
    <row r="72" spans="1:19" x14ac:dyDescent="0.35">
      <c r="F72" s="5" t="str">
        <f t="shared" si="0"/>
        <v xml:space="preserve">N/F  </v>
      </c>
      <c r="G72" s="12">
        <f t="shared" si="1"/>
        <v>0</v>
      </c>
      <c r="I72" s="5">
        <f>SUM(I2:I71)</f>
        <v>47610.274049586769</v>
      </c>
      <c r="J72" s="5">
        <f t="shared" si="3"/>
        <v>0</v>
      </c>
      <c r="L72" s="5">
        <f t="shared" si="4"/>
        <v>0</v>
      </c>
      <c r="M72" s="8">
        <v>0</v>
      </c>
      <c r="S72" t="s">
        <v>20</v>
      </c>
    </row>
    <row r="73" spans="1:19" x14ac:dyDescent="0.35">
      <c r="F73" s="5" t="str">
        <f t="shared" si="0"/>
        <v xml:space="preserve">N/F  </v>
      </c>
      <c r="G73" s="12">
        <f t="shared" si="1"/>
        <v>0</v>
      </c>
      <c r="I73" s="5">
        <f t="shared" si="2"/>
        <v>0</v>
      </c>
      <c r="J73" s="5">
        <f t="shared" si="3"/>
        <v>0</v>
      </c>
      <c r="L73" s="5">
        <f t="shared" si="4"/>
        <v>0</v>
      </c>
      <c r="M73" s="8">
        <v>0</v>
      </c>
      <c r="S73" t="s">
        <v>20</v>
      </c>
    </row>
    <row r="74" spans="1:19" x14ac:dyDescent="0.35">
      <c r="F74" s="5" t="str">
        <f t="shared" si="0"/>
        <v xml:space="preserve">N/F  </v>
      </c>
      <c r="G74" s="12">
        <f>I78</f>
        <v>0</v>
      </c>
      <c r="I74" s="5">
        <f t="shared" si="2"/>
        <v>0</v>
      </c>
      <c r="J74" s="5">
        <f t="shared" si="3"/>
        <v>0</v>
      </c>
      <c r="L74" s="5">
        <f t="shared" si="4"/>
        <v>0</v>
      </c>
      <c r="M74" s="8">
        <v>0</v>
      </c>
      <c r="S74" t="s">
        <v>20</v>
      </c>
    </row>
    <row r="75" spans="1:19" x14ac:dyDescent="0.35">
      <c r="F75" s="5" t="str">
        <f t="shared" si="0"/>
        <v xml:space="preserve">N/F  </v>
      </c>
      <c r="G75" s="12">
        <f t="shared" si="1"/>
        <v>0</v>
      </c>
      <c r="I75" s="5">
        <f t="shared" si="2"/>
        <v>0</v>
      </c>
      <c r="J75" s="5">
        <f t="shared" si="3"/>
        <v>0</v>
      </c>
      <c r="L75" s="5">
        <f t="shared" si="4"/>
        <v>0</v>
      </c>
      <c r="M75" s="8">
        <v>0</v>
      </c>
      <c r="S75" t="s">
        <v>20</v>
      </c>
    </row>
    <row r="76" spans="1:19" x14ac:dyDescent="0.35">
      <c r="F76" s="5" t="str">
        <f t="shared" ref="F76:F109" si="5">CONCATENATE(S76,B76," ",E76)</f>
        <v xml:space="preserve">N/F  </v>
      </c>
      <c r="G76" s="12">
        <f t="shared" si="1"/>
        <v>0</v>
      </c>
      <c r="I76" s="5">
        <f t="shared" si="2"/>
        <v>0</v>
      </c>
      <c r="J76" s="5">
        <f t="shared" si="3"/>
        <v>0</v>
      </c>
      <c r="L76" s="5">
        <f t="shared" si="4"/>
        <v>0</v>
      </c>
      <c r="M76" s="8">
        <v>0</v>
      </c>
      <c r="S76" t="s">
        <v>20</v>
      </c>
    </row>
    <row r="77" spans="1:19" x14ac:dyDescent="0.35">
      <c r="F77" s="5" t="str">
        <f t="shared" si="5"/>
        <v xml:space="preserve">N/F  </v>
      </c>
      <c r="G77" s="12">
        <f t="shared" ref="G77:G109" si="6">M77/(1-K77/100+H77/100)</f>
        <v>0</v>
      </c>
      <c r="I77" s="5">
        <f>G77*H77/100</f>
        <v>0</v>
      </c>
      <c r="J77" s="5">
        <f t="shared" ref="J77:J109" si="7">G77</f>
        <v>0</v>
      </c>
      <c r="L77" s="5">
        <f t="shared" ref="L77:L109" si="8">J77*K77/100</f>
        <v>0</v>
      </c>
      <c r="M77" s="8">
        <v>0</v>
      </c>
      <c r="S77" t="s">
        <v>20</v>
      </c>
    </row>
    <row r="78" spans="1:19" x14ac:dyDescent="0.35">
      <c r="F78" s="5" t="str">
        <f t="shared" si="5"/>
        <v xml:space="preserve">N/F  </v>
      </c>
      <c r="G78" s="12">
        <f t="shared" si="6"/>
        <v>0</v>
      </c>
      <c r="I78" s="5">
        <f>G78*H78/100</f>
        <v>0</v>
      </c>
      <c r="J78" s="5">
        <f t="shared" si="7"/>
        <v>0</v>
      </c>
      <c r="L78" s="5">
        <f t="shared" si="8"/>
        <v>0</v>
      </c>
      <c r="M78" s="8">
        <v>0</v>
      </c>
      <c r="S78" t="s">
        <v>20</v>
      </c>
    </row>
    <row r="79" spans="1:19" x14ac:dyDescent="0.35">
      <c r="F79" s="5" t="str">
        <f t="shared" si="5"/>
        <v xml:space="preserve">N/F  </v>
      </c>
      <c r="G79" s="12">
        <f t="shared" si="6"/>
        <v>0</v>
      </c>
      <c r="I79" s="5">
        <f t="shared" ref="I79:I109" si="9">G79*H79/100</f>
        <v>0</v>
      </c>
      <c r="J79" s="5">
        <f t="shared" si="7"/>
        <v>0</v>
      </c>
      <c r="L79" s="5">
        <f t="shared" si="8"/>
        <v>0</v>
      </c>
      <c r="M79" s="8">
        <v>0</v>
      </c>
      <c r="S79" t="s">
        <v>20</v>
      </c>
    </row>
    <row r="80" spans="1:19" x14ac:dyDescent="0.35">
      <c r="F80" s="5" t="str">
        <f t="shared" si="5"/>
        <v xml:space="preserve">N/F  </v>
      </c>
      <c r="G80" s="12">
        <f t="shared" si="6"/>
        <v>0</v>
      </c>
      <c r="I80" s="5">
        <f t="shared" si="9"/>
        <v>0</v>
      </c>
      <c r="J80" s="5">
        <f t="shared" si="7"/>
        <v>0</v>
      </c>
      <c r="L80" s="5">
        <f t="shared" si="8"/>
        <v>0</v>
      </c>
      <c r="M80" s="8">
        <v>0</v>
      </c>
      <c r="S80" t="s">
        <v>20</v>
      </c>
    </row>
    <row r="81" spans="6:19" x14ac:dyDescent="0.35">
      <c r="F81" s="5" t="str">
        <f t="shared" si="5"/>
        <v xml:space="preserve">N/F  </v>
      </c>
      <c r="G81" s="12">
        <f t="shared" si="6"/>
        <v>0</v>
      </c>
      <c r="I81" s="5">
        <f t="shared" si="9"/>
        <v>0</v>
      </c>
      <c r="J81" s="5">
        <f t="shared" si="7"/>
        <v>0</v>
      </c>
      <c r="L81" s="5">
        <f t="shared" si="8"/>
        <v>0</v>
      </c>
      <c r="M81" s="8">
        <v>0</v>
      </c>
      <c r="S81" t="s">
        <v>20</v>
      </c>
    </row>
    <row r="82" spans="6:19" x14ac:dyDescent="0.35">
      <c r="F82" s="5" t="str">
        <f t="shared" si="5"/>
        <v xml:space="preserve">N/F  </v>
      </c>
      <c r="G82" s="12">
        <f t="shared" si="6"/>
        <v>0</v>
      </c>
      <c r="I82" s="5">
        <f t="shared" si="9"/>
        <v>0</v>
      </c>
      <c r="J82" s="5">
        <f t="shared" si="7"/>
        <v>0</v>
      </c>
      <c r="L82" s="5">
        <f t="shared" si="8"/>
        <v>0</v>
      </c>
      <c r="M82" s="8">
        <v>0</v>
      </c>
      <c r="S82" t="s">
        <v>20</v>
      </c>
    </row>
    <row r="83" spans="6:19" x14ac:dyDescent="0.35">
      <c r="F83" s="5" t="str">
        <f t="shared" si="5"/>
        <v xml:space="preserve">N/F  </v>
      </c>
      <c r="G83" s="12">
        <f t="shared" si="6"/>
        <v>0</v>
      </c>
      <c r="I83" s="5">
        <f t="shared" si="9"/>
        <v>0</v>
      </c>
      <c r="J83" s="5">
        <f t="shared" si="7"/>
        <v>0</v>
      </c>
      <c r="L83" s="5">
        <f t="shared" si="8"/>
        <v>0</v>
      </c>
      <c r="M83" s="8">
        <v>0</v>
      </c>
      <c r="S83" t="s">
        <v>20</v>
      </c>
    </row>
    <row r="84" spans="6:19" x14ac:dyDescent="0.35">
      <c r="F84" s="5" t="str">
        <f t="shared" si="5"/>
        <v xml:space="preserve">N/F  </v>
      </c>
      <c r="G84" s="12">
        <f t="shared" si="6"/>
        <v>0</v>
      </c>
      <c r="I84" s="5">
        <f t="shared" si="9"/>
        <v>0</v>
      </c>
      <c r="J84" s="5">
        <f t="shared" si="7"/>
        <v>0</v>
      </c>
      <c r="L84" s="5">
        <f t="shared" si="8"/>
        <v>0</v>
      </c>
      <c r="M84" s="8">
        <v>0</v>
      </c>
      <c r="S84" t="s">
        <v>20</v>
      </c>
    </row>
    <row r="85" spans="6:19" x14ac:dyDescent="0.35">
      <c r="F85" s="5" t="str">
        <f t="shared" si="5"/>
        <v xml:space="preserve">N/F  </v>
      </c>
      <c r="G85" s="12">
        <f t="shared" si="6"/>
        <v>0</v>
      </c>
      <c r="I85" s="5">
        <f t="shared" si="9"/>
        <v>0</v>
      </c>
      <c r="J85" s="5">
        <f t="shared" si="7"/>
        <v>0</v>
      </c>
      <c r="L85" s="5">
        <f t="shared" si="8"/>
        <v>0</v>
      </c>
      <c r="M85" s="8">
        <v>0</v>
      </c>
      <c r="S85" t="s">
        <v>20</v>
      </c>
    </row>
    <row r="86" spans="6:19" x14ac:dyDescent="0.35">
      <c r="F86" s="5" t="str">
        <f t="shared" si="5"/>
        <v xml:space="preserve">N/F  </v>
      </c>
      <c r="G86" s="12">
        <f t="shared" si="6"/>
        <v>0</v>
      </c>
      <c r="I86" s="5">
        <f t="shared" si="9"/>
        <v>0</v>
      </c>
      <c r="J86" s="5">
        <f t="shared" si="7"/>
        <v>0</v>
      </c>
      <c r="L86" s="5">
        <f t="shared" si="8"/>
        <v>0</v>
      </c>
      <c r="M86" s="8">
        <v>0</v>
      </c>
      <c r="S86" t="s">
        <v>20</v>
      </c>
    </row>
    <row r="87" spans="6:19" x14ac:dyDescent="0.35">
      <c r="F87" s="5" t="str">
        <f t="shared" si="5"/>
        <v xml:space="preserve">N/F  </v>
      </c>
      <c r="G87" s="12">
        <f t="shared" si="6"/>
        <v>0</v>
      </c>
      <c r="I87" s="5">
        <f t="shared" si="9"/>
        <v>0</v>
      </c>
      <c r="J87" s="5">
        <f t="shared" si="7"/>
        <v>0</v>
      </c>
      <c r="L87" s="5">
        <f t="shared" si="8"/>
        <v>0</v>
      </c>
      <c r="M87" s="8">
        <v>0</v>
      </c>
      <c r="S87" t="s">
        <v>20</v>
      </c>
    </row>
    <row r="88" spans="6:19" x14ac:dyDescent="0.35">
      <c r="F88" s="5" t="str">
        <f t="shared" si="5"/>
        <v xml:space="preserve">N/F  </v>
      </c>
      <c r="G88" s="12">
        <f t="shared" si="6"/>
        <v>0</v>
      </c>
      <c r="I88" s="5">
        <f t="shared" si="9"/>
        <v>0</v>
      </c>
      <c r="J88" s="5">
        <f t="shared" si="7"/>
        <v>0</v>
      </c>
      <c r="L88" s="5">
        <f t="shared" si="8"/>
        <v>0</v>
      </c>
      <c r="M88" s="8">
        <v>0</v>
      </c>
      <c r="S88" t="s">
        <v>20</v>
      </c>
    </row>
    <row r="89" spans="6:19" x14ac:dyDescent="0.35">
      <c r="F89" s="5" t="str">
        <f t="shared" si="5"/>
        <v xml:space="preserve">N/F  </v>
      </c>
      <c r="G89" s="12">
        <f t="shared" si="6"/>
        <v>0</v>
      </c>
      <c r="I89" s="5">
        <f t="shared" si="9"/>
        <v>0</v>
      </c>
      <c r="J89" s="5">
        <f t="shared" si="7"/>
        <v>0</v>
      </c>
      <c r="L89" s="5">
        <f t="shared" si="8"/>
        <v>0</v>
      </c>
      <c r="M89" s="8">
        <v>0</v>
      </c>
      <c r="S89" t="s">
        <v>20</v>
      </c>
    </row>
    <row r="90" spans="6:19" x14ac:dyDescent="0.35">
      <c r="F90" s="5" t="str">
        <f t="shared" si="5"/>
        <v xml:space="preserve">N/F  </v>
      </c>
      <c r="G90" s="12">
        <f t="shared" si="6"/>
        <v>0</v>
      </c>
      <c r="I90" s="5">
        <f t="shared" si="9"/>
        <v>0</v>
      </c>
      <c r="J90" s="5">
        <f t="shared" si="7"/>
        <v>0</v>
      </c>
      <c r="L90" s="5">
        <f t="shared" si="8"/>
        <v>0</v>
      </c>
      <c r="M90" s="8">
        <v>0</v>
      </c>
      <c r="S90" t="s">
        <v>20</v>
      </c>
    </row>
    <row r="91" spans="6:19" x14ac:dyDescent="0.35">
      <c r="F91" s="5" t="str">
        <f t="shared" si="5"/>
        <v xml:space="preserve">N/F  </v>
      </c>
      <c r="G91" s="12">
        <f t="shared" si="6"/>
        <v>0</v>
      </c>
      <c r="I91" s="5">
        <f t="shared" si="9"/>
        <v>0</v>
      </c>
      <c r="J91" s="5">
        <f t="shared" si="7"/>
        <v>0</v>
      </c>
      <c r="L91" s="5">
        <f t="shared" si="8"/>
        <v>0</v>
      </c>
      <c r="M91" s="8">
        <v>0</v>
      </c>
      <c r="S91" t="s">
        <v>20</v>
      </c>
    </row>
    <row r="92" spans="6:19" x14ac:dyDescent="0.35">
      <c r="F92" s="5" t="str">
        <f t="shared" si="5"/>
        <v xml:space="preserve">N/F  </v>
      </c>
      <c r="G92" s="12">
        <f t="shared" si="6"/>
        <v>0</v>
      </c>
      <c r="I92" s="5">
        <f t="shared" si="9"/>
        <v>0</v>
      </c>
      <c r="J92" s="5">
        <f t="shared" si="7"/>
        <v>0</v>
      </c>
      <c r="L92" s="5">
        <f t="shared" si="8"/>
        <v>0</v>
      </c>
      <c r="M92" s="8">
        <v>0</v>
      </c>
      <c r="S92" t="s">
        <v>20</v>
      </c>
    </row>
    <row r="93" spans="6:19" x14ac:dyDescent="0.35">
      <c r="F93" s="5" t="str">
        <f t="shared" si="5"/>
        <v xml:space="preserve">N/F  </v>
      </c>
      <c r="G93" s="12">
        <f t="shared" si="6"/>
        <v>0</v>
      </c>
      <c r="I93" s="5">
        <f t="shared" si="9"/>
        <v>0</v>
      </c>
      <c r="J93" s="5">
        <f t="shared" si="7"/>
        <v>0</v>
      </c>
      <c r="L93" s="5">
        <f t="shared" si="8"/>
        <v>0</v>
      </c>
      <c r="M93" s="8">
        <v>0</v>
      </c>
      <c r="S93" t="s">
        <v>20</v>
      </c>
    </row>
    <row r="94" spans="6:19" x14ac:dyDescent="0.35">
      <c r="F94" s="5" t="str">
        <f t="shared" si="5"/>
        <v xml:space="preserve">N/F  </v>
      </c>
      <c r="G94" s="12">
        <f t="shared" si="6"/>
        <v>0</v>
      </c>
      <c r="I94" s="5">
        <f t="shared" si="9"/>
        <v>0</v>
      </c>
      <c r="J94" s="5">
        <f t="shared" si="7"/>
        <v>0</v>
      </c>
      <c r="L94" s="5">
        <f t="shared" si="8"/>
        <v>0</v>
      </c>
      <c r="M94" s="8">
        <v>0</v>
      </c>
      <c r="S94" t="s">
        <v>20</v>
      </c>
    </row>
    <row r="95" spans="6:19" x14ac:dyDescent="0.35">
      <c r="F95" s="5" t="str">
        <f t="shared" si="5"/>
        <v xml:space="preserve">N/F  </v>
      </c>
      <c r="G95" s="12">
        <f t="shared" si="6"/>
        <v>0</v>
      </c>
      <c r="I95" s="5">
        <f t="shared" si="9"/>
        <v>0</v>
      </c>
      <c r="J95" s="5">
        <f t="shared" si="7"/>
        <v>0</v>
      </c>
      <c r="L95" s="5">
        <f t="shared" si="8"/>
        <v>0</v>
      </c>
      <c r="M95" s="8">
        <v>0</v>
      </c>
      <c r="S95" t="s">
        <v>20</v>
      </c>
    </row>
    <row r="96" spans="6:19" x14ac:dyDescent="0.35">
      <c r="F96" s="5" t="str">
        <f t="shared" si="5"/>
        <v xml:space="preserve">N/F  </v>
      </c>
      <c r="G96" s="12">
        <f t="shared" si="6"/>
        <v>0</v>
      </c>
      <c r="I96" s="5">
        <f t="shared" si="9"/>
        <v>0</v>
      </c>
      <c r="J96" s="5">
        <f t="shared" si="7"/>
        <v>0</v>
      </c>
      <c r="L96" s="5">
        <f t="shared" si="8"/>
        <v>0</v>
      </c>
      <c r="M96" s="8">
        <v>0</v>
      </c>
      <c r="S96" t="s">
        <v>20</v>
      </c>
    </row>
    <row r="97" spans="6:19" x14ac:dyDescent="0.35">
      <c r="F97" s="5" t="str">
        <f t="shared" si="5"/>
        <v xml:space="preserve">N/F  </v>
      </c>
      <c r="G97" s="12">
        <f t="shared" si="6"/>
        <v>0</v>
      </c>
      <c r="I97" s="5">
        <f t="shared" si="9"/>
        <v>0</v>
      </c>
      <c r="J97" s="5">
        <f t="shared" si="7"/>
        <v>0</v>
      </c>
      <c r="L97" s="5">
        <f t="shared" si="8"/>
        <v>0</v>
      </c>
      <c r="M97" s="8">
        <v>0</v>
      </c>
      <c r="S97" t="s">
        <v>20</v>
      </c>
    </row>
    <row r="98" spans="6:19" x14ac:dyDescent="0.35">
      <c r="F98" s="5" t="str">
        <f t="shared" si="5"/>
        <v xml:space="preserve">N/F  </v>
      </c>
      <c r="G98" s="12">
        <f t="shared" si="6"/>
        <v>0</v>
      </c>
      <c r="I98" s="5">
        <f t="shared" si="9"/>
        <v>0</v>
      </c>
      <c r="J98" s="5">
        <f t="shared" si="7"/>
        <v>0</v>
      </c>
      <c r="L98" s="5">
        <f t="shared" si="8"/>
        <v>0</v>
      </c>
      <c r="M98" s="8">
        <v>0</v>
      </c>
      <c r="S98" t="s">
        <v>20</v>
      </c>
    </row>
    <row r="99" spans="6:19" x14ac:dyDescent="0.35">
      <c r="F99" s="5" t="str">
        <f t="shared" si="5"/>
        <v xml:space="preserve">N/F  </v>
      </c>
      <c r="G99" s="12">
        <f t="shared" si="6"/>
        <v>0</v>
      </c>
      <c r="I99" s="5">
        <f t="shared" si="9"/>
        <v>0</v>
      </c>
      <c r="J99" s="5">
        <f t="shared" si="7"/>
        <v>0</v>
      </c>
      <c r="L99" s="5">
        <f t="shared" si="8"/>
        <v>0</v>
      </c>
      <c r="M99" s="8">
        <v>0</v>
      </c>
      <c r="S99" t="s">
        <v>20</v>
      </c>
    </row>
    <row r="100" spans="6:19" x14ac:dyDescent="0.35">
      <c r="F100" s="5" t="str">
        <f t="shared" si="5"/>
        <v xml:space="preserve">N/F  </v>
      </c>
      <c r="G100" s="12">
        <f t="shared" si="6"/>
        <v>0</v>
      </c>
      <c r="I100" s="5">
        <f t="shared" si="9"/>
        <v>0</v>
      </c>
      <c r="J100" s="5">
        <f t="shared" si="7"/>
        <v>0</v>
      </c>
      <c r="L100" s="5">
        <f t="shared" si="8"/>
        <v>0</v>
      </c>
      <c r="M100" s="8">
        <v>0</v>
      </c>
      <c r="S100" t="s">
        <v>20</v>
      </c>
    </row>
    <row r="101" spans="6:19" x14ac:dyDescent="0.35">
      <c r="F101" s="5" t="str">
        <f t="shared" si="5"/>
        <v xml:space="preserve">N/F  </v>
      </c>
      <c r="G101" s="12">
        <f t="shared" si="6"/>
        <v>0</v>
      </c>
      <c r="I101" s="5">
        <f t="shared" si="9"/>
        <v>0</v>
      </c>
      <c r="J101" s="5">
        <f t="shared" si="7"/>
        <v>0</v>
      </c>
      <c r="L101" s="5">
        <f t="shared" si="8"/>
        <v>0</v>
      </c>
      <c r="M101" s="8">
        <v>0</v>
      </c>
      <c r="S101" t="s">
        <v>20</v>
      </c>
    </row>
    <row r="102" spans="6:19" x14ac:dyDescent="0.35">
      <c r="F102" s="5" t="str">
        <f t="shared" si="5"/>
        <v xml:space="preserve">N/F  </v>
      </c>
      <c r="G102" s="12">
        <f t="shared" si="6"/>
        <v>0</v>
      </c>
      <c r="I102" s="5">
        <f t="shared" si="9"/>
        <v>0</v>
      </c>
      <c r="J102" s="5">
        <f t="shared" si="7"/>
        <v>0</v>
      </c>
      <c r="L102" s="5">
        <f t="shared" si="8"/>
        <v>0</v>
      </c>
      <c r="M102" s="8">
        <v>0</v>
      </c>
      <c r="S102" t="s">
        <v>20</v>
      </c>
    </row>
    <row r="103" spans="6:19" x14ac:dyDescent="0.35">
      <c r="F103" s="5" t="str">
        <f t="shared" si="5"/>
        <v xml:space="preserve">N/F  </v>
      </c>
      <c r="G103" s="12">
        <f t="shared" si="6"/>
        <v>0</v>
      </c>
      <c r="I103" s="5">
        <f t="shared" si="9"/>
        <v>0</v>
      </c>
      <c r="J103" s="5">
        <f t="shared" si="7"/>
        <v>0</v>
      </c>
      <c r="L103" s="5">
        <f t="shared" si="8"/>
        <v>0</v>
      </c>
      <c r="M103" s="8">
        <v>0</v>
      </c>
      <c r="S103" t="s">
        <v>20</v>
      </c>
    </row>
    <row r="104" spans="6:19" x14ac:dyDescent="0.35">
      <c r="F104" s="5" t="str">
        <f t="shared" si="5"/>
        <v xml:space="preserve">N/F  </v>
      </c>
      <c r="G104" s="12">
        <f t="shared" si="6"/>
        <v>0</v>
      </c>
      <c r="I104" s="5">
        <f t="shared" si="9"/>
        <v>0</v>
      </c>
      <c r="J104" s="5">
        <f t="shared" si="7"/>
        <v>0</v>
      </c>
      <c r="L104" s="5">
        <f t="shared" si="8"/>
        <v>0</v>
      </c>
      <c r="M104" s="8">
        <v>0</v>
      </c>
      <c r="S104" t="s">
        <v>20</v>
      </c>
    </row>
    <row r="105" spans="6:19" x14ac:dyDescent="0.35">
      <c r="F105" s="5" t="str">
        <f t="shared" si="5"/>
        <v xml:space="preserve">N/F  </v>
      </c>
      <c r="G105" s="12">
        <f t="shared" si="6"/>
        <v>0</v>
      </c>
      <c r="I105" s="5">
        <f t="shared" si="9"/>
        <v>0</v>
      </c>
      <c r="J105" s="5">
        <f t="shared" si="7"/>
        <v>0</v>
      </c>
      <c r="L105" s="5">
        <f t="shared" si="8"/>
        <v>0</v>
      </c>
      <c r="M105" s="8">
        <v>0</v>
      </c>
      <c r="S105" t="s">
        <v>20</v>
      </c>
    </row>
    <row r="106" spans="6:19" x14ac:dyDescent="0.35">
      <c r="F106" s="5" t="str">
        <f t="shared" si="5"/>
        <v xml:space="preserve">N/F  </v>
      </c>
      <c r="G106" s="12">
        <f t="shared" si="6"/>
        <v>0</v>
      </c>
      <c r="I106" s="5">
        <f t="shared" si="9"/>
        <v>0</v>
      </c>
      <c r="J106" s="5">
        <f t="shared" si="7"/>
        <v>0</v>
      </c>
      <c r="L106" s="5">
        <f t="shared" si="8"/>
        <v>0</v>
      </c>
      <c r="M106" s="8">
        <v>0</v>
      </c>
      <c r="S106" t="s">
        <v>20</v>
      </c>
    </row>
    <row r="107" spans="6:19" x14ac:dyDescent="0.35">
      <c r="F107" s="5" t="str">
        <f t="shared" si="5"/>
        <v xml:space="preserve">N/F  </v>
      </c>
      <c r="G107" s="12">
        <f t="shared" si="6"/>
        <v>0</v>
      </c>
      <c r="I107" s="5">
        <f t="shared" si="9"/>
        <v>0</v>
      </c>
      <c r="J107" s="5">
        <f t="shared" si="7"/>
        <v>0</v>
      </c>
      <c r="L107" s="5">
        <f t="shared" si="8"/>
        <v>0</v>
      </c>
      <c r="M107" s="8">
        <v>0</v>
      </c>
      <c r="S107" t="s">
        <v>20</v>
      </c>
    </row>
    <row r="108" spans="6:19" x14ac:dyDescent="0.35">
      <c r="F108" s="5" t="str">
        <f t="shared" si="5"/>
        <v xml:space="preserve">N/F  </v>
      </c>
      <c r="G108" s="12">
        <f t="shared" si="6"/>
        <v>0</v>
      </c>
      <c r="I108" s="5">
        <f t="shared" si="9"/>
        <v>0</v>
      </c>
      <c r="J108" s="5">
        <f t="shared" si="7"/>
        <v>0</v>
      </c>
      <c r="L108" s="5">
        <f t="shared" si="8"/>
        <v>0</v>
      </c>
      <c r="M108" s="8">
        <v>0</v>
      </c>
      <c r="S108" t="s">
        <v>20</v>
      </c>
    </row>
    <row r="109" spans="6:19" x14ac:dyDescent="0.35">
      <c r="F109" s="5" t="str">
        <f t="shared" si="5"/>
        <v xml:space="preserve">N/F  </v>
      </c>
      <c r="G109" s="12">
        <f t="shared" si="6"/>
        <v>0</v>
      </c>
      <c r="I109" s="5">
        <f t="shared" si="9"/>
        <v>0</v>
      </c>
      <c r="J109" s="5">
        <f t="shared" si="7"/>
        <v>0</v>
      </c>
      <c r="L109" s="5">
        <f t="shared" si="8"/>
        <v>0</v>
      </c>
      <c r="M109" s="8">
        <v>0</v>
      </c>
      <c r="S109" t="s">
        <v>20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AE32-F5E5-4D30-BAB7-23CFFEE37285}">
  <dimension ref="A1:T130"/>
  <sheetViews>
    <sheetView topLeftCell="A20" workbookViewId="0">
      <selection activeCell="N22" sqref="N22"/>
    </sheetView>
  </sheetViews>
  <sheetFormatPr baseColWidth="10" defaultRowHeight="14.5" x14ac:dyDescent="0.35"/>
  <cols>
    <col min="1" max="1" width="11.54296875" bestFit="1" customWidth="1"/>
    <col min="2" max="2" width="11.54296875" style="2" customWidth="1"/>
    <col min="3" max="3" width="10" style="2" bestFit="1" customWidth="1"/>
    <col min="4" max="4" width="19.453125" style="2" customWidth="1"/>
    <col min="5" max="5" width="46.26953125" style="2" customWidth="1"/>
    <col min="6" max="6" width="26.1796875" style="5" customWidth="1"/>
    <col min="7" max="7" width="11.54296875" style="12" customWidth="1"/>
    <col min="8" max="8" width="5.7265625" bestFit="1" customWidth="1"/>
    <col min="9" max="9" width="13.26953125" style="5" customWidth="1"/>
    <col min="10" max="10" width="11.7265625" style="5" customWidth="1"/>
    <col min="11" max="11" width="6.1796875" customWidth="1"/>
    <col min="12" max="12" width="8.54296875" style="5" customWidth="1"/>
    <col min="13" max="13" width="10.7265625" style="8" customWidth="1"/>
    <col min="14" max="14" width="14.81640625" style="3" bestFit="1" customWidth="1"/>
    <col min="15" max="15" width="16.453125" style="3" customWidth="1"/>
    <col min="16" max="16" width="14.1796875" style="3" customWidth="1"/>
    <col min="17" max="17" width="12.453125" style="2" customWidth="1"/>
    <col min="18" max="18" width="13.26953125" customWidth="1"/>
  </cols>
  <sheetData>
    <row r="1" spans="1:19" s="1" customFormat="1" ht="30" customHeigh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6" t="s">
        <v>7</v>
      </c>
      <c r="I1" s="9" t="s">
        <v>8</v>
      </c>
      <c r="J1" s="9" t="s">
        <v>9</v>
      </c>
      <c r="K1" s="6" t="s">
        <v>10</v>
      </c>
      <c r="L1" s="9" t="s">
        <v>11</v>
      </c>
      <c r="M1" s="9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9" x14ac:dyDescent="0.35">
      <c r="A2" s="4">
        <v>45474</v>
      </c>
      <c r="B2" s="2" t="s">
        <v>2044</v>
      </c>
      <c r="D2" s="2" t="s">
        <v>48</v>
      </c>
      <c r="E2" s="2" t="s">
        <v>2045</v>
      </c>
      <c r="F2" s="5" t="str">
        <f t="shared" ref="F2:F47" si="0">CONCATENATE(S2,B2," ",E2)</f>
        <v>N/F 124 DOFITEC SOLUCIONES INTEGRALES S.L.</v>
      </c>
      <c r="G2" s="12">
        <f>M2/(1-K2/100+H2/100)</f>
        <v>18543.537190082647</v>
      </c>
      <c r="H2">
        <v>21</v>
      </c>
      <c r="I2" s="5">
        <f>G2*H2/100</f>
        <v>3894.1428099173559</v>
      </c>
      <c r="J2" s="5">
        <f>G2</f>
        <v>18543.537190082647</v>
      </c>
      <c r="L2" s="5">
        <f>J2*K2/100</f>
        <v>0</v>
      </c>
      <c r="M2" s="8">
        <v>22437.68</v>
      </c>
      <c r="N2" s="3" t="s">
        <v>2076</v>
      </c>
      <c r="S2" t="s">
        <v>20</v>
      </c>
    </row>
    <row r="3" spans="1:19" x14ac:dyDescent="0.35">
      <c r="A3" s="4">
        <v>45474</v>
      </c>
      <c r="B3" s="2" t="s">
        <v>2046</v>
      </c>
      <c r="D3" s="2" t="s">
        <v>48</v>
      </c>
      <c r="E3" s="2" t="s">
        <v>2045</v>
      </c>
      <c r="F3" s="5" t="str">
        <f t="shared" si="0"/>
        <v>N/F 125 DOFITEC SOLUCIONES INTEGRALES S.L.</v>
      </c>
      <c r="G3" s="12">
        <f>M3/(1-K3/100+H3/100)</f>
        <v>29957.123966942152</v>
      </c>
      <c r="H3">
        <v>21</v>
      </c>
      <c r="I3" s="5">
        <f>G3*H3/100</f>
        <v>6290.9960330578524</v>
      </c>
      <c r="J3" s="5">
        <f>G3</f>
        <v>29957.123966942152</v>
      </c>
      <c r="L3" s="5">
        <f>J3*K3/100</f>
        <v>0</v>
      </c>
      <c r="M3" s="8">
        <v>36248.120000000003</v>
      </c>
      <c r="N3" s="3" t="s">
        <v>2075</v>
      </c>
      <c r="S3" t="s">
        <v>20</v>
      </c>
    </row>
    <row r="4" spans="1:19" x14ac:dyDescent="0.35">
      <c r="A4" s="4">
        <v>45474</v>
      </c>
      <c r="B4" s="2" t="s">
        <v>2061</v>
      </c>
      <c r="D4" s="2" t="s">
        <v>229</v>
      </c>
      <c r="E4" s="2" t="s">
        <v>2049</v>
      </c>
      <c r="F4" s="5" t="str">
        <f t="shared" si="0"/>
        <v>N/F 126 MEDA INMUEBLES</v>
      </c>
      <c r="G4" s="12">
        <f t="shared" ref="G4:G97" si="1">M4/(1-K4/100+H4/100)</f>
        <v>545</v>
      </c>
      <c r="H4">
        <v>21</v>
      </c>
      <c r="I4" s="5">
        <f t="shared" ref="I4:I97" si="2">G4*H4/100</f>
        <v>114.45</v>
      </c>
      <c r="J4" s="5">
        <f t="shared" ref="J4:J97" si="3">G4</f>
        <v>545</v>
      </c>
      <c r="L4" s="5">
        <f t="shared" ref="L4:L97" si="4">J4*K4/100</f>
        <v>0</v>
      </c>
      <c r="M4" s="8">
        <v>659.45</v>
      </c>
      <c r="N4" s="3" t="s">
        <v>2101</v>
      </c>
      <c r="S4" t="s">
        <v>20</v>
      </c>
    </row>
    <row r="5" spans="1:19" x14ac:dyDescent="0.35">
      <c r="A5" s="4">
        <v>45474</v>
      </c>
      <c r="B5" s="2" t="s">
        <v>2048</v>
      </c>
      <c r="D5" s="2" t="s">
        <v>229</v>
      </c>
      <c r="E5" s="2" t="s">
        <v>2049</v>
      </c>
      <c r="F5" s="5" t="str">
        <f t="shared" si="0"/>
        <v>N/F 127 MEDA INMUEBLES</v>
      </c>
      <c r="G5" s="12">
        <f t="shared" si="1"/>
        <v>105</v>
      </c>
      <c r="H5">
        <v>21</v>
      </c>
      <c r="I5" s="5">
        <f t="shared" si="2"/>
        <v>22.05</v>
      </c>
      <c r="J5" s="5">
        <f t="shared" si="3"/>
        <v>105</v>
      </c>
      <c r="L5" s="5">
        <f t="shared" si="4"/>
        <v>0</v>
      </c>
      <c r="M5" s="8">
        <v>127.05</v>
      </c>
      <c r="N5" s="3" t="s">
        <v>2100</v>
      </c>
      <c r="S5" t="s">
        <v>20</v>
      </c>
    </row>
    <row r="6" spans="1:19" x14ac:dyDescent="0.35">
      <c r="A6" s="4">
        <v>45475</v>
      </c>
      <c r="B6" s="2" t="s">
        <v>2050</v>
      </c>
      <c r="D6" s="2" t="s">
        <v>1379</v>
      </c>
      <c r="E6" s="2" t="s">
        <v>1380</v>
      </c>
      <c r="F6" s="5" t="str">
        <f t="shared" si="0"/>
        <v>N/F 128 DECORACIONES J. GARCIA S.L.</v>
      </c>
      <c r="G6" s="12">
        <f t="shared" si="1"/>
        <v>1401.1983471074382</v>
      </c>
      <c r="H6">
        <v>21</v>
      </c>
      <c r="I6" s="5">
        <f t="shared" si="2"/>
        <v>294.25165289256199</v>
      </c>
      <c r="J6" s="5">
        <f t="shared" si="3"/>
        <v>1401.1983471074382</v>
      </c>
      <c r="L6" s="5">
        <f t="shared" si="4"/>
        <v>0</v>
      </c>
      <c r="M6" s="8">
        <v>1695.45</v>
      </c>
      <c r="N6" s="3" t="s">
        <v>2076</v>
      </c>
      <c r="S6" t="s">
        <v>20</v>
      </c>
    </row>
    <row r="7" spans="1:19" x14ac:dyDescent="0.35">
      <c r="A7" s="4">
        <v>45475</v>
      </c>
      <c r="B7" s="2" t="s">
        <v>2051</v>
      </c>
      <c r="D7" s="2" t="s">
        <v>142</v>
      </c>
      <c r="E7" s="2" t="s">
        <v>129</v>
      </c>
      <c r="F7" s="5" t="str">
        <f t="shared" si="0"/>
        <v>N/F 129 LINOTEC SOLUCIONES TECNICAS SL</v>
      </c>
      <c r="G7" s="12">
        <f t="shared" si="1"/>
        <v>1028.3966942148759</v>
      </c>
      <c r="H7">
        <v>21</v>
      </c>
      <c r="I7" s="5">
        <f t="shared" si="2"/>
        <v>215.96330578512391</v>
      </c>
      <c r="J7" s="5">
        <f t="shared" si="3"/>
        <v>1028.3966942148759</v>
      </c>
      <c r="L7" s="5">
        <f t="shared" si="4"/>
        <v>0</v>
      </c>
      <c r="M7" s="8">
        <v>1244.3599999999999</v>
      </c>
      <c r="N7" s="3" t="s">
        <v>2073</v>
      </c>
      <c r="S7" t="s">
        <v>20</v>
      </c>
    </row>
    <row r="8" spans="1:19" x14ac:dyDescent="0.35">
      <c r="A8" s="4">
        <v>45475</v>
      </c>
      <c r="B8" s="2" t="s">
        <v>2052</v>
      </c>
      <c r="D8" s="2" t="s">
        <v>251</v>
      </c>
      <c r="E8" s="2" t="s">
        <v>304</v>
      </c>
      <c r="F8" s="5" t="str">
        <f t="shared" si="0"/>
        <v>N/F 130 BERTA MARTINEZ DELGADO</v>
      </c>
      <c r="G8" s="12">
        <f t="shared" si="1"/>
        <v>3945</v>
      </c>
      <c r="H8">
        <v>21</v>
      </c>
      <c r="I8" s="5">
        <f t="shared" si="2"/>
        <v>828.45</v>
      </c>
      <c r="J8" s="5">
        <f t="shared" si="3"/>
        <v>3945</v>
      </c>
      <c r="L8" s="5">
        <f t="shared" si="4"/>
        <v>0</v>
      </c>
      <c r="M8" s="8">
        <v>4773.45</v>
      </c>
      <c r="N8" s="3" t="s">
        <v>2073</v>
      </c>
      <c r="S8" t="s">
        <v>20</v>
      </c>
    </row>
    <row r="9" spans="1:19" x14ac:dyDescent="0.35">
      <c r="A9" s="4">
        <v>45476</v>
      </c>
      <c r="B9" s="2" t="s">
        <v>2053</v>
      </c>
      <c r="D9" s="2" t="s">
        <v>47</v>
      </c>
      <c r="E9" s="2" t="s">
        <v>31</v>
      </c>
      <c r="F9" s="5" t="str">
        <f t="shared" si="0"/>
        <v>N/F 131 MARTA REY ABAD</v>
      </c>
      <c r="G9" s="12">
        <f t="shared" si="1"/>
        <v>16528.92561983471</v>
      </c>
      <c r="H9">
        <v>21</v>
      </c>
      <c r="I9" s="5">
        <f t="shared" si="2"/>
        <v>3471.0743801652889</v>
      </c>
      <c r="J9" s="5">
        <f t="shared" si="3"/>
        <v>16528.92561983471</v>
      </c>
      <c r="L9" s="5">
        <f t="shared" si="4"/>
        <v>0</v>
      </c>
      <c r="M9" s="8">
        <v>20000</v>
      </c>
      <c r="N9" s="3" t="s">
        <v>2072</v>
      </c>
      <c r="S9" t="s">
        <v>20</v>
      </c>
    </row>
    <row r="10" spans="1:19" x14ac:dyDescent="0.35">
      <c r="A10" s="4">
        <v>45478</v>
      </c>
      <c r="B10" s="2" t="s">
        <v>2054</v>
      </c>
      <c r="D10" s="2" t="s">
        <v>81</v>
      </c>
      <c r="E10" s="2" t="s">
        <v>2055</v>
      </c>
      <c r="F10" s="5" t="str">
        <f t="shared" si="0"/>
        <v>132 CONSEJERIA DE VIVIENDA TRANSPORTE E INFRAESTRUCTURA</v>
      </c>
      <c r="G10" s="12">
        <f t="shared" si="1"/>
        <v>718.19834710743805</v>
      </c>
      <c r="H10">
        <v>21</v>
      </c>
      <c r="I10" s="5">
        <f t="shared" si="2"/>
        <v>150.82165289256199</v>
      </c>
      <c r="J10" s="5">
        <f t="shared" si="3"/>
        <v>718.19834710743805</v>
      </c>
      <c r="L10" s="5">
        <f t="shared" si="4"/>
        <v>0</v>
      </c>
      <c r="M10" s="8">
        <v>869.02</v>
      </c>
      <c r="N10" s="3" t="s">
        <v>2381</v>
      </c>
    </row>
    <row r="11" spans="1:19" x14ac:dyDescent="0.35">
      <c r="A11" s="4">
        <v>45478</v>
      </c>
      <c r="B11" s="2" t="s">
        <v>2056</v>
      </c>
      <c r="D11" s="2" t="s">
        <v>81</v>
      </c>
      <c r="E11" s="2" t="s">
        <v>2055</v>
      </c>
      <c r="F11" s="5" t="str">
        <f t="shared" si="0"/>
        <v>N/F 133 CONSEJERIA DE VIVIENDA TRANSPORTE E INFRAESTRUCTURA</v>
      </c>
      <c r="G11" s="12">
        <f t="shared" si="1"/>
        <v>579.60330578512401</v>
      </c>
      <c r="H11">
        <v>21</v>
      </c>
      <c r="I11" s="5">
        <f t="shared" si="2"/>
        <v>121.71669421487604</v>
      </c>
      <c r="J11" s="5">
        <f t="shared" si="3"/>
        <v>579.60330578512401</v>
      </c>
      <c r="L11" s="5">
        <f t="shared" si="4"/>
        <v>0</v>
      </c>
      <c r="M11" s="8">
        <v>701.32</v>
      </c>
      <c r="N11" s="3" t="s">
        <v>2381</v>
      </c>
      <c r="S11" t="s">
        <v>20</v>
      </c>
    </row>
    <row r="12" spans="1:19" x14ac:dyDescent="0.35">
      <c r="A12" s="4">
        <v>45478</v>
      </c>
      <c r="B12" s="2" t="s">
        <v>2057</v>
      </c>
      <c r="D12" s="2" t="s">
        <v>81</v>
      </c>
      <c r="E12" s="2" t="s">
        <v>2055</v>
      </c>
      <c r="F12" s="5" t="str">
        <f t="shared" si="0"/>
        <v>N/F 134 CONSEJERIA DE VIVIENDA TRANSPORTE E INFRAESTRUCTURA</v>
      </c>
      <c r="G12" s="12">
        <f t="shared" si="1"/>
        <v>359.09917355371903</v>
      </c>
      <c r="H12">
        <v>21</v>
      </c>
      <c r="I12" s="5">
        <f t="shared" si="2"/>
        <v>75.410826446280993</v>
      </c>
      <c r="J12" s="5">
        <f t="shared" si="3"/>
        <v>359.09917355371903</v>
      </c>
      <c r="L12" s="5">
        <f t="shared" si="4"/>
        <v>0</v>
      </c>
      <c r="M12" s="8">
        <v>434.51</v>
      </c>
      <c r="N12" s="3" t="s">
        <v>2381</v>
      </c>
      <c r="S12" t="s">
        <v>20</v>
      </c>
    </row>
    <row r="13" spans="1:19" x14ac:dyDescent="0.35">
      <c r="A13" s="4">
        <v>45478</v>
      </c>
      <c r="B13" s="2" t="s">
        <v>2058</v>
      </c>
      <c r="D13" s="2" t="s">
        <v>1601</v>
      </c>
      <c r="E13" s="2" t="s">
        <v>2062</v>
      </c>
      <c r="F13" s="5" t="str">
        <f t="shared" si="0"/>
        <v>N/F 135 DISTRIBUCIONES GARVIC SL</v>
      </c>
      <c r="G13" s="12">
        <f t="shared" si="1"/>
        <v>670.00000000000011</v>
      </c>
      <c r="H13">
        <v>21</v>
      </c>
      <c r="I13" s="5">
        <f t="shared" si="2"/>
        <v>140.70000000000002</v>
      </c>
      <c r="J13" s="5">
        <f t="shared" si="3"/>
        <v>670.00000000000011</v>
      </c>
      <c r="L13" s="5">
        <f t="shared" si="4"/>
        <v>0</v>
      </c>
      <c r="M13" s="8">
        <v>810.7</v>
      </c>
      <c r="N13" s="3" t="s">
        <v>2084</v>
      </c>
      <c r="S13" t="s">
        <v>20</v>
      </c>
    </row>
    <row r="14" spans="1:19" x14ac:dyDescent="0.35">
      <c r="A14" s="4">
        <v>45478</v>
      </c>
      <c r="B14" s="2" t="s">
        <v>2059</v>
      </c>
      <c r="D14" s="2" t="s">
        <v>47</v>
      </c>
      <c r="E14" s="2" t="s">
        <v>31</v>
      </c>
      <c r="F14" s="5" t="str">
        <f t="shared" si="0"/>
        <v>N/F 136 MARTA REY ABAD</v>
      </c>
      <c r="G14" s="12">
        <f t="shared" si="1"/>
        <v>97964.47107438017</v>
      </c>
      <c r="H14">
        <v>21</v>
      </c>
      <c r="I14" s="5">
        <f t="shared" si="2"/>
        <v>20572.538925619836</v>
      </c>
      <c r="J14" s="5">
        <f t="shared" si="3"/>
        <v>97964.47107438017</v>
      </c>
      <c r="L14" s="5">
        <f t="shared" si="4"/>
        <v>0</v>
      </c>
      <c r="M14" s="8">
        <v>118537.01</v>
      </c>
      <c r="N14" s="3" t="s">
        <v>2379</v>
      </c>
      <c r="O14" s="3" t="s">
        <v>2453</v>
      </c>
      <c r="P14" s="3" t="s">
        <v>2454</v>
      </c>
      <c r="Q14" s="2" t="s">
        <v>2673</v>
      </c>
      <c r="S14" t="s">
        <v>20</v>
      </c>
    </row>
    <row r="15" spans="1:19" x14ac:dyDescent="0.35">
      <c r="A15" s="4">
        <v>45481</v>
      </c>
      <c r="B15" s="2" t="s">
        <v>2060</v>
      </c>
      <c r="D15" s="2" t="s">
        <v>1263</v>
      </c>
      <c r="E15" s="2" t="s">
        <v>2085</v>
      </c>
      <c r="F15" s="5" t="str">
        <f t="shared" si="0"/>
        <v>N/F 137 C.P. OSA MEMOR 12</v>
      </c>
      <c r="G15" s="12">
        <f t="shared" si="1"/>
        <v>4687.318181818182</v>
      </c>
      <c r="H15">
        <v>10</v>
      </c>
      <c r="I15" s="5">
        <f t="shared" si="2"/>
        <v>468.73181818181826</v>
      </c>
      <c r="J15" s="5">
        <f t="shared" si="3"/>
        <v>4687.318181818182</v>
      </c>
      <c r="L15" s="5">
        <f t="shared" si="4"/>
        <v>0</v>
      </c>
      <c r="M15" s="8">
        <v>5156.05</v>
      </c>
      <c r="N15" s="3" t="s">
        <v>2099</v>
      </c>
      <c r="S15" t="s">
        <v>20</v>
      </c>
    </row>
    <row r="16" spans="1:19" x14ac:dyDescent="0.35">
      <c r="A16" s="4">
        <v>45481</v>
      </c>
      <c r="B16" s="2" t="s">
        <v>2063</v>
      </c>
      <c r="D16" s="2" t="s">
        <v>1747</v>
      </c>
      <c r="E16" s="2" t="s">
        <v>2064</v>
      </c>
      <c r="F16" s="5" t="str">
        <f t="shared" si="0"/>
        <v>N/F 138 VISARION</v>
      </c>
      <c r="G16" s="12">
        <f t="shared" si="1"/>
        <v>2923</v>
      </c>
      <c r="H16">
        <v>21</v>
      </c>
      <c r="I16" s="5">
        <f t="shared" si="2"/>
        <v>613.83000000000004</v>
      </c>
      <c r="J16" s="5">
        <f t="shared" si="3"/>
        <v>2923</v>
      </c>
      <c r="L16" s="5">
        <f t="shared" si="4"/>
        <v>0</v>
      </c>
      <c r="M16" s="8">
        <v>3536.83</v>
      </c>
      <c r="N16" s="3" t="s">
        <v>2087</v>
      </c>
      <c r="S16" t="s">
        <v>20</v>
      </c>
    </row>
    <row r="17" spans="1:19" x14ac:dyDescent="0.35">
      <c r="A17" s="4">
        <v>45482</v>
      </c>
      <c r="B17" s="2" t="s">
        <v>2065</v>
      </c>
      <c r="D17" s="2" t="s">
        <v>1743</v>
      </c>
      <c r="E17" s="2" t="s">
        <v>1744</v>
      </c>
      <c r="F17" s="5" t="str">
        <f t="shared" si="0"/>
        <v>N/F 139 NILOOFAR TOCHAI SAFAI</v>
      </c>
      <c r="G17" s="12">
        <f t="shared" si="1"/>
        <v>7999.9999999999991</v>
      </c>
      <c r="H17">
        <v>10</v>
      </c>
      <c r="I17" s="5">
        <f t="shared" si="2"/>
        <v>799.99999999999989</v>
      </c>
      <c r="J17" s="5">
        <f t="shared" si="3"/>
        <v>7999.9999999999991</v>
      </c>
      <c r="L17" s="5">
        <f t="shared" si="4"/>
        <v>0</v>
      </c>
      <c r="M17" s="8">
        <v>8800</v>
      </c>
      <c r="N17" s="3" t="s">
        <v>2071</v>
      </c>
      <c r="S17" t="s">
        <v>20</v>
      </c>
    </row>
    <row r="18" spans="1:19" x14ac:dyDescent="0.35">
      <c r="A18" s="4">
        <v>45482</v>
      </c>
      <c r="B18" s="2" t="s">
        <v>2066</v>
      </c>
      <c r="D18" s="2" t="s">
        <v>1743</v>
      </c>
      <c r="E18" s="2" t="s">
        <v>1744</v>
      </c>
      <c r="F18" s="5" t="str">
        <f t="shared" si="0"/>
        <v>N/F 140 NILOOFAR TOCHAI SAFAI</v>
      </c>
      <c r="G18" s="12">
        <f t="shared" si="1"/>
        <v>18300</v>
      </c>
      <c r="H18">
        <v>10</v>
      </c>
      <c r="I18" s="5">
        <f t="shared" si="2"/>
        <v>1830</v>
      </c>
      <c r="J18" s="5">
        <f t="shared" si="3"/>
        <v>18300</v>
      </c>
      <c r="L18" s="5">
        <f t="shared" si="4"/>
        <v>0</v>
      </c>
      <c r="M18" s="8">
        <v>20130</v>
      </c>
      <c r="N18" s="3" t="s">
        <v>2071</v>
      </c>
      <c r="S18" t="s">
        <v>20</v>
      </c>
    </row>
    <row r="19" spans="1:19" x14ac:dyDescent="0.35">
      <c r="A19" s="4">
        <v>45490</v>
      </c>
      <c r="B19" s="2" t="s">
        <v>2067</v>
      </c>
      <c r="D19" s="2" t="s">
        <v>251</v>
      </c>
      <c r="E19" s="2" t="s">
        <v>304</v>
      </c>
      <c r="F19" s="5" t="str">
        <f t="shared" si="0"/>
        <v>N/F 141 BERTA MARTINEZ DELGADO</v>
      </c>
      <c r="G19" s="12">
        <f t="shared" si="1"/>
        <v>782</v>
      </c>
      <c r="H19">
        <v>21</v>
      </c>
      <c r="I19" s="5">
        <f t="shared" si="2"/>
        <v>164.22</v>
      </c>
      <c r="J19" s="5">
        <f t="shared" si="3"/>
        <v>782</v>
      </c>
      <c r="L19" s="5">
        <f t="shared" si="4"/>
        <v>0</v>
      </c>
      <c r="M19" s="8">
        <v>946.22</v>
      </c>
      <c r="N19" s="3" t="s">
        <v>2102</v>
      </c>
      <c r="S19" t="s">
        <v>20</v>
      </c>
    </row>
    <row r="20" spans="1:19" x14ac:dyDescent="0.35">
      <c r="A20" s="4">
        <v>45491</v>
      </c>
      <c r="B20" s="2" t="s">
        <v>2068</v>
      </c>
      <c r="D20" s="2" t="s">
        <v>2069</v>
      </c>
      <c r="E20" s="2" t="s">
        <v>2070</v>
      </c>
      <c r="F20" s="5" t="str">
        <f t="shared" si="0"/>
        <v>N/F 142 C.P. JUANA I DE CASTILLA 1-9</v>
      </c>
      <c r="G20" s="12">
        <f t="shared" si="1"/>
        <v>802.99999999999989</v>
      </c>
      <c r="H20">
        <v>10</v>
      </c>
      <c r="I20" s="5">
        <f t="shared" si="2"/>
        <v>80.3</v>
      </c>
      <c r="J20" s="5">
        <f t="shared" si="3"/>
        <v>802.99999999999989</v>
      </c>
      <c r="L20" s="5">
        <f t="shared" si="4"/>
        <v>0</v>
      </c>
      <c r="M20" s="8">
        <v>883.3</v>
      </c>
      <c r="N20" s="3" t="s">
        <v>2102</v>
      </c>
      <c r="S20" t="s">
        <v>20</v>
      </c>
    </row>
    <row r="21" spans="1:19" x14ac:dyDescent="0.35">
      <c r="A21" s="4">
        <v>45491</v>
      </c>
      <c r="B21" s="2" t="s">
        <v>267</v>
      </c>
      <c r="D21" s="2" t="s">
        <v>134</v>
      </c>
      <c r="E21" s="2" t="s">
        <v>143</v>
      </c>
      <c r="F21" s="5" t="str">
        <f t="shared" si="0"/>
        <v>N/F 143 IOAN NICULAI</v>
      </c>
      <c r="G21" s="12">
        <f t="shared" si="1"/>
        <v>6215.2479338842977</v>
      </c>
      <c r="H21">
        <v>21</v>
      </c>
      <c r="I21" s="5">
        <f t="shared" si="2"/>
        <v>1305.2020661157026</v>
      </c>
      <c r="J21" s="5">
        <f t="shared" si="3"/>
        <v>6215.2479338842977</v>
      </c>
      <c r="L21" s="5">
        <f t="shared" si="4"/>
        <v>0</v>
      </c>
      <c r="M21" s="8">
        <v>7520.45</v>
      </c>
      <c r="N21" s="3" t="s">
        <v>2103</v>
      </c>
      <c r="R21" s="3"/>
      <c r="S21" t="s">
        <v>20</v>
      </c>
    </row>
    <row r="22" spans="1:19" x14ac:dyDescent="0.35">
      <c r="A22" s="4">
        <v>45495</v>
      </c>
      <c r="B22" s="2" t="s">
        <v>2089</v>
      </c>
      <c r="D22" s="2" t="s">
        <v>457</v>
      </c>
      <c r="E22" s="2" t="s">
        <v>403</v>
      </c>
      <c r="F22" s="5" t="str">
        <f t="shared" si="0"/>
        <v>N/F 144 MANUELA CASTRO VIDALES</v>
      </c>
      <c r="G22" s="12">
        <f t="shared" si="1"/>
        <v>220</v>
      </c>
      <c r="H22">
        <v>21</v>
      </c>
      <c r="I22" s="5">
        <f t="shared" si="2"/>
        <v>46.2</v>
      </c>
      <c r="J22" s="5">
        <f t="shared" si="3"/>
        <v>220</v>
      </c>
      <c r="L22" s="5">
        <f t="shared" si="4"/>
        <v>0</v>
      </c>
      <c r="M22" s="8">
        <v>266.2</v>
      </c>
      <c r="N22" s="3" t="s">
        <v>3110</v>
      </c>
      <c r="S22" t="s">
        <v>20</v>
      </c>
    </row>
    <row r="23" spans="1:19" x14ac:dyDescent="0.35">
      <c r="A23" s="4">
        <v>45499</v>
      </c>
      <c r="B23" s="2" t="s">
        <v>2090</v>
      </c>
      <c r="D23" s="2" t="s">
        <v>48</v>
      </c>
      <c r="E23" s="2" t="s">
        <v>2045</v>
      </c>
      <c r="F23" s="5" t="str">
        <f t="shared" si="0"/>
        <v>N/F 145 DOFITEC SOLUCIONES INTEGRALES S.L.</v>
      </c>
      <c r="G23" s="12">
        <f t="shared" si="1"/>
        <v>15000</v>
      </c>
      <c r="H23">
        <v>21</v>
      </c>
      <c r="I23" s="5">
        <f t="shared" si="2"/>
        <v>3150</v>
      </c>
      <c r="J23" s="5">
        <f t="shared" si="3"/>
        <v>15000</v>
      </c>
      <c r="L23" s="5">
        <f t="shared" si="4"/>
        <v>0</v>
      </c>
      <c r="M23" s="8">
        <v>18150</v>
      </c>
      <c r="N23" s="3" t="s">
        <v>2104</v>
      </c>
      <c r="S23" t="s">
        <v>20</v>
      </c>
    </row>
    <row r="24" spans="1:19" x14ac:dyDescent="0.35">
      <c r="A24" s="4">
        <v>45502</v>
      </c>
      <c r="B24" s="2" t="s">
        <v>2091</v>
      </c>
      <c r="D24" s="2" t="s">
        <v>2092</v>
      </c>
      <c r="E24" s="2" t="s">
        <v>2093</v>
      </c>
      <c r="F24" s="5" t="str">
        <f t="shared" si="0"/>
        <v>146 MANUEL MONTERRUBIO MUÑOZ</v>
      </c>
      <c r="G24" s="12">
        <f t="shared" si="1"/>
        <v>2208.1983471074382</v>
      </c>
      <c r="H24">
        <v>21</v>
      </c>
      <c r="I24" s="5">
        <f t="shared" si="2"/>
        <v>463.72165289256196</v>
      </c>
      <c r="J24" s="5">
        <f t="shared" si="3"/>
        <v>2208.1983471074382</v>
      </c>
      <c r="L24" s="5">
        <f t="shared" si="4"/>
        <v>0</v>
      </c>
      <c r="M24" s="8">
        <v>2671.92</v>
      </c>
      <c r="N24" s="3" t="s">
        <v>2087</v>
      </c>
    </row>
    <row r="25" spans="1:19" x14ac:dyDescent="0.35">
      <c r="A25" s="4">
        <v>45503</v>
      </c>
      <c r="B25" s="2" t="s">
        <v>2094</v>
      </c>
      <c r="D25" s="2" t="s">
        <v>47</v>
      </c>
      <c r="E25" s="2" t="s">
        <v>31</v>
      </c>
      <c r="F25" s="5" t="str">
        <f t="shared" si="0"/>
        <v>N/F 147 MARTA REY ABAD</v>
      </c>
      <c r="G25" s="12">
        <f t="shared" si="1"/>
        <v>17439.429752066117</v>
      </c>
      <c r="H25">
        <v>21</v>
      </c>
      <c r="I25" s="5">
        <f t="shared" si="2"/>
        <v>3662.2802479338843</v>
      </c>
      <c r="J25" s="5">
        <f t="shared" si="3"/>
        <v>17439.429752066117</v>
      </c>
      <c r="L25" s="5">
        <f t="shared" si="4"/>
        <v>0</v>
      </c>
      <c r="M25" s="8">
        <v>21101.71</v>
      </c>
      <c r="N25" s="3" t="s">
        <v>2278</v>
      </c>
      <c r="O25" s="3" t="s">
        <v>2279</v>
      </c>
      <c r="S25" t="s">
        <v>20</v>
      </c>
    </row>
    <row r="26" spans="1:19" x14ac:dyDescent="0.35">
      <c r="A26" s="4">
        <v>45504</v>
      </c>
      <c r="B26" s="2" t="s">
        <v>2095</v>
      </c>
      <c r="D26" s="2" t="s">
        <v>2096</v>
      </c>
      <c r="E26" s="2" t="s">
        <v>2097</v>
      </c>
      <c r="F26" s="5" t="str">
        <f t="shared" si="0"/>
        <v>148 ARTESBEYAS CONSTRUCCIONES Y REFORMAS</v>
      </c>
      <c r="G26" s="12">
        <f t="shared" si="1"/>
        <v>8600</v>
      </c>
      <c r="H26">
        <v>21</v>
      </c>
      <c r="I26" s="5">
        <f t="shared" si="2"/>
        <v>1806</v>
      </c>
      <c r="J26" s="5">
        <f t="shared" si="3"/>
        <v>8600</v>
      </c>
      <c r="L26" s="5">
        <f t="shared" si="4"/>
        <v>0</v>
      </c>
      <c r="M26" s="8">
        <v>10406</v>
      </c>
      <c r="N26" s="3" t="s">
        <v>2207</v>
      </c>
      <c r="O26" s="3" t="s">
        <v>2294</v>
      </c>
      <c r="P26" s="3" t="s">
        <v>2295</v>
      </c>
    </row>
    <row r="27" spans="1:19" x14ac:dyDescent="0.35">
      <c r="A27" s="4">
        <v>45505</v>
      </c>
      <c r="B27" s="2" t="s">
        <v>2107</v>
      </c>
      <c r="D27" s="2" t="s">
        <v>142</v>
      </c>
      <c r="E27" s="2" t="s">
        <v>129</v>
      </c>
      <c r="F27" s="5" t="str">
        <f t="shared" si="0"/>
        <v>149 LINOTEC SOLUCIONES TECNICAS SL</v>
      </c>
      <c r="G27" s="12">
        <f t="shared" si="1"/>
        <v>1905.0000000000002</v>
      </c>
      <c r="H27">
        <v>21</v>
      </c>
      <c r="I27" s="5">
        <f t="shared" si="2"/>
        <v>400.05000000000007</v>
      </c>
      <c r="J27" s="5">
        <f t="shared" si="3"/>
        <v>1905.0000000000002</v>
      </c>
      <c r="L27" s="5">
        <f t="shared" si="4"/>
        <v>0</v>
      </c>
      <c r="M27" s="8">
        <v>2305.0500000000002</v>
      </c>
      <c r="N27" s="3" t="s">
        <v>2271</v>
      </c>
    </row>
    <row r="28" spans="1:19" x14ac:dyDescent="0.35">
      <c r="A28" s="4">
        <v>45505</v>
      </c>
      <c r="B28" s="2" t="s">
        <v>2108</v>
      </c>
      <c r="D28" s="2" t="s">
        <v>142</v>
      </c>
      <c r="E28" s="2" t="s">
        <v>129</v>
      </c>
      <c r="F28" s="5" t="str">
        <f t="shared" si="0"/>
        <v>150 LINOTEC SOLUCIONES TECNICAS SL</v>
      </c>
      <c r="G28" s="12">
        <f t="shared" si="1"/>
        <v>8361.44</v>
      </c>
      <c r="H28">
        <v>0</v>
      </c>
      <c r="I28" s="5">
        <f t="shared" si="2"/>
        <v>0</v>
      </c>
      <c r="J28" s="5">
        <f t="shared" si="3"/>
        <v>8361.44</v>
      </c>
      <c r="L28" s="5">
        <f t="shared" si="4"/>
        <v>0</v>
      </c>
      <c r="M28" s="8">
        <v>8361.44</v>
      </c>
      <c r="N28" s="3" t="s">
        <v>2272</v>
      </c>
    </row>
    <row r="29" spans="1:19" x14ac:dyDescent="0.35">
      <c r="A29" s="4">
        <v>45505</v>
      </c>
      <c r="B29" s="2" t="s">
        <v>2109</v>
      </c>
      <c r="D29" s="2" t="s">
        <v>263</v>
      </c>
      <c r="E29" s="2" t="s">
        <v>264</v>
      </c>
      <c r="F29" s="5" t="str">
        <f t="shared" si="0"/>
        <v>151 MQF SL</v>
      </c>
      <c r="G29" s="12">
        <f t="shared" si="1"/>
        <v>800</v>
      </c>
      <c r="H29">
        <v>21</v>
      </c>
      <c r="I29" s="5">
        <f t="shared" si="2"/>
        <v>168</v>
      </c>
      <c r="J29" s="5">
        <f t="shared" si="3"/>
        <v>800</v>
      </c>
      <c r="L29" s="5">
        <f t="shared" si="4"/>
        <v>0</v>
      </c>
      <c r="M29" s="8">
        <v>968</v>
      </c>
      <c r="N29" s="3" t="s">
        <v>2271</v>
      </c>
    </row>
    <row r="30" spans="1:19" x14ac:dyDescent="0.35">
      <c r="A30" s="4">
        <v>45505</v>
      </c>
      <c r="B30" s="2" t="s">
        <v>2110</v>
      </c>
      <c r="D30" s="2" t="s">
        <v>263</v>
      </c>
      <c r="E30" s="2" t="s">
        <v>264</v>
      </c>
      <c r="F30" s="5" t="str">
        <f t="shared" si="0"/>
        <v>152 MQF SL</v>
      </c>
      <c r="G30" s="12">
        <f t="shared" si="1"/>
        <v>1200</v>
      </c>
      <c r="H30">
        <v>21</v>
      </c>
      <c r="I30" s="5">
        <f t="shared" si="2"/>
        <v>252</v>
      </c>
      <c r="J30" s="5">
        <f t="shared" si="3"/>
        <v>1200</v>
      </c>
      <c r="L30" s="5">
        <f t="shared" si="4"/>
        <v>0</v>
      </c>
      <c r="M30" s="8">
        <v>1452</v>
      </c>
      <c r="N30" s="3" t="s">
        <v>2271</v>
      </c>
    </row>
    <row r="31" spans="1:19" x14ac:dyDescent="0.35">
      <c r="A31" s="4">
        <v>45505</v>
      </c>
      <c r="B31" s="2" t="s">
        <v>2111</v>
      </c>
      <c r="D31" s="2" t="s">
        <v>1355</v>
      </c>
      <c r="E31" s="2" t="s">
        <v>1356</v>
      </c>
      <c r="F31" s="5" t="str">
        <f t="shared" si="0"/>
        <v>153 CPM PETRE ADAM</v>
      </c>
      <c r="G31" s="12">
        <f t="shared" si="1"/>
        <v>200</v>
      </c>
      <c r="H31">
        <v>21</v>
      </c>
      <c r="I31" s="5">
        <f t="shared" si="2"/>
        <v>42</v>
      </c>
      <c r="J31" s="5">
        <f t="shared" si="3"/>
        <v>200</v>
      </c>
      <c r="L31" s="5">
        <f t="shared" si="4"/>
        <v>0</v>
      </c>
      <c r="M31" s="8">
        <v>242</v>
      </c>
      <c r="N31" s="3" t="s">
        <v>2271</v>
      </c>
    </row>
    <row r="32" spans="1:19" x14ac:dyDescent="0.35">
      <c r="A32" s="4">
        <v>45505</v>
      </c>
      <c r="B32" s="2" t="s">
        <v>2188</v>
      </c>
      <c r="D32" s="2" t="s">
        <v>95</v>
      </c>
      <c r="E32" s="2" t="s">
        <v>96</v>
      </c>
      <c r="F32" s="5" t="str">
        <f t="shared" si="0"/>
        <v>154 MARCEL DUMITER BEGOFF</v>
      </c>
      <c r="G32" s="12">
        <f t="shared" si="1"/>
        <v>751</v>
      </c>
      <c r="H32">
        <v>21</v>
      </c>
      <c r="I32" s="5">
        <f t="shared" si="2"/>
        <v>157.71</v>
      </c>
      <c r="J32" s="5">
        <f t="shared" si="3"/>
        <v>751</v>
      </c>
      <c r="L32" s="5">
        <f t="shared" si="4"/>
        <v>0</v>
      </c>
      <c r="M32" s="8">
        <v>908.71</v>
      </c>
      <c r="N32" s="3" t="s">
        <v>294</v>
      </c>
    </row>
    <row r="33" spans="1:20" x14ac:dyDescent="0.35">
      <c r="A33" s="4">
        <v>45505</v>
      </c>
      <c r="B33" s="2" t="s">
        <v>2189</v>
      </c>
      <c r="D33" s="2" t="s">
        <v>45</v>
      </c>
      <c r="E33" s="2" t="s">
        <v>163</v>
      </c>
      <c r="F33" s="5" t="str">
        <f t="shared" si="0"/>
        <v>155 EMANUEL CODITA</v>
      </c>
      <c r="G33" s="12">
        <f t="shared" si="1"/>
        <v>798.00000000000011</v>
      </c>
      <c r="H33">
        <v>21</v>
      </c>
      <c r="I33" s="5">
        <f t="shared" si="2"/>
        <v>167.58000000000004</v>
      </c>
      <c r="J33" s="5">
        <f t="shared" si="3"/>
        <v>798.00000000000011</v>
      </c>
      <c r="L33" s="5">
        <f t="shared" si="4"/>
        <v>0</v>
      </c>
      <c r="M33" s="8">
        <v>965.58</v>
      </c>
      <c r="N33" s="3" t="s">
        <v>294</v>
      </c>
    </row>
    <row r="34" spans="1:20" x14ac:dyDescent="0.35">
      <c r="A34" s="4">
        <v>45505</v>
      </c>
      <c r="B34" s="2" t="s">
        <v>2190</v>
      </c>
      <c r="D34" s="2" t="s">
        <v>234</v>
      </c>
      <c r="E34" s="2" t="s">
        <v>235</v>
      </c>
      <c r="F34" s="5" t="str">
        <f t="shared" si="0"/>
        <v>N/F 156 VIOREL ROBCIUC</v>
      </c>
      <c r="G34" s="12">
        <f t="shared" si="1"/>
        <v>785</v>
      </c>
      <c r="H34">
        <v>21</v>
      </c>
      <c r="I34" s="5">
        <f t="shared" si="2"/>
        <v>164.85</v>
      </c>
      <c r="J34" s="5">
        <f t="shared" si="3"/>
        <v>785</v>
      </c>
      <c r="L34" s="5">
        <f t="shared" si="4"/>
        <v>0</v>
      </c>
      <c r="M34" s="8">
        <v>949.85</v>
      </c>
      <c r="N34" s="3" t="s">
        <v>294</v>
      </c>
      <c r="S34" t="s">
        <v>20</v>
      </c>
    </row>
    <row r="35" spans="1:20" x14ac:dyDescent="0.35">
      <c r="A35" s="4">
        <v>45505</v>
      </c>
      <c r="B35" s="2" t="s">
        <v>2191</v>
      </c>
      <c r="D35" s="2" t="s">
        <v>1747</v>
      </c>
      <c r="E35" s="2" t="s">
        <v>2064</v>
      </c>
      <c r="F35" s="5" t="str">
        <f t="shared" si="0"/>
        <v>N/F 157 VISARION</v>
      </c>
      <c r="G35" s="12">
        <f t="shared" si="1"/>
        <v>765</v>
      </c>
      <c r="H35">
        <v>21</v>
      </c>
      <c r="I35" s="5">
        <f t="shared" si="2"/>
        <v>160.65</v>
      </c>
      <c r="J35" s="5">
        <f t="shared" si="3"/>
        <v>765</v>
      </c>
      <c r="L35" s="5">
        <f t="shared" si="4"/>
        <v>0</v>
      </c>
      <c r="M35" s="8">
        <v>925.65</v>
      </c>
      <c r="N35" s="3" t="s">
        <v>294</v>
      </c>
      <c r="S35" t="s">
        <v>20</v>
      </c>
    </row>
    <row r="36" spans="1:20" x14ac:dyDescent="0.35">
      <c r="A36" s="4">
        <v>45506</v>
      </c>
      <c r="B36" s="2" t="s">
        <v>2192</v>
      </c>
      <c r="D36" s="2" t="s">
        <v>23</v>
      </c>
      <c r="E36" s="2" t="s">
        <v>122</v>
      </c>
      <c r="F36" s="5" t="str">
        <f t="shared" si="0"/>
        <v>N/F 158 PINTOCOLORS</v>
      </c>
      <c r="G36" s="12">
        <f t="shared" si="1"/>
        <v>752</v>
      </c>
      <c r="H36">
        <v>21</v>
      </c>
      <c r="I36" s="5">
        <f t="shared" si="2"/>
        <v>157.91999999999999</v>
      </c>
      <c r="J36" s="5">
        <f t="shared" si="3"/>
        <v>752</v>
      </c>
      <c r="L36" s="5">
        <f t="shared" si="4"/>
        <v>0</v>
      </c>
      <c r="M36" s="8">
        <v>909.92</v>
      </c>
      <c r="N36" s="3" t="s">
        <v>294</v>
      </c>
      <c r="S36" t="s">
        <v>20</v>
      </c>
    </row>
    <row r="37" spans="1:20" x14ac:dyDescent="0.35">
      <c r="A37" s="4">
        <v>45506</v>
      </c>
      <c r="B37" s="2" t="s">
        <v>2193</v>
      </c>
      <c r="D37" s="2" t="s">
        <v>95</v>
      </c>
      <c r="E37" s="2" t="s">
        <v>96</v>
      </c>
      <c r="F37" s="5" t="str">
        <f t="shared" si="0"/>
        <v>159 MARCEL DUMITER BEGOFF</v>
      </c>
      <c r="G37" s="12">
        <f t="shared" si="1"/>
        <v>765</v>
      </c>
      <c r="H37">
        <v>21</v>
      </c>
      <c r="I37" s="5">
        <f t="shared" si="2"/>
        <v>160.65</v>
      </c>
      <c r="J37" s="5">
        <f t="shared" si="3"/>
        <v>765</v>
      </c>
      <c r="L37" s="5">
        <f t="shared" si="4"/>
        <v>0</v>
      </c>
      <c r="M37" s="8">
        <v>925.65</v>
      </c>
      <c r="N37" s="3" t="s">
        <v>294</v>
      </c>
    </row>
    <row r="38" spans="1:20" x14ac:dyDescent="0.35">
      <c r="A38" s="4">
        <v>45506</v>
      </c>
      <c r="B38" s="2" t="s">
        <v>2194</v>
      </c>
      <c r="D38" s="2" t="s">
        <v>1747</v>
      </c>
      <c r="E38" s="2" t="s">
        <v>2064</v>
      </c>
      <c r="F38" s="5" t="str">
        <f t="shared" si="0"/>
        <v>160 VISARION</v>
      </c>
      <c r="G38" s="12">
        <f t="shared" si="1"/>
        <v>789.00000000000011</v>
      </c>
      <c r="H38">
        <v>21</v>
      </c>
      <c r="I38" s="5">
        <f t="shared" si="2"/>
        <v>165.69000000000003</v>
      </c>
      <c r="J38" s="5">
        <f t="shared" si="3"/>
        <v>789.00000000000011</v>
      </c>
      <c r="L38" s="5">
        <f t="shared" si="4"/>
        <v>0</v>
      </c>
      <c r="M38" s="8">
        <v>954.69</v>
      </c>
      <c r="N38" s="3" t="s">
        <v>294</v>
      </c>
    </row>
    <row r="39" spans="1:20" x14ac:dyDescent="0.35">
      <c r="A39" s="4">
        <v>45506</v>
      </c>
      <c r="B39" s="2" t="s">
        <v>2195</v>
      </c>
      <c r="D39" s="2" t="s">
        <v>23</v>
      </c>
      <c r="E39" s="2" t="s">
        <v>122</v>
      </c>
      <c r="F39" s="5" t="str">
        <f t="shared" si="0"/>
        <v>161 PINTOCOLORS</v>
      </c>
      <c r="G39" s="12">
        <f t="shared" si="1"/>
        <v>812</v>
      </c>
      <c r="H39">
        <v>21</v>
      </c>
      <c r="I39" s="5">
        <f t="shared" si="2"/>
        <v>170.52</v>
      </c>
      <c r="J39" s="5">
        <f t="shared" si="3"/>
        <v>812</v>
      </c>
      <c r="L39" s="5">
        <f t="shared" si="4"/>
        <v>0</v>
      </c>
      <c r="M39" s="8">
        <v>982.52</v>
      </c>
      <c r="N39" s="3" t="s">
        <v>294</v>
      </c>
    </row>
    <row r="40" spans="1:20" x14ac:dyDescent="0.35">
      <c r="A40" s="4">
        <v>45506</v>
      </c>
      <c r="B40" s="2" t="s">
        <v>2196</v>
      </c>
      <c r="D40" s="2" t="s">
        <v>45</v>
      </c>
      <c r="E40" s="2" t="s">
        <v>163</v>
      </c>
      <c r="F40" s="5" t="str">
        <f t="shared" si="0"/>
        <v>162 EMANUEL CODITA</v>
      </c>
      <c r="G40" s="12">
        <f t="shared" si="1"/>
        <v>776</v>
      </c>
      <c r="H40">
        <v>21</v>
      </c>
      <c r="I40" s="5">
        <f t="shared" si="2"/>
        <v>162.96</v>
      </c>
      <c r="J40" s="5">
        <f t="shared" si="3"/>
        <v>776</v>
      </c>
      <c r="L40" s="5">
        <f t="shared" si="4"/>
        <v>0</v>
      </c>
      <c r="M40" s="8">
        <v>938.96</v>
      </c>
      <c r="N40" s="3" t="s">
        <v>294</v>
      </c>
    </row>
    <row r="41" spans="1:20" x14ac:dyDescent="0.35">
      <c r="A41" s="4">
        <v>45506</v>
      </c>
      <c r="B41" s="2" t="s">
        <v>2197</v>
      </c>
      <c r="D41" s="2" t="s">
        <v>234</v>
      </c>
      <c r="E41" s="2" t="s">
        <v>235</v>
      </c>
      <c r="F41" s="5" t="str">
        <f t="shared" si="0"/>
        <v>163 VIOREL ROBCIUC</v>
      </c>
      <c r="G41" s="12">
        <f t="shared" si="1"/>
        <v>712</v>
      </c>
      <c r="H41">
        <v>21</v>
      </c>
      <c r="I41" s="5">
        <f t="shared" si="2"/>
        <v>149.52000000000001</v>
      </c>
      <c r="J41" s="5">
        <f t="shared" si="3"/>
        <v>712</v>
      </c>
      <c r="L41" s="5">
        <f t="shared" si="4"/>
        <v>0</v>
      </c>
      <c r="M41" s="8">
        <v>861.52</v>
      </c>
      <c r="N41" s="3" t="s">
        <v>294</v>
      </c>
    </row>
    <row r="42" spans="1:20" x14ac:dyDescent="0.35">
      <c r="A42" s="4">
        <v>45506</v>
      </c>
      <c r="B42" s="2" t="s">
        <v>2198</v>
      </c>
      <c r="D42" s="2" t="s">
        <v>1747</v>
      </c>
      <c r="E42" s="2" t="s">
        <v>2064</v>
      </c>
      <c r="F42" s="5" t="str">
        <f t="shared" si="0"/>
        <v>164 VISARION</v>
      </c>
      <c r="G42" s="12">
        <f t="shared" si="1"/>
        <v>698</v>
      </c>
      <c r="H42">
        <v>21</v>
      </c>
      <c r="I42" s="5">
        <f t="shared" si="2"/>
        <v>146.58000000000001</v>
      </c>
      <c r="J42" s="5">
        <f t="shared" si="3"/>
        <v>698</v>
      </c>
      <c r="L42" s="5">
        <f t="shared" si="4"/>
        <v>0</v>
      </c>
      <c r="M42" s="8">
        <v>844.58</v>
      </c>
      <c r="N42" s="3" t="s">
        <v>294</v>
      </c>
    </row>
    <row r="43" spans="1:20" x14ac:dyDescent="0.35">
      <c r="A43" s="4">
        <v>45509</v>
      </c>
      <c r="B43" s="2" t="s">
        <v>2212</v>
      </c>
      <c r="D43" s="2" t="s">
        <v>1359</v>
      </c>
      <c r="E43" s="2" t="s">
        <v>2213</v>
      </c>
      <c r="F43" s="5" t="str">
        <f t="shared" si="0"/>
        <v>165 PARQUETS FLOTANTES BURGOS S.L.</v>
      </c>
      <c r="G43" s="12">
        <f t="shared" si="1"/>
        <v>2352</v>
      </c>
      <c r="H43">
        <v>21</v>
      </c>
      <c r="I43" s="5">
        <f t="shared" si="2"/>
        <v>493.92</v>
      </c>
      <c r="J43" s="5">
        <f t="shared" si="3"/>
        <v>2352</v>
      </c>
      <c r="L43" s="5">
        <f t="shared" si="4"/>
        <v>0</v>
      </c>
      <c r="M43" s="8">
        <v>2845.92</v>
      </c>
      <c r="N43" s="3" t="s">
        <v>2280</v>
      </c>
    </row>
    <row r="44" spans="1:20" x14ac:dyDescent="0.35">
      <c r="A44" s="4">
        <v>45509</v>
      </c>
      <c r="B44" s="2" t="s">
        <v>2209</v>
      </c>
      <c r="D44" s="2" t="s">
        <v>81</v>
      </c>
      <c r="E44" s="2" t="s">
        <v>2055</v>
      </c>
      <c r="F44" s="5" t="str">
        <f t="shared" si="0"/>
        <v>166 CONSEJERIA DE VIVIENDA TRANSPORTE E INFRAESTRUCTURA</v>
      </c>
      <c r="G44" s="12">
        <f t="shared" si="1"/>
        <v>718.19834710743805</v>
      </c>
      <c r="H44">
        <v>21</v>
      </c>
      <c r="I44" s="5">
        <f t="shared" si="2"/>
        <v>150.82165289256199</v>
      </c>
      <c r="J44" s="5">
        <f t="shared" si="3"/>
        <v>718.19834710743805</v>
      </c>
      <c r="L44" s="5">
        <f t="shared" si="4"/>
        <v>0</v>
      </c>
      <c r="M44" s="8">
        <v>869.02</v>
      </c>
      <c r="N44" s="3" t="s">
        <v>2682</v>
      </c>
    </row>
    <row r="45" spans="1:20" x14ac:dyDescent="0.35">
      <c r="A45" s="4">
        <v>45509</v>
      </c>
      <c r="B45" s="2" t="s">
        <v>2210</v>
      </c>
      <c r="D45" s="2" t="s">
        <v>81</v>
      </c>
      <c r="E45" s="2" t="s">
        <v>2055</v>
      </c>
      <c r="F45" s="5" t="str">
        <f t="shared" si="0"/>
        <v>167 CONSEJERIA DE VIVIENDA TRANSPORTE E INFRAESTRUCTURA</v>
      </c>
      <c r="G45" s="12">
        <f t="shared" si="1"/>
        <v>579.60330578512401</v>
      </c>
      <c r="H45">
        <v>21</v>
      </c>
      <c r="I45" s="5">
        <f t="shared" si="2"/>
        <v>121.71669421487604</v>
      </c>
      <c r="J45" s="5">
        <f t="shared" si="3"/>
        <v>579.60330578512401</v>
      </c>
      <c r="L45" s="5">
        <f t="shared" si="4"/>
        <v>0</v>
      </c>
      <c r="M45" s="8">
        <v>701.32</v>
      </c>
      <c r="N45" s="3" t="s">
        <v>2682</v>
      </c>
    </row>
    <row r="46" spans="1:20" x14ac:dyDescent="0.35">
      <c r="A46" s="4">
        <v>45509</v>
      </c>
      <c r="B46" s="2" t="s">
        <v>2211</v>
      </c>
      <c r="D46" s="2" t="s">
        <v>81</v>
      </c>
      <c r="E46" s="2" t="s">
        <v>2055</v>
      </c>
      <c r="F46" s="5" t="str">
        <f t="shared" si="0"/>
        <v>168 CONSEJERIA DE VIVIENDA TRANSPORTE E INFRAESTRUCTURA</v>
      </c>
      <c r="G46" s="12">
        <f t="shared" si="1"/>
        <v>359.09917355371903</v>
      </c>
      <c r="H46">
        <v>21</v>
      </c>
      <c r="I46" s="5">
        <f t="shared" si="2"/>
        <v>75.410826446280993</v>
      </c>
      <c r="J46" s="5">
        <f t="shared" si="3"/>
        <v>359.09917355371903</v>
      </c>
      <c r="L46" s="5">
        <f t="shared" si="4"/>
        <v>0</v>
      </c>
      <c r="M46" s="8">
        <v>434.51</v>
      </c>
      <c r="N46" s="3" t="s">
        <v>2682</v>
      </c>
    </row>
    <row r="47" spans="1:20" x14ac:dyDescent="0.35">
      <c r="A47" s="4">
        <v>45513</v>
      </c>
      <c r="B47" s="2" t="s">
        <v>2269</v>
      </c>
      <c r="D47" s="2" t="s">
        <v>1743</v>
      </c>
      <c r="E47" s="2" t="s">
        <v>1744</v>
      </c>
      <c r="F47" s="5" t="str">
        <f t="shared" si="0"/>
        <v>N/F 169 NILOOFAR TOCHAI SAFAI</v>
      </c>
      <c r="G47" s="12">
        <f>M47/(1-K47/100+H47/100)</f>
        <v>15406.581818181818</v>
      </c>
      <c r="H47">
        <v>10</v>
      </c>
      <c r="I47" s="5">
        <f t="shared" si="2"/>
        <v>1540.6581818181817</v>
      </c>
      <c r="J47" s="5">
        <f>G47</f>
        <v>15406.581818181818</v>
      </c>
      <c r="L47" s="5">
        <f>J47*K47/100</f>
        <v>0</v>
      </c>
      <c r="M47" s="8">
        <v>16947.240000000002</v>
      </c>
      <c r="N47" s="3" t="s">
        <v>2273</v>
      </c>
      <c r="S47" t="s">
        <v>20</v>
      </c>
    </row>
    <row r="48" spans="1:20" x14ac:dyDescent="0.35">
      <c r="A48" s="4">
        <v>45513</v>
      </c>
      <c r="B48" s="2" t="s">
        <v>276</v>
      </c>
      <c r="D48" s="2" t="s">
        <v>48</v>
      </c>
      <c r="E48" s="2" t="s">
        <v>2045</v>
      </c>
      <c r="F48" s="5" t="str">
        <f t="shared" ref="F48:F88" si="5">CONCATENATE(S48,B48," ",E48)</f>
        <v>N/F 170 DOFITEC SOLUCIONES INTEGRALES S.L.</v>
      </c>
      <c r="G48" s="12">
        <f t="shared" si="1"/>
        <v>5500</v>
      </c>
      <c r="H48">
        <v>21</v>
      </c>
      <c r="I48" s="5">
        <f t="shared" si="2"/>
        <v>1155</v>
      </c>
      <c r="J48" s="5">
        <f t="shared" si="3"/>
        <v>5500</v>
      </c>
      <c r="L48" s="5">
        <f t="shared" si="4"/>
        <v>0</v>
      </c>
      <c r="M48" s="8">
        <v>6655</v>
      </c>
      <c r="N48" s="3" t="s">
        <v>2275</v>
      </c>
      <c r="R48" s="3"/>
      <c r="S48" t="s">
        <v>20</v>
      </c>
      <c r="T48" s="3" t="s">
        <v>104</v>
      </c>
    </row>
    <row r="49" spans="1:19" x14ac:dyDescent="0.35">
      <c r="A49" s="4">
        <v>45525</v>
      </c>
      <c r="B49" s="2" t="s">
        <v>277</v>
      </c>
      <c r="D49" s="2" t="s">
        <v>245</v>
      </c>
      <c r="E49" s="2" t="s">
        <v>246</v>
      </c>
      <c r="F49" s="5" t="str">
        <f t="shared" si="5"/>
        <v>N/F 171 MASGEO ASOCIADOS SLU</v>
      </c>
      <c r="G49" s="12">
        <f t="shared" si="1"/>
        <v>4028</v>
      </c>
      <c r="H49">
        <v>21</v>
      </c>
      <c r="I49" s="5">
        <f t="shared" si="2"/>
        <v>845.88</v>
      </c>
      <c r="J49" s="5">
        <f t="shared" si="3"/>
        <v>4028</v>
      </c>
      <c r="L49" s="5">
        <f t="shared" si="4"/>
        <v>0</v>
      </c>
      <c r="M49" s="8">
        <v>4873.88</v>
      </c>
      <c r="N49" s="3" t="s">
        <v>2277</v>
      </c>
      <c r="S49" t="s">
        <v>20</v>
      </c>
    </row>
    <row r="50" spans="1:19" x14ac:dyDescent="0.35">
      <c r="A50" s="4">
        <v>45527</v>
      </c>
      <c r="B50" s="2" t="s">
        <v>2270</v>
      </c>
      <c r="D50" s="2" t="s">
        <v>1355</v>
      </c>
      <c r="E50" s="2" t="s">
        <v>1356</v>
      </c>
      <c r="F50" s="5" t="str">
        <f t="shared" si="5"/>
        <v>N/F 172 CPM PETRE ADAM</v>
      </c>
      <c r="G50" s="12">
        <f t="shared" si="1"/>
        <v>450</v>
      </c>
      <c r="H50">
        <v>21</v>
      </c>
      <c r="I50" s="5">
        <f t="shared" si="2"/>
        <v>94.5</v>
      </c>
      <c r="J50" s="5">
        <f t="shared" si="3"/>
        <v>450</v>
      </c>
      <c r="L50" s="5">
        <f t="shared" si="4"/>
        <v>0</v>
      </c>
      <c r="M50" s="8">
        <v>544.5</v>
      </c>
      <c r="N50" s="3" t="s">
        <v>2280</v>
      </c>
      <c r="S50" t="s">
        <v>20</v>
      </c>
    </row>
    <row r="51" spans="1:19" x14ac:dyDescent="0.35">
      <c r="A51" s="4">
        <v>45540</v>
      </c>
      <c r="B51" s="2" t="s">
        <v>2305</v>
      </c>
      <c r="D51" s="2" t="s">
        <v>81</v>
      </c>
      <c r="E51" s="2" t="s">
        <v>2055</v>
      </c>
      <c r="F51" s="5" t="str">
        <f t="shared" si="5"/>
        <v>N/F 173 CONSEJERIA DE VIVIENDA TRANSPORTE E INFRAESTRUCTURA</v>
      </c>
      <c r="G51" s="12">
        <f t="shared" si="1"/>
        <v>718.19834710743805</v>
      </c>
      <c r="H51">
        <v>21</v>
      </c>
      <c r="I51" s="5">
        <f t="shared" si="2"/>
        <v>150.82165289256199</v>
      </c>
      <c r="J51" s="5">
        <f t="shared" si="3"/>
        <v>718.19834710743805</v>
      </c>
      <c r="L51" s="5">
        <f t="shared" si="4"/>
        <v>0</v>
      </c>
      <c r="M51" s="8">
        <v>869.02</v>
      </c>
      <c r="N51" s="3" t="s">
        <v>2749</v>
      </c>
      <c r="S51" t="s">
        <v>20</v>
      </c>
    </row>
    <row r="52" spans="1:19" x14ac:dyDescent="0.35">
      <c r="A52" s="4">
        <v>45540</v>
      </c>
      <c r="B52" s="2" t="s">
        <v>2306</v>
      </c>
      <c r="D52" s="2" t="s">
        <v>81</v>
      </c>
      <c r="E52" s="2" t="s">
        <v>2055</v>
      </c>
      <c r="F52" s="5" t="str">
        <f t="shared" si="5"/>
        <v>N/F 174 CONSEJERIA DE VIVIENDA TRANSPORTE E INFRAESTRUCTURA</v>
      </c>
      <c r="G52" s="12">
        <f t="shared" si="1"/>
        <v>579.60330578512401</v>
      </c>
      <c r="H52">
        <v>21</v>
      </c>
      <c r="I52" s="5">
        <f t="shared" si="2"/>
        <v>121.71669421487604</v>
      </c>
      <c r="J52" s="5">
        <f t="shared" si="3"/>
        <v>579.60330578512401</v>
      </c>
      <c r="L52" s="5">
        <f t="shared" si="4"/>
        <v>0</v>
      </c>
      <c r="M52" s="8">
        <v>701.32</v>
      </c>
      <c r="N52" s="3" t="s">
        <v>2749</v>
      </c>
      <c r="S52" t="s">
        <v>20</v>
      </c>
    </row>
    <row r="53" spans="1:19" x14ac:dyDescent="0.35">
      <c r="A53" s="4">
        <v>45540</v>
      </c>
      <c r="B53" s="2" t="s">
        <v>2307</v>
      </c>
      <c r="D53" s="2" t="s">
        <v>81</v>
      </c>
      <c r="E53" s="2" t="s">
        <v>2055</v>
      </c>
      <c r="F53" s="5" t="str">
        <f t="shared" si="5"/>
        <v>N/F 175 CONSEJERIA DE VIVIENDA TRANSPORTE E INFRAESTRUCTURA</v>
      </c>
      <c r="G53" s="12">
        <f t="shared" si="1"/>
        <v>359.09917355371903</v>
      </c>
      <c r="H53">
        <v>21</v>
      </c>
      <c r="I53" s="5">
        <f t="shared" si="2"/>
        <v>75.410826446280993</v>
      </c>
      <c r="J53" s="5">
        <f t="shared" si="3"/>
        <v>359.09917355371903</v>
      </c>
      <c r="L53" s="5">
        <f t="shared" si="4"/>
        <v>0</v>
      </c>
      <c r="M53" s="8">
        <v>434.51</v>
      </c>
      <c r="N53" s="3" t="s">
        <v>2749</v>
      </c>
      <c r="S53" t="s">
        <v>20</v>
      </c>
    </row>
    <row r="54" spans="1:19" x14ac:dyDescent="0.35">
      <c r="A54" s="4">
        <v>45540</v>
      </c>
      <c r="B54" s="2" t="s">
        <v>2378</v>
      </c>
      <c r="D54" s="2" t="s">
        <v>1747</v>
      </c>
      <c r="E54" s="2" t="s">
        <v>2064</v>
      </c>
      <c r="F54" s="5" t="str">
        <f t="shared" si="5"/>
        <v>N/F 176 VISARION</v>
      </c>
      <c r="G54" s="12">
        <f t="shared" si="1"/>
        <v>7445.9917355371899</v>
      </c>
      <c r="H54">
        <v>21</v>
      </c>
      <c r="I54" s="5">
        <f t="shared" si="2"/>
        <v>1563.6582644628099</v>
      </c>
      <c r="J54" s="5">
        <f t="shared" si="3"/>
        <v>7445.9917355371899</v>
      </c>
      <c r="L54" s="5">
        <f t="shared" si="4"/>
        <v>0</v>
      </c>
      <c r="M54" s="8">
        <v>9009.65</v>
      </c>
      <c r="N54" s="3" t="s">
        <v>2271</v>
      </c>
      <c r="S54" t="s">
        <v>20</v>
      </c>
    </row>
    <row r="55" spans="1:19" x14ac:dyDescent="0.35">
      <c r="A55" s="4">
        <v>45544</v>
      </c>
      <c r="B55" s="2" t="s">
        <v>2380</v>
      </c>
      <c r="D55" s="2" t="s">
        <v>47</v>
      </c>
      <c r="E55" s="2" t="s">
        <v>31</v>
      </c>
      <c r="F55" s="5" t="str">
        <f t="shared" si="5"/>
        <v>177 MARTA REY ABAD</v>
      </c>
      <c r="G55" s="12">
        <f t="shared" si="1"/>
        <v>4897</v>
      </c>
      <c r="H55">
        <v>21</v>
      </c>
      <c r="I55" s="5">
        <f t="shared" si="2"/>
        <v>1028.3699999999999</v>
      </c>
      <c r="J55" s="5">
        <f t="shared" si="3"/>
        <v>4897</v>
      </c>
      <c r="L55" s="5">
        <f t="shared" si="4"/>
        <v>0</v>
      </c>
      <c r="M55" s="8">
        <v>5925.37</v>
      </c>
      <c r="N55" s="3" t="s">
        <v>2410</v>
      </c>
    </row>
    <row r="56" spans="1:19" x14ac:dyDescent="0.35">
      <c r="A56" s="4">
        <v>45545</v>
      </c>
      <c r="B56" s="2" t="s">
        <v>2388</v>
      </c>
      <c r="D56" s="2" t="s">
        <v>34</v>
      </c>
      <c r="E56" s="2" t="s">
        <v>1417</v>
      </c>
      <c r="F56" s="5" t="str">
        <f t="shared" si="5"/>
        <v>178 CONTAMAR</v>
      </c>
      <c r="G56" s="12">
        <f t="shared" si="1"/>
        <v>1649</v>
      </c>
      <c r="H56">
        <v>21</v>
      </c>
      <c r="I56" s="5">
        <f t="shared" si="2"/>
        <v>346.29</v>
      </c>
      <c r="J56" s="5">
        <f t="shared" si="3"/>
        <v>1649</v>
      </c>
      <c r="L56" s="5">
        <f t="shared" si="4"/>
        <v>0</v>
      </c>
      <c r="M56" s="8">
        <v>1995.29</v>
      </c>
      <c r="N56" s="3" t="s">
        <v>2850</v>
      </c>
    </row>
    <row r="57" spans="1:19" x14ac:dyDescent="0.35">
      <c r="A57" s="4">
        <v>45545</v>
      </c>
      <c r="B57" s="2" t="s">
        <v>2387</v>
      </c>
      <c r="D57" s="2" t="s">
        <v>1263</v>
      </c>
      <c r="E57" s="2" t="s">
        <v>2085</v>
      </c>
      <c r="F57" s="5" t="str">
        <f t="shared" si="5"/>
        <v>179 C.P. OSA MEMOR 12</v>
      </c>
      <c r="G57" s="12">
        <f t="shared" si="1"/>
        <v>3515.4909090909086</v>
      </c>
      <c r="H57">
        <v>10</v>
      </c>
      <c r="I57" s="5">
        <f t="shared" si="2"/>
        <v>351.54909090909086</v>
      </c>
      <c r="J57" s="5">
        <f t="shared" si="3"/>
        <v>3515.4909090909086</v>
      </c>
      <c r="L57" s="5">
        <f t="shared" si="4"/>
        <v>0</v>
      </c>
      <c r="M57" s="8">
        <v>3867.04</v>
      </c>
      <c r="N57" s="3" t="s">
        <v>2409</v>
      </c>
    </row>
    <row r="58" spans="1:19" x14ac:dyDescent="0.35">
      <c r="A58" s="4">
        <v>45547</v>
      </c>
      <c r="B58" s="2" t="s">
        <v>2389</v>
      </c>
      <c r="D58" s="2" t="s">
        <v>2390</v>
      </c>
      <c r="E58" s="2" t="s">
        <v>2391</v>
      </c>
      <c r="F58" s="5" t="str">
        <f t="shared" si="5"/>
        <v>180 ALEJANDRO PASTRANA</v>
      </c>
      <c r="G58" s="12">
        <f t="shared" si="1"/>
        <v>5430</v>
      </c>
      <c r="H58">
        <v>21</v>
      </c>
      <c r="I58" s="5">
        <f t="shared" si="2"/>
        <v>1140.3</v>
      </c>
      <c r="J58" s="5">
        <f t="shared" si="3"/>
        <v>5430</v>
      </c>
      <c r="L58" s="5">
        <f t="shared" si="4"/>
        <v>0</v>
      </c>
      <c r="M58" s="8">
        <v>6570.3</v>
      </c>
      <c r="N58" s="3" t="s">
        <v>2392</v>
      </c>
      <c r="O58" s="3" t="s">
        <v>2393</v>
      </c>
    </row>
    <row r="59" spans="1:19" x14ac:dyDescent="0.35">
      <c r="A59" s="4">
        <v>45551</v>
      </c>
      <c r="B59" s="2" t="s">
        <v>2413</v>
      </c>
      <c r="D59" s="2" t="s">
        <v>2414</v>
      </c>
      <c r="E59" s="2" t="s">
        <v>2415</v>
      </c>
      <c r="F59" s="5" t="str">
        <f t="shared" si="5"/>
        <v>181 CUEVAS GRIMAS OBRAS Y SERVICIOS</v>
      </c>
      <c r="G59" s="12">
        <f t="shared" si="1"/>
        <v>7116.0000000000009</v>
      </c>
      <c r="H59">
        <v>21</v>
      </c>
      <c r="I59" s="5">
        <f t="shared" si="2"/>
        <v>1494.3600000000004</v>
      </c>
      <c r="J59" s="5">
        <f t="shared" si="3"/>
        <v>7116.0000000000009</v>
      </c>
      <c r="L59" s="5">
        <f t="shared" si="4"/>
        <v>0</v>
      </c>
      <c r="M59" s="8">
        <v>8610.36</v>
      </c>
      <c r="N59" s="3" t="s">
        <v>2429</v>
      </c>
    </row>
    <row r="60" spans="1:19" x14ac:dyDescent="0.35">
      <c r="A60" s="4">
        <v>45552</v>
      </c>
      <c r="B60" s="2" t="s">
        <v>2416</v>
      </c>
      <c r="D60" s="2" t="s">
        <v>2096</v>
      </c>
      <c r="E60" s="2" t="s">
        <v>2097</v>
      </c>
      <c r="F60" s="5" t="str">
        <f t="shared" si="5"/>
        <v>182 ARTESBEYAS CONSTRUCCIONES Y REFORMAS</v>
      </c>
      <c r="G60" s="12">
        <f t="shared" si="1"/>
        <v>5140</v>
      </c>
      <c r="H60">
        <v>21</v>
      </c>
      <c r="I60" s="5">
        <f t="shared" si="2"/>
        <v>1079.4000000000001</v>
      </c>
      <c r="J60" s="5">
        <f t="shared" si="3"/>
        <v>5140</v>
      </c>
      <c r="L60" s="5">
        <f t="shared" si="4"/>
        <v>0</v>
      </c>
      <c r="M60" s="8">
        <v>6219.4</v>
      </c>
      <c r="N60" s="3" t="s">
        <v>2417</v>
      </c>
    </row>
    <row r="61" spans="1:19" x14ac:dyDescent="0.35">
      <c r="A61" s="4">
        <v>45553</v>
      </c>
      <c r="B61" s="2" t="s">
        <v>2418</v>
      </c>
      <c r="D61" s="2" t="s">
        <v>1743</v>
      </c>
      <c r="E61" s="2" t="s">
        <v>1744</v>
      </c>
      <c r="F61" s="5" t="str">
        <f t="shared" si="5"/>
        <v>183 NILOOFAR TOCHAI SAFAI</v>
      </c>
      <c r="G61" s="12">
        <f t="shared" si="1"/>
        <v>3524.9636363636359</v>
      </c>
      <c r="H61">
        <v>10</v>
      </c>
      <c r="I61" s="5">
        <f t="shared" si="2"/>
        <v>352.49636363636358</v>
      </c>
      <c r="J61" s="5">
        <f t="shared" si="3"/>
        <v>3524.9636363636359</v>
      </c>
      <c r="L61" s="5">
        <f t="shared" si="4"/>
        <v>0</v>
      </c>
      <c r="M61" s="8">
        <v>3877.46</v>
      </c>
    </row>
    <row r="62" spans="1:19" x14ac:dyDescent="0.35">
      <c r="A62" s="4">
        <v>45559</v>
      </c>
      <c r="B62" s="2" t="s">
        <v>2455</v>
      </c>
      <c r="D62" s="2" t="s">
        <v>47</v>
      </c>
      <c r="E62" s="2" t="s">
        <v>31</v>
      </c>
      <c r="F62" s="5" t="str">
        <f t="shared" si="5"/>
        <v>184 MARTA REY ABAD</v>
      </c>
      <c r="G62" s="12">
        <f t="shared" si="1"/>
        <v>2550</v>
      </c>
      <c r="H62">
        <v>21</v>
      </c>
      <c r="I62" s="5">
        <f t="shared" si="2"/>
        <v>535.5</v>
      </c>
      <c r="J62" s="5">
        <f t="shared" si="3"/>
        <v>2550</v>
      </c>
      <c r="L62" s="5">
        <f t="shared" si="4"/>
        <v>0</v>
      </c>
      <c r="M62" s="8">
        <v>3085.5</v>
      </c>
      <c r="N62" s="3" t="s">
        <v>2672</v>
      </c>
    </row>
    <row r="63" spans="1:19" x14ac:dyDescent="0.35">
      <c r="A63" s="4">
        <v>45561</v>
      </c>
      <c r="B63" s="2" t="s">
        <v>2452</v>
      </c>
      <c r="D63" s="2" t="s">
        <v>1379</v>
      </c>
      <c r="E63" s="2" t="s">
        <v>1380</v>
      </c>
      <c r="F63" s="5" t="str">
        <f t="shared" si="5"/>
        <v>185 DECORACIONES J. GARCIA S.L.</v>
      </c>
      <c r="G63" s="12">
        <f t="shared" si="1"/>
        <v>8505</v>
      </c>
      <c r="H63">
        <v>21</v>
      </c>
      <c r="I63" s="5">
        <f t="shared" si="2"/>
        <v>1786.05</v>
      </c>
      <c r="J63" s="5">
        <f t="shared" si="3"/>
        <v>8505</v>
      </c>
      <c r="L63" s="5">
        <f t="shared" si="4"/>
        <v>0</v>
      </c>
      <c r="M63" s="8">
        <v>10291.049999999999</v>
      </c>
      <c r="N63" s="3" t="s">
        <v>2517</v>
      </c>
    </row>
    <row r="64" spans="1:19" x14ac:dyDescent="0.35">
      <c r="A64" s="4"/>
      <c r="F64" s="5" t="str">
        <f t="shared" si="5"/>
        <v xml:space="preserve"> </v>
      </c>
      <c r="G64" s="12">
        <f t="shared" si="1"/>
        <v>0</v>
      </c>
      <c r="H64">
        <v>21</v>
      </c>
      <c r="I64" s="5">
        <f t="shared" si="2"/>
        <v>0</v>
      </c>
      <c r="J64" s="5">
        <f t="shared" si="3"/>
        <v>0</v>
      </c>
      <c r="L64" s="5">
        <f t="shared" si="4"/>
        <v>0</v>
      </c>
      <c r="M64" s="8">
        <v>0</v>
      </c>
    </row>
    <row r="65" spans="1:19" x14ac:dyDescent="0.35">
      <c r="A65" s="4"/>
      <c r="F65" s="5" t="str">
        <f t="shared" si="5"/>
        <v xml:space="preserve"> </v>
      </c>
      <c r="G65" s="12">
        <f t="shared" si="1"/>
        <v>0</v>
      </c>
      <c r="H65">
        <v>21</v>
      </c>
      <c r="I65" s="5">
        <f t="shared" si="2"/>
        <v>0</v>
      </c>
      <c r="J65" s="5">
        <f t="shared" si="3"/>
        <v>0</v>
      </c>
      <c r="L65" s="5">
        <f t="shared" si="4"/>
        <v>0</v>
      </c>
      <c r="M65" s="8">
        <v>0</v>
      </c>
    </row>
    <row r="66" spans="1:19" x14ac:dyDescent="0.35">
      <c r="A66" s="4"/>
      <c r="F66" s="5" t="str">
        <f t="shared" si="5"/>
        <v xml:space="preserve"> </v>
      </c>
      <c r="G66" s="12">
        <f t="shared" si="1"/>
        <v>0</v>
      </c>
      <c r="H66">
        <v>21</v>
      </c>
      <c r="I66" s="5">
        <f t="shared" si="2"/>
        <v>0</v>
      </c>
      <c r="J66" s="5">
        <f t="shared" si="3"/>
        <v>0</v>
      </c>
      <c r="L66" s="5">
        <f t="shared" si="4"/>
        <v>0</v>
      </c>
      <c r="M66" s="8">
        <v>0</v>
      </c>
    </row>
    <row r="67" spans="1:19" x14ac:dyDescent="0.35">
      <c r="A67" s="4"/>
      <c r="F67" s="5" t="str">
        <f t="shared" si="5"/>
        <v xml:space="preserve"> </v>
      </c>
      <c r="G67" s="12">
        <f t="shared" si="1"/>
        <v>0</v>
      </c>
      <c r="H67">
        <v>21</v>
      </c>
      <c r="I67" s="5">
        <f t="shared" si="2"/>
        <v>0</v>
      </c>
      <c r="J67" s="5">
        <f t="shared" si="3"/>
        <v>0</v>
      </c>
      <c r="L67" s="5">
        <f t="shared" si="4"/>
        <v>0</v>
      </c>
      <c r="M67" s="8">
        <v>0</v>
      </c>
    </row>
    <row r="68" spans="1:19" x14ac:dyDescent="0.35">
      <c r="A68" s="4"/>
      <c r="F68" s="5" t="str">
        <f t="shared" si="5"/>
        <v xml:space="preserve"> </v>
      </c>
      <c r="G68" s="12">
        <f t="shared" si="1"/>
        <v>0</v>
      </c>
      <c r="H68">
        <v>21</v>
      </c>
      <c r="I68" s="5">
        <f t="shared" si="2"/>
        <v>0</v>
      </c>
      <c r="J68" s="5">
        <f t="shared" si="3"/>
        <v>0</v>
      </c>
      <c r="L68" s="5">
        <f t="shared" si="4"/>
        <v>0</v>
      </c>
      <c r="M68" s="8">
        <v>0</v>
      </c>
    </row>
    <row r="69" spans="1:19" x14ac:dyDescent="0.35">
      <c r="A69" s="4"/>
      <c r="F69" s="5" t="str">
        <f t="shared" si="5"/>
        <v xml:space="preserve"> </v>
      </c>
      <c r="G69" s="12">
        <f t="shared" si="1"/>
        <v>0</v>
      </c>
      <c r="H69">
        <v>21</v>
      </c>
      <c r="I69" s="5">
        <f t="shared" si="2"/>
        <v>0</v>
      </c>
      <c r="J69" s="5">
        <f t="shared" si="3"/>
        <v>0</v>
      </c>
      <c r="L69" s="5">
        <f t="shared" si="4"/>
        <v>0</v>
      </c>
      <c r="M69" s="8">
        <v>0</v>
      </c>
    </row>
    <row r="70" spans="1:19" x14ac:dyDescent="0.35">
      <c r="A70" s="4"/>
      <c r="F70" s="5" t="str">
        <f t="shared" si="5"/>
        <v xml:space="preserve">N/F  </v>
      </c>
      <c r="G70" s="12">
        <f t="shared" si="1"/>
        <v>0</v>
      </c>
      <c r="H70">
        <v>21</v>
      </c>
      <c r="I70" s="5">
        <f t="shared" si="2"/>
        <v>0</v>
      </c>
      <c r="J70" s="5">
        <f t="shared" si="3"/>
        <v>0</v>
      </c>
      <c r="L70" s="5">
        <f t="shared" si="4"/>
        <v>0</v>
      </c>
      <c r="M70" s="8">
        <v>0</v>
      </c>
      <c r="S70" t="s">
        <v>20</v>
      </c>
    </row>
    <row r="71" spans="1:19" x14ac:dyDescent="0.35">
      <c r="A71" s="4">
        <v>45474</v>
      </c>
      <c r="B71" s="2" t="s">
        <v>2083</v>
      </c>
      <c r="D71" s="2" t="s">
        <v>177</v>
      </c>
      <c r="E71" s="2" t="s">
        <v>178</v>
      </c>
      <c r="F71" s="5" t="str">
        <f t="shared" si="5"/>
        <v>N/F AL07 ZACARIAS ORTEGA MERCEDES</v>
      </c>
      <c r="G71" s="12">
        <f t="shared" si="1"/>
        <v>1032</v>
      </c>
      <c r="H71">
        <v>21</v>
      </c>
      <c r="I71" s="5">
        <f t="shared" si="2"/>
        <v>216.72</v>
      </c>
      <c r="J71" s="5">
        <f t="shared" si="3"/>
        <v>1032</v>
      </c>
      <c r="K71">
        <v>19</v>
      </c>
      <c r="L71" s="5">
        <f t="shared" si="4"/>
        <v>196.08</v>
      </c>
      <c r="M71" s="8">
        <v>1052.6400000000001</v>
      </c>
      <c r="N71" s="3" t="s">
        <v>2086</v>
      </c>
      <c r="S71" t="s">
        <v>20</v>
      </c>
    </row>
    <row r="72" spans="1:19" x14ac:dyDescent="0.35">
      <c r="A72" s="4">
        <v>45505</v>
      </c>
      <c r="B72" s="2" t="s">
        <v>2117</v>
      </c>
      <c r="D72" s="2" t="s">
        <v>177</v>
      </c>
      <c r="E72" s="2" t="s">
        <v>178</v>
      </c>
      <c r="F72" s="5" t="str">
        <f t="shared" si="5"/>
        <v>N/F AL08 ZACARIAS ORTEGA MERCEDES</v>
      </c>
      <c r="G72" s="12">
        <f t="shared" si="1"/>
        <v>1032</v>
      </c>
      <c r="H72">
        <v>21</v>
      </c>
      <c r="I72" s="5">
        <f t="shared" si="2"/>
        <v>216.72</v>
      </c>
      <c r="J72" s="5">
        <f t="shared" si="3"/>
        <v>1032</v>
      </c>
      <c r="K72">
        <v>19</v>
      </c>
      <c r="L72" s="5">
        <f t="shared" si="4"/>
        <v>196.08</v>
      </c>
      <c r="M72" s="8">
        <v>1052.6400000000001</v>
      </c>
      <c r="N72" s="3" t="s">
        <v>2276</v>
      </c>
      <c r="S72" t="s">
        <v>20</v>
      </c>
    </row>
    <row r="73" spans="1:19" x14ac:dyDescent="0.35">
      <c r="A73" s="4">
        <v>45536</v>
      </c>
      <c r="B73" s="2" t="s">
        <v>2304</v>
      </c>
      <c r="D73" s="2" t="s">
        <v>177</v>
      </c>
      <c r="E73" s="2" t="s">
        <v>178</v>
      </c>
      <c r="F73" s="5" t="str">
        <f t="shared" si="5"/>
        <v>N/F AL09 ZACARIAS ORTEGA MERCEDES</v>
      </c>
      <c r="G73" s="12">
        <f t="shared" si="1"/>
        <v>1032</v>
      </c>
      <c r="H73">
        <v>21</v>
      </c>
      <c r="I73" s="5">
        <f t="shared" si="2"/>
        <v>216.72</v>
      </c>
      <c r="J73" s="5">
        <f t="shared" si="3"/>
        <v>1032</v>
      </c>
      <c r="K73">
        <v>19</v>
      </c>
      <c r="L73" s="5">
        <f t="shared" si="4"/>
        <v>196.08</v>
      </c>
      <c r="M73" s="8">
        <v>1052.6400000000001</v>
      </c>
      <c r="N73" s="3" t="s">
        <v>2672</v>
      </c>
      <c r="S73" t="s">
        <v>20</v>
      </c>
    </row>
    <row r="74" spans="1:19" x14ac:dyDescent="0.35">
      <c r="F74" s="5" t="str">
        <f t="shared" si="5"/>
        <v xml:space="preserve">N/F  </v>
      </c>
      <c r="G74" s="12">
        <f t="shared" si="1"/>
        <v>0</v>
      </c>
      <c r="I74" s="5">
        <f t="shared" si="2"/>
        <v>0</v>
      </c>
      <c r="J74" s="5">
        <f t="shared" si="3"/>
        <v>0</v>
      </c>
      <c r="L74" s="5">
        <f t="shared" si="4"/>
        <v>0</v>
      </c>
      <c r="M74" s="8">
        <v>0</v>
      </c>
      <c r="S74" t="s">
        <v>20</v>
      </c>
    </row>
    <row r="75" spans="1:19" x14ac:dyDescent="0.35">
      <c r="A75" s="4"/>
      <c r="F75" s="5" t="str">
        <f t="shared" si="5"/>
        <v xml:space="preserve">N/F  </v>
      </c>
      <c r="G75" s="12">
        <f t="shared" si="1"/>
        <v>0</v>
      </c>
      <c r="H75">
        <v>21</v>
      </c>
      <c r="I75" s="5">
        <f t="shared" si="2"/>
        <v>0</v>
      </c>
      <c r="J75" s="5">
        <f t="shared" si="3"/>
        <v>0</v>
      </c>
      <c r="L75" s="5">
        <f t="shared" si="4"/>
        <v>0</v>
      </c>
      <c r="M75" s="8">
        <v>0</v>
      </c>
      <c r="S75" t="s">
        <v>20</v>
      </c>
    </row>
    <row r="76" spans="1:19" x14ac:dyDescent="0.35">
      <c r="A76" s="4"/>
      <c r="F76" s="5" t="str">
        <f t="shared" si="5"/>
        <v xml:space="preserve">N/F  </v>
      </c>
      <c r="G76" s="12">
        <f t="shared" si="1"/>
        <v>0</v>
      </c>
      <c r="I76" s="5">
        <f t="shared" si="2"/>
        <v>0</v>
      </c>
      <c r="J76" s="5">
        <f t="shared" si="3"/>
        <v>0</v>
      </c>
      <c r="L76" s="5">
        <f t="shared" si="4"/>
        <v>0</v>
      </c>
      <c r="M76" s="8">
        <v>0</v>
      </c>
      <c r="S76" t="s">
        <v>20</v>
      </c>
    </row>
    <row r="77" spans="1:19" x14ac:dyDescent="0.35">
      <c r="A77" s="4">
        <v>45474</v>
      </c>
      <c r="B77" s="2" t="s">
        <v>1810</v>
      </c>
      <c r="D77" s="2" t="s">
        <v>1756</v>
      </c>
      <c r="E77" s="2" t="s">
        <v>1757</v>
      </c>
      <c r="F77" s="5" t="str">
        <f t="shared" si="5"/>
        <v>N/F A05 OMAR GONZALEZ BUENO</v>
      </c>
      <c r="G77" s="12">
        <f t="shared" si="1"/>
        <v>3800</v>
      </c>
      <c r="H77">
        <v>0</v>
      </c>
      <c r="I77" s="5">
        <f t="shared" si="2"/>
        <v>0</v>
      </c>
      <c r="J77" s="5">
        <f t="shared" si="3"/>
        <v>3800</v>
      </c>
      <c r="L77" s="5">
        <f t="shared" si="4"/>
        <v>0</v>
      </c>
      <c r="M77" s="8">
        <v>3800</v>
      </c>
      <c r="N77" s="3" t="s">
        <v>1759</v>
      </c>
      <c r="O77" s="3" t="s">
        <v>1758</v>
      </c>
      <c r="S77" t="s">
        <v>20</v>
      </c>
    </row>
    <row r="78" spans="1:19" x14ac:dyDescent="0.35">
      <c r="A78" s="4">
        <v>45474</v>
      </c>
      <c r="B78" s="2" t="s">
        <v>1755</v>
      </c>
      <c r="D78" s="2" t="s">
        <v>1811</v>
      </c>
      <c r="E78" s="2" t="s">
        <v>1812</v>
      </c>
      <c r="F78" s="5" t="str">
        <f t="shared" si="5"/>
        <v>N/F A06 ANA GHERMAN</v>
      </c>
      <c r="G78" s="12">
        <f t="shared" si="1"/>
        <v>21990</v>
      </c>
      <c r="H78">
        <v>0</v>
      </c>
      <c r="I78" s="5">
        <v>171.82</v>
      </c>
      <c r="J78" s="5">
        <f t="shared" si="3"/>
        <v>21990</v>
      </c>
      <c r="L78" s="5">
        <f t="shared" si="4"/>
        <v>0</v>
      </c>
      <c r="M78" s="8">
        <v>21990</v>
      </c>
      <c r="N78" s="3" t="s">
        <v>1813</v>
      </c>
      <c r="S78" t="s">
        <v>20</v>
      </c>
    </row>
    <row r="79" spans="1:19" x14ac:dyDescent="0.35">
      <c r="A79" s="4">
        <v>45474</v>
      </c>
      <c r="B79" s="2" t="s">
        <v>2079</v>
      </c>
      <c r="D79" s="2" t="s">
        <v>2080</v>
      </c>
      <c r="E79" s="2" t="s">
        <v>2081</v>
      </c>
      <c r="F79" s="5" t="str">
        <f t="shared" si="5"/>
        <v>N/F A07 GRUPO CIOBICONS SL</v>
      </c>
      <c r="G79" s="12">
        <f t="shared" si="1"/>
        <v>23900</v>
      </c>
      <c r="H79">
        <v>21</v>
      </c>
      <c r="I79" s="5">
        <f t="shared" si="2"/>
        <v>5019</v>
      </c>
      <c r="J79" s="5">
        <f t="shared" si="3"/>
        <v>23900</v>
      </c>
      <c r="L79" s="5">
        <f t="shared" si="4"/>
        <v>0</v>
      </c>
      <c r="M79" s="8">
        <v>28919</v>
      </c>
      <c r="N79" s="3" t="s">
        <v>2082</v>
      </c>
      <c r="O79" s="3" t="s">
        <v>2098</v>
      </c>
      <c r="S79" t="s">
        <v>20</v>
      </c>
    </row>
    <row r="80" spans="1:19" x14ac:dyDescent="0.35">
      <c r="A80" s="4">
        <v>45561</v>
      </c>
      <c r="B80" s="2" t="s">
        <v>2456</v>
      </c>
      <c r="D80" s="2" t="s">
        <v>2457</v>
      </c>
      <c r="E80" s="2" t="s">
        <v>2458</v>
      </c>
      <c r="F80" s="5" t="str">
        <f t="shared" si="5"/>
        <v>N/F A08 SANCHOYJOTE S.L.</v>
      </c>
      <c r="G80" s="12">
        <f t="shared" si="1"/>
        <v>6322.3140495867774</v>
      </c>
      <c r="H80">
        <v>21</v>
      </c>
      <c r="I80" s="5">
        <f t="shared" si="2"/>
        <v>1327.6859504132233</v>
      </c>
      <c r="J80" s="5">
        <f t="shared" si="3"/>
        <v>6322.3140495867774</v>
      </c>
      <c r="L80" s="5">
        <f t="shared" si="4"/>
        <v>0</v>
      </c>
      <c r="M80" s="8">
        <v>7650</v>
      </c>
      <c r="S80" t="s">
        <v>20</v>
      </c>
    </row>
    <row r="81" spans="6:19" x14ac:dyDescent="0.35">
      <c r="F81" s="5" t="str">
        <f t="shared" si="5"/>
        <v xml:space="preserve">N/F  </v>
      </c>
      <c r="G81" s="12">
        <f t="shared" si="1"/>
        <v>0</v>
      </c>
      <c r="I81" s="5">
        <f t="shared" si="2"/>
        <v>0</v>
      </c>
      <c r="J81" s="5">
        <f t="shared" si="3"/>
        <v>0</v>
      </c>
      <c r="L81" s="5">
        <f t="shared" si="4"/>
        <v>0</v>
      </c>
      <c r="M81" s="8">
        <v>0</v>
      </c>
      <c r="S81" t="s">
        <v>20</v>
      </c>
    </row>
    <row r="82" spans="6:19" x14ac:dyDescent="0.35">
      <c r="F82" s="5" t="str">
        <f t="shared" si="5"/>
        <v xml:space="preserve">N/F  </v>
      </c>
      <c r="G82" s="12">
        <f>SUM(G2:G81)</f>
        <v>418325.3317355371</v>
      </c>
      <c r="I82" s="5">
        <f t="shared" si="2"/>
        <v>0</v>
      </c>
      <c r="J82" s="5">
        <f t="shared" si="3"/>
        <v>418325.3317355371</v>
      </c>
      <c r="L82" s="5">
        <f t="shared" si="4"/>
        <v>0</v>
      </c>
      <c r="M82" s="8">
        <v>0</v>
      </c>
      <c r="S82" t="s">
        <v>20</v>
      </c>
    </row>
    <row r="83" spans="6:19" x14ac:dyDescent="0.35">
      <c r="F83" s="5" t="str">
        <f t="shared" si="5"/>
        <v xml:space="preserve">N/F  </v>
      </c>
      <c r="G83" s="12">
        <f t="shared" si="1"/>
        <v>0</v>
      </c>
      <c r="I83" s="5">
        <f>SUM(I2:I82)</f>
        <v>74882.228264462829</v>
      </c>
      <c r="J83" s="5">
        <f t="shared" si="3"/>
        <v>0</v>
      </c>
      <c r="L83" s="5">
        <f t="shared" si="4"/>
        <v>0</v>
      </c>
      <c r="M83" s="8">
        <v>0</v>
      </c>
      <c r="S83" t="s">
        <v>20</v>
      </c>
    </row>
    <row r="84" spans="6:19" x14ac:dyDescent="0.35">
      <c r="F84" s="5" t="str">
        <f t="shared" si="5"/>
        <v xml:space="preserve">N/F  </v>
      </c>
      <c r="G84" s="12">
        <f t="shared" si="1"/>
        <v>0</v>
      </c>
      <c r="I84" s="5">
        <f t="shared" si="2"/>
        <v>0</v>
      </c>
      <c r="J84" s="5">
        <f t="shared" si="3"/>
        <v>0</v>
      </c>
      <c r="L84" s="5">
        <f t="shared" si="4"/>
        <v>0</v>
      </c>
      <c r="M84" s="8">
        <v>0</v>
      </c>
      <c r="S84" t="s">
        <v>20</v>
      </c>
    </row>
    <row r="85" spans="6:19" x14ac:dyDescent="0.35">
      <c r="F85" s="5" t="str">
        <f t="shared" si="5"/>
        <v xml:space="preserve">N/F  </v>
      </c>
      <c r="G85" s="12">
        <f t="shared" si="1"/>
        <v>0</v>
      </c>
      <c r="I85" s="5">
        <f t="shared" si="2"/>
        <v>0</v>
      </c>
      <c r="J85" s="5">
        <f t="shared" si="3"/>
        <v>0</v>
      </c>
      <c r="L85" s="5">
        <f t="shared" si="4"/>
        <v>0</v>
      </c>
      <c r="M85" s="8">
        <v>0</v>
      </c>
      <c r="S85" t="s">
        <v>20</v>
      </c>
    </row>
    <row r="86" spans="6:19" x14ac:dyDescent="0.35">
      <c r="F86" s="5" t="str">
        <f t="shared" si="5"/>
        <v xml:space="preserve">N/F  </v>
      </c>
      <c r="G86" s="12">
        <f t="shared" si="1"/>
        <v>0</v>
      </c>
      <c r="I86" s="5">
        <f t="shared" si="2"/>
        <v>0</v>
      </c>
      <c r="J86" s="5">
        <f t="shared" si="3"/>
        <v>0</v>
      </c>
      <c r="L86" s="5">
        <f t="shared" si="4"/>
        <v>0</v>
      </c>
      <c r="M86" s="8">
        <v>0</v>
      </c>
      <c r="S86" t="s">
        <v>20</v>
      </c>
    </row>
    <row r="87" spans="6:19" x14ac:dyDescent="0.35">
      <c r="F87" s="5" t="str">
        <f t="shared" si="5"/>
        <v xml:space="preserve">N/F  </v>
      </c>
      <c r="G87" s="12">
        <f t="shared" si="1"/>
        <v>0</v>
      </c>
      <c r="I87" s="5">
        <f t="shared" si="2"/>
        <v>0</v>
      </c>
      <c r="J87" s="5">
        <f t="shared" si="3"/>
        <v>0</v>
      </c>
      <c r="L87" s="5">
        <f t="shared" si="4"/>
        <v>0</v>
      </c>
      <c r="M87" s="8">
        <v>0</v>
      </c>
      <c r="S87" t="s">
        <v>20</v>
      </c>
    </row>
    <row r="88" spans="6:19" x14ac:dyDescent="0.35">
      <c r="F88" s="5" t="str">
        <f t="shared" si="5"/>
        <v xml:space="preserve">N/F  </v>
      </c>
      <c r="G88" s="12">
        <f t="shared" si="1"/>
        <v>0</v>
      </c>
      <c r="I88" s="5">
        <f t="shared" si="2"/>
        <v>0</v>
      </c>
      <c r="J88" s="5">
        <f t="shared" si="3"/>
        <v>0</v>
      </c>
      <c r="L88" s="5">
        <f t="shared" si="4"/>
        <v>0</v>
      </c>
      <c r="M88" s="8">
        <v>0</v>
      </c>
      <c r="S88" t="s">
        <v>20</v>
      </c>
    </row>
    <row r="89" spans="6:19" x14ac:dyDescent="0.35">
      <c r="F89" s="5" t="str">
        <f t="shared" ref="F89:F120" si="6">CONCATENATE(S89,B89," ",E89)</f>
        <v xml:space="preserve">N/F  </v>
      </c>
      <c r="G89" s="12">
        <f t="shared" si="1"/>
        <v>0</v>
      </c>
      <c r="I89" s="5">
        <f t="shared" si="2"/>
        <v>0</v>
      </c>
      <c r="J89" s="5">
        <f t="shared" si="3"/>
        <v>0</v>
      </c>
      <c r="L89" s="5">
        <f t="shared" si="4"/>
        <v>0</v>
      </c>
      <c r="M89" s="8">
        <v>0</v>
      </c>
      <c r="S89" t="s">
        <v>20</v>
      </c>
    </row>
    <row r="90" spans="6:19" x14ac:dyDescent="0.35">
      <c r="F90" s="5" t="str">
        <f t="shared" si="6"/>
        <v xml:space="preserve">N/F  </v>
      </c>
      <c r="G90" s="12">
        <f t="shared" si="1"/>
        <v>0</v>
      </c>
      <c r="I90" s="5">
        <f t="shared" si="2"/>
        <v>0</v>
      </c>
      <c r="J90" s="5">
        <f t="shared" si="3"/>
        <v>0</v>
      </c>
      <c r="L90" s="5">
        <f t="shared" si="4"/>
        <v>0</v>
      </c>
      <c r="M90" s="8">
        <v>0</v>
      </c>
      <c r="S90" t="s">
        <v>20</v>
      </c>
    </row>
    <row r="91" spans="6:19" x14ac:dyDescent="0.35">
      <c r="F91" s="5" t="str">
        <f t="shared" si="6"/>
        <v xml:space="preserve">N/F  </v>
      </c>
      <c r="G91" s="12">
        <f t="shared" si="1"/>
        <v>0</v>
      </c>
      <c r="I91" s="5">
        <f t="shared" si="2"/>
        <v>0</v>
      </c>
      <c r="J91" s="5">
        <f t="shared" si="3"/>
        <v>0</v>
      </c>
      <c r="L91" s="5">
        <f t="shared" si="4"/>
        <v>0</v>
      </c>
      <c r="M91" s="8">
        <v>0</v>
      </c>
      <c r="S91" t="s">
        <v>20</v>
      </c>
    </row>
    <row r="92" spans="6:19" x14ac:dyDescent="0.35">
      <c r="F92" s="5" t="str">
        <f t="shared" si="6"/>
        <v xml:space="preserve">N/F  </v>
      </c>
      <c r="G92" s="12">
        <f t="shared" si="1"/>
        <v>0</v>
      </c>
      <c r="I92" s="5">
        <f t="shared" si="2"/>
        <v>0</v>
      </c>
      <c r="J92" s="5">
        <f t="shared" si="3"/>
        <v>0</v>
      </c>
      <c r="L92" s="5">
        <f t="shared" si="4"/>
        <v>0</v>
      </c>
      <c r="M92" s="8">
        <v>0</v>
      </c>
      <c r="S92" t="s">
        <v>20</v>
      </c>
    </row>
    <row r="93" spans="6:19" x14ac:dyDescent="0.35">
      <c r="F93" s="5" t="str">
        <f t="shared" si="6"/>
        <v xml:space="preserve">N/F  </v>
      </c>
      <c r="G93" s="12">
        <f t="shared" si="1"/>
        <v>0</v>
      </c>
      <c r="I93" s="5">
        <f t="shared" si="2"/>
        <v>0</v>
      </c>
      <c r="J93" s="5">
        <f t="shared" si="3"/>
        <v>0</v>
      </c>
      <c r="L93" s="5">
        <f t="shared" si="4"/>
        <v>0</v>
      </c>
      <c r="M93" s="8">
        <v>0</v>
      </c>
      <c r="S93" t="s">
        <v>20</v>
      </c>
    </row>
    <row r="94" spans="6:19" x14ac:dyDescent="0.35">
      <c r="F94" s="5" t="str">
        <f t="shared" si="6"/>
        <v xml:space="preserve">N/F  </v>
      </c>
      <c r="G94" s="12">
        <f t="shared" si="1"/>
        <v>0</v>
      </c>
      <c r="I94" s="5">
        <f t="shared" si="2"/>
        <v>0</v>
      </c>
      <c r="J94" s="5">
        <f t="shared" si="3"/>
        <v>0</v>
      </c>
      <c r="L94" s="5">
        <f t="shared" si="4"/>
        <v>0</v>
      </c>
      <c r="M94" s="8">
        <v>0</v>
      </c>
      <c r="S94" t="s">
        <v>20</v>
      </c>
    </row>
    <row r="95" spans="6:19" x14ac:dyDescent="0.35">
      <c r="F95" s="5" t="str">
        <f t="shared" si="6"/>
        <v xml:space="preserve">N/F  </v>
      </c>
      <c r="G95" s="12">
        <f t="shared" si="1"/>
        <v>0</v>
      </c>
      <c r="I95" s="5">
        <f t="shared" si="2"/>
        <v>0</v>
      </c>
      <c r="J95" s="5">
        <f t="shared" si="3"/>
        <v>0</v>
      </c>
      <c r="L95" s="5">
        <f t="shared" si="4"/>
        <v>0</v>
      </c>
      <c r="M95" s="8">
        <v>0</v>
      </c>
      <c r="S95" t="s">
        <v>20</v>
      </c>
    </row>
    <row r="96" spans="6:19" x14ac:dyDescent="0.35">
      <c r="F96" s="5" t="str">
        <f t="shared" si="6"/>
        <v xml:space="preserve">N/F  </v>
      </c>
      <c r="G96" s="12">
        <f t="shared" si="1"/>
        <v>0</v>
      </c>
      <c r="I96" s="5">
        <f t="shared" si="2"/>
        <v>0</v>
      </c>
      <c r="J96" s="5">
        <f t="shared" si="3"/>
        <v>0</v>
      </c>
      <c r="L96" s="5">
        <f t="shared" si="4"/>
        <v>0</v>
      </c>
      <c r="M96" s="8">
        <v>0</v>
      </c>
      <c r="S96" t="s">
        <v>20</v>
      </c>
    </row>
    <row r="97" spans="6:19" x14ac:dyDescent="0.35">
      <c r="F97" s="5" t="str">
        <f t="shared" si="6"/>
        <v xml:space="preserve">N/F  </v>
      </c>
      <c r="G97" s="12">
        <f t="shared" si="1"/>
        <v>0</v>
      </c>
      <c r="I97" s="5">
        <f t="shared" si="2"/>
        <v>0</v>
      </c>
      <c r="J97" s="5">
        <f t="shared" si="3"/>
        <v>0</v>
      </c>
      <c r="L97" s="5">
        <f t="shared" si="4"/>
        <v>0</v>
      </c>
      <c r="M97" s="8">
        <v>0</v>
      </c>
      <c r="S97" t="s">
        <v>20</v>
      </c>
    </row>
    <row r="98" spans="6:19" x14ac:dyDescent="0.35">
      <c r="F98" s="5" t="str">
        <f t="shared" si="6"/>
        <v xml:space="preserve">N/F  </v>
      </c>
      <c r="G98" s="12">
        <f t="shared" ref="G98:G130" si="7">M98/(1-K98/100+H98/100)</f>
        <v>0</v>
      </c>
      <c r="I98" s="5">
        <f t="shared" ref="I98:I130" si="8">G98*H98/100</f>
        <v>0</v>
      </c>
      <c r="J98" s="5">
        <f t="shared" ref="J98:J130" si="9">G98</f>
        <v>0</v>
      </c>
      <c r="L98" s="5">
        <f t="shared" ref="L98:L130" si="10">J98*K98/100</f>
        <v>0</v>
      </c>
      <c r="M98" s="8">
        <v>0</v>
      </c>
      <c r="S98" t="s">
        <v>20</v>
      </c>
    </row>
    <row r="99" spans="6:19" x14ac:dyDescent="0.35">
      <c r="F99" s="5" t="str">
        <f t="shared" si="6"/>
        <v xml:space="preserve">N/F  </v>
      </c>
      <c r="G99" s="12">
        <f t="shared" si="7"/>
        <v>0</v>
      </c>
      <c r="I99" s="5">
        <f t="shared" si="8"/>
        <v>0</v>
      </c>
      <c r="J99" s="5">
        <f t="shared" si="9"/>
        <v>0</v>
      </c>
      <c r="L99" s="5">
        <f t="shared" si="10"/>
        <v>0</v>
      </c>
      <c r="M99" s="8">
        <v>0</v>
      </c>
      <c r="S99" t="s">
        <v>20</v>
      </c>
    </row>
    <row r="100" spans="6:19" x14ac:dyDescent="0.35">
      <c r="F100" s="5" t="str">
        <f t="shared" si="6"/>
        <v xml:space="preserve">N/F  </v>
      </c>
      <c r="G100" s="12">
        <f t="shared" si="7"/>
        <v>0</v>
      </c>
      <c r="I100" s="5">
        <f t="shared" si="8"/>
        <v>0</v>
      </c>
      <c r="J100" s="5">
        <f t="shared" si="9"/>
        <v>0</v>
      </c>
      <c r="L100" s="5">
        <f t="shared" si="10"/>
        <v>0</v>
      </c>
      <c r="M100" s="8">
        <v>0</v>
      </c>
      <c r="S100" t="s">
        <v>20</v>
      </c>
    </row>
    <row r="101" spans="6:19" x14ac:dyDescent="0.35">
      <c r="F101" s="5" t="str">
        <f t="shared" si="6"/>
        <v xml:space="preserve">N/F  </v>
      </c>
      <c r="G101" s="12">
        <f t="shared" si="7"/>
        <v>0</v>
      </c>
      <c r="I101" s="5">
        <f t="shared" si="8"/>
        <v>0</v>
      </c>
      <c r="J101" s="5">
        <f t="shared" si="9"/>
        <v>0</v>
      </c>
      <c r="L101" s="5">
        <f t="shared" si="10"/>
        <v>0</v>
      </c>
      <c r="M101" s="8">
        <v>0</v>
      </c>
      <c r="S101" t="s">
        <v>20</v>
      </c>
    </row>
    <row r="102" spans="6:19" x14ac:dyDescent="0.35">
      <c r="F102" s="5" t="str">
        <f t="shared" si="6"/>
        <v xml:space="preserve">N/F  </v>
      </c>
      <c r="G102" s="12">
        <f t="shared" si="7"/>
        <v>0</v>
      </c>
      <c r="I102" s="5">
        <f t="shared" si="8"/>
        <v>0</v>
      </c>
      <c r="J102" s="5">
        <f t="shared" si="9"/>
        <v>0</v>
      </c>
      <c r="L102" s="5">
        <f t="shared" si="10"/>
        <v>0</v>
      </c>
      <c r="M102" s="8">
        <v>0</v>
      </c>
      <c r="S102" t="s">
        <v>20</v>
      </c>
    </row>
    <row r="103" spans="6:19" x14ac:dyDescent="0.35">
      <c r="F103" s="5" t="str">
        <f t="shared" si="6"/>
        <v xml:space="preserve">N/F  </v>
      </c>
      <c r="G103" s="12">
        <f t="shared" si="7"/>
        <v>0</v>
      </c>
      <c r="I103" s="5">
        <f t="shared" si="8"/>
        <v>0</v>
      </c>
      <c r="J103" s="5">
        <f t="shared" si="9"/>
        <v>0</v>
      </c>
      <c r="L103" s="5">
        <f t="shared" si="10"/>
        <v>0</v>
      </c>
      <c r="M103" s="8">
        <v>0</v>
      </c>
      <c r="S103" t="s">
        <v>20</v>
      </c>
    </row>
    <row r="104" spans="6:19" x14ac:dyDescent="0.35">
      <c r="F104" s="5" t="str">
        <f t="shared" si="6"/>
        <v xml:space="preserve">N/F  </v>
      </c>
      <c r="G104" s="12">
        <f t="shared" si="7"/>
        <v>0</v>
      </c>
      <c r="I104" s="5">
        <f t="shared" si="8"/>
        <v>0</v>
      </c>
      <c r="J104" s="5">
        <f t="shared" si="9"/>
        <v>0</v>
      </c>
      <c r="L104" s="5">
        <f t="shared" si="10"/>
        <v>0</v>
      </c>
      <c r="M104" s="8">
        <v>0</v>
      </c>
      <c r="S104" t="s">
        <v>20</v>
      </c>
    </row>
    <row r="105" spans="6:19" x14ac:dyDescent="0.35">
      <c r="F105" s="5" t="str">
        <f t="shared" si="6"/>
        <v xml:space="preserve">N/F  </v>
      </c>
      <c r="G105" s="12">
        <f t="shared" si="7"/>
        <v>0</v>
      </c>
      <c r="I105" s="5">
        <f t="shared" si="8"/>
        <v>0</v>
      </c>
      <c r="J105" s="5">
        <f t="shared" si="9"/>
        <v>0</v>
      </c>
      <c r="L105" s="5">
        <f t="shared" si="10"/>
        <v>0</v>
      </c>
      <c r="M105" s="8">
        <v>0</v>
      </c>
      <c r="S105" t="s">
        <v>20</v>
      </c>
    </row>
    <row r="106" spans="6:19" x14ac:dyDescent="0.35">
      <c r="F106" s="5" t="str">
        <f t="shared" si="6"/>
        <v xml:space="preserve">N/F  </v>
      </c>
      <c r="G106" s="12">
        <f t="shared" si="7"/>
        <v>0</v>
      </c>
      <c r="I106" s="5">
        <f t="shared" si="8"/>
        <v>0</v>
      </c>
      <c r="J106" s="5">
        <f t="shared" si="9"/>
        <v>0</v>
      </c>
      <c r="L106" s="5">
        <f t="shared" si="10"/>
        <v>0</v>
      </c>
      <c r="M106" s="8">
        <v>0</v>
      </c>
      <c r="S106" t="s">
        <v>20</v>
      </c>
    </row>
    <row r="107" spans="6:19" x14ac:dyDescent="0.35">
      <c r="F107" s="5" t="str">
        <f t="shared" si="6"/>
        <v xml:space="preserve">N/F  </v>
      </c>
      <c r="G107" s="12">
        <f t="shared" si="7"/>
        <v>0</v>
      </c>
      <c r="I107" s="5">
        <f t="shared" si="8"/>
        <v>0</v>
      </c>
      <c r="J107" s="5">
        <f t="shared" si="9"/>
        <v>0</v>
      </c>
      <c r="L107" s="5">
        <f t="shared" si="10"/>
        <v>0</v>
      </c>
      <c r="M107" s="8">
        <v>0</v>
      </c>
      <c r="S107" t="s">
        <v>20</v>
      </c>
    </row>
    <row r="108" spans="6:19" x14ac:dyDescent="0.35">
      <c r="F108" s="5" t="str">
        <f t="shared" si="6"/>
        <v xml:space="preserve">N/F  </v>
      </c>
      <c r="G108" s="12">
        <f t="shared" si="7"/>
        <v>0</v>
      </c>
      <c r="I108" s="5">
        <f t="shared" si="8"/>
        <v>0</v>
      </c>
      <c r="J108" s="5">
        <f t="shared" si="9"/>
        <v>0</v>
      </c>
      <c r="L108" s="5">
        <f t="shared" si="10"/>
        <v>0</v>
      </c>
      <c r="M108" s="8">
        <v>0</v>
      </c>
      <c r="S108" t="s">
        <v>20</v>
      </c>
    </row>
    <row r="109" spans="6:19" x14ac:dyDescent="0.35">
      <c r="F109" s="5" t="str">
        <f t="shared" si="6"/>
        <v xml:space="preserve">N/F  </v>
      </c>
      <c r="G109" s="12">
        <f t="shared" si="7"/>
        <v>0</v>
      </c>
      <c r="I109" s="5">
        <f t="shared" si="8"/>
        <v>0</v>
      </c>
      <c r="J109" s="5">
        <f t="shared" si="9"/>
        <v>0</v>
      </c>
      <c r="L109" s="5">
        <f t="shared" si="10"/>
        <v>0</v>
      </c>
      <c r="M109" s="8">
        <v>0</v>
      </c>
      <c r="S109" t="s">
        <v>20</v>
      </c>
    </row>
    <row r="110" spans="6:19" x14ac:dyDescent="0.35">
      <c r="F110" s="5" t="str">
        <f t="shared" si="6"/>
        <v xml:space="preserve">N/F  </v>
      </c>
      <c r="G110" s="12">
        <f t="shared" si="7"/>
        <v>0</v>
      </c>
      <c r="I110" s="5">
        <f t="shared" si="8"/>
        <v>0</v>
      </c>
      <c r="J110" s="5">
        <f t="shared" si="9"/>
        <v>0</v>
      </c>
      <c r="L110" s="5">
        <f t="shared" si="10"/>
        <v>0</v>
      </c>
      <c r="M110" s="8">
        <v>0</v>
      </c>
      <c r="S110" t="s">
        <v>20</v>
      </c>
    </row>
    <row r="111" spans="6:19" x14ac:dyDescent="0.35">
      <c r="F111" s="5" t="str">
        <f t="shared" si="6"/>
        <v xml:space="preserve">N/F  </v>
      </c>
      <c r="G111" s="12">
        <f t="shared" si="7"/>
        <v>0</v>
      </c>
      <c r="I111" s="5">
        <f t="shared" si="8"/>
        <v>0</v>
      </c>
      <c r="J111" s="5">
        <f t="shared" si="9"/>
        <v>0</v>
      </c>
      <c r="L111" s="5">
        <f t="shared" si="10"/>
        <v>0</v>
      </c>
      <c r="M111" s="8">
        <v>0</v>
      </c>
      <c r="S111" t="s">
        <v>20</v>
      </c>
    </row>
    <row r="112" spans="6:19" x14ac:dyDescent="0.35">
      <c r="F112" s="5" t="str">
        <f t="shared" si="6"/>
        <v xml:space="preserve">N/F  </v>
      </c>
      <c r="G112" s="12">
        <f t="shared" si="7"/>
        <v>0</v>
      </c>
      <c r="I112" s="5">
        <f t="shared" si="8"/>
        <v>0</v>
      </c>
      <c r="J112" s="5">
        <f t="shared" si="9"/>
        <v>0</v>
      </c>
      <c r="L112" s="5">
        <f t="shared" si="10"/>
        <v>0</v>
      </c>
      <c r="M112" s="8">
        <v>0</v>
      </c>
      <c r="S112" t="s">
        <v>20</v>
      </c>
    </row>
    <row r="113" spans="6:19" x14ac:dyDescent="0.35">
      <c r="F113" s="5" t="str">
        <f t="shared" si="6"/>
        <v xml:space="preserve">N/F  </v>
      </c>
      <c r="G113" s="12">
        <f t="shared" si="7"/>
        <v>0</v>
      </c>
      <c r="I113" s="5">
        <f t="shared" si="8"/>
        <v>0</v>
      </c>
      <c r="J113" s="5">
        <f t="shared" si="9"/>
        <v>0</v>
      </c>
      <c r="L113" s="5">
        <f t="shared" si="10"/>
        <v>0</v>
      </c>
      <c r="M113" s="8">
        <v>0</v>
      </c>
      <c r="S113" t="s">
        <v>20</v>
      </c>
    </row>
    <row r="114" spans="6:19" x14ac:dyDescent="0.35">
      <c r="F114" s="5" t="str">
        <f t="shared" si="6"/>
        <v xml:space="preserve">N/F  </v>
      </c>
      <c r="G114" s="12">
        <f t="shared" si="7"/>
        <v>0</v>
      </c>
      <c r="I114" s="5">
        <f t="shared" si="8"/>
        <v>0</v>
      </c>
      <c r="J114" s="5">
        <f t="shared" si="9"/>
        <v>0</v>
      </c>
      <c r="L114" s="5">
        <f t="shared" si="10"/>
        <v>0</v>
      </c>
      <c r="M114" s="8">
        <v>0</v>
      </c>
      <c r="S114" t="s">
        <v>20</v>
      </c>
    </row>
    <row r="115" spans="6:19" x14ac:dyDescent="0.35">
      <c r="F115" s="5" t="str">
        <f t="shared" si="6"/>
        <v xml:space="preserve">N/F  </v>
      </c>
      <c r="G115" s="12">
        <f t="shared" si="7"/>
        <v>0</v>
      </c>
      <c r="I115" s="5">
        <f t="shared" si="8"/>
        <v>0</v>
      </c>
      <c r="J115" s="5">
        <f t="shared" si="9"/>
        <v>0</v>
      </c>
      <c r="L115" s="5">
        <f t="shared" si="10"/>
        <v>0</v>
      </c>
      <c r="M115" s="8">
        <v>0</v>
      </c>
      <c r="S115" t="s">
        <v>20</v>
      </c>
    </row>
    <row r="116" spans="6:19" x14ac:dyDescent="0.35">
      <c r="F116" s="5" t="str">
        <f t="shared" si="6"/>
        <v xml:space="preserve">N/F  </v>
      </c>
      <c r="G116" s="12">
        <f t="shared" si="7"/>
        <v>0</v>
      </c>
      <c r="I116" s="5">
        <f t="shared" si="8"/>
        <v>0</v>
      </c>
      <c r="J116" s="5">
        <f t="shared" si="9"/>
        <v>0</v>
      </c>
      <c r="L116" s="5">
        <f t="shared" si="10"/>
        <v>0</v>
      </c>
      <c r="M116" s="8">
        <v>0</v>
      </c>
      <c r="S116" t="s">
        <v>20</v>
      </c>
    </row>
    <row r="117" spans="6:19" x14ac:dyDescent="0.35">
      <c r="F117" s="5" t="str">
        <f t="shared" si="6"/>
        <v xml:space="preserve">N/F  </v>
      </c>
      <c r="G117" s="12">
        <f t="shared" si="7"/>
        <v>0</v>
      </c>
      <c r="I117" s="5">
        <f t="shared" si="8"/>
        <v>0</v>
      </c>
      <c r="J117" s="5">
        <f t="shared" si="9"/>
        <v>0</v>
      </c>
      <c r="L117" s="5">
        <f t="shared" si="10"/>
        <v>0</v>
      </c>
      <c r="M117" s="8">
        <v>0</v>
      </c>
      <c r="S117" t="s">
        <v>20</v>
      </c>
    </row>
    <row r="118" spans="6:19" x14ac:dyDescent="0.35">
      <c r="F118" s="5" t="str">
        <f t="shared" si="6"/>
        <v xml:space="preserve">N/F  </v>
      </c>
      <c r="G118" s="12">
        <f t="shared" si="7"/>
        <v>0</v>
      </c>
      <c r="I118" s="5">
        <f t="shared" si="8"/>
        <v>0</v>
      </c>
      <c r="J118" s="5">
        <f t="shared" si="9"/>
        <v>0</v>
      </c>
      <c r="L118" s="5">
        <f t="shared" si="10"/>
        <v>0</v>
      </c>
      <c r="M118" s="8">
        <v>0</v>
      </c>
      <c r="S118" t="s">
        <v>20</v>
      </c>
    </row>
    <row r="119" spans="6:19" x14ac:dyDescent="0.35">
      <c r="F119" s="5" t="str">
        <f t="shared" si="6"/>
        <v xml:space="preserve">N/F  </v>
      </c>
      <c r="G119" s="12">
        <f t="shared" si="7"/>
        <v>0</v>
      </c>
      <c r="I119" s="5">
        <f t="shared" si="8"/>
        <v>0</v>
      </c>
      <c r="J119" s="5">
        <f t="shared" si="9"/>
        <v>0</v>
      </c>
      <c r="L119" s="5">
        <f t="shared" si="10"/>
        <v>0</v>
      </c>
      <c r="M119" s="8">
        <v>0</v>
      </c>
      <c r="S119" t="s">
        <v>20</v>
      </c>
    </row>
    <row r="120" spans="6:19" x14ac:dyDescent="0.35">
      <c r="F120" s="5" t="str">
        <f t="shared" si="6"/>
        <v xml:space="preserve">N/F  </v>
      </c>
      <c r="G120" s="12">
        <f t="shared" si="7"/>
        <v>0</v>
      </c>
      <c r="I120" s="5">
        <f t="shared" si="8"/>
        <v>0</v>
      </c>
      <c r="J120" s="5">
        <f t="shared" si="9"/>
        <v>0</v>
      </c>
      <c r="L120" s="5">
        <f t="shared" si="10"/>
        <v>0</v>
      </c>
      <c r="M120" s="8">
        <v>0</v>
      </c>
      <c r="S120" t="s">
        <v>20</v>
      </c>
    </row>
    <row r="121" spans="6:19" x14ac:dyDescent="0.35">
      <c r="F121" s="5" t="str">
        <f t="shared" ref="F121:F130" si="11">CONCATENATE(S121,B121," ",E121)</f>
        <v xml:space="preserve">N/F  </v>
      </c>
      <c r="G121" s="12">
        <f t="shared" si="7"/>
        <v>0</v>
      </c>
      <c r="I121" s="5">
        <f t="shared" si="8"/>
        <v>0</v>
      </c>
      <c r="J121" s="5">
        <f t="shared" si="9"/>
        <v>0</v>
      </c>
      <c r="L121" s="5">
        <f t="shared" si="10"/>
        <v>0</v>
      </c>
      <c r="M121" s="8">
        <v>0</v>
      </c>
      <c r="S121" t="s">
        <v>20</v>
      </c>
    </row>
    <row r="122" spans="6:19" x14ac:dyDescent="0.35">
      <c r="F122" s="5" t="str">
        <f t="shared" si="11"/>
        <v xml:space="preserve">N/F  </v>
      </c>
      <c r="G122" s="12">
        <f t="shared" si="7"/>
        <v>0</v>
      </c>
      <c r="I122" s="5">
        <f t="shared" si="8"/>
        <v>0</v>
      </c>
      <c r="J122" s="5">
        <f t="shared" si="9"/>
        <v>0</v>
      </c>
      <c r="L122" s="5">
        <f t="shared" si="10"/>
        <v>0</v>
      </c>
      <c r="M122" s="8">
        <v>0</v>
      </c>
      <c r="S122" t="s">
        <v>20</v>
      </c>
    </row>
    <row r="123" spans="6:19" x14ac:dyDescent="0.35">
      <c r="F123" s="5" t="str">
        <f t="shared" si="11"/>
        <v xml:space="preserve">N/F  </v>
      </c>
      <c r="G123" s="12">
        <f t="shared" si="7"/>
        <v>0</v>
      </c>
      <c r="I123" s="5">
        <f t="shared" si="8"/>
        <v>0</v>
      </c>
      <c r="J123" s="5">
        <f t="shared" si="9"/>
        <v>0</v>
      </c>
      <c r="L123" s="5">
        <f t="shared" si="10"/>
        <v>0</v>
      </c>
      <c r="M123" s="8">
        <v>0</v>
      </c>
      <c r="S123" t="s">
        <v>20</v>
      </c>
    </row>
    <row r="124" spans="6:19" x14ac:dyDescent="0.35">
      <c r="F124" s="5" t="str">
        <f t="shared" si="11"/>
        <v xml:space="preserve">N/F  </v>
      </c>
      <c r="G124" s="12">
        <f t="shared" si="7"/>
        <v>0</v>
      </c>
      <c r="I124" s="5">
        <f t="shared" si="8"/>
        <v>0</v>
      </c>
      <c r="J124" s="5">
        <f t="shared" si="9"/>
        <v>0</v>
      </c>
      <c r="L124" s="5">
        <f t="shared" si="10"/>
        <v>0</v>
      </c>
      <c r="M124" s="8">
        <v>0</v>
      </c>
      <c r="S124" t="s">
        <v>20</v>
      </c>
    </row>
    <row r="125" spans="6:19" x14ac:dyDescent="0.35">
      <c r="F125" s="5" t="str">
        <f t="shared" si="11"/>
        <v xml:space="preserve">N/F  </v>
      </c>
      <c r="G125" s="12">
        <f t="shared" si="7"/>
        <v>0</v>
      </c>
      <c r="I125" s="5">
        <f t="shared" si="8"/>
        <v>0</v>
      </c>
      <c r="J125" s="5">
        <f t="shared" si="9"/>
        <v>0</v>
      </c>
      <c r="L125" s="5">
        <f t="shared" si="10"/>
        <v>0</v>
      </c>
      <c r="M125" s="8">
        <v>0</v>
      </c>
      <c r="S125" t="s">
        <v>20</v>
      </c>
    </row>
    <row r="126" spans="6:19" x14ac:dyDescent="0.35">
      <c r="F126" s="5" t="str">
        <f t="shared" si="11"/>
        <v xml:space="preserve">N/F  </v>
      </c>
      <c r="G126" s="12">
        <f t="shared" si="7"/>
        <v>0</v>
      </c>
      <c r="I126" s="5">
        <f t="shared" si="8"/>
        <v>0</v>
      </c>
      <c r="J126" s="5">
        <f t="shared" si="9"/>
        <v>0</v>
      </c>
      <c r="L126" s="5">
        <f t="shared" si="10"/>
        <v>0</v>
      </c>
      <c r="M126" s="8">
        <v>0</v>
      </c>
      <c r="S126" t="s">
        <v>20</v>
      </c>
    </row>
    <row r="127" spans="6:19" x14ac:dyDescent="0.35">
      <c r="F127" s="5" t="str">
        <f t="shared" si="11"/>
        <v xml:space="preserve">N/F  </v>
      </c>
      <c r="G127" s="12">
        <f t="shared" si="7"/>
        <v>0</v>
      </c>
      <c r="I127" s="5">
        <f t="shared" si="8"/>
        <v>0</v>
      </c>
      <c r="J127" s="5">
        <f t="shared" si="9"/>
        <v>0</v>
      </c>
      <c r="L127" s="5">
        <f t="shared" si="10"/>
        <v>0</v>
      </c>
      <c r="M127" s="8">
        <v>0</v>
      </c>
      <c r="S127" t="s">
        <v>20</v>
      </c>
    </row>
    <row r="128" spans="6:19" x14ac:dyDescent="0.35">
      <c r="F128" s="5" t="str">
        <f t="shared" si="11"/>
        <v xml:space="preserve">N/F  </v>
      </c>
      <c r="G128" s="12">
        <f t="shared" si="7"/>
        <v>0</v>
      </c>
      <c r="I128" s="5">
        <f t="shared" si="8"/>
        <v>0</v>
      </c>
      <c r="J128" s="5">
        <f t="shared" si="9"/>
        <v>0</v>
      </c>
      <c r="L128" s="5">
        <f t="shared" si="10"/>
        <v>0</v>
      </c>
      <c r="M128" s="8">
        <v>0</v>
      </c>
      <c r="S128" t="s">
        <v>20</v>
      </c>
    </row>
    <row r="129" spans="6:19" x14ac:dyDescent="0.35">
      <c r="F129" s="5" t="str">
        <f t="shared" si="11"/>
        <v xml:space="preserve">N/F  </v>
      </c>
      <c r="G129" s="12">
        <f t="shared" si="7"/>
        <v>0</v>
      </c>
      <c r="I129" s="5">
        <f t="shared" si="8"/>
        <v>0</v>
      </c>
      <c r="J129" s="5">
        <f t="shared" si="9"/>
        <v>0</v>
      </c>
      <c r="L129" s="5">
        <f t="shared" si="10"/>
        <v>0</v>
      </c>
      <c r="M129" s="8">
        <v>0</v>
      </c>
      <c r="S129" t="s">
        <v>20</v>
      </c>
    </row>
    <row r="130" spans="6:19" x14ac:dyDescent="0.35">
      <c r="F130" s="5" t="str">
        <f t="shared" si="11"/>
        <v xml:space="preserve">N/F  </v>
      </c>
      <c r="G130" s="12">
        <f t="shared" si="7"/>
        <v>0</v>
      </c>
      <c r="I130" s="5">
        <f t="shared" si="8"/>
        <v>0</v>
      </c>
      <c r="J130" s="5">
        <f t="shared" si="9"/>
        <v>0</v>
      </c>
      <c r="L130" s="5">
        <f t="shared" si="10"/>
        <v>0</v>
      </c>
      <c r="M130" s="8">
        <v>0</v>
      </c>
      <c r="S130" t="s">
        <v>20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D14C-8D7E-41F9-BC19-3571CF9F2397}">
  <dimension ref="A1:S120"/>
  <sheetViews>
    <sheetView topLeftCell="A30" workbookViewId="0">
      <selection activeCell="O5" sqref="O5"/>
    </sheetView>
  </sheetViews>
  <sheetFormatPr baseColWidth="10" defaultRowHeight="14.5" x14ac:dyDescent="0.35"/>
  <cols>
    <col min="1" max="1" width="11.54296875" bestFit="1" customWidth="1"/>
    <col min="2" max="2" width="11.54296875" style="2" customWidth="1"/>
    <col min="3" max="3" width="10" style="2" bestFit="1" customWidth="1"/>
    <col min="4" max="4" width="15.81640625" style="2" bestFit="1" customWidth="1"/>
    <col min="5" max="5" width="34.453125" style="2" customWidth="1"/>
    <col min="6" max="6" width="26.1796875" style="5" customWidth="1"/>
    <col min="7" max="7" width="11.54296875" style="12" customWidth="1"/>
    <col min="8" max="8" width="5.7265625" bestFit="1" customWidth="1"/>
    <col min="9" max="9" width="13.26953125" style="5" customWidth="1"/>
    <col min="10" max="10" width="11.7265625" style="5" customWidth="1"/>
    <col min="11" max="11" width="6.1796875" customWidth="1"/>
    <col min="12" max="12" width="8.54296875" style="5" customWidth="1"/>
    <col min="13" max="13" width="10.7265625" style="8" customWidth="1"/>
    <col min="14" max="14" width="16.81640625" style="3" customWidth="1"/>
    <col min="15" max="15" width="17" style="3" customWidth="1"/>
    <col min="16" max="16" width="14.26953125" style="3" customWidth="1"/>
    <col min="17" max="17" width="14.7265625" style="2" customWidth="1"/>
    <col min="18" max="18" width="14.1796875" customWidth="1"/>
  </cols>
  <sheetData>
    <row r="1" spans="1:19" s="1" customFormat="1" ht="30" customHeigh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6" t="s">
        <v>7</v>
      </c>
      <c r="I1" s="9" t="s">
        <v>8</v>
      </c>
      <c r="J1" s="9" t="s">
        <v>9</v>
      </c>
      <c r="K1" s="6" t="s">
        <v>10</v>
      </c>
      <c r="L1" s="9" t="s">
        <v>11</v>
      </c>
      <c r="M1" s="9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9" x14ac:dyDescent="0.35">
      <c r="A2" s="4">
        <v>45566</v>
      </c>
      <c r="B2" s="2" t="s">
        <v>2640</v>
      </c>
      <c r="D2" s="2" t="s">
        <v>48</v>
      </c>
      <c r="E2" s="2" t="s">
        <v>1192</v>
      </c>
      <c r="F2" s="5" t="str">
        <f>CONCATENATE(S2,B2," ",E2)</f>
        <v>N/F 186 DOFITEC SOLUCIONES INTEGRALES SL</v>
      </c>
      <c r="G2" s="12">
        <f>M2/(1-K2/100+H2/100)</f>
        <v>15000</v>
      </c>
      <c r="H2">
        <v>21</v>
      </c>
      <c r="I2" s="5">
        <f>G2*H2/100</f>
        <v>3150</v>
      </c>
      <c r="J2" s="5">
        <f>G2</f>
        <v>15000</v>
      </c>
      <c r="L2" s="5">
        <f>J2*K2/100</f>
        <v>0</v>
      </c>
      <c r="M2" s="8">
        <v>18150</v>
      </c>
      <c r="N2" s="3" t="s">
        <v>2666</v>
      </c>
      <c r="S2" t="s">
        <v>20</v>
      </c>
    </row>
    <row r="3" spans="1:19" x14ac:dyDescent="0.35">
      <c r="A3" s="4">
        <v>45566</v>
      </c>
      <c r="B3" s="2" t="s">
        <v>2641</v>
      </c>
      <c r="D3" s="2" t="s">
        <v>34</v>
      </c>
      <c r="E3" s="2" t="s">
        <v>2642</v>
      </c>
      <c r="F3" s="5" t="str">
        <f t="shared" ref="F3:F86" si="0">CONCATENATE(S3,B3," ",E3)</f>
        <v>N/F 187 CONTAMAR ASESORES DE EMPRESAS</v>
      </c>
      <c r="G3" s="12">
        <f>M3/(1-K3/100+H3/100)</f>
        <v>8816.7024793388427</v>
      </c>
      <c r="H3">
        <v>21</v>
      </c>
      <c r="I3" s="5">
        <f>G3*H3/100</f>
        <v>1851.5075206611571</v>
      </c>
      <c r="J3" s="5">
        <f>G3</f>
        <v>8816.7024793388427</v>
      </c>
      <c r="L3" s="5">
        <f>J3*K3/100</f>
        <v>0</v>
      </c>
      <c r="M3" s="8">
        <v>10668.21</v>
      </c>
      <c r="N3" s="3" t="s">
        <v>2984</v>
      </c>
      <c r="S3" t="s">
        <v>20</v>
      </c>
    </row>
    <row r="4" spans="1:19" x14ac:dyDescent="0.35">
      <c r="A4" s="4">
        <v>45566</v>
      </c>
      <c r="B4" s="2" t="s">
        <v>2643</v>
      </c>
      <c r="D4" s="2" t="s">
        <v>2414</v>
      </c>
      <c r="E4" s="2" t="s">
        <v>2644</v>
      </c>
      <c r="F4" s="5" t="str">
        <f t="shared" si="0"/>
        <v>N/F 188 CUEVAS GRIMAS OBRAS Y SERVICIOS SLNEU</v>
      </c>
      <c r="G4" s="12">
        <f t="shared" ref="G4:G87" si="1">M4/(1-K4/100+H4/100)</f>
        <v>5204</v>
      </c>
      <c r="H4">
        <v>21</v>
      </c>
      <c r="I4" s="5">
        <f t="shared" ref="I4:I87" si="2">G4*H4/100</f>
        <v>1092.8399999999999</v>
      </c>
      <c r="J4" s="5">
        <f t="shared" ref="J4:J87" si="3">G4</f>
        <v>5204</v>
      </c>
      <c r="L4" s="5">
        <f t="shared" ref="L4:L87" si="4">J4*K4/100</f>
        <v>0</v>
      </c>
      <c r="M4" s="8">
        <v>6296.84</v>
      </c>
      <c r="N4" s="3" t="s">
        <v>2645</v>
      </c>
      <c r="S4" t="s">
        <v>20</v>
      </c>
    </row>
    <row r="5" spans="1:19" x14ac:dyDescent="0.35">
      <c r="A5" s="4">
        <v>45566</v>
      </c>
      <c r="B5" s="2" t="s">
        <v>2646</v>
      </c>
      <c r="D5" s="2" t="s">
        <v>3388</v>
      </c>
      <c r="E5" s="2" t="s">
        <v>122</v>
      </c>
      <c r="F5" s="5" t="str">
        <f t="shared" si="0"/>
        <v>N/F 189 PINTOCOLORS</v>
      </c>
      <c r="G5" s="12">
        <f t="shared" si="1"/>
        <v>725</v>
      </c>
      <c r="H5">
        <v>21</v>
      </c>
      <c r="I5" s="5">
        <f t="shared" si="2"/>
        <v>152.25</v>
      </c>
      <c r="J5" s="5">
        <f t="shared" si="3"/>
        <v>725</v>
      </c>
      <c r="L5" s="5">
        <f t="shared" si="4"/>
        <v>0</v>
      </c>
      <c r="M5" s="8">
        <v>877.25</v>
      </c>
      <c r="N5" s="3" t="s">
        <v>64</v>
      </c>
      <c r="S5" t="s">
        <v>20</v>
      </c>
    </row>
    <row r="6" spans="1:19" x14ac:dyDescent="0.35">
      <c r="A6" s="4">
        <v>45566</v>
      </c>
      <c r="B6" s="2" t="s">
        <v>2647</v>
      </c>
      <c r="D6" s="2" t="s">
        <v>229</v>
      </c>
      <c r="E6" s="2" t="s">
        <v>2648</v>
      </c>
      <c r="F6" s="5" t="str">
        <f t="shared" si="0"/>
        <v>N/F 190 MEDA INMUEBLES S.L.</v>
      </c>
      <c r="G6" s="12">
        <f t="shared" si="1"/>
        <v>1556</v>
      </c>
      <c r="H6">
        <v>21</v>
      </c>
      <c r="I6" s="5">
        <f t="shared" si="2"/>
        <v>326.76</v>
      </c>
      <c r="J6" s="5">
        <f t="shared" si="3"/>
        <v>1556</v>
      </c>
      <c r="L6" s="5">
        <f t="shared" si="4"/>
        <v>0</v>
      </c>
      <c r="M6" s="8">
        <v>1882.76</v>
      </c>
      <c r="N6" s="3" t="s">
        <v>2791</v>
      </c>
      <c r="S6" t="s">
        <v>20</v>
      </c>
    </row>
    <row r="7" spans="1:19" x14ac:dyDescent="0.35">
      <c r="A7" s="4">
        <v>45566</v>
      </c>
      <c r="B7" s="2" t="s">
        <v>2649</v>
      </c>
      <c r="D7" s="2" t="s">
        <v>47</v>
      </c>
      <c r="E7" s="2" t="s">
        <v>31</v>
      </c>
      <c r="F7" s="5" t="str">
        <f t="shared" si="0"/>
        <v>N/F 191 MARTA REY ABAD</v>
      </c>
      <c r="G7" s="12">
        <f t="shared" si="1"/>
        <v>3922</v>
      </c>
      <c r="H7">
        <v>21</v>
      </c>
      <c r="I7" s="5">
        <f t="shared" si="2"/>
        <v>823.62</v>
      </c>
      <c r="J7" s="5">
        <f t="shared" si="3"/>
        <v>3922</v>
      </c>
      <c r="L7" s="5">
        <f t="shared" si="4"/>
        <v>0</v>
      </c>
      <c r="M7" s="8">
        <v>4745.62</v>
      </c>
      <c r="N7" s="3" t="s">
        <v>2672</v>
      </c>
      <c r="S7" t="s">
        <v>20</v>
      </c>
    </row>
    <row r="8" spans="1:19" x14ac:dyDescent="0.35">
      <c r="A8" s="4">
        <v>45567</v>
      </c>
      <c r="B8" s="2" t="s">
        <v>2650</v>
      </c>
      <c r="D8" s="2" t="s">
        <v>2651</v>
      </c>
      <c r="E8" s="2" t="s">
        <v>2652</v>
      </c>
      <c r="F8" s="5" t="str">
        <f t="shared" si="0"/>
        <v>N/F 192 ESPGOL EUROGROUP</v>
      </c>
      <c r="G8" s="12">
        <f t="shared" si="1"/>
        <v>1374</v>
      </c>
      <c r="H8">
        <v>21</v>
      </c>
      <c r="I8" s="5">
        <f t="shared" si="2"/>
        <v>288.54000000000002</v>
      </c>
      <c r="J8" s="5">
        <f t="shared" si="3"/>
        <v>1374</v>
      </c>
      <c r="L8" s="5">
        <f t="shared" si="4"/>
        <v>0</v>
      </c>
      <c r="M8" s="8">
        <v>1662.54</v>
      </c>
      <c r="N8" s="3" t="s">
        <v>269</v>
      </c>
      <c r="S8" t="s">
        <v>20</v>
      </c>
    </row>
    <row r="9" spans="1:19" x14ac:dyDescent="0.35">
      <c r="A9" s="4">
        <v>45572</v>
      </c>
      <c r="B9" s="2" t="s">
        <v>2653</v>
      </c>
      <c r="D9" s="2" t="s">
        <v>263</v>
      </c>
      <c r="E9" s="2" t="s">
        <v>2654</v>
      </c>
      <c r="F9" s="5" t="str">
        <f t="shared" si="0"/>
        <v>N/F 193 MQF S.L.</v>
      </c>
      <c r="G9" s="12">
        <f t="shared" si="1"/>
        <v>1012.504132231405</v>
      </c>
      <c r="H9">
        <v>21</v>
      </c>
      <c r="I9" s="5">
        <f t="shared" si="2"/>
        <v>212.62586776859504</v>
      </c>
      <c r="J9" s="5">
        <f t="shared" si="3"/>
        <v>1012.504132231405</v>
      </c>
      <c r="L9" s="5">
        <f t="shared" si="4"/>
        <v>0</v>
      </c>
      <c r="M9" s="8">
        <v>1225.1300000000001</v>
      </c>
      <c r="N9" s="3" t="s">
        <v>2671</v>
      </c>
      <c r="S9" t="s">
        <v>20</v>
      </c>
    </row>
    <row r="10" spans="1:19" x14ac:dyDescent="0.35">
      <c r="A10" s="4">
        <v>45572</v>
      </c>
      <c r="B10" s="2" t="s">
        <v>2655</v>
      </c>
      <c r="D10" s="2" t="s">
        <v>81</v>
      </c>
      <c r="E10" s="2" t="s">
        <v>2656</v>
      </c>
      <c r="F10" s="5" t="str">
        <f t="shared" si="0"/>
        <v>N/F 194 CONSEJERIA DE VIVIENDA TRANSPORTES E INFRAESTRUCTURA</v>
      </c>
      <c r="G10" s="12">
        <f t="shared" si="1"/>
        <v>718.19834710743805</v>
      </c>
      <c r="H10">
        <v>21</v>
      </c>
      <c r="I10" s="5">
        <f t="shared" si="2"/>
        <v>150.82165289256199</v>
      </c>
      <c r="J10" s="5">
        <f t="shared" si="3"/>
        <v>718.19834710743805</v>
      </c>
      <c r="L10" s="5">
        <f t="shared" si="4"/>
        <v>0</v>
      </c>
      <c r="M10" s="8">
        <v>869.02</v>
      </c>
      <c r="N10" s="3" t="s">
        <v>2795</v>
      </c>
      <c r="S10" t="s">
        <v>20</v>
      </c>
    </row>
    <row r="11" spans="1:19" x14ac:dyDescent="0.35">
      <c r="A11" s="4">
        <v>45572</v>
      </c>
      <c r="B11" s="2" t="s">
        <v>2657</v>
      </c>
      <c r="D11" s="2" t="s">
        <v>81</v>
      </c>
      <c r="E11" s="2" t="s">
        <v>2656</v>
      </c>
      <c r="F11" s="5" t="str">
        <f t="shared" si="0"/>
        <v>N/F 195 CONSEJERIA DE VIVIENDA TRANSPORTES E INFRAESTRUCTURA</v>
      </c>
      <c r="G11" s="12">
        <f t="shared" si="1"/>
        <v>579.60330578512401</v>
      </c>
      <c r="H11">
        <v>21</v>
      </c>
      <c r="I11" s="5">
        <f t="shared" si="2"/>
        <v>121.71669421487604</v>
      </c>
      <c r="J11" s="5">
        <f t="shared" si="3"/>
        <v>579.60330578512401</v>
      </c>
      <c r="L11" s="5">
        <f t="shared" si="4"/>
        <v>0</v>
      </c>
      <c r="M11" s="8">
        <v>701.32</v>
      </c>
      <c r="N11" s="3" t="s">
        <v>2795</v>
      </c>
      <c r="S11" t="s">
        <v>20</v>
      </c>
    </row>
    <row r="12" spans="1:19" x14ac:dyDescent="0.35">
      <c r="A12" s="4">
        <v>45572</v>
      </c>
      <c r="B12" s="2" t="s">
        <v>2658</v>
      </c>
      <c r="D12" s="2" t="s">
        <v>81</v>
      </c>
      <c r="E12" s="2" t="s">
        <v>2656</v>
      </c>
      <c r="F12" s="5" t="str">
        <f t="shared" si="0"/>
        <v>N/F 196 CONSEJERIA DE VIVIENDA TRANSPORTES E INFRAESTRUCTURA</v>
      </c>
      <c r="G12" s="12">
        <f t="shared" si="1"/>
        <v>359.09917355371903</v>
      </c>
      <c r="H12">
        <v>21</v>
      </c>
      <c r="I12" s="5">
        <f t="shared" si="2"/>
        <v>75.410826446280993</v>
      </c>
      <c r="J12" s="5">
        <f t="shared" si="3"/>
        <v>359.09917355371903</v>
      </c>
      <c r="L12" s="5">
        <f t="shared" si="4"/>
        <v>0</v>
      </c>
      <c r="M12" s="8">
        <v>434.51</v>
      </c>
      <c r="N12" s="3" t="s">
        <v>2795</v>
      </c>
      <c r="S12" t="s">
        <v>20</v>
      </c>
    </row>
    <row r="13" spans="1:19" x14ac:dyDescent="0.35">
      <c r="A13" s="4">
        <v>45574</v>
      </c>
      <c r="B13" s="2" t="s">
        <v>2674</v>
      </c>
      <c r="D13" s="2" t="s">
        <v>47</v>
      </c>
      <c r="E13" s="2" t="s">
        <v>31</v>
      </c>
      <c r="F13" s="5" t="str">
        <f t="shared" si="0"/>
        <v>N/F 197 MARTA REY ABAD</v>
      </c>
      <c r="G13" s="12">
        <f t="shared" si="1"/>
        <v>10120</v>
      </c>
      <c r="H13">
        <v>21</v>
      </c>
      <c r="I13" s="5">
        <f t="shared" si="2"/>
        <v>2125.1999999999998</v>
      </c>
      <c r="J13" s="5">
        <f t="shared" si="3"/>
        <v>10120</v>
      </c>
      <c r="L13" s="5">
        <f t="shared" si="4"/>
        <v>0</v>
      </c>
      <c r="M13" s="8">
        <v>12245.2</v>
      </c>
      <c r="N13" s="3" t="s">
        <v>2675</v>
      </c>
      <c r="S13" t="s">
        <v>20</v>
      </c>
    </row>
    <row r="14" spans="1:19" x14ac:dyDescent="0.35">
      <c r="A14" s="4">
        <v>45582</v>
      </c>
      <c r="B14" s="2" t="s">
        <v>2680</v>
      </c>
      <c r="D14" s="2" t="s">
        <v>1379</v>
      </c>
      <c r="E14" s="2" t="s">
        <v>2681</v>
      </c>
      <c r="F14" s="5" t="str">
        <f t="shared" si="0"/>
        <v>N/F 198 DECORACIONES J. GARCIA SL</v>
      </c>
      <c r="G14" s="12">
        <f t="shared" si="1"/>
        <v>200</v>
      </c>
      <c r="H14">
        <v>21</v>
      </c>
      <c r="I14" s="5">
        <f t="shared" si="2"/>
        <v>42</v>
      </c>
      <c r="J14" s="5">
        <f t="shared" si="3"/>
        <v>200</v>
      </c>
      <c r="L14" s="5">
        <f t="shared" si="4"/>
        <v>0</v>
      </c>
      <c r="M14" s="8">
        <v>242</v>
      </c>
      <c r="N14" s="3" t="s">
        <v>2794</v>
      </c>
      <c r="S14" t="s">
        <v>20</v>
      </c>
    </row>
    <row r="15" spans="1:19" x14ac:dyDescent="0.35">
      <c r="A15" s="4">
        <v>45588</v>
      </c>
      <c r="B15" s="2" t="s">
        <v>2698</v>
      </c>
      <c r="D15" s="2" t="s">
        <v>48</v>
      </c>
      <c r="E15" s="2" t="s">
        <v>1192</v>
      </c>
      <c r="F15" s="5" t="str">
        <f t="shared" si="0"/>
        <v>N/F 199 DOFITEC SOLUCIONES INTEGRALES SL</v>
      </c>
      <c r="G15" s="12">
        <f t="shared" si="1"/>
        <v>10674.000000000002</v>
      </c>
      <c r="H15">
        <v>21</v>
      </c>
      <c r="I15" s="5">
        <f t="shared" si="2"/>
        <v>2241.5400000000004</v>
      </c>
      <c r="J15" s="5">
        <f t="shared" si="3"/>
        <v>10674.000000000002</v>
      </c>
      <c r="L15" s="5">
        <f t="shared" si="4"/>
        <v>0</v>
      </c>
      <c r="M15" s="8">
        <v>12915.54</v>
      </c>
      <c r="N15" s="3" t="s">
        <v>2792</v>
      </c>
      <c r="S15" t="s">
        <v>20</v>
      </c>
    </row>
    <row r="16" spans="1:19" x14ac:dyDescent="0.35">
      <c r="A16" s="4">
        <v>45588</v>
      </c>
      <c r="B16" s="2" t="s">
        <v>2699</v>
      </c>
      <c r="D16" s="2" t="s">
        <v>48</v>
      </c>
      <c r="E16" s="2" t="s">
        <v>1192</v>
      </c>
      <c r="F16" s="5" t="str">
        <f t="shared" si="0"/>
        <v>N/F 200 DOFITEC SOLUCIONES INTEGRALES SL</v>
      </c>
      <c r="G16" s="12">
        <f t="shared" si="1"/>
        <v>2180</v>
      </c>
      <c r="H16">
        <v>21</v>
      </c>
      <c r="I16" s="5">
        <f t="shared" si="2"/>
        <v>457.8</v>
      </c>
      <c r="J16" s="5">
        <f t="shared" si="3"/>
        <v>2180</v>
      </c>
      <c r="L16" s="5">
        <f t="shared" si="4"/>
        <v>0</v>
      </c>
      <c r="M16" s="8">
        <v>2637.8</v>
      </c>
      <c r="N16" s="3" t="s">
        <v>2708</v>
      </c>
      <c r="S16" t="s">
        <v>20</v>
      </c>
    </row>
    <row r="17" spans="1:19" x14ac:dyDescent="0.35">
      <c r="A17" s="4">
        <v>45588</v>
      </c>
      <c r="B17" s="2" t="s">
        <v>2700</v>
      </c>
      <c r="D17" s="2" t="s">
        <v>457</v>
      </c>
      <c r="E17" s="2" t="s">
        <v>403</v>
      </c>
      <c r="F17" s="5" t="str">
        <f t="shared" si="0"/>
        <v>N/F 201 MANUELA CASTRO VIDALES</v>
      </c>
      <c r="G17" s="12">
        <f t="shared" si="1"/>
        <v>450</v>
      </c>
      <c r="H17">
        <v>21</v>
      </c>
      <c r="I17" s="5">
        <f t="shared" si="2"/>
        <v>94.5</v>
      </c>
      <c r="J17" s="5">
        <f t="shared" si="3"/>
        <v>450</v>
      </c>
      <c r="L17" s="5">
        <f t="shared" si="4"/>
        <v>0</v>
      </c>
      <c r="M17" s="8">
        <v>544.5</v>
      </c>
      <c r="S17" t="s">
        <v>20</v>
      </c>
    </row>
    <row r="18" spans="1:19" x14ac:dyDescent="0.35">
      <c r="A18" s="4">
        <v>45589</v>
      </c>
      <c r="B18" s="2" t="s">
        <v>2701</v>
      </c>
      <c r="D18" s="2" t="s">
        <v>2702</v>
      </c>
      <c r="E18" s="2" t="s">
        <v>2703</v>
      </c>
      <c r="F18" s="5" t="str">
        <f t="shared" si="0"/>
        <v>N/F 202 ALMUDENA CARRASCO MORENO</v>
      </c>
      <c r="G18" s="12">
        <f t="shared" si="1"/>
        <v>780</v>
      </c>
      <c r="H18">
        <v>21</v>
      </c>
      <c r="I18" s="5">
        <f t="shared" si="2"/>
        <v>163.80000000000001</v>
      </c>
      <c r="J18" s="5">
        <f t="shared" si="3"/>
        <v>780</v>
      </c>
      <c r="L18" s="5">
        <f t="shared" si="4"/>
        <v>0</v>
      </c>
      <c r="M18" s="8">
        <v>943.8</v>
      </c>
      <c r="N18" s="3" t="s">
        <v>2709</v>
      </c>
      <c r="S18" t="s">
        <v>20</v>
      </c>
    </row>
    <row r="19" spans="1:19" x14ac:dyDescent="0.35">
      <c r="A19" s="4">
        <v>45589</v>
      </c>
      <c r="B19" s="2" t="s">
        <v>2704</v>
      </c>
      <c r="D19" s="2" t="s">
        <v>232</v>
      </c>
      <c r="E19" s="2" t="s">
        <v>233</v>
      </c>
      <c r="F19" s="5" t="str">
        <f t="shared" si="0"/>
        <v>N/F 203 CORINA NICOLETA MOLDOVANU</v>
      </c>
      <c r="G19" s="12">
        <f t="shared" si="1"/>
        <v>620</v>
      </c>
      <c r="H19">
        <v>21</v>
      </c>
      <c r="I19" s="5">
        <f t="shared" si="2"/>
        <v>130.19999999999999</v>
      </c>
      <c r="J19" s="5">
        <f t="shared" si="3"/>
        <v>620</v>
      </c>
      <c r="L19" s="5">
        <f t="shared" si="4"/>
        <v>0</v>
      </c>
      <c r="M19" s="8">
        <v>750.2</v>
      </c>
      <c r="N19" s="3" t="s">
        <v>2710</v>
      </c>
      <c r="S19" t="s">
        <v>20</v>
      </c>
    </row>
    <row r="20" spans="1:19" x14ac:dyDescent="0.35">
      <c r="A20" s="4">
        <v>45589</v>
      </c>
      <c r="B20" s="2" t="s">
        <v>2705</v>
      </c>
      <c r="D20" s="2" t="s">
        <v>232</v>
      </c>
      <c r="E20" s="2" t="s">
        <v>233</v>
      </c>
      <c r="F20" s="5" t="str">
        <f t="shared" si="0"/>
        <v>N/F 204 CORINA NICOLETA MOLDOVANU</v>
      </c>
      <c r="G20" s="12">
        <f t="shared" si="1"/>
        <v>440</v>
      </c>
      <c r="H20">
        <v>21</v>
      </c>
      <c r="I20" s="5">
        <f t="shared" si="2"/>
        <v>92.4</v>
      </c>
      <c r="J20" s="5">
        <f t="shared" si="3"/>
        <v>440</v>
      </c>
      <c r="L20" s="5">
        <f t="shared" si="4"/>
        <v>0</v>
      </c>
      <c r="M20" s="8">
        <v>532.4</v>
      </c>
      <c r="N20" s="3" t="s">
        <v>2710</v>
      </c>
      <c r="S20" t="s">
        <v>20</v>
      </c>
    </row>
    <row r="21" spans="1:19" x14ac:dyDescent="0.35">
      <c r="A21" s="4">
        <v>45589</v>
      </c>
      <c r="B21" s="2" t="s">
        <v>2706</v>
      </c>
      <c r="D21" s="2" t="s">
        <v>232</v>
      </c>
      <c r="E21" s="2" t="s">
        <v>233</v>
      </c>
      <c r="F21" s="5" t="str">
        <f t="shared" si="0"/>
        <v>N/F 205 CORINA NICOLETA MOLDOVANU</v>
      </c>
      <c r="G21" s="12">
        <f t="shared" si="1"/>
        <v>860</v>
      </c>
      <c r="H21">
        <v>21</v>
      </c>
      <c r="I21" s="5">
        <f t="shared" si="2"/>
        <v>180.6</v>
      </c>
      <c r="J21" s="5">
        <f t="shared" si="3"/>
        <v>860</v>
      </c>
      <c r="L21" s="5">
        <f t="shared" si="4"/>
        <v>0</v>
      </c>
      <c r="M21" s="8">
        <v>1040.5999999999999</v>
      </c>
      <c r="N21" s="3" t="s">
        <v>2710</v>
      </c>
      <c r="S21" t="s">
        <v>20</v>
      </c>
    </row>
    <row r="22" spans="1:19" x14ac:dyDescent="0.35">
      <c r="A22" s="4">
        <v>45590</v>
      </c>
      <c r="B22" s="2" t="s">
        <v>2707</v>
      </c>
      <c r="D22" s="2" t="s">
        <v>81</v>
      </c>
      <c r="E22" s="2" t="s">
        <v>2656</v>
      </c>
      <c r="F22" s="5" t="str">
        <f t="shared" si="0"/>
        <v>N/F 206 CONSEJERIA DE VIVIENDA TRANSPORTES E INFRAESTRUCTURA</v>
      </c>
      <c r="G22" s="12">
        <f t="shared" si="1"/>
        <v>2844.8016528925623</v>
      </c>
      <c r="H22">
        <v>21</v>
      </c>
      <c r="I22" s="5">
        <f t="shared" si="2"/>
        <v>597.40834710743809</v>
      </c>
      <c r="J22" s="5">
        <f t="shared" si="3"/>
        <v>2844.8016528925623</v>
      </c>
      <c r="L22" s="5">
        <f t="shared" si="4"/>
        <v>0</v>
      </c>
      <c r="M22" s="8">
        <v>3442.21</v>
      </c>
      <c r="N22" s="3" t="s">
        <v>2808</v>
      </c>
      <c r="S22" t="s">
        <v>20</v>
      </c>
    </row>
    <row r="23" spans="1:19" x14ac:dyDescent="0.35">
      <c r="A23" s="4">
        <v>45596</v>
      </c>
      <c r="B23" s="2" t="s">
        <v>2748</v>
      </c>
      <c r="D23" s="2" t="s">
        <v>48</v>
      </c>
      <c r="E23" s="2" t="s">
        <v>1192</v>
      </c>
      <c r="F23" s="5" t="str">
        <f t="shared" si="0"/>
        <v>N/F 207 DOFITEC SOLUCIONES INTEGRALES SL</v>
      </c>
      <c r="G23" s="12">
        <f t="shared" si="1"/>
        <v>8000</v>
      </c>
      <c r="H23">
        <v>21</v>
      </c>
      <c r="I23" s="5">
        <f t="shared" si="2"/>
        <v>1680</v>
      </c>
      <c r="J23" s="5">
        <f t="shared" si="3"/>
        <v>8000</v>
      </c>
      <c r="L23" s="5">
        <f t="shared" si="4"/>
        <v>0</v>
      </c>
      <c r="M23" s="8">
        <v>9680</v>
      </c>
      <c r="N23" s="3" t="s">
        <v>2792</v>
      </c>
      <c r="S23" t="s">
        <v>20</v>
      </c>
    </row>
    <row r="24" spans="1:19" x14ac:dyDescent="0.35">
      <c r="A24" s="4">
        <v>45601</v>
      </c>
      <c r="B24" s="2" t="s">
        <v>2774</v>
      </c>
      <c r="D24" s="2" t="s">
        <v>142</v>
      </c>
      <c r="E24" s="2" t="s">
        <v>2778</v>
      </c>
      <c r="F24" s="5" t="str">
        <f t="shared" si="0"/>
        <v>N/F 208 LINOTEC SOLUCIONES TECNICAS</v>
      </c>
      <c r="G24" s="12">
        <f t="shared" si="1"/>
        <v>8170.9008264462818</v>
      </c>
      <c r="H24">
        <v>21</v>
      </c>
      <c r="I24" s="5">
        <f t="shared" si="2"/>
        <v>1715.8891735537193</v>
      </c>
      <c r="J24" s="5">
        <f t="shared" si="3"/>
        <v>8170.9008264462818</v>
      </c>
      <c r="L24" s="5">
        <f t="shared" si="4"/>
        <v>0</v>
      </c>
      <c r="M24" s="8">
        <v>9886.7900000000009</v>
      </c>
      <c r="N24" s="3" t="s">
        <v>2793</v>
      </c>
      <c r="O24" s="3" t="s">
        <v>2810</v>
      </c>
      <c r="S24" t="s">
        <v>20</v>
      </c>
    </row>
    <row r="25" spans="1:19" x14ac:dyDescent="0.35">
      <c r="A25" s="4">
        <v>45607</v>
      </c>
      <c r="B25" s="2" t="s">
        <v>1152</v>
      </c>
      <c r="D25" s="2" t="s">
        <v>2779</v>
      </c>
      <c r="E25" s="2" t="s">
        <v>2780</v>
      </c>
      <c r="F25" s="5" t="str">
        <f t="shared" si="0"/>
        <v>N/F 209 PILAR MORENO CUADRA</v>
      </c>
      <c r="G25" s="12">
        <f t="shared" si="1"/>
        <v>24499.999999999996</v>
      </c>
      <c r="H25">
        <v>10</v>
      </c>
      <c r="I25" s="5">
        <f t="shared" si="2"/>
        <v>2449.9999999999995</v>
      </c>
      <c r="J25" s="5">
        <f t="shared" si="3"/>
        <v>24499.999999999996</v>
      </c>
      <c r="L25" s="5">
        <f t="shared" si="4"/>
        <v>0</v>
      </c>
      <c r="M25" s="8">
        <v>26950</v>
      </c>
      <c r="N25" s="3" t="s">
        <v>2789</v>
      </c>
      <c r="O25" s="3" t="s">
        <v>2790</v>
      </c>
      <c r="S25" t="s">
        <v>20</v>
      </c>
    </row>
    <row r="26" spans="1:19" x14ac:dyDescent="0.35">
      <c r="A26" s="4">
        <v>45607</v>
      </c>
      <c r="B26" s="2" t="s">
        <v>2775</v>
      </c>
      <c r="D26" s="2" t="s">
        <v>81</v>
      </c>
      <c r="E26" s="2" t="s">
        <v>2656</v>
      </c>
      <c r="F26" s="5" t="str">
        <f t="shared" si="0"/>
        <v>N/F 210 CONSEJERIA DE VIVIENDA TRANSPORTES E INFRAESTRUCTURA</v>
      </c>
      <c r="G26" s="12">
        <f t="shared" si="1"/>
        <v>718.19834710743805</v>
      </c>
      <c r="H26">
        <v>21</v>
      </c>
      <c r="I26" s="5">
        <f t="shared" si="2"/>
        <v>150.82165289256199</v>
      </c>
      <c r="J26" s="5">
        <f t="shared" si="3"/>
        <v>718.19834710743805</v>
      </c>
      <c r="L26" s="5">
        <f t="shared" si="4"/>
        <v>0</v>
      </c>
      <c r="M26" s="8">
        <v>869.02</v>
      </c>
      <c r="N26" s="3" t="s">
        <v>2905</v>
      </c>
      <c r="S26" t="s">
        <v>20</v>
      </c>
    </row>
    <row r="27" spans="1:19" x14ac:dyDescent="0.35">
      <c r="A27" s="4">
        <v>45607</v>
      </c>
      <c r="B27" s="2" t="s">
        <v>2776</v>
      </c>
      <c r="D27" s="2" t="s">
        <v>81</v>
      </c>
      <c r="E27" s="2" t="s">
        <v>2656</v>
      </c>
      <c r="F27" s="5" t="str">
        <f t="shared" si="0"/>
        <v>N/F 211 CONSEJERIA DE VIVIENDA TRANSPORTES E INFRAESTRUCTURA</v>
      </c>
      <c r="G27" s="12">
        <f t="shared" si="1"/>
        <v>579.60330578512401</v>
      </c>
      <c r="H27">
        <v>21</v>
      </c>
      <c r="I27" s="5">
        <f t="shared" si="2"/>
        <v>121.71669421487604</v>
      </c>
      <c r="J27" s="5">
        <f t="shared" si="3"/>
        <v>579.60330578512401</v>
      </c>
      <c r="L27" s="5">
        <f t="shared" si="4"/>
        <v>0</v>
      </c>
      <c r="M27" s="8">
        <v>701.32</v>
      </c>
      <c r="N27" s="3" t="s">
        <v>2905</v>
      </c>
      <c r="S27" t="s">
        <v>20</v>
      </c>
    </row>
    <row r="28" spans="1:19" x14ac:dyDescent="0.35">
      <c r="A28" s="4">
        <v>45607</v>
      </c>
      <c r="B28" s="2" t="s">
        <v>2777</v>
      </c>
      <c r="D28" s="2" t="s">
        <v>81</v>
      </c>
      <c r="E28" s="2" t="s">
        <v>2656</v>
      </c>
      <c r="F28" s="5" t="str">
        <f t="shared" si="0"/>
        <v>N/F 212 CONSEJERIA DE VIVIENDA TRANSPORTES E INFRAESTRUCTURA</v>
      </c>
      <c r="G28" s="12">
        <f t="shared" si="1"/>
        <v>359.09917355371903</v>
      </c>
      <c r="H28">
        <v>21</v>
      </c>
      <c r="I28" s="5">
        <f t="shared" si="2"/>
        <v>75.410826446280993</v>
      </c>
      <c r="J28" s="5">
        <f t="shared" si="3"/>
        <v>359.09917355371903</v>
      </c>
      <c r="L28" s="5">
        <f t="shared" si="4"/>
        <v>0</v>
      </c>
      <c r="M28" s="8">
        <v>434.51</v>
      </c>
      <c r="N28" s="3" t="s">
        <v>2867</v>
      </c>
      <c r="S28" t="s">
        <v>20</v>
      </c>
    </row>
    <row r="29" spans="1:19" x14ac:dyDescent="0.35">
      <c r="A29" s="4">
        <v>45607</v>
      </c>
      <c r="B29" s="2" t="s">
        <v>2781</v>
      </c>
      <c r="D29" s="2" t="s">
        <v>306</v>
      </c>
      <c r="E29" s="2" t="s">
        <v>2782</v>
      </c>
      <c r="F29" s="5" t="str">
        <f t="shared" si="0"/>
        <v xml:space="preserve">N/F 213 C.P. PASEO DEL PRADO 2 </v>
      </c>
      <c r="G29" s="12">
        <f t="shared" si="1"/>
        <v>732.90082644628092</v>
      </c>
      <c r="H29">
        <v>21</v>
      </c>
      <c r="I29" s="5">
        <f t="shared" si="2"/>
        <v>153.909173553719</v>
      </c>
      <c r="J29" s="5">
        <f t="shared" si="3"/>
        <v>732.90082644628092</v>
      </c>
      <c r="L29" s="5">
        <f t="shared" si="4"/>
        <v>0</v>
      </c>
      <c r="M29" s="8">
        <v>886.81</v>
      </c>
      <c r="N29" s="3" t="s">
        <v>2904</v>
      </c>
      <c r="S29" t="s">
        <v>20</v>
      </c>
    </row>
    <row r="30" spans="1:19" x14ac:dyDescent="0.35">
      <c r="A30" s="4">
        <v>45607</v>
      </c>
      <c r="B30" s="2" t="s">
        <v>2809</v>
      </c>
      <c r="D30" s="2" t="s">
        <v>229</v>
      </c>
      <c r="E30" s="2" t="s">
        <v>2648</v>
      </c>
      <c r="F30" s="5" t="str">
        <f t="shared" si="0"/>
        <v>N/F 214 MEDA INMUEBLES S.L.</v>
      </c>
      <c r="G30" s="12">
        <f t="shared" si="1"/>
        <v>1565.8016528925618</v>
      </c>
      <c r="H30">
        <v>21</v>
      </c>
      <c r="I30" s="5">
        <f t="shared" si="2"/>
        <v>328.818347107438</v>
      </c>
      <c r="J30" s="5">
        <f t="shared" si="3"/>
        <v>1565.8016528925618</v>
      </c>
      <c r="L30" s="5">
        <f t="shared" si="4"/>
        <v>0</v>
      </c>
      <c r="M30" s="8">
        <v>1894.62</v>
      </c>
      <c r="N30" s="3" t="s">
        <v>2791</v>
      </c>
      <c r="S30" t="s">
        <v>20</v>
      </c>
    </row>
    <row r="31" spans="1:19" x14ac:dyDescent="0.35">
      <c r="A31" s="4">
        <v>45618</v>
      </c>
      <c r="B31" s="2" t="s">
        <v>2823</v>
      </c>
      <c r="D31" s="2" t="s">
        <v>2651</v>
      </c>
      <c r="E31" s="2" t="s">
        <v>2652</v>
      </c>
      <c r="F31" s="5" t="str">
        <f t="shared" si="0"/>
        <v>N/F 215 ESPGOL EUROGROUP</v>
      </c>
      <c r="G31" s="12">
        <f t="shared" si="1"/>
        <v>269.19834710743805</v>
      </c>
      <c r="H31">
        <v>21</v>
      </c>
      <c r="I31" s="5">
        <f t="shared" si="2"/>
        <v>56.531652892561986</v>
      </c>
      <c r="J31" s="5">
        <f t="shared" si="3"/>
        <v>269.19834710743805</v>
      </c>
      <c r="L31" s="5">
        <f t="shared" si="4"/>
        <v>0</v>
      </c>
      <c r="M31" s="8">
        <v>325.73</v>
      </c>
      <c r="N31" s="3" t="s">
        <v>2850</v>
      </c>
      <c r="S31" t="s">
        <v>20</v>
      </c>
    </row>
    <row r="32" spans="1:19" x14ac:dyDescent="0.35">
      <c r="A32" s="4">
        <v>45618</v>
      </c>
      <c r="B32" s="2" t="s">
        <v>2824</v>
      </c>
      <c r="D32" s="2" t="s">
        <v>1379</v>
      </c>
      <c r="E32" s="2" t="s">
        <v>2681</v>
      </c>
      <c r="F32" s="5" t="str">
        <f t="shared" si="0"/>
        <v>N/F 216 DECORACIONES J. GARCIA SL</v>
      </c>
      <c r="G32" s="12">
        <f t="shared" si="1"/>
        <v>2160</v>
      </c>
      <c r="H32">
        <v>21</v>
      </c>
      <c r="I32" s="5">
        <f t="shared" si="2"/>
        <v>453.6</v>
      </c>
      <c r="J32" s="5">
        <f t="shared" si="3"/>
        <v>2160</v>
      </c>
      <c r="L32" s="5">
        <f t="shared" si="4"/>
        <v>0</v>
      </c>
      <c r="M32" s="8">
        <v>2613.6</v>
      </c>
      <c r="N32" s="3" t="s">
        <v>2829</v>
      </c>
      <c r="S32" t="s">
        <v>20</v>
      </c>
    </row>
    <row r="33" spans="1:19" x14ac:dyDescent="0.35">
      <c r="A33" s="4">
        <v>45618</v>
      </c>
      <c r="B33" s="2" t="s">
        <v>2825</v>
      </c>
      <c r="D33" s="2" t="s">
        <v>2833</v>
      </c>
      <c r="E33" s="2" t="s">
        <v>2834</v>
      </c>
      <c r="F33" s="5" t="str">
        <f t="shared" si="0"/>
        <v>N/F 217 PEREZ CEBOLLA S.L.</v>
      </c>
      <c r="G33" s="12">
        <f t="shared" si="1"/>
        <v>3750</v>
      </c>
      <c r="H33">
        <v>21</v>
      </c>
      <c r="I33" s="5">
        <f t="shared" si="2"/>
        <v>787.5</v>
      </c>
      <c r="J33" s="5">
        <f t="shared" si="3"/>
        <v>3750</v>
      </c>
      <c r="L33" s="5">
        <f t="shared" si="4"/>
        <v>0</v>
      </c>
      <c r="M33" s="8">
        <v>4537.5</v>
      </c>
      <c r="N33" s="3" t="s">
        <v>2866</v>
      </c>
      <c r="S33" t="s">
        <v>20</v>
      </c>
    </row>
    <row r="34" spans="1:19" x14ac:dyDescent="0.35">
      <c r="A34" s="4">
        <v>45621</v>
      </c>
      <c r="B34" s="2" t="s">
        <v>2826</v>
      </c>
      <c r="D34" s="2" t="s">
        <v>2827</v>
      </c>
      <c r="E34" s="2" t="s">
        <v>2828</v>
      </c>
      <c r="F34" s="5" t="str">
        <f t="shared" si="0"/>
        <v>N/F 218 MOVITEX SL</v>
      </c>
      <c r="G34" s="12">
        <f t="shared" si="1"/>
        <v>380</v>
      </c>
      <c r="H34">
        <v>21</v>
      </c>
      <c r="I34" s="5">
        <f t="shared" si="2"/>
        <v>79.8</v>
      </c>
      <c r="J34" s="5">
        <f t="shared" si="3"/>
        <v>380</v>
      </c>
      <c r="L34" s="5">
        <f t="shared" si="4"/>
        <v>0</v>
      </c>
      <c r="M34" s="8">
        <v>459.8</v>
      </c>
      <c r="N34" s="3" t="s">
        <v>2829</v>
      </c>
      <c r="S34" t="s">
        <v>20</v>
      </c>
    </row>
    <row r="35" spans="1:19" x14ac:dyDescent="0.35">
      <c r="A35" s="4">
        <v>45621</v>
      </c>
      <c r="B35" s="2" t="s">
        <v>2835</v>
      </c>
      <c r="D35" s="2" t="s">
        <v>48</v>
      </c>
      <c r="E35" s="2" t="s">
        <v>1192</v>
      </c>
      <c r="F35" s="5" t="str">
        <f t="shared" si="0"/>
        <v>N/F 219 DOFITEC SOLUCIONES INTEGRALES SL</v>
      </c>
      <c r="G35" s="12">
        <f t="shared" si="1"/>
        <v>7000</v>
      </c>
      <c r="H35">
        <v>21</v>
      </c>
      <c r="I35" s="5">
        <f t="shared" si="2"/>
        <v>1470</v>
      </c>
      <c r="J35" s="5">
        <f t="shared" si="3"/>
        <v>7000</v>
      </c>
      <c r="L35" s="5">
        <f t="shared" si="4"/>
        <v>0</v>
      </c>
      <c r="M35" s="8">
        <v>8470</v>
      </c>
      <c r="N35" s="3" t="s">
        <v>2840</v>
      </c>
      <c r="S35" t="s">
        <v>20</v>
      </c>
    </row>
    <row r="36" spans="1:19" x14ac:dyDescent="0.35">
      <c r="A36" s="4">
        <v>45621</v>
      </c>
      <c r="B36" s="2" t="s">
        <v>2836</v>
      </c>
      <c r="D36" s="2" t="s">
        <v>2837</v>
      </c>
      <c r="E36" s="2" t="s">
        <v>2838</v>
      </c>
      <c r="F36" s="5" t="str">
        <f t="shared" si="0"/>
        <v>N/F 220 CARLOS CORNEJO BAZAN</v>
      </c>
      <c r="G36" s="12">
        <f t="shared" si="1"/>
        <v>3210</v>
      </c>
      <c r="H36">
        <v>21</v>
      </c>
      <c r="I36" s="5">
        <f t="shared" si="2"/>
        <v>674.1</v>
      </c>
      <c r="J36" s="5">
        <f t="shared" si="3"/>
        <v>3210</v>
      </c>
      <c r="L36" s="5">
        <f t="shared" si="4"/>
        <v>0</v>
      </c>
      <c r="M36" s="8">
        <v>3884.1</v>
      </c>
      <c r="N36" s="3" t="s">
        <v>2839</v>
      </c>
      <c r="O36" s="3" t="s">
        <v>2983</v>
      </c>
      <c r="S36" t="s">
        <v>20</v>
      </c>
    </row>
    <row r="37" spans="1:19" x14ac:dyDescent="0.35">
      <c r="A37" s="4">
        <v>45622</v>
      </c>
      <c r="B37" s="2" t="s">
        <v>2841</v>
      </c>
      <c r="D37" s="2" t="s">
        <v>2842</v>
      </c>
      <c r="E37" s="2" t="s">
        <v>2843</v>
      </c>
      <c r="F37" s="5" t="str">
        <f t="shared" si="0"/>
        <v>N/F 221 C.P. TROYA - CACERES - ACROPOLIS</v>
      </c>
      <c r="G37" s="12">
        <f t="shared" si="1"/>
        <v>494.99999999999994</v>
      </c>
      <c r="H37">
        <v>10</v>
      </c>
      <c r="I37" s="5">
        <f t="shared" si="2"/>
        <v>49.499999999999993</v>
      </c>
      <c r="J37" s="5">
        <f t="shared" si="3"/>
        <v>494.99999999999994</v>
      </c>
      <c r="L37" s="5">
        <f t="shared" si="4"/>
        <v>0</v>
      </c>
      <c r="M37" s="8">
        <v>544.5</v>
      </c>
      <c r="N37" s="3" t="s">
        <v>2850</v>
      </c>
      <c r="S37" t="s">
        <v>20</v>
      </c>
    </row>
    <row r="38" spans="1:19" x14ac:dyDescent="0.35">
      <c r="A38" s="4">
        <v>45622</v>
      </c>
      <c r="B38" s="2" t="s">
        <v>2844</v>
      </c>
      <c r="D38" s="2" t="s">
        <v>2848</v>
      </c>
      <c r="E38" s="2" t="s">
        <v>2849</v>
      </c>
      <c r="F38" s="5" t="str">
        <f t="shared" si="0"/>
        <v>N/F 222 C.P. GRAN MURALLA 1,5,5,7 VERSALLES 2,4,6,8</v>
      </c>
      <c r="G38" s="12">
        <f t="shared" si="1"/>
        <v>636.31818181818176</v>
      </c>
      <c r="H38">
        <v>10</v>
      </c>
      <c r="I38" s="5">
        <f t="shared" si="2"/>
        <v>63.631818181818183</v>
      </c>
      <c r="J38" s="5">
        <f t="shared" si="3"/>
        <v>636.31818181818176</v>
      </c>
      <c r="L38" s="5">
        <f t="shared" si="4"/>
        <v>0</v>
      </c>
      <c r="M38" s="8">
        <v>699.95</v>
      </c>
      <c r="N38" s="3" t="s">
        <v>2850</v>
      </c>
      <c r="S38" t="s">
        <v>20</v>
      </c>
    </row>
    <row r="39" spans="1:19" x14ac:dyDescent="0.35">
      <c r="A39" s="4">
        <v>45622</v>
      </c>
      <c r="B39" s="2" t="s">
        <v>2845</v>
      </c>
      <c r="D39" s="2" t="s">
        <v>2827</v>
      </c>
      <c r="E39" s="2" t="s">
        <v>2828</v>
      </c>
      <c r="F39" s="5" t="str">
        <f t="shared" si="0"/>
        <v>N/F 223 MOVITEX SL</v>
      </c>
      <c r="G39" s="12">
        <f t="shared" si="1"/>
        <v>18560</v>
      </c>
      <c r="H39">
        <v>21</v>
      </c>
      <c r="I39" s="5">
        <f t="shared" si="2"/>
        <v>3897.6</v>
      </c>
      <c r="J39" s="5">
        <f t="shared" si="3"/>
        <v>18560</v>
      </c>
      <c r="L39" s="5">
        <f t="shared" si="4"/>
        <v>0</v>
      </c>
      <c r="M39" s="8">
        <v>22457.599999999999</v>
      </c>
      <c r="N39" s="3" t="s">
        <v>2868</v>
      </c>
      <c r="S39" t="s">
        <v>20</v>
      </c>
    </row>
    <row r="40" spans="1:19" x14ac:dyDescent="0.35">
      <c r="A40" s="4">
        <v>45623</v>
      </c>
      <c r="B40" s="2" t="s">
        <v>2846</v>
      </c>
      <c r="D40" s="2" t="s">
        <v>251</v>
      </c>
      <c r="E40" s="2" t="s">
        <v>304</v>
      </c>
      <c r="F40" s="5" t="str">
        <f t="shared" si="0"/>
        <v>N/F 224 BERTA MARTINEZ DELGADO</v>
      </c>
      <c r="G40" s="12">
        <f t="shared" si="1"/>
        <v>510.00000000000006</v>
      </c>
      <c r="H40">
        <v>21</v>
      </c>
      <c r="I40" s="5">
        <f t="shared" si="2"/>
        <v>107.10000000000002</v>
      </c>
      <c r="J40" s="5">
        <f t="shared" si="3"/>
        <v>510.00000000000006</v>
      </c>
      <c r="L40" s="5">
        <f t="shared" si="4"/>
        <v>0</v>
      </c>
      <c r="M40" s="8">
        <v>617.1</v>
      </c>
      <c r="N40" s="3" t="s">
        <v>2903</v>
      </c>
      <c r="S40" t="s">
        <v>20</v>
      </c>
    </row>
    <row r="41" spans="1:19" x14ac:dyDescent="0.35">
      <c r="A41" s="4">
        <v>45628</v>
      </c>
      <c r="B41" s="2" t="s">
        <v>2897</v>
      </c>
      <c r="D41" s="2" t="s">
        <v>1747</v>
      </c>
      <c r="E41" s="2" t="s">
        <v>2064</v>
      </c>
      <c r="F41" s="5" t="str">
        <f t="shared" si="0"/>
        <v>N/F 225 VISARION</v>
      </c>
      <c r="G41" s="12">
        <f t="shared" si="1"/>
        <v>2550</v>
      </c>
      <c r="H41">
        <v>21</v>
      </c>
      <c r="I41" s="5">
        <f t="shared" si="2"/>
        <v>535.5</v>
      </c>
      <c r="J41" s="5">
        <f t="shared" si="3"/>
        <v>2550</v>
      </c>
      <c r="L41" s="5">
        <f t="shared" si="4"/>
        <v>0</v>
      </c>
      <c r="M41" s="8">
        <v>3085.5</v>
      </c>
      <c r="N41" s="3" t="s">
        <v>2898</v>
      </c>
      <c r="S41" t="s">
        <v>20</v>
      </c>
    </row>
    <row r="42" spans="1:19" x14ac:dyDescent="0.35">
      <c r="A42" s="4">
        <v>45635</v>
      </c>
      <c r="B42" s="2" t="s">
        <v>2899</v>
      </c>
      <c r="D42" s="2" t="s">
        <v>45</v>
      </c>
      <c r="E42" s="2" t="s">
        <v>163</v>
      </c>
      <c r="F42" s="5" t="str">
        <f t="shared" si="0"/>
        <v>N/F 226 EMANUEL CODITA</v>
      </c>
      <c r="G42" s="12">
        <f t="shared" si="1"/>
        <v>125</v>
      </c>
      <c r="H42">
        <v>21</v>
      </c>
      <c r="I42" s="5">
        <f t="shared" si="2"/>
        <v>26.25</v>
      </c>
      <c r="J42" s="5">
        <f t="shared" si="3"/>
        <v>125</v>
      </c>
      <c r="L42" s="5">
        <f t="shared" si="4"/>
        <v>0</v>
      </c>
      <c r="M42" s="8">
        <v>151.25</v>
      </c>
      <c r="N42" s="3" t="s">
        <v>64</v>
      </c>
      <c r="S42" t="s">
        <v>20</v>
      </c>
    </row>
    <row r="43" spans="1:19" x14ac:dyDescent="0.35">
      <c r="A43" s="4">
        <v>118683</v>
      </c>
      <c r="B43" s="2" t="s">
        <v>714</v>
      </c>
      <c r="D43" s="2" t="s">
        <v>45</v>
      </c>
      <c r="E43" s="2" t="s">
        <v>163</v>
      </c>
      <c r="F43" s="5" t="str">
        <f t="shared" si="0"/>
        <v>N/F 227 EMANUEL CODITA</v>
      </c>
      <c r="G43" s="12">
        <f t="shared" si="1"/>
        <v>200</v>
      </c>
      <c r="H43">
        <v>21</v>
      </c>
      <c r="I43" s="5">
        <f t="shared" si="2"/>
        <v>42</v>
      </c>
      <c r="J43" s="5">
        <f t="shared" si="3"/>
        <v>200</v>
      </c>
      <c r="L43" s="5">
        <f t="shared" si="4"/>
        <v>0</v>
      </c>
      <c r="M43" s="8">
        <v>242</v>
      </c>
      <c r="N43" s="3" t="s">
        <v>64</v>
      </c>
      <c r="S43" t="s">
        <v>20</v>
      </c>
    </row>
    <row r="44" spans="1:19" x14ac:dyDescent="0.35">
      <c r="A44" s="4">
        <v>45635</v>
      </c>
      <c r="B44" s="2" t="s">
        <v>2900</v>
      </c>
      <c r="D44" s="2" t="s">
        <v>3388</v>
      </c>
      <c r="E44" s="2" t="s">
        <v>122</v>
      </c>
      <c r="F44" s="5" t="str">
        <f t="shared" si="0"/>
        <v>N/F 228 PINTOCOLORS</v>
      </c>
      <c r="G44" s="12">
        <f t="shared" si="1"/>
        <v>600</v>
      </c>
      <c r="H44">
        <v>21</v>
      </c>
      <c r="I44" s="5">
        <f t="shared" si="2"/>
        <v>126</v>
      </c>
      <c r="J44" s="5">
        <f t="shared" si="3"/>
        <v>600</v>
      </c>
      <c r="L44" s="5">
        <f t="shared" si="4"/>
        <v>0</v>
      </c>
      <c r="M44" s="8">
        <v>726</v>
      </c>
      <c r="N44" s="3" t="s">
        <v>64</v>
      </c>
      <c r="S44" t="s">
        <v>20</v>
      </c>
    </row>
    <row r="45" spans="1:19" x14ac:dyDescent="0.35">
      <c r="A45" s="4">
        <v>45635</v>
      </c>
      <c r="B45" s="2" t="s">
        <v>2901</v>
      </c>
      <c r="D45" s="2" t="s">
        <v>45</v>
      </c>
      <c r="E45" s="2" t="s">
        <v>163</v>
      </c>
      <c r="F45" s="5" t="str">
        <f t="shared" si="0"/>
        <v>N/F 229 EMANUEL CODITA</v>
      </c>
      <c r="G45" s="12">
        <f t="shared" si="1"/>
        <v>250</v>
      </c>
      <c r="H45">
        <v>21</v>
      </c>
      <c r="I45" s="5">
        <f t="shared" si="2"/>
        <v>52.5</v>
      </c>
      <c r="J45" s="5">
        <f t="shared" si="3"/>
        <v>250</v>
      </c>
      <c r="L45" s="5">
        <f t="shared" si="4"/>
        <v>0</v>
      </c>
      <c r="M45" s="8">
        <v>302.5</v>
      </c>
      <c r="N45" s="3" t="s">
        <v>64</v>
      </c>
      <c r="S45" t="s">
        <v>20</v>
      </c>
    </row>
    <row r="46" spans="1:19" x14ac:dyDescent="0.35">
      <c r="A46" s="14">
        <v>45635</v>
      </c>
      <c r="B46" s="2" t="s">
        <v>2902</v>
      </c>
      <c r="D46" s="2" t="s">
        <v>47</v>
      </c>
      <c r="E46" s="2" t="s">
        <v>31</v>
      </c>
      <c r="F46" s="5" t="str">
        <f t="shared" si="0"/>
        <v>230 MARTA REY ABAD</v>
      </c>
      <c r="G46" s="12">
        <f t="shared" si="1"/>
        <v>16528.92561983471</v>
      </c>
      <c r="H46">
        <v>21</v>
      </c>
      <c r="I46" s="5">
        <f t="shared" si="2"/>
        <v>3471.0743801652889</v>
      </c>
      <c r="J46" s="5">
        <f t="shared" si="3"/>
        <v>16528.92561983471</v>
      </c>
      <c r="L46" s="5">
        <f t="shared" si="4"/>
        <v>0</v>
      </c>
      <c r="M46" s="8">
        <v>20000</v>
      </c>
      <c r="N46" s="3" t="s">
        <v>3273</v>
      </c>
    </row>
    <row r="47" spans="1:19" x14ac:dyDescent="0.35">
      <c r="A47" s="4">
        <v>45635</v>
      </c>
      <c r="B47" s="2" t="s">
        <v>2906</v>
      </c>
      <c r="D47" s="2" t="s">
        <v>2907</v>
      </c>
      <c r="E47" s="2" t="s">
        <v>2908</v>
      </c>
      <c r="F47" s="5" t="str">
        <f t="shared" si="0"/>
        <v>N/F 231 ASUMAN SERVICIO Y MANTENIMIENTO</v>
      </c>
      <c r="G47" s="12">
        <f t="shared" si="1"/>
        <v>160</v>
      </c>
      <c r="H47">
        <v>21</v>
      </c>
      <c r="I47" s="5">
        <f t="shared" si="2"/>
        <v>33.6</v>
      </c>
      <c r="J47" s="5">
        <f t="shared" si="3"/>
        <v>160</v>
      </c>
      <c r="L47" s="5">
        <f t="shared" si="4"/>
        <v>0</v>
      </c>
      <c r="M47" s="8">
        <v>193.6</v>
      </c>
      <c r="S47" t="s">
        <v>20</v>
      </c>
    </row>
    <row r="48" spans="1:19" x14ac:dyDescent="0.35">
      <c r="A48" s="4">
        <v>45636</v>
      </c>
      <c r="B48" s="2" t="s">
        <v>2909</v>
      </c>
      <c r="D48" s="2" t="s">
        <v>81</v>
      </c>
      <c r="E48" s="2" t="s">
        <v>2656</v>
      </c>
      <c r="F48" s="5" t="str">
        <f t="shared" si="0"/>
        <v>232 CONSEJERIA DE VIVIENDA TRANSPORTES E INFRAESTRUCTURA</v>
      </c>
      <c r="G48" s="12">
        <f t="shared" si="1"/>
        <v>718.19834710743805</v>
      </c>
      <c r="H48">
        <v>21</v>
      </c>
      <c r="I48" s="5">
        <f t="shared" si="2"/>
        <v>150.82165289256199</v>
      </c>
      <c r="J48" s="5">
        <f t="shared" si="3"/>
        <v>718.19834710743805</v>
      </c>
      <c r="L48" s="5">
        <f t="shared" si="4"/>
        <v>0</v>
      </c>
      <c r="M48" s="8">
        <v>869.02</v>
      </c>
      <c r="N48" s="3" t="s">
        <v>3108</v>
      </c>
    </row>
    <row r="49" spans="1:19" x14ac:dyDescent="0.35">
      <c r="A49" s="4">
        <v>45636</v>
      </c>
      <c r="B49" s="2" t="s">
        <v>2910</v>
      </c>
      <c r="D49" s="2" t="s">
        <v>81</v>
      </c>
      <c r="E49" s="2" t="s">
        <v>2656</v>
      </c>
      <c r="F49" s="5" t="str">
        <f t="shared" si="0"/>
        <v>233 CONSEJERIA DE VIVIENDA TRANSPORTES E INFRAESTRUCTURA</v>
      </c>
      <c r="G49" s="12">
        <f t="shared" si="1"/>
        <v>579.60330578512401</v>
      </c>
      <c r="H49">
        <v>21</v>
      </c>
      <c r="I49" s="5">
        <f t="shared" si="2"/>
        <v>121.71669421487604</v>
      </c>
      <c r="J49" s="5">
        <f t="shared" si="3"/>
        <v>579.60330578512401</v>
      </c>
      <c r="L49" s="5">
        <f t="shared" si="4"/>
        <v>0</v>
      </c>
      <c r="M49" s="8">
        <v>701.32</v>
      </c>
      <c r="N49" s="3" t="s">
        <v>3109</v>
      </c>
    </row>
    <row r="50" spans="1:19" x14ac:dyDescent="0.35">
      <c r="A50" s="4">
        <v>45636</v>
      </c>
      <c r="B50" s="2" t="s">
        <v>2911</v>
      </c>
      <c r="D50" s="2" t="s">
        <v>81</v>
      </c>
      <c r="E50" s="2" t="s">
        <v>2656</v>
      </c>
      <c r="F50" s="5" t="str">
        <f t="shared" si="0"/>
        <v>234 CONSEJERIA DE VIVIENDA TRANSPORTES E INFRAESTRUCTURA</v>
      </c>
      <c r="G50" s="12">
        <f t="shared" si="1"/>
        <v>359.09917355371903</v>
      </c>
      <c r="H50">
        <v>21</v>
      </c>
      <c r="I50" s="5">
        <f t="shared" si="2"/>
        <v>75.410826446280993</v>
      </c>
      <c r="J50" s="5">
        <f t="shared" si="3"/>
        <v>359.09917355371903</v>
      </c>
      <c r="L50" s="5">
        <f t="shared" si="4"/>
        <v>0</v>
      </c>
      <c r="M50" s="8">
        <v>434.51</v>
      </c>
      <c r="N50" s="3" t="s">
        <v>3108</v>
      </c>
    </row>
    <row r="51" spans="1:19" x14ac:dyDescent="0.35">
      <c r="A51" s="4">
        <v>45642</v>
      </c>
      <c r="B51" s="2" t="s">
        <v>3039</v>
      </c>
      <c r="D51" s="2" t="s">
        <v>1379</v>
      </c>
      <c r="E51" s="2" t="s">
        <v>2681</v>
      </c>
      <c r="F51" s="5" t="str">
        <f t="shared" si="0"/>
        <v>235 DECORACIONES J. GARCIA SL</v>
      </c>
      <c r="G51" s="12">
        <f t="shared" si="1"/>
        <v>900</v>
      </c>
      <c r="H51">
        <v>21</v>
      </c>
      <c r="I51" s="5">
        <f t="shared" si="2"/>
        <v>189</v>
      </c>
      <c r="J51" s="5">
        <f t="shared" si="3"/>
        <v>900</v>
      </c>
      <c r="L51" s="5">
        <f t="shared" si="4"/>
        <v>0</v>
      </c>
      <c r="M51" s="8">
        <v>1089</v>
      </c>
      <c r="N51" s="3" t="s">
        <v>3043</v>
      </c>
    </row>
    <row r="52" spans="1:19" x14ac:dyDescent="0.35">
      <c r="A52" s="4">
        <v>45642</v>
      </c>
      <c r="B52" s="2" t="s">
        <v>3040</v>
      </c>
      <c r="D52" s="2" t="s">
        <v>142</v>
      </c>
      <c r="E52" s="2" t="s">
        <v>2778</v>
      </c>
      <c r="F52" s="5" t="str">
        <f t="shared" si="0"/>
        <v>236 LINOTEC SOLUCIONES TECNICAS</v>
      </c>
      <c r="G52" s="12">
        <f t="shared" si="1"/>
        <v>5788.9421487603304</v>
      </c>
      <c r="H52">
        <v>21</v>
      </c>
      <c r="I52" s="5">
        <f t="shared" si="2"/>
        <v>1215.6778512396695</v>
      </c>
      <c r="J52" s="5">
        <f t="shared" si="3"/>
        <v>5788.9421487603304</v>
      </c>
      <c r="L52" s="5">
        <f t="shared" si="4"/>
        <v>0</v>
      </c>
      <c r="M52" s="8">
        <v>7004.62</v>
      </c>
      <c r="N52" s="3" t="s">
        <v>3066</v>
      </c>
    </row>
    <row r="53" spans="1:19" x14ac:dyDescent="0.35">
      <c r="A53" s="4">
        <v>45642</v>
      </c>
      <c r="B53" s="2" t="s">
        <v>3041</v>
      </c>
      <c r="D53" s="2" t="s">
        <v>1355</v>
      </c>
      <c r="E53" s="2" t="s">
        <v>1356</v>
      </c>
      <c r="F53" s="5" t="str">
        <f t="shared" si="0"/>
        <v>237 CPM PETRE ADAM</v>
      </c>
      <c r="G53" s="12">
        <f t="shared" si="1"/>
        <v>640</v>
      </c>
      <c r="H53">
        <v>21</v>
      </c>
      <c r="I53" s="5">
        <f t="shared" si="2"/>
        <v>134.4</v>
      </c>
      <c r="J53" s="5">
        <f t="shared" si="3"/>
        <v>640</v>
      </c>
      <c r="L53" s="5">
        <f t="shared" si="4"/>
        <v>0</v>
      </c>
      <c r="M53" s="8">
        <v>774.4</v>
      </c>
    </row>
    <row r="54" spans="1:19" x14ac:dyDescent="0.35">
      <c r="A54" s="4">
        <v>45645</v>
      </c>
      <c r="B54" s="2" t="s">
        <v>3044</v>
      </c>
      <c r="D54" s="2" t="s">
        <v>47</v>
      </c>
      <c r="E54" s="2" t="s">
        <v>31</v>
      </c>
      <c r="F54" s="5" t="str">
        <f t="shared" si="0"/>
        <v>238 MARTA REY ABAD</v>
      </c>
      <c r="G54" s="12">
        <f t="shared" si="1"/>
        <v>14940.504132231405</v>
      </c>
      <c r="H54">
        <v>21</v>
      </c>
      <c r="I54" s="5">
        <f t="shared" si="2"/>
        <v>3137.5058677685947</v>
      </c>
      <c r="J54" s="5">
        <f t="shared" si="3"/>
        <v>14940.504132231405</v>
      </c>
      <c r="L54" s="5">
        <f t="shared" si="4"/>
        <v>0</v>
      </c>
      <c r="M54" s="8">
        <v>18078.009999999998</v>
      </c>
      <c r="N54" s="3" t="s">
        <v>3145</v>
      </c>
    </row>
    <row r="55" spans="1:19" x14ac:dyDescent="0.35">
      <c r="A55" s="4">
        <v>45645</v>
      </c>
      <c r="B55" s="2" t="s">
        <v>3045</v>
      </c>
      <c r="D55" s="2" t="s">
        <v>3046</v>
      </c>
      <c r="E55" s="2" t="s">
        <v>3047</v>
      </c>
      <c r="F55" s="5" t="str">
        <f t="shared" si="0"/>
        <v>239 AVELINA PASTOR RUIZ</v>
      </c>
      <c r="G55" s="12">
        <f t="shared" si="1"/>
        <v>300</v>
      </c>
      <c r="H55">
        <v>21</v>
      </c>
      <c r="I55" s="5">
        <f t="shared" si="2"/>
        <v>63</v>
      </c>
      <c r="J55" s="5">
        <f t="shared" si="3"/>
        <v>300</v>
      </c>
      <c r="L55" s="5">
        <f t="shared" si="4"/>
        <v>0</v>
      </c>
      <c r="M55" s="8">
        <v>363</v>
      </c>
      <c r="N55" s="3" t="s">
        <v>3129</v>
      </c>
    </row>
    <row r="56" spans="1:19" x14ac:dyDescent="0.35">
      <c r="A56" s="4">
        <v>45645</v>
      </c>
      <c r="B56" s="2" t="s">
        <v>3048</v>
      </c>
      <c r="D56" s="2" t="s">
        <v>306</v>
      </c>
      <c r="E56" s="2" t="s">
        <v>2782</v>
      </c>
      <c r="F56" s="5" t="str">
        <f t="shared" si="0"/>
        <v xml:space="preserve">240 C.P. PASEO DEL PRADO 2 </v>
      </c>
      <c r="G56" s="12">
        <f t="shared" si="1"/>
        <v>711.80909090909086</v>
      </c>
      <c r="H56">
        <v>10</v>
      </c>
      <c r="I56" s="5">
        <f t="shared" si="2"/>
        <v>71.180909090909083</v>
      </c>
      <c r="J56" s="5">
        <f t="shared" si="3"/>
        <v>711.80909090909086</v>
      </c>
      <c r="L56" s="5">
        <f t="shared" si="4"/>
        <v>0</v>
      </c>
      <c r="M56" s="8">
        <v>782.99</v>
      </c>
      <c r="N56" s="3" t="s">
        <v>3131</v>
      </c>
    </row>
    <row r="57" spans="1:19" x14ac:dyDescent="0.35">
      <c r="A57" s="4">
        <v>45652</v>
      </c>
      <c r="B57" s="2" t="s">
        <v>3132</v>
      </c>
      <c r="D57" s="2" t="s">
        <v>1355</v>
      </c>
      <c r="E57" s="2" t="s">
        <v>1356</v>
      </c>
      <c r="F57" s="5" t="str">
        <f t="shared" si="0"/>
        <v>241 CPM PETRE ADAM</v>
      </c>
      <c r="G57" s="12">
        <f t="shared" si="1"/>
        <v>150</v>
      </c>
      <c r="H57">
        <v>21</v>
      </c>
      <c r="I57" s="5">
        <f t="shared" si="2"/>
        <v>31.5</v>
      </c>
      <c r="J57" s="5">
        <f t="shared" si="3"/>
        <v>150</v>
      </c>
      <c r="L57" s="5">
        <f t="shared" si="4"/>
        <v>0</v>
      </c>
      <c r="M57" s="8">
        <v>181.5</v>
      </c>
    </row>
    <row r="58" spans="1:19" x14ac:dyDescent="0.35">
      <c r="A58" s="4">
        <v>45656</v>
      </c>
      <c r="B58" s="2" t="s">
        <v>3133</v>
      </c>
      <c r="D58" s="2" t="s">
        <v>48</v>
      </c>
      <c r="E58" s="2" t="s">
        <v>1192</v>
      </c>
      <c r="F58" s="5" t="str">
        <f t="shared" si="0"/>
        <v>242 DOFITEC SOLUCIONES INTEGRALES SL</v>
      </c>
      <c r="G58" s="12">
        <f t="shared" si="1"/>
        <v>505</v>
      </c>
      <c r="H58">
        <v>21</v>
      </c>
      <c r="I58" s="5">
        <f t="shared" si="2"/>
        <v>106.05</v>
      </c>
      <c r="J58" s="5">
        <f t="shared" si="3"/>
        <v>505</v>
      </c>
      <c r="L58" s="5">
        <f t="shared" si="4"/>
        <v>0</v>
      </c>
      <c r="M58" s="8">
        <v>611.04999999999995</v>
      </c>
      <c r="N58" s="3" t="s">
        <v>3134</v>
      </c>
    </row>
    <row r="59" spans="1:19" x14ac:dyDescent="0.35">
      <c r="A59" s="4"/>
      <c r="F59" s="5" t="str">
        <f t="shared" si="0"/>
        <v xml:space="preserve"> </v>
      </c>
      <c r="G59" s="12">
        <f t="shared" si="1"/>
        <v>0</v>
      </c>
      <c r="H59">
        <v>21</v>
      </c>
      <c r="I59" s="5">
        <f t="shared" si="2"/>
        <v>0</v>
      </c>
      <c r="J59" s="5">
        <f t="shared" si="3"/>
        <v>0</v>
      </c>
      <c r="L59" s="5">
        <f t="shared" si="4"/>
        <v>0</v>
      </c>
      <c r="M59" s="8">
        <v>0</v>
      </c>
    </row>
    <row r="60" spans="1:19" x14ac:dyDescent="0.35">
      <c r="A60" s="4"/>
      <c r="F60" s="5" t="str">
        <f t="shared" si="0"/>
        <v xml:space="preserve"> </v>
      </c>
      <c r="G60" s="12">
        <f t="shared" si="1"/>
        <v>0</v>
      </c>
      <c r="H60">
        <v>21</v>
      </c>
      <c r="I60" s="5">
        <f t="shared" si="2"/>
        <v>0</v>
      </c>
      <c r="J60" s="5">
        <f t="shared" si="3"/>
        <v>0</v>
      </c>
      <c r="L60" s="5">
        <f t="shared" si="4"/>
        <v>0</v>
      </c>
      <c r="M60" s="8">
        <v>0</v>
      </c>
    </row>
    <row r="61" spans="1:19" x14ac:dyDescent="0.35">
      <c r="A61" s="4"/>
      <c r="F61" s="5" t="str">
        <f t="shared" si="0"/>
        <v xml:space="preserve"> </v>
      </c>
      <c r="G61" s="12">
        <f t="shared" si="1"/>
        <v>0</v>
      </c>
      <c r="H61">
        <v>21</v>
      </c>
      <c r="I61" s="5">
        <f t="shared" si="2"/>
        <v>0</v>
      </c>
      <c r="J61" s="5">
        <f t="shared" si="3"/>
        <v>0</v>
      </c>
      <c r="L61" s="5">
        <f t="shared" si="4"/>
        <v>0</v>
      </c>
      <c r="M61" s="8">
        <v>0</v>
      </c>
    </row>
    <row r="62" spans="1:19" x14ac:dyDescent="0.35">
      <c r="A62" s="4"/>
      <c r="F62" s="5" t="str">
        <f t="shared" si="0"/>
        <v xml:space="preserve"> </v>
      </c>
      <c r="G62" s="12">
        <f t="shared" si="1"/>
        <v>0</v>
      </c>
      <c r="H62">
        <v>21</v>
      </c>
      <c r="I62" s="5">
        <f t="shared" si="2"/>
        <v>0</v>
      </c>
      <c r="J62" s="5">
        <f t="shared" si="3"/>
        <v>0</v>
      </c>
      <c r="L62" s="5">
        <f t="shared" si="4"/>
        <v>0</v>
      </c>
      <c r="M62" s="8">
        <v>0</v>
      </c>
    </row>
    <row r="63" spans="1:19" x14ac:dyDescent="0.35">
      <c r="A63" s="4"/>
      <c r="F63" s="5" t="str">
        <f t="shared" si="0"/>
        <v xml:space="preserve">N/F  </v>
      </c>
      <c r="G63" s="12">
        <f t="shared" si="1"/>
        <v>0</v>
      </c>
      <c r="H63">
        <v>21</v>
      </c>
      <c r="I63" s="5">
        <f t="shared" si="2"/>
        <v>0</v>
      </c>
      <c r="J63" s="5">
        <f t="shared" si="3"/>
        <v>0</v>
      </c>
      <c r="L63" s="5">
        <f t="shared" si="4"/>
        <v>0</v>
      </c>
      <c r="M63" s="8">
        <v>0</v>
      </c>
      <c r="S63" t="s">
        <v>20</v>
      </c>
    </row>
    <row r="64" spans="1:19" x14ac:dyDescent="0.35">
      <c r="A64" s="4"/>
      <c r="F64" s="5" t="str">
        <f t="shared" si="0"/>
        <v xml:space="preserve"> </v>
      </c>
      <c r="G64" s="12">
        <f t="shared" si="1"/>
        <v>0</v>
      </c>
      <c r="H64">
        <v>21</v>
      </c>
      <c r="I64" s="5">
        <f t="shared" si="2"/>
        <v>0</v>
      </c>
      <c r="J64" s="5">
        <f t="shared" si="3"/>
        <v>0</v>
      </c>
      <c r="L64" s="5">
        <f t="shared" si="4"/>
        <v>0</v>
      </c>
      <c r="M64" s="8">
        <v>0</v>
      </c>
    </row>
    <row r="65" spans="1:19" x14ac:dyDescent="0.35">
      <c r="A65" s="4"/>
      <c r="F65" s="5" t="str">
        <f t="shared" si="0"/>
        <v xml:space="preserve"> </v>
      </c>
      <c r="G65" s="12">
        <f t="shared" si="1"/>
        <v>0</v>
      </c>
      <c r="H65">
        <v>21</v>
      </c>
      <c r="I65" s="5">
        <f t="shared" si="2"/>
        <v>0</v>
      </c>
      <c r="J65" s="5">
        <f t="shared" si="3"/>
        <v>0</v>
      </c>
      <c r="L65" s="5">
        <f t="shared" si="4"/>
        <v>0</v>
      </c>
      <c r="M65" s="8">
        <v>0</v>
      </c>
    </row>
    <row r="66" spans="1:19" x14ac:dyDescent="0.35">
      <c r="A66" s="4"/>
      <c r="F66" s="5" t="str">
        <f t="shared" si="0"/>
        <v xml:space="preserve"> </v>
      </c>
      <c r="G66" s="12">
        <f t="shared" si="1"/>
        <v>0</v>
      </c>
      <c r="H66">
        <v>21</v>
      </c>
      <c r="I66" s="5">
        <f t="shared" si="2"/>
        <v>0</v>
      </c>
      <c r="J66" s="5">
        <f t="shared" si="3"/>
        <v>0</v>
      </c>
      <c r="L66" s="5">
        <f t="shared" si="4"/>
        <v>0</v>
      </c>
      <c r="M66" s="8">
        <v>0</v>
      </c>
    </row>
    <row r="67" spans="1:19" x14ac:dyDescent="0.35">
      <c r="A67" s="4"/>
      <c r="F67" s="5" t="str">
        <f t="shared" si="0"/>
        <v xml:space="preserve"> </v>
      </c>
      <c r="G67" s="12">
        <f t="shared" si="1"/>
        <v>0</v>
      </c>
      <c r="H67">
        <v>21</v>
      </c>
      <c r="I67" s="5">
        <f t="shared" si="2"/>
        <v>0</v>
      </c>
      <c r="J67" s="5">
        <f t="shared" si="3"/>
        <v>0</v>
      </c>
      <c r="L67" s="5">
        <f t="shared" si="4"/>
        <v>0</v>
      </c>
      <c r="M67" s="8">
        <v>0</v>
      </c>
    </row>
    <row r="68" spans="1:19" x14ac:dyDescent="0.35">
      <c r="A68" s="4"/>
      <c r="F68" s="5" t="str">
        <f t="shared" si="0"/>
        <v xml:space="preserve"> </v>
      </c>
      <c r="G68" s="12">
        <f t="shared" si="1"/>
        <v>0</v>
      </c>
      <c r="H68">
        <v>21</v>
      </c>
      <c r="I68" s="5">
        <f t="shared" si="2"/>
        <v>0</v>
      </c>
      <c r="J68" s="5">
        <f t="shared" si="3"/>
        <v>0</v>
      </c>
      <c r="L68" s="5">
        <f t="shared" si="4"/>
        <v>0</v>
      </c>
      <c r="M68" s="8">
        <v>0</v>
      </c>
    </row>
    <row r="69" spans="1:19" x14ac:dyDescent="0.35">
      <c r="A69" s="4"/>
      <c r="F69" s="5" t="str">
        <f t="shared" si="0"/>
        <v xml:space="preserve"> </v>
      </c>
      <c r="G69" s="12">
        <f t="shared" si="1"/>
        <v>0</v>
      </c>
      <c r="H69">
        <v>21</v>
      </c>
      <c r="I69" s="5">
        <f t="shared" si="2"/>
        <v>0</v>
      </c>
      <c r="J69" s="5">
        <f t="shared" si="3"/>
        <v>0</v>
      </c>
      <c r="L69" s="5">
        <f t="shared" si="4"/>
        <v>0</v>
      </c>
      <c r="M69" s="8">
        <v>0</v>
      </c>
    </row>
    <row r="70" spans="1:19" x14ac:dyDescent="0.35">
      <c r="A70" s="4"/>
      <c r="F70" s="5" t="str">
        <f t="shared" si="0"/>
        <v xml:space="preserve"> </v>
      </c>
      <c r="G70" s="12">
        <f t="shared" si="1"/>
        <v>0</v>
      </c>
      <c r="H70">
        <v>21</v>
      </c>
      <c r="I70" s="5">
        <f t="shared" si="2"/>
        <v>0</v>
      </c>
      <c r="J70" s="5">
        <f t="shared" si="3"/>
        <v>0</v>
      </c>
      <c r="L70" s="5">
        <f t="shared" si="4"/>
        <v>0</v>
      </c>
      <c r="M70" s="8">
        <v>0</v>
      </c>
    </row>
    <row r="71" spans="1:19" x14ac:dyDescent="0.35">
      <c r="A71" s="4"/>
      <c r="F71" s="5" t="str">
        <f t="shared" si="0"/>
        <v xml:space="preserve"> </v>
      </c>
      <c r="G71" s="12">
        <f t="shared" si="1"/>
        <v>0</v>
      </c>
      <c r="H71">
        <v>21</v>
      </c>
      <c r="I71" s="5">
        <f t="shared" si="2"/>
        <v>0</v>
      </c>
      <c r="J71" s="5">
        <f t="shared" si="3"/>
        <v>0</v>
      </c>
      <c r="L71" s="5">
        <f t="shared" si="4"/>
        <v>0</v>
      </c>
      <c r="M71" s="8">
        <v>0</v>
      </c>
    </row>
    <row r="72" spans="1:19" x14ac:dyDescent="0.35">
      <c r="A72" s="4">
        <v>45566</v>
      </c>
      <c r="B72" s="2" t="s">
        <v>2665</v>
      </c>
      <c r="D72" s="2" t="s">
        <v>177</v>
      </c>
      <c r="E72" s="2" t="s">
        <v>178</v>
      </c>
      <c r="F72" s="5" t="str">
        <f t="shared" si="0"/>
        <v>AL10 ZACARIAS ORTEGA MERCEDES</v>
      </c>
      <c r="G72" s="12">
        <f t="shared" si="1"/>
        <v>1032</v>
      </c>
      <c r="H72">
        <v>21</v>
      </c>
      <c r="I72" s="5">
        <f t="shared" si="2"/>
        <v>216.72</v>
      </c>
      <c r="J72" s="5">
        <f t="shared" si="3"/>
        <v>1032</v>
      </c>
      <c r="K72">
        <v>19</v>
      </c>
      <c r="L72" s="5">
        <f t="shared" si="4"/>
        <v>196.08</v>
      </c>
      <c r="M72" s="8">
        <v>1052.6400000000001</v>
      </c>
      <c r="N72" s="3" t="s">
        <v>217</v>
      </c>
    </row>
    <row r="73" spans="1:19" x14ac:dyDescent="0.35">
      <c r="A73" s="4">
        <v>45597</v>
      </c>
      <c r="B73" s="2" t="s">
        <v>2711</v>
      </c>
      <c r="D73" s="2" t="s">
        <v>2750</v>
      </c>
      <c r="E73" s="2" t="s">
        <v>2751</v>
      </c>
      <c r="F73" s="5" t="str">
        <f t="shared" si="0"/>
        <v>N/F AL11 JUAN DE DIOS MARTE DE LA ROSA</v>
      </c>
      <c r="G73" s="12">
        <f t="shared" si="1"/>
        <v>1047.5</v>
      </c>
      <c r="H73">
        <v>21</v>
      </c>
      <c r="I73" s="5">
        <f t="shared" si="2"/>
        <v>219.97499999999999</v>
      </c>
      <c r="J73" s="5">
        <f t="shared" si="3"/>
        <v>1047.5</v>
      </c>
      <c r="K73">
        <v>19</v>
      </c>
      <c r="L73" s="5">
        <f t="shared" si="4"/>
        <v>199.02500000000001</v>
      </c>
      <c r="M73" s="8">
        <v>1068.45</v>
      </c>
      <c r="N73" s="3" t="s">
        <v>217</v>
      </c>
      <c r="S73" t="s">
        <v>20</v>
      </c>
    </row>
    <row r="74" spans="1:19" x14ac:dyDescent="0.35">
      <c r="A74" s="4">
        <v>45627</v>
      </c>
      <c r="B74" s="2" t="s">
        <v>2847</v>
      </c>
      <c r="D74" s="2" t="s">
        <v>2750</v>
      </c>
      <c r="E74" s="2" t="s">
        <v>2751</v>
      </c>
      <c r="F74" s="5" t="str">
        <f t="shared" si="0"/>
        <v>N/F AL12 JUAN DE DIOS MARTE DE LA ROSA</v>
      </c>
      <c r="G74" s="12">
        <f t="shared" si="1"/>
        <v>1047.5</v>
      </c>
      <c r="H74">
        <v>21</v>
      </c>
      <c r="I74" s="5">
        <f t="shared" si="2"/>
        <v>219.97499999999999</v>
      </c>
      <c r="J74" s="5">
        <f t="shared" si="3"/>
        <v>1047.5</v>
      </c>
      <c r="K74">
        <v>19</v>
      </c>
      <c r="L74" s="5">
        <f t="shared" si="4"/>
        <v>199.02500000000001</v>
      </c>
      <c r="M74" s="8">
        <v>1068.45</v>
      </c>
      <c r="S74" t="s">
        <v>20</v>
      </c>
    </row>
    <row r="75" spans="1:19" x14ac:dyDescent="0.35">
      <c r="A75" s="4"/>
      <c r="F75" s="5" t="str">
        <f t="shared" si="0"/>
        <v xml:space="preserve">N/F  </v>
      </c>
      <c r="G75" s="12">
        <f t="shared" si="1"/>
        <v>0</v>
      </c>
      <c r="H75">
        <v>21</v>
      </c>
      <c r="I75" s="5">
        <f t="shared" si="2"/>
        <v>0</v>
      </c>
      <c r="J75" s="5">
        <f t="shared" si="3"/>
        <v>0</v>
      </c>
      <c r="L75" s="5">
        <f t="shared" si="4"/>
        <v>0</v>
      </c>
      <c r="M75" s="8">
        <v>0</v>
      </c>
      <c r="S75" t="s">
        <v>20</v>
      </c>
    </row>
    <row r="76" spans="1:19" x14ac:dyDescent="0.35">
      <c r="A76" s="4">
        <v>45566</v>
      </c>
      <c r="B76" s="2" t="s">
        <v>2659</v>
      </c>
      <c r="D76" s="2" t="s">
        <v>2660</v>
      </c>
      <c r="E76" s="2" t="s">
        <v>2661</v>
      </c>
      <c r="F76" s="5" t="str">
        <f>CONCATENATE(S76,B76," ",E76)</f>
        <v>N/F A09 MACOVEI OVIDIU IULIAN</v>
      </c>
      <c r="G76" s="12">
        <f>M76/(1-K76/100+H76/100)</f>
        <v>38016.528925619838</v>
      </c>
      <c r="H76">
        <v>21</v>
      </c>
      <c r="I76" s="5">
        <f>G76*H76/100</f>
        <v>7983.4710743801661</v>
      </c>
      <c r="J76" s="5">
        <f>G76</f>
        <v>38016.528925619838</v>
      </c>
      <c r="L76" s="5">
        <f>J76*K76/100</f>
        <v>0</v>
      </c>
      <c r="M76" s="8">
        <v>46000</v>
      </c>
      <c r="N76" s="3" t="s">
        <v>2662</v>
      </c>
      <c r="O76" s="3" t="s">
        <v>2663</v>
      </c>
      <c r="P76" s="3" t="s">
        <v>2664</v>
      </c>
      <c r="S76" t="s">
        <v>20</v>
      </c>
    </row>
    <row r="77" spans="1:19" x14ac:dyDescent="0.35">
      <c r="A77" s="4">
        <v>45566</v>
      </c>
      <c r="B77" s="2" t="s">
        <v>2816</v>
      </c>
      <c r="D77" s="2" t="s">
        <v>2817</v>
      </c>
      <c r="E77" s="2" t="s">
        <v>2818</v>
      </c>
      <c r="F77" s="5" t="str">
        <f t="shared" si="0"/>
        <v>N/F A10 TIRSONEX SLU</v>
      </c>
      <c r="G77" s="12">
        <f t="shared" si="1"/>
        <v>20991.735537190085</v>
      </c>
      <c r="H77">
        <v>21</v>
      </c>
      <c r="I77" s="5">
        <f t="shared" si="2"/>
        <v>4408.2644628099179</v>
      </c>
      <c r="J77" s="5">
        <f t="shared" si="3"/>
        <v>20991.735537190085</v>
      </c>
      <c r="L77" s="5">
        <f t="shared" si="4"/>
        <v>0</v>
      </c>
      <c r="M77" s="8">
        <v>25400</v>
      </c>
      <c r="N77" s="3" t="s">
        <v>2819</v>
      </c>
      <c r="O77" s="3" t="s">
        <v>2820</v>
      </c>
      <c r="S77" t="s">
        <v>20</v>
      </c>
    </row>
    <row r="78" spans="1:19" x14ac:dyDescent="0.35">
      <c r="A78" s="4"/>
      <c r="F78" s="5" t="str">
        <f t="shared" si="0"/>
        <v xml:space="preserve">N/F  </v>
      </c>
      <c r="G78" s="12">
        <f t="shared" si="1"/>
        <v>0</v>
      </c>
      <c r="H78">
        <v>21</v>
      </c>
      <c r="I78" s="5">
        <f t="shared" si="2"/>
        <v>0</v>
      </c>
      <c r="J78" s="5">
        <f t="shared" si="3"/>
        <v>0</v>
      </c>
      <c r="L78" s="5">
        <f t="shared" si="4"/>
        <v>0</v>
      </c>
      <c r="M78" s="8">
        <v>0</v>
      </c>
      <c r="S78" t="s">
        <v>20</v>
      </c>
    </row>
    <row r="79" spans="1:19" x14ac:dyDescent="0.35">
      <c r="A79" s="4"/>
      <c r="F79" s="5" t="str">
        <f>CONCATENATE(S79,B79," ",E79)</f>
        <v xml:space="preserve">N/F  </v>
      </c>
      <c r="G79" s="12">
        <f>M79/(1-K79/100+H79/100)</f>
        <v>0</v>
      </c>
      <c r="H79">
        <v>0</v>
      </c>
      <c r="I79" s="5">
        <f t="shared" si="2"/>
        <v>0</v>
      </c>
      <c r="J79" s="5">
        <f>G79</f>
        <v>0</v>
      </c>
      <c r="L79" s="5">
        <f>J79*K79/100</f>
        <v>0</v>
      </c>
      <c r="M79" s="8">
        <v>0</v>
      </c>
      <c r="S79" t="s">
        <v>20</v>
      </c>
    </row>
    <row r="80" spans="1:19" x14ac:dyDescent="0.35">
      <c r="A80" s="4"/>
      <c r="F80" s="5" t="str">
        <f t="shared" si="0"/>
        <v xml:space="preserve">N/F  </v>
      </c>
      <c r="G80" s="12">
        <f>SUM(G2:G79)</f>
        <v>258175.27603305786</v>
      </c>
      <c r="H80">
        <v>0</v>
      </c>
      <c r="I80" s="5">
        <f t="shared" si="2"/>
        <v>0</v>
      </c>
      <c r="J80" s="5">
        <f t="shared" si="3"/>
        <v>258175.27603305786</v>
      </c>
      <c r="L80" s="5">
        <f t="shared" si="4"/>
        <v>0</v>
      </c>
      <c r="M80" s="8">
        <v>0</v>
      </c>
      <c r="S80" t="s">
        <v>20</v>
      </c>
    </row>
    <row r="81" spans="1:19" x14ac:dyDescent="0.35">
      <c r="A81" s="4"/>
      <c r="F81" s="5" t="str">
        <f t="shared" si="0"/>
        <v xml:space="preserve">N/F  </v>
      </c>
      <c r="G81" s="12">
        <f t="shared" si="1"/>
        <v>0</v>
      </c>
      <c r="H81">
        <v>21</v>
      </c>
      <c r="I81" s="5">
        <f>SUM(I2:I80)</f>
        <v>51319.063966942129</v>
      </c>
      <c r="J81" s="5">
        <f t="shared" si="3"/>
        <v>0</v>
      </c>
      <c r="K81">
        <v>19</v>
      </c>
      <c r="L81" s="5">
        <f t="shared" si="4"/>
        <v>0</v>
      </c>
      <c r="M81" s="8">
        <v>0</v>
      </c>
      <c r="S81" t="s">
        <v>20</v>
      </c>
    </row>
    <row r="82" spans="1:19" x14ac:dyDescent="0.35">
      <c r="A82" s="4"/>
      <c r="F82" s="5" t="str">
        <f t="shared" si="0"/>
        <v xml:space="preserve">N/F  </v>
      </c>
      <c r="G82" s="12">
        <f t="shared" si="1"/>
        <v>0</v>
      </c>
      <c r="H82">
        <v>21</v>
      </c>
      <c r="I82" s="5">
        <f t="shared" si="2"/>
        <v>0</v>
      </c>
      <c r="J82" s="5">
        <f t="shared" si="3"/>
        <v>0</v>
      </c>
      <c r="K82">
        <v>19</v>
      </c>
      <c r="L82" s="5">
        <f t="shared" si="4"/>
        <v>0</v>
      </c>
      <c r="M82" s="8">
        <v>0</v>
      </c>
      <c r="S82" t="s">
        <v>20</v>
      </c>
    </row>
    <row r="83" spans="1:19" x14ac:dyDescent="0.35">
      <c r="A83" s="4"/>
      <c r="F83" s="5" t="str">
        <f t="shared" si="0"/>
        <v xml:space="preserve">N/F  </v>
      </c>
      <c r="G83" s="12">
        <f t="shared" si="1"/>
        <v>0</v>
      </c>
      <c r="H83">
        <v>21</v>
      </c>
      <c r="I83" s="5">
        <f t="shared" si="2"/>
        <v>0</v>
      </c>
      <c r="J83" s="5">
        <f t="shared" si="3"/>
        <v>0</v>
      </c>
      <c r="K83">
        <v>19</v>
      </c>
      <c r="L83" s="5">
        <f t="shared" si="4"/>
        <v>0</v>
      </c>
      <c r="M83" s="8">
        <v>0</v>
      </c>
      <c r="S83" t="s">
        <v>20</v>
      </c>
    </row>
    <row r="84" spans="1:19" x14ac:dyDescent="0.35">
      <c r="A84" s="4"/>
      <c r="F84" s="5" t="str">
        <f t="shared" si="0"/>
        <v xml:space="preserve">N/F  </v>
      </c>
      <c r="G84" s="12">
        <f t="shared" si="1"/>
        <v>0</v>
      </c>
      <c r="H84">
        <v>21</v>
      </c>
      <c r="I84" s="5">
        <f t="shared" si="2"/>
        <v>0</v>
      </c>
      <c r="J84" s="5">
        <f t="shared" si="3"/>
        <v>0</v>
      </c>
      <c r="L84" s="5">
        <f t="shared" si="4"/>
        <v>0</v>
      </c>
      <c r="M84" s="8">
        <v>0</v>
      </c>
      <c r="S84" t="s">
        <v>20</v>
      </c>
    </row>
    <row r="85" spans="1:19" x14ac:dyDescent="0.35">
      <c r="A85" s="4"/>
      <c r="F85" s="5" t="str">
        <f t="shared" si="0"/>
        <v xml:space="preserve">N/F  </v>
      </c>
      <c r="G85" s="12">
        <f t="shared" si="1"/>
        <v>0</v>
      </c>
      <c r="H85">
        <v>21</v>
      </c>
      <c r="I85" s="5">
        <f t="shared" si="2"/>
        <v>0</v>
      </c>
      <c r="J85" s="5">
        <f t="shared" si="3"/>
        <v>0</v>
      </c>
      <c r="L85" s="5">
        <f t="shared" si="4"/>
        <v>0</v>
      </c>
      <c r="M85" s="8">
        <v>0</v>
      </c>
      <c r="S85" t="s">
        <v>20</v>
      </c>
    </row>
    <row r="86" spans="1:19" x14ac:dyDescent="0.35">
      <c r="A86" s="4"/>
      <c r="F86" s="5" t="str">
        <f t="shared" si="0"/>
        <v xml:space="preserve">N/F  </v>
      </c>
      <c r="G86" s="12">
        <f t="shared" si="1"/>
        <v>0</v>
      </c>
      <c r="H86">
        <v>21</v>
      </c>
      <c r="I86" s="5">
        <f t="shared" si="2"/>
        <v>0</v>
      </c>
      <c r="J86" s="5">
        <f t="shared" si="3"/>
        <v>0</v>
      </c>
      <c r="L86" s="5">
        <f t="shared" si="4"/>
        <v>0</v>
      </c>
      <c r="M86" s="8">
        <v>0</v>
      </c>
      <c r="S86" t="s">
        <v>20</v>
      </c>
    </row>
    <row r="87" spans="1:19" x14ac:dyDescent="0.35">
      <c r="A87" s="4"/>
      <c r="F87" s="5" t="str">
        <f t="shared" ref="F87:F120" si="5">CONCATENATE(S87,B87," ",E87)</f>
        <v xml:space="preserve">N/F  </v>
      </c>
      <c r="G87" s="12">
        <f t="shared" si="1"/>
        <v>0</v>
      </c>
      <c r="H87">
        <v>21</v>
      </c>
      <c r="I87" s="5">
        <f t="shared" si="2"/>
        <v>0</v>
      </c>
      <c r="J87" s="5">
        <f t="shared" si="3"/>
        <v>0</v>
      </c>
      <c r="L87" s="5">
        <f t="shared" si="4"/>
        <v>0</v>
      </c>
      <c r="M87" s="8">
        <v>0</v>
      </c>
      <c r="S87" t="s">
        <v>20</v>
      </c>
    </row>
    <row r="88" spans="1:19" x14ac:dyDescent="0.35">
      <c r="A88" s="4"/>
      <c r="F88" s="5" t="str">
        <f t="shared" si="5"/>
        <v xml:space="preserve">N/F  </v>
      </c>
      <c r="G88" s="12">
        <f>M88/(1-K88/100+H88/100)</f>
        <v>0</v>
      </c>
      <c r="H88">
        <v>21</v>
      </c>
      <c r="I88" s="5">
        <f t="shared" ref="I88:I120" si="6">G88*H88/100</f>
        <v>0</v>
      </c>
      <c r="J88" s="5">
        <f t="shared" ref="J88:J120" si="7">G88</f>
        <v>0</v>
      </c>
      <c r="L88" s="5">
        <f t="shared" ref="L88:L120" si="8">J88*K88/100</f>
        <v>0</v>
      </c>
      <c r="M88" s="8">
        <v>0</v>
      </c>
      <c r="S88" t="s">
        <v>20</v>
      </c>
    </row>
    <row r="89" spans="1:19" x14ac:dyDescent="0.35">
      <c r="A89" s="4"/>
      <c r="F89" s="5" t="str">
        <f t="shared" si="5"/>
        <v xml:space="preserve">N/F  </v>
      </c>
      <c r="G89" s="12">
        <f t="shared" ref="G89:G120" si="9">M89/(1-K89/100+H89/100)</f>
        <v>0</v>
      </c>
      <c r="H89">
        <v>21</v>
      </c>
      <c r="I89" s="5">
        <f t="shared" si="6"/>
        <v>0</v>
      </c>
      <c r="J89" s="5">
        <f t="shared" si="7"/>
        <v>0</v>
      </c>
      <c r="L89" s="5">
        <f t="shared" si="8"/>
        <v>0</v>
      </c>
      <c r="M89" s="8">
        <v>0</v>
      </c>
      <c r="S89" t="s">
        <v>20</v>
      </c>
    </row>
    <row r="90" spans="1:19" x14ac:dyDescent="0.35">
      <c r="A90" s="4"/>
      <c r="F90" s="5" t="str">
        <f t="shared" si="5"/>
        <v xml:space="preserve">N/F  </v>
      </c>
      <c r="G90" s="12">
        <f t="shared" si="9"/>
        <v>0</v>
      </c>
      <c r="H90">
        <v>21</v>
      </c>
      <c r="I90" s="5">
        <f t="shared" si="6"/>
        <v>0</v>
      </c>
      <c r="J90" s="5">
        <f t="shared" si="7"/>
        <v>0</v>
      </c>
      <c r="L90" s="5">
        <f t="shared" si="8"/>
        <v>0</v>
      </c>
      <c r="M90" s="8">
        <v>0</v>
      </c>
      <c r="S90" t="s">
        <v>20</v>
      </c>
    </row>
    <row r="91" spans="1:19" x14ac:dyDescent="0.35">
      <c r="A91" s="4"/>
      <c r="F91" s="5" t="str">
        <f t="shared" si="5"/>
        <v xml:space="preserve">N/F  </v>
      </c>
      <c r="G91" s="12">
        <f t="shared" si="9"/>
        <v>0</v>
      </c>
      <c r="H91">
        <v>21</v>
      </c>
      <c r="I91" s="5">
        <f t="shared" si="6"/>
        <v>0</v>
      </c>
      <c r="J91" s="5">
        <f t="shared" si="7"/>
        <v>0</v>
      </c>
      <c r="L91" s="5">
        <f t="shared" si="8"/>
        <v>0</v>
      </c>
      <c r="M91" s="8">
        <v>0</v>
      </c>
      <c r="S91" t="s">
        <v>20</v>
      </c>
    </row>
    <row r="92" spans="1:19" x14ac:dyDescent="0.35">
      <c r="A92" s="4"/>
      <c r="F92" s="5" t="str">
        <f t="shared" si="5"/>
        <v xml:space="preserve">N/F  </v>
      </c>
      <c r="G92" s="12">
        <f t="shared" si="9"/>
        <v>0</v>
      </c>
      <c r="H92">
        <v>21</v>
      </c>
      <c r="I92" s="5">
        <f t="shared" si="6"/>
        <v>0</v>
      </c>
      <c r="J92" s="5">
        <f t="shared" si="7"/>
        <v>0</v>
      </c>
      <c r="L92" s="5">
        <f t="shared" si="8"/>
        <v>0</v>
      </c>
      <c r="M92" s="8">
        <v>0</v>
      </c>
      <c r="S92" t="s">
        <v>20</v>
      </c>
    </row>
    <row r="93" spans="1:19" x14ac:dyDescent="0.35">
      <c r="A93" s="4"/>
      <c r="F93" s="5" t="str">
        <f t="shared" si="5"/>
        <v xml:space="preserve">N/F  </v>
      </c>
      <c r="G93" s="12">
        <f t="shared" si="9"/>
        <v>0</v>
      </c>
      <c r="H93">
        <v>21</v>
      </c>
      <c r="I93" s="5">
        <f t="shared" si="6"/>
        <v>0</v>
      </c>
      <c r="J93" s="5">
        <f t="shared" si="7"/>
        <v>0</v>
      </c>
      <c r="L93" s="5">
        <f t="shared" si="8"/>
        <v>0</v>
      </c>
      <c r="M93" s="8">
        <v>0</v>
      </c>
      <c r="S93" t="s">
        <v>20</v>
      </c>
    </row>
    <row r="94" spans="1:19" x14ac:dyDescent="0.35">
      <c r="A94" s="4"/>
      <c r="F94" s="5" t="str">
        <f t="shared" si="5"/>
        <v xml:space="preserve">N/F  </v>
      </c>
      <c r="G94" s="12">
        <f t="shared" si="9"/>
        <v>0</v>
      </c>
      <c r="H94">
        <v>21</v>
      </c>
      <c r="I94" s="5">
        <f t="shared" si="6"/>
        <v>0</v>
      </c>
      <c r="J94" s="5">
        <f t="shared" si="7"/>
        <v>0</v>
      </c>
      <c r="L94" s="5">
        <f t="shared" si="8"/>
        <v>0</v>
      </c>
      <c r="M94" s="8">
        <v>0</v>
      </c>
      <c r="S94" t="s">
        <v>20</v>
      </c>
    </row>
    <row r="95" spans="1:19" x14ac:dyDescent="0.35">
      <c r="A95" s="4"/>
      <c r="F95" s="5" t="str">
        <f t="shared" si="5"/>
        <v xml:space="preserve">N/F  </v>
      </c>
      <c r="G95" s="12">
        <f t="shared" si="9"/>
        <v>0</v>
      </c>
      <c r="H95">
        <v>21</v>
      </c>
      <c r="I95" s="5">
        <f t="shared" si="6"/>
        <v>0</v>
      </c>
      <c r="J95" s="5">
        <f t="shared" si="7"/>
        <v>0</v>
      </c>
      <c r="L95" s="5">
        <f t="shared" si="8"/>
        <v>0</v>
      </c>
      <c r="M95" s="8">
        <v>0</v>
      </c>
      <c r="S95" t="s">
        <v>20</v>
      </c>
    </row>
    <row r="96" spans="1:19" x14ac:dyDescent="0.35">
      <c r="A96" s="4"/>
      <c r="F96" s="5" t="str">
        <f t="shared" si="5"/>
        <v xml:space="preserve">N/F  </v>
      </c>
      <c r="G96" s="12">
        <f t="shared" si="9"/>
        <v>0</v>
      </c>
      <c r="H96">
        <v>21</v>
      </c>
      <c r="I96" s="5">
        <f t="shared" si="6"/>
        <v>0</v>
      </c>
      <c r="J96" s="5">
        <f t="shared" si="7"/>
        <v>0</v>
      </c>
      <c r="L96" s="5">
        <f t="shared" si="8"/>
        <v>0</v>
      </c>
      <c r="M96" s="8">
        <v>0</v>
      </c>
      <c r="S96" t="s">
        <v>20</v>
      </c>
    </row>
    <row r="97" spans="6:19" x14ac:dyDescent="0.35">
      <c r="F97" s="5" t="str">
        <f t="shared" si="5"/>
        <v xml:space="preserve">N/F  </v>
      </c>
      <c r="G97" s="12">
        <f t="shared" si="9"/>
        <v>0</v>
      </c>
      <c r="I97" s="5">
        <f t="shared" si="6"/>
        <v>0</v>
      </c>
      <c r="J97" s="5">
        <f t="shared" si="7"/>
        <v>0</v>
      </c>
      <c r="L97" s="5">
        <f t="shared" si="8"/>
        <v>0</v>
      </c>
      <c r="M97" s="8">
        <v>0</v>
      </c>
      <c r="S97" t="s">
        <v>20</v>
      </c>
    </row>
    <row r="98" spans="6:19" x14ac:dyDescent="0.35">
      <c r="F98" s="5" t="str">
        <f t="shared" si="5"/>
        <v xml:space="preserve">N/F  </v>
      </c>
      <c r="G98" s="12">
        <f t="shared" si="9"/>
        <v>0</v>
      </c>
      <c r="I98" s="5">
        <f t="shared" si="6"/>
        <v>0</v>
      </c>
      <c r="J98" s="5">
        <f t="shared" si="7"/>
        <v>0</v>
      </c>
      <c r="L98" s="5">
        <f t="shared" si="8"/>
        <v>0</v>
      </c>
      <c r="M98" s="8">
        <v>0</v>
      </c>
      <c r="S98" t="s">
        <v>20</v>
      </c>
    </row>
    <row r="99" spans="6:19" x14ac:dyDescent="0.35">
      <c r="F99" s="5" t="str">
        <f t="shared" si="5"/>
        <v xml:space="preserve">N/F  </v>
      </c>
      <c r="G99" s="12">
        <f t="shared" si="9"/>
        <v>0</v>
      </c>
      <c r="I99" s="5">
        <f t="shared" si="6"/>
        <v>0</v>
      </c>
      <c r="J99" s="5">
        <f t="shared" si="7"/>
        <v>0</v>
      </c>
      <c r="L99" s="5">
        <f t="shared" si="8"/>
        <v>0</v>
      </c>
      <c r="M99" s="8">
        <v>0</v>
      </c>
      <c r="S99" t="s">
        <v>20</v>
      </c>
    </row>
    <row r="100" spans="6:19" x14ac:dyDescent="0.35">
      <c r="F100" s="5" t="str">
        <f t="shared" si="5"/>
        <v xml:space="preserve">N/F  </v>
      </c>
      <c r="G100" s="12">
        <f t="shared" si="9"/>
        <v>0</v>
      </c>
      <c r="I100" s="5">
        <f t="shared" si="6"/>
        <v>0</v>
      </c>
      <c r="J100" s="5">
        <f t="shared" si="7"/>
        <v>0</v>
      </c>
      <c r="L100" s="5">
        <f t="shared" si="8"/>
        <v>0</v>
      </c>
      <c r="M100" s="8">
        <v>0</v>
      </c>
      <c r="S100" t="s">
        <v>20</v>
      </c>
    </row>
    <row r="101" spans="6:19" x14ac:dyDescent="0.35">
      <c r="F101" s="5" t="str">
        <f t="shared" si="5"/>
        <v xml:space="preserve">N/F  </v>
      </c>
      <c r="G101" s="12">
        <f t="shared" si="9"/>
        <v>0</v>
      </c>
      <c r="I101" s="5">
        <f t="shared" si="6"/>
        <v>0</v>
      </c>
      <c r="J101" s="5">
        <f t="shared" si="7"/>
        <v>0</v>
      </c>
      <c r="L101" s="5">
        <f t="shared" si="8"/>
        <v>0</v>
      </c>
      <c r="M101" s="8">
        <v>0</v>
      </c>
      <c r="S101" t="s">
        <v>20</v>
      </c>
    </row>
    <row r="102" spans="6:19" x14ac:dyDescent="0.35">
      <c r="F102" s="5" t="str">
        <f t="shared" si="5"/>
        <v xml:space="preserve">N/F  </v>
      </c>
      <c r="G102" s="12">
        <f t="shared" si="9"/>
        <v>0</v>
      </c>
      <c r="J102" s="5">
        <f t="shared" si="7"/>
        <v>0</v>
      </c>
      <c r="L102" s="5">
        <f t="shared" si="8"/>
        <v>0</v>
      </c>
      <c r="M102" s="8">
        <v>0</v>
      </c>
      <c r="S102" t="s">
        <v>20</v>
      </c>
    </row>
    <row r="103" spans="6:19" x14ac:dyDescent="0.35">
      <c r="F103" s="5" t="str">
        <f t="shared" si="5"/>
        <v xml:space="preserve">N/F  </v>
      </c>
      <c r="G103" s="12">
        <f t="shared" si="9"/>
        <v>0</v>
      </c>
      <c r="I103" s="5">
        <f t="shared" si="6"/>
        <v>0</v>
      </c>
      <c r="J103" s="5">
        <f t="shared" si="7"/>
        <v>0</v>
      </c>
      <c r="L103" s="5">
        <f t="shared" si="8"/>
        <v>0</v>
      </c>
      <c r="M103" s="8">
        <v>0</v>
      </c>
      <c r="S103" t="s">
        <v>20</v>
      </c>
    </row>
    <row r="104" spans="6:19" x14ac:dyDescent="0.35">
      <c r="F104" s="5" t="str">
        <f t="shared" si="5"/>
        <v xml:space="preserve">N/F  </v>
      </c>
      <c r="G104" s="12">
        <f t="shared" si="9"/>
        <v>0</v>
      </c>
      <c r="I104" s="5">
        <f t="shared" si="6"/>
        <v>0</v>
      </c>
      <c r="J104" s="5">
        <f t="shared" si="7"/>
        <v>0</v>
      </c>
      <c r="L104" s="5">
        <f t="shared" si="8"/>
        <v>0</v>
      </c>
      <c r="M104" s="8">
        <v>0</v>
      </c>
      <c r="S104" t="s">
        <v>20</v>
      </c>
    </row>
    <row r="105" spans="6:19" x14ac:dyDescent="0.35">
      <c r="F105" s="5" t="str">
        <f t="shared" si="5"/>
        <v xml:space="preserve">N/F  </v>
      </c>
      <c r="G105" s="12">
        <f t="shared" si="9"/>
        <v>0</v>
      </c>
      <c r="I105" s="5">
        <f t="shared" si="6"/>
        <v>0</v>
      </c>
      <c r="J105" s="5">
        <f t="shared" si="7"/>
        <v>0</v>
      </c>
      <c r="L105" s="5">
        <f t="shared" si="8"/>
        <v>0</v>
      </c>
      <c r="M105" s="8">
        <v>0</v>
      </c>
      <c r="S105" t="s">
        <v>20</v>
      </c>
    </row>
    <row r="106" spans="6:19" x14ac:dyDescent="0.35">
      <c r="F106" s="5" t="str">
        <f t="shared" si="5"/>
        <v xml:space="preserve">N/F  </v>
      </c>
      <c r="G106" s="12">
        <f t="shared" si="9"/>
        <v>0</v>
      </c>
      <c r="I106" s="5">
        <f t="shared" si="6"/>
        <v>0</v>
      </c>
      <c r="J106" s="5">
        <f t="shared" si="7"/>
        <v>0</v>
      </c>
      <c r="L106" s="5">
        <f t="shared" si="8"/>
        <v>0</v>
      </c>
      <c r="M106" s="8">
        <v>0</v>
      </c>
      <c r="S106" t="s">
        <v>20</v>
      </c>
    </row>
    <row r="107" spans="6:19" x14ac:dyDescent="0.35">
      <c r="F107" s="5" t="str">
        <f t="shared" si="5"/>
        <v xml:space="preserve">N/F  </v>
      </c>
      <c r="G107" s="12">
        <f t="shared" si="9"/>
        <v>0</v>
      </c>
      <c r="I107" s="5">
        <f t="shared" si="6"/>
        <v>0</v>
      </c>
      <c r="J107" s="5">
        <f t="shared" si="7"/>
        <v>0</v>
      </c>
      <c r="L107" s="5">
        <f t="shared" si="8"/>
        <v>0</v>
      </c>
      <c r="M107" s="8">
        <v>0</v>
      </c>
      <c r="S107" t="s">
        <v>20</v>
      </c>
    </row>
    <row r="108" spans="6:19" x14ac:dyDescent="0.35">
      <c r="F108" s="5" t="str">
        <f t="shared" si="5"/>
        <v xml:space="preserve">N/F  </v>
      </c>
      <c r="G108" s="12">
        <f t="shared" si="9"/>
        <v>0</v>
      </c>
      <c r="I108" s="5">
        <f t="shared" si="6"/>
        <v>0</v>
      </c>
      <c r="J108" s="5">
        <f t="shared" si="7"/>
        <v>0</v>
      </c>
      <c r="L108" s="5">
        <f t="shared" si="8"/>
        <v>0</v>
      </c>
      <c r="M108" s="8">
        <v>0</v>
      </c>
      <c r="S108" t="s">
        <v>20</v>
      </c>
    </row>
    <row r="109" spans="6:19" x14ac:dyDescent="0.35">
      <c r="F109" s="5" t="str">
        <f t="shared" si="5"/>
        <v xml:space="preserve">N/F  </v>
      </c>
      <c r="G109" s="12">
        <f t="shared" si="9"/>
        <v>0</v>
      </c>
      <c r="I109" s="5">
        <f t="shared" si="6"/>
        <v>0</v>
      </c>
      <c r="J109" s="5">
        <f t="shared" si="7"/>
        <v>0</v>
      </c>
      <c r="L109" s="5">
        <f t="shared" si="8"/>
        <v>0</v>
      </c>
      <c r="M109" s="8">
        <v>0</v>
      </c>
      <c r="S109" t="s">
        <v>20</v>
      </c>
    </row>
    <row r="110" spans="6:19" x14ac:dyDescent="0.35">
      <c r="F110" s="5" t="str">
        <f t="shared" si="5"/>
        <v xml:space="preserve">N/F  </v>
      </c>
      <c r="G110" s="12">
        <f t="shared" si="9"/>
        <v>0</v>
      </c>
      <c r="I110" s="5">
        <f t="shared" si="6"/>
        <v>0</v>
      </c>
      <c r="J110" s="5">
        <f t="shared" si="7"/>
        <v>0</v>
      </c>
      <c r="L110" s="5">
        <f t="shared" si="8"/>
        <v>0</v>
      </c>
      <c r="M110" s="8">
        <v>0</v>
      </c>
      <c r="S110" t="s">
        <v>20</v>
      </c>
    </row>
    <row r="111" spans="6:19" x14ac:dyDescent="0.35">
      <c r="F111" s="5" t="str">
        <f t="shared" si="5"/>
        <v xml:space="preserve">N/F  </v>
      </c>
      <c r="G111" s="12">
        <f t="shared" si="9"/>
        <v>0</v>
      </c>
      <c r="I111" s="5">
        <f t="shared" si="6"/>
        <v>0</v>
      </c>
      <c r="J111" s="5">
        <f t="shared" si="7"/>
        <v>0</v>
      </c>
      <c r="L111" s="5">
        <f t="shared" si="8"/>
        <v>0</v>
      </c>
      <c r="M111" s="8">
        <v>0</v>
      </c>
      <c r="S111" t="s">
        <v>20</v>
      </c>
    </row>
    <row r="112" spans="6:19" x14ac:dyDescent="0.35">
      <c r="F112" s="5" t="str">
        <f t="shared" si="5"/>
        <v xml:space="preserve">N/F  </v>
      </c>
      <c r="G112" s="12">
        <f t="shared" si="9"/>
        <v>0</v>
      </c>
      <c r="I112" s="5">
        <f t="shared" si="6"/>
        <v>0</v>
      </c>
      <c r="J112" s="5">
        <f t="shared" si="7"/>
        <v>0</v>
      </c>
      <c r="L112" s="5">
        <f t="shared" si="8"/>
        <v>0</v>
      </c>
      <c r="M112" s="8">
        <v>0</v>
      </c>
      <c r="S112" t="s">
        <v>20</v>
      </c>
    </row>
    <row r="113" spans="6:19" x14ac:dyDescent="0.35">
      <c r="F113" s="5" t="str">
        <f t="shared" si="5"/>
        <v xml:space="preserve">N/F  </v>
      </c>
      <c r="G113" s="12">
        <f t="shared" si="9"/>
        <v>0</v>
      </c>
      <c r="I113" s="5">
        <f t="shared" si="6"/>
        <v>0</v>
      </c>
      <c r="J113" s="5">
        <f t="shared" si="7"/>
        <v>0</v>
      </c>
      <c r="L113" s="5">
        <f t="shared" si="8"/>
        <v>0</v>
      </c>
      <c r="M113" s="8">
        <v>0</v>
      </c>
      <c r="S113" t="s">
        <v>20</v>
      </c>
    </row>
    <row r="114" spans="6:19" x14ac:dyDescent="0.35">
      <c r="F114" s="5" t="str">
        <f t="shared" si="5"/>
        <v xml:space="preserve">N/F  </v>
      </c>
      <c r="G114" s="12">
        <f t="shared" si="9"/>
        <v>0</v>
      </c>
      <c r="I114" s="5">
        <f t="shared" si="6"/>
        <v>0</v>
      </c>
      <c r="J114" s="5">
        <f t="shared" si="7"/>
        <v>0</v>
      </c>
      <c r="L114" s="5">
        <f t="shared" si="8"/>
        <v>0</v>
      </c>
      <c r="M114" s="8">
        <v>0</v>
      </c>
      <c r="S114" t="s">
        <v>20</v>
      </c>
    </row>
    <row r="115" spans="6:19" x14ac:dyDescent="0.35">
      <c r="F115" s="5" t="str">
        <f t="shared" si="5"/>
        <v xml:space="preserve">N/F  </v>
      </c>
      <c r="G115" s="12">
        <f t="shared" si="9"/>
        <v>0</v>
      </c>
      <c r="I115" s="5">
        <f t="shared" si="6"/>
        <v>0</v>
      </c>
      <c r="J115" s="5">
        <f t="shared" si="7"/>
        <v>0</v>
      </c>
      <c r="L115" s="5">
        <f t="shared" si="8"/>
        <v>0</v>
      </c>
      <c r="M115" s="8">
        <v>0</v>
      </c>
      <c r="S115" t="s">
        <v>20</v>
      </c>
    </row>
    <row r="116" spans="6:19" x14ac:dyDescent="0.35">
      <c r="F116" s="5" t="str">
        <f t="shared" si="5"/>
        <v xml:space="preserve">N/F  </v>
      </c>
      <c r="G116" s="12">
        <f t="shared" si="9"/>
        <v>0</v>
      </c>
      <c r="I116" s="5">
        <f t="shared" si="6"/>
        <v>0</v>
      </c>
      <c r="J116" s="5">
        <f t="shared" si="7"/>
        <v>0</v>
      </c>
      <c r="L116" s="5">
        <f t="shared" si="8"/>
        <v>0</v>
      </c>
      <c r="M116" s="8">
        <v>0</v>
      </c>
      <c r="S116" t="s">
        <v>20</v>
      </c>
    </row>
    <row r="117" spans="6:19" x14ac:dyDescent="0.35">
      <c r="F117" s="5" t="str">
        <f t="shared" si="5"/>
        <v xml:space="preserve">N/F  </v>
      </c>
      <c r="G117" s="12">
        <f t="shared" si="9"/>
        <v>0</v>
      </c>
      <c r="I117" s="5">
        <f t="shared" si="6"/>
        <v>0</v>
      </c>
      <c r="J117" s="5">
        <f t="shared" si="7"/>
        <v>0</v>
      </c>
      <c r="L117" s="5">
        <f t="shared" si="8"/>
        <v>0</v>
      </c>
      <c r="M117" s="8">
        <v>0</v>
      </c>
      <c r="S117" t="s">
        <v>20</v>
      </c>
    </row>
    <row r="118" spans="6:19" x14ac:dyDescent="0.35">
      <c r="F118" s="5" t="str">
        <f t="shared" si="5"/>
        <v xml:space="preserve">N/F  </v>
      </c>
      <c r="G118" s="12">
        <f t="shared" si="9"/>
        <v>0</v>
      </c>
      <c r="I118" s="5">
        <f t="shared" si="6"/>
        <v>0</v>
      </c>
      <c r="J118" s="5">
        <f t="shared" si="7"/>
        <v>0</v>
      </c>
      <c r="L118" s="5">
        <f t="shared" si="8"/>
        <v>0</v>
      </c>
      <c r="M118" s="8">
        <v>0</v>
      </c>
      <c r="S118" t="s">
        <v>20</v>
      </c>
    </row>
    <row r="119" spans="6:19" x14ac:dyDescent="0.35">
      <c r="F119" s="5" t="str">
        <f t="shared" si="5"/>
        <v xml:space="preserve">N/F  </v>
      </c>
      <c r="G119" s="12">
        <f t="shared" si="9"/>
        <v>0</v>
      </c>
      <c r="I119" s="5">
        <f t="shared" si="6"/>
        <v>0</v>
      </c>
      <c r="J119" s="5">
        <f t="shared" si="7"/>
        <v>0</v>
      </c>
      <c r="L119" s="5">
        <f t="shared" si="8"/>
        <v>0</v>
      </c>
      <c r="M119" s="8">
        <v>0</v>
      </c>
      <c r="S119" t="s">
        <v>20</v>
      </c>
    </row>
    <row r="120" spans="6:19" x14ac:dyDescent="0.35">
      <c r="F120" s="5" t="str">
        <f t="shared" si="5"/>
        <v xml:space="preserve">N/F  </v>
      </c>
      <c r="G120" s="12">
        <f t="shared" si="9"/>
        <v>0</v>
      </c>
      <c r="I120" s="5">
        <f t="shared" si="6"/>
        <v>0</v>
      </c>
      <c r="J120" s="5">
        <f t="shared" si="7"/>
        <v>0</v>
      </c>
      <c r="L120" s="5">
        <f t="shared" si="8"/>
        <v>0</v>
      </c>
      <c r="M120" s="8">
        <v>0</v>
      </c>
      <c r="S120" t="s">
        <v>20</v>
      </c>
    </row>
  </sheetData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22EF-B099-4EE6-A6B9-748A5B4AB200}">
  <dimension ref="A1:B12"/>
  <sheetViews>
    <sheetView workbookViewId="0">
      <selection activeCell="B2" sqref="B2"/>
    </sheetView>
  </sheetViews>
  <sheetFormatPr baseColWidth="10" defaultRowHeight="14.5" x14ac:dyDescent="0.35"/>
  <sheetData>
    <row r="1" spans="1:2" x14ac:dyDescent="0.35">
      <c r="A1">
        <v>596.98</v>
      </c>
    </row>
    <row r="2" spans="1:2" x14ac:dyDescent="0.35">
      <c r="A2">
        <v>71.7</v>
      </c>
      <c r="B2">
        <f>SUM(A1:A2)</f>
        <v>668.68000000000006</v>
      </c>
    </row>
    <row r="3" spans="1:2" x14ac:dyDescent="0.35">
      <c r="A3">
        <v>590.66039999999998</v>
      </c>
    </row>
    <row r="4" spans="1:2" x14ac:dyDescent="0.35">
      <c r="A4">
        <v>68.126800000000003</v>
      </c>
      <c r="B4">
        <f>SUM(A3:A4)</f>
        <v>658.78719999999998</v>
      </c>
    </row>
    <row r="5" spans="1:2" x14ac:dyDescent="0.35">
      <c r="A5">
        <v>594.24479999999994</v>
      </c>
    </row>
    <row r="6" spans="1:2" x14ac:dyDescent="0.35">
      <c r="A6">
        <v>64.542400000000001</v>
      </c>
    </row>
    <row r="7" spans="1:2" x14ac:dyDescent="0.35">
      <c r="A7">
        <v>597.86400000000003</v>
      </c>
    </row>
    <row r="8" spans="1:2" x14ac:dyDescent="0.35">
      <c r="A8">
        <v>60.923200000000001</v>
      </c>
    </row>
    <row r="9" spans="1:2" x14ac:dyDescent="0.35">
      <c r="A9">
        <v>601.50639999999999</v>
      </c>
    </row>
    <row r="10" spans="1:2" x14ac:dyDescent="0.35">
      <c r="A10">
        <v>57.280799999999999</v>
      </c>
    </row>
    <row r="11" spans="1:2" x14ac:dyDescent="0.35">
      <c r="A11">
        <v>605.1604000000001</v>
      </c>
    </row>
    <row r="12" spans="1:2" x14ac:dyDescent="0.35">
      <c r="A12">
        <v>53.626799999999996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35EA-309C-472C-A1AA-EDB9D4AB3741}">
  <dimension ref="A1:B12"/>
  <sheetViews>
    <sheetView workbookViewId="0">
      <selection activeCell="B13" sqref="B13"/>
    </sheetView>
  </sheetViews>
  <sheetFormatPr baseColWidth="10" defaultRowHeight="14.5" x14ac:dyDescent="0.35"/>
  <sheetData>
    <row r="1" spans="1:2" x14ac:dyDescent="0.35">
      <c r="A1" s="5">
        <v>587.08760000000007</v>
      </c>
    </row>
    <row r="2" spans="1:2" x14ac:dyDescent="0.35">
      <c r="A2" s="5">
        <v>71.699600000000004</v>
      </c>
      <c r="B2" s="5">
        <f>SUM(A1:A2)</f>
        <v>658.7872000000001</v>
      </c>
    </row>
    <row r="3" spans="1:2" x14ac:dyDescent="0.35">
      <c r="A3" s="5">
        <v>590.66039999999998</v>
      </c>
    </row>
    <row r="4" spans="1:2" x14ac:dyDescent="0.35">
      <c r="A4" s="5">
        <v>68.126800000000003</v>
      </c>
      <c r="B4" s="5">
        <f>SUM(A3:A4)</f>
        <v>658.78719999999998</v>
      </c>
    </row>
    <row r="5" spans="1:2" x14ac:dyDescent="0.35">
      <c r="A5" s="5">
        <v>594.24479999999994</v>
      </c>
    </row>
    <row r="6" spans="1:2" x14ac:dyDescent="0.35">
      <c r="A6" s="5">
        <v>64.542400000000001</v>
      </c>
      <c r="B6" s="5">
        <f>SUM(A5:A6)</f>
        <v>658.78719999999998</v>
      </c>
    </row>
    <row r="7" spans="1:2" x14ac:dyDescent="0.35">
      <c r="A7" s="5">
        <v>597.86400000000003</v>
      </c>
    </row>
    <row r="8" spans="1:2" x14ac:dyDescent="0.35">
      <c r="A8" s="5">
        <v>60.923200000000001</v>
      </c>
      <c r="B8" s="5">
        <f>SUM(A7:A8)</f>
        <v>658.78719999999998</v>
      </c>
    </row>
    <row r="9" spans="1:2" x14ac:dyDescent="0.35">
      <c r="A9" s="5">
        <v>601.50639999999999</v>
      </c>
    </row>
    <row r="10" spans="1:2" x14ac:dyDescent="0.35">
      <c r="A10" s="5">
        <v>57.280799999999999</v>
      </c>
      <c r="B10" s="5">
        <f>SUM(A9:A10)</f>
        <v>658.78719999999998</v>
      </c>
    </row>
    <row r="11" spans="1:2" x14ac:dyDescent="0.35">
      <c r="A11" s="5">
        <v>605.1604000000001</v>
      </c>
    </row>
    <row r="12" spans="1:2" x14ac:dyDescent="0.35">
      <c r="A12" s="5">
        <v>53.626799999999996</v>
      </c>
      <c r="B12" s="5">
        <f>SUM(A11:A12)</f>
        <v>658.7872000000001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Gráficos</vt:lpstr>
      </vt:variant>
      <vt:variant>
        <vt:i4>1</vt:i4>
      </vt:variant>
    </vt:vector>
  </HeadingPairs>
  <TitlesOfParts>
    <vt:vector size="11" baseType="lpstr">
      <vt:lpstr>COMPRAS</vt:lpstr>
      <vt:lpstr>COMPRAS (2)</vt:lpstr>
      <vt:lpstr>COMPRAS (3)</vt:lpstr>
      <vt:lpstr>COMPRAS (4)</vt:lpstr>
      <vt:lpstr>VENTAS</vt:lpstr>
      <vt:lpstr>VENTAS (2)</vt:lpstr>
      <vt:lpstr>VENTAS (3)</vt:lpstr>
      <vt:lpstr>VENTAS (4)</vt:lpstr>
      <vt:lpstr>Hoja1</vt:lpstr>
      <vt:lpstr>Hoja2</vt:lpstr>
      <vt:lpstr>Gráfico1</vt:lpstr>
    </vt:vector>
  </TitlesOfParts>
  <Company>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CONTAMAR</dc:creator>
  <cp:lastModifiedBy>Iosu Buenetxea Personal</cp:lastModifiedBy>
  <cp:lastPrinted>2025-01-22T13:51:02Z</cp:lastPrinted>
  <dcterms:created xsi:type="dcterms:W3CDTF">2010-04-12T06:31:15Z</dcterms:created>
  <dcterms:modified xsi:type="dcterms:W3CDTF">2025-08-12T12:41:56Z</dcterms:modified>
</cp:coreProperties>
</file>